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SR Weekly" sheetId="1" r:id="rId4"/>
    <sheet state="visible" name="RSR Table - No PHI" sheetId="2" r:id="rId5"/>
    <sheet state="visible" name="RAW Form Responses 1" sheetId="3" r:id="rId6"/>
  </sheets>
  <definedNames/>
  <calcPr/>
</workbook>
</file>

<file path=xl/sharedStrings.xml><?xml version="1.0" encoding="utf-8"?>
<sst xmlns="http://schemas.openxmlformats.org/spreadsheetml/2006/main" count="120" uniqueCount="52">
  <si>
    <t>Week Start Date</t>
  </si>
  <si>
    <t>Week End Date</t>
  </si>
  <si>
    <t>% Positive</t>
  </si>
  <si>
    <t>Day of the Week Start</t>
  </si>
  <si>
    <t>Timestamp</t>
  </si>
  <si>
    <t>Site or Organization</t>
  </si>
  <si>
    <t>Sample Tubes Run (Pools)</t>
  </si>
  <si>
    <t>Participants Tested</t>
  </si>
  <si>
    <t>Unknown Positives</t>
  </si>
  <si>
    <t>Known Positives</t>
  </si>
  <si>
    <t>Inconclusives on 1st Run</t>
  </si>
  <si>
    <t>Inconclusives Final</t>
  </si>
  <si>
    <t>Use App for Collection?</t>
  </si>
  <si>
    <t>Comments</t>
  </si>
  <si>
    <t>Date Start</t>
  </si>
  <si>
    <t>Date End</t>
  </si>
  <si>
    <t>Productions (Davie Fire)</t>
  </si>
  <si>
    <t>No</t>
  </si>
  <si>
    <t>Week of 10/4-10/8</t>
  </si>
  <si>
    <t>Production Company</t>
  </si>
  <si>
    <t>Yes</t>
  </si>
  <si>
    <t>10/11/21-10/15/21</t>
  </si>
  <si>
    <t>Production Company 10/18/21-10/22/21 Run by Davie Fire</t>
  </si>
  <si>
    <t>Production Company 10/25/21-10/29/21 run by Davie Fire</t>
  </si>
  <si>
    <t xml:space="preserve">11/1/21-11/5/21 Production company run by Davie Fire </t>
  </si>
  <si>
    <t>11/8-11/12 Production Crew done by Davie Fire</t>
  </si>
  <si>
    <t>Production Company 11/15-11/19 Done by Davie Fire</t>
  </si>
  <si>
    <t>11/22-11/26 Production Company via Davie Fire</t>
  </si>
  <si>
    <t>Production Crew</t>
  </si>
  <si>
    <t>Production Crew tested via Davie Fire 11/29-12/3</t>
  </si>
  <si>
    <t>Production Company by Davie Fire 12/6-12/10</t>
  </si>
  <si>
    <t>Production Company via Davie Fire</t>
  </si>
  <si>
    <t>12/13-12/17</t>
  </si>
  <si>
    <t>TOTALS</t>
  </si>
  <si>
    <t>Email Address</t>
  </si>
  <si>
    <t>Org</t>
  </si>
  <si>
    <t>Pools</t>
  </si>
  <si>
    <t>People</t>
  </si>
  <si>
    <t>Inconclusives 1st</t>
  </si>
  <si>
    <t>Use App</t>
  </si>
  <si>
    <t>Number of sample tubes run (pools)</t>
  </si>
  <si>
    <t>Number of people tested (estimate if don't know exactly)</t>
  </si>
  <si>
    <t>Number of unknown positives found</t>
  </si>
  <si>
    <t>Number of known positives confirmed (with previous positive results)</t>
  </si>
  <si>
    <t>Number of inconclusives on first run</t>
  </si>
  <si>
    <t>Number of inconclusives in final results</t>
  </si>
  <si>
    <t>Did you use the app for collection?</t>
  </si>
  <si>
    <t>Corrected?</t>
  </si>
  <si>
    <t>Correction Notes</t>
  </si>
  <si>
    <t>XXX Productions (Davie Fire)</t>
  </si>
  <si>
    <t>Date Start and Date End filled in from info in Comments field</t>
  </si>
  <si>
    <t>XXX Production Company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</si>
</sst>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0.0%"/>
    <numFmt numFmtId="166" formatCode="m/d/yyyy h:mm:ss"/>
    <numFmt numFmtId="167" formatCode="m/d/yy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164" xfId="0" applyFont="1" applyNumberFormat="1"/>
    <xf borderId="0" fillId="2" fontId="2" numFmtId="164" xfId="0" applyFill="1" applyFont="1" applyNumberFormat="1"/>
    <xf borderId="0" fillId="0" fontId="2" numFmtId="0" xfId="0" applyFont="1"/>
    <xf borderId="0" fillId="3" fontId="2" numFmtId="165" xfId="0" applyFill="1" applyFont="1" applyNumberFormat="1"/>
    <xf borderId="0" fillId="0" fontId="2" numFmtId="165" xfId="0" applyFont="1" applyNumberFormat="1"/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wrapText="1"/>
    </xf>
    <xf borderId="0" fillId="0" fontId="2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tr">
        <f>CONCATENATE("Weekly Participants ",SUM(C2:C1000))</f>
        <v>Weekly Participants 785</v>
      </c>
      <c r="D1" s="1" t="str">
        <f>CONCATENATE("Weekly Tubes Run ",SUM(D2:D1000))</f>
        <v>Weekly Tubes Run 785</v>
      </c>
      <c r="E1" s="1" t="str">
        <f>CONCATENATE("Weekly Positive Tubes ",SUM(E2:E1000))</f>
        <v>Weekly Positive Tubes 1</v>
      </c>
      <c r="F1" s="1" t="str">
        <f>CONCATENATE("Weekly Inconclusive Tubes ",SUM(F2:F1000))</f>
        <v>Weekly Inconclusive Tubes 0</v>
      </c>
      <c r="G1" s="1" t="s">
        <v>2</v>
      </c>
      <c r="I1" s="1" t="s">
        <v>3</v>
      </c>
    </row>
    <row r="2">
      <c r="A2" s="2">
        <f>'RSR Table - No PHI'!L2</f>
        <v>44473</v>
      </c>
      <c r="B2" s="3">
        <f t="shared" ref="B2:B12" si="1">A2+6</f>
        <v>44479</v>
      </c>
      <c r="C2" s="4">
        <f>'RSR Table - No PHI'!E2</f>
        <v>87</v>
      </c>
      <c r="D2" s="4">
        <f>'RSR Table - No PHI'!D2</f>
        <v>87</v>
      </c>
      <c r="E2" s="4">
        <f>'RSR Table - No PHI'!G2+'RSR Table - No PHI'!F2</f>
        <v>0</v>
      </c>
      <c r="F2" s="4">
        <f>'RSR Table - No PHI'!I2</f>
        <v>0</v>
      </c>
      <c r="G2" s="5">
        <f t="shared" ref="G2:G12" si="2">IFERROR(E2/D2,IFERROR(0/0,""))</f>
        <v>0</v>
      </c>
      <c r="I2" s="4" t="str">
        <f t="shared" ref="I2:I12" si="3">TEXT(A2,"ddd")</f>
        <v>Mon</v>
      </c>
    </row>
    <row r="3">
      <c r="A3" s="2">
        <f>'RSR Table - No PHI'!L3</f>
        <v>44480</v>
      </c>
      <c r="B3" s="3">
        <f t="shared" si="1"/>
        <v>44486</v>
      </c>
      <c r="C3" s="4">
        <f>'RSR Table - No PHI'!E3</f>
        <v>79</v>
      </c>
      <c r="D3" s="4">
        <f>'RSR Table - No PHI'!D3</f>
        <v>79</v>
      </c>
      <c r="E3" s="4">
        <f>'RSR Table - No PHI'!G3+'RSR Table - No PHI'!F3</f>
        <v>0</v>
      </c>
      <c r="F3" s="4">
        <f>'RSR Table - No PHI'!I3</f>
        <v>0</v>
      </c>
      <c r="G3" s="5">
        <f t="shared" si="2"/>
        <v>0</v>
      </c>
      <c r="I3" s="4" t="str">
        <f t="shared" si="3"/>
        <v>Mon</v>
      </c>
    </row>
    <row r="4">
      <c r="A4" s="2">
        <f>'RSR Table - No PHI'!L4</f>
        <v>44487</v>
      </c>
      <c r="B4" s="3">
        <f t="shared" si="1"/>
        <v>44493</v>
      </c>
      <c r="C4" s="4">
        <f>'RSR Table - No PHI'!E4</f>
        <v>67</v>
      </c>
      <c r="D4" s="4">
        <f>'RSR Table - No PHI'!D4</f>
        <v>67</v>
      </c>
      <c r="E4" s="4">
        <f>'RSR Table - No PHI'!G4+'RSR Table - No PHI'!F4</f>
        <v>0</v>
      </c>
      <c r="F4" s="4">
        <f>'RSR Table - No PHI'!I4</f>
        <v>0</v>
      </c>
      <c r="G4" s="5">
        <f t="shared" si="2"/>
        <v>0</v>
      </c>
      <c r="I4" s="4" t="str">
        <f t="shared" si="3"/>
        <v>Mon</v>
      </c>
    </row>
    <row r="5">
      <c r="A5" s="2">
        <f>'RSR Table - No PHI'!L5</f>
        <v>44494</v>
      </c>
      <c r="B5" s="3">
        <f t="shared" si="1"/>
        <v>44500</v>
      </c>
      <c r="C5" s="4">
        <f>'RSR Table - No PHI'!E5</f>
        <v>60</v>
      </c>
      <c r="D5" s="4">
        <f>'RSR Table - No PHI'!D5</f>
        <v>60</v>
      </c>
      <c r="E5" s="4">
        <f>'RSR Table - No PHI'!G5+'RSR Table - No PHI'!F5</f>
        <v>0</v>
      </c>
      <c r="F5" s="4">
        <f>'RSR Table - No PHI'!I5</f>
        <v>0</v>
      </c>
      <c r="G5" s="5">
        <f t="shared" si="2"/>
        <v>0</v>
      </c>
      <c r="I5" s="4" t="str">
        <f t="shared" si="3"/>
        <v>Mon</v>
      </c>
    </row>
    <row r="6">
      <c r="A6" s="2">
        <f>'RSR Table - No PHI'!L6</f>
        <v>44501</v>
      </c>
      <c r="B6" s="3">
        <f t="shared" si="1"/>
        <v>44507</v>
      </c>
      <c r="C6" s="4">
        <f>'RSR Table - No PHI'!E6</f>
        <v>72</v>
      </c>
      <c r="D6" s="4">
        <f>'RSR Table - No PHI'!D6</f>
        <v>72</v>
      </c>
      <c r="E6" s="4">
        <f>'RSR Table - No PHI'!G6+'RSR Table - No PHI'!F6</f>
        <v>0</v>
      </c>
      <c r="F6" s="4">
        <f>'RSR Table - No PHI'!I6</f>
        <v>0</v>
      </c>
      <c r="G6" s="5">
        <f t="shared" si="2"/>
        <v>0</v>
      </c>
      <c r="I6" s="4" t="str">
        <f t="shared" si="3"/>
        <v>Mon</v>
      </c>
    </row>
    <row r="7">
      <c r="A7" s="2">
        <f>'RSR Table - No PHI'!L7</f>
        <v>44508</v>
      </c>
      <c r="B7" s="3">
        <f t="shared" si="1"/>
        <v>44514</v>
      </c>
      <c r="C7" s="4">
        <f>'RSR Table - No PHI'!E7</f>
        <v>62</v>
      </c>
      <c r="D7" s="4">
        <f>'RSR Table - No PHI'!D7</f>
        <v>62</v>
      </c>
      <c r="E7" s="4">
        <f>'RSR Table - No PHI'!G7+'RSR Table - No PHI'!F7</f>
        <v>0</v>
      </c>
      <c r="F7" s="4">
        <f>'RSR Table - No PHI'!I7</f>
        <v>0</v>
      </c>
      <c r="G7" s="5">
        <f t="shared" si="2"/>
        <v>0</v>
      </c>
      <c r="I7" s="4" t="str">
        <f t="shared" si="3"/>
        <v>Mon</v>
      </c>
    </row>
    <row r="8">
      <c r="A8" s="2">
        <f>'RSR Table - No PHI'!L8</f>
        <v>44515</v>
      </c>
      <c r="B8" s="3">
        <f t="shared" si="1"/>
        <v>44521</v>
      </c>
      <c r="C8" s="4">
        <f>'RSR Table - No PHI'!E8</f>
        <v>75</v>
      </c>
      <c r="D8" s="4">
        <f>'RSR Table - No PHI'!D8</f>
        <v>75</v>
      </c>
      <c r="E8" s="4">
        <f>'RSR Table - No PHI'!G8+'RSR Table - No PHI'!F8</f>
        <v>0</v>
      </c>
      <c r="F8" s="4">
        <f>'RSR Table - No PHI'!I8</f>
        <v>0</v>
      </c>
      <c r="G8" s="5">
        <f t="shared" si="2"/>
        <v>0</v>
      </c>
      <c r="I8" s="4" t="str">
        <f t="shared" si="3"/>
        <v>Mon</v>
      </c>
    </row>
    <row r="9">
      <c r="A9" s="2">
        <f>'RSR Table - No PHI'!L9</f>
        <v>44522</v>
      </c>
      <c r="B9" s="3">
        <f t="shared" si="1"/>
        <v>44528</v>
      </c>
      <c r="C9" s="4">
        <f>'RSR Table - No PHI'!E9</f>
        <v>35</v>
      </c>
      <c r="D9" s="4">
        <f>'RSR Table - No PHI'!D9</f>
        <v>35</v>
      </c>
      <c r="E9" s="4">
        <f>'RSR Table - No PHI'!G9+'RSR Table - No PHI'!F9</f>
        <v>0</v>
      </c>
      <c r="F9" s="4">
        <f>'RSR Table - No PHI'!I9</f>
        <v>0</v>
      </c>
      <c r="G9" s="5">
        <f t="shared" si="2"/>
        <v>0</v>
      </c>
      <c r="I9" s="4" t="str">
        <f t="shared" si="3"/>
        <v>Mon</v>
      </c>
    </row>
    <row r="10">
      <c r="A10" s="2">
        <f>'RSR Table - No PHI'!L10</f>
        <v>44529</v>
      </c>
      <c r="B10" s="3">
        <f t="shared" si="1"/>
        <v>44535</v>
      </c>
      <c r="C10" s="4">
        <f>'RSR Table - No PHI'!E10</f>
        <v>65</v>
      </c>
      <c r="D10" s="4">
        <f>'RSR Table - No PHI'!D10</f>
        <v>65</v>
      </c>
      <c r="E10" s="4">
        <f>'RSR Table - No PHI'!G10+'RSR Table - No PHI'!F10</f>
        <v>0</v>
      </c>
      <c r="F10" s="4">
        <f>'RSR Table - No PHI'!I10</f>
        <v>0</v>
      </c>
      <c r="G10" s="5">
        <f t="shared" si="2"/>
        <v>0</v>
      </c>
      <c r="I10" s="4" t="str">
        <f t="shared" si="3"/>
        <v>Mon</v>
      </c>
    </row>
    <row r="11">
      <c r="A11" s="2">
        <f>'RSR Table - No PHI'!L11</f>
        <v>44536</v>
      </c>
      <c r="B11" s="3">
        <f t="shared" si="1"/>
        <v>44542</v>
      </c>
      <c r="C11" s="4">
        <f>'RSR Table - No PHI'!E11</f>
        <v>87</v>
      </c>
      <c r="D11" s="4">
        <f>'RSR Table - No PHI'!D11</f>
        <v>87</v>
      </c>
      <c r="E11" s="4">
        <f>'RSR Table - No PHI'!G11+'RSR Table - No PHI'!F11</f>
        <v>0</v>
      </c>
      <c r="F11" s="4">
        <f>'RSR Table - No PHI'!I11</f>
        <v>0</v>
      </c>
      <c r="G11" s="5">
        <f t="shared" si="2"/>
        <v>0</v>
      </c>
      <c r="I11" s="4" t="str">
        <f t="shared" si="3"/>
        <v>Mon</v>
      </c>
    </row>
    <row r="12">
      <c r="A12" s="2">
        <f>'RSR Table - No PHI'!L12</f>
        <v>44543</v>
      </c>
      <c r="B12" s="3">
        <f t="shared" si="1"/>
        <v>44549</v>
      </c>
      <c r="C12" s="4">
        <f>'RSR Table - No PHI'!E12</f>
        <v>96</v>
      </c>
      <c r="D12" s="4">
        <f>'RSR Table - No PHI'!D12</f>
        <v>96</v>
      </c>
      <c r="E12" s="4">
        <f>'RSR Table - No PHI'!G12+'RSR Table - No PHI'!F12</f>
        <v>1</v>
      </c>
      <c r="F12" s="4">
        <f>'RSR Table - No PHI'!I12</f>
        <v>0</v>
      </c>
      <c r="G12" s="5">
        <f t="shared" si="2"/>
        <v>0.01041666667</v>
      </c>
      <c r="I12" s="4" t="str">
        <f t="shared" si="3"/>
        <v>Mon</v>
      </c>
    </row>
    <row r="13">
      <c r="A13" s="4" t="str">
        <f>'RSR Table - No PHI'!L13</f>
        <v/>
      </c>
      <c r="B13" s="4" t="str">
        <f>'RSR Table - No PHI'!M13</f>
        <v/>
      </c>
      <c r="G13" s="6"/>
    </row>
    <row r="14">
      <c r="A14" s="4" t="str">
        <f>'RSR Table - No PHI'!L14</f>
        <v/>
      </c>
      <c r="B14" s="4" t="str">
        <f>'RSR Table - No PHI'!M14</f>
        <v/>
      </c>
      <c r="G14" s="6"/>
    </row>
    <row r="15">
      <c r="G15" s="6"/>
    </row>
    <row r="16">
      <c r="G16" s="6"/>
    </row>
    <row r="17">
      <c r="G17" s="6"/>
    </row>
    <row r="18">
      <c r="G18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.75"/>
    <col customWidth="1" min="3" max="3" width="18.88"/>
    <col customWidth="1" min="4" max="4" width="12.25"/>
    <col customWidth="1" min="5" max="5" width="11.5"/>
    <col customWidth="1" min="6" max="6" width="9.5"/>
    <col customWidth="1" min="7" max="7" width="10.63"/>
    <col customWidth="1" min="8" max="8" width="12.5"/>
    <col customWidth="1" min="9" max="9" width="12.88"/>
    <col customWidth="1" min="10" max="10" width="10.63"/>
    <col customWidth="1" min="11" max="11" width="21.63"/>
    <col customWidth="1" min="12" max="13" width="11.88"/>
    <col customWidth="1" min="14" max="14" width="15.0"/>
    <col customWidth="1" min="15" max="19" width="18.88"/>
  </cols>
  <sheetData>
    <row r="1" ht="29.25" customHeight="1">
      <c r="A1" s="7" t="s">
        <v>4</v>
      </c>
      <c r="B1" s="7"/>
      <c r="C1" s="7" t="s">
        <v>5</v>
      </c>
      <c r="D1" s="8" t="s">
        <v>6</v>
      </c>
      <c r="E1" s="8" t="s">
        <v>7</v>
      </c>
      <c r="F1" s="8" t="s">
        <v>8</v>
      </c>
      <c r="G1" s="8" t="s">
        <v>9</v>
      </c>
      <c r="H1" s="8" t="s">
        <v>10</v>
      </c>
      <c r="I1" s="8" t="s">
        <v>11</v>
      </c>
      <c r="J1" s="8" t="s">
        <v>12</v>
      </c>
      <c r="K1" s="7" t="s">
        <v>13</v>
      </c>
      <c r="L1" s="9" t="s">
        <v>14</v>
      </c>
      <c r="M1" s="9" t="s">
        <v>15</v>
      </c>
      <c r="O1" s="10"/>
      <c r="P1" s="10"/>
    </row>
    <row r="2">
      <c r="A2" s="11">
        <v>44477.423659479166</v>
      </c>
      <c r="C2" s="12" t="s">
        <v>16</v>
      </c>
      <c r="D2" s="12">
        <v>87.0</v>
      </c>
      <c r="E2" s="12">
        <v>87.0</v>
      </c>
      <c r="F2" s="12">
        <v>0.0</v>
      </c>
      <c r="G2" s="12">
        <v>0.0</v>
      </c>
      <c r="H2" s="12">
        <v>0.0</v>
      </c>
      <c r="I2" s="12">
        <v>0.0</v>
      </c>
      <c r="J2" s="12" t="s">
        <v>17</v>
      </c>
      <c r="K2" s="12" t="s">
        <v>18</v>
      </c>
      <c r="L2" s="13">
        <v>44473.0</v>
      </c>
      <c r="M2" s="13">
        <v>44477.0</v>
      </c>
      <c r="O2" s="4" t="str">
        <f t="shared" ref="O2:O12" si="1">TEXT(L2,"ddd")</f>
        <v>Mon</v>
      </c>
    </row>
    <row r="3">
      <c r="A3" s="11">
        <v>44484.35245481481</v>
      </c>
      <c r="C3" s="12" t="s">
        <v>19</v>
      </c>
      <c r="D3" s="12">
        <v>79.0</v>
      </c>
      <c r="E3" s="12">
        <v>79.0</v>
      </c>
      <c r="F3" s="12">
        <v>0.0</v>
      </c>
      <c r="G3" s="12">
        <v>0.0</v>
      </c>
      <c r="H3" s="12">
        <v>0.0</v>
      </c>
      <c r="I3" s="12">
        <v>0.0</v>
      </c>
      <c r="J3" s="12" t="s">
        <v>20</v>
      </c>
      <c r="K3" s="12" t="s">
        <v>21</v>
      </c>
      <c r="L3" s="13">
        <v>44480.0</v>
      </c>
      <c r="M3" s="13">
        <v>44484.0</v>
      </c>
      <c r="O3" s="4" t="str">
        <f t="shared" si="1"/>
        <v>Mon</v>
      </c>
    </row>
    <row r="4">
      <c r="A4" s="11">
        <v>44491.468983819446</v>
      </c>
      <c r="C4" s="12" t="s">
        <v>19</v>
      </c>
      <c r="D4" s="12">
        <v>67.0</v>
      </c>
      <c r="E4" s="12">
        <v>67.0</v>
      </c>
      <c r="F4" s="12">
        <v>0.0</v>
      </c>
      <c r="G4" s="12">
        <v>0.0</v>
      </c>
      <c r="H4" s="12">
        <v>0.0</v>
      </c>
      <c r="I4" s="12">
        <v>0.0</v>
      </c>
      <c r="J4" s="12" t="s">
        <v>20</v>
      </c>
      <c r="K4" s="12" t="s">
        <v>22</v>
      </c>
      <c r="L4" s="13">
        <v>44487.0</v>
      </c>
      <c r="M4" s="13">
        <v>44491.0</v>
      </c>
      <c r="O4" s="4" t="str">
        <f t="shared" si="1"/>
        <v>Mon</v>
      </c>
    </row>
    <row r="5">
      <c r="A5" s="11">
        <v>44498.39296537037</v>
      </c>
      <c r="C5" s="12" t="s">
        <v>19</v>
      </c>
      <c r="D5" s="12">
        <v>60.0</v>
      </c>
      <c r="E5" s="12">
        <v>60.0</v>
      </c>
      <c r="F5" s="12">
        <v>0.0</v>
      </c>
      <c r="G5" s="12">
        <v>0.0</v>
      </c>
      <c r="H5" s="12">
        <v>0.0</v>
      </c>
      <c r="I5" s="12">
        <v>0.0</v>
      </c>
      <c r="J5" s="12" t="s">
        <v>20</v>
      </c>
      <c r="K5" s="12" t="s">
        <v>23</v>
      </c>
      <c r="L5" s="13">
        <v>44494.0</v>
      </c>
      <c r="M5" s="13">
        <v>44498.0</v>
      </c>
      <c r="O5" s="4" t="str">
        <f t="shared" si="1"/>
        <v>Mon</v>
      </c>
    </row>
    <row r="6">
      <c r="A6" s="11">
        <v>44505.63235295139</v>
      </c>
      <c r="C6" s="12" t="s">
        <v>19</v>
      </c>
      <c r="D6" s="12">
        <v>72.0</v>
      </c>
      <c r="E6" s="12">
        <v>72.0</v>
      </c>
      <c r="F6" s="12">
        <v>0.0</v>
      </c>
      <c r="G6" s="12">
        <v>0.0</v>
      </c>
      <c r="H6" s="12">
        <v>0.0</v>
      </c>
      <c r="I6" s="12">
        <v>0.0</v>
      </c>
      <c r="J6" s="12" t="s">
        <v>20</v>
      </c>
      <c r="K6" s="12" t="s">
        <v>24</v>
      </c>
      <c r="L6" s="13">
        <v>44501.0</v>
      </c>
      <c r="M6" s="13">
        <v>44505.0</v>
      </c>
      <c r="O6" s="4" t="str">
        <f t="shared" si="1"/>
        <v>Mon</v>
      </c>
    </row>
    <row r="7">
      <c r="A7" s="11">
        <v>44512.52053271991</v>
      </c>
      <c r="C7" s="12" t="s">
        <v>19</v>
      </c>
      <c r="D7" s="12">
        <v>62.0</v>
      </c>
      <c r="E7" s="12">
        <v>62.0</v>
      </c>
      <c r="F7" s="12">
        <v>0.0</v>
      </c>
      <c r="G7" s="12">
        <v>0.0</v>
      </c>
      <c r="H7" s="12">
        <v>0.0</v>
      </c>
      <c r="I7" s="12">
        <v>0.0</v>
      </c>
      <c r="J7" s="12" t="s">
        <v>20</v>
      </c>
      <c r="K7" s="12" t="s">
        <v>25</v>
      </c>
      <c r="L7" s="13">
        <v>44508.0</v>
      </c>
      <c r="M7" s="13">
        <v>44512.0</v>
      </c>
      <c r="O7" s="4" t="str">
        <f t="shared" si="1"/>
        <v>Mon</v>
      </c>
    </row>
    <row r="8">
      <c r="A8" s="11">
        <v>44519.46420659722</v>
      </c>
      <c r="C8" s="12" t="s">
        <v>19</v>
      </c>
      <c r="D8" s="12">
        <v>75.0</v>
      </c>
      <c r="E8" s="12">
        <v>75.0</v>
      </c>
      <c r="F8" s="12">
        <v>0.0</v>
      </c>
      <c r="G8" s="12">
        <v>0.0</v>
      </c>
      <c r="H8" s="12">
        <v>0.0</v>
      </c>
      <c r="I8" s="12">
        <v>0.0</v>
      </c>
      <c r="J8" s="12" t="s">
        <v>20</v>
      </c>
      <c r="K8" s="12" t="s">
        <v>26</v>
      </c>
      <c r="L8" s="13">
        <v>44515.0</v>
      </c>
      <c r="M8" s="13">
        <v>44519.0</v>
      </c>
      <c r="O8" s="4" t="str">
        <f t="shared" si="1"/>
        <v>Mon</v>
      </c>
    </row>
    <row r="9">
      <c r="A9" s="11">
        <v>44526.2075109838</v>
      </c>
      <c r="C9" s="12" t="s">
        <v>19</v>
      </c>
      <c r="D9" s="12">
        <v>35.0</v>
      </c>
      <c r="E9" s="12">
        <v>35.0</v>
      </c>
      <c r="F9" s="12">
        <v>0.0</v>
      </c>
      <c r="G9" s="12">
        <v>0.0</v>
      </c>
      <c r="H9" s="12">
        <v>0.0</v>
      </c>
      <c r="I9" s="12">
        <v>0.0</v>
      </c>
      <c r="J9" s="12" t="s">
        <v>20</v>
      </c>
      <c r="K9" s="12" t="s">
        <v>27</v>
      </c>
      <c r="L9" s="13">
        <v>44522.0</v>
      </c>
      <c r="M9" s="13">
        <v>44526.0</v>
      </c>
      <c r="O9" s="4" t="str">
        <f t="shared" si="1"/>
        <v>Mon</v>
      </c>
    </row>
    <row r="10">
      <c r="A10" s="11">
        <v>44533.50306721065</v>
      </c>
      <c r="C10" s="12" t="s">
        <v>28</v>
      </c>
      <c r="D10" s="12">
        <v>65.0</v>
      </c>
      <c r="E10" s="12">
        <v>65.0</v>
      </c>
      <c r="F10" s="12">
        <v>0.0</v>
      </c>
      <c r="G10" s="12">
        <v>0.0</v>
      </c>
      <c r="H10" s="12">
        <v>0.0</v>
      </c>
      <c r="I10" s="12">
        <v>0.0</v>
      </c>
      <c r="J10" s="12" t="s">
        <v>20</v>
      </c>
      <c r="K10" s="12" t="s">
        <v>29</v>
      </c>
      <c r="L10" s="13">
        <v>44529.0</v>
      </c>
      <c r="M10" s="13">
        <v>44533.0</v>
      </c>
      <c r="O10" s="4" t="str">
        <f t="shared" si="1"/>
        <v>Mon</v>
      </c>
    </row>
    <row r="11">
      <c r="A11" s="11">
        <v>44540.44782784722</v>
      </c>
      <c r="C11" s="12" t="s">
        <v>19</v>
      </c>
      <c r="D11" s="12">
        <v>87.0</v>
      </c>
      <c r="E11" s="12">
        <v>87.0</v>
      </c>
      <c r="F11" s="12">
        <v>0.0</v>
      </c>
      <c r="G11" s="12">
        <v>0.0</v>
      </c>
      <c r="H11" s="12">
        <v>0.0</v>
      </c>
      <c r="I11" s="12">
        <v>0.0</v>
      </c>
      <c r="J11" s="12" t="s">
        <v>20</v>
      </c>
      <c r="K11" s="12" t="s">
        <v>30</v>
      </c>
      <c r="L11" s="13">
        <v>44536.0</v>
      </c>
      <c r="M11" s="13">
        <v>44540.0</v>
      </c>
      <c r="O11" s="4" t="str">
        <f t="shared" si="1"/>
        <v>Mon</v>
      </c>
    </row>
    <row r="12">
      <c r="A12" s="11">
        <v>44547.40935001157</v>
      </c>
      <c r="C12" s="12" t="s">
        <v>31</v>
      </c>
      <c r="D12" s="12">
        <v>96.0</v>
      </c>
      <c r="E12" s="12">
        <v>96.0</v>
      </c>
      <c r="F12" s="12">
        <v>1.0</v>
      </c>
      <c r="G12" s="12">
        <v>0.0</v>
      </c>
      <c r="H12" s="12">
        <v>1.0</v>
      </c>
      <c r="I12" s="12">
        <v>0.0</v>
      </c>
      <c r="J12" s="12" t="s">
        <v>20</v>
      </c>
      <c r="K12" s="12" t="s">
        <v>32</v>
      </c>
      <c r="L12" s="13">
        <v>44543.0</v>
      </c>
      <c r="M12" s="13">
        <v>44547.0</v>
      </c>
      <c r="O12" s="4" t="str">
        <f t="shared" si="1"/>
        <v>Mon</v>
      </c>
    </row>
    <row r="14">
      <c r="C14" s="10" t="s">
        <v>33</v>
      </c>
      <c r="D14" s="14">
        <f t="shared" ref="D14:I14" si="2">SUM(D2:D12)</f>
        <v>785</v>
      </c>
      <c r="E14" s="14">
        <f t="shared" si="2"/>
        <v>785</v>
      </c>
      <c r="F14" s="14">
        <f t="shared" si="2"/>
        <v>1</v>
      </c>
      <c r="G14" s="14">
        <f t="shared" si="2"/>
        <v>0</v>
      </c>
      <c r="H14" s="14">
        <f t="shared" si="2"/>
        <v>1</v>
      </c>
      <c r="I14" s="14">
        <f t="shared" si="2"/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3" width="18.88"/>
    <col customWidth="1" min="4" max="4" width="9.63"/>
    <col customWidth="1" min="5" max="5" width="9.25"/>
    <col customWidth="1" min="6" max="6" width="9.5"/>
    <col customWidth="1" min="7" max="7" width="10.13"/>
    <col customWidth="1" min="8" max="8" width="12.5"/>
    <col customWidth="1" min="9" max="9" width="12.88"/>
    <col customWidth="1" min="10" max="10" width="10.63"/>
    <col customWidth="1" min="11" max="11" width="19.5"/>
    <col customWidth="1" min="12" max="19" width="18.88"/>
  </cols>
  <sheetData>
    <row r="1" ht="29.25" customHeight="1">
      <c r="A1" s="14" t="s">
        <v>4</v>
      </c>
      <c r="B1" s="14" t="s">
        <v>34</v>
      </c>
      <c r="C1" s="15" t="s">
        <v>35</v>
      </c>
      <c r="D1" s="15" t="s">
        <v>36</v>
      </c>
      <c r="E1" s="15" t="s">
        <v>37</v>
      </c>
      <c r="F1" s="16" t="s">
        <v>8</v>
      </c>
      <c r="G1" s="16" t="s">
        <v>9</v>
      </c>
      <c r="H1" s="16" t="s">
        <v>38</v>
      </c>
      <c r="I1" s="16" t="s">
        <v>11</v>
      </c>
      <c r="J1" s="15" t="s">
        <v>39</v>
      </c>
      <c r="K1" s="14" t="s">
        <v>13</v>
      </c>
      <c r="L1" s="14"/>
      <c r="M1" s="14"/>
    </row>
    <row r="2">
      <c r="A2" s="4" t="s">
        <v>4</v>
      </c>
      <c r="B2" s="4" t="s">
        <v>34</v>
      </c>
      <c r="C2" s="4" t="s">
        <v>5</v>
      </c>
      <c r="D2" s="4" t="s">
        <v>40</v>
      </c>
      <c r="E2" s="12" t="s">
        <v>41</v>
      </c>
      <c r="F2" s="4" t="s">
        <v>42</v>
      </c>
      <c r="G2" s="12" t="s">
        <v>43</v>
      </c>
      <c r="H2" s="4" t="s">
        <v>44</v>
      </c>
      <c r="I2" s="4" t="s">
        <v>45</v>
      </c>
      <c r="J2" s="4" t="s">
        <v>46</v>
      </c>
      <c r="K2" s="4" t="s">
        <v>13</v>
      </c>
      <c r="L2" s="12" t="s">
        <v>14</v>
      </c>
      <c r="M2" s="12" t="s">
        <v>15</v>
      </c>
      <c r="O2" s="12" t="s">
        <v>47</v>
      </c>
      <c r="P2" s="12" t="s">
        <v>48</v>
      </c>
    </row>
    <row r="3">
      <c r="A3" s="11">
        <v>44477.423659479166</v>
      </c>
      <c r="C3" s="12" t="s">
        <v>49</v>
      </c>
      <c r="D3" s="12">
        <v>87.0</v>
      </c>
      <c r="E3" s="12">
        <v>87.0</v>
      </c>
      <c r="F3" s="12">
        <v>0.0</v>
      </c>
      <c r="G3" s="12">
        <v>0.0</v>
      </c>
      <c r="H3" s="12">
        <v>0.0</v>
      </c>
      <c r="I3" s="12">
        <v>0.0</v>
      </c>
      <c r="J3" s="12" t="s">
        <v>17</v>
      </c>
      <c r="K3" s="12" t="s">
        <v>18</v>
      </c>
      <c r="L3" s="17">
        <v>44473.0</v>
      </c>
      <c r="M3" s="17">
        <v>44477.0</v>
      </c>
      <c r="O3" s="12" t="b">
        <v>1</v>
      </c>
      <c r="P3" s="12" t="s">
        <v>50</v>
      </c>
    </row>
    <row r="4">
      <c r="A4" s="11">
        <v>44484.35245481481</v>
      </c>
      <c r="C4" s="12" t="s">
        <v>51</v>
      </c>
      <c r="D4" s="12">
        <v>79.0</v>
      </c>
      <c r="E4" s="12">
        <v>79.0</v>
      </c>
      <c r="F4" s="12">
        <v>0.0</v>
      </c>
      <c r="G4" s="12">
        <v>0.0</v>
      </c>
      <c r="H4" s="12">
        <v>0.0</v>
      </c>
      <c r="I4" s="12">
        <v>0.0</v>
      </c>
      <c r="J4" s="12" t="s">
        <v>20</v>
      </c>
      <c r="K4" s="12" t="s">
        <v>21</v>
      </c>
      <c r="L4" s="17">
        <v>44480.0</v>
      </c>
      <c r="M4" s="17">
        <v>44484.0</v>
      </c>
      <c r="O4" s="12" t="b">
        <v>1</v>
      </c>
      <c r="P4" s="12" t="s">
        <v>50</v>
      </c>
    </row>
    <row r="5">
      <c r="A5" s="11">
        <v>44491.468983819446</v>
      </c>
      <c r="C5" s="12" t="s">
        <v>19</v>
      </c>
      <c r="D5" s="12">
        <v>67.0</v>
      </c>
      <c r="E5" s="12">
        <v>67.0</v>
      </c>
      <c r="F5" s="12">
        <v>0.0</v>
      </c>
      <c r="G5" s="12">
        <v>0.0</v>
      </c>
      <c r="H5" s="12">
        <v>0.0</v>
      </c>
      <c r="I5" s="12">
        <v>0.0</v>
      </c>
      <c r="J5" s="12" t="s">
        <v>20</v>
      </c>
      <c r="K5" s="12" t="s">
        <v>22</v>
      </c>
      <c r="L5" s="17">
        <v>44487.0</v>
      </c>
      <c r="M5" s="17">
        <v>44491.0</v>
      </c>
      <c r="O5" s="12" t="b">
        <v>1</v>
      </c>
      <c r="P5" s="12" t="s">
        <v>50</v>
      </c>
    </row>
    <row r="6">
      <c r="A6" s="11">
        <v>44498.39296537037</v>
      </c>
      <c r="C6" s="12" t="s">
        <v>19</v>
      </c>
      <c r="D6" s="12">
        <v>60.0</v>
      </c>
      <c r="E6" s="12">
        <v>60.0</v>
      </c>
      <c r="F6" s="12">
        <v>0.0</v>
      </c>
      <c r="G6" s="12">
        <v>0.0</v>
      </c>
      <c r="H6" s="12">
        <v>0.0</v>
      </c>
      <c r="I6" s="12">
        <v>0.0</v>
      </c>
      <c r="J6" s="12" t="s">
        <v>20</v>
      </c>
      <c r="K6" s="12" t="s">
        <v>23</v>
      </c>
      <c r="L6" s="17">
        <v>44494.0</v>
      </c>
      <c r="M6" s="17">
        <v>44498.0</v>
      </c>
      <c r="O6" s="12" t="b">
        <v>1</v>
      </c>
      <c r="P6" s="12" t="s">
        <v>50</v>
      </c>
    </row>
    <row r="7">
      <c r="A7" s="11">
        <v>44505.63235295139</v>
      </c>
      <c r="C7" s="12" t="s">
        <v>19</v>
      </c>
      <c r="D7" s="12">
        <v>72.0</v>
      </c>
      <c r="E7" s="12">
        <v>72.0</v>
      </c>
      <c r="F7" s="12">
        <v>0.0</v>
      </c>
      <c r="G7" s="12">
        <v>0.0</v>
      </c>
      <c r="H7" s="12">
        <v>0.0</v>
      </c>
      <c r="I7" s="12">
        <v>0.0</v>
      </c>
      <c r="J7" s="12" t="s">
        <v>20</v>
      </c>
      <c r="K7" s="12" t="s">
        <v>24</v>
      </c>
      <c r="L7" s="17">
        <v>44501.0</v>
      </c>
      <c r="M7" s="17">
        <v>44505.0</v>
      </c>
      <c r="O7" s="12" t="b">
        <v>1</v>
      </c>
      <c r="P7" s="12" t="s">
        <v>50</v>
      </c>
    </row>
    <row r="8">
      <c r="A8" s="11">
        <v>44512.52053271991</v>
      </c>
      <c r="C8" s="12" t="s">
        <v>19</v>
      </c>
      <c r="D8" s="12">
        <v>62.0</v>
      </c>
      <c r="E8" s="12">
        <v>62.0</v>
      </c>
      <c r="F8" s="12">
        <v>0.0</v>
      </c>
      <c r="G8" s="12">
        <v>0.0</v>
      </c>
      <c r="H8" s="12">
        <v>0.0</v>
      </c>
      <c r="I8" s="12">
        <v>0.0</v>
      </c>
      <c r="J8" s="12" t="s">
        <v>20</v>
      </c>
      <c r="K8" s="12" t="s">
        <v>25</v>
      </c>
      <c r="L8" s="17">
        <v>44508.0</v>
      </c>
      <c r="M8" s="17">
        <v>44512.0</v>
      </c>
      <c r="O8" s="12" t="b">
        <v>1</v>
      </c>
      <c r="P8" s="12" t="s">
        <v>50</v>
      </c>
    </row>
    <row r="9">
      <c r="A9" s="11">
        <v>44519.46420659722</v>
      </c>
      <c r="C9" s="12" t="s">
        <v>19</v>
      </c>
      <c r="D9" s="12">
        <v>75.0</v>
      </c>
      <c r="E9" s="12">
        <v>75.0</v>
      </c>
      <c r="F9" s="12">
        <v>0.0</v>
      </c>
      <c r="G9" s="12">
        <v>0.0</v>
      </c>
      <c r="H9" s="12">
        <v>0.0</v>
      </c>
      <c r="I9" s="12">
        <v>0.0</v>
      </c>
      <c r="J9" s="12" t="s">
        <v>20</v>
      </c>
      <c r="K9" s="12" t="s">
        <v>26</v>
      </c>
      <c r="L9" s="17">
        <v>44515.0</v>
      </c>
      <c r="M9" s="17">
        <v>44519.0</v>
      </c>
      <c r="O9" s="12" t="b">
        <v>1</v>
      </c>
      <c r="P9" s="12" t="s">
        <v>50</v>
      </c>
    </row>
    <row r="10">
      <c r="A10" s="11">
        <v>44526.2075109838</v>
      </c>
      <c r="C10" s="12" t="s">
        <v>19</v>
      </c>
      <c r="D10" s="12">
        <v>35.0</v>
      </c>
      <c r="E10" s="12">
        <v>35.0</v>
      </c>
      <c r="F10" s="12">
        <v>0.0</v>
      </c>
      <c r="G10" s="12">
        <v>0.0</v>
      </c>
      <c r="H10" s="12">
        <v>0.0</v>
      </c>
      <c r="I10" s="12">
        <v>0.0</v>
      </c>
      <c r="J10" s="12" t="s">
        <v>20</v>
      </c>
      <c r="K10" s="12" t="s">
        <v>27</v>
      </c>
      <c r="L10" s="17">
        <v>44522.0</v>
      </c>
      <c r="M10" s="17">
        <v>44526.0</v>
      </c>
      <c r="O10" s="12" t="b">
        <v>1</v>
      </c>
      <c r="P10" s="12" t="s">
        <v>50</v>
      </c>
    </row>
    <row r="11">
      <c r="A11" s="11">
        <v>44533.50306721065</v>
      </c>
      <c r="C11" s="12" t="s">
        <v>28</v>
      </c>
      <c r="D11" s="12">
        <v>65.0</v>
      </c>
      <c r="E11" s="12">
        <v>65.0</v>
      </c>
      <c r="F11" s="12">
        <v>0.0</v>
      </c>
      <c r="G11" s="12">
        <v>0.0</v>
      </c>
      <c r="H11" s="12">
        <v>0.0</v>
      </c>
      <c r="I11" s="12">
        <v>0.0</v>
      </c>
      <c r="J11" s="12" t="s">
        <v>20</v>
      </c>
      <c r="K11" s="12" t="s">
        <v>29</v>
      </c>
      <c r="L11" s="17">
        <v>44529.0</v>
      </c>
      <c r="M11" s="17">
        <v>44533.0</v>
      </c>
      <c r="O11" s="12" t="b">
        <v>1</v>
      </c>
      <c r="P11" s="12" t="s">
        <v>50</v>
      </c>
    </row>
    <row r="12">
      <c r="A12" s="11">
        <v>44540.44782784722</v>
      </c>
      <c r="C12" s="12" t="s">
        <v>19</v>
      </c>
      <c r="D12" s="12">
        <v>87.0</v>
      </c>
      <c r="E12" s="12">
        <v>87.0</v>
      </c>
      <c r="F12" s="12">
        <v>0.0</v>
      </c>
      <c r="G12" s="12">
        <v>0.0</v>
      </c>
      <c r="H12" s="12">
        <v>0.0</v>
      </c>
      <c r="I12" s="12">
        <v>0.0</v>
      </c>
      <c r="J12" s="12" t="s">
        <v>20</v>
      </c>
      <c r="K12" s="12" t="s">
        <v>30</v>
      </c>
      <c r="L12" s="17">
        <v>44536.0</v>
      </c>
      <c r="M12" s="17">
        <v>44540.0</v>
      </c>
      <c r="O12" s="12" t="b">
        <v>1</v>
      </c>
      <c r="P12" s="12" t="s">
        <v>50</v>
      </c>
    </row>
    <row r="13">
      <c r="A13" s="11">
        <v>44547.40935001157</v>
      </c>
      <c r="C13" s="12" t="s">
        <v>31</v>
      </c>
      <c r="D13" s="12">
        <v>96.0</v>
      </c>
      <c r="E13" s="12">
        <v>96.0</v>
      </c>
      <c r="F13" s="12">
        <v>1.0</v>
      </c>
      <c r="G13" s="12">
        <v>0.0</v>
      </c>
      <c r="H13" s="12">
        <v>1.0</v>
      </c>
      <c r="I13" s="12">
        <v>0.0</v>
      </c>
      <c r="J13" s="12" t="s">
        <v>20</v>
      </c>
      <c r="K13" s="12" t="s">
        <v>32</v>
      </c>
      <c r="L13" s="17">
        <v>44543.0</v>
      </c>
      <c r="M13" s="17">
        <v>44547.0</v>
      </c>
      <c r="O13" s="12" t="b">
        <v>1</v>
      </c>
      <c r="P13" s="12" t="s">
        <v>50</v>
      </c>
    </row>
  </sheetData>
  <drawing r:id="rId1"/>
</worksheet>
</file>