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5"/>
    <sheet state="visible" name="REF Weekly" sheetId="2" r:id="rId6"/>
    <sheet state="visible" name="Pos and Incl" sheetId="3" r:id="rId7"/>
    <sheet state="visible" name="preDEL" sheetId="4" r:id="rId8"/>
    <sheet state="visible" name="filterDEL" sheetId="5" r:id="rId9"/>
    <sheet state="visible" name="postDEL" sheetId="6" r:id="rId10"/>
    <sheet state="visible" name="Person" sheetId="7" r:id="rId11"/>
    <sheet state="visible" name="APS Tubes" sheetId="8" r:id="rId12"/>
    <sheet state="visible" name="APS Tubes by Date" sheetId="9" r:id="rId13"/>
    <sheet state="visible" name="RAW_APS" sheetId="10" r:id="rId14"/>
    <sheet state="visible" name="RAW_APT" sheetId="11" r:id="rId15"/>
    <sheet state="visible" name="Add from APT" sheetId="12" r:id="rId16"/>
    <sheet state="visible" name="Reps RAW_APS" sheetId="13" r:id="rId17"/>
    <sheet state="visible" name="Process" sheetId="14" r:id="rId18"/>
    <sheet state="visible" name="F" sheetId="15" r:id="rId19"/>
    <sheet state="visible" name="Rollup" sheetId="16" r:id="rId20"/>
  </sheets>
  <definedNames>
    <definedName name="nondeleteRange">#REF!</definedName>
    <definedName hidden="1" localSheetId="3" name="_xlnm._FilterDatabase">preDEL!$AK$1:$AK$264</definedName>
    <definedName hidden="1" localSheetId="2" name="Z_65E07285_1442_4B52_8165_CF0D15ADC43A_.wvu.FilterData">'Pos and Incl'!$U$1:$U$4717</definedName>
    <definedName hidden="1" localSheetId="2" name="Z_FD99B3D0_B602_4449_AA5B_B0ACB44E4FD6_.wvu.FilterData">'Pos and Incl'!$A$1:$Y$4717</definedName>
  </definedNames>
  <calcPr/>
  <customWorkbookViews>
    <customWorkbookView activeSheetId="0" maximized="1" windowHeight="0" windowWidth="0" guid="{65E07285-1442-4B52-8165-CF0D15ADC43A}" name="Filter 2"/>
    <customWorkbookView activeSheetId="0" maximized="1" windowHeight="0" windowWidth="0" guid="{FD99B3D0-B602-4449-AA5B-B0ACB44E4FD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6">
      <text>
        <t xml:space="preserve">denom zero
</t>
      </text>
    </comment>
    <comment authorId="0" ref="A47">
      <text>
        <t xml:space="preserve">denom zero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MUST BE SORTED such that Tube IDs appear together</t>
      </text>
    </comment>
    <comment authorId="0" ref="T1">
      <text>
        <t xml:space="preserve">this is equal to the number of new names added from notes and is present for all rows for that tube</t>
      </text>
    </comment>
    <comment authorId="0" ref="X1">
      <text>
        <t xml:space="preserve">Conditional Formatting:
Text contains ERROR - red fill
Text does not contain ERROR - green fill</t>
      </text>
    </comment>
    <comment authorId="0" ref="Y1">
      <text>
        <t xml:space="preserve">MUST BE SORTED by TUBE ID
paste as values and clear pink fill
=AND(NOT($R2),$T2)
R is First Row? col
T is Add N Names col
</t>
      </text>
    </comment>
    <comment authorId="0" ref="AB1">
      <text>
        <t xml:space="preserve">delete the Notes values by default except for these exceptions which contain helpful info such as referral testing, must DeID any names in Notes</t>
      </text>
    </comment>
    <comment authorId="0" ref="AC1">
      <text>
        <t xml:space="preserve">=ROW(AC2)-1</t>
      </text>
    </comment>
    <comment authorId="0" ref="AE1">
      <text>
        <t xml:space="preserve">Will be blank if resulted on different day or if no day or time for either collection or result</t>
      </text>
    </comment>
    <comment authorId="0" ref="AF1">
      <text>
        <t xml:space="preserve">MUST BE SORTED BY TUBE ID
=OR(AND($AG2,$AG3,EXACT($A2,$A3),NOT(EXACT(CONCATENATE($B2,$C2),CONCATENATE($B3,$C3)))),AND($AG2,$AG1,EXACT($A2,$A1),NOT(EXACT(CONCATENATE($B2,$C2),CONCATENATE($B1,$C1)))))
CONDITIONAL FORMATTING
Text Contains
ERROR
Red fill
OLD FORMULA THAT IGNORES DELETED
Only sets one sample of pool as TRUE
=OR(AND(EXACT($A2,$A3),NOT(EXACT(CONCATENATE($B2,$C2),CONCATENATE($B3,$C3)))),AND(EXACT($A2,$A1),NOT(EXACT(CONCATENATE($B2,$C2),CONCATENATE($B1,$C1)))))</t>
      </text>
    </comment>
    <comment authorId="0" ref="AH1">
      <text>
        <t xml:space="preserve">1	Tube ID blank
1.1	Duplicate TubeID conclude mistake and delete
2	In Delete Tube ID Prefix List
2.1	Non Std Prefix, Suspected Test
2.2	FL Staff, many same day tubes
2.3	FL Staff Sponsor and Participant
2.4	FL Staff No Participant, No Note
2.5	Bogus Participant Name
2.6	Participant Same Day review
2.7	Collection and Result times right after indicates test
2.8	Non Std Prefix and Result=Fail
3	In Delete Sponsor List
4	Note indicates test
4.1	Note indicates erroneous tube
4.2	Note states other participants added as Note Names
5.1	Positive result FL Staff sponsor and Participant
5.2	Null Result, FL Staff sponsor
5.3	Null Result, Replicate Tube ID - other replicate kept, add del to Tube ID
5.4	Null Result, Incomplete Status, Unique Tube ID
5.5	Null Result, No Participant, Minor or Note
6	Duplicate Minor row
7	Replicate Tube ID
7.1	Replicate Tube ID - Extra Note Name Add Error
7.2	Replicate Tube ID - recollected, add del to end of Tube ID (not NULL result)
7.3	Replicate Tube IDs - Null results, all deleted
7.4	Replicate Tube ID - different participant email address
7.5	
8	Pos Control
8.1	Saliva sample
9	No Collection Date, Null result
9.1	Null, delete in Reconcile w RFR
9.2	Null, suspected corrupt APS Raw row - see note
9.3	Not in LUM
9.4  Conclude never run - result date much later and missing from RFR audit
20	Internal sync specific - see notes for program
21	Internal sync specific - see notes for program
22	Internal sync specific - see notes for program</t>
      </text>
    </comment>
    <comment authorId="0" ref="AI1">
      <text>
        <t xml:space="preserve">1.3	Replicate TubeID but conclude different tubes, add x or a,b,c
1.4	Tube ID field blank - add BLANK1, 2, 3 ,etc if marked for deletion
1.5	Replicate Tube ID and participant in other tube on same day, add "de" to Tube ID and also mark for deletion (1.1)
1.6	Tube ID Replicate with lowercase, make uppercase and add suffix a
4	Recollect - fix collection timestamp, sponsor
4.1	Capitalize TubeID prefix
4.2	Removed Space
4.3	Add to Collection - same day same sponsor, add later people to early time that is resulted
5	For Review, Highlight
5.1	FL Staff Remote Collected
6	Fix spelling error in name
6.1	Blank first name, move last name to first name
7	sponsor copied to empty participant
8	incorrect nested minor, move from Minor cols to Participant Cols
9	uncollected person in participant col, remove name there and add Note Name
10	modify app group - see correction notes</t>
      </text>
    </comment>
    <comment authorId="0" ref="AJ1">
      <text>
        <t xml:space="preserve">2	Null to Neg to reconcile run tube count
2.1	Null to Neg for recollect
2.2	Null to Neg with no RFR or other info
2.5	 Inconclusive to Negative based on RFR Audit
2.7	Pos to Neg based on RFR - checked image and entire batch mis-called
3	Null to Pos
3.1	Null to Pos for recollect
4	Null to Inconclusive
4.1	Negative to Inconclusive based  on RFR Audit and LUM
5	MANUAL - See Correction Note</t>
      </text>
    </comment>
    <comment authorId="0" ref="AK1">
      <text>
        <t xml:space="preserve">add other code/result in pairs</t>
      </text>
    </comment>
    <comment authorId="0" ref="AM1">
      <text>
        <t xml:space="preserve">=IF(EXACT(AO2,"DELETED"),"DELETED", VLOOKUP(AO2,Person!AK$2:AO,5,FALSE))</t>
      </text>
    </comment>
    <comment authorId="0" ref="AN1">
      <text>
        <t xml:space="preserve">=IF(EXACT(AR2,"DELETED"),"DELETED", VLOOKUP(AR2,Person!C$2:E,3,FALSE))
</t>
      </text>
    </comment>
    <comment authorId="0" ref="AT1">
      <text>
        <t xml:space="preserve">Only gives ERROR if row is not deleted
Conditional Formatting:
Text contains ERROR - red fill
Text does not contain ERROR - green fill</t>
      </text>
    </comment>
    <comment authorId="0" ref="AW1">
      <text>
        <t xml:space="preserve">=IF(ISBLANK($U2),IF(ISBLANK($V2),IFERROR(0/0),2),1)</t>
      </text>
    </comment>
    <comment authorId="0" ref="AX1">
      <text>
        <t xml:space="preserve">MUST HAVE SORT by Tube ID + Note Firstname
so that Note Name samples are at the bottom of list for a tube, and the formula will not give a 1 for that last sample in the tube when it's a note name as well
</t>
      </text>
    </comment>
    <comment authorId="0" ref="BA1">
      <text>
        <t xml:space="preserve">UPPER check
=IF(AG2,IFERROR(0/0),IF(EXACT(UPPER(A2),A2),IFERROR(0/0),TRUE))
Deleted with Note Name
=IF(AND(AG2,X2),TRUE,IFERROR(0/0))</t>
      </text>
    </comment>
    <comment authorId="0" ref="BB1">
      <text>
        <t xml:space="preserve">paste as values and put formula in note</t>
      </text>
    </comment>
    <comment authorId="0" ref="BC1">
      <text>
        <t xml:space="preserve">paste as values and put formula in note</t>
      </text>
    </comment>
    <comment authorId="0" ref="BG1">
      <text>
        <t xml:space="preserve">Timestamp
=IF($AG60,IFERROR(0/0),CONCATENATE($A60,"__",$B60,"_",$C60))
Samecols
=IF($AG2,IFERROR(0/0),CONCATENATE($A2,"__",$B2,"_",$C2,"_",$D2,"_",$E2,"_",$K2,"_",$L2,"_",$M2,"_",$O2))</t>
      </text>
    </comment>
    <comment authorId="0" ref="BH1">
      <text>
        <t xml:space="preserve">=IF(ISBLANK(IFERROR(MATCH(LEFT(BP2, FIND("__",BP2)-1),BN$2:BN,0))),IFERROR(0/0),TRUE)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=CONCATENATE(Process!$A$1,F2)</t>
      </text>
    </comment>
    <comment authorId="0" ref="F1">
      <text>
        <t xml:space="preserve">FORMULA BELOW then PASTE AS VALUES
=RANDBETWEEN(100000, 999999)
HEADER
=CONCATENATE(IF(COUNTA(UNIQUE(F2:F))=COUNTA(F2:F),"OK UNIQUE - ","ERROR! REPEATS - "), "Participant ID Number")
</t>
      </text>
    </comment>
    <comment authorId="0" ref="I1">
      <text>
        <t xml:space="preserve">reason for assigning person to HH
0 no HH info
1  accounts csv
2.1 same last name, has Appivo account
2.2 same last name, note name (no Appivo account)
2.3 nested minor, minor or guardian
2.4 houshold relationship mentioned in collection note
3 APS collected together
4   RFR
5   RTR
5.1 Admin Communication
6 same consent form</t>
      </text>
    </comment>
    <comment authorId="0" ref="J1">
      <text>
        <t xml:space="preserve">Could be class name, Org Staff
Only enter if StaffFlag or StudentFlag checked in accounts csv</t>
      </text>
    </comment>
    <comment authorId="0" ref="L1">
      <text>
        <t xml:space="preserve">only entered from account csv</t>
      </text>
    </comment>
    <comment authorId="0" ref="M1">
      <text>
        <t xml:space="preserve">guardian
minor
hhadult
[blank] if don't know</t>
      </text>
    </comment>
    <comment authorId="0" ref="O1">
      <text>
        <t xml:space="preserve">Heirarchical (choose bottom most):
no sample and no appivo account
note name only
nested minor
edu email minor
participant only
sponsor
supersponsor
staff
admin</t>
      </text>
    </comment>
    <comment authorId="0" ref="S1">
      <text>
        <t xml:space="preserve">Y Appivo, N Appivo, PandaDoc, DocSend, Paper
include version #</t>
      </text>
    </comment>
    <comment authorId="0" ref="AO1">
      <text>
        <t xml:space="preserve">OLD formula
IF(COUNTBLANK(Y2:Y)=ROWS(Y2:Y),"ALL SPONSORS in Values","ERROR!! SPONSOR NOT IN VALUES")</t>
      </text>
    </comment>
    <comment authorId="0" ref="AQ1">
      <text>
        <t xml:space="preserve">=CONCATENATE("Sp",Process!$A$1,AR2)
</t>
      </text>
    </comment>
    <comment authorId="0" ref="AR1">
      <text>
        <t xml:space="preserve">FORMULA BELOW then PASTE AS VALUES
=RANDBETWEEN(100000, 999999)
HEADER
=CONCATENATE(IF(COUNTA(UNIQUE(AR2:AR))=COUNTA(AR2:AR),"OK UNIQUE - ","ERROR! REPEATS - "), "Participant ID Number")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=VLOOKUP($B2,'RFR Runs Import'!B$2:E,4,FALSE)</t>
      </text>
    </comment>
    <comment authorId="0" ref="P1">
      <text>
        <t xml:space="preserve">=IF(O2, VLOOKUP(B2,'RFR Runs Import'!B$2:E,3,FALSE),IFERROR(0/0))</t>
      </text>
    </comment>
    <comment authorId="0" ref="Q1">
      <text>
        <t xml:space="preserve">=IF(ISBLANK(P2), VLOOKUP(IF(N2,B2+1,B2),'RFR Runs Import'!B$2:E,3,FALSE),IFERROR(0/0))</t>
      </text>
    </comment>
    <comment authorId="0" ref="R1">
      <text>
        <t xml:space="preserve">=CONCATENATE(P2,Q2)</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=SORT(UNIQUE('APS Tubes PHI'!$B2:$B))</t>
      </text>
    </comment>
    <comment authorId="0" ref="B1">
      <text>
        <t xml:space="preserve">=COUNTUNIQUEIFS('APS Tubes PHI'!$A$2:$A,'APS Tubes PHI'!$B$2:$B,A2)</t>
      </text>
    </comment>
    <comment authorId="0" ref="I1">
      <text>
        <t xml:space="preserve">=SUM(F2:I2)</t>
      </text>
    </comment>
    <comment authorId="0" ref="J1">
      <text>
        <t xml:space="preserve">=IF(J2=C2,TRUE,FALSE)</t>
      </text>
    </comment>
    <comment authorId="0" ref="T1">
      <text>
        <t xml:space="preserve">=SORT(UNIQUE('APS Tubes PHI'!$I2:$I))</t>
      </text>
    </comment>
    <comment authorId="0" ref="U1">
      <text>
        <t xml:space="preserve">=COUNTUNIQUEIFS('APS Tubes PHI'!$A$2:$A,'APS Tubes PHI'!$I$2:$I,O2)</t>
      </text>
    </comment>
    <comment authorId="0" ref="AB1">
      <text>
        <t xml:space="preserve">=SUM(F2:I2)</t>
      </text>
    </comment>
    <comment authorId="0" ref="AC1">
      <text>
        <t xml:space="preserve">=IF(J2=C2,TRUE,FALSE)</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=RAW_APT!A3</t>
      </text>
    </comment>
    <comment authorId="0" ref="B1">
      <text>
        <t xml:space="preserve">=RAW_APT!B3</t>
      </text>
    </comment>
    <comment authorId="0" ref="C1">
      <text>
        <t xml:space="preserve">=RAW_APT!C3</t>
      </text>
    </comment>
    <comment authorId="0" ref="D1">
      <text>
        <t xml:space="preserve">=RAW_APT!D3</t>
      </text>
    </comment>
    <comment authorId="0" ref="E1">
      <text>
        <t xml:space="preserve">=RAW_APT!E3</t>
      </text>
    </comment>
    <comment authorId="0" ref="F1">
      <text>
        <t xml:space="preserve">=RAW_APT!F3</t>
      </text>
    </comment>
    <comment authorId="0" ref="G1">
      <text>
        <t xml:space="preserve">=RAW_APT!G3</t>
      </text>
    </comment>
    <comment authorId="0" ref="H1">
      <text>
        <t xml:space="preserve">=RAW_APT!H3</t>
      </text>
    </comment>
    <comment authorId="0" ref="I1">
      <text>
        <t xml:space="preserve">=RAW_APT!I3</t>
      </text>
    </comment>
    <comment authorId="0" ref="J1">
      <text>
        <t xml:space="preserve">=RAW_APT!J3</t>
      </text>
    </comment>
    <comment authorId="0" ref="N1">
      <text>
        <t xml:space="preserve">=RAW_APT!N3</t>
      </text>
    </comment>
    <comment authorId="0" ref="O1">
      <text>
        <t xml:space="preserve">=RAW_APT!O3</t>
      </text>
    </comment>
    <comment authorId="0" ref="P1">
      <text>
        <t xml:space="preserve">=IF(COUNTIF('Corrected APS Data PHI - preDEL'!$A$2:$A,A2)=0,TRUE,FALSE)
Conditional Formatting
Value equal to TRUE
middle yellow</t>
      </text>
    </comment>
    <comment authorId="0" ref="Q1">
      <text>
        <t xml:space="preserve">=IF(COUNTIF('Corrected APS Data PHI - preDEL'!$A$2:$A,A2)=0,TRUE,FALSE)</t>
      </text>
    </comment>
    <comment authorId="0" ref="R1">
      <text>
        <t xml:space="preserve">=IF(COUNTIF($A$2:$A,A2)&gt;1,TRUE,FALSE)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=CONCATENATE(RAW_APS!$A3,"__",RAW_APS!$B3,"_",RAW_APS!$C3)</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
      <text>
        <t xml:space="preserve">+7 if for the offset from this row to the row with booleans
used so this block can be copied for other tabs</t>
      </text>
    </comment>
    <comment authorId="0" ref="AT10">
      <text>
        <t xml:space="preserve">had to add extra () because it was mysteriously adding extra whitespace to end of the formula
</t>
      </text>
    </comment>
    <comment authorId="0" ref="C21">
      <text>
        <t xml:space="preserve">+5 if for the offset from this row to the row with booleans
used so this block can be copied for other tabs</t>
      </text>
    </comment>
    <comment authorId="0" ref="C29">
      <text>
        <t xml:space="preserve">+5 if for the offset from this row to the row with booleans
used so this block can be copied for other tabs</t>
      </text>
    </comment>
    <comment authorId="0" ref="C37">
      <text>
        <t xml:space="preserve">+7 if for the offset from this row to the row with booleans
used so this block can be copied for other tabs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2">
      <text>
        <t xml:space="preserve">Conditional Formatting:
Custom formula is
=ISNUMBER($E23)
fill light yellow</t>
      </text>
    </comment>
    <comment authorId="0" ref="G22">
      <text>
        <t xml:space="preserve">=SORT(UNIQUE('APS Data PHI - preDEL'!$AH$2:$AH),1,TRUE)</t>
      </text>
    </comment>
    <comment authorId="0" ref="H22">
      <text>
        <t xml:space="preserve">=IF(COUNTIF(D$23:D$64,H23)=1,TRUE,IFERROR(0/0))</t>
      </text>
    </comment>
  </commentList>
</comments>
</file>

<file path=xl/sharedStrings.xml><?xml version="1.0" encoding="utf-8"?>
<sst xmlns="http://schemas.openxmlformats.org/spreadsheetml/2006/main" count="6263" uniqueCount="1086">
  <si>
    <t>NDHM_RFR_deID_PUB</t>
  </si>
  <si>
    <t>RFR File</t>
  </si>
  <si>
    <t>NONE</t>
  </si>
  <si>
    <t>RTR File</t>
  </si>
  <si>
    <t>RSR File</t>
  </si>
  <si>
    <t>1-14 1143</t>
  </si>
  <si>
    <t>Overall</t>
  </si>
  <si>
    <t>Details</t>
  </si>
  <si>
    <t>Comments</t>
  </si>
  <si>
    <t>VALUES</t>
  </si>
  <si>
    <t>Number of Tubes Tested (initial only - no re-runs)</t>
  </si>
  <si>
    <t>initial run tubes only so excludes re-runs</t>
  </si>
  <si>
    <t>Number of Tube Tests Run (includes re-runs)</t>
  </si>
  <si>
    <t>includes re-runs</t>
  </si>
  <si>
    <t>Number of Initial Runs</t>
  </si>
  <si>
    <t>Number of APS Only Tubes run</t>
  </si>
  <si>
    <t>Number of Test Reactions (RFR plus APS only tubes run)</t>
  </si>
  <si>
    <t>includes technical replicates (the same tube sample in multiple reactions in the same run)</t>
  </si>
  <si>
    <t>Number of Participant Results</t>
  </si>
  <si>
    <t>counts individual samples in pools and excludes re-runs</t>
  </si>
  <si>
    <t>Number of ARF Tubes</t>
  </si>
  <si>
    <t>tubes run and present in RFR but not in Appivo - created tube IDs that start with ARF</t>
  </si>
  <si>
    <t>Sum of Participant Results plus ARF Tubes</t>
  </si>
  <si>
    <t>Will be equal to the number of tubes tested if no pooling.</t>
  </si>
  <si>
    <t>Average Pool Level (excludes ARF)</t>
  </si>
  <si>
    <t>Re-runs</t>
  </si>
  <si>
    <t>section</t>
  </si>
  <si>
    <t>Number of Run Tubes (re-runs only)</t>
  </si>
  <si>
    <t>from RFR Audit Num Run Tubes</t>
  </si>
  <si>
    <t>Number of Reactions (re-runs only)</t>
  </si>
  <si>
    <t>from RFR Audit Num rxns (excl ctrls)</t>
  </si>
  <si>
    <t>Re-run % of Tubes</t>
  </si>
  <si>
    <t>re-run / initial</t>
  </si>
  <si>
    <t>Number of Initial Runs with Re-runs</t>
  </si>
  <si>
    <t>% Initial Runs with Re-runs</t>
  </si>
  <si>
    <t>Positives</t>
  </si>
  <si>
    <t>Number of Tubes with Final Result Positive</t>
  </si>
  <si>
    <t>% of Tubes Positives (Final Result)</t>
  </si>
  <si>
    <t>Number of Cases with Final Result Positive (Indiv or Pool)</t>
  </si>
  <si>
    <t>Subtract off Re-tests</t>
  </si>
  <si>
    <t>Known Positive Cases</t>
  </si>
  <si>
    <t>Previous tested (including by FloodLAMP test) or reported positive</t>
  </si>
  <si>
    <t>Unknown Positive Cases</t>
  </si>
  <si>
    <t>Inconclusives</t>
  </si>
  <si>
    <t>Number of Tubes with Final Result Inconclusive</t>
  </si>
  <si>
    <t>Number of Tubes in RFR Audit Inconclusive not in Appivo Final Results</t>
  </si>
  <si>
    <t>Total Number of Inconclusive Tubes</t>
  </si>
  <si>
    <t>% of Tubes Inconclusive</t>
  </si>
  <si>
    <t>Number of Inconclusive Tubes resolved Positive by Referral Test or Correspondence</t>
  </si>
  <si>
    <t>% Inconclusives resolved Positive by Referral Tests</t>
  </si>
  <si>
    <t>Number of Inconclusive Tubes with Referral Test or Correspondence Negative</t>
  </si>
  <si>
    <t>Number of Inconclusive Tubes with no Referral Test result or Correspondence</t>
  </si>
  <si>
    <t>Number of Tubes with Initial Inconclusives and Re-run Negative</t>
  </si>
  <si>
    <t>Count Result Correction Code=2.5 in preDel col AJ, or from RFR preExcl if not resulted as Incl in App</t>
  </si>
  <si>
    <t>Number of Inconclusive Test Run Calls</t>
  </si>
  <si>
    <t>includes re-runs - from RFR Audit only and excludes any APS only resulted inconclusives</t>
  </si>
  <si>
    <t>% Tube Tests Run Called Inconclusive</t>
  </si>
  <si>
    <t>No Positives</t>
  </si>
  <si>
    <t>Referrals and Correspondence</t>
  </si>
  <si>
    <t>Number of FloodLAMP Cases with Referral Tests or Correspondence</t>
  </si>
  <si>
    <t>Indiv or Pool, Cases used instead of Person to account for people being contracting COVID multiple times, and instead of Results to exclude re-tests</t>
  </si>
  <si>
    <t>Number of Referral Confirmed FloodLAMP Positives</t>
  </si>
  <si>
    <t>Sometimes also termed Agree Positives - Include initial Inconclusive with Referral or Correspondence Positive</t>
  </si>
  <si>
    <t>FL Inconclusives with Referral / Correspondence Positive</t>
  </si>
  <si>
    <t>% FloodLAMP Positive or Inconclusive with Referral / Correspondence Positive</t>
  </si>
  <si>
    <t>denom zero</t>
  </si>
  <si>
    <t>FL Inconclusives but Referral / Correspondence Negative</t>
  </si>
  <si>
    <t>FL Inconclusives with No Referral Tests or Correspondence</t>
  </si>
  <si>
    <t>Not Applicable</t>
  </si>
  <si>
    <t>Comparison to Antigen</t>
  </si>
  <si>
    <t>Number of FloodLAMP Test Person Cases with Referral Antigen Tests (including non-Same Day)</t>
  </si>
  <si>
    <t>Not Applicable - no positives</t>
  </si>
  <si>
    <t>Number of FloodLAMP Test Person Cases with Same Day Referral Antigen Tests</t>
  </si>
  <si>
    <t>Number of FloodLAMP Positive Test Person Cases with Same Day Antigen Negative</t>
  </si>
  <si>
    <t>Agree with Referral Test Positive (usually PCR or later Antigen) but Initial Antigen Negative</t>
  </si>
  <si>
    <t>% Confirmed FloodLAMP Positives with Same Day Antigen Negative</t>
  </si>
  <si>
    <t>Number of FloodLAMP Positive Test Person Cases confirmed with Referral Tests but Antigen and Other Non-Antigen Test Negative</t>
  </si>
  <si>
    <t>% Confirmed FloodLAMP Positives that were Antigen and Other Non-Antigen Test Negative</t>
  </si>
  <si>
    <t>False Calls</t>
  </si>
  <si>
    <t>False Positives Final Results</t>
  </si>
  <si>
    <t>From reviewing APS/Pos and Incl tab Unconfirmed FL Positives</t>
  </si>
  <si>
    <t>False Negative Final Results (Suspected)</t>
  </si>
  <si>
    <t>From reviewing Referral Tests by Person and correspondence with Program Admin</t>
  </si>
  <si>
    <t>People</t>
  </si>
  <si>
    <t>Number of Unique Individuals Tested</t>
  </si>
  <si>
    <t>Includes UnknownPerson additions but not ARF tubes</t>
  </si>
  <si>
    <t>Number of Unique Sponsors</t>
  </si>
  <si>
    <t>People who collect using the app</t>
  </si>
  <si>
    <t>Positivity</t>
  </si>
  <si>
    <t>Number of Unique Individual Tested FloodLAMP Positive</t>
  </si>
  <si>
    <t>includes Inconclusive FloodLAMP result confirmed Positive by follow-up or Referral</t>
  </si>
  <si>
    <t>% of Population FloodLAMP Positive (excluding pools not deconv)</t>
  </si>
  <si>
    <t>Number of Unique Individual Tested FloodLAMP Positive (including if in a positive pool)</t>
  </si>
  <si>
    <t>% of Population FloodLAMP Positive (including everyone in a positive pool)</t>
  </si>
  <si>
    <t>Dates</t>
  </si>
  <si>
    <t>Start Run Date</t>
  </si>
  <si>
    <t>End Run Date</t>
  </si>
  <si>
    <t>Info</t>
  </si>
  <si>
    <t>Needham Beth Shalom School</t>
  </si>
  <si>
    <t>Test Operator</t>
  </si>
  <si>
    <t>Who ran the actual testing (running LAMP reactions)</t>
  </si>
  <si>
    <t>K-12 School</t>
  </si>
  <si>
    <t>Office Space</t>
  </si>
  <si>
    <t>Test Processing Site</t>
  </si>
  <si>
    <t>Where the test processing (running LAMP reactions) was done</t>
  </si>
  <si>
    <t>Students, Staff, Families</t>
  </si>
  <si>
    <t>Population Tested</t>
  </si>
  <si>
    <t>Description of the participants</t>
  </si>
  <si>
    <t>Standard</t>
  </si>
  <si>
    <t>Configuration</t>
  </si>
  <si>
    <t>Equipment set used for test processing (relates to throughput and type of test tube used)</t>
  </si>
  <si>
    <t>Pooled Household</t>
  </si>
  <si>
    <t>Collection Type</t>
  </si>
  <si>
    <t>Pooled, Individual, or Both</t>
  </si>
  <si>
    <t>Self</t>
  </si>
  <si>
    <t>Self or HCW Collected</t>
  </si>
  <si>
    <t>HCW is Health Care Worker</t>
  </si>
  <si>
    <t>Yes</t>
  </si>
  <si>
    <t>App Used?</t>
  </si>
  <si>
    <t>Was the FloodLAMP Mobile App and Admin Portal utilized in the program</t>
  </si>
  <si>
    <t>In Person &amp; Remote</t>
  </si>
  <si>
    <t>Bring-up Type</t>
  </si>
  <si>
    <t>How the initial setup and validation of the testing site was done</t>
  </si>
  <si>
    <t>Needham</t>
  </si>
  <si>
    <t>Program Name</t>
  </si>
  <si>
    <t>Shorthand name used internally at FloodLAMP and in other documents for this program</t>
  </si>
  <si>
    <t>Site</t>
  </si>
  <si>
    <t>Broader physical space where the testing was done and/or where participants congregated</t>
  </si>
  <si>
    <t>Site Type</t>
  </si>
  <si>
    <t>Type of entity or organization receiving the testing program</t>
  </si>
  <si>
    <t>Needham, MA</t>
  </si>
  <si>
    <t>Location</t>
  </si>
  <si>
    <t>Geographical location of where the FloodLAMP testing program occurred</t>
  </si>
  <si>
    <t>COLLECTION DATE</t>
  </si>
  <si>
    <t>COLLECTION TIME</t>
  </si>
  <si>
    <t>SPONSOR PERSON ID</t>
  </si>
  <si>
    <t>SPONSOR FIRSTNAME</t>
  </si>
  <si>
    <t>SPONSOR LASTNAME</t>
  </si>
  <si>
    <t>APP
RESULT</t>
  </si>
  <si>
    <t>FINAL RESULT</t>
  </si>
  <si>
    <t>RESULT DATE</t>
  </si>
  <si>
    <t>RESULT TIME</t>
  </si>
  <si>
    <t>Result Correct Code</t>
  </si>
  <si>
    <t>Correction Notes</t>
  </si>
  <si>
    <t>NOTE</t>
  </si>
  <si>
    <t>NUM SAMPLES (Pool Level)</t>
  </si>
  <si>
    <t>Match Row in APS Data PHI - postDEL</t>
  </si>
  <si>
    <t>Sample Person1</t>
  </si>
  <si>
    <t>Sample Person2</t>
  </si>
  <si>
    <t>Sample Person3</t>
  </si>
  <si>
    <t>Sample Person4</t>
  </si>
  <si>
    <t>CaseC ID</t>
  </si>
  <si>
    <t>First FL Positive of Case?</t>
  </si>
  <si>
    <t>Referral Test Result</t>
  </si>
  <si>
    <t>Referral Notes</t>
  </si>
  <si>
    <t>No Positive or Inconclusive tubes</t>
  </si>
  <si>
    <t>TUBE ID</t>
  </si>
  <si>
    <t>PARTICIPANT FIRSTNAME</t>
  </si>
  <si>
    <t>PARTICIPANT LASTNAME</t>
  </si>
  <si>
    <t>PARTICIPANT EMAIL</t>
  </si>
  <si>
    <t>MINOR FIRSTNAME</t>
  </si>
  <si>
    <t>MINOR LASTNAME</t>
  </si>
  <si>
    <t>APP
GROUP</t>
  </si>
  <si>
    <t>REPS IN RAW_APT?</t>
  </si>
  <si>
    <t>STATUS</t>
  </si>
  <si>
    <t>Tube ID First Row?</t>
  </si>
  <si>
    <t>Num Tube IDs</t>
  </si>
  <si>
    <t>Add N Names</t>
  </si>
  <si>
    <t>NOTE FIRSTNAME</t>
  </si>
  <si>
    <t>NOTE LASTNAME</t>
  </si>
  <si>
    <t>Names Adjust</t>
  </si>
  <si>
    <t>FRAN</t>
  </si>
  <si>
    <t>&gt;4 Samples</t>
  </si>
  <si>
    <t>Has Note?</t>
  </si>
  <si>
    <t>Preserve Note</t>
  </si>
  <si>
    <t>Initial Order</t>
  </si>
  <si>
    <t>Added from APT?</t>
  </si>
  <si>
    <t>Minutes Col to Result</t>
  </si>
  <si>
    <t>Delete?</t>
  </si>
  <si>
    <t>Delete Code</t>
  </si>
  <si>
    <t>Basic Correct Code</t>
  </si>
  <si>
    <t>Sponsor ID</t>
  </si>
  <si>
    <t>Participant ID</t>
  </si>
  <si>
    <t>Sponsor
FullName</t>
  </si>
  <si>
    <t>Combined Participant Firstname</t>
  </si>
  <si>
    <t>Combined Participant Lastname</t>
  </si>
  <si>
    <t>Combined Participant Fullname</t>
  </si>
  <si>
    <t>FINAL
GROUP</t>
  </si>
  <si>
    <t>PARTCIP 
NAME COLS</t>
  </si>
  <si>
    <t>MINOR 
NAME COLS</t>
  </si>
  <si>
    <t>NOTE 
NAME COLS</t>
  </si>
  <si>
    <t>Note Name Extras - Rows Added Not Orig Tube ID Row</t>
  </si>
  <si>
    <t>END</t>
  </si>
  <si>
    <t>CURRENT BOOL History1</t>
  </si>
  <si>
    <t>CURRENT BOOL History2</t>
  </si>
  <si>
    <t>Rep Cols</t>
  </si>
  <si>
    <t>3
Num Rep Rows</t>
  </si>
  <si>
    <t>1
Tube Samecols Not Deleted</t>
  </si>
  <si>
    <t>3
Tube ID in Reps?</t>
  </si>
  <si>
    <t>2
SORTED Tube Timestamp</t>
  </si>
  <si>
    <t>2
TUBE ID ONLY</t>
  </si>
  <si>
    <t>2
Replicate Tube ID? (First Row)</t>
  </si>
  <si>
    <t>2
Rep Tube IDs Not Sorted</t>
  </si>
  <si>
    <t>pre-Sync Values FINAL RESULT</t>
  </si>
  <si>
    <t>AH8765</t>
  </si>
  <si>
    <t>Null</t>
  </si>
  <si>
    <t>DELETED</t>
  </si>
  <si>
    <t>AH8073</t>
  </si>
  <si>
    <t>primary</t>
  </si>
  <si>
    <t>AG1224__44767_0.378877314814815___Negative_44767_0.432939814814815_</t>
  </si>
  <si>
    <t>AG1259__44753_0.252719907407407___Negative_44753_0.398402777777778_</t>
  </si>
  <si>
    <t>AG1419__44683_0.17806712962963___Negative_44683_0.3578125_</t>
  </si>
  <si>
    <t>AK5401</t>
  </si>
  <si>
    <t>AG1523__44690_0.279513888888889___Negative_44690_0.323252314814815_</t>
  </si>
  <si>
    <t>TEST_0419-1</t>
  </si>
  <si>
    <t>Positive</t>
  </si>
  <si>
    <t>AG1608__44718_0.156921296296296___Negative_44718_0.364976851851852_</t>
  </si>
  <si>
    <t>AG1637__44697_0.176759259259259___Negative_44697_0.361099537037037_</t>
  </si>
  <si>
    <t>AG1640__44704_0.190543981481482___Negative_44704_0.394907407407407_</t>
  </si>
  <si>
    <t>TEST_0419-2</t>
  </si>
  <si>
    <t>AG1713__44683_0.212569444444444___Negative_44683_0.357824074074074_</t>
  </si>
  <si>
    <t>AG1821__44713_0.200763888888889___Negative_44713_0.341493055555556_</t>
  </si>
  <si>
    <t>AG1828__44704_0.224467592592593___Negative_44704_0.394918981481481_</t>
  </si>
  <si>
    <t>TEST_0419-3</t>
  </si>
  <si>
    <t>AG1844__44725_0.225231481481481___Negative_44725_0.41224537037037_</t>
  </si>
  <si>
    <t>AG1858__44816_0.169016203703704___Negative_44816_0.393981481481482_</t>
  </si>
  <si>
    <t>AG1866__44683_0.384201388888889___Negative_44683_0.637395833333333_</t>
  </si>
  <si>
    <t>AJ8406</t>
  </si>
  <si>
    <t>Negative</t>
  </si>
  <si>
    <t>AG213__44683_0.238263888888889___Negative_44683_0.357824074074074_</t>
  </si>
  <si>
    <t>AG2159__44697_0.322152777777778___Negative_44697_0.361122685185185_</t>
  </si>
  <si>
    <t>AG2164__44683_0.258171296296296___Negative_44683_0.357824074074074_</t>
  </si>
  <si>
    <t>AG2202__44718_0.299803240740741___Negative_44718_0.364988425925926_</t>
  </si>
  <si>
    <t>AG1726</t>
  </si>
  <si>
    <t>AG2246__44713_0.208599537037037___Negative_44713_0.34150462962963_</t>
  </si>
  <si>
    <t>AH6926</t>
  </si>
  <si>
    <t>AG252__44683_0.239907407407407___Negative_44683_0.357824074074074_</t>
  </si>
  <si>
    <t>AH9005</t>
  </si>
  <si>
    <t>AG256__44713_0.272789351851852___Negative_44713_0.34150462962963_</t>
  </si>
  <si>
    <t>AG307</t>
  </si>
  <si>
    <t>AG299__44774_0.214212962962963___Negative_44816_0.393981481481482_</t>
  </si>
  <si>
    <t>AK5816</t>
  </si>
  <si>
    <t>AG4603__44733_0.340393518518519___Negative_44733_0.404340277777778_</t>
  </si>
  <si>
    <t>AH1119</t>
  </si>
  <si>
    <t>AG469__44690_0.170023148148148___Negative_44690_0.323229166666667_</t>
  </si>
  <si>
    <t>AG632</t>
  </si>
  <si>
    <t>AG570__44697_0.268935185185185___Negative_44697_0.361111111111111_</t>
  </si>
  <si>
    <t>AH7369</t>
  </si>
  <si>
    <t>AG575__44683_0.174976851851852___Negative_44683_0.3578125_</t>
  </si>
  <si>
    <t>AH7507</t>
  </si>
  <si>
    <t>AG611__44733_0.212476851851852___Negative_44733_0.404340277777778_</t>
  </si>
  <si>
    <t>AK7160</t>
  </si>
  <si>
    <t>AG615__44718_0.202662037037037___Negative_44718_0.364976851851852_</t>
  </si>
  <si>
    <t>AH80</t>
  </si>
  <si>
    <t>AG663__44712_0.186759259259259___Negative_44713_0.341481481481482_</t>
  </si>
  <si>
    <t>AJ9095</t>
  </si>
  <si>
    <t>AG718__44713_0.179259259259259___Negative_44713_0.341481481481482_</t>
  </si>
  <si>
    <t>AH8325</t>
  </si>
  <si>
    <t>AG815__44690_0.243703703703704___Negative_44690_0.323252314814815_</t>
  </si>
  <si>
    <t>AG869</t>
  </si>
  <si>
    <t>AG91__44683_0.177708333333333___Negative_44683_0.3578125_</t>
  </si>
  <si>
    <t>AG302</t>
  </si>
  <si>
    <t>AH1039__44690_0.202905092592593___Negative_44690_0.323240740740741_</t>
  </si>
  <si>
    <t>AG981</t>
  </si>
  <si>
    <t>AH1486__44713_0.183217592592593___Negative_44713_0.341481481481482_</t>
  </si>
  <si>
    <t>AH7209</t>
  </si>
  <si>
    <t>AH248__44767_0.30244212962963___Negative_44767_0.432928240740741_</t>
  </si>
  <si>
    <t>AH258__44712_0.792916666666667___Negative_44713_0.341481481481482_</t>
  </si>
  <si>
    <t>TEST_04-28-22</t>
  </si>
  <si>
    <t>AH266__44690_0.280162037037037___Negative_44690_0.323252314814815_</t>
  </si>
  <si>
    <t>AH330__44704_0.187824074074074___Negative_44704_0.394907407407407_</t>
  </si>
  <si>
    <t>AH63__44697_0.318715277777778___Negative_44697_0.361111111111111_</t>
  </si>
  <si>
    <t>AH6802__44704_0.319513888888889___Negative_44704_0.394918981481481_</t>
  </si>
  <si>
    <t>AG575</t>
  </si>
  <si>
    <t>SpNDHM955894</t>
  </si>
  <si>
    <t>NDHM432678</t>
  </si>
  <si>
    <t>AH6875__44713_0.203969907407407___Negative_44713_0.341493055555556_</t>
  </si>
  <si>
    <t>NDHM513495</t>
  </si>
  <si>
    <t>AH707__44718_0.17775462962963___Negative_44718_0.364976851851852_</t>
  </si>
  <si>
    <t>NDHM107467</t>
  </si>
  <si>
    <t>AH7211__44704_0.178460648148148___Negative_44704_0.394907407407407_</t>
  </si>
  <si>
    <t>NDHM574415</t>
  </si>
  <si>
    <t>AH7225__44697_0.153611111111111___Negative_44697_0.361099537037037_</t>
  </si>
  <si>
    <t>AK7133</t>
  </si>
  <si>
    <t>SpNDHM118014</t>
  </si>
  <si>
    <t>NDHM586177</t>
  </si>
  <si>
    <t>AH7289__44704_0.218842592592593___Negative_44704_0.394907407407407_</t>
  </si>
  <si>
    <t>NDHM976885</t>
  </si>
  <si>
    <t>AH7292__44683_0.178321759259259___Negative_44683_0.3578125_</t>
  </si>
  <si>
    <t>AG91</t>
  </si>
  <si>
    <t>NDHM711288</t>
  </si>
  <si>
    <t>AH7299__44683_0.17994212962963___Negative_44683_0.357824074074074_</t>
  </si>
  <si>
    <t>AH7650__44713_0.196666666666667___Negative_44713_0.341493055555556_</t>
  </si>
  <si>
    <t>AG1419</t>
  </si>
  <si>
    <t>NDHM953531</t>
  </si>
  <si>
    <t>AH772__44739_0.223287037037037___Negative_44739_0.3771875_</t>
  </si>
  <si>
    <t>AH7931__44690_0.178703703703704___Negative_44690_0.323240740740741_</t>
  </si>
  <si>
    <t>AH7292</t>
  </si>
  <si>
    <t>AH7933__44718_0.211678240740741___Negative_44718_0.364976851851852_</t>
  </si>
  <si>
    <t>AH7299</t>
  </si>
  <si>
    <t>SpNDHM842569</t>
  </si>
  <si>
    <t>NDHM945507</t>
  </si>
  <si>
    <t>AH7951__44760_0.38087962962963___Negative_44760_0.420914351851852_</t>
  </si>
  <si>
    <t>NDHM304341</t>
  </si>
  <si>
    <t>AH8786__44725_0.201030092592593___Negative_44725_0.412233796296296_</t>
  </si>
  <si>
    <t>AJ9453</t>
  </si>
  <si>
    <t>SpNDHM394507</t>
  </si>
  <si>
    <t>NDHM872984</t>
  </si>
  <si>
    <t>AH8860__44713_0.2053125___Negative_44713_0.34150462962963_</t>
  </si>
  <si>
    <t>NDHM746624</t>
  </si>
  <si>
    <t>AH9070__44712_0.192650462962963___Negative_44713_0.341481481481482_</t>
  </si>
  <si>
    <t>NDHM612412</t>
  </si>
  <si>
    <t>AH9504__44683_0.278101851851852___Negative_44683_0.3578125_</t>
  </si>
  <si>
    <t>NDHM422663</t>
  </si>
  <si>
    <t>AH9625__44713_0.251759259259259___Negative_44713_0.34150462962963_</t>
  </si>
  <si>
    <t>AJ8392</t>
  </si>
  <si>
    <t>SpNDHM645491</t>
  </si>
  <si>
    <t>NDHM291495</t>
  </si>
  <si>
    <t>AH9644__44725_0.233506944444444___Negative_44725_0.41224537037037_</t>
  </si>
  <si>
    <t>NDHM101082</t>
  </si>
  <si>
    <t>AH9668__44697_0.206840277777778___Negative_44697_0.361111111111111_</t>
  </si>
  <si>
    <t>AJ9417</t>
  </si>
  <si>
    <t>SpNDHM189649</t>
  </si>
  <si>
    <t>NDHM436958</t>
  </si>
  <si>
    <t>AH9741__44718_0.213645833333333___Negative_44718_0.364976851851852_</t>
  </si>
  <si>
    <t>NDHM872314</t>
  </si>
  <si>
    <t>AJ5950__44704_0.156539351851852___Negative_44704_0.394895833333333_</t>
  </si>
  <si>
    <t>NDHM577067</t>
  </si>
  <si>
    <t>AJ7985__44697_0.202361111111111___Negative_44697_0.361111111111111_</t>
  </si>
  <si>
    <t>NDHM406316</t>
  </si>
  <si>
    <t>AJ8368__44718_0.236527777777778___Negative_44718_0.364988425925926_</t>
  </si>
  <si>
    <t>AG1713</t>
  </si>
  <si>
    <t>SpNDHM966349</t>
  </si>
  <si>
    <t>NDHM580463</t>
  </si>
  <si>
    <t>AJ8392__44683_0.2021875___Negative_44683_0.357824074074074_</t>
  </si>
  <si>
    <t>NDHM806069</t>
  </si>
  <si>
    <t>AJ8556__44690_0.213530092592593___Negative_44690_0.323240740740741_</t>
  </si>
  <si>
    <t>NDHM514003</t>
  </si>
  <si>
    <t>AJ8574__44696_0.748252314814815___Negative_44697_0.361099537037037_</t>
  </si>
  <si>
    <t>NDHM584295</t>
  </si>
  <si>
    <t>AJ8977__44697_0.209039351851852___Negative_44697_0.361111111111111_</t>
  </si>
  <si>
    <t>AJ9703</t>
  </si>
  <si>
    <t>AJ9077__44837_0.198599537037037___Negative_44837_0.510150462962963_</t>
  </si>
  <si>
    <t>SpNDHM241897</t>
  </si>
  <si>
    <t>NDHM665021</t>
  </si>
  <si>
    <t>AJ9417__44683_0.209039351851852___Negative_44683_0.357824074074074_</t>
  </si>
  <si>
    <t>AG213</t>
  </si>
  <si>
    <t>AJ9453__44683_0.197025462962963___Negative_44690_0.323229166666667_</t>
  </si>
  <si>
    <t>NDHM872246</t>
  </si>
  <si>
    <t>AJ9479__44704_0.218263888888889___Negative_44704_0.394907407407407_</t>
  </si>
  <si>
    <t>AG252</t>
  </si>
  <si>
    <t>Even though in reality they collected individually, for all individual tubes, they've accidentally recorded all participants in each tube. So I'm removing previously added ad note names.</t>
  </si>
  <si>
    <t>NDHM133624</t>
  </si>
  <si>
    <t>AJ9703__44683_0.236354166666667___Negative_44683_0.357824074074074_</t>
  </si>
  <si>
    <t>flagging for further review</t>
  </si>
  <si>
    <t>AJ9836__44767_0.206527777777778___Negative_44767_0.432928240740741_</t>
  </si>
  <si>
    <t>AG2164</t>
  </si>
  <si>
    <t>SpNDHM463607</t>
  </si>
  <si>
    <t>NDHM145349</t>
  </si>
  <si>
    <t>AK5211__44689_0.826030092592593___Negative_44690_0.323229166666667_</t>
  </si>
  <si>
    <t>AK7529</t>
  </si>
  <si>
    <t>SpNDHM672043</t>
  </si>
  <si>
    <t>NDHM360307</t>
  </si>
  <si>
    <t>AK6656__44725_0.244351851851852___Negative_44725_0.41224537037037_</t>
  </si>
  <si>
    <t>AH9504</t>
  </si>
  <si>
    <t>SpNDHM122532</t>
  </si>
  <si>
    <t>AK6972__44713_0.197638888888889___Negative_44713_0.341493055555556_</t>
  </si>
  <si>
    <t>AG1866</t>
  </si>
  <si>
    <t>SpNDHM500119</t>
  </si>
  <si>
    <t>NDHM885679</t>
  </si>
  <si>
    <t>AK7133__44683_0.177210648148148___Negative_44683_0.3578125_</t>
  </si>
  <si>
    <t>AK5211</t>
  </si>
  <si>
    <t>SpNDHM435885</t>
  </si>
  <si>
    <t>NDHM831690</t>
  </si>
  <si>
    <t>AK7529__44683_0.275763888888889___Negative_44683_0.357835648148148_</t>
  </si>
  <si>
    <t>NDHM144279</t>
  </si>
  <si>
    <t>NDHM572644</t>
  </si>
  <si>
    <t>NDHM193086</t>
  </si>
  <si>
    <t>AG469</t>
  </si>
  <si>
    <t>AH7931</t>
  </si>
  <si>
    <t>AH1039</t>
  </si>
  <si>
    <t>AJ8556</t>
  </si>
  <si>
    <t>AG815</t>
  </si>
  <si>
    <t>NDHM359812</t>
  </si>
  <si>
    <t>AG1523</t>
  </si>
  <si>
    <t>AH266</t>
  </si>
  <si>
    <t>NDHM804847</t>
  </si>
  <si>
    <t>NDHM784418</t>
  </si>
  <si>
    <t>AJ8574</t>
  </si>
  <si>
    <t>SpNDHM768644</t>
  </si>
  <si>
    <t>AH7225</t>
  </si>
  <si>
    <t>AG1637</t>
  </si>
  <si>
    <t>AG1103</t>
  </si>
  <si>
    <t>NDHM404468</t>
  </si>
  <si>
    <t>AJ7985</t>
  </si>
  <si>
    <t>AH9668</t>
  </si>
  <si>
    <t>AJ8977</t>
  </si>
  <si>
    <t>SpNDHM284552</t>
  </si>
  <si>
    <t>NDHM108068</t>
  </si>
  <si>
    <t>NDHM114675</t>
  </si>
  <si>
    <t>NDHM894346</t>
  </si>
  <si>
    <t>NDHM142305</t>
  </si>
  <si>
    <t>AG570</t>
  </si>
  <si>
    <t>AH63</t>
  </si>
  <si>
    <t>NDHM638263</t>
  </si>
  <si>
    <t>AG2159</t>
  </si>
  <si>
    <t>SpNDHM957722</t>
  </si>
  <si>
    <t>NDHM730614</t>
  </si>
  <si>
    <t>AJ9193</t>
  </si>
  <si>
    <t>AJ5950</t>
  </si>
  <si>
    <t>AH7211</t>
  </si>
  <si>
    <t>AH330</t>
  </si>
  <si>
    <t>AG1640</t>
  </si>
  <si>
    <t>AJ9479</t>
  </si>
  <si>
    <t>SpNDHM109523</t>
  </si>
  <si>
    <t>NDHM244255</t>
  </si>
  <si>
    <t>NDHM297665</t>
  </si>
  <si>
    <t>AH7289</t>
  </si>
  <si>
    <t>AG1828</t>
  </si>
  <si>
    <t>AH6802</t>
  </si>
  <si>
    <t>AG663</t>
  </si>
  <si>
    <t>AH9070</t>
  </si>
  <si>
    <t>SpNDHM400541</t>
  </si>
  <si>
    <t>NDHM111229</t>
  </si>
  <si>
    <t>NDHM269277</t>
  </si>
  <si>
    <t>NDHM175150</t>
  </si>
  <si>
    <t>NDHM226149</t>
  </si>
  <si>
    <t>AH258</t>
  </si>
  <si>
    <t>NDHM222279</t>
  </si>
  <si>
    <t>AG718</t>
  </si>
  <si>
    <t>SpNDHM762063</t>
  </si>
  <si>
    <t>NDHM336777</t>
  </si>
  <si>
    <t>AH1486</t>
  </si>
  <si>
    <t>AH7650</t>
  </si>
  <si>
    <t>AK6972</t>
  </si>
  <si>
    <t>AG1821</t>
  </si>
  <si>
    <t>AH6875</t>
  </si>
  <si>
    <t>AH8860</t>
  </si>
  <si>
    <t>AG2246</t>
  </si>
  <si>
    <t>AH9625</t>
  </si>
  <si>
    <t>AG256</t>
  </si>
  <si>
    <t>NDHM471819</t>
  </si>
  <si>
    <t>AH6948</t>
  </si>
  <si>
    <t>flagged for further review</t>
  </si>
  <si>
    <t>AG1608</t>
  </si>
  <si>
    <t>AH707</t>
  </si>
  <si>
    <t>AJ8592</t>
  </si>
  <si>
    <t>AG615</t>
  </si>
  <si>
    <t>AH7933</t>
  </si>
  <si>
    <t>AH9741</t>
  </si>
  <si>
    <t>AJ8368</t>
  </si>
  <si>
    <t>AG2202</t>
  </si>
  <si>
    <t>NDHM560499</t>
  </si>
  <si>
    <t>NDHM948431</t>
  </si>
  <si>
    <t>AH0916</t>
  </si>
  <si>
    <t>AH8656</t>
  </si>
  <si>
    <t>AJ9614</t>
  </si>
  <si>
    <t>conclude never run in Run Reconcile because result date was 7-11 and missing from RFR after 12-25-2025 audit</t>
  </si>
  <si>
    <t>AH8786</t>
  </si>
  <si>
    <t>AG1844</t>
  </si>
  <si>
    <t>AH9644</t>
  </si>
  <si>
    <t>AK6656</t>
  </si>
  <si>
    <t>AG611</t>
  </si>
  <si>
    <t>AG4603</t>
  </si>
  <si>
    <t>NDHM196042</t>
  </si>
  <si>
    <t>AH8663</t>
  </si>
  <si>
    <t>AH652</t>
  </si>
  <si>
    <t>AH772</t>
  </si>
  <si>
    <t>AH8283</t>
  </si>
  <si>
    <t>AG1259</t>
  </si>
  <si>
    <t>AH8383</t>
  </si>
  <si>
    <t>AH7951</t>
  </si>
  <si>
    <t>NDHM618727</t>
  </si>
  <si>
    <t>NDHM466905</t>
  </si>
  <si>
    <t>AJ9836</t>
  </si>
  <si>
    <t>AH248</t>
  </si>
  <si>
    <t>AG1224</t>
  </si>
  <si>
    <t>AG299</t>
  </si>
  <si>
    <t>AG1858</t>
  </si>
  <si>
    <t>AJ9077</t>
  </si>
  <si>
    <t>AG1447</t>
  </si>
  <si>
    <t>Result</t>
  </si>
  <si>
    <t/>
  </si>
  <si>
    <t>Person 
Firstname</t>
  </si>
  <si>
    <t>Person Lastname</t>
  </si>
  <si>
    <t>Person 
Fullname</t>
  </si>
  <si>
    <t>Household ID</t>
  </si>
  <si>
    <t>HH Code</t>
  </si>
  <si>
    <t>Cohort</t>
  </si>
  <si>
    <t>Accounts CSV Designation</t>
  </si>
  <si>
    <t>Relation</t>
  </si>
  <si>
    <t>No Sample?</t>
  </si>
  <si>
    <t>App Role</t>
  </si>
  <si>
    <t>Other Source (Not App)</t>
  </si>
  <si>
    <t>Consent</t>
  </si>
  <si>
    <t>1st FL Positive Date</t>
  </si>
  <si>
    <t>FL Deconv Positive?</t>
  </si>
  <si>
    <t>Referral Test Positive?</t>
  </si>
  <si>
    <t>Referral Test Type?</t>
  </si>
  <si>
    <t>Person Notes</t>
  </si>
  <si>
    <t>Household ID for Count Check</t>
  </si>
  <si>
    <t>LIVE</t>
  </si>
  <si>
    <t>Live Combined Participant Firstname</t>
  </si>
  <si>
    <t>Live Combined Participant Lastname</t>
  </si>
  <si>
    <t>Live Combined 
Participant Fullname</t>
  </si>
  <si>
    <t>Names Merge SetNum</t>
  </si>
  <si>
    <t>Names Merge Notes</t>
  </si>
  <si>
    <t>Live Sponsor Fullname</t>
  </si>
  <si>
    <t>Sponsor Merge Notes</t>
  </si>
  <si>
    <t>Sponsor ID String</t>
  </si>
  <si>
    <t>PASS2</t>
  </si>
  <si>
    <t>ALL Live in Values</t>
  </si>
  <si>
    <t>Num Person Samples = 1434</t>
  </si>
  <si>
    <t>ALL SPONSORS IN LIVE</t>
  </si>
  <si>
    <t>ALL SPONSORS in Values</t>
  </si>
  <si>
    <t>PASS1</t>
  </si>
  <si>
    <t>ERROR!! Live Not Found</t>
  </si>
  <si>
    <t>ERROR!! SPONSOR NOT IN VALUES</t>
  </si>
  <si>
    <t>H_NDHM_0010</t>
  </si>
  <si>
    <t>Geshem</t>
  </si>
  <si>
    <t>G1</t>
  </si>
  <si>
    <t>guardian</t>
  </si>
  <si>
    <t>admin</t>
  </si>
  <si>
    <t>Y Appivo</t>
  </si>
  <si>
    <t>M1</t>
  </si>
  <si>
    <t>minor</t>
  </si>
  <si>
    <t>nested minor</t>
  </si>
  <si>
    <t>H_NDHM_0002</t>
  </si>
  <si>
    <t>H_NDHM_0015</t>
  </si>
  <si>
    <t>supersponsor</t>
  </si>
  <si>
    <t>H_NDHM_0003</t>
  </si>
  <si>
    <t>G2</t>
  </si>
  <si>
    <t>H_NDHM_0004</t>
  </si>
  <si>
    <t>H_NDHM_0005</t>
  </si>
  <si>
    <t>N Appivo</t>
  </si>
  <si>
    <t>H_NDHM_0006</t>
  </si>
  <si>
    <t>H_NDHM_0014</t>
  </si>
  <si>
    <t>H_NDHM_0007</t>
  </si>
  <si>
    <t>H_NDHM_0008</t>
  </si>
  <si>
    <t>H_NDHM_0011</t>
  </si>
  <si>
    <t>H_NDHM_0009</t>
  </si>
  <si>
    <t>Keshet</t>
  </si>
  <si>
    <t>Etzim</t>
  </si>
  <si>
    <t>G4</t>
  </si>
  <si>
    <t>H_NDHM_0012</t>
  </si>
  <si>
    <t>orgstaff</t>
  </si>
  <si>
    <t>H2</t>
  </si>
  <si>
    <t>hhadult</t>
  </si>
  <si>
    <t>sponsor</t>
  </si>
  <si>
    <t>H_NDHM_0013</t>
  </si>
  <si>
    <t>Adamah</t>
  </si>
  <si>
    <t>M2</t>
  </si>
  <si>
    <t>H_NDHM_0016</t>
  </si>
  <si>
    <t>H_NDHM_0017</t>
  </si>
  <si>
    <t>H_NDHM_0018</t>
  </si>
  <si>
    <t>H_NDHM_0019</t>
  </si>
  <si>
    <t>H_NDHM_0020</t>
  </si>
  <si>
    <t>H_NDHM_0021</t>
  </si>
  <si>
    <t>H_NDHM_0022</t>
  </si>
  <si>
    <t>H_NDHM_0023</t>
  </si>
  <si>
    <t>H1</t>
  </si>
  <si>
    <t>H_NDHM_0024</t>
  </si>
  <si>
    <t>H_NDHM_0025</t>
  </si>
  <si>
    <t>M3</t>
  </si>
  <si>
    <t>H_NDHM_0026</t>
  </si>
  <si>
    <t>H_NDHM_0027</t>
  </si>
  <si>
    <t>Galim</t>
  </si>
  <si>
    <t>H_NDHM_0028</t>
  </si>
  <si>
    <t>H_NDHM_0029</t>
  </si>
  <si>
    <t>H_NDHM_0030</t>
  </si>
  <si>
    <t>H_NDHM_0031</t>
  </si>
  <si>
    <t>H_NDHM_0032</t>
  </si>
  <si>
    <t>H_NDHM_0033</t>
  </si>
  <si>
    <t>H_NDHM_0034</t>
  </si>
  <si>
    <t>H_NDHM_0035</t>
  </si>
  <si>
    <t>H_NDHM_0036</t>
  </si>
  <si>
    <t>Shamayim</t>
  </si>
  <si>
    <t>H_NDHM_0001</t>
  </si>
  <si>
    <t>believe they are roommates, no minors</t>
  </si>
  <si>
    <t>Nitzanim</t>
  </si>
  <si>
    <t>Ananim</t>
  </si>
  <si>
    <t>Yamim</t>
  </si>
  <si>
    <t>Shemesh</t>
  </si>
  <si>
    <t>M4</t>
  </si>
  <si>
    <t>Kohavim</t>
  </si>
  <si>
    <t>Mayim Tamid Alef</t>
  </si>
  <si>
    <t>First Row of Collection Date</t>
  </si>
  <si>
    <t>Result Date Minus Collect Date</t>
  </si>
  <si>
    <t>APS
COLLECT DATE</t>
  </si>
  <si>
    <t>SUM RESULTS</t>
  </si>
  <si>
    <t>RESULT DATE
NUM TUBES</t>
  </si>
  <si>
    <t>DIFF
RESULT - COLLECT</t>
  </si>
  <si>
    <t>DATES where All Collect = Result Date</t>
  </si>
  <si>
    <t>Num Tubes Result Date same as Collect Date</t>
  </si>
  <si>
    <t>All Non-Null Tubes Resulted Same Day?</t>
  </si>
  <si>
    <t>APS
RESULT DATE</t>
  </si>
  <si>
    <t>Num Resulted = Num Collected?</t>
  </si>
  <si>
    <t>NAME: BS</t>
  </si>
  <si>
    <t>DATE: 2022-10-27</t>
  </si>
  <si>
    <t>RESULT</t>
  </si>
  <si>
    <t>GROUP</t>
  </si>
  <si>
    <t>SPONSOR EMAIL</t>
  </si>
  <si>
    <t>NUM PARTICIPANTS</t>
  </si>
  <si>
    <t>ARCHIVED?</t>
  </si>
  <si>
    <t>BATCH</t>
  </si>
  <si>
    <t>Collected</t>
  </si>
  <si>
    <t>220516-1</t>
  </si>
  <si>
    <t>220725-1</t>
  </si>
  <si>
    <t>220711-1</t>
  </si>
  <si>
    <t>Incomplete</t>
  </si>
  <si>
    <t>220509-1</t>
  </si>
  <si>
    <t>220606-1</t>
  </si>
  <si>
    <t>220523-1</t>
  </si>
  <si>
    <t>220502-1</t>
  </si>
  <si>
    <t>220601-1</t>
  </si>
  <si>
    <t>220613-1</t>
  </si>
  <si>
    <t>220912-1</t>
  </si>
  <si>
    <t>220427-1 mock</t>
  </si>
  <si>
    <t>220621-1</t>
  </si>
  <si>
    <t>220425-1 RUN MAYANA</t>
  </si>
  <si>
    <t>220627-1</t>
  </si>
  <si>
    <t>220718-1</t>
  </si>
  <si>
    <t>220419-1</t>
  </si>
  <si>
    <t>221003-1</t>
  </si>
  <si>
    <t>Add to APS?</t>
  </si>
  <si>
    <t>Missing from APS?</t>
  </si>
  <si>
    <t>APT Delete Code</t>
  </si>
  <si>
    <t>Missing Tube ID, Collect Date or Time? 0</t>
  </si>
  <si>
    <t>UPPER TUBE ID</t>
  </si>
  <si>
    <t>REPS UPPER TUBE ID</t>
  </si>
  <si>
    <t>NUM REP ROWS</t>
  </si>
  <si>
    <t>Missing Tube ID, Collect Date or Time? 4</t>
  </si>
  <si>
    <t>Missing Tube ID</t>
  </si>
  <si>
    <t>preDel Delete?</t>
  </si>
  <si>
    <t>Missing Comments</t>
  </si>
  <si>
    <t>1
Tube Timestamp</t>
  </si>
  <si>
    <t>2
SORTED UNIQUE Tube Timestamp</t>
  </si>
  <si>
    <t>AG1103__44697_0.190300925925926</t>
  </si>
  <si>
    <t>AG1224__44767_0.378877314814815</t>
  </si>
  <si>
    <t>AG1259__44753_0.252719907407407</t>
  </si>
  <si>
    <t>AG1419__44683_0.17806712962963</t>
  </si>
  <si>
    <t>AG1447___</t>
  </si>
  <si>
    <t>AG1523__44690_0.279513888888889</t>
  </si>
  <si>
    <t>AG1608__44718_0.156921296296296</t>
  </si>
  <si>
    <t>AG1637__44697_0.176759259259259</t>
  </si>
  <si>
    <t>AG1640__44704_0.190543981481482</t>
  </si>
  <si>
    <t>AG1713__44683_0.212569444444444</t>
  </si>
  <si>
    <t>AG1726__44676_0.351886574074074</t>
  </si>
  <si>
    <t>AG1821__44713_0.200763888888889</t>
  </si>
  <si>
    <t>AG1828__44704_0.224467592592593</t>
  </si>
  <si>
    <t>AG1844__44725_0.225231481481481</t>
  </si>
  <si>
    <t>AG1858__44816_0.169016203703704</t>
  </si>
  <si>
    <t>AG1866__44683_0.384201388888889</t>
  </si>
  <si>
    <t>AG213__44683_0.238263888888889</t>
  </si>
  <si>
    <t>AG2159__44697_0.322152777777778</t>
  </si>
  <si>
    <t>AG2164__44683_0.258171296296296</t>
  </si>
  <si>
    <t>AG2202__44718_0.299803240740741</t>
  </si>
  <si>
    <t>AG2246__44713_0.208599537037037</t>
  </si>
  <si>
    <t>AG252__44683_0.239907407407407</t>
  </si>
  <si>
    <t>AG256__44713_0.272789351851852</t>
  </si>
  <si>
    <t>AG299__44774_0.214212962962963</t>
  </si>
  <si>
    <t>AG302__44678_0.618460648148148</t>
  </si>
  <si>
    <t>AG307__44678_0.616342592592593</t>
  </si>
  <si>
    <t>AG4603__44733_0.340393518518519</t>
  </si>
  <si>
    <t>AG469__44690_0.170023148148148</t>
  </si>
  <si>
    <t>AG570__44697_0.268935185185185</t>
  </si>
  <si>
    <t>AG575__44683_0.174976851851852</t>
  </si>
  <si>
    <t>AG611__44733_0.212476851851852</t>
  </si>
  <si>
    <t>AG615__44718_0.202662037037037</t>
  </si>
  <si>
    <t>AG632__44678_0.616944444444444</t>
  </si>
  <si>
    <t>AG663__44712_0.186759259259259</t>
  </si>
  <si>
    <t>AG718__44713_0.179259259259259</t>
  </si>
  <si>
    <t>AG815__44690_0.243703703703704</t>
  </si>
  <si>
    <t>AG869__44678_0.618321759259259</t>
  </si>
  <si>
    <t>AG91__44683_0.177708333333333</t>
  </si>
  <si>
    <t>AG981__44678_0.618599537037037</t>
  </si>
  <si>
    <t>AH0916__44725_0.150706018518519</t>
  </si>
  <si>
    <t>AH1039__44690_0.202905092592593</t>
  </si>
  <si>
    <t>AH1119__44678_0.616793981481482</t>
  </si>
  <si>
    <t>AH1486__44713_0.183217592592593</t>
  </si>
  <si>
    <t>AH248__44767_0.30244212962963</t>
  </si>
  <si>
    <t>AH258__44712_0.792916666666667</t>
  </si>
  <si>
    <t>AH266__44690_0.280162037037037</t>
  </si>
  <si>
    <t>AH330__44704_0.187824074074074</t>
  </si>
  <si>
    <t>AH63__44697_0.318715277777778</t>
  </si>
  <si>
    <t>AH652__44739_0.188888888888889</t>
  </si>
  <si>
    <t>AH6802__44704_0.319513888888889</t>
  </si>
  <si>
    <t>AH6875__44713_0.203969907407407</t>
  </si>
  <si>
    <t>AH6926__44676_0.357002314814815</t>
  </si>
  <si>
    <t>AH6948__44713_0.838657407407408</t>
  </si>
  <si>
    <t>AH707__44718_0.17775462962963</t>
  </si>
  <si>
    <t>AH7209__44679_0.17568287037037</t>
  </si>
  <si>
    <t>AH7211__44704_0.178460648148148</t>
  </si>
  <si>
    <t>AH7225__44697_0.153611111111111</t>
  </si>
  <si>
    <t>AH7289__44704_0.218842592592593</t>
  </si>
  <si>
    <t>AH7292__44683_0.178321759259259</t>
  </si>
  <si>
    <t>AH7299__44683_0.17994212962963</t>
  </si>
  <si>
    <t>AH7369__44678_0.617337962962963</t>
  </si>
  <si>
    <t>AH7507__44678_0.617465277777778</t>
  </si>
  <si>
    <t>AH7650__44713_0.196666666666667</t>
  </si>
  <si>
    <t>AH772__44739_0.223287037037037</t>
  </si>
  <si>
    <t>Deleted, OK</t>
  </si>
  <si>
    <t>AH7931__44690_0.178703703703704</t>
  </si>
  <si>
    <t>AH7933__44718_0.211678240740741</t>
  </si>
  <si>
    <t>AH7951__44760_0.38087962962963</t>
  </si>
  <si>
    <t>AH80__44678_0.617847222222222</t>
  </si>
  <si>
    <t>AH8283__44747_0.198981481481481</t>
  </si>
  <si>
    <t>AH8325__44678_0.618171296296296</t>
  </si>
  <si>
    <t>AH8383__44760_0.21974537037037</t>
  </si>
  <si>
    <t>AH8656__44725_0.16587962962963</t>
  </si>
  <si>
    <t>AH8663__44738_0.767800925925926</t>
  </si>
  <si>
    <t>AH8765__44659_0.386122685185185</t>
  </si>
  <si>
    <t>AH8786__44725_0.201030092592593</t>
  </si>
  <si>
    <t>AH8860__44713_0.2053125</t>
  </si>
  <si>
    <t>AH9005__44678_0.616180555555556</t>
  </si>
  <si>
    <t>AH9070__44712_0.192650462962963</t>
  </si>
  <si>
    <t>AH9504__44683_0.278101851851852</t>
  </si>
  <si>
    <t>AH9625__44713_0.251759259259259</t>
  </si>
  <si>
    <t>AH9644__44725_0.233506944444444</t>
  </si>
  <si>
    <t>AH9668__44697_0.206840277777778</t>
  </si>
  <si>
    <t>AH9741__44718_0.213645833333333</t>
  </si>
  <si>
    <t>AJ5950__44704_0.156539351851852</t>
  </si>
  <si>
    <t>AJ7985__44697_0.202361111111111</t>
  </si>
  <si>
    <t>AJ8368__44718_0.236527777777778</t>
  </si>
  <si>
    <t>AJ8392__44683_0.2021875</t>
  </si>
  <si>
    <t>AJ8406__44670_0.487361111111111</t>
  </si>
  <si>
    <t>AJ8556__44690_0.213530092592593</t>
  </si>
  <si>
    <t>AJ8574__44696_0.748252314814815</t>
  </si>
  <si>
    <t>AJ8592__44718_0.193657407407407</t>
  </si>
  <si>
    <t>AJ8977__44697_0.209039351851852</t>
  </si>
  <si>
    <t>AJ9077__44837_0.198599537037037</t>
  </si>
  <si>
    <t>AJ9095__44678_0.618020833333333</t>
  </si>
  <si>
    <t>AJ9193__44703_0.781759259259259</t>
  </si>
  <si>
    <t>AJ9417__44683_0.209039351851852</t>
  </si>
  <si>
    <t>AJ9453__44683_0.197025462962963</t>
  </si>
  <si>
    <t>AJ9479__44704_0.218263888888889</t>
  </si>
  <si>
    <t>AJ9614__44725_0.200972222222222</t>
  </si>
  <si>
    <t>AJ9703__44683_0.236354166666667</t>
  </si>
  <si>
    <t>AJ9836__44767_0.206527777777778</t>
  </si>
  <si>
    <t>AK5211__44689_0.826030092592593</t>
  </si>
  <si>
    <t>AK5401__44666_0.496875</t>
  </si>
  <si>
    <t>AK5816__44678_0.616481481481482</t>
  </si>
  <si>
    <t>AK6656__44725_0.244351851851852</t>
  </si>
  <si>
    <t>AK6972__44713_0.197638888888889</t>
  </si>
  <si>
    <t>AK7133__44683_0.177210648148148</t>
  </si>
  <si>
    <t>AK7160__44678_0.617696759259259</t>
  </si>
  <si>
    <t>AK7529__44683_0.275763888888889</t>
  </si>
  <si>
    <t>TEST_04-28-22__44679_0.521516203703704</t>
  </si>
  <si>
    <t>TEST_0419-1__44670_0.46875</t>
  </si>
  <si>
    <t>TEST_0419-2__44670_0.469282407407407</t>
  </si>
  <si>
    <t>TEST_0419-3__44670_0.469930555555556</t>
  </si>
  <si>
    <t>NDHM</t>
  </si>
  <si>
    <t>Tab</t>
  </si>
  <si>
    <t>Step</t>
  </si>
  <si>
    <t>SETUP</t>
  </si>
  <si>
    <t>Std Tube ID Prefixes</t>
  </si>
  <si>
    <t>Delete Tube ID Prefixes (2)</t>
  </si>
  <si>
    <t>Duplicate TubeID but conclude different tubes, add x</t>
  </si>
  <si>
    <t>RAW_APT</t>
  </si>
  <si>
    <t>Delete extra rows at bottom</t>
  </si>
  <si>
    <t>Note</t>
  </si>
  <si>
    <t>extra</t>
  </si>
  <si>
    <t>Review Tube IDs</t>
  </si>
  <si>
    <r>
      <rPr>
        <rFont val="Arial"/>
        <b/>
        <color theme="1"/>
        <sz val="11.0"/>
        <u/>
      </rPr>
      <t>Delete</t>
    </r>
    <r>
      <rPr>
        <rFont val="Arial"/>
        <b/>
        <color theme="1"/>
        <sz val="11.0"/>
        <u/>
      </rPr>
      <t xml:space="preserve"> Code</t>
    </r>
  </si>
  <si>
    <t>Reason</t>
  </si>
  <si>
    <t xml:space="preserve">Join Note Cols: On the header row(2), paste "=COUNTA(P3:P)" starting at column P, and copy over to the right untill the function returns 0. </t>
  </si>
  <si>
    <t>AG</t>
  </si>
  <si>
    <t>HERO*</t>
  </si>
  <si>
    <t>### (only numbers)</t>
  </si>
  <si>
    <t>Use formulas to right in cols Q&amp;R and follow Loom instructions</t>
  </si>
  <si>
    <t>Loom video: Join Note Cols</t>
  </si>
  <si>
    <t>AJ</t>
  </si>
  <si>
    <t>MON*</t>
  </si>
  <si>
    <t>VARIOUS GOOD</t>
  </si>
  <si>
    <t>Non Std Prefix, Suspected Test</t>
  </si>
  <si>
    <r>
      <rPr>
        <rFont val="Arial"/>
        <color theme="1"/>
        <sz val="11.0"/>
      </rPr>
      <t xml:space="preserve">Fix </t>
    </r>
    <r>
      <rPr>
        <rFont val="Arial"/>
        <b/>
        <color theme="1"/>
        <sz val="11.0"/>
      </rPr>
      <t>Corrupted Rows</t>
    </r>
    <r>
      <rPr>
        <rFont val="Arial"/>
        <color theme="1"/>
        <sz val="11.0"/>
      </rPr>
      <t xml:space="preserve"> (misaligned fields from gsheet csv conversion) - not tracking (can’t be questionable)</t>
    </r>
  </si>
  <si>
    <t>AK</t>
  </si>
  <si>
    <t>*TEST*</t>
  </si>
  <si>
    <t>VARIOUS BAD</t>
  </si>
  <si>
    <t>FL Staff, many same day tubes</t>
  </si>
  <si>
    <t>RAW_APS</t>
  </si>
  <si>
    <r>
      <rPr>
        <rFont val="Arial"/>
        <color theme="1"/>
        <sz val="11.0"/>
      </rPr>
      <t xml:space="preserve">Fix </t>
    </r>
    <r>
      <rPr>
        <rFont val="Arial"/>
        <b/>
        <color theme="1"/>
        <sz val="11.0"/>
      </rPr>
      <t>Corrupted Rows</t>
    </r>
    <r>
      <rPr>
        <rFont val="Arial"/>
        <color theme="1"/>
        <sz val="11.0"/>
      </rPr>
      <t xml:space="preserve"> (misaligned fields from gsheet csv conversion) - not tracking (can’t be questionable)</t>
    </r>
  </si>
  <si>
    <t>FL</t>
  </si>
  <si>
    <t>DONTDELETE</t>
  </si>
  <si>
    <t>FL Staff Sponsor and Participant</t>
  </si>
  <si>
    <t>Data</t>
  </si>
  <si>
    <t>Copy cols in blocks from RAW_APS tab into Data tab - in blocks with space for Sponsor Email and Status</t>
  </si>
  <si>
    <t>FLB</t>
  </si>
  <si>
    <t>T*</t>
  </si>
  <si>
    <t>FL Staff No Participant, No Note</t>
  </si>
  <si>
    <t>Added from APT? Tubes</t>
  </si>
  <si>
    <t>FLE</t>
  </si>
  <si>
    <t>-*</t>
  </si>
  <si>
    <t>Bogus Participant Name</t>
  </si>
  <si>
    <t>Add from APT</t>
  </si>
  <si>
    <t>Copy the 2nd row down to include all the rows in RAW_APT</t>
  </si>
  <si>
    <t>FLM</t>
  </si>
  <si>
    <t>*APPIVO*</t>
  </si>
  <si>
    <t>Participant Same Day review</t>
  </si>
  <si>
    <t>FLT</t>
  </si>
  <si>
    <t>ZZZ</t>
  </si>
  <si>
    <t>Collection and Result times right after indicates test</t>
  </si>
  <si>
    <r>
      <rPr>
        <rFont val="Arial"/>
        <color theme="1"/>
        <sz val="11.0"/>
      </rPr>
      <t xml:space="preserve">Copy/Paste the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column data in place AS VALUES</t>
    </r>
  </si>
  <si>
    <t>MA</t>
  </si>
  <si>
    <t>JUMP</t>
  </si>
  <si>
    <t>In Delete Sponsor List</t>
  </si>
  <si>
    <r>
      <rPr>
        <rFont val="Arial"/>
        <color theme="1"/>
        <sz val="11.0"/>
      </rPr>
      <t xml:space="preserve">Sort by </t>
    </r>
    <r>
      <rPr>
        <rFont val="Arial"/>
        <b/>
        <color theme="1"/>
        <sz val="11.0"/>
      </rPr>
      <t>Missing from APS?</t>
    </r>
    <r>
      <rPr>
        <rFont val="Arial"/>
        <color theme="1"/>
        <sz val="11.0"/>
      </rPr>
      <t xml:space="preserve"> and </t>
    </r>
    <r>
      <rPr>
        <rFont val="Arial"/>
        <b/>
        <color theme="1"/>
        <sz val="11.0"/>
      </rPr>
      <t>Tube ID has replicates?</t>
    </r>
    <r>
      <rPr>
        <rFont val="Arial"/>
        <color theme="1"/>
        <sz val="11.0"/>
      </rPr>
      <t xml:space="preserve"> (Z-A), for each set of replicate Tube IDs where </t>
    </r>
    <r>
      <rPr>
        <rFont val="Arial"/>
        <b/>
        <color theme="1"/>
        <sz val="11.0"/>
      </rPr>
      <t xml:space="preserve">Missing from APS? </t>
    </r>
    <r>
      <rPr>
        <rFont val="Arial"/>
        <color theme="1"/>
        <sz val="11.0"/>
      </rPr>
      <t>= TRUE:</t>
    </r>
  </si>
  <si>
    <t>MAX</t>
  </si>
  <si>
    <t>Fix</t>
  </si>
  <si>
    <t>Note indicates test</t>
  </si>
  <si>
    <t>Mark replicate Tube ID rows to be deleted, use Delete Code 7</t>
  </si>
  <si>
    <t>Note indicates erroneous tube</t>
  </si>
  <si>
    <t>Check for replicate Tube ID rows that should be merged (use Delete Code 5.3 for the deleted row, Correction Code 4 for the kept row in this case)</t>
  </si>
  <si>
    <t>Positive result FL Staff sponsor</t>
  </si>
  <si>
    <r>
      <rPr>
        <rFont val="Arial"/>
        <color theme="1"/>
        <sz val="11.0"/>
      </rPr>
      <t xml:space="preserve">Sort by </t>
    </r>
    <r>
      <rPr>
        <rFont val="Arial"/>
        <b/>
        <color theme="1"/>
        <sz val="11.0"/>
      </rPr>
      <t>Add to APS?</t>
    </r>
    <r>
      <rPr>
        <rFont val="Arial"/>
        <color theme="1"/>
        <sz val="11.0"/>
      </rPr>
      <t xml:space="preserve"> (Z-A)</t>
    </r>
  </si>
  <si>
    <t>Null Result, FL Staff sponsor</t>
  </si>
  <si>
    <r>
      <rPr>
        <rFont val="Arial"/>
        <color theme="1"/>
        <sz val="11.0"/>
      </rPr>
      <t xml:space="preserve">For all rows where </t>
    </r>
    <r>
      <rPr>
        <rFont val="Arial"/>
        <b/>
        <color theme="1"/>
        <sz val="11.0"/>
      </rPr>
      <t>Add to APS?</t>
    </r>
    <r>
      <rPr>
        <rFont val="Arial"/>
        <color theme="1"/>
        <sz val="11.0"/>
      </rPr>
      <t xml:space="preserve"> is TRUE, copy/paste the column data (</t>
    </r>
    <r>
      <rPr>
        <rFont val="Arial"/>
        <b/>
        <color theme="1"/>
        <sz val="11.0"/>
      </rPr>
      <t>TUBE ID</t>
    </r>
    <r>
      <rPr>
        <rFont val="Arial"/>
        <color theme="1"/>
        <sz val="11.0"/>
      </rPr>
      <t xml:space="preserve"> through </t>
    </r>
    <r>
      <rPr>
        <rFont val="Arial"/>
        <b/>
        <color theme="1"/>
        <sz val="11.0"/>
      </rPr>
      <t>NOTE</t>
    </r>
    <r>
      <rPr>
        <rFont val="Arial"/>
        <color theme="1"/>
        <sz val="11.0"/>
      </rPr>
      <t>) as a single block into the Data tab</t>
    </r>
  </si>
  <si>
    <t>Null Result, Duplicate</t>
  </si>
  <si>
    <r>
      <rPr>
        <rFont val="Arial"/>
        <color theme="1"/>
        <sz val="11.0"/>
      </rPr>
      <t xml:space="preserve">For these rows just added, mark the column </t>
    </r>
    <r>
      <rPr>
        <rFont val="Arial"/>
        <b/>
        <color theme="1"/>
        <sz val="11.0"/>
      </rPr>
      <t xml:space="preserve">Added from APT? </t>
    </r>
    <r>
      <rPr>
        <rFont val="Arial"/>
        <color theme="1"/>
        <sz val="11.0"/>
      </rPr>
      <t>as TRUE, set others as FALSE</t>
    </r>
  </si>
  <si>
    <t>Null Result, Incomplete Status, Unique Tube ID</t>
  </si>
  <si>
    <r>
      <rPr>
        <rFont val="Arial"/>
        <color theme="1"/>
        <sz val="11.0"/>
      </rPr>
      <t xml:space="preserve">Do </t>
    </r>
    <r>
      <rPr>
        <rFont val="Arial"/>
        <b/>
        <color theme="1"/>
        <sz val="11.0"/>
      </rPr>
      <t xml:space="preserve">Initial Order </t>
    </r>
    <r>
      <rPr>
        <rFont val="Arial"/>
        <color theme="1"/>
        <sz val="11.0"/>
      </rPr>
      <t xml:space="preserve"> formula= above cell + 1 then copy and paste </t>
    </r>
    <r>
      <rPr>
        <rFont val="Arial"/>
        <i/>
        <color theme="1"/>
        <sz val="11.0"/>
      </rPr>
      <t>AS VALUES</t>
    </r>
    <r>
      <rPr>
        <rFont val="Arial"/>
        <color theme="1"/>
        <sz val="11.0"/>
      </rPr>
      <t xml:space="preserve"> for entire col</t>
    </r>
  </si>
  <si>
    <t>Null Result, No Participant, Minor or Note</t>
  </si>
  <si>
    <t>Counts Table</t>
  </si>
  <si>
    <r>
      <rPr>
        <rFont val="Arial"/>
        <color theme="1"/>
        <sz val="11.0"/>
      </rPr>
      <t>Do 'Counts Table'</t>
    </r>
    <r>
      <rPr>
        <rFont val="Arial"/>
        <b/>
        <color theme="1"/>
        <sz val="11.0"/>
      </rPr>
      <t xml:space="preserve"> </t>
    </r>
    <r>
      <rPr>
        <rFont val="Arial"/>
        <color theme="1"/>
        <sz val="11.0"/>
      </rPr>
      <t>- adjust formulas</t>
    </r>
  </si>
  <si>
    <t>Duplicate Minor row</t>
  </si>
  <si>
    <t>Make TUBE ID prefixes all uppercase - use UPPER formula and paste as values</t>
  </si>
  <si>
    <t>Duplicate Tube ID</t>
  </si>
  <si>
    <t>File</t>
  </si>
  <si>
    <t>Name Version = Before Delete Rows</t>
  </si>
  <si>
    <t>Pos Control</t>
  </si>
  <si>
    <t>FLAG ENTRIES FOR DELETION</t>
  </si>
  <si>
    <t>last updated: 12/3/22 11am RT</t>
  </si>
  <si>
    <t>Delete Sponsors (3)</t>
  </si>
  <si>
    <t xml:space="preserve">Review Staff Sponsor </t>
  </si>
  <si>
    <t>Correction Code</t>
  </si>
  <si>
    <r>
      <rPr>
        <rFont val="Arial"/>
        <b/>
        <color theme="1"/>
        <sz val="11.0"/>
      </rPr>
      <t xml:space="preserve">Sort </t>
    </r>
    <r>
      <rPr>
        <rFont val="Arial"/>
        <b/>
        <color theme="1"/>
        <sz val="11.0"/>
      </rPr>
      <t xml:space="preserve">by </t>
    </r>
    <r>
      <rPr>
        <rFont val="Arial"/>
        <b/>
        <i/>
        <color theme="1"/>
        <sz val="11.0"/>
      </rPr>
      <t>COLLECTION DATE + COLLECTION TIME</t>
    </r>
  </si>
  <si>
    <t>*guard*</t>
  </si>
  <si>
    <r>
      <rPr>
        <rFont val="Arial"/>
        <b/>
        <color theme="1"/>
        <sz val="11.0"/>
      </rPr>
      <t xml:space="preserve">set Delete Code </t>
    </r>
    <r>
      <rPr>
        <rFont val="Arial"/>
        <b/>
        <color theme="1"/>
        <sz val="11.0"/>
      </rPr>
      <t>=1 if collected before start date</t>
    </r>
  </si>
  <si>
    <t>and after end date</t>
  </si>
  <si>
    <t>SKIP</t>
  </si>
  <si>
    <t>Apple Tester</t>
  </si>
  <si>
    <t>look at top for tests (2) and bottom for blank collection date (5.4)</t>
  </si>
  <si>
    <t>custom result, see note</t>
  </si>
  <si>
    <r>
      <rPr>
        <rFont val="Arial"/>
        <b/>
        <color theme="1"/>
        <sz val="11.0"/>
      </rPr>
      <t xml:space="preserve">Sort </t>
    </r>
    <r>
      <rPr>
        <rFont val="Arial"/>
        <b/>
        <color theme="1"/>
        <sz val="11.0"/>
      </rPr>
      <t xml:space="preserve">by </t>
    </r>
    <r>
      <rPr>
        <rFont val="Arial"/>
        <b/>
        <i/>
        <color theme="1"/>
        <sz val="11.0"/>
      </rPr>
      <t>TUBE ID + PARTICIPANT FIRSTNAME</t>
    </r>
  </si>
  <si>
    <t>Null &gt; Negative, FL Staff Sponsor</t>
  </si>
  <si>
    <r>
      <rPr>
        <rFont val="Arial"/>
        <b/>
        <color theme="1"/>
        <sz val="11.0"/>
      </rPr>
      <t xml:space="preserve">set Delete Code </t>
    </r>
    <r>
      <rPr>
        <rFont val="Arial"/>
        <b/>
        <color theme="1"/>
        <sz val="11.0"/>
      </rPr>
      <t xml:space="preserve">=2 if in </t>
    </r>
    <r>
      <rPr>
        <rFont val="Arial"/>
        <b/>
        <color theme="1"/>
        <sz val="11.0"/>
      </rPr>
      <t>Delete Tube ID Prefixes</t>
    </r>
    <r>
      <rPr>
        <rFont val="Arial"/>
        <b/>
        <color theme="1"/>
        <sz val="11.0"/>
      </rPr>
      <t xml:space="preserve"> list</t>
    </r>
  </si>
  <si>
    <t>Null &gt; Negative, non FL Staff Sponsor</t>
  </si>
  <si>
    <t>review all rows where prefix changes</t>
  </si>
  <si>
    <t>changed to positive, see note</t>
  </si>
  <si>
    <r>
      <rPr>
        <rFont val="Arial"/>
        <b/>
        <color theme="1"/>
        <sz val="11.0"/>
      </rPr>
      <t>Sort</t>
    </r>
    <r>
      <rPr>
        <rFont val="Arial"/>
        <b/>
        <color theme="1"/>
        <sz val="11.0"/>
      </rPr>
      <t xml:space="preserve"> by </t>
    </r>
    <r>
      <rPr>
        <rFont val="Arial"/>
        <b/>
        <i/>
        <color theme="1"/>
        <sz val="11.0"/>
      </rPr>
      <t>Delete Code + SPONSOR FIRSTNAME + SPONSOR LASTNAME + COLLECTION DATE + COLLECTION TIME</t>
    </r>
  </si>
  <si>
    <t>Dummy User</t>
  </si>
  <si>
    <t>changed result to REVIEW</t>
  </si>
  <si>
    <r>
      <rPr>
        <rFont val="Arial"/>
        <color theme="1"/>
        <sz val="11.0"/>
      </rPr>
      <t>set</t>
    </r>
    <r>
      <rPr>
        <rFont val="Arial"/>
        <b/>
        <color theme="1"/>
        <sz val="11.0"/>
      </rPr>
      <t xml:space="preserve"> </t>
    </r>
    <r>
      <rPr>
        <rFont val="Arial"/>
        <color theme="1"/>
        <sz val="11.0"/>
      </rPr>
      <t>Delete = 3 if Sponsor is in Delete Sponsors list</t>
    </r>
  </si>
  <si>
    <t>NONE for Bend</t>
  </si>
  <si>
    <t>Google Tester</t>
  </si>
  <si>
    <t>Recollect - fix collection timestamp, sponsor</t>
  </si>
  <si>
    <t>Set Delete = 2.3 for FL Staff Self collected tests (many same day 2.2), can add col to left of Delete Code with IF(sponsor firstname=participant firstname)</t>
  </si>
  <si>
    <t>Capitalize TubeID prefix</t>
  </si>
  <si>
    <t>Search file CMD+F for "test" - Set Delete = 4 if note says Test or something similar, check FL Staff</t>
  </si>
  <si>
    <t>Removed Space</t>
  </si>
  <si>
    <t>Search file CMD+F for all FL Staff last names in Review Staff Sponsor list (use Correction Code=5.1 to flag for review)</t>
  </si>
  <si>
    <r>
      <rPr>
        <rFont val="Arial"/>
        <b/>
        <color theme="1"/>
        <sz val="11.0"/>
      </rPr>
      <t xml:space="preserve">Sort </t>
    </r>
    <r>
      <rPr>
        <rFont val="Arial"/>
        <b/>
        <color theme="1"/>
        <sz val="11.0"/>
      </rPr>
      <t>by Delete Code + RESULT + TUBE ID</t>
    </r>
  </si>
  <si>
    <t>For Review, Highlight</t>
  </si>
  <si>
    <r>
      <rPr>
        <rFont val="Arial"/>
        <b/>
        <color theme="1"/>
        <sz val="11.0"/>
      </rPr>
      <t>Review Duplicate TUBE IDS</t>
    </r>
    <r>
      <rPr>
        <rFont val="Arial"/>
        <b/>
        <color theme="1"/>
        <sz val="11.0"/>
      </rPr>
      <t xml:space="preserve"> in </t>
    </r>
    <r>
      <rPr>
        <rFont val="Arial"/>
        <b/>
        <i/>
        <color theme="1"/>
        <sz val="11.0"/>
      </rPr>
      <t xml:space="preserve">Recollect? </t>
    </r>
    <r>
      <rPr>
        <rFont val="Arial"/>
        <b/>
        <color theme="1"/>
        <sz val="11.0"/>
      </rPr>
      <t>column for tubes that were collected multiple times</t>
    </r>
  </si>
  <si>
    <t>FL Staff Remote Collected</t>
  </si>
  <si>
    <r>
      <rPr>
        <rFont val="Arial"/>
        <b/>
        <color theme="1"/>
        <sz val="11.0"/>
      </rPr>
      <t xml:space="preserve">Add Col </t>
    </r>
    <r>
      <rPr>
        <rFont val="Arial"/>
        <b/>
        <i/>
        <color theme="1"/>
        <sz val="11.0"/>
      </rPr>
      <t>Min Collect to Result</t>
    </r>
    <r>
      <rPr>
        <rFont val="Arial"/>
        <b/>
        <color theme="1"/>
        <sz val="11.0"/>
      </rPr>
      <t xml:space="preserve"> =IF(EXACT(N2,B2),(TIMEVALUE(O2)-TIMEVALUE(C2))*24*60,"") Del Code 2.7</t>
    </r>
  </si>
  <si>
    <t>Fix spelling error in name</t>
  </si>
  <si>
    <t>Review for Replicate Tube IDs</t>
  </si>
  <si>
    <t>sponsor copied to empty participant</t>
  </si>
  <si>
    <r>
      <rPr>
        <rFont val="Arial"/>
        <b/>
        <color theme="1"/>
        <sz val="11.0"/>
      </rPr>
      <t xml:space="preserve">Sort </t>
    </r>
    <r>
      <rPr>
        <rFont val="Arial"/>
        <b/>
        <color theme="1"/>
        <sz val="11.0"/>
      </rPr>
      <t>by TUBE ID, copy down Recollect? formula, copy and paste as values</t>
    </r>
  </si>
  <si>
    <t>Review Results</t>
  </si>
  <si>
    <r>
      <rPr>
        <rFont val="Arial"/>
        <b/>
        <color theme="1"/>
        <sz val="11.0"/>
      </rPr>
      <t>Sort again</t>
    </r>
    <r>
      <rPr>
        <rFont val="Arial"/>
        <b/>
        <color theme="1"/>
        <sz val="11.0"/>
      </rPr>
      <t xml:space="preserve"> by Recollect? (Z&gt;A) + TUBE ID - for TRUE merge rows, set Delete Code (5.3, highlight gray) and Correction Code (4, highlight orange)</t>
    </r>
  </si>
  <si>
    <t>Add from APT / Data</t>
  </si>
  <si>
    <r>
      <rPr>
        <rFont val="Arial"/>
        <b/>
        <color theme="1"/>
        <sz val="11.0"/>
      </rPr>
      <t>Compare to Add from APT</t>
    </r>
    <r>
      <rPr>
        <rFont val="Arial"/>
        <b/>
        <color theme="1"/>
        <sz val="11.0"/>
      </rPr>
      <t xml:space="preserve"> tab Replicate Tube IDs (highlighted) - adjust formulas and account for all</t>
    </r>
  </si>
  <si>
    <t>Select Delete?=TRUE rows - Sort by Result (Col M)</t>
  </si>
  <si>
    <t>Review All Positive and Inconclusive to confirm no errors in Delete?</t>
  </si>
  <si>
    <t>Update Counts Table: Values (Col D)</t>
  </si>
  <si>
    <r>
      <rPr>
        <rFont val="Arial"/>
        <b/>
        <color theme="1"/>
        <sz val="11.0"/>
      </rPr>
      <t xml:space="preserve">Name Version </t>
    </r>
    <r>
      <rPr>
        <rFont val="Arial"/>
        <b/>
        <color theme="1"/>
        <sz val="11.0"/>
      </rPr>
      <t>= Before Add Note Names</t>
    </r>
  </si>
  <si>
    <t>Invalid</t>
  </si>
  <si>
    <t>Inconclusive</t>
  </si>
  <si>
    <t>ADD NOTE NAMES</t>
  </si>
  <si>
    <t>last updated: 12/3/22 1pm RT</t>
  </si>
  <si>
    <t>Fail</t>
  </si>
  <si>
    <t>Open up collapsed cols for Add Names, copy formulas for all cols (Num Tube IDs to Preserve Note) to all rows</t>
  </si>
  <si>
    <t>always delete except exceptions noted as -1</t>
  </si>
  <si>
    <r>
      <rPr>
        <rFont val="Arial"/>
        <b/>
        <color theme="1"/>
        <sz val="11.0"/>
      </rPr>
      <t>Sort</t>
    </r>
    <r>
      <rPr>
        <rFont val="Arial"/>
        <b/>
        <color theme="1"/>
        <sz val="11.0"/>
      </rPr>
      <t xml:space="preserve"> by Delete? + Has Note? (Z-A) + NOTE + Collection Date</t>
    </r>
  </si>
  <si>
    <t>Admins for that Tenant</t>
  </si>
  <si>
    <t>Highlight all Delete?=TRUE rows in gray</t>
  </si>
  <si>
    <t>Add for Template</t>
  </si>
  <si>
    <r>
      <rPr>
        <rFont val="Arial"/>
        <b/>
        <color theme="1"/>
        <sz val="11.0"/>
      </rPr>
      <t>Update Counts Table</t>
    </r>
    <r>
      <rPr>
        <rFont val="Arial"/>
        <b/>
        <color theme="1"/>
        <sz val="11.0"/>
      </rPr>
      <t>: Non-Delete Counts (cols E,F,G)</t>
    </r>
  </si>
  <si>
    <r>
      <rPr>
        <rFont val="Arial"/>
        <color theme="1"/>
        <sz val="11.0"/>
      </rPr>
      <t xml:space="preserve">Fill out manually </t>
    </r>
    <r>
      <rPr>
        <rFont val="Arial"/>
        <b/>
        <color theme="1"/>
        <sz val="11.0"/>
      </rPr>
      <t xml:space="preserve">Add N Names - </t>
    </r>
    <r>
      <rPr>
        <rFont val="Arial"/>
        <color theme="1"/>
        <sz val="11.0"/>
      </rPr>
      <t>starting with rows with Delete Code &lt;1 (for all Has Note?=TRUE for Delete Code neg values, then jump to TRUE block)</t>
    </r>
  </si>
  <si>
    <r>
      <rPr>
        <rFont val="Arial"/>
        <color theme="1"/>
        <sz val="11.0"/>
      </rPr>
      <t xml:space="preserve">(Enter the number of names that need to be added from the </t>
    </r>
    <r>
      <rPr>
        <rFont val="Arial"/>
        <b/>
        <color theme="1"/>
        <sz val="11.0"/>
      </rPr>
      <t>NOTE</t>
    </r>
    <r>
      <rPr>
        <rFont val="Arial"/>
        <color theme="1"/>
        <sz val="11.0"/>
      </rPr>
      <t xml:space="preserve"> field. )</t>
    </r>
  </si>
  <si>
    <t>Leave blank if NOTE is something other than a name, flag Preserve Note if needed</t>
  </si>
  <si>
    <t>If Participant Names are wrong - do review per Bend Loom</t>
  </si>
  <si>
    <t>Use 0 for when there is a note name but no rows need to be added (replace Participant field)</t>
  </si>
  <si>
    <r>
      <rPr>
        <rFont val="Arial"/>
        <b/>
        <color theme="1"/>
        <sz val="11.0"/>
      </rPr>
      <t xml:space="preserve">Sort </t>
    </r>
    <r>
      <rPr>
        <rFont val="Arial"/>
        <b/>
        <color theme="1"/>
        <sz val="11.0"/>
      </rPr>
      <t>by Add N Names + Note</t>
    </r>
  </si>
  <si>
    <t>=COUNTIF(S$2:S$827,S2)</t>
  </si>
  <si>
    <t>Use 0.1 for when there are no participants (or replace) and 2 names in the Notes field</t>
  </si>
  <si>
    <r>
      <rPr>
        <rFont val="Arial"/>
        <color theme="1"/>
        <sz val="11.0"/>
      </rPr>
      <t xml:space="preserve">Copy </t>
    </r>
    <r>
      <rPr>
        <rFont val="Arial"/>
        <b/>
        <color theme="1"/>
        <sz val="11.0"/>
      </rPr>
      <t>FRAN</t>
    </r>
    <r>
      <rPr>
        <rFont val="Arial"/>
        <color theme="1"/>
        <sz val="11.0"/>
      </rPr>
      <t xml:space="preserve"> (entire col) and paste in place </t>
    </r>
    <r>
      <rPr>
        <rFont val="Arial"/>
        <i/>
        <color theme="1"/>
        <sz val="11.0"/>
      </rPr>
      <t>as values</t>
    </r>
  </si>
  <si>
    <t>=CONCATENATE(B2,I2)</t>
  </si>
  <si>
    <r>
      <rPr>
        <rFont val="Arial"/>
        <b/>
        <color theme="1"/>
        <sz val="11.0"/>
      </rPr>
      <t>Sort</t>
    </r>
    <r>
      <rPr>
        <rFont val="Arial"/>
        <b/>
        <color theme="1"/>
        <sz val="11.0"/>
      </rPr>
      <t xml:space="preserve"> by FRAN (Z-A), Add N names + Note</t>
    </r>
  </si>
  <si>
    <r>
      <rPr>
        <rFont val="Arial"/>
        <color theme="1"/>
        <sz val="11.0"/>
      </rPr>
      <t xml:space="preserve">For </t>
    </r>
    <r>
      <rPr>
        <rFont val="Arial"/>
        <b/>
        <color theme="1"/>
        <sz val="11.0"/>
      </rPr>
      <t>0 block</t>
    </r>
    <r>
      <rPr>
        <rFont val="Arial"/>
        <color theme="1"/>
        <sz val="11.0"/>
      </rPr>
      <t xml:space="preserve"> (Add N Names = 0, at top w FRAN=FALSE), enter Note Firstname and Note Lastname, and if needed Names Adjust, Note Name?=TRUE by formula</t>
    </r>
  </si>
  <si>
    <r>
      <rPr>
        <rFont val="Arial"/>
        <color theme="1"/>
        <sz val="11.0"/>
      </rPr>
      <t xml:space="preserve">For </t>
    </r>
    <r>
      <rPr>
        <rFont val="Arial"/>
        <b/>
        <color theme="1"/>
        <sz val="11.0"/>
      </rPr>
      <t xml:space="preserve">0.1 block </t>
    </r>
    <r>
      <rPr>
        <rFont val="Arial"/>
        <color theme="1"/>
        <sz val="11.0"/>
      </rPr>
      <t>(Add N Names = 0.1 at top w FRAN=FALSE), this is for when there are no participants and 2 names in the Notes field</t>
    </r>
  </si>
  <si>
    <t>Select block (entire rows), Copy block (cmd C), then insert rows above, then paste, set Note Name?=TRUE (careful, start at bottom)</t>
  </si>
  <si>
    <t>Add Note Names (manual row by row, tedious part) - If the last name is unknown leave blank</t>
  </si>
  <si>
    <t xml:space="preserve">Copy (don't cut) 3 Participant Cols to far right Orig Cols, then delete, then copy NOTE Firstname and NOTE Lastname to Participant </t>
  </si>
  <si>
    <r>
      <rPr>
        <rFont val="Arial"/>
        <color theme="1"/>
        <sz val="11.0"/>
      </rPr>
      <t xml:space="preserve">Repeat for </t>
    </r>
    <r>
      <rPr>
        <rFont val="Arial"/>
        <b/>
        <color theme="1"/>
        <sz val="11.0"/>
      </rPr>
      <t>0.2, 0.3, .04 blocks</t>
    </r>
  </si>
  <si>
    <r>
      <rPr>
        <rFont val="Arial"/>
        <color theme="1"/>
        <sz val="11.0"/>
      </rPr>
      <t xml:space="preserve">For </t>
    </r>
    <r>
      <rPr>
        <rFont val="Arial"/>
        <b/>
        <color theme="1"/>
        <sz val="11.0"/>
      </rPr>
      <t>1 block</t>
    </r>
    <r>
      <rPr>
        <rFont val="Arial"/>
        <color theme="1"/>
        <sz val="11.0"/>
      </rPr>
      <t xml:space="preserve"> (Add N Names = 1, FRAN=TRUE)</t>
    </r>
  </si>
  <si>
    <t xml:space="preserve">For inserted rows - Copy (don't cut) 3 Participant Cols to far right Orig Cols, then delete, then copy NOTE Firstname and NOTE Lastname to Participant </t>
  </si>
  <si>
    <r>
      <rPr>
        <rFont val="Arial"/>
        <color theme="1"/>
        <sz val="11.0"/>
      </rPr>
      <t xml:space="preserve">For </t>
    </r>
    <r>
      <rPr>
        <rFont val="Arial"/>
        <b/>
        <color theme="1"/>
        <sz val="11.0"/>
      </rPr>
      <t xml:space="preserve">2 Block </t>
    </r>
    <r>
      <rPr>
        <rFont val="Arial"/>
        <color theme="1"/>
        <sz val="11.0"/>
      </rPr>
      <t>(Add N Names = 2, FRAN=TRUE), same as above except insert rows twice</t>
    </r>
  </si>
  <si>
    <r>
      <rPr>
        <rFont val="Arial"/>
        <color theme="1"/>
        <sz val="11.0"/>
      </rPr>
      <t xml:space="preserve">For </t>
    </r>
    <r>
      <rPr>
        <rFont val="Arial"/>
        <b/>
        <color theme="1"/>
        <sz val="11.0"/>
      </rPr>
      <t>3 Block</t>
    </r>
    <r>
      <rPr>
        <rFont val="Arial"/>
        <color theme="1"/>
        <sz val="11.0"/>
      </rPr>
      <t xml:space="preserve"> (Add N Names = 3, FRAN=TRUE), same as above except insert rows 3 times</t>
    </r>
  </si>
  <si>
    <r>
      <rPr>
        <rFont val="Arial"/>
        <color theme="1"/>
        <sz val="11.0"/>
      </rPr>
      <t>For 4</t>
    </r>
    <r>
      <rPr>
        <rFont val="Arial"/>
        <b/>
        <color theme="1"/>
        <sz val="11.0"/>
      </rPr>
      <t xml:space="preserve"> Block</t>
    </r>
    <r>
      <rPr>
        <rFont val="Arial"/>
        <color theme="1"/>
        <sz val="11.0"/>
      </rPr>
      <t xml:space="preserve"> (Add N Names = 3, FRAN=TRUE), same as above except insert rows 4 times</t>
    </r>
  </si>
  <si>
    <r>
      <rPr>
        <rFont val="Arial"/>
        <b/>
        <color theme="1"/>
        <sz val="11.0"/>
      </rPr>
      <t>Sort</t>
    </r>
    <r>
      <rPr>
        <rFont val="Arial"/>
        <b/>
        <color theme="1"/>
        <sz val="11.0"/>
      </rPr>
      <t xml:space="preserve"> by Delete? + Participant Firstname + Participant Lastname</t>
    </r>
  </si>
  <si>
    <t>Review no last names to see if can add them (cmd down twice in lastname col)</t>
  </si>
  <si>
    <t>Review no participant and no minor names (if Null result delete code=5.5) - if needed highlight row and sort by Collection Date + Sponsor Firstname</t>
  </si>
  <si>
    <r>
      <rPr>
        <rFont val="Arial"/>
        <b/>
        <color theme="1"/>
        <sz val="11.0"/>
      </rPr>
      <t>Sort</t>
    </r>
    <r>
      <rPr>
        <rFont val="Arial"/>
        <b/>
        <color theme="1"/>
        <sz val="11.0"/>
      </rPr>
      <t xml:space="preserve"> by Delete? + Participant Firstname + Participant Lastname</t>
    </r>
  </si>
  <si>
    <t>Update Counts Table, cut and past as values into ADD NOTE NAMES COL - check green highlighted cells</t>
  </si>
  <si>
    <t>Name the current version in File &gt; Version History as "Add Note Names completed"</t>
  </si>
  <si>
    <t>ADD PROGRAM NAME (IF APPLICABLE)</t>
  </si>
  <si>
    <t>Add Program Name</t>
  </si>
  <si>
    <t>If splitting the raw export file into multiple programs, create a new tab "Add Program Name"</t>
  </si>
  <si>
    <t>On this tab, include all relevant details, criteria, and steps used to apply Program Name to each row</t>
  </si>
  <si>
    <t>On the "Corrected APS Data PHI - preDEL" tab, add a new column Split Program Name</t>
  </si>
  <si>
    <r>
      <rPr>
        <rFont val="Arial"/>
        <color theme="1"/>
        <sz val="11.0"/>
      </rPr>
      <t xml:space="preserve">Apply the steps &amp; criteria described on the "Add Program Name" tab to fill in the </t>
    </r>
    <r>
      <rPr>
        <rFont val="Arial"/>
        <b/>
        <color theme="1"/>
        <sz val="11.0"/>
      </rPr>
      <t>Split Program Name</t>
    </r>
    <r>
      <rPr>
        <rFont val="Arial"/>
        <color theme="1"/>
        <sz val="11.0"/>
      </rPr>
      <t xml:space="preserve"> column</t>
    </r>
  </si>
  <si>
    <t>START POST DATA WORK</t>
  </si>
  <si>
    <t>Data (postDel)</t>
  </si>
  <si>
    <t>Duplicate the "APS Data PHI - preDEL" tab, rename the new tab to "APS Data PHI - postDEL"</t>
  </si>
  <si>
    <r>
      <rPr>
        <rFont val="Arial"/>
        <color theme="1"/>
        <sz val="11.0"/>
      </rPr>
      <t xml:space="preserve">Delete all rows where </t>
    </r>
    <r>
      <rPr>
        <rFont val="Arial"/>
        <b/>
        <color theme="1"/>
        <sz val="11.0"/>
      </rPr>
      <t xml:space="preserve">Flag to Delete? </t>
    </r>
    <r>
      <rPr>
        <rFont val="Arial"/>
        <color theme="1"/>
        <sz val="11.0"/>
      </rPr>
      <t>is marked as TRUE</t>
    </r>
  </si>
  <si>
    <t>PERSON TABLE, ADD PERSON ID</t>
  </si>
  <si>
    <r>
      <rPr>
        <rFont val="Arial"/>
        <color theme="1"/>
        <sz val="11.0"/>
      </rPr>
      <t xml:space="preserve">Extend the formulas from </t>
    </r>
    <r>
      <rPr>
        <rFont val="Arial"/>
        <b/>
        <color theme="1"/>
        <sz val="11.0"/>
      </rPr>
      <t>Sponsor (Person ID)</t>
    </r>
    <r>
      <rPr>
        <rFont val="Arial"/>
        <color theme="1"/>
        <sz val="11.0"/>
      </rPr>
      <t xml:space="preserve"> to </t>
    </r>
    <r>
      <rPr>
        <rFont val="Arial"/>
        <b/>
        <color theme="1"/>
        <sz val="11.0"/>
      </rPr>
      <t>Combined Participant Name</t>
    </r>
    <r>
      <rPr>
        <rFont val="Arial"/>
        <color theme="1"/>
        <sz val="11.0"/>
      </rPr>
      <t xml:space="preserve"> to match the length of the full dataset</t>
    </r>
  </si>
  <si>
    <t>Person</t>
  </si>
  <si>
    <r>
      <rPr>
        <rFont val="Arial"/>
        <color theme="1"/>
        <sz val="11.0"/>
      </rPr>
      <t xml:space="preserve">Copy the contents of the </t>
    </r>
    <r>
      <rPr>
        <rFont val="Arial"/>
        <b/>
        <color theme="1"/>
        <sz val="11.0"/>
      </rPr>
      <t>Sponsor Name</t>
    </r>
    <r>
      <rPr>
        <rFont val="Arial"/>
        <color theme="1"/>
        <sz val="11.0"/>
      </rPr>
      <t xml:space="preserve"> (the full name) column from the "APS Data PHI - postDEL", paste AS VALUES into the </t>
    </r>
    <r>
      <rPr>
        <rFont val="Arial"/>
        <b/>
        <color theme="1"/>
        <sz val="11.0"/>
      </rPr>
      <t>Full Name</t>
    </r>
    <r>
      <rPr>
        <rFont val="Arial"/>
        <color theme="1"/>
        <sz val="11.0"/>
      </rPr>
      <t xml:space="preserve"> column on the "Person" tab</t>
    </r>
  </si>
  <si>
    <r>
      <rPr>
        <rFont val="Arial"/>
        <color theme="1"/>
        <sz val="11.0"/>
      </rPr>
      <t xml:space="preserve">Copy the contents of the Combined Participant Name column from the "APS Data PHI - postDEL", paste AS VALUES into the </t>
    </r>
    <r>
      <rPr>
        <rFont val="Arial"/>
        <b/>
        <color theme="1"/>
        <sz val="11.0"/>
      </rPr>
      <t>Full Name</t>
    </r>
    <r>
      <rPr>
        <rFont val="Arial"/>
        <color theme="1"/>
        <sz val="11.0"/>
      </rPr>
      <t xml:space="preserve"> column on the "Person" tab beneath the existing entries</t>
    </r>
  </si>
  <si>
    <r>
      <rPr>
        <rFont val="Arial"/>
        <color theme="1"/>
        <sz val="11.0"/>
      </rPr>
      <t xml:space="preserve">Remove duplicates in the </t>
    </r>
    <r>
      <rPr>
        <rFont val="Arial"/>
        <b/>
        <color theme="1"/>
        <sz val="11.0"/>
      </rPr>
      <t>All Names</t>
    </r>
    <r>
      <rPr>
        <rFont val="Arial"/>
        <color theme="1"/>
        <sz val="11.0"/>
      </rPr>
      <t xml:space="preserve"> column</t>
    </r>
  </si>
  <si>
    <r>
      <rPr>
        <rFont val="Arial"/>
        <color theme="1"/>
        <sz val="11.0"/>
      </rPr>
      <t xml:space="preserve">Sort by </t>
    </r>
    <r>
      <rPr>
        <rFont val="Arial"/>
        <b/>
        <color theme="1"/>
        <sz val="11.0"/>
      </rPr>
      <t>All Names</t>
    </r>
    <r>
      <rPr>
        <rFont val="Arial"/>
        <color theme="1"/>
        <sz val="11.0"/>
      </rPr>
      <t xml:space="preserve">, </t>
    </r>
    <r>
      <rPr>
        <rFont val="Arial"/>
        <b/>
        <color theme="1"/>
        <sz val="11.0"/>
      </rPr>
      <t>CLEANUP STEP</t>
    </r>
    <r>
      <rPr>
        <rFont val="Arial"/>
        <color theme="1"/>
        <sz val="11.0"/>
      </rPr>
      <t>: verify that no names are duplicated, fix multiple names for same person, name misspellings that create multiple names for same person, etc.</t>
    </r>
  </si>
  <si>
    <t>Check for full names in the First Name field - correct into split First and Last Names</t>
  </si>
  <si>
    <t>Propagate any changes at this step to the Data preDel tab</t>
  </si>
  <si>
    <t>Enter remaining column data</t>
  </si>
  <si>
    <t>If a minor or individual is found in the accounts csv but not Appivo portal, add them to the Person tab, fill out remaining row</t>
  </si>
  <si>
    <r>
      <rPr>
        <rFont val="Arial"/>
        <color theme="1"/>
        <sz val="11.0"/>
      </rPr>
      <t xml:space="preserve">Use </t>
    </r>
    <r>
      <rPr>
        <rFont val="Arial"/>
        <b/>
        <color theme="1"/>
        <sz val="11.0"/>
      </rPr>
      <t>Name in Appivo?</t>
    </r>
    <r>
      <rPr>
        <rFont val="Arial"/>
        <color theme="1"/>
        <sz val="11.0"/>
      </rPr>
      <t xml:space="preserve"> on postDel tab to identify cases where Appivo Role is "note name only"</t>
    </r>
  </si>
  <si>
    <t>Check Accounts csv (if applicable) and populate "Household ID," "HH code," "cohort," "Account CSV Designation," and "Relation" based on that</t>
  </si>
  <si>
    <t>If no Accounts csv, reference the deployment spreadsheet for raw data as available (i.e. Carillon)</t>
  </si>
  <si>
    <t>Check Appivo portal's App Users tab to populate "Appivo Role" (adults from Accounts CSV are given sponsor role by Appivo back end), "Appivo Group", and "Consent" fields</t>
  </si>
  <si>
    <t>Check orgstaff member roles in portal (may be Admin, may be superpsonsor)</t>
  </si>
  <si>
    <t>For all other individuals, search the Data preDel tab to fill in "HH code" and other fields as possible (Individuals who are repeatedly collected together in samples and notes are likely part of the same household)</t>
  </si>
  <si>
    <t>For no last name rows - fill in last names when confident while assigning HH IDs, update preDel tab with any changes</t>
  </si>
  <si>
    <t>Replace Data (postDel): Delete Data (postDel) tab, re-duplicate Data (preDel) &amp; rename to Data (postDel)</t>
  </si>
  <si>
    <t>gsheet: Random Number List for DeID Keys</t>
  </si>
  <si>
    <t>RandNumList</t>
  </si>
  <si>
    <r>
      <rPr>
        <rFont val="Arial"/>
        <color theme="1"/>
        <sz val="11.0"/>
      </rPr>
      <t xml:space="preserve">In the </t>
    </r>
    <r>
      <rPr>
        <rFont val="Arial"/>
        <b/>
        <color theme="1"/>
        <sz val="11.0"/>
      </rPr>
      <t>Random Number List</t>
    </r>
    <r>
      <rPr>
        <rFont val="Arial"/>
        <color theme="1"/>
        <sz val="11.0"/>
      </rPr>
      <t xml:space="preserve"> file (link above), copy a set of Random Numbers from the "Not In Use" tab to the "In Use" tab (size of set equal to number of Person IDs needed)</t>
    </r>
  </si>
  <si>
    <t>Keep Random Numbers grouped together according to Program, but DO NOT SORT based on the Random Number</t>
  </si>
  <si>
    <t>Remove Random Numbers on In Use tab from the Not In Use tab</t>
  </si>
  <si>
    <t>Fill out the Program 4 Chars on the In Use tab</t>
  </si>
  <si>
    <t>Extend the formula in the Person ID column to generate Person IDs</t>
  </si>
  <si>
    <r>
      <rPr>
        <rFont val="Arial"/>
        <color theme="1"/>
        <sz val="11.0"/>
      </rPr>
      <t xml:space="preserve">Copy/Paste Person IDs from Random Number List into APS Person tab </t>
    </r>
    <r>
      <rPr>
        <rFont val="Arial"/>
        <i/>
        <color theme="1"/>
        <sz val="11.0"/>
      </rPr>
      <t>AS VALUES</t>
    </r>
  </si>
  <si>
    <r>
      <rPr>
        <rFont val="Arial"/>
        <color theme="1"/>
        <sz val="11.0"/>
      </rPr>
      <t xml:space="preserve">Check that the Person tab is sorted by </t>
    </r>
    <r>
      <rPr>
        <rFont val="Arial"/>
        <b/>
        <color theme="1"/>
        <sz val="11.0"/>
      </rPr>
      <t>All Names</t>
    </r>
    <r>
      <rPr>
        <rFont val="Arial"/>
        <color theme="1"/>
        <sz val="11.0"/>
      </rPr>
      <t xml:space="preserve"> - it is CRITICAL that the DeID Key must be sorted by </t>
    </r>
    <r>
      <rPr>
        <rFont val="Arial"/>
        <b/>
        <color theme="1"/>
        <sz val="11.0"/>
      </rPr>
      <t>All Names</t>
    </r>
    <r>
      <rPr>
        <rFont val="Arial"/>
        <color theme="1"/>
        <sz val="11.0"/>
      </rPr>
      <t xml:space="preserve"> in order for Person ID assignment to function properly</t>
    </r>
  </si>
  <si>
    <r>
      <rPr>
        <rFont val="Arial"/>
        <color theme="1"/>
        <sz val="11.0"/>
      </rPr>
      <t xml:space="preserve">Copy/Paste the </t>
    </r>
    <r>
      <rPr>
        <rFont val="Arial"/>
        <b/>
        <color theme="1"/>
        <sz val="11.0"/>
      </rPr>
      <t>Sponsor (Person ID)</t>
    </r>
    <r>
      <rPr>
        <rFont val="Arial"/>
        <color theme="1"/>
        <sz val="11.0"/>
      </rPr>
      <t xml:space="preserve"> and </t>
    </r>
    <r>
      <rPr>
        <rFont val="Arial"/>
        <b/>
        <color theme="1"/>
        <sz val="11.0"/>
      </rPr>
      <t>Participant (Person ID)</t>
    </r>
    <r>
      <rPr>
        <rFont val="Arial"/>
        <color theme="1"/>
        <sz val="11.0"/>
      </rPr>
      <t xml:space="preserve"> columns </t>
    </r>
    <r>
      <rPr>
        <rFont val="Arial"/>
        <i/>
        <color theme="1"/>
        <sz val="11.0"/>
      </rPr>
      <t>AS VALUES</t>
    </r>
    <r>
      <rPr>
        <rFont val="Arial"/>
        <color theme="1"/>
        <sz val="11.0"/>
      </rPr>
      <t xml:space="preserve"> in place</t>
    </r>
  </si>
  <si>
    <t>Name the current version in File &gt; Version History as "Person Table Completed"</t>
  </si>
  <si>
    <t>WRAPUP: POPULATE TABS</t>
  </si>
  <si>
    <t>APS Tubes PHI</t>
  </si>
  <si>
    <r>
      <rPr>
        <rFont val="Arial"/>
        <color theme="1"/>
        <sz val="11.0"/>
      </rPr>
      <t xml:space="preserve">Sort the Person tab by </t>
    </r>
    <r>
      <rPr>
        <rFont val="Arial"/>
        <b/>
        <color theme="1"/>
        <sz val="11.0"/>
      </rPr>
      <t>Full Name</t>
    </r>
    <r>
      <rPr>
        <rFont val="Arial"/>
        <color theme="1"/>
        <sz val="11.0"/>
      </rPr>
      <t xml:space="preserve"> (A-Z)</t>
    </r>
  </si>
  <si>
    <t>Check / extend formulas in APS Tubes PHI tab to make sure that the columns are filling correctly</t>
  </si>
  <si>
    <r>
      <rPr>
        <rFont val="Arial"/>
        <color theme="1"/>
        <sz val="11.0"/>
      </rPr>
      <t xml:space="preserve">Copy/paste the </t>
    </r>
    <r>
      <rPr>
        <rFont val="Arial"/>
        <b/>
        <color theme="1"/>
        <sz val="11.0"/>
      </rPr>
      <t>Sponsor Person ID</t>
    </r>
    <r>
      <rPr>
        <rFont val="Arial"/>
        <color theme="1"/>
        <sz val="11.0"/>
      </rPr>
      <t xml:space="preserve"> column in place </t>
    </r>
    <r>
      <rPr>
        <rFont val="Arial"/>
        <i/>
        <color theme="1"/>
        <sz val="11.0"/>
      </rPr>
      <t>AS VALUES</t>
    </r>
  </si>
  <si>
    <t>CD APS</t>
  </si>
  <si>
    <t>Copy/paste column data from Data postDel - in 3 chunks, Person IDs cols Paste as Values, past entire cols then delete 2nd header row</t>
  </si>
  <si>
    <t>APS by Date</t>
  </si>
  <si>
    <t>Check / extend formulas to make sure that the columns are filling correctly</t>
  </si>
  <si>
    <r>
      <rPr>
        <rFont val="Arial"/>
        <color theme="1"/>
        <sz val="11.0"/>
      </rPr>
      <t xml:space="preserve">Check the 'MATCH NUM SAMPLES' col in the </t>
    </r>
    <r>
      <rPr>
        <rFont val="Arial"/>
        <b/>
        <color theme="1"/>
        <sz val="11.0"/>
      </rPr>
      <t>APS by Date</t>
    </r>
    <r>
      <rPr>
        <rFont val="Arial"/>
        <color theme="1"/>
        <sz val="11.0"/>
      </rPr>
      <t xml:space="preserve"> tab - all values should be TRUE</t>
    </r>
  </si>
  <si>
    <t>For any cases where MATCH NUM SAMPLES = FALSE, resolve the discrepancy</t>
  </si>
  <si>
    <t>CD APS Tubes</t>
  </si>
  <si>
    <t>Check / extend formulas in CD APS Tubes tab to make sure that the columns are filling correctly</t>
  </si>
  <si>
    <t>CD APS &amp; CD APS Tubes</t>
  </si>
  <si>
    <t>Move a copy of the CD APS and CD APS Tubes tab to a new Gsheet in the deployment's deidentified Data folder</t>
  </si>
  <si>
    <t>Name the current version in File &gt; Version History as "CD APS completed"</t>
  </si>
  <si>
    <t>APS Template v4.2 WIP</t>
  </si>
  <si>
    <t>https://docs.google.com/spreadsheets/d/1BhplIZ6Ky5t86SOqU_WUaxt-v3eoSSII2AiFA6BfqYw/edit#gid=1761983769</t>
  </si>
  <si>
    <t>RT</t>
  </si>
  <si>
    <t>cols to END</t>
  </si>
  <si>
    <t>LOG</t>
  </si>
  <si>
    <t>APS Data PHI - preDEL</t>
  </si>
  <si>
    <t>Formula Dev &gt;&gt;</t>
  </si>
  <si>
    <t>$A9:$AZ9</t>
  </si>
  <si>
    <t>&lt;&lt; Omitted for Match Check</t>
  </si>
  <si>
    <t>filterDEL</t>
  </si>
  <si>
    <t>APS Data PHI - postDEL</t>
  </si>
  <si>
    <t>Rollup</t>
  </si>
  <si>
    <t>Header Bool</t>
  </si>
  <si>
    <t>Formula Bool</t>
  </si>
  <si>
    <t>hard coded import rows at 25 - ignore anything after END</t>
  </si>
  <si>
    <t>APS CHECK SUM MAIN</t>
  </si>
  <si>
    <t>BS</t>
  </si>
  <si>
    <t>RAW_APS Total Rows</t>
  </si>
  <si>
    <t>Total Rows</t>
  </si>
  <si>
    <t>Delete Rows (from Delete? col)</t>
  </si>
  <si>
    <t>Keep Rows (Total - Delete)</t>
  </si>
  <si>
    <t>Note Name Rows (from Note Name? col)</t>
  </si>
  <si>
    <t>Rows with Add from APT = TRUE</t>
  </si>
  <si>
    <t>not relevant because all are Add Note Name</t>
  </si>
  <si>
    <t>Initial Add from APT (from Add from APT tab)</t>
  </si>
  <si>
    <t>should all have Note names added or be marked for deletion (not both)</t>
  </si>
  <si>
    <t>Note Name Rows Extra (excludes orig row) - Formula</t>
  </si>
  <si>
    <t>preDel must be sorted by Tube ID + Note Firstname</t>
  </si>
  <si>
    <t>Note Name Rows Extra (excludes orig row) - Value</t>
  </si>
  <si>
    <t xml:space="preserve">paste as value </t>
  </si>
  <si>
    <t>CHECK SUM for preDEL TOTAL ROWS</t>
  </si>
  <si>
    <t>RAW_APS total rows + APT added + Note Name Rows Extra</t>
  </si>
  <si>
    <t>Total Rows in postDel</t>
  </si>
  <si>
    <t>Sum Person Samples</t>
  </si>
  <si>
    <t>NAME CHECKS</t>
  </si>
  <si>
    <t>SUM Note Name Cols</t>
  </si>
  <si>
    <t>excludes deleted</t>
  </si>
  <si>
    <t>Count Note Name? TRUE - includes deleted rows</t>
  </si>
  <si>
    <t>Deleted Note Name rows</t>
  </si>
  <si>
    <t>paste as value after using Cur Bool =IF(AND(AG2,X2),TRUE,IFERROR(0/0))</t>
  </si>
  <si>
    <t>Blank Combined Names</t>
  </si>
  <si>
    <t>Delete Codes</t>
  </si>
  <si>
    <t>Current Codes</t>
  </si>
  <si>
    <t>Del Code</t>
  </si>
  <si>
    <t>Present?</t>
  </si>
  <si>
    <t>Tube ID blank</t>
  </si>
  <si>
    <t>Duplicate TubeID conclude mistake and delete</t>
  </si>
  <si>
    <t>plan to delete this one after remapping</t>
  </si>
  <si>
    <t>In Delete Tube ID Prefix List</t>
  </si>
  <si>
    <t>Non Std Prefix and Result=Fail</t>
  </si>
  <si>
    <t>Note states other participants added as Note Names</t>
  </si>
  <si>
    <t>review</t>
  </si>
  <si>
    <t>Positive result FL Staff sponsor and Participant</t>
  </si>
  <si>
    <t>review these because I added participant</t>
  </si>
  <si>
    <t>Null Result, Replicate Tube ID - other replicate kept, add del to Tube ID</t>
  </si>
  <si>
    <t>added other replicate kept, 7.3 is where all are del</t>
  </si>
  <si>
    <t>needs more info, review these</t>
  </si>
  <si>
    <t>Replicate Tube ID</t>
  </si>
  <si>
    <t>Replicate Tube ID - Extra Note Name Add Error</t>
  </si>
  <si>
    <t>Replicate Tube ID - recollected, add del to end of Tube ID (not NULL result)</t>
  </si>
  <si>
    <t>Replicate Tube IDs - Null results, all deleted</t>
  </si>
  <si>
    <t>Replicate Tube ID - different participant email address</t>
  </si>
  <si>
    <t>new for COSP fgmolino</t>
  </si>
  <si>
    <t>Saliva sample</t>
  </si>
  <si>
    <t>No Collection Date, Null result</t>
  </si>
  <si>
    <t>Null, delete in Reconcile w RFR</t>
  </si>
  <si>
    <t>Null, suspected corrupt APS Raw row - see note</t>
  </si>
  <si>
    <t>Not in LUM</t>
  </si>
  <si>
    <t>Internal sync specific - see notes for program</t>
  </si>
  <si>
    <t>Basic Correction Codes</t>
  </si>
  <si>
    <t>BCor Code</t>
  </si>
  <si>
    <t>REMOVE THESE CODES FROM HERE</t>
  </si>
  <si>
    <t>Replicate TubeID but conclude different tubes, add x or a,b,c</t>
  </si>
  <si>
    <t>Tube ID field blank - add BLANK1, 2, 3 ,etc if marked for deletion</t>
  </si>
  <si>
    <t>Replicate Tube ID and participant in other tube on same day, add suffix "DEL" to Tube ID and also mark for deletion (1.1)</t>
  </si>
  <si>
    <t>Tube ID Replicate with lowercase, make uppercase and add suffix a</t>
  </si>
  <si>
    <t>Add to Collection - same day same sponsor, add later people to early time that is resulted</t>
  </si>
  <si>
    <t>plan to remove this one</t>
  </si>
  <si>
    <t>what is the corrective action?</t>
  </si>
  <si>
    <t>Blank first name, move last name to first name</t>
  </si>
  <si>
    <t>Adjust capitalization in name</t>
  </si>
  <si>
    <t>Appivo name merged into another Appivo name (e.g. diminuitive or remove middle name)</t>
  </si>
  <si>
    <t>why do this?</t>
  </si>
  <si>
    <t>incorrect nested minor, move from Minor cols to Participant Cols</t>
  </si>
  <si>
    <t>uncollected person in participant col, remove name there and add Note Name</t>
  </si>
  <si>
    <t>modify app group - see correction notes</t>
  </si>
  <si>
    <t>Result Correction Codes</t>
  </si>
  <si>
    <t>RCor Code</t>
  </si>
  <si>
    <t>Null to Neg to reconcile run tube count</t>
  </si>
  <si>
    <t>Null to Neg for recollect</t>
  </si>
  <si>
    <t>find and remap</t>
  </si>
  <si>
    <t>Null to Pos</t>
  </si>
  <si>
    <t>Null to Pos for recollect</t>
  </si>
  <si>
    <t>History</t>
  </si>
  <si>
    <t>\</t>
  </si>
  <si>
    <t>Check Sum OK</t>
  </si>
  <si>
    <t>2-08 15:10 BS</t>
  </si>
  <si>
    <t>=ROWS(RAW_APS!A$3:A)</t>
  </si>
  <si>
    <t>=ROWS('APS Data PHI - preDEL'!A$2:A)</t>
  </si>
  <si>
    <t>=COUNTIF('APS Data PHI - preDEL'!$AG2:$AG,TRUE)</t>
  </si>
  <si>
    <t>=D3-D4</t>
  </si>
  <si>
    <t>=COUNTIF('APS Data PHI - preDEL'!X$2:X,TRUE)</t>
  </si>
  <si>
    <t>=COUNTIF('APS Data PHI - preDEL'!AD$2:AD,TRUE)</t>
  </si>
  <si>
    <t>='Add from APT'!S1</t>
  </si>
  <si>
    <t>='APS Data PHI - preDEL'!AY1</t>
  </si>
  <si>
    <t>=D2+D10+D8</t>
  </si>
  <si>
    <t>=ROWS('APS Data PHI - postDEL'!$A$2:$A)-COUNTBLANK('APS Data PHI - postDEL'!$A$2:$A)</t>
  </si>
  <si>
    <t>=SUM(INDIRECT(CONCATENATE(F!A37,"!D2:D")))</t>
  </si>
  <si>
    <t>=AND(D16+D18=D17,D19=0)</t>
  </si>
  <si>
    <t>=SUM('APS Data PHI - preDEL'!AW2:AW)</t>
  </si>
  <si>
    <t>=COUNTBLANK('APS Data PHI - preDEL'!$AR$2:$AR)</t>
  </si>
  <si>
    <t>Count = 0</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</si>
</sst>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
    <numFmt numFmtId="165" formatCode="0.0%"/>
    <numFmt numFmtId="166" formatCode="yyyy-mm-dd"/>
    <numFmt numFmtId="167" formatCode="h:mm:ss am/pm"/>
    <numFmt numFmtId="168" formatCode="m/d"/>
    <numFmt numFmtId="169" formatCode="m&quot;/&quot;d&quot; &quot;h&quot;:&quot;mm"/>
  </numFmts>
  <fonts count="51">
    <font>
      <sz val="10.0"/>
      <color rgb="FF000000"/>
      <name val="Arial"/>
      <scheme val="minor"/>
    </font>
    <font>
      <u/>
      <sz val="10.0"/>
      <color theme="1"/>
      <name val="Arial"/>
      <scheme val="minor"/>
    </font>
    <font>
      <color theme="1"/>
      <name val="Arial"/>
      <scheme val="minor"/>
    </font>
    <font>
      <color theme="1"/>
      <name val="Arial"/>
    </font>
    <font>
      <b/>
      <color theme="1"/>
      <name val="Arial"/>
    </font>
    <font>
      <b/>
      <u/>
      <sz val="12.0"/>
      <color theme="1"/>
      <name val="Arial"/>
    </font>
    <font>
      <color rgb="FF000000"/>
      <name val="Arial"/>
      <scheme val="minor"/>
    </font>
    <font>
      <b/>
      <u/>
      <sz val="12.0"/>
      <color theme="1"/>
      <name val="Arial"/>
      <scheme val="minor"/>
    </font>
    <font>
      <b/>
      <u/>
      <sz val="12.0"/>
      <color theme="1"/>
      <name val="Arial"/>
    </font>
    <font>
      <b/>
      <u/>
      <sz val="12.0"/>
      <color theme="1"/>
      <name val="Arial"/>
    </font>
    <font>
      <color rgb="FF000000"/>
      <name val="Roboto"/>
    </font>
    <font>
      <b/>
      <color theme="1"/>
      <name val="Arial"/>
      <scheme val="minor"/>
    </font>
    <font>
      <sz val="14.0"/>
      <color theme="1"/>
      <name val="Arial"/>
      <scheme val="minor"/>
    </font>
    <font>
      <b/>
      <i/>
      <color theme="1"/>
      <name val="Arial"/>
    </font>
    <font>
      <b/>
      <color rgb="FFFFFFFF"/>
      <name val="Arial"/>
    </font>
    <font>
      <b/>
      <color rgb="FF000000"/>
      <name val="Arial"/>
    </font>
    <font>
      <sz val="10.0"/>
      <color theme="1"/>
      <name val="Arial"/>
      <scheme val="minor"/>
    </font>
    <font>
      <sz val="10.0"/>
      <color theme="1"/>
      <name val="Arial"/>
    </font>
    <font>
      <sz val="11.0"/>
      <color theme="1"/>
      <name val="Inconsolata"/>
    </font>
    <font>
      <color rgb="FF1F1F1F"/>
      <name val="Google Sans Mono"/>
    </font>
    <font>
      <i/>
      <sz val="10.0"/>
      <color theme="1"/>
      <name val="Arial"/>
    </font>
    <font>
      <i/>
      <sz val="10.0"/>
      <color theme="1"/>
      <name val="Arial"/>
      <scheme val="minor"/>
    </font>
    <font>
      <b/>
      <i/>
      <sz val="10.0"/>
      <color theme="1"/>
      <name val="Arial"/>
      <scheme val="minor"/>
    </font>
    <font>
      <b/>
      <i/>
      <sz val="10.0"/>
      <color rgb="FF000000"/>
      <name val="Arial"/>
      <scheme val="minor"/>
    </font>
    <font>
      <b/>
      <sz val="10.0"/>
      <color theme="1"/>
      <name val="Arial"/>
      <scheme val="minor"/>
    </font>
    <font>
      <b/>
      <sz val="10.0"/>
      <color rgb="FF000000"/>
      <name val="Arial"/>
      <scheme val="minor"/>
    </font>
    <font>
      <color rgb="FF000000"/>
      <name val="Arial"/>
    </font>
    <font>
      <color rgb="FFFFFFFF"/>
      <name val="Arial"/>
      <scheme val="minor"/>
    </font>
    <font>
      <sz val="10.0"/>
      <color rgb="FF000000"/>
      <name val="Arial"/>
    </font>
    <font>
      <b/>
      <u/>
      <sz val="14.0"/>
      <color theme="1"/>
      <name val="Arial"/>
    </font>
    <font>
      <b/>
      <sz val="14.0"/>
      <color theme="1"/>
      <name val="Arial"/>
    </font>
    <font>
      <sz val="11.0"/>
      <color theme="1"/>
      <name val="Arial"/>
    </font>
    <font>
      <b/>
      <sz val="11.0"/>
      <color theme="1"/>
      <name val="Arial"/>
    </font>
    <font>
      <b/>
      <u/>
      <sz val="11.0"/>
      <color theme="1"/>
      <name val="Arial"/>
    </font>
    <font>
      <sz val="11.0"/>
      <color rgb="FF000000"/>
      <name val="Arial"/>
    </font>
    <font>
      <i/>
      <sz val="11.0"/>
      <color theme="1"/>
      <name val="Arial"/>
    </font>
    <font>
      <b/>
      <u/>
      <sz val="11.0"/>
      <color theme="1"/>
      <name val="Arial"/>
    </font>
    <font>
      <u/>
      <color rgb="FF0000FF"/>
    </font>
    <font>
      <u/>
      <color theme="1"/>
      <name val="Arial"/>
      <scheme val="minor"/>
    </font>
    <font>
      <b/>
      <sz val="12.0"/>
      <color rgb="FF222222"/>
      <name val="Arial"/>
    </font>
    <font>
      <i/>
      <color theme="1"/>
      <name val="Arial"/>
      <scheme val="minor"/>
    </font>
    <font>
      <b/>
      <sz val="12.0"/>
      <color theme="1"/>
      <name val="Arial"/>
    </font>
    <font>
      <i/>
      <color theme="1"/>
      <name val="Arial"/>
    </font>
    <font>
      <color rgb="FFFF0000"/>
      <name val="Arial"/>
    </font>
    <font>
      <sz val="11.0"/>
      <color rgb="FFFF0000"/>
      <name val="Inconsolata"/>
    </font>
    <font>
      <sz val="11.0"/>
      <color rgb="FF000000"/>
      <name val="Inconsolata"/>
    </font>
    <font>
      <b/>
      <sz val="12.0"/>
      <color rgb="FF000000"/>
      <name val="Arial"/>
    </font>
    <font>
      <u/>
      <color theme="1"/>
      <name val="Arial"/>
      <scheme val="minor"/>
    </font>
    <font>
      <b/>
      <sz val="14.0"/>
      <color theme="1"/>
      <name val="Arial"/>
      <scheme val="minor"/>
    </font>
    <font>
      <b/>
      <sz val="12.0"/>
      <color theme="1"/>
      <name val="Arial"/>
      <scheme val="minor"/>
    </font>
    <font>
      <b/>
      <color rgb="FFFFFFFF"/>
      <name val="Arial"/>
      <scheme val="minor"/>
    </font>
  </fonts>
  <fills count="23">
    <fill>
      <patternFill patternType="none"/>
    </fill>
    <fill>
      <patternFill patternType="lightGray"/>
    </fill>
    <fill>
      <patternFill patternType="solid">
        <fgColor rgb="FFE6B8AF"/>
        <bgColor rgb="FFE6B8AF"/>
      </patternFill>
    </fill>
    <fill>
      <patternFill patternType="solid">
        <fgColor rgb="FFFFF2CC"/>
        <bgColor rgb="FFFFF2CC"/>
      </patternFill>
    </fill>
    <fill>
      <patternFill patternType="solid">
        <fgColor rgb="FFC27BA0"/>
        <bgColor rgb="FFC27BA0"/>
      </patternFill>
    </fill>
    <fill>
      <patternFill patternType="solid">
        <fgColor rgb="FFD9EAD3"/>
        <bgColor rgb="FFD9EAD3"/>
      </patternFill>
    </fill>
    <fill>
      <patternFill patternType="solid">
        <fgColor rgb="FFEAD1DC"/>
        <bgColor rgb="FFEAD1DC"/>
      </patternFill>
    </fill>
    <fill>
      <patternFill patternType="solid">
        <fgColor rgb="FFFF9900"/>
        <bgColor rgb="FFFF9900"/>
      </patternFill>
    </fill>
    <fill>
      <patternFill patternType="solid">
        <fgColor rgb="FF00FF00"/>
        <bgColor rgb="FF00FF00"/>
      </patternFill>
    </fill>
    <fill>
      <patternFill patternType="solid">
        <fgColor rgb="FFD9D2E9"/>
        <bgColor rgb="FFD9D2E9"/>
      </patternFill>
    </fill>
    <fill>
      <patternFill patternType="solid">
        <fgColor rgb="FFFF0000"/>
        <bgColor rgb="FFFF0000"/>
      </patternFill>
    </fill>
    <fill>
      <patternFill patternType="solid">
        <fgColor rgb="FF434343"/>
        <bgColor rgb="FF434343"/>
      </patternFill>
    </fill>
    <fill>
      <patternFill patternType="solid">
        <fgColor rgb="FF00FFFF"/>
        <bgColor rgb="FF00FFFF"/>
      </patternFill>
    </fill>
    <fill>
      <patternFill patternType="solid">
        <fgColor rgb="FFCFE2F3"/>
        <bgColor rgb="FFCFE2F3"/>
      </patternFill>
    </fill>
    <fill>
      <patternFill patternType="solid">
        <fgColor rgb="FFB7B7B7"/>
        <bgColor rgb="FFB7B7B7"/>
      </patternFill>
    </fill>
    <fill>
      <patternFill patternType="solid">
        <fgColor rgb="FF999999"/>
        <bgColor rgb="FF999999"/>
      </patternFill>
    </fill>
    <fill>
      <patternFill patternType="solid">
        <fgColor rgb="FF0000FF"/>
        <bgColor rgb="FF0000FF"/>
      </patternFill>
    </fill>
    <fill>
      <patternFill patternType="solid">
        <fgColor rgb="FFFF00FF"/>
        <bgColor rgb="FFFF00FF"/>
      </patternFill>
    </fill>
    <fill>
      <patternFill patternType="solid">
        <fgColor rgb="FFFFFFFF"/>
        <bgColor rgb="FFFFFFFF"/>
      </patternFill>
    </fill>
    <fill>
      <patternFill patternType="solid">
        <fgColor rgb="FFFFFF00"/>
        <bgColor rgb="FFFFFF00"/>
      </patternFill>
    </fill>
    <fill>
      <patternFill patternType="solid">
        <fgColor rgb="FFC9DAF8"/>
        <bgColor rgb="FFC9DAF8"/>
      </patternFill>
    </fill>
    <fill>
      <patternFill patternType="solid">
        <fgColor rgb="FF9900FF"/>
        <bgColor rgb="FF9900FF"/>
      </patternFill>
    </fill>
    <fill>
      <patternFill patternType="solid">
        <fgColor rgb="FFF1C232"/>
        <bgColor rgb="FFF1C232"/>
      </patternFill>
    </fill>
  </fills>
  <borders count="1">
    <border/>
  </borders>
  <cellStyleXfs count="1">
    <xf borderId="0" fillId="0" fontId="0" numFmtId="0" applyAlignment="1" applyFont="1"/>
  </cellStyleXfs>
  <cellXfs count="43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vertical="bottom"/>
    </xf>
    <xf borderId="0" fillId="0" fontId="4" numFmtId="0" xfId="0" applyAlignment="1" applyFont="1">
      <alignment readingOrder="0" vertical="bottom"/>
    </xf>
    <xf borderId="0" fillId="0" fontId="5" numFmtId="0" xfId="0" applyAlignment="1" applyFont="1">
      <alignment readingOrder="0" vertical="bottom"/>
    </xf>
    <xf borderId="0" fillId="0" fontId="4"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2" numFmtId="0" xfId="0" applyFont="1"/>
    <xf borderId="0" fillId="0" fontId="3" numFmtId="0" xfId="0" applyAlignment="1" applyFont="1">
      <alignment horizontal="right" vertical="bottom"/>
    </xf>
    <xf borderId="0" fillId="0" fontId="3" numFmtId="0" xfId="0" applyAlignment="1" applyFont="1">
      <alignment vertical="bottom"/>
    </xf>
    <xf borderId="0" fillId="0" fontId="2" numFmtId="0" xfId="0" applyFont="1"/>
    <xf borderId="0" fillId="0" fontId="6" numFmtId="164" xfId="0" applyAlignment="1" applyFont="1" applyNumberFormat="1">
      <alignment readingOrder="0"/>
    </xf>
    <xf borderId="0" fillId="0" fontId="2" numFmtId="164" xfId="0" applyFont="1" applyNumberFormat="1"/>
    <xf borderId="0" fillId="0" fontId="7" numFmtId="0" xfId="0" applyAlignment="1" applyFont="1">
      <alignment readingOrder="0"/>
    </xf>
    <xf borderId="0" fillId="0" fontId="3" numFmtId="165" xfId="0" applyAlignment="1" applyFont="1" applyNumberFormat="1">
      <alignment horizontal="right" vertical="bottom"/>
    </xf>
    <xf borderId="0" fillId="0" fontId="2" numFmtId="165" xfId="0" applyFont="1" applyNumberFormat="1"/>
    <xf borderId="0" fillId="0" fontId="3" numFmtId="9" xfId="0" applyAlignment="1" applyFont="1" applyNumberFormat="1">
      <alignment horizontal="right" vertical="bottom"/>
    </xf>
    <xf borderId="0" fillId="0" fontId="2" numFmtId="9" xfId="0" applyFont="1" applyNumberFormat="1"/>
    <xf borderId="0" fillId="2" fontId="3" numFmtId="0" xfId="0" applyAlignment="1" applyFill="1" applyFont="1">
      <alignment horizontal="right" readingOrder="0" vertical="bottom"/>
    </xf>
    <xf borderId="0" fillId="2" fontId="3" numFmtId="0" xfId="0" applyAlignment="1" applyFont="1">
      <alignment readingOrder="0" vertical="bottom"/>
    </xf>
    <xf borderId="0" fillId="2" fontId="3" numFmtId="0" xfId="0" applyAlignment="1" applyFont="1">
      <alignment vertical="bottom"/>
    </xf>
    <xf borderId="0" fillId="2" fontId="2" numFmtId="0" xfId="0" applyFont="1"/>
    <xf borderId="0" fillId="0" fontId="3" numFmtId="0" xfId="0" applyAlignment="1" applyFont="1">
      <alignment horizontal="right" readingOrder="0" vertical="bottom"/>
    </xf>
    <xf borderId="0" fillId="3" fontId="3" numFmtId="9" xfId="0" applyAlignment="1" applyFill="1" applyFont="1" applyNumberFormat="1">
      <alignment horizontal="right" vertical="bottom"/>
    </xf>
    <xf borderId="0" fillId="2" fontId="3" numFmtId="0" xfId="0" applyAlignment="1" applyFont="1">
      <alignment horizontal="right" vertical="bottom"/>
    </xf>
    <xf borderId="0" fillId="2" fontId="3" numFmtId="0" xfId="0" applyAlignment="1" applyFont="1">
      <alignment vertical="bottom"/>
    </xf>
    <xf borderId="0" fillId="2" fontId="3" numFmtId="0" xfId="0" applyAlignment="1" applyFont="1">
      <alignment shrinkToFit="0" vertical="bottom" wrapText="0"/>
    </xf>
    <xf borderId="0" fillId="3" fontId="3" numFmtId="9" xfId="0" applyAlignment="1" applyFont="1" applyNumberFormat="1">
      <alignment vertical="bottom"/>
    </xf>
    <xf borderId="0" fillId="0" fontId="2" numFmtId="9" xfId="0" applyAlignment="1" applyFont="1" applyNumberFormat="1">
      <alignment readingOrder="0"/>
    </xf>
    <xf borderId="0" fillId="0" fontId="8" numFmtId="0" xfId="0" applyAlignment="1" applyFont="1">
      <alignment vertical="bottom"/>
    </xf>
    <xf borderId="0" fillId="0" fontId="3" numFmtId="9" xfId="0" applyAlignment="1" applyFont="1" applyNumberFormat="1">
      <alignment vertical="bottom"/>
    </xf>
    <xf borderId="0" fillId="0" fontId="9" numFmtId="0" xfId="0" applyAlignment="1" applyFont="1">
      <alignment vertical="bottom"/>
    </xf>
    <xf borderId="0" fillId="0" fontId="3" numFmtId="166" xfId="0" applyAlignment="1" applyFont="1" applyNumberFormat="1">
      <alignment horizontal="right" vertical="bottom"/>
    </xf>
    <xf borderId="0" fillId="0" fontId="2" numFmtId="166" xfId="0" applyFont="1" applyNumberFormat="1"/>
    <xf borderId="0" fillId="0" fontId="2" numFmtId="3" xfId="0" applyAlignment="1" applyFont="1" applyNumberFormat="1">
      <alignment readingOrder="0"/>
    </xf>
    <xf borderId="0" fillId="0" fontId="10" numFmtId="0" xfId="0" applyAlignment="1" applyFont="1">
      <alignment horizontal="left" readingOrder="0"/>
    </xf>
    <xf borderId="0" fillId="0" fontId="10" numFmtId="3" xfId="0" applyAlignment="1" applyFont="1" applyNumberFormat="1">
      <alignment horizontal="left" readingOrder="0"/>
    </xf>
    <xf borderId="0" fillId="4" fontId="11" numFmtId="0" xfId="0" applyAlignment="1" applyFill="1" applyFont="1">
      <alignment readingOrder="0" shrinkToFit="0" wrapText="1"/>
    </xf>
    <xf borderId="0" fillId="5" fontId="11" numFmtId="0" xfId="0" applyAlignment="1" applyFill="1" applyFont="1">
      <alignment readingOrder="0" shrinkToFit="0" wrapText="1"/>
    </xf>
    <xf borderId="0" fillId="5" fontId="4" numFmtId="0" xfId="0" applyAlignment="1" applyFont="1">
      <alignment shrinkToFit="0" vertical="bottom" wrapText="1"/>
    </xf>
    <xf borderId="0" fillId="0" fontId="11" numFmtId="0" xfId="0" applyAlignment="1" applyFont="1">
      <alignment shrinkToFit="0" wrapText="1"/>
    </xf>
    <xf borderId="0" fillId="5" fontId="2" numFmtId="166" xfId="0" applyFont="1" applyNumberFormat="1"/>
    <xf borderId="0" fillId="5" fontId="3" numFmtId="0" xfId="0" applyAlignment="1" applyFont="1">
      <alignment horizontal="right" vertical="bottom"/>
    </xf>
    <xf borderId="0" fillId="5" fontId="2" numFmtId="0" xfId="0" applyFont="1"/>
    <xf borderId="0" fillId="5" fontId="2" numFmtId="165" xfId="0" applyFont="1" applyNumberFormat="1"/>
    <xf borderId="0" fillId="4" fontId="4" numFmtId="0" xfId="0" applyAlignment="1" applyFont="1">
      <alignment horizontal="left" readingOrder="0" shrinkToFit="0" vertical="bottom" wrapText="1"/>
    </xf>
    <xf borderId="0" fillId="6" fontId="4" numFmtId="0" xfId="0" applyAlignment="1" applyFill="1" applyFont="1">
      <alignment shrinkToFit="0" vertical="bottom" wrapText="1"/>
    </xf>
    <xf borderId="0" fillId="6" fontId="4" numFmtId="0" xfId="0" applyAlignment="1" applyFont="1">
      <alignment shrinkToFit="0" vertical="bottom" wrapText="1"/>
    </xf>
    <xf borderId="0" fillId="0" fontId="11" numFmtId="0" xfId="0" applyAlignment="1" applyFont="1">
      <alignment readingOrder="0" shrinkToFit="0" wrapText="1"/>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shrinkToFit="0" wrapText="0"/>
    </xf>
    <xf borderId="0" fillId="0" fontId="12" numFmtId="0" xfId="0" applyAlignment="1" applyFont="1">
      <alignment readingOrder="0"/>
    </xf>
    <xf borderId="0" fillId="0" fontId="2" numFmtId="0" xfId="0" applyAlignment="1" applyFont="1">
      <alignment readingOrder="0" shrinkToFit="0" wrapText="0"/>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horizontal="left" shrinkToFit="0" vertical="bottom" wrapText="0"/>
    </xf>
    <xf borderId="0" fillId="7" fontId="4" numFmtId="0" xfId="0" applyAlignment="1" applyFill="1" applyFont="1">
      <alignment readingOrder="0" shrinkToFit="0" vertical="bottom" wrapText="1"/>
    </xf>
    <xf borderId="0" fillId="0" fontId="4" numFmtId="0" xfId="0" applyAlignment="1" applyFont="1">
      <alignment horizontal="left" shrinkToFit="0" vertical="bottom" wrapText="1"/>
    </xf>
    <xf borderId="0" fillId="0" fontId="4" numFmtId="0" xfId="0" applyAlignment="1" applyFont="1">
      <alignment shrinkToFit="0" vertical="bottom" wrapText="1"/>
    </xf>
    <xf borderId="0" fillId="8" fontId="4" numFmtId="0" xfId="0" applyAlignment="1" applyFill="1" applyFont="1">
      <alignment shrinkToFit="0" vertical="bottom" wrapText="1"/>
    </xf>
    <xf borderId="0" fillId="4" fontId="4" numFmtId="0" xfId="0" applyAlignment="1" applyFont="1">
      <alignment horizontal="left" shrinkToFit="0" vertical="bottom" wrapText="1"/>
    </xf>
    <xf borderId="0" fillId="6" fontId="4" numFmtId="0" xfId="0" applyAlignment="1" applyFont="1">
      <alignment horizontal="left" shrinkToFit="0" vertical="bottom" wrapText="1"/>
    </xf>
    <xf borderId="0" fillId="6" fontId="4" numFmtId="0" xfId="0" applyAlignment="1" applyFont="1">
      <alignment horizontal="left" shrinkToFit="0" vertical="bottom" wrapText="1"/>
    </xf>
    <xf borderId="0" fillId="9" fontId="4" numFmtId="0" xfId="0" applyAlignment="1" applyFill="1" applyFont="1">
      <alignment horizontal="left" shrinkToFit="0" vertical="bottom" wrapText="1"/>
    </xf>
    <xf borderId="0" fillId="0" fontId="4" numFmtId="0" xfId="0" applyAlignment="1" applyFont="1">
      <alignment horizontal="left" shrinkToFit="0" vertical="bottom" wrapText="1"/>
    </xf>
    <xf borderId="0" fillId="0" fontId="13" numFmtId="0" xfId="0" applyAlignment="1" applyFont="1">
      <alignment shrinkToFit="0" vertical="bottom" wrapText="1"/>
    </xf>
    <xf borderId="0" fillId="6" fontId="4" numFmtId="0" xfId="0" applyAlignment="1" applyFont="1">
      <alignment readingOrder="0" shrinkToFit="0" vertical="bottom" wrapText="1"/>
    </xf>
    <xf borderId="0" fillId="6" fontId="4" numFmtId="0" xfId="0" applyAlignment="1" applyFont="1">
      <alignment horizontal="left" readingOrder="0" shrinkToFit="0" vertical="bottom" wrapText="1"/>
    </xf>
    <xf borderId="0" fillId="9" fontId="4" numFmtId="0" xfId="0" applyAlignment="1" applyFont="1">
      <alignment horizontal="left" readingOrder="0" shrinkToFit="0" vertical="bottom" wrapText="1"/>
    </xf>
    <xf borderId="0" fillId="10" fontId="4" numFmtId="0" xfId="0" applyAlignment="1" applyFill="1" applyFont="1">
      <alignment shrinkToFit="0" vertical="bottom" wrapText="1"/>
    </xf>
    <xf borderId="0" fillId="5" fontId="4" numFmtId="0" xfId="0" applyAlignment="1" applyFont="1">
      <alignment horizontal="center" shrinkToFit="0" vertical="bottom" wrapText="1"/>
    </xf>
    <xf borderId="0" fillId="11" fontId="14" numFmtId="0" xfId="0" applyAlignment="1" applyFill="1" applyFont="1">
      <alignment horizontal="center" shrinkToFit="0" vertical="bottom" wrapText="1"/>
    </xf>
    <xf borderId="0" fillId="12" fontId="4" numFmtId="0" xfId="0" applyAlignment="1" applyFill="1" applyFont="1">
      <alignment shrinkToFit="0" vertical="bottom" wrapText="1"/>
    </xf>
    <xf borderId="0" fillId="11" fontId="14" numFmtId="10" xfId="0" applyAlignment="1" applyFont="1" applyNumberFormat="1">
      <alignment shrinkToFit="0" vertical="bottom" wrapText="1"/>
    </xf>
    <xf borderId="0" fillId="13" fontId="4" numFmtId="10" xfId="0" applyAlignment="1" applyFill="1" applyFont="1" applyNumberFormat="1">
      <alignment shrinkToFit="0" vertical="bottom" wrapText="1"/>
    </xf>
    <xf borderId="0" fillId="3" fontId="4" numFmtId="10" xfId="0" applyAlignment="1" applyFont="1" applyNumberFormat="1">
      <alignment shrinkToFit="0" vertical="bottom" wrapText="1"/>
    </xf>
    <xf borderId="0" fillId="9" fontId="4" numFmtId="10" xfId="0" applyAlignment="1" applyFont="1" applyNumberFormat="1">
      <alignment shrinkToFit="0" vertical="bottom" wrapText="1"/>
    </xf>
    <xf borderId="0" fillId="11" fontId="14" numFmtId="0" xfId="0" applyAlignment="1" applyFont="1">
      <alignment readingOrder="0" shrinkToFit="0" vertical="bottom" wrapText="1"/>
    </xf>
    <xf borderId="0" fillId="11" fontId="4" numFmtId="0" xfId="0" applyAlignment="1" applyFont="1">
      <alignment readingOrder="0" shrinkToFit="0" vertical="bottom" wrapText="1"/>
    </xf>
    <xf borderId="0" fillId="0" fontId="15" numFmtId="0" xfId="0" applyAlignment="1" applyFont="1">
      <alignment horizontal="left" readingOrder="0" shrinkToFit="0" vertical="bottom" wrapText="1"/>
    </xf>
    <xf borderId="0" fillId="0" fontId="4" numFmtId="0" xfId="0" applyAlignment="1" applyFont="1">
      <alignment horizontal="center" shrinkToFit="0" vertical="bottom" wrapText="1"/>
    </xf>
    <xf borderId="0" fillId="0" fontId="3" numFmtId="0" xfId="0" applyAlignment="1" applyFont="1">
      <alignment horizontal="left" readingOrder="0" vertical="bottom"/>
    </xf>
    <xf borderId="0" fillId="0" fontId="3" numFmtId="166" xfId="0" applyAlignment="1" applyFont="1" applyNumberFormat="1">
      <alignment horizontal="right" readingOrder="0" vertical="bottom"/>
    </xf>
    <xf borderId="0" fillId="0" fontId="3" numFmtId="21" xfId="0" applyAlignment="1" applyFont="1" applyNumberFormat="1">
      <alignment horizontal="right" readingOrder="0" vertical="bottom"/>
    </xf>
    <xf borderId="0" fillId="0" fontId="3" numFmtId="0" xfId="0" applyAlignment="1" applyFont="1">
      <alignment readingOrder="0" vertical="bottom"/>
    </xf>
    <xf borderId="0" fillId="0" fontId="3" numFmtId="0" xfId="0" applyAlignment="1" applyFont="1">
      <alignment readingOrder="0" shrinkToFit="0" vertical="bottom" wrapText="0"/>
    </xf>
    <xf borderId="0" fillId="0" fontId="3" numFmtId="21" xfId="0" applyAlignment="1" applyFont="1" applyNumberFormat="1">
      <alignment horizontal="right" vertical="bottom"/>
    </xf>
    <xf borderId="0" fillId="0" fontId="3" numFmtId="0" xfId="0" applyAlignment="1" applyFont="1">
      <alignment shrinkToFit="0" vertical="bottom" wrapText="0"/>
    </xf>
    <xf borderId="0" fillId="6" fontId="3" numFmtId="0" xfId="0" applyAlignment="1" applyFont="1">
      <alignment horizontal="center" vertical="bottom"/>
    </xf>
    <xf borderId="0" fillId="6" fontId="3" numFmtId="0" xfId="0" applyAlignment="1" applyFont="1">
      <alignment vertical="bottom"/>
    </xf>
    <xf borderId="0" fillId="7" fontId="16" numFmtId="0" xfId="0" applyAlignment="1" applyFont="1">
      <alignment horizontal="center" readingOrder="0"/>
    </xf>
    <xf borderId="0" fillId="6" fontId="16" numFmtId="0" xfId="0" applyAlignment="1" applyFont="1">
      <alignment horizontal="center" readingOrder="0"/>
    </xf>
    <xf borderId="0" fillId="0" fontId="16" numFmtId="0" xfId="0" applyAlignment="1" applyFont="1">
      <alignment horizontal="center"/>
    </xf>
    <xf borderId="0" fillId="0" fontId="16" numFmtId="0" xfId="0" applyFont="1"/>
    <xf borderId="0" fillId="6" fontId="3" numFmtId="0" xfId="0" applyAlignment="1" applyFont="1">
      <alignment horizontal="center" vertical="bottom"/>
    </xf>
    <xf borderId="0" fillId="0" fontId="0" numFmtId="0" xfId="0" applyFont="1"/>
    <xf borderId="0" fillId="6" fontId="16" numFmtId="0" xfId="0" applyAlignment="1" applyFont="1">
      <alignment readingOrder="0"/>
    </xf>
    <xf borderId="0" fillId="6" fontId="16" numFmtId="0" xfId="0" applyFont="1"/>
    <xf borderId="0" fillId="0" fontId="16" numFmtId="0" xfId="0" applyAlignment="1" applyFont="1">
      <alignment horizontal="center" readingOrder="0"/>
    </xf>
    <xf borderId="0" fillId="0" fontId="16" numFmtId="0" xfId="0" applyAlignment="1" applyFont="1">
      <alignment readingOrder="0"/>
    </xf>
    <xf borderId="0" fillId="6" fontId="16" numFmtId="164" xfId="0" applyAlignment="1" applyFont="1" applyNumberFormat="1">
      <alignment horizontal="center" readingOrder="0"/>
    </xf>
    <xf borderId="0" fillId="7" fontId="3" numFmtId="0" xfId="0" applyAlignment="1" applyFont="1">
      <alignment horizontal="center" vertical="bottom"/>
    </xf>
    <xf borderId="0" fillId="7" fontId="0" numFmtId="0" xfId="0" applyAlignment="1" applyFont="1">
      <alignment horizontal="center"/>
    </xf>
    <xf borderId="0" fillId="11" fontId="16" numFmtId="0" xfId="0" applyFont="1"/>
    <xf borderId="0" fillId="12" fontId="16" numFmtId="0" xfId="0" applyAlignment="1" applyFont="1">
      <alignment readingOrder="0"/>
    </xf>
    <xf borderId="0" fillId="13" fontId="17" numFmtId="167" xfId="0" applyAlignment="1" applyFont="1" applyNumberFormat="1">
      <alignment shrinkToFit="0" vertical="bottom" wrapText="0"/>
    </xf>
    <xf borderId="0" fillId="13" fontId="17" numFmtId="3" xfId="0" applyAlignment="1" applyFont="1" applyNumberFormat="1">
      <alignment horizontal="center" shrinkToFit="0" vertical="bottom" wrapText="0"/>
    </xf>
    <xf borderId="0" fillId="3" fontId="3" numFmtId="167" xfId="0" applyAlignment="1" applyFont="1" applyNumberFormat="1">
      <alignment vertical="bottom"/>
    </xf>
    <xf borderId="0" fillId="3" fontId="17" numFmtId="3" xfId="0" applyAlignment="1" applyFont="1" applyNumberFormat="1">
      <alignment shrinkToFit="0" vertical="bottom" wrapText="0"/>
    </xf>
    <xf borderId="0" fillId="9" fontId="17" numFmtId="167" xfId="0" applyAlignment="1" applyFont="1" applyNumberFormat="1">
      <alignment shrinkToFit="0" vertical="bottom" wrapText="0"/>
    </xf>
    <xf borderId="0" fillId="9" fontId="17" numFmtId="167" xfId="0" applyAlignment="1" applyFont="1" applyNumberFormat="1">
      <alignment horizontal="center" shrinkToFit="0" vertical="bottom" wrapText="0"/>
    </xf>
    <xf borderId="0" fillId="0" fontId="18" numFmtId="0" xfId="0" applyAlignment="1" applyFont="1">
      <alignment horizontal="center" shrinkToFit="0" vertical="bottom" wrapText="1"/>
    </xf>
    <xf borderId="0" fillId="0" fontId="19" numFmtId="0" xfId="0" applyAlignment="1" applyFont="1">
      <alignment horizontal="center" vertical="bottom"/>
    </xf>
    <xf borderId="0" fillId="11" fontId="3" numFmtId="0" xfId="0" applyAlignment="1" applyFont="1">
      <alignment horizontal="center" vertical="bottom"/>
    </xf>
    <xf borderId="0" fillId="0" fontId="3" numFmtId="0" xfId="0" applyAlignment="1" applyFont="1">
      <alignment horizontal="left" readingOrder="0" vertical="bottom"/>
    </xf>
    <xf borderId="0" fillId="0" fontId="3" numFmtId="0" xfId="0" applyAlignment="1" applyFont="1">
      <alignment horizontal="left" vertical="bottom"/>
    </xf>
    <xf borderId="0" fillId="0" fontId="3" numFmtId="0" xfId="0" applyAlignment="1" applyFont="1">
      <alignment shrinkToFit="0" vertical="bottom" wrapText="0"/>
    </xf>
    <xf borderId="0" fillId="0" fontId="17" numFmtId="167" xfId="0" applyAlignment="1" applyFont="1" applyNumberFormat="1">
      <alignment readingOrder="0" shrinkToFit="0" vertical="top" wrapText="0"/>
    </xf>
    <xf borderId="0" fillId="0" fontId="2" numFmtId="0" xfId="0" applyAlignment="1" applyFont="1">
      <alignment readingOrder="0" shrinkToFit="0" vertical="top" wrapText="0"/>
    </xf>
    <xf borderId="0" fillId="11" fontId="2" numFmtId="0" xfId="0" applyAlignment="1" applyFont="1">
      <alignment readingOrder="0" shrinkToFit="0" vertical="top" wrapText="0"/>
    </xf>
    <xf borderId="0" fillId="0" fontId="2" numFmtId="0" xfId="0" applyAlignment="1" applyFont="1">
      <alignment horizontal="left" readingOrder="0" shrinkToFit="0" vertical="top" wrapText="0"/>
    </xf>
    <xf borderId="0" fillId="0" fontId="17" numFmtId="167" xfId="0" applyAlignment="1" applyFont="1" applyNumberFormat="1">
      <alignment horizontal="left" shrinkToFit="0" wrapText="0"/>
    </xf>
    <xf borderId="0" fillId="11" fontId="4" numFmtId="0" xfId="0" applyAlignment="1" applyFont="1">
      <alignment horizontal="left" vertical="bottom"/>
    </xf>
    <xf borderId="0" fillId="0" fontId="4" numFmtId="0" xfId="0" applyAlignment="1" applyFont="1">
      <alignment horizontal="left" vertical="bottom"/>
    </xf>
    <xf borderId="0" fillId="11" fontId="3" numFmtId="0" xfId="0" applyAlignment="1" applyFont="1">
      <alignment vertical="bottom"/>
    </xf>
    <xf borderId="0" fillId="0" fontId="3" numFmtId="0" xfId="0" applyAlignment="1" applyFont="1">
      <alignment horizontal="center" readingOrder="0" vertical="bottom"/>
    </xf>
    <xf borderId="0" fillId="0" fontId="3" numFmtId="0" xfId="0" applyFont="1"/>
    <xf borderId="0" fillId="0" fontId="3" numFmtId="0" xfId="0" applyFont="1"/>
    <xf borderId="0" fillId="0" fontId="20" numFmtId="167" xfId="0" applyAlignment="1" applyFont="1" applyNumberFormat="1">
      <alignment horizontal="left" shrinkToFit="0" wrapText="0"/>
    </xf>
    <xf borderId="0" fillId="0" fontId="17" numFmtId="167" xfId="0" applyAlignment="1" applyFont="1" applyNumberFormat="1">
      <alignment shrinkToFit="0" wrapText="0"/>
    </xf>
    <xf borderId="0" fillId="0" fontId="17" numFmtId="0" xfId="0" applyAlignment="1" applyFont="1">
      <alignment horizontal="center" vertical="bottom"/>
    </xf>
    <xf borderId="0" fillId="11" fontId="17" numFmtId="0" xfId="0" applyAlignment="1" applyFont="1">
      <alignment horizontal="center" vertical="bottom"/>
    </xf>
    <xf borderId="0" fillId="0" fontId="17" numFmtId="0" xfId="0" applyAlignment="1" applyFont="1">
      <alignment horizontal="left" readingOrder="0" vertical="bottom"/>
    </xf>
    <xf borderId="0" fillId="11" fontId="16" numFmtId="0" xfId="0" applyAlignment="1" applyFont="1">
      <alignment readingOrder="0"/>
    </xf>
    <xf borderId="0" fillId="0" fontId="17" numFmtId="0" xfId="0" applyAlignment="1" applyFont="1">
      <alignment horizontal="center" shrinkToFit="0" vertical="bottom" wrapText="1"/>
    </xf>
    <xf borderId="0" fillId="11" fontId="17" numFmtId="0" xfId="0" applyAlignment="1" applyFont="1">
      <alignment horizontal="center" shrinkToFit="0" vertical="bottom" wrapText="1"/>
    </xf>
    <xf borderId="0" fillId="0" fontId="17" numFmtId="0" xfId="0" applyAlignment="1" applyFont="1">
      <alignment horizontal="left" readingOrder="0" shrinkToFit="0" vertical="bottom" wrapText="1"/>
    </xf>
    <xf borderId="0" fillId="0" fontId="3" numFmtId="0" xfId="0" applyAlignment="1" applyFont="1">
      <alignment readingOrder="0" shrinkToFit="0" vertical="bottom" wrapText="0"/>
    </xf>
    <xf borderId="0" fillId="0" fontId="17" numFmtId="167" xfId="0" applyAlignment="1" applyFont="1" applyNumberFormat="1">
      <alignment shrinkToFit="0" vertical="bottom" wrapText="0"/>
    </xf>
    <xf borderId="0" fillId="0" fontId="21" numFmtId="0" xfId="0" applyAlignment="1" applyFont="1">
      <alignment horizontal="center" readingOrder="0"/>
    </xf>
    <xf borderId="0" fillId="0" fontId="22" numFmtId="0" xfId="0" applyAlignment="1" applyFont="1">
      <alignment horizontal="left"/>
    </xf>
    <xf borderId="0" fillId="0" fontId="23" numFmtId="0" xfId="0" applyAlignment="1" applyFont="1">
      <alignment horizontal="left"/>
    </xf>
    <xf borderId="0" fillId="0" fontId="22" numFmtId="0" xfId="0" applyAlignment="1" applyFont="1">
      <alignment horizontal="left" readingOrder="0"/>
    </xf>
    <xf borderId="0" fillId="0" fontId="13" numFmtId="0" xfId="0" applyAlignment="1" applyFont="1">
      <alignment horizontal="left" readingOrder="0" vertical="bottom"/>
    </xf>
    <xf borderId="0" fillId="11" fontId="22" numFmtId="0" xfId="0" applyAlignment="1" applyFont="1">
      <alignment horizontal="left"/>
    </xf>
    <xf borderId="0" fillId="0" fontId="24" numFmtId="0" xfId="0" applyAlignment="1" applyFont="1">
      <alignment horizontal="left"/>
    </xf>
    <xf borderId="0" fillId="0" fontId="25" numFmtId="0" xfId="0" applyAlignment="1" applyFont="1">
      <alignment horizontal="left"/>
    </xf>
    <xf borderId="0" fillId="0" fontId="24" numFmtId="0" xfId="0" applyAlignment="1" applyFont="1">
      <alignment horizontal="left" readingOrder="0"/>
    </xf>
    <xf borderId="0" fillId="0" fontId="4" numFmtId="0" xfId="0" applyAlignment="1" applyFont="1">
      <alignment horizontal="left" readingOrder="0" vertical="bottom"/>
    </xf>
    <xf borderId="0" fillId="11" fontId="24" numFmtId="0" xfId="0" applyAlignment="1" applyFont="1">
      <alignment horizontal="left"/>
    </xf>
    <xf borderId="0" fillId="0" fontId="17" numFmtId="0" xfId="0" applyAlignment="1" applyFont="1">
      <alignment readingOrder="0" vertical="bottom"/>
    </xf>
    <xf borderId="0" fillId="0" fontId="16" numFmtId="0" xfId="0" applyAlignment="1" applyFont="1">
      <alignment horizontal="center"/>
    </xf>
    <xf borderId="0" fillId="0" fontId="17" numFmtId="167" xfId="0" applyAlignment="1" applyFont="1" applyNumberFormat="1">
      <alignment readingOrder="0" shrinkToFit="0" wrapText="0"/>
    </xf>
    <xf borderId="0" fillId="0" fontId="16" numFmtId="0" xfId="0" applyAlignment="1" applyFont="1">
      <alignment horizontal="center" readingOrder="0" shrinkToFit="0" wrapText="1"/>
    </xf>
    <xf borderId="0" fillId="0" fontId="17" numFmtId="0" xfId="0" applyAlignment="1" applyFont="1">
      <alignment shrinkToFit="0" vertical="bottom" wrapText="1"/>
    </xf>
    <xf borderId="0" fillId="0" fontId="16" numFmtId="0" xfId="0" applyAlignment="1" applyFont="1">
      <alignment shrinkToFit="0" wrapText="1"/>
    </xf>
    <xf borderId="0" fillId="0" fontId="0" numFmtId="0" xfId="0" applyAlignment="1" applyFont="1">
      <alignment shrinkToFit="0" wrapText="1"/>
    </xf>
    <xf borderId="0" fillId="0" fontId="16" numFmtId="0" xfId="0" applyAlignment="1" applyFont="1">
      <alignment readingOrder="0" shrinkToFit="0" wrapText="1"/>
    </xf>
    <xf borderId="0" fillId="0" fontId="16" numFmtId="0" xfId="0" applyAlignment="1" applyFont="1">
      <alignment horizontal="center" shrinkToFit="0" wrapText="1"/>
    </xf>
    <xf borderId="0" fillId="0" fontId="17" numFmtId="0" xfId="0" applyAlignment="1" applyFont="1">
      <alignment readingOrder="0" shrinkToFit="0" vertical="bottom" wrapText="1"/>
    </xf>
    <xf borderId="0" fillId="11" fontId="16" numFmtId="0" xfId="0" applyAlignment="1" applyFont="1">
      <alignment shrinkToFit="0" wrapText="1"/>
    </xf>
    <xf borderId="0" fillId="0" fontId="3" numFmtId="0" xfId="0" applyAlignment="1" applyFont="1">
      <alignment horizontal="center" vertical="bottom"/>
    </xf>
    <xf borderId="0" fillId="14" fontId="3" numFmtId="0" xfId="0" applyAlignment="1" applyFill="1" applyFont="1">
      <alignment horizontal="left" readingOrder="0" vertical="bottom"/>
    </xf>
    <xf borderId="0" fillId="14" fontId="3" numFmtId="166" xfId="0" applyAlignment="1" applyFont="1" applyNumberFormat="1">
      <alignment horizontal="right" readingOrder="0" vertical="bottom"/>
    </xf>
    <xf borderId="0" fillId="14" fontId="3" numFmtId="21" xfId="0" applyAlignment="1" applyFont="1" applyNumberFormat="1">
      <alignment horizontal="right" readingOrder="0" vertical="bottom"/>
    </xf>
    <xf borderId="0" fillId="14" fontId="3" numFmtId="0" xfId="0" applyAlignment="1" applyFont="1">
      <alignment readingOrder="0" vertical="bottom"/>
    </xf>
    <xf borderId="0" fillId="14" fontId="3" numFmtId="0" xfId="0" applyAlignment="1" applyFont="1">
      <alignment readingOrder="0" shrinkToFit="0" vertical="bottom" wrapText="0"/>
    </xf>
    <xf borderId="0" fillId="14" fontId="3" numFmtId="0" xfId="0" applyAlignment="1" applyFont="1">
      <alignment vertical="bottom"/>
    </xf>
    <xf borderId="0" fillId="14" fontId="3" numFmtId="166" xfId="0" applyAlignment="1" applyFont="1" applyNumberFormat="1">
      <alignment horizontal="right" vertical="bottom"/>
    </xf>
    <xf borderId="0" fillId="14" fontId="3" numFmtId="21" xfId="0" applyAlignment="1" applyFont="1" applyNumberFormat="1">
      <alignment horizontal="right" vertical="bottom"/>
    </xf>
    <xf borderId="0" fillId="14" fontId="3" numFmtId="0" xfId="0" applyAlignment="1" applyFont="1">
      <alignment readingOrder="0" shrinkToFit="0" vertical="bottom" wrapText="0"/>
    </xf>
    <xf borderId="0" fillId="14" fontId="3" numFmtId="0" xfId="0" applyAlignment="1" applyFont="1">
      <alignment horizontal="center" vertical="bottom"/>
    </xf>
    <xf borderId="0" fillId="14" fontId="16" numFmtId="0" xfId="0" applyAlignment="1" applyFont="1">
      <alignment horizontal="center" readingOrder="0"/>
    </xf>
    <xf borderId="0" fillId="14" fontId="16" numFmtId="0" xfId="0" applyFont="1"/>
    <xf borderId="0" fillId="14" fontId="3" numFmtId="0" xfId="0" applyAlignment="1" applyFont="1">
      <alignment horizontal="center" vertical="bottom"/>
    </xf>
    <xf borderId="0" fillId="14" fontId="0" numFmtId="0" xfId="0" applyFont="1"/>
    <xf borderId="0" fillId="14" fontId="16" numFmtId="0" xfId="0" applyAlignment="1" applyFont="1">
      <alignment readingOrder="0"/>
    </xf>
    <xf borderId="0" fillId="14" fontId="16" numFmtId="164" xfId="0" applyAlignment="1" applyFont="1" applyNumberFormat="1">
      <alignment horizontal="center" readingOrder="0"/>
    </xf>
    <xf borderId="0" fillId="14" fontId="16" numFmtId="0" xfId="0" applyAlignment="1" applyFont="1">
      <alignment horizontal="center"/>
    </xf>
    <xf borderId="0" fillId="14" fontId="3" numFmtId="0" xfId="0" applyAlignment="1" applyFont="1">
      <alignment readingOrder="0" vertical="bottom"/>
    </xf>
    <xf borderId="0" fillId="14" fontId="0" numFmtId="0" xfId="0" applyAlignment="1" applyFont="1">
      <alignment horizontal="center"/>
    </xf>
    <xf borderId="0" fillId="14" fontId="17" numFmtId="167" xfId="0" applyAlignment="1" applyFont="1" applyNumberFormat="1">
      <alignment shrinkToFit="0" wrapText="0"/>
    </xf>
    <xf borderId="0" fillId="14" fontId="17" numFmtId="3" xfId="0" applyAlignment="1" applyFont="1" applyNumberFormat="1">
      <alignment horizontal="center" shrinkToFit="0" vertical="bottom" wrapText="0"/>
    </xf>
    <xf borderId="0" fillId="14" fontId="3" numFmtId="167" xfId="0" applyAlignment="1" applyFont="1" applyNumberFormat="1">
      <alignment vertical="bottom"/>
    </xf>
    <xf borderId="0" fillId="14" fontId="17" numFmtId="3" xfId="0" applyAlignment="1" applyFont="1" applyNumberFormat="1">
      <alignment shrinkToFit="0" vertical="bottom" wrapText="0"/>
    </xf>
    <xf borderId="0" fillId="14" fontId="17" numFmtId="167" xfId="0" applyAlignment="1" applyFont="1" applyNumberFormat="1">
      <alignment shrinkToFit="0" vertical="bottom" wrapText="0"/>
    </xf>
    <xf borderId="0" fillId="14" fontId="17" numFmtId="167" xfId="0" applyAlignment="1" applyFont="1" applyNumberFormat="1">
      <alignment horizontal="center" shrinkToFit="0" vertical="bottom" wrapText="0"/>
    </xf>
    <xf borderId="0" fillId="14" fontId="3" numFmtId="0" xfId="0" applyAlignment="1" applyFont="1">
      <alignment horizontal="left" readingOrder="0" vertical="bottom"/>
    </xf>
    <xf borderId="0" fillId="14" fontId="3" numFmtId="0" xfId="0" applyAlignment="1" applyFont="1">
      <alignment shrinkToFit="0" vertical="bottom" wrapText="0"/>
    </xf>
    <xf borderId="0" fillId="14" fontId="3" numFmtId="0" xfId="0" applyAlignment="1" applyFont="1">
      <alignment horizontal="center" readingOrder="0" vertical="bottom"/>
    </xf>
    <xf borderId="0" fillId="14" fontId="3" numFmtId="0" xfId="0" applyFont="1"/>
    <xf borderId="0" fillId="14" fontId="3" numFmtId="0" xfId="0" applyFont="1"/>
    <xf borderId="0" fillId="14" fontId="3" numFmtId="0" xfId="0" applyAlignment="1" applyFont="1">
      <alignment vertical="bottom"/>
    </xf>
    <xf borderId="0" fillId="9" fontId="16" numFmtId="0" xfId="0" applyAlignment="1" applyFont="1">
      <alignment horizontal="center" readingOrder="0"/>
    </xf>
    <xf borderId="0" fillId="9" fontId="3" numFmtId="0" xfId="0" applyAlignment="1" applyFont="1">
      <alignment readingOrder="0" vertical="bottom"/>
    </xf>
    <xf borderId="0" fillId="14" fontId="2" numFmtId="0" xfId="0" applyAlignment="1" applyFont="1">
      <alignment horizontal="center" readingOrder="0" shrinkToFit="0" vertical="top" wrapText="0"/>
    </xf>
    <xf borderId="0" fillId="14" fontId="2" numFmtId="0" xfId="0" applyAlignment="1" applyFont="1">
      <alignment readingOrder="0" shrinkToFit="0" vertical="top" wrapText="0"/>
    </xf>
    <xf borderId="0" fillId="0" fontId="17" numFmtId="0" xfId="0" applyAlignment="1" applyFont="1">
      <alignment shrinkToFit="0" wrapText="0"/>
    </xf>
    <xf borderId="0" fillId="0" fontId="17" numFmtId="0" xfId="0" applyAlignment="1" applyFont="1">
      <alignment shrinkToFit="0" vertical="bottom" wrapText="0"/>
    </xf>
    <xf borderId="0" fillId="0" fontId="17" numFmtId="0" xfId="0" applyAlignment="1" applyFont="1">
      <alignment readingOrder="0" shrinkToFit="0" wrapText="0"/>
    </xf>
    <xf borderId="0" fillId="15" fontId="3" numFmtId="0" xfId="0" applyAlignment="1" applyFill="1" applyFont="1">
      <alignment horizontal="left" readingOrder="0" vertical="bottom"/>
    </xf>
    <xf borderId="0" fillId="15" fontId="3" numFmtId="166" xfId="0" applyAlignment="1" applyFont="1" applyNumberFormat="1">
      <alignment horizontal="right" readingOrder="0" vertical="bottom"/>
    </xf>
    <xf borderId="0" fillId="15" fontId="3" numFmtId="21" xfId="0" applyAlignment="1" applyFont="1" applyNumberFormat="1">
      <alignment horizontal="right" readingOrder="0" vertical="bottom"/>
    </xf>
    <xf borderId="0" fillId="15" fontId="3" numFmtId="0" xfId="0" applyAlignment="1" applyFont="1">
      <alignment readingOrder="0" vertical="bottom"/>
    </xf>
    <xf borderId="0" fillId="15" fontId="3" numFmtId="0" xfId="0" applyAlignment="1" applyFont="1">
      <alignment readingOrder="0" shrinkToFit="0" vertical="bottom" wrapText="0"/>
    </xf>
    <xf borderId="0" fillId="15" fontId="3" numFmtId="0" xfId="0" applyAlignment="1" applyFont="1">
      <alignment vertical="bottom"/>
    </xf>
    <xf borderId="0" fillId="15" fontId="3" numFmtId="166" xfId="0" applyAlignment="1" applyFont="1" applyNumberFormat="1">
      <alignment horizontal="right" vertical="bottom"/>
    </xf>
    <xf borderId="0" fillId="15" fontId="3" numFmtId="21" xfId="0" applyAlignment="1" applyFont="1" applyNumberFormat="1">
      <alignment horizontal="right" vertical="bottom"/>
    </xf>
    <xf borderId="0" fillId="15" fontId="3" numFmtId="0" xfId="0" applyAlignment="1" applyFont="1">
      <alignment shrinkToFit="0" vertical="bottom" wrapText="0"/>
    </xf>
    <xf borderId="0" fillId="15" fontId="3" numFmtId="0" xfId="0" applyAlignment="1" applyFont="1">
      <alignment horizontal="center" vertical="bottom"/>
    </xf>
    <xf borderId="0" fillId="15" fontId="16" numFmtId="0" xfId="0" applyAlignment="1" applyFont="1">
      <alignment horizontal="center" readingOrder="0"/>
    </xf>
    <xf borderId="0" fillId="15" fontId="16" numFmtId="0" xfId="0" applyAlignment="1" applyFont="1">
      <alignment horizontal="center"/>
    </xf>
    <xf borderId="0" fillId="15" fontId="16" numFmtId="0" xfId="0" applyFont="1"/>
    <xf borderId="0" fillId="15" fontId="3" numFmtId="0" xfId="0" applyAlignment="1" applyFont="1">
      <alignment horizontal="center" vertical="bottom"/>
    </xf>
    <xf borderId="0" fillId="15" fontId="0" numFmtId="0" xfId="0" applyFont="1"/>
    <xf borderId="0" fillId="15" fontId="16" numFmtId="0" xfId="0" applyAlignment="1" applyFont="1">
      <alignment readingOrder="0"/>
    </xf>
    <xf borderId="0" fillId="15" fontId="16" numFmtId="164" xfId="0" applyAlignment="1" applyFont="1" applyNumberFormat="1">
      <alignment horizontal="center" readingOrder="0"/>
    </xf>
    <xf borderId="0" fillId="15" fontId="3" numFmtId="0" xfId="0" applyAlignment="1" applyFont="1">
      <alignment readingOrder="0" vertical="bottom"/>
    </xf>
    <xf borderId="0" fillId="15" fontId="0" numFmtId="0" xfId="0" applyAlignment="1" applyFont="1">
      <alignment horizontal="center"/>
    </xf>
    <xf borderId="0" fillId="15" fontId="17" numFmtId="167" xfId="0" applyAlignment="1" applyFont="1" applyNumberFormat="1">
      <alignment shrinkToFit="0" wrapText="0"/>
    </xf>
    <xf borderId="0" fillId="15" fontId="17" numFmtId="3" xfId="0" applyAlignment="1" applyFont="1" applyNumberFormat="1">
      <alignment horizontal="center" shrinkToFit="0" vertical="bottom" wrapText="0"/>
    </xf>
    <xf borderId="0" fillId="15" fontId="3" numFmtId="167" xfId="0" applyAlignment="1" applyFont="1" applyNumberFormat="1">
      <alignment vertical="bottom"/>
    </xf>
    <xf borderId="0" fillId="15" fontId="17" numFmtId="3" xfId="0" applyAlignment="1" applyFont="1" applyNumberFormat="1">
      <alignment shrinkToFit="0" vertical="bottom" wrapText="0"/>
    </xf>
    <xf borderId="0" fillId="15" fontId="17" numFmtId="0" xfId="0" applyAlignment="1" applyFont="1">
      <alignment shrinkToFit="0" wrapText="0"/>
    </xf>
    <xf borderId="0" fillId="15" fontId="17" numFmtId="167" xfId="0" applyAlignment="1" applyFont="1" applyNumberFormat="1">
      <alignment shrinkToFit="0" vertical="bottom" wrapText="0"/>
    </xf>
    <xf borderId="0" fillId="15" fontId="17" numFmtId="167" xfId="0" applyAlignment="1" applyFont="1" applyNumberFormat="1">
      <alignment horizontal="center" shrinkToFit="0" vertical="bottom" wrapText="0"/>
    </xf>
    <xf borderId="0" fillId="15" fontId="3" numFmtId="0" xfId="0" applyAlignment="1" applyFont="1">
      <alignment horizontal="left" readingOrder="0" vertical="bottom"/>
    </xf>
    <xf borderId="0" fillId="0" fontId="16" numFmtId="0" xfId="0" applyAlignment="1" applyFont="1">
      <alignment horizontal="left" readingOrder="0"/>
    </xf>
    <xf borderId="0" fillId="0" fontId="17" numFmtId="0" xfId="0" applyAlignment="1" applyFont="1">
      <alignment shrinkToFit="0" vertical="bottom" wrapText="0"/>
    </xf>
    <xf borderId="0" fillId="15" fontId="26" numFmtId="0" xfId="0" applyAlignment="1" applyFont="1">
      <alignment horizontal="left" readingOrder="0" vertical="bottom"/>
    </xf>
    <xf borderId="0" fillId="15" fontId="3" numFmtId="0" xfId="0" applyAlignment="1" applyFont="1">
      <alignment readingOrder="0" shrinkToFit="0" vertical="bottom" wrapText="0"/>
    </xf>
    <xf borderId="0" fillId="15" fontId="3" numFmtId="0" xfId="0" applyAlignment="1" applyFont="1">
      <alignment shrinkToFit="0" vertical="bottom" wrapText="0"/>
    </xf>
    <xf borderId="0" fillId="15" fontId="17" numFmtId="0" xfId="0" applyAlignment="1" applyFont="1">
      <alignment shrinkToFit="0" vertical="bottom" wrapText="0"/>
    </xf>
    <xf borderId="0" fillId="11" fontId="3" numFmtId="0" xfId="0" applyAlignment="1" applyFont="1">
      <alignment vertical="bottom"/>
    </xf>
    <xf borderId="0" fillId="15" fontId="3" numFmtId="0" xfId="0" applyAlignment="1" applyFont="1">
      <alignment horizontal="left" vertical="bottom"/>
    </xf>
    <xf borderId="0" fillId="14" fontId="3" numFmtId="0" xfId="0" applyAlignment="1" applyFont="1">
      <alignment horizontal="center" readingOrder="0" vertical="bottom"/>
    </xf>
    <xf borderId="0" fillId="14" fontId="17" numFmtId="0" xfId="0" applyAlignment="1" applyFont="1">
      <alignment shrinkToFit="0" wrapText="0"/>
    </xf>
    <xf borderId="0" fillId="14" fontId="3" numFmtId="0" xfId="0" applyAlignment="1" applyFont="1">
      <alignment horizontal="left" vertical="bottom"/>
    </xf>
    <xf borderId="0" fillId="14" fontId="3" numFmtId="0" xfId="0" applyAlignment="1" applyFont="1">
      <alignment shrinkToFit="0" vertical="bottom" wrapText="0"/>
    </xf>
    <xf borderId="0" fillId="14" fontId="17" numFmtId="0" xfId="0" applyAlignment="1" applyFont="1">
      <alignment shrinkToFit="0" vertical="bottom" wrapText="0"/>
    </xf>
    <xf borderId="0" fillId="0" fontId="3" numFmtId="0" xfId="0" applyAlignment="1" applyFont="1">
      <alignment horizontal="center" readingOrder="0" vertical="bottom"/>
    </xf>
    <xf borderId="0" fillId="6" fontId="13" numFmtId="0" xfId="0" applyAlignment="1" applyFont="1">
      <alignment shrinkToFit="0" vertical="bottom" wrapText="1"/>
    </xf>
    <xf borderId="0" fillId="16" fontId="14" numFmtId="0" xfId="0" applyAlignment="1" applyFill="1" applyFont="1">
      <alignment horizontal="center" shrinkToFit="0" vertical="bottom" wrapText="1"/>
    </xf>
    <xf borderId="0" fillId="0" fontId="2" numFmtId="10" xfId="0" applyFont="1" applyNumberFormat="1"/>
    <xf borderId="0" fillId="6" fontId="3" numFmtId="0" xfId="0" applyAlignment="1" applyFont="1">
      <alignment vertical="bottom"/>
    </xf>
    <xf borderId="0" fillId="6" fontId="3" numFmtId="166" xfId="0" applyAlignment="1" applyFont="1" applyNumberFormat="1">
      <alignment horizontal="right" vertical="bottom"/>
    </xf>
    <xf borderId="0" fillId="6" fontId="3" numFmtId="21" xfId="0" applyAlignment="1" applyFont="1" applyNumberFormat="1">
      <alignment horizontal="right" vertical="bottom"/>
    </xf>
    <xf borderId="0" fillId="6" fontId="3" numFmtId="164" xfId="0" applyAlignment="1" applyFont="1" applyNumberFormat="1">
      <alignment horizontal="center" vertical="bottom"/>
    </xf>
    <xf borderId="0" fillId="6" fontId="3" numFmtId="164" xfId="0" applyAlignment="1" applyFont="1" applyNumberFormat="1">
      <alignment horizontal="right" vertical="bottom"/>
    </xf>
    <xf borderId="0" fillId="0" fontId="2" numFmtId="167" xfId="0" applyFont="1" applyNumberFormat="1"/>
    <xf borderId="0" fillId="0" fontId="2" numFmtId="3" xfId="0" applyFont="1" applyNumberFormat="1"/>
    <xf borderId="0" fillId="6" fontId="4" numFmtId="0" xfId="0" applyAlignment="1" applyFont="1">
      <alignment horizontal="right" shrinkToFit="0" vertical="bottom" wrapText="1"/>
    </xf>
    <xf borderId="0" fillId="0" fontId="3" numFmtId="164" xfId="0" applyAlignment="1" applyFont="1" applyNumberFormat="1">
      <alignment horizontal="center" vertical="bottom"/>
    </xf>
    <xf borderId="0" fillId="0" fontId="3" numFmtId="164" xfId="0" applyAlignment="1" applyFont="1" applyNumberFormat="1">
      <alignment horizontal="right" vertical="bottom"/>
    </xf>
    <xf borderId="0" fillId="8" fontId="4" numFmtId="0" xfId="0" applyAlignment="1" applyFont="1">
      <alignment shrinkToFit="0" vertical="bottom" wrapText="1"/>
    </xf>
    <xf borderId="0" fillId="0" fontId="4" numFmtId="0" xfId="0" applyAlignment="1" applyFont="1">
      <alignment vertical="bottom"/>
    </xf>
    <xf borderId="0" fillId="6" fontId="4" numFmtId="0" xfId="0" applyAlignment="1" applyFont="1">
      <alignment horizontal="center" shrinkToFit="0" vertical="bottom" wrapText="1"/>
    </xf>
    <xf borderId="0" fillId="11" fontId="4" numFmtId="0" xfId="0" applyAlignment="1" applyFont="1">
      <alignment shrinkToFit="0" vertical="bottom" wrapText="1"/>
    </xf>
    <xf borderId="0" fillId="8" fontId="4" numFmtId="0" xfId="0" applyAlignment="1" applyFont="1">
      <alignment horizontal="center" shrinkToFit="0" vertical="bottom" wrapText="1"/>
    </xf>
    <xf borderId="0" fillId="11" fontId="14" numFmtId="0" xfId="0" applyAlignment="1" applyFont="1">
      <alignment shrinkToFit="0" vertical="bottom" wrapText="1"/>
    </xf>
    <xf borderId="0" fillId="6" fontId="2" numFmtId="0" xfId="0" applyAlignment="1" applyFont="1">
      <alignment horizontal="center"/>
    </xf>
    <xf borderId="0" fillId="0" fontId="2" numFmtId="0" xfId="0" applyAlignment="1" applyFont="1">
      <alignment readingOrder="0"/>
    </xf>
    <xf borderId="0" fillId="6" fontId="2" numFmtId="0" xfId="0" applyAlignment="1" applyFont="1">
      <alignment horizontal="center" readingOrder="0"/>
    </xf>
    <xf borderId="0" fillId="6" fontId="2" numFmtId="0" xfId="0" applyAlignment="1" applyFont="1">
      <alignment readingOrder="0"/>
    </xf>
    <xf borderId="0" fillId="0" fontId="2" numFmtId="0" xfId="0" applyAlignment="1" applyFont="1">
      <alignment horizontal="left"/>
    </xf>
    <xf borderId="0" fillId="6" fontId="2" numFmtId="0" xfId="0" applyAlignment="1" applyFont="1">
      <alignment horizontal="left"/>
    </xf>
    <xf borderId="0" fillId="0" fontId="0" numFmtId="0" xfId="0" applyAlignment="1" applyFont="1">
      <alignment shrinkToFit="0" wrapText="0"/>
    </xf>
    <xf borderId="0" fillId="0" fontId="2" numFmtId="0" xfId="0" applyAlignment="1" applyFont="1">
      <alignment horizontal="right"/>
    </xf>
    <xf borderId="0" fillId="11" fontId="3" numFmtId="0" xfId="0" applyFont="1"/>
    <xf borderId="0" fillId="4" fontId="3" numFmtId="0" xfId="0" applyFont="1"/>
    <xf borderId="0" fillId="11" fontId="27" numFmtId="0" xfId="0" applyAlignment="1" applyFont="1">
      <alignment readingOrder="0" textRotation="255" vertical="top"/>
    </xf>
    <xf borderId="0" fillId="0" fontId="27" numFmtId="0" xfId="0" applyAlignment="1" applyFont="1">
      <alignment readingOrder="0" textRotation="255" vertical="top"/>
    </xf>
    <xf borderId="0" fillId="11" fontId="0" numFmtId="0" xfId="0" applyAlignment="1" applyFont="1">
      <alignment shrinkToFit="0" wrapText="0"/>
    </xf>
    <xf borderId="0" fillId="5" fontId="0" numFmtId="0" xfId="0" applyAlignment="1" applyFont="1">
      <alignment shrinkToFit="0" wrapText="0"/>
    </xf>
    <xf borderId="0" fillId="11" fontId="2" numFmtId="0" xfId="0" applyFont="1"/>
    <xf borderId="0" fillId="0" fontId="2" numFmtId="0" xfId="0" applyAlignment="1" applyFont="1">
      <alignment horizontal="right" readingOrder="0"/>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shrinkToFit="0" wrapText="0"/>
    </xf>
    <xf borderId="0" fillId="0" fontId="16" numFmtId="0" xfId="0" applyAlignment="1" applyFont="1">
      <alignment readingOrder="0"/>
    </xf>
    <xf borderId="0" fillId="0" fontId="16" numFmtId="0" xfId="0" applyAlignment="1" applyFont="1">
      <alignment horizontal="center" readingOrder="0"/>
    </xf>
    <xf borderId="0" fillId="0" fontId="0" numFmtId="0" xfId="0" applyAlignment="1" applyFont="1">
      <alignment readingOrder="0" shrinkToFit="0" wrapText="0"/>
    </xf>
    <xf borderId="0" fillId="4" fontId="3" numFmtId="0" xfId="0" applyAlignment="1" applyFont="1">
      <alignment vertical="bottom"/>
    </xf>
    <xf borderId="0" fillId="3" fontId="3" numFmtId="166" xfId="0" applyAlignment="1" applyFont="1" applyNumberFormat="1">
      <alignment horizontal="right" vertical="bottom"/>
    </xf>
    <xf borderId="0" fillId="3" fontId="3" numFmtId="21" xfId="0" applyAlignment="1" applyFont="1" applyNumberFormat="1">
      <alignment horizontal="right" vertical="bottom"/>
    </xf>
    <xf borderId="0" fillId="3" fontId="3" numFmtId="0" xfId="0" applyAlignment="1" applyFont="1">
      <alignment vertical="bottom"/>
    </xf>
    <xf borderId="0" fillId="6" fontId="28" numFmtId="0" xfId="0" applyAlignment="1" applyFont="1">
      <alignment horizontal="center"/>
    </xf>
    <xf borderId="0" fillId="5" fontId="2" numFmtId="0" xfId="0" applyAlignment="1" applyFont="1">
      <alignment horizontal="left"/>
    </xf>
    <xf borderId="0" fillId="0" fontId="3" numFmtId="166" xfId="0" applyAlignment="1" applyFont="1" applyNumberFormat="1">
      <alignment horizontal="center" vertical="bottom"/>
    </xf>
    <xf borderId="0" fillId="0" fontId="3" numFmtId="166" xfId="0" applyAlignment="1" applyFont="1" applyNumberFormat="1">
      <alignment vertical="bottom"/>
    </xf>
    <xf borderId="0" fillId="0" fontId="2" numFmtId="0" xfId="0" applyAlignment="1" applyFont="1">
      <alignment horizontal="left" readingOrder="0"/>
    </xf>
    <xf borderId="0" fillId="0" fontId="11" numFmtId="0" xfId="0" applyAlignment="1" applyFont="1">
      <alignment horizontal="left" readingOrder="0" shrinkToFit="0" wrapText="1"/>
    </xf>
    <xf borderId="0" fillId="0" fontId="11" numFmtId="0" xfId="0" applyAlignment="1" applyFont="1">
      <alignment horizontal="center" shrinkToFit="0" wrapText="1"/>
    </xf>
    <xf borderId="0" fillId="0" fontId="2" numFmtId="166" xfId="0" applyAlignment="1" applyFont="1" applyNumberFormat="1">
      <alignment readingOrder="0"/>
    </xf>
    <xf borderId="0" fillId="0" fontId="2" numFmtId="21" xfId="0" applyAlignment="1" applyFont="1" applyNumberFormat="1">
      <alignment readingOrder="0"/>
    </xf>
    <xf borderId="0" fillId="6" fontId="4" numFmtId="10" xfId="0" applyAlignment="1" applyFont="1" applyNumberFormat="1">
      <alignment shrinkToFit="0" vertical="bottom" wrapText="1"/>
    </xf>
    <xf borderId="0" fillId="0" fontId="3" numFmtId="21" xfId="0" applyAlignment="1" applyFont="1" applyNumberFormat="1">
      <alignment vertical="bottom"/>
    </xf>
    <xf borderId="0" fillId="0" fontId="4" numFmtId="10" xfId="0" applyAlignment="1" applyFont="1" applyNumberFormat="1">
      <alignment shrinkToFit="0" vertical="bottom" wrapText="1"/>
    </xf>
    <xf borderId="0" fillId="11" fontId="3" numFmtId="10" xfId="0" applyAlignment="1" applyFont="1" applyNumberFormat="1">
      <alignment vertical="bottom"/>
    </xf>
    <xf borderId="0" fillId="3" fontId="4" numFmtId="0" xfId="0" applyAlignment="1" applyFont="1">
      <alignment shrinkToFit="0" vertical="bottom" wrapText="1"/>
    </xf>
    <xf borderId="0" fillId="9" fontId="4" numFmtId="0" xfId="0" applyAlignment="1" applyFont="1">
      <alignment shrinkToFit="0" vertical="bottom" wrapText="1"/>
    </xf>
    <xf borderId="0" fillId="0" fontId="3" numFmtId="167" xfId="0" applyAlignment="1" applyFont="1" applyNumberFormat="1">
      <alignment vertical="bottom"/>
    </xf>
    <xf borderId="0" fillId="11" fontId="3" numFmtId="167" xfId="0" applyAlignment="1" applyFont="1" applyNumberFormat="1">
      <alignment vertical="bottom"/>
    </xf>
    <xf borderId="0" fillId="13" fontId="3" numFmtId="167" xfId="0" applyAlignment="1" applyFont="1" applyNumberFormat="1">
      <alignment vertical="bottom"/>
    </xf>
    <xf borderId="0" fillId="13" fontId="3" numFmtId="3" xfId="0" applyAlignment="1" applyFont="1" applyNumberFormat="1">
      <alignment horizontal="center" vertical="bottom"/>
    </xf>
    <xf borderId="0" fillId="3" fontId="3" numFmtId="3" xfId="0" applyAlignment="1" applyFont="1" applyNumberFormat="1">
      <alignment vertical="bottom"/>
    </xf>
    <xf borderId="0" fillId="9" fontId="3" numFmtId="167" xfId="0" applyAlignment="1" applyFont="1" applyNumberFormat="1">
      <alignment vertical="bottom"/>
    </xf>
    <xf borderId="0" fillId="9" fontId="3" numFmtId="167" xfId="0" applyAlignment="1" applyFont="1" applyNumberFormat="1">
      <alignment horizontal="center" vertical="bottom"/>
    </xf>
    <xf borderId="0" fillId="0" fontId="29" numFmtId="0" xfId="0" applyAlignment="1" applyFont="1">
      <alignment vertical="bottom"/>
    </xf>
    <xf borderId="0" fillId="0" fontId="30" numFmtId="0" xfId="0" applyAlignment="1" applyFont="1">
      <alignment vertical="bottom"/>
    </xf>
    <xf borderId="0" fillId="12" fontId="31" numFmtId="0" xfId="0" applyAlignment="1" applyFont="1">
      <alignment horizontal="center" vertical="bottom"/>
    </xf>
    <xf borderId="0" fillId="0" fontId="31" numFmtId="0" xfId="0" applyAlignment="1" applyFont="1">
      <alignment horizontal="center" vertical="bottom"/>
    </xf>
    <xf borderId="0" fillId="0" fontId="31" numFmtId="0" xfId="0" applyAlignment="1" applyFont="1">
      <alignment shrinkToFit="0" vertical="bottom" wrapText="0"/>
    </xf>
    <xf borderId="0" fillId="0" fontId="32" numFmtId="0" xfId="0" applyAlignment="1" applyFont="1">
      <alignment vertical="bottom"/>
    </xf>
    <xf borderId="0" fillId="0" fontId="3" numFmtId="0" xfId="0" applyAlignment="1" applyFont="1">
      <alignment readingOrder="0"/>
    </xf>
    <xf borderId="0" fillId="0" fontId="31" numFmtId="0" xfId="0" applyAlignment="1" applyFont="1">
      <alignment vertical="bottom"/>
    </xf>
    <xf borderId="0" fillId="17" fontId="31" numFmtId="0" xfId="0" applyAlignment="1" applyFill="1" applyFont="1">
      <alignment vertical="bottom"/>
    </xf>
    <xf borderId="0" fillId="0" fontId="33" numFmtId="0" xfId="0" applyAlignment="1" applyFont="1">
      <alignment vertical="bottom"/>
    </xf>
    <xf borderId="0" fillId="0" fontId="32" numFmtId="0" xfId="0" applyAlignment="1" applyFont="1">
      <alignment shrinkToFit="0" vertical="bottom" wrapText="0"/>
    </xf>
    <xf borderId="0" fillId="0" fontId="34" numFmtId="0" xfId="0" applyAlignment="1" applyFont="1">
      <alignment shrinkToFit="0" vertical="bottom" wrapText="0"/>
    </xf>
    <xf borderId="0" fillId="18" fontId="3" numFmtId="0" xfId="0" applyAlignment="1" applyFill="1" applyFont="1">
      <alignment vertical="bottom"/>
    </xf>
    <xf borderId="0" fillId="0" fontId="31" numFmtId="0" xfId="0" applyAlignment="1" applyFont="1">
      <alignment readingOrder="0" shrinkToFit="0" vertical="bottom" wrapText="0"/>
    </xf>
    <xf borderId="0" fillId="3" fontId="32" numFmtId="0" xfId="0" applyAlignment="1" applyFont="1">
      <alignment vertical="bottom"/>
    </xf>
    <xf borderId="0" fillId="3" fontId="3" numFmtId="0" xfId="0" applyAlignment="1" applyFont="1">
      <alignment readingOrder="0"/>
    </xf>
    <xf borderId="0" fillId="3" fontId="31" numFmtId="0" xfId="0" applyAlignment="1" applyFont="1">
      <alignment shrinkToFit="0" vertical="bottom" wrapText="0"/>
    </xf>
    <xf borderId="0" fillId="0" fontId="30" numFmtId="0" xfId="0" applyAlignment="1" applyFont="1">
      <alignment shrinkToFit="0" vertical="bottom" wrapText="0"/>
    </xf>
    <xf borderId="0" fillId="0" fontId="35" numFmtId="0" xfId="0" applyAlignment="1" applyFont="1">
      <alignment shrinkToFit="0" vertical="bottom" wrapText="0"/>
    </xf>
    <xf borderId="0" fillId="0" fontId="36" numFmtId="0" xfId="0" applyAlignment="1" applyFont="1">
      <alignment shrinkToFit="0" vertical="bottom" wrapText="0"/>
    </xf>
    <xf borderId="0" fillId="19" fontId="31" numFmtId="168" xfId="0" applyAlignment="1" applyFill="1" applyFont="1" applyNumberFormat="1">
      <alignment readingOrder="0" vertical="bottom"/>
    </xf>
    <xf borderId="0" fillId="19" fontId="31" numFmtId="0" xfId="0" applyAlignment="1" applyFont="1">
      <alignment vertical="bottom"/>
    </xf>
    <xf borderId="0" fillId="10" fontId="31" numFmtId="0" xfId="0" applyAlignment="1" applyFont="1">
      <alignment horizontal="center" vertical="bottom"/>
    </xf>
    <xf borderId="0" fillId="10" fontId="31" numFmtId="0" xfId="0" applyAlignment="1" applyFont="1">
      <alignment vertical="bottom"/>
    </xf>
    <xf borderId="0" fillId="10" fontId="3" numFmtId="0" xfId="0" applyAlignment="1" applyFont="1">
      <alignment vertical="bottom"/>
    </xf>
    <xf borderId="0" fillId="10" fontId="31" numFmtId="0" xfId="0" applyAlignment="1" applyFont="1">
      <alignment shrinkToFit="0" vertical="bottom" wrapText="0"/>
    </xf>
    <xf borderId="0" fillId="19" fontId="31" numFmtId="0" xfId="0" applyAlignment="1" applyFont="1">
      <alignment shrinkToFit="0" vertical="bottom" wrapText="0"/>
    </xf>
    <xf borderId="0" fillId="18" fontId="32" numFmtId="0" xfId="0" applyAlignment="1" applyFont="1">
      <alignment shrinkToFit="0" vertical="bottom" wrapText="0"/>
    </xf>
    <xf borderId="0" fillId="3" fontId="32" numFmtId="0" xfId="0" applyAlignment="1" applyFont="1">
      <alignment shrinkToFit="0" vertical="bottom" wrapText="0"/>
    </xf>
    <xf borderId="0" fillId="0" fontId="32" numFmtId="0" xfId="0" applyAlignment="1" applyFont="1">
      <alignment readingOrder="0" vertical="bottom"/>
    </xf>
    <xf borderId="0" fillId="0" fontId="3" numFmtId="164" xfId="0" applyAlignment="1" applyFont="1" applyNumberFormat="1">
      <alignment vertical="bottom"/>
    </xf>
    <xf quotePrefix="1" borderId="0" fillId="0" fontId="3" numFmtId="0" xfId="0" applyAlignment="1" applyFont="1">
      <alignment shrinkToFit="0" vertical="bottom" wrapText="0"/>
    </xf>
    <xf borderId="0" fillId="19" fontId="3" numFmtId="0" xfId="0" applyAlignment="1" applyFont="1">
      <alignment vertical="bottom"/>
    </xf>
    <xf borderId="0" fillId="18" fontId="31" numFmtId="0" xfId="0" applyAlignment="1" applyFont="1">
      <alignment shrinkToFit="0" vertical="bottom" wrapText="0"/>
    </xf>
    <xf borderId="0" fillId="0" fontId="31" numFmtId="0" xfId="0" applyAlignment="1" applyFont="1">
      <alignment shrinkToFit="0" vertical="bottom" wrapText="0"/>
    </xf>
    <xf borderId="0" fillId="0" fontId="11" numFmtId="0" xfId="0" applyAlignment="1" applyFont="1">
      <alignment readingOrder="0"/>
    </xf>
    <xf borderId="0" fillId="0" fontId="37" numFmtId="0" xfId="0" applyAlignment="1" applyFont="1">
      <alignment readingOrder="0" shrinkToFit="0" wrapText="0"/>
    </xf>
    <xf borderId="0" fillId="0" fontId="3" numFmtId="169" xfId="0" applyAlignment="1" applyFont="1" applyNumberFormat="1">
      <alignment horizontal="right" vertical="bottom"/>
    </xf>
    <xf borderId="0" fillId="0" fontId="38" numFmtId="0" xfId="0" applyAlignment="1" applyFont="1">
      <alignment horizontal="center" readingOrder="0"/>
    </xf>
    <xf borderId="0" fillId="0" fontId="39" numFmtId="0" xfId="0" applyAlignment="1" applyFont="1">
      <alignment readingOrder="0"/>
    </xf>
    <xf borderId="0" fillId="0" fontId="40" numFmtId="0" xfId="0" applyAlignment="1" applyFont="1">
      <alignment horizontal="left" readingOrder="0"/>
    </xf>
    <xf borderId="0" fillId="0" fontId="41" numFmtId="0" xfId="0" applyAlignment="1" applyFont="1">
      <alignment horizontal="left" shrinkToFit="0" vertical="bottom" wrapText="0"/>
    </xf>
    <xf borderId="0" fillId="0" fontId="42" numFmtId="0" xfId="0" applyAlignment="1" applyFont="1">
      <alignment horizontal="right" shrinkToFit="0" vertical="bottom" wrapText="0"/>
    </xf>
    <xf borderId="0" fillId="0" fontId="40" numFmtId="0" xfId="0" applyAlignment="1" applyFont="1">
      <alignment horizontal="right" readingOrder="0"/>
    </xf>
    <xf borderId="0" fillId="0" fontId="40" numFmtId="0" xfId="0" applyAlignment="1" applyFont="1">
      <alignment horizontal="right"/>
    </xf>
    <xf borderId="0" fillId="0" fontId="42" numFmtId="0" xfId="0" applyAlignment="1" applyFont="1">
      <alignment horizontal="left" readingOrder="0" shrinkToFit="0" vertical="top" wrapText="0"/>
    </xf>
    <xf borderId="0" fillId="19" fontId="39" numFmtId="0" xfId="0" applyAlignment="1" applyFont="1">
      <alignment readingOrder="0"/>
    </xf>
    <xf borderId="0" fillId="7" fontId="4" numFmtId="0" xfId="0" applyAlignment="1" applyFont="1">
      <alignment shrinkToFit="0" vertical="bottom" wrapText="1"/>
    </xf>
    <xf borderId="0" fillId="4" fontId="4" numFmtId="0" xfId="0" applyAlignment="1" applyFont="1">
      <alignment shrinkToFit="0" vertical="bottom" wrapText="1"/>
    </xf>
    <xf borderId="0" fillId="7" fontId="13" numFmtId="0" xfId="0" applyAlignment="1" applyFont="1">
      <alignment shrinkToFit="0" vertical="bottom" wrapText="1"/>
    </xf>
    <xf borderId="0" fillId="0" fontId="15" numFmtId="0" xfId="0" applyAlignment="1" applyFont="1">
      <alignment shrinkToFit="0" vertical="bottom" wrapText="1"/>
    </xf>
    <xf borderId="0" fillId="0" fontId="43" numFmtId="0" xfId="0" applyAlignment="1" applyFont="1">
      <alignment shrinkToFit="0" vertical="top" wrapText="0"/>
    </xf>
    <xf borderId="0" fillId="0" fontId="3" numFmtId="0" xfId="0" applyAlignment="1" applyFont="1">
      <alignment shrinkToFit="0" vertical="top" wrapText="0"/>
    </xf>
    <xf borderId="0" fillId="0" fontId="3" numFmtId="0" xfId="0" applyAlignment="1" applyFont="1">
      <alignment horizontal="left" shrinkToFit="0" vertical="top" wrapText="0"/>
    </xf>
    <xf borderId="0" fillId="13" fontId="4" numFmtId="0" xfId="0" applyAlignment="1" applyFont="1">
      <alignment shrinkToFit="0" vertical="bottom" wrapText="1"/>
    </xf>
    <xf borderId="0" fillId="13" fontId="13" numFmtId="0" xfId="0" applyAlignment="1" applyFont="1">
      <alignment shrinkToFit="0" vertical="bottom" wrapText="1"/>
    </xf>
    <xf borderId="0" fillId="13" fontId="4" numFmtId="0" xfId="0" applyAlignment="1" applyFont="1">
      <alignment horizontal="center" shrinkToFit="0" vertical="bottom" wrapText="1"/>
    </xf>
    <xf borderId="0" fillId="13" fontId="14" numFmtId="0" xfId="0" applyAlignment="1" applyFont="1">
      <alignment horizontal="center" shrinkToFit="0" vertical="bottom" wrapText="1"/>
    </xf>
    <xf borderId="0" fillId="13" fontId="15" numFmtId="0" xfId="0" applyAlignment="1" applyFont="1">
      <alignment shrinkToFit="0" vertical="bottom" wrapText="1"/>
    </xf>
    <xf borderId="0" fillId="0" fontId="44" numFmtId="0" xfId="0" applyFont="1"/>
    <xf borderId="0" fillId="0" fontId="43" numFmtId="0" xfId="0" applyAlignment="1" applyFont="1">
      <alignment readingOrder="0" shrinkToFit="0" vertical="top" wrapText="0"/>
    </xf>
    <xf borderId="0" fillId="0" fontId="45" numFmtId="0" xfId="0" applyFont="1"/>
    <xf borderId="0" fillId="0" fontId="4" numFmtId="0" xfId="0" applyAlignment="1" applyFont="1">
      <alignment horizontal="left" shrinkToFit="0" vertical="top" wrapText="0"/>
    </xf>
    <xf borderId="0" fillId="0" fontId="3" numFmtId="0" xfId="0" applyAlignment="1" applyFont="1">
      <alignment horizontal="left" readingOrder="0" shrinkToFit="0" vertical="top" wrapText="0"/>
    </xf>
    <xf borderId="0" fillId="0" fontId="42" numFmtId="0" xfId="0" applyAlignment="1" applyFont="1">
      <alignment horizontal="right" vertical="bottom"/>
    </xf>
    <xf borderId="0" fillId="0" fontId="42" numFmtId="0" xfId="0" applyAlignment="1" applyFont="1">
      <alignment shrinkToFit="0" vertical="bottom" wrapText="0"/>
    </xf>
    <xf borderId="0" fillId="0" fontId="42" numFmtId="0" xfId="0" applyAlignment="1" applyFont="1">
      <alignment horizontal="left" shrinkToFit="0" vertical="bottom" wrapText="0"/>
    </xf>
    <xf borderId="0" fillId="0" fontId="42" numFmtId="0" xfId="0" applyAlignment="1" applyFont="1">
      <alignment horizontal="left" readingOrder="0" shrinkToFit="0" vertical="bottom" wrapText="0"/>
    </xf>
    <xf borderId="0" fillId="0" fontId="3" numFmtId="0" xfId="0" applyAlignment="1" applyFont="1">
      <alignment readingOrder="0" shrinkToFit="0" vertical="top" wrapText="0"/>
    </xf>
    <xf borderId="0" fillId="7" fontId="39" numFmtId="0" xfId="0" applyAlignment="1" applyFont="1">
      <alignment readingOrder="0"/>
    </xf>
    <xf borderId="0" fillId="20" fontId="4" numFmtId="0" xfId="0" applyAlignment="1" applyFill="1" applyFont="1">
      <alignment horizontal="left" shrinkToFit="0" vertical="bottom" wrapText="1"/>
    </xf>
    <xf borderId="0" fillId="6" fontId="3" numFmtId="0" xfId="0" applyAlignment="1" applyFont="1">
      <alignment shrinkToFit="0" vertical="top" wrapText="0"/>
    </xf>
    <xf borderId="0" fillId="6" fontId="3" numFmtId="0" xfId="0" applyAlignment="1" applyFont="1">
      <alignment horizontal="center" shrinkToFit="0" vertical="top" wrapText="1"/>
    </xf>
    <xf borderId="0" fillId="0" fontId="3" numFmtId="0" xfId="0" applyAlignment="1" applyFont="1">
      <alignment horizontal="center" shrinkToFit="0" vertical="top" wrapText="1"/>
    </xf>
    <xf borderId="0" fillId="20" fontId="4" numFmtId="0" xfId="0" applyAlignment="1" applyFont="1">
      <alignment shrinkToFit="0" vertical="bottom" wrapText="1"/>
    </xf>
    <xf borderId="0" fillId="6" fontId="2" numFmtId="0" xfId="0" applyFont="1"/>
    <xf borderId="0" fillId="0" fontId="42" numFmtId="0" xfId="0" applyAlignment="1" applyFont="1">
      <alignment horizontal="left" shrinkToFit="0" vertical="bottom" wrapText="0"/>
    </xf>
    <xf borderId="0" fillId="21" fontId="46" numFmtId="0" xfId="0" applyAlignment="1" applyFill="1" applyFont="1">
      <alignment readingOrder="0"/>
    </xf>
    <xf borderId="0" fillId="0" fontId="47" numFmtId="0" xfId="0" applyAlignment="1" applyFont="1">
      <alignment readingOrder="0"/>
    </xf>
    <xf borderId="0" fillId="0" fontId="4" numFmtId="0" xfId="0" applyAlignment="1" applyFont="1">
      <alignment shrinkToFit="0" vertical="bottom" wrapText="0"/>
    </xf>
    <xf borderId="0" fillId="13" fontId="4" numFmtId="0" xfId="0" applyAlignment="1" applyFont="1">
      <alignment shrinkToFit="0" vertical="bottom" wrapText="0"/>
    </xf>
    <xf borderId="0" fillId="0" fontId="3" numFmtId="0" xfId="0" applyAlignment="1" applyFont="1">
      <alignment shrinkToFit="0" vertical="bottom" wrapText="1"/>
    </xf>
    <xf borderId="0" fillId="13" fontId="4" numFmtId="0" xfId="0" applyAlignment="1" applyFont="1">
      <alignment shrinkToFit="0" vertical="top" wrapText="0"/>
    </xf>
    <xf borderId="0" fillId="13" fontId="3" numFmtId="0" xfId="0" applyAlignment="1" applyFont="1">
      <alignment shrinkToFit="0" vertical="top" wrapText="0"/>
    </xf>
    <xf borderId="0" fillId="13" fontId="4" numFmtId="0" xfId="0" applyAlignment="1" applyFont="1">
      <alignment horizontal="left" shrinkToFit="0" vertical="bottom" wrapText="0"/>
    </xf>
    <xf borderId="0" fillId="13" fontId="4" numFmtId="0" xfId="0" applyAlignment="1" applyFont="1">
      <alignment horizontal="left" shrinkToFit="0" vertical="bottom" wrapText="0"/>
    </xf>
    <xf borderId="0" fillId="0" fontId="3" numFmtId="0" xfId="0" applyAlignment="1" applyFont="1">
      <alignment horizontal="left" shrinkToFit="0" vertical="bottom" wrapText="0"/>
    </xf>
    <xf borderId="0" fillId="13" fontId="4" numFmtId="0" xfId="0" applyAlignment="1" applyFont="1">
      <alignment horizontal="left" shrinkToFit="0" vertical="top" wrapText="0"/>
    </xf>
    <xf borderId="0" fillId="13" fontId="4" numFmtId="0" xfId="0" applyAlignment="1" applyFont="1">
      <alignment horizontal="left" shrinkToFit="0" vertical="top" wrapText="0"/>
    </xf>
    <xf borderId="0" fillId="13" fontId="11" numFmtId="0" xfId="0" applyAlignment="1" applyFont="1">
      <alignment shrinkToFit="0" wrapText="0"/>
    </xf>
    <xf borderId="0" fillId="13" fontId="2" numFmtId="0" xfId="0" applyAlignment="1" applyFont="1">
      <alignment shrinkToFit="0" wrapText="0"/>
    </xf>
    <xf borderId="0" fillId="13" fontId="2" numFmtId="0" xfId="0" applyFont="1"/>
    <xf borderId="0" fillId="0" fontId="11" numFmtId="0" xfId="0" applyAlignment="1" applyFont="1">
      <alignment shrinkToFit="0" wrapText="0"/>
    </xf>
    <xf borderId="0" fillId="0" fontId="11" numFmtId="0" xfId="0" applyFont="1"/>
    <xf borderId="0" fillId="19" fontId="2" numFmtId="0" xfId="0" applyFont="1"/>
    <xf borderId="0" fillId="19" fontId="48" numFmtId="0" xfId="0" applyAlignment="1" applyFont="1">
      <alignment readingOrder="0"/>
    </xf>
    <xf borderId="0" fillId="0" fontId="49" numFmtId="0" xfId="0" applyAlignment="1" applyFont="1">
      <alignment readingOrder="0"/>
    </xf>
    <xf borderId="0" fillId="0" fontId="49" numFmtId="0" xfId="0" applyAlignment="1" applyFont="1">
      <alignment readingOrder="0"/>
    </xf>
    <xf borderId="0" fillId="0" fontId="11" numFmtId="3" xfId="0" applyFont="1" applyNumberFormat="1"/>
    <xf borderId="0" fillId="0" fontId="11" numFmtId="3" xfId="0" applyAlignment="1" applyFont="1" applyNumberFormat="1">
      <alignment readingOrder="0"/>
    </xf>
    <xf borderId="0" fillId="5" fontId="2" numFmtId="0" xfId="0" applyAlignment="1" applyFont="1">
      <alignment readingOrder="0"/>
    </xf>
    <xf borderId="0" fillId="5" fontId="2" numFmtId="3" xfId="0" applyFont="1" applyNumberFormat="1"/>
    <xf borderId="0" fillId="0" fontId="2" numFmtId="0" xfId="0" applyAlignment="1" applyFont="1">
      <alignment readingOrder="0" shrinkToFit="0" wrapText="1"/>
    </xf>
    <xf borderId="0" fillId="18" fontId="26" numFmtId="0" xfId="0" applyAlignment="1" applyFont="1">
      <alignment horizontal="left" readingOrder="0"/>
    </xf>
    <xf borderId="0" fillId="6" fontId="2" numFmtId="3" xfId="0" applyAlignment="1" applyFont="1" applyNumberFormat="1">
      <alignment readingOrder="0"/>
    </xf>
    <xf borderId="0" fillId="7" fontId="2" numFmtId="3" xfId="0" applyAlignment="1" applyFont="1" applyNumberFormat="1">
      <alignment readingOrder="0"/>
    </xf>
    <xf borderId="0" fillId="8" fontId="3" numFmtId="0" xfId="0" applyAlignment="1" applyFont="1">
      <alignment horizontal="center" vertical="bottom"/>
    </xf>
    <xf borderId="0" fillId="0" fontId="3" numFmtId="3" xfId="0" applyAlignment="1" applyFont="1" applyNumberFormat="1">
      <alignment horizontal="right" vertical="bottom"/>
    </xf>
    <xf borderId="0" fillId="5" fontId="3" numFmtId="3" xfId="0" applyAlignment="1" applyFont="1" applyNumberFormat="1">
      <alignment horizontal="right" vertical="bottom"/>
    </xf>
    <xf borderId="0" fillId="7" fontId="2" numFmtId="0" xfId="0" applyAlignment="1" applyFont="1">
      <alignment readingOrder="0"/>
    </xf>
    <xf borderId="0" fillId="11" fontId="50" numFmtId="0" xfId="0" applyAlignment="1" applyFont="1">
      <alignment readingOrder="0"/>
    </xf>
    <xf borderId="0" fillId="11" fontId="27" numFmtId="0" xfId="0" applyFont="1"/>
    <xf borderId="0" fillId="0" fontId="41" numFmtId="0" xfId="0" applyAlignment="1" applyFont="1">
      <alignment vertical="bottom"/>
    </xf>
    <xf borderId="0" fillId="6" fontId="4" numFmtId="0" xfId="0" applyAlignment="1" applyFont="1">
      <alignment vertical="bottom"/>
    </xf>
    <xf borderId="0" fillId="8" fontId="4" numFmtId="0" xfId="0" applyAlignment="1" applyFont="1">
      <alignment horizontal="center" vertical="bottom"/>
    </xf>
    <xf borderId="0" fillId="6" fontId="3" numFmtId="0" xfId="0" applyAlignment="1" applyFont="1">
      <alignment horizontal="right" vertical="bottom"/>
    </xf>
    <xf borderId="0" fillId="10" fontId="3" numFmtId="0" xfId="0" applyAlignment="1" applyFont="1">
      <alignment vertical="bottom"/>
    </xf>
    <xf borderId="0" fillId="19" fontId="3" numFmtId="0" xfId="0" applyAlignment="1" applyFont="1">
      <alignment vertical="bottom"/>
    </xf>
    <xf borderId="0" fillId="7" fontId="3" numFmtId="0" xfId="0" applyAlignment="1" applyFont="1">
      <alignment shrinkToFit="0" vertical="bottom" wrapText="0"/>
    </xf>
    <xf borderId="0" fillId="6" fontId="4" numFmtId="0" xfId="0" applyAlignment="1" applyFont="1">
      <alignment horizontal="center" vertical="bottom"/>
    </xf>
    <xf borderId="0" fillId="22" fontId="40" numFmtId="0" xfId="0" applyAlignment="1" applyFill="1" applyFont="1">
      <alignment readingOrder="0"/>
    </xf>
    <xf borderId="0" fillId="22" fontId="2" numFmtId="0" xfId="0" applyAlignment="1" applyFont="1">
      <alignment readingOrder="0"/>
    </xf>
    <xf borderId="0" fillId="0" fontId="49" numFmtId="3" xfId="0" applyAlignment="1" applyFont="1" applyNumberFormat="1">
      <alignment readingOrder="0"/>
    </xf>
  </cellXfs>
  <cellStyles count="1">
    <cellStyle xfId="0" name="Normal" builtinId="0"/>
  </cellStyles>
  <dxfs count="16">
    <dxf>
      <font/>
      <fill>
        <patternFill patternType="solid">
          <fgColor rgb="FF00FF00"/>
          <bgColor rgb="FF00FF00"/>
        </patternFill>
      </fill>
      <border/>
    </dxf>
    <dxf>
      <font/>
      <fill>
        <patternFill patternType="solid">
          <fgColor rgb="FFFF0000"/>
          <bgColor rgb="FFFF0000"/>
        </patternFill>
      </fill>
      <border/>
    </dxf>
    <dxf>
      <font/>
      <fill>
        <patternFill patternType="solid">
          <fgColor rgb="FFFF00FF"/>
          <bgColor rgb="FFFF00FF"/>
        </patternFill>
      </fill>
      <border/>
    </dxf>
    <dxf>
      <font/>
      <fill>
        <patternFill patternType="solid">
          <fgColor rgb="FFFF9900"/>
          <bgColor rgb="FFFF9900"/>
        </patternFill>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9FC5E8"/>
          <bgColor rgb="FF9FC5E8"/>
        </patternFill>
      </fill>
      <border/>
    </dxf>
    <dxf>
      <font/>
      <fill>
        <patternFill patternType="solid">
          <fgColor rgb="FFB4A7D6"/>
          <bgColor rgb="FFB4A7D6"/>
        </patternFill>
      </fill>
      <border/>
    </dxf>
    <dxf>
      <font/>
      <fill>
        <patternFill patternType="solid">
          <fgColor rgb="FFB7B7B7"/>
          <bgColor rgb="FFB7B7B7"/>
        </patternFill>
      </fill>
      <border/>
    </dxf>
    <dxf>
      <font/>
      <fill>
        <patternFill patternType="solid">
          <fgColor rgb="FFD9D9D9"/>
          <bgColor rgb="FFD9D9D9"/>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EAD1DC"/>
          <bgColor rgb="FFEAD1DC"/>
        </patternFill>
      </fill>
      <border/>
    </dxf>
    <dxf>
      <font>
        <color rgb="FFFFFFFF"/>
      </font>
      <fill>
        <patternFill patternType="solid">
          <fgColor rgb="FFFF0000"/>
          <bgColor rgb="FFFF0000"/>
        </patternFill>
      </fill>
      <border/>
    </dxf>
    <dxf>
      <font/>
      <fill>
        <patternFill patternType="solid">
          <fgColor rgb="FFFFF2CC"/>
          <bgColor rgb="FFFFF2CC"/>
        </patternFill>
      </fill>
      <border/>
    </dxf>
    <dxf>
      <font/>
      <fill>
        <patternFill patternType="solid">
          <fgColor rgb="FF00FFFF"/>
          <bgColor rgb="FF00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SUcXSa-1wQggm8krA_VdFDp4_FCO_v1Xfrp78ITCjjQ/edit?usp=sharing"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3.xml"/><Relationship Id="rId3"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BhplIZ6Ky5t86SOqU_WUaxt-v3eoSSII2AiFA6BfqYw/edit" TargetMode="External"/><Relationship Id="rId3" Type="http://schemas.openxmlformats.org/officeDocument/2006/relationships/drawing" Target="../drawings/drawing15.xml"/><Relationship Id="rId4"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6.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63"/>
    <col customWidth="1" min="2" max="2" width="50.5"/>
    <col customWidth="1" min="3" max="3" width="68.38"/>
  </cols>
  <sheetData>
    <row r="1">
      <c r="A1" s="1" t="s">
        <v>0</v>
      </c>
      <c r="B1" s="2" t="s">
        <v>1</v>
      </c>
    </row>
    <row r="2">
      <c r="A2" s="3" t="s">
        <v>2</v>
      </c>
      <c r="B2" s="2" t="s">
        <v>3</v>
      </c>
    </row>
    <row r="3">
      <c r="A3" s="3" t="s">
        <v>2</v>
      </c>
      <c r="B3" s="3" t="s">
        <v>4</v>
      </c>
      <c r="M3" s="3"/>
      <c r="N3" s="4" t="s">
        <v>5</v>
      </c>
    </row>
    <row r="4">
      <c r="B4" s="5" t="s">
        <v>6</v>
      </c>
      <c r="C4" s="4" t="s">
        <v>7</v>
      </c>
      <c r="D4" s="6" t="s">
        <v>8</v>
      </c>
      <c r="M4" s="7">
        <f>COUNTIF(M5:M1019, FALSE)</f>
        <v>1</v>
      </c>
      <c r="N4" s="6" t="s">
        <v>9</v>
      </c>
    </row>
    <row r="5">
      <c r="A5" s="8">
        <f>IFERROR(__xludf.DUMMYFUNCTION("IMPORTRANGE($A$1,""Runs Compare!C1"")
"),80.0)</f>
        <v>80</v>
      </c>
      <c r="B5" s="9" t="s">
        <v>10</v>
      </c>
      <c r="C5" s="10" t="s">
        <v>11</v>
      </c>
      <c r="M5" s="7" t="b">
        <f t="shared" ref="M5:M77" si="1">IF(NOT(ISBLANK(N5)),A5=N5,IFERROR(0/0,""))</f>
        <v>1</v>
      </c>
      <c r="N5" s="8">
        <v>80.0</v>
      </c>
    </row>
    <row r="6">
      <c r="A6" s="8">
        <f>A5+A17</f>
        <v>85</v>
      </c>
      <c r="B6" s="9" t="s">
        <v>12</v>
      </c>
      <c r="C6" s="10" t="s">
        <v>13</v>
      </c>
      <c r="M6" s="7" t="b">
        <f t="shared" si="1"/>
        <v>1</v>
      </c>
      <c r="N6" s="11">
        <v>85.0</v>
      </c>
    </row>
    <row r="7">
      <c r="A7" s="12">
        <f>IFERROR(__xludf.DUMMYFUNCTION("IMPORTRANGE($A$1,""Runs Compare!B1"")
"),15.0)</f>
        <v>15</v>
      </c>
      <c r="B7" s="9" t="s">
        <v>14</v>
      </c>
      <c r="C7" s="13"/>
      <c r="M7" s="7" t="b">
        <f t="shared" si="1"/>
        <v>1</v>
      </c>
      <c r="N7" s="14">
        <v>15.0</v>
      </c>
    </row>
    <row r="8">
      <c r="A8" s="8">
        <f>IFERROR(__xludf.DUMMYFUNCTION("IMPORTRANGE($A$1,""Run Reconcile!AE1"")
"),0.0)</f>
        <v>0</v>
      </c>
      <c r="B8" s="9" t="s">
        <v>15</v>
      </c>
      <c r="C8" s="13"/>
      <c r="M8" s="7" t="b">
        <f t="shared" si="1"/>
        <v>1</v>
      </c>
      <c r="N8" s="11">
        <v>0.0</v>
      </c>
    </row>
    <row r="9">
      <c r="A9" s="8">
        <f>IFERROR(__xludf.DUMMYFUNCTION("SUM(IMPORTRANGE($A$1,""RFR Data - preExcl!AC2:AC""))+A8
+A8"),109.0)</f>
        <v>109</v>
      </c>
      <c r="B9" s="2" t="s">
        <v>16</v>
      </c>
      <c r="C9" s="9" t="s">
        <v>17</v>
      </c>
      <c r="M9" s="7" t="b">
        <f t="shared" si="1"/>
        <v>1</v>
      </c>
      <c r="N9" s="11">
        <v>109.0</v>
      </c>
    </row>
    <row r="10">
      <c r="A10" s="3"/>
      <c r="B10" s="3"/>
      <c r="C10" s="13"/>
      <c r="M10" s="7" t="str">
        <f t="shared" si="1"/>
        <v/>
      </c>
    </row>
    <row r="11">
      <c r="A11" s="8">
        <f>COUNTA(postDEL!A2:A1019)</f>
        <v>190</v>
      </c>
      <c r="B11" s="9" t="s">
        <v>18</v>
      </c>
      <c r="C11" s="9" t="s">
        <v>19</v>
      </c>
      <c r="M11" s="7" t="b">
        <f t="shared" si="1"/>
        <v>1</v>
      </c>
      <c r="N11" s="11">
        <v>190.0</v>
      </c>
    </row>
    <row r="12">
      <c r="A12" s="8">
        <f>IFERROR(__xludf.DUMMYFUNCTION("COUNTA(IMPORTRANGE($A$1,""ARF Tubes!M2:M""))"),2.0)</f>
        <v>2</v>
      </c>
      <c r="B12" s="9" t="s">
        <v>20</v>
      </c>
      <c r="C12" s="9" t="s">
        <v>21</v>
      </c>
      <c r="M12" s="7" t="b">
        <f t="shared" si="1"/>
        <v>1</v>
      </c>
      <c r="N12" s="11">
        <v>2.0</v>
      </c>
    </row>
    <row r="13">
      <c r="A13" s="8">
        <f>A12+A11</f>
        <v>192</v>
      </c>
      <c r="B13" s="9" t="s">
        <v>22</v>
      </c>
      <c r="C13" s="9" t="s">
        <v>23</v>
      </c>
      <c r="M13" s="7" t="b">
        <f t="shared" si="1"/>
        <v>1</v>
      </c>
      <c r="N13" s="11">
        <v>192.0</v>
      </c>
    </row>
    <row r="14">
      <c r="A14" s="15">
        <f>A11/(A5-A12)</f>
        <v>2.435897436</v>
      </c>
      <c r="B14" s="9" t="s">
        <v>24</v>
      </c>
      <c r="C14" s="3"/>
      <c r="M14" s="7" t="b">
        <f t="shared" si="1"/>
        <v>0</v>
      </c>
      <c r="N14" s="16">
        <v>2.4</v>
      </c>
    </row>
    <row r="15">
      <c r="B15" s="17"/>
      <c r="M15" s="7" t="str">
        <f t="shared" si="1"/>
        <v/>
      </c>
    </row>
    <row r="16">
      <c r="B16" s="17" t="s">
        <v>25</v>
      </c>
      <c r="C16" s="2" t="s">
        <v>26</v>
      </c>
      <c r="M16" s="7" t="str">
        <f t="shared" si="1"/>
        <v/>
      </c>
    </row>
    <row r="17">
      <c r="A17" s="8">
        <f>IFERROR(__xludf.DUMMYFUNCTION("SUM(IMPORTRANGE($A$1,""Run Reconcile!AB2:AB""))
"),5.0)</f>
        <v>5</v>
      </c>
      <c r="B17" s="9" t="s">
        <v>27</v>
      </c>
      <c r="C17" s="9" t="s">
        <v>28</v>
      </c>
      <c r="M17" s="7" t="b">
        <f t="shared" si="1"/>
        <v>1</v>
      </c>
      <c r="N17" s="11">
        <v>5.0</v>
      </c>
    </row>
    <row r="18">
      <c r="A18" s="8">
        <f>IFERROR(__xludf.DUMMYFUNCTION("SUM(IMPORTRANGE($A$1,""Run Reconcile!AA2:AA""))
"),18.0)</f>
        <v>18</v>
      </c>
      <c r="B18" s="9" t="s">
        <v>29</v>
      </c>
      <c r="C18" s="9" t="s">
        <v>30</v>
      </c>
      <c r="M18" s="7" t="b">
        <f t="shared" si="1"/>
        <v>1</v>
      </c>
      <c r="N18" s="11">
        <v>18.0</v>
      </c>
    </row>
    <row r="19">
      <c r="A19" s="18">
        <f>A17/A5</f>
        <v>0.0625</v>
      </c>
      <c r="B19" s="9" t="s">
        <v>31</v>
      </c>
      <c r="C19" s="9" t="s">
        <v>32</v>
      </c>
      <c r="M19" s="7" t="b">
        <f t="shared" si="1"/>
        <v>1</v>
      </c>
      <c r="N19" s="19">
        <v>0.0625</v>
      </c>
    </row>
    <row r="20">
      <c r="A20" s="8">
        <f>IFERROR(__xludf.DUMMYFUNCTION("IMPORTRANGE($A$1,""Run Reconcile!Z1"")"),3.0)</f>
        <v>3</v>
      </c>
      <c r="B20" s="9" t="s">
        <v>33</v>
      </c>
      <c r="C20" s="3"/>
      <c r="M20" s="7" t="b">
        <f t="shared" si="1"/>
        <v>1</v>
      </c>
      <c r="N20" s="11">
        <v>3.0</v>
      </c>
    </row>
    <row r="21">
      <c r="A21" s="20">
        <f>A20/A7</f>
        <v>0.2</v>
      </c>
      <c r="B21" s="9" t="s">
        <v>34</v>
      </c>
      <c r="C21" s="3"/>
      <c r="M21" s="7" t="b">
        <f t="shared" si="1"/>
        <v>1</v>
      </c>
      <c r="N21" s="21">
        <v>0.2</v>
      </c>
    </row>
    <row r="22">
      <c r="M22" s="7" t="str">
        <f t="shared" si="1"/>
        <v/>
      </c>
    </row>
    <row r="23">
      <c r="A23" s="3"/>
      <c r="B23" s="5" t="s">
        <v>35</v>
      </c>
      <c r="C23" s="2" t="s">
        <v>26</v>
      </c>
      <c r="M23" s="7" t="str">
        <f t="shared" si="1"/>
        <v/>
      </c>
    </row>
    <row r="24">
      <c r="A24" s="8">
        <f>COUNTIF('Pos and Incl'!H$2:H1019,"Positive")</f>
        <v>0</v>
      </c>
      <c r="B24" s="9" t="s">
        <v>36</v>
      </c>
      <c r="M24" s="7" t="b">
        <f t="shared" si="1"/>
        <v>1</v>
      </c>
      <c r="N24" s="11">
        <v>0.0</v>
      </c>
    </row>
    <row r="25">
      <c r="A25" s="18"/>
      <c r="B25" s="9" t="s">
        <v>37</v>
      </c>
      <c r="M25" s="7" t="str">
        <f t="shared" si="1"/>
        <v/>
      </c>
      <c r="N25" s="19"/>
    </row>
    <row r="26">
      <c r="A26" s="9">
        <v>0.0</v>
      </c>
      <c r="B26" s="9" t="s">
        <v>38</v>
      </c>
      <c r="C26" s="10" t="s">
        <v>39</v>
      </c>
      <c r="M26" s="7" t="b">
        <f t="shared" si="1"/>
        <v>1</v>
      </c>
      <c r="N26" s="2">
        <v>0.0</v>
      </c>
    </row>
    <row r="27">
      <c r="A27" s="9">
        <v>0.0</v>
      </c>
      <c r="B27" s="9" t="s">
        <v>40</v>
      </c>
      <c r="C27" s="9" t="s">
        <v>41</v>
      </c>
      <c r="M27" s="7" t="b">
        <f t="shared" si="1"/>
        <v>1</v>
      </c>
      <c r="N27" s="2">
        <v>0.0</v>
      </c>
    </row>
    <row r="28">
      <c r="A28" s="9">
        <f>A26-A27</f>
        <v>0</v>
      </c>
      <c r="B28" s="9" t="s">
        <v>42</v>
      </c>
      <c r="C28" s="3"/>
      <c r="M28" s="7" t="b">
        <f t="shared" si="1"/>
        <v>1</v>
      </c>
      <c r="N28" s="2">
        <v>0.0</v>
      </c>
    </row>
    <row r="29">
      <c r="A29" s="3"/>
      <c r="B29" s="3"/>
      <c r="M29" s="7" t="str">
        <f t="shared" si="1"/>
        <v/>
      </c>
    </row>
    <row r="30">
      <c r="A30" s="3"/>
      <c r="B30" s="5" t="s">
        <v>43</v>
      </c>
      <c r="C30" s="9" t="s">
        <v>26</v>
      </c>
      <c r="M30" s="7" t="str">
        <f t="shared" si="1"/>
        <v/>
      </c>
    </row>
    <row r="31">
      <c r="A31" s="8">
        <f>COUNTIF('Pos and Incl'!H$2:H1019,"Inconclusive")</f>
        <v>0</v>
      </c>
      <c r="B31" s="9" t="s">
        <v>44</v>
      </c>
      <c r="C31" s="3"/>
      <c r="M31" s="7" t="b">
        <f t="shared" si="1"/>
        <v>1</v>
      </c>
      <c r="N31" s="11">
        <v>0.0</v>
      </c>
    </row>
    <row r="32">
      <c r="A32" s="8">
        <v>0.0</v>
      </c>
      <c r="B32" s="9" t="s">
        <v>45</v>
      </c>
      <c r="C32" s="3"/>
      <c r="M32" s="7" t="b">
        <f t="shared" si="1"/>
        <v>1</v>
      </c>
      <c r="N32" s="11">
        <v>0.0</v>
      </c>
    </row>
    <row r="33">
      <c r="A33" s="22">
        <v>0.0</v>
      </c>
      <c r="B33" s="23" t="s">
        <v>46</v>
      </c>
      <c r="C33" s="24"/>
      <c r="D33" s="25"/>
      <c r="M33" s="7" t="b">
        <f t="shared" si="1"/>
        <v>1</v>
      </c>
      <c r="N33" s="2">
        <v>0.0</v>
      </c>
    </row>
    <row r="34">
      <c r="A34" s="18"/>
      <c r="B34" s="9" t="s">
        <v>47</v>
      </c>
      <c r="C34" s="3"/>
      <c r="M34" s="7" t="str">
        <f t="shared" si="1"/>
        <v/>
      </c>
      <c r="N34" s="19"/>
    </row>
    <row r="35">
      <c r="A35" s="26">
        <v>0.0</v>
      </c>
      <c r="B35" s="9" t="s">
        <v>48</v>
      </c>
      <c r="C35" s="3"/>
      <c r="M35" s="7" t="b">
        <f t="shared" si="1"/>
        <v>1</v>
      </c>
      <c r="N35" s="2">
        <v>0.0</v>
      </c>
    </row>
    <row r="36">
      <c r="A36" s="27" t="str">
        <f>IF(A33&lt;&gt;0,A35/A33,IFERROR(0/0,""))</f>
        <v/>
      </c>
      <c r="B36" s="9" t="s">
        <v>49</v>
      </c>
      <c r="C36" s="3"/>
      <c r="M36" s="7" t="str">
        <f t="shared" si="1"/>
        <v/>
      </c>
      <c r="N36" s="21"/>
    </row>
    <row r="37">
      <c r="A37" s="8">
        <f>A33-A35</f>
        <v>0</v>
      </c>
      <c r="B37" s="9" t="s">
        <v>50</v>
      </c>
      <c r="C37" s="3"/>
      <c r="M37" s="7" t="b">
        <f t="shared" si="1"/>
        <v>1</v>
      </c>
      <c r="N37" s="11">
        <v>0.0</v>
      </c>
    </row>
    <row r="38">
      <c r="A38" s="26">
        <f>A33-A35-A37</f>
        <v>0</v>
      </c>
      <c r="B38" s="9" t="s">
        <v>51</v>
      </c>
      <c r="C38" s="9"/>
      <c r="M38" s="7" t="b">
        <f t="shared" si="1"/>
        <v>1</v>
      </c>
      <c r="N38" s="2">
        <v>0.0</v>
      </c>
    </row>
    <row r="39">
      <c r="A39" s="26">
        <v>3.0</v>
      </c>
      <c r="B39" s="9" t="s">
        <v>52</v>
      </c>
      <c r="C39" s="9" t="s">
        <v>53</v>
      </c>
      <c r="M39" s="7" t="b">
        <f t="shared" si="1"/>
        <v>1</v>
      </c>
      <c r="N39" s="2">
        <v>3.0</v>
      </c>
    </row>
    <row r="40">
      <c r="A40" s="26">
        <v>4.0</v>
      </c>
      <c r="B40" s="9" t="s">
        <v>54</v>
      </c>
      <c r="C40" s="9" t="s">
        <v>55</v>
      </c>
      <c r="M40" s="7" t="b">
        <f t="shared" si="1"/>
        <v>1</v>
      </c>
      <c r="N40" s="2">
        <v>4.0</v>
      </c>
    </row>
    <row r="41">
      <c r="A41" s="18">
        <f>A40/A6</f>
        <v>0.04705882353</v>
      </c>
      <c r="B41" s="9" t="s">
        <v>56</v>
      </c>
      <c r="C41" s="9" t="s">
        <v>13</v>
      </c>
      <c r="M41" s="7" t="b">
        <f t="shared" si="1"/>
        <v>1</v>
      </c>
      <c r="N41" s="19">
        <v>0.047058823529411764</v>
      </c>
    </row>
    <row r="42">
      <c r="A42" s="3"/>
      <c r="B42" s="3"/>
      <c r="C42" s="3"/>
      <c r="M42" s="7" t="str">
        <f t="shared" si="1"/>
        <v/>
      </c>
    </row>
    <row r="43">
      <c r="A43" s="26" t="s">
        <v>57</v>
      </c>
      <c r="B43" s="5" t="s">
        <v>58</v>
      </c>
      <c r="C43" s="9" t="s">
        <v>26</v>
      </c>
      <c r="D43" s="3"/>
      <c r="E43" s="3"/>
      <c r="M43" s="7" t="str">
        <f t="shared" si="1"/>
        <v/>
      </c>
    </row>
    <row r="44">
      <c r="A44" s="28">
        <v>0.0</v>
      </c>
      <c r="B44" s="29" t="s">
        <v>59</v>
      </c>
      <c r="C44" s="30" t="s">
        <v>60</v>
      </c>
      <c r="D44" s="24"/>
      <c r="E44" s="3"/>
      <c r="M44" s="7" t="b">
        <f t="shared" si="1"/>
        <v>1</v>
      </c>
      <c r="N44" s="2">
        <v>0.0</v>
      </c>
    </row>
    <row r="45">
      <c r="A45" s="12">
        <v>0.0</v>
      </c>
      <c r="B45" s="13" t="s">
        <v>61</v>
      </c>
      <c r="C45" s="13" t="s">
        <v>62</v>
      </c>
      <c r="D45" s="13"/>
      <c r="E45" s="3"/>
      <c r="M45" s="7" t="b">
        <f t="shared" si="1"/>
        <v>1</v>
      </c>
      <c r="N45" s="2">
        <v>0.0</v>
      </c>
    </row>
    <row r="46">
      <c r="A46" s="12">
        <v>0.0</v>
      </c>
      <c r="B46" s="9" t="s">
        <v>63</v>
      </c>
      <c r="C46" s="3"/>
      <c r="D46" s="13"/>
      <c r="E46" s="3"/>
      <c r="M46" s="7" t="b">
        <f t="shared" si="1"/>
        <v>1</v>
      </c>
      <c r="N46" s="2">
        <v>0.0</v>
      </c>
    </row>
    <row r="47">
      <c r="A47" s="31" t="str">
        <f>IF(A44&lt;&gt;0,(A45+A46)/A44,IFERROR(0/0,""))</f>
        <v/>
      </c>
      <c r="B47" s="13" t="s">
        <v>64</v>
      </c>
      <c r="C47" s="3"/>
      <c r="D47" s="13" t="s">
        <v>65</v>
      </c>
      <c r="E47" s="3"/>
      <c r="M47" s="7" t="b">
        <f t="shared" si="1"/>
        <v>1</v>
      </c>
      <c r="N47" s="32">
        <v>0.0</v>
      </c>
    </row>
    <row r="48">
      <c r="A48" s="12">
        <v>0.0</v>
      </c>
      <c r="B48" s="13" t="s">
        <v>66</v>
      </c>
      <c r="C48" s="3"/>
      <c r="D48" s="13"/>
      <c r="E48" s="3"/>
      <c r="M48" s="7" t="b">
        <f t="shared" si="1"/>
        <v>1</v>
      </c>
      <c r="N48" s="2">
        <v>0.0</v>
      </c>
    </row>
    <row r="49">
      <c r="A49" s="12">
        <v>0.0</v>
      </c>
      <c r="B49" s="13" t="s">
        <v>67</v>
      </c>
      <c r="C49" s="3"/>
      <c r="D49" s="13"/>
      <c r="E49" s="3"/>
      <c r="M49" s="7" t="b">
        <f t="shared" si="1"/>
        <v>1</v>
      </c>
      <c r="N49" s="2">
        <v>0.0</v>
      </c>
    </row>
    <row r="50">
      <c r="A50" s="3"/>
      <c r="B50" s="3"/>
      <c r="C50" s="3"/>
      <c r="D50" s="3"/>
      <c r="E50" s="3"/>
      <c r="M50" s="7" t="str">
        <f t="shared" si="1"/>
        <v/>
      </c>
    </row>
    <row r="51">
      <c r="A51" s="13" t="s">
        <v>68</v>
      </c>
      <c r="B51" s="33" t="s">
        <v>69</v>
      </c>
      <c r="C51" s="13" t="s">
        <v>26</v>
      </c>
      <c r="D51" s="3"/>
      <c r="E51" s="3"/>
      <c r="M51" s="7" t="str">
        <f t="shared" si="1"/>
        <v/>
      </c>
    </row>
    <row r="52">
      <c r="A52" s="3"/>
      <c r="B52" s="13" t="s">
        <v>70</v>
      </c>
      <c r="C52" s="3"/>
      <c r="D52" s="3" t="s">
        <v>71</v>
      </c>
      <c r="E52" s="3"/>
      <c r="M52" s="7" t="str">
        <f t="shared" si="1"/>
        <v/>
      </c>
    </row>
    <row r="53">
      <c r="A53" s="24"/>
      <c r="B53" s="29" t="s">
        <v>72</v>
      </c>
      <c r="C53" s="24"/>
      <c r="D53" s="3" t="s">
        <v>71</v>
      </c>
      <c r="E53" s="3"/>
      <c r="M53" s="7" t="str">
        <f t="shared" si="1"/>
        <v/>
      </c>
    </row>
    <row r="54">
      <c r="A54" s="34"/>
      <c r="B54" s="13" t="s">
        <v>73</v>
      </c>
      <c r="C54" s="13" t="s">
        <v>74</v>
      </c>
      <c r="D54" s="3" t="s">
        <v>71</v>
      </c>
      <c r="E54" s="3"/>
      <c r="M54" s="7" t="str">
        <f t="shared" si="1"/>
        <v/>
      </c>
    </row>
    <row r="55">
      <c r="A55" s="3"/>
      <c r="B55" s="13" t="s">
        <v>75</v>
      </c>
      <c r="C55" s="3"/>
      <c r="D55" s="3" t="s">
        <v>71</v>
      </c>
      <c r="E55" s="3"/>
      <c r="M55" s="7" t="str">
        <f t="shared" si="1"/>
        <v/>
      </c>
    </row>
    <row r="56">
      <c r="A56" s="3"/>
      <c r="B56" s="13" t="s">
        <v>76</v>
      </c>
      <c r="C56" s="3"/>
      <c r="D56" s="3" t="s">
        <v>71</v>
      </c>
      <c r="E56" s="3"/>
      <c r="M56" s="7" t="str">
        <f t="shared" si="1"/>
        <v/>
      </c>
    </row>
    <row r="57">
      <c r="A57" s="34"/>
      <c r="B57" s="13" t="s">
        <v>77</v>
      </c>
      <c r="C57" s="3"/>
      <c r="D57" s="3"/>
      <c r="E57" s="3"/>
      <c r="M57" s="7" t="str">
        <f t="shared" si="1"/>
        <v/>
      </c>
    </row>
    <row r="58">
      <c r="A58" s="3"/>
      <c r="B58" s="3"/>
      <c r="C58" s="3"/>
      <c r="M58" s="7" t="str">
        <f t="shared" si="1"/>
        <v/>
      </c>
    </row>
    <row r="59">
      <c r="A59" s="3"/>
      <c r="B59" s="5" t="s">
        <v>78</v>
      </c>
      <c r="C59" s="9" t="s">
        <v>26</v>
      </c>
      <c r="M59" s="7" t="str">
        <f t="shared" si="1"/>
        <v/>
      </c>
    </row>
    <row r="60">
      <c r="A60" s="8">
        <v>0.0</v>
      </c>
      <c r="B60" s="9" t="s">
        <v>79</v>
      </c>
      <c r="C60" s="9" t="s">
        <v>80</v>
      </c>
      <c r="M60" s="7" t="b">
        <f t="shared" si="1"/>
        <v>1</v>
      </c>
      <c r="N60" s="11">
        <v>0.0</v>
      </c>
    </row>
    <row r="61">
      <c r="A61" s="8">
        <v>0.0</v>
      </c>
      <c r="B61" s="9" t="s">
        <v>81</v>
      </c>
      <c r="C61" s="9" t="s">
        <v>82</v>
      </c>
      <c r="M61" s="7" t="b">
        <f t="shared" si="1"/>
        <v>1</v>
      </c>
      <c r="N61" s="11">
        <v>0.0</v>
      </c>
    </row>
    <row r="62">
      <c r="A62" s="3"/>
      <c r="B62" s="3"/>
      <c r="C62" s="3"/>
      <c r="M62" s="7" t="str">
        <f t="shared" si="1"/>
        <v/>
      </c>
    </row>
    <row r="63">
      <c r="A63" s="3"/>
      <c r="B63" s="5" t="s">
        <v>83</v>
      </c>
      <c r="C63" s="9" t="s">
        <v>26</v>
      </c>
      <c r="M63" s="7" t="str">
        <f t="shared" si="1"/>
        <v/>
      </c>
    </row>
    <row r="64">
      <c r="A64" s="8">
        <f>COUNTA(Person!$E$2:$E1019)</f>
        <v>130</v>
      </c>
      <c r="B64" s="9" t="s">
        <v>84</v>
      </c>
      <c r="C64" s="9" t="s">
        <v>85</v>
      </c>
      <c r="M64" s="7" t="b">
        <f t="shared" si="1"/>
        <v>1</v>
      </c>
      <c r="N64" s="11">
        <v>130.0</v>
      </c>
    </row>
    <row r="65">
      <c r="A65" s="8">
        <f>COUNTA(Person!$AQ$2:$AQ1019)</f>
        <v>19</v>
      </c>
      <c r="B65" s="9" t="s">
        <v>86</v>
      </c>
      <c r="C65" s="9" t="s">
        <v>87</v>
      </c>
      <c r="M65" s="7" t="b">
        <f t="shared" si="1"/>
        <v>1</v>
      </c>
      <c r="N65" s="11">
        <v>19.0</v>
      </c>
    </row>
    <row r="66">
      <c r="A66" s="3"/>
      <c r="B66" s="3"/>
      <c r="C66" s="3"/>
      <c r="M66" s="7" t="str">
        <f t="shared" si="1"/>
        <v/>
      </c>
    </row>
    <row r="67">
      <c r="A67" s="3"/>
      <c r="B67" s="5" t="s">
        <v>88</v>
      </c>
      <c r="C67" s="9" t="s">
        <v>26</v>
      </c>
      <c r="M67" s="7" t="str">
        <f t="shared" si="1"/>
        <v/>
      </c>
    </row>
    <row r="68">
      <c r="A68" s="26">
        <v>0.0</v>
      </c>
      <c r="B68" s="9" t="s">
        <v>89</v>
      </c>
      <c r="C68" s="9" t="s">
        <v>90</v>
      </c>
      <c r="M68" s="7" t="b">
        <f t="shared" si="1"/>
        <v>1</v>
      </c>
      <c r="N68" s="2">
        <v>0.0</v>
      </c>
    </row>
    <row r="69">
      <c r="A69" s="20">
        <f>A68/A$64</f>
        <v>0</v>
      </c>
      <c r="B69" s="9" t="s">
        <v>91</v>
      </c>
      <c r="C69" s="3"/>
      <c r="M69" s="7" t="b">
        <f t="shared" si="1"/>
        <v>1</v>
      </c>
      <c r="N69" s="21">
        <v>0.0</v>
      </c>
    </row>
    <row r="70">
      <c r="A70" s="8">
        <f>A68</f>
        <v>0</v>
      </c>
      <c r="B70" s="9" t="s">
        <v>92</v>
      </c>
      <c r="C70" s="3"/>
      <c r="M70" s="7" t="b">
        <f t="shared" si="1"/>
        <v>1</v>
      </c>
      <c r="N70" s="11">
        <v>0.0</v>
      </c>
    </row>
    <row r="71">
      <c r="A71" s="20">
        <f>A70/A$64</f>
        <v>0</v>
      </c>
      <c r="B71" s="9" t="s">
        <v>93</v>
      </c>
      <c r="C71" s="3"/>
      <c r="M71" s="7" t="b">
        <f t="shared" si="1"/>
        <v>1</v>
      </c>
      <c r="N71" s="21">
        <v>0.0</v>
      </c>
    </row>
    <row r="72">
      <c r="A72" s="3"/>
      <c r="B72" s="35"/>
      <c r="C72" s="3"/>
      <c r="M72" s="7" t="str">
        <f t="shared" si="1"/>
        <v/>
      </c>
    </row>
    <row r="73">
      <c r="A73" s="3"/>
      <c r="B73" s="5" t="s">
        <v>94</v>
      </c>
      <c r="C73" s="9" t="s">
        <v>26</v>
      </c>
      <c r="M73" s="7" t="str">
        <f t="shared" si="1"/>
        <v/>
      </c>
    </row>
    <row r="74">
      <c r="A74" s="36">
        <f>IFERROR(__xludf.DUMMYFUNCTION("MIN(IMPORTRANGE($A$1,""ALL Tube Results!$C2:C"")
)"),44683.0)</f>
        <v>44683</v>
      </c>
      <c r="B74" s="9" t="s">
        <v>95</v>
      </c>
      <c r="C74" s="3"/>
      <c r="M74" s="7" t="b">
        <f t="shared" si="1"/>
        <v>1</v>
      </c>
      <c r="N74" s="37">
        <v>44683.0</v>
      </c>
    </row>
    <row r="75">
      <c r="A75" s="36">
        <f>IFERROR(__xludf.DUMMYFUNCTION("MAX(IMPORTRANGE($A$1,""ALL Tube Results!$C2:C""))"),44837.0)</f>
        <v>44837</v>
      </c>
      <c r="B75" s="9" t="s">
        <v>96</v>
      </c>
      <c r="C75" s="3"/>
      <c r="M75" s="7" t="b">
        <f t="shared" si="1"/>
        <v>1</v>
      </c>
      <c r="N75" s="37">
        <v>44837.0</v>
      </c>
    </row>
    <row r="76">
      <c r="A76" s="3"/>
      <c r="B76" s="3"/>
      <c r="C76" s="3"/>
      <c r="M76" s="7" t="str">
        <f t="shared" si="1"/>
        <v/>
      </c>
    </row>
    <row r="77">
      <c r="A77" s="3"/>
      <c r="B77" s="5" t="s">
        <v>97</v>
      </c>
      <c r="C77" s="9" t="s">
        <v>26</v>
      </c>
      <c r="M77" s="7" t="str">
        <f t="shared" si="1"/>
        <v/>
      </c>
    </row>
    <row r="78">
      <c r="A78" s="9" t="s">
        <v>98</v>
      </c>
      <c r="B78" s="9" t="s">
        <v>99</v>
      </c>
      <c r="C78" s="9" t="s">
        <v>100</v>
      </c>
      <c r="M78" s="7" t="b">
        <f>IF(NOT(ISBLANK(N78)),A88=N78,IFERROR(0/0,""))</f>
        <v>1</v>
      </c>
      <c r="N78" s="38" t="s">
        <v>101</v>
      </c>
    </row>
    <row r="79">
      <c r="A79" s="3" t="s">
        <v>102</v>
      </c>
      <c r="B79" s="9" t="s">
        <v>103</v>
      </c>
      <c r="C79" s="9" t="s">
        <v>104</v>
      </c>
      <c r="M79" s="7" t="b">
        <f t="shared" ref="M79:M86" si="2">IF(NOT(ISBLANK(N79)),A78=N79,IFERROR(0/0,""))</f>
        <v>1</v>
      </c>
      <c r="N79" s="2" t="s">
        <v>98</v>
      </c>
    </row>
    <row r="80">
      <c r="A80" s="9" t="s">
        <v>105</v>
      </c>
      <c r="B80" s="9" t="s">
        <v>106</v>
      </c>
      <c r="C80" s="9" t="s">
        <v>107</v>
      </c>
      <c r="M80" s="7" t="b">
        <f t="shared" si="2"/>
        <v>1</v>
      </c>
      <c r="N80" s="11" t="s">
        <v>102</v>
      </c>
    </row>
    <row r="81">
      <c r="A81" s="3" t="s">
        <v>108</v>
      </c>
      <c r="B81" s="9" t="s">
        <v>109</v>
      </c>
      <c r="C81" s="9" t="s">
        <v>110</v>
      </c>
      <c r="M81" s="7" t="b">
        <f t="shared" si="2"/>
        <v>1</v>
      </c>
      <c r="N81" s="2" t="s">
        <v>105</v>
      </c>
    </row>
    <row r="82">
      <c r="A82" s="39" t="s">
        <v>111</v>
      </c>
      <c r="B82" s="9" t="s">
        <v>112</v>
      </c>
      <c r="C82" s="9" t="s">
        <v>113</v>
      </c>
      <c r="M82" s="7" t="b">
        <f t="shared" si="2"/>
        <v>1</v>
      </c>
      <c r="N82" s="11" t="s">
        <v>108</v>
      </c>
    </row>
    <row r="83">
      <c r="A83" s="9" t="s">
        <v>114</v>
      </c>
      <c r="B83" s="9" t="s">
        <v>115</v>
      </c>
      <c r="C83" s="9" t="s">
        <v>116</v>
      </c>
      <c r="M83" s="7" t="b">
        <f t="shared" si="2"/>
        <v>1</v>
      </c>
      <c r="N83" s="2" t="s">
        <v>111</v>
      </c>
    </row>
    <row r="84">
      <c r="A84" s="3" t="s">
        <v>117</v>
      </c>
      <c r="B84" s="9" t="s">
        <v>118</v>
      </c>
      <c r="C84" s="9" t="s">
        <v>119</v>
      </c>
      <c r="M84" s="7" t="b">
        <f t="shared" si="2"/>
        <v>1</v>
      </c>
      <c r="N84" s="2" t="s">
        <v>114</v>
      </c>
    </row>
    <row r="85">
      <c r="A85" s="9" t="s">
        <v>120</v>
      </c>
      <c r="B85" s="9" t="s">
        <v>121</v>
      </c>
      <c r="C85" s="9" t="s">
        <v>122</v>
      </c>
      <c r="M85" s="7" t="b">
        <f t="shared" si="2"/>
        <v>1</v>
      </c>
      <c r="N85" s="11" t="s">
        <v>117</v>
      </c>
    </row>
    <row r="86">
      <c r="A86" s="2" t="s">
        <v>123</v>
      </c>
      <c r="B86" s="9" t="s">
        <v>124</v>
      </c>
      <c r="C86" s="9" t="s">
        <v>125</v>
      </c>
      <c r="M86" s="7" t="b">
        <f t="shared" si="2"/>
        <v>1</v>
      </c>
      <c r="N86" s="2" t="s">
        <v>120</v>
      </c>
    </row>
    <row r="87">
      <c r="A87" s="9" t="s">
        <v>98</v>
      </c>
      <c r="B87" s="9" t="s">
        <v>126</v>
      </c>
      <c r="C87" s="9" t="s">
        <v>127</v>
      </c>
    </row>
    <row r="88">
      <c r="A88" s="40" t="s">
        <v>101</v>
      </c>
      <c r="B88" s="9" t="s">
        <v>128</v>
      </c>
      <c r="C88" s="9" t="s">
        <v>129</v>
      </c>
    </row>
    <row r="89">
      <c r="A89" s="2" t="s">
        <v>130</v>
      </c>
      <c r="B89" s="9" t="s">
        <v>131</v>
      </c>
      <c r="C89" s="9" t="s">
        <v>132</v>
      </c>
    </row>
  </sheetData>
  <conditionalFormatting sqref="M4">
    <cfRule type="cellIs" dxfId="0" priority="1" operator="equal">
      <formula>0</formula>
    </cfRule>
  </conditionalFormatting>
  <conditionalFormatting sqref="M4">
    <cfRule type="cellIs" dxfId="1" priority="2" operator="notEqual">
      <formula>0</formula>
    </cfRule>
  </conditionalFormatting>
  <hyperlinks>
    <hyperlink r:id="rId2" ref="A1"/>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1.88"/>
    <col customWidth="1" min="4" max="4" width="9.88"/>
    <col customWidth="1" min="5" max="5" width="9.5"/>
  </cols>
  <sheetData>
    <row r="1">
      <c r="A1" s="41" t="str">
        <f>IFERROR(__xludf.DUMMYFUNCTION("IMPORTRANGE(Stats!$A$1,""Weekly!A1:G"")"),"Week Start Date")</f>
        <v>Week Start Date</v>
      </c>
      <c r="B1" s="42" t="str">
        <f>IFERROR(__xludf.DUMMYFUNCTION("""COMPUTED_VALUE"""),"Week End Date")</f>
        <v>Week End Date</v>
      </c>
      <c r="C1" s="43" t="str">
        <f>IFERROR(__xludf.DUMMYFUNCTION("""COMPUTED_VALUE"""),"Weekly Participants 190")</f>
        <v>Weekly Participants 190</v>
      </c>
      <c r="D1" s="42" t="str">
        <f>IFERROR(__xludf.DUMMYFUNCTION("""COMPUTED_VALUE"""),"Weekly Tubes Run 80")</f>
        <v>Weekly Tubes Run 80</v>
      </c>
      <c r="E1" s="42" t="str">
        <f>IFERROR(__xludf.DUMMYFUNCTION("""COMPUTED_VALUE"""),"Weekly Positive Tubes 0")</f>
        <v>Weekly Positive Tubes 0</v>
      </c>
      <c r="F1" s="42" t="str">
        <f>IFERROR(__xludf.DUMMYFUNCTION("""COMPUTED_VALUE"""),"Weekly Inconclusive Tubes 0")</f>
        <v>Weekly Inconclusive Tubes 0</v>
      </c>
      <c r="G1" s="42" t="str">
        <f>IFERROR(__xludf.DUMMYFUNCTION("""COMPUTED_VALUE"""),"% Positive")</f>
        <v>% Positive</v>
      </c>
      <c r="H1" s="44"/>
      <c r="I1" s="44"/>
      <c r="J1" s="44"/>
      <c r="K1" s="44"/>
      <c r="L1" s="44"/>
      <c r="M1" s="44"/>
      <c r="N1" s="44"/>
      <c r="O1" s="44"/>
      <c r="P1" s="44"/>
      <c r="Q1" s="44"/>
      <c r="R1" s="44"/>
      <c r="S1" s="44"/>
      <c r="T1" s="44"/>
      <c r="U1" s="44"/>
      <c r="V1" s="44"/>
      <c r="W1" s="44"/>
      <c r="X1" s="44"/>
      <c r="Y1" s="44"/>
      <c r="Z1" s="44"/>
      <c r="AA1" s="44"/>
    </row>
    <row r="2">
      <c r="A2" s="45">
        <f>IFERROR(__xludf.DUMMYFUNCTION("""COMPUTED_VALUE"""),44683.0)</f>
        <v>44683</v>
      </c>
      <c r="B2" s="45">
        <f>IFERROR(__xludf.DUMMYFUNCTION("""COMPUTED_VALUE"""),44689.0)</f>
        <v>44689</v>
      </c>
      <c r="C2" s="46">
        <f>IFERROR(__xludf.DUMMYFUNCTION("""COMPUTED_VALUE"""),34.0)</f>
        <v>34</v>
      </c>
      <c r="D2" s="47">
        <f>IFERROR(__xludf.DUMMYFUNCTION("""COMPUTED_VALUE"""),17.0)</f>
        <v>17</v>
      </c>
      <c r="E2" s="47">
        <f>IFERROR(__xludf.DUMMYFUNCTION("""COMPUTED_VALUE"""),0.0)</f>
        <v>0</v>
      </c>
      <c r="F2" s="47">
        <f>IFERROR(__xludf.DUMMYFUNCTION("""COMPUTED_VALUE"""),0.0)</f>
        <v>0</v>
      </c>
      <c r="G2" s="48">
        <f>IFERROR(__xludf.DUMMYFUNCTION("""COMPUTED_VALUE"""),0.0)</f>
        <v>0</v>
      </c>
    </row>
    <row r="3">
      <c r="A3" s="45">
        <f>IFERROR(__xludf.DUMMYFUNCTION("""COMPUTED_VALUE"""),44690.0)</f>
        <v>44690</v>
      </c>
      <c r="B3" s="45">
        <f>IFERROR(__xludf.DUMMYFUNCTION("""COMPUTED_VALUE"""),44696.0)</f>
        <v>44696</v>
      </c>
      <c r="C3" s="46">
        <f>IFERROR(__xludf.DUMMYFUNCTION("""COMPUTED_VALUE"""),22.0)</f>
        <v>22</v>
      </c>
      <c r="D3" s="47">
        <f>IFERROR(__xludf.DUMMYFUNCTION("""COMPUTED_VALUE"""),9.0)</f>
        <v>9</v>
      </c>
      <c r="E3" s="47">
        <f>IFERROR(__xludf.DUMMYFUNCTION("""COMPUTED_VALUE"""),0.0)</f>
        <v>0</v>
      </c>
      <c r="F3" s="47">
        <f>IFERROR(__xludf.DUMMYFUNCTION("""COMPUTED_VALUE"""),0.0)</f>
        <v>0</v>
      </c>
      <c r="G3" s="48">
        <f>IFERROR(__xludf.DUMMYFUNCTION("""COMPUTED_VALUE"""),0.0)</f>
        <v>0</v>
      </c>
    </row>
    <row r="4">
      <c r="A4" s="45">
        <f>IFERROR(__xludf.DUMMYFUNCTION("""COMPUTED_VALUE"""),44697.0)</f>
        <v>44697</v>
      </c>
      <c r="B4" s="45">
        <f>IFERROR(__xludf.DUMMYFUNCTION("""COMPUTED_VALUE"""),44703.0)</f>
        <v>44703</v>
      </c>
      <c r="C4" s="46">
        <f>IFERROR(__xludf.DUMMYFUNCTION("""COMPUTED_VALUE"""),26.0)</f>
        <v>26</v>
      </c>
      <c r="D4" s="47">
        <f>IFERROR(__xludf.DUMMYFUNCTION("""COMPUTED_VALUE"""),10.0)</f>
        <v>10</v>
      </c>
      <c r="E4" s="47">
        <f>IFERROR(__xludf.DUMMYFUNCTION("""COMPUTED_VALUE"""),0.0)</f>
        <v>0</v>
      </c>
      <c r="F4" s="47">
        <f>IFERROR(__xludf.DUMMYFUNCTION("""COMPUTED_VALUE"""),0.0)</f>
        <v>0</v>
      </c>
      <c r="G4" s="48">
        <f>IFERROR(__xludf.DUMMYFUNCTION("""COMPUTED_VALUE"""),0.0)</f>
        <v>0</v>
      </c>
    </row>
    <row r="5">
      <c r="A5" s="45">
        <f>IFERROR(__xludf.DUMMYFUNCTION("""COMPUTED_VALUE"""),44704.0)</f>
        <v>44704</v>
      </c>
      <c r="B5" s="45">
        <f>IFERROR(__xludf.DUMMYFUNCTION("""COMPUTED_VALUE"""),44710.0)</f>
        <v>44710</v>
      </c>
      <c r="C5" s="46">
        <f>IFERROR(__xludf.DUMMYFUNCTION("""COMPUTED_VALUE"""),22.0)</f>
        <v>22</v>
      </c>
      <c r="D5" s="47">
        <f>IFERROR(__xludf.DUMMYFUNCTION("""COMPUTED_VALUE"""),8.0)</f>
        <v>8</v>
      </c>
      <c r="E5" s="47">
        <f>IFERROR(__xludf.DUMMYFUNCTION("""COMPUTED_VALUE"""),0.0)</f>
        <v>0</v>
      </c>
      <c r="F5" s="47">
        <f>IFERROR(__xludf.DUMMYFUNCTION("""COMPUTED_VALUE"""),0.0)</f>
        <v>0</v>
      </c>
      <c r="G5" s="48">
        <f>IFERROR(__xludf.DUMMYFUNCTION("""COMPUTED_VALUE"""),0.0)</f>
        <v>0</v>
      </c>
    </row>
    <row r="6">
      <c r="A6" s="45">
        <f>IFERROR(__xludf.DUMMYFUNCTION("""COMPUTED_VALUE"""),44711.0)</f>
        <v>44711</v>
      </c>
      <c r="B6" s="45">
        <f>IFERROR(__xludf.DUMMYFUNCTION("""COMPUTED_VALUE"""),44717.0)</f>
        <v>44717</v>
      </c>
      <c r="C6" s="46">
        <f>IFERROR(__xludf.DUMMYFUNCTION("""COMPUTED_VALUE"""),28.0)</f>
        <v>28</v>
      </c>
      <c r="D6" s="47">
        <f>IFERROR(__xludf.DUMMYFUNCTION("""COMPUTED_VALUE"""),13.0)</f>
        <v>13</v>
      </c>
      <c r="E6" s="47">
        <f>IFERROR(__xludf.DUMMYFUNCTION("""COMPUTED_VALUE"""),0.0)</f>
        <v>0</v>
      </c>
      <c r="F6" s="47">
        <f>IFERROR(__xludf.DUMMYFUNCTION("""COMPUTED_VALUE"""),0.0)</f>
        <v>0</v>
      </c>
      <c r="G6" s="48">
        <f>IFERROR(__xludf.DUMMYFUNCTION("""COMPUTED_VALUE"""),0.0)</f>
        <v>0</v>
      </c>
    </row>
    <row r="7">
      <c r="A7" s="45">
        <f>IFERROR(__xludf.DUMMYFUNCTION("""COMPUTED_VALUE"""),44718.0)</f>
        <v>44718</v>
      </c>
      <c r="B7" s="45">
        <f>IFERROR(__xludf.DUMMYFUNCTION("""COMPUTED_VALUE"""),44724.0)</f>
        <v>44724</v>
      </c>
      <c r="C7" s="46">
        <f>IFERROR(__xludf.DUMMYFUNCTION("""COMPUTED_VALUE"""),19.0)</f>
        <v>19</v>
      </c>
      <c r="D7" s="47">
        <f>IFERROR(__xludf.DUMMYFUNCTION("""COMPUTED_VALUE"""),8.0)</f>
        <v>8</v>
      </c>
      <c r="E7" s="47">
        <f>IFERROR(__xludf.DUMMYFUNCTION("""COMPUTED_VALUE"""),0.0)</f>
        <v>0</v>
      </c>
      <c r="F7" s="47">
        <f>IFERROR(__xludf.DUMMYFUNCTION("""COMPUTED_VALUE"""),0.0)</f>
        <v>0</v>
      </c>
      <c r="G7" s="48">
        <f>IFERROR(__xludf.DUMMYFUNCTION("""COMPUTED_VALUE"""),0.0)</f>
        <v>0</v>
      </c>
    </row>
    <row r="8">
      <c r="A8" s="45">
        <f>IFERROR(__xludf.DUMMYFUNCTION("""COMPUTED_VALUE"""),44725.0)</f>
        <v>44725</v>
      </c>
      <c r="B8" s="45">
        <f>IFERROR(__xludf.DUMMYFUNCTION("""COMPUTED_VALUE"""),44731.0)</f>
        <v>44731</v>
      </c>
      <c r="C8" s="46">
        <f>IFERROR(__xludf.DUMMYFUNCTION("""COMPUTED_VALUE"""),12.0)</f>
        <v>12</v>
      </c>
      <c r="D8" s="47">
        <f>IFERROR(__xludf.DUMMYFUNCTION("""COMPUTED_VALUE"""),4.0)</f>
        <v>4</v>
      </c>
      <c r="E8" s="47">
        <f>IFERROR(__xludf.DUMMYFUNCTION("""COMPUTED_VALUE"""),0.0)</f>
        <v>0</v>
      </c>
      <c r="F8" s="47">
        <f>IFERROR(__xludf.DUMMYFUNCTION("""COMPUTED_VALUE"""),0.0)</f>
        <v>0</v>
      </c>
      <c r="G8" s="48">
        <f>IFERROR(__xludf.DUMMYFUNCTION("""COMPUTED_VALUE"""),0.0)</f>
        <v>0</v>
      </c>
    </row>
    <row r="9">
      <c r="A9" s="45">
        <f>IFERROR(__xludf.DUMMYFUNCTION("""COMPUTED_VALUE"""),44732.0)</f>
        <v>44732</v>
      </c>
      <c r="B9" s="45">
        <f>IFERROR(__xludf.DUMMYFUNCTION("""COMPUTED_VALUE"""),44738.0)</f>
        <v>44738</v>
      </c>
      <c r="C9" s="46">
        <f>IFERROR(__xludf.DUMMYFUNCTION("""COMPUTED_VALUE"""),4.0)</f>
        <v>4</v>
      </c>
      <c r="D9" s="47">
        <f>IFERROR(__xludf.DUMMYFUNCTION("""COMPUTED_VALUE"""),2.0)</f>
        <v>2</v>
      </c>
      <c r="E9" s="47">
        <f>IFERROR(__xludf.DUMMYFUNCTION("""COMPUTED_VALUE"""),0.0)</f>
        <v>0</v>
      </c>
      <c r="F9" s="47">
        <f>IFERROR(__xludf.DUMMYFUNCTION("""COMPUTED_VALUE"""),0.0)</f>
        <v>0</v>
      </c>
      <c r="G9" s="48">
        <f>IFERROR(__xludf.DUMMYFUNCTION("""COMPUTED_VALUE"""),0.0)</f>
        <v>0</v>
      </c>
    </row>
    <row r="10">
      <c r="A10" s="45">
        <f>IFERROR(__xludf.DUMMYFUNCTION("""COMPUTED_VALUE"""),44739.0)</f>
        <v>44739</v>
      </c>
      <c r="B10" s="45">
        <f>IFERROR(__xludf.DUMMYFUNCTION("""COMPUTED_VALUE"""),44745.0)</f>
        <v>44745</v>
      </c>
      <c r="C10" s="46">
        <f>IFERROR(__xludf.DUMMYFUNCTION("""COMPUTED_VALUE"""),3.0)</f>
        <v>3</v>
      </c>
      <c r="D10" s="47">
        <f>IFERROR(__xludf.DUMMYFUNCTION("""COMPUTED_VALUE"""),1.0)</f>
        <v>1</v>
      </c>
      <c r="E10" s="47">
        <f>IFERROR(__xludf.DUMMYFUNCTION("""COMPUTED_VALUE"""),0.0)</f>
        <v>0</v>
      </c>
      <c r="F10" s="47">
        <f>IFERROR(__xludf.DUMMYFUNCTION("""COMPUTED_VALUE"""),0.0)</f>
        <v>0</v>
      </c>
      <c r="G10" s="48">
        <f>IFERROR(__xludf.DUMMYFUNCTION("""COMPUTED_VALUE"""),0.0)</f>
        <v>0</v>
      </c>
    </row>
    <row r="11">
      <c r="A11" s="45">
        <f>IFERROR(__xludf.DUMMYFUNCTION("""COMPUTED_VALUE"""),44746.0)</f>
        <v>44746</v>
      </c>
      <c r="B11" s="45">
        <f>IFERROR(__xludf.DUMMYFUNCTION("""COMPUTED_VALUE"""),44752.0)</f>
        <v>44752</v>
      </c>
      <c r="C11" s="46">
        <f>IFERROR(__xludf.DUMMYFUNCTION("""COMPUTED_VALUE"""),0.0)</f>
        <v>0</v>
      </c>
      <c r="D11" s="47">
        <f>IFERROR(__xludf.DUMMYFUNCTION("""COMPUTED_VALUE"""),0.0)</f>
        <v>0</v>
      </c>
      <c r="E11" s="47">
        <f>IFERROR(__xludf.DUMMYFUNCTION("""COMPUTED_VALUE"""),0.0)</f>
        <v>0</v>
      </c>
      <c r="F11" s="47">
        <f>IFERROR(__xludf.DUMMYFUNCTION("""COMPUTED_VALUE"""),0.0)</f>
        <v>0</v>
      </c>
      <c r="G11" s="48"/>
    </row>
    <row r="12">
      <c r="A12" s="45">
        <f>IFERROR(__xludf.DUMMYFUNCTION("""COMPUTED_VALUE"""),44753.0)</f>
        <v>44753</v>
      </c>
      <c r="B12" s="45">
        <f>IFERROR(__xludf.DUMMYFUNCTION("""COMPUTED_VALUE"""),44759.0)</f>
        <v>44759</v>
      </c>
      <c r="C12" s="46">
        <f>IFERROR(__xludf.DUMMYFUNCTION("""COMPUTED_VALUE"""),2.0)</f>
        <v>2</v>
      </c>
      <c r="D12" s="47">
        <f>IFERROR(__xludf.DUMMYFUNCTION("""COMPUTED_VALUE"""),1.0)</f>
        <v>1</v>
      </c>
      <c r="E12" s="47">
        <f>IFERROR(__xludf.DUMMYFUNCTION("""COMPUTED_VALUE"""),0.0)</f>
        <v>0</v>
      </c>
      <c r="F12" s="47">
        <f>IFERROR(__xludf.DUMMYFUNCTION("""COMPUTED_VALUE"""),0.0)</f>
        <v>0</v>
      </c>
      <c r="G12" s="48">
        <f>IFERROR(__xludf.DUMMYFUNCTION("""COMPUTED_VALUE"""),0.0)</f>
        <v>0</v>
      </c>
    </row>
    <row r="13">
      <c r="A13" s="45">
        <f>IFERROR(__xludf.DUMMYFUNCTION("""COMPUTED_VALUE"""),44760.0)</f>
        <v>44760</v>
      </c>
      <c r="B13" s="45">
        <f>IFERROR(__xludf.DUMMYFUNCTION("""COMPUTED_VALUE"""),44766.0)</f>
        <v>44766</v>
      </c>
      <c r="C13" s="46">
        <f>IFERROR(__xludf.DUMMYFUNCTION("""COMPUTED_VALUE"""),2.0)</f>
        <v>2</v>
      </c>
      <c r="D13" s="47">
        <f>IFERROR(__xludf.DUMMYFUNCTION("""COMPUTED_VALUE"""),1.0)</f>
        <v>1</v>
      </c>
      <c r="E13" s="47">
        <f>IFERROR(__xludf.DUMMYFUNCTION("""COMPUTED_VALUE"""),0.0)</f>
        <v>0</v>
      </c>
      <c r="F13" s="47">
        <f>IFERROR(__xludf.DUMMYFUNCTION("""COMPUTED_VALUE"""),0.0)</f>
        <v>0</v>
      </c>
      <c r="G13" s="48">
        <f>IFERROR(__xludf.DUMMYFUNCTION("""COMPUTED_VALUE"""),0.0)</f>
        <v>0</v>
      </c>
    </row>
    <row r="14">
      <c r="A14" s="45">
        <f>IFERROR(__xludf.DUMMYFUNCTION("""COMPUTED_VALUE"""),44767.0)</f>
        <v>44767</v>
      </c>
      <c r="B14" s="45">
        <f>IFERROR(__xludf.DUMMYFUNCTION("""COMPUTED_VALUE"""),44773.0)</f>
        <v>44773</v>
      </c>
      <c r="C14" s="46">
        <f>IFERROR(__xludf.DUMMYFUNCTION("""COMPUTED_VALUE"""),6.0)</f>
        <v>6</v>
      </c>
      <c r="D14" s="47">
        <f>IFERROR(__xludf.DUMMYFUNCTION("""COMPUTED_VALUE"""),3.0)</f>
        <v>3</v>
      </c>
      <c r="E14" s="47">
        <f>IFERROR(__xludf.DUMMYFUNCTION("""COMPUTED_VALUE"""),0.0)</f>
        <v>0</v>
      </c>
      <c r="F14" s="47">
        <f>IFERROR(__xludf.DUMMYFUNCTION("""COMPUTED_VALUE"""),0.0)</f>
        <v>0</v>
      </c>
      <c r="G14" s="48">
        <f>IFERROR(__xludf.DUMMYFUNCTION("""COMPUTED_VALUE"""),0.0)</f>
        <v>0</v>
      </c>
    </row>
    <row r="15">
      <c r="A15" s="45">
        <f>IFERROR(__xludf.DUMMYFUNCTION("""COMPUTED_VALUE"""),44774.0)</f>
        <v>44774</v>
      </c>
      <c r="B15" s="45">
        <f>IFERROR(__xludf.DUMMYFUNCTION("""COMPUTED_VALUE"""),44780.0)</f>
        <v>44780</v>
      </c>
      <c r="C15" s="46">
        <f>IFERROR(__xludf.DUMMYFUNCTION("""COMPUTED_VALUE"""),3.0)</f>
        <v>3</v>
      </c>
      <c r="D15" s="47">
        <f>IFERROR(__xludf.DUMMYFUNCTION("""COMPUTED_VALUE"""),1.0)</f>
        <v>1</v>
      </c>
      <c r="E15" s="47">
        <f>IFERROR(__xludf.DUMMYFUNCTION("""COMPUTED_VALUE"""),0.0)</f>
        <v>0</v>
      </c>
      <c r="F15" s="47">
        <f>IFERROR(__xludf.DUMMYFUNCTION("""COMPUTED_VALUE"""),0.0)</f>
        <v>0</v>
      </c>
      <c r="G15" s="48">
        <f>IFERROR(__xludf.DUMMYFUNCTION("""COMPUTED_VALUE"""),0.0)</f>
        <v>0</v>
      </c>
    </row>
    <row r="16">
      <c r="A16" s="45">
        <f>IFERROR(__xludf.DUMMYFUNCTION("""COMPUTED_VALUE"""),44781.0)</f>
        <v>44781</v>
      </c>
      <c r="B16" s="45">
        <f>IFERROR(__xludf.DUMMYFUNCTION("""COMPUTED_VALUE"""),44787.0)</f>
        <v>44787</v>
      </c>
      <c r="C16" s="46">
        <f>IFERROR(__xludf.DUMMYFUNCTION("""COMPUTED_VALUE"""),0.0)</f>
        <v>0</v>
      </c>
      <c r="D16" s="47">
        <f>IFERROR(__xludf.DUMMYFUNCTION("""COMPUTED_VALUE"""),0.0)</f>
        <v>0</v>
      </c>
      <c r="E16" s="47">
        <f>IFERROR(__xludf.DUMMYFUNCTION("""COMPUTED_VALUE"""),0.0)</f>
        <v>0</v>
      </c>
      <c r="F16" s="47">
        <f>IFERROR(__xludf.DUMMYFUNCTION("""COMPUTED_VALUE"""),0.0)</f>
        <v>0</v>
      </c>
      <c r="G16" s="48"/>
    </row>
    <row r="17">
      <c r="A17" s="45">
        <f>IFERROR(__xludf.DUMMYFUNCTION("""COMPUTED_VALUE"""),44788.0)</f>
        <v>44788</v>
      </c>
      <c r="B17" s="45">
        <f>IFERROR(__xludf.DUMMYFUNCTION("""COMPUTED_VALUE"""),44794.0)</f>
        <v>44794</v>
      </c>
      <c r="C17" s="46">
        <f>IFERROR(__xludf.DUMMYFUNCTION("""COMPUTED_VALUE"""),0.0)</f>
        <v>0</v>
      </c>
      <c r="D17" s="47">
        <f>IFERROR(__xludf.DUMMYFUNCTION("""COMPUTED_VALUE"""),0.0)</f>
        <v>0</v>
      </c>
      <c r="E17" s="47">
        <f>IFERROR(__xludf.DUMMYFUNCTION("""COMPUTED_VALUE"""),0.0)</f>
        <v>0</v>
      </c>
      <c r="F17" s="47">
        <f>IFERROR(__xludf.DUMMYFUNCTION("""COMPUTED_VALUE"""),0.0)</f>
        <v>0</v>
      </c>
      <c r="G17" s="48"/>
    </row>
    <row r="18">
      <c r="A18" s="45">
        <f>IFERROR(__xludf.DUMMYFUNCTION("""COMPUTED_VALUE"""),44795.0)</f>
        <v>44795</v>
      </c>
      <c r="B18" s="45">
        <f>IFERROR(__xludf.DUMMYFUNCTION("""COMPUTED_VALUE"""),44801.0)</f>
        <v>44801</v>
      </c>
      <c r="C18" s="46">
        <f>IFERROR(__xludf.DUMMYFUNCTION("""COMPUTED_VALUE"""),0.0)</f>
        <v>0</v>
      </c>
      <c r="D18" s="47">
        <f>IFERROR(__xludf.DUMMYFUNCTION("""COMPUTED_VALUE"""),0.0)</f>
        <v>0</v>
      </c>
      <c r="E18" s="47">
        <f>IFERROR(__xludf.DUMMYFUNCTION("""COMPUTED_VALUE"""),0.0)</f>
        <v>0</v>
      </c>
      <c r="F18" s="47">
        <f>IFERROR(__xludf.DUMMYFUNCTION("""COMPUTED_VALUE"""),0.0)</f>
        <v>0</v>
      </c>
      <c r="G18" s="48"/>
    </row>
    <row r="19">
      <c r="A19" s="45">
        <f>IFERROR(__xludf.DUMMYFUNCTION("""COMPUTED_VALUE"""),44802.0)</f>
        <v>44802</v>
      </c>
      <c r="B19" s="45">
        <f>IFERROR(__xludf.DUMMYFUNCTION("""COMPUTED_VALUE"""),44808.0)</f>
        <v>44808</v>
      </c>
      <c r="C19" s="46">
        <f>IFERROR(__xludf.DUMMYFUNCTION("""COMPUTED_VALUE"""),0.0)</f>
        <v>0</v>
      </c>
      <c r="D19" s="47">
        <f>IFERROR(__xludf.DUMMYFUNCTION("""COMPUTED_VALUE"""),0.0)</f>
        <v>0</v>
      </c>
      <c r="E19" s="47">
        <f>IFERROR(__xludf.DUMMYFUNCTION("""COMPUTED_VALUE"""),0.0)</f>
        <v>0</v>
      </c>
      <c r="F19" s="47">
        <f>IFERROR(__xludf.DUMMYFUNCTION("""COMPUTED_VALUE"""),0.0)</f>
        <v>0</v>
      </c>
      <c r="G19" s="48"/>
    </row>
    <row r="20">
      <c r="A20" s="45">
        <f>IFERROR(__xludf.DUMMYFUNCTION("""COMPUTED_VALUE"""),44809.0)</f>
        <v>44809</v>
      </c>
      <c r="B20" s="45">
        <f>IFERROR(__xludf.DUMMYFUNCTION("""COMPUTED_VALUE"""),44815.0)</f>
        <v>44815</v>
      </c>
      <c r="C20" s="46">
        <f>IFERROR(__xludf.DUMMYFUNCTION("""COMPUTED_VALUE"""),0.0)</f>
        <v>0</v>
      </c>
      <c r="D20" s="47">
        <f>IFERROR(__xludf.DUMMYFUNCTION("""COMPUTED_VALUE"""),0.0)</f>
        <v>0</v>
      </c>
      <c r="E20" s="47">
        <f>IFERROR(__xludf.DUMMYFUNCTION("""COMPUTED_VALUE"""),0.0)</f>
        <v>0</v>
      </c>
      <c r="F20" s="47">
        <f>IFERROR(__xludf.DUMMYFUNCTION("""COMPUTED_VALUE"""),0.0)</f>
        <v>0</v>
      </c>
      <c r="G20" s="48"/>
    </row>
    <row r="21">
      <c r="A21" s="45">
        <f>IFERROR(__xludf.DUMMYFUNCTION("""COMPUTED_VALUE"""),44816.0)</f>
        <v>44816</v>
      </c>
      <c r="B21" s="45">
        <f>IFERROR(__xludf.DUMMYFUNCTION("""COMPUTED_VALUE"""),44822.0)</f>
        <v>44822</v>
      </c>
      <c r="C21" s="46">
        <f>IFERROR(__xludf.DUMMYFUNCTION("""COMPUTED_VALUE"""),4.0)</f>
        <v>4</v>
      </c>
      <c r="D21" s="47">
        <f>IFERROR(__xludf.DUMMYFUNCTION("""COMPUTED_VALUE"""),1.0)</f>
        <v>1</v>
      </c>
      <c r="E21" s="47">
        <f>IFERROR(__xludf.DUMMYFUNCTION("""COMPUTED_VALUE"""),0.0)</f>
        <v>0</v>
      </c>
      <c r="F21" s="47">
        <f>IFERROR(__xludf.DUMMYFUNCTION("""COMPUTED_VALUE"""),0.0)</f>
        <v>0</v>
      </c>
      <c r="G21" s="48">
        <f>IFERROR(__xludf.DUMMYFUNCTION("""COMPUTED_VALUE"""),0.0)</f>
        <v>0</v>
      </c>
    </row>
    <row r="22">
      <c r="A22" s="45">
        <f>IFERROR(__xludf.DUMMYFUNCTION("""COMPUTED_VALUE"""),44823.0)</f>
        <v>44823</v>
      </c>
      <c r="B22" s="45">
        <f>IFERROR(__xludf.DUMMYFUNCTION("""COMPUTED_VALUE"""),44829.0)</f>
        <v>44829</v>
      </c>
      <c r="C22" s="46">
        <f>IFERROR(__xludf.DUMMYFUNCTION("""COMPUTED_VALUE"""),0.0)</f>
        <v>0</v>
      </c>
      <c r="D22" s="47">
        <f>IFERROR(__xludf.DUMMYFUNCTION("""COMPUTED_VALUE"""),0.0)</f>
        <v>0</v>
      </c>
      <c r="E22" s="47">
        <f>IFERROR(__xludf.DUMMYFUNCTION("""COMPUTED_VALUE"""),0.0)</f>
        <v>0</v>
      </c>
      <c r="F22" s="47">
        <f>IFERROR(__xludf.DUMMYFUNCTION("""COMPUTED_VALUE"""),0.0)</f>
        <v>0</v>
      </c>
      <c r="G22" s="48"/>
    </row>
    <row r="23">
      <c r="A23" s="45">
        <f>IFERROR(__xludf.DUMMYFUNCTION("""COMPUTED_VALUE"""),44830.0)</f>
        <v>44830</v>
      </c>
      <c r="B23" s="45">
        <f>IFERROR(__xludf.DUMMYFUNCTION("""COMPUTED_VALUE"""),44836.0)</f>
        <v>44836</v>
      </c>
      <c r="C23" s="46">
        <f>IFERROR(__xludf.DUMMYFUNCTION("""COMPUTED_VALUE"""),0.0)</f>
        <v>0</v>
      </c>
      <c r="D23" s="47">
        <f>IFERROR(__xludf.DUMMYFUNCTION("""COMPUTED_VALUE"""),0.0)</f>
        <v>0</v>
      </c>
      <c r="E23" s="47">
        <f>IFERROR(__xludf.DUMMYFUNCTION("""COMPUTED_VALUE"""),0.0)</f>
        <v>0</v>
      </c>
      <c r="F23" s="47">
        <f>IFERROR(__xludf.DUMMYFUNCTION("""COMPUTED_VALUE"""),0.0)</f>
        <v>0</v>
      </c>
      <c r="G23" s="48"/>
    </row>
    <row r="24">
      <c r="A24" s="45">
        <f>IFERROR(__xludf.DUMMYFUNCTION("""COMPUTED_VALUE"""),44837.0)</f>
        <v>44837</v>
      </c>
      <c r="B24" s="45">
        <f>IFERROR(__xludf.DUMMYFUNCTION("""COMPUTED_VALUE"""),44843.0)</f>
        <v>44843</v>
      </c>
      <c r="C24" s="46">
        <f>IFERROR(__xludf.DUMMYFUNCTION("""COMPUTED_VALUE"""),3.0)</f>
        <v>3</v>
      </c>
      <c r="D24" s="47">
        <f>IFERROR(__xludf.DUMMYFUNCTION("""COMPUTED_VALUE"""),1.0)</f>
        <v>1</v>
      </c>
      <c r="E24" s="47">
        <f>IFERROR(__xludf.DUMMYFUNCTION("""COMPUTED_VALUE"""),0.0)</f>
        <v>0</v>
      </c>
      <c r="F24" s="47">
        <f>IFERROR(__xludf.DUMMYFUNCTION("""COMPUTED_VALUE"""),0.0)</f>
        <v>0</v>
      </c>
      <c r="G24" s="48">
        <f>IFERROR(__xludf.DUMMYFUNCTION("""COMPUTED_VALUE"""),0.0)</f>
        <v>0</v>
      </c>
    </row>
    <row r="25">
      <c r="A25" s="11"/>
      <c r="B25" s="11"/>
      <c r="C25" s="11"/>
      <c r="D25" s="11"/>
      <c r="E25" s="11"/>
      <c r="F25" s="11"/>
      <c r="G25" s="11"/>
    </row>
    <row r="26">
      <c r="A26" s="11"/>
      <c r="B26" s="11"/>
      <c r="C26" s="11"/>
      <c r="D26" s="11"/>
      <c r="E26" s="11"/>
      <c r="F26" s="11"/>
      <c r="G26" s="11"/>
    </row>
    <row r="27">
      <c r="A27" s="11"/>
      <c r="B27" s="11"/>
      <c r="C27" s="11"/>
      <c r="D27" s="11"/>
      <c r="E27" s="11"/>
      <c r="F27" s="11"/>
      <c r="G27" s="11"/>
    </row>
    <row r="28">
      <c r="A28" s="11"/>
      <c r="B28" s="11"/>
      <c r="C28" s="11"/>
      <c r="D28" s="11"/>
      <c r="E28" s="11"/>
      <c r="F28" s="11"/>
      <c r="G28" s="11"/>
    </row>
    <row r="29">
      <c r="A29" s="11"/>
      <c r="B29" s="11"/>
      <c r="C29" s="11"/>
      <c r="D29" s="11"/>
      <c r="E29" s="11"/>
      <c r="F29" s="11"/>
      <c r="G29" s="11"/>
    </row>
    <row r="30">
      <c r="A30" s="11"/>
      <c r="B30" s="11"/>
      <c r="C30" s="11"/>
      <c r="D30" s="11"/>
      <c r="E30" s="11"/>
      <c r="F30" s="11"/>
      <c r="G30" s="11"/>
    </row>
    <row r="31">
      <c r="A31" s="11"/>
      <c r="B31" s="11"/>
      <c r="C31" s="11"/>
      <c r="D31" s="11"/>
      <c r="E31" s="11"/>
      <c r="F31" s="11"/>
      <c r="G31" s="11"/>
    </row>
    <row r="32">
      <c r="A32" s="11"/>
      <c r="B32" s="11"/>
      <c r="C32" s="11"/>
      <c r="D32" s="11"/>
      <c r="E32" s="11"/>
      <c r="F32" s="11"/>
      <c r="G32" s="11"/>
    </row>
    <row r="33">
      <c r="A33" s="11"/>
      <c r="B33" s="11"/>
      <c r="C33" s="11"/>
      <c r="D33" s="11"/>
      <c r="E33" s="11"/>
      <c r="F33" s="11"/>
      <c r="G33" s="11"/>
    </row>
    <row r="34">
      <c r="A34" s="11"/>
      <c r="B34" s="11"/>
      <c r="C34" s="11"/>
      <c r="D34" s="11"/>
      <c r="E34" s="11"/>
      <c r="F34" s="11"/>
      <c r="G34" s="11"/>
    </row>
    <row r="35">
      <c r="A35" s="11"/>
      <c r="B35" s="11"/>
      <c r="C35" s="11"/>
      <c r="D35" s="11"/>
      <c r="E35" s="11"/>
      <c r="F35" s="11"/>
      <c r="G35" s="11"/>
    </row>
    <row r="36">
      <c r="A36" s="11"/>
      <c r="B36" s="11"/>
      <c r="C36" s="11"/>
      <c r="D36" s="11"/>
      <c r="E36" s="11"/>
      <c r="F36" s="11"/>
      <c r="G36" s="11"/>
    </row>
    <row r="37">
      <c r="A37" s="11"/>
      <c r="B37" s="11"/>
      <c r="C37" s="11"/>
      <c r="D37" s="11"/>
      <c r="E37" s="11"/>
      <c r="F37" s="11"/>
      <c r="G37" s="11"/>
    </row>
    <row r="38">
      <c r="A38" s="11"/>
      <c r="B38" s="11"/>
      <c r="C38" s="11"/>
      <c r="D38" s="11"/>
      <c r="E38" s="11"/>
      <c r="F38" s="11"/>
      <c r="G38" s="11"/>
    </row>
    <row r="39">
      <c r="A39" s="11"/>
      <c r="B39" s="11"/>
      <c r="C39" s="11"/>
      <c r="D39" s="11"/>
      <c r="E39" s="11"/>
      <c r="F39" s="11"/>
      <c r="G39" s="11"/>
    </row>
    <row r="40">
      <c r="A40" s="11"/>
      <c r="B40" s="11"/>
      <c r="C40" s="11"/>
      <c r="D40" s="11"/>
      <c r="E40" s="11"/>
      <c r="F40" s="11"/>
      <c r="G40" s="11"/>
    </row>
    <row r="41">
      <c r="A41" s="11"/>
      <c r="B41" s="11"/>
      <c r="C41" s="11"/>
      <c r="D41" s="11"/>
      <c r="E41" s="11"/>
      <c r="F41" s="11"/>
      <c r="G41" s="11"/>
    </row>
    <row r="42">
      <c r="A42" s="11"/>
      <c r="B42" s="11"/>
      <c r="C42" s="11"/>
      <c r="D42" s="11"/>
      <c r="E42" s="11"/>
      <c r="F42" s="11"/>
      <c r="G42" s="11"/>
    </row>
    <row r="43">
      <c r="A43" s="11"/>
      <c r="B43" s="11"/>
      <c r="C43" s="11"/>
      <c r="D43" s="11"/>
      <c r="E43" s="11"/>
      <c r="F43" s="11"/>
      <c r="G43" s="11"/>
    </row>
    <row r="44">
      <c r="A44" s="11"/>
      <c r="B44" s="11"/>
      <c r="C44" s="11"/>
      <c r="D44" s="11"/>
      <c r="E44" s="11"/>
      <c r="F44" s="11"/>
      <c r="G44" s="11"/>
    </row>
    <row r="45">
      <c r="A45" s="11"/>
      <c r="B45" s="11"/>
      <c r="C45" s="11"/>
      <c r="D45" s="11"/>
      <c r="E45" s="11"/>
      <c r="F45" s="11"/>
      <c r="G45" s="11"/>
    </row>
    <row r="46">
      <c r="A46" s="11"/>
      <c r="B46" s="11"/>
      <c r="C46" s="11"/>
      <c r="D46" s="11"/>
      <c r="E46" s="11"/>
      <c r="F46" s="11"/>
      <c r="G46" s="11"/>
    </row>
    <row r="47">
      <c r="A47" s="11"/>
      <c r="B47" s="11"/>
      <c r="C47" s="11"/>
      <c r="D47" s="11"/>
      <c r="E47" s="11"/>
      <c r="F47" s="11"/>
      <c r="G47" s="11"/>
    </row>
    <row r="48">
      <c r="A48" s="11"/>
      <c r="B48" s="11"/>
      <c r="C48" s="11"/>
      <c r="D48" s="11"/>
      <c r="E48" s="11"/>
      <c r="F48" s="11"/>
      <c r="G48" s="11"/>
    </row>
    <row r="49">
      <c r="A49" s="11"/>
      <c r="B49" s="11"/>
      <c r="C49" s="11"/>
      <c r="D49" s="11"/>
      <c r="E49" s="11"/>
      <c r="F49" s="11"/>
      <c r="G49" s="11"/>
    </row>
    <row r="50">
      <c r="A50" s="11"/>
      <c r="B50" s="11"/>
      <c r="C50" s="11"/>
      <c r="D50" s="11"/>
      <c r="E50" s="11"/>
      <c r="F50" s="11"/>
      <c r="G50" s="11"/>
    </row>
    <row r="51">
      <c r="A51" s="11"/>
      <c r="B51" s="11"/>
      <c r="C51" s="11"/>
      <c r="D51" s="11"/>
      <c r="E51" s="11"/>
      <c r="F51" s="11"/>
      <c r="G51" s="11"/>
    </row>
    <row r="52">
      <c r="A52" s="11"/>
      <c r="B52" s="11"/>
      <c r="C52" s="11"/>
      <c r="D52" s="11"/>
      <c r="E52" s="11"/>
      <c r="F52" s="11"/>
      <c r="G52" s="11"/>
    </row>
    <row r="53">
      <c r="A53" s="11"/>
      <c r="B53" s="11"/>
      <c r="C53" s="11"/>
      <c r="D53" s="11"/>
      <c r="E53" s="11"/>
      <c r="F53" s="11"/>
      <c r="G53" s="11"/>
    </row>
    <row r="54">
      <c r="A54" s="11"/>
      <c r="B54" s="11"/>
      <c r="C54" s="11"/>
      <c r="D54" s="11"/>
      <c r="E54" s="11"/>
      <c r="F54" s="11"/>
      <c r="G54" s="11"/>
    </row>
    <row r="55">
      <c r="A55" s="11"/>
      <c r="B55" s="11"/>
      <c r="C55" s="11"/>
      <c r="D55" s="11"/>
      <c r="E55" s="11"/>
      <c r="F55" s="11"/>
      <c r="G55" s="11"/>
    </row>
    <row r="56">
      <c r="A56" s="11"/>
      <c r="B56" s="11"/>
      <c r="C56" s="11"/>
      <c r="D56" s="11"/>
      <c r="E56" s="11"/>
      <c r="F56" s="11"/>
      <c r="G56" s="11"/>
    </row>
    <row r="57">
      <c r="A57" s="11"/>
      <c r="B57" s="11"/>
      <c r="C57" s="11"/>
      <c r="D57" s="11"/>
      <c r="E57" s="11"/>
      <c r="F57" s="11"/>
      <c r="G57" s="11"/>
    </row>
    <row r="58">
      <c r="A58" s="11"/>
      <c r="B58" s="11"/>
      <c r="C58" s="11"/>
      <c r="D58" s="11"/>
      <c r="E58" s="11"/>
      <c r="F58" s="11"/>
      <c r="G58" s="11"/>
    </row>
    <row r="59">
      <c r="A59" s="11"/>
      <c r="B59" s="11"/>
      <c r="C59" s="11"/>
      <c r="D59" s="11"/>
      <c r="E59" s="11"/>
      <c r="F59" s="11"/>
      <c r="G59" s="11"/>
    </row>
    <row r="60">
      <c r="A60" s="11"/>
      <c r="B60" s="11"/>
      <c r="C60" s="11"/>
      <c r="D60" s="11"/>
      <c r="E60" s="11"/>
      <c r="F60" s="11"/>
      <c r="G60" s="11"/>
    </row>
    <row r="61">
      <c r="A61" s="11"/>
      <c r="B61" s="11"/>
      <c r="C61" s="11"/>
      <c r="D61" s="11"/>
      <c r="E61" s="11"/>
      <c r="F61" s="11"/>
      <c r="G61" s="11"/>
    </row>
    <row r="62">
      <c r="A62" s="11"/>
      <c r="B62" s="11"/>
      <c r="C62" s="11"/>
      <c r="D62" s="11"/>
      <c r="E62" s="11"/>
      <c r="F62" s="11"/>
      <c r="G62" s="11"/>
    </row>
    <row r="63">
      <c r="A63" s="11"/>
      <c r="B63" s="11"/>
      <c r="C63" s="11"/>
      <c r="D63" s="11"/>
      <c r="E63" s="11"/>
      <c r="F63" s="11"/>
      <c r="G63" s="11"/>
    </row>
    <row r="64">
      <c r="A64" s="11"/>
      <c r="B64" s="11"/>
      <c r="C64" s="11"/>
      <c r="D64" s="11"/>
      <c r="E64" s="11"/>
      <c r="F64" s="11"/>
      <c r="G64" s="11"/>
    </row>
    <row r="65">
      <c r="A65" s="11"/>
      <c r="B65" s="11"/>
      <c r="C65" s="11"/>
      <c r="D65" s="11"/>
      <c r="E65" s="11"/>
      <c r="F65" s="11"/>
      <c r="G65" s="11"/>
    </row>
    <row r="66">
      <c r="A66" s="11"/>
      <c r="B66" s="11"/>
      <c r="C66" s="11"/>
      <c r="D66" s="11"/>
      <c r="E66" s="11"/>
      <c r="F66" s="11"/>
      <c r="G66" s="11"/>
    </row>
    <row r="67">
      <c r="A67" s="11"/>
      <c r="B67" s="11"/>
      <c r="C67" s="11"/>
      <c r="D67" s="11"/>
      <c r="E67" s="11"/>
      <c r="F67" s="11"/>
      <c r="G67" s="11"/>
    </row>
    <row r="68">
      <c r="A68" s="11"/>
      <c r="B68" s="11"/>
      <c r="C68" s="11"/>
      <c r="D68" s="11"/>
      <c r="E68" s="11"/>
      <c r="F68" s="11"/>
      <c r="G68" s="11"/>
    </row>
    <row r="69">
      <c r="A69" s="11"/>
      <c r="B69" s="11"/>
      <c r="C69" s="11"/>
      <c r="D69" s="11"/>
      <c r="E69" s="11"/>
      <c r="F69" s="11"/>
      <c r="G69" s="11"/>
    </row>
    <row r="70">
      <c r="A70" s="11"/>
      <c r="B70" s="11"/>
      <c r="C70" s="11"/>
      <c r="D70" s="11"/>
      <c r="E70" s="11"/>
      <c r="F70" s="11"/>
      <c r="G70" s="11"/>
    </row>
    <row r="71">
      <c r="A71" s="11"/>
      <c r="B71" s="11"/>
      <c r="C71" s="11"/>
      <c r="D71" s="11"/>
      <c r="E71" s="11"/>
      <c r="F71" s="11"/>
      <c r="G71" s="11"/>
    </row>
    <row r="72">
      <c r="A72" s="11"/>
      <c r="B72" s="11"/>
      <c r="C72" s="11"/>
      <c r="D72" s="11"/>
      <c r="E72" s="11"/>
      <c r="F72" s="11"/>
      <c r="G72" s="11"/>
    </row>
    <row r="73">
      <c r="A73" s="11"/>
      <c r="B73" s="11"/>
      <c r="C73" s="11"/>
      <c r="D73" s="11"/>
      <c r="E73" s="11"/>
      <c r="F73" s="11"/>
      <c r="G73" s="11"/>
    </row>
    <row r="74">
      <c r="A74" s="11"/>
      <c r="B74" s="11"/>
      <c r="C74" s="11"/>
      <c r="D74" s="11"/>
      <c r="E74" s="11"/>
      <c r="F74" s="11"/>
      <c r="G74" s="11"/>
    </row>
    <row r="75">
      <c r="A75" s="11"/>
      <c r="B75" s="11"/>
      <c r="C75" s="11"/>
      <c r="D75" s="11"/>
      <c r="E75" s="11"/>
      <c r="F75" s="11"/>
      <c r="G75" s="11"/>
    </row>
    <row r="76">
      <c r="A76" s="11"/>
      <c r="B76" s="11"/>
      <c r="C76" s="11"/>
      <c r="D76" s="11"/>
      <c r="E76" s="11"/>
      <c r="F76" s="11"/>
      <c r="G76" s="11"/>
    </row>
    <row r="77">
      <c r="A77" s="11"/>
      <c r="B77" s="11"/>
      <c r="C77" s="11"/>
      <c r="D77" s="11"/>
      <c r="E77" s="11"/>
      <c r="F77" s="11"/>
      <c r="G77" s="11"/>
    </row>
    <row r="78">
      <c r="A78" s="11"/>
      <c r="B78" s="11"/>
      <c r="C78" s="11"/>
      <c r="D78" s="11"/>
      <c r="E78" s="11"/>
      <c r="F78" s="11"/>
      <c r="G78" s="11"/>
    </row>
    <row r="79">
      <c r="A79" s="11"/>
      <c r="B79" s="11"/>
      <c r="C79" s="11"/>
      <c r="D79" s="11"/>
      <c r="E79" s="11"/>
      <c r="F79" s="11"/>
      <c r="G79" s="11"/>
    </row>
    <row r="80">
      <c r="A80" s="11"/>
      <c r="B80" s="11"/>
      <c r="C80" s="11"/>
      <c r="D80" s="11"/>
      <c r="E80" s="11"/>
      <c r="F80" s="11"/>
      <c r="G80" s="11"/>
    </row>
    <row r="81">
      <c r="A81" s="11"/>
      <c r="B81" s="11"/>
      <c r="C81" s="11"/>
      <c r="D81" s="11"/>
      <c r="E81" s="11"/>
      <c r="F81" s="11"/>
      <c r="G81" s="11"/>
    </row>
    <row r="82">
      <c r="A82" s="11"/>
      <c r="B82" s="11"/>
      <c r="C82" s="11"/>
      <c r="D82" s="11"/>
      <c r="E82" s="11"/>
      <c r="F82" s="11"/>
      <c r="G82" s="11"/>
    </row>
    <row r="83">
      <c r="A83" s="11"/>
      <c r="B83" s="11"/>
      <c r="C83" s="11"/>
      <c r="D83" s="11"/>
      <c r="E83" s="11"/>
      <c r="F83" s="11"/>
      <c r="G83" s="11"/>
    </row>
    <row r="84">
      <c r="A84" s="11"/>
      <c r="B84" s="11"/>
      <c r="C84" s="11"/>
      <c r="D84" s="11"/>
      <c r="E84" s="11"/>
      <c r="F84" s="11"/>
      <c r="G84" s="11"/>
    </row>
    <row r="85">
      <c r="A85" s="11"/>
      <c r="B85" s="11"/>
      <c r="C85" s="11"/>
      <c r="D85" s="11"/>
      <c r="E85" s="11"/>
      <c r="F85" s="11"/>
      <c r="G85" s="11"/>
    </row>
    <row r="86">
      <c r="A86" s="11"/>
      <c r="B86" s="11"/>
      <c r="C86" s="11"/>
      <c r="D86" s="11"/>
      <c r="E86" s="11"/>
      <c r="F86" s="11"/>
      <c r="G86" s="11"/>
    </row>
    <row r="87">
      <c r="A87" s="11"/>
      <c r="B87" s="11"/>
      <c r="C87" s="11"/>
      <c r="D87" s="11"/>
      <c r="E87" s="11"/>
      <c r="F87" s="11"/>
      <c r="G87" s="11"/>
    </row>
    <row r="88">
      <c r="A88" s="11"/>
      <c r="B88" s="11"/>
      <c r="C88" s="11"/>
      <c r="D88" s="11"/>
      <c r="E88" s="11"/>
      <c r="F88" s="11"/>
      <c r="G88" s="11"/>
    </row>
    <row r="89">
      <c r="A89" s="11"/>
      <c r="B89" s="11"/>
      <c r="C89" s="11"/>
      <c r="D89" s="11"/>
      <c r="E89" s="11"/>
      <c r="F89" s="11"/>
      <c r="G89" s="11"/>
    </row>
    <row r="90">
      <c r="A90" s="11"/>
      <c r="B90" s="11"/>
      <c r="C90" s="11"/>
      <c r="D90" s="11"/>
      <c r="E90" s="11"/>
      <c r="F90" s="11"/>
      <c r="G90" s="11"/>
    </row>
    <row r="91">
      <c r="A91" s="11"/>
      <c r="B91" s="11"/>
      <c r="C91" s="11"/>
      <c r="D91" s="11"/>
      <c r="E91" s="11"/>
      <c r="F91" s="11"/>
      <c r="G91" s="11"/>
    </row>
    <row r="92">
      <c r="A92" s="11"/>
      <c r="B92" s="11"/>
      <c r="C92" s="11"/>
      <c r="D92" s="11"/>
      <c r="E92" s="11"/>
      <c r="F92" s="11"/>
      <c r="G92" s="11"/>
    </row>
    <row r="93">
      <c r="A93" s="11"/>
      <c r="B93" s="11"/>
      <c r="C93" s="11"/>
      <c r="D93" s="11"/>
      <c r="E93" s="11"/>
      <c r="F93" s="11"/>
      <c r="G93" s="11"/>
    </row>
    <row r="94">
      <c r="A94" s="11"/>
      <c r="B94" s="11"/>
      <c r="C94" s="11"/>
      <c r="D94" s="11"/>
      <c r="E94" s="11"/>
      <c r="F94" s="11"/>
      <c r="G94" s="11"/>
    </row>
    <row r="95">
      <c r="A95" s="11"/>
      <c r="B95" s="11"/>
      <c r="C95" s="11"/>
      <c r="D95" s="11"/>
      <c r="E95" s="11"/>
      <c r="F95" s="11"/>
      <c r="G95" s="11"/>
    </row>
    <row r="96">
      <c r="A96" s="11"/>
      <c r="B96" s="11"/>
      <c r="C96" s="11"/>
      <c r="D96" s="11"/>
      <c r="E96" s="11"/>
      <c r="F96" s="11"/>
      <c r="G96" s="11"/>
    </row>
    <row r="97">
      <c r="A97" s="11"/>
      <c r="B97" s="11"/>
      <c r="C97" s="11"/>
      <c r="D97" s="11"/>
      <c r="E97" s="11"/>
      <c r="F97" s="11"/>
      <c r="G97" s="11"/>
    </row>
    <row r="98">
      <c r="A98" s="11"/>
      <c r="B98" s="11"/>
      <c r="C98" s="11"/>
      <c r="D98" s="11"/>
      <c r="E98" s="11"/>
      <c r="F98" s="11"/>
      <c r="G98" s="11"/>
    </row>
    <row r="99">
      <c r="A99" s="11"/>
      <c r="B99" s="11"/>
      <c r="C99" s="11"/>
      <c r="D99" s="11"/>
      <c r="E99" s="11"/>
      <c r="F99" s="11"/>
      <c r="G9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6" max="19" width="14.88"/>
    <col customWidth="1" min="20" max="21" width="9.88"/>
    <col customWidth="1" min="22" max="22" width="9.63"/>
    <col customWidth="1" min="23" max="23" width="10.88"/>
    <col customWidth="1" min="24" max="25" width="14.88"/>
  </cols>
  <sheetData>
    <row r="1">
      <c r="A1" s="49" t="str">
        <f t="array" ref="A1:O1">'APS Tubes'!A1:O1</f>
        <v>TUBE ID</v>
      </c>
      <c r="B1" s="50" t="s">
        <v>133</v>
      </c>
      <c r="C1" s="50" t="s">
        <v>134</v>
      </c>
      <c r="D1" s="51" t="s">
        <v>135</v>
      </c>
      <c r="E1" s="50" t="s">
        <v>136</v>
      </c>
      <c r="F1" s="50" t="s">
        <v>137</v>
      </c>
      <c r="G1" s="51" t="s">
        <v>138</v>
      </c>
      <c r="H1" s="50" t="s">
        <v>139</v>
      </c>
      <c r="I1" s="50" t="s">
        <v>140</v>
      </c>
      <c r="J1" s="51" t="s">
        <v>141</v>
      </c>
      <c r="K1" s="50" t="s">
        <v>142</v>
      </c>
      <c r="L1" s="51" t="s">
        <v>143</v>
      </c>
      <c r="M1" s="51" t="s">
        <v>144</v>
      </c>
      <c r="N1" s="51" t="s">
        <v>145</v>
      </c>
      <c r="O1" s="51" t="s">
        <v>146</v>
      </c>
      <c r="P1" s="52" t="s">
        <v>147</v>
      </c>
      <c r="Q1" s="52" t="s">
        <v>148</v>
      </c>
      <c r="R1" s="52" t="s">
        <v>149</v>
      </c>
      <c r="S1" s="52" t="s">
        <v>150</v>
      </c>
      <c r="T1" s="52" t="s">
        <v>151</v>
      </c>
      <c r="U1" s="52" t="s">
        <v>152</v>
      </c>
      <c r="V1" s="52" t="s">
        <v>153</v>
      </c>
      <c r="W1" s="52" t="s">
        <v>154</v>
      </c>
      <c r="X1" s="52"/>
      <c r="Y1" s="52"/>
    </row>
    <row r="2">
      <c r="K2" s="53"/>
      <c r="N2" s="53"/>
      <c r="O2" s="53"/>
      <c r="Q2" s="11" t="str">
        <f t="array" ref="Q2">IF($N2&gt;1, INDEX(postDEL!$A$2:$AR4717,$O2+1,44),IFERROR(0/0,""))</f>
        <v/>
      </c>
      <c r="R2" s="11" t="str">
        <f t="array" ref="R2">IF($N2&gt;2, INDEX(postDEL!$A$2:$AR4717,$O2+2,44),IFERROR(0/0,""))</f>
        <v/>
      </c>
      <c r="S2" s="11" t="str">
        <f t="array" ref="S2">IF($N2&gt;3, INDEX(postDEL!$A$2:$AR4717,$O2+3,44),IFERROR(0/0,""))</f>
        <v/>
      </c>
      <c r="T2" s="54"/>
      <c r="V2" s="54"/>
      <c r="W2" s="55"/>
    </row>
    <row r="3">
      <c r="K3" s="53"/>
      <c r="N3" s="53"/>
      <c r="O3" s="53"/>
      <c r="Q3" s="11" t="str">
        <f t="array" ref="Q3">IF($N3&gt;1, INDEX(postDEL!$A$2:$AR4717,$O3+1,44),IFERROR(0/0,""))</f>
        <v/>
      </c>
      <c r="R3" s="11" t="str">
        <f t="array" ref="R3">IF($N3&gt;2, INDEX(postDEL!$A$2:$AR4717,$O3+2,44),IFERROR(0/0,""))</f>
        <v/>
      </c>
      <c r="S3" s="11" t="str">
        <f t="array" ref="S3">IF($N3&gt;3, INDEX(postDEL!$A$2:$AR4717,$O3+3,44),IFERROR(0/0,""))</f>
        <v/>
      </c>
      <c r="T3" s="54"/>
      <c r="V3" s="54"/>
      <c r="W3" s="55"/>
    </row>
    <row r="4">
      <c r="K4" s="53"/>
      <c r="N4" s="53"/>
      <c r="O4" s="53"/>
      <c r="Q4" s="11" t="str">
        <f t="array" ref="Q4">IF($N4&gt;1, INDEX(postDEL!$A$2:$AR4717,$O4+1,44),IFERROR(0/0,""))</f>
        <v/>
      </c>
      <c r="R4" s="11" t="str">
        <f t="array" ref="R4">IF($N4&gt;2, INDEX(postDEL!$A$2:$AR4717,$O4+2,44),IFERROR(0/0,""))</f>
        <v/>
      </c>
      <c r="S4" s="11" t="str">
        <f t="array" ref="S4">IF($N4&gt;3, INDEX(postDEL!$A$2:$AR4717,$O4+3,44),IFERROR(0/0,""))</f>
        <v/>
      </c>
      <c r="T4" s="54"/>
      <c r="V4" s="53"/>
      <c r="W4" s="55"/>
    </row>
    <row r="5">
      <c r="K5" s="53"/>
      <c r="N5" s="53"/>
      <c r="O5" s="53"/>
      <c r="Q5" s="11" t="str">
        <f t="array" ref="Q5">IF($N5&gt;1, INDEX(postDEL!$A$2:$AR4717,$O5+1,44),IFERROR(0/0,""))</f>
        <v/>
      </c>
      <c r="R5" s="11" t="str">
        <f t="array" ref="R5">IF($N5&gt;2, INDEX(postDEL!$A$2:$AR4717,$O5+2,44),IFERROR(0/0,""))</f>
        <v/>
      </c>
      <c r="S5" s="11" t="str">
        <f t="array" ref="S5">IF($N5&gt;3, INDEX(postDEL!$A$2:$AR4717,$O5+3,44),IFERROR(0/0,""))</f>
        <v/>
      </c>
      <c r="T5" s="54"/>
      <c r="V5" s="54"/>
      <c r="W5" s="55"/>
    </row>
    <row r="6">
      <c r="K6" s="53"/>
      <c r="N6" s="53"/>
      <c r="O6" s="53"/>
      <c r="Q6" s="11" t="str">
        <f t="array" ref="Q6">IF($N6&gt;1, INDEX(postDEL!$A$2:$AR4717,$O6+1,44),IFERROR(0/0,""))</f>
        <v/>
      </c>
      <c r="R6" s="11" t="str">
        <f t="array" ref="R6">IF($N6&gt;2, INDEX(postDEL!$A$2:$AR4717,$O6+2,44),IFERROR(0/0,""))</f>
        <v/>
      </c>
      <c r="S6" s="11" t="str">
        <f t="array" ref="S6">IF($N6&gt;3, INDEX(postDEL!$A$2:$AR4717,$O6+3,44),IFERROR(0/0,""))</f>
        <v/>
      </c>
      <c r="T6" s="54"/>
      <c r="V6" s="54"/>
      <c r="W6" s="55"/>
    </row>
    <row r="7">
      <c r="K7" s="53"/>
      <c r="N7" s="53"/>
      <c r="O7" s="53"/>
      <c r="Q7" s="11" t="str">
        <f t="array" ref="Q7">IF($N7&gt;1, INDEX(postDEL!$A$2:$AR4717,$O7+1,44),IFERROR(0/0,""))</f>
        <v/>
      </c>
      <c r="R7" s="11" t="str">
        <f t="array" ref="R7">IF($N7&gt;2, INDEX(postDEL!$A$2:$AR4717,$O7+2,44),IFERROR(0/0,""))</f>
        <v/>
      </c>
      <c r="S7" s="11" t="str">
        <f t="array" ref="S7">IF($N7&gt;3, INDEX(postDEL!$A$2:$AR4717,$O7+3,44),IFERROR(0/0,""))</f>
        <v/>
      </c>
      <c r="T7" s="54"/>
      <c r="V7" s="53"/>
      <c r="W7" s="55"/>
    </row>
    <row r="8">
      <c r="A8" s="56" t="s">
        <v>155</v>
      </c>
      <c r="K8" s="53"/>
      <c r="N8" s="53"/>
      <c r="O8" s="53"/>
      <c r="Q8" s="11" t="str">
        <f t="array" ref="Q8">IF($N8&gt;1, INDEX(postDEL!$A$2:$AR4717,$O8+1,44),IFERROR(0/0,""))</f>
        <v/>
      </c>
      <c r="R8" s="11" t="str">
        <f t="array" ref="R8">IF($N8&gt;2, INDEX(postDEL!$A$2:$AR4717,$O8+2,44),IFERROR(0/0,""))</f>
        <v/>
      </c>
      <c r="S8" s="11" t="str">
        <f t="array" ref="S8">IF($N8&gt;3, INDEX(postDEL!$A$2:$AR4717,$O8+3,44),IFERROR(0/0,""))</f>
        <v/>
      </c>
      <c r="T8" s="54"/>
      <c r="V8" s="53"/>
      <c r="W8" s="55"/>
    </row>
    <row r="9">
      <c r="K9" s="53"/>
      <c r="N9" s="53"/>
      <c r="O9" s="53"/>
      <c r="Q9" s="11" t="str">
        <f t="array" ref="Q9">IF($N9&gt;1, INDEX(postDEL!$A$2:$AR4717,$O9+1,44),IFERROR(0/0,""))</f>
        <v/>
      </c>
      <c r="R9" s="11" t="str">
        <f t="array" ref="R9">IF($N9&gt;2, INDEX(postDEL!$A$2:$AR4717,$O9+2,44),IFERROR(0/0,""))</f>
        <v/>
      </c>
      <c r="S9" s="11" t="str">
        <f t="array" ref="S9">IF($N9&gt;3, INDEX(postDEL!$A$2:$AR4717,$O9+3,44),IFERROR(0/0,""))</f>
        <v/>
      </c>
      <c r="T9" s="54"/>
      <c r="V9" s="53"/>
      <c r="W9" s="55"/>
    </row>
    <row r="10">
      <c r="K10" s="53"/>
      <c r="N10" s="53"/>
      <c r="O10" s="53"/>
      <c r="Q10" s="11" t="str">
        <f t="array" ref="Q10">IF($N10&gt;1, INDEX(postDEL!$A$2:$AR4717,$O10+1,44),IFERROR(0/0,""))</f>
        <v/>
      </c>
      <c r="R10" s="11" t="str">
        <f t="array" ref="R10">IF($N10&gt;2, INDEX(postDEL!$A$2:$AR4717,$O10+2,44),IFERROR(0/0,""))</f>
        <v/>
      </c>
      <c r="S10" s="11" t="str">
        <f t="array" ref="S10">IF($N10&gt;3, INDEX(postDEL!$A$2:$AR4717,$O10+3,44),IFERROR(0/0,""))</f>
        <v/>
      </c>
      <c r="T10" s="54"/>
      <c r="V10" s="53"/>
      <c r="W10" s="55"/>
    </row>
    <row r="11">
      <c r="K11" s="53"/>
      <c r="N11" s="53"/>
      <c r="O11" s="53"/>
      <c r="Q11" s="11" t="str">
        <f t="array" ref="Q11">IF($N11&gt;1, INDEX(postDEL!$A$2:$AR4717,$O11+1,44),IFERROR(0/0,""))</f>
        <v/>
      </c>
      <c r="R11" s="11" t="str">
        <f t="array" ref="R11">IF($N11&gt;2, INDEX(postDEL!$A$2:$AR4717,$O11+2,44),IFERROR(0/0,""))</f>
        <v/>
      </c>
      <c r="S11" s="11" t="str">
        <f t="array" ref="S11">IF($N11&gt;3, INDEX(postDEL!$A$2:$AR4717,$O11+3,44),IFERROR(0/0,""))</f>
        <v/>
      </c>
      <c r="T11" s="54"/>
      <c r="V11" s="54"/>
      <c r="W11" s="55"/>
    </row>
    <row r="12">
      <c r="K12" s="53"/>
      <c r="N12" s="53"/>
      <c r="O12" s="53"/>
      <c r="Q12" s="11" t="str">
        <f t="array" ref="Q12">IF($N12&gt;1, INDEX(postDEL!$A$2:$AR4717,$O12+1,44),IFERROR(0/0,""))</f>
        <v/>
      </c>
      <c r="R12" s="11" t="str">
        <f t="array" ref="R12">IF($N12&gt;2, INDEX(postDEL!$A$2:$AR4717,$O12+2,44),IFERROR(0/0,""))</f>
        <v/>
      </c>
      <c r="S12" s="11" t="str">
        <f t="array" ref="S12">IF($N12&gt;3, INDEX(postDEL!$A$2:$AR4717,$O12+3,44),IFERROR(0/0,""))</f>
        <v/>
      </c>
      <c r="T12" s="54"/>
      <c r="V12" s="53"/>
      <c r="W12" s="55"/>
    </row>
    <row r="13">
      <c r="K13" s="53"/>
      <c r="N13" s="53"/>
      <c r="O13" s="53"/>
      <c r="Q13" s="11" t="str">
        <f t="array" ref="Q13">IF($N13&gt;1, INDEX(postDEL!$A$2:$AR4717,$O13+1,44),IFERROR(0/0,""))</f>
        <v/>
      </c>
      <c r="R13" s="11" t="str">
        <f t="array" ref="R13">IF($N13&gt;2, INDEX(postDEL!$A$2:$AR4717,$O13+2,44),IFERROR(0/0,""))</f>
        <v/>
      </c>
      <c r="S13" s="11" t="str">
        <f t="array" ref="S13">IF($N13&gt;3, INDEX(postDEL!$A$2:$AR4717,$O13+3,44),IFERROR(0/0,""))</f>
        <v/>
      </c>
      <c r="T13" s="54"/>
      <c r="V13" s="54"/>
      <c r="W13" s="55"/>
    </row>
    <row r="14">
      <c r="K14" s="53"/>
      <c r="N14" s="53"/>
      <c r="O14" s="53"/>
      <c r="Q14" s="11" t="str">
        <f t="array" ref="Q14">IF($N14&gt;1, INDEX(postDEL!$A$2:$AR4717,$O14+1,44),IFERROR(0/0,""))</f>
        <v/>
      </c>
      <c r="R14" s="11" t="str">
        <f t="array" ref="R14">IF($N14&gt;2, INDEX(postDEL!$A$2:$AR4717,$O14+2,44),IFERROR(0/0,""))</f>
        <v/>
      </c>
      <c r="S14" s="11" t="str">
        <f t="array" ref="S14">IF($N14&gt;3, INDEX(postDEL!$A$2:$AR4717,$O14+3,44),IFERROR(0/0,""))</f>
        <v/>
      </c>
      <c r="T14" s="54"/>
      <c r="V14" s="54"/>
      <c r="W14" s="55"/>
    </row>
    <row r="15">
      <c r="K15" s="53"/>
      <c r="N15" s="53"/>
      <c r="O15" s="53"/>
      <c r="Q15" s="11" t="str">
        <f t="array" ref="Q15">IF($N15&gt;1, INDEX(postDEL!$A$2:$AR4717,$O15+1,44),IFERROR(0/0,""))</f>
        <v/>
      </c>
      <c r="R15" s="11" t="str">
        <f t="array" ref="R15">IF($N15&gt;2, INDEX(postDEL!$A$2:$AR4717,$O15+2,44),IFERROR(0/0,""))</f>
        <v/>
      </c>
      <c r="S15" s="11" t="str">
        <f t="array" ref="S15">IF($N15&gt;3, INDEX(postDEL!$A$2:$AR4717,$O15+3,44),IFERROR(0/0,""))</f>
        <v/>
      </c>
      <c r="T15" s="54"/>
      <c r="V15" s="54"/>
      <c r="W15" s="57"/>
    </row>
    <row r="16">
      <c r="K16" s="53"/>
      <c r="N16" s="53"/>
      <c r="O16" s="53"/>
      <c r="Q16" s="11" t="str">
        <f t="array" ref="Q16">IF($N16&gt;1, INDEX(postDEL!$A$2:$AR4717,$O16+1,44),IFERROR(0/0,""))</f>
        <v/>
      </c>
      <c r="R16" s="11" t="str">
        <f t="array" ref="R16">IF($N16&gt;2, INDEX(postDEL!$A$2:$AR4717,$O16+2,44),IFERROR(0/0,""))</f>
        <v/>
      </c>
      <c r="S16" s="11" t="str">
        <f t="array" ref="S16">IF($N16&gt;3, INDEX(postDEL!$A$2:$AR4717,$O16+3,44),IFERROR(0/0,""))</f>
        <v/>
      </c>
      <c r="T16" s="54"/>
      <c r="V16" s="54"/>
      <c r="W16" s="57"/>
    </row>
    <row r="17">
      <c r="K17" s="53"/>
      <c r="N17" s="53"/>
      <c r="O17" s="53"/>
      <c r="Q17" s="11" t="str">
        <f t="array" ref="Q17">IF($N17&gt;1, INDEX(postDEL!$A$2:$AR4717,$O17+1,44),IFERROR(0/0,""))</f>
        <v/>
      </c>
      <c r="R17" s="11" t="str">
        <f t="array" ref="R17">IF($N17&gt;2, INDEX(postDEL!$A$2:$AR4717,$O17+2,44),IFERROR(0/0,""))</f>
        <v/>
      </c>
      <c r="S17" s="11" t="str">
        <f t="array" ref="S17">IF($N17&gt;3, INDEX(postDEL!$A$2:$AR4717,$O17+3,44),IFERROR(0/0,""))</f>
        <v/>
      </c>
      <c r="T17" s="54"/>
      <c r="V17" s="54"/>
      <c r="W17" s="55"/>
    </row>
    <row r="18">
      <c r="K18" s="53"/>
      <c r="N18" s="53"/>
      <c r="O18" s="53"/>
      <c r="Q18" s="11" t="str">
        <f t="array" ref="Q18">IF($N18&gt;1, INDEX(postDEL!$A$2:$AR4717,$O18+1,44),IFERROR(0/0,""))</f>
        <v/>
      </c>
      <c r="R18" s="11" t="str">
        <f t="array" ref="R18">IF($N18&gt;2, INDEX(postDEL!$A$2:$AR4717,$O18+2,44),IFERROR(0/0,""))</f>
        <v/>
      </c>
      <c r="S18" s="11" t="str">
        <f t="array" ref="S18">IF($N18&gt;3, INDEX(postDEL!$A$2:$AR4717,$O18+3,44),IFERROR(0/0,""))</f>
        <v/>
      </c>
      <c r="T18" s="54"/>
      <c r="V18" s="54"/>
      <c r="W18" s="55"/>
    </row>
    <row r="19">
      <c r="K19" s="53"/>
      <c r="N19" s="53"/>
      <c r="O19" s="53"/>
      <c r="Q19" s="11" t="str">
        <f t="array" ref="Q19">IF($N19&gt;1, INDEX(postDEL!$A$2:$AR4717,$O19+1,44),IFERROR(0/0,""))</f>
        <v/>
      </c>
      <c r="R19" s="11" t="str">
        <f t="array" ref="R19">IF($N19&gt;2, INDEX(postDEL!$A$2:$AR4717,$O19+2,44),IFERROR(0/0,""))</f>
        <v/>
      </c>
      <c r="S19" s="11" t="str">
        <f t="array" ref="S19">IF($N19&gt;3, INDEX(postDEL!$A$2:$AR4717,$O19+3,44),IFERROR(0/0,""))</f>
        <v/>
      </c>
      <c r="T19" s="54"/>
      <c r="V19" s="54"/>
      <c r="W19" s="57"/>
    </row>
    <row r="20">
      <c r="K20" s="53"/>
      <c r="N20" s="53"/>
      <c r="O20" s="53"/>
      <c r="Q20" s="11" t="str">
        <f t="array" ref="Q20">IF($N20&gt;1, INDEX(postDEL!$A$2:$AR4717,$O20+1,44),IFERROR(0/0,""))</f>
        <v/>
      </c>
      <c r="R20" s="11" t="str">
        <f t="array" ref="R20">IF($N20&gt;2, INDEX(postDEL!$A$2:$AR4717,$O20+2,44),IFERROR(0/0,""))</f>
        <v/>
      </c>
      <c r="S20" s="11" t="str">
        <f t="array" ref="S20">IF($N20&gt;3, INDEX(postDEL!$A$2:$AR4717,$O20+3,44),IFERROR(0/0,""))</f>
        <v/>
      </c>
      <c r="T20" s="54"/>
      <c r="V20" s="54"/>
      <c r="W20" s="55"/>
    </row>
    <row r="21">
      <c r="K21" s="53"/>
      <c r="N21" s="53"/>
      <c r="O21" s="53"/>
      <c r="Q21" s="11" t="str">
        <f t="array" ref="Q21">IF($N21&gt;1, INDEX(postDEL!$A$2:$AR4717,$O21+1,44),IFERROR(0/0,""))</f>
        <v/>
      </c>
      <c r="R21" s="11" t="str">
        <f t="array" ref="R21">IF($N21&gt;2, INDEX(postDEL!$A$2:$AR4717,$O21+2,44),IFERROR(0/0,""))</f>
        <v/>
      </c>
      <c r="S21" s="11" t="str">
        <f t="array" ref="S21">IF($N21&gt;3, INDEX(postDEL!$A$2:$AR4717,$O21+3,44),IFERROR(0/0,""))</f>
        <v/>
      </c>
      <c r="T21" s="54"/>
      <c r="V21" s="54"/>
      <c r="W21" s="55"/>
    </row>
    <row r="22">
      <c r="K22" s="53"/>
      <c r="N22" s="53"/>
      <c r="O22" s="53"/>
      <c r="Q22" s="11" t="str">
        <f t="array" ref="Q22">IF($N22&gt;1, INDEX(postDEL!$A$2:$AR4717,$O22+1,44),IFERROR(0/0,""))</f>
        <v/>
      </c>
      <c r="R22" s="11" t="str">
        <f t="array" ref="R22">IF($N22&gt;2, INDEX(postDEL!$A$2:$AR4717,$O22+2,44),IFERROR(0/0,""))</f>
        <v/>
      </c>
      <c r="S22" s="11" t="str">
        <f t="array" ref="S22">IF($N22&gt;3, INDEX(postDEL!$A$2:$AR4717,$O22+3,44),IFERROR(0/0,""))</f>
        <v/>
      </c>
      <c r="T22" s="54"/>
      <c r="V22" s="54"/>
      <c r="W22" s="55"/>
    </row>
    <row r="23">
      <c r="K23" s="53"/>
      <c r="N23" s="53"/>
      <c r="O23" s="53"/>
      <c r="Q23" s="11" t="str">
        <f t="array" ref="Q23">IF($N23&gt;1, INDEX(postDEL!$A$2:$AR4717,$O23+1,44),IFERROR(0/0,""))</f>
        <v/>
      </c>
      <c r="R23" s="11" t="str">
        <f t="array" ref="R23">IF($N23&gt;2, INDEX(postDEL!$A$2:$AR4717,$O23+2,44),IFERROR(0/0,""))</f>
        <v/>
      </c>
      <c r="S23" s="11" t="str">
        <f t="array" ref="S23">IF($N23&gt;3, INDEX(postDEL!$A$2:$AR4717,$O23+3,44),IFERROR(0/0,""))</f>
        <v/>
      </c>
      <c r="T23" s="54"/>
      <c r="V23" s="54"/>
      <c r="W23" s="57"/>
    </row>
    <row r="24">
      <c r="K24" s="53"/>
      <c r="N24" s="53"/>
      <c r="O24" s="53"/>
      <c r="Q24" s="11" t="str">
        <f t="array" ref="Q24">IF($N24&gt;1, INDEX(postDEL!$A$2:$AR4717,$O24+1,44),IFERROR(0/0,""))</f>
        <v/>
      </c>
      <c r="R24" s="11" t="str">
        <f t="array" ref="R24">IF($N24&gt;2, INDEX(postDEL!$A$2:$AR4717,$O24+2,44),IFERROR(0/0,""))</f>
        <v/>
      </c>
      <c r="S24" s="11" t="str">
        <f t="array" ref="S24">IF($N24&gt;3, INDEX(postDEL!$A$2:$AR4717,$O24+3,44),IFERROR(0/0,""))</f>
        <v/>
      </c>
      <c r="T24" s="54"/>
      <c r="V24" s="54"/>
      <c r="W24" s="55"/>
    </row>
    <row r="25">
      <c r="K25" s="53"/>
      <c r="N25" s="53"/>
      <c r="O25" s="53"/>
      <c r="Q25" s="11" t="str">
        <f t="array" ref="Q25">IF($N25&gt;1, INDEX(postDEL!$A$2:$AR4717,$O25+1,44),IFERROR(0/0,""))</f>
        <v/>
      </c>
      <c r="R25" s="11" t="str">
        <f t="array" ref="R25">IF($N25&gt;2, INDEX(postDEL!$A$2:$AR4717,$O25+2,44),IFERROR(0/0,""))</f>
        <v/>
      </c>
      <c r="S25" s="11" t="str">
        <f t="array" ref="S25">IF($N25&gt;3, INDEX(postDEL!$A$2:$AR4717,$O25+3,44),IFERROR(0/0,""))</f>
        <v/>
      </c>
      <c r="T25" s="54"/>
      <c r="V25" s="54"/>
      <c r="W25" s="55"/>
    </row>
    <row r="26">
      <c r="K26" s="53"/>
      <c r="N26" s="53"/>
      <c r="O26" s="53"/>
      <c r="Q26" s="11" t="str">
        <f t="array" ref="Q26">IF($N26&gt;1, INDEX(postDEL!$A$2:$AR4717,$O26+1,44),IFERROR(0/0,""))</f>
        <v/>
      </c>
      <c r="R26" s="11" t="str">
        <f t="array" ref="R26">IF($N26&gt;2, INDEX(postDEL!$A$2:$AR4717,$O26+2,44),IFERROR(0/0,""))</f>
        <v/>
      </c>
      <c r="S26" s="11" t="str">
        <f t="array" ref="S26">IF($N26&gt;3, INDEX(postDEL!$A$2:$AR4717,$O26+3,44),IFERROR(0/0,""))</f>
        <v/>
      </c>
      <c r="T26" s="54"/>
      <c r="V26" s="54"/>
      <c r="W26" s="55"/>
    </row>
    <row r="27">
      <c r="K27" s="53"/>
      <c r="N27" s="53"/>
      <c r="O27" s="53"/>
      <c r="Q27" s="11" t="str">
        <f t="array" ref="Q27">IF($N27&gt;1, INDEX(postDEL!$A$2:$AR4717,$O27+1,44),IFERROR(0/0,""))</f>
        <v/>
      </c>
      <c r="R27" s="11" t="str">
        <f t="array" ref="R27">IF($N27&gt;2, INDEX(postDEL!$A$2:$AR4717,$O27+2,44),IFERROR(0/0,""))</f>
        <v/>
      </c>
      <c r="S27" s="11" t="str">
        <f t="array" ref="S27">IF($N27&gt;3, INDEX(postDEL!$A$2:$AR4717,$O27+3,44),IFERROR(0/0,""))</f>
        <v/>
      </c>
      <c r="T27" s="54"/>
      <c r="V27" s="54"/>
      <c r="W27" s="55"/>
    </row>
    <row r="28">
      <c r="K28" s="53"/>
      <c r="N28" s="53"/>
      <c r="O28" s="53"/>
      <c r="Q28" s="11" t="str">
        <f t="array" ref="Q28">IF($N28&gt;1, INDEX(postDEL!$A$2:$AR4717,$O28+1,44),IFERROR(0/0,""))</f>
        <v/>
      </c>
      <c r="R28" s="11" t="str">
        <f t="array" ref="R28">IF($N28&gt;2, INDEX(postDEL!$A$2:$AR4717,$O28+2,44),IFERROR(0/0,""))</f>
        <v/>
      </c>
      <c r="S28" s="11" t="str">
        <f t="array" ref="S28">IF($N28&gt;3, INDEX(postDEL!$A$2:$AR4717,$O28+3,44),IFERROR(0/0,""))</f>
        <v/>
      </c>
      <c r="T28" s="54"/>
      <c r="V28" s="54"/>
      <c r="W28" s="57"/>
    </row>
    <row r="29">
      <c r="K29" s="53"/>
      <c r="N29" s="53"/>
      <c r="O29" s="53"/>
      <c r="Q29" s="11" t="str">
        <f t="array" ref="Q29">IF($N29&gt;1, INDEX(postDEL!$A$2:$AR4717,$O29+1,44),IFERROR(0/0,""))</f>
        <v/>
      </c>
      <c r="R29" s="11" t="str">
        <f t="array" ref="R29">IF($N29&gt;2, INDEX(postDEL!$A$2:$AR4717,$O29+2,44),IFERROR(0/0,""))</f>
        <v/>
      </c>
      <c r="S29" s="11" t="str">
        <f t="array" ref="S29">IF($N29&gt;3, INDEX(postDEL!$A$2:$AR4717,$O29+3,44),IFERROR(0/0,""))</f>
        <v/>
      </c>
      <c r="T29" s="54"/>
      <c r="V29" s="54"/>
      <c r="W29" s="57"/>
    </row>
    <row r="30">
      <c r="K30" s="53"/>
      <c r="N30" s="53"/>
      <c r="O30" s="53"/>
      <c r="Q30" s="11" t="str">
        <f t="array" ref="Q30">IF($N30&gt;1, INDEX(postDEL!$A$2:$AR4717,$O30+1,44),IFERROR(0/0,""))</f>
        <v/>
      </c>
      <c r="R30" s="11" t="str">
        <f t="array" ref="R30">IF($N30&gt;2, INDEX(postDEL!$A$2:$AR4717,$O30+2,44),IFERROR(0/0,""))</f>
        <v/>
      </c>
      <c r="S30" s="11" t="str">
        <f t="array" ref="S30">IF($N30&gt;3, INDEX(postDEL!$A$2:$AR4717,$O30+3,44),IFERROR(0/0,""))</f>
        <v/>
      </c>
      <c r="T30" s="54"/>
      <c r="V30" s="54"/>
      <c r="W30" s="57"/>
    </row>
    <row r="31">
      <c r="K31" s="53"/>
      <c r="N31" s="53"/>
      <c r="O31" s="53"/>
      <c r="Q31" s="11" t="str">
        <f t="array" ref="Q31">IF($N31&gt;1, INDEX(postDEL!$A$2:$AR4717,$O31+1,44),IFERROR(0/0,""))</f>
        <v/>
      </c>
      <c r="R31" s="11" t="str">
        <f t="array" ref="R31">IF($N31&gt;2, INDEX(postDEL!$A$2:$AR4717,$O31+2,44),IFERROR(0/0,""))</f>
        <v/>
      </c>
      <c r="S31" s="11" t="str">
        <f t="array" ref="S31">IF($N31&gt;3, INDEX(postDEL!$A$2:$AR4717,$O31+3,44),IFERROR(0/0,""))</f>
        <v/>
      </c>
      <c r="T31" s="54"/>
      <c r="V31" s="54"/>
      <c r="W31" s="57"/>
    </row>
    <row r="32">
      <c r="K32" s="53"/>
      <c r="N32" s="53"/>
      <c r="O32" s="53"/>
      <c r="Q32" s="11" t="str">
        <f t="array" ref="Q32">IF($N32&gt;1, INDEX(postDEL!$A$2:$AR4717,$O32+1,44),IFERROR(0/0,""))</f>
        <v/>
      </c>
      <c r="R32" s="11" t="str">
        <f t="array" ref="R32">IF($N32&gt;2, INDEX(postDEL!$A$2:$AR4717,$O32+2,44),IFERROR(0/0,""))</f>
        <v/>
      </c>
      <c r="S32" s="11" t="str">
        <f t="array" ref="S32">IF($N32&gt;3, INDEX(postDEL!$A$2:$AR4717,$O32+3,44),IFERROR(0/0,""))</f>
        <v/>
      </c>
      <c r="T32" s="54"/>
      <c r="V32" s="53"/>
      <c r="W32" s="57"/>
    </row>
    <row r="33">
      <c r="K33" s="53"/>
      <c r="N33" s="53"/>
      <c r="O33" s="53"/>
      <c r="Q33" s="11" t="str">
        <f t="array" ref="Q33">IF($N33&gt;1, INDEX(postDEL!$A$2:$AR4717,$O33+1,44),IFERROR(0/0,""))</f>
        <v/>
      </c>
      <c r="R33" s="11" t="str">
        <f t="array" ref="R33">IF($N33&gt;2, INDEX(postDEL!$A$2:$AR4717,$O33+2,44),IFERROR(0/0,""))</f>
        <v/>
      </c>
      <c r="S33" s="11" t="str">
        <f t="array" ref="S33">IF($N33&gt;3, INDEX(postDEL!$A$2:$AR4717,$O33+3,44),IFERROR(0/0,""))</f>
        <v/>
      </c>
      <c r="T33" s="54"/>
      <c r="V33" s="54"/>
      <c r="W33" s="57"/>
    </row>
    <row r="34">
      <c r="K34" s="53"/>
      <c r="N34" s="53"/>
      <c r="O34" s="53"/>
      <c r="Q34" s="11" t="str">
        <f t="array" ref="Q34">IF($N34&gt;1, INDEX(postDEL!$A$2:$AR4717,$O34+1,44),IFERROR(0/0,""))</f>
        <v/>
      </c>
      <c r="R34" s="11" t="str">
        <f t="array" ref="R34">IF($N34&gt;2, INDEX(postDEL!$A$2:$AR4717,$O34+2,44),IFERROR(0/0,""))</f>
        <v/>
      </c>
      <c r="S34" s="11" t="str">
        <f t="array" ref="S34">IF($N34&gt;3, INDEX(postDEL!$A$2:$AR4717,$O34+3,44),IFERROR(0/0,""))</f>
        <v/>
      </c>
      <c r="T34" s="54"/>
      <c r="V34" s="54"/>
      <c r="W34" s="57"/>
    </row>
    <row r="35">
      <c r="K35" s="53"/>
      <c r="N35" s="53"/>
      <c r="O35" s="53"/>
      <c r="Q35" s="11" t="str">
        <f t="array" ref="Q35">IF($N35&gt;1, INDEX(postDEL!$A$2:$AR4717,$O35+1,44),IFERROR(0/0,""))</f>
        <v/>
      </c>
      <c r="R35" s="11" t="str">
        <f t="array" ref="R35">IF($N35&gt;2, INDEX(postDEL!$A$2:$AR4717,$O35+2,44),IFERROR(0/0,""))</f>
        <v/>
      </c>
      <c r="S35" s="11" t="str">
        <f t="array" ref="S35">IF($N35&gt;3, INDEX(postDEL!$A$2:$AR4717,$O35+3,44),IFERROR(0/0,""))</f>
        <v/>
      </c>
      <c r="T35" s="54"/>
      <c r="V35" s="54"/>
      <c r="W35" s="57"/>
    </row>
    <row r="36">
      <c r="K36" s="53"/>
      <c r="N36" s="53"/>
      <c r="O36" s="53"/>
      <c r="Q36" s="11" t="str">
        <f t="array" ref="Q36">IF($N36&gt;1, INDEX(postDEL!$A$2:$AR4717,$O36+1,44),IFERROR(0/0,""))</f>
        <v/>
      </c>
      <c r="R36" s="11" t="str">
        <f t="array" ref="R36">IF($N36&gt;2, INDEX(postDEL!$A$2:$AR4717,$O36+2,44),IFERROR(0/0,""))</f>
        <v/>
      </c>
      <c r="S36" s="11" t="str">
        <f t="array" ref="S36">IF($N36&gt;3, INDEX(postDEL!$A$2:$AR4717,$O36+3,44),IFERROR(0/0,""))</f>
        <v/>
      </c>
      <c r="T36" s="54"/>
      <c r="V36" s="54"/>
      <c r="W36" s="55"/>
    </row>
    <row r="37">
      <c r="K37" s="53"/>
      <c r="N37" s="53"/>
      <c r="O37" s="53"/>
      <c r="Q37" s="11" t="str">
        <f t="array" ref="Q37">IF($N37&gt;1, INDEX(postDEL!$A$2:$AR4717,$O37+1,44),IFERROR(0/0,""))</f>
        <v/>
      </c>
      <c r="R37" s="11" t="str">
        <f t="array" ref="R37">IF($N37&gt;2, INDEX(postDEL!$A$2:$AR4717,$O37+2,44),IFERROR(0/0,""))</f>
        <v/>
      </c>
      <c r="S37" s="11" t="str">
        <f t="array" ref="S37">IF($N37&gt;3, INDEX(postDEL!$A$2:$AR4717,$O37+3,44),IFERROR(0/0,""))</f>
        <v/>
      </c>
      <c r="T37" s="54"/>
      <c r="V37" s="54"/>
      <c r="W37" s="55"/>
    </row>
    <row r="38">
      <c r="K38" s="53"/>
      <c r="N38" s="53"/>
      <c r="O38" s="53"/>
      <c r="Q38" s="11" t="str">
        <f t="array" ref="Q38">IF($N38&gt;1, INDEX(postDEL!$A$2:$AR4717,$O38+1,44),IFERROR(0/0,""))</f>
        <v/>
      </c>
      <c r="R38" s="11" t="str">
        <f t="array" ref="R38">IF($N38&gt;2, INDEX(postDEL!$A$2:$AR4717,$O38+2,44),IFERROR(0/0,""))</f>
        <v/>
      </c>
      <c r="S38" s="11" t="str">
        <f t="array" ref="S38">IF($N38&gt;3, INDEX(postDEL!$A$2:$AR4717,$O38+3,44),IFERROR(0/0,""))</f>
        <v/>
      </c>
      <c r="T38" s="54"/>
      <c r="V38" s="54"/>
      <c r="W38" s="55"/>
    </row>
    <row r="39">
      <c r="K39" s="53"/>
      <c r="N39" s="53"/>
      <c r="O39" s="53"/>
      <c r="Q39" s="11" t="str">
        <f t="array" ref="Q39">IF($N39&gt;1, INDEX(postDEL!$A$2:$AR4717,$O39+1,44),IFERROR(0/0,""))</f>
        <v/>
      </c>
      <c r="R39" s="11" t="str">
        <f t="array" ref="R39">IF($N39&gt;2, INDEX(postDEL!$A$2:$AR4717,$O39+2,44),IFERROR(0/0,""))</f>
        <v/>
      </c>
      <c r="S39" s="11" t="str">
        <f t="array" ref="S39">IF($N39&gt;3, INDEX(postDEL!$A$2:$AR4717,$O39+3,44),IFERROR(0/0,""))</f>
        <v/>
      </c>
      <c r="T39" s="54"/>
      <c r="V39" s="54"/>
      <c r="W39" s="55"/>
    </row>
    <row r="40">
      <c r="K40" s="53"/>
      <c r="N40" s="53"/>
      <c r="O40" s="53"/>
      <c r="Q40" s="11" t="str">
        <f t="array" ref="Q40">IF($N40&gt;1, INDEX(postDEL!$A$2:$AR4717,$O40+1,44),IFERROR(0/0,""))</f>
        <v/>
      </c>
      <c r="R40" s="11" t="str">
        <f t="array" ref="R40">IF($N40&gt;2, INDEX(postDEL!$A$2:$AR4717,$O40+2,44),IFERROR(0/0,""))</f>
        <v/>
      </c>
      <c r="S40" s="11" t="str">
        <f t="array" ref="S40">IF($N40&gt;3, INDEX(postDEL!$A$2:$AR4717,$O40+3,44),IFERROR(0/0,""))</f>
        <v/>
      </c>
      <c r="T40" s="54"/>
      <c r="V40" s="54"/>
      <c r="W40" s="55"/>
    </row>
    <row r="41">
      <c r="K41" s="53"/>
      <c r="N41" s="53"/>
      <c r="O41" s="53"/>
      <c r="Q41" s="11" t="str">
        <f t="array" ref="Q41">IF($N41&gt;1, INDEX(postDEL!$A$2:$AR4717,$O41+1,44),IFERROR(0/0,""))</f>
        <v/>
      </c>
      <c r="R41" s="11" t="str">
        <f t="array" ref="R41">IF($N41&gt;2, INDEX(postDEL!$A$2:$AR4717,$O41+2,44),IFERROR(0/0,""))</f>
        <v/>
      </c>
      <c r="S41" s="11" t="str">
        <f t="array" ref="S41">IF($N41&gt;3, INDEX(postDEL!$A$2:$AR4717,$O41+3,44),IFERROR(0/0,""))</f>
        <v/>
      </c>
      <c r="T41" s="54"/>
      <c r="V41" s="54"/>
      <c r="W41" s="55"/>
    </row>
    <row r="42">
      <c r="K42" s="53"/>
      <c r="N42" s="53"/>
      <c r="O42" s="53"/>
      <c r="Q42" s="11" t="str">
        <f t="array" ref="Q42">IF($N42&gt;1, INDEX(postDEL!$A$2:$AR4717,$O42+1,44),IFERROR(0/0,""))</f>
        <v/>
      </c>
      <c r="R42" s="11" t="str">
        <f t="array" ref="R42">IF($N42&gt;2, INDEX(postDEL!$A$2:$AR4717,$O42+2,44),IFERROR(0/0,""))</f>
        <v/>
      </c>
      <c r="S42" s="11" t="str">
        <f t="array" ref="S42">IF($N42&gt;3, INDEX(postDEL!$A$2:$AR4717,$O42+3,44),IFERROR(0/0,""))</f>
        <v/>
      </c>
      <c r="T42" s="54"/>
      <c r="V42" s="54"/>
      <c r="W42" s="55"/>
    </row>
    <row r="43">
      <c r="K43" s="53"/>
      <c r="N43" s="53"/>
      <c r="O43" s="53"/>
      <c r="Q43" s="11" t="str">
        <f t="array" ref="Q43">IF($N43&gt;1, INDEX(postDEL!$A$2:$AR4717,$O43+1,44),IFERROR(0/0,""))</f>
        <v/>
      </c>
      <c r="R43" s="11" t="str">
        <f t="array" ref="R43">IF($N43&gt;2, INDEX(postDEL!$A$2:$AR4717,$O43+2,44),IFERROR(0/0,""))</f>
        <v/>
      </c>
      <c r="S43" s="11" t="str">
        <f t="array" ref="S43">IF($N43&gt;3, INDEX(postDEL!$A$2:$AR4717,$O43+3,44),IFERROR(0/0,""))</f>
        <v/>
      </c>
      <c r="T43" s="54"/>
      <c r="V43" s="54"/>
      <c r="W43" s="55"/>
    </row>
    <row r="44">
      <c r="K44" s="53"/>
      <c r="N44" s="53"/>
      <c r="O44" s="53"/>
      <c r="Q44" s="11" t="str">
        <f t="array" ref="Q44">IF($N44&gt;1, INDEX(postDEL!$A$2:$AR4717,$O44+1,44),IFERROR(0/0,""))</f>
        <v/>
      </c>
      <c r="R44" s="11" t="str">
        <f t="array" ref="R44">IF($N44&gt;2, INDEX(postDEL!$A$2:$AR4717,$O44+2,44),IFERROR(0/0,""))</f>
        <v/>
      </c>
      <c r="S44" s="11" t="str">
        <f t="array" ref="S44">IF($N44&gt;3, INDEX(postDEL!$A$2:$AR4717,$O44+3,44),IFERROR(0/0,""))</f>
        <v/>
      </c>
      <c r="T44" s="54"/>
      <c r="V44" s="54"/>
      <c r="W44" s="55"/>
    </row>
    <row r="45">
      <c r="K45" s="53"/>
      <c r="N45" s="53"/>
      <c r="O45" s="53"/>
      <c r="Q45" s="11" t="str">
        <f t="array" ref="Q45">IF($N45&gt;1, INDEX(postDEL!$A$2:$AR4717,$O45+1,44),IFERROR(0/0,""))</f>
        <v/>
      </c>
      <c r="R45" s="11" t="str">
        <f t="array" ref="R45">IF($N45&gt;2, INDEX(postDEL!$A$2:$AR4717,$O45+2,44),IFERROR(0/0,""))</f>
        <v/>
      </c>
      <c r="S45" s="11" t="str">
        <f t="array" ref="S45">IF($N45&gt;3, INDEX(postDEL!$A$2:$AR4717,$O45+3,44),IFERROR(0/0,""))</f>
        <v/>
      </c>
      <c r="T45" s="54"/>
      <c r="V45" s="54"/>
      <c r="W45" s="55"/>
    </row>
    <row r="46">
      <c r="K46" s="53"/>
      <c r="N46" s="53"/>
      <c r="O46" s="53"/>
      <c r="Q46" s="11" t="str">
        <f t="array" ref="Q46">IF($N46&gt;1, INDEX(postDEL!$A$2:$AR4717,$O46+1,44),IFERROR(0/0,""))</f>
        <v/>
      </c>
      <c r="R46" s="11" t="str">
        <f t="array" ref="R46">IF($N46&gt;2, INDEX(postDEL!$A$2:$AR4717,$O46+2,44),IFERROR(0/0,""))</f>
        <v/>
      </c>
      <c r="S46" s="11" t="str">
        <f t="array" ref="S46">IF($N46&gt;3, INDEX(postDEL!$A$2:$AR4717,$O46+3,44),IFERROR(0/0,""))</f>
        <v/>
      </c>
      <c r="T46" s="54"/>
      <c r="V46" s="54"/>
      <c r="W46" s="55"/>
    </row>
    <row r="47">
      <c r="K47" s="53"/>
      <c r="N47" s="53"/>
      <c r="O47" s="53"/>
      <c r="Q47" s="11" t="str">
        <f t="array" ref="Q47">IF($N47&gt;1, INDEX(postDEL!$A$2:$AR4717,$O47+1,44),IFERROR(0/0,""))</f>
        <v/>
      </c>
      <c r="R47" s="11" t="str">
        <f t="array" ref="R47">IF($N47&gt;2, INDEX(postDEL!$A$2:$AR4717,$O47+2,44),IFERROR(0/0,""))</f>
        <v/>
      </c>
      <c r="S47" s="11" t="str">
        <f t="array" ref="S47">IF($N47&gt;3, INDEX(postDEL!$A$2:$AR4717,$O47+3,44),IFERROR(0/0,""))</f>
        <v/>
      </c>
      <c r="T47" s="54"/>
      <c r="V47" s="54"/>
      <c r="W47" s="57"/>
    </row>
    <row r="48">
      <c r="K48" s="53"/>
      <c r="N48" s="53"/>
      <c r="O48" s="53"/>
      <c r="Q48" s="11" t="str">
        <f t="array" ref="Q48">IF($N48&gt;1, INDEX(postDEL!$A$2:$AR4717,$O48+1,44),IFERROR(0/0,""))</f>
        <v/>
      </c>
      <c r="R48" s="11" t="str">
        <f t="array" ref="R48">IF($N48&gt;2, INDEX(postDEL!$A$2:$AR4717,$O48+2,44),IFERROR(0/0,""))</f>
        <v/>
      </c>
      <c r="S48" s="11" t="str">
        <f t="array" ref="S48">IF($N48&gt;3, INDEX(postDEL!$A$2:$AR4717,$O48+3,44),IFERROR(0/0,""))</f>
        <v/>
      </c>
      <c r="T48" s="54"/>
      <c r="V48" s="54"/>
      <c r="W48" s="55"/>
    </row>
    <row r="49">
      <c r="K49" s="53"/>
      <c r="N49" s="53"/>
      <c r="O49" s="53"/>
      <c r="Q49" s="11" t="str">
        <f t="array" ref="Q49">IF($N49&gt;1, INDEX(postDEL!$A$2:$AR4717,$O49+1,44),IFERROR(0/0,""))</f>
        <v/>
      </c>
      <c r="R49" s="11" t="str">
        <f t="array" ref="R49">IF($N49&gt;2, INDEX(postDEL!$A$2:$AR4717,$O49+2,44),IFERROR(0/0,""))</f>
        <v/>
      </c>
      <c r="S49" s="11" t="str">
        <f t="array" ref="S49">IF($N49&gt;3, INDEX(postDEL!$A$2:$AR4717,$O49+3,44),IFERROR(0/0,""))</f>
        <v/>
      </c>
      <c r="T49" s="54"/>
      <c r="V49" s="54"/>
      <c r="W49" s="57"/>
    </row>
    <row r="50">
      <c r="K50" s="53"/>
      <c r="N50" s="53"/>
      <c r="O50" s="53"/>
      <c r="Q50" s="11" t="str">
        <f t="array" ref="Q50">IF($N50&gt;1, INDEX(postDEL!$A$2:$AR4717,$O50+1,44),IFERROR(0/0,""))</f>
        <v/>
      </c>
      <c r="R50" s="11" t="str">
        <f t="array" ref="R50">IF($N50&gt;2, INDEX(postDEL!$A$2:$AR4717,$O50+2,44),IFERROR(0/0,""))</f>
        <v/>
      </c>
      <c r="S50" s="11" t="str">
        <f t="array" ref="S50">IF($N50&gt;3, INDEX(postDEL!$A$2:$AR4717,$O50+3,44),IFERROR(0/0,""))</f>
        <v/>
      </c>
      <c r="T50" s="54"/>
      <c r="V50" s="54"/>
      <c r="W50" s="57"/>
    </row>
    <row r="51">
      <c r="K51" s="53"/>
      <c r="N51" s="53"/>
      <c r="O51" s="53"/>
      <c r="Q51" s="11" t="str">
        <f t="array" ref="Q51">IF($N51&gt;1, INDEX(postDEL!$A$2:$AR4717,$O51+1,44),IFERROR(0/0,""))</f>
        <v/>
      </c>
      <c r="R51" s="11" t="str">
        <f t="array" ref="R51">IF($N51&gt;2, INDEX(postDEL!$A$2:$AR4717,$O51+2,44),IFERROR(0/0,""))</f>
        <v/>
      </c>
      <c r="S51" s="11" t="str">
        <f t="array" ref="S51">IF($N51&gt;3, INDEX(postDEL!$A$2:$AR4717,$O51+3,44),IFERROR(0/0,""))</f>
        <v/>
      </c>
      <c r="T51" s="54"/>
      <c r="V51" s="54"/>
      <c r="W51" s="57"/>
    </row>
    <row r="52">
      <c r="K52" s="53"/>
      <c r="N52" s="53"/>
      <c r="O52" s="53"/>
      <c r="Q52" s="11" t="str">
        <f t="array" ref="Q52">IF($N52&gt;1, INDEX(postDEL!$A$2:$AR4717,$O52+1,44),IFERROR(0/0,""))</f>
        <v/>
      </c>
      <c r="R52" s="11" t="str">
        <f t="array" ref="R52">IF($N52&gt;2, INDEX(postDEL!$A$2:$AR4717,$O52+2,44),IFERROR(0/0,""))</f>
        <v/>
      </c>
      <c r="S52" s="11" t="str">
        <f t="array" ref="S52">IF($N52&gt;3, INDEX(postDEL!$A$2:$AR4717,$O52+3,44),IFERROR(0/0,""))</f>
        <v/>
      </c>
      <c r="T52" s="54"/>
      <c r="V52" s="54"/>
      <c r="W52" s="55"/>
    </row>
    <row r="53">
      <c r="K53" s="53"/>
      <c r="N53" s="53"/>
      <c r="O53" s="53"/>
      <c r="Q53" s="11" t="str">
        <f t="array" ref="Q53">IF($N53&gt;1, INDEX(postDEL!$A$2:$AR4717,$O53+1,44),IFERROR(0/0,""))</f>
        <v/>
      </c>
      <c r="R53" s="11" t="str">
        <f t="array" ref="R53">IF($N53&gt;2, INDEX(postDEL!$A$2:$AR4717,$O53+2,44),IFERROR(0/0,""))</f>
        <v/>
      </c>
      <c r="S53" s="11" t="str">
        <f t="array" ref="S53">IF($N53&gt;3, INDEX(postDEL!$A$2:$AR4717,$O53+3,44),IFERROR(0/0,""))</f>
        <v/>
      </c>
      <c r="T53" s="54"/>
      <c r="V53" s="54"/>
      <c r="W53" s="57"/>
    </row>
    <row r="54">
      <c r="K54" s="53"/>
      <c r="N54" s="53"/>
      <c r="O54" s="53"/>
      <c r="Q54" s="11" t="str">
        <f t="array" ref="Q54">IF($N54&gt;1, INDEX(postDEL!$A$2:$AR4717,$O54+1,44),IFERROR(0/0,""))</f>
        <v/>
      </c>
      <c r="R54" s="11" t="str">
        <f t="array" ref="R54">IF($N54&gt;2, INDEX(postDEL!$A$2:$AR4717,$O54+2,44),IFERROR(0/0,""))</f>
        <v/>
      </c>
      <c r="S54" s="11" t="str">
        <f t="array" ref="S54">IF($N54&gt;3, INDEX(postDEL!$A$2:$AR4717,$O54+3,44),IFERROR(0/0,""))</f>
        <v/>
      </c>
      <c r="T54" s="54"/>
      <c r="V54" s="54"/>
      <c r="W54" s="57"/>
    </row>
    <row r="55">
      <c r="K55" s="53"/>
      <c r="N55" s="53"/>
      <c r="O55" s="53"/>
      <c r="R55" s="11" t="str">
        <f t="array" ref="R55">IF($N55&gt;2, INDEX(postDEL!$A$2:$AR4717,$O55+2,44),IFERROR(0/0,""))</f>
        <v/>
      </c>
      <c r="S55" s="11" t="str">
        <f t="array" ref="S55">IF($N55&gt;3, INDEX(postDEL!$A$2:$AR4717,$O55+3,44),IFERROR(0/0,""))</f>
        <v/>
      </c>
      <c r="T55" s="53"/>
      <c r="V55" s="54"/>
      <c r="W55" s="55"/>
    </row>
    <row r="56">
      <c r="K56" s="53"/>
      <c r="N56" s="53"/>
      <c r="O56" s="53"/>
      <c r="R56" s="11" t="str">
        <f t="array" ref="R56">IF($N56&gt;2, INDEX(postDEL!$A$2:$AR4717,$O56+2,44),IFERROR(0/0,""))</f>
        <v/>
      </c>
      <c r="S56" s="11" t="str">
        <f t="array" ref="S56">IF($N56&gt;3, INDEX(postDEL!$A$2:$AR4717,$O56+3,44),IFERROR(0/0,""))</f>
        <v/>
      </c>
      <c r="T56" s="54"/>
      <c r="V56" s="54"/>
      <c r="W56" s="55"/>
    </row>
    <row r="57">
      <c r="K57" s="53"/>
      <c r="N57" s="53"/>
      <c r="O57" s="53"/>
      <c r="R57" s="11" t="str">
        <f t="array" ref="R57">IF($N57&gt;2, INDEX(postDEL!$A$2:$AR4717,$O57+2,44),IFERROR(0/0,""))</f>
        <v/>
      </c>
      <c r="S57" s="11" t="str">
        <f t="array" ref="S57">IF($N57&gt;3, INDEX(postDEL!$A$2:$AR4717,$O57+3,44),IFERROR(0/0,""))</f>
        <v/>
      </c>
      <c r="T57" s="54"/>
      <c r="V57" s="53"/>
      <c r="W57" s="55"/>
    </row>
    <row r="58">
      <c r="K58" s="53"/>
      <c r="N58" s="53"/>
      <c r="O58" s="53"/>
      <c r="T58" s="53"/>
      <c r="V58" s="53"/>
      <c r="W58" s="55"/>
    </row>
    <row r="59">
      <c r="K59" s="53"/>
      <c r="N59" s="53"/>
      <c r="O59" s="53"/>
      <c r="T59" s="53"/>
      <c r="V59" s="53"/>
      <c r="W59" s="55"/>
    </row>
    <row r="60">
      <c r="K60" s="53"/>
      <c r="N60" s="53"/>
      <c r="O60" s="53"/>
      <c r="T60" s="53"/>
      <c r="V60" s="53"/>
      <c r="W60" s="55"/>
    </row>
    <row r="61">
      <c r="K61" s="53"/>
      <c r="N61" s="53"/>
      <c r="O61" s="53"/>
      <c r="T61" s="53"/>
      <c r="V61" s="53"/>
      <c r="W61" s="55"/>
    </row>
    <row r="62">
      <c r="K62" s="53"/>
      <c r="N62" s="53"/>
      <c r="O62" s="53"/>
      <c r="T62" s="53"/>
      <c r="V62" s="53"/>
      <c r="W62" s="55"/>
    </row>
    <row r="63">
      <c r="K63" s="53"/>
      <c r="N63" s="53"/>
      <c r="O63" s="53"/>
      <c r="T63" s="53"/>
      <c r="V63" s="53"/>
      <c r="W63" s="55"/>
    </row>
    <row r="64">
      <c r="K64" s="53"/>
      <c r="N64" s="53"/>
      <c r="O64" s="53"/>
      <c r="T64" s="53"/>
      <c r="V64" s="53"/>
      <c r="W64" s="55"/>
    </row>
    <row r="65">
      <c r="K65" s="53"/>
      <c r="N65" s="53"/>
      <c r="O65" s="53"/>
      <c r="T65" s="53"/>
      <c r="V65" s="53"/>
      <c r="W65" s="55"/>
    </row>
    <row r="66">
      <c r="K66" s="53"/>
      <c r="N66" s="53"/>
      <c r="O66" s="53"/>
      <c r="T66" s="53"/>
      <c r="V66" s="53"/>
      <c r="W66" s="55"/>
    </row>
    <row r="67">
      <c r="K67" s="53"/>
      <c r="N67" s="53"/>
      <c r="O67" s="53"/>
      <c r="T67" s="53"/>
      <c r="V67" s="53"/>
      <c r="W67" s="55"/>
    </row>
    <row r="68">
      <c r="K68" s="53"/>
      <c r="N68" s="53"/>
      <c r="O68" s="53"/>
      <c r="T68" s="53"/>
      <c r="V68" s="53"/>
      <c r="W68" s="55"/>
    </row>
    <row r="69">
      <c r="K69" s="53"/>
      <c r="N69" s="53"/>
      <c r="O69" s="53"/>
      <c r="T69" s="53"/>
      <c r="V69" s="53"/>
      <c r="W69" s="55"/>
    </row>
    <row r="70">
      <c r="K70" s="53"/>
      <c r="N70" s="53"/>
      <c r="O70" s="53"/>
      <c r="T70" s="53"/>
      <c r="V70" s="53"/>
      <c r="W70" s="55"/>
    </row>
    <row r="71">
      <c r="K71" s="53"/>
      <c r="N71" s="53"/>
      <c r="O71" s="53"/>
      <c r="T71" s="53"/>
      <c r="V71" s="53"/>
      <c r="W71" s="55"/>
    </row>
    <row r="72">
      <c r="K72" s="53"/>
      <c r="N72" s="53"/>
      <c r="O72" s="53"/>
      <c r="T72" s="53"/>
      <c r="V72" s="53"/>
      <c r="W72" s="55"/>
    </row>
    <row r="73">
      <c r="K73" s="53"/>
      <c r="N73" s="53"/>
      <c r="O73" s="53"/>
      <c r="T73" s="53"/>
      <c r="V73" s="53"/>
      <c r="W73" s="55"/>
    </row>
    <row r="74">
      <c r="K74" s="53"/>
      <c r="N74" s="53"/>
      <c r="O74" s="53"/>
      <c r="T74" s="53"/>
      <c r="V74" s="53"/>
      <c r="W74" s="55"/>
    </row>
    <row r="75">
      <c r="K75" s="53"/>
      <c r="N75" s="53"/>
      <c r="O75" s="53"/>
      <c r="T75" s="53"/>
      <c r="V75" s="53"/>
      <c r="W75" s="55"/>
    </row>
    <row r="76">
      <c r="K76" s="53"/>
      <c r="N76" s="53"/>
      <c r="O76" s="53"/>
      <c r="T76" s="53"/>
      <c r="V76" s="53"/>
      <c r="W76" s="55"/>
    </row>
    <row r="77">
      <c r="K77" s="53"/>
      <c r="N77" s="53"/>
      <c r="O77" s="53"/>
      <c r="T77" s="53"/>
      <c r="V77" s="53"/>
      <c r="W77" s="55"/>
    </row>
    <row r="78">
      <c r="K78" s="53"/>
      <c r="N78" s="53"/>
      <c r="O78" s="53"/>
      <c r="T78" s="53"/>
      <c r="V78" s="53"/>
      <c r="W78" s="55"/>
    </row>
    <row r="79">
      <c r="K79" s="53"/>
      <c r="N79" s="53"/>
      <c r="O79" s="53"/>
      <c r="T79" s="53"/>
      <c r="V79" s="53"/>
      <c r="W79" s="55"/>
    </row>
    <row r="80">
      <c r="K80" s="53"/>
      <c r="N80" s="53"/>
      <c r="O80" s="53"/>
      <c r="T80" s="53"/>
      <c r="V80" s="53"/>
      <c r="W80" s="55"/>
    </row>
    <row r="81">
      <c r="K81" s="53"/>
      <c r="N81" s="53"/>
      <c r="O81" s="53"/>
      <c r="T81" s="53"/>
      <c r="V81" s="53"/>
      <c r="W81" s="55"/>
    </row>
    <row r="82">
      <c r="K82" s="53"/>
      <c r="N82" s="53"/>
      <c r="O82" s="53"/>
      <c r="T82" s="53"/>
      <c r="V82" s="53"/>
      <c r="W82" s="55"/>
    </row>
    <row r="83">
      <c r="K83" s="53"/>
      <c r="N83" s="53"/>
      <c r="O83" s="53"/>
      <c r="T83" s="53"/>
      <c r="V83" s="53"/>
      <c r="W83" s="55"/>
    </row>
    <row r="84">
      <c r="K84" s="53"/>
      <c r="N84" s="53"/>
      <c r="O84" s="53"/>
      <c r="T84" s="53"/>
      <c r="V84" s="53"/>
      <c r="W84" s="55"/>
    </row>
    <row r="85">
      <c r="K85" s="53"/>
      <c r="N85" s="53"/>
      <c r="O85" s="53"/>
      <c r="T85" s="53"/>
      <c r="V85" s="53"/>
      <c r="W85" s="55"/>
    </row>
    <row r="86">
      <c r="K86" s="53"/>
      <c r="N86" s="53"/>
      <c r="O86" s="53"/>
      <c r="T86" s="53"/>
      <c r="V86" s="53"/>
      <c r="W86" s="55"/>
    </row>
    <row r="87">
      <c r="K87" s="53"/>
      <c r="N87" s="53"/>
      <c r="O87" s="53"/>
      <c r="T87" s="53"/>
      <c r="V87" s="53"/>
      <c r="W87" s="55"/>
    </row>
    <row r="88">
      <c r="K88" s="53"/>
      <c r="N88" s="53"/>
      <c r="O88" s="53"/>
      <c r="T88" s="53"/>
      <c r="V88" s="53"/>
      <c r="W88" s="55"/>
    </row>
    <row r="89">
      <c r="K89" s="53"/>
      <c r="N89" s="53"/>
      <c r="O89" s="53"/>
      <c r="T89" s="53"/>
      <c r="V89" s="53"/>
      <c r="W89" s="55"/>
    </row>
    <row r="90">
      <c r="K90" s="53"/>
      <c r="N90" s="53"/>
      <c r="O90" s="53"/>
      <c r="T90" s="53"/>
      <c r="V90" s="53"/>
      <c r="W90" s="55"/>
    </row>
    <row r="91">
      <c r="K91" s="53"/>
      <c r="N91" s="53"/>
      <c r="O91" s="53"/>
      <c r="T91" s="53"/>
      <c r="V91" s="53"/>
      <c r="W91" s="55"/>
    </row>
    <row r="92">
      <c r="K92" s="53"/>
      <c r="N92" s="53"/>
      <c r="O92" s="53"/>
      <c r="T92" s="53"/>
      <c r="V92" s="53"/>
      <c r="W92" s="55"/>
    </row>
    <row r="93">
      <c r="K93" s="53"/>
      <c r="N93" s="53"/>
      <c r="O93" s="53"/>
      <c r="T93" s="53"/>
      <c r="V93" s="53"/>
      <c r="W93" s="55"/>
    </row>
    <row r="94">
      <c r="K94" s="53"/>
      <c r="N94" s="53"/>
      <c r="O94" s="53"/>
      <c r="T94" s="53"/>
      <c r="V94" s="53"/>
      <c r="W94" s="55"/>
    </row>
    <row r="95">
      <c r="K95" s="53"/>
      <c r="N95" s="53"/>
      <c r="O95" s="53"/>
      <c r="T95" s="53"/>
      <c r="V95" s="53"/>
      <c r="W95" s="55"/>
    </row>
    <row r="96">
      <c r="K96" s="53"/>
      <c r="N96" s="53"/>
      <c r="O96" s="53"/>
      <c r="T96" s="53"/>
      <c r="V96" s="53"/>
      <c r="W96" s="55"/>
    </row>
    <row r="97">
      <c r="K97" s="53"/>
      <c r="N97" s="53"/>
      <c r="O97" s="53"/>
      <c r="T97" s="53"/>
      <c r="V97" s="53"/>
      <c r="W97" s="55"/>
    </row>
    <row r="98">
      <c r="K98" s="53"/>
      <c r="N98" s="53"/>
      <c r="O98" s="53"/>
      <c r="T98" s="53"/>
      <c r="V98" s="53"/>
      <c r="W98" s="55"/>
    </row>
    <row r="99">
      <c r="K99" s="53"/>
      <c r="N99" s="53"/>
      <c r="O99" s="53"/>
      <c r="T99" s="53"/>
      <c r="V99" s="53"/>
      <c r="W99" s="55"/>
    </row>
    <row r="100">
      <c r="K100" s="53"/>
      <c r="N100" s="53"/>
      <c r="O100" s="53"/>
      <c r="T100" s="53"/>
      <c r="V100" s="53"/>
      <c r="W100" s="55"/>
    </row>
    <row r="101">
      <c r="K101" s="53"/>
      <c r="N101" s="53"/>
      <c r="O101" s="53"/>
      <c r="T101" s="53"/>
      <c r="V101" s="53"/>
      <c r="W101" s="55"/>
    </row>
    <row r="102">
      <c r="K102" s="53"/>
      <c r="N102" s="53"/>
      <c r="O102" s="53"/>
      <c r="T102" s="53"/>
      <c r="V102" s="53"/>
      <c r="W102" s="55"/>
    </row>
    <row r="103">
      <c r="K103" s="53"/>
      <c r="N103" s="53"/>
      <c r="O103" s="53"/>
      <c r="T103" s="53"/>
      <c r="V103" s="53"/>
      <c r="W103" s="55"/>
    </row>
    <row r="104">
      <c r="K104" s="53"/>
      <c r="N104" s="53"/>
      <c r="O104" s="53"/>
      <c r="T104" s="53"/>
      <c r="V104" s="53"/>
      <c r="W104" s="55"/>
    </row>
    <row r="105">
      <c r="K105" s="53"/>
      <c r="N105" s="53"/>
      <c r="O105" s="53"/>
      <c r="T105" s="53"/>
      <c r="V105" s="53"/>
      <c r="W105" s="55"/>
    </row>
    <row r="106">
      <c r="K106" s="53"/>
      <c r="N106" s="53"/>
      <c r="O106" s="53"/>
      <c r="T106" s="53"/>
      <c r="V106" s="53"/>
      <c r="W106" s="55"/>
    </row>
    <row r="107">
      <c r="K107" s="53"/>
      <c r="N107" s="53"/>
      <c r="O107" s="53"/>
      <c r="T107" s="53"/>
      <c r="V107" s="53"/>
      <c r="W107" s="55"/>
    </row>
    <row r="108">
      <c r="K108" s="53"/>
      <c r="N108" s="53"/>
      <c r="O108" s="53"/>
      <c r="T108" s="53"/>
      <c r="V108" s="53"/>
      <c r="W108" s="55"/>
    </row>
    <row r="109">
      <c r="K109" s="53"/>
      <c r="N109" s="53"/>
      <c r="O109" s="53"/>
      <c r="T109" s="53"/>
      <c r="V109" s="53"/>
      <c r="W109" s="55"/>
    </row>
    <row r="110">
      <c r="K110" s="53"/>
      <c r="N110" s="53"/>
      <c r="O110" s="53"/>
      <c r="T110" s="53"/>
      <c r="V110" s="53"/>
      <c r="W110" s="55"/>
    </row>
    <row r="111">
      <c r="K111" s="53"/>
      <c r="N111" s="53"/>
      <c r="O111" s="53"/>
      <c r="T111" s="53"/>
      <c r="V111" s="53"/>
      <c r="W111" s="55"/>
    </row>
    <row r="112">
      <c r="K112" s="53"/>
      <c r="N112" s="53"/>
      <c r="O112" s="53"/>
      <c r="T112" s="53"/>
      <c r="V112" s="53"/>
      <c r="W112" s="55"/>
    </row>
    <row r="113">
      <c r="K113" s="53"/>
      <c r="N113" s="53"/>
      <c r="O113" s="53"/>
      <c r="T113" s="53"/>
      <c r="V113" s="53"/>
      <c r="W113" s="55"/>
    </row>
    <row r="114">
      <c r="K114" s="53"/>
      <c r="N114" s="53"/>
      <c r="O114" s="53"/>
      <c r="T114" s="53"/>
      <c r="V114" s="53"/>
      <c r="W114" s="55"/>
    </row>
    <row r="115">
      <c r="K115" s="53"/>
      <c r="N115" s="53"/>
      <c r="O115" s="53"/>
      <c r="T115" s="53"/>
      <c r="V115" s="53"/>
      <c r="W115" s="55"/>
    </row>
    <row r="116">
      <c r="K116" s="53"/>
      <c r="N116" s="53"/>
      <c r="O116" s="53"/>
      <c r="T116" s="53"/>
      <c r="V116" s="53"/>
      <c r="W116" s="55"/>
    </row>
    <row r="117">
      <c r="K117" s="53"/>
      <c r="N117" s="53"/>
      <c r="O117" s="53"/>
      <c r="T117" s="53"/>
      <c r="V117" s="53"/>
      <c r="W117" s="55"/>
    </row>
    <row r="118">
      <c r="K118" s="53"/>
      <c r="N118" s="53"/>
      <c r="O118" s="53"/>
      <c r="T118" s="53"/>
      <c r="V118" s="53"/>
      <c r="W118" s="55"/>
    </row>
    <row r="119">
      <c r="K119" s="53"/>
      <c r="N119" s="53"/>
      <c r="O119" s="53"/>
      <c r="T119" s="53"/>
      <c r="V119" s="53"/>
      <c r="W119" s="55"/>
    </row>
    <row r="120">
      <c r="K120" s="53"/>
      <c r="N120" s="53"/>
      <c r="O120" s="53"/>
      <c r="T120" s="53"/>
      <c r="V120" s="53"/>
      <c r="W120" s="55"/>
    </row>
    <row r="121">
      <c r="K121" s="53"/>
      <c r="N121" s="53"/>
      <c r="O121" s="53"/>
      <c r="T121" s="53"/>
      <c r="V121" s="53"/>
      <c r="W121" s="55"/>
    </row>
    <row r="122">
      <c r="K122" s="53"/>
      <c r="N122" s="53"/>
      <c r="O122" s="53"/>
      <c r="T122" s="53"/>
      <c r="V122" s="53"/>
      <c r="W122" s="55"/>
    </row>
    <row r="123">
      <c r="K123" s="53"/>
      <c r="N123" s="53"/>
      <c r="O123" s="53"/>
      <c r="T123" s="53"/>
      <c r="V123" s="53"/>
      <c r="W123" s="55"/>
    </row>
    <row r="124">
      <c r="K124" s="53"/>
      <c r="N124" s="53"/>
      <c r="O124" s="53"/>
      <c r="T124" s="53"/>
      <c r="V124" s="53"/>
      <c r="W124" s="55"/>
    </row>
    <row r="125">
      <c r="K125" s="53"/>
      <c r="N125" s="53"/>
      <c r="O125" s="53"/>
      <c r="T125" s="53"/>
      <c r="V125" s="53"/>
      <c r="W125" s="55"/>
    </row>
    <row r="126">
      <c r="K126" s="53"/>
      <c r="N126" s="53"/>
      <c r="O126" s="53"/>
      <c r="T126" s="53"/>
      <c r="V126" s="53"/>
      <c r="W126" s="55"/>
    </row>
    <row r="127">
      <c r="K127" s="53"/>
      <c r="N127" s="53"/>
      <c r="O127" s="53"/>
      <c r="T127" s="53"/>
      <c r="V127" s="53"/>
      <c r="W127" s="55"/>
    </row>
    <row r="128">
      <c r="K128" s="53"/>
      <c r="N128" s="53"/>
      <c r="O128" s="53"/>
      <c r="T128" s="53"/>
      <c r="V128" s="53"/>
      <c r="W128" s="55"/>
    </row>
    <row r="129">
      <c r="K129" s="53"/>
      <c r="N129" s="53"/>
      <c r="O129" s="53"/>
      <c r="T129" s="53"/>
      <c r="V129" s="53"/>
      <c r="W129" s="55"/>
    </row>
    <row r="130">
      <c r="K130" s="53"/>
      <c r="N130" s="53"/>
      <c r="O130" s="53"/>
      <c r="T130" s="53"/>
      <c r="V130" s="53"/>
      <c r="W130" s="55"/>
    </row>
    <row r="131">
      <c r="K131" s="53"/>
      <c r="N131" s="53"/>
      <c r="O131" s="53"/>
      <c r="T131" s="53"/>
      <c r="V131" s="53"/>
      <c r="W131" s="55"/>
    </row>
    <row r="132">
      <c r="K132" s="53"/>
      <c r="N132" s="53"/>
      <c r="O132" s="53"/>
      <c r="T132" s="53"/>
      <c r="V132" s="53"/>
      <c r="W132" s="55"/>
    </row>
    <row r="133">
      <c r="K133" s="53"/>
      <c r="N133" s="53"/>
      <c r="O133" s="53"/>
      <c r="T133" s="53"/>
      <c r="V133" s="53"/>
      <c r="W133" s="55"/>
    </row>
    <row r="134">
      <c r="K134" s="53"/>
      <c r="N134" s="53"/>
      <c r="O134" s="53"/>
      <c r="T134" s="53"/>
      <c r="V134" s="53"/>
      <c r="W134" s="55"/>
    </row>
    <row r="135">
      <c r="K135" s="53"/>
      <c r="N135" s="53"/>
      <c r="O135" s="53"/>
      <c r="T135" s="53"/>
      <c r="V135" s="53"/>
      <c r="W135" s="55"/>
    </row>
    <row r="136">
      <c r="K136" s="53"/>
      <c r="N136" s="53"/>
      <c r="O136" s="53"/>
      <c r="T136" s="53"/>
      <c r="V136" s="53"/>
      <c r="W136" s="55"/>
    </row>
    <row r="137">
      <c r="K137" s="53"/>
      <c r="N137" s="53"/>
      <c r="O137" s="53"/>
      <c r="T137" s="53"/>
      <c r="V137" s="53"/>
      <c r="W137" s="55"/>
    </row>
    <row r="138">
      <c r="K138" s="53"/>
      <c r="N138" s="53"/>
      <c r="O138" s="53"/>
      <c r="T138" s="53"/>
      <c r="V138" s="53"/>
      <c r="W138" s="55"/>
    </row>
    <row r="139">
      <c r="K139" s="53"/>
      <c r="N139" s="53"/>
      <c r="O139" s="53"/>
      <c r="T139" s="53"/>
      <c r="V139" s="53"/>
      <c r="W139" s="55"/>
    </row>
    <row r="140">
      <c r="K140" s="53"/>
      <c r="N140" s="53"/>
      <c r="O140" s="53"/>
      <c r="T140" s="53"/>
      <c r="V140" s="53"/>
      <c r="W140" s="55"/>
    </row>
    <row r="141">
      <c r="K141" s="53"/>
      <c r="N141" s="53"/>
      <c r="O141" s="53"/>
      <c r="T141" s="53"/>
      <c r="V141" s="53"/>
      <c r="W141" s="55"/>
    </row>
    <row r="142">
      <c r="K142" s="53"/>
      <c r="N142" s="53"/>
      <c r="O142" s="53"/>
      <c r="T142" s="53"/>
      <c r="V142" s="53"/>
      <c r="W142" s="55"/>
    </row>
    <row r="143">
      <c r="K143" s="53"/>
      <c r="N143" s="53"/>
      <c r="O143" s="53"/>
      <c r="T143" s="53"/>
      <c r="V143" s="53"/>
      <c r="W143" s="55"/>
    </row>
    <row r="144">
      <c r="K144" s="53"/>
      <c r="N144" s="53"/>
      <c r="O144" s="53"/>
      <c r="T144" s="53"/>
      <c r="V144" s="53"/>
      <c r="W144" s="55"/>
    </row>
    <row r="145">
      <c r="K145" s="53"/>
      <c r="N145" s="53"/>
      <c r="O145" s="53"/>
      <c r="T145" s="53"/>
      <c r="V145" s="53"/>
      <c r="W145" s="55"/>
    </row>
    <row r="146">
      <c r="K146" s="53"/>
      <c r="N146" s="53"/>
      <c r="O146" s="53"/>
      <c r="T146" s="53"/>
      <c r="V146" s="53"/>
      <c r="W146" s="55"/>
    </row>
    <row r="147">
      <c r="K147" s="53"/>
      <c r="N147" s="53"/>
      <c r="O147" s="53"/>
      <c r="T147" s="53"/>
      <c r="V147" s="53"/>
      <c r="W147" s="55"/>
    </row>
    <row r="148">
      <c r="K148" s="53"/>
      <c r="N148" s="53"/>
      <c r="O148" s="53"/>
      <c r="T148" s="53"/>
      <c r="V148" s="53"/>
      <c r="W148" s="55"/>
    </row>
    <row r="149">
      <c r="K149" s="53"/>
      <c r="N149" s="53"/>
      <c r="O149" s="53"/>
      <c r="T149" s="53"/>
      <c r="V149" s="53"/>
      <c r="W149" s="55"/>
    </row>
    <row r="150">
      <c r="K150" s="53"/>
      <c r="N150" s="53"/>
      <c r="O150" s="53"/>
      <c r="T150" s="53"/>
      <c r="V150" s="53"/>
      <c r="W150" s="55"/>
    </row>
    <row r="151">
      <c r="K151" s="53"/>
      <c r="N151" s="53"/>
      <c r="O151" s="53"/>
      <c r="T151" s="53"/>
      <c r="V151" s="53"/>
      <c r="W151" s="55"/>
    </row>
    <row r="152">
      <c r="K152" s="53"/>
      <c r="N152" s="53"/>
      <c r="O152" s="53"/>
      <c r="T152" s="53"/>
      <c r="V152" s="53"/>
      <c r="W152" s="55"/>
    </row>
    <row r="153">
      <c r="K153" s="53"/>
      <c r="N153" s="53"/>
      <c r="O153" s="53"/>
      <c r="T153" s="53"/>
      <c r="V153" s="53"/>
      <c r="W153" s="55"/>
    </row>
    <row r="154">
      <c r="K154" s="53"/>
      <c r="N154" s="53"/>
      <c r="O154" s="53"/>
      <c r="T154" s="53"/>
      <c r="V154" s="53"/>
      <c r="W154" s="55"/>
    </row>
    <row r="155">
      <c r="K155" s="53"/>
      <c r="N155" s="53"/>
      <c r="O155" s="53"/>
      <c r="T155" s="53"/>
      <c r="V155" s="53"/>
      <c r="W155" s="55"/>
    </row>
    <row r="156">
      <c r="K156" s="53"/>
      <c r="N156" s="53"/>
      <c r="O156" s="53"/>
      <c r="T156" s="53"/>
      <c r="V156" s="53"/>
      <c r="W156" s="55"/>
    </row>
    <row r="157">
      <c r="K157" s="53"/>
      <c r="N157" s="53"/>
      <c r="O157" s="53"/>
      <c r="T157" s="53"/>
      <c r="V157" s="53"/>
      <c r="W157" s="55"/>
    </row>
    <row r="158">
      <c r="K158" s="53"/>
      <c r="N158" s="53"/>
      <c r="O158" s="53"/>
      <c r="T158" s="53"/>
      <c r="V158" s="53"/>
      <c r="W158" s="55"/>
    </row>
    <row r="159">
      <c r="K159" s="53"/>
      <c r="N159" s="53"/>
      <c r="O159" s="53"/>
      <c r="T159" s="53"/>
      <c r="V159" s="53"/>
      <c r="W159" s="55"/>
    </row>
    <row r="160">
      <c r="K160" s="53"/>
      <c r="N160" s="53"/>
      <c r="O160" s="53"/>
      <c r="T160" s="53"/>
      <c r="V160" s="53"/>
      <c r="W160" s="55"/>
    </row>
    <row r="161">
      <c r="K161" s="53"/>
      <c r="N161" s="53"/>
      <c r="O161" s="53"/>
      <c r="T161" s="53"/>
      <c r="V161" s="53"/>
      <c r="W161" s="55"/>
    </row>
    <row r="162">
      <c r="K162" s="53"/>
      <c r="N162" s="53"/>
      <c r="O162" s="53"/>
      <c r="T162" s="53"/>
      <c r="V162" s="53"/>
      <c r="W162" s="55"/>
    </row>
    <row r="163">
      <c r="K163" s="53"/>
      <c r="N163" s="53"/>
      <c r="O163" s="53"/>
      <c r="T163" s="53"/>
      <c r="V163" s="53"/>
      <c r="W163" s="55"/>
    </row>
    <row r="164">
      <c r="K164" s="53"/>
      <c r="N164" s="53"/>
      <c r="O164" s="53"/>
      <c r="T164" s="53"/>
      <c r="V164" s="53"/>
      <c r="W164" s="55"/>
    </row>
    <row r="165">
      <c r="K165" s="53"/>
      <c r="N165" s="53"/>
      <c r="O165" s="53"/>
      <c r="T165" s="53"/>
      <c r="V165" s="53"/>
      <c r="W165" s="55"/>
    </row>
    <row r="166">
      <c r="K166" s="53"/>
      <c r="N166" s="53"/>
      <c r="O166" s="53"/>
      <c r="T166" s="53"/>
      <c r="V166" s="53"/>
      <c r="W166" s="55"/>
    </row>
    <row r="167">
      <c r="K167" s="53"/>
      <c r="N167" s="53"/>
      <c r="O167" s="53"/>
      <c r="T167" s="53"/>
      <c r="V167" s="53"/>
      <c r="W167" s="55"/>
    </row>
    <row r="168">
      <c r="K168" s="53"/>
      <c r="N168" s="53"/>
      <c r="O168" s="53"/>
      <c r="T168" s="53"/>
      <c r="V168" s="53"/>
      <c r="W168" s="55"/>
    </row>
    <row r="169">
      <c r="K169" s="53"/>
      <c r="N169" s="53"/>
      <c r="O169" s="53"/>
      <c r="T169" s="53"/>
      <c r="V169" s="53"/>
      <c r="W169" s="55"/>
    </row>
    <row r="170">
      <c r="K170" s="53"/>
      <c r="N170" s="53"/>
      <c r="O170" s="53"/>
      <c r="T170" s="53"/>
      <c r="V170" s="53"/>
      <c r="W170" s="55"/>
    </row>
    <row r="171">
      <c r="K171" s="53"/>
      <c r="N171" s="53"/>
      <c r="O171" s="53"/>
      <c r="T171" s="53"/>
      <c r="V171" s="53"/>
      <c r="W171" s="55"/>
    </row>
    <row r="172">
      <c r="K172" s="53"/>
      <c r="N172" s="53"/>
      <c r="O172" s="53"/>
      <c r="T172" s="53"/>
      <c r="V172" s="53"/>
      <c r="W172" s="55"/>
    </row>
    <row r="173">
      <c r="K173" s="53"/>
      <c r="N173" s="53"/>
      <c r="O173" s="53"/>
      <c r="T173" s="53"/>
      <c r="V173" s="53"/>
      <c r="W173" s="55"/>
    </row>
    <row r="174">
      <c r="K174" s="53"/>
      <c r="N174" s="53"/>
      <c r="O174" s="53"/>
      <c r="T174" s="53"/>
      <c r="V174" s="53"/>
      <c r="W174" s="55"/>
    </row>
    <row r="175">
      <c r="K175" s="53"/>
      <c r="N175" s="53"/>
      <c r="O175" s="53"/>
      <c r="T175" s="53"/>
      <c r="V175" s="53"/>
      <c r="W175" s="55"/>
    </row>
    <row r="176">
      <c r="K176" s="53"/>
      <c r="N176" s="53"/>
      <c r="O176" s="53"/>
      <c r="T176" s="53"/>
      <c r="V176" s="53"/>
      <c r="W176" s="55"/>
    </row>
    <row r="177">
      <c r="K177" s="53"/>
      <c r="N177" s="53"/>
      <c r="O177" s="53"/>
      <c r="T177" s="53"/>
      <c r="V177" s="53"/>
      <c r="W177" s="55"/>
    </row>
    <row r="178">
      <c r="K178" s="53"/>
      <c r="N178" s="53"/>
      <c r="O178" s="53"/>
      <c r="T178" s="53"/>
      <c r="V178" s="53"/>
      <c r="W178" s="55"/>
    </row>
    <row r="179">
      <c r="K179" s="53"/>
      <c r="N179" s="53"/>
      <c r="O179" s="53"/>
      <c r="T179" s="53"/>
      <c r="V179" s="53"/>
      <c r="W179" s="55"/>
    </row>
    <row r="180">
      <c r="K180" s="53"/>
      <c r="N180" s="53"/>
      <c r="O180" s="53"/>
      <c r="T180" s="53"/>
      <c r="V180" s="53"/>
      <c r="W180" s="55"/>
    </row>
    <row r="181">
      <c r="K181" s="53"/>
      <c r="N181" s="53"/>
      <c r="O181" s="53"/>
      <c r="T181" s="53"/>
      <c r="V181" s="53"/>
      <c r="W181" s="55"/>
    </row>
    <row r="182">
      <c r="K182" s="53"/>
      <c r="N182" s="53"/>
      <c r="O182" s="53"/>
      <c r="T182" s="53"/>
      <c r="V182" s="53"/>
      <c r="W182" s="55"/>
    </row>
    <row r="183">
      <c r="K183" s="53"/>
      <c r="N183" s="53"/>
      <c r="O183" s="53"/>
      <c r="T183" s="53"/>
      <c r="V183" s="53"/>
      <c r="W183" s="55"/>
    </row>
    <row r="184">
      <c r="K184" s="53"/>
      <c r="N184" s="53"/>
      <c r="O184" s="53"/>
      <c r="T184" s="53"/>
      <c r="V184" s="53"/>
      <c r="W184" s="55"/>
    </row>
    <row r="185">
      <c r="K185" s="53"/>
      <c r="N185" s="53"/>
      <c r="O185" s="53"/>
      <c r="T185" s="53"/>
      <c r="V185" s="53"/>
      <c r="W185" s="55"/>
    </row>
    <row r="186">
      <c r="K186" s="53"/>
      <c r="N186" s="53"/>
      <c r="O186" s="53"/>
      <c r="T186" s="53"/>
      <c r="V186" s="53"/>
      <c r="W186" s="55"/>
    </row>
    <row r="187">
      <c r="K187" s="53"/>
      <c r="N187" s="53"/>
      <c r="O187" s="53"/>
      <c r="T187" s="53"/>
      <c r="V187" s="53"/>
      <c r="W187" s="55"/>
    </row>
    <row r="188">
      <c r="K188" s="53"/>
      <c r="N188" s="53"/>
      <c r="O188" s="53"/>
      <c r="T188" s="53"/>
      <c r="V188" s="53"/>
      <c r="W188" s="55"/>
    </row>
    <row r="189">
      <c r="K189" s="53"/>
      <c r="N189" s="53"/>
      <c r="O189" s="53"/>
      <c r="T189" s="53"/>
      <c r="V189" s="53"/>
      <c r="W189" s="55"/>
    </row>
    <row r="190">
      <c r="K190" s="53"/>
      <c r="N190" s="53"/>
      <c r="O190" s="53"/>
      <c r="T190" s="53"/>
      <c r="V190" s="53"/>
      <c r="W190" s="55"/>
    </row>
    <row r="191">
      <c r="K191" s="53"/>
      <c r="N191" s="53"/>
      <c r="O191" s="53"/>
      <c r="T191" s="53"/>
      <c r="V191" s="53"/>
      <c r="W191" s="55"/>
    </row>
    <row r="192">
      <c r="K192" s="53"/>
      <c r="N192" s="53"/>
      <c r="O192" s="53"/>
      <c r="T192" s="53"/>
      <c r="V192" s="53"/>
      <c r="W192" s="55"/>
    </row>
    <row r="193">
      <c r="K193" s="53"/>
      <c r="N193" s="53"/>
      <c r="O193" s="53"/>
      <c r="T193" s="53"/>
      <c r="V193" s="53"/>
      <c r="W193" s="55"/>
    </row>
    <row r="194">
      <c r="K194" s="53"/>
      <c r="N194" s="53"/>
      <c r="O194" s="53"/>
      <c r="T194" s="53"/>
      <c r="V194" s="53"/>
      <c r="W194" s="55"/>
    </row>
    <row r="195">
      <c r="K195" s="53"/>
      <c r="N195" s="53"/>
      <c r="O195" s="53"/>
      <c r="T195" s="53"/>
      <c r="V195" s="53"/>
      <c r="W195" s="55"/>
    </row>
    <row r="196">
      <c r="K196" s="53"/>
      <c r="N196" s="53"/>
      <c r="O196" s="53"/>
      <c r="T196" s="53"/>
      <c r="V196" s="53"/>
      <c r="W196" s="55"/>
    </row>
    <row r="197">
      <c r="K197" s="53"/>
      <c r="N197" s="53"/>
      <c r="O197" s="53"/>
      <c r="T197" s="53"/>
      <c r="V197" s="53"/>
      <c r="W197" s="55"/>
    </row>
    <row r="198">
      <c r="K198" s="53"/>
      <c r="N198" s="53"/>
      <c r="O198" s="53"/>
      <c r="T198" s="53"/>
      <c r="V198" s="53"/>
      <c r="W198" s="55"/>
    </row>
    <row r="199">
      <c r="K199" s="53"/>
      <c r="N199" s="53"/>
      <c r="O199" s="53"/>
      <c r="T199" s="53"/>
      <c r="V199" s="53"/>
      <c r="W199" s="55"/>
    </row>
    <row r="200">
      <c r="K200" s="53"/>
      <c r="N200" s="53"/>
      <c r="O200" s="53"/>
      <c r="T200" s="53"/>
      <c r="V200" s="53"/>
      <c r="W200" s="55"/>
    </row>
    <row r="201">
      <c r="K201" s="53"/>
      <c r="N201" s="53"/>
      <c r="O201" s="53"/>
      <c r="T201" s="53"/>
      <c r="V201" s="53"/>
      <c r="W201" s="55"/>
    </row>
    <row r="202">
      <c r="K202" s="53"/>
      <c r="N202" s="53"/>
      <c r="O202" s="53"/>
      <c r="T202" s="53"/>
      <c r="V202" s="53"/>
      <c r="W202" s="55"/>
    </row>
    <row r="203">
      <c r="K203" s="53"/>
      <c r="N203" s="53"/>
      <c r="O203" s="53"/>
      <c r="T203" s="53"/>
      <c r="V203" s="53"/>
      <c r="W203" s="55"/>
    </row>
    <row r="204">
      <c r="K204" s="53"/>
      <c r="N204" s="53"/>
      <c r="O204" s="53"/>
      <c r="T204" s="53"/>
      <c r="V204" s="53"/>
      <c r="W204" s="55"/>
    </row>
    <row r="205">
      <c r="K205" s="53"/>
      <c r="N205" s="53"/>
      <c r="O205" s="53"/>
      <c r="T205" s="53"/>
      <c r="V205" s="53"/>
      <c r="W205" s="55"/>
    </row>
    <row r="206">
      <c r="K206" s="53"/>
      <c r="N206" s="53"/>
      <c r="O206" s="53"/>
      <c r="T206" s="53"/>
      <c r="V206" s="53"/>
      <c r="W206" s="55"/>
    </row>
    <row r="207">
      <c r="K207" s="53"/>
      <c r="N207" s="53"/>
      <c r="O207" s="53"/>
      <c r="T207" s="53"/>
      <c r="V207" s="53"/>
      <c r="W207" s="55"/>
    </row>
    <row r="208">
      <c r="K208" s="53"/>
      <c r="N208" s="53"/>
      <c r="O208" s="53"/>
      <c r="T208" s="53"/>
      <c r="V208" s="53"/>
      <c r="W208" s="55"/>
    </row>
    <row r="209">
      <c r="K209" s="53"/>
      <c r="N209" s="53"/>
      <c r="O209" s="53"/>
      <c r="T209" s="53"/>
      <c r="V209" s="53"/>
      <c r="W209" s="55"/>
    </row>
    <row r="210">
      <c r="K210" s="53"/>
      <c r="N210" s="53"/>
      <c r="O210" s="53"/>
      <c r="T210" s="53"/>
      <c r="V210" s="53"/>
      <c r="W210" s="55"/>
    </row>
    <row r="211">
      <c r="K211" s="53"/>
      <c r="N211" s="53"/>
      <c r="O211" s="53"/>
      <c r="T211" s="53"/>
      <c r="V211" s="53"/>
      <c r="W211" s="55"/>
    </row>
    <row r="212">
      <c r="K212" s="53"/>
      <c r="N212" s="53"/>
      <c r="O212" s="53"/>
      <c r="T212" s="53"/>
      <c r="V212" s="53"/>
      <c r="W212" s="55"/>
    </row>
    <row r="213">
      <c r="K213" s="53"/>
      <c r="N213" s="53"/>
      <c r="O213" s="53"/>
      <c r="T213" s="53"/>
      <c r="V213" s="53"/>
      <c r="W213" s="55"/>
    </row>
    <row r="214">
      <c r="K214" s="53"/>
      <c r="N214" s="53"/>
      <c r="O214" s="53"/>
      <c r="T214" s="53"/>
      <c r="V214" s="53"/>
      <c r="W214" s="55"/>
    </row>
    <row r="215">
      <c r="K215" s="53"/>
      <c r="N215" s="53"/>
      <c r="O215" s="53"/>
      <c r="T215" s="53"/>
      <c r="V215" s="53"/>
      <c r="W215" s="55"/>
    </row>
    <row r="216">
      <c r="K216" s="53"/>
      <c r="N216" s="53"/>
      <c r="O216" s="53"/>
      <c r="T216" s="53"/>
      <c r="V216" s="53"/>
      <c r="W216" s="55"/>
    </row>
    <row r="217">
      <c r="K217" s="53"/>
      <c r="N217" s="53"/>
      <c r="O217" s="53"/>
      <c r="T217" s="53"/>
      <c r="V217" s="53"/>
      <c r="W217" s="55"/>
    </row>
    <row r="218">
      <c r="K218" s="53"/>
      <c r="N218" s="53"/>
      <c r="O218" s="53"/>
      <c r="T218" s="53"/>
      <c r="V218" s="53"/>
      <c r="W218" s="55"/>
    </row>
    <row r="219">
      <c r="K219" s="53"/>
      <c r="N219" s="53"/>
      <c r="O219" s="53"/>
      <c r="T219" s="53"/>
      <c r="V219" s="53"/>
      <c r="W219" s="55"/>
    </row>
    <row r="220">
      <c r="K220" s="53"/>
      <c r="N220" s="53"/>
      <c r="O220" s="53"/>
      <c r="T220" s="53"/>
      <c r="V220" s="53"/>
      <c r="W220" s="55"/>
    </row>
    <row r="221">
      <c r="K221" s="53"/>
      <c r="N221" s="53"/>
      <c r="O221" s="53"/>
      <c r="T221" s="53"/>
      <c r="V221" s="53"/>
      <c r="W221" s="55"/>
    </row>
    <row r="222">
      <c r="K222" s="53"/>
      <c r="N222" s="53"/>
      <c r="O222" s="53"/>
      <c r="T222" s="53"/>
      <c r="V222" s="53"/>
      <c r="W222" s="55"/>
    </row>
    <row r="223">
      <c r="K223" s="53"/>
      <c r="N223" s="53"/>
      <c r="O223" s="53"/>
      <c r="T223" s="53"/>
      <c r="V223" s="53"/>
      <c r="W223" s="55"/>
    </row>
    <row r="224">
      <c r="K224" s="53"/>
      <c r="N224" s="53"/>
      <c r="O224" s="53"/>
      <c r="T224" s="53"/>
      <c r="V224" s="53"/>
      <c r="W224" s="55"/>
    </row>
    <row r="225">
      <c r="K225" s="53"/>
      <c r="N225" s="53"/>
      <c r="O225" s="53"/>
      <c r="T225" s="53"/>
      <c r="V225" s="53"/>
      <c r="W225" s="55"/>
    </row>
    <row r="226">
      <c r="K226" s="53"/>
      <c r="N226" s="53"/>
      <c r="O226" s="53"/>
      <c r="T226" s="53"/>
      <c r="V226" s="53"/>
      <c r="W226" s="55"/>
    </row>
    <row r="227">
      <c r="K227" s="53"/>
      <c r="N227" s="53"/>
      <c r="O227" s="53"/>
      <c r="T227" s="53"/>
      <c r="V227" s="53"/>
      <c r="W227" s="55"/>
    </row>
    <row r="228">
      <c r="K228" s="53"/>
      <c r="N228" s="53"/>
      <c r="O228" s="53"/>
      <c r="T228" s="53"/>
      <c r="V228" s="53"/>
      <c r="W228" s="55"/>
    </row>
    <row r="229">
      <c r="K229" s="53"/>
      <c r="N229" s="53"/>
      <c r="O229" s="53"/>
      <c r="T229" s="53"/>
      <c r="V229" s="53"/>
      <c r="W229" s="55"/>
    </row>
    <row r="230">
      <c r="K230" s="53"/>
      <c r="N230" s="53"/>
      <c r="O230" s="53"/>
      <c r="T230" s="53"/>
      <c r="V230" s="53"/>
      <c r="W230" s="55"/>
    </row>
    <row r="231">
      <c r="K231" s="53"/>
      <c r="N231" s="53"/>
      <c r="O231" s="53"/>
      <c r="T231" s="53"/>
      <c r="V231" s="53"/>
      <c r="W231" s="55"/>
    </row>
    <row r="232">
      <c r="K232" s="53"/>
      <c r="N232" s="53"/>
      <c r="O232" s="53"/>
      <c r="T232" s="53"/>
      <c r="V232" s="53"/>
      <c r="W232" s="55"/>
    </row>
    <row r="233">
      <c r="K233" s="53"/>
      <c r="N233" s="53"/>
      <c r="O233" s="53"/>
      <c r="T233" s="53"/>
      <c r="V233" s="53"/>
      <c r="W233" s="55"/>
    </row>
    <row r="234">
      <c r="K234" s="53"/>
      <c r="N234" s="53"/>
      <c r="O234" s="53"/>
      <c r="T234" s="53"/>
      <c r="V234" s="53"/>
      <c r="W234" s="55"/>
    </row>
    <row r="235">
      <c r="K235" s="53"/>
      <c r="N235" s="53"/>
      <c r="O235" s="53"/>
      <c r="T235" s="53"/>
      <c r="V235" s="53"/>
      <c r="W235" s="55"/>
    </row>
    <row r="236">
      <c r="K236" s="53"/>
      <c r="N236" s="53"/>
      <c r="O236" s="53"/>
      <c r="T236" s="53"/>
      <c r="V236" s="53"/>
      <c r="W236" s="55"/>
    </row>
    <row r="237">
      <c r="K237" s="53"/>
      <c r="N237" s="53"/>
      <c r="O237" s="53"/>
      <c r="T237" s="53"/>
      <c r="V237" s="53"/>
      <c r="W237" s="55"/>
    </row>
    <row r="238">
      <c r="K238" s="53"/>
      <c r="N238" s="53"/>
      <c r="O238" s="53"/>
      <c r="T238" s="53"/>
      <c r="V238" s="53"/>
      <c r="W238" s="55"/>
    </row>
    <row r="239">
      <c r="K239" s="53"/>
      <c r="N239" s="53"/>
      <c r="O239" s="53"/>
      <c r="T239" s="53"/>
      <c r="V239" s="53"/>
      <c r="W239" s="55"/>
    </row>
    <row r="240">
      <c r="K240" s="53"/>
      <c r="N240" s="53"/>
      <c r="O240" s="53"/>
      <c r="T240" s="53"/>
      <c r="V240" s="53"/>
      <c r="W240" s="55"/>
    </row>
    <row r="241">
      <c r="K241" s="53"/>
      <c r="N241" s="53"/>
      <c r="O241" s="53"/>
      <c r="T241" s="53"/>
      <c r="V241" s="53"/>
      <c r="W241" s="55"/>
    </row>
    <row r="242">
      <c r="K242" s="53"/>
      <c r="N242" s="53"/>
      <c r="O242" s="53"/>
      <c r="T242" s="53"/>
      <c r="V242" s="53"/>
      <c r="W242" s="55"/>
    </row>
    <row r="243">
      <c r="K243" s="53"/>
      <c r="N243" s="53"/>
      <c r="O243" s="53"/>
      <c r="T243" s="53"/>
      <c r="V243" s="53"/>
      <c r="W243" s="55"/>
    </row>
    <row r="244">
      <c r="K244" s="53"/>
      <c r="N244" s="53"/>
      <c r="O244" s="53"/>
      <c r="T244" s="53"/>
      <c r="V244" s="53"/>
      <c r="W244" s="55"/>
    </row>
    <row r="245">
      <c r="K245" s="53"/>
      <c r="N245" s="53"/>
      <c r="O245" s="53"/>
      <c r="T245" s="53"/>
      <c r="V245" s="53"/>
      <c r="W245" s="55"/>
    </row>
    <row r="246">
      <c r="K246" s="53"/>
      <c r="N246" s="53"/>
      <c r="O246" s="53"/>
      <c r="T246" s="53"/>
      <c r="V246" s="53"/>
      <c r="W246" s="55"/>
    </row>
    <row r="247">
      <c r="K247" s="53"/>
      <c r="N247" s="53"/>
      <c r="O247" s="53"/>
      <c r="T247" s="53"/>
      <c r="V247" s="53"/>
      <c r="W247" s="55"/>
    </row>
    <row r="248">
      <c r="K248" s="53"/>
      <c r="N248" s="53"/>
      <c r="O248" s="53"/>
      <c r="T248" s="53"/>
      <c r="V248" s="53"/>
      <c r="W248" s="55"/>
    </row>
    <row r="249">
      <c r="K249" s="53"/>
      <c r="N249" s="53"/>
      <c r="O249" s="53"/>
      <c r="T249" s="53"/>
      <c r="V249" s="53"/>
      <c r="W249" s="55"/>
    </row>
    <row r="250">
      <c r="K250" s="53"/>
      <c r="N250" s="53"/>
      <c r="O250" s="53"/>
      <c r="T250" s="53"/>
      <c r="V250" s="53"/>
      <c r="W250" s="55"/>
    </row>
    <row r="251">
      <c r="K251" s="53"/>
      <c r="N251" s="53"/>
      <c r="O251" s="53"/>
      <c r="T251" s="53"/>
      <c r="V251" s="53"/>
      <c r="W251" s="55"/>
    </row>
    <row r="252">
      <c r="K252" s="53"/>
      <c r="N252" s="53"/>
      <c r="O252" s="53"/>
      <c r="T252" s="53"/>
      <c r="V252" s="53"/>
      <c r="W252" s="55"/>
    </row>
    <row r="253">
      <c r="K253" s="53"/>
      <c r="N253" s="53"/>
      <c r="O253" s="53"/>
      <c r="T253" s="53"/>
      <c r="V253" s="53"/>
      <c r="W253" s="55"/>
    </row>
    <row r="254">
      <c r="K254" s="53"/>
      <c r="N254" s="53"/>
      <c r="O254" s="53"/>
      <c r="T254" s="53"/>
      <c r="V254" s="53"/>
      <c r="W254" s="55"/>
    </row>
    <row r="255">
      <c r="K255" s="53"/>
      <c r="N255" s="53"/>
      <c r="O255" s="53"/>
      <c r="T255" s="53"/>
      <c r="V255" s="53"/>
      <c r="W255" s="55"/>
    </row>
    <row r="256">
      <c r="K256" s="53"/>
      <c r="N256" s="53"/>
      <c r="O256" s="53"/>
      <c r="T256" s="53"/>
      <c r="V256" s="53"/>
      <c r="W256" s="55"/>
    </row>
    <row r="257">
      <c r="K257" s="53"/>
      <c r="N257" s="53"/>
      <c r="O257" s="53"/>
      <c r="T257" s="53"/>
      <c r="V257" s="53"/>
      <c r="W257" s="55"/>
    </row>
    <row r="258">
      <c r="K258" s="53"/>
      <c r="N258" s="53"/>
      <c r="O258" s="53"/>
      <c r="T258" s="53"/>
      <c r="V258" s="53"/>
      <c r="W258" s="55"/>
    </row>
    <row r="259">
      <c r="K259" s="53"/>
      <c r="N259" s="53"/>
      <c r="O259" s="53"/>
      <c r="T259" s="53"/>
      <c r="V259" s="53"/>
      <c r="W259" s="55"/>
    </row>
    <row r="260">
      <c r="K260" s="53"/>
      <c r="N260" s="53"/>
      <c r="O260" s="53"/>
      <c r="T260" s="53"/>
      <c r="V260" s="53"/>
      <c r="W260" s="55"/>
    </row>
    <row r="261">
      <c r="K261" s="53"/>
      <c r="N261" s="53"/>
      <c r="O261" s="53"/>
      <c r="T261" s="53"/>
      <c r="V261" s="53"/>
      <c r="W261" s="55"/>
    </row>
    <row r="262">
      <c r="K262" s="53"/>
      <c r="N262" s="53"/>
      <c r="O262" s="53"/>
      <c r="T262" s="53"/>
      <c r="V262" s="53"/>
      <c r="W262" s="55"/>
    </row>
    <row r="263">
      <c r="K263" s="53"/>
      <c r="N263" s="53"/>
      <c r="O263" s="53"/>
      <c r="T263" s="53"/>
      <c r="V263" s="53"/>
      <c r="W263" s="55"/>
    </row>
    <row r="264">
      <c r="K264" s="53"/>
      <c r="N264" s="53"/>
      <c r="O264" s="53"/>
      <c r="T264" s="53"/>
      <c r="V264" s="53"/>
      <c r="W264" s="55"/>
    </row>
    <row r="265">
      <c r="K265" s="53"/>
      <c r="N265" s="53"/>
      <c r="O265" s="53"/>
      <c r="T265" s="53"/>
      <c r="V265" s="53"/>
      <c r="W265" s="55"/>
    </row>
    <row r="266">
      <c r="K266" s="53"/>
      <c r="N266" s="53"/>
      <c r="O266" s="53"/>
      <c r="T266" s="53"/>
      <c r="V266" s="53"/>
      <c r="W266" s="55"/>
    </row>
    <row r="267">
      <c r="K267" s="53"/>
      <c r="N267" s="53"/>
      <c r="O267" s="53"/>
      <c r="T267" s="53"/>
      <c r="V267" s="53"/>
      <c r="W267" s="55"/>
    </row>
    <row r="268">
      <c r="K268" s="53"/>
      <c r="N268" s="53"/>
      <c r="O268" s="53"/>
      <c r="T268" s="53"/>
      <c r="V268" s="53"/>
      <c r="W268" s="55"/>
    </row>
    <row r="269">
      <c r="K269" s="53"/>
      <c r="N269" s="53"/>
      <c r="O269" s="53"/>
      <c r="T269" s="53"/>
      <c r="V269" s="53"/>
      <c r="W269" s="55"/>
    </row>
    <row r="270">
      <c r="K270" s="53"/>
      <c r="N270" s="53"/>
      <c r="O270" s="53"/>
      <c r="T270" s="53"/>
      <c r="V270" s="53"/>
      <c r="W270" s="55"/>
    </row>
    <row r="271">
      <c r="K271" s="53"/>
      <c r="N271" s="53"/>
      <c r="O271" s="53"/>
      <c r="T271" s="53"/>
      <c r="V271" s="53"/>
      <c r="W271" s="55"/>
    </row>
    <row r="272">
      <c r="K272" s="53"/>
      <c r="N272" s="53"/>
      <c r="O272" s="53"/>
      <c r="T272" s="53"/>
      <c r="V272" s="53"/>
      <c r="W272" s="55"/>
    </row>
    <row r="273">
      <c r="K273" s="53"/>
      <c r="N273" s="53"/>
      <c r="O273" s="53"/>
      <c r="T273" s="53"/>
      <c r="V273" s="53"/>
      <c r="W273" s="55"/>
    </row>
    <row r="274">
      <c r="K274" s="53"/>
      <c r="N274" s="53"/>
      <c r="O274" s="53"/>
      <c r="T274" s="53"/>
      <c r="V274" s="53"/>
      <c r="W274" s="55"/>
    </row>
    <row r="275">
      <c r="K275" s="53"/>
      <c r="N275" s="53"/>
      <c r="O275" s="53"/>
      <c r="T275" s="53"/>
      <c r="V275" s="53"/>
      <c r="W275" s="55"/>
    </row>
    <row r="276">
      <c r="K276" s="53"/>
      <c r="N276" s="53"/>
      <c r="O276" s="53"/>
      <c r="T276" s="53"/>
      <c r="V276" s="53"/>
      <c r="W276" s="55"/>
    </row>
    <row r="277">
      <c r="K277" s="53"/>
      <c r="N277" s="53"/>
      <c r="O277" s="53"/>
      <c r="T277" s="53"/>
      <c r="V277" s="53"/>
      <c r="W277" s="55"/>
    </row>
    <row r="278">
      <c r="K278" s="53"/>
      <c r="N278" s="53"/>
      <c r="O278" s="53"/>
      <c r="T278" s="53"/>
      <c r="V278" s="53"/>
      <c r="W278" s="55"/>
    </row>
    <row r="279">
      <c r="K279" s="53"/>
      <c r="N279" s="53"/>
      <c r="O279" s="53"/>
      <c r="T279" s="53"/>
      <c r="V279" s="53"/>
      <c r="W279" s="55"/>
    </row>
    <row r="280">
      <c r="K280" s="53"/>
      <c r="N280" s="53"/>
      <c r="O280" s="53"/>
      <c r="T280" s="53"/>
      <c r="V280" s="53"/>
      <c r="W280" s="55"/>
    </row>
    <row r="281">
      <c r="K281" s="53"/>
      <c r="N281" s="53"/>
      <c r="O281" s="53"/>
      <c r="T281" s="53"/>
      <c r="V281" s="53"/>
      <c r="W281" s="55"/>
    </row>
    <row r="282">
      <c r="K282" s="53"/>
      <c r="N282" s="53"/>
      <c r="O282" s="53"/>
      <c r="T282" s="53"/>
      <c r="V282" s="53"/>
      <c r="W282" s="55"/>
    </row>
    <row r="283">
      <c r="K283" s="53"/>
      <c r="N283" s="53"/>
      <c r="O283" s="53"/>
      <c r="T283" s="53"/>
      <c r="V283" s="53"/>
      <c r="W283" s="55"/>
    </row>
    <row r="284">
      <c r="K284" s="53"/>
      <c r="N284" s="53"/>
      <c r="O284" s="53"/>
      <c r="T284" s="53"/>
      <c r="V284" s="53"/>
      <c r="W284" s="55"/>
    </row>
    <row r="285">
      <c r="K285" s="53"/>
      <c r="N285" s="53"/>
      <c r="O285" s="53"/>
      <c r="T285" s="53"/>
      <c r="V285" s="53"/>
      <c r="W285" s="55"/>
    </row>
    <row r="286">
      <c r="K286" s="53"/>
      <c r="N286" s="53"/>
      <c r="O286" s="53"/>
      <c r="T286" s="53"/>
      <c r="V286" s="53"/>
      <c r="W286" s="55"/>
    </row>
    <row r="287">
      <c r="K287" s="53"/>
      <c r="N287" s="53"/>
      <c r="O287" s="53"/>
      <c r="T287" s="53"/>
      <c r="V287" s="53"/>
      <c r="W287" s="55"/>
    </row>
    <row r="288">
      <c r="K288" s="53"/>
      <c r="N288" s="53"/>
      <c r="O288" s="53"/>
      <c r="T288" s="53"/>
      <c r="V288" s="53"/>
      <c r="W288" s="55"/>
    </row>
    <row r="289">
      <c r="K289" s="53"/>
      <c r="N289" s="53"/>
      <c r="O289" s="53"/>
      <c r="T289" s="53"/>
      <c r="V289" s="53"/>
      <c r="W289" s="55"/>
    </row>
    <row r="290">
      <c r="K290" s="53"/>
      <c r="N290" s="53"/>
      <c r="O290" s="53"/>
      <c r="T290" s="53"/>
      <c r="V290" s="53"/>
      <c r="W290" s="55"/>
    </row>
    <row r="291">
      <c r="K291" s="53"/>
      <c r="N291" s="53"/>
      <c r="O291" s="53"/>
      <c r="T291" s="53"/>
      <c r="V291" s="53"/>
      <c r="W291" s="55"/>
    </row>
    <row r="292">
      <c r="K292" s="53"/>
      <c r="N292" s="53"/>
      <c r="O292" s="53"/>
      <c r="T292" s="53"/>
      <c r="V292" s="53"/>
      <c r="W292" s="55"/>
    </row>
    <row r="293">
      <c r="K293" s="53"/>
      <c r="N293" s="53"/>
      <c r="O293" s="53"/>
      <c r="T293" s="53"/>
      <c r="V293" s="53"/>
      <c r="W293" s="55"/>
    </row>
    <row r="294">
      <c r="K294" s="53"/>
      <c r="N294" s="53"/>
      <c r="O294" s="53"/>
      <c r="T294" s="53"/>
      <c r="V294" s="53"/>
      <c r="W294" s="55"/>
    </row>
    <row r="295">
      <c r="K295" s="53"/>
      <c r="N295" s="53"/>
      <c r="O295" s="53"/>
      <c r="T295" s="53"/>
      <c r="V295" s="53"/>
      <c r="W295" s="55"/>
    </row>
    <row r="296">
      <c r="K296" s="53"/>
      <c r="N296" s="53"/>
      <c r="O296" s="53"/>
      <c r="T296" s="53"/>
      <c r="V296" s="53"/>
      <c r="W296" s="55"/>
    </row>
    <row r="297">
      <c r="K297" s="53"/>
      <c r="N297" s="53"/>
      <c r="O297" s="53"/>
      <c r="T297" s="53"/>
      <c r="V297" s="53"/>
      <c r="W297" s="55"/>
    </row>
    <row r="298">
      <c r="K298" s="53"/>
      <c r="N298" s="53"/>
      <c r="O298" s="53"/>
      <c r="T298" s="53"/>
      <c r="V298" s="53"/>
      <c r="W298" s="55"/>
    </row>
    <row r="299">
      <c r="K299" s="53"/>
      <c r="N299" s="53"/>
      <c r="O299" s="53"/>
      <c r="T299" s="53"/>
      <c r="V299" s="53"/>
      <c r="W299" s="55"/>
    </row>
    <row r="300">
      <c r="K300" s="53"/>
      <c r="N300" s="53"/>
      <c r="O300" s="53"/>
      <c r="T300" s="53"/>
      <c r="V300" s="53"/>
      <c r="W300" s="55"/>
    </row>
    <row r="301">
      <c r="K301" s="53"/>
      <c r="N301" s="53"/>
      <c r="O301" s="53"/>
      <c r="T301" s="53"/>
      <c r="V301" s="53"/>
      <c r="W301" s="55"/>
    </row>
    <row r="302">
      <c r="K302" s="53"/>
      <c r="N302" s="53"/>
      <c r="O302" s="53"/>
      <c r="T302" s="53"/>
      <c r="V302" s="53"/>
      <c r="W302" s="55"/>
    </row>
    <row r="303">
      <c r="K303" s="53"/>
      <c r="N303" s="53"/>
      <c r="O303" s="53"/>
      <c r="T303" s="53"/>
      <c r="V303" s="53"/>
      <c r="W303" s="55"/>
    </row>
    <row r="304">
      <c r="K304" s="53"/>
      <c r="N304" s="53"/>
      <c r="O304" s="53"/>
      <c r="T304" s="53"/>
      <c r="V304" s="53"/>
      <c r="W304" s="55"/>
    </row>
    <row r="305">
      <c r="K305" s="53"/>
      <c r="N305" s="53"/>
      <c r="O305" s="53"/>
      <c r="T305" s="53"/>
      <c r="V305" s="53"/>
      <c r="W305" s="55"/>
    </row>
    <row r="306">
      <c r="K306" s="53"/>
      <c r="N306" s="53"/>
      <c r="O306" s="53"/>
      <c r="T306" s="53"/>
      <c r="V306" s="53"/>
      <c r="W306" s="55"/>
    </row>
    <row r="307">
      <c r="K307" s="53"/>
      <c r="N307" s="53"/>
      <c r="O307" s="53"/>
      <c r="T307" s="53"/>
      <c r="V307" s="53"/>
      <c r="W307" s="55"/>
    </row>
    <row r="308">
      <c r="K308" s="53"/>
      <c r="N308" s="53"/>
      <c r="O308" s="53"/>
      <c r="T308" s="53"/>
      <c r="V308" s="53"/>
      <c r="W308" s="55"/>
    </row>
    <row r="309">
      <c r="K309" s="53"/>
      <c r="N309" s="53"/>
      <c r="O309" s="53"/>
      <c r="T309" s="53"/>
      <c r="V309" s="53"/>
      <c r="W309" s="55"/>
    </row>
    <row r="310">
      <c r="K310" s="53"/>
      <c r="N310" s="53"/>
      <c r="O310" s="53"/>
      <c r="T310" s="53"/>
      <c r="V310" s="53"/>
      <c r="W310" s="55"/>
    </row>
    <row r="311">
      <c r="K311" s="53"/>
      <c r="N311" s="53"/>
      <c r="O311" s="53"/>
      <c r="T311" s="53"/>
      <c r="V311" s="53"/>
      <c r="W311" s="55"/>
    </row>
    <row r="312">
      <c r="K312" s="53"/>
      <c r="N312" s="53"/>
      <c r="O312" s="53"/>
      <c r="T312" s="53"/>
      <c r="V312" s="53"/>
      <c r="W312" s="55"/>
    </row>
    <row r="313">
      <c r="K313" s="53"/>
      <c r="N313" s="53"/>
      <c r="O313" s="53"/>
      <c r="T313" s="53"/>
      <c r="V313" s="53"/>
      <c r="W313" s="55"/>
    </row>
    <row r="314">
      <c r="K314" s="53"/>
      <c r="N314" s="53"/>
      <c r="O314" s="53"/>
      <c r="T314" s="53"/>
      <c r="V314" s="53"/>
      <c r="W314" s="55"/>
    </row>
    <row r="315">
      <c r="K315" s="53"/>
      <c r="N315" s="53"/>
      <c r="O315" s="53"/>
      <c r="T315" s="53"/>
      <c r="V315" s="53"/>
      <c r="W315" s="55"/>
    </row>
    <row r="316">
      <c r="K316" s="53"/>
      <c r="N316" s="53"/>
      <c r="O316" s="53"/>
      <c r="T316" s="53"/>
      <c r="V316" s="53"/>
      <c r="W316" s="55"/>
    </row>
    <row r="317">
      <c r="K317" s="53"/>
      <c r="N317" s="53"/>
      <c r="O317" s="53"/>
      <c r="T317" s="53"/>
      <c r="V317" s="53"/>
      <c r="W317" s="55"/>
    </row>
    <row r="318">
      <c r="K318" s="53"/>
      <c r="N318" s="53"/>
      <c r="O318" s="53"/>
      <c r="T318" s="53"/>
      <c r="V318" s="53"/>
      <c r="W318" s="55"/>
    </row>
    <row r="319">
      <c r="K319" s="53"/>
      <c r="N319" s="53"/>
      <c r="O319" s="53"/>
      <c r="T319" s="53"/>
      <c r="V319" s="53"/>
      <c r="W319" s="55"/>
    </row>
    <row r="320">
      <c r="K320" s="53"/>
      <c r="N320" s="53"/>
      <c r="O320" s="53"/>
      <c r="T320" s="53"/>
      <c r="V320" s="53"/>
      <c r="W320" s="55"/>
    </row>
    <row r="321">
      <c r="K321" s="53"/>
      <c r="N321" s="53"/>
      <c r="O321" s="53"/>
      <c r="T321" s="53"/>
      <c r="V321" s="53"/>
      <c r="W321" s="55"/>
    </row>
    <row r="322">
      <c r="K322" s="53"/>
      <c r="N322" s="53"/>
      <c r="O322" s="53"/>
      <c r="T322" s="53"/>
      <c r="V322" s="53"/>
      <c r="W322" s="55"/>
    </row>
    <row r="323">
      <c r="K323" s="53"/>
      <c r="N323" s="53"/>
      <c r="O323" s="53"/>
      <c r="T323" s="53"/>
      <c r="V323" s="53"/>
      <c r="W323" s="55"/>
    </row>
    <row r="324">
      <c r="K324" s="53"/>
      <c r="N324" s="53"/>
      <c r="O324" s="53"/>
      <c r="T324" s="53"/>
      <c r="V324" s="53"/>
      <c r="W324" s="55"/>
    </row>
    <row r="325">
      <c r="K325" s="53"/>
      <c r="N325" s="53"/>
      <c r="O325" s="53"/>
      <c r="T325" s="53"/>
      <c r="V325" s="53"/>
      <c r="W325" s="55"/>
    </row>
    <row r="326">
      <c r="K326" s="53"/>
      <c r="N326" s="53"/>
      <c r="O326" s="53"/>
      <c r="T326" s="53"/>
      <c r="V326" s="53"/>
      <c r="W326" s="55"/>
    </row>
    <row r="327">
      <c r="K327" s="53"/>
      <c r="N327" s="53"/>
      <c r="O327" s="53"/>
      <c r="T327" s="53"/>
      <c r="V327" s="53"/>
      <c r="W327" s="55"/>
    </row>
    <row r="328">
      <c r="K328" s="53"/>
      <c r="N328" s="53"/>
      <c r="O328" s="53"/>
      <c r="T328" s="53"/>
      <c r="V328" s="53"/>
      <c r="W328" s="55"/>
    </row>
    <row r="329">
      <c r="K329" s="53"/>
      <c r="N329" s="53"/>
      <c r="O329" s="53"/>
      <c r="T329" s="53"/>
      <c r="V329" s="53"/>
      <c r="W329" s="55"/>
    </row>
    <row r="330">
      <c r="K330" s="53"/>
      <c r="N330" s="53"/>
      <c r="O330" s="53"/>
      <c r="T330" s="53"/>
      <c r="V330" s="53"/>
      <c r="W330" s="55"/>
    </row>
    <row r="331">
      <c r="K331" s="53"/>
      <c r="N331" s="53"/>
      <c r="O331" s="53"/>
      <c r="T331" s="53"/>
      <c r="V331" s="53"/>
      <c r="W331" s="55"/>
    </row>
    <row r="332">
      <c r="K332" s="53"/>
      <c r="N332" s="53"/>
      <c r="O332" s="53"/>
      <c r="T332" s="53"/>
      <c r="V332" s="53"/>
      <c r="W332" s="55"/>
    </row>
    <row r="333">
      <c r="K333" s="53"/>
      <c r="N333" s="53"/>
      <c r="O333" s="53"/>
      <c r="T333" s="53"/>
      <c r="V333" s="53"/>
      <c r="W333" s="55"/>
    </row>
    <row r="334">
      <c r="K334" s="53"/>
      <c r="N334" s="53"/>
      <c r="O334" s="53"/>
      <c r="T334" s="53"/>
      <c r="V334" s="53"/>
      <c r="W334" s="55"/>
    </row>
    <row r="335">
      <c r="K335" s="53"/>
      <c r="N335" s="53"/>
      <c r="O335" s="53"/>
      <c r="T335" s="53"/>
      <c r="V335" s="53"/>
      <c r="W335" s="55"/>
    </row>
    <row r="336">
      <c r="K336" s="53"/>
      <c r="N336" s="53"/>
      <c r="O336" s="53"/>
      <c r="T336" s="53"/>
      <c r="V336" s="53"/>
      <c r="W336" s="55"/>
    </row>
    <row r="337">
      <c r="K337" s="53"/>
      <c r="N337" s="53"/>
      <c r="O337" s="53"/>
      <c r="T337" s="53"/>
      <c r="V337" s="53"/>
      <c r="W337" s="55"/>
    </row>
    <row r="338">
      <c r="K338" s="53"/>
      <c r="N338" s="53"/>
      <c r="O338" s="53"/>
      <c r="T338" s="53"/>
      <c r="V338" s="53"/>
      <c r="W338" s="55"/>
    </row>
    <row r="339">
      <c r="K339" s="53"/>
      <c r="N339" s="53"/>
      <c r="O339" s="53"/>
      <c r="T339" s="53"/>
      <c r="V339" s="53"/>
      <c r="W339" s="55"/>
    </row>
    <row r="340">
      <c r="K340" s="53"/>
      <c r="N340" s="53"/>
      <c r="O340" s="53"/>
      <c r="T340" s="53"/>
      <c r="V340" s="53"/>
      <c r="W340" s="55"/>
    </row>
    <row r="341">
      <c r="K341" s="53"/>
      <c r="N341" s="53"/>
      <c r="O341" s="53"/>
      <c r="T341" s="53"/>
      <c r="V341" s="53"/>
      <c r="W341" s="55"/>
    </row>
    <row r="342">
      <c r="K342" s="53"/>
      <c r="N342" s="53"/>
      <c r="O342" s="53"/>
      <c r="T342" s="53"/>
      <c r="V342" s="53"/>
      <c r="W342" s="55"/>
    </row>
    <row r="343">
      <c r="K343" s="53"/>
      <c r="N343" s="53"/>
      <c r="O343" s="53"/>
      <c r="T343" s="53"/>
      <c r="V343" s="53"/>
      <c r="W343" s="55"/>
    </row>
    <row r="344">
      <c r="K344" s="53"/>
      <c r="N344" s="53"/>
      <c r="O344" s="53"/>
      <c r="T344" s="53"/>
      <c r="V344" s="53"/>
      <c r="W344" s="55"/>
    </row>
    <row r="345">
      <c r="K345" s="53"/>
      <c r="N345" s="53"/>
      <c r="O345" s="53"/>
      <c r="T345" s="53"/>
      <c r="V345" s="53"/>
      <c r="W345" s="55"/>
    </row>
    <row r="346">
      <c r="K346" s="53"/>
      <c r="N346" s="53"/>
      <c r="O346" s="53"/>
      <c r="T346" s="53"/>
      <c r="V346" s="53"/>
      <c r="W346" s="55"/>
    </row>
    <row r="347">
      <c r="K347" s="53"/>
      <c r="N347" s="53"/>
      <c r="O347" s="53"/>
      <c r="T347" s="53"/>
      <c r="V347" s="53"/>
      <c r="W347" s="55"/>
    </row>
    <row r="348">
      <c r="K348" s="53"/>
      <c r="N348" s="53"/>
      <c r="O348" s="53"/>
      <c r="T348" s="53"/>
      <c r="V348" s="53"/>
      <c r="W348" s="55"/>
    </row>
    <row r="349">
      <c r="K349" s="53"/>
      <c r="N349" s="53"/>
      <c r="O349" s="53"/>
      <c r="T349" s="53"/>
      <c r="V349" s="53"/>
      <c r="W349" s="55"/>
    </row>
    <row r="350">
      <c r="K350" s="53"/>
      <c r="N350" s="53"/>
      <c r="O350" s="53"/>
      <c r="T350" s="53"/>
      <c r="V350" s="53"/>
      <c r="W350" s="55"/>
    </row>
    <row r="351">
      <c r="K351" s="53"/>
      <c r="N351" s="53"/>
      <c r="O351" s="53"/>
      <c r="T351" s="53"/>
      <c r="V351" s="53"/>
      <c r="W351" s="55"/>
    </row>
    <row r="352">
      <c r="K352" s="53"/>
      <c r="N352" s="53"/>
      <c r="O352" s="53"/>
      <c r="T352" s="53"/>
      <c r="V352" s="53"/>
      <c r="W352" s="55"/>
    </row>
    <row r="353">
      <c r="K353" s="53"/>
      <c r="N353" s="53"/>
      <c r="O353" s="53"/>
      <c r="T353" s="53"/>
      <c r="V353" s="53"/>
      <c r="W353" s="55"/>
    </row>
    <row r="354">
      <c r="K354" s="53"/>
      <c r="N354" s="53"/>
      <c r="O354" s="53"/>
      <c r="T354" s="53"/>
      <c r="V354" s="53"/>
      <c r="W354" s="55"/>
    </row>
    <row r="355">
      <c r="K355" s="53"/>
      <c r="N355" s="53"/>
      <c r="O355" s="53"/>
      <c r="T355" s="53"/>
      <c r="V355" s="53"/>
      <c r="W355" s="55"/>
    </row>
    <row r="356">
      <c r="K356" s="53"/>
      <c r="N356" s="53"/>
      <c r="O356" s="53"/>
      <c r="T356" s="53"/>
      <c r="V356" s="53"/>
      <c r="W356" s="55"/>
    </row>
    <row r="357">
      <c r="K357" s="53"/>
      <c r="N357" s="53"/>
      <c r="O357" s="53"/>
      <c r="T357" s="53"/>
      <c r="V357" s="53"/>
      <c r="W357" s="55"/>
    </row>
    <row r="358">
      <c r="K358" s="53"/>
      <c r="N358" s="53"/>
      <c r="O358" s="53"/>
      <c r="T358" s="53"/>
      <c r="V358" s="53"/>
      <c r="W358" s="55"/>
    </row>
    <row r="359">
      <c r="K359" s="53"/>
      <c r="N359" s="53"/>
      <c r="O359" s="53"/>
      <c r="T359" s="53"/>
      <c r="V359" s="53"/>
      <c r="W359" s="55"/>
    </row>
    <row r="360">
      <c r="K360" s="53"/>
      <c r="N360" s="53"/>
      <c r="O360" s="53"/>
      <c r="T360" s="53"/>
      <c r="V360" s="53"/>
      <c r="W360" s="55"/>
    </row>
    <row r="361">
      <c r="K361" s="53"/>
      <c r="N361" s="53"/>
      <c r="O361" s="53"/>
      <c r="T361" s="53"/>
      <c r="V361" s="53"/>
      <c r="W361" s="55"/>
    </row>
    <row r="362">
      <c r="K362" s="53"/>
      <c r="N362" s="53"/>
      <c r="O362" s="53"/>
      <c r="T362" s="53"/>
      <c r="V362" s="53"/>
      <c r="W362" s="55"/>
    </row>
    <row r="363">
      <c r="K363" s="53"/>
      <c r="N363" s="53"/>
      <c r="O363" s="53"/>
      <c r="T363" s="53"/>
      <c r="V363" s="53"/>
      <c r="W363" s="55"/>
    </row>
    <row r="364">
      <c r="K364" s="53"/>
      <c r="N364" s="53"/>
      <c r="O364" s="53"/>
      <c r="T364" s="53"/>
      <c r="V364" s="53"/>
      <c r="W364" s="55"/>
    </row>
    <row r="365">
      <c r="K365" s="53"/>
      <c r="N365" s="53"/>
      <c r="O365" s="53"/>
      <c r="T365" s="53"/>
      <c r="V365" s="53"/>
      <c r="W365" s="55"/>
    </row>
    <row r="366">
      <c r="K366" s="53"/>
      <c r="N366" s="53"/>
      <c r="O366" s="53"/>
      <c r="T366" s="53"/>
      <c r="V366" s="53"/>
      <c r="W366" s="55"/>
    </row>
    <row r="367">
      <c r="K367" s="53"/>
      <c r="N367" s="53"/>
      <c r="O367" s="53"/>
      <c r="T367" s="53"/>
      <c r="V367" s="53"/>
      <c r="W367" s="55"/>
    </row>
    <row r="368">
      <c r="K368" s="53"/>
      <c r="N368" s="53"/>
      <c r="O368" s="53"/>
      <c r="T368" s="53"/>
      <c r="V368" s="53"/>
      <c r="W368" s="55"/>
    </row>
    <row r="369">
      <c r="K369" s="53"/>
      <c r="N369" s="53"/>
      <c r="O369" s="53"/>
      <c r="T369" s="53"/>
      <c r="V369" s="53"/>
      <c r="W369" s="55"/>
    </row>
    <row r="370">
      <c r="K370" s="53"/>
      <c r="N370" s="53"/>
      <c r="O370" s="53"/>
      <c r="T370" s="53"/>
      <c r="V370" s="53"/>
      <c r="W370" s="55"/>
    </row>
    <row r="371">
      <c r="K371" s="53"/>
      <c r="N371" s="53"/>
      <c r="O371" s="53"/>
      <c r="T371" s="53"/>
      <c r="V371" s="53"/>
      <c r="W371" s="55"/>
    </row>
    <row r="372">
      <c r="K372" s="53"/>
      <c r="N372" s="53"/>
      <c r="O372" s="53"/>
      <c r="T372" s="53"/>
      <c r="V372" s="53"/>
      <c r="W372" s="55"/>
    </row>
    <row r="373">
      <c r="K373" s="53"/>
      <c r="N373" s="53"/>
      <c r="O373" s="53"/>
      <c r="T373" s="53"/>
      <c r="V373" s="53"/>
      <c r="W373" s="55"/>
    </row>
    <row r="374">
      <c r="K374" s="53"/>
      <c r="N374" s="53"/>
      <c r="O374" s="53"/>
      <c r="T374" s="53"/>
      <c r="V374" s="53"/>
      <c r="W374" s="55"/>
    </row>
    <row r="375">
      <c r="K375" s="53"/>
      <c r="N375" s="53"/>
      <c r="O375" s="53"/>
      <c r="T375" s="53"/>
      <c r="V375" s="53"/>
      <c r="W375" s="55"/>
    </row>
    <row r="376">
      <c r="K376" s="53"/>
      <c r="N376" s="53"/>
      <c r="O376" s="53"/>
      <c r="T376" s="53"/>
      <c r="V376" s="53"/>
      <c r="W376" s="55"/>
    </row>
    <row r="377">
      <c r="K377" s="53"/>
      <c r="N377" s="53"/>
      <c r="O377" s="53"/>
      <c r="T377" s="53"/>
      <c r="V377" s="53"/>
      <c r="W377" s="55"/>
    </row>
    <row r="378">
      <c r="K378" s="53"/>
      <c r="N378" s="53"/>
      <c r="O378" s="53"/>
      <c r="T378" s="53"/>
      <c r="V378" s="53"/>
      <c r="W378" s="55"/>
    </row>
    <row r="379">
      <c r="K379" s="53"/>
      <c r="N379" s="53"/>
      <c r="O379" s="53"/>
      <c r="T379" s="53"/>
      <c r="V379" s="53"/>
      <c r="W379" s="55"/>
    </row>
    <row r="380">
      <c r="K380" s="53"/>
      <c r="N380" s="53"/>
      <c r="O380" s="53"/>
      <c r="T380" s="53"/>
      <c r="V380" s="53"/>
      <c r="W380" s="55"/>
    </row>
    <row r="381">
      <c r="K381" s="53"/>
      <c r="N381" s="53"/>
      <c r="O381" s="53"/>
      <c r="T381" s="53"/>
      <c r="V381" s="53"/>
      <c r="W381" s="55"/>
    </row>
    <row r="382">
      <c r="K382" s="53"/>
      <c r="N382" s="53"/>
      <c r="O382" s="53"/>
      <c r="T382" s="53"/>
      <c r="V382" s="53"/>
      <c r="W382" s="55"/>
    </row>
    <row r="383">
      <c r="K383" s="53"/>
      <c r="N383" s="53"/>
      <c r="O383" s="53"/>
      <c r="T383" s="53"/>
      <c r="V383" s="53"/>
      <c r="W383" s="55"/>
    </row>
    <row r="384">
      <c r="K384" s="53"/>
      <c r="N384" s="53"/>
      <c r="O384" s="53"/>
      <c r="T384" s="53"/>
      <c r="V384" s="53"/>
      <c r="W384" s="55"/>
    </row>
    <row r="385">
      <c r="K385" s="53"/>
      <c r="N385" s="53"/>
      <c r="O385" s="53"/>
      <c r="T385" s="53"/>
      <c r="V385" s="53"/>
      <c r="W385" s="55"/>
    </row>
    <row r="386">
      <c r="K386" s="53"/>
      <c r="N386" s="53"/>
      <c r="O386" s="53"/>
      <c r="T386" s="53"/>
      <c r="V386" s="53"/>
      <c r="W386" s="55"/>
    </row>
    <row r="387">
      <c r="K387" s="53"/>
      <c r="N387" s="53"/>
      <c r="O387" s="53"/>
      <c r="T387" s="53"/>
      <c r="V387" s="53"/>
      <c r="W387" s="55"/>
    </row>
    <row r="388">
      <c r="K388" s="53"/>
      <c r="N388" s="53"/>
      <c r="O388" s="53"/>
      <c r="T388" s="53"/>
      <c r="V388" s="53"/>
      <c r="W388" s="55"/>
    </row>
    <row r="389">
      <c r="K389" s="53"/>
      <c r="N389" s="53"/>
      <c r="O389" s="53"/>
      <c r="T389" s="53"/>
      <c r="V389" s="53"/>
      <c r="W389" s="55"/>
    </row>
    <row r="390">
      <c r="K390" s="53"/>
      <c r="N390" s="53"/>
      <c r="O390" s="53"/>
      <c r="T390" s="53"/>
      <c r="V390" s="53"/>
      <c r="W390" s="55"/>
    </row>
    <row r="391">
      <c r="K391" s="53"/>
      <c r="N391" s="53"/>
      <c r="O391" s="53"/>
      <c r="T391" s="53"/>
      <c r="V391" s="53"/>
      <c r="W391" s="55"/>
    </row>
    <row r="392">
      <c r="K392" s="53"/>
      <c r="N392" s="53"/>
      <c r="O392" s="53"/>
      <c r="T392" s="53"/>
      <c r="V392" s="53"/>
      <c r="W392" s="55"/>
    </row>
    <row r="393">
      <c r="K393" s="53"/>
      <c r="N393" s="53"/>
      <c r="O393" s="53"/>
      <c r="T393" s="53"/>
      <c r="V393" s="53"/>
      <c r="W393" s="55"/>
    </row>
    <row r="394">
      <c r="K394" s="53"/>
      <c r="N394" s="53"/>
      <c r="O394" s="53"/>
      <c r="T394" s="53"/>
      <c r="V394" s="53"/>
      <c r="W394" s="55"/>
    </row>
    <row r="395">
      <c r="K395" s="53"/>
      <c r="N395" s="53"/>
      <c r="O395" s="53"/>
      <c r="T395" s="53"/>
      <c r="V395" s="53"/>
      <c r="W395" s="55"/>
    </row>
    <row r="396">
      <c r="K396" s="53"/>
      <c r="N396" s="53"/>
      <c r="O396" s="53"/>
      <c r="T396" s="53"/>
      <c r="V396" s="53"/>
      <c r="W396" s="55"/>
    </row>
    <row r="397">
      <c r="K397" s="53"/>
      <c r="N397" s="53"/>
      <c r="O397" s="53"/>
      <c r="T397" s="53"/>
      <c r="V397" s="53"/>
      <c r="W397" s="55"/>
    </row>
    <row r="398">
      <c r="K398" s="53"/>
      <c r="N398" s="53"/>
      <c r="O398" s="53"/>
      <c r="T398" s="53"/>
      <c r="V398" s="53"/>
      <c r="W398" s="55"/>
    </row>
    <row r="399">
      <c r="K399" s="53"/>
      <c r="N399" s="53"/>
      <c r="O399" s="53"/>
      <c r="T399" s="53"/>
      <c r="V399" s="53"/>
      <c r="W399" s="55"/>
    </row>
    <row r="400">
      <c r="K400" s="53"/>
      <c r="N400" s="53"/>
      <c r="O400" s="53"/>
      <c r="T400" s="53"/>
      <c r="V400" s="53"/>
      <c r="W400" s="55"/>
    </row>
    <row r="401">
      <c r="K401" s="53"/>
      <c r="N401" s="53"/>
      <c r="O401" s="53"/>
      <c r="T401" s="53"/>
      <c r="V401" s="53"/>
      <c r="W401" s="55"/>
    </row>
    <row r="402">
      <c r="K402" s="53"/>
      <c r="N402" s="53"/>
      <c r="O402" s="53"/>
      <c r="T402" s="53"/>
      <c r="V402" s="53"/>
      <c r="W402" s="55"/>
    </row>
    <row r="403">
      <c r="K403" s="53"/>
      <c r="N403" s="53"/>
      <c r="O403" s="53"/>
      <c r="T403" s="53"/>
      <c r="V403" s="53"/>
      <c r="W403" s="55"/>
    </row>
    <row r="404">
      <c r="K404" s="53"/>
      <c r="N404" s="53"/>
      <c r="O404" s="53"/>
      <c r="T404" s="53"/>
      <c r="V404" s="53"/>
      <c r="W404" s="55"/>
    </row>
    <row r="405">
      <c r="K405" s="53"/>
      <c r="N405" s="53"/>
      <c r="O405" s="53"/>
      <c r="T405" s="53"/>
      <c r="V405" s="53"/>
      <c r="W405" s="55"/>
    </row>
    <row r="406">
      <c r="K406" s="53"/>
      <c r="N406" s="53"/>
      <c r="O406" s="53"/>
      <c r="T406" s="53"/>
      <c r="V406" s="53"/>
      <c r="W406" s="55"/>
    </row>
    <row r="407">
      <c r="K407" s="53"/>
      <c r="N407" s="53"/>
      <c r="O407" s="53"/>
      <c r="T407" s="53"/>
      <c r="V407" s="53"/>
      <c r="W407" s="55"/>
    </row>
    <row r="408">
      <c r="K408" s="53"/>
      <c r="N408" s="53"/>
      <c r="O408" s="53"/>
      <c r="T408" s="53"/>
      <c r="V408" s="53"/>
      <c r="W408" s="55"/>
    </row>
    <row r="409">
      <c r="K409" s="53"/>
      <c r="N409" s="53"/>
      <c r="O409" s="53"/>
      <c r="T409" s="53"/>
      <c r="V409" s="53"/>
      <c r="W409" s="55"/>
    </row>
    <row r="410">
      <c r="K410" s="53"/>
      <c r="N410" s="53"/>
      <c r="O410" s="53"/>
      <c r="T410" s="53"/>
      <c r="V410" s="53"/>
      <c r="W410" s="55"/>
    </row>
    <row r="411">
      <c r="K411" s="53"/>
      <c r="N411" s="53"/>
      <c r="O411" s="53"/>
      <c r="T411" s="53"/>
      <c r="V411" s="53"/>
      <c r="W411" s="55"/>
    </row>
    <row r="412">
      <c r="K412" s="53"/>
      <c r="N412" s="53"/>
      <c r="O412" s="53"/>
      <c r="T412" s="53"/>
      <c r="V412" s="53"/>
      <c r="W412" s="55"/>
    </row>
    <row r="413">
      <c r="K413" s="53"/>
      <c r="N413" s="53"/>
      <c r="O413" s="53"/>
      <c r="T413" s="53"/>
      <c r="V413" s="53"/>
      <c r="W413" s="55"/>
    </row>
    <row r="414">
      <c r="K414" s="53"/>
      <c r="N414" s="53"/>
      <c r="O414" s="53"/>
      <c r="T414" s="53"/>
      <c r="V414" s="53"/>
      <c r="W414" s="55"/>
    </row>
    <row r="415">
      <c r="K415" s="53"/>
      <c r="N415" s="53"/>
      <c r="O415" s="53"/>
      <c r="T415" s="53"/>
      <c r="V415" s="53"/>
      <c r="W415" s="55"/>
    </row>
    <row r="416">
      <c r="K416" s="53"/>
      <c r="N416" s="53"/>
      <c r="O416" s="53"/>
      <c r="T416" s="53"/>
      <c r="V416" s="53"/>
      <c r="W416" s="55"/>
    </row>
    <row r="417">
      <c r="K417" s="53"/>
      <c r="N417" s="53"/>
      <c r="O417" s="53"/>
      <c r="T417" s="53"/>
      <c r="V417" s="53"/>
      <c r="W417" s="55"/>
    </row>
    <row r="418">
      <c r="K418" s="53"/>
      <c r="N418" s="53"/>
      <c r="O418" s="53"/>
      <c r="T418" s="53"/>
      <c r="V418" s="53"/>
      <c r="W418" s="55"/>
    </row>
    <row r="419">
      <c r="K419" s="53"/>
      <c r="N419" s="53"/>
      <c r="O419" s="53"/>
      <c r="T419" s="53"/>
      <c r="V419" s="53"/>
      <c r="W419" s="55"/>
    </row>
    <row r="420">
      <c r="K420" s="53"/>
      <c r="N420" s="53"/>
      <c r="O420" s="53"/>
      <c r="T420" s="53"/>
      <c r="V420" s="53"/>
      <c r="W420" s="55"/>
    </row>
    <row r="421">
      <c r="K421" s="53"/>
      <c r="N421" s="53"/>
      <c r="O421" s="53"/>
      <c r="T421" s="53"/>
      <c r="V421" s="53"/>
      <c r="W421" s="55"/>
    </row>
    <row r="422">
      <c r="K422" s="53"/>
      <c r="N422" s="53"/>
      <c r="O422" s="53"/>
      <c r="T422" s="53"/>
      <c r="V422" s="53"/>
      <c r="W422" s="55"/>
    </row>
    <row r="423">
      <c r="K423" s="53"/>
      <c r="N423" s="53"/>
      <c r="O423" s="53"/>
      <c r="T423" s="53"/>
      <c r="V423" s="53"/>
      <c r="W423" s="55"/>
    </row>
    <row r="424">
      <c r="K424" s="53"/>
      <c r="N424" s="53"/>
      <c r="O424" s="53"/>
      <c r="T424" s="53"/>
      <c r="V424" s="53"/>
      <c r="W424" s="55"/>
    </row>
    <row r="425">
      <c r="K425" s="53"/>
      <c r="N425" s="53"/>
      <c r="O425" s="53"/>
      <c r="T425" s="53"/>
      <c r="V425" s="53"/>
      <c r="W425" s="55"/>
    </row>
    <row r="426">
      <c r="K426" s="53"/>
      <c r="N426" s="53"/>
      <c r="O426" s="53"/>
      <c r="T426" s="53"/>
      <c r="V426" s="53"/>
      <c r="W426" s="55"/>
    </row>
    <row r="427">
      <c r="K427" s="53"/>
      <c r="N427" s="53"/>
      <c r="O427" s="53"/>
      <c r="T427" s="53"/>
      <c r="V427" s="53"/>
      <c r="W427" s="55"/>
    </row>
    <row r="428">
      <c r="K428" s="53"/>
      <c r="N428" s="53"/>
      <c r="O428" s="53"/>
      <c r="T428" s="53"/>
      <c r="V428" s="53"/>
      <c r="W428" s="55"/>
    </row>
    <row r="429">
      <c r="K429" s="53"/>
      <c r="N429" s="53"/>
      <c r="O429" s="53"/>
      <c r="T429" s="53"/>
      <c r="V429" s="53"/>
      <c r="W429" s="55"/>
    </row>
    <row r="430">
      <c r="K430" s="53"/>
      <c r="N430" s="53"/>
      <c r="O430" s="53"/>
      <c r="T430" s="53"/>
      <c r="V430" s="53"/>
      <c r="W430" s="55"/>
    </row>
    <row r="431">
      <c r="K431" s="53"/>
      <c r="N431" s="53"/>
      <c r="O431" s="53"/>
      <c r="T431" s="53"/>
      <c r="V431" s="53"/>
      <c r="W431" s="55"/>
    </row>
    <row r="432">
      <c r="K432" s="53"/>
      <c r="N432" s="53"/>
      <c r="O432" s="53"/>
      <c r="T432" s="53"/>
      <c r="V432" s="53"/>
      <c r="W432" s="55"/>
    </row>
    <row r="433">
      <c r="K433" s="53"/>
      <c r="N433" s="53"/>
      <c r="O433" s="53"/>
      <c r="T433" s="53"/>
      <c r="V433" s="53"/>
      <c r="W433" s="55"/>
    </row>
    <row r="434">
      <c r="K434" s="53"/>
      <c r="N434" s="53"/>
      <c r="O434" s="53"/>
      <c r="T434" s="53"/>
      <c r="V434" s="53"/>
      <c r="W434" s="55"/>
    </row>
    <row r="435">
      <c r="K435" s="53"/>
      <c r="N435" s="53"/>
      <c r="O435" s="53"/>
      <c r="T435" s="53"/>
      <c r="V435" s="53"/>
      <c r="W435" s="55"/>
    </row>
    <row r="436">
      <c r="K436" s="53"/>
      <c r="N436" s="53"/>
      <c r="O436" s="53"/>
      <c r="T436" s="53"/>
      <c r="V436" s="53"/>
      <c r="W436" s="55"/>
    </row>
    <row r="437">
      <c r="K437" s="53"/>
      <c r="N437" s="53"/>
      <c r="O437" s="53"/>
      <c r="T437" s="53"/>
      <c r="V437" s="53"/>
      <c r="W437" s="55"/>
    </row>
    <row r="438">
      <c r="K438" s="53"/>
      <c r="N438" s="53"/>
      <c r="O438" s="53"/>
      <c r="T438" s="53"/>
      <c r="V438" s="53"/>
      <c r="W438" s="55"/>
    </row>
    <row r="439">
      <c r="K439" s="53"/>
      <c r="N439" s="53"/>
      <c r="O439" s="53"/>
      <c r="T439" s="53"/>
      <c r="V439" s="53"/>
      <c r="W439" s="55"/>
    </row>
    <row r="440">
      <c r="K440" s="53"/>
      <c r="N440" s="53"/>
      <c r="O440" s="53"/>
      <c r="T440" s="53"/>
      <c r="V440" s="53"/>
      <c r="W440" s="55"/>
    </row>
    <row r="441">
      <c r="K441" s="53"/>
      <c r="N441" s="53"/>
      <c r="O441" s="53"/>
      <c r="T441" s="53"/>
      <c r="V441" s="53"/>
      <c r="W441" s="55"/>
    </row>
    <row r="442">
      <c r="K442" s="53"/>
      <c r="N442" s="53"/>
      <c r="O442" s="53"/>
      <c r="T442" s="53"/>
      <c r="V442" s="53"/>
      <c r="W442" s="55"/>
    </row>
    <row r="443">
      <c r="K443" s="53"/>
      <c r="N443" s="53"/>
      <c r="O443" s="53"/>
      <c r="T443" s="53"/>
      <c r="V443" s="53"/>
      <c r="W443" s="55"/>
    </row>
    <row r="444">
      <c r="K444" s="53"/>
      <c r="N444" s="53"/>
      <c r="O444" s="53"/>
      <c r="T444" s="53"/>
      <c r="V444" s="53"/>
      <c r="W444" s="55"/>
    </row>
    <row r="445">
      <c r="K445" s="53"/>
      <c r="N445" s="53"/>
      <c r="O445" s="53"/>
      <c r="T445" s="53"/>
      <c r="V445" s="53"/>
      <c r="W445" s="55"/>
    </row>
    <row r="446">
      <c r="K446" s="53"/>
      <c r="N446" s="53"/>
      <c r="O446" s="53"/>
      <c r="T446" s="53"/>
      <c r="V446" s="53"/>
      <c r="W446" s="55"/>
    </row>
    <row r="447">
      <c r="K447" s="53"/>
      <c r="N447" s="53"/>
      <c r="O447" s="53"/>
      <c r="T447" s="53"/>
      <c r="V447" s="53"/>
      <c r="W447" s="55"/>
    </row>
    <row r="448">
      <c r="K448" s="53"/>
      <c r="N448" s="53"/>
      <c r="O448" s="53"/>
      <c r="T448" s="53"/>
      <c r="V448" s="53"/>
      <c r="W448" s="55"/>
    </row>
    <row r="449">
      <c r="K449" s="53"/>
      <c r="N449" s="53"/>
      <c r="O449" s="53"/>
      <c r="T449" s="53"/>
      <c r="V449" s="53"/>
      <c r="W449" s="55"/>
    </row>
    <row r="450">
      <c r="K450" s="53"/>
      <c r="N450" s="53"/>
      <c r="O450" s="53"/>
      <c r="T450" s="53"/>
      <c r="V450" s="53"/>
      <c r="W450" s="55"/>
    </row>
    <row r="451">
      <c r="K451" s="53"/>
      <c r="N451" s="53"/>
      <c r="O451" s="53"/>
      <c r="T451" s="53"/>
      <c r="V451" s="53"/>
      <c r="W451" s="55"/>
    </row>
    <row r="452">
      <c r="K452" s="53"/>
      <c r="N452" s="53"/>
      <c r="O452" s="53"/>
      <c r="T452" s="53"/>
      <c r="V452" s="53"/>
      <c r="W452" s="55"/>
    </row>
    <row r="453">
      <c r="K453" s="53"/>
      <c r="N453" s="53"/>
      <c r="O453" s="53"/>
      <c r="T453" s="53"/>
      <c r="V453" s="53"/>
      <c r="W453" s="55"/>
    </row>
    <row r="454">
      <c r="K454" s="53"/>
      <c r="N454" s="53"/>
      <c r="O454" s="53"/>
      <c r="T454" s="53"/>
      <c r="V454" s="53"/>
      <c r="W454" s="55"/>
    </row>
    <row r="455">
      <c r="K455" s="53"/>
      <c r="N455" s="53"/>
      <c r="O455" s="53"/>
      <c r="T455" s="53"/>
      <c r="V455" s="53"/>
      <c r="W455" s="55"/>
    </row>
    <row r="456">
      <c r="K456" s="53"/>
      <c r="N456" s="53"/>
      <c r="O456" s="53"/>
      <c r="T456" s="53"/>
      <c r="V456" s="53"/>
      <c r="W456" s="55"/>
    </row>
    <row r="457">
      <c r="K457" s="53"/>
      <c r="N457" s="53"/>
      <c r="O457" s="53"/>
      <c r="T457" s="53"/>
      <c r="V457" s="53"/>
      <c r="W457" s="55"/>
    </row>
    <row r="458">
      <c r="K458" s="53"/>
      <c r="N458" s="53"/>
      <c r="O458" s="53"/>
      <c r="T458" s="53"/>
      <c r="V458" s="53"/>
      <c r="W458" s="55"/>
    </row>
    <row r="459">
      <c r="K459" s="53"/>
      <c r="N459" s="53"/>
      <c r="O459" s="53"/>
      <c r="T459" s="53"/>
      <c r="V459" s="53"/>
      <c r="W459" s="55"/>
    </row>
    <row r="460">
      <c r="K460" s="53"/>
      <c r="N460" s="53"/>
      <c r="O460" s="53"/>
      <c r="T460" s="53"/>
      <c r="V460" s="53"/>
      <c r="W460" s="55"/>
    </row>
    <row r="461">
      <c r="K461" s="53"/>
      <c r="N461" s="53"/>
      <c r="O461" s="53"/>
      <c r="T461" s="53"/>
      <c r="V461" s="53"/>
      <c r="W461" s="55"/>
    </row>
    <row r="462">
      <c r="K462" s="53"/>
      <c r="N462" s="53"/>
      <c r="O462" s="53"/>
      <c r="T462" s="53"/>
      <c r="V462" s="53"/>
      <c r="W462" s="55"/>
    </row>
    <row r="463">
      <c r="K463" s="53"/>
      <c r="N463" s="53"/>
      <c r="O463" s="53"/>
      <c r="T463" s="53"/>
      <c r="V463" s="53"/>
      <c r="W463" s="55"/>
    </row>
    <row r="464">
      <c r="K464" s="53"/>
      <c r="N464" s="53"/>
      <c r="O464" s="53"/>
      <c r="T464" s="53"/>
      <c r="V464" s="53"/>
      <c r="W464" s="55"/>
    </row>
    <row r="465">
      <c r="K465" s="53"/>
      <c r="N465" s="53"/>
      <c r="O465" s="53"/>
      <c r="T465" s="53"/>
      <c r="V465" s="53"/>
      <c r="W465" s="55"/>
    </row>
    <row r="466">
      <c r="K466" s="53"/>
      <c r="N466" s="53"/>
      <c r="O466" s="53"/>
      <c r="T466" s="53"/>
      <c r="V466" s="53"/>
      <c r="W466" s="55"/>
    </row>
    <row r="467">
      <c r="K467" s="53"/>
      <c r="N467" s="53"/>
      <c r="O467" s="53"/>
      <c r="T467" s="53"/>
      <c r="V467" s="53"/>
      <c r="W467" s="55"/>
    </row>
    <row r="468">
      <c r="K468" s="53"/>
      <c r="N468" s="53"/>
      <c r="O468" s="53"/>
      <c r="T468" s="53"/>
      <c r="V468" s="53"/>
      <c r="W468" s="55"/>
    </row>
    <row r="469">
      <c r="K469" s="53"/>
      <c r="N469" s="53"/>
      <c r="O469" s="53"/>
      <c r="T469" s="53"/>
      <c r="V469" s="53"/>
      <c r="W469" s="55"/>
    </row>
    <row r="470">
      <c r="K470" s="53"/>
      <c r="N470" s="53"/>
      <c r="O470" s="53"/>
      <c r="T470" s="53"/>
      <c r="V470" s="53"/>
      <c r="W470" s="55"/>
    </row>
    <row r="471">
      <c r="K471" s="53"/>
      <c r="N471" s="53"/>
      <c r="O471" s="53"/>
      <c r="T471" s="53"/>
      <c r="V471" s="53"/>
      <c r="W471" s="55"/>
    </row>
    <row r="472">
      <c r="K472" s="53"/>
      <c r="N472" s="53"/>
      <c r="O472" s="53"/>
      <c r="T472" s="53"/>
      <c r="V472" s="53"/>
      <c r="W472" s="55"/>
    </row>
    <row r="473">
      <c r="K473" s="53"/>
      <c r="N473" s="53"/>
      <c r="O473" s="53"/>
      <c r="T473" s="53"/>
      <c r="V473" s="53"/>
      <c r="W473" s="55"/>
    </row>
    <row r="474">
      <c r="K474" s="53"/>
      <c r="N474" s="53"/>
      <c r="O474" s="53"/>
      <c r="T474" s="53"/>
      <c r="V474" s="53"/>
      <c r="W474" s="55"/>
    </row>
    <row r="475">
      <c r="K475" s="53"/>
      <c r="N475" s="53"/>
      <c r="O475" s="53"/>
      <c r="T475" s="53"/>
      <c r="V475" s="53"/>
      <c r="W475" s="55"/>
    </row>
    <row r="476">
      <c r="K476" s="53"/>
      <c r="N476" s="53"/>
      <c r="O476" s="53"/>
      <c r="T476" s="53"/>
      <c r="V476" s="53"/>
      <c r="W476" s="55"/>
    </row>
    <row r="477">
      <c r="K477" s="53"/>
      <c r="N477" s="53"/>
      <c r="O477" s="53"/>
      <c r="T477" s="53"/>
      <c r="V477" s="53"/>
      <c r="W477" s="55"/>
    </row>
    <row r="478">
      <c r="K478" s="53"/>
      <c r="N478" s="53"/>
      <c r="O478" s="53"/>
      <c r="T478" s="53"/>
      <c r="V478" s="53"/>
      <c r="W478" s="55"/>
    </row>
    <row r="479">
      <c r="K479" s="53"/>
      <c r="N479" s="53"/>
      <c r="O479" s="53"/>
      <c r="T479" s="53"/>
      <c r="V479" s="53"/>
      <c r="W479" s="55"/>
    </row>
    <row r="480">
      <c r="K480" s="53"/>
      <c r="N480" s="53"/>
      <c r="O480" s="53"/>
      <c r="T480" s="53"/>
      <c r="V480" s="53"/>
      <c r="W480" s="55"/>
    </row>
    <row r="481">
      <c r="K481" s="53"/>
      <c r="N481" s="53"/>
      <c r="O481" s="53"/>
      <c r="T481" s="53"/>
      <c r="V481" s="53"/>
      <c r="W481" s="55"/>
    </row>
    <row r="482">
      <c r="K482" s="53"/>
      <c r="N482" s="53"/>
      <c r="O482" s="53"/>
      <c r="T482" s="53"/>
      <c r="V482" s="53"/>
      <c r="W482" s="55"/>
    </row>
    <row r="483">
      <c r="K483" s="53"/>
      <c r="N483" s="53"/>
      <c r="O483" s="53"/>
      <c r="T483" s="53"/>
      <c r="V483" s="53"/>
      <c r="W483" s="55"/>
    </row>
    <row r="484">
      <c r="K484" s="53"/>
      <c r="N484" s="53"/>
      <c r="O484" s="53"/>
      <c r="T484" s="53"/>
      <c r="V484" s="53"/>
      <c r="W484" s="55"/>
    </row>
    <row r="485">
      <c r="K485" s="53"/>
      <c r="N485" s="53"/>
      <c r="O485" s="53"/>
      <c r="T485" s="53"/>
      <c r="V485" s="53"/>
      <c r="W485" s="55"/>
    </row>
    <row r="486">
      <c r="K486" s="53"/>
      <c r="N486" s="53"/>
      <c r="O486" s="53"/>
      <c r="T486" s="53"/>
      <c r="V486" s="53"/>
      <c r="W486" s="55"/>
    </row>
    <row r="487">
      <c r="K487" s="53"/>
      <c r="N487" s="53"/>
      <c r="O487" s="53"/>
      <c r="T487" s="53"/>
      <c r="V487" s="53"/>
      <c r="W487" s="55"/>
    </row>
    <row r="488">
      <c r="K488" s="53"/>
      <c r="N488" s="53"/>
      <c r="O488" s="53"/>
      <c r="T488" s="53"/>
      <c r="V488" s="53"/>
      <c r="W488" s="55"/>
    </row>
    <row r="489">
      <c r="K489" s="53"/>
      <c r="N489" s="53"/>
      <c r="O489" s="53"/>
      <c r="T489" s="53"/>
      <c r="V489" s="53"/>
      <c r="W489" s="55"/>
    </row>
    <row r="490">
      <c r="K490" s="53"/>
      <c r="N490" s="53"/>
      <c r="O490" s="53"/>
      <c r="T490" s="53"/>
      <c r="V490" s="53"/>
      <c r="W490" s="55"/>
    </row>
    <row r="491">
      <c r="K491" s="53"/>
      <c r="N491" s="53"/>
      <c r="O491" s="53"/>
      <c r="T491" s="53"/>
      <c r="V491" s="53"/>
      <c r="W491" s="55"/>
    </row>
    <row r="492">
      <c r="K492" s="53"/>
      <c r="N492" s="53"/>
      <c r="O492" s="53"/>
      <c r="T492" s="53"/>
      <c r="V492" s="53"/>
      <c r="W492" s="55"/>
    </row>
    <row r="493">
      <c r="K493" s="53"/>
      <c r="N493" s="53"/>
      <c r="O493" s="53"/>
      <c r="T493" s="53"/>
      <c r="V493" s="53"/>
      <c r="W493" s="55"/>
    </row>
    <row r="494">
      <c r="K494" s="53"/>
      <c r="N494" s="53"/>
      <c r="O494" s="53"/>
      <c r="T494" s="53"/>
      <c r="V494" s="53"/>
      <c r="W494" s="55"/>
    </row>
    <row r="495">
      <c r="K495" s="53"/>
      <c r="N495" s="53"/>
      <c r="O495" s="53"/>
      <c r="T495" s="53"/>
      <c r="V495" s="53"/>
      <c r="W495" s="55"/>
    </row>
    <row r="496">
      <c r="K496" s="53"/>
      <c r="N496" s="53"/>
      <c r="O496" s="53"/>
      <c r="T496" s="53"/>
      <c r="V496" s="53"/>
      <c r="W496" s="55"/>
    </row>
    <row r="497">
      <c r="K497" s="53"/>
      <c r="N497" s="53"/>
      <c r="O497" s="53"/>
      <c r="T497" s="53"/>
      <c r="V497" s="53"/>
      <c r="W497" s="55"/>
    </row>
    <row r="498">
      <c r="K498" s="53"/>
      <c r="N498" s="53"/>
      <c r="O498" s="53"/>
      <c r="T498" s="53"/>
      <c r="V498" s="53"/>
      <c r="W498" s="55"/>
    </row>
    <row r="499">
      <c r="K499" s="53"/>
      <c r="N499" s="53"/>
      <c r="O499" s="53"/>
      <c r="T499" s="53"/>
      <c r="V499" s="53"/>
      <c r="W499" s="55"/>
    </row>
    <row r="500">
      <c r="K500" s="53"/>
      <c r="N500" s="53"/>
      <c r="O500" s="53"/>
      <c r="T500" s="53"/>
      <c r="V500" s="53"/>
      <c r="W500" s="55"/>
    </row>
    <row r="501">
      <c r="K501" s="53"/>
      <c r="N501" s="53"/>
      <c r="O501" s="53"/>
      <c r="T501" s="53"/>
      <c r="V501" s="53"/>
      <c r="W501" s="55"/>
    </row>
    <row r="502">
      <c r="K502" s="53"/>
      <c r="N502" s="53"/>
      <c r="O502" s="53"/>
      <c r="T502" s="53"/>
      <c r="V502" s="53"/>
      <c r="W502" s="55"/>
    </row>
    <row r="503">
      <c r="K503" s="53"/>
      <c r="N503" s="53"/>
      <c r="O503" s="53"/>
      <c r="T503" s="53"/>
      <c r="V503" s="53"/>
      <c r="W503" s="55"/>
    </row>
    <row r="504">
      <c r="K504" s="53"/>
      <c r="N504" s="53"/>
      <c r="O504" s="53"/>
      <c r="T504" s="53"/>
      <c r="V504" s="53"/>
      <c r="W504" s="55"/>
    </row>
    <row r="505">
      <c r="K505" s="53"/>
      <c r="N505" s="53"/>
      <c r="O505" s="53"/>
      <c r="T505" s="53"/>
      <c r="V505" s="53"/>
      <c r="W505" s="55"/>
    </row>
    <row r="506">
      <c r="K506" s="53"/>
      <c r="N506" s="53"/>
      <c r="O506" s="53"/>
      <c r="T506" s="53"/>
      <c r="V506" s="53"/>
      <c r="W506" s="55"/>
    </row>
    <row r="507">
      <c r="K507" s="53"/>
      <c r="N507" s="53"/>
      <c r="O507" s="53"/>
      <c r="T507" s="53"/>
      <c r="V507" s="53"/>
      <c r="W507" s="55"/>
    </row>
    <row r="508">
      <c r="K508" s="53"/>
      <c r="N508" s="53"/>
      <c r="O508" s="53"/>
      <c r="T508" s="53"/>
      <c r="V508" s="53"/>
      <c r="W508" s="55"/>
    </row>
    <row r="509">
      <c r="K509" s="53"/>
      <c r="N509" s="53"/>
      <c r="O509" s="53"/>
      <c r="T509" s="53"/>
      <c r="V509" s="53"/>
      <c r="W509" s="55"/>
    </row>
    <row r="510">
      <c r="K510" s="53"/>
      <c r="N510" s="53"/>
      <c r="O510" s="53"/>
      <c r="T510" s="53"/>
      <c r="V510" s="53"/>
      <c r="W510" s="55"/>
    </row>
    <row r="511">
      <c r="K511" s="53"/>
      <c r="N511" s="53"/>
      <c r="O511" s="53"/>
      <c r="T511" s="53"/>
      <c r="V511" s="53"/>
      <c r="W511" s="55"/>
    </row>
    <row r="512">
      <c r="K512" s="53"/>
      <c r="N512" s="53"/>
      <c r="O512" s="53"/>
      <c r="T512" s="53"/>
      <c r="V512" s="53"/>
      <c r="W512" s="55"/>
    </row>
    <row r="513">
      <c r="K513" s="53"/>
      <c r="N513" s="53"/>
      <c r="O513" s="53"/>
      <c r="T513" s="53"/>
      <c r="V513" s="53"/>
      <c r="W513" s="55"/>
    </row>
    <row r="514">
      <c r="K514" s="53"/>
      <c r="N514" s="53"/>
      <c r="O514" s="53"/>
      <c r="T514" s="53"/>
      <c r="V514" s="53"/>
      <c r="W514" s="55"/>
    </row>
    <row r="515">
      <c r="K515" s="53"/>
      <c r="N515" s="53"/>
      <c r="O515" s="53"/>
      <c r="T515" s="53"/>
      <c r="V515" s="53"/>
      <c r="W515" s="55"/>
    </row>
    <row r="516">
      <c r="K516" s="53"/>
      <c r="N516" s="53"/>
      <c r="O516" s="53"/>
      <c r="T516" s="53"/>
      <c r="V516" s="53"/>
      <c r="W516" s="55"/>
    </row>
    <row r="517">
      <c r="K517" s="53"/>
      <c r="N517" s="53"/>
      <c r="O517" s="53"/>
      <c r="T517" s="53"/>
      <c r="V517" s="53"/>
      <c r="W517" s="55"/>
    </row>
    <row r="518">
      <c r="K518" s="53"/>
      <c r="N518" s="53"/>
      <c r="O518" s="53"/>
      <c r="T518" s="53"/>
      <c r="V518" s="53"/>
      <c r="W518" s="55"/>
    </row>
    <row r="519">
      <c r="K519" s="53"/>
      <c r="N519" s="53"/>
      <c r="O519" s="53"/>
      <c r="T519" s="53"/>
      <c r="V519" s="53"/>
      <c r="W519" s="55"/>
    </row>
    <row r="520">
      <c r="K520" s="53"/>
      <c r="N520" s="53"/>
      <c r="O520" s="53"/>
      <c r="T520" s="53"/>
      <c r="V520" s="53"/>
      <c r="W520" s="55"/>
    </row>
    <row r="521">
      <c r="K521" s="53"/>
      <c r="N521" s="53"/>
      <c r="O521" s="53"/>
      <c r="T521" s="53"/>
      <c r="V521" s="53"/>
      <c r="W521" s="55"/>
    </row>
    <row r="522">
      <c r="K522" s="53"/>
      <c r="N522" s="53"/>
      <c r="O522" s="53"/>
      <c r="T522" s="53"/>
      <c r="V522" s="53"/>
      <c r="W522" s="55"/>
    </row>
    <row r="523">
      <c r="K523" s="53"/>
      <c r="N523" s="53"/>
      <c r="O523" s="53"/>
      <c r="T523" s="53"/>
      <c r="V523" s="53"/>
      <c r="W523" s="55"/>
    </row>
    <row r="524">
      <c r="K524" s="53"/>
      <c r="N524" s="53"/>
      <c r="O524" s="53"/>
      <c r="T524" s="53"/>
      <c r="V524" s="53"/>
      <c r="W524" s="55"/>
    </row>
    <row r="525">
      <c r="K525" s="53"/>
      <c r="N525" s="53"/>
      <c r="O525" s="53"/>
      <c r="T525" s="53"/>
      <c r="V525" s="53"/>
      <c r="W525" s="55"/>
    </row>
    <row r="526">
      <c r="K526" s="53"/>
      <c r="N526" s="53"/>
      <c r="O526" s="53"/>
      <c r="T526" s="53"/>
      <c r="V526" s="53"/>
      <c r="W526" s="55"/>
    </row>
    <row r="527">
      <c r="K527" s="53"/>
      <c r="N527" s="53"/>
      <c r="O527" s="53"/>
      <c r="T527" s="53"/>
      <c r="V527" s="53"/>
      <c r="W527" s="55"/>
    </row>
    <row r="528">
      <c r="K528" s="53"/>
      <c r="N528" s="53"/>
      <c r="O528" s="53"/>
      <c r="T528" s="53"/>
      <c r="V528" s="53"/>
      <c r="W528" s="55"/>
    </row>
    <row r="529">
      <c r="K529" s="53"/>
      <c r="N529" s="53"/>
      <c r="O529" s="53"/>
      <c r="T529" s="53"/>
      <c r="V529" s="53"/>
      <c r="W529" s="55"/>
    </row>
    <row r="530">
      <c r="K530" s="53"/>
      <c r="N530" s="53"/>
      <c r="O530" s="53"/>
      <c r="T530" s="53"/>
      <c r="V530" s="53"/>
      <c r="W530" s="55"/>
    </row>
    <row r="531">
      <c r="K531" s="53"/>
      <c r="N531" s="53"/>
      <c r="O531" s="53"/>
      <c r="T531" s="53"/>
      <c r="V531" s="53"/>
      <c r="W531" s="55"/>
    </row>
    <row r="532">
      <c r="K532" s="53"/>
      <c r="N532" s="53"/>
      <c r="O532" s="53"/>
      <c r="T532" s="53"/>
      <c r="V532" s="53"/>
      <c r="W532" s="55"/>
    </row>
    <row r="533">
      <c r="K533" s="53"/>
      <c r="N533" s="53"/>
      <c r="O533" s="53"/>
      <c r="T533" s="53"/>
      <c r="V533" s="53"/>
      <c r="W533" s="55"/>
    </row>
    <row r="534">
      <c r="K534" s="53"/>
      <c r="N534" s="53"/>
      <c r="O534" s="53"/>
      <c r="T534" s="53"/>
      <c r="V534" s="53"/>
      <c r="W534" s="55"/>
    </row>
    <row r="535">
      <c r="K535" s="53"/>
      <c r="N535" s="53"/>
      <c r="O535" s="53"/>
      <c r="T535" s="53"/>
      <c r="V535" s="53"/>
      <c r="W535" s="55"/>
    </row>
    <row r="536">
      <c r="K536" s="53"/>
      <c r="N536" s="53"/>
      <c r="O536" s="53"/>
      <c r="T536" s="53"/>
      <c r="V536" s="53"/>
      <c r="W536" s="55"/>
    </row>
    <row r="537">
      <c r="K537" s="53"/>
      <c r="N537" s="53"/>
      <c r="O537" s="53"/>
      <c r="T537" s="53"/>
      <c r="V537" s="53"/>
      <c r="W537" s="55"/>
    </row>
    <row r="538">
      <c r="K538" s="53"/>
      <c r="N538" s="53"/>
      <c r="O538" s="53"/>
      <c r="T538" s="53"/>
      <c r="V538" s="53"/>
      <c r="W538" s="55"/>
    </row>
    <row r="539">
      <c r="K539" s="53"/>
      <c r="N539" s="53"/>
      <c r="O539" s="53"/>
      <c r="T539" s="53"/>
      <c r="V539" s="53"/>
      <c r="W539" s="55"/>
    </row>
    <row r="540">
      <c r="K540" s="53"/>
      <c r="N540" s="53"/>
      <c r="O540" s="53"/>
      <c r="T540" s="53"/>
      <c r="V540" s="53"/>
      <c r="W540" s="55"/>
    </row>
    <row r="541">
      <c r="K541" s="53"/>
      <c r="N541" s="53"/>
      <c r="O541" s="53"/>
      <c r="T541" s="53"/>
      <c r="V541" s="53"/>
      <c r="W541" s="55"/>
    </row>
    <row r="542">
      <c r="K542" s="53"/>
      <c r="N542" s="53"/>
      <c r="O542" s="53"/>
      <c r="T542" s="53"/>
      <c r="V542" s="53"/>
      <c r="W542" s="55"/>
    </row>
    <row r="543">
      <c r="K543" s="53"/>
      <c r="N543" s="53"/>
      <c r="O543" s="53"/>
      <c r="T543" s="53"/>
      <c r="V543" s="53"/>
      <c r="W543" s="55"/>
    </row>
    <row r="544">
      <c r="K544" s="53"/>
      <c r="N544" s="53"/>
      <c r="O544" s="53"/>
      <c r="T544" s="53"/>
      <c r="V544" s="53"/>
      <c r="W544" s="55"/>
    </row>
    <row r="545">
      <c r="K545" s="53"/>
      <c r="N545" s="53"/>
      <c r="O545" s="53"/>
      <c r="T545" s="53"/>
      <c r="V545" s="53"/>
      <c r="W545" s="55"/>
    </row>
    <row r="546">
      <c r="K546" s="53"/>
      <c r="N546" s="53"/>
      <c r="O546" s="53"/>
      <c r="T546" s="53"/>
      <c r="V546" s="53"/>
      <c r="W546" s="55"/>
    </row>
    <row r="547">
      <c r="K547" s="53"/>
      <c r="N547" s="53"/>
      <c r="O547" s="53"/>
      <c r="T547" s="53"/>
      <c r="V547" s="53"/>
      <c r="W547" s="55"/>
    </row>
    <row r="548">
      <c r="K548" s="53"/>
      <c r="N548" s="53"/>
      <c r="O548" s="53"/>
      <c r="T548" s="53"/>
      <c r="V548" s="53"/>
      <c r="W548" s="55"/>
    </row>
    <row r="549">
      <c r="K549" s="53"/>
      <c r="N549" s="53"/>
      <c r="O549" s="53"/>
      <c r="T549" s="53"/>
      <c r="V549" s="53"/>
      <c r="W549" s="55"/>
    </row>
    <row r="550">
      <c r="K550" s="53"/>
      <c r="N550" s="53"/>
      <c r="O550" s="53"/>
      <c r="T550" s="53"/>
      <c r="V550" s="53"/>
      <c r="W550" s="55"/>
    </row>
    <row r="551">
      <c r="K551" s="53"/>
      <c r="N551" s="53"/>
      <c r="O551" s="53"/>
      <c r="T551" s="53"/>
      <c r="V551" s="53"/>
      <c r="W551" s="55"/>
    </row>
    <row r="552">
      <c r="K552" s="53"/>
      <c r="N552" s="53"/>
      <c r="O552" s="53"/>
      <c r="T552" s="53"/>
      <c r="V552" s="53"/>
      <c r="W552" s="55"/>
    </row>
    <row r="553">
      <c r="K553" s="53"/>
      <c r="N553" s="53"/>
      <c r="O553" s="53"/>
      <c r="T553" s="53"/>
      <c r="V553" s="53"/>
      <c r="W553" s="55"/>
    </row>
    <row r="554">
      <c r="K554" s="53"/>
      <c r="N554" s="53"/>
      <c r="O554" s="53"/>
      <c r="T554" s="53"/>
      <c r="V554" s="53"/>
      <c r="W554" s="55"/>
    </row>
    <row r="555">
      <c r="K555" s="53"/>
      <c r="N555" s="53"/>
      <c r="O555" s="53"/>
      <c r="T555" s="53"/>
      <c r="V555" s="53"/>
      <c r="W555" s="55"/>
    </row>
    <row r="556">
      <c r="K556" s="53"/>
      <c r="N556" s="53"/>
      <c r="O556" s="53"/>
      <c r="T556" s="53"/>
      <c r="V556" s="53"/>
      <c r="W556" s="55"/>
    </row>
    <row r="557">
      <c r="K557" s="53"/>
      <c r="N557" s="53"/>
      <c r="O557" s="53"/>
      <c r="T557" s="53"/>
      <c r="V557" s="53"/>
      <c r="W557" s="55"/>
    </row>
    <row r="558">
      <c r="K558" s="53"/>
      <c r="N558" s="53"/>
      <c r="O558" s="53"/>
      <c r="T558" s="53"/>
      <c r="V558" s="53"/>
      <c r="W558" s="55"/>
    </row>
    <row r="559">
      <c r="K559" s="53"/>
      <c r="N559" s="53"/>
      <c r="O559" s="53"/>
      <c r="T559" s="53"/>
      <c r="V559" s="53"/>
      <c r="W559" s="55"/>
    </row>
    <row r="560">
      <c r="K560" s="53"/>
      <c r="N560" s="53"/>
      <c r="O560" s="53"/>
      <c r="T560" s="53"/>
      <c r="V560" s="53"/>
      <c r="W560" s="55"/>
    </row>
    <row r="561">
      <c r="K561" s="53"/>
      <c r="N561" s="53"/>
      <c r="O561" s="53"/>
      <c r="T561" s="53"/>
      <c r="V561" s="53"/>
      <c r="W561" s="55"/>
    </row>
    <row r="562">
      <c r="K562" s="53"/>
      <c r="N562" s="53"/>
      <c r="O562" s="53"/>
      <c r="T562" s="53"/>
      <c r="V562" s="53"/>
      <c r="W562" s="55"/>
    </row>
    <row r="563">
      <c r="K563" s="53"/>
      <c r="N563" s="53"/>
      <c r="O563" s="53"/>
      <c r="T563" s="53"/>
      <c r="V563" s="53"/>
      <c r="W563" s="55"/>
    </row>
    <row r="564">
      <c r="K564" s="53"/>
      <c r="N564" s="53"/>
      <c r="O564" s="53"/>
      <c r="T564" s="53"/>
      <c r="V564" s="53"/>
      <c r="W564" s="55"/>
    </row>
    <row r="565">
      <c r="K565" s="53"/>
      <c r="N565" s="53"/>
      <c r="O565" s="53"/>
      <c r="T565" s="53"/>
      <c r="V565" s="53"/>
      <c r="W565" s="55"/>
    </row>
    <row r="566">
      <c r="K566" s="53"/>
      <c r="N566" s="53"/>
      <c r="O566" s="53"/>
      <c r="T566" s="53"/>
      <c r="V566" s="53"/>
      <c r="W566" s="55"/>
    </row>
    <row r="567">
      <c r="K567" s="53"/>
      <c r="N567" s="53"/>
      <c r="O567" s="53"/>
      <c r="T567" s="53"/>
      <c r="V567" s="53"/>
      <c r="W567" s="55"/>
    </row>
    <row r="568">
      <c r="K568" s="53"/>
      <c r="N568" s="53"/>
      <c r="O568" s="53"/>
      <c r="T568" s="53"/>
      <c r="V568" s="53"/>
      <c r="W568" s="55"/>
    </row>
    <row r="569">
      <c r="K569" s="53"/>
      <c r="N569" s="53"/>
      <c r="O569" s="53"/>
      <c r="T569" s="53"/>
      <c r="V569" s="53"/>
      <c r="W569" s="55"/>
    </row>
    <row r="570">
      <c r="K570" s="53"/>
      <c r="N570" s="53"/>
      <c r="O570" s="53"/>
      <c r="T570" s="53"/>
      <c r="V570" s="53"/>
      <c r="W570" s="55"/>
    </row>
    <row r="571">
      <c r="K571" s="53"/>
      <c r="N571" s="53"/>
      <c r="O571" s="53"/>
      <c r="T571" s="53"/>
      <c r="V571" s="53"/>
      <c r="W571" s="55"/>
    </row>
    <row r="572">
      <c r="K572" s="53"/>
      <c r="N572" s="53"/>
      <c r="O572" s="53"/>
      <c r="T572" s="53"/>
      <c r="V572" s="53"/>
      <c r="W572" s="55"/>
    </row>
    <row r="573">
      <c r="K573" s="53"/>
      <c r="N573" s="53"/>
      <c r="O573" s="53"/>
      <c r="T573" s="53"/>
      <c r="V573" s="53"/>
      <c r="W573" s="55"/>
    </row>
    <row r="574">
      <c r="K574" s="53"/>
      <c r="N574" s="53"/>
      <c r="O574" s="53"/>
      <c r="T574" s="53"/>
      <c r="V574" s="53"/>
      <c r="W574" s="55"/>
    </row>
    <row r="575">
      <c r="K575" s="53"/>
      <c r="N575" s="53"/>
      <c r="O575" s="53"/>
      <c r="T575" s="53"/>
      <c r="V575" s="53"/>
      <c r="W575" s="55"/>
    </row>
    <row r="576">
      <c r="K576" s="53"/>
      <c r="N576" s="53"/>
      <c r="O576" s="53"/>
      <c r="T576" s="53"/>
      <c r="V576" s="53"/>
      <c r="W576" s="55"/>
    </row>
    <row r="577">
      <c r="K577" s="53"/>
      <c r="N577" s="53"/>
      <c r="O577" s="53"/>
      <c r="T577" s="53"/>
      <c r="V577" s="53"/>
      <c r="W577" s="55"/>
    </row>
    <row r="578">
      <c r="K578" s="53"/>
      <c r="N578" s="53"/>
      <c r="O578" s="53"/>
      <c r="T578" s="53"/>
      <c r="V578" s="53"/>
      <c r="W578" s="55"/>
    </row>
    <row r="579">
      <c r="K579" s="53"/>
      <c r="N579" s="53"/>
      <c r="O579" s="53"/>
      <c r="T579" s="53"/>
      <c r="V579" s="53"/>
      <c r="W579" s="55"/>
    </row>
    <row r="580">
      <c r="K580" s="53"/>
      <c r="N580" s="53"/>
      <c r="O580" s="53"/>
      <c r="T580" s="53"/>
      <c r="V580" s="53"/>
      <c r="W580" s="55"/>
    </row>
    <row r="581">
      <c r="K581" s="53"/>
      <c r="N581" s="53"/>
      <c r="O581" s="53"/>
      <c r="T581" s="53"/>
      <c r="V581" s="53"/>
      <c r="W581" s="55"/>
    </row>
    <row r="582">
      <c r="K582" s="53"/>
      <c r="N582" s="53"/>
      <c r="O582" s="53"/>
      <c r="T582" s="53"/>
      <c r="V582" s="53"/>
      <c r="W582" s="55"/>
    </row>
    <row r="583">
      <c r="K583" s="53"/>
      <c r="N583" s="53"/>
      <c r="O583" s="53"/>
      <c r="T583" s="53"/>
      <c r="V583" s="53"/>
      <c r="W583" s="55"/>
    </row>
    <row r="584">
      <c r="K584" s="53"/>
      <c r="N584" s="53"/>
      <c r="O584" s="53"/>
      <c r="T584" s="53"/>
      <c r="V584" s="53"/>
      <c r="W584" s="55"/>
    </row>
    <row r="585">
      <c r="K585" s="53"/>
      <c r="N585" s="53"/>
      <c r="O585" s="53"/>
      <c r="T585" s="53"/>
      <c r="V585" s="53"/>
      <c r="W585" s="55"/>
    </row>
    <row r="586">
      <c r="K586" s="53"/>
      <c r="N586" s="53"/>
      <c r="O586" s="53"/>
      <c r="T586" s="53"/>
      <c r="V586" s="53"/>
      <c r="W586" s="55"/>
    </row>
    <row r="587">
      <c r="K587" s="53"/>
      <c r="N587" s="53"/>
      <c r="O587" s="53"/>
      <c r="T587" s="53"/>
      <c r="V587" s="53"/>
      <c r="W587" s="55"/>
    </row>
    <row r="588">
      <c r="K588" s="53"/>
      <c r="N588" s="53"/>
      <c r="O588" s="53"/>
      <c r="T588" s="53"/>
      <c r="V588" s="53"/>
      <c r="W588" s="55"/>
    </row>
    <row r="589">
      <c r="K589" s="53"/>
      <c r="N589" s="53"/>
      <c r="O589" s="53"/>
      <c r="T589" s="53"/>
      <c r="V589" s="53"/>
      <c r="W589" s="55"/>
    </row>
    <row r="590">
      <c r="K590" s="53"/>
      <c r="N590" s="53"/>
      <c r="O590" s="53"/>
      <c r="T590" s="53"/>
      <c r="V590" s="53"/>
      <c r="W590" s="55"/>
    </row>
    <row r="591">
      <c r="K591" s="53"/>
      <c r="N591" s="53"/>
      <c r="O591" s="53"/>
      <c r="T591" s="53"/>
      <c r="V591" s="53"/>
      <c r="W591" s="55"/>
    </row>
    <row r="592">
      <c r="K592" s="53"/>
      <c r="N592" s="53"/>
      <c r="O592" s="53"/>
      <c r="T592" s="53"/>
      <c r="V592" s="53"/>
      <c r="W592" s="55"/>
    </row>
    <row r="593">
      <c r="K593" s="53"/>
      <c r="N593" s="53"/>
      <c r="O593" s="53"/>
      <c r="T593" s="53"/>
      <c r="V593" s="53"/>
      <c r="W593" s="55"/>
    </row>
    <row r="594">
      <c r="K594" s="53"/>
      <c r="N594" s="53"/>
      <c r="O594" s="53"/>
      <c r="T594" s="53"/>
      <c r="V594" s="53"/>
      <c r="W594" s="55"/>
    </row>
    <row r="595">
      <c r="K595" s="53"/>
      <c r="N595" s="53"/>
      <c r="O595" s="53"/>
      <c r="T595" s="53"/>
      <c r="V595" s="53"/>
      <c r="W595" s="55"/>
    </row>
    <row r="596">
      <c r="K596" s="53"/>
      <c r="N596" s="53"/>
      <c r="O596" s="53"/>
      <c r="T596" s="53"/>
      <c r="V596" s="53"/>
      <c r="W596" s="55"/>
    </row>
    <row r="597">
      <c r="K597" s="53"/>
      <c r="N597" s="53"/>
      <c r="O597" s="53"/>
      <c r="T597" s="53"/>
      <c r="V597" s="53"/>
      <c r="W597" s="55"/>
    </row>
    <row r="598">
      <c r="K598" s="53"/>
      <c r="N598" s="53"/>
      <c r="O598" s="53"/>
      <c r="T598" s="53"/>
      <c r="V598" s="53"/>
      <c r="W598" s="55"/>
    </row>
    <row r="599">
      <c r="K599" s="53"/>
      <c r="N599" s="53"/>
      <c r="O599" s="53"/>
      <c r="T599" s="53"/>
      <c r="V599" s="53"/>
      <c r="W599" s="55"/>
    </row>
    <row r="600">
      <c r="K600" s="53"/>
      <c r="N600" s="53"/>
      <c r="O600" s="53"/>
      <c r="T600" s="53"/>
      <c r="V600" s="53"/>
      <c r="W600" s="55"/>
    </row>
    <row r="601">
      <c r="K601" s="53"/>
      <c r="N601" s="53"/>
      <c r="O601" s="53"/>
      <c r="T601" s="53"/>
      <c r="V601" s="53"/>
      <c r="W601" s="55"/>
    </row>
    <row r="602">
      <c r="K602" s="53"/>
      <c r="N602" s="53"/>
      <c r="O602" s="53"/>
      <c r="T602" s="53"/>
      <c r="V602" s="53"/>
      <c r="W602" s="55"/>
    </row>
    <row r="603">
      <c r="K603" s="53"/>
      <c r="N603" s="53"/>
      <c r="O603" s="53"/>
      <c r="T603" s="53"/>
      <c r="V603" s="53"/>
      <c r="W603" s="55"/>
    </row>
    <row r="604">
      <c r="K604" s="53"/>
      <c r="N604" s="53"/>
      <c r="O604" s="53"/>
      <c r="T604" s="53"/>
      <c r="V604" s="53"/>
      <c r="W604" s="55"/>
    </row>
    <row r="605">
      <c r="K605" s="53"/>
      <c r="N605" s="53"/>
      <c r="O605" s="53"/>
      <c r="T605" s="53"/>
      <c r="V605" s="53"/>
      <c r="W605" s="55"/>
    </row>
    <row r="606">
      <c r="K606" s="53"/>
      <c r="N606" s="53"/>
      <c r="O606" s="53"/>
      <c r="T606" s="53"/>
      <c r="V606" s="53"/>
      <c r="W606" s="55"/>
    </row>
    <row r="607">
      <c r="K607" s="53"/>
      <c r="N607" s="53"/>
      <c r="O607" s="53"/>
      <c r="T607" s="53"/>
      <c r="V607" s="53"/>
      <c r="W607" s="55"/>
    </row>
    <row r="608">
      <c r="K608" s="53"/>
      <c r="N608" s="53"/>
      <c r="O608" s="53"/>
      <c r="T608" s="53"/>
      <c r="V608" s="53"/>
      <c r="W608" s="55"/>
    </row>
    <row r="609">
      <c r="K609" s="53"/>
      <c r="N609" s="53"/>
      <c r="O609" s="53"/>
      <c r="T609" s="53"/>
      <c r="V609" s="53"/>
      <c r="W609" s="55"/>
    </row>
    <row r="610">
      <c r="K610" s="53"/>
      <c r="N610" s="53"/>
      <c r="O610" s="53"/>
      <c r="T610" s="53"/>
      <c r="V610" s="53"/>
      <c r="W610" s="55"/>
    </row>
    <row r="611">
      <c r="K611" s="53"/>
      <c r="N611" s="53"/>
      <c r="O611" s="53"/>
      <c r="T611" s="53"/>
      <c r="V611" s="53"/>
      <c r="W611" s="55"/>
    </row>
    <row r="612">
      <c r="K612" s="53"/>
      <c r="N612" s="53"/>
      <c r="O612" s="53"/>
      <c r="T612" s="53"/>
      <c r="V612" s="53"/>
      <c r="W612" s="55"/>
    </row>
    <row r="613">
      <c r="K613" s="53"/>
      <c r="N613" s="53"/>
      <c r="O613" s="53"/>
      <c r="T613" s="53"/>
      <c r="V613" s="53"/>
      <c r="W613" s="55"/>
    </row>
    <row r="614">
      <c r="K614" s="53"/>
      <c r="N614" s="53"/>
      <c r="O614" s="53"/>
      <c r="T614" s="53"/>
      <c r="V614" s="53"/>
      <c r="W614" s="55"/>
    </row>
    <row r="615">
      <c r="K615" s="53"/>
      <c r="N615" s="53"/>
      <c r="O615" s="53"/>
      <c r="T615" s="53"/>
      <c r="V615" s="53"/>
      <c r="W615" s="55"/>
    </row>
    <row r="616">
      <c r="K616" s="53"/>
      <c r="N616" s="53"/>
      <c r="O616" s="53"/>
      <c r="T616" s="53"/>
      <c r="V616" s="53"/>
      <c r="W616" s="55"/>
    </row>
    <row r="617">
      <c r="K617" s="53"/>
      <c r="N617" s="53"/>
      <c r="O617" s="53"/>
      <c r="T617" s="53"/>
      <c r="V617" s="53"/>
      <c r="W617" s="55"/>
    </row>
    <row r="618">
      <c r="K618" s="53"/>
      <c r="N618" s="53"/>
      <c r="O618" s="53"/>
      <c r="T618" s="53"/>
      <c r="V618" s="53"/>
      <c r="W618" s="55"/>
    </row>
    <row r="619">
      <c r="K619" s="53"/>
      <c r="N619" s="53"/>
      <c r="O619" s="53"/>
      <c r="T619" s="53"/>
      <c r="V619" s="53"/>
      <c r="W619" s="55"/>
    </row>
    <row r="620">
      <c r="K620" s="53"/>
      <c r="N620" s="53"/>
      <c r="O620" s="53"/>
      <c r="T620" s="53"/>
      <c r="V620" s="53"/>
      <c r="W620" s="55"/>
    </row>
    <row r="621">
      <c r="K621" s="53"/>
      <c r="N621" s="53"/>
      <c r="O621" s="53"/>
      <c r="T621" s="53"/>
      <c r="V621" s="53"/>
      <c r="W621" s="55"/>
    </row>
    <row r="622">
      <c r="K622" s="53"/>
      <c r="N622" s="53"/>
      <c r="O622" s="53"/>
      <c r="T622" s="53"/>
      <c r="V622" s="53"/>
      <c r="W622" s="55"/>
    </row>
    <row r="623">
      <c r="K623" s="53"/>
      <c r="N623" s="53"/>
      <c r="O623" s="53"/>
      <c r="T623" s="53"/>
      <c r="V623" s="53"/>
      <c r="W623" s="55"/>
    </row>
    <row r="624">
      <c r="K624" s="53"/>
      <c r="N624" s="53"/>
      <c r="O624" s="53"/>
      <c r="T624" s="53"/>
      <c r="V624" s="53"/>
      <c r="W624" s="55"/>
    </row>
    <row r="625">
      <c r="K625" s="53"/>
      <c r="N625" s="53"/>
      <c r="O625" s="53"/>
      <c r="T625" s="53"/>
      <c r="V625" s="53"/>
      <c r="W625" s="55"/>
    </row>
    <row r="626">
      <c r="K626" s="53"/>
      <c r="N626" s="53"/>
      <c r="O626" s="53"/>
      <c r="T626" s="53"/>
      <c r="V626" s="53"/>
      <c r="W626" s="55"/>
    </row>
    <row r="627">
      <c r="K627" s="53"/>
      <c r="N627" s="53"/>
      <c r="O627" s="53"/>
      <c r="T627" s="53"/>
      <c r="V627" s="53"/>
      <c r="W627" s="55"/>
    </row>
    <row r="628">
      <c r="K628" s="53"/>
      <c r="N628" s="53"/>
      <c r="O628" s="53"/>
      <c r="T628" s="53"/>
      <c r="V628" s="53"/>
      <c r="W628" s="55"/>
    </row>
    <row r="629">
      <c r="K629" s="53"/>
      <c r="N629" s="53"/>
      <c r="O629" s="53"/>
      <c r="T629" s="53"/>
      <c r="V629" s="53"/>
      <c r="W629" s="55"/>
    </row>
    <row r="630">
      <c r="K630" s="53"/>
      <c r="N630" s="53"/>
      <c r="O630" s="53"/>
      <c r="T630" s="53"/>
      <c r="V630" s="53"/>
      <c r="W630" s="55"/>
    </row>
    <row r="631">
      <c r="K631" s="53"/>
      <c r="N631" s="53"/>
      <c r="O631" s="53"/>
      <c r="T631" s="53"/>
      <c r="V631" s="53"/>
      <c r="W631" s="55"/>
    </row>
    <row r="632">
      <c r="K632" s="53"/>
      <c r="N632" s="53"/>
      <c r="O632" s="53"/>
      <c r="T632" s="53"/>
      <c r="V632" s="53"/>
      <c r="W632" s="55"/>
    </row>
    <row r="633">
      <c r="K633" s="53"/>
      <c r="N633" s="53"/>
      <c r="O633" s="53"/>
      <c r="T633" s="53"/>
      <c r="V633" s="53"/>
      <c r="W633" s="55"/>
    </row>
    <row r="634">
      <c r="K634" s="53"/>
      <c r="N634" s="53"/>
      <c r="O634" s="53"/>
      <c r="T634" s="53"/>
      <c r="V634" s="53"/>
      <c r="W634" s="55"/>
    </row>
    <row r="635">
      <c r="K635" s="53"/>
      <c r="N635" s="53"/>
      <c r="O635" s="53"/>
      <c r="T635" s="53"/>
      <c r="V635" s="53"/>
      <c r="W635" s="55"/>
    </row>
    <row r="636">
      <c r="K636" s="53"/>
      <c r="N636" s="53"/>
      <c r="O636" s="53"/>
      <c r="T636" s="53"/>
      <c r="V636" s="53"/>
      <c r="W636" s="55"/>
    </row>
    <row r="637">
      <c r="K637" s="53"/>
      <c r="N637" s="53"/>
      <c r="O637" s="53"/>
      <c r="T637" s="53"/>
      <c r="V637" s="53"/>
      <c r="W637" s="55"/>
    </row>
    <row r="638">
      <c r="K638" s="53"/>
      <c r="N638" s="53"/>
      <c r="O638" s="53"/>
      <c r="T638" s="53"/>
      <c r="V638" s="53"/>
      <c r="W638" s="55"/>
    </row>
    <row r="639">
      <c r="K639" s="53"/>
      <c r="N639" s="53"/>
      <c r="O639" s="53"/>
      <c r="T639" s="53"/>
      <c r="V639" s="53"/>
      <c r="W639" s="55"/>
    </row>
    <row r="640">
      <c r="K640" s="53"/>
      <c r="N640" s="53"/>
      <c r="O640" s="53"/>
      <c r="T640" s="53"/>
      <c r="V640" s="53"/>
      <c r="W640" s="55"/>
    </row>
    <row r="641">
      <c r="K641" s="53"/>
      <c r="N641" s="53"/>
      <c r="O641" s="53"/>
      <c r="T641" s="53"/>
      <c r="V641" s="53"/>
      <c r="W641" s="55"/>
    </row>
    <row r="642">
      <c r="K642" s="53"/>
      <c r="N642" s="53"/>
      <c r="O642" s="53"/>
      <c r="T642" s="53"/>
      <c r="V642" s="53"/>
      <c r="W642" s="55"/>
    </row>
    <row r="643">
      <c r="K643" s="53"/>
      <c r="N643" s="53"/>
      <c r="O643" s="53"/>
      <c r="T643" s="53"/>
      <c r="V643" s="53"/>
      <c r="W643" s="55"/>
    </row>
    <row r="644">
      <c r="K644" s="53"/>
      <c r="N644" s="53"/>
      <c r="O644" s="53"/>
      <c r="T644" s="53"/>
      <c r="V644" s="53"/>
      <c r="W644" s="55"/>
    </row>
    <row r="645">
      <c r="K645" s="53"/>
      <c r="N645" s="53"/>
      <c r="O645" s="53"/>
      <c r="T645" s="53"/>
      <c r="V645" s="53"/>
      <c r="W645" s="55"/>
    </row>
    <row r="646">
      <c r="K646" s="53"/>
      <c r="N646" s="53"/>
      <c r="O646" s="53"/>
      <c r="T646" s="53"/>
      <c r="V646" s="53"/>
      <c r="W646" s="55"/>
    </row>
    <row r="647">
      <c r="K647" s="53"/>
      <c r="N647" s="53"/>
      <c r="O647" s="53"/>
      <c r="T647" s="53"/>
      <c r="V647" s="53"/>
      <c r="W647" s="55"/>
    </row>
    <row r="648">
      <c r="K648" s="53"/>
      <c r="N648" s="53"/>
      <c r="O648" s="53"/>
      <c r="T648" s="53"/>
      <c r="V648" s="53"/>
      <c r="W648" s="55"/>
    </row>
    <row r="649">
      <c r="K649" s="53"/>
      <c r="N649" s="53"/>
      <c r="O649" s="53"/>
      <c r="T649" s="53"/>
      <c r="V649" s="53"/>
      <c r="W649" s="55"/>
    </row>
    <row r="650">
      <c r="K650" s="53"/>
      <c r="N650" s="53"/>
      <c r="O650" s="53"/>
      <c r="T650" s="53"/>
      <c r="V650" s="53"/>
      <c r="W650" s="55"/>
    </row>
    <row r="651">
      <c r="K651" s="53"/>
      <c r="N651" s="53"/>
      <c r="O651" s="53"/>
      <c r="T651" s="53"/>
      <c r="V651" s="53"/>
      <c r="W651" s="55"/>
    </row>
    <row r="652">
      <c r="K652" s="53"/>
      <c r="N652" s="53"/>
      <c r="O652" s="53"/>
      <c r="T652" s="53"/>
      <c r="V652" s="53"/>
      <c r="W652" s="55"/>
    </row>
    <row r="653">
      <c r="K653" s="53"/>
      <c r="N653" s="53"/>
      <c r="O653" s="53"/>
      <c r="T653" s="53"/>
      <c r="V653" s="53"/>
      <c r="W653" s="55"/>
    </row>
    <row r="654">
      <c r="K654" s="53"/>
      <c r="N654" s="53"/>
      <c r="O654" s="53"/>
      <c r="T654" s="53"/>
      <c r="V654" s="53"/>
      <c r="W654" s="55"/>
    </row>
    <row r="655">
      <c r="K655" s="53"/>
      <c r="N655" s="53"/>
      <c r="O655" s="53"/>
      <c r="T655" s="53"/>
      <c r="V655" s="53"/>
      <c r="W655" s="55"/>
    </row>
    <row r="656">
      <c r="K656" s="53"/>
      <c r="N656" s="53"/>
      <c r="O656" s="53"/>
      <c r="T656" s="53"/>
      <c r="V656" s="53"/>
      <c r="W656" s="55"/>
    </row>
    <row r="657">
      <c r="K657" s="53"/>
      <c r="N657" s="53"/>
      <c r="O657" s="53"/>
      <c r="T657" s="53"/>
      <c r="V657" s="53"/>
      <c r="W657" s="55"/>
    </row>
    <row r="658">
      <c r="K658" s="53"/>
      <c r="N658" s="53"/>
      <c r="O658" s="53"/>
      <c r="T658" s="53"/>
      <c r="V658" s="53"/>
      <c r="W658" s="55"/>
    </row>
    <row r="659">
      <c r="K659" s="53"/>
      <c r="N659" s="53"/>
      <c r="O659" s="53"/>
      <c r="T659" s="53"/>
      <c r="V659" s="53"/>
      <c r="W659" s="55"/>
    </row>
    <row r="660">
      <c r="K660" s="53"/>
      <c r="N660" s="53"/>
      <c r="O660" s="53"/>
      <c r="T660" s="53"/>
      <c r="V660" s="53"/>
      <c r="W660" s="55"/>
    </row>
    <row r="661">
      <c r="K661" s="53"/>
      <c r="N661" s="53"/>
      <c r="O661" s="53"/>
      <c r="T661" s="53"/>
      <c r="V661" s="53"/>
      <c r="W661" s="55"/>
    </row>
    <row r="662">
      <c r="K662" s="53"/>
      <c r="N662" s="53"/>
      <c r="O662" s="53"/>
      <c r="T662" s="53"/>
      <c r="V662" s="53"/>
      <c r="W662" s="55"/>
    </row>
    <row r="663">
      <c r="K663" s="53"/>
      <c r="N663" s="53"/>
      <c r="O663" s="53"/>
      <c r="T663" s="53"/>
      <c r="V663" s="53"/>
      <c r="W663" s="55"/>
    </row>
    <row r="664">
      <c r="K664" s="53"/>
      <c r="N664" s="53"/>
      <c r="O664" s="53"/>
      <c r="T664" s="53"/>
      <c r="V664" s="53"/>
      <c r="W664" s="55"/>
    </row>
    <row r="665">
      <c r="K665" s="53"/>
      <c r="N665" s="53"/>
      <c r="O665" s="53"/>
      <c r="T665" s="53"/>
      <c r="V665" s="53"/>
      <c r="W665" s="55"/>
    </row>
    <row r="666">
      <c r="K666" s="53"/>
      <c r="N666" s="53"/>
      <c r="O666" s="53"/>
      <c r="T666" s="53"/>
      <c r="V666" s="53"/>
      <c r="W666" s="55"/>
    </row>
    <row r="667">
      <c r="K667" s="53"/>
      <c r="N667" s="53"/>
      <c r="O667" s="53"/>
      <c r="T667" s="53"/>
      <c r="V667" s="53"/>
      <c r="W667" s="55"/>
    </row>
    <row r="668">
      <c r="K668" s="53"/>
      <c r="N668" s="53"/>
      <c r="O668" s="53"/>
      <c r="T668" s="53"/>
      <c r="V668" s="53"/>
      <c r="W668" s="55"/>
    </row>
    <row r="669">
      <c r="K669" s="53"/>
      <c r="N669" s="53"/>
      <c r="O669" s="53"/>
      <c r="T669" s="53"/>
      <c r="V669" s="53"/>
      <c r="W669" s="55"/>
    </row>
    <row r="670">
      <c r="K670" s="53"/>
      <c r="N670" s="53"/>
      <c r="O670" s="53"/>
      <c r="T670" s="53"/>
      <c r="V670" s="53"/>
      <c r="W670" s="55"/>
    </row>
    <row r="671">
      <c r="K671" s="53"/>
      <c r="N671" s="53"/>
      <c r="O671" s="53"/>
      <c r="T671" s="53"/>
      <c r="V671" s="53"/>
      <c r="W671" s="55"/>
    </row>
    <row r="672">
      <c r="K672" s="53"/>
      <c r="N672" s="53"/>
      <c r="O672" s="53"/>
      <c r="T672" s="53"/>
      <c r="V672" s="53"/>
      <c r="W672" s="55"/>
    </row>
    <row r="673">
      <c r="K673" s="53"/>
      <c r="N673" s="53"/>
      <c r="O673" s="53"/>
      <c r="T673" s="53"/>
      <c r="V673" s="53"/>
      <c r="W673" s="55"/>
    </row>
    <row r="674">
      <c r="K674" s="53"/>
      <c r="N674" s="53"/>
      <c r="O674" s="53"/>
      <c r="T674" s="53"/>
      <c r="V674" s="53"/>
      <c r="W674" s="55"/>
    </row>
    <row r="675">
      <c r="K675" s="53"/>
      <c r="N675" s="53"/>
      <c r="O675" s="53"/>
      <c r="T675" s="53"/>
      <c r="V675" s="53"/>
      <c r="W675" s="55"/>
    </row>
    <row r="676">
      <c r="K676" s="53"/>
      <c r="N676" s="53"/>
      <c r="O676" s="53"/>
      <c r="T676" s="53"/>
      <c r="V676" s="53"/>
      <c r="W676" s="55"/>
    </row>
    <row r="677">
      <c r="K677" s="53"/>
      <c r="N677" s="53"/>
      <c r="O677" s="53"/>
      <c r="T677" s="53"/>
      <c r="V677" s="53"/>
      <c r="W677" s="55"/>
    </row>
    <row r="678">
      <c r="K678" s="53"/>
      <c r="N678" s="53"/>
      <c r="O678" s="53"/>
      <c r="T678" s="53"/>
      <c r="V678" s="53"/>
      <c r="W678" s="55"/>
    </row>
    <row r="679">
      <c r="K679" s="53"/>
      <c r="N679" s="53"/>
      <c r="O679" s="53"/>
      <c r="T679" s="53"/>
      <c r="V679" s="53"/>
      <c r="W679" s="55"/>
    </row>
    <row r="680">
      <c r="K680" s="53"/>
      <c r="N680" s="53"/>
      <c r="O680" s="53"/>
      <c r="T680" s="53"/>
      <c r="V680" s="53"/>
      <c r="W680" s="55"/>
    </row>
    <row r="681">
      <c r="K681" s="53"/>
      <c r="N681" s="53"/>
      <c r="O681" s="53"/>
      <c r="T681" s="53"/>
      <c r="V681" s="53"/>
      <c r="W681" s="55"/>
    </row>
    <row r="682">
      <c r="K682" s="53"/>
      <c r="N682" s="53"/>
      <c r="O682" s="53"/>
      <c r="T682" s="53"/>
      <c r="V682" s="53"/>
      <c r="W682" s="55"/>
    </row>
    <row r="683">
      <c r="K683" s="53"/>
      <c r="N683" s="53"/>
      <c r="O683" s="53"/>
      <c r="T683" s="53"/>
      <c r="V683" s="53"/>
      <c r="W683" s="55"/>
    </row>
    <row r="684">
      <c r="K684" s="53"/>
      <c r="N684" s="53"/>
      <c r="O684" s="53"/>
      <c r="T684" s="53"/>
      <c r="V684" s="53"/>
      <c r="W684" s="55"/>
    </row>
    <row r="685">
      <c r="K685" s="53"/>
      <c r="N685" s="53"/>
      <c r="O685" s="53"/>
      <c r="T685" s="53"/>
      <c r="V685" s="53"/>
      <c r="W685" s="55"/>
    </row>
    <row r="686">
      <c r="K686" s="53"/>
      <c r="N686" s="53"/>
      <c r="O686" s="53"/>
      <c r="T686" s="53"/>
      <c r="V686" s="53"/>
      <c r="W686" s="55"/>
    </row>
    <row r="687">
      <c r="K687" s="53"/>
      <c r="N687" s="53"/>
      <c r="O687" s="53"/>
      <c r="T687" s="53"/>
      <c r="V687" s="53"/>
      <c r="W687" s="55"/>
    </row>
    <row r="688">
      <c r="K688" s="53"/>
      <c r="N688" s="53"/>
      <c r="O688" s="53"/>
      <c r="T688" s="53"/>
      <c r="V688" s="53"/>
      <c r="W688" s="55"/>
    </row>
    <row r="689">
      <c r="K689" s="53"/>
      <c r="N689" s="53"/>
      <c r="O689" s="53"/>
      <c r="T689" s="53"/>
      <c r="V689" s="53"/>
      <c r="W689" s="55"/>
    </row>
    <row r="690">
      <c r="K690" s="53"/>
      <c r="N690" s="53"/>
      <c r="O690" s="53"/>
      <c r="T690" s="53"/>
      <c r="V690" s="53"/>
      <c r="W690" s="55"/>
    </row>
    <row r="691">
      <c r="K691" s="53"/>
      <c r="N691" s="53"/>
      <c r="O691" s="53"/>
      <c r="T691" s="53"/>
      <c r="V691" s="53"/>
      <c r="W691" s="55"/>
    </row>
    <row r="692">
      <c r="K692" s="53"/>
      <c r="N692" s="53"/>
      <c r="O692" s="53"/>
      <c r="T692" s="53"/>
      <c r="V692" s="53"/>
      <c r="W692" s="55"/>
    </row>
    <row r="693">
      <c r="K693" s="53"/>
      <c r="N693" s="53"/>
      <c r="O693" s="53"/>
      <c r="T693" s="53"/>
      <c r="V693" s="53"/>
      <c r="W693" s="55"/>
    </row>
    <row r="694">
      <c r="K694" s="53"/>
      <c r="N694" s="53"/>
      <c r="O694" s="53"/>
      <c r="T694" s="53"/>
      <c r="V694" s="53"/>
      <c r="W694" s="55"/>
    </row>
    <row r="695">
      <c r="K695" s="53"/>
      <c r="N695" s="53"/>
      <c r="O695" s="53"/>
      <c r="T695" s="53"/>
      <c r="V695" s="53"/>
      <c r="W695" s="55"/>
    </row>
    <row r="696">
      <c r="K696" s="53"/>
      <c r="N696" s="53"/>
      <c r="O696" s="53"/>
      <c r="T696" s="53"/>
      <c r="V696" s="53"/>
      <c r="W696" s="55"/>
    </row>
    <row r="697">
      <c r="K697" s="53"/>
      <c r="N697" s="53"/>
      <c r="O697" s="53"/>
      <c r="T697" s="53"/>
      <c r="V697" s="53"/>
      <c r="W697" s="55"/>
    </row>
    <row r="698">
      <c r="K698" s="53"/>
      <c r="N698" s="53"/>
      <c r="O698" s="53"/>
      <c r="T698" s="53"/>
      <c r="V698" s="53"/>
      <c r="W698" s="55"/>
    </row>
    <row r="699">
      <c r="K699" s="53"/>
      <c r="N699" s="53"/>
      <c r="O699" s="53"/>
      <c r="T699" s="53"/>
      <c r="V699" s="53"/>
      <c r="W699" s="55"/>
    </row>
    <row r="700">
      <c r="K700" s="53"/>
      <c r="N700" s="53"/>
      <c r="O700" s="53"/>
      <c r="T700" s="53"/>
      <c r="V700" s="53"/>
      <c r="W700" s="55"/>
    </row>
    <row r="701">
      <c r="K701" s="53"/>
      <c r="N701" s="53"/>
      <c r="O701" s="53"/>
      <c r="T701" s="53"/>
      <c r="V701" s="53"/>
      <c r="W701" s="55"/>
    </row>
    <row r="702">
      <c r="K702" s="53"/>
      <c r="N702" s="53"/>
      <c r="O702" s="53"/>
      <c r="T702" s="53"/>
      <c r="V702" s="53"/>
      <c r="W702" s="55"/>
    </row>
    <row r="703">
      <c r="K703" s="53"/>
      <c r="N703" s="53"/>
      <c r="O703" s="53"/>
      <c r="T703" s="53"/>
      <c r="V703" s="53"/>
      <c r="W703" s="55"/>
    </row>
    <row r="704">
      <c r="K704" s="53"/>
      <c r="N704" s="53"/>
      <c r="O704" s="53"/>
      <c r="T704" s="53"/>
      <c r="V704" s="53"/>
      <c r="W704" s="55"/>
    </row>
    <row r="705">
      <c r="K705" s="53"/>
      <c r="N705" s="53"/>
      <c r="O705" s="53"/>
      <c r="T705" s="53"/>
      <c r="V705" s="53"/>
      <c r="W705" s="55"/>
    </row>
    <row r="706">
      <c r="K706" s="53"/>
      <c r="N706" s="53"/>
      <c r="O706" s="53"/>
      <c r="T706" s="53"/>
      <c r="V706" s="53"/>
      <c r="W706" s="55"/>
    </row>
    <row r="707">
      <c r="K707" s="53"/>
      <c r="N707" s="53"/>
      <c r="O707" s="53"/>
      <c r="T707" s="53"/>
      <c r="V707" s="53"/>
      <c r="W707" s="55"/>
    </row>
    <row r="708">
      <c r="K708" s="53"/>
      <c r="N708" s="53"/>
      <c r="O708" s="53"/>
      <c r="T708" s="53"/>
      <c r="V708" s="53"/>
      <c r="W708" s="55"/>
    </row>
    <row r="709">
      <c r="K709" s="53"/>
      <c r="N709" s="53"/>
      <c r="O709" s="53"/>
      <c r="T709" s="53"/>
      <c r="V709" s="53"/>
      <c r="W709" s="55"/>
    </row>
    <row r="710">
      <c r="K710" s="53"/>
      <c r="N710" s="53"/>
      <c r="O710" s="53"/>
      <c r="T710" s="53"/>
      <c r="V710" s="53"/>
      <c r="W710" s="55"/>
    </row>
    <row r="711">
      <c r="K711" s="53"/>
      <c r="N711" s="53"/>
      <c r="O711" s="53"/>
      <c r="T711" s="53"/>
      <c r="V711" s="53"/>
      <c r="W711" s="55"/>
    </row>
    <row r="712">
      <c r="K712" s="53"/>
      <c r="N712" s="53"/>
      <c r="O712" s="53"/>
      <c r="T712" s="53"/>
      <c r="V712" s="53"/>
      <c r="W712" s="55"/>
    </row>
    <row r="713">
      <c r="K713" s="53"/>
      <c r="N713" s="53"/>
      <c r="O713" s="53"/>
      <c r="T713" s="53"/>
      <c r="V713" s="53"/>
      <c r="W713" s="55"/>
    </row>
    <row r="714">
      <c r="K714" s="53"/>
      <c r="N714" s="53"/>
      <c r="O714" s="53"/>
      <c r="T714" s="53"/>
      <c r="V714" s="53"/>
      <c r="W714" s="55"/>
    </row>
    <row r="715">
      <c r="K715" s="53"/>
      <c r="N715" s="53"/>
      <c r="O715" s="53"/>
      <c r="T715" s="53"/>
      <c r="V715" s="53"/>
      <c r="W715" s="55"/>
    </row>
    <row r="716">
      <c r="K716" s="53"/>
      <c r="N716" s="53"/>
      <c r="O716" s="53"/>
      <c r="T716" s="53"/>
      <c r="V716" s="53"/>
      <c r="W716" s="55"/>
    </row>
    <row r="717">
      <c r="K717" s="53"/>
      <c r="N717" s="53"/>
      <c r="O717" s="53"/>
      <c r="T717" s="53"/>
      <c r="V717" s="53"/>
      <c r="W717" s="55"/>
    </row>
    <row r="718">
      <c r="K718" s="53"/>
      <c r="N718" s="53"/>
      <c r="O718" s="53"/>
      <c r="T718" s="53"/>
      <c r="V718" s="53"/>
      <c r="W718" s="55"/>
    </row>
    <row r="719">
      <c r="K719" s="53"/>
      <c r="N719" s="53"/>
      <c r="O719" s="53"/>
      <c r="T719" s="53"/>
      <c r="V719" s="53"/>
      <c r="W719" s="55"/>
    </row>
    <row r="720">
      <c r="K720" s="53"/>
      <c r="N720" s="53"/>
      <c r="O720" s="53"/>
      <c r="T720" s="53"/>
      <c r="V720" s="53"/>
      <c r="W720" s="55"/>
    </row>
    <row r="721">
      <c r="K721" s="53"/>
      <c r="N721" s="53"/>
      <c r="O721" s="53"/>
      <c r="T721" s="53"/>
      <c r="V721" s="53"/>
      <c r="W721" s="55"/>
    </row>
    <row r="722">
      <c r="K722" s="53"/>
      <c r="N722" s="53"/>
      <c r="O722" s="53"/>
      <c r="T722" s="53"/>
      <c r="V722" s="53"/>
      <c r="W722" s="55"/>
    </row>
    <row r="723">
      <c r="K723" s="53"/>
      <c r="N723" s="53"/>
      <c r="O723" s="53"/>
      <c r="T723" s="53"/>
      <c r="V723" s="53"/>
      <c r="W723" s="55"/>
    </row>
    <row r="724">
      <c r="K724" s="53"/>
      <c r="N724" s="53"/>
      <c r="O724" s="53"/>
      <c r="T724" s="53"/>
      <c r="V724" s="53"/>
      <c r="W724" s="55"/>
    </row>
    <row r="725">
      <c r="K725" s="53"/>
      <c r="N725" s="53"/>
      <c r="O725" s="53"/>
      <c r="T725" s="53"/>
      <c r="V725" s="53"/>
      <c r="W725" s="55"/>
    </row>
    <row r="726">
      <c r="K726" s="53"/>
      <c r="N726" s="53"/>
      <c r="O726" s="53"/>
      <c r="T726" s="53"/>
      <c r="V726" s="53"/>
      <c r="W726" s="55"/>
    </row>
    <row r="727">
      <c r="K727" s="53"/>
      <c r="N727" s="53"/>
      <c r="O727" s="53"/>
      <c r="T727" s="53"/>
      <c r="V727" s="53"/>
      <c r="W727" s="55"/>
    </row>
    <row r="728">
      <c r="K728" s="53"/>
      <c r="N728" s="53"/>
      <c r="O728" s="53"/>
      <c r="T728" s="53"/>
      <c r="V728" s="53"/>
      <c r="W728" s="55"/>
    </row>
    <row r="729">
      <c r="K729" s="53"/>
      <c r="N729" s="53"/>
      <c r="O729" s="53"/>
      <c r="T729" s="53"/>
      <c r="V729" s="53"/>
      <c r="W729" s="55"/>
    </row>
    <row r="730">
      <c r="K730" s="53"/>
      <c r="N730" s="53"/>
      <c r="O730" s="53"/>
      <c r="T730" s="53"/>
      <c r="V730" s="53"/>
      <c r="W730" s="55"/>
    </row>
    <row r="731">
      <c r="K731" s="53"/>
      <c r="N731" s="53"/>
      <c r="O731" s="53"/>
      <c r="T731" s="53"/>
      <c r="V731" s="53"/>
      <c r="W731" s="55"/>
    </row>
    <row r="732">
      <c r="K732" s="53"/>
      <c r="N732" s="53"/>
      <c r="O732" s="53"/>
      <c r="T732" s="53"/>
      <c r="V732" s="53"/>
      <c r="W732" s="55"/>
    </row>
    <row r="733">
      <c r="K733" s="53"/>
      <c r="N733" s="53"/>
      <c r="O733" s="53"/>
      <c r="T733" s="53"/>
      <c r="V733" s="53"/>
      <c r="W733" s="55"/>
    </row>
    <row r="734">
      <c r="K734" s="53"/>
      <c r="N734" s="53"/>
      <c r="O734" s="53"/>
      <c r="T734" s="53"/>
      <c r="V734" s="53"/>
      <c r="W734" s="55"/>
    </row>
    <row r="735">
      <c r="K735" s="53"/>
      <c r="N735" s="53"/>
      <c r="O735" s="53"/>
      <c r="T735" s="53"/>
      <c r="V735" s="53"/>
      <c r="W735" s="55"/>
    </row>
    <row r="736">
      <c r="K736" s="53"/>
      <c r="N736" s="53"/>
      <c r="O736" s="53"/>
      <c r="T736" s="53"/>
      <c r="V736" s="53"/>
      <c r="W736" s="55"/>
    </row>
    <row r="737">
      <c r="K737" s="53"/>
      <c r="N737" s="53"/>
      <c r="O737" s="53"/>
      <c r="T737" s="53"/>
      <c r="V737" s="53"/>
      <c r="W737" s="55"/>
    </row>
    <row r="738">
      <c r="K738" s="53"/>
      <c r="N738" s="53"/>
      <c r="O738" s="53"/>
      <c r="T738" s="53"/>
      <c r="V738" s="53"/>
      <c r="W738" s="55"/>
    </row>
    <row r="739">
      <c r="K739" s="53"/>
      <c r="N739" s="53"/>
      <c r="O739" s="53"/>
      <c r="T739" s="53"/>
      <c r="V739" s="53"/>
      <c r="W739" s="55"/>
    </row>
    <row r="740">
      <c r="K740" s="53"/>
      <c r="N740" s="53"/>
      <c r="O740" s="53"/>
      <c r="T740" s="53"/>
      <c r="V740" s="53"/>
      <c r="W740" s="55"/>
    </row>
    <row r="741">
      <c r="K741" s="53"/>
      <c r="N741" s="53"/>
      <c r="O741" s="53"/>
      <c r="T741" s="53"/>
      <c r="V741" s="53"/>
      <c r="W741" s="55"/>
    </row>
    <row r="742">
      <c r="K742" s="53"/>
      <c r="N742" s="53"/>
      <c r="O742" s="53"/>
      <c r="T742" s="53"/>
      <c r="V742" s="53"/>
      <c r="W742" s="55"/>
    </row>
    <row r="743">
      <c r="K743" s="53"/>
      <c r="N743" s="53"/>
      <c r="O743" s="53"/>
      <c r="T743" s="53"/>
      <c r="V743" s="53"/>
      <c r="W743" s="55"/>
    </row>
    <row r="744">
      <c r="K744" s="53"/>
      <c r="N744" s="53"/>
      <c r="O744" s="53"/>
      <c r="T744" s="53"/>
      <c r="V744" s="53"/>
      <c r="W744" s="55"/>
    </row>
    <row r="745">
      <c r="K745" s="53"/>
      <c r="N745" s="53"/>
      <c r="O745" s="53"/>
      <c r="T745" s="53"/>
      <c r="V745" s="53"/>
      <c r="W745" s="55"/>
    </row>
    <row r="746">
      <c r="K746" s="53"/>
      <c r="N746" s="53"/>
      <c r="O746" s="53"/>
      <c r="T746" s="53"/>
      <c r="V746" s="53"/>
      <c r="W746" s="55"/>
    </row>
    <row r="747">
      <c r="K747" s="53"/>
      <c r="N747" s="53"/>
      <c r="O747" s="53"/>
      <c r="T747" s="53"/>
      <c r="V747" s="53"/>
      <c r="W747" s="55"/>
    </row>
    <row r="748">
      <c r="K748" s="53"/>
      <c r="N748" s="53"/>
      <c r="O748" s="53"/>
      <c r="T748" s="53"/>
      <c r="V748" s="53"/>
      <c r="W748" s="55"/>
    </row>
    <row r="749">
      <c r="K749" s="53"/>
      <c r="N749" s="53"/>
      <c r="O749" s="53"/>
      <c r="T749" s="53"/>
      <c r="V749" s="53"/>
      <c r="W749" s="55"/>
    </row>
    <row r="750">
      <c r="K750" s="53"/>
      <c r="N750" s="53"/>
      <c r="O750" s="53"/>
      <c r="T750" s="53"/>
      <c r="V750" s="53"/>
      <c r="W750" s="55"/>
    </row>
    <row r="751">
      <c r="K751" s="53"/>
      <c r="N751" s="53"/>
      <c r="O751" s="53"/>
      <c r="T751" s="53"/>
      <c r="V751" s="53"/>
      <c r="W751" s="55"/>
    </row>
    <row r="752">
      <c r="K752" s="53"/>
      <c r="N752" s="53"/>
      <c r="O752" s="53"/>
      <c r="T752" s="53"/>
      <c r="V752" s="53"/>
      <c r="W752" s="55"/>
    </row>
    <row r="753">
      <c r="K753" s="53"/>
      <c r="N753" s="53"/>
      <c r="O753" s="53"/>
      <c r="T753" s="53"/>
      <c r="V753" s="53"/>
      <c r="W753" s="55"/>
    </row>
    <row r="754">
      <c r="K754" s="53"/>
      <c r="N754" s="53"/>
      <c r="O754" s="53"/>
      <c r="T754" s="53"/>
      <c r="V754" s="53"/>
      <c r="W754" s="55"/>
    </row>
    <row r="755">
      <c r="K755" s="53"/>
      <c r="N755" s="53"/>
      <c r="O755" s="53"/>
      <c r="T755" s="53"/>
      <c r="V755" s="53"/>
      <c r="W755" s="55"/>
    </row>
    <row r="756">
      <c r="K756" s="53"/>
      <c r="N756" s="53"/>
      <c r="O756" s="53"/>
      <c r="T756" s="53"/>
      <c r="V756" s="53"/>
      <c r="W756" s="55"/>
    </row>
    <row r="757">
      <c r="K757" s="53"/>
      <c r="N757" s="53"/>
      <c r="O757" s="53"/>
      <c r="T757" s="53"/>
      <c r="V757" s="53"/>
      <c r="W757" s="55"/>
    </row>
    <row r="758">
      <c r="K758" s="53"/>
      <c r="N758" s="53"/>
      <c r="O758" s="53"/>
      <c r="T758" s="53"/>
      <c r="V758" s="53"/>
      <c r="W758" s="55"/>
    </row>
    <row r="759">
      <c r="K759" s="53"/>
      <c r="N759" s="53"/>
      <c r="O759" s="53"/>
      <c r="T759" s="53"/>
      <c r="V759" s="53"/>
      <c r="W759" s="55"/>
    </row>
    <row r="760">
      <c r="K760" s="53"/>
      <c r="N760" s="53"/>
      <c r="O760" s="53"/>
      <c r="T760" s="53"/>
      <c r="V760" s="53"/>
      <c r="W760" s="55"/>
    </row>
    <row r="761">
      <c r="K761" s="53"/>
      <c r="N761" s="53"/>
      <c r="O761" s="53"/>
      <c r="T761" s="53"/>
      <c r="V761" s="53"/>
      <c r="W761" s="55"/>
    </row>
    <row r="762">
      <c r="K762" s="53"/>
      <c r="N762" s="53"/>
      <c r="O762" s="53"/>
      <c r="T762" s="53"/>
      <c r="V762" s="53"/>
      <c r="W762" s="55"/>
    </row>
    <row r="763">
      <c r="K763" s="53"/>
      <c r="N763" s="53"/>
      <c r="O763" s="53"/>
      <c r="T763" s="53"/>
      <c r="V763" s="53"/>
      <c r="W763" s="55"/>
    </row>
    <row r="764">
      <c r="K764" s="53"/>
      <c r="N764" s="53"/>
      <c r="O764" s="53"/>
      <c r="T764" s="53"/>
      <c r="V764" s="53"/>
      <c r="W764" s="55"/>
    </row>
    <row r="765">
      <c r="K765" s="53"/>
      <c r="N765" s="53"/>
      <c r="O765" s="53"/>
      <c r="T765" s="53"/>
      <c r="V765" s="53"/>
      <c r="W765" s="55"/>
    </row>
    <row r="766">
      <c r="K766" s="53"/>
      <c r="N766" s="53"/>
      <c r="O766" s="53"/>
      <c r="T766" s="53"/>
      <c r="V766" s="53"/>
      <c r="W766" s="55"/>
    </row>
    <row r="767">
      <c r="K767" s="53"/>
      <c r="N767" s="53"/>
      <c r="O767" s="53"/>
      <c r="T767" s="53"/>
      <c r="V767" s="53"/>
      <c r="W767" s="55"/>
    </row>
    <row r="768">
      <c r="K768" s="53"/>
      <c r="N768" s="53"/>
      <c r="O768" s="53"/>
      <c r="T768" s="53"/>
      <c r="V768" s="53"/>
      <c r="W768" s="55"/>
    </row>
    <row r="769">
      <c r="K769" s="53"/>
      <c r="N769" s="53"/>
      <c r="O769" s="53"/>
      <c r="T769" s="53"/>
      <c r="V769" s="53"/>
      <c r="W769" s="55"/>
    </row>
    <row r="770">
      <c r="K770" s="53"/>
      <c r="N770" s="53"/>
      <c r="O770" s="53"/>
      <c r="T770" s="53"/>
      <c r="V770" s="53"/>
      <c r="W770" s="55"/>
    </row>
    <row r="771">
      <c r="K771" s="53"/>
      <c r="N771" s="53"/>
      <c r="O771" s="53"/>
      <c r="T771" s="53"/>
      <c r="V771" s="53"/>
      <c r="W771" s="55"/>
    </row>
    <row r="772">
      <c r="K772" s="53"/>
      <c r="N772" s="53"/>
      <c r="O772" s="53"/>
      <c r="T772" s="53"/>
      <c r="V772" s="53"/>
      <c r="W772" s="55"/>
    </row>
    <row r="773">
      <c r="K773" s="53"/>
      <c r="N773" s="53"/>
      <c r="O773" s="53"/>
      <c r="T773" s="53"/>
      <c r="V773" s="53"/>
      <c r="W773" s="55"/>
    </row>
    <row r="774">
      <c r="K774" s="53"/>
      <c r="N774" s="53"/>
      <c r="O774" s="53"/>
      <c r="T774" s="53"/>
      <c r="V774" s="53"/>
      <c r="W774" s="55"/>
    </row>
    <row r="775">
      <c r="K775" s="53"/>
      <c r="N775" s="53"/>
      <c r="O775" s="53"/>
      <c r="T775" s="53"/>
      <c r="V775" s="53"/>
      <c r="W775" s="55"/>
    </row>
    <row r="776">
      <c r="K776" s="53"/>
      <c r="N776" s="53"/>
      <c r="O776" s="53"/>
      <c r="T776" s="53"/>
      <c r="V776" s="53"/>
      <c r="W776" s="55"/>
    </row>
    <row r="777">
      <c r="K777" s="53"/>
      <c r="N777" s="53"/>
      <c r="O777" s="53"/>
      <c r="T777" s="53"/>
      <c r="V777" s="53"/>
      <c r="W777" s="55"/>
    </row>
    <row r="778">
      <c r="K778" s="53"/>
      <c r="N778" s="53"/>
      <c r="O778" s="53"/>
      <c r="T778" s="53"/>
      <c r="V778" s="53"/>
      <c r="W778" s="55"/>
    </row>
    <row r="779">
      <c r="K779" s="53"/>
      <c r="N779" s="53"/>
      <c r="O779" s="53"/>
      <c r="T779" s="53"/>
      <c r="V779" s="53"/>
      <c r="W779" s="55"/>
    </row>
    <row r="780">
      <c r="K780" s="53"/>
      <c r="N780" s="53"/>
      <c r="O780" s="53"/>
      <c r="T780" s="53"/>
      <c r="V780" s="53"/>
      <c r="W780" s="55"/>
    </row>
    <row r="781">
      <c r="K781" s="53"/>
      <c r="N781" s="53"/>
      <c r="O781" s="53"/>
      <c r="T781" s="53"/>
      <c r="V781" s="53"/>
      <c r="W781" s="55"/>
    </row>
    <row r="782">
      <c r="K782" s="53"/>
      <c r="N782" s="53"/>
      <c r="O782" s="53"/>
      <c r="T782" s="53"/>
      <c r="V782" s="53"/>
      <c r="W782" s="55"/>
    </row>
    <row r="783">
      <c r="K783" s="53"/>
      <c r="N783" s="53"/>
      <c r="O783" s="53"/>
      <c r="T783" s="53"/>
      <c r="V783" s="53"/>
      <c r="W783" s="55"/>
    </row>
    <row r="784">
      <c r="K784" s="53"/>
      <c r="N784" s="53"/>
      <c r="O784" s="53"/>
      <c r="T784" s="53"/>
      <c r="V784" s="53"/>
      <c r="W784" s="55"/>
    </row>
    <row r="785">
      <c r="K785" s="53"/>
      <c r="N785" s="53"/>
      <c r="O785" s="53"/>
      <c r="T785" s="53"/>
      <c r="V785" s="53"/>
      <c r="W785" s="55"/>
    </row>
    <row r="786">
      <c r="K786" s="53"/>
      <c r="N786" s="53"/>
      <c r="O786" s="53"/>
      <c r="T786" s="53"/>
      <c r="V786" s="53"/>
      <c r="W786" s="55"/>
    </row>
    <row r="787">
      <c r="K787" s="53"/>
      <c r="N787" s="53"/>
      <c r="O787" s="53"/>
      <c r="T787" s="53"/>
      <c r="V787" s="53"/>
      <c r="W787" s="55"/>
    </row>
    <row r="788">
      <c r="K788" s="53"/>
      <c r="N788" s="53"/>
      <c r="O788" s="53"/>
      <c r="T788" s="53"/>
      <c r="V788" s="53"/>
      <c r="W788" s="55"/>
    </row>
    <row r="789">
      <c r="K789" s="53"/>
      <c r="N789" s="53"/>
      <c r="O789" s="53"/>
      <c r="T789" s="53"/>
      <c r="V789" s="53"/>
      <c r="W789" s="55"/>
    </row>
    <row r="790">
      <c r="K790" s="53"/>
      <c r="N790" s="53"/>
      <c r="O790" s="53"/>
      <c r="T790" s="53"/>
      <c r="V790" s="53"/>
      <c r="W790" s="55"/>
    </row>
    <row r="791">
      <c r="K791" s="53"/>
      <c r="N791" s="53"/>
      <c r="O791" s="53"/>
      <c r="T791" s="53"/>
      <c r="V791" s="53"/>
      <c r="W791" s="55"/>
    </row>
    <row r="792">
      <c r="K792" s="53"/>
      <c r="N792" s="53"/>
      <c r="O792" s="53"/>
      <c r="T792" s="53"/>
      <c r="V792" s="53"/>
      <c r="W792" s="55"/>
    </row>
    <row r="793">
      <c r="K793" s="53"/>
      <c r="N793" s="53"/>
      <c r="O793" s="53"/>
      <c r="T793" s="53"/>
      <c r="V793" s="53"/>
      <c r="W793" s="55"/>
    </row>
    <row r="794">
      <c r="K794" s="53"/>
      <c r="N794" s="53"/>
      <c r="O794" s="53"/>
      <c r="T794" s="53"/>
      <c r="V794" s="53"/>
      <c r="W794" s="55"/>
    </row>
    <row r="795">
      <c r="K795" s="53"/>
      <c r="N795" s="53"/>
      <c r="O795" s="53"/>
      <c r="T795" s="53"/>
      <c r="V795" s="53"/>
      <c r="W795" s="55"/>
    </row>
    <row r="796">
      <c r="K796" s="53"/>
      <c r="N796" s="53"/>
      <c r="O796" s="53"/>
      <c r="T796" s="53"/>
      <c r="V796" s="53"/>
      <c r="W796" s="55"/>
    </row>
    <row r="797">
      <c r="K797" s="53"/>
      <c r="N797" s="53"/>
      <c r="O797" s="53"/>
      <c r="T797" s="53"/>
      <c r="V797" s="53"/>
      <c r="W797" s="55"/>
    </row>
    <row r="798">
      <c r="K798" s="53"/>
      <c r="N798" s="53"/>
      <c r="O798" s="53"/>
      <c r="T798" s="53"/>
      <c r="V798" s="53"/>
      <c r="W798" s="55"/>
    </row>
    <row r="799">
      <c r="K799" s="53"/>
      <c r="N799" s="53"/>
      <c r="O799" s="53"/>
      <c r="T799" s="53"/>
      <c r="V799" s="53"/>
      <c r="W799" s="55"/>
    </row>
    <row r="800">
      <c r="K800" s="53"/>
      <c r="N800" s="53"/>
      <c r="O800" s="53"/>
      <c r="T800" s="53"/>
      <c r="V800" s="53"/>
      <c r="W800" s="55"/>
    </row>
    <row r="801">
      <c r="K801" s="53"/>
      <c r="N801" s="53"/>
      <c r="O801" s="53"/>
      <c r="T801" s="53"/>
      <c r="V801" s="53"/>
      <c r="W801" s="55"/>
    </row>
    <row r="802">
      <c r="K802" s="53"/>
      <c r="N802" s="53"/>
      <c r="O802" s="53"/>
      <c r="T802" s="53"/>
      <c r="V802" s="53"/>
      <c r="W802" s="55"/>
    </row>
    <row r="803">
      <c r="K803" s="53"/>
      <c r="N803" s="53"/>
      <c r="O803" s="53"/>
      <c r="T803" s="53"/>
      <c r="V803" s="53"/>
      <c r="W803" s="55"/>
    </row>
    <row r="804">
      <c r="K804" s="53"/>
      <c r="N804" s="53"/>
      <c r="O804" s="53"/>
      <c r="T804" s="53"/>
      <c r="V804" s="53"/>
      <c r="W804" s="55"/>
    </row>
    <row r="805">
      <c r="K805" s="53"/>
      <c r="N805" s="53"/>
      <c r="O805" s="53"/>
      <c r="T805" s="53"/>
      <c r="V805" s="53"/>
      <c r="W805" s="55"/>
    </row>
    <row r="806">
      <c r="K806" s="53"/>
      <c r="N806" s="53"/>
      <c r="O806" s="53"/>
      <c r="T806" s="53"/>
      <c r="V806" s="53"/>
      <c r="W806" s="55"/>
    </row>
    <row r="807">
      <c r="K807" s="53"/>
      <c r="N807" s="53"/>
      <c r="O807" s="53"/>
      <c r="T807" s="53"/>
      <c r="V807" s="53"/>
      <c r="W807" s="55"/>
    </row>
    <row r="808">
      <c r="K808" s="53"/>
      <c r="N808" s="53"/>
      <c r="O808" s="53"/>
      <c r="T808" s="53"/>
      <c r="V808" s="53"/>
      <c r="W808" s="55"/>
    </row>
    <row r="809">
      <c r="K809" s="53"/>
      <c r="N809" s="53"/>
      <c r="O809" s="53"/>
      <c r="T809" s="53"/>
      <c r="V809" s="53"/>
      <c r="W809" s="55"/>
    </row>
    <row r="810">
      <c r="K810" s="53"/>
      <c r="N810" s="53"/>
      <c r="O810" s="53"/>
      <c r="T810" s="53"/>
      <c r="V810" s="53"/>
      <c r="W810" s="55"/>
    </row>
    <row r="811">
      <c r="K811" s="53"/>
      <c r="N811" s="53"/>
      <c r="O811" s="53"/>
      <c r="T811" s="53"/>
      <c r="V811" s="53"/>
      <c r="W811" s="55"/>
    </row>
    <row r="812">
      <c r="K812" s="53"/>
      <c r="N812" s="53"/>
      <c r="O812" s="53"/>
      <c r="T812" s="53"/>
      <c r="V812" s="53"/>
      <c r="W812" s="55"/>
    </row>
    <row r="813">
      <c r="K813" s="53"/>
      <c r="N813" s="53"/>
      <c r="O813" s="53"/>
      <c r="T813" s="53"/>
      <c r="V813" s="53"/>
      <c r="W813" s="55"/>
    </row>
    <row r="814">
      <c r="K814" s="53"/>
      <c r="N814" s="53"/>
      <c r="O814" s="53"/>
      <c r="T814" s="53"/>
      <c r="V814" s="53"/>
      <c r="W814" s="55"/>
    </row>
    <row r="815">
      <c r="K815" s="53"/>
      <c r="N815" s="53"/>
      <c r="O815" s="53"/>
      <c r="T815" s="53"/>
      <c r="V815" s="53"/>
      <c r="W815" s="55"/>
    </row>
    <row r="816">
      <c r="K816" s="53"/>
      <c r="N816" s="53"/>
      <c r="O816" s="53"/>
      <c r="T816" s="53"/>
      <c r="V816" s="53"/>
      <c r="W816" s="55"/>
    </row>
    <row r="817">
      <c r="K817" s="53"/>
      <c r="N817" s="53"/>
      <c r="O817" s="53"/>
      <c r="T817" s="53"/>
      <c r="V817" s="53"/>
      <c r="W817" s="55"/>
    </row>
    <row r="818">
      <c r="K818" s="53"/>
      <c r="N818" s="53"/>
      <c r="O818" s="53"/>
      <c r="T818" s="53"/>
      <c r="V818" s="53"/>
      <c r="W818" s="55"/>
    </row>
    <row r="819">
      <c r="K819" s="53"/>
      <c r="N819" s="53"/>
      <c r="O819" s="53"/>
      <c r="T819" s="53"/>
      <c r="V819" s="53"/>
      <c r="W819" s="55"/>
    </row>
    <row r="820">
      <c r="K820" s="53"/>
      <c r="N820" s="53"/>
      <c r="O820" s="53"/>
      <c r="T820" s="53"/>
      <c r="V820" s="53"/>
      <c r="W820" s="55"/>
    </row>
    <row r="821">
      <c r="K821" s="53"/>
      <c r="N821" s="53"/>
      <c r="O821" s="53"/>
      <c r="T821" s="53"/>
      <c r="V821" s="53"/>
      <c r="W821" s="55"/>
    </row>
    <row r="822">
      <c r="K822" s="53"/>
      <c r="N822" s="53"/>
      <c r="O822" s="53"/>
      <c r="T822" s="53"/>
      <c r="V822" s="53"/>
      <c r="W822" s="55"/>
    </row>
    <row r="823">
      <c r="K823" s="53"/>
      <c r="N823" s="53"/>
      <c r="O823" s="53"/>
      <c r="T823" s="53"/>
      <c r="V823" s="53"/>
      <c r="W823" s="55"/>
    </row>
    <row r="824">
      <c r="K824" s="53"/>
      <c r="N824" s="53"/>
      <c r="O824" s="53"/>
      <c r="T824" s="53"/>
      <c r="V824" s="53"/>
      <c r="W824" s="55"/>
    </row>
    <row r="825">
      <c r="K825" s="53"/>
      <c r="N825" s="53"/>
      <c r="O825" s="53"/>
      <c r="T825" s="53"/>
      <c r="V825" s="53"/>
      <c r="W825" s="55"/>
    </row>
    <row r="826">
      <c r="K826" s="53"/>
      <c r="N826" s="53"/>
      <c r="O826" s="53"/>
      <c r="T826" s="53"/>
      <c r="V826" s="53"/>
      <c r="W826" s="55"/>
    </row>
    <row r="827">
      <c r="K827" s="53"/>
      <c r="N827" s="53"/>
      <c r="O827" s="53"/>
      <c r="T827" s="53"/>
      <c r="V827" s="53"/>
      <c r="W827" s="55"/>
    </row>
    <row r="828">
      <c r="K828" s="53"/>
      <c r="N828" s="53"/>
      <c r="O828" s="53"/>
      <c r="T828" s="53"/>
      <c r="V828" s="53"/>
      <c r="W828" s="55"/>
    </row>
    <row r="829">
      <c r="K829" s="53"/>
      <c r="N829" s="53"/>
      <c r="O829" s="53"/>
      <c r="T829" s="53"/>
      <c r="V829" s="53"/>
      <c r="W829" s="55"/>
    </row>
    <row r="830">
      <c r="K830" s="53"/>
      <c r="N830" s="53"/>
      <c r="O830" s="53"/>
      <c r="T830" s="53"/>
      <c r="V830" s="53"/>
      <c r="W830" s="55"/>
    </row>
    <row r="831">
      <c r="K831" s="53"/>
      <c r="N831" s="53"/>
      <c r="O831" s="53"/>
      <c r="T831" s="53"/>
      <c r="V831" s="53"/>
      <c r="W831" s="55"/>
    </row>
    <row r="832">
      <c r="K832" s="53"/>
      <c r="N832" s="53"/>
      <c r="O832" s="53"/>
      <c r="T832" s="53"/>
      <c r="V832" s="53"/>
      <c r="W832" s="55"/>
    </row>
    <row r="833">
      <c r="K833" s="53"/>
      <c r="N833" s="53"/>
      <c r="O833" s="53"/>
      <c r="T833" s="53"/>
      <c r="V833" s="53"/>
      <c r="W833" s="55"/>
    </row>
    <row r="834">
      <c r="K834" s="53"/>
      <c r="N834" s="53"/>
      <c r="O834" s="53"/>
      <c r="T834" s="53"/>
      <c r="V834" s="53"/>
      <c r="W834" s="55"/>
    </row>
    <row r="835">
      <c r="K835" s="53"/>
      <c r="N835" s="53"/>
      <c r="O835" s="53"/>
      <c r="T835" s="53"/>
      <c r="V835" s="53"/>
      <c r="W835" s="55"/>
    </row>
    <row r="836">
      <c r="K836" s="53"/>
      <c r="N836" s="53"/>
      <c r="O836" s="53"/>
      <c r="T836" s="53"/>
      <c r="V836" s="53"/>
      <c r="W836" s="55"/>
    </row>
    <row r="837">
      <c r="K837" s="53"/>
      <c r="N837" s="53"/>
      <c r="O837" s="53"/>
      <c r="T837" s="53"/>
      <c r="V837" s="53"/>
      <c r="W837" s="55"/>
    </row>
    <row r="838">
      <c r="K838" s="53"/>
      <c r="N838" s="53"/>
      <c r="O838" s="53"/>
      <c r="T838" s="53"/>
      <c r="V838" s="53"/>
      <c r="W838" s="55"/>
    </row>
    <row r="839">
      <c r="K839" s="53"/>
      <c r="N839" s="53"/>
      <c r="O839" s="53"/>
      <c r="T839" s="53"/>
      <c r="V839" s="53"/>
      <c r="W839" s="55"/>
    </row>
    <row r="840">
      <c r="K840" s="53"/>
      <c r="N840" s="53"/>
      <c r="O840" s="53"/>
      <c r="T840" s="53"/>
      <c r="V840" s="53"/>
      <c r="W840" s="55"/>
    </row>
    <row r="841">
      <c r="K841" s="53"/>
      <c r="N841" s="53"/>
      <c r="O841" s="53"/>
      <c r="T841" s="53"/>
      <c r="V841" s="53"/>
      <c r="W841" s="55"/>
    </row>
    <row r="842">
      <c r="K842" s="53"/>
      <c r="N842" s="53"/>
      <c r="O842" s="53"/>
      <c r="T842" s="53"/>
      <c r="V842" s="53"/>
      <c r="W842" s="55"/>
    </row>
    <row r="843">
      <c r="K843" s="53"/>
      <c r="N843" s="53"/>
      <c r="O843" s="53"/>
      <c r="T843" s="53"/>
      <c r="V843" s="53"/>
      <c r="W843" s="55"/>
    </row>
    <row r="844">
      <c r="K844" s="53"/>
      <c r="N844" s="53"/>
      <c r="O844" s="53"/>
      <c r="T844" s="53"/>
      <c r="V844" s="53"/>
      <c r="W844" s="55"/>
    </row>
    <row r="845">
      <c r="K845" s="53"/>
      <c r="N845" s="53"/>
      <c r="O845" s="53"/>
      <c r="T845" s="53"/>
      <c r="V845" s="53"/>
      <c r="W845" s="55"/>
    </row>
    <row r="846">
      <c r="K846" s="53"/>
      <c r="N846" s="53"/>
      <c r="O846" s="53"/>
      <c r="T846" s="53"/>
      <c r="V846" s="53"/>
      <c r="W846" s="55"/>
    </row>
    <row r="847">
      <c r="K847" s="53"/>
      <c r="N847" s="53"/>
      <c r="O847" s="53"/>
      <c r="T847" s="53"/>
      <c r="V847" s="53"/>
      <c r="W847" s="55"/>
    </row>
    <row r="848">
      <c r="K848" s="53"/>
      <c r="N848" s="53"/>
      <c r="O848" s="53"/>
      <c r="T848" s="53"/>
      <c r="V848" s="53"/>
      <c r="W848" s="55"/>
    </row>
    <row r="849">
      <c r="K849" s="53"/>
      <c r="N849" s="53"/>
      <c r="O849" s="53"/>
      <c r="T849" s="53"/>
      <c r="V849" s="53"/>
      <c r="W849" s="55"/>
    </row>
    <row r="850">
      <c r="K850" s="53"/>
      <c r="N850" s="53"/>
      <c r="O850" s="53"/>
      <c r="T850" s="53"/>
      <c r="V850" s="53"/>
      <c r="W850" s="55"/>
    </row>
    <row r="851">
      <c r="K851" s="53"/>
      <c r="N851" s="53"/>
      <c r="O851" s="53"/>
      <c r="T851" s="53"/>
      <c r="V851" s="53"/>
      <c r="W851" s="55"/>
    </row>
    <row r="852">
      <c r="K852" s="53"/>
      <c r="N852" s="53"/>
      <c r="O852" s="53"/>
      <c r="T852" s="53"/>
      <c r="V852" s="53"/>
      <c r="W852" s="55"/>
    </row>
    <row r="853">
      <c r="K853" s="53"/>
      <c r="N853" s="53"/>
      <c r="O853" s="53"/>
      <c r="T853" s="53"/>
      <c r="V853" s="53"/>
      <c r="W853" s="55"/>
    </row>
    <row r="854">
      <c r="K854" s="53"/>
      <c r="N854" s="53"/>
      <c r="O854" s="53"/>
      <c r="T854" s="53"/>
      <c r="V854" s="53"/>
      <c r="W854" s="55"/>
    </row>
    <row r="855">
      <c r="K855" s="53"/>
      <c r="N855" s="53"/>
      <c r="O855" s="53"/>
      <c r="T855" s="53"/>
      <c r="V855" s="53"/>
      <c r="W855" s="55"/>
    </row>
    <row r="856">
      <c r="K856" s="53"/>
      <c r="N856" s="53"/>
      <c r="O856" s="53"/>
      <c r="T856" s="53"/>
      <c r="V856" s="53"/>
      <c r="W856" s="55"/>
    </row>
    <row r="857">
      <c r="K857" s="53"/>
      <c r="N857" s="53"/>
      <c r="O857" s="53"/>
      <c r="T857" s="53"/>
      <c r="V857" s="53"/>
      <c r="W857" s="55"/>
    </row>
    <row r="858">
      <c r="K858" s="53"/>
      <c r="N858" s="53"/>
      <c r="O858" s="53"/>
      <c r="T858" s="53"/>
      <c r="V858" s="53"/>
      <c r="W858" s="55"/>
    </row>
    <row r="859">
      <c r="K859" s="53"/>
      <c r="N859" s="53"/>
      <c r="O859" s="53"/>
      <c r="T859" s="53"/>
      <c r="V859" s="53"/>
      <c r="W859" s="55"/>
    </row>
    <row r="860">
      <c r="K860" s="53"/>
      <c r="N860" s="53"/>
      <c r="O860" s="53"/>
      <c r="T860" s="53"/>
      <c r="V860" s="53"/>
      <c r="W860" s="55"/>
    </row>
    <row r="861">
      <c r="K861" s="53"/>
      <c r="N861" s="53"/>
      <c r="O861" s="53"/>
      <c r="T861" s="53"/>
      <c r="V861" s="53"/>
      <c r="W861" s="55"/>
    </row>
    <row r="862">
      <c r="K862" s="53"/>
      <c r="N862" s="53"/>
      <c r="O862" s="53"/>
      <c r="T862" s="53"/>
      <c r="V862" s="53"/>
      <c r="W862" s="55"/>
    </row>
    <row r="863">
      <c r="K863" s="53"/>
      <c r="N863" s="53"/>
      <c r="O863" s="53"/>
      <c r="T863" s="53"/>
      <c r="V863" s="53"/>
      <c r="W863" s="55"/>
    </row>
    <row r="864">
      <c r="K864" s="53"/>
      <c r="N864" s="53"/>
      <c r="O864" s="53"/>
      <c r="T864" s="53"/>
      <c r="V864" s="53"/>
      <c r="W864" s="55"/>
    </row>
    <row r="865">
      <c r="K865" s="53"/>
      <c r="N865" s="53"/>
      <c r="O865" s="53"/>
      <c r="T865" s="53"/>
      <c r="V865" s="53"/>
      <c r="W865" s="55"/>
    </row>
    <row r="866">
      <c r="K866" s="53"/>
      <c r="N866" s="53"/>
      <c r="O866" s="53"/>
      <c r="T866" s="53"/>
      <c r="V866" s="53"/>
      <c r="W866" s="55"/>
    </row>
    <row r="867">
      <c r="K867" s="53"/>
      <c r="N867" s="53"/>
      <c r="O867" s="53"/>
      <c r="T867" s="53"/>
      <c r="V867" s="53"/>
      <c r="W867" s="55"/>
    </row>
    <row r="868">
      <c r="K868" s="53"/>
      <c r="N868" s="53"/>
      <c r="O868" s="53"/>
      <c r="T868" s="53"/>
      <c r="V868" s="53"/>
      <c r="W868" s="55"/>
    </row>
    <row r="869">
      <c r="K869" s="53"/>
      <c r="N869" s="53"/>
      <c r="O869" s="53"/>
      <c r="T869" s="53"/>
      <c r="V869" s="53"/>
      <c r="W869" s="55"/>
    </row>
    <row r="870">
      <c r="K870" s="53"/>
      <c r="N870" s="53"/>
      <c r="O870" s="53"/>
      <c r="T870" s="53"/>
      <c r="V870" s="53"/>
      <c r="W870" s="55"/>
    </row>
    <row r="871">
      <c r="K871" s="53"/>
      <c r="N871" s="53"/>
      <c r="O871" s="53"/>
      <c r="T871" s="53"/>
      <c r="V871" s="53"/>
      <c r="W871" s="55"/>
    </row>
    <row r="872">
      <c r="K872" s="53"/>
      <c r="N872" s="53"/>
      <c r="O872" s="53"/>
      <c r="T872" s="53"/>
      <c r="V872" s="53"/>
      <c r="W872" s="55"/>
    </row>
    <row r="873">
      <c r="K873" s="53"/>
      <c r="N873" s="53"/>
      <c r="O873" s="53"/>
      <c r="T873" s="53"/>
      <c r="V873" s="53"/>
      <c r="W873" s="55"/>
    </row>
    <row r="874">
      <c r="K874" s="53"/>
      <c r="N874" s="53"/>
      <c r="O874" s="53"/>
      <c r="T874" s="53"/>
      <c r="V874" s="53"/>
      <c r="W874" s="55"/>
    </row>
    <row r="875">
      <c r="K875" s="53"/>
      <c r="N875" s="53"/>
      <c r="O875" s="53"/>
      <c r="T875" s="53"/>
      <c r="V875" s="53"/>
      <c r="W875" s="55"/>
    </row>
    <row r="876">
      <c r="K876" s="53"/>
      <c r="N876" s="53"/>
      <c r="O876" s="53"/>
      <c r="T876" s="53"/>
      <c r="V876" s="53"/>
      <c r="W876" s="55"/>
    </row>
    <row r="877">
      <c r="K877" s="53"/>
      <c r="N877" s="53"/>
      <c r="O877" s="53"/>
      <c r="T877" s="53"/>
      <c r="V877" s="53"/>
      <c r="W877" s="55"/>
    </row>
    <row r="878">
      <c r="K878" s="53"/>
      <c r="N878" s="53"/>
      <c r="O878" s="53"/>
      <c r="T878" s="53"/>
      <c r="V878" s="53"/>
      <c r="W878" s="55"/>
    </row>
    <row r="879">
      <c r="K879" s="53"/>
      <c r="N879" s="53"/>
      <c r="O879" s="53"/>
      <c r="T879" s="53"/>
      <c r="V879" s="53"/>
      <c r="W879" s="55"/>
    </row>
    <row r="880">
      <c r="K880" s="53"/>
      <c r="N880" s="53"/>
      <c r="O880" s="53"/>
      <c r="T880" s="53"/>
      <c r="V880" s="53"/>
      <c r="W880" s="55"/>
    </row>
    <row r="881">
      <c r="K881" s="53"/>
      <c r="N881" s="53"/>
      <c r="O881" s="53"/>
      <c r="T881" s="53"/>
      <c r="V881" s="53"/>
      <c r="W881" s="55"/>
    </row>
    <row r="882">
      <c r="K882" s="53"/>
      <c r="N882" s="53"/>
      <c r="O882" s="53"/>
      <c r="T882" s="53"/>
      <c r="V882" s="53"/>
      <c r="W882" s="55"/>
    </row>
    <row r="883">
      <c r="K883" s="53"/>
      <c r="N883" s="53"/>
      <c r="O883" s="53"/>
      <c r="T883" s="53"/>
      <c r="V883" s="53"/>
      <c r="W883" s="55"/>
    </row>
    <row r="884">
      <c r="K884" s="53"/>
      <c r="N884" s="53"/>
      <c r="O884" s="53"/>
      <c r="T884" s="53"/>
      <c r="V884" s="53"/>
      <c r="W884" s="55"/>
    </row>
    <row r="885">
      <c r="K885" s="53"/>
      <c r="N885" s="53"/>
      <c r="O885" s="53"/>
      <c r="T885" s="53"/>
      <c r="V885" s="53"/>
      <c r="W885" s="55"/>
    </row>
    <row r="886">
      <c r="K886" s="53"/>
      <c r="N886" s="53"/>
      <c r="O886" s="53"/>
      <c r="T886" s="53"/>
      <c r="V886" s="53"/>
      <c r="W886" s="55"/>
    </row>
    <row r="887">
      <c r="K887" s="53"/>
      <c r="N887" s="53"/>
      <c r="O887" s="53"/>
      <c r="T887" s="53"/>
      <c r="V887" s="53"/>
      <c r="W887" s="55"/>
    </row>
    <row r="888">
      <c r="K888" s="53"/>
      <c r="N888" s="53"/>
      <c r="O888" s="53"/>
      <c r="T888" s="53"/>
      <c r="V888" s="53"/>
      <c r="W888" s="55"/>
    </row>
    <row r="889">
      <c r="K889" s="53"/>
      <c r="N889" s="53"/>
      <c r="O889" s="53"/>
      <c r="T889" s="53"/>
      <c r="V889" s="53"/>
      <c r="W889" s="55"/>
    </row>
    <row r="890">
      <c r="K890" s="53"/>
      <c r="N890" s="53"/>
      <c r="O890" s="53"/>
      <c r="T890" s="53"/>
      <c r="V890" s="53"/>
      <c r="W890" s="55"/>
    </row>
    <row r="891">
      <c r="K891" s="53"/>
      <c r="N891" s="53"/>
      <c r="O891" s="53"/>
      <c r="T891" s="53"/>
      <c r="V891" s="53"/>
      <c r="W891" s="55"/>
    </row>
    <row r="892">
      <c r="K892" s="53"/>
      <c r="N892" s="53"/>
      <c r="O892" s="53"/>
      <c r="T892" s="53"/>
      <c r="V892" s="53"/>
      <c r="W892" s="55"/>
    </row>
    <row r="893">
      <c r="K893" s="53"/>
      <c r="N893" s="53"/>
      <c r="O893" s="53"/>
      <c r="T893" s="53"/>
      <c r="V893" s="53"/>
      <c r="W893" s="55"/>
    </row>
    <row r="894">
      <c r="K894" s="53"/>
      <c r="N894" s="53"/>
      <c r="O894" s="53"/>
      <c r="T894" s="53"/>
      <c r="V894" s="53"/>
      <c r="W894" s="55"/>
    </row>
    <row r="895">
      <c r="K895" s="53"/>
      <c r="N895" s="53"/>
      <c r="O895" s="53"/>
      <c r="T895" s="53"/>
      <c r="V895" s="53"/>
      <c r="W895" s="55"/>
    </row>
    <row r="896">
      <c r="K896" s="53"/>
      <c r="N896" s="53"/>
      <c r="O896" s="53"/>
      <c r="T896" s="53"/>
      <c r="V896" s="53"/>
      <c r="W896" s="55"/>
    </row>
    <row r="897">
      <c r="K897" s="53"/>
      <c r="N897" s="53"/>
      <c r="O897" s="53"/>
      <c r="T897" s="53"/>
      <c r="V897" s="53"/>
      <c r="W897" s="55"/>
    </row>
    <row r="898">
      <c r="K898" s="53"/>
      <c r="N898" s="53"/>
      <c r="O898" s="53"/>
      <c r="T898" s="53"/>
      <c r="V898" s="53"/>
      <c r="W898" s="55"/>
    </row>
    <row r="899">
      <c r="K899" s="53"/>
      <c r="N899" s="53"/>
      <c r="O899" s="53"/>
      <c r="T899" s="53"/>
      <c r="V899" s="53"/>
      <c r="W899" s="55"/>
    </row>
    <row r="900">
      <c r="K900" s="53"/>
      <c r="N900" s="53"/>
      <c r="O900" s="53"/>
      <c r="T900" s="53"/>
      <c r="V900" s="53"/>
      <c r="W900" s="55"/>
    </row>
    <row r="901">
      <c r="K901" s="53"/>
      <c r="N901" s="53"/>
      <c r="O901" s="53"/>
      <c r="T901" s="53"/>
      <c r="V901" s="53"/>
      <c r="W901" s="55"/>
    </row>
    <row r="902">
      <c r="K902" s="53"/>
      <c r="N902" s="53"/>
      <c r="O902" s="53"/>
      <c r="T902" s="53"/>
      <c r="V902" s="53"/>
      <c r="W902" s="55"/>
    </row>
    <row r="903">
      <c r="K903" s="53"/>
      <c r="N903" s="53"/>
      <c r="O903" s="53"/>
      <c r="T903" s="53"/>
      <c r="V903" s="53"/>
      <c r="W903" s="55"/>
    </row>
    <row r="904">
      <c r="K904" s="53"/>
      <c r="N904" s="53"/>
      <c r="O904" s="53"/>
      <c r="T904" s="53"/>
      <c r="V904" s="53"/>
      <c r="W904" s="55"/>
    </row>
    <row r="905">
      <c r="K905" s="53"/>
      <c r="N905" s="53"/>
      <c r="O905" s="53"/>
      <c r="T905" s="53"/>
      <c r="V905" s="53"/>
      <c r="W905" s="55"/>
    </row>
    <row r="906">
      <c r="K906" s="53"/>
      <c r="N906" s="53"/>
      <c r="O906" s="53"/>
      <c r="T906" s="53"/>
      <c r="V906" s="53"/>
      <c r="W906" s="55"/>
    </row>
    <row r="907">
      <c r="K907" s="53"/>
      <c r="N907" s="53"/>
      <c r="O907" s="53"/>
      <c r="T907" s="53"/>
      <c r="V907" s="53"/>
      <c r="W907" s="55"/>
    </row>
    <row r="908">
      <c r="K908" s="53"/>
      <c r="N908" s="53"/>
      <c r="O908" s="53"/>
      <c r="T908" s="53"/>
      <c r="V908" s="53"/>
      <c r="W908" s="55"/>
    </row>
    <row r="909">
      <c r="K909" s="53"/>
      <c r="N909" s="53"/>
      <c r="O909" s="53"/>
      <c r="T909" s="53"/>
      <c r="V909" s="53"/>
      <c r="W909" s="55"/>
    </row>
    <row r="910">
      <c r="K910" s="53"/>
      <c r="N910" s="53"/>
      <c r="O910" s="53"/>
      <c r="T910" s="53"/>
      <c r="V910" s="53"/>
      <c r="W910" s="55"/>
    </row>
    <row r="911">
      <c r="K911" s="53"/>
      <c r="N911" s="53"/>
      <c r="O911" s="53"/>
      <c r="T911" s="53"/>
      <c r="V911" s="53"/>
      <c r="W911" s="55"/>
    </row>
    <row r="912">
      <c r="K912" s="53"/>
      <c r="N912" s="53"/>
      <c r="O912" s="53"/>
      <c r="T912" s="53"/>
      <c r="V912" s="53"/>
      <c r="W912" s="55"/>
    </row>
    <row r="913">
      <c r="K913" s="53"/>
      <c r="N913" s="53"/>
      <c r="O913" s="53"/>
      <c r="T913" s="53"/>
      <c r="V913" s="53"/>
      <c r="W913" s="55"/>
    </row>
    <row r="914">
      <c r="K914" s="53"/>
      <c r="N914" s="53"/>
      <c r="O914" s="53"/>
      <c r="T914" s="53"/>
      <c r="V914" s="53"/>
      <c r="W914" s="55"/>
    </row>
    <row r="915">
      <c r="K915" s="53"/>
      <c r="N915" s="53"/>
      <c r="O915" s="53"/>
      <c r="T915" s="53"/>
      <c r="V915" s="53"/>
      <c r="W915" s="55"/>
    </row>
    <row r="916">
      <c r="K916" s="53"/>
      <c r="N916" s="53"/>
      <c r="O916" s="53"/>
      <c r="T916" s="53"/>
      <c r="V916" s="53"/>
      <c r="W916" s="55"/>
    </row>
    <row r="917">
      <c r="K917" s="53"/>
      <c r="N917" s="53"/>
      <c r="O917" s="53"/>
      <c r="T917" s="53"/>
      <c r="V917" s="53"/>
      <c r="W917" s="55"/>
    </row>
    <row r="918">
      <c r="K918" s="53"/>
      <c r="N918" s="53"/>
      <c r="O918" s="53"/>
      <c r="T918" s="53"/>
      <c r="V918" s="53"/>
      <c r="W918" s="55"/>
    </row>
    <row r="919">
      <c r="K919" s="53"/>
      <c r="N919" s="53"/>
      <c r="O919" s="53"/>
      <c r="T919" s="53"/>
      <c r="V919" s="53"/>
      <c r="W919" s="55"/>
    </row>
    <row r="920">
      <c r="K920" s="53"/>
      <c r="N920" s="53"/>
      <c r="O920" s="53"/>
      <c r="T920" s="53"/>
      <c r="V920" s="53"/>
      <c r="W920" s="55"/>
    </row>
    <row r="921">
      <c r="K921" s="53"/>
      <c r="N921" s="53"/>
      <c r="O921" s="53"/>
      <c r="T921" s="53"/>
      <c r="V921" s="53"/>
      <c r="W921" s="55"/>
    </row>
    <row r="922">
      <c r="K922" s="53"/>
      <c r="N922" s="53"/>
      <c r="O922" s="53"/>
      <c r="T922" s="53"/>
      <c r="V922" s="53"/>
      <c r="W922" s="55"/>
    </row>
    <row r="923">
      <c r="K923" s="53"/>
      <c r="N923" s="53"/>
      <c r="O923" s="53"/>
      <c r="T923" s="53"/>
      <c r="V923" s="53"/>
      <c r="W923" s="55"/>
    </row>
    <row r="924">
      <c r="K924" s="53"/>
      <c r="N924" s="53"/>
      <c r="O924" s="53"/>
      <c r="T924" s="53"/>
      <c r="V924" s="53"/>
      <c r="W924" s="55"/>
    </row>
    <row r="925">
      <c r="K925" s="53"/>
      <c r="N925" s="53"/>
      <c r="O925" s="53"/>
      <c r="T925" s="53"/>
      <c r="V925" s="53"/>
      <c r="W925" s="55"/>
    </row>
    <row r="926">
      <c r="K926" s="53"/>
      <c r="N926" s="53"/>
      <c r="O926" s="53"/>
      <c r="T926" s="53"/>
      <c r="V926" s="53"/>
      <c r="W926" s="55"/>
    </row>
    <row r="927">
      <c r="K927" s="53"/>
      <c r="N927" s="53"/>
      <c r="O927" s="53"/>
      <c r="T927" s="53"/>
      <c r="V927" s="53"/>
      <c r="W927" s="55"/>
    </row>
    <row r="928">
      <c r="K928" s="53"/>
      <c r="N928" s="53"/>
      <c r="O928" s="53"/>
      <c r="T928" s="53"/>
      <c r="V928" s="53"/>
      <c r="W928" s="55"/>
    </row>
    <row r="929">
      <c r="K929" s="53"/>
      <c r="N929" s="53"/>
      <c r="O929" s="53"/>
      <c r="T929" s="53"/>
      <c r="V929" s="53"/>
      <c r="W929" s="55"/>
    </row>
    <row r="930">
      <c r="K930" s="53"/>
      <c r="N930" s="53"/>
      <c r="O930" s="53"/>
      <c r="T930" s="53"/>
      <c r="V930" s="53"/>
      <c r="W930" s="55"/>
    </row>
    <row r="931">
      <c r="K931" s="53"/>
      <c r="N931" s="53"/>
      <c r="O931" s="53"/>
      <c r="T931" s="53"/>
      <c r="V931" s="53"/>
      <c r="W931" s="55"/>
    </row>
    <row r="932">
      <c r="K932" s="53"/>
      <c r="N932" s="53"/>
      <c r="O932" s="53"/>
      <c r="T932" s="53"/>
      <c r="V932" s="53"/>
      <c r="W932" s="55"/>
    </row>
    <row r="933">
      <c r="K933" s="53"/>
      <c r="N933" s="53"/>
      <c r="O933" s="53"/>
      <c r="T933" s="53"/>
      <c r="V933" s="53"/>
      <c r="W933" s="55"/>
    </row>
    <row r="934">
      <c r="K934" s="53"/>
      <c r="N934" s="53"/>
      <c r="O934" s="53"/>
      <c r="T934" s="53"/>
      <c r="V934" s="53"/>
      <c r="W934" s="55"/>
    </row>
    <row r="935">
      <c r="K935" s="53"/>
      <c r="N935" s="53"/>
      <c r="O935" s="53"/>
      <c r="T935" s="53"/>
      <c r="V935" s="53"/>
      <c r="W935" s="55"/>
    </row>
    <row r="936">
      <c r="K936" s="53"/>
      <c r="N936" s="53"/>
      <c r="O936" s="53"/>
      <c r="T936" s="53"/>
      <c r="V936" s="53"/>
      <c r="W936" s="55"/>
    </row>
    <row r="937">
      <c r="K937" s="53"/>
      <c r="N937" s="53"/>
      <c r="O937" s="53"/>
      <c r="T937" s="53"/>
      <c r="V937" s="53"/>
      <c r="W937" s="55"/>
    </row>
    <row r="938">
      <c r="K938" s="53"/>
      <c r="N938" s="53"/>
      <c r="O938" s="53"/>
      <c r="T938" s="53"/>
      <c r="V938" s="53"/>
      <c r="W938" s="55"/>
    </row>
    <row r="939">
      <c r="K939" s="53"/>
      <c r="N939" s="53"/>
      <c r="O939" s="53"/>
      <c r="T939" s="53"/>
      <c r="V939" s="53"/>
      <c r="W939" s="55"/>
    </row>
    <row r="940">
      <c r="K940" s="53"/>
      <c r="N940" s="53"/>
      <c r="O940" s="53"/>
      <c r="T940" s="53"/>
      <c r="V940" s="53"/>
      <c r="W940" s="55"/>
    </row>
    <row r="941">
      <c r="K941" s="53"/>
      <c r="N941" s="53"/>
      <c r="O941" s="53"/>
      <c r="T941" s="53"/>
      <c r="V941" s="53"/>
      <c r="W941" s="55"/>
    </row>
    <row r="942">
      <c r="K942" s="53"/>
      <c r="N942" s="53"/>
      <c r="O942" s="53"/>
      <c r="T942" s="53"/>
      <c r="V942" s="53"/>
      <c r="W942" s="55"/>
    </row>
    <row r="943">
      <c r="K943" s="53"/>
      <c r="N943" s="53"/>
      <c r="O943" s="53"/>
      <c r="T943" s="53"/>
      <c r="V943" s="53"/>
      <c r="W943" s="55"/>
    </row>
    <row r="944">
      <c r="K944" s="53"/>
      <c r="N944" s="53"/>
      <c r="O944" s="53"/>
      <c r="T944" s="53"/>
      <c r="V944" s="53"/>
      <c r="W944" s="55"/>
    </row>
    <row r="945">
      <c r="K945" s="53"/>
      <c r="N945" s="53"/>
      <c r="O945" s="53"/>
      <c r="T945" s="53"/>
      <c r="V945" s="53"/>
      <c r="W945" s="55"/>
    </row>
    <row r="946">
      <c r="K946" s="53"/>
      <c r="N946" s="53"/>
      <c r="O946" s="53"/>
      <c r="T946" s="53"/>
      <c r="V946" s="53"/>
      <c r="W946" s="55"/>
    </row>
    <row r="947">
      <c r="K947" s="53"/>
      <c r="N947" s="53"/>
      <c r="O947" s="53"/>
      <c r="T947" s="53"/>
      <c r="V947" s="53"/>
      <c r="W947" s="55"/>
    </row>
    <row r="948">
      <c r="K948" s="53"/>
      <c r="N948" s="53"/>
      <c r="O948" s="53"/>
      <c r="T948" s="53"/>
      <c r="V948" s="53"/>
      <c r="W948" s="55"/>
    </row>
    <row r="949">
      <c r="K949" s="53"/>
      <c r="N949" s="53"/>
      <c r="O949" s="53"/>
      <c r="T949" s="53"/>
      <c r="V949" s="53"/>
      <c r="W949" s="55"/>
    </row>
    <row r="950">
      <c r="K950" s="53"/>
      <c r="N950" s="53"/>
      <c r="O950" s="53"/>
      <c r="T950" s="53"/>
      <c r="V950" s="53"/>
      <c r="W950" s="55"/>
    </row>
    <row r="951">
      <c r="K951" s="53"/>
      <c r="N951" s="53"/>
      <c r="O951" s="53"/>
      <c r="T951" s="53"/>
      <c r="V951" s="53"/>
      <c r="W951" s="55"/>
    </row>
    <row r="952">
      <c r="K952" s="53"/>
      <c r="N952" s="53"/>
      <c r="O952" s="53"/>
      <c r="T952" s="53"/>
      <c r="V952" s="53"/>
      <c r="W952" s="55"/>
    </row>
    <row r="953">
      <c r="K953" s="53"/>
      <c r="N953" s="53"/>
      <c r="O953" s="53"/>
      <c r="T953" s="53"/>
      <c r="V953" s="53"/>
      <c r="W953" s="55"/>
    </row>
    <row r="954">
      <c r="K954" s="53"/>
      <c r="N954" s="53"/>
      <c r="O954" s="53"/>
      <c r="T954" s="53"/>
      <c r="V954" s="53"/>
      <c r="W954" s="55"/>
    </row>
    <row r="955">
      <c r="K955" s="53"/>
      <c r="N955" s="53"/>
      <c r="O955" s="53"/>
      <c r="T955" s="53"/>
      <c r="V955" s="53"/>
      <c r="W955" s="55"/>
    </row>
    <row r="956">
      <c r="K956" s="53"/>
      <c r="N956" s="53"/>
      <c r="O956" s="53"/>
      <c r="T956" s="53"/>
      <c r="V956" s="53"/>
      <c r="W956" s="55"/>
    </row>
    <row r="957">
      <c r="K957" s="53"/>
      <c r="N957" s="53"/>
      <c r="O957" s="53"/>
      <c r="T957" s="53"/>
      <c r="V957" s="53"/>
      <c r="W957" s="55"/>
    </row>
    <row r="958">
      <c r="K958" s="53"/>
      <c r="N958" s="53"/>
      <c r="O958" s="53"/>
      <c r="T958" s="53"/>
      <c r="V958" s="53"/>
      <c r="W958" s="55"/>
    </row>
    <row r="959">
      <c r="K959" s="53"/>
      <c r="N959" s="53"/>
      <c r="O959" s="53"/>
      <c r="T959" s="53"/>
      <c r="V959" s="53"/>
      <c r="W959" s="55"/>
    </row>
    <row r="960">
      <c r="K960" s="53"/>
      <c r="N960" s="53"/>
      <c r="O960" s="53"/>
      <c r="T960" s="53"/>
      <c r="V960" s="53"/>
      <c r="W960" s="55"/>
    </row>
    <row r="961">
      <c r="K961" s="53"/>
      <c r="N961" s="53"/>
      <c r="O961" s="53"/>
      <c r="T961" s="53"/>
      <c r="V961" s="53"/>
      <c r="W961" s="55"/>
    </row>
    <row r="962">
      <c r="K962" s="53"/>
      <c r="N962" s="53"/>
      <c r="O962" s="53"/>
      <c r="T962" s="53"/>
      <c r="V962" s="53"/>
      <c r="W962" s="55"/>
    </row>
    <row r="963">
      <c r="K963" s="53"/>
      <c r="N963" s="53"/>
      <c r="O963" s="53"/>
      <c r="T963" s="53"/>
      <c r="V963" s="53"/>
      <c r="W963" s="55"/>
    </row>
    <row r="964">
      <c r="K964" s="53"/>
      <c r="N964" s="53"/>
      <c r="O964" s="53"/>
      <c r="T964" s="53"/>
      <c r="V964" s="53"/>
      <c r="W964" s="55"/>
    </row>
    <row r="965">
      <c r="K965" s="53"/>
      <c r="N965" s="53"/>
      <c r="O965" s="53"/>
      <c r="T965" s="53"/>
      <c r="V965" s="53"/>
      <c r="W965" s="55"/>
    </row>
    <row r="966">
      <c r="K966" s="53"/>
      <c r="N966" s="53"/>
      <c r="O966" s="53"/>
      <c r="T966" s="53"/>
      <c r="V966" s="53"/>
      <c r="W966" s="55"/>
    </row>
    <row r="967">
      <c r="K967" s="53"/>
      <c r="N967" s="53"/>
      <c r="O967" s="53"/>
      <c r="T967" s="53"/>
      <c r="V967" s="53"/>
      <c r="W967" s="55"/>
    </row>
    <row r="968">
      <c r="K968" s="53"/>
      <c r="N968" s="53"/>
      <c r="O968" s="53"/>
      <c r="T968" s="53"/>
      <c r="V968" s="53"/>
      <c r="W968" s="55"/>
    </row>
    <row r="969">
      <c r="K969" s="53"/>
      <c r="N969" s="53"/>
      <c r="O969" s="53"/>
      <c r="T969" s="53"/>
      <c r="V969" s="53"/>
      <c r="W969" s="55"/>
    </row>
    <row r="970">
      <c r="K970" s="53"/>
      <c r="N970" s="53"/>
      <c r="O970" s="53"/>
      <c r="T970" s="53"/>
      <c r="V970" s="53"/>
      <c r="W970" s="55"/>
    </row>
    <row r="971">
      <c r="K971" s="53"/>
      <c r="N971" s="53"/>
      <c r="O971" s="53"/>
      <c r="T971" s="53"/>
      <c r="V971" s="53"/>
      <c r="W971" s="55"/>
    </row>
    <row r="972">
      <c r="K972" s="53"/>
      <c r="N972" s="53"/>
      <c r="O972" s="53"/>
      <c r="T972" s="53"/>
      <c r="V972" s="53"/>
      <c r="W972" s="55"/>
    </row>
    <row r="973">
      <c r="K973" s="53"/>
      <c r="N973" s="53"/>
      <c r="O973" s="53"/>
      <c r="T973" s="53"/>
      <c r="V973" s="53"/>
      <c r="W973" s="55"/>
    </row>
    <row r="974">
      <c r="K974" s="53"/>
      <c r="N974" s="53"/>
      <c r="O974" s="53"/>
      <c r="T974" s="53"/>
      <c r="V974" s="53"/>
      <c r="W974" s="55"/>
    </row>
    <row r="975">
      <c r="K975" s="53"/>
      <c r="N975" s="53"/>
      <c r="O975" s="53"/>
      <c r="T975" s="53"/>
      <c r="V975" s="53"/>
      <c r="W975" s="55"/>
    </row>
    <row r="976">
      <c r="K976" s="53"/>
      <c r="N976" s="53"/>
      <c r="O976" s="53"/>
      <c r="T976" s="53"/>
      <c r="V976" s="53"/>
      <c r="W976" s="55"/>
    </row>
    <row r="977">
      <c r="K977" s="53"/>
      <c r="N977" s="53"/>
      <c r="O977" s="53"/>
      <c r="T977" s="53"/>
      <c r="V977" s="53"/>
      <c r="W977" s="55"/>
    </row>
    <row r="978">
      <c r="K978" s="53"/>
      <c r="N978" s="53"/>
      <c r="O978" s="53"/>
      <c r="T978" s="53"/>
      <c r="V978" s="53"/>
      <c r="W978" s="55"/>
    </row>
    <row r="979">
      <c r="K979" s="53"/>
      <c r="N979" s="53"/>
      <c r="O979" s="53"/>
      <c r="T979" s="53"/>
      <c r="V979" s="53"/>
      <c r="W979" s="55"/>
    </row>
    <row r="980">
      <c r="K980" s="53"/>
      <c r="N980" s="53"/>
      <c r="O980" s="53"/>
      <c r="T980" s="53"/>
      <c r="V980" s="53"/>
      <c r="W980" s="55"/>
    </row>
    <row r="981">
      <c r="K981" s="53"/>
      <c r="N981" s="53"/>
      <c r="O981" s="53"/>
      <c r="T981" s="53"/>
      <c r="V981" s="53"/>
      <c r="W981" s="55"/>
    </row>
    <row r="982">
      <c r="K982" s="53"/>
      <c r="N982" s="53"/>
      <c r="O982" s="53"/>
      <c r="T982" s="53"/>
      <c r="V982" s="53"/>
      <c r="W982" s="55"/>
    </row>
    <row r="983">
      <c r="K983" s="53"/>
      <c r="N983" s="53"/>
      <c r="O983" s="53"/>
      <c r="T983" s="53"/>
      <c r="V983" s="53"/>
      <c r="W983" s="55"/>
    </row>
    <row r="984">
      <c r="K984" s="53"/>
      <c r="N984" s="53"/>
      <c r="O984" s="53"/>
      <c r="T984" s="53"/>
      <c r="V984" s="53"/>
      <c r="W984" s="55"/>
    </row>
    <row r="985">
      <c r="K985" s="53"/>
      <c r="N985" s="53"/>
      <c r="O985" s="53"/>
      <c r="T985" s="53"/>
      <c r="V985" s="53"/>
      <c r="W985" s="55"/>
    </row>
    <row r="986">
      <c r="K986" s="53"/>
      <c r="N986" s="53"/>
      <c r="O986" s="53"/>
      <c r="T986" s="53"/>
      <c r="V986" s="53"/>
      <c r="W986" s="55"/>
    </row>
    <row r="987">
      <c r="K987" s="53"/>
      <c r="N987" s="53"/>
      <c r="O987" s="53"/>
      <c r="T987" s="53"/>
      <c r="V987" s="53"/>
      <c r="W987" s="55"/>
    </row>
    <row r="988">
      <c r="K988" s="53"/>
      <c r="N988" s="53"/>
      <c r="O988" s="53"/>
      <c r="T988" s="53"/>
      <c r="V988" s="53"/>
      <c r="W988" s="55"/>
    </row>
    <row r="989">
      <c r="K989" s="53"/>
      <c r="N989" s="53"/>
      <c r="O989" s="53"/>
      <c r="T989" s="53"/>
      <c r="V989" s="53"/>
      <c r="W989" s="55"/>
    </row>
    <row r="990">
      <c r="K990" s="53"/>
      <c r="N990" s="53"/>
      <c r="O990" s="53"/>
      <c r="T990" s="53"/>
      <c r="V990" s="53"/>
      <c r="W990" s="55"/>
    </row>
    <row r="991">
      <c r="K991" s="53"/>
      <c r="N991" s="53"/>
      <c r="O991" s="53"/>
      <c r="T991" s="53"/>
      <c r="V991" s="53"/>
      <c r="W991" s="55"/>
    </row>
    <row r="992">
      <c r="K992" s="53"/>
      <c r="N992" s="53"/>
      <c r="O992" s="53"/>
      <c r="T992" s="53"/>
      <c r="V992" s="53"/>
      <c r="W992" s="55"/>
    </row>
    <row r="993">
      <c r="K993" s="53"/>
      <c r="N993" s="53"/>
      <c r="O993" s="53"/>
      <c r="T993" s="53"/>
      <c r="V993" s="53"/>
      <c r="W993" s="55"/>
    </row>
    <row r="994">
      <c r="K994" s="53"/>
      <c r="N994" s="53"/>
      <c r="O994" s="53"/>
      <c r="T994" s="53"/>
      <c r="V994" s="53"/>
      <c r="W994" s="55"/>
    </row>
    <row r="995">
      <c r="K995" s="53"/>
      <c r="N995" s="53"/>
      <c r="O995" s="53"/>
      <c r="T995" s="53"/>
      <c r="V995" s="53"/>
      <c r="W995" s="55"/>
    </row>
    <row r="996">
      <c r="K996" s="53"/>
      <c r="N996" s="53"/>
      <c r="O996" s="53"/>
      <c r="T996" s="53"/>
      <c r="V996" s="53"/>
      <c r="W996" s="55"/>
    </row>
    <row r="997">
      <c r="K997" s="53"/>
      <c r="N997" s="53"/>
      <c r="O997" s="53"/>
      <c r="T997" s="53"/>
      <c r="V997" s="53"/>
      <c r="W997" s="55"/>
    </row>
    <row r="998">
      <c r="K998" s="53"/>
      <c r="N998" s="53"/>
      <c r="O998" s="53"/>
      <c r="T998" s="53"/>
      <c r="V998" s="53"/>
      <c r="W998" s="55"/>
    </row>
    <row r="999">
      <c r="K999" s="53"/>
      <c r="N999" s="53"/>
      <c r="O999" s="53"/>
      <c r="T999" s="53"/>
      <c r="V999" s="53"/>
      <c r="W999" s="55"/>
    </row>
    <row r="1000">
      <c r="K1000" s="53"/>
      <c r="N1000" s="53"/>
      <c r="O1000" s="53"/>
      <c r="T1000" s="53"/>
      <c r="V1000" s="53"/>
      <c r="W1000" s="55"/>
    </row>
    <row r="1001">
      <c r="K1001" s="53"/>
      <c r="N1001" s="53"/>
      <c r="O1001" s="53"/>
      <c r="T1001" s="53"/>
      <c r="V1001" s="53"/>
      <c r="W1001" s="55"/>
    </row>
    <row r="1002">
      <c r="K1002" s="53"/>
      <c r="N1002" s="53"/>
      <c r="O1002" s="53"/>
      <c r="T1002" s="53"/>
      <c r="V1002" s="53"/>
      <c r="W1002" s="55"/>
    </row>
    <row r="1003">
      <c r="K1003" s="53"/>
      <c r="N1003" s="53"/>
      <c r="O1003" s="53"/>
      <c r="T1003" s="53"/>
      <c r="V1003" s="53"/>
      <c r="W1003" s="55"/>
    </row>
    <row r="1004">
      <c r="K1004" s="53"/>
      <c r="N1004" s="53"/>
      <c r="O1004" s="53"/>
      <c r="T1004" s="53"/>
      <c r="V1004" s="53"/>
      <c r="W1004" s="55"/>
    </row>
    <row r="1005">
      <c r="K1005" s="53"/>
      <c r="N1005" s="53"/>
      <c r="O1005" s="53"/>
      <c r="T1005" s="53"/>
      <c r="V1005" s="53"/>
      <c r="W1005" s="55"/>
    </row>
    <row r="1006">
      <c r="K1006" s="53"/>
      <c r="N1006" s="53"/>
      <c r="O1006" s="53"/>
      <c r="T1006" s="53"/>
      <c r="V1006" s="53"/>
      <c r="W1006" s="55"/>
    </row>
    <row r="1007">
      <c r="K1007" s="53"/>
      <c r="N1007" s="53"/>
      <c r="O1007" s="53"/>
      <c r="T1007" s="53"/>
      <c r="V1007" s="53"/>
      <c r="W1007" s="55"/>
    </row>
    <row r="1008">
      <c r="K1008" s="53"/>
      <c r="N1008" s="53"/>
      <c r="O1008" s="53"/>
      <c r="T1008" s="53"/>
      <c r="V1008" s="53"/>
      <c r="W1008" s="55"/>
    </row>
    <row r="1009">
      <c r="K1009" s="53"/>
      <c r="N1009" s="53"/>
      <c r="O1009" s="53"/>
      <c r="T1009" s="53"/>
      <c r="V1009" s="53"/>
      <c r="W1009" s="55"/>
    </row>
    <row r="1010">
      <c r="K1010" s="53"/>
      <c r="N1010" s="53"/>
      <c r="O1010" s="53"/>
      <c r="T1010" s="53"/>
      <c r="V1010" s="53"/>
      <c r="W1010" s="55"/>
    </row>
    <row r="1011">
      <c r="K1011" s="53"/>
      <c r="N1011" s="53"/>
      <c r="O1011" s="53"/>
      <c r="T1011" s="53"/>
      <c r="V1011" s="53"/>
      <c r="W1011" s="55"/>
    </row>
    <row r="1012">
      <c r="K1012" s="53"/>
      <c r="N1012" s="53"/>
      <c r="O1012" s="53"/>
      <c r="T1012" s="53"/>
      <c r="V1012" s="53"/>
      <c r="W1012" s="55"/>
    </row>
    <row r="1013">
      <c r="K1013" s="53"/>
      <c r="N1013" s="53"/>
      <c r="O1013" s="53"/>
      <c r="T1013" s="53"/>
      <c r="V1013" s="53"/>
      <c r="W1013" s="55"/>
    </row>
    <row r="1014">
      <c r="K1014" s="53"/>
      <c r="N1014" s="53"/>
      <c r="O1014" s="53"/>
      <c r="T1014" s="53"/>
      <c r="V1014" s="53"/>
      <c r="W1014" s="55"/>
    </row>
    <row r="1015">
      <c r="K1015" s="53"/>
      <c r="N1015" s="53"/>
      <c r="O1015" s="53"/>
      <c r="T1015" s="53"/>
      <c r="V1015" s="53"/>
      <c r="W1015" s="55"/>
    </row>
    <row r="1016">
      <c r="K1016" s="53"/>
      <c r="N1016" s="53"/>
      <c r="O1016" s="53"/>
      <c r="T1016" s="53"/>
      <c r="V1016" s="53"/>
      <c r="W1016" s="55"/>
    </row>
    <row r="1017">
      <c r="K1017" s="53"/>
      <c r="N1017" s="53"/>
      <c r="O1017" s="53"/>
      <c r="T1017" s="53"/>
      <c r="V1017" s="53"/>
      <c r="W1017" s="55"/>
    </row>
    <row r="1018">
      <c r="K1018" s="53"/>
      <c r="N1018" s="53"/>
      <c r="O1018" s="53"/>
      <c r="T1018" s="53"/>
      <c r="V1018" s="53"/>
      <c r="W1018" s="55"/>
    </row>
    <row r="1019">
      <c r="K1019" s="53"/>
      <c r="N1019" s="53"/>
      <c r="O1019" s="53"/>
      <c r="T1019" s="53"/>
      <c r="V1019" s="53"/>
      <c r="W1019" s="55"/>
    </row>
    <row r="1020">
      <c r="K1020" s="53"/>
      <c r="N1020" s="53"/>
      <c r="O1020" s="53"/>
      <c r="T1020" s="53"/>
      <c r="V1020" s="53"/>
      <c r="W1020" s="55"/>
    </row>
    <row r="1021">
      <c r="K1021" s="53"/>
      <c r="N1021" s="53"/>
      <c r="O1021" s="53"/>
      <c r="T1021" s="53"/>
      <c r="V1021" s="53"/>
      <c r="W1021" s="55"/>
    </row>
    <row r="1022">
      <c r="K1022" s="53"/>
      <c r="N1022" s="53"/>
      <c r="O1022" s="53"/>
      <c r="T1022" s="53"/>
      <c r="V1022" s="53"/>
      <c r="W1022" s="55"/>
    </row>
    <row r="1023">
      <c r="K1023" s="53"/>
      <c r="N1023" s="53"/>
      <c r="O1023" s="53"/>
      <c r="T1023" s="53"/>
      <c r="V1023" s="53"/>
      <c r="W1023" s="55"/>
    </row>
    <row r="1024">
      <c r="K1024" s="53"/>
      <c r="N1024" s="53"/>
      <c r="O1024" s="53"/>
      <c r="T1024" s="53"/>
      <c r="V1024" s="53"/>
      <c r="W1024" s="55"/>
    </row>
    <row r="1025">
      <c r="K1025" s="53"/>
      <c r="N1025" s="53"/>
      <c r="O1025" s="53"/>
      <c r="T1025" s="53"/>
      <c r="V1025" s="53"/>
      <c r="W1025" s="55"/>
    </row>
    <row r="1026">
      <c r="K1026" s="53"/>
      <c r="N1026" s="53"/>
      <c r="O1026" s="53"/>
      <c r="T1026" s="53"/>
      <c r="V1026" s="53"/>
      <c r="W1026" s="55"/>
    </row>
    <row r="1027">
      <c r="K1027" s="53"/>
      <c r="N1027" s="53"/>
      <c r="O1027" s="53"/>
      <c r="T1027" s="53"/>
      <c r="V1027" s="53"/>
      <c r="W1027" s="55"/>
    </row>
    <row r="1028">
      <c r="K1028" s="53"/>
      <c r="N1028" s="53"/>
      <c r="O1028" s="53"/>
      <c r="T1028" s="53"/>
      <c r="V1028" s="53"/>
      <c r="W1028" s="55"/>
    </row>
    <row r="1029">
      <c r="K1029" s="53"/>
      <c r="N1029" s="53"/>
      <c r="O1029" s="53"/>
      <c r="T1029" s="53"/>
      <c r="V1029" s="53"/>
      <c r="W1029" s="55"/>
    </row>
    <row r="1030">
      <c r="K1030" s="53"/>
      <c r="N1030" s="53"/>
      <c r="O1030" s="53"/>
      <c r="T1030" s="53"/>
      <c r="V1030" s="53"/>
      <c r="W1030" s="55"/>
    </row>
    <row r="1031">
      <c r="K1031" s="53"/>
      <c r="N1031" s="53"/>
      <c r="O1031" s="53"/>
      <c r="T1031" s="53"/>
      <c r="V1031" s="53"/>
      <c r="W1031" s="55"/>
    </row>
    <row r="1032">
      <c r="K1032" s="53"/>
      <c r="N1032" s="53"/>
      <c r="O1032" s="53"/>
      <c r="T1032" s="53"/>
      <c r="V1032" s="53"/>
      <c r="W1032" s="55"/>
    </row>
    <row r="1033">
      <c r="K1033" s="53"/>
      <c r="N1033" s="53"/>
      <c r="O1033" s="53"/>
      <c r="T1033" s="53"/>
      <c r="V1033" s="53"/>
      <c r="W1033" s="55"/>
    </row>
    <row r="1034">
      <c r="K1034" s="53"/>
      <c r="N1034" s="53"/>
      <c r="O1034" s="53"/>
      <c r="T1034" s="53"/>
      <c r="V1034" s="53"/>
      <c r="W1034" s="55"/>
    </row>
    <row r="1035">
      <c r="K1035" s="53"/>
      <c r="N1035" s="53"/>
      <c r="O1035" s="53"/>
      <c r="T1035" s="53"/>
      <c r="V1035" s="53"/>
      <c r="W1035" s="55"/>
    </row>
    <row r="1036">
      <c r="K1036" s="53"/>
      <c r="N1036" s="53"/>
      <c r="O1036" s="53"/>
      <c r="T1036" s="53"/>
      <c r="V1036" s="53"/>
      <c r="W1036" s="55"/>
    </row>
    <row r="1037">
      <c r="K1037" s="53"/>
      <c r="N1037" s="53"/>
      <c r="O1037" s="53"/>
      <c r="T1037" s="53"/>
      <c r="V1037" s="53"/>
      <c r="W1037" s="55"/>
    </row>
    <row r="1038">
      <c r="K1038" s="53"/>
      <c r="N1038" s="53"/>
      <c r="O1038" s="53"/>
      <c r="T1038" s="53"/>
      <c r="V1038" s="53"/>
      <c r="W1038" s="55"/>
    </row>
    <row r="1039">
      <c r="K1039" s="53"/>
      <c r="N1039" s="53"/>
      <c r="O1039" s="53"/>
      <c r="T1039" s="53"/>
      <c r="V1039" s="53"/>
      <c r="W1039" s="55"/>
    </row>
    <row r="1040">
      <c r="K1040" s="53"/>
      <c r="N1040" s="53"/>
      <c r="O1040" s="53"/>
      <c r="T1040" s="53"/>
      <c r="V1040" s="53"/>
      <c r="W1040" s="55"/>
    </row>
    <row r="1041">
      <c r="K1041" s="53"/>
      <c r="N1041" s="53"/>
      <c r="O1041" s="53"/>
      <c r="T1041" s="53"/>
      <c r="V1041" s="53"/>
      <c r="W1041" s="55"/>
    </row>
    <row r="1042">
      <c r="K1042" s="53"/>
      <c r="N1042" s="53"/>
      <c r="O1042" s="53"/>
      <c r="T1042" s="53"/>
      <c r="V1042" s="53"/>
      <c r="W1042" s="55"/>
    </row>
    <row r="1043">
      <c r="K1043" s="53"/>
      <c r="N1043" s="53"/>
      <c r="O1043" s="53"/>
      <c r="T1043" s="53"/>
      <c r="V1043" s="53"/>
      <c r="W1043" s="55"/>
    </row>
    <row r="1044">
      <c r="K1044" s="53"/>
      <c r="N1044" s="53"/>
      <c r="O1044" s="53"/>
      <c r="T1044" s="53"/>
      <c r="V1044" s="53"/>
      <c r="W1044" s="55"/>
    </row>
    <row r="1045">
      <c r="K1045" s="53"/>
      <c r="N1045" s="53"/>
      <c r="O1045" s="53"/>
      <c r="T1045" s="53"/>
      <c r="V1045" s="53"/>
      <c r="W1045" s="55"/>
    </row>
    <row r="1046">
      <c r="K1046" s="53"/>
      <c r="N1046" s="53"/>
      <c r="O1046" s="53"/>
      <c r="T1046" s="53"/>
      <c r="V1046" s="53"/>
      <c r="W1046" s="55"/>
    </row>
    <row r="1047">
      <c r="K1047" s="53"/>
      <c r="N1047" s="53"/>
      <c r="O1047" s="53"/>
      <c r="T1047" s="53"/>
      <c r="V1047" s="53"/>
      <c r="W1047" s="55"/>
    </row>
    <row r="1048">
      <c r="K1048" s="53"/>
      <c r="N1048" s="53"/>
      <c r="O1048" s="53"/>
      <c r="T1048" s="53"/>
      <c r="V1048" s="53"/>
      <c r="W1048" s="55"/>
    </row>
    <row r="1049">
      <c r="K1049" s="53"/>
      <c r="N1049" s="53"/>
      <c r="O1049" s="53"/>
      <c r="T1049" s="53"/>
      <c r="V1049" s="53"/>
      <c r="W1049" s="55"/>
    </row>
    <row r="1050">
      <c r="K1050" s="53"/>
      <c r="N1050" s="53"/>
      <c r="O1050" s="53"/>
      <c r="T1050" s="53"/>
      <c r="V1050" s="53"/>
      <c r="W1050" s="55"/>
    </row>
    <row r="1051">
      <c r="K1051" s="53"/>
      <c r="N1051" s="53"/>
      <c r="O1051" s="53"/>
      <c r="T1051" s="53"/>
      <c r="V1051" s="53"/>
      <c r="W1051" s="55"/>
    </row>
    <row r="1052">
      <c r="K1052" s="53"/>
      <c r="N1052" s="53"/>
      <c r="O1052" s="53"/>
      <c r="T1052" s="53"/>
      <c r="V1052" s="53"/>
      <c r="W1052" s="55"/>
    </row>
    <row r="1053">
      <c r="K1053" s="53"/>
      <c r="N1053" s="53"/>
      <c r="O1053" s="53"/>
      <c r="T1053" s="53"/>
      <c r="V1053" s="53"/>
      <c r="W1053" s="55"/>
    </row>
    <row r="1054">
      <c r="K1054" s="53"/>
      <c r="N1054" s="53"/>
      <c r="O1054" s="53"/>
      <c r="T1054" s="53"/>
      <c r="V1054" s="53"/>
      <c r="W1054" s="55"/>
    </row>
    <row r="1055">
      <c r="K1055" s="53"/>
      <c r="N1055" s="53"/>
      <c r="O1055" s="53"/>
      <c r="T1055" s="53"/>
      <c r="V1055" s="53"/>
      <c r="W1055" s="55"/>
    </row>
    <row r="1056">
      <c r="K1056" s="53"/>
      <c r="N1056" s="53"/>
      <c r="O1056" s="53"/>
      <c r="T1056" s="53"/>
      <c r="V1056" s="53"/>
      <c r="W1056" s="55"/>
    </row>
    <row r="1057">
      <c r="K1057" s="53"/>
      <c r="N1057" s="53"/>
      <c r="O1057" s="53"/>
      <c r="T1057" s="53"/>
      <c r="V1057" s="53"/>
      <c r="W1057" s="55"/>
    </row>
    <row r="1058">
      <c r="K1058" s="53"/>
      <c r="N1058" s="53"/>
      <c r="O1058" s="53"/>
      <c r="T1058" s="53"/>
      <c r="V1058" s="53"/>
      <c r="W1058" s="55"/>
    </row>
    <row r="1059">
      <c r="K1059" s="53"/>
      <c r="N1059" s="53"/>
      <c r="O1059" s="53"/>
      <c r="T1059" s="53"/>
      <c r="V1059" s="53"/>
      <c r="W1059" s="55"/>
    </row>
    <row r="1060">
      <c r="K1060" s="53"/>
      <c r="N1060" s="53"/>
      <c r="O1060" s="53"/>
      <c r="T1060" s="53"/>
      <c r="V1060" s="53"/>
      <c r="W1060" s="55"/>
    </row>
    <row r="1061">
      <c r="K1061" s="53"/>
      <c r="N1061" s="53"/>
      <c r="O1061" s="53"/>
      <c r="T1061" s="53"/>
      <c r="V1061" s="53"/>
      <c r="W1061" s="55"/>
    </row>
    <row r="1062">
      <c r="K1062" s="53"/>
      <c r="N1062" s="53"/>
      <c r="O1062" s="53"/>
      <c r="T1062" s="53"/>
      <c r="V1062" s="53"/>
      <c r="W1062" s="55"/>
    </row>
    <row r="1063">
      <c r="K1063" s="53"/>
      <c r="N1063" s="53"/>
      <c r="O1063" s="53"/>
      <c r="T1063" s="53"/>
      <c r="V1063" s="53"/>
      <c r="W1063" s="55"/>
    </row>
    <row r="1064">
      <c r="K1064" s="53"/>
      <c r="N1064" s="53"/>
      <c r="O1064" s="53"/>
      <c r="T1064" s="53"/>
      <c r="V1064" s="53"/>
      <c r="W1064" s="55"/>
    </row>
    <row r="1065">
      <c r="K1065" s="53"/>
      <c r="N1065" s="53"/>
      <c r="O1065" s="53"/>
      <c r="T1065" s="53"/>
      <c r="V1065" s="53"/>
      <c r="W1065" s="55"/>
    </row>
    <row r="1066">
      <c r="K1066" s="53"/>
      <c r="N1066" s="53"/>
      <c r="O1066" s="53"/>
      <c r="T1066" s="53"/>
      <c r="V1066" s="53"/>
      <c r="W1066" s="55"/>
    </row>
    <row r="1067">
      <c r="K1067" s="53"/>
      <c r="N1067" s="53"/>
      <c r="O1067" s="53"/>
      <c r="T1067" s="53"/>
      <c r="V1067" s="53"/>
      <c r="W1067" s="55"/>
    </row>
    <row r="1068">
      <c r="K1068" s="53"/>
      <c r="N1068" s="53"/>
      <c r="O1068" s="53"/>
      <c r="T1068" s="53"/>
      <c r="V1068" s="53"/>
      <c r="W1068" s="55"/>
    </row>
    <row r="1069">
      <c r="K1069" s="53"/>
      <c r="N1069" s="53"/>
      <c r="O1069" s="53"/>
      <c r="T1069" s="53"/>
      <c r="V1069" s="53"/>
      <c r="W1069" s="55"/>
    </row>
    <row r="1070">
      <c r="K1070" s="53"/>
      <c r="N1070" s="53"/>
      <c r="O1070" s="53"/>
      <c r="T1070" s="53"/>
      <c r="V1070" s="53"/>
      <c r="W1070" s="55"/>
    </row>
    <row r="1071">
      <c r="K1071" s="53"/>
      <c r="N1071" s="53"/>
      <c r="O1071" s="53"/>
      <c r="T1071" s="53"/>
      <c r="V1071" s="53"/>
      <c r="W1071" s="55"/>
    </row>
    <row r="1072">
      <c r="K1072" s="53"/>
      <c r="N1072" s="53"/>
      <c r="O1072" s="53"/>
      <c r="T1072" s="53"/>
      <c r="V1072" s="53"/>
      <c r="W1072" s="55"/>
    </row>
    <row r="1073">
      <c r="K1073" s="53"/>
      <c r="N1073" s="53"/>
      <c r="O1073" s="53"/>
      <c r="T1073" s="53"/>
      <c r="V1073" s="53"/>
      <c r="W1073" s="55"/>
    </row>
    <row r="1074">
      <c r="K1074" s="53"/>
      <c r="N1074" s="53"/>
      <c r="O1074" s="53"/>
      <c r="T1074" s="53"/>
      <c r="V1074" s="53"/>
      <c r="W1074" s="55"/>
    </row>
    <row r="1075">
      <c r="K1075" s="53"/>
      <c r="N1075" s="53"/>
      <c r="O1075" s="53"/>
      <c r="T1075" s="53"/>
      <c r="V1075" s="53"/>
      <c r="W1075" s="55"/>
    </row>
    <row r="1076">
      <c r="K1076" s="53"/>
      <c r="N1076" s="53"/>
      <c r="O1076" s="53"/>
      <c r="T1076" s="53"/>
      <c r="V1076" s="53"/>
      <c r="W1076" s="55"/>
    </row>
    <row r="1077">
      <c r="K1077" s="53"/>
      <c r="N1077" s="53"/>
      <c r="O1077" s="53"/>
      <c r="T1077" s="53"/>
      <c r="V1077" s="53"/>
      <c r="W1077" s="55"/>
    </row>
    <row r="1078">
      <c r="K1078" s="53"/>
      <c r="N1078" s="53"/>
      <c r="O1078" s="53"/>
      <c r="T1078" s="53"/>
      <c r="V1078" s="53"/>
      <c r="W1078" s="55"/>
    </row>
    <row r="1079">
      <c r="K1079" s="53"/>
      <c r="N1079" s="53"/>
      <c r="O1079" s="53"/>
      <c r="T1079" s="53"/>
      <c r="V1079" s="53"/>
      <c r="W1079" s="55"/>
    </row>
    <row r="1080">
      <c r="K1080" s="53"/>
      <c r="N1080" s="53"/>
      <c r="O1080" s="53"/>
      <c r="T1080" s="53"/>
      <c r="V1080" s="53"/>
      <c r="W1080" s="55"/>
    </row>
    <row r="1081">
      <c r="K1081" s="53"/>
      <c r="N1081" s="53"/>
      <c r="O1081" s="53"/>
      <c r="T1081" s="53"/>
      <c r="V1081" s="53"/>
      <c r="W1081" s="55"/>
    </row>
    <row r="1082">
      <c r="K1082" s="53"/>
      <c r="N1082" s="53"/>
      <c r="O1082" s="53"/>
      <c r="T1082" s="53"/>
      <c r="V1082" s="53"/>
      <c r="W1082" s="55"/>
    </row>
    <row r="1083">
      <c r="K1083" s="53"/>
      <c r="N1083" s="53"/>
      <c r="O1083" s="53"/>
      <c r="T1083" s="53"/>
      <c r="V1083" s="53"/>
      <c r="W1083" s="55"/>
    </row>
    <row r="1084">
      <c r="K1084" s="53"/>
      <c r="N1084" s="53"/>
      <c r="O1084" s="53"/>
      <c r="T1084" s="53"/>
      <c r="V1084" s="53"/>
      <c r="W1084" s="55"/>
    </row>
    <row r="1085">
      <c r="K1085" s="53"/>
      <c r="N1085" s="53"/>
      <c r="O1085" s="53"/>
      <c r="T1085" s="53"/>
      <c r="V1085" s="53"/>
      <c r="W1085" s="55"/>
    </row>
    <row r="1086">
      <c r="K1086" s="53"/>
      <c r="N1086" s="53"/>
      <c r="O1086" s="53"/>
      <c r="T1086" s="53"/>
      <c r="V1086" s="53"/>
      <c r="W1086" s="55"/>
    </row>
    <row r="1087">
      <c r="K1087" s="53"/>
      <c r="N1087" s="53"/>
      <c r="O1087" s="53"/>
      <c r="T1087" s="53"/>
      <c r="V1087" s="53"/>
      <c r="W1087" s="55"/>
    </row>
    <row r="1088">
      <c r="K1088" s="53"/>
      <c r="N1088" s="53"/>
      <c r="O1088" s="53"/>
      <c r="T1088" s="53"/>
      <c r="V1088" s="53"/>
      <c r="W1088" s="55"/>
    </row>
    <row r="1089">
      <c r="K1089" s="53"/>
      <c r="N1089" s="53"/>
      <c r="O1089" s="53"/>
      <c r="T1089" s="53"/>
      <c r="V1089" s="53"/>
      <c r="W1089" s="55"/>
    </row>
    <row r="1090">
      <c r="K1090" s="53"/>
      <c r="N1090" s="53"/>
      <c r="O1090" s="53"/>
      <c r="T1090" s="53"/>
      <c r="V1090" s="53"/>
      <c r="W1090" s="55"/>
    </row>
    <row r="1091">
      <c r="K1091" s="53"/>
      <c r="N1091" s="53"/>
      <c r="O1091" s="53"/>
      <c r="T1091" s="53"/>
      <c r="V1091" s="53"/>
      <c r="W1091" s="55"/>
    </row>
    <row r="1092">
      <c r="K1092" s="53"/>
      <c r="N1092" s="53"/>
      <c r="O1092" s="53"/>
      <c r="T1092" s="53"/>
      <c r="V1092" s="53"/>
      <c r="W1092" s="55"/>
    </row>
    <row r="1093">
      <c r="K1093" s="53"/>
      <c r="N1093" s="53"/>
      <c r="O1093" s="53"/>
      <c r="T1093" s="53"/>
      <c r="V1093" s="53"/>
      <c r="W1093" s="55"/>
    </row>
    <row r="1094">
      <c r="K1094" s="53"/>
      <c r="N1094" s="53"/>
      <c r="O1094" s="53"/>
      <c r="T1094" s="53"/>
      <c r="V1094" s="53"/>
      <c r="W1094" s="55"/>
    </row>
    <row r="1095">
      <c r="K1095" s="53"/>
      <c r="N1095" s="53"/>
      <c r="O1095" s="53"/>
      <c r="T1095" s="53"/>
      <c r="V1095" s="53"/>
      <c r="W1095" s="55"/>
    </row>
    <row r="1096">
      <c r="K1096" s="53"/>
      <c r="N1096" s="53"/>
      <c r="O1096" s="53"/>
      <c r="T1096" s="53"/>
      <c r="V1096" s="53"/>
      <c r="W1096" s="55"/>
    </row>
    <row r="1097">
      <c r="K1097" s="53"/>
      <c r="N1097" s="53"/>
      <c r="O1097" s="53"/>
      <c r="T1097" s="53"/>
      <c r="V1097" s="53"/>
      <c r="W1097" s="55"/>
    </row>
    <row r="1098">
      <c r="K1098" s="53"/>
      <c r="N1098" s="53"/>
      <c r="O1098" s="53"/>
      <c r="T1098" s="53"/>
      <c r="V1098" s="53"/>
      <c r="W1098" s="55"/>
    </row>
    <row r="1099">
      <c r="K1099" s="53"/>
      <c r="N1099" s="53"/>
      <c r="O1099" s="53"/>
      <c r="T1099" s="53"/>
      <c r="V1099" s="53"/>
      <c r="W1099" s="55"/>
    </row>
    <row r="1100">
      <c r="K1100" s="53"/>
      <c r="N1100" s="53"/>
      <c r="O1100" s="53"/>
      <c r="T1100" s="53"/>
      <c r="V1100" s="53"/>
      <c r="W1100" s="55"/>
    </row>
    <row r="1101">
      <c r="K1101" s="53"/>
      <c r="N1101" s="53"/>
      <c r="O1101" s="53"/>
      <c r="T1101" s="53"/>
      <c r="V1101" s="53"/>
      <c r="W1101" s="55"/>
    </row>
    <row r="1102">
      <c r="K1102" s="53"/>
      <c r="N1102" s="53"/>
      <c r="O1102" s="53"/>
      <c r="T1102" s="53"/>
      <c r="V1102" s="53"/>
      <c r="W1102" s="55"/>
    </row>
    <row r="1103">
      <c r="K1103" s="53"/>
      <c r="N1103" s="53"/>
      <c r="O1103" s="53"/>
      <c r="T1103" s="53"/>
      <c r="V1103" s="53"/>
      <c r="W1103" s="55"/>
    </row>
    <row r="1104">
      <c r="K1104" s="53"/>
      <c r="N1104" s="53"/>
      <c r="O1104" s="53"/>
      <c r="T1104" s="53"/>
      <c r="V1104" s="53"/>
      <c r="W1104" s="55"/>
    </row>
    <row r="1105">
      <c r="K1105" s="53"/>
      <c r="N1105" s="53"/>
      <c r="O1105" s="53"/>
      <c r="T1105" s="53"/>
      <c r="V1105" s="53"/>
      <c r="W1105" s="55"/>
    </row>
    <row r="1106">
      <c r="K1106" s="53"/>
      <c r="N1106" s="53"/>
      <c r="O1106" s="53"/>
      <c r="T1106" s="53"/>
      <c r="V1106" s="53"/>
      <c r="W1106" s="55"/>
    </row>
    <row r="1107">
      <c r="K1107" s="53"/>
      <c r="N1107" s="53"/>
      <c r="O1107" s="53"/>
      <c r="T1107" s="53"/>
      <c r="V1107" s="53"/>
      <c r="W1107" s="55"/>
    </row>
    <row r="1108">
      <c r="K1108" s="53"/>
      <c r="N1108" s="53"/>
      <c r="O1108" s="53"/>
      <c r="T1108" s="53"/>
      <c r="V1108" s="53"/>
      <c r="W1108" s="55"/>
    </row>
    <row r="1109">
      <c r="K1109" s="53"/>
      <c r="N1109" s="53"/>
      <c r="O1109" s="53"/>
      <c r="T1109" s="53"/>
      <c r="V1109" s="53"/>
      <c r="W1109" s="55"/>
    </row>
    <row r="1110">
      <c r="K1110" s="53"/>
      <c r="N1110" s="53"/>
      <c r="O1110" s="53"/>
      <c r="T1110" s="53"/>
      <c r="V1110" s="53"/>
      <c r="W1110" s="55"/>
    </row>
    <row r="1111">
      <c r="K1111" s="53"/>
      <c r="N1111" s="53"/>
      <c r="O1111" s="53"/>
      <c r="T1111" s="53"/>
      <c r="V1111" s="53"/>
      <c r="W1111" s="55"/>
    </row>
    <row r="1112">
      <c r="K1112" s="53"/>
      <c r="N1112" s="53"/>
      <c r="O1112" s="53"/>
      <c r="T1112" s="53"/>
      <c r="V1112" s="53"/>
      <c r="W1112" s="55"/>
    </row>
    <row r="1113">
      <c r="K1113" s="53"/>
      <c r="N1113" s="53"/>
      <c r="O1113" s="53"/>
      <c r="T1113" s="53"/>
      <c r="V1113" s="53"/>
      <c r="W1113" s="55"/>
    </row>
    <row r="1114">
      <c r="K1114" s="53"/>
      <c r="N1114" s="53"/>
      <c r="O1114" s="53"/>
      <c r="T1114" s="53"/>
      <c r="V1114" s="53"/>
      <c r="W1114" s="55"/>
    </row>
    <row r="1115">
      <c r="K1115" s="53"/>
      <c r="N1115" s="53"/>
      <c r="O1115" s="53"/>
      <c r="T1115" s="53"/>
      <c r="V1115" s="53"/>
      <c r="W1115" s="55"/>
    </row>
    <row r="1116">
      <c r="K1116" s="53"/>
      <c r="N1116" s="53"/>
      <c r="O1116" s="53"/>
      <c r="T1116" s="53"/>
      <c r="V1116" s="53"/>
      <c r="W1116" s="55"/>
    </row>
    <row r="1117">
      <c r="K1117" s="53"/>
      <c r="N1117" s="53"/>
      <c r="O1117" s="53"/>
      <c r="T1117" s="53"/>
      <c r="V1117" s="53"/>
      <c r="W1117" s="55"/>
    </row>
    <row r="1118">
      <c r="K1118" s="53"/>
      <c r="N1118" s="53"/>
      <c r="O1118" s="53"/>
      <c r="T1118" s="53"/>
      <c r="V1118" s="53"/>
      <c r="W1118" s="55"/>
    </row>
    <row r="1119">
      <c r="K1119" s="53"/>
      <c r="N1119" s="53"/>
      <c r="O1119" s="53"/>
      <c r="T1119" s="53"/>
      <c r="V1119" s="53"/>
      <c r="W1119" s="55"/>
    </row>
    <row r="1120">
      <c r="K1120" s="53"/>
      <c r="N1120" s="53"/>
      <c r="O1120" s="53"/>
      <c r="T1120" s="53"/>
      <c r="V1120" s="53"/>
      <c r="W1120" s="55"/>
    </row>
    <row r="1121">
      <c r="K1121" s="53"/>
      <c r="N1121" s="53"/>
      <c r="O1121" s="53"/>
      <c r="T1121" s="53"/>
      <c r="V1121" s="53"/>
      <c r="W1121" s="55"/>
    </row>
    <row r="1122">
      <c r="K1122" s="53"/>
      <c r="N1122" s="53"/>
      <c r="O1122" s="53"/>
      <c r="T1122" s="53"/>
      <c r="V1122" s="53"/>
      <c r="W1122" s="55"/>
    </row>
    <row r="1123">
      <c r="K1123" s="53"/>
      <c r="N1123" s="53"/>
      <c r="O1123" s="53"/>
      <c r="T1123" s="53"/>
      <c r="V1123" s="53"/>
      <c r="W1123" s="55"/>
    </row>
    <row r="1124">
      <c r="K1124" s="53"/>
      <c r="N1124" s="53"/>
      <c r="O1124" s="53"/>
      <c r="T1124" s="53"/>
      <c r="V1124" s="53"/>
      <c r="W1124" s="55"/>
    </row>
    <row r="1125">
      <c r="K1125" s="53"/>
      <c r="N1125" s="53"/>
      <c r="O1125" s="53"/>
      <c r="T1125" s="53"/>
      <c r="V1125" s="53"/>
      <c r="W1125" s="55"/>
    </row>
    <row r="1126">
      <c r="K1126" s="53"/>
      <c r="N1126" s="53"/>
      <c r="O1126" s="53"/>
      <c r="T1126" s="53"/>
      <c r="V1126" s="53"/>
      <c r="W1126" s="55"/>
    </row>
    <row r="1127">
      <c r="K1127" s="53"/>
      <c r="N1127" s="53"/>
      <c r="O1127" s="53"/>
      <c r="T1127" s="53"/>
      <c r="V1127" s="53"/>
      <c r="W1127" s="55"/>
    </row>
    <row r="1128">
      <c r="K1128" s="53"/>
      <c r="N1128" s="53"/>
      <c r="O1128" s="53"/>
      <c r="T1128" s="53"/>
      <c r="V1128" s="53"/>
      <c r="W1128" s="55"/>
    </row>
    <row r="1129">
      <c r="K1129" s="53"/>
      <c r="N1129" s="53"/>
      <c r="O1129" s="53"/>
      <c r="T1129" s="53"/>
      <c r="V1129" s="53"/>
      <c r="W1129" s="55"/>
    </row>
    <row r="1130">
      <c r="K1130" s="53"/>
      <c r="N1130" s="53"/>
      <c r="O1130" s="53"/>
      <c r="T1130" s="53"/>
      <c r="V1130" s="53"/>
      <c r="W1130" s="55"/>
    </row>
    <row r="1131">
      <c r="K1131" s="53"/>
      <c r="N1131" s="53"/>
      <c r="O1131" s="53"/>
      <c r="T1131" s="53"/>
      <c r="V1131" s="53"/>
      <c r="W1131" s="55"/>
    </row>
    <row r="1132">
      <c r="K1132" s="53"/>
      <c r="N1132" s="53"/>
      <c r="O1132" s="53"/>
      <c r="T1132" s="53"/>
      <c r="V1132" s="53"/>
      <c r="W1132" s="55"/>
    </row>
    <row r="1133">
      <c r="K1133" s="53"/>
      <c r="N1133" s="53"/>
      <c r="O1133" s="53"/>
      <c r="T1133" s="53"/>
      <c r="V1133" s="53"/>
      <c r="W1133" s="55"/>
    </row>
    <row r="1134">
      <c r="K1134" s="53"/>
      <c r="N1134" s="53"/>
      <c r="O1134" s="53"/>
      <c r="T1134" s="53"/>
      <c r="V1134" s="53"/>
      <c r="W1134" s="55"/>
    </row>
    <row r="1135">
      <c r="K1135" s="53"/>
      <c r="N1135" s="53"/>
      <c r="O1135" s="53"/>
      <c r="T1135" s="53"/>
      <c r="V1135" s="53"/>
      <c r="W1135" s="55"/>
    </row>
    <row r="1136">
      <c r="K1136" s="53"/>
      <c r="N1136" s="53"/>
      <c r="O1136" s="53"/>
      <c r="T1136" s="53"/>
      <c r="V1136" s="53"/>
      <c r="W1136" s="55"/>
    </row>
    <row r="1137">
      <c r="K1137" s="53"/>
      <c r="N1137" s="53"/>
      <c r="O1137" s="53"/>
      <c r="T1137" s="53"/>
      <c r="V1137" s="53"/>
      <c r="W1137" s="55"/>
    </row>
    <row r="1138">
      <c r="K1138" s="53"/>
      <c r="N1138" s="53"/>
      <c r="O1138" s="53"/>
      <c r="T1138" s="53"/>
      <c r="V1138" s="53"/>
      <c r="W1138" s="55"/>
    </row>
    <row r="1139">
      <c r="K1139" s="53"/>
      <c r="N1139" s="53"/>
      <c r="O1139" s="53"/>
      <c r="T1139" s="53"/>
      <c r="V1139" s="53"/>
      <c r="W1139" s="55"/>
    </row>
    <row r="1140">
      <c r="K1140" s="53"/>
      <c r="N1140" s="53"/>
      <c r="O1140" s="53"/>
      <c r="T1140" s="53"/>
      <c r="V1140" s="53"/>
      <c r="W1140" s="55"/>
    </row>
    <row r="1141">
      <c r="K1141" s="53"/>
      <c r="N1141" s="53"/>
      <c r="O1141" s="53"/>
      <c r="T1141" s="53"/>
      <c r="V1141" s="53"/>
      <c r="W1141" s="55"/>
    </row>
    <row r="1142">
      <c r="K1142" s="53"/>
      <c r="N1142" s="53"/>
      <c r="O1142" s="53"/>
      <c r="T1142" s="53"/>
      <c r="V1142" s="53"/>
      <c r="W1142" s="55"/>
    </row>
    <row r="1143">
      <c r="K1143" s="53"/>
      <c r="N1143" s="53"/>
      <c r="O1143" s="53"/>
      <c r="T1143" s="53"/>
      <c r="V1143" s="53"/>
      <c r="W1143" s="55"/>
    </row>
    <row r="1144">
      <c r="K1144" s="53"/>
      <c r="N1144" s="53"/>
      <c r="O1144" s="53"/>
      <c r="T1144" s="53"/>
      <c r="V1144" s="53"/>
      <c r="W1144" s="55"/>
    </row>
    <row r="1145">
      <c r="K1145" s="53"/>
      <c r="N1145" s="53"/>
      <c r="O1145" s="53"/>
      <c r="T1145" s="53"/>
      <c r="V1145" s="53"/>
      <c r="W1145" s="55"/>
    </row>
    <row r="1146">
      <c r="K1146" s="53"/>
      <c r="N1146" s="53"/>
      <c r="O1146" s="53"/>
      <c r="T1146" s="53"/>
      <c r="V1146" s="53"/>
      <c r="W1146" s="55"/>
    </row>
    <row r="1147">
      <c r="K1147" s="53"/>
      <c r="N1147" s="53"/>
      <c r="O1147" s="53"/>
      <c r="T1147" s="53"/>
      <c r="V1147" s="53"/>
      <c r="W1147" s="55"/>
    </row>
    <row r="1148">
      <c r="K1148" s="53"/>
      <c r="N1148" s="53"/>
      <c r="O1148" s="53"/>
      <c r="T1148" s="53"/>
      <c r="V1148" s="53"/>
      <c r="W1148" s="55"/>
    </row>
    <row r="1149">
      <c r="K1149" s="53"/>
      <c r="N1149" s="53"/>
      <c r="O1149" s="53"/>
      <c r="T1149" s="53"/>
      <c r="V1149" s="53"/>
      <c r="W1149" s="55"/>
    </row>
    <row r="1150">
      <c r="K1150" s="53"/>
      <c r="N1150" s="53"/>
      <c r="O1150" s="53"/>
      <c r="T1150" s="53"/>
      <c r="V1150" s="53"/>
      <c r="W1150" s="55"/>
    </row>
    <row r="1151">
      <c r="K1151" s="53"/>
      <c r="N1151" s="53"/>
      <c r="O1151" s="53"/>
      <c r="T1151" s="53"/>
      <c r="V1151" s="53"/>
      <c r="W1151" s="55"/>
    </row>
    <row r="1152">
      <c r="K1152" s="53"/>
      <c r="N1152" s="53"/>
      <c r="O1152" s="53"/>
      <c r="T1152" s="53"/>
      <c r="V1152" s="53"/>
      <c r="W1152" s="55"/>
    </row>
    <row r="1153">
      <c r="K1153" s="53"/>
      <c r="N1153" s="53"/>
      <c r="O1153" s="53"/>
      <c r="T1153" s="53"/>
      <c r="V1153" s="53"/>
      <c r="W1153" s="55"/>
    </row>
    <row r="1154">
      <c r="K1154" s="53"/>
      <c r="N1154" s="53"/>
      <c r="O1154" s="53"/>
      <c r="T1154" s="53"/>
      <c r="V1154" s="53"/>
      <c r="W1154" s="55"/>
    </row>
    <row r="1155">
      <c r="K1155" s="53"/>
      <c r="N1155" s="53"/>
      <c r="O1155" s="53"/>
      <c r="T1155" s="53"/>
      <c r="V1155" s="53"/>
      <c r="W1155" s="55"/>
    </row>
    <row r="1156">
      <c r="K1156" s="53"/>
      <c r="N1156" s="53"/>
      <c r="O1156" s="53"/>
      <c r="T1156" s="53"/>
      <c r="V1156" s="53"/>
      <c r="W1156" s="55"/>
    </row>
    <row r="1157">
      <c r="K1157" s="53"/>
      <c r="N1157" s="53"/>
      <c r="O1157" s="53"/>
      <c r="T1157" s="53"/>
      <c r="V1157" s="53"/>
      <c r="W1157" s="55"/>
    </row>
    <row r="1158">
      <c r="K1158" s="53"/>
      <c r="N1158" s="53"/>
      <c r="O1158" s="53"/>
      <c r="T1158" s="53"/>
      <c r="V1158" s="53"/>
      <c r="W1158" s="55"/>
    </row>
    <row r="1159">
      <c r="K1159" s="53"/>
      <c r="N1159" s="53"/>
      <c r="O1159" s="53"/>
      <c r="T1159" s="53"/>
      <c r="V1159" s="53"/>
      <c r="W1159" s="55"/>
    </row>
    <row r="1160">
      <c r="K1160" s="53"/>
      <c r="N1160" s="53"/>
      <c r="O1160" s="53"/>
      <c r="T1160" s="53"/>
      <c r="V1160" s="53"/>
      <c r="W1160" s="55"/>
    </row>
    <row r="1161">
      <c r="K1161" s="53"/>
      <c r="N1161" s="53"/>
      <c r="O1161" s="53"/>
      <c r="T1161" s="53"/>
      <c r="V1161" s="53"/>
      <c r="W1161" s="55"/>
    </row>
    <row r="1162">
      <c r="K1162" s="53"/>
      <c r="N1162" s="53"/>
      <c r="O1162" s="53"/>
      <c r="T1162" s="53"/>
      <c r="V1162" s="53"/>
      <c r="W1162" s="55"/>
    </row>
    <row r="1163">
      <c r="K1163" s="53"/>
      <c r="N1163" s="53"/>
      <c r="O1163" s="53"/>
      <c r="T1163" s="53"/>
      <c r="V1163" s="53"/>
      <c r="W1163" s="55"/>
    </row>
    <row r="1164">
      <c r="K1164" s="53"/>
      <c r="N1164" s="53"/>
      <c r="O1164" s="53"/>
      <c r="T1164" s="53"/>
      <c r="V1164" s="53"/>
      <c r="W1164" s="55"/>
    </row>
    <row r="1165">
      <c r="K1165" s="53"/>
      <c r="N1165" s="53"/>
      <c r="O1165" s="53"/>
      <c r="T1165" s="53"/>
      <c r="V1165" s="53"/>
      <c r="W1165" s="55"/>
    </row>
    <row r="1166">
      <c r="K1166" s="53"/>
      <c r="N1166" s="53"/>
      <c r="O1166" s="53"/>
      <c r="T1166" s="53"/>
      <c r="V1166" s="53"/>
      <c r="W1166" s="55"/>
    </row>
    <row r="1167">
      <c r="K1167" s="53"/>
      <c r="N1167" s="53"/>
      <c r="O1167" s="53"/>
      <c r="T1167" s="53"/>
      <c r="V1167" s="53"/>
      <c r="W1167" s="55"/>
    </row>
    <row r="1168">
      <c r="K1168" s="53"/>
      <c r="N1168" s="53"/>
      <c r="O1168" s="53"/>
      <c r="T1168" s="53"/>
      <c r="V1168" s="53"/>
      <c r="W1168" s="55"/>
    </row>
    <row r="1169">
      <c r="K1169" s="53"/>
      <c r="N1169" s="53"/>
      <c r="O1169" s="53"/>
      <c r="T1169" s="53"/>
      <c r="V1169" s="53"/>
      <c r="W1169" s="55"/>
    </row>
    <row r="1170">
      <c r="K1170" s="53"/>
      <c r="N1170" s="53"/>
      <c r="O1170" s="53"/>
      <c r="T1170" s="53"/>
      <c r="V1170" s="53"/>
      <c r="W1170" s="55"/>
    </row>
    <row r="1171">
      <c r="K1171" s="53"/>
      <c r="N1171" s="53"/>
      <c r="O1171" s="53"/>
      <c r="T1171" s="53"/>
      <c r="V1171" s="53"/>
      <c r="W1171" s="55"/>
    </row>
    <row r="1172">
      <c r="K1172" s="53"/>
      <c r="N1172" s="53"/>
      <c r="O1172" s="53"/>
      <c r="T1172" s="53"/>
      <c r="V1172" s="53"/>
      <c r="W1172" s="55"/>
    </row>
    <row r="1173">
      <c r="K1173" s="53"/>
      <c r="N1173" s="53"/>
      <c r="O1173" s="53"/>
      <c r="T1173" s="53"/>
      <c r="V1173" s="53"/>
      <c r="W1173" s="55"/>
    </row>
    <row r="1174">
      <c r="K1174" s="53"/>
      <c r="N1174" s="53"/>
      <c r="O1174" s="53"/>
      <c r="T1174" s="53"/>
      <c r="V1174" s="53"/>
      <c r="W1174" s="55"/>
    </row>
    <row r="1175">
      <c r="K1175" s="53"/>
      <c r="N1175" s="53"/>
      <c r="O1175" s="53"/>
      <c r="T1175" s="53"/>
      <c r="V1175" s="53"/>
      <c r="W1175" s="55"/>
    </row>
    <row r="1176">
      <c r="K1176" s="53"/>
      <c r="N1176" s="53"/>
      <c r="O1176" s="53"/>
      <c r="T1176" s="53"/>
      <c r="V1176" s="53"/>
      <c r="W1176" s="55"/>
    </row>
    <row r="1177">
      <c r="K1177" s="53"/>
      <c r="N1177" s="53"/>
      <c r="O1177" s="53"/>
      <c r="T1177" s="53"/>
      <c r="V1177" s="53"/>
      <c r="W1177" s="55"/>
    </row>
    <row r="1178">
      <c r="K1178" s="53"/>
      <c r="N1178" s="53"/>
      <c r="O1178" s="53"/>
      <c r="T1178" s="53"/>
      <c r="V1178" s="53"/>
      <c r="W1178" s="55"/>
    </row>
    <row r="1179">
      <c r="K1179" s="53"/>
      <c r="N1179" s="53"/>
      <c r="O1179" s="53"/>
      <c r="T1179" s="53"/>
      <c r="V1179" s="53"/>
      <c r="W1179" s="55"/>
    </row>
    <row r="1180">
      <c r="K1180" s="53"/>
      <c r="N1180" s="53"/>
      <c r="O1180" s="53"/>
      <c r="T1180" s="53"/>
      <c r="V1180" s="53"/>
      <c r="W1180" s="55"/>
    </row>
    <row r="1181">
      <c r="K1181" s="53"/>
      <c r="N1181" s="53"/>
      <c r="O1181" s="53"/>
      <c r="T1181" s="53"/>
      <c r="V1181" s="53"/>
      <c r="W1181" s="55"/>
    </row>
    <row r="1182">
      <c r="K1182" s="53"/>
      <c r="N1182" s="53"/>
      <c r="O1182" s="53"/>
      <c r="T1182" s="53"/>
      <c r="V1182" s="53"/>
      <c r="W1182" s="55"/>
    </row>
    <row r="1183">
      <c r="K1183" s="53"/>
      <c r="N1183" s="53"/>
      <c r="O1183" s="53"/>
      <c r="T1183" s="53"/>
      <c r="V1183" s="53"/>
      <c r="W1183" s="55"/>
    </row>
    <row r="1184">
      <c r="K1184" s="53"/>
      <c r="N1184" s="53"/>
      <c r="O1184" s="53"/>
      <c r="T1184" s="53"/>
      <c r="V1184" s="53"/>
      <c r="W1184" s="55"/>
    </row>
    <row r="1185">
      <c r="K1185" s="53"/>
      <c r="N1185" s="53"/>
      <c r="O1185" s="53"/>
      <c r="T1185" s="53"/>
      <c r="V1185" s="53"/>
      <c r="W1185" s="55"/>
    </row>
    <row r="1186">
      <c r="K1186" s="53"/>
      <c r="N1186" s="53"/>
      <c r="O1186" s="53"/>
      <c r="T1186" s="53"/>
      <c r="V1186" s="53"/>
      <c r="W1186" s="55"/>
    </row>
    <row r="1187">
      <c r="K1187" s="53"/>
      <c r="N1187" s="53"/>
      <c r="O1187" s="53"/>
      <c r="T1187" s="53"/>
      <c r="V1187" s="53"/>
      <c r="W1187" s="55"/>
    </row>
    <row r="1188">
      <c r="K1188" s="53"/>
      <c r="N1188" s="53"/>
      <c r="O1188" s="53"/>
      <c r="T1188" s="53"/>
      <c r="V1188" s="53"/>
      <c r="W1188" s="55"/>
    </row>
    <row r="1189">
      <c r="K1189" s="53"/>
      <c r="N1189" s="53"/>
      <c r="O1189" s="53"/>
      <c r="T1189" s="53"/>
      <c r="V1189" s="53"/>
      <c r="W1189" s="55"/>
    </row>
    <row r="1190">
      <c r="K1190" s="53"/>
      <c r="N1190" s="53"/>
      <c r="O1190" s="53"/>
      <c r="T1190" s="53"/>
      <c r="V1190" s="53"/>
      <c r="W1190" s="55"/>
    </row>
    <row r="1191">
      <c r="K1191" s="53"/>
      <c r="N1191" s="53"/>
      <c r="O1191" s="53"/>
      <c r="T1191" s="53"/>
      <c r="V1191" s="53"/>
      <c r="W1191" s="55"/>
    </row>
    <row r="1192">
      <c r="K1192" s="53"/>
      <c r="N1192" s="53"/>
      <c r="O1192" s="53"/>
      <c r="T1192" s="53"/>
      <c r="V1192" s="53"/>
      <c r="W1192" s="55"/>
    </row>
    <row r="1193">
      <c r="K1193" s="53"/>
      <c r="N1193" s="53"/>
      <c r="O1193" s="53"/>
      <c r="T1193" s="53"/>
      <c r="V1193" s="53"/>
      <c r="W1193" s="55"/>
    </row>
    <row r="1194">
      <c r="K1194" s="53"/>
      <c r="N1194" s="53"/>
      <c r="O1194" s="53"/>
      <c r="T1194" s="53"/>
      <c r="V1194" s="53"/>
      <c r="W1194" s="55"/>
    </row>
    <row r="1195">
      <c r="K1195" s="53"/>
      <c r="N1195" s="53"/>
      <c r="O1195" s="53"/>
      <c r="T1195" s="53"/>
      <c r="V1195" s="53"/>
      <c r="W1195" s="55"/>
    </row>
    <row r="1196">
      <c r="K1196" s="53"/>
      <c r="N1196" s="53"/>
      <c r="O1196" s="53"/>
      <c r="T1196" s="53"/>
      <c r="V1196" s="53"/>
      <c r="W1196" s="55"/>
    </row>
    <row r="1197">
      <c r="K1197" s="53"/>
      <c r="N1197" s="53"/>
      <c r="O1197" s="53"/>
      <c r="T1197" s="53"/>
      <c r="V1197" s="53"/>
      <c r="W1197" s="55"/>
    </row>
    <row r="1198">
      <c r="K1198" s="53"/>
      <c r="N1198" s="53"/>
      <c r="O1198" s="53"/>
      <c r="T1198" s="53"/>
      <c r="V1198" s="53"/>
      <c r="W1198" s="55"/>
    </row>
    <row r="1199">
      <c r="K1199" s="53"/>
      <c r="N1199" s="53"/>
      <c r="O1199" s="53"/>
      <c r="T1199" s="53"/>
      <c r="V1199" s="53"/>
      <c r="W1199" s="55"/>
    </row>
    <row r="1200">
      <c r="K1200" s="53"/>
      <c r="N1200" s="53"/>
      <c r="O1200" s="53"/>
      <c r="T1200" s="53"/>
      <c r="V1200" s="53"/>
      <c r="W1200" s="55"/>
    </row>
    <row r="1201">
      <c r="K1201" s="53"/>
      <c r="N1201" s="53"/>
      <c r="O1201" s="53"/>
      <c r="T1201" s="53"/>
      <c r="V1201" s="53"/>
      <c r="W1201" s="55"/>
    </row>
    <row r="1202">
      <c r="K1202" s="53"/>
      <c r="N1202" s="53"/>
      <c r="O1202" s="53"/>
      <c r="T1202" s="53"/>
      <c r="V1202" s="53"/>
      <c r="W1202" s="55"/>
    </row>
    <row r="1203">
      <c r="K1203" s="53"/>
      <c r="N1203" s="53"/>
      <c r="O1203" s="53"/>
      <c r="T1203" s="53"/>
      <c r="V1203" s="53"/>
      <c r="W1203" s="55"/>
    </row>
    <row r="1204">
      <c r="K1204" s="53"/>
      <c r="N1204" s="53"/>
      <c r="O1204" s="53"/>
      <c r="T1204" s="53"/>
      <c r="V1204" s="53"/>
      <c r="W1204" s="55"/>
    </row>
    <row r="1205">
      <c r="K1205" s="53"/>
      <c r="N1205" s="53"/>
      <c r="O1205" s="53"/>
      <c r="T1205" s="53"/>
      <c r="V1205" s="53"/>
      <c r="W1205" s="55"/>
    </row>
    <row r="1206">
      <c r="K1206" s="53"/>
      <c r="N1206" s="53"/>
      <c r="O1206" s="53"/>
      <c r="T1206" s="53"/>
      <c r="V1206" s="53"/>
      <c r="W1206" s="55"/>
    </row>
    <row r="1207">
      <c r="K1207" s="53"/>
      <c r="N1207" s="53"/>
      <c r="O1207" s="53"/>
      <c r="T1207" s="53"/>
      <c r="V1207" s="53"/>
      <c r="W1207" s="55"/>
    </row>
    <row r="1208">
      <c r="K1208" s="53"/>
      <c r="N1208" s="53"/>
      <c r="O1208" s="53"/>
      <c r="T1208" s="53"/>
      <c r="V1208" s="53"/>
      <c r="W1208" s="55"/>
    </row>
    <row r="1209">
      <c r="K1209" s="53"/>
      <c r="N1209" s="53"/>
      <c r="O1209" s="53"/>
      <c r="T1209" s="53"/>
      <c r="V1209" s="53"/>
      <c r="W1209" s="55"/>
    </row>
    <row r="1210">
      <c r="K1210" s="53"/>
      <c r="N1210" s="53"/>
      <c r="O1210" s="53"/>
      <c r="T1210" s="53"/>
      <c r="V1210" s="53"/>
      <c r="W1210" s="55"/>
    </row>
    <row r="1211">
      <c r="K1211" s="53"/>
      <c r="N1211" s="53"/>
      <c r="O1211" s="53"/>
      <c r="T1211" s="53"/>
      <c r="V1211" s="53"/>
      <c r="W1211" s="55"/>
    </row>
    <row r="1212">
      <c r="K1212" s="53"/>
      <c r="N1212" s="53"/>
      <c r="O1212" s="53"/>
      <c r="T1212" s="53"/>
      <c r="V1212" s="53"/>
      <c r="W1212" s="55"/>
    </row>
    <row r="1213">
      <c r="K1213" s="53"/>
      <c r="N1213" s="53"/>
      <c r="O1213" s="53"/>
      <c r="T1213" s="53"/>
      <c r="V1213" s="53"/>
      <c r="W1213" s="55"/>
    </row>
    <row r="1214">
      <c r="K1214" s="53"/>
      <c r="N1214" s="53"/>
      <c r="O1214" s="53"/>
      <c r="T1214" s="53"/>
      <c r="V1214" s="53"/>
      <c r="W1214" s="55"/>
    </row>
    <row r="1215">
      <c r="K1215" s="53"/>
      <c r="N1215" s="53"/>
      <c r="O1215" s="53"/>
      <c r="T1215" s="53"/>
      <c r="V1215" s="53"/>
      <c r="W1215" s="55"/>
    </row>
    <row r="1216">
      <c r="K1216" s="53"/>
      <c r="N1216" s="53"/>
      <c r="O1216" s="53"/>
      <c r="T1216" s="53"/>
      <c r="V1216" s="53"/>
      <c r="W1216" s="55"/>
    </row>
    <row r="1217">
      <c r="K1217" s="53"/>
      <c r="N1217" s="53"/>
      <c r="O1217" s="53"/>
      <c r="T1217" s="53"/>
      <c r="V1217" s="53"/>
      <c r="W1217" s="55"/>
    </row>
    <row r="1218">
      <c r="K1218" s="53"/>
      <c r="N1218" s="53"/>
      <c r="O1218" s="53"/>
      <c r="T1218" s="53"/>
      <c r="V1218" s="53"/>
      <c r="W1218" s="55"/>
    </row>
    <row r="1219">
      <c r="K1219" s="53"/>
      <c r="N1219" s="53"/>
      <c r="O1219" s="53"/>
      <c r="T1219" s="53"/>
      <c r="V1219" s="53"/>
      <c r="W1219" s="55"/>
    </row>
    <row r="1220">
      <c r="K1220" s="53"/>
      <c r="N1220" s="53"/>
      <c r="O1220" s="53"/>
      <c r="T1220" s="53"/>
      <c r="V1220" s="53"/>
      <c r="W1220" s="55"/>
    </row>
    <row r="1221">
      <c r="K1221" s="53"/>
      <c r="N1221" s="53"/>
      <c r="O1221" s="53"/>
      <c r="T1221" s="53"/>
      <c r="V1221" s="53"/>
      <c r="W1221" s="55"/>
    </row>
    <row r="1222">
      <c r="K1222" s="53"/>
      <c r="N1222" s="53"/>
      <c r="O1222" s="53"/>
      <c r="T1222" s="53"/>
      <c r="V1222" s="53"/>
      <c r="W1222" s="55"/>
    </row>
    <row r="1223">
      <c r="K1223" s="53"/>
      <c r="N1223" s="53"/>
      <c r="O1223" s="53"/>
      <c r="T1223" s="53"/>
      <c r="V1223" s="53"/>
      <c r="W1223" s="55"/>
    </row>
    <row r="1224">
      <c r="K1224" s="53"/>
      <c r="N1224" s="53"/>
      <c r="O1224" s="53"/>
      <c r="T1224" s="53"/>
      <c r="V1224" s="53"/>
      <c r="W1224" s="55"/>
    </row>
    <row r="1225">
      <c r="K1225" s="53"/>
      <c r="N1225" s="53"/>
      <c r="O1225" s="53"/>
      <c r="T1225" s="53"/>
      <c r="V1225" s="53"/>
      <c r="W1225" s="55"/>
    </row>
    <row r="1226">
      <c r="K1226" s="53"/>
      <c r="N1226" s="53"/>
      <c r="O1226" s="53"/>
      <c r="T1226" s="53"/>
      <c r="V1226" s="53"/>
      <c r="W1226" s="55"/>
    </row>
    <row r="1227">
      <c r="K1227" s="53"/>
      <c r="N1227" s="53"/>
      <c r="O1227" s="53"/>
      <c r="T1227" s="53"/>
      <c r="V1227" s="53"/>
      <c r="W1227" s="55"/>
    </row>
    <row r="1228">
      <c r="K1228" s="53"/>
      <c r="N1228" s="53"/>
      <c r="O1228" s="53"/>
      <c r="T1228" s="53"/>
      <c r="V1228" s="53"/>
      <c r="W1228" s="55"/>
    </row>
    <row r="1229">
      <c r="K1229" s="53"/>
      <c r="N1229" s="53"/>
      <c r="O1229" s="53"/>
      <c r="T1229" s="53"/>
      <c r="V1229" s="53"/>
      <c r="W1229" s="55"/>
    </row>
    <row r="1230">
      <c r="K1230" s="53"/>
      <c r="N1230" s="53"/>
      <c r="O1230" s="53"/>
      <c r="T1230" s="53"/>
      <c r="V1230" s="53"/>
      <c r="W1230" s="55"/>
    </row>
    <row r="1231">
      <c r="K1231" s="53"/>
      <c r="N1231" s="53"/>
      <c r="O1231" s="53"/>
      <c r="T1231" s="53"/>
      <c r="V1231" s="53"/>
      <c r="W1231" s="55"/>
    </row>
    <row r="1232">
      <c r="K1232" s="53"/>
      <c r="N1232" s="53"/>
      <c r="O1232" s="53"/>
      <c r="T1232" s="53"/>
      <c r="V1232" s="53"/>
      <c r="W1232" s="55"/>
    </row>
    <row r="1233">
      <c r="K1233" s="53"/>
      <c r="N1233" s="53"/>
      <c r="O1233" s="53"/>
      <c r="T1233" s="53"/>
      <c r="V1233" s="53"/>
      <c r="W1233" s="55"/>
    </row>
    <row r="1234">
      <c r="K1234" s="53"/>
      <c r="N1234" s="53"/>
      <c r="O1234" s="53"/>
      <c r="T1234" s="53"/>
      <c r="V1234" s="53"/>
      <c r="W1234" s="55"/>
    </row>
    <row r="1235">
      <c r="K1235" s="53"/>
      <c r="N1235" s="53"/>
      <c r="O1235" s="53"/>
      <c r="T1235" s="53"/>
      <c r="V1235" s="53"/>
      <c r="W1235" s="55"/>
    </row>
    <row r="1236">
      <c r="K1236" s="53"/>
      <c r="N1236" s="53"/>
      <c r="O1236" s="53"/>
      <c r="T1236" s="53"/>
      <c r="V1236" s="53"/>
      <c r="W1236" s="55"/>
    </row>
    <row r="1237">
      <c r="K1237" s="53"/>
      <c r="N1237" s="53"/>
      <c r="O1237" s="53"/>
      <c r="T1237" s="53"/>
      <c r="V1237" s="53"/>
      <c r="W1237" s="55"/>
    </row>
    <row r="1238">
      <c r="K1238" s="53"/>
      <c r="N1238" s="53"/>
      <c r="O1238" s="53"/>
      <c r="T1238" s="53"/>
      <c r="V1238" s="53"/>
      <c r="W1238" s="55"/>
    </row>
    <row r="1239">
      <c r="K1239" s="53"/>
      <c r="N1239" s="53"/>
      <c r="O1239" s="53"/>
      <c r="T1239" s="53"/>
      <c r="V1239" s="53"/>
      <c r="W1239" s="55"/>
    </row>
    <row r="1240">
      <c r="K1240" s="53"/>
      <c r="N1240" s="53"/>
      <c r="O1240" s="53"/>
      <c r="T1240" s="53"/>
      <c r="V1240" s="53"/>
      <c r="W1240" s="55"/>
    </row>
    <row r="1241">
      <c r="K1241" s="53"/>
      <c r="N1241" s="53"/>
      <c r="O1241" s="53"/>
      <c r="T1241" s="53"/>
      <c r="V1241" s="53"/>
      <c r="W1241" s="55"/>
    </row>
    <row r="1242">
      <c r="K1242" s="53"/>
      <c r="N1242" s="53"/>
      <c r="O1242" s="53"/>
      <c r="T1242" s="53"/>
      <c r="V1242" s="53"/>
      <c r="W1242" s="55"/>
    </row>
    <row r="1243">
      <c r="K1243" s="53"/>
      <c r="N1243" s="53"/>
      <c r="O1243" s="53"/>
      <c r="T1243" s="53"/>
      <c r="V1243" s="53"/>
      <c r="W1243" s="55"/>
    </row>
    <row r="1244">
      <c r="K1244" s="53"/>
      <c r="N1244" s="53"/>
      <c r="O1244" s="53"/>
      <c r="T1244" s="53"/>
      <c r="V1244" s="53"/>
      <c r="W1244" s="55"/>
    </row>
    <row r="1245">
      <c r="K1245" s="53"/>
      <c r="N1245" s="53"/>
      <c r="O1245" s="53"/>
      <c r="T1245" s="53"/>
      <c r="V1245" s="53"/>
      <c r="W1245" s="55"/>
    </row>
    <row r="1246">
      <c r="K1246" s="53"/>
      <c r="N1246" s="53"/>
      <c r="O1246" s="53"/>
      <c r="T1246" s="53"/>
      <c r="V1246" s="53"/>
      <c r="W1246" s="55"/>
    </row>
    <row r="1247">
      <c r="K1247" s="53"/>
      <c r="N1247" s="53"/>
      <c r="O1247" s="53"/>
      <c r="T1247" s="53"/>
      <c r="V1247" s="53"/>
      <c r="W1247" s="55"/>
    </row>
    <row r="1248">
      <c r="K1248" s="53"/>
      <c r="N1248" s="53"/>
      <c r="O1248" s="53"/>
      <c r="T1248" s="53"/>
      <c r="V1248" s="53"/>
      <c r="W1248" s="55"/>
    </row>
    <row r="1249">
      <c r="K1249" s="53"/>
      <c r="N1249" s="53"/>
      <c r="O1249" s="53"/>
      <c r="T1249" s="53"/>
      <c r="V1249" s="53"/>
      <c r="W1249" s="55"/>
    </row>
    <row r="1250">
      <c r="K1250" s="53"/>
      <c r="N1250" s="53"/>
      <c r="O1250" s="53"/>
      <c r="T1250" s="53"/>
      <c r="V1250" s="53"/>
      <c r="W1250" s="55"/>
    </row>
    <row r="1251">
      <c r="K1251" s="53"/>
      <c r="N1251" s="53"/>
      <c r="O1251" s="53"/>
      <c r="T1251" s="53"/>
      <c r="V1251" s="53"/>
      <c r="W1251" s="55"/>
    </row>
    <row r="1252">
      <c r="K1252" s="53"/>
      <c r="N1252" s="53"/>
      <c r="O1252" s="53"/>
      <c r="T1252" s="53"/>
      <c r="V1252" s="53"/>
      <c r="W1252" s="55"/>
    </row>
    <row r="1253">
      <c r="K1253" s="53"/>
      <c r="N1253" s="53"/>
      <c r="O1253" s="53"/>
      <c r="T1253" s="53"/>
      <c r="V1253" s="53"/>
      <c r="W1253" s="55"/>
    </row>
    <row r="1254">
      <c r="K1254" s="53"/>
      <c r="N1254" s="53"/>
      <c r="O1254" s="53"/>
      <c r="T1254" s="53"/>
      <c r="V1254" s="53"/>
      <c r="W1254" s="55"/>
    </row>
    <row r="1255">
      <c r="K1255" s="53"/>
      <c r="N1255" s="53"/>
      <c r="O1255" s="53"/>
      <c r="T1255" s="53"/>
      <c r="V1255" s="53"/>
      <c r="W1255" s="55"/>
    </row>
    <row r="1256">
      <c r="K1256" s="53"/>
      <c r="N1256" s="53"/>
      <c r="O1256" s="53"/>
      <c r="T1256" s="53"/>
      <c r="V1256" s="53"/>
      <c r="W1256" s="55"/>
    </row>
    <row r="1257">
      <c r="K1257" s="53"/>
      <c r="N1257" s="53"/>
      <c r="O1257" s="53"/>
      <c r="T1257" s="53"/>
      <c r="V1257" s="53"/>
      <c r="W1257" s="55"/>
    </row>
    <row r="1258">
      <c r="K1258" s="53"/>
      <c r="N1258" s="53"/>
      <c r="O1258" s="53"/>
      <c r="T1258" s="53"/>
      <c r="V1258" s="53"/>
      <c r="W1258" s="55"/>
    </row>
    <row r="1259">
      <c r="K1259" s="53"/>
      <c r="N1259" s="53"/>
      <c r="O1259" s="53"/>
      <c r="T1259" s="53"/>
      <c r="V1259" s="53"/>
      <c r="W1259" s="55"/>
    </row>
    <row r="1260">
      <c r="K1260" s="53"/>
      <c r="N1260" s="53"/>
      <c r="O1260" s="53"/>
      <c r="T1260" s="53"/>
      <c r="V1260" s="53"/>
      <c r="W1260" s="55"/>
    </row>
    <row r="1261">
      <c r="K1261" s="53"/>
      <c r="N1261" s="53"/>
      <c r="O1261" s="53"/>
      <c r="T1261" s="53"/>
      <c r="V1261" s="53"/>
      <c r="W1261" s="55"/>
    </row>
    <row r="1262">
      <c r="K1262" s="53"/>
      <c r="N1262" s="53"/>
      <c r="O1262" s="53"/>
      <c r="T1262" s="53"/>
      <c r="V1262" s="53"/>
      <c r="W1262" s="55"/>
    </row>
    <row r="1263">
      <c r="K1263" s="53"/>
      <c r="N1263" s="53"/>
      <c r="O1263" s="53"/>
      <c r="T1263" s="53"/>
      <c r="V1263" s="53"/>
      <c r="W1263" s="55"/>
    </row>
    <row r="1264">
      <c r="K1264" s="53"/>
      <c r="N1264" s="53"/>
      <c r="O1264" s="53"/>
      <c r="T1264" s="53"/>
      <c r="V1264" s="53"/>
      <c r="W1264" s="55"/>
    </row>
    <row r="1265">
      <c r="K1265" s="53"/>
      <c r="N1265" s="53"/>
      <c r="O1265" s="53"/>
      <c r="T1265" s="53"/>
      <c r="V1265" s="53"/>
      <c r="W1265" s="55"/>
    </row>
    <row r="1266">
      <c r="K1266" s="53"/>
      <c r="N1266" s="53"/>
      <c r="O1266" s="53"/>
      <c r="T1266" s="53"/>
      <c r="V1266" s="53"/>
      <c r="W1266" s="55"/>
    </row>
    <row r="1267">
      <c r="K1267" s="53"/>
      <c r="N1267" s="53"/>
      <c r="O1267" s="53"/>
      <c r="T1267" s="53"/>
      <c r="V1267" s="53"/>
      <c r="W1267" s="55"/>
    </row>
    <row r="1268">
      <c r="K1268" s="53"/>
      <c r="N1268" s="53"/>
      <c r="O1268" s="53"/>
      <c r="T1268" s="53"/>
      <c r="V1268" s="53"/>
      <c r="W1268" s="55"/>
    </row>
    <row r="1269">
      <c r="K1269" s="53"/>
      <c r="N1269" s="53"/>
      <c r="O1269" s="53"/>
      <c r="T1269" s="53"/>
      <c r="V1269" s="53"/>
      <c r="W1269" s="55"/>
    </row>
    <row r="1270">
      <c r="K1270" s="53"/>
      <c r="N1270" s="53"/>
      <c r="O1270" s="53"/>
      <c r="T1270" s="53"/>
      <c r="V1270" s="53"/>
      <c r="W1270" s="55"/>
    </row>
    <row r="1271">
      <c r="K1271" s="53"/>
      <c r="N1271" s="53"/>
      <c r="O1271" s="53"/>
      <c r="T1271" s="53"/>
      <c r="V1271" s="53"/>
      <c r="W1271" s="55"/>
    </row>
    <row r="1272">
      <c r="K1272" s="53"/>
      <c r="N1272" s="53"/>
      <c r="O1272" s="53"/>
      <c r="T1272" s="53"/>
      <c r="V1272" s="53"/>
      <c r="W1272" s="55"/>
    </row>
    <row r="1273">
      <c r="K1273" s="53"/>
      <c r="N1273" s="53"/>
      <c r="O1273" s="53"/>
      <c r="T1273" s="53"/>
      <c r="V1273" s="53"/>
      <c r="W1273" s="55"/>
    </row>
    <row r="1274">
      <c r="K1274" s="53"/>
      <c r="N1274" s="53"/>
      <c r="O1274" s="53"/>
      <c r="T1274" s="53"/>
      <c r="V1274" s="53"/>
      <c r="W1274" s="55"/>
    </row>
    <row r="1275">
      <c r="K1275" s="53"/>
      <c r="N1275" s="53"/>
      <c r="O1275" s="53"/>
      <c r="T1275" s="53"/>
      <c r="V1275" s="53"/>
      <c r="W1275" s="55"/>
    </row>
    <row r="1276">
      <c r="K1276" s="53"/>
      <c r="N1276" s="53"/>
      <c r="O1276" s="53"/>
      <c r="T1276" s="53"/>
      <c r="V1276" s="53"/>
      <c r="W1276" s="55"/>
    </row>
    <row r="1277">
      <c r="K1277" s="53"/>
      <c r="N1277" s="53"/>
      <c r="O1277" s="53"/>
      <c r="T1277" s="53"/>
      <c r="V1277" s="53"/>
      <c r="W1277" s="55"/>
    </row>
    <row r="1278">
      <c r="K1278" s="53"/>
      <c r="N1278" s="53"/>
      <c r="O1278" s="53"/>
      <c r="T1278" s="53"/>
      <c r="V1278" s="53"/>
      <c r="W1278" s="55"/>
    </row>
    <row r="1279">
      <c r="K1279" s="53"/>
      <c r="N1279" s="53"/>
      <c r="O1279" s="53"/>
      <c r="T1279" s="53"/>
      <c r="V1279" s="53"/>
      <c r="W1279" s="55"/>
    </row>
    <row r="1280">
      <c r="K1280" s="53"/>
      <c r="N1280" s="53"/>
      <c r="O1280" s="53"/>
      <c r="T1280" s="53"/>
      <c r="V1280" s="53"/>
      <c r="W1280" s="55"/>
    </row>
    <row r="1281">
      <c r="K1281" s="53"/>
      <c r="N1281" s="53"/>
      <c r="O1281" s="53"/>
      <c r="T1281" s="53"/>
      <c r="V1281" s="53"/>
      <c r="W1281" s="55"/>
    </row>
    <row r="1282">
      <c r="K1282" s="53"/>
      <c r="N1282" s="53"/>
      <c r="O1282" s="53"/>
      <c r="T1282" s="53"/>
      <c r="V1282" s="53"/>
      <c r="W1282" s="55"/>
    </row>
    <row r="1283">
      <c r="K1283" s="53"/>
      <c r="N1283" s="53"/>
      <c r="O1283" s="53"/>
      <c r="T1283" s="53"/>
      <c r="V1283" s="53"/>
      <c r="W1283" s="55"/>
    </row>
    <row r="1284">
      <c r="K1284" s="53"/>
      <c r="N1284" s="53"/>
      <c r="O1284" s="53"/>
      <c r="T1284" s="53"/>
      <c r="V1284" s="53"/>
      <c r="W1284" s="55"/>
    </row>
    <row r="1285">
      <c r="K1285" s="53"/>
      <c r="N1285" s="53"/>
      <c r="O1285" s="53"/>
      <c r="T1285" s="53"/>
      <c r="V1285" s="53"/>
      <c r="W1285" s="55"/>
    </row>
    <row r="1286">
      <c r="K1286" s="53"/>
      <c r="N1286" s="53"/>
      <c r="O1286" s="53"/>
      <c r="T1286" s="53"/>
      <c r="V1286" s="53"/>
      <c r="W1286" s="55"/>
    </row>
    <row r="1287">
      <c r="K1287" s="53"/>
      <c r="N1287" s="53"/>
      <c r="O1287" s="53"/>
      <c r="T1287" s="53"/>
      <c r="V1287" s="53"/>
      <c r="W1287" s="55"/>
    </row>
    <row r="1288">
      <c r="K1288" s="53"/>
      <c r="N1288" s="53"/>
      <c r="O1288" s="53"/>
      <c r="T1288" s="53"/>
      <c r="V1288" s="53"/>
      <c r="W1288" s="55"/>
    </row>
    <row r="1289">
      <c r="K1289" s="53"/>
      <c r="N1289" s="53"/>
      <c r="O1289" s="53"/>
      <c r="T1289" s="53"/>
      <c r="V1289" s="53"/>
      <c r="W1289" s="55"/>
    </row>
    <row r="1290">
      <c r="K1290" s="53"/>
      <c r="N1290" s="53"/>
      <c r="O1290" s="53"/>
      <c r="T1290" s="53"/>
      <c r="V1290" s="53"/>
      <c r="W1290" s="55"/>
    </row>
    <row r="1291">
      <c r="K1291" s="53"/>
      <c r="N1291" s="53"/>
      <c r="O1291" s="53"/>
      <c r="T1291" s="53"/>
      <c r="V1291" s="53"/>
      <c r="W1291" s="55"/>
    </row>
    <row r="1292">
      <c r="K1292" s="53"/>
      <c r="N1292" s="53"/>
      <c r="O1292" s="53"/>
      <c r="T1292" s="53"/>
      <c r="V1292" s="53"/>
      <c r="W1292" s="55"/>
    </row>
    <row r="1293">
      <c r="K1293" s="53"/>
      <c r="N1293" s="53"/>
      <c r="O1293" s="53"/>
      <c r="T1293" s="53"/>
      <c r="V1293" s="53"/>
      <c r="W1293" s="55"/>
    </row>
    <row r="1294">
      <c r="K1294" s="53"/>
      <c r="N1294" s="53"/>
      <c r="O1294" s="53"/>
      <c r="T1294" s="53"/>
      <c r="V1294" s="53"/>
      <c r="W1294" s="55"/>
    </row>
    <row r="1295">
      <c r="K1295" s="53"/>
      <c r="N1295" s="53"/>
      <c r="O1295" s="53"/>
      <c r="T1295" s="53"/>
      <c r="V1295" s="53"/>
      <c r="W1295" s="55"/>
    </row>
    <row r="1296">
      <c r="K1296" s="53"/>
      <c r="N1296" s="53"/>
      <c r="O1296" s="53"/>
      <c r="T1296" s="53"/>
      <c r="V1296" s="53"/>
      <c r="W1296" s="55"/>
    </row>
    <row r="1297">
      <c r="K1297" s="53"/>
      <c r="N1297" s="53"/>
      <c r="O1297" s="53"/>
      <c r="T1297" s="53"/>
      <c r="V1297" s="53"/>
      <c r="W1297" s="55"/>
    </row>
    <row r="1298">
      <c r="K1298" s="53"/>
      <c r="N1298" s="53"/>
      <c r="O1298" s="53"/>
      <c r="T1298" s="53"/>
      <c r="V1298" s="53"/>
      <c r="W1298" s="55"/>
    </row>
    <row r="1299">
      <c r="K1299" s="53"/>
      <c r="N1299" s="53"/>
      <c r="O1299" s="53"/>
      <c r="T1299" s="53"/>
      <c r="V1299" s="53"/>
      <c r="W1299" s="55"/>
    </row>
    <row r="1300">
      <c r="K1300" s="53"/>
      <c r="N1300" s="53"/>
      <c r="O1300" s="53"/>
      <c r="T1300" s="53"/>
      <c r="V1300" s="53"/>
      <c r="W1300" s="55"/>
    </row>
    <row r="1301">
      <c r="K1301" s="53"/>
      <c r="N1301" s="53"/>
      <c r="O1301" s="53"/>
      <c r="T1301" s="53"/>
      <c r="V1301" s="53"/>
      <c r="W1301" s="55"/>
    </row>
    <row r="1302">
      <c r="K1302" s="53"/>
      <c r="N1302" s="53"/>
      <c r="O1302" s="53"/>
      <c r="T1302" s="53"/>
      <c r="V1302" s="53"/>
      <c r="W1302" s="55"/>
    </row>
    <row r="1303">
      <c r="K1303" s="53"/>
      <c r="N1303" s="53"/>
      <c r="O1303" s="53"/>
      <c r="T1303" s="53"/>
      <c r="V1303" s="53"/>
      <c r="W1303" s="55"/>
    </row>
    <row r="1304">
      <c r="K1304" s="53"/>
      <c r="N1304" s="53"/>
      <c r="O1304" s="53"/>
      <c r="T1304" s="53"/>
      <c r="V1304" s="53"/>
      <c r="W1304" s="55"/>
    </row>
    <row r="1305">
      <c r="K1305" s="53"/>
      <c r="N1305" s="53"/>
      <c r="O1305" s="53"/>
      <c r="T1305" s="53"/>
      <c r="V1305" s="53"/>
      <c r="W1305" s="55"/>
    </row>
    <row r="1306">
      <c r="K1306" s="53"/>
      <c r="N1306" s="53"/>
      <c r="O1306" s="53"/>
      <c r="T1306" s="53"/>
      <c r="V1306" s="53"/>
      <c r="W1306" s="55"/>
    </row>
    <row r="1307">
      <c r="K1307" s="53"/>
      <c r="N1307" s="53"/>
      <c r="O1307" s="53"/>
      <c r="T1307" s="53"/>
      <c r="V1307" s="53"/>
      <c r="W1307" s="55"/>
    </row>
    <row r="1308">
      <c r="K1308" s="53"/>
      <c r="N1308" s="53"/>
      <c r="O1308" s="53"/>
      <c r="T1308" s="53"/>
      <c r="V1308" s="53"/>
      <c r="W1308" s="55"/>
    </row>
    <row r="1309">
      <c r="K1309" s="53"/>
      <c r="N1309" s="53"/>
      <c r="O1309" s="53"/>
      <c r="T1309" s="53"/>
      <c r="V1309" s="53"/>
      <c r="W1309" s="55"/>
    </row>
    <row r="1310">
      <c r="K1310" s="53"/>
      <c r="N1310" s="53"/>
      <c r="O1310" s="53"/>
      <c r="T1310" s="53"/>
      <c r="V1310" s="53"/>
      <c r="W1310" s="55"/>
    </row>
    <row r="1311">
      <c r="K1311" s="53"/>
      <c r="N1311" s="53"/>
      <c r="O1311" s="53"/>
      <c r="T1311" s="53"/>
      <c r="V1311" s="53"/>
      <c r="W1311" s="55"/>
    </row>
    <row r="1312">
      <c r="K1312" s="53"/>
      <c r="N1312" s="53"/>
      <c r="O1312" s="53"/>
      <c r="T1312" s="53"/>
      <c r="V1312" s="53"/>
      <c r="W1312" s="55"/>
    </row>
    <row r="1313">
      <c r="K1313" s="53"/>
      <c r="N1313" s="53"/>
      <c r="O1313" s="53"/>
      <c r="T1313" s="53"/>
      <c r="V1313" s="53"/>
      <c r="W1313" s="55"/>
    </row>
    <row r="1314">
      <c r="K1314" s="53"/>
      <c r="N1314" s="53"/>
      <c r="O1314" s="53"/>
      <c r="T1314" s="53"/>
      <c r="V1314" s="53"/>
      <c r="W1314" s="55"/>
    </row>
    <row r="1315">
      <c r="K1315" s="53"/>
      <c r="N1315" s="53"/>
      <c r="O1315" s="53"/>
      <c r="T1315" s="53"/>
      <c r="V1315" s="53"/>
      <c r="W1315" s="55"/>
    </row>
    <row r="1316">
      <c r="K1316" s="53"/>
      <c r="N1316" s="53"/>
      <c r="O1316" s="53"/>
      <c r="T1316" s="53"/>
      <c r="V1316" s="53"/>
      <c r="W1316" s="55"/>
    </row>
    <row r="1317">
      <c r="K1317" s="53"/>
      <c r="N1317" s="53"/>
      <c r="O1317" s="53"/>
      <c r="T1317" s="53"/>
      <c r="V1317" s="53"/>
      <c r="W1317" s="55"/>
    </row>
    <row r="1318">
      <c r="K1318" s="53"/>
      <c r="N1318" s="53"/>
      <c r="O1318" s="53"/>
      <c r="T1318" s="53"/>
      <c r="V1318" s="53"/>
      <c r="W1318" s="55"/>
    </row>
    <row r="1319">
      <c r="K1319" s="53"/>
      <c r="N1319" s="53"/>
      <c r="O1319" s="53"/>
      <c r="T1319" s="53"/>
      <c r="V1319" s="53"/>
      <c r="W1319" s="55"/>
    </row>
    <row r="1320">
      <c r="K1320" s="53"/>
      <c r="N1320" s="53"/>
      <c r="O1320" s="53"/>
      <c r="T1320" s="53"/>
      <c r="V1320" s="53"/>
      <c r="W1320" s="55"/>
    </row>
    <row r="1321">
      <c r="K1321" s="53"/>
      <c r="N1321" s="53"/>
      <c r="O1321" s="53"/>
      <c r="T1321" s="53"/>
      <c r="V1321" s="53"/>
      <c r="W1321" s="55"/>
    </row>
    <row r="1322">
      <c r="K1322" s="53"/>
      <c r="N1322" s="53"/>
      <c r="O1322" s="53"/>
      <c r="T1322" s="53"/>
      <c r="V1322" s="53"/>
      <c r="W1322" s="55"/>
    </row>
    <row r="1323">
      <c r="K1323" s="53"/>
      <c r="N1323" s="53"/>
      <c r="O1323" s="53"/>
      <c r="T1323" s="53"/>
      <c r="V1323" s="53"/>
      <c r="W1323" s="55"/>
    </row>
    <row r="1324">
      <c r="K1324" s="53"/>
      <c r="N1324" s="53"/>
      <c r="O1324" s="53"/>
      <c r="T1324" s="53"/>
      <c r="V1324" s="53"/>
      <c r="W1324" s="55"/>
    </row>
    <row r="1325">
      <c r="K1325" s="53"/>
      <c r="N1325" s="53"/>
      <c r="O1325" s="53"/>
      <c r="T1325" s="53"/>
      <c r="V1325" s="53"/>
      <c r="W1325" s="55"/>
    </row>
    <row r="1326">
      <c r="K1326" s="53"/>
      <c r="N1326" s="53"/>
      <c r="O1326" s="53"/>
      <c r="T1326" s="53"/>
      <c r="V1326" s="53"/>
      <c r="W1326" s="55"/>
    </row>
    <row r="1327">
      <c r="K1327" s="53"/>
      <c r="N1327" s="53"/>
      <c r="O1327" s="53"/>
      <c r="T1327" s="53"/>
      <c r="V1327" s="53"/>
      <c r="W1327" s="55"/>
    </row>
    <row r="1328">
      <c r="K1328" s="53"/>
      <c r="N1328" s="53"/>
      <c r="O1328" s="53"/>
      <c r="T1328" s="53"/>
      <c r="V1328" s="53"/>
      <c r="W1328" s="55"/>
    </row>
    <row r="1329">
      <c r="K1329" s="53"/>
      <c r="N1329" s="53"/>
      <c r="O1329" s="53"/>
      <c r="T1329" s="53"/>
      <c r="V1329" s="53"/>
      <c r="W1329" s="55"/>
    </row>
    <row r="1330">
      <c r="K1330" s="53"/>
      <c r="N1330" s="53"/>
      <c r="O1330" s="53"/>
      <c r="T1330" s="53"/>
      <c r="V1330" s="53"/>
      <c r="W1330" s="55"/>
    </row>
    <row r="1331">
      <c r="K1331" s="53"/>
      <c r="N1331" s="53"/>
      <c r="O1331" s="53"/>
      <c r="T1331" s="53"/>
      <c r="V1331" s="53"/>
      <c r="W1331" s="55"/>
    </row>
    <row r="1332">
      <c r="K1332" s="53"/>
      <c r="N1332" s="53"/>
      <c r="O1332" s="53"/>
      <c r="T1332" s="53"/>
      <c r="V1332" s="53"/>
      <c r="W1332" s="55"/>
    </row>
    <row r="1333">
      <c r="K1333" s="53"/>
      <c r="N1333" s="53"/>
      <c r="O1333" s="53"/>
      <c r="T1333" s="53"/>
      <c r="V1333" s="53"/>
      <c r="W1333" s="55"/>
    </row>
    <row r="1334">
      <c r="K1334" s="53"/>
      <c r="N1334" s="53"/>
      <c r="O1334" s="53"/>
      <c r="T1334" s="53"/>
      <c r="V1334" s="53"/>
      <c r="W1334" s="55"/>
    </row>
    <row r="1335">
      <c r="K1335" s="53"/>
      <c r="N1335" s="53"/>
      <c r="O1335" s="53"/>
      <c r="T1335" s="53"/>
      <c r="V1335" s="53"/>
      <c r="W1335" s="55"/>
    </row>
    <row r="1336">
      <c r="K1336" s="53"/>
      <c r="N1336" s="53"/>
      <c r="O1336" s="53"/>
      <c r="T1336" s="53"/>
      <c r="V1336" s="53"/>
      <c r="W1336" s="55"/>
    </row>
    <row r="1337">
      <c r="K1337" s="53"/>
      <c r="N1337" s="53"/>
      <c r="O1337" s="53"/>
      <c r="T1337" s="53"/>
      <c r="V1337" s="53"/>
      <c r="W1337" s="55"/>
    </row>
    <row r="1338">
      <c r="K1338" s="53"/>
      <c r="N1338" s="53"/>
      <c r="O1338" s="53"/>
      <c r="T1338" s="53"/>
      <c r="V1338" s="53"/>
      <c r="W1338" s="55"/>
    </row>
    <row r="1339">
      <c r="K1339" s="53"/>
      <c r="N1339" s="53"/>
      <c r="O1339" s="53"/>
      <c r="T1339" s="53"/>
      <c r="V1339" s="53"/>
      <c r="W1339" s="55"/>
    </row>
    <row r="1340">
      <c r="K1340" s="53"/>
      <c r="N1340" s="53"/>
      <c r="O1340" s="53"/>
      <c r="T1340" s="53"/>
      <c r="V1340" s="53"/>
      <c r="W1340" s="55"/>
    </row>
    <row r="1341">
      <c r="K1341" s="53"/>
      <c r="N1341" s="53"/>
      <c r="O1341" s="53"/>
      <c r="T1341" s="53"/>
      <c r="V1341" s="53"/>
      <c r="W1341" s="55"/>
    </row>
    <row r="1342">
      <c r="K1342" s="53"/>
      <c r="N1342" s="53"/>
      <c r="O1342" s="53"/>
      <c r="T1342" s="53"/>
      <c r="V1342" s="53"/>
      <c r="W1342" s="55"/>
    </row>
    <row r="1343">
      <c r="K1343" s="53"/>
      <c r="N1343" s="53"/>
      <c r="O1343" s="53"/>
      <c r="T1343" s="53"/>
      <c r="V1343" s="53"/>
      <c r="W1343" s="55"/>
    </row>
    <row r="1344">
      <c r="K1344" s="53"/>
      <c r="N1344" s="53"/>
      <c r="O1344" s="53"/>
      <c r="T1344" s="53"/>
      <c r="V1344" s="53"/>
      <c r="W1344" s="55"/>
    </row>
    <row r="1345">
      <c r="K1345" s="53"/>
      <c r="N1345" s="53"/>
      <c r="O1345" s="53"/>
      <c r="T1345" s="53"/>
      <c r="V1345" s="53"/>
      <c r="W1345" s="55"/>
    </row>
    <row r="1346">
      <c r="K1346" s="53"/>
      <c r="N1346" s="53"/>
      <c r="O1346" s="53"/>
      <c r="T1346" s="53"/>
      <c r="V1346" s="53"/>
      <c r="W1346" s="55"/>
    </row>
    <row r="1347">
      <c r="K1347" s="53"/>
      <c r="N1347" s="53"/>
      <c r="O1347" s="53"/>
      <c r="T1347" s="53"/>
      <c r="V1347" s="53"/>
      <c r="W1347" s="55"/>
    </row>
    <row r="1348">
      <c r="K1348" s="53"/>
      <c r="N1348" s="53"/>
      <c r="O1348" s="53"/>
      <c r="T1348" s="53"/>
      <c r="V1348" s="53"/>
      <c r="W1348" s="55"/>
    </row>
    <row r="1349">
      <c r="K1349" s="53"/>
      <c r="N1349" s="53"/>
      <c r="O1349" s="53"/>
      <c r="T1349" s="53"/>
      <c r="V1349" s="53"/>
      <c r="W1349" s="55"/>
    </row>
    <row r="1350">
      <c r="K1350" s="53"/>
      <c r="N1350" s="53"/>
      <c r="O1350" s="53"/>
      <c r="T1350" s="53"/>
      <c r="V1350" s="53"/>
      <c r="W1350" s="55"/>
    </row>
    <row r="1351">
      <c r="K1351" s="53"/>
      <c r="N1351" s="53"/>
      <c r="O1351" s="53"/>
      <c r="T1351" s="53"/>
      <c r="V1351" s="53"/>
      <c r="W1351" s="55"/>
    </row>
    <row r="1352">
      <c r="K1352" s="53"/>
      <c r="N1352" s="53"/>
      <c r="O1352" s="53"/>
      <c r="T1352" s="53"/>
      <c r="V1352" s="53"/>
      <c r="W1352" s="55"/>
    </row>
    <row r="1353">
      <c r="K1353" s="53"/>
      <c r="N1353" s="53"/>
      <c r="O1353" s="53"/>
      <c r="T1353" s="53"/>
      <c r="V1353" s="53"/>
      <c r="W1353" s="55"/>
    </row>
    <row r="1354">
      <c r="K1354" s="53"/>
      <c r="N1354" s="53"/>
      <c r="O1354" s="53"/>
      <c r="T1354" s="53"/>
      <c r="V1354" s="53"/>
      <c r="W1354" s="55"/>
    </row>
    <row r="1355">
      <c r="K1355" s="53"/>
      <c r="N1355" s="53"/>
      <c r="O1355" s="53"/>
      <c r="T1355" s="53"/>
      <c r="V1355" s="53"/>
      <c r="W1355" s="55"/>
    </row>
    <row r="1356">
      <c r="K1356" s="53"/>
      <c r="N1356" s="53"/>
      <c r="O1356" s="53"/>
      <c r="T1356" s="53"/>
      <c r="V1356" s="53"/>
      <c r="W1356" s="55"/>
    </row>
    <row r="1357">
      <c r="K1357" s="53"/>
      <c r="N1357" s="53"/>
      <c r="O1357" s="53"/>
      <c r="T1357" s="53"/>
      <c r="V1357" s="53"/>
      <c r="W1357" s="55"/>
    </row>
    <row r="1358">
      <c r="K1358" s="53"/>
      <c r="N1358" s="53"/>
      <c r="O1358" s="53"/>
      <c r="T1358" s="53"/>
      <c r="V1358" s="53"/>
      <c r="W1358" s="55"/>
    </row>
    <row r="1359">
      <c r="K1359" s="53"/>
      <c r="N1359" s="53"/>
      <c r="O1359" s="53"/>
      <c r="T1359" s="53"/>
      <c r="V1359" s="53"/>
      <c r="W1359" s="55"/>
    </row>
    <row r="1360">
      <c r="K1360" s="53"/>
      <c r="N1360" s="53"/>
      <c r="O1360" s="53"/>
      <c r="T1360" s="53"/>
      <c r="V1360" s="53"/>
      <c r="W1360" s="55"/>
    </row>
    <row r="1361">
      <c r="K1361" s="53"/>
      <c r="N1361" s="53"/>
      <c r="O1361" s="53"/>
      <c r="T1361" s="53"/>
      <c r="V1361" s="53"/>
      <c r="W1361" s="55"/>
    </row>
    <row r="1362">
      <c r="K1362" s="53"/>
      <c r="N1362" s="53"/>
      <c r="O1362" s="53"/>
      <c r="T1362" s="53"/>
      <c r="V1362" s="53"/>
      <c r="W1362" s="55"/>
    </row>
    <row r="1363">
      <c r="K1363" s="53"/>
      <c r="N1363" s="53"/>
      <c r="O1363" s="53"/>
      <c r="T1363" s="53"/>
      <c r="V1363" s="53"/>
      <c r="W1363" s="55"/>
    </row>
    <row r="1364">
      <c r="K1364" s="53"/>
      <c r="N1364" s="53"/>
      <c r="O1364" s="53"/>
      <c r="T1364" s="53"/>
      <c r="V1364" s="53"/>
      <c r="W1364" s="55"/>
    </row>
    <row r="1365">
      <c r="K1365" s="53"/>
      <c r="N1365" s="53"/>
      <c r="O1365" s="53"/>
      <c r="T1365" s="53"/>
      <c r="V1365" s="53"/>
      <c r="W1365" s="55"/>
    </row>
    <row r="1366">
      <c r="K1366" s="53"/>
      <c r="N1366" s="53"/>
      <c r="O1366" s="53"/>
      <c r="T1366" s="53"/>
      <c r="V1366" s="53"/>
      <c r="W1366" s="55"/>
    </row>
    <row r="1367">
      <c r="K1367" s="53"/>
      <c r="N1367" s="53"/>
      <c r="O1367" s="53"/>
      <c r="T1367" s="53"/>
      <c r="V1367" s="53"/>
      <c r="W1367" s="55"/>
    </row>
    <row r="1368">
      <c r="K1368" s="53"/>
      <c r="N1368" s="53"/>
      <c r="O1368" s="53"/>
      <c r="T1368" s="53"/>
      <c r="V1368" s="53"/>
      <c r="W1368" s="55"/>
    </row>
    <row r="1369">
      <c r="K1369" s="53"/>
      <c r="N1369" s="53"/>
      <c r="O1369" s="53"/>
      <c r="T1369" s="53"/>
      <c r="V1369" s="53"/>
      <c r="W1369" s="55"/>
    </row>
    <row r="1370">
      <c r="K1370" s="53"/>
      <c r="N1370" s="53"/>
      <c r="O1370" s="53"/>
      <c r="T1370" s="53"/>
      <c r="V1370" s="53"/>
      <c r="W1370" s="55"/>
    </row>
    <row r="1371">
      <c r="K1371" s="53"/>
      <c r="N1371" s="53"/>
      <c r="O1371" s="53"/>
      <c r="T1371" s="53"/>
      <c r="V1371" s="53"/>
      <c r="W1371" s="55"/>
    </row>
    <row r="1372">
      <c r="K1372" s="53"/>
      <c r="N1372" s="53"/>
      <c r="O1372" s="53"/>
      <c r="T1372" s="53"/>
      <c r="V1372" s="53"/>
      <c r="W1372" s="55"/>
    </row>
    <row r="1373">
      <c r="K1373" s="53"/>
      <c r="N1373" s="53"/>
      <c r="O1373" s="53"/>
      <c r="T1373" s="53"/>
      <c r="V1373" s="53"/>
      <c r="W1373" s="55"/>
    </row>
    <row r="1374">
      <c r="K1374" s="53"/>
      <c r="N1374" s="53"/>
      <c r="O1374" s="53"/>
      <c r="T1374" s="53"/>
      <c r="V1374" s="53"/>
      <c r="W1374" s="55"/>
    </row>
    <row r="1375">
      <c r="K1375" s="53"/>
      <c r="N1375" s="53"/>
      <c r="O1375" s="53"/>
      <c r="T1375" s="53"/>
      <c r="V1375" s="53"/>
      <c r="W1375" s="55"/>
    </row>
    <row r="1376">
      <c r="K1376" s="53"/>
      <c r="N1376" s="53"/>
      <c r="O1376" s="53"/>
      <c r="T1376" s="53"/>
      <c r="V1376" s="53"/>
      <c r="W1376" s="55"/>
    </row>
    <row r="1377">
      <c r="K1377" s="53"/>
      <c r="N1377" s="53"/>
      <c r="O1377" s="53"/>
      <c r="T1377" s="53"/>
      <c r="V1377" s="53"/>
      <c r="W1377" s="55"/>
    </row>
    <row r="1378">
      <c r="K1378" s="53"/>
      <c r="N1378" s="53"/>
      <c r="O1378" s="53"/>
      <c r="T1378" s="53"/>
      <c r="V1378" s="53"/>
      <c r="W1378" s="55"/>
    </row>
    <row r="1379">
      <c r="K1379" s="53"/>
      <c r="N1379" s="53"/>
      <c r="O1379" s="53"/>
      <c r="T1379" s="53"/>
      <c r="V1379" s="53"/>
      <c r="W1379" s="55"/>
    </row>
    <row r="1380">
      <c r="K1380" s="53"/>
      <c r="N1380" s="53"/>
      <c r="O1380" s="53"/>
      <c r="T1380" s="53"/>
      <c r="V1380" s="53"/>
      <c r="W1380" s="55"/>
    </row>
    <row r="1381">
      <c r="K1381" s="53"/>
      <c r="N1381" s="53"/>
      <c r="O1381" s="53"/>
      <c r="T1381" s="53"/>
      <c r="V1381" s="53"/>
      <c r="W1381" s="55"/>
    </row>
    <row r="1382">
      <c r="K1382" s="53"/>
      <c r="N1382" s="53"/>
      <c r="O1382" s="53"/>
      <c r="T1382" s="53"/>
      <c r="V1382" s="53"/>
      <c r="W1382" s="55"/>
    </row>
    <row r="1383">
      <c r="K1383" s="53"/>
      <c r="N1383" s="53"/>
      <c r="O1383" s="53"/>
      <c r="T1383" s="53"/>
      <c r="V1383" s="53"/>
      <c r="W1383" s="55"/>
    </row>
    <row r="1384">
      <c r="K1384" s="53"/>
      <c r="N1384" s="53"/>
      <c r="O1384" s="53"/>
      <c r="T1384" s="53"/>
      <c r="V1384" s="53"/>
      <c r="W1384" s="55"/>
    </row>
    <row r="1385">
      <c r="K1385" s="53"/>
      <c r="N1385" s="53"/>
      <c r="O1385" s="53"/>
      <c r="T1385" s="53"/>
      <c r="V1385" s="53"/>
      <c r="W1385" s="55"/>
    </row>
    <row r="1386">
      <c r="K1386" s="53"/>
      <c r="N1386" s="53"/>
      <c r="O1386" s="53"/>
      <c r="T1386" s="53"/>
      <c r="V1386" s="53"/>
      <c r="W1386" s="55"/>
    </row>
    <row r="1387">
      <c r="K1387" s="53"/>
      <c r="N1387" s="53"/>
      <c r="O1387" s="53"/>
      <c r="T1387" s="53"/>
      <c r="V1387" s="53"/>
      <c r="W1387" s="55"/>
    </row>
    <row r="1388">
      <c r="K1388" s="53"/>
      <c r="N1388" s="53"/>
      <c r="O1388" s="53"/>
      <c r="T1388" s="53"/>
      <c r="V1388" s="53"/>
      <c r="W1388" s="55"/>
    </row>
    <row r="1389">
      <c r="K1389" s="53"/>
      <c r="N1389" s="53"/>
      <c r="O1389" s="53"/>
      <c r="T1389" s="53"/>
      <c r="V1389" s="53"/>
      <c r="W1389" s="55"/>
    </row>
    <row r="1390">
      <c r="K1390" s="53"/>
      <c r="N1390" s="53"/>
      <c r="O1390" s="53"/>
      <c r="T1390" s="53"/>
      <c r="V1390" s="53"/>
      <c r="W1390" s="55"/>
    </row>
    <row r="1391">
      <c r="K1391" s="53"/>
      <c r="N1391" s="53"/>
      <c r="O1391" s="53"/>
      <c r="T1391" s="53"/>
      <c r="V1391" s="53"/>
      <c r="W1391" s="55"/>
    </row>
    <row r="1392">
      <c r="K1392" s="53"/>
      <c r="N1392" s="53"/>
      <c r="O1392" s="53"/>
      <c r="T1392" s="53"/>
      <c r="V1392" s="53"/>
      <c r="W1392" s="55"/>
    </row>
    <row r="1393">
      <c r="K1393" s="53"/>
      <c r="N1393" s="53"/>
      <c r="O1393" s="53"/>
      <c r="T1393" s="53"/>
      <c r="V1393" s="53"/>
      <c r="W1393" s="55"/>
    </row>
    <row r="1394">
      <c r="K1394" s="53"/>
      <c r="N1394" s="53"/>
      <c r="O1394" s="53"/>
      <c r="T1394" s="53"/>
      <c r="V1394" s="53"/>
      <c r="W1394" s="55"/>
    </row>
    <row r="1395">
      <c r="K1395" s="53"/>
      <c r="N1395" s="53"/>
      <c r="O1395" s="53"/>
      <c r="T1395" s="53"/>
      <c r="V1395" s="53"/>
      <c r="W1395" s="55"/>
    </row>
    <row r="1396">
      <c r="K1396" s="53"/>
      <c r="N1396" s="53"/>
      <c r="O1396" s="53"/>
      <c r="T1396" s="53"/>
      <c r="V1396" s="53"/>
      <c r="W1396" s="55"/>
    </row>
    <row r="1397">
      <c r="K1397" s="53"/>
      <c r="N1397" s="53"/>
      <c r="O1397" s="53"/>
      <c r="T1397" s="53"/>
      <c r="V1397" s="53"/>
      <c r="W1397" s="55"/>
    </row>
    <row r="1398">
      <c r="K1398" s="53"/>
      <c r="N1398" s="53"/>
      <c r="O1398" s="53"/>
      <c r="T1398" s="53"/>
      <c r="V1398" s="53"/>
      <c r="W1398" s="55"/>
    </row>
    <row r="1399">
      <c r="K1399" s="53"/>
      <c r="N1399" s="53"/>
      <c r="O1399" s="53"/>
      <c r="T1399" s="53"/>
      <c r="V1399" s="53"/>
      <c r="W1399" s="55"/>
    </row>
    <row r="1400">
      <c r="K1400" s="53"/>
      <c r="N1400" s="53"/>
      <c r="O1400" s="53"/>
      <c r="T1400" s="53"/>
      <c r="V1400" s="53"/>
      <c r="W1400" s="55"/>
    </row>
    <row r="1401">
      <c r="K1401" s="53"/>
      <c r="N1401" s="53"/>
      <c r="O1401" s="53"/>
      <c r="T1401" s="53"/>
      <c r="V1401" s="53"/>
      <c r="W1401" s="55"/>
    </row>
    <row r="1402">
      <c r="K1402" s="53"/>
      <c r="N1402" s="53"/>
      <c r="O1402" s="53"/>
      <c r="T1402" s="53"/>
      <c r="V1402" s="53"/>
      <c r="W1402" s="55"/>
    </row>
    <row r="1403">
      <c r="K1403" s="53"/>
      <c r="N1403" s="53"/>
      <c r="O1403" s="53"/>
      <c r="T1403" s="53"/>
      <c r="V1403" s="53"/>
      <c r="W1403" s="55"/>
    </row>
    <row r="1404">
      <c r="K1404" s="53"/>
      <c r="N1404" s="53"/>
      <c r="O1404" s="53"/>
      <c r="T1404" s="53"/>
      <c r="V1404" s="53"/>
      <c r="W1404" s="55"/>
    </row>
    <row r="1405">
      <c r="K1405" s="53"/>
      <c r="N1405" s="53"/>
      <c r="O1405" s="53"/>
      <c r="T1405" s="53"/>
      <c r="V1405" s="53"/>
      <c r="W1405" s="55"/>
    </row>
    <row r="1406">
      <c r="K1406" s="53"/>
      <c r="N1406" s="53"/>
      <c r="O1406" s="53"/>
      <c r="T1406" s="53"/>
      <c r="V1406" s="53"/>
      <c r="W1406" s="55"/>
    </row>
    <row r="1407">
      <c r="K1407" s="53"/>
      <c r="N1407" s="53"/>
      <c r="O1407" s="53"/>
      <c r="T1407" s="53"/>
      <c r="V1407" s="53"/>
      <c r="W1407" s="55"/>
    </row>
    <row r="1408">
      <c r="K1408" s="53"/>
      <c r="N1408" s="53"/>
      <c r="O1408" s="53"/>
      <c r="T1408" s="53"/>
      <c r="V1408" s="53"/>
      <c r="W1408" s="55"/>
    </row>
    <row r="1409">
      <c r="K1409" s="53"/>
      <c r="N1409" s="53"/>
      <c r="O1409" s="53"/>
      <c r="T1409" s="53"/>
      <c r="V1409" s="53"/>
      <c r="W1409" s="55"/>
    </row>
    <row r="1410">
      <c r="K1410" s="53"/>
      <c r="N1410" s="53"/>
      <c r="O1410" s="53"/>
      <c r="T1410" s="53"/>
      <c r="V1410" s="53"/>
      <c r="W1410" s="55"/>
    </row>
    <row r="1411">
      <c r="K1411" s="53"/>
      <c r="N1411" s="53"/>
      <c r="O1411" s="53"/>
      <c r="T1411" s="53"/>
      <c r="V1411" s="53"/>
      <c r="W1411" s="55"/>
    </row>
    <row r="1412">
      <c r="K1412" s="53"/>
      <c r="N1412" s="53"/>
      <c r="O1412" s="53"/>
      <c r="T1412" s="53"/>
      <c r="V1412" s="53"/>
      <c r="W1412" s="55"/>
    </row>
    <row r="1413">
      <c r="K1413" s="53"/>
      <c r="N1413" s="53"/>
      <c r="O1413" s="53"/>
      <c r="T1413" s="53"/>
      <c r="V1413" s="53"/>
      <c r="W1413" s="55"/>
    </row>
    <row r="1414">
      <c r="K1414" s="53"/>
      <c r="N1414" s="53"/>
      <c r="O1414" s="53"/>
      <c r="T1414" s="53"/>
      <c r="V1414" s="53"/>
      <c r="W1414" s="55"/>
    </row>
    <row r="1415">
      <c r="K1415" s="53"/>
      <c r="N1415" s="53"/>
      <c r="O1415" s="53"/>
      <c r="T1415" s="53"/>
      <c r="V1415" s="53"/>
      <c r="W1415" s="55"/>
    </row>
    <row r="1416">
      <c r="K1416" s="53"/>
      <c r="N1416" s="53"/>
      <c r="O1416" s="53"/>
      <c r="T1416" s="53"/>
      <c r="V1416" s="53"/>
      <c r="W1416" s="55"/>
    </row>
    <row r="1417">
      <c r="K1417" s="53"/>
      <c r="N1417" s="53"/>
      <c r="O1417" s="53"/>
      <c r="T1417" s="53"/>
      <c r="V1417" s="53"/>
      <c r="W1417" s="55"/>
    </row>
    <row r="1418">
      <c r="K1418" s="53"/>
      <c r="N1418" s="53"/>
      <c r="O1418" s="53"/>
      <c r="T1418" s="53"/>
      <c r="V1418" s="53"/>
      <c r="W1418" s="55"/>
    </row>
    <row r="1419">
      <c r="K1419" s="53"/>
      <c r="N1419" s="53"/>
      <c r="O1419" s="53"/>
      <c r="T1419" s="53"/>
      <c r="V1419" s="53"/>
      <c r="W1419" s="55"/>
    </row>
    <row r="1420">
      <c r="K1420" s="53"/>
      <c r="N1420" s="53"/>
      <c r="O1420" s="53"/>
      <c r="T1420" s="53"/>
      <c r="V1420" s="53"/>
      <c r="W1420" s="55"/>
    </row>
    <row r="1421">
      <c r="K1421" s="53"/>
      <c r="N1421" s="53"/>
      <c r="O1421" s="53"/>
      <c r="T1421" s="53"/>
      <c r="V1421" s="53"/>
      <c r="W1421" s="55"/>
    </row>
    <row r="1422">
      <c r="K1422" s="53"/>
      <c r="N1422" s="53"/>
      <c r="O1422" s="53"/>
      <c r="T1422" s="53"/>
      <c r="V1422" s="53"/>
      <c r="W1422" s="55"/>
    </row>
    <row r="1423">
      <c r="K1423" s="53"/>
      <c r="N1423" s="53"/>
      <c r="O1423" s="53"/>
      <c r="T1423" s="53"/>
      <c r="V1423" s="53"/>
      <c r="W1423" s="55"/>
    </row>
    <row r="1424">
      <c r="K1424" s="53"/>
      <c r="N1424" s="53"/>
      <c r="O1424" s="53"/>
      <c r="T1424" s="53"/>
      <c r="V1424" s="53"/>
      <c r="W1424" s="55"/>
    </row>
    <row r="1425">
      <c r="K1425" s="53"/>
      <c r="N1425" s="53"/>
      <c r="O1425" s="53"/>
      <c r="T1425" s="53"/>
      <c r="V1425" s="53"/>
      <c r="W1425" s="55"/>
    </row>
    <row r="1426">
      <c r="K1426" s="53"/>
      <c r="N1426" s="53"/>
      <c r="O1426" s="53"/>
      <c r="T1426" s="53"/>
      <c r="V1426" s="53"/>
      <c r="W1426" s="55"/>
    </row>
    <row r="1427">
      <c r="K1427" s="53"/>
      <c r="N1427" s="53"/>
      <c r="O1427" s="53"/>
      <c r="T1427" s="53"/>
      <c r="V1427" s="53"/>
      <c r="W1427" s="55"/>
    </row>
    <row r="1428">
      <c r="K1428" s="53"/>
      <c r="N1428" s="53"/>
      <c r="O1428" s="53"/>
      <c r="T1428" s="53"/>
      <c r="V1428" s="53"/>
      <c r="W1428" s="55"/>
    </row>
    <row r="1429">
      <c r="K1429" s="53"/>
      <c r="N1429" s="53"/>
      <c r="O1429" s="53"/>
      <c r="T1429" s="53"/>
      <c r="V1429" s="53"/>
      <c r="W1429" s="55"/>
    </row>
    <row r="1430">
      <c r="K1430" s="53"/>
      <c r="N1430" s="53"/>
      <c r="O1430" s="53"/>
      <c r="T1430" s="53"/>
      <c r="V1430" s="53"/>
      <c r="W1430" s="55"/>
    </row>
    <row r="1431">
      <c r="K1431" s="53"/>
      <c r="N1431" s="53"/>
      <c r="O1431" s="53"/>
      <c r="T1431" s="53"/>
      <c r="V1431" s="53"/>
      <c r="W1431" s="55"/>
    </row>
    <row r="1432">
      <c r="K1432" s="53"/>
      <c r="N1432" s="53"/>
      <c r="O1432" s="53"/>
      <c r="T1432" s="53"/>
      <c r="V1432" s="53"/>
      <c r="W1432" s="55"/>
    </row>
    <row r="1433">
      <c r="K1433" s="53"/>
      <c r="N1433" s="53"/>
      <c r="O1433" s="53"/>
      <c r="T1433" s="53"/>
      <c r="V1433" s="53"/>
      <c r="W1433" s="55"/>
    </row>
    <row r="1434">
      <c r="K1434" s="53"/>
      <c r="N1434" s="53"/>
      <c r="O1434" s="53"/>
      <c r="T1434" s="53"/>
      <c r="V1434" s="53"/>
      <c r="W1434" s="55"/>
    </row>
    <row r="1435">
      <c r="K1435" s="53"/>
      <c r="N1435" s="53"/>
      <c r="O1435" s="53"/>
      <c r="T1435" s="53"/>
      <c r="V1435" s="53"/>
      <c r="W1435" s="55"/>
    </row>
    <row r="1436">
      <c r="K1436" s="53"/>
      <c r="N1436" s="53"/>
      <c r="O1436" s="53"/>
      <c r="T1436" s="53"/>
      <c r="V1436" s="53"/>
      <c r="W1436" s="55"/>
    </row>
    <row r="1437">
      <c r="K1437" s="53"/>
      <c r="N1437" s="53"/>
      <c r="O1437" s="53"/>
      <c r="T1437" s="53"/>
      <c r="V1437" s="53"/>
      <c r="W1437" s="55"/>
    </row>
    <row r="1438">
      <c r="K1438" s="53"/>
      <c r="N1438" s="53"/>
      <c r="O1438" s="53"/>
      <c r="T1438" s="53"/>
      <c r="V1438" s="53"/>
      <c r="W1438" s="55"/>
    </row>
    <row r="1439">
      <c r="K1439" s="53"/>
      <c r="N1439" s="53"/>
      <c r="O1439" s="53"/>
      <c r="T1439" s="53"/>
      <c r="V1439" s="53"/>
      <c r="W1439" s="55"/>
    </row>
    <row r="1440">
      <c r="K1440" s="53"/>
      <c r="N1440" s="53"/>
      <c r="O1440" s="53"/>
      <c r="T1440" s="53"/>
      <c r="V1440" s="53"/>
      <c r="W1440" s="55"/>
    </row>
    <row r="1441">
      <c r="K1441" s="53"/>
      <c r="N1441" s="53"/>
      <c r="O1441" s="53"/>
      <c r="T1441" s="53"/>
      <c r="V1441" s="53"/>
      <c r="W1441" s="55"/>
    </row>
    <row r="1442">
      <c r="K1442" s="53"/>
      <c r="N1442" s="53"/>
      <c r="O1442" s="53"/>
      <c r="T1442" s="53"/>
      <c r="V1442" s="53"/>
      <c r="W1442" s="55"/>
    </row>
    <row r="1443">
      <c r="K1443" s="53"/>
      <c r="N1443" s="53"/>
      <c r="O1443" s="53"/>
      <c r="T1443" s="53"/>
      <c r="V1443" s="53"/>
      <c r="W1443" s="55"/>
    </row>
    <row r="1444">
      <c r="K1444" s="53"/>
      <c r="N1444" s="53"/>
      <c r="O1444" s="53"/>
      <c r="T1444" s="53"/>
      <c r="V1444" s="53"/>
      <c r="W1444" s="55"/>
    </row>
    <row r="1445">
      <c r="K1445" s="53"/>
      <c r="N1445" s="53"/>
      <c r="O1445" s="53"/>
      <c r="T1445" s="53"/>
      <c r="V1445" s="53"/>
      <c r="W1445" s="55"/>
    </row>
    <row r="1446">
      <c r="K1446" s="53"/>
      <c r="N1446" s="53"/>
      <c r="O1446" s="53"/>
      <c r="T1446" s="53"/>
      <c r="V1446" s="53"/>
      <c r="W1446" s="55"/>
    </row>
    <row r="1447">
      <c r="K1447" s="53"/>
      <c r="N1447" s="53"/>
      <c r="O1447" s="53"/>
      <c r="T1447" s="53"/>
      <c r="V1447" s="53"/>
      <c r="W1447" s="55"/>
    </row>
    <row r="1448">
      <c r="K1448" s="53"/>
      <c r="N1448" s="53"/>
      <c r="O1448" s="53"/>
      <c r="T1448" s="53"/>
      <c r="V1448" s="53"/>
      <c r="W1448" s="55"/>
    </row>
    <row r="1449">
      <c r="K1449" s="53"/>
      <c r="N1449" s="53"/>
      <c r="O1449" s="53"/>
      <c r="T1449" s="53"/>
      <c r="V1449" s="53"/>
      <c r="W1449" s="55"/>
    </row>
    <row r="1450">
      <c r="K1450" s="53"/>
      <c r="N1450" s="53"/>
      <c r="O1450" s="53"/>
      <c r="T1450" s="53"/>
      <c r="V1450" s="53"/>
      <c r="W1450" s="55"/>
    </row>
    <row r="1451">
      <c r="K1451" s="53"/>
      <c r="N1451" s="53"/>
      <c r="O1451" s="53"/>
      <c r="T1451" s="53"/>
      <c r="V1451" s="53"/>
      <c r="W1451" s="55"/>
    </row>
    <row r="1452">
      <c r="K1452" s="53"/>
      <c r="N1452" s="53"/>
      <c r="O1452" s="53"/>
      <c r="T1452" s="53"/>
      <c r="V1452" s="53"/>
      <c r="W1452" s="55"/>
    </row>
    <row r="1453">
      <c r="K1453" s="53"/>
      <c r="N1453" s="53"/>
      <c r="O1453" s="53"/>
      <c r="T1453" s="53"/>
      <c r="V1453" s="53"/>
      <c r="W1453" s="55"/>
    </row>
    <row r="1454">
      <c r="K1454" s="53"/>
      <c r="N1454" s="53"/>
      <c r="O1454" s="53"/>
      <c r="T1454" s="53"/>
      <c r="V1454" s="53"/>
      <c r="W1454" s="55"/>
    </row>
    <row r="1455">
      <c r="K1455" s="53"/>
      <c r="N1455" s="53"/>
      <c r="O1455" s="53"/>
      <c r="T1455" s="53"/>
      <c r="V1455" s="53"/>
      <c r="W1455" s="55"/>
    </row>
    <row r="1456">
      <c r="K1456" s="53"/>
      <c r="N1456" s="53"/>
      <c r="O1456" s="53"/>
      <c r="T1456" s="53"/>
      <c r="V1456" s="53"/>
      <c r="W1456" s="55"/>
    </row>
    <row r="1457">
      <c r="K1457" s="53"/>
      <c r="N1457" s="53"/>
      <c r="O1457" s="53"/>
      <c r="T1457" s="53"/>
      <c r="V1457" s="53"/>
      <c r="W1457" s="55"/>
    </row>
    <row r="1458">
      <c r="K1458" s="53"/>
      <c r="N1458" s="53"/>
      <c r="O1458" s="53"/>
      <c r="T1458" s="53"/>
      <c r="V1458" s="53"/>
      <c r="W1458" s="55"/>
    </row>
    <row r="1459">
      <c r="K1459" s="53"/>
      <c r="N1459" s="53"/>
      <c r="O1459" s="53"/>
      <c r="T1459" s="53"/>
      <c r="V1459" s="53"/>
      <c r="W1459" s="55"/>
    </row>
    <row r="1460">
      <c r="K1460" s="53"/>
      <c r="N1460" s="53"/>
      <c r="O1460" s="53"/>
      <c r="T1460" s="53"/>
      <c r="V1460" s="53"/>
      <c r="W1460" s="55"/>
    </row>
    <row r="1461">
      <c r="K1461" s="53"/>
      <c r="N1461" s="53"/>
      <c r="O1461" s="53"/>
      <c r="T1461" s="53"/>
      <c r="V1461" s="53"/>
      <c r="W1461" s="55"/>
    </row>
    <row r="1462">
      <c r="K1462" s="53"/>
      <c r="N1462" s="53"/>
      <c r="O1462" s="53"/>
      <c r="T1462" s="53"/>
      <c r="V1462" s="53"/>
      <c r="W1462" s="55"/>
    </row>
    <row r="1463">
      <c r="K1463" s="53"/>
      <c r="N1463" s="53"/>
      <c r="O1463" s="53"/>
      <c r="T1463" s="53"/>
      <c r="V1463" s="53"/>
      <c r="W1463" s="55"/>
    </row>
    <row r="1464">
      <c r="K1464" s="53"/>
      <c r="N1464" s="53"/>
      <c r="O1464" s="53"/>
      <c r="T1464" s="53"/>
      <c r="V1464" s="53"/>
      <c r="W1464" s="55"/>
    </row>
    <row r="1465">
      <c r="K1465" s="53"/>
      <c r="N1465" s="53"/>
      <c r="O1465" s="53"/>
      <c r="T1465" s="53"/>
      <c r="V1465" s="53"/>
      <c r="W1465" s="55"/>
    </row>
    <row r="1466">
      <c r="K1466" s="53"/>
      <c r="N1466" s="53"/>
      <c r="O1466" s="53"/>
      <c r="T1466" s="53"/>
      <c r="V1466" s="53"/>
      <c r="W1466" s="55"/>
    </row>
    <row r="1467">
      <c r="K1467" s="53"/>
      <c r="N1467" s="53"/>
      <c r="O1467" s="53"/>
      <c r="T1467" s="53"/>
      <c r="V1467" s="53"/>
      <c r="W1467" s="55"/>
    </row>
    <row r="1468">
      <c r="K1468" s="53"/>
      <c r="N1468" s="53"/>
      <c r="O1468" s="53"/>
      <c r="T1468" s="53"/>
      <c r="V1468" s="53"/>
      <c r="W1468" s="55"/>
    </row>
    <row r="1469">
      <c r="K1469" s="53"/>
      <c r="N1469" s="53"/>
      <c r="O1469" s="53"/>
      <c r="T1469" s="53"/>
      <c r="V1469" s="53"/>
      <c r="W1469" s="55"/>
    </row>
    <row r="1470">
      <c r="K1470" s="53"/>
      <c r="N1470" s="53"/>
      <c r="O1470" s="53"/>
      <c r="T1470" s="53"/>
      <c r="V1470" s="53"/>
      <c r="W1470" s="55"/>
    </row>
    <row r="1471">
      <c r="K1471" s="53"/>
      <c r="N1471" s="53"/>
      <c r="O1471" s="53"/>
      <c r="T1471" s="53"/>
      <c r="V1471" s="53"/>
      <c r="W1471" s="55"/>
    </row>
    <row r="1472">
      <c r="K1472" s="53"/>
      <c r="N1472" s="53"/>
      <c r="O1472" s="53"/>
      <c r="T1472" s="53"/>
      <c r="V1472" s="53"/>
      <c r="W1472" s="55"/>
    </row>
    <row r="1473">
      <c r="K1473" s="53"/>
      <c r="N1473" s="53"/>
      <c r="O1473" s="53"/>
      <c r="T1473" s="53"/>
      <c r="V1473" s="53"/>
      <c r="W1473" s="55"/>
    </row>
    <row r="1474">
      <c r="K1474" s="53"/>
      <c r="N1474" s="53"/>
      <c r="O1474" s="53"/>
      <c r="T1474" s="53"/>
      <c r="V1474" s="53"/>
      <c r="W1474" s="55"/>
    </row>
    <row r="1475">
      <c r="K1475" s="53"/>
      <c r="N1475" s="53"/>
      <c r="O1475" s="53"/>
      <c r="T1475" s="53"/>
      <c r="V1475" s="53"/>
      <c r="W1475" s="55"/>
    </row>
    <row r="1476">
      <c r="K1476" s="53"/>
      <c r="N1476" s="53"/>
      <c r="O1476" s="53"/>
      <c r="T1476" s="53"/>
      <c r="V1476" s="53"/>
      <c r="W1476" s="55"/>
    </row>
    <row r="1477">
      <c r="K1477" s="53"/>
      <c r="N1477" s="53"/>
      <c r="O1477" s="53"/>
      <c r="T1477" s="53"/>
      <c r="V1477" s="53"/>
      <c r="W1477" s="55"/>
    </row>
    <row r="1478">
      <c r="K1478" s="53"/>
      <c r="N1478" s="53"/>
      <c r="O1478" s="53"/>
      <c r="T1478" s="53"/>
      <c r="V1478" s="53"/>
      <c r="W1478" s="55"/>
    </row>
    <row r="1479">
      <c r="K1479" s="53"/>
      <c r="N1479" s="53"/>
      <c r="O1479" s="53"/>
      <c r="T1479" s="53"/>
      <c r="V1479" s="53"/>
      <c r="W1479" s="55"/>
    </row>
    <row r="1480">
      <c r="K1480" s="53"/>
      <c r="N1480" s="53"/>
      <c r="O1480" s="53"/>
      <c r="T1480" s="53"/>
      <c r="V1480" s="53"/>
      <c r="W1480" s="55"/>
    </row>
    <row r="1481">
      <c r="K1481" s="53"/>
      <c r="N1481" s="53"/>
      <c r="O1481" s="53"/>
      <c r="T1481" s="53"/>
      <c r="V1481" s="53"/>
      <c r="W1481" s="55"/>
    </row>
    <row r="1482">
      <c r="K1482" s="53"/>
      <c r="N1482" s="53"/>
      <c r="O1482" s="53"/>
      <c r="T1482" s="53"/>
      <c r="V1482" s="53"/>
      <c r="W1482" s="55"/>
    </row>
    <row r="1483">
      <c r="K1483" s="53"/>
      <c r="N1483" s="53"/>
      <c r="O1483" s="53"/>
      <c r="T1483" s="53"/>
      <c r="V1483" s="53"/>
      <c r="W1483" s="55"/>
    </row>
    <row r="1484">
      <c r="K1484" s="53"/>
      <c r="N1484" s="53"/>
      <c r="O1484" s="53"/>
      <c r="T1484" s="53"/>
      <c r="V1484" s="53"/>
      <c r="W1484" s="55"/>
    </row>
    <row r="1485">
      <c r="K1485" s="53"/>
      <c r="N1485" s="53"/>
      <c r="O1485" s="53"/>
      <c r="T1485" s="53"/>
      <c r="V1485" s="53"/>
      <c r="W1485" s="55"/>
    </row>
    <row r="1486">
      <c r="K1486" s="53"/>
      <c r="N1486" s="53"/>
      <c r="O1486" s="53"/>
      <c r="T1486" s="53"/>
      <c r="V1486" s="53"/>
      <c r="W1486" s="55"/>
    </row>
    <row r="1487">
      <c r="K1487" s="53"/>
      <c r="N1487" s="53"/>
      <c r="O1487" s="53"/>
      <c r="T1487" s="53"/>
      <c r="V1487" s="53"/>
      <c r="W1487" s="55"/>
    </row>
    <row r="1488">
      <c r="K1488" s="53"/>
      <c r="N1488" s="53"/>
      <c r="O1488" s="53"/>
      <c r="T1488" s="53"/>
      <c r="V1488" s="53"/>
      <c r="W1488" s="55"/>
    </row>
    <row r="1489">
      <c r="K1489" s="53"/>
      <c r="N1489" s="53"/>
      <c r="O1489" s="53"/>
      <c r="T1489" s="53"/>
      <c r="V1489" s="53"/>
      <c r="W1489" s="55"/>
    </row>
    <row r="1490">
      <c r="K1490" s="53"/>
      <c r="N1490" s="53"/>
      <c r="O1490" s="53"/>
      <c r="T1490" s="53"/>
      <c r="V1490" s="53"/>
      <c r="W1490" s="55"/>
    </row>
    <row r="1491">
      <c r="K1491" s="53"/>
      <c r="N1491" s="53"/>
      <c r="O1491" s="53"/>
      <c r="T1491" s="53"/>
      <c r="V1491" s="53"/>
      <c r="W1491" s="55"/>
    </row>
    <row r="1492">
      <c r="K1492" s="53"/>
      <c r="N1492" s="53"/>
      <c r="O1492" s="53"/>
      <c r="T1492" s="53"/>
      <c r="V1492" s="53"/>
      <c r="W1492" s="55"/>
    </row>
    <row r="1493">
      <c r="K1493" s="53"/>
      <c r="N1493" s="53"/>
      <c r="O1493" s="53"/>
      <c r="T1493" s="53"/>
      <c r="V1493" s="53"/>
      <c r="W1493" s="55"/>
    </row>
    <row r="1494">
      <c r="K1494" s="53"/>
      <c r="N1494" s="53"/>
      <c r="O1494" s="53"/>
      <c r="T1494" s="53"/>
      <c r="V1494" s="53"/>
      <c r="W1494" s="55"/>
    </row>
    <row r="1495">
      <c r="K1495" s="53"/>
      <c r="N1495" s="53"/>
      <c r="O1495" s="53"/>
      <c r="T1495" s="53"/>
      <c r="V1495" s="53"/>
      <c r="W1495" s="55"/>
    </row>
    <row r="1496">
      <c r="K1496" s="53"/>
      <c r="N1496" s="53"/>
      <c r="O1496" s="53"/>
      <c r="T1496" s="53"/>
      <c r="V1496" s="53"/>
      <c r="W1496" s="55"/>
    </row>
    <row r="1497">
      <c r="K1497" s="53"/>
      <c r="N1497" s="53"/>
      <c r="O1497" s="53"/>
      <c r="T1497" s="53"/>
      <c r="V1497" s="53"/>
      <c r="W1497" s="55"/>
    </row>
    <row r="1498">
      <c r="K1498" s="53"/>
      <c r="N1498" s="53"/>
      <c r="O1498" s="53"/>
      <c r="T1498" s="53"/>
      <c r="V1498" s="53"/>
      <c r="W1498" s="55"/>
    </row>
    <row r="1499">
      <c r="K1499" s="53"/>
      <c r="N1499" s="53"/>
      <c r="O1499" s="53"/>
      <c r="T1499" s="53"/>
      <c r="V1499" s="53"/>
      <c r="W1499" s="55"/>
    </row>
    <row r="1500">
      <c r="K1500" s="53"/>
      <c r="N1500" s="53"/>
      <c r="O1500" s="53"/>
      <c r="T1500" s="53"/>
      <c r="V1500" s="53"/>
      <c r="W1500" s="55"/>
    </row>
    <row r="1501">
      <c r="K1501" s="53"/>
      <c r="N1501" s="53"/>
      <c r="O1501" s="53"/>
      <c r="T1501" s="53"/>
      <c r="V1501" s="53"/>
      <c r="W1501" s="55"/>
    </row>
    <row r="1502">
      <c r="K1502" s="53"/>
      <c r="N1502" s="53"/>
      <c r="O1502" s="53"/>
      <c r="T1502" s="53"/>
      <c r="V1502" s="53"/>
      <c r="W1502" s="55"/>
    </row>
    <row r="1503">
      <c r="K1503" s="53"/>
      <c r="N1503" s="53"/>
      <c r="O1503" s="53"/>
      <c r="T1503" s="53"/>
      <c r="V1503" s="53"/>
      <c r="W1503" s="55"/>
    </row>
    <row r="1504">
      <c r="K1504" s="53"/>
      <c r="N1504" s="53"/>
      <c r="O1504" s="53"/>
      <c r="T1504" s="53"/>
      <c r="V1504" s="53"/>
      <c r="W1504" s="55"/>
    </row>
    <row r="1505">
      <c r="K1505" s="53"/>
      <c r="N1505" s="53"/>
      <c r="O1505" s="53"/>
      <c r="T1505" s="53"/>
      <c r="V1505" s="53"/>
      <c r="W1505" s="55"/>
    </row>
    <row r="1506">
      <c r="K1506" s="53"/>
      <c r="N1506" s="53"/>
      <c r="O1506" s="53"/>
      <c r="T1506" s="53"/>
      <c r="V1506" s="53"/>
      <c r="W1506" s="55"/>
    </row>
    <row r="1507">
      <c r="K1507" s="53"/>
      <c r="N1507" s="53"/>
      <c r="O1507" s="53"/>
      <c r="T1507" s="53"/>
      <c r="V1507" s="53"/>
      <c r="W1507" s="55"/>
    </row>
    <row r="1508">
      <c r="K1508" s="53"/>
      <c r="N1508" s="53"/>
      <c r="O1508" s="53"/>
      <c r="T1508" s="53"/>
      <c r="V1508" s="53"/>
      <c r="W1508" s="55"/>
    </row>
    <row r="1509">
      <c r="K1509" s="53"/>
      <c r="N1509" s="53"/>
      <c r="O1509" s="53"/>
      <c r="T1509" s="53"/>
      <c r="V1509" s="53"/>
      <c r="W1509" s="55"/>
    </row>
    <row r="1510">
      <c r="K1510" s="53"/>
      <c r="N1510" s="53"/>
      <c r="O1510" s="53"/>
      <c r="T1510" s="53"/>
      <c r="V1510" s="53"/>
      <c r="W1510" s="55"/>
    </row>
    <row r="1511">
      <c r="K1511" s="53"/>
      <c r="N1511" s="53"/>
      <c r="O1511" s="53"/>
      <c r="T1511" s="53"/>
      <c r="V1511" s="53"/>
      <c r="W1511" s="55"/>
    </row>
    <row r="1512">
      <c r="K1512" s="53"/>
      <c r="N1512" s="53"/>
      <c r="O1512" s="53"/>
      <c r="T1512" s="53"/>
      <c r="V1512" s="53"/>
      <c r="W1512" s="55"/>
    </row>
    <row r="1513">
      <c r="K1513" s="53"/>
      <c r="N1513" s="53"/>
      <c r="O1513" s="53"/>
      <c r="T1513" s="53"/>
      <c r="V1513" s="53"/>
      <c r="W1513" s="55"/>
    </row>
    <row r="1514">
      <c r="K1514" s="53"/>
      <c r="N1514" s="53"/>
      <c r="O1514" s="53"/>
      <c r="T1514" s="53"/>
      <c r="V1514" s="53"/>
      <c r="W1514" s="55"/>
    </row>
    <row r="1515">
      <c r="K1515" s="53"/>
      <c r="N1515" s="53"/>
      <c r="O1515" s="53"/>
      <c r="T1515" s="53"/>
      <c r="V1515" s="53"/>
      <c r="W1515" s="55"/>
    </row>
    <row r="1516">
      <c r="K1516" s="53"/>
      <c r="N1516" s="53"/>
      <c r="O1516" s="53"/>
      <c r="T1516" s="53"/>
      <c r="V1516" s="53"/>
      <c r="W1516" s="55"/>
    </row>
    <row r="1517">
      <c r="K1517" s="53"/>
      <c r="N1517" s="53"/>
      <c r="O1517" s="53"/>
      <c r="T1517" s="53"/>
      <c r="V1517" s="53"/>
      <c r="W1517" s="55"/>
    </row>
    <row r="1518">
      <c r="K1518" s="53"/>
      <c r="N1518" s="53"/>
      <c r="O1518" s="53"/>
      <c r="T1518" s="53"/>
      <c r="V1518" s="53"/>
      <c r="W1518" s="55"/>
    </row>
    <row r="1519">
      <c r="K1519" s="53"/>
      <c r="N1519" s="53"/>
      <c r="O1519" s="53"/>
      <c r="T1519" s="53"/>
      <c r="V1519" s="53"/>
      <c r="W1519" s="55"/>
    </row>
    <row r="1520">
      <c r="K1520" s="53"/>
      <c r="N1520" s="53"/>
      <c r="O1520" s="53"/>
      <c r="T1520" s="53"/>
      <c r="V1520" s="53"/>
      <c r="W1520" s="55"/>
    </row>
    <row r="1521">
      <c r="K1521" s="53"/>
      <c r="N1521" s="53"/>
      <c r="O1521" s="53"/>
      <c r="T1521" s="53"/>
      <c r="V1521" s="53"/>
      <c r="W1521" s="55"/>
    </row>
    <row r="1522">
      <c r="K1522" s="53"/>
      <c r="N1522" s="53"/>
      <c r="O1522" s="53"/>
      <c r="T1522" s="53"/>
      <c r="V1522" s="53"/>
      <c r="W1522" s="55"/>
    </row>
    <row r="1523">
      <c r="K1523" s="53"/>
      <c r="N1523" s="53"/>
      <c r="O1523" s="53"/>
      <c r="T1523" s="53"/>
      <c r="V1523" s="53"/>
      <c r="W1523" s="55"/>
    </row>
    <row r="1524">
      <c r="K1524" s="53"/>
      <c r="N1524" s="53"/>
      <c r="O1524" s="53"/>
      <c r="T1524" s="53"/>
      <c r="V1524" s="53"/>
      <c r="W1524" s="55"/>
    </row>
    <row r="1525">
      <c r="K1525" s="53"/>
      <c r="N1525" s="53"/>
      <c r="O1525" s="53"/>
      <c r="T1525" s="53"/>
      <c r="V1525" s="53"/>
      <c r="W1525" s="55"/>
    </row>
    <row r="1526">
      <c r="K1526" s="53"/>
      <c r="N1526" s="53"/>
      <c r="O1526" s="53"/>
      <c r="T1526" s="53"/>
      <c r="V1526" s="53"/>
      <c r="W1526" s="55"/>
    </row>
    <row r="1527">
      <c r="K1527" s="53"/>
      <c r="N1527" s="53"/>
      <c r="O1527" s="53"/>
      <c r="T1527" s="53"/>
      <c r="V1527" s="53"/>
      <c r="W1527" s="55"/>
    </row>
    <row r="1528">
      <c r="K1528" s="53"/>
      <c r="N1528" s="53"/>
      <c r="O1528" s="53"/>
      <c r="T1528" s="53"/>
      <c r="V1528" s="53"/>
      <c r="W1528" s="55"/>
    </row>
    <row r="1529">
      <c r="K1529" s="53"/>
      <c r="N1529" s="53"/>
      <c r="O1529" s="53"/>
      <c r="T1529" s="53"/>
      <c r="V1529" s="53"/>
      <c r="W1529" s="55"/>
    </row>
    <row r="1530">
      <c r="K1530" s="53"/>
      <c r="N1530" s="53"/>
      <c r="O1530" s="53"/>
      <c r="T1530" s="53"/>
      <c r="V1530" s="53"/>
      <c r="W1530" s="55"/>
    </row>
    <row r="1531">
      <c r="K1531" s="53"/>
      <c r="N1531" s="53"/>
      <c r="O1531" s="53"/>
      <c r="T1531" s="53"/>
      <c r="V1531" s="53"/>
      <c r="W1531" s="55"/>
    </row>
    <row r="1532">
      <c r="K1532" s="53"/>
      <c r="N1532" s="53"/>
      <c r="O1532" s="53"/>
      <c r="T1532" s="53"/>
      <c r="V1532" s="53"/>
      <c r="W1532" s="55"/>
    </row>
    <row r="1533">
      <c r="K1533" s="53"/>
      <c r="N1533" s="53"/>
      <c r="O1533" s="53"/>
      <c r="T1533" s="53"/>
      <c r="V1533" s="53"/>
      <c r="W1533" s="55"/>
    </row>
    <row r="1534">
      <c r="K1534" s="53"/>
      <c r="N1534" s="53"/>
      <c r="O1534" s="53"/>
      <c r="T1534" s="53"/>
      <c r="V1534" s="53"/>
      <c r="W1534" s="55"/>
    </row>
    <row r="1535">
      <c r="K1535" s="53"/>
      <c r="N1535" s="53"/>
      <c r="O1535" s="53"/>
      <c r="T1535" s="53"/>
      <c r="V1535" s="53"/>
      <c r="W1535" s="55"/>
    </row>
    <row r="1536">
      <c r="K1536" s="53"/>
      <c r="N1536" s="53"/>
      <c r="O1536" s="53"/>
      <c r="T1536" s="53"/>
      <c r="V1536" s="53"/>
      <c r="W1536" s="55"/>
    </row>
    <row r="1537">
      <c r="K1537" s="53"/>
      <c r="N1537" s="53"/>
      <c r="O1537" s="53"/>
      <c r="T1537" s="53"/>
      <c r="V1537" s="53"/>
      <c r="W1537" s="55"/>
    </row>
    <row r="1538">
      <c r="K1538" s="53"/>
      <c r="N1538" s="53"/>
      <c r="O1538" s="53"/>
      <c r="T1538" s="53"/>
      <c r="V1538" s="53"/>
      <c r="W1538" s="55"/>
    </row>
    <row r="1539">
      <c r="K1539" s="53"/>
      <c r="N1539" s="53"/>
      <c r="O1539" s="53"/>
      <c r="T1539" s="53"/>
      <c r="V1539" s="53"/>
      <c r="W1539" s="55"/>
    </row>
    <row r="1540">
      <c r="K1540" s="53"/>
      <c r="N1540" s="53"/>
      <c r="O1540" s="53"/>
      <c r="T1540" s="53"/>
      <c r="V1540" s="53"/>
      <c r="W1540" s="55"/>
    </row>
    <row r="1541">
      <c r="K1541" s="53"/>
      <c r="N1541" s="53"/>
      <c r="O1541" s="53"/>
      <c r="T1541" s="53"/>
      <c r="V1541" s="53"/>
      <c r="W1541" s="55"/>
    </row>
    <row r="1542">
      <c r="K1542" s="53"/>
      <c r="N1542" s="53"/>
      <c r="O1542" s="53"/>
      <c r="T1542" s="53"/>
      <c r="V1542" s="53"/>
      <c r="W1542" s="55"/>
    </row>
    <row r="1543">
      <c r="K1543" s="53"/>
      <c r="N1543" s="53"/>
      <c r="O1543" s="53"/>
      <c r="T1543" s="53"/>
      <c r="V1543" s="53"/>
      <c r="W1543" s="55"/>
    </row>
    <row r="1544">
      <c r="K1544" s="53"/>
      <c r="N1544" s="53"/>
      <c r="O1544" s="53"/>
      <c r="T1544" s="53"/>
      <c r="V1544" s="53"/>
      <c r="W1544" s="55"/>
    </row>
    <row r="1545">
      <c r="K1545" s="53"/>
      <c r="N1545" s="53"/>
      <c r="O1545" s="53"/>
      <c r="T1545" s="53"/>
      <c r="V1545" s="53"/>
      <c r="W1545" s="55"/>
    </row>
    <row r="1546">
      <c r="K1546" s="53"/>
      <c r="N1546" s="53"/>
      <c r="O1546" s="53"/>
      <c r="T1546" s="53"/>
      <c r="V1546" s="53"/>
      <c r="W1546" s="55"/>
    </row>
    <row r="1547">
      <c r="K1547" s="53"/>
      <c r="N1547" s="53"/>
      <c r="O1547" s="53"/>
      <c r="T1547" s="53"/>
      <c r="V1547" s="53"/>
      <c r="W1547" s="55"/>
    </row>
    <row r="1548">
      <c r="K1548" s="53"/>
      <c r="N1548" s="53"/>
      <c r="O1548" s="53"/>
      <c r="T1548" s="53"/>
      <c r="V1548" s="53"/>
      <c r="W1548" s="55"/>
    </row>
    <row r="1549">
      <c r="K1549" s="53"/>
      <c r="N1549" s="53"/>
      <c r="O1549" s="53"/>
      <c r="T1549" s="53"/>
      <c r="V1549" s="53"/>
      <c r="W1549" s="55"/>
    </row>
    <row r="1550">
      <c r="K1550" s="53"/>
      <c r="N1550" s="53"/>
      <c r="O1550" s="53"/>
      <c r="T1550" s="53"/>
      <c r="V1550" s="53"/>
      <c r="W1550" s="55"/>
    </row>
    <row r="1551">
      <c r="K1551" s="53"/>
      <c r="N1551" s="53"/>
      <c r="O1551" s="53"/>
      <c r="T1551" s="53"/>
      <c r="V1551" s="53"/>
      <c r="W1551" s="55"/>
    </row>
    <row r="1552">
      <c r="K1552" s="53"/>
      <c r="N1552" s="53"/>
      <c r="O1552" s="53"/>
      <c r="T1552" s="53"/>
      <c r="V1552" s="53"/>
      <c r="W1552" s="55"/>
    </row>
    <row r="1553">
      <c r="K1553" s="53"/>
      <c r="N1553" s="53"/>
      <c r="O1553" s="53"/>
      <c r="T1553" s="53"/>
      <c r="V1553" s="53"/>
      <c r="W1553" s="55"/>
    </row>
    <row r="1554">
      <c r="K1554" s="53"/>
      <c r="N1554" s="53"/>
      <c r="O1554" s="53"/>
      <c r="T1554" s="53"/>
      <c r="V1554" s="53"/>
      <c r="W1554" s="55"/>
    </row>
    <row r="1555">
      <c r="K1555" s="53"/>
      <c r="N1555" s="53"/>
      <c r="O1555" s="53"/>
      <c r="T1555" s="53"/>
      <c r="V1555" s="53"/>
      <c r="W1555" s="55"/>
    </row>
    <row r="1556">
      <c r="K1556" s="53"/>
      <c r="N1556" s="53"/>
      <c r="O1556" s="53"/>
      <c r="T1556" s="53"/>
      <c r="V1556" s="53"/>
      <c r="W1556" s="55"/>
    </row>
    <row r="1557">
      <c r="K1557" s="53"/>
      <c r="N1557" s="53"/>
      <c r="O1557" s="53"/>
      <c r="T1557" s="53"/>
      <c r="V1557" s="53"/>
      <c r="W1557" s="55"/>
    </row>
    <row r="1558">
      <c r="K1558" s="53"/>
      <c r="N1558" s="53"/>
      <c r="O1558" s="53"/>
      <c r="T1558" s="53"/>
      <c r="V1558" s="53"/>
      <c r="W1558" s="55"/>
    </row>
    <row r="1559">
      <c r="K1559" s="53"/>
      <c r="N1559" s="53"/>
      <c r="O1559" s="53"/>
      <c r="T1559" s="53"/>
      <c r="V1559" s="53"/>
      <c r="W1559" s="55"/>
    </row>
    <row r="1560">
      <c r="K1560" s="53"/>
      <c r="N1560" s="53"/>
      <c r="O1560" s="53"/>
      <c r="T1560" s="53"/>
      <c r="V1560" s="53"/>
      <c r="W1560" s="55"/>
    </row>
    <row r="1561">
      <c r="K1561" s="53"/>
      <c r="N1561" s="53"/>
      <c r="O1561" s="53"/>
      <c r="T1561" s="53"/>
      <c r="V1561" s="53"/>
      <c r="W1561" s="55"/>
    </row>
    <row r="1562">
      <c r="K1562" s="53"/>
      <c r="N1562" s="53"/>
      <c r="O1562" s="53"/>
      <c r="T1562" s="53"/>
      <c r="V1562" s="53"/>
      <c r="W1562" s="55"/>
    </row>
    <row r="1563">
      <c r="K1563" s="53"/>
      <c r="N1563" s="53"/>
      <c r="O1563" s="53"/>
      <c r="T1563" s="53"/>
      <c r="V1563" s="53"/>
      <c r="W1563" s="55"/>
    </row>
    <row r="1564">
      <c r="K1564" s="53"/>
      <c r="N1564" s="53"/>
      <c r="O1564" s="53"/>
      <c r="T1564" s="53"/>
      <c r="V1564" s="53"/>
      <c r="W1564" s="55"/>
    </row>
    <row r="1565">
      <c r="K1565" s="53"/>
      <c r="N1565" s="53"/>
      <c r="O1565" s="53"/>
      <c r="T1565" s="53"/>
      <c r="V1565" s="53"/>
      <c r="W1565" s="55"/>
    </row>
    <row r="1566">
      <c r="K1566" s="53"/>
      <c r="N1566" s="53"/>
      <c r="O1566" s="53"/>
      <c r="T1566" s="53"/>
      <c r="V1566" s="53"/>
      <c r="W1566" s="55"/>
    </row>
    <row r="1567">
      <c r="K1567" s="53"/>
      <c r="N1567" s="53"/>
      <c r="O1567" s="53"/>
      <c r="T1567" s="53"/>
      <c r="V1567" s="53"/>
      <c r="W1567" s="55"/>
    </row>
    <row r="1568">
      <c r="K1568" s="53"/>
      <c r="N1568" s="53"/>
      <c r="O1568" s="53"/>
      <c r="T1568" s="53"/>
      <c r="V1568" s="53"/>
      <c r="W1568" s="55"/>
    </row>
    <row r="1569">
      <c r="K1569" s="53"/>
      <c r="N1569" s="53"/>
      <c r="O1569" s="53"/>
      <c r="T1569" s="53"/>
      <c r="V1569" s="53"/>
      <c r="W1569" s="55"/>
    </row>
    <row r="1570">
      <c r="K1570" s="53"/>
      <c r="N1570" s="53"/>
      <c r="O1570" s="53"/>
      <c r="T1570" s="53"/>
      <c r="V1570" s="53"/>
      <c r="W1570" s="55"/>
    </row>
    <row r="1571">
      <c r="K1571" s="53"/>
      <c r="N1571" s="53"/>
      <c r="O1571" s="53"/>
      <c r="T1571" s="53"/>
      <c r="V1571" s="53"/>
      <c r="W1571" s="55"/>
    </row>
    <row r="1572">
      <c r="K1572" s="53"/>
      <c r="N1572" s="53"/>
      <c r="O1572" s="53"/>
      <c r="T1572" s="53"/>
      <c r="V1572" s="53"/>
      <c r="W1572" s="55"/>
    </row>
    <row r="1573">
      <c r="K1573" s="53"/>
      <c r="N1573" s="53"/>
      <c r="O1573" s="53"/>
      <c r="T1573" s="53"/>
      <c r="V1573" s="53"/>
      <c r="W1573" s="55"/>
    </row>
    <row r="1574">
      <c r="K1574" s="53"/>
      <c r="N1574" s="53"/>
      <c r="O1574" s="53"/>
      <c r="T1574" s="53"/>
      <c r="V1574" s="53"/>
      <c r="W1574" s="55"/>
    </row>
    <row r="1575">
      <c r="K1575" s="53"/>
      <c r="N1575" s="53"/>
      <c r="O1575" s="53"/>
      <c r="T1575" s="53"/>
      <c r="V1575" s="53"/>
      <c r="W1575" s="55"/>
    </row>
    <row r="1576">
      <c r="K1576" s="53"/>
      <c r="N1576" s="53"/>
      <c r="O1576" s="53"/>
      <c r="T1576" s="53"/>
      <c r="V1576" s="53"/>
      <c r="W1576" s="55"/>
    </row>
    <row r="1577">
      <c r="K1577" s="53"/>
      <c r="N1577" s="53"/>
      <c r="O1577" s="53"/>
      <c r="T1577" s="53"/>
      <c r="V1577" s="53"/>
      <c r="W1577" s="55"/>
    </row>
    <row r="1578">
      <c r="K1578" s="53"/>
      <c r="N1578" s="53"/>
      <c r="O1578" s="53"/>
      <c r="T1578" s="53"/>
      <c r="V1578" s="53"/>
      <c r="W1578" s="55"/>
    </row>
    <row r="1579">
      <c r="K1579" s="53"/>
      <c r="N1579" s="53"/>
      <c r="O1579" s="53"/>
      <c r="T1579" s="53"/>
      <c r="V1579" s="53"/>
      <c r="W1579" s="55"/>
    </row>
    <row r="1580">
      <c r="K1580" s="53"/>
      <c r="N1580" s="53"/>
      <c r="O1580" s="53"/>
      <c r="T1580" s="53"/>
      <c r="V1580" s="53"/>
      <c r="W1580" s="55"/>
    </row>
    <row r="1581">
      <c r="K1581" s="53"/>
      <c r="N1581" s="53"/>
      <c r="O1581" s="53"/>
      <c r="T1581" s="53"/>
      <c r="V1581" s="53"/>
      <c r="W1581" s="55"/>
    </row>
    <row r="1582">
      <c r="K1582" s="53"/>
      <c r="N1582" s="53"/>
      <c r="O1582" s="53"/>
      <c r="T1582" s="53"/>
      <c r="V1582" s="53"/>
      <c r="W1582" s="55"/>
    </row>
    <row r="1583">
      <c r="K1583" s="53"/>
      <c r="N1583" s="53"/>
      <c r="O1583" s="53"/>
      <c r="T1583" s="53"/>
      <c r="V1583" s="53"/>
      <c r="W1583" s="55"/>
    </row>
    <row r="1584">
      <c r="K1584" s="53"/>
      <c r="N1584" s="53"/>
      <c r="O1584" s="53"/>
      <c r="T1584" s="53"/>
      <c r="V1584" s="53"/>
      <c r="W1584" s="55"/>
    </row>
    <row r="1585">
      <c r="K1585" s="53"/>
      <c r="N1585" s="53"/>
      <c r="O1585" s="53"/>
      <c r="T1585" s="53"/>
      <c r="V1585" s="53"/>
      <c r="W1585" s="55"/>
    </row>
    <row r="1586">
      <c r="K1586" s="53"/>
      <c r="N1586" s="53"/>
      <c r="O1586" s="53"/>
      <c r="T1586" s="53"/>
      <c r="V1586" s="53"/>
      <c r="W1586" s="55"/>
    </row>
    <row r="1587">
      <c r="K1587" s="53"/>
      <c r="N1587" s="53"/>
      <c r="O1587" s="53"/>
      <c r="T1587" s="53"/>
      <c r="V1587" s="53"/>
      <c r="W1587" s="55"/>
    </row>
    <row r="1588">
      <c r="K1588" s="53"/>
      <c r="N1588" s="53"/>
      <c r="O1588" s="53"/>
      <c r="T1588" s="53"/>
      <c r="V1588" s="53"/>
      <c r="W1588" s="55"/>
    </row>
    <row r="1589">
      <c r="K1589" s="53"/>
      <c r="N1589" s="53"/>
      <c r="O1589" s="53"/>
      <c r="T1589" s="53"/>
      <c r="V1589" s="53"/>
      <c r="W1589" s="55"/>
    </row>
    <row r="1590">
      <c r="K1590" s="53"/>
      <c r="N1590" s="53"/>
      <c r="O1590" s="53"/>
      <c r="T1590" s="53"/>
      <c r="V1590" s="53"/>
      <c r="W1590" s="55"/>
    </row>
    <row r="1591">
      <c r="K1591" s="53"/>
      <c r="N1591" s="53"/>
      <c r="O1591" s="53"/>
      <c r="T1591" s="53"/>
      <c r="V1591" s="53"/>
      <c r="W1591" s="55"/>
    </row>
    <row r="1592">
      <c r="K1592" s="53"/>
      <c r="N1592" s="53"/>
      <c r="O1592" s="53"/>
      <c r="T1592" s="53"/>
      <c r="V1592" s="53"/>
      <c r="W1592" s="55"/>
    </row>
    <row r="1593">
      <c r="K1593" s="53"/>
      <c r="N1593" s="53"/>
      <c r="O1593" s="53"/>
      <c r="T1593" s="53"/>
      <c r="V1593" s="53"/>
      <c r="W1593" s="55"/>
    </row>
    <row r="1594">
      <c r="K1594" s="53"/>
      <c r="N1594" s="53"/>
      <c r="O1594" s="53"/>
      <c r="T1594" s="53"/>
      <c r="V1594" s="53"/>
      <c r="W1594" s="55"/>
    </row>
    <row r="1595">
      <c r="K1595" s="53"/>
      <c r="N1595" s="53"/>
      <c r="O1595" s="53"/>
      <c r="T1595" s="53"/>
      <c r="V1595" s="53"/>
      <c r="W1595" s="55"/>
    </row>
    <row r="1596">
      <c r="K1596" s="53"/>
      <c r="N1596" s="53"/>
      <c r="O1596" s="53"/>
      <c r="T1596" s="53"/>
      <c r="V1596" s="53"/>
      <c r="W1596" s="55"/>
    </row>
    <row r="1597">
      <c r="K1597" s="53"/>
      <c r="N1597" s="53"/>
      <c r="O1597" s="53"/>
      <c r="T1597" s="53"/>
      <c r="V1597" s="53"/>
      <c r="W1597" s="55"/>
    </row>
    <row r="1598">
      <c r="K1598" s="53"/>
      <c r="N1598" s="53"/>
      <c r="O1598" s="53"/>
      <c r="T1598" s="53"/>
      <c r="V1598" s="53"/>
      <c r="W1598" s="55"/>
    </row>
    <row r="1599">
      <c r="K1599" s="53"/>
      <c r="N1599" s="53"/>
      <c r="O1599" s="53"/>
      <c r="T1599" s="53"/>
      <c r="V1599" s="53"/>
      <c r="W1599" s="55"/>
    </row>
    <row r="1600">
      <c r="K1600" s="53"/>
      <c r="N1600" s="53"/>
      <c r="O1600" s="53"/>
      <c r="T1600" s="53"/>
      <c r="V1600" s="53"/>
      <c r="W1600" s="55"/>
    </row>
    <row r="1601">
      <c r="K1601" s="53"/>
      <c r="N1601" s="53"/>
      <c r="O1601" s="53"/>
      <c r="T1601" s="53"/>
      <c r="V1601" s="53"/>
      <c r="W1601" s="55"/>
    </row>
    <row r="1602">
      <c r="K1602" s="53"/>
      <c r="N1602" s="53"/>
      <c r="O1602" s="53"/>
      <c r="T1602" s="53"/>
      <c r="V1602" s="53"/>
      <c r="W1602" s="55"/>
    </row>
    <row r="1603">
      <c r="K1603" s="53"/>
      <c r="N1603" s="53"/>
      <c r="O1603" s="53"/>
      <c r="T1603" s="53"/>
      <c r="V1603" s="53"/>
      <c r="W1603" s="55"/>
    </row>
    <row r="1604">
      <c r="K1604" s="53"/>
      <c r="N1604" s="53"/>
      <c r="O1604" s="53"/>
      <c r="T1604" s="53"/>
      <c r="V1604" s="53"/>
      <c r="W1604" s="55"/>
    </row>
    <row r="1605">
      <c r="K1605" s="53"/>
      <c r="N1605" s="53"/>
      <c r="O1605" s="53"/>
      <c r="T1605" s="53"/>
      <c r="V1605" s="53"/>
      <c r="W1605" s="55"/>
    </row>
    <row r="1606">
      <c r="K1606" s="53"/>
      <c r="N1606" s="53"/>
      <c r="O1606" s="53"/>
      <c r="T1606" s="53"/>
      <c r="V1606" s="53"/>
      <c r="W1606" s="55"/>
    </row>
    <row r="1607">
      <c r="K1607" s="53"/>
      <c r="N1607" s="53"/>
      <c r="O1607" s="53"/>
      <c r="T1607" s="53"/>
      <c r="V1607" s="53"/>
      <c r="W1607" s="55"/>
    </row>
    <row r="1608">
      <c r="K1608" s="53"/>
      <c r="N1608" s="53"/>
      <c r="O1608" s="53"/>
      <c r="T1608" s="53"/>
      <c r="V1608" s="53"/>
      <c r="W1608" s="55"/>
    </row>
    <row r="1609">
      <c r="K1609" s="53"/>
      <c r="N1609" s="53"/>
      <c r="O1609" s="53"/>
      <c r="T1609" s="53"/>
      <c r="V1609" s="53"/>
      <c r="W1609" s="55"/>
    </row>
    <row r="1610">
      <c r="K1610" s="53"/>
      <c r="N1610" s="53"/>
      <c r="O1610" s="53"/>
      <c r="T1610" s="53"/>
      <c r="V1610" s="53"/>
      <c r="W1610" s="55"/>
    </row>
    <row r="1611">
      <c r="K1611" s="53"/>
      <c r="N1611" s="53"/>
      <c r="O1611" s="53"/>
      <c r="T1611" s="53"/>
      <c r="V1611" s="53"/>
      <c r="W1611" s="55"/>
    </row>
    <row r="1612">
      <c r="K1612" s="53"/>
      <c r="N1612" s="53"/>
      <c r="O1612" s="53"/>
      <c r="T1612" s="53"/>
      <c r="V1612" s="53"/>
      <c r="W1612" s="55"/>
    </row>
    <row r="1613">
      <c r="K1613" s="53"/>
      <c r="N1613" s="53"/>
      <c r="O1613" s="53"/>
      <c r="T1613" s="53"/>
      <c r="V1613" s="53"/>
      <c r="W1613" s="55"/>
    </row>
    <row r="1614">
      <c r="K1614" s="53"/>
      <c r="N1614" s="53"/>
      <c r="O1614" s="53"/>
      <c r="T1614" s="53"/>
      <c r="V1614" s="53"/>
      <c r="W1614" s="55"/>
    </row>
    <row r="1615">
      <c r="K1615" s="53"/>
      <c r="N1615" s="53"/>
      <c r="O1615" s="53"/>
      <c r="T1615" s="53"/>
      <c r="V1615" s="53"/>
      <c r="W1615" s="55"/>
    </row>
    <row r="1616">
      <c r="K1616" s="53"/>
      <c r="N1616" s="53"/>
      <c r="O1616" s="53"/>
      <c r="T1616" s="53"/>
      <c r="V1616" s="53"/>
      <c r="W1616" s="55"/>
    </row>
    <row r="1617">
      <c r="K1617" s="53"/>
      <c r="N1617" s="53"/>
      <c r="O1617" s="53"/>
      <c r="T1617" s="53"/>
      <c r="V1617" s="53"/>
      <c r="W1617" s="55"/>
    </row>
    <row r="1618">
      <c r="K1618" s="53"/>
      <c r="N1618" s="53"/>
      <c r="O1618" s="53"/>
      <c r="T1618" s="53"/>
      <c r="V1618" s="53"/>
      <c r="W1618" s="55"/>
    </row>
    <row r="1619">
      <c r="K1619" s="53"/>
      <c r="N1619" s="53"/>
      <c r="O1619" s="53"/>
      <c r="T1619" s="53"/>
      <c r="V1619" s="53"/>
      <c r="W1619" s="55"/>
    </row>
    <row r="1620">
      <c r="K1620" s="53"/>
      <c r="N1620" s="53"/>
      <c r="O1620" s="53"/>
      <c r="T1620" s="53"/>
      <c r="V1620" s="53"/>
      <c r="W1620" s="55"/>
    </row>
    <row r="1621">
      <c r="K1621" s="53"/>
      <c r="N1621" s="53"/>
      <c r="O1621" s="53"/>
      <c r="T1621" s="53"/>
      <c r="V1621" s="53"/>
      <c r="W1621" s="55"/>
    </row>
    <row r="1622">
      <c r="K1622" s="53"/>
      <c r="N1622" s="53"/>
      <c r="O1622" s="53"/>
      <c r="T1622" s="53"/>
      <c r="V1622" s="53"/>
      <c r="W1622" s="55"/>
    </row>
    <row r="1623">
      <c r="K1623" s="53"/>
      <c r="N1623" s="53"/>
      <c r="O1623" s="53"/>
      <c r="T1623" s="53"/>
      <c r="V1623" s="53"/>
      <c r="W1623" s="55"/>
    </row>
    <row r="1624">
      <c r="K1624" s="53"/>
      <c r="N1624" s="53"/>
      <c r="O1624" s="53"/>
      <c r="T1624" s="53"/>
      <c r="V1624" s="53"/>
      <c r="W1624" s="55"/>
    </row>
    <row r="1625">
      <c r="K1625" s="53"/>
      <c r="N1625" s="53"/>
      <c r="O1625" s="53"/>
      <c r="T1625" s="53"/>
      <c r="V1625" s="53"/>
      <c r="W1625" s="55"/>
    </row>
    <row r="1626">
      <c r="K1626" s="53"/>
      <c r="N1626" s="53"/>
      <c r="O1626" s="53"/>
      <c r="T1626" s="53"/>
      <c r="V1626" s="53"/>
      <c r="W1626" s="55"/>
    </row>
    <row r="1627">
      <c r="K1627" s="53"/>
      <c r="N1627" s="53"/>
      <c r="O1627" s="53"/>
      <c r="T1627" s="53"/>
      <c r="V1627" s="53"/>
      <c r="W1627" s="55"/>
    </row>
    <row r="1628">
      <c r="K1628" s="53"/>
      <c r="N1628" s="53"/>
      <c r="O1628" s="53"/>
      <c r="T1628" s="53"/>
      <c r="V1628" s="53"/>
      <c r="W1628" s="55"/>
    </row>
    <row r="1629">
      <c r="K1629" s="53"/>
      <c r="N1629" s="53"/>
      <c r="O1629" s="53"/>
      <c r="T1629" s="53"/>
      <c r="V1629" s="53"/>
      <c r="W1629" s="55"/>
    </row>
    <row r="1630">
      <c r="K1630" s="53"/>
      <c r="N1630" s="53"/>
      <c r="O1630" s="53"/>
      <c r="T1630" s="53"/>
      <c r="V1630" s="53"/>
      <c r="W1630" s="55"/>
    </row>
    <row r="1631">
      <c r="K1631" s="53"/>
      <c r="N1631" s="53"/>
      <c r="O1631" s="53"/>
      <c r="T1631" s="53"/>
      <c r="V1631" s="53"/>
      <c r="W1631" s="55"/>
    </row>
    <row r="1632">
      <c r="K1632" s="53"/>
      <c r="N1632" s="53"/>
      <c r="O1632" s="53"/>
      <c r="T1632" s="53"/>
      <c r="V1632" s="53"/>
      <c r="W1632" s="55"/>
    </row>
    <row r="1633">
      <c r="K1633" s="53"/>
      <c r="N1633" s="53"/>
      <c r="O1633" s="53"/>
      <c r="T1633" s="53"/>
      <c r="V1633" s="53"/>
      <c r="W1633" s="55"/>
    </row>
    <row r="1634">
      <c r="K1634" s="53"/>
      <c r="N1634" s="53"/>
      <c r="O1634" s="53"/>
      <c r="T1634" s="53"/>
      <c r="V1634" s="53"/>
      <c r="W1634" s="55"/>
    </row>
    <row r="1635">
      <c r="K1635" s="53"/>
      <c r="N1635" s="53"/>
      <c r="O1635" s="53"/>
      <c r="T1635" s="53"/>
      <c r="V1635" s="53"/>
      <c r="W1635" s="55"/>
    </row>
    <row r="1636">
      <c r="K1636" s="53"/>
      <c r="N1636" s="53"/>
      <c r="O1636" s="53"/>
      <c r="T1636" s="53"/>
      <c r="V1636" s="53"/>
      <c r="W1636" s="55"/>
    </row>
    <row r="1637">
      <c r="K1637" s="53"/>
      <c r="N1637" s="53"/>
      <c r="O1637" s="53"/>
      <c r="T1637" s="53"/>
      <c r="V1637" s="53"/>
      <c r="W1637" s="55"/>
    </row>
    <row r="1638">
      <c r="K1638" s="53"/>
      <c r="N1638" s="53"/>
      <c r="O1638" s="53"/>
      <c r="T1638" s="53"/>
      <c r="V1638" s="53"/>
      <c r="W1638" s="55"/>
    </row>
    <row r="1639">
      <c r="K1639" s="53"/>
      <c r="N1639" s="53"/>
      <c r="O1639" s="53"/>
      <c r="T1639" s="53"/>
      <c r="V1639" s="53"/>
      <c r="W1639" s="55"/>
    </row>
    <row r="1640">
      <c r="K1640" s="53"/>
      <c r="N1640" s="53"/>
      <c r="O1640" s="53"/>
      <c r="T1640" s="53"/>
      <c r="V1640" s="53"/>
      <c r="W1640" s="55"/>
    </row>
    <row r="1641">
      <c r="K1641" s="53"/>
      <c r="N1641" s="53"/>
      <c r="O1641" s="53"/>
      <c r="T1641" s="53"/>
      <c r="V1641" s="53"/>
      <c r="W1641" s="55"/>
    </row>
    <row r="1642">
      <c r="K1642" s="53"/>
      <c r="N1642" s="53"/>
      <c r="O1642" s="53"/>
      <c r="T1642" s="53"/>
      <c r="V1642" s="53"/>
      <c r="W1642" s="55"/>
    </row>
    <row r="1643">
      <c r="K1643" s="53"/>
      <c r="N1643" s="53"/>
      <c r="O1643" s="53"/>
      <c r="T1643" s="53"/>
      <c r="V1643" s="53"/>
      <c r="W1643" s="55"/>
    </row>
    <row r="1644">
      <c r="K1644" s="53"/>
      <c r="N1644" s="53"/>
      <c r="O1644" s="53"/>
      <c r="T1644" s="53"/>
      <c r="V1644" s="53"/>
      <c r="W1644" s="55"/>
    </row>
    <row r="1645">
      <c r="K1645" s="53"/>
      <c r="N1645" s="53"/>
      <c r="O1645" s="53"/>
      <c r="T1645" s="53"/>
      <c r="V1645" s="53"/>
      <c r="W1645" s="55"/>
    </row>
    <row r="1646">
      <c r="K1646" s="53"/>
      <c r="N1646" s="53"/>
      <c r="O1646" s="53"/>
      <c r="T1646" s="53"/>
      <c r="V1646" s="53"/>
      <c r="W1646" s="55"/>
    </row>
    <row r="1647">
      <c r="K1647" s="53"/>
      <c r="N1647" s="53"/>
      <c r="O1647" s="53"/>
      <c r="T1647" s="53"/>
      <c r="V1647" s="53"/>
      <c r="W1647" s="55"/>
    </row>
    <row r="1648">
      <c r="K1648" s="53"/>
      <c r="N1648" s="53"/>
      <c r="O1648" s="53"/>
      <c r="T1648" s="53"/>
      <c r="V1648" s="53"/>
      <c r="W1648" s="55"/>
    </row>
    <row r="1649">
      <c r="K1649" s="53"/>
      <c r="N1649" s="53"/>
      <c r="O1649" s="53"/>
      <c r="T1649" s="53"/>
      <c r="V1649" s="53"/>
      <c r="W1649" s="55"/>
    </row>
    <row r="1650">
      <c r="K1650" s="53"/>
      <c r="N1650" s="53"/>
      <c r="O1650" s="53"/>
      <c r="T1650" s="53"/>
      <c r="V1650" s="53"/>
      <c r="W1650" s="55"/>
    </row>
    <row r="1651">
      <c r="K1651" s="53"/>
      <c r="N1651" s="53"/>
      <c r="O1651" s="53"/>
      <c r="T1651" s="53"/>
      <c r="V1651" s="53"/>
      <c r="W1651" s="55"/>
    </row>
    <row r="1652">
      <c r="K1652" s="53"/>
      <c r="N1652" s="53"/>
      <c r="O1652" s="53"/>
      <c r="T1652" s="53"/>
      <c r="V1652" s="53"/>
      <c r="W1652" s="55"/>
    </row>
    <row r="1653">
      <c r="K1653" s="53"/>
      <c r="N1653" s="53"/>
      <c r="O1653" s="53"/>
      <c r="T1653" s="53"/>
      <c r="V1653" s="53"/>
      <c r="W1653" s="55"/>
    </row>
    <row r="1654">
      <c r="K1654" s="53"/>
      <c r="N1654" s="53"/>
      <c r="O1654" s="53"/>
      <c r="T1654" s="53"/>
      <c r="V1654" s="53"/>
      <c r="W1654" s="55"/>
    </row>
    <row r="1655">
      <c r="K1655" s="53"/>
      <c r="N1655" s="53"/>
      <c r="O1655" s="53"/>
      <c r="T1655" s="53"/>
      <c r="V1655" s="53"/>
      <c r="W1655" s="55"/>
    </row>
    <row r="1656">
      <c r="K1656" s="53"/>
      <c r="N1656" s="53"/>
      <c r="O1656" s="53"/>
      <c r="T1656" s="53"/>
      <c r="V1656" s="53"/>
      <c r="W1656" s="55"/>
    </row>
    <row r="1657">
      <c r="K1657" s="53"/>
      <c r="N1657" s="53"/>
      <c r="O1657" s="53"/>
      <c r="T1657" s="53"/>
      <c r="V1657" s="53"/>
      <c r="W1657" s="55"/>
    </row>
    <row r="1658">
      <c r="K1658" s="53"/>
      <c r="N1658" s="53"/>
      <c r="O1658" s="53"/>
      <c r="T1658" s="53"/>
      <c r="V1658" s="53"/>
      <c r="W1658" s="55"/>
    </row>
    <row r="1659">
      <c r="K1659" s="53"/>
      <c r="N1659" s="53"/>
      <c r="O1659" s="53"/>
      <c r="T1659" s="53"/>
      <c r="V1659" s="53"/>
      <c r="W1659" s="55"/>
    </row>
    <row r="1660">
      <c r="K1660" s="53"/>
      <c r="N1660" s="53"/>
      <c r="O1660" s="53"/>
      <c r="T1660" s="53"/>
      <c r="V1660" s="53"/>
      <c r="W1660" s="55"/>
    </row>
    <row r="1661">
      <c r="K1661" s="53"/>
      <c r="N1661" s="53"/>
      <c r="O1661" s="53"/>
      <c r="T1661" s="53"/>
      <c r="V1661" s="53"/>
      <c r="W1661" s="55"/>
    </row>
    <row r="1662">
      <c r="K1662" s="53"/>
      <c r="N1662" s="53"/>
      <c r="O1662" s="53"/>
      <c r="T1662" s="53"/>
      <c r="V1662" s="53"/>
      <c r="W1662" s="55"/>
    </row>
    <row r="1663">
      <c r="K1663" s="53"/>
      <c r="N1663" s="53"/>
      <c r="O1663" s="53"/>
      <c r="T1663" s="53"/>
      <c r="V1663" s="53"/>
      <c r="W1663" s="55"/>
    </row>
    <row r="1664">
      <c r="K1664" s="53"/>
      <c r="N1664" s="53"/>
      <c r="O1664" s="53"/>
      <c r="T1664" s="53"/>
      <c r="V1664" s="53"/>
      <c r="W1664" s="55"/>
    </row>
    <row r="1665">
      <c r="K1665" s="53"/>
      <c r="N1665" s="53"/>
      <c r="O1665" s="53"/>
      <c r="T1665" s="53"/>
      <c r="V1665" s="53"/>
      <c r="W1665" s="55"/>
    </row>
    <row r="1666">
      <c r="K1666" s="53"/>
      <c r="N1666" s="53"/>
      <c r="O1666" s="53"/>
      <c r="T1666" s="53"/>
      <c r="V1666" s="53"/>
      <c r="W1666" s="55"/>
    </row>
    <row r="1667">
      <c r="K1667" s="53"/>
      <c r="N1667" s="53"/>
      <c r="O1667" s="53"/>
      <c r="T1667" s="53"/>
      <c r="V1667" s="53"/>
      <c r="W1667" s="55"/>
    </row>
    <row r="1668">
      <c r="K1668" s="53"/>
      <c r="N1668" s="53"/>
      <c r="O1668" s="53"/>
      <c r="T1668" s="53"/>
      <c r="V1668" s="53"/>
      <c r="W1668" s="55"/>
    </row>
    <row r="1669">
      <c r="K1669" s="53"/>
      <c r="N1669" s="53"/>
      <c r="O1669" s="53"/>
      <c r="T1669" s="53"/>
      <c r="V1669" s="53"/>
      <c r="W1669" s="55"/>
    </row>
    <row r="1670">
      <c r="K1670" s="53"/>
      <c r="N1670" s="53"/>
      <c r="O1670" s="53"/>
      <c r="T1670" s="53"/>
      <c r="V1670" s="53"/>
      <c r="W1670" s="55"/>
    </row>
    <row r="1671">
      <c r="K1671" s="53"/>
      <c r="N1671" s="53"/>
      <c r="O1671" s="53"/>
      <c r="T1671" s="53"/>
      <c r="V1671" s="53"/>
      <c r="W1671" s="55"/>
    </row>
    <row r="1672">
      <c r="K1672" s="53"/>
      <c r="N1672" s="53"/>
      <c r="O1672" s="53"/>
      <c r="T1672" s="53"/>
      <c r="V1672" s="53"/>
      <c r="W1672" s="55"/>
    </row>
    <row r="1673">
      <c r="K1673" s="53"/>
      <c r="N1673" s="53"/>
      <c r="O1673" s="53"/>
      <c r="T1673" s="53"/>
      <c r="V1673" s="53"/>
      <c r="W1673" s="55"/>
    </row>
    <row r="1674">
      <c r="K1674" s="53"/>
      <c r="N1674" s="53"/>
      <c r="O1674" s="53"/>
      <c r="T1674" s="53"/>
      <c r="V1674" s="53"/>
      <c r="W1674" s="55"/>
    </row>
    <row r="1675">
      <c r="K1675" s="53"/>
      <c r="N1675" s="53"/>
      <c r="O1675" s="53"/>
      <c r="T1675" s="53"/>
      <c r="V1675" s="53"/>
      <c r="W1675" s="55"/>
    </row>
    <row r="1676">
      <c r="K1676" s="53"/>
      <c r="N1676" s="53"/>
      <c r="O1676" s="53"/>
      <c r="T1676" s="53"/>
      <c r="V1676" s="53"/>
      <c r="W1676" s="55"/>
    </row>
    <row r="1677">
      <c r="K1677" s="53"/>
      <c r="N1677" s="53"/>
      <c r="O1677" s="53"/>
      <c r="T1677" s="53"/>
      <c r="V1677" s="53"/>
      <c r="W1677" s="55"/>
    </row>
    <row r="1678">
      <c r="K1678" s="53"/>
      <c r="N1678" s="53"/>
      <c r="O1678" s="53"/>
      <c r="T1678" s="53"/>
      <c r="V1678" s="53"/>
      <c r="W1678" s="55"/>
    </row>
    <row r="1679">
      <c r="K1679" s="53"/>
      <c r="N1679" s="53"/>
      <c r="O1679" s="53"/>
      <c r="T1679" s="53"/>
      <c r="V1679" s="53"/>
      <c r="W1679" s="55"/>
    </row>
    <row r="1680">
      <c r="K1680" s="53"/>
      <c r="N1680" s="53"/>
      <c r="O1680" s="53"/>
      <c r="T1680" s="53"/>
      <c r="V1680" s="53"/>
      <c r="W1680" s="55"/>
    </row>
    <row r="1681">
      <c r="K1681" s="53"/>
      <c r="N1681" s="53"/>
      <c r="O1681" s="53"/>
      <c r="T1681" s="53"/>
      <c r="V1681" s="53"/>
      <c r="W1681" s="55"/>
    </row>
    <row r="1682">
      <c r="K1682" s="53"/>
      <c r="N1682" s="53"/>
      <c r="O1682" s="53"/>
      <c r="T1682" s="53"/>
      <c r="V1682" s="53"/>
      <c r="W1682" s="55"/>
    </row>
    <row r="1683">
      <c r="K1683" s="53"/>
      <c r="N1683" s="53"/>
      <c r="O1683" s="53"/>
      <c r="T1683" s="53"/>
      <c r="V1683" s="53"/>
      <c r="W1683" s="55"/>
    </row>
    <row r="1684">
      <c r="K1684" s="53"/>
      <c r="N1684" s="53"/>
      <c r="O1684" s="53"/>
      <c r="T1684" s="53"/>
      <c r="V1684" s="53"/>
      <c r="W1684" s="55"/>
    </row>
    <row r="1685">
      <c r="K1685" s="53"/>
      <c r="N1685" s="53"/>
      <c r="O1685" s="53"/>
      <c r="T1685" s="53"/>
      <c r="V1685" s="53"/>
      <c r="W1685" s="55"/>
    </row>
    <row r="1686">
      <c r="K1686" s="53"/>
      <c r="N1686" s="53"/>
      <c r="O1686" s="53"/>
      <c r="T1686" s="53"/>
      <c r="V1686" s="53"/>
      <c r="W1686" s="55"/>
    </row>
    <row r="1687">
      <c r="K1687" s="53"/>
      <c r="N1687" s="53"/>
      <c r="O1687" s="53"/>
      <c r="T1687" s="53"/>
      <c r="V1687" s="53"/>
      <c r="W1687" s="55"/>
    </row>
    <row r="1688">
      <c r="K1688" s="53"/>
      <c r="N1688" s="53"/>
      <c r="O1688" s="53"/>
      <c r="T1688" s="53"/>
      <c r="V1688" s="53"/>
      <c r="W1688" s="55"/>
    </row>
    <row r="1689">
      <c r="K1689" s="53"/>
      <c r="N1689" s="53"/>
      <c r="O1689" s="53"/>
      <c r="T1689" s="53"/>
      <c r="V1689" s="53"/>
      <c r="W1689" s="55"/>
    </row>
    <row r="1690">
      <c r="K1690" s="53"/>
      <c r="N1690" s="53"/>
      <c r="O1690" s="53"/>
      <c r="T1690" s="53"/>
      <c r="V1690" s="53"/>
      <c r="W1690" s="55"/>
    </row>
    <row r="1691">
      <c r="K1691" s="53"/>
      <c r="N1691" s="53"/>
      <c r="O1691" s="53"/>
      <c r="T1691" s="53"/>
      <c r="V1691" s="53"/>
      <c r="W1691" s="55"/>
    </row>
    <row r="1692">
      <c r="K1692" s="53"/>
      <c r="N1692" s="53"/>
      <c r="O1692" s="53"/>
      <c r="T1692" s="53"/>
      <c r="V1692" s="53"/>
      <c r="W1692" s="55"/>
    </row>
    <row r="1693">
      <c r="K1693" s="53"/>
      <c r="N1693" s="53"/>
      <c r="O1693" s="53"/>
      <c r="T1693" s="53"/>
      <c r="V1693" s="53"/>
      <c r="W1693" s="55"/>
    </row>
    <row r="1694">
      <c r="K1694" s="53"/>
      <c r="N1694" s="53"/>
      <c r="O1694" s="53"/>
      <c r="T1694" s="53"/>
      <c r="V1694" s="53"/>
      <c r="W1694" s="55"/>
    </row>
    <row r="1695">
      <c r="K1695" s="53"/>
      <c r="N1695" s="53"/>
      <c r="O1695" s="53"/>
      <c r="T1695" s="53"/>
      <c r="V1695" s="53"/>
      <c r="W1695" s="55"/>
    </row>
    <row r="1696">
      <c r="K1696" s="53"/>
      <c r="N1696" s="53"/>
      <c r="O1696" s="53"/>
      <c r="T1696" s="53"/>
      <c r="V1696" s="53"/>
      <c r="W1696" s="55"/>
    </row>
    <row r="1697">
      <c r="K1697" s="53"/>
      <c r="N1697" s="53"/>
      <c r="O1697" s="53"/>
      <c r="T1697" s="53"/>
      <c r="V1697" s="53"/>
      <c r="W1697" s="55"/>
    </row>
    <row r="1698">
      <c r="K1698" s="53"/>
      <c r="N1698" s="53"/>
      <c r="O1698" s="53"/>
      <c r="T1698" s="53"/>
      <c r="V1698" s="53"/>
      <c r="W1698" s="55"/>
    </row>
    <row r="1699">
      <c r="K1699" s="53"/>
      <c r="N1699" s="53"/>
      <c r="O1699" s="53"/>
      <c r="T1699" s="53"/>
      <c r="V1699" s="53"/>
      <c r="W1699" s="55"/>
    </row>
    <row r="1700">
      <c r="K1700" s="53"/>
      <c r="N1700" s="53"/>
      <c r="O1700" s="53"/>
      <c r="T1700" s="53"/>
      <c r="V1700" s="53"/>
      <c r="W1700" s="55"/>
    </row>
    <row r="1701">
      <c r="K1701" s="53"/>
      <c r="N1701" s="53"/>
      <c r="O1701" s="53"/>
      <c r="T1701" s="53"/>
      <c r="V1701" s="53"/>
      <c r="W1701" s="55"/>
    </row>
    <row r="1702">
      <c r="K1702" s="53"/>
      <c r="N1702" s="53"/>
      <c r="O1702" s="53"/>
      <c r="T1702" s="53"/>
      <c r="V1702" s="53"/>
      <c r="W1702" s="55"/>
    </row>
    <row r="1703">
      <c r="K1703" s="53"/>
      <c r="N1703" s="53"/>
      <c r="O1703" s="53"/>
      <c r="T1703" s="53"/>
      <c r="V1703" s="53"/>
      <c r="W1703" s="55"/>
    </row>
    <row r="1704">
      <c r="K1704" s="53"/>
      <c r="N1704" s="53"/>
      <c r="O1704" s="53"/>
      <c r="T1704" s="53"/>
      <c r="V1704" s="53"/>
      <c r="W1704" s="55"/>
    </row>
    <row r="1705">
      <c r="K1705" s="53"/>
      <c r="N1705" s="53"/>
      <c r="O1705" s="53"/>
      <c r="T1705" s="53"/>
      <c r="V1705" s="53"/>
      <c r="W1705" s="55"/>
    </row>
    <row r="1706">
      <c r="K1706" s="53"/>
      <c r="N1706" s="53"/>
      <c r="O1706" s="53"/>
      <c r="T1706" s="53"/>
      <c r="V1706" s="53"/>
      <c r="W1706" s="55"/>
    </row>
    <row r="1707">
      <c r="K1707" s="53"/>
      <c r="N1707" s="53"/>
      <c r="O1707" s="53"/>
      <c r="T1707" s="53"/>
      <c r="V1707" s="53"/>
      <c r="W1707" s="55"/>
    </row>
    <row r="1708">
      <c r="K1708" s="53"/>
      <c r="N1708" s="53"/>
      <c r="O1708" s="53"/>
      <c r="T1708" s="53"/>
      <c r="V1708" s="53"/>
      <c r="W1708" s="55"/>
    </row>
    <row r="1709">
      <c r="K1709" s="53"/>
      <c r="N1709" s="53"/>
      <c r="O1709" s="53"/>
      <c r="T1709" s="53"/>
      <c r="V1709" s="53"/>
      <c r="W1709" s="55"/>
    </row>
    <row r="1710">
      <c r="K1710" s="53"/>
      <c r="N1710" s="53"/>
      <c r="O1710" s="53"/>
      <c r="T1710" s="53"/>
      <c r="V1710" s="53"/>
      <c r="W1710" s="55"/>
    </row>
    <row r="1711">
      <c r="K1711" s="53"/>
      <c r="N1711" s="53"/>
      <c r="O1711" s="53"/>
      <c r="T1711" s="53"/>
      <c r="V1711" s="53"/>
      <c r="W1711" s="55"/>
    </row>
    <row r="1712">
      <c r="K1712" s="53"/>
      <c r="N1712" s="53"/>
      <c r="O1712" s="53"/>
      <c r="T1712" s="53"/>
      <c r="V1712" s="53"/>
      <c r="W1712" s="55"/>
    </row>
    <row r="1713">
      <c r="K1713" s="53"/>
      <c r="N1713" s="53"/>
      <c r="O1713" s="53"/>
      <c r="T1713" s="53"/>
      <c r="V1713" s="53"/>
      <c r="W1713" s="55"/>
    </row>
    <row r="1714">
      <c r="K1714" s="53"/>
      <c r="N1714" s="53"/>
      <c r="O1714" s="53"/>
      <c r="T1714" s="53"/>
      <c r="V1714" s="53"/>
      <c r="W1714" s="55"/>
    </row>
    <row r="1715">
      <c r="K1715" s="53"/>
      <c r="N1715" s="53"/>
      <c r="O1715" s="53"/>
      <c r="T1715" s="53"/>
      <c r="V1715" s="53"/>
      <c r="W1715" s="55"/>
    </row>
    <row r="1716">
      <c r="K1716" s="53"/>
      <c r="N1716" s="53"/>
      <c r="O1716" s="53"/>
      <c r="T1716" s="53"/>
      <c r="V1716" s="53"/>
      <c r="W1716" s="55"/>
    </row>
    <row r="1717">
      <c r="K1717" s="53"/>
      <c r="N1717" s="53"/>
      <c r="O1717" s="53"/>
      <c r="T1717" s="53"/>
      <c r="V1717" s="53"/>
      <c r="W1717" s="55"/>
    </row>
    <row r="1718">
      <c r="K1718" s="53"/>
      <c r="N1718" s="53"/>
      <c r="O1718" s="53"/>
      <c r="T1718" s="53"/>
      <c r="V1718" s="53"/>
      <c r="W1718" s="55"/>
    </row>
    <row r="1719">
      <c r="K1719" s="53"/>
      <c r="N1719" s="53"/>
      <c r="O1719" s="53"/>
      <c r="T1719" s="53"/>
      <c r="V1719" s="53"/>
      <c r="W1719" s="55"/>
    </row>
    <row r="1720">
      <c r="K1720" s="53"/>
      <c r="N1720" s="53"/>
      <c r="O1720" s="53"/>
      <c r="T1720" s="53"/>
      <c r="V1720" s="53"/>
      <c r="W1720" s="55"/>
    </row>
    <row r="1721">
      <c r="K1721" s="53"/>
      <c r="N1721" s="53"/>
      <c r="O1721" s="53"/>
      <c r="T1721" s="53"/>
      <c r="V1721" s="53"/>
      <c r="W1721" s="55"/>
    </row>
    <row r="1722">
      <c r="K1722" s="53"/>
      <c r="N1722" s="53"/>
      <c r="O1722" s="53"/>
      <c r="T1722" s="53"/>
      <c r="V1722" s="53"/>
      <c r="W1722" s="55"/>
    </row>
    <row r="1723">
      <c r="K1723" s="53"/>
      <c r="N1723" s="53"/>
      <c r="O1723" s="53"/>
      <c r="T1723" s="53"/>
      <c r="V1723" s="53"/>
      <c r="W1723" s="55"/>
    </row>
    <row r="1724">
      <c r="K1724" s="53"/>
      <c r="N1724" s="53"/>
      <c r="O1724" s="53"/>
      <c r="T1724" s="53"/>
      <c r="V1724" s="53"/>
      <c r="W1724" s="55"/>
    </row>
    <row r="1725">
      <c r="K1725" s="53"/>
      <c r="N1725" s="53"/>
      <c r="O1725" s="53"/>
      <c r="T1725" s="53"/>
      <c r="V1725" s="53"/>
      <c r="W1725" s="55"/>
    </row>
    <row r="1726">
      <c r="K1726" s="53"/>
      <c r="N1726" s="53"/>
      <c r="O1726" s="53"/>
      <c r="T1726" s="53"/>
      <c r="V1726" s="53"/>
      <c r="W1726" s="55"/>
    </row>
    <row r="1727">
      <c r="K1727" s="53"/>
      <c r="N1727" s="53"/>
      <c r="O1727" s="53"/>
      <c r="T1727" s="53"/>
      <c r="V1727" s="53"/>
      <c r="W1727" s="55"/>
    </row>
    <row r="1728">
      <c r="K1728" s="53"/>
      <c r="N1728" s="53"/>
      <c r="O1728" s="53"/>
      <c r="T1728" s="53"/>
      <c r="V1728" s="53"/>
      <c r="W1728" s="55"/>
    </row>
    <row r="1729">
      <c r="K1729" s="53"/>
      <c r="N1729" s="53"/>
      <c r="O1729" s="53"/>
      <c r="T1729" s="53"/>
      <c r="V1729" s="53"/>
      <c r="W1729" s="55"/>
    </row>
    <row r="1730">
      <c r="K1730" s="53"/>
      <c r="N1730" s="53"/>
      <c r="O1730" s="53"/>
      <c r="T1730" s="53"/>
      <c r="V1730" s="53"/>
      <c r="W1730" s="55"/>
    </row>
    <row r="1731">
      <c r="K1731" s="53"/>
      <c r="N1731" s="53"/>
      <c r="O1731" s="53"/>
      <c r="T1731" s="53"/>
      <c r="V1731" s="53"/>
      <c r="W1731" s="55"/>
    </row>
    <row r="1732">
      <c r="K1732" s="53"/>
      <c r="N1732" s="53"/>
      <c r="O1732" s="53"/>
      <c r="T1732" s="53"/>
      <c r="V1732" s="53"/>
      <c r="W1732" s="55"/>
    </row>
    <row r="1733">
      <c r="K1733" s="53"/>
      <c r="N1733" s="53"/>
      <c r="O1733" s="53"/>
      <c r="T1733" s="53"/>
      <c r="V1733" s="53"/>
      <c r="W1733" s="55"/>
    </row>
    <row r="1734">
      <c r="K1734" s="53"/>
      <c r="N1734" s="53"/>
      <c r="O1734" s="53"/>
      <c r="T1734" s="53"/>
      <c r="V1734" s="53"/>
      <c r="W1734" s="55"/>
    </row>
    <row r="1735">
      <c r="K1735" s="53"/>
      <c r="N1735" s="53"/>
      <c r="O1735" s="53"/>
      <c r="T1735" s="53"/>
      <c r="V1735" s="53"/>
      <c r="W1735" s="55"/>
    </row>
    <row r="1736">
      <c r="K1736" s="53"/>
      <c r="N1736" s="53"/>
      <c r="O1736" s="53"/>
      <c r="T1736" s="53"/>
      <c r="V1736" s="53"/>
      <c r="W1736" s="55"/>
    </row>
    <row r="1737">
      <c r="K1737" s="53"/>
      <c r="N1737" s="53"/>
      <c r="O1737" s="53"/>
      <c r="T1737" s="53"/>
      <c r="V1737" s="53"/>
      <c r="W1737" s="55"/>
    </row>
    <row r="1738">
      <c r="K1738" s="53"/>
      <c r="N1738" s="53"/>
      <c r="O1738" s="53"/>
      <c r="T1738" s="53"/>
      <c r="V1738" s="53"/>
      <c r="W1738" s="55"/>
    </row>
    <row r="1739">
      <c r="K1739" s="53"/>
      <c r="N1739" s="53"/>
      <c r="O1739" s="53"/>
      <c r="T1739" s="53"/>
      <c r="V1739" s="53"/>
      <c r="W1739" s="55"/>
    </row>
    <row r="1740">
      <c r="K1740" s="53"/>
      <c r="N1740" s="53"/>
      <c r="O1740" s="53"/>
      <c r="T1740" s="53"/>
      <c r="V1740" s="53"/>
      <c r="W1740" s="55"/>
    </row>
    <row r="1741">
      <c r="K1741" s="53"/>
      <c r="N1741" s="53"/>
      <c r="O1741" s="53"/>
      <c r="T1741" s="53"/>
      <c r="V1741" s="53"/>
      <c r="W1741" s="55"/>
    </row>
    <row r="1742">
      <c r="K1742" s="53"/>
      <c r="N1742" s="53"/>
      <c r="O1742" s="53"/>
      <c r="T1742" s="53"/>
      <c r="V1742" s="53"/>
      <c r="W1742" s="55"/>
    </row>
    <row r="1743">
      <c r="K1743" s="53"/>
      <c r="N1743" s="53"/>
      <c r="O1743" s="53"/>
      <c r="T1743" s="53"/>
      <c r="V1743" s="53"/>
      <c r="W1743" s="55"/>
    </row>
    <row r="1744">
      <c r="K1744" s="53"/>
      <c r="N1744" s="53"/>
      <c r="O1744" s="53"/>
      <c r="T1744" s="53"/>
      <c r="V1744" s="53"/>
      <c r="W1744" s="55"/>
    </row>
    <row r="1745">
      <c r="K1745" s="53"/>
      <c r="N1745" s="53"/>
      <c r="O1745" s="53"/>
      <c r="T1745" s="53"/>
      <c r="V1745" s="53"/>
      <c r="W1745" s="55"/>
    </row>
    <row r="1746">
      <c r="K1746" s="53"/>
      <c r="N1746" s="53"/>
      <c r="O1746" s="53"/>
      <c r="T1746" s="53"/>
      <c r="V1746" s="53"/>
      <c r="W1746" s="55"/>
    </row>
    <row r="1747">
      <c r="K1747" s="53"/>
      <c r="N1747" s="53"/>
      <c r="O1747" s="53"/>
      <c r="T1747" s="53"/>
      <c r="V1747" s="53"/>
      <c r="W1747" s="55"/>
    </row>
    <row r="1748">
      <c r="K1748" s="53"/>
      <c r="N1748" s="53"/>
      <c r="O1748" s="53"/>
      <c r="T1748" s="53"/>
      <c r="V1748" s="53"/>
      <c r="W1748" s="55"/>
    </row>
    <row r="1749">
      <c r="K1749" s="53"/>
      <c r="N1749" s="53"/>
      <c r="O1749" s="53"/>
      <c r="T1749" s="53"/>
      <c r="V1749" s="53"/>
      <c r="W1749" s="55"/>
    </row>
    <row r="1750">
      <c r="K1750" s="53"/>
      <c r="N1750" s="53"/>
      <c r="O1750" s="53"/>
      <c r="T1750" s="53"/>
      <c r="V1750" s="53"/>
      <c r="W1750" s="55"/>
    </row>
    <row r="1751">
      <c r="K1751" s="53"/>
      <c r="N1751" s="53"/>
      <c r="O1751" s="53"/>
      <c r="T1751" s="53"/>
      <c r="V1751" s="53"/>
      <c r="W1751" s="55"/>
    </row>
    <row r="1752">
      <c r="K1752" s="53"/>
      <c r="N1752" s="53"/>
      <c r="O1752" s="53"/>
      <c r="T1752" s="53"/>
      <c r="V1752" s="53"/>
      <c r="W1752" s="55"/>
    </row>
    <row r="1753">
      <c r="K1753" s="53"/>
      <c r="N1753" s="53"/>
      <c r="O1753" s="53"/>
      <c r="T1753" s="53"/>
      <c r="V1753" s="53"/>
      <c r="W1753" s="55"/>
    </row>
    <row r="1754">
      <c r="K1754" s="53"/>
      <c r="N1754" s="53"/>
      <c r="O1754" s="53"/>
      <c r="T1754" s="53"/>
      <c r="V1754" s="53"/>
      <c r="W1754" s="55"/>
    </row>
    <row r="1755">
      <c r="K1755" s="53"/>
      <c r="N1755" s="53"/>
      <c r="O1755" s="53"/>
      <c r="T1755" s="53"/>
      <c r="V1755" s="53"/>
      <c r="W1755" s="55"/>
    </row>
    <row r="1756">
      <c r="K1756" s="53"/>
      <c r="N1756" s="53"/>
      <c r="O1756" s="53"/>
      <c r="T1756" s="53"/>
      <c r="V1756" s="53"/>
      <c r="W1756" s="55"/>
    </row>
    <row r="1757">
      <c r="K1757" s="53"/>
      <c r="N1757" s="53"/>
      <c r="O1757" s="53"/>
      <c r="T1757" s="53"/>
      <c r="V1757" s="53"/>
      <c r="W1757" s="55"/>
    </row>
    <row r="1758">
      <c r="K1758" s="53"/>
      <c r="N1758" s="53"/>
      <c r="O1758" s="53"/>
      <c r="T1758" s="53"/>
      <c r="V1758" s="53"/>
      <c r="W1758" s="55"/>
    </row>
    <row r="1759">
      <c r="K1759" s="53"/>
      <c r="N1759" s="53"/>
      <c r="O1759" s="53"/>
      <c r="T1759" s="53"/>
      <c r="V1759" s="53"/>
      <c r="W1759" s="55"/>
    </row>
    <row r="1760">
      <c r="K1760" s="53"/>
      <c r="N1760" s="53"/>
      <c r="O1760" s="53"/>
      <c r="T1760" s="53"/>
      <c r="V1760" s="53"/>
      <c r="W1760" s="55"/>
    </row>
    <row r="1761">
      <c r="K1761" s="53"/>
      <c r="N1761" s="53"/>
      <c r="O1761" s="53"/>
      <c r="T1761" s="53"/>
      <c r="V1761" s="53"/>
      <c r="W1761" s="55"/>
    </row>
    <row r="1762">
      <c r="K1762" s="53"/>
      <c r="N1762" s="53"/>
      <c r="O1762" s="53"/>
      <c r="T1762" s="53"/>
      <c r="V1762" s="53"/>
      <c r="W1762" s="55"/>
    </row>
    <row r="1763">
      <c r="K1763" s="53"/>
      <c r="N1763" s="53"/>
      <c r="O1763" s="53"/>
      <c r="T1763" s="53"/>
      <c r="V1763" s="53"/>
      <c r="W1763" s="55"/>
    </row>
    <row r="1764">
      <c r="K1764" s="53"/>
      <c r="N1764" s="53"/>
      <c r="O1764" s="53"/>
      <c r="T1764" s="53"/>
      <c r="V1764" s="53"/>
      <c r="W1764" s="55"/>
    </row>
    <row r="1765">
      <c r="K1765" s="53"/>
      <c r="N1765" s="53"/>
      <c r="O1765" s="53"/>
      <c r="T1765" s="53"/>
      <c r="V1765" s="53"/>
      <c r="W1765" s="55"/>
    </row>
    <row r="1766">
      <c r="K1766" s="53"/>
      <c r="N1766" s="53"/>
      <c r="O1766" s="53"/>
      <c r="T1766" s="53"/>
      <c r="V1766" s="53"/>
      <c r="W1766" s="55"/>
    </row>
    <row r="1767">
      <c r="K1767" s="53"/>
      <c r="N1767" s="53"/>
      <c r="O1767" s="53"/>
      <c r="T1767" s="53"/>
      <c r="V1767" s="53"/>
      <c r="W1767" s="55"/>
    </row>
    <row r="1768">
      <c r="K1768" s="53"/>
      <c r="N1768" s="53"/>
      <c r="O1768" s="53"/>
      <c r="T1768" s="53"/>
      <c r="V1768" s="53"/>
      <c r="W1768" s="55"/>
    </row>
    <row r="1769">
      <c r="K1769" s="53"/>
      <c r="N1769" s="53"/>
      <c r="O1769" s="53"/>
      <c r="T1769" s="53"/>
      <c r="V1769" s="53"/>
      <c r="W1769" s="55"/>
    </row>
    <row r="1770">
      <c r="K1770" s="53"/>
      <c r="N1770" s="53"/>
      <c r="O1770" s="53"/>
      <c r="T1770" s="53"/>
      <c r="V1770" s="53"/>
      <c r="W1770" s="55"/>
    </row>
    <row r="1771">
      <c r="K1771" s="53"/>
      <c r="N1771" s="53"/>
      <c r="O1771" s="53"/>
      <c r="T1771" s="53"/>
      <c r="V1771" s="53"/>
      <c r="W1771" s="55"/>
    </row>
    <row r="1772">
      <c r="K1772" s="53"/>
      <c r="N1772" s="53"/>
      <c r="O1772" s="53"/>
      <c r="T1772" s="53"/>
      <c r="V1772" s="53"/>
      <c r="W1772" s="55"/>
    </row>
    <row r="1773">
      <c r="K1773" s="53"/>
      <c r="N1773" s="53"/>
      <c r="O1773" s="53"/>
      <c r="T1773" s="53"/>
      <c r="V1773" s="53"/>
      <c r="W1773" s="55"/>
    </row>
    <row r="1774">
      <c r="K1774" s="53"/>
      <c r="N1774" s="53"/>
      <c r="O1774" s="53"/>
      <c r="T1774" s="53"/>
      <c r="V1774" s="53"/>
      <c r="W1774" s="55"/>
    </row>
    <row r="1775">
      <c r="K1775" s="53"/>
      <c r="N1775" s="53"/>
      <c r="O1775" s="53"/>
      <c r="T1775" s="53"/>
      <c r="V1775" s="53"/>
      <c r="W1775" s="55"/>
    </row>
    <row r="1776">
      <c r="K1776" s="53"/>
      <c r="N1776" s="53"/>
      <c r="O1776" s="53"/>
      <c r="T1776" s="53"/>
      <c r="V1776" s="53"/>
      <c r="W1776" s="55"/>
    </row>
    <row r="1777">
      <c r="K1777" s="53"/>
      <c r="N1777" s="53"/>
      <c r="O1777" s="53"/>
      <c r="T1777" s="53"/>
      <c r="V1777" s="53"/>
      <c r="W1777" s="55"/>
    </row>
    <row r="1778">
      <c r="K1778" s="53"/>
      <c r="N1778" s="53"/>
      <c r="O1778" s="53"/>
      <c r="T1778" s="53"/>
      <c r="V1778" s="53"/>
      <c r="W1778" s="55"/>
    </row>
    <row r="1779">
      <c r="K1779" s="53"/>
      <c r="N1779" s="53"/>
      <c r="O1779" s="53"/>
      <c r="T1779" s="53"/>
      <c r="V1779" s="53"/>
      <c r="W1779" s="55"/>
    </row>
    <row r="1780">
      <c r="K1780" s="53"/>
      <c r="N1780" s="53"/>
      <c r="O1780" s="53"/>
      <c r="T1780" s="53"/>
      <c r="V1780" s="53"/>
      <c r="W1780" s="55"/>
    </row>
    <row r="1781">
      <c r="K1781" s="53"/>
      <c r="N1781" s="53"/>
      <c r="O1781" s="53"/>
      <c r="T1781" s="53"/>
      <c r="V1781" s="53"/>
      <c r="W1781" s="55"/>
    </row>
    <row r="1782">
      <c r="K1782" s="53"/>
      <c r="N1782" s="53"/>
      <c r="O1782" s="53"/>
      <c r="T1782" s="53"/>
      <c r="V1782" s="53"/>
      <c r="W1782" s="55"/>
    </row>
    <row r="1783">
      <c r="K1783" s="53"/>
      <c r="N1783" s="53"/>
      <c r="O1783" s="53"/>
      <c r="T1783" s="53"/>
      <c r="V1783" s="53"/>
      <c r="W1783" s="55"/>
    </row>
    <row r="1784">
      <c r="K1784" s="53"/>
      <c r="N1784" s="53"/>
      <c r="O1784" s="53"/>
      <c r="T1784" s="53"/>
      <c r="V1784" s="53"/>
      <c r="W1784" s="55"/>
    </row>
    <row r="1785">
      <c r="K1785" s="53"/>
      <c r="N1785" s="53"/>
      <c r="O1785" s="53"/>
      <c r="T1785" s="53"/>
      <c r="V1785" s="53"/>
      <c r="W1785" s="55"/>
    </row>
    <row r="1786">
      <c r="K1786" s="53"/>
      <c r="N1786" s="53"/>
      <c r="O1786" s="53"/>
      <c r="T1786" s="53"/>
      <c r="V1786" s="53"/>
      <c r="W1786" s="55"/>
    </row>
    <row r="1787">
      <c r="K1787" s="53"/>
      <c r="N1787" s="53"/>
      <c r="O1787" s="53"/>
      <c r="T1787" s="53"/>
      <c r="V1787" s="53"/>
      <c r="W1787" s="55"/>
    </row>
    <row r="1788">
      <c r="K1788" s="53"/>
      <c r="N1788" s="53"/>
      <c r="O1788" s="53"/>
      <c r="T1788" s="53"/>
      <c r="V1788" s="53"/>
      <c r="W1788" s="55"/>
    </row>
    <row r="1789">
      <c r="K1789" s="53"/>
      <c r="N1789" s="53"/>
      <c r="O1789" s="53"/>
      <c r="T1789" s="53"/>
      <c r="V1789" s="53"/>
      <c r="W1789" s="55"/>
    </row>
    <row r="1790">
      <c r="K1790" s="53"/>
      <c r="N1790" s="53"/>
      <c r="O1790" s="53"/>
      <c r="T1790" s="53"/>
      <c r="V1790" s="53"/>
      <c r="W1790" s="55"/>
    </row>
    <row r="1791">
      <c r="K1791" s="53"/>
      <c r="N1791" s="53"/>
      <c r="O1791" s="53"/>
      <c r="T1791" s="53"/>
      <c r="V1791" s="53"/>
      <c r="W1791" s="55"/>
    </row>
    <row r="1792">
      <c r="K1792" s="53"/>
      <c r="N1792" s="53"/>
      <c r="O1792" s="53"/>
      <c r="T1792" s="53"/>
      <c r="V1792" s="53"/>
      <c r="W1792" s="55"/>
    </row>
    <row r="1793">
      <c r="K1793" s="53"/>
      <c r="N1793" s="53"/>
      <c r="O1793" s="53"/>
      <c r="T1793" s="53"/>
      <c r="V1793" s="53"/>
      <c r="W1793" s="55"/>
    </row>
    <row r="1794">
      <c r="K1794" s="53"/>
      <c r="N1794" s="53"/>
      <c r="O1794" s="53"/>
      <c r="T1794" s="53"/>
      <c r="V1794" s="53"/>
      <c r="W1794" s="55"/>
    </row>
    <row r="1795">
      <c r="K1795" s="53"/>
      <c r="N1795" s="53"/>
      <c r="O1795" s="53"/>
      <c r="T1795" s="53"/>
      <c r="V1795" s="53"/>
      <c r="W1795" s="55"/>
    </row>
    <row r="1796">
      <c r="K1796" s="53"/>
      <c r="N1796" s="53"/>
      <c r="O1796" s="53"/>
      <c r="T1796" s="53"/>
      <c r="V1796" s="53"/>
      <c r="W1796" s="55"/>
    </row>
    <row r="1797">
      <c r="K1797" s="53"/>
      <c r="N1797" s="53"/>
      <c r="O1797" s="53"/>
      <c r="T1797" s="53"/>
      <c r="V1797" s="53"/>
      <c r="W1797" s="55"/>
    </row>
    <row r="1798">
      <c r="K1798" s="53"/>
      <c r="N1798" s="53"/>
      <c r="O1798" s="53"/>
      <c r="T1798" s="53"/>
      <c r="V1798" s="53"/>
      <c r="W1798" s="55"/>
    </row>
    <row r="1799">
      <c r="K1799" s="53"/>
      <c r="N1799" s="53"/>
      <c r="O1799" s="53"/>
      <c r="T1799" s="53"/>
      <c r="V1799" s="53"/>
      <c r="W1799" s="55"/>
    </row>
    <row r="1800">
      <c r="K1800" s="53"/>
      <c r="N1800" s="53"/>
      <c r="O1800" s="53"/>
      <c r="T1800" s="53"/>
      <c r="V1800" s="53"/>
      <c r="W1800" s="55"/>
    </row>
    <row r="1801">
      <c r="K1801" s="53"/>
      <c r="N1801" s="53"/>
      <c r="O1801" s="53"/>
      <c r="T1801" s="53"/>
      <c r="V1801" s="53"/>
      <c r="W1801" s="55"/>
    </row>
    <row r="1802">
      <c r="K1802" s="53"/>
      <c r="N1802" s="53"/>
      <c r="O1802" s="53"/>
      <c r="T1802" s="53"/>
      <c r="V1802" s="53"/>
      <c r="W1802" s="55"/>
    </row>
    <row r="1803">
      <c r="K1803" s="53"/>
      <c r="N1803" s="53"/>
      <c r="O1803" s="53"/>
      <c r="T1803" s="53"/>
      <c r="V1803" s="53"/>
      <c r="W1803" s="55"/>
    </row>
    <row r="1804">
      <c r="K1804" s="53"/>
      <c r="N1804" s="53"/>
      <c r="O1804" s="53"/>
      <c r="T1804" s="53"/>
      <c r="V1804" s="53"/>
      <c r="W1804" s="55"/>
    </row>
    <row r="1805">
      <c r="K1805" s="53"/>
      <c r="N1805" s="53"/>
      <c r="O1805" s="53"/>
      <c r="T1805" s="53"/>
      <c r="V1805" s="53"/>
      <c r="W1805" s="55"/>
    </row>
    <row r="1806">
      <c r="K1806" s="53"/>
      <c r="N1806" s="53"/>
      <c r="O1806" s="53"/>
      <c r="T1806" s="53"/>
      <c r="V1806" s="53"/>
      <c r="W1806" s="55"/>
    </row>
    <row r="1807">
      <c r="K1807" s="53"/>
      <c r="N1807" s="53"/>
      <c r="O1807" s="53"/>
      <c r="T1807" s="53"/>
      <c r="V1807" s="53"/>
      <c r="W1807" s="55"/>
    </row>
    <row r="1808">
      <c r="K1808" s="53"/>
      <c r="N1808" s="53"/>
      <c r="O1808" s="53"/>
      <c r="T1808" s="53"/>
      <c r="V1808" s="53"/>
      <c r="W1808" s="55"/>
    </row>
    <row r="1809">
      <c r="K1809" s="53"/>
      <c r="N1809" s="53"/>
      <c r="O1809" s="53"/>
      <c r="T1809" s="53"/>
      <c r="V1809" s="53"/>
      <c r="W1809" s="55"/>
    </row>
    <row r="1810">
      <c r="K1810" s="53"/>
      <c r="N1810" s="53"/>
      <c r="O1810" s="53"/>
      <c r="T1810" s="53"/>
      <c r="V1810" s="53"/>
      <c r="W1810" s="55"/>
    </row>
    <row r="1811">
      <c r="K1811" s="53"/>
      <c r="N1811" s="53"/>
      <c r="O1811" s="53"/>
      <c r="T1811" s="53"/>
      <c r="V1811" s="53"/>
      <c r="W1811" s="55"/>
    </row>
    <row r="1812">
      <c r="K1812" s="53"/>
      <c r="N1812" s="53"/>
      <c r="O1812" s="53"/>
      <c r="T1812" s="53"/>
      <c r="V1812" s="53"/>
      <c r="W1812" s="55"/>
    </row>
    <row r="1813">
      <c r="K1813" s="53"/>
      <c r="N1813" s="53"/>
      <c r="O1813" s="53"/>
      <c r="T1813" s="53"/>
      <c r="V1813" s="53"/>
      <c r="W1813" s="55"/>
    </row>
    <row r="1814">
      <c r="K1814" s="53"/>
      <c r="N1814" s="53"/>
      <c r="O1814" s="53"/>
      <c r="T1814" s="53"/>
      <c r="V1814" s="53"/>
      <c r="W1814" s="55"/>
    </row>
    <row r="1815">
      <c r="K1815" s="53"/>
      <c r="N1815" s="53"/>
      <c r="O1815" s="53"/>
      <c r="T1815" s="53"/>
      <c r="V1815" s="53"/>
      <c r="W1815" s="55"/>
    </row>
    <row r="1816">
      <c r="K1816" s="53"/>
      <c r="N1816" s="53"/>
      <c r="O1816" s="53"/>
      <c r="T1816" s="53"/>
      <c r="V1816" s="53"/>
      <c r="W1816" s="55"/>
    </row>
    <row r="1817">
      <c r="K1817" s="53"/>
      <c r="N1817" s="53"/>
      <c r="O1817" s="53"/>
      <c r="T1817" s="53"/>
      <c r="V1817" s="53"/>
      <c r="W1817" s="55"/>
    </row>
    <row r="1818">
      <c r="K1818" s="53"/>
      <c r="N1818" s="53"/>
      <c r="O1818" s="53"/>
      <c r="T1818" s="53"/>
      <c r="V1818" s="53"/>
      <c r="W1818" s="55"/>
    </row>
    <row r="1819">
      <c r="K1819" s="53"/>
      <c r="N1819" s="53"/>
      <c r="O1819" s="53"/>
      <c r="T1819" s="53"/>
      <c r="V1819" s="53"/>
      <c r="W1819" s="55"/>
    </row>
    <row r="1820">
      <c r="K1820" s="53"/>
      <c r="N1820" s="53"/>
      <c r="O1820" s="53"/>
      <c r="T1820" s="53"/>
      <c r="V1820" s="53"/>
      <c r="W1820" s="55"/>
    </row>
    <row r="1821">
      <c r="K1821" s="53"/>
      <c r="N1821" s="53"/>
      <c r="O1821" s="53"/>
      <c r="T1821" s="53"/>
      <c r="V1821" s="53"/>
      <c r="W1821" s="55"/>
    </row>
    <row r="1822">
      <c r="K1822" s="53"/>
      <c r="N1822" s="53"/>
      <c r="O1822" s="53"/>
      <c r="T1822" s="53"/>
      <c r="V1822" s="53"/>
      <c r="W1822" s="55"/>
    </row>
    <row r="1823">
      <c r="K1823" s="53"/>
      <c r="N1823" s="53"/>
      <c r="O1823" s="53"/>
      <c r="T1823" s="53"/>
      <c r="V1823" s="53"/>
      <c r="W1823" s="55"/>
    </row>
    <row r="1824">
      <c r="K1824" s="53"/>
      <c r="N1824" s="53"/>
      <c r="O1824" s="53"/>
      <c r="T1824" s="53"/>
      <c r="V1824" s="53"/>
      <c r="W1824" s="55"/>
    </row>
    <row r="1825">
      <c r="K1825" s="53"/>
      <c r="N1825" s="53"/>
      <c r="O1825" s="53"/>
      <c r="T1825" s="53"/>
      <c r="V1825" s="53"/>
      <c r="W1825" s="55"/>
    </row>
    <row r="1826">
      <c r="K1826" s="53"/>
      <c r="N1826" s="53"/>
      <c r="O1826" s="53"/>
      <c r="T1826" s="53"/>
      <c r="V1826" s="53"/>
      <c r="W1826" s="55"/>
    </row>
    <row r="1827">
      <c r="K1827" s="53"/>
      <c r="N1827" s="53"/>
      <c r="O1827" s="53"/>
      <c r="T1827" s="53"/>
      <c r="V1827" s="53"/>
      <c r="W1827" s="55"/>
    </row>
    <row r="1828">
      <c r="K1828" s="53"/>
      <c r="N1828" s="53"/>
      <c r="O1828" s="53"/>
      <c r="T1828" s="53"/>
      <c r="V1828" s="53"/>
      <c r="W1828" s="55"/>
    </row>
    <row r="1829">
      <c r="K1829" s="53"/>
      <c r="N1829" s="53"/>
      <c r="O1829" s="53"/>
      <c r="T1829" s="53"/>
      <c r="V1829" s="53"/>
      <c r="W1829" s="55"/>
    </row>
    <row r="1830">
      <c r="K1830" s="53"/>
      <c r="N1830" s="53"/>
      <c r="O1830" s="53"/>
      <c r="T1830" s="53"/>
      <c r="V1830" s="53"/>
      <c r="W1830" s="55"/>
    </row>
    <row r="1831">
      <c r="K1831" s="53"/>
      <c r="N1831" s="53"/>
      <c r="O1831" s="53"/>
      <c r="T1831" s="53"/>
      <c r="V1831" s="53"/>
      <c r="W1831" s="55"/>
    </row>
    <row r="1832">
      <c r="K1832" s="53"/>
      <c r="N1832" s="53"/>
      <c r="O1832" s="53"/>
      <c r="T1832" s="53"/>
      <c r="V1832" s="53"/>
      <c r="W1832" s="55"/>
    </row>
    <row r="1833">
      <c r="K1833" s="53"/>
      <c r="N1833" s="53"/>
      <c r="O1833" s="53"/>
      <c r="T1833" s="53"/>
      <c r="V1833" s="53"/>
      <c r="W1833" s="55"/>
    </row>
    <row r="1834">
      <c r="K1834" s="53"/>
      <c r="N1834" s="53"/>
      <c r="O1834" s="53"/>
      <c r="T1834" s="53"/>
      <c r="V1834" s="53"/>
      <c r="W1834" s="55"/>
    </row>
    <row r="1835">
      <c r="K1835" s="53"/>
      <c r="N1835" s="53"/>
      <c r="O1835" s="53"/>
      <c r="T1835" s="53"/>
      <c r="V1835" s="53"/>
      <c r="W1835" s="55"/>
    </row>
    <row r="1836">
      <c r="K1836" s="53"/>
      <c r="N1836" s="53"/>
      <c r="O1836" s="53"/>
      <c r="T1836" s="53"/>
      <c r="V1836" s="53"/>
      <c r="W1836" s="55"/>
    </row>
    <row r="1837">
      <c r="K1837" s="53"/>
      <c r="N1837" s="53"/>
      <c r="O1837" s="53"/>
      <c r="T1837" s="53"/>
      <c r="V1837" s="53"/>
      <c r="W1837" s="55"/>
    </row>
    <row r="1838">
      <c r="K1838" s="53"/>
      <c r="N1838" s="53"/>
      <c r="O1838" s="53"/>
      <c r="T1838" s="53"/>
      <c r="V1838" s="53"/>
      <c r="W1838" s="55"/>
    </row>
    <row r="1839">
      <c r="K1839" s="53"/>
      <c r="N1839" s="53"/>
      <c r="O1839" s="53"/>
      <c r="T1839" s="53"/>
      <c r="V1839" s="53"/>
      <c r="W1839" s="55"/>
    </row>
    <row r="1840">
      <c r="K1840" s="53"/>
      <c r="N1840" s="53"/>
      <c r="O1840" s="53"/>
      <c r="T1840" s="53"/>
      <c r="V1840" s="53"/>
      <c r="W1840" s="55"/>
    </row>
    <row r="1841">
      <c r="K1841" s="53"/>
      <c r="N1841" s="53"/>
      <c r="O1841" s="53"/>
      <c r="T1841" s="53"/>
      <c r="V1841" s="53"/>
      <c r="W1841" s="55"/>
    </row>
    <row r="1842">
      <c r="K1842" s="53"/>
      <c r="N1842" s="53"/>
      <c r="O1842" s="53"/>
      <c r="T1842" s="53"/>
      <c r="V1842" s="53"/>
      <c r="W1842" s="55"/>
    </row>
    <row r="1843">
      <c r="K1843" s="53"/>
      <c r="N1843" s="53"/>
      <c r="O1843" s="53"/>
      <c r="T1843" s="53"/>
      <c r="V1843" s="53"/>
      <c r="W1843" s="55"/>
    </row>
    <row r="1844">
      <c r="K1844" s="53"/>
      <c r="N1844" s="53"/>
      <c r="O1844" s="53"/>
      <c r="T1844" s="53"/>
      <c r="V1844" s="53"/>
      <c r="W1844" s="55"/>
    </row>
    <row r="1845">
      <c r="K1845" s="53"/>
      <c r="N1845" s="53"/>
      <c r="O1845" s="53"/>
      <c r="T1845" s="53"/>
      <c r="V1845" s="53"/>
      <c r="W1845" s="55"/>
    </row>
    <row r="1846">
      <c r="K1846" s="53"/>
      <c r="N1846" s="53"/>
      <c r="O1846" s="53"/>
      <c r="T1846" s="53"/>
      <c r="V1846" s="53"/>
      <c r="W1846" s="55"/>
    </row>
    <row r="1847">
      <c r="K1847" s="53"/>
      <c r="N1847" s="53"/>
      <c r="O1847" s="53"/>
      <c r="T1847" s="53"/>
      <c r="V1847" s="53"/>
      <c r="W1847" s="55"/>
    </row>
    <row r="1848">
      <c r="K1848" s="53"/>
      <c r="N1848" s="53"/>
      <c r="O1848" s="53"/>
      <c r="T1848" s="53"/>
      <c r="V1848" s="53"/>
      <c r="W1848" s="55"/>
    </row>
    <row r="1849">
      <c r="K1849" s="53"/>
      <c r="N1849" s="53"/>
      <c r="O1849" s="53"/>
      <c r="T1849" s="53"/>
      <c r="V1849" s="53"/>
      <c r="W1849" s="55"/>
    </row>
    <row r="1850">
      <c r="K1850" s="53"/>
      <c r="N1850" s="53"/>
      <c r="O1850" s="53"/>
      <c r="T1850" s="53"/>
      <c r="V1850" s="53"/>
      <c r="W1850" s="55"/>
    </row>
    <row r="1851">
      <c r="K1851" s="53"/>
      <c r="N1851" s="53"/>
      <c r="O1851" s="53"/>
      <c r="T1851" s="53"/>
      <c r="V1851" s="53"/>
      <c r="W1851" s="55"/>
    </row>
    <row r="1852">
      <c r="K1852" s="53"/>
      <c r="N1852" s="53"/>
      <c r="O1852" s="53"/>
      <c r="T1852" s="53"/>
      <c r="V1852" s="53"/>
      <c r="W1852" s="55"/>
    </row>
    <row r="1853">
      <c r="K1853" s="53"/>
      <c r="N1853" s="53"/>
      <c r="O1853" s="53"/>
      <c r="T1853" s="53"/>
      <c r="V1853" s="53"/>
      <c r="W1853" s="55"/>
    </row>
    <row r="1854">
      <c r="K1854" s="53"/>
      <c r="N1854" s="53"/>
      <c r="O1854" s="53"/>
      <c r="T1854" s="53"/>
      <c r="V1854" s="53"/>
      <c r="W1854" s="55"/>
    </row>
    <row r="1855">
      <c r="K1855" s="53"/>
      <c r="N1855" s="53"/>
      <c r="O1855" s="53"/>
      <c r="T1855" s="53"/>
      <c r="V1855" s="53"/>
      <c r="W1855" s="55"/>
    </row>
    <row r="1856">
      <c r="K1856" s="53"/>
      <c r="N1856" s="53"/>
      <c r="O1856" s="53"/>
      <c r="T1856" s="53"/>
      <c r="V1856" s="53"/>
      <c r="W1856" s="55"/>
    </row>
    <row r="1857">
      <c r="K1857" s="53"/>
      <c r="N1857" s="53"/>
      <c r="O1857" s="53"/>
      <c r="T1857" s="53"/>
      <c r="V1857" s="53"/>
      <c r="W1857" s="55"/>
    </row>
    <row r="1858">
      <c r="K1858" s="53"/>
      <c r="N1858" s="53"/>
      <c r="O1858" s="53"/>
      <c r="T1858" s="53"/>
      <c r="V1858" s="53"/>
      <c r="W1858" s="55"/>
    </row>
    <row r="1859">
      <c r="K1859" s="53"/>
      <c r="N1859" s="53"/>
      <c r="O1859" s="53"/>
      <c r="T1859" s="53"/>
      <c r="V1859" s="53"/>
      <c r="W1859" s="55"/>
    </row>
    <row r="1860">
      <c r="K1860" s="53"/>
      <c r="N1860" s="53"/>
      <c r="O1860" s="53"/>
      <c r="T1860" s="53"/>
      <c r="V1860" s="53"/>
      <c r="W1860" s="55"/>
    </row>
    <row r="1861">
      <c r="K1861" s="53"/>
      <c r="N1861" s="53"/>
      <c r="O1861" s="53"/>
      <c r="T1861" s="53"/>
      <c r="V1861" s="53"/>
      <c r="W1861" s="55"/>
    </row>
    <row r="1862">
      <c r="K1862" s="53"/>
      <c r="N1862" s="53"/>
      <c r="O1862" s="53"/>
      <c r="T1862" s="53"/>
      <c r="V1862" s="53"/>
      <c r="W1862" s="55"/>
    </row>
    <row r="1863">
      <c r="K1863" s="53"/>
      <c r="N1863" s="53"/>
      <c r="O1863" s="53"/>
      <c r="T1863" s="53"/>
      <c r="V1863" s="53"/>
      <c r="W1863" s="55"/>
    </row>
    <row r="1864">
      <c r="K1864" s="53"/>
      <c r="N1864" s="53"/>
      <c r="O1864" s="53"/>
      <c r="T1864" s="53"/>
      <c r="V1864" s="53"/>
      <c r="W1864" s="55"/>
    </row>
    <row r="1865">
      <c r="K1865" s="53"/>
      <c r="N1865" s="53"/>
      <c r="O1865" s="53"/>
      <c r="T1865" s="53"/>
      <c r="V1865" s="53"/>
      <c r="W1865" s="55"/>
    </row>
    <row r="1866">
      <c r="K1866" s="53"/>
      <c r="N1866" s="53"/>
      <c r="O1866" s="53"/>
      <c r="T1866" s="53"/>
      <c r="V1866" s="53"/>
      <c r="W1866" s="55"/>
    </row>
    <row r="1867">
      <c r="K1867" s="53"/>
      <c r="N1867" s="53"/>
      <c r="O1867" s="53"/>
      <c r="T1867" s="53"/>
      <c r="V1867" s="53"/>
      <c r="W1867" s="55"/>
    </row>
    <row r="1868">
      <c r="K1868" s="53"/>
      <c r="N1868" s="53"/>
      <c r="O1868" s="53"/>
      <c r="T1868" s="53"/>
      <c r="V1868" s="53"/>
      <c r="W1868" s="55"/>
    </row>
    <row r="1869">
      <c r="K1869" s="53"/>
      <c r="N1869" s="53"/>
      <c r="O1869" s="53"/>
      <c r="T1869" s="53"/>
      <c r="V1869" s="53"/>
      <c r="W1869" s="55"/>
    </row>
    <row r="1870">
      <c r="K1870" s="53"/>
      <c r="N1870" s="53"/>
      <c r="O1870" s="53"/>
      <c r="T1870" s="53"/>
      <c r="V1870" s="53"/>
      <c r="W1870" s="55"/>
    </row>
    <row r="1871">
      <c r="K1871" s="53"/>
      <c r="N1871" s="53"/>
      <c r="O1871" s="53"/>
      <c r="T1871" s="53"/>
      <c r="V1871" s="53"/>
      <c r="W1871" s="55"/>
    </row>
    <row r="1872">
      <c r="K1872" s="53"/>
      <c r="N1872" s="53"/>
      <c r="O1872" s="53"/>
      <c r="T1872" s="53"/>
      <c r="V1872" s="53"/>
      <c r="W1872" s="55"/>
    </row>
    <row r="1873">
      <c r="K1873" s="53"/>
      <c r="N1873" s="53"/>
      <c r="O1873" s="53"/>
      <c r="T1873" s="53"/>
      <c r="V1873" s="53"/>
      <c r="W1873" s="55"/>
    </row>
    <row r="1874">
      <c r="K1874" s="53"/>
      <c r="N1874" s="53"/>
      <c r="O1874" s="53"/>
      <c r="T1874" s="53"/>
      <c r="V1874" s="53"/>
      <c r="W1874" s="55"/>
    </row>
    <row r="1875">
      <c r="K1875" s="53"/>
      <c r="N1875" s="53"/>
      <c r="O1875" s="53"/>
      <c r="T1875" s="53"/>
      <c r="V1875" s="53"/>
      <c r="W1875" s="55"/>
    </row>
    <row r="1876">
      <c r="K1876" s="53"/>
      <c r="N1876" s="53"/>
      <c r="O1876" s="53"/>
      <c r="T1876" s="53"/>
      <c r="V1876" s="53"/>
      <c r="W1876" s="55"/>
    </row>
    <row r="1877">
      <c r="K1877" s="53"/>
      <c r="N1877" s="53"/>
      <c r="O1877" s="53"/>
      <c r="T1877" s="53"/>
      <c r="V1877" s="53"/>
      <c r="W1877" s="55"/>
    </row>
    <row r="1878">
      <c r="K1878" s="53"/>
      <c r="N1878" s="53"/>
      <c r="O1878" s="53"/>
      <c r="T1878" s="53"/>
      <c r="V1878" s="53"/>
      <c r="W1878" s="55"/>
    </row>
    <row r="1879">
      <c r="K1879" s="53"/>
      <c r="N1879" s="53"/>
      <c r="O1879" s="53"/>
      <c r="T1879" s="53"/>
      <c r="V1879" s="53"/>
      <c r="W1879" s="55"/>
    </row>
    <row r="1880">
      <c r="K1880" s="53"/>
      <c r="N1880" s="53"/>
      <c r="O1880" s="53"/>
      <c r="T1880" s="53"/>
      <c r="V1880" s="53"/>
      <c r="W1880" s="55"/>
    </row>
    <row r="1881">
      <c r="K1881" s="53"/>
      <c r="N1881" s="53"/>
      <c r="O1881" s="53"/>
      <c r="T1881" s="53"/>
      <c r="V1881" s="53"/>
      <c r="W1881" s="55"/>
    </row>
    <row r="1882">
      <c r="K1882" s="53"/>
      <c r="N1882" s="53"/>
      <c r="O1882" s="53"/>
      <c r="T1882" s="53"/>
      <c r="V1882" s="53"/>
      <c r="W1882" s="55"/>
    </row>
    <row r="1883">
      <c r="K1883" s="53"/>
      <c r="N1883" s="53"/>
      <c r="O1883" s="53"/>
      <c r="T1883" s="53"/>
      <c r="V1883" s="53"/>
      <c r="W1883" s="55"/>
    </row>
    <row r="1884">
      <c r="K1884" s="53"/>
      <c r="N1884" s="53"/>
      <c r="O1884" s="53"/>
      <c r="T1884" s="53"/>
      <c r="V1884" s="53"/>
      <c r="W1884" s="55"/>
    </row>
    <row r="1885">
      <c r="K1885" s="53"/>
      <c r="N1885" s="53"/>
      <c r="O1885" s="53"/>
      <c r="T1885" s="53"/>
      <c r="V1885" s="53"/>
      <c r="W1885" s="55"/>
    </row>
    <row r="1886">
      <c r="K1886" s="53"/>
      <c r="N1886" s="53"/>
      <c r="O1886" s="53"/>
      <c r="T1886" s="53"/>
      <c r="V1886" s="53"/>
      <c r="W1886" s="55"/>
    </row>
    <row r="1887">
      <c r="K1887" s="53"/>
      <c r="N1887" s="53"/>
      <c r="O1887" s="53"/>
      <c r="T1887" s="53"/>
      <c r="V1887" s="53"/>
      <c r="W1887" s="55"/>
    </row>
    <row r="1888">
      <c r="K1888" s="53"/>
      <c r="N1888" s="53"/>
      <c r="O1888" s="53"/>
      <c r="T1888" s="53"/>
      <c r="V1888" s="53"/>
      <c r="W1888" s="55"/>
    </row>
    <row r="1889">
      <c r="K1889" s="53"/>
      <c r="N1889" s="53"/>
      <c r="O1889" s="53"/>
      <c r="T1889" s="53"/>
      <c r="V1889" s="53"/>
      <c r="W1889" s="55"/>
    </row>
    <row r="1890">
      <c r="K1890" s="53"/>
      <c r="N1890" s="53"/>
      <c r="O1890" s="53"/>
      <c r="T1890" s="53"/>
      <c r="V1890" s="53"/>
      <c r="W1890" s="55"/>
    </row>
    <row r="1891">
      <c r="K1891" s="53"/>
      <c r="N1891" s="53"/>
      <c r="O1891" s="53"/>
      <c r="T1891" s="53"/>
      <c r="V1891" s="53"/>
      <c r="W1891" s="55"/>
    </row>
    <row r="1892">
      <c r="K1892" s="53"/>
      <c r="N1892" s="53"/>
      <c r="O1892" s="53"/>
      <c r="T1892" s="53"/>
      <c r="V1892" s="53"/>
      <c r="W1892" s="55"/>
    </row>
    <row r="1893">
      <c r="K1893" s="53"/>
      <c r="N1893" s="53"/>
      <c r="O1893" s="53"/>
      <c r="T1893" s="53"/>
      <c r="V1893" s="53"/>
      <c r="W1893" s="55"/>
    </row>
    <row r="1894">
      <c r="K1894" s="53"/>
      <c r="N1894" s="53"/>
      <c r="O1894" s="53"/>
      <c r="T1894" s="53"/>
      <c r="V1894" s="53"/>
      <c r="W1894" s="55"/>
    </row>
    <row r="1895">
      <c r="K1895" s="53"/>
      <c r="N1895" s="53"/>
      <c r="O1895" s="53"/>
      <c r="T1895" s="53"/>
      <c r="V1895" s="53"/>
      <c r="W1895" s="55"/>
    </row>
    <row r="1896">
      <c r="K1896" s="53"/>
      <c r="N1896" s="53"/>
      <c r="O1896" s="53"/>
      <c r="T1896" s="53"/>
      <c r="V1896" s="53"/>
      <c r="W1896" s="55"/>
    </row>
    <row r="1897">
      <c r="K1897" s="53"/>
      <c r="N1897" s="53"/>
      <c r="O1897" s="53"/>
      <c r="T1897" s="53"/>
      <c r="V1897" s="53"/>
      <c r="W1897" s="55"/>
    </row>
    <row r="1898">
      <c r="K1898" s="53"/>
      <c r="N1898" s="53"/>
      <c r="O1898" s="53"/>
      <c r="T1898" s="53"/>
      <c r="V1898" s="53"/>
      <c r="W1898" s="55"/>
    </row>
    <row r="1899">
      <c r="K1899" s="53"/>
      <c r="N1899" s="53"/>
      <c r="O1899" s="53"/>
      <c r="T1899" s="53"/>
      <c r="V1899" s="53"/>
      <c r="W1899" s="55"/>
    </row>
    <row r="1900">
      <c r="K1900" s="53"/>
      <c r="N1900" s="53"/>
      <c r="O1900" s="53"/>
      <c r="T1900" s="53"/>
      <c r="V1900" s="53"/>
      <c r="W1900" s="55"/>
    </row>
    <row r="1901">
      <c r="K1901" s="53"/>
      <c r="N1901" s="53"/>
      <c r="O1901" s="53"/>
      <c r="T1901" s="53"/>
      <c r="V1901" s="53"/>
      <c r="W1901" s="55"/>
    </row>
    <row r="1902">
      <c r="K1902" s="53"/>
      <c r="N1902" s="53"/>
      <c r="O1902" s="53"/>
      <c r="T1902" s="53"/>
      <c r="V1902" s="53"/>
      <c r="W1902" s="55"/>
    </row>
    <row r="1903">
      <c r="K1903" s="53"/>
      <c r="N1903" s="53"/>
      <c r="O1903" s="53"/>
      <c r="T1903" s="53"/>
      <c r="V1903" s="53"/>
      <c r="W1903" s="55"/>
    </row>
    <row r="1904">
      <c r="K1904" s="53"/>
      <c r="N1904" s="53"/>
      <c r="O1904" s="53"/>
      <c r="T1904" s="53"/>
      <c r="V1904" s="53"/>
      <c r="W1904" s="55"/>
    </row>
    <row r="1905">
      <c r="K1905" s="53"/>
      <c r="N1905" s="53"/>
      <c r="O1905" s="53"/>
      <c r="T1905" s="53"/>
      <c r="V1905" s="53"/>
      <c r="W1905" s="55"/>
    </row>
    <row r="1906">
      <c r="K1906" s="53"/>
      <c r="N1906" s="53"/>
      <c r="O1906" s="53"/>
      <c r="T1906" s="53"/>
      <c r="V1906" s="53"/>
      <c r="W1906" s="55"/>
    </row>
    <row r="1907">
      <c r="K1907" s="53"/>
      <c r="N1907" s="53"/>
      <c r="O1907" s="53"/>
      <c r="T1907" s="53"/>
      <c r="V1907" s="53"/>
      <c r="W1907" s="55"/>
    </row>
    <row r="1908">
      <c r="K1908" s="53"/>
      <c r="N1908" s="53"/>
      <c r="O1908" s="53"/>
      <c r="T1908" s="53"/>
      <c r="V1908" s="53"/>
      <c r="W1908" s="55"/>
    </row>
    <row r="1909">
      <c r="K1909" s="53"/>
      <c r="N1909" s="53"/>
      <c r="O1909" s="53"/>
      <c r="T1909" s="53"/>
      <c r="V1909" s="53"/>
      <c r="W1909" s="55"/>
    </row>
    <row r="1910">
      <c r="K1910" s="53"/>
      <c r="N1910" s="53"/>
      <c r="O1910" s="53"/>
      <c r="T1910" s="53"/>
      <c r="V1910" s="53"/>
      <c r="W1910" s="55"/>
    </row>
    <row r="1911">
      <c r="K1911" s="53"/>
      <c r="N1911" s="53"/>
      <c r="O1911" s="53"/>
      <c r="T1911" s="53"/>
      <c r="V1911" s="53"/>
      <c r="W1911" s="55"/>
    </row>
    <row r="1912">
      <c r="K1912" s="53"/>
      <c r="N1912" s="53"/>
      <c r="O1912" s="53"/>
      <c r="T1912" s="53"/>
      <c r="V1912" s="53"/>
      <c r="W1912" s="55"/>
    </row>
    <row r="1913">
      <c r="K1913" s="53"/>
      <c r="N1913" s="53"/>
      <c r="O1913" s="53"/>
      <c r="T1913" s="53"/>
      <c r="V1913" s="53"/>
      <c r="W1913" s="55"/>
    </row>
    <row r="1914">
      <c r="K1914" s="53"/>
      <c r="N1914" s="53"/>
      <c r="O1914" s="53"/>
      <c r="T1914" s="53"/>
      <c r="V1914" s="53"/>
      <c r="W1914" s="55"/>
    </row>
    <row r="1915">
      <c r="K1915" s="53"/>
      <c r="N1915" s="53"/>
      <c r="O1915" s="53"/>
      <c r="T1915" s="53"/>
      <c r="V1915" s="53"/>
      <c r="W1915" s="55"/>
    </row>
    <row r="1916">
      <c r="K1916" s="53"/>
      <c r="N1916" s="53"/>
      <c r="O1916" s="53"/>
      <c r="T1916" s="53"/>
      <c r="V1916" s="53"/>
      <c r="W1916" s="55"/>
    </row>
    <row r="1917">
      <c r="K1917" s="53"/>
      <c r="N1917" s="53"/>
      <c r="O1917" s="53"/>
      <c r="T1917" s="53"/>
      <c r="V1917" s="53"/>
      <c r="W1917" s="55"/>
    </row>
    <row r="1918">
      <c r="K1918" s="53"/>
      <c r="N1918" s="53"/>
      <c r="O1918" s="53"/>
      <c r="T1918" s="53"/>
      <c r="V1918" s="53"/>
      <c r="W1918" s="55"/>
    </row>
    <row r="1919">
      <c r="K1919" s="53"/>
      <c r="N1919" s="53"/>
      <c r="O1919" s="53"/>
      <c r="T1919" s="53"/>
      <c r="V1919" s="53"/>
      <c r="W1919" s="55"/>
    </row>
    <row r="1920">
      <c r="K1920" s="53"/>
      <c r="N1920" s="53"/>
      <c r="O1920" s="53"/>
      <c r="T1920" s="53"/>
      <c r="V1920" s="53"/>
      <c r="W1920" s="55"/>
    </row>
    <row r="1921">
      <c r="K1921" s="53"/>
      <c r="N1921" s="53"/>
      <c r="O1921" s="53"/>
      <c r="T1921" s="53"/>
      <c r="V1921" s="53"/>
      <c r="W1921" s="55"/>
    </row>
    <row r="1922">
      <c r="K1922" s="53"/>
      <c r="N1922" s="53"/>
      <c r="O1922" s="53"/>
      <c r="T1922" s="53"/>
      <c r="V1922" s="53"/>
      <c r="W1922" s="55"/>
    </row>
    <row r="1923">
      <c r="K1923" s="53"/>
      <c r="N1923" s="53"/>
      <c r="O1923" s="53"/>
      <c r="T1923" s="53"/>
      <c r="V1923" s="53"/>
      <c r="W1923" s="55"/>
    </row>
    <row r="1924">
      <c r="K1924" s="53"/>
      <c r="N1924" s="53"/>
      <c r="O1924" s="53"/>
      <c r="T1924" s="53"/>
      <c r="V1924" s="53"/>
      <c r="W1924" s="55"/>
    </row>
    <row r="1925">
      <c r="K1925" s="53"/>
      <c r="N1925" s="53"/>
      <c r="O1925" s="53"/>
      <c r="T1925" s="53"/>
      <c r="V1925" s="53"/>
      <c r="W1925" s="55"/>
    </row>
    <row r="1926">
      <c r="K1926" s="53"/>
      <c r="N1926" s="53"/>
      <c r="O1926" s="53"/>
      <c r="T1926" s="53"/>
      <c r="V1926" s="53"/>
      <c r="W1926" s="55"/>
    </row>
    <row r="1927">
      <c r="K1927" s="53"/>
      <c r="N1927" s="53"/>
      <c r="O1927" s="53"/>
      <c r="T1927" s="53"/>
      <c r="V1927" s="53"/>
      <c r="W1927" s="55"/>
    </row>
    <row r="1928">
      <c r="K1928" s="53"/>
      <c r="N1928" s="53"/>
      <c r="O1928" s="53"/>
      <c r="T1928" s="53"/>
      <c r="V1928" s="53"/>
      <c r="W1928" s="55"/>
    </row>
    <row r="1929">
      <c r="K1929" s="53"/>
      <c r="N1929" s="53"/>
      <c r="O1929" s="53"/>
      <c r="T1929" s="53"/>
      <c r="V1929" s="53"/>
      <c r="W1929" s="55"/>
    </row>
    <row r="1930">
      <c r="K1930" s="53"/>
      <c r="N1930" s="53"/>
      <c r="O1930" s="53"/>
      <c r="T1930" s="53"/>
      <c r="V1930" s="53"/>
      <c r="W1930" s="55"/>
    </row>
    <row r="1931">
      <c r="K1931" s="53"/>
      <c r="N1931" s="53"/>
      <c r="O1931" s="53"/>
      <c r="T1931" s="53"/>
      <c r="V1931" s="53"/>
      <c r="W1931" s="55"/>
    </row>
    <row r="1932">
      <c r="K1932" s="53"/>
      <c r="N1932" s="53"/>
      <c r="O1932" s="53"/>
      <c r="T1932" s="53"/>
      <c r="V1932" s="53"/>
      <c r="W1932" s="55"/>
    </row>
    <row r="1933">
      <c r="K1933" s="53"/>
      <c r="N1933" s="53"/>
      <c r="O1933" s="53"/>
      <c r="T1933" s="53"/>
      <c r="V1933" s="53"/>
      <c r="W1933" s="55"/>
    </row>
    <row r="1934">
      <c r="K1934" s="53"/>
      <c r="N1934" s="53"/>
      <c r="O1934" s="53"/>
      <c r="T1934" s="53"/>
      <c r="V1934" s="53"/>
      <c r="W1934" s="55"/>
    </row>
    <row r="1935">
      <c r="K1935" s="53"/>
      <c r="N1935" s="53"/>
      <c r="O1935" s="53"/>
      <c r="T1935" s="53"/>
      <c r="V1935" s="53"/>
      <c r="W1935" s="55"/>
    </row>
    <row r="1936">
      <c r="K1936" s="53"/>
      <c r="N1936" s="53"/>
      <c r="O1936" s="53"/>
      <c r="T1936" s="53"/>
      <c r="V1936" s="53"/>
      <c r="W1936" s="55"/>
    </row>
    <row r="1937">
      <c r="K1937" s="53"/>
      <c r="N1937" s="53"/>
      <c r="O1937" s="53"/>
      <c r="T1937" s="53"/>
      <c r="V1937" s="53"/>
      <c r="W1937" s="55"/>
    </row>
    <row r="1938">
      <c r="K1938" s="53"/>
      <c r="N1938" s="53"/>
      <c r="O1938" s="53"/>
      <c r="T1938" s="53"/>
      <c r="V1938" s="53"/>
      <c r="W1938" s="55"/>
    </row>
    <row r="1939">
      <c r="K1939" s="53"/>
      <c r="N1939" s="53"/>
      <c r="O1939" s="53"/>
      <c r="T1939" s="53"/>
      <c r="V1939" s="53"/>
      <c r="W1939" s="55"/>
    </row>
    <row r="1940">
      <c r="K1940" s="53"/>
      <c r="N1940" s="53"/>
      <c r="O1940" s="53"/>
      <c r="T1940" s="53"/>
      <c r="V1940" s="53"/>
      <c r="W1940" s="55"/>
    </row>
    <row r="1941">
      <c r="K1941" s="53"/>
      <c r="N1941" s="53"/>
      <c r="O1941" s="53"/>
      <c r="T1941" s="53"/>
      <c r="V1941" s="53"/>
      <c r="W1941" s="55"/>
    </row>
    <row r="1942">
      <c r="K1942" s="53"/>
      <c r="N1942" s="53"/>
      <c r="O1942" s="53"/>
      <c r="T1942" s="53"/>
      <c r="V1942" s="53"/>
      <c r="W1942" s="55"/>
    </row>
    <row r="1943">
      <c r="K1943" s="53"/>
      <c r="N1943" s="53"/>
      <c r="O1943" s="53"/>
      <c r="T1943" s="53"/>
      <c r="V1943" s="53"/>
      <c r="W1943" s="55"/>
    </row>
    <row r="1944">
      <c r="K1944" s="53"/>
      <c r="N1944" s="53"/>
      <c r="O1944" s="53"/>
      <c r="T1944" s="53"/>
      <c r="V1944" s="53"/>
      <c r="W1944" s="55"/>
    </row>
    <row r="1945">
      <c r="K1945" s="53"/>
      <c r="N1945" s="53"/>
      <c r="O1945" s="53"/>
      <c r="T1945" s="53"/>
      <c r="V1945" s="53"/>
      <c r="W1945" s="55"/>
    </row>
    <row r="1946">
      <c r="K1946" s="53"/>
      <c r="N1946" s="53"/>
      <c r="O1946" s="53"/>
      <c r="T1946" s="53"/>
      <c r="V1946" s="53"/>
      <c r="W1946" s="55"/>
    </row>
    <row r="1947">
      <c r="K1947" s="53"/>
      <c r="N1947" s="53"/>
      <c r="O1947" s="53"/>
      <c r="T1947" s="53"/>
      <c r="V1947" s="53"/>
      <c r="W1947" s="55"/>
    </row>
    <row r="1948">
      <c r="K1948" s="53"/>
      <c r="N1948" s="53"/>
      <c r="O1948" s="53"/>
      <c r="T1948" s="53"/>
      <c r="V1948" s="53"/>
      <c r="W1948" s="55"/>
    </row>
    <row r="1949">
      <c r="K1949" s="53"/>
      <c r="N1949" s="53"/>
      <c r="O1949" s="53"/>
      <c r="T1949" s="53"/>
      <c r="V1949" s="53"/>
      <c r="W1949" s="55"/>
    </row>
    <row r="1950">
      <c r="K1950" s="53"/>
      <c r="N1950" s="53"/>
      <c r="O1950" s="53"/>
      <c r="T1950" s="53"/>
      <c r="V1950" s="53"/>
      <c r="W1950" s="55"/>
    </row>
    <row r="1951">
      <c r="K1951" s="53"/>
      <c r="N1951" s="53"/>
      <c r="O1951" s="53"/>
      <c r="T1951" s="53"/>
      <c r="V1951" s="53"/>
      <c r="W1951" s="55"/>
    </row>
    <row r="1952">
      <c r="K1952" s="53"/>
      <c r="N1952" s="53"/>
      <c r="O1952" s="53"/>
      <c r="T1952" s="53"/>
      <c r="V1952" s="53"/>
      <c r="W1952" s="55"/>
    </row>
    <row r="1953">
      <c r="K1953" s="53"/>
      <c r="N1953" s="53"/>
      <c r="O1953" s="53"/>
      <c r="T1953" s="53"/>
      <c r="V1953" s="53"/>
      <c r="W1953" s="55"/>
    </row>
    <row r="1954">
      <c r="K1954" s="53"/>
      <c r="N1954" s="53"/>
      <c r="O1954" s="53"/>
      <c r="T1954" s="53"/>
      <c r="V1954" s="53"/>
      <c r="W1954" s="55"/>
    </row>
    <row r="1955">
      <c r="K1955" s="53"/>
      <c r="N1955" s="53"/>
      <c r="O1955" s="53"/>
      <c r="T1955" s="53"/>
      <c r="V1955" s="53"/>
      <c r="W1955" s="55"/>
    </row>
    <row r="1956">
      <c r="K1956" s="53"/>
      <c r="N1956" s="53"/>
      <c r="O1956" s="53"/>
      <c r="T1956" s="53"/>
      <c r="V1956" s="53"/>
      <c r="W1956" s="55"/>
    </row>
    <row r="1957">
      <c r="K1957" s="53"/>
      <c r="N1957" s="53"/>
      <c r="O1957" s="53"/>
      <c r="T1957" s="53"/>
      <c r="V1957" s="53"/>
      <c r="W1957" s="55"/>
    </row>
    <row r="1958">
      <c r="K1958" s="53"/>
      <c r="N1958" s="53"/>
      <c r="O1958" s="53"/>
      <c r="T1958" s="53"/>
      <c r="V1958" s="53"/>
      <c r="W1958" s="55"/>
    </row>
    <row r="1959">
      <c r="K1959" s="53"/>
      <c r="N1959" s="53"/>
      <c r="O1959" s="53"/>
      <c r="T1959" s="53"/>
      <c r="V1959" s="53"/>
      <c r="W1959" s="55"/>
    </row>
    <row r="1960">
      <c r="K1960" s="53"/>
      <c r="N1960" s="53"/>
      <c r="O1960" s="53"/>
      <c r="T1960" s="53"/>
      <c r="V1960" s="53"/>
      <c r="W1960" s="55"/>
    </row>
    <row r="1961">
      <c r="K1961" s="53"/>
      <c r="N1961" s="53"/>
      <c r="O1961" s="53"/>
      <c r="T1961" s="53"/>
      <c r="V1961" s="53"/>
      <c r="W1961" s="55"/>
    </row>
    <row r="1962">
      <c r="K1962" s="53"/>
      <c r="N1962" s="53"/>
      <c r="O1962" s="53"/>
      <c r="T1962" s="53"/>
      <c r="V1962" s="53"/>
      <c r="W1962" s="55"/>
    </row>
    <row r="1963">
      <c r="K1963" s="53"/>
      <c r="N1963" s="53"/>
      <c r="O1963" s="53"/>
      <c r="T1963" s="53"/>
      <c r="V1963" s="53"/>
      <c r="W1963" s="55"/>
    </row>
    <row r="1964">
      <c r="K1964" s="53"/>
      <c r="N1964" s="53"/>
      <c r="O1964" s="53"/>
      <c r="T1964" s="53"/>
      <c r="V1964" s="53"/>
      <c r="W1964" s="55"/>
    </row>
    <row r="1965">
      <c r="K1965" s="53"/>
      <c r="N1965" s="53"/>
      <c r="O1965" s="53"/>
      <c r="T1965" s="53"/>
      <c r="V1965" s="53"/>
      <c r="W1965" s="55"/>
    </row>
    <row r="1966">
      <c r="K1966" s="53"/>
      <c r="N1966" s="53"/>
      <c r="O1966" s="53"/>
      <c r="T1966" s="53"/>
      <c r="V1966" s="53"/>
      <c r="W1966" s="55"/>
    </row>
    <row r="1967">
      <c r="K1967" s="53"/>
      <c r="N1967" s="53"/>
      <c r="O1967" s="53"/>
      <c r="T1967" s="53"/>
      <c r="V1967" s="53"/>
      <c r="W1967" s="55"/>
    </row>
    <row r="1968">
      <c r="K1968" s="53"/>
      <c r="N1968" s="53"/>
      <c r="O1968" s="53"/>
      <c r="T1968" s="53"/>
      <c r="V1968" s="53"/>
      <c r="W1968" s="55"/>
    </row>
    <row r="1969">
      <c r="K1969" s="53"/>
      <c r="N1969" s="53"/>
      <c r="O1969" s="53"/>
      <c r="T1969" s="53"/>
      <c r="V1969" s="53"/>
      <c r="W1969" s="55"/>
    </row>
    <row r="1970">
      <c r="K1970" s="53"/>
      <c r="N1970" s="53"/>
      <c r="O1970" s="53"/>
      <c r="T1970" s="53"/>
      <c r="V1970" s="53"/>
      <c r="W1970" s="55"/>
    </row>
    <row r="1971">
      <c r="K1971" s="53"/>
      <c r="N1971" s="53"/>
      <c r="O1971" s="53"/>
      <c r="T1971" s="53"/>
      <c r="V1971" s="53"/>
      <c r="W1971" s="55"/>
    </row>
    <row r="1972">
      <c r="K1972" s="53"/>
      <c r="N1972" s="53"/>
      <c r="O1972" s="53"/>
      <c r="T1972" s="53"/>
      <c r="V1972" s="53"/>
      <c r="W1972" s="55"/>
    </row>
    <row r="1973">
      <c r="K1973" s="53"/>
      <c r="N1973" s="53"/>
      <c r="O1973" s="53"/>
      <c r="T1973" s="53"/>
      <c r="V1973" s="53"/>
      <c r="W1973" s="55"/>
    </row>
    <row r="1974">
      <c r="K1974" s="53"/>
      <c r="N1974" s="53"/>
      <c r="O1974" s="53"/>
      <c r="T1974" s="53"/>
      <c r="V1974" s="53"/>
      <c r="W1974" s="55"/>
    </row>
    <row r="1975">
      <c r="K1975" s="53"/>
      <c r="N1975" s="53"/>
      <c r="O1975" s="53"/>
      <c r="T1975" s="53"/>
      <c r="V1975" s="53"/>
      <c r="W1975" s="55"/>
    </row>
    <row r="1976">
      <c r="K1976" s="53"/>
      <c r="N1976" s="53"/>
      <c r="O1976" s="53"/>
      <c r="T1976" s="53"/>
      <c r="V1976" s="53"/>
      <c r="W1976" s="55"/>
    </row>
    <row r="1977">
      <c r="K1977" s="53"/>
      <c r="N1977" s="53"/>
      <c r="O1977" s="53"/>
      <c r="T1977" s="53"/>
      <c r="V1977" s="53"/>
      <c r="W1977" s="55"/>
    </row>
    <row r="1978">
      <c r="K1978" s="53"/>
      <c r="N1978" s="53"/>
      <c r="O1978" s="53"/>
      <c r="T1978" s="53"/>
      <c r="V1978" s="53"/>
      <c r="W1978" s="55"/>
    </row>
    <row r="1979">
      <c r="K1979" s="53"/>
      <c r="N1979" s="53"/>
      <c r="O1979" s="53"/>
      <c r="T1979" s="53"/>
      <c r="V1979" s="53"/>
      <c r="W1979" s="55"/>
    </row>
    <row r="1980">
      <c r="K1980" s="53"/>
      <c r="N1980" s="53"/>
      <c r="O1980" s="53"/>
      <c r="T1980" s="53"/>
      <c r="V1980" s="53"/>
      <c r="W1980" s="55"/>
    </row>
    <row r="1981">
      <c r="K1981" s="53"/>
      <c r="N1981" s="53"/>
      <c r="O1981" s="53"/>
      <c r="T1981" s="53"/>
      <c r="V1981" s="53"/>
      <c r="W1981" s="55"/>
    </row>
    <row r="1982">
      <c r="K1982" s="53"/>
      <c r="N1982" s="53"/>
      <c r="O1982" s="53"/>
      <c r="T1982" s="53"/>
      <c r="V1982" s="53"/>
      <c r="W1982" s="55"/>
    </row>
    <row r="1983">
      <c r="K1983" s="53"/>
      <c r="N1983" s="53"/>
      <c r="O1983" s="53"/>
      <c r="T1983" s="53"/>
      <c r="V1983" s="53"/>
      <c r="W1983" s="55"/>
    </row>
    <row r="1984">
      <c r="K1984" s="53"/>
      <c r="N1984" s="53"/>
      <c r="O1984" s="53"/>
      <c r="T1984" s="53"/>
      <c r="V1984" s="53"/>
      <c r="W1984" s="55"/>
    </row>
    <row r="1985">
      <c r="K1985" s="53"/>
      <c r="N1985" s="53"/>
      <c r="O1985" s="53"/>
      <c r="T1985" s="53"/>
      <c r="V1985" s="53"/>
      <c r="W1985" s="55"/>
    </row>
    <row r="1986">
      <c r="K1986" s="53"/>
      <c r="N1986" s="53"/>
      <c r="O1986" s="53"/>
      <c r="T1986" s="53"/>
      <c r="V1986" s="53"/>
      <c r="W1986" s="55"/>
    </row>
    <row r="1987">
      <c r="K1987" s="53"/>
      <c r="N1987" s="53"/>
      <c r="O1987" s="53"/>
      <c r="T1987" s="53"/>
      <c r="V1987" s="53"/>
      <c r="W1987" s="55"/>
    </row>
    <row r="1988">
      <c r="K1988" s="53"/>
      <c r="N1988" s="53"/>
      <c r="O1988" s="53"/>
      <c r="T1988" s="53"/>
      <c r="V1988" s="53"/>
      <c r="W1988" s="55"/>
    </row>
    <row r="1989">
      <c r="K1989" s="53"/>
      <c r="N1989" s="53"/>
      <c r="O1989" s="53"/>
      <c r="T1989" s="53"/>
      <c r="V1989" s="53"/>
      <c r="W1989" s="55"/>
    </row>
    <row r="1990">
      <c r="K1990" s="53"/>
      <c r="N1990" s="53"/>
      <c r="O1990" s="53"/>
      <c r="T1990" s="53"/>
      <c r="V1990" s="53"/>
      <c r="W1990" s="55"/>
    </row>
    <row r="1991">
      <c r="K1991" s="53"/>
      <c r="N1991" s="53"/>
      <c r="O1991" s="53"/>
      <c r="T1991" s="53"/>
      <c r="V1991" s="53"/>
      <c r="W1991" s="55"/>
    </row>
    <row r="1992">
      <c r="K1992" s="53"/>
      <c r="N1992" s="53"/>
      <c r="O1992" s="53"/>
      <c r="T1992" s="53"/>
      <c r="V1992" s="53"/>
      <c r="W1992" s="55"/>
    </row>
    <row r="1993">
      <c r="K1993" s="53"/>
      <c r="N1993" s="53"/>
      <c r="O1993" s="53"/>
      <c r="T1993" s="53"/>
      <c r="V1993" s="53"/>
      <c r="W1993" s="55"/>
    </row>
    <row r="1994">
      <c r="K1994" s="53"/>
      <c r="N1994" s="53"/>
      <c r="O1994" s="53"/>
      <c r="T1994" s="53"/>
      <c r="V1994" s="53"/>
      <c r="W1994" s="55"/>
    </row>
    <row r="1995">
      <c r="K1995" s="53"/>
      <c r="N1995" s="53"/>
      <c r="O1995" s="53"/>
      <c r="T1995" s="53"/>
      <c r="V1995" s="53"/>
      <c r="W1995" s="55"/>
    </row>
    <row r="1996">
      <c r="K1996" s="53"/>
      <c r="N1996" s="53"/>
      <c r="O1996" s="53"/>
      <c r="T1996" s="53"/>
      <c r="V1996" s="53"/>
      <c r="W1996" s="55"/>
    </row>
    <row r="1997">
      <c r="K1997" s="53"/>
      <c r="N1997" s="53"/>
      <c r="O1997" s="53"/>
      <c r="T1997" s="53"/>
      <c r="V1997" s="53"/>
      <c r="W1997" s="55"/>
    </row>
    <row r="1998">
      <c r="K1998" s="53"/>
      <c r="N1998" s="53"/>
      <c r="O1998" s="53"/>
      <c r="T1998" s="53"/>
      <c r="V1998" s="53"/>
      <c r="W1998" s="55"/>
    </row>
    <row r="1999">
      <c r="K1999" s="53"/>
      <c r="N1999" s="53"/>
      <c r="O1999" s="53"/>
      <c r="T1999" s="53"/>
      <c r="V1999" s="53"/>
      <c r="W1999" s="55"/>
    </row>
    <row r="2000">
      <c r="K2000" s="53"/>
      <c r="N2000" s="53"/>
      <c r="O2000" s="53"/>
      <c r="T2000" s="53"/>
      <c r="V2000" s="53"/>
      <c r="W2000" s="55"/>
    </row>
    <row r="2001">
      <c r="K2001" s="53"/>
      <c r="N2001" s="53"/>
      <c r="O2001" s="53"/>
      <c r="T2001" s="53"/>
      <c r="V2001" s="53"/>
      <c r="W2001" s="55"/>
    </row>
    <row r="2002">
      <c r="K2002" s="53"/>
      <c r="N2002" s="53"/>
      <c r="O2002" s="53"/>
      <c r="T2002" s="53"/>
      <c r="V2002" s="53"/>
      <c r="W2002" s="55"/>
    </row>
    <row r="2003">
      <c r="K2003" s="53"/>
      <c r="N2003" s="53"/>
      <c r="O2003" s="53"/>
      <c r="T2003" s="53"/>
      <c r="V2003" s="53"/>
      <c r="W2003" s="55"/>
    </row>
    <row r="2004">
      <c r="K2004" s="53"/>
      <c r="N2004" s="53"/>
      <c r="O2004" s="53"/>
      <c r="T2004" s="53"/>
      <c r="V2004" s="53"/>
      <c r="W2004" s="55"/>
    </row>
    <row r="2005">
      <c r="K2005" s="53"/>
      <c r="N2005" s="53"/>
      <c r="O2005" s="53"/>
      <c r="T2005" s="53"/>
      <c r="V2005" s="53"/>
      <c r="W2005" s="55"/>
    </row>
    <row r="2006">
      <c r="K2006" s="53"/>
      <c r="N2006" s="53"/>
      <c r="O2006" s="53"/>
      <c r="T2006" s="53"/>
      <c r="V2006" s="53"/>
      <c r="W2006" s="55"/>
    </row>
    <row r="2007">
      <c r="K2007" s="53"/>
      <c r="N2007" s="53"/>
      <c r="O2007" s="53"/>
      <c r="T2007" s="53"/>
      <c r="V2007" s="53"/>
      <c r="W2007" s="55"/>
    </row>
    <row r="2008">
      <c r="K2008" s="53"/>
      <c r="N2008" s="53"/>
      <c r="O2008" s="53"/>
      <c r="T2008" s="53"/>
      <c r="V2008" s="53"/>
      <c r="W2008" s="55"/>
    </row>
    <row r="2009">
      <c r="K2009" s="53"/>
      <c r="N2009" s="53"/>
      <c r="O2009" s="53"/>
      <c r="T2009" s="53"/>
      <c r="V2009" s="53"/>
      <c r="W2009" s="55"/>
    </row>
    <row r="2010">
      <c r="K2010" s="53"/>
      <c r="N2010" s="53"/>
      <c r="O2010" s="53"/>
      <c r="T2010" s="53"/>
      <c r="V2010" s="53"/>
      <c r="W2010" s="55"/>
    </row>
    <row r="2011">
      <c r="K2011" s="53"/>
      <c r="N2011" s="53"/>
      <c r="O2011" s="53"/>
      <c r="T2011" s="53"/>
      <c r="V2011" s="53"/>
      <c r="W2011" s="55"/>
    </row>
    <row r="2012">
      <c r="K2012" s="53"/>
      <c r="N2012" s="53"/>
      <c r="O2012" s="53"/>
      <c r="T2012" s="53"/>
      <c r="V2012" s="53"/>
      <c r="W2012" s="55"/>
    </row>
    <row r="2013">
      <c r="K2013" s="53"/>
      <c r="N2013" s="53"/>
      <c r="O2013" s="53"/>
      <c r="T2013" s="53"/>
      <c r="V2013" s="53"/>
      <c r="W2013" s="55"/>
    </row>
    <row r="2014">
      <c r="K2014" s="53"/>
      <c r="N2014" s="53"/>
      <c r="O2014" s="53"/>
      <c r="T2014" s="53"/>
      <c r="V2014" s="53"/>
      <c r="W2014" s="55"/>
    </row>
    <row r="2015">
      <c r="K2015" s="53"/>
      <c r="N2015" s="53"/>
      <c r="O2015" s="53"/>
      <c r="T2015" s="53"/>
      <c r="V2015" s="53"/>
      <c r="W2015" s="55"/>
    </row>
    <row r="2016">
      <c r="K2016" s="53"/>
      <c r="N2016" s="53"/>
      <c r="O2016" s="53"/>
      <c r="T2016" s="53"/>
      <c r="V2016" s="53"/>
      <c r="W2016" s="55"/>
    </row>
    <row r="2017">
      <c r="K2017" s="53"/>
      <c r="N2017" s="53"/>
      <c r="O2017" s="53"/>
      <c r="T2017" s="53"/>
      <c r="V2017" s="53"/>
      <c r="W2017" s="55"/>
    </row>
    <row r="2018">
      <c r="K2018" s="53"/>
      <c r="N2018" s="53"/>
      <c r="O2018" s="53"/>
      <c r="T2018" s="53"/>
      <c r="V2018" s="53"/>
      <c r="W2018" s="55"/>
    </row>
    <row r="2019">
      <c r="K2019" s="53"/>
      <c r="N2019" s="53"/>
      <c r="O2019" s="53"/>
      <c r="T2019" s="53"/>
      <c r="V2019" s="53"/>
      <c r="W2019" s="55"/>
    </row>
    <row r="2020">
      <c r="K2020" s="53"/>
      <c r="N2020" s="53"/>
      <c r="O2020" s="53"/>
      <c r="T2020" s="53"/>
      <c r="V2020" s="53"/>
      <c r="W2020" s="55"/>
    </row>
    <row r="2021">
      <c r="K2021" s="53"/>
      <c r="N2021" s="53"/>
      <c r="O2021" s="53"/>
      <c r="T2021" s="53"/>
      <c r="V2021" s="53"/>
      <c r="W2021" s="55"/>
    </row>
    <row r="2022">
      <c r="K2022" s="53"/>
      <c r="N2022" s="53"/>
      <c r="O2022" s="53"/>
      <c r="T2022" s="53"/>
      <c r="V2022" s="53"/>
      <c r="W2022" s="55"/>
    </row>
    <row r="2023">
      <c r="K2023" s="53"/>
      <c r="N2023" s="53"/>
      <c r="O2023" s="53"/>
      <c r="T2023" s="53"/>
      <c r="V2023" s="53"/>
      <c r="W2023" s="55"/>
    </row>
    <row r="2024">
      <c r="K2024" s="53"/>
      <c r="N2024" s="53"/>
      <c r="O2024" s="53"/>
      <c r="T2024" s="53"/>
      <c r="V2024" s="53"/>
      <c r="W2024" s="55"/>
    </row>
    <row r="2025">
      <c r="K2025" s="53"/>
      <c r="N2025" s="53"/>
      <c r="O2025" s="53"/>
      <c r="T2025" s="53"/>
      <c r="V2025" s="53"/>
      <c r="W2025" s="55"/>
    </row>
    <row r="2026">
      <c r="K2026" s="53"/>
      <c r="N2026" s="53"/>
      <c r="O2026" s="53"/>
      <c r="T2026" s="53"/>
      <c r="V2026" s="53"/>
      <c r="W2026" s="55"/>
    </row>
    <row r="2027">
      <c r="K2027" s="53"/>
      <c r="N2027" s="53"/>
      <c r="O2027" s="53"/>
      <c r="T2027" s="53"/>
      <c r="V2027" s="53"/>
      <c r="W2027" s="55"/>
    </row>
    <row r="2028">
      <c r="K2028" s="53"/>
      <c r="N2028" s="53"/>
      <c r="O2028" s="53"/>
      <c r="T2028" s="53"/>
      <c r="V2028" s="53"/>
      <c r="W2028" s="55"/>
    </row>
    <row r="2029">
      <c r="K2029" s="53"/>
      <c r="N2029" s="53"/>
      <c r="O2029" s="53"/>
      <c r="T2029" s="53"/>
      <c r="V2029" s="53"/>
      <c r="W2029" s="55"/>
    </row>
    <row r="2030">
      <c r="K2030" s="53"/>
      <c r="N2030" s="53"/>
      <c r="O2030" s="53"/>
      <c r="T2030" s="53"/>
      <c r="V2030" s="53"/>
      <c r="W2030" s="55"/>
    </row>
    <row r="2031">
      <c r="K2031" s="53"/>
      <c r="N2031" s="53"/>
      <c r="O2031" s="53"/>
      <c r="T2031" s="53"/>
      <c r="V2031" s="53"/>
      <c r="W2031" s="55"/>
    </row>
    <row r="2032">
      <c r="K2032" s="53"/>
      <c r="N2032" s="53"/>
      <c r="O2032" s="53"/>
      <c r="T2032" s="53"/>
      <c r="V2032" s="53"/>
      <c r="W2032" s="55"/>
    </row>
    <row r="2033">
      <c r="K2033" s="53"/>
      <c r="N2033" s="53"/>
      <c r="O2033" s="53"/>
      <c r="T2033" s="53"/>
      <c r="V2033" s="53"/>
      <c r="W2033" s="55"/>
    </row>
    <row r="2034">
      <c r="K2034" s="53"/>
      <c r="N2034" s="53"/>
      <c r="O2034" s="53"/>
      <c r="T2034" s="53"/>
      <c r="V2034" s="53"/>
      <c r="W2034" s="55"/>
    </row>
    <row r="2035">
      <c r="K2035" s="53"/>
      <c r="N2035" s="53"/>
      <c r="O2035" s="53"/>
      <c r="T2035" s="53"/>
      <c r="V2035" s="53"/>
      <c r="W2035" s="55"/>
    </row>
    <row r="2036">
      <c r="K2036" s="53"/>
      <c r="N2036" s="53"/>
      <c r="O2036" s="53"/>
      <c r="T2036" s="53"/>
      <c r="V2036" s="53"/>
      <c r="W2036" s="55"/>
    </row>
    <row r="2037">
      <c r="K2037" s="53"/>
      <c r="N2037" s="53"/>
      <c r="O2037" s="53"/>
      <c r="T2037" s="53"/>
      <c r="V2037" s="53"/>
      <c r="W2037" s="55"/>
    </row>
    <row r="2038">
      <c r="K2038" s="53"/>
      <c r="N2038" s="53"/>
      <c r="O2038" s="53"/>
      <c r="T2038" s="53"/>
      <c r="V2038" s="53"/>
      <c r="W2038" s="55"/>
    </row>
    <row r="2039">
      <c r="K2039" s="53"/>
      <c r="N2039" s="53"/>
      <c r="O2039" s="53"/>
      <c r="T2039" s="53"/>
      <c r="V2039" s="53"/>
      <c r="W2039" s="55"/>
    </row>
    <row r="2040">
      <c r="K2040" s="53"/>
      <c r="N2040" s="53"/>
      <c r="O2040" s="53"/>
      <c r="T2040" s="53"/>
      <c r="V2040" s="53"/>
      <c r="W2040" s="55"/>
    </row>
    <row r="2041">
      <c r="K2041" s="53"/>
      <c r="N2041" s="53"/>
      <c r="O2041" s="53"/>
      <c r="T2041" s="53"/>
      <c r="V2041" s="53"/>
      <c r="W2041" s="55"/>
    </row>
    <row r="2042">
      <c r="K2042" s="53"/>
      <c r="N2042" s="53"/>
      <c r="O2042" s="53"/>
      <c r="T2042" s="53"/>
      <c r="V2042" s="53"/>
      <c r="W2042" s="55"/>
    </row>
    <row r="2043">
      <c r="K2043" s="53"/>
      <c r="N2043" s="53"/>
      <c r="O2043" s="53"/>
      <c r="T2043" s="53"/>
      <c r="V2043" s="53"/>
      <c r="W2043" s="55"/>
    </row>
    <row r="2044">
      <c r="K2044" s="53"/>
      <c r="N2044" s="53"/>
      <c r="O2044" s="53"/>
      <c r="T2044" s="53"/>
      <c r="V2044" s="53"/>
      <c r="W2044" s="55"/>
    </row>
    <row r="2045">
      <c r="K2045" s="53"/>
      <c r="N2045" s="53"/>
      <c r="O2045" s="53"/>
      <c r="T2045" s="53"/>
      <c r="V2045" s="53"/>
      <c r="W2045" s="55"/>
    </row>
    <row r="2046">
      <c r="K2046" s="53"/>
      <c r="N2046" s="53"/>
      <c r="O2046" s="53"/>
      <c r="T2046" s="53"/>
      <c r="V2046" s="53"/>
      <c r="W2046" s="55"/>
    </row>
    <row r="2047">
      <c r="K2047" s="53"/>
      <c r="N2047" s="53"/>
      <c r="O2047" s="53"/>
      <c r="T2047" s="53"/>
      <c r="V2047" s="53"/>
      <c r="W2047" s="55"/>
    </row>
    <row r="2048">
      <c r="K2048" s="53"/>
      <c r="N2048" s="53"/>
      <c r="O2048" s="53"/>
      <c r="T2048" s="53"/>
      <c r="V2048" s="53"/>
      <c r="W2048" s="55"/>
    </row>
    <row r="2049">
      <c r="K2049" s="53"/>
      <c r="N2049" s="53"/>
      <c r="O2049" s="53"/>
      <c r="T2049" s="53"/>
      <c r="V2049" s="53"/>
      <c r="W2049" s="55"/>
    </row>
    <row r="2050">
      <c r="K2050" s="53"/>
      <c r="N2050" s="53"/>
      <c r="O2050" s="53"/>
      <c r="T2050" s="53"/>
      <c r="V2050" s="53"/>
      <c r="W2050" s="55"/>
    </row>
    <row r="2051">
      <c r="K2051" s="53"/>
      <c r="N2051" s="53"/>
      <c r="O2051" s="53"/>
      <c r="T2051" s="53"/>
      <c r="V2051" s="53"/>
      <c r="W2051" s="55"/>
    </row>
    <row r="2052">
      <c r="K2052" s="53"/>
      <c r="N2052" s="53"/>
      <c r="O2052" s="53"/>
      <c r="T2052" s="53"/>
      <c r="V2052" s="53"/>
      <c r="W2052" s="55"/>
    </row>
    <row r="2053">
      <c r="K2053" s="53"/>
      <c r="N2053" s="53"/>
      <c r="O2053" s="53"/>
      <c r="T2053" s="53"/>
      <c r="V2053" s="53"/>
      <c r="W2053" s="55"/>
    </row>
    <row r="2054">
      <c r="K2054" s="53"/>
      <c r="N2054" s="53"/>
      <c r="O2054" s="53"/>
      <c r="T2054" s="53"/>
      <c r="V2054" s="53"/>
      <c r="W2054" s="55"/>
    </row>
    <row r="2055">
      <c r="K2055" s="53"/>
      <c r="N2055" s="53"/>
      <c r="O2055" s="53"/>
      <c r="T2055" s="53"/>
      <c r="V2055" s="53"/>
      <c r="W2055" s="55"/>
    </row>
    <row r="2056">
      <c r="K2056" s="53"/>
      <c r="N2056" s="53"/>
      <c r="O2056" s="53"/>
      <c r="T2056" s="53"/>
      <c r="V2056" s="53"/>
      <c r="W2056" s="55"/>
    </row>
    <row r="2057">
      <c r="K2057" s="53"/>
      <c r="N2057" s="53"/>
      <c r="O2057" s="53"/>
      <c r="T2057" s="53"/>
      <c r="V2057" s="53"/>
      <c r="W2057" s="55"/>
    </row>
    <row r="2058">
      <c r="K2058" s="53"/>
      <c r="N2058" s="53"/>
      <c r="O2058" s="53"/>
      <c r="T2058" s="53"/>
      <c r="V2058" s="53"/>
      <c r="W2058" s="55"/>
    </row>
    <row r="2059">
      <c r="K2059" s="53"/>
      <c r="N2059" s="53"/>
      <c r="O2059" s="53"/>
      <c r="T2059" s="53"/>
      <c r="V2059" s="53"/>
      <c r="W2059" s="55"/>
    </row>
    <row r="2060">
      <c r="K2060" s="53"/>
      <c r="N2060" s="53"/>
      <c r="O2060" s="53"/>
      <c r="T2060" s="53"/>
      <c r="V2060" s="53"/>
      <c r="W2060" s="55"/>
    </row>
    <row r="2061">
      <c r="K2061" s="53"/>
      <c r="N2061" s="53"/>
      <c r="O2061" s="53"/>
      <c r="T2061" s="53"/>
      <c r="V2061" s="53"/>
      <c r="W2061" s="55"/>
    </row>
    <row r="2062">
      <c r="K2062" s="53"/>
      <c r="N2062" s="53"/>
      <c r="O2062" s="53"/>
      <c r="T2062" s="53"/>
      <c r="V2062" s="53"/>
      <c r="W2062" s="55"/>
    </row>
    <row r="2063">
      <c r="K2063" s="53"/>
      <c r="N2063" s="53"/>
      <c r="O2063" s="53"/>
      <c r="T2063" s="53"/>
      <c r="V2063" s="53"/>
      <c r="W2063" s="55"/>
    </row>
    <row r="2064">
      <c r="K2064" s="53"/>
      <c r="N2064" s="53"/>
      <c r="O2064" s="53"/>
      <c r="T2064" s="53"/>
      <c r="V2064" s="53"/>
      <c r="W2064" s="55"/>
    </row>
    <row r="2065">
      <c r="K2065" s="53"/>
      <c r="N2065" s="53"/>
      <c r="O2065" s="53"/>
      <c r="T2065" s="53"/>
      <c r="V2065" s="53"/>
      <c r="W2065" s="55"/>
    </row>
    <row r="2066">
      <c r="K2066" s="53"/>
      <c r="N2066" s="53"/>
      <c r="O2066" s="53"/>
      <c r="T2066" s="53"/>
      <c r="V2066" s="53"/>
      <c r="W2066" s="55"/>
    </row>
    <row r="2067">
      <c r="K2067" s="53"/>
      <c r="N2067" s="53"/>
      <c r="O2067" s="53"/>
      <c r="T2067" s="53"/>
      <c r="V2067" s="53"/>
      <c r="W2067" s="55"/>
    </row>
    <row r="2068">
      <c r="K2068" s="53"/>
      <c r="N2068" s="53"/>
      <c r="O2068" s="53"/>
      <c r="T2068" s="53"/>
      <c r="V2068" s="53"/>
      <c r="W2068" s="55"/>
    </row>
    <row r="2069">
      <c r="K2069" s="53"/>
      <c r="N2069" s="53"/>
      <c r="O2069" s="53"/>
      <c r="T2069" s="53"/>
      <c r="V2069" s="53"/>
      <c r="W2069" s="55"/>
    </row>
    <row r="2070">
      <c r="K2070" s="53"/>
      <c r="N2070" s="53"/>
      <c r="O2070" s="53"/>
      <c r="T2070" s="53"/>
      <c r="V2070" s="53"/>
      <c r="W2070" s="55"/>
    </row>
    <row r="2071">
      <c r="K2071" s="53"/>
      <c r="N2071" s="53"/>
      <c r="O2071" s="53"/>
      <c r="T2071" s="53"/>
      <c r="V2071" s="53"/>
      <c r="W2071" s="55"/>
    </row>
    <row r="2072">
      <c r="K2072" s="53"/>
      <c r="N2072" s="53"/>
      <c r="O2072" s="53"/>
      <c r="T2072" s="53"/>
      <c r="V2072" s="53"/>
      <c r="W2072" s="55"/>
    </row>
    <row r="2073">
      <c r="K2073" s="53"/>
      <c r="N2073" s="53"/>
      <c r="O2073" s="53"/>
      <c r="T2073" s="53"/>
      <c r="V2073" s="53"/>
      <c r="W2073" s="55"/>
    </row>
    <row r="2074">
      <c r="K2074" s="53"/>
      <c r="N2074" s="53"/>
      <c r="O2074" s="53"/>
      <c r="T2074" s="53"/>
      <c r="V2074" s="53"/>
      <c r="W2074" s="55"/>
    </row>
    <row r="2075">
      <c r="K2075" s="53"/>
      <c r="N2075" s="53"/>
      <c r="O2075" s="53"/>
      <c r="T2075" s="53"/>
      <c r="V2075" s="53"/>
      <c r="W2075" s="55"/>
    </row>
    <row r="2076">
      <c r="K2076" s="53"/>
      <c r="N2076" s="53"/>
      <c r="O2076" s="53"/>
      <c r="T2076" s="53"/>
      <c r="V2076" s="53"/>
      <c r="W2076" s="55"/>
    </row>
    <row r="2077">
      <c r="K2077" s="53"/>
      <c r="N2077" s="53"/>
      <c r="O2077" s="53"/>
      <c r="T2077" s="53"/>
      <c r="V2077" s="53"/>
      <c r="W2077" s="55"/>
    </row>
    <row r="2078">
      <c r="K2078" s="53"/>
      <c r="N2078" s="53"/>
      <c r="O2078" s="53"/>
      <c r="T2078" s="53"/>
      <c r="V2078" s="53"/>
      <c r="W2078" s="55"/>
    </row>
    <row r="2079">
      <c r="K2079" s="53"/>
      <c r="N2079" s="53"/>
      <c r="O2079" s="53"/>
      <c r="T2079" s="53"/>
      <c r="V2079" s="53"/>
      <c r="W2079" s="55"/>
    </row>
    <row r="2080">
      <c r="K2080" s="53"/>
      <c r="N2080" s="53"/>
      <c r="O2080" s="53"/>
      <c r="T2080" s="53"/>
      <c r="V2080" s="53"/>
      <c r="W2080" s="55"/>
    </row>
    <row r="2081">
      <c r="K2081" s="53"/>
      <c r="N2081" s="53"/>
      <c r="O2081" s="53"/>
      <c r="T2081" s="53"/>
      <c r="V2081" s="53"/>
      <c r="W2081" s="55"/>
    </row>
    <row r="2082">
      <c r="K2082" s="53"/>
      <c r="N2082" s="53"/>
      <c r="O2082" s="53"/>
      <c r="T2082" s="53"/>
      <c r="V2082" s="53"/>
      <c r="W2082" s="55"/>
    </row>
    <row r="2083">
      <c r="K2083" s="53"/>
      <c r="N2083" s="53"/>
      <c r="O2083" s="53"/>
      <c r="T2083" s="53"/>
      <c r="V2083" s="53"/>
      <c r="W2083" s="55"/>
    </row>
    <row r="2084">
      <c r="K2084" s="53"/>
      <c r="N2084" s="53"/>
      <c r="O2084" s="53"/>
      <c r="T2084" s="53"/>
      <c r="V2084" s="53"/>
      <c r="W2084" s="55"/>
    </row>
    <row r="2085">
      <c r="K2085" s="53"/>
      <c r="N2085" s="53"/>
      <c r="O2085" s="53"/>
      <c r="T2085" s="53"/>
      <c r="V2085" s="53"/>
      <c r="W2085" s="55"/>
    </row>
    <row r="2086">
      <c r="K2086" s="53"/>
      <c r="N2086" s="53"/>
      <c r="O2086" s="53"/>
      <c r="T2086" s="53"/>
      <c r="V2086" s="53"/>
      <c r="W2086" s="55"/>
    </row>
    <row r="2087">
      <c r="K2087" s="53"/>
      <c r="N2087" s="53"/>
      <c r="O2087" s="53"/>
      <c r="T2087" s="53"/>
      <c r="V2087" s="53"/>
      <c r="W2087" s="55"/>
    </row>
    <row r="2088">
      <c r="K2088" s="53"/>
      <c r="N2088" s="53"/>
      <c r="O2088" s="53"/>
      <c r="T2088" s="53"/>
      <c r="V2088" s="53"/>
      <c r="W2088" s="55"/>
    </row>
    <row r="2089">
      <c r="K2089" s="53"/>
      <c r="N2089" s="53"/>
      <c r="O2089" s="53"/>
      <c r="T2089" s="53"/>
      <c r="V2089" s="53"/>
      <c r="W2089" s="55"/>
    </row>
    <row r="2090">
      <c r="K2090" s="53"/>
      <c r="N2090" s="53"/>
      <c r="O2090" s="53"/>
      <c r="T2090" s="53"/>
      <c r="V2090" s="53"/>
      <c r="W2090" s="55"/>
    </row>
    <row r="2091">
      <c r="K2091" s="53"/>
      <c r="N2091" s="53"/>
      <c r="O2091" s="53"/>
      <c r="T2091" s="53"/>
      <c r="V2091" s="53"/>
      <c r="W2091" s="55"/>
    </row>
    <row r="2092">
      <c r="K2092" s="53"/>
      <c r="N2092" s="53"/>
      <c r="O2092" s="53"/>
      <c r="T2092" s="53"/>
      <c r="V2092" s="53"/>
      <c r="W2092" s="55"/>
    </row>
    <row r="2093">
      <c r="K2093" s="53"/>
      <c r="N2093" s="53"/>
      <c r="O2093" s="53"/>
      <c r="T2093" s="53"/>
      <c r="V2093" s="53"/>
      <c r="W2093" s="55"/>
    </row>
    <row r="2094">
      <c r="K2094" s="53"/>
      <c r="N2094" s="53"/>
      <c r="O2094" s="53"/>
      <c r="T2094" s="53"/>
      <c r="V2094" s="53"/>
      <c r="W2094" s="55"/>
    </row>
    <row r="2095">
      <c r="K2095" s="53"/>
      <c r="N2095" s="53"/>
      <c r="O2095" s="53"/>
      <c r="T2095" s="53"/>
      <c r="V2095" s="53"/>
      <c r="W2095" s="55"/>
    </row>
    <row r="2096">
      <c r="K2096" s="53"/>
      <c r="N2096" s="53"/>
      <c r="O2096" s="53"/>
      <c r="T2096" s="53"/>
      <c r="V2096" s="53"/>
      <c r="W2096" s="55"/>
    </row>
    <row r="2097">
      <c r="K2097" s="53"/>
      <c r="N2097" s="53"/>
      <c r="O2097" s="53"/>
      <c r="T2097" s="53"/>
      <c r="V2097" s="53"/>
      <c r="W2097" s="55"/>
    </row>
    <row r="2098">
      <c r="K2098" s="53"/>
      <c r="N2098" s="53"/>
      <c r="O2098" s="53"/>
      <c r="T2098" s="53"/>
      <c r="V2098" s="53"/>
      <c r="W2098" s="55"/>
    </row>
    <row r="2099">
      <c r="K2099" s="53"/>
      <c r="N2099" s="53"/>
      <c r="O2099" s="53"/>
      <c r="T2099" s="53"/>
      <c r="V2099" s="53"/>
      <c r="W2099" s="55"/>
    </row>
    <row r="2100">
      <c r="K2100" s="53"/>
      <c r="N2100" s="53"/>
      <c r="O2100" s="53"/>
      <c r="T2100" s="53"/>
      <c r="V2100" s="53"/>
      <c r="W2100" s="55"/>
    </row>
    <row r="2101">
      <c r="K2101" s="53"/>
      <c r="N2101" s="53"/>
      <c r="O2101" s="53"/>
      <c r="T2101" s="53"/>
      <c r="V2101" s="53"/>
      <c r="W2101" s="55"/>
    </row>
    <row r="2102">
      <c r="K2102" s="53"/>
      <c r="N2102" s="53"/>
      <c r="O2102" s="53"/>
      <c r="T2102" s="53"/>
      <c r="V2102" s="53"/>
      <c r="W2102" s="55"/>
    </row>
    <row r="2103">
      <c r="K2103" s="53"/>
      <c r="N2103" s="53"/>
      <c r="O2103" s="53"/>
      <c r="T2103" s="53"/>
      <c r="V2103" s="53"/>
      <c r="W2103" s="55"/>
    </row>
    <row r="2104">
      <c r="K2104" s="53"/>
      <c r="N2104" s="53"/>
      <c r="O2104" s="53"/>
      <c r="T2104" s="53"/>
      <c r="V2104" s="53"/>
      <c r="W2104" s="55"/>
    </row>
    <row r="2105">
      <c r="K2105" s="53"/>
      <c r="N2105" s="53"/>
      <c r="O2105" s="53"/>
      <c r="T2105" s="53"/>
      <c r="V2105" s="53"/>
      <c r="W2105" s="55"/>
    </row>
    <row r="2106">
      <c r="K2106" s="53"/>
      <c r="N2106" s="53"/>
      <c r="O2106" s="53"/>
      <c r="T2106" s="53"/>
      <c r="V2106" s="53"/>
      <c r="W2106" s="55"/>
    </row>
    <row r="2107">
      <c r="K2107" s="53"/>
      <c r="N2107" s="53"/>
      <c r="O2107" s="53"/>
      <c r="T2107" s="53"/>
      <c r="V2107" s="53"/>
      <c r="W2107" s="55"/>
    </row>
    <row r="2108">
      <c r="K2108" s="53"/>
      <c r="N2108" s="53"/>
      <c r="O2108" s="53"/>
      <c r="T2108" s="53"/>
      <c r="V2108" s="53"/>
      <c r="W2108" s="55"/>
    </row>
    <row r="2109">
      <c r="K2109" s="53"/>
      <c r="N2109" s="53"/>
      <c r="O2109" s="53"/>
      <c r="T2109" s="53"/>
      <c r="V2109" s="53"/>
      <c r="W2109" s="55"/>
    </row>
    <row r="2110">
      <c r="K2110" s="53"/>
      <c r="N2110" s="53"/>
      <c r="O2110" s="53"/>
      <c r="T2110" s="53"/>
      <c r="V2110" s="53"/>
      <c r="W2110" s="55"/>
    </row>
    <row r="2111">
      <c r="K2111" s="53"/>
      <c r="N2111" s="53"/>
      <c r="O2111" s="53"/>
      <c r="T2111" s="53"/>
      <c r="V2111" s="53"/>
      <c r="W2111" s="55"/>
    </row>
    <row r="2112">
      <c r="K2112" s="53"/>
      <c r="N2112" s="53"/>
      <c r="O2112" s="53"/>
      <c r="T2112" s="53"/>
      <c r="V2112" s="53"/>
      <c r="W2112" s="55"/>
    </row>
    <row r="2113">
      <c r="K2113" s="53"/>
      <c r="N2113" s="53"/>
      <c r="O2113" s="53"/>
      <c r="T2113" s="53"/>
      <c r="V2113" s="53"/>
      <c r="W2113" s="55"/>
    </row>
    <row r="2114">
      <c r="K2114" s="53"/>
      <c r="N2114" s="53"/>
      <c r="O2114" s="53"/>
      <c r="T2114" s="53"/>
      <c r="V2114" s="53"/>
      <c r="W2114" s="55"/>
    </row>
    <row r="2115">
      <c r="K2115" s="53"/>
      <c r="N2115" s="53"/>
      <c r="O2115" s="53"/>
      <c r="T2115" s="53"/>
      <c r="V2115" s="53"/>
      <c r="W2115" s="55"/>
    </row>
    <row r="2116">
      <c r="K2116" s="53"/>
      <c r="N2116" s="53"/>
      <c r="O2116" s="53"/>
      <c r="T2116" s="53"/>
      <c r="V2116" s="53"/>
      <c r="W2116" s="55"/>
    </row>
    <row r="2117">
      <c r="K2117" s="53"/>
      <c r="N2117" s="53"/>
      <c r="O2117" s="53"/>
      <c r="T2117" s="53"/>
      <c r="V2117" s="53"/>
      <c r="W2117" s="55"/>
    </row>
    <row r="2118">
      <c r="K2118" s="53"/>
      <c r="N2118" s="53"/>
      <c r="O2118" s="53"/>
      <c r="T2118" s="53"/>
      <c r="V2118" s="53"/>
      <c r="W2118" s="55"/>
    </row>
    <row r="2119">
      <c r="K2119" s="53"/>
      <c r="N2119" s="53"/>
      <c r="O2119" s="53"/>
      <c r="T2119" s="53"/>
      <c r="V2119" s="53"/>
      <c r="W2119" s="55"/>
    </row>
    <row r="2120">
      <c r="K2120" s="53"/>
      <c r="N2120" s="53"/>
      <c r="O2120" s="53"/>
      <c r="T2120" s="53"/>
      <c r="V2120" s="53"/>
      <c r="W2120" s="55"/>
    </row>
    <row r="2121">
      <c r="K2121" s="53"/>
      <c r="N2121" s="53"/>
      <c r="O2121" s="53"/>
      <c r="T2121" s="53"/>
      <c r="V2121" s="53"/>
      <c r="W2121" s="55"/>
    </row>
    <row r="2122">
      <c r="K2122" s="53"/>
      <c r="N2122" s="53"/>
      <c r="O2122" s="53"/>
      <c r="T2122" s="53"/>
      <c r="V2122" s="53"/>
      <c r="W2122" s="55"/>
    </row>
    <row r="2123">
      <c r="K2123" s="53"/>
      <c r="N2123" s="53"/>
      <c r="O2123" s="53"/>
      <c r="T2123" s="53"/>
      <c r="V2123" s="53"/>
      <c r="W2123" s="55"/>
    </row>
    <row r="2124">
      <c r="K2124" s="53"/>
      <c r="N2124" s="53"/>
      <c r="O2124" s="53"/>
      <c r="T2124" s="53"/>
      <c r="V2124" s="53"/>
      <c r="W2124" s="55"/>
    </row>
    <row r="2125">
      <c r="K2125" s="53"/>
      <c r="N2125" s="53"/>
      <c r="O2125" s="53"/>
      <c r="T2125" s="53"/>
      <c r="V2125" s="53"/>
      <c r="W2125" s="55"/>
    </row>
    <row r="2126">
      <c r="K2126" s="53"/>
      <c r="N2126" s="53"/>
      <c r="O2126" s="53"/>
      <c r="T2126" s="53"/>
      <c r="V2126" s="53"/>
      <c r="W2126" s="55"/>
    </row>
    <row r="2127">
      <c r="K2127" s="53"/>
      <c r="N2127" s="53"/>
      <c r="O2127" s="53"/>
      <c r="T2127" s="53"/>
      <c r="V2127" s="53"/>
      <c r="W2127" s="55"/>
    </row>
    <row r="2128">
      <c r="K2128" s="53"/>
      <c r="N2128" s="53"/>
      <c r="O2128" s="53"/>
      <c r="T2128" s="53"/>
      <c r="V2128" s="53"/>
      <c r="W2128" s="55"/>
    </row>
    <row r="2129">
      <c r="K2129" s="53"/>
      <c r="N2129" s="53"/>
      <c r="O2129" s="53"/>
      <c r="T2129" s="53"/>
      <c r="V2129" s="53"/>
      <c r="W2129" s="55"/>
    </row>
    <row r="2130">
      <c r="K2130" s="53"/>
      <c r="N2130" s="53"/>
      <c r="O2130" s="53"/>
      <c r="T2130" s="53"/>
      <c r="V2130" s="53"/>
      <c r="W2130" s="55"/>
    </row>
    <row r="2131">
      <c r="K2131" s="53"/>
      <c r="N2131" s="53"/>
      <c r="O2131" s="53"/>
      <c r="T2131" s="53"/>
      <c r="V2131" s="53"/>
      <c r="W2131" s="55"/>
    </row>
    <row r="2132">
      <c r="K2132" s="53"/>
      <c r="N2132" s="53"/>
      <c r="O2132" s="53"/>
      <c r="T2132" s="53"/>
      <c r="V2132" s="53"/>
      <c r="W2132" s="55"/>
    </row>
    <row r="2133">
      <c r="K2133" s="53"/>
      <c r="N2133" s="53"/>
      <c r="O2133" s="53"/>
      <c r="T2133" s="53"/>
      <c r="V2133" s="53"/>
      <c r="W2133" s="55"/>
    </row>
    <row r="2134">
      <c r="K2134" s="53"/>
      <c r="N2134" s="53"/>
      <c r="O2134" s="53"/>
      <c r="T2134" s="53"/>
      <c r="V2134" s="53"/>
      <c r="W2134" s="55"/>
    </row>
    <row r="2135">
      <c r="K2135" s="53"/>
      <c r="N2135" s="53"/>
      <c r="O2135" s="53"/>
      <c r="T2135" s="53"/>
      <c r="V2135" s="53"/>
      <c r="W2135" s="55"/>
    </row>
    <row r="2136">
      <c r="K2136" s="53"/>
      <c r="N2136" s="53"/>
      <c r="O2136" s="53"/>
      <c r="T2136" s="53"/>
      <c r="V2136" s="53"/>
      <c r="W2136" s="55"/>
    </row>
    <row r="2137">
      <c r="K2137" s="53"/>
      <c r="N2137" s="53"/>
      <c r="O2137" s="53"/>
      <c r="T2137" s="53"/>
      <c r="V2137" s="53"/>
      <c r="W2137" s="55"/>
    </row>
    <row r="2138">
      <c r="K2138" s="53"/>
      <c r="N2138" s="53"/>
      <c r="O2138" s="53"/>
      <c r="T2138" s="53"/>
      <c r="V2138" s="53"/>
      <c r="W2138" s="55"/>
    </row>
    <row r="2139">
      <c r="K2139" s="53"/>
      <c r="N2139" s="53"/>
      <c r="O2139" s="53"/>
      <c r="T2139" s="53"/>
      <c r="V2139" s="53"/>
      <c r="W2139" s="55"/>
    </row>
    <row r="2140">
      <c r="K2140" s="53"/>
      <c r="N2140" s="53"/>
      <c r="O2140" s="53"/>
      <c r="T2140" s="53"/>
      <c r="V2140" s="53"/>
      <c r="W2140" s="55"/>
    </row>
    <row r="2141">
      <c r="K2141" s="53"/>
      <c r="N2141" s="53"/>
      <c r="O2141" s="53"/>
      <c r="T2141" s="53"/>
      <c r="V2141" s="53"/>
      <c r="W2141" s="55"/>
    </row>
    <row r="2142">
      <c r="K2142" s="53"/>
      <c r="N2142" s="53"/>
      <c r="O2142" s="53"/>
      <c r="T2142" s="53"/>
      <c r="V2142" s="53"/>
      <c r="W2142" s="55"/>
    </row>
    <row r="2143">
      <c r="K2143" s="53"/>
      <c r="N2143" s="53"/>
      <c r="O2143" s="53"/>
      <c r="T2143" s="53"/>
      <c r="V2143" s="53"/>
      <c r="W2143" s="55"/>
    </row>
    <row r="2144">
      <c r="K2144" s="53"/>
      <c r="N2144" s="53"/>
      <c r="O2144" s="53"/>
      <c r="T2144" s="53"/>
      <c r="V2144" s="53"/>
      <c r="W2144" s="55"/>
    </row>
    <row r="2145">
      <c r="K2145" s="53"/>
      <c r="N2145" s="53"/>
      <c r="O2145" s="53"/>
      <c r="T2145" s="53"/>
      <c r="V2145" s="53"/>
      <c r="W2145" s="55"/>
    </row>
    <row r="2146">
      <c r="K2146" s="53"/>
      <c r="N2146" s="53"/>
      <c r="O2146" s="53"/>
      <c r="T2146" s="53"/>
      <c r="V2146" s="53"/>
      <c r="W2146" s="55"/>
    </row>
    <row r="2147">
      <c r="K2147" s="53"/>
      <c r="N2147" s="53"/>
      <c r="O2147" s="53"/>
      <c r="T2147" s="53"/>
      <c r="V2147" s="53"/>
      <c r="W2147" s="55"/>
    </row>
    <row r="2148">
      <c r="K2148" s="53"/>
      <c r="N2148" s="53"/>
      <c r="O2148" s="53"/>
      <c r="T2148" s="53"/>
      <c r="V2148" s="53"/>
      <c r="W2148" s="55"/>
    </row>
    <row r="2149">
      <c r="K2149" s="53"/>
      <c r="N2149" s="53"/>
      <c r="O2149" s="53"/>
      <c r="T2149" s="53"/>
      <c r="V2149" s="53"/>
      <c r="W2149" s="55"/>
    </row>
    <row r="2150">
      <c r="K2150" s="53"/>
      <c r="N2150" s="53"/>
      <c r="O2150" s="53"/>
      <c r="T2150" s="53"/>
      <c r="V2150" s="53"/>
      <c r="W2150" s="55"/>
    </row>
    <row r="2151">
      <c r="K2151" s="53"/>
      <c r="N2151" s="53"/>
      <c r="O2151" s="53"/>
      <c r="T2151" s="53"/>
      <c r="V2151" s="53"/>
      <c r="W2151" s="55"/>
    </row>
    <row r="2152">
      <c r="K2152" s="53"/>
      <c r="N2152" s="53"/>
      <c r="O2152" s="53"/>
      <c r="T2152" s="53"/>
      <c r="V2152" s="53"/>
      <c r="W2152" s="55"/>
    </row>
    <row r="2153">
      <c r="K2153" s="53"/>
      <c r="N2153" s="53"/>
      <c r="O2153" s="53"/>
      <c r="T2153" s="53"/>
      <c r="V2153" s="53"/>
      <c r="W2153" s="55"/>
    </row>
    <row r="2154">
      <c r="K2154" s="53"/>
      <c r="N2154" s="53"/>
      <c r="O2154" s="53"/>
      <c r="T2154" s="53"/>
      <c r="V2154" s="53"/>
      <c r="W2154" s="55"/>
    </row>
    <row r="2155">
      <c r="K2155" s="53"/>
      <c r="N2155" s="53"/>
      <c r="O2155" s="53"/>
      <c r="T2155" s="53"/>
      <c r="V2155" s="53"/>
      <c r="W2155" s="55"/>
    </row>
    <row r="2156">
      <c r="K2156" s="53"/>
      <c r="N2156" s="53"/>
      <c r="O2156" s="53"/>
      <c r="T2156" s="53"/>
      <c r="V2156" s="53"/>
      <c r="W2156" s="55"/>
    </row>
    <row r="2157">
      <c r="K2157" s="53"/>
      <c r="N2157" s="53"/>
      <c r="O2157" s="53"/>
      <c r="T2157" s="53"/>
      <c r="V2157" s="53"/>
      <c r="W2157" s="55"/>
    </row>
    <row r="2158">
      <c r="K2158" s="53"/>
      <c r="N2158" s="53"/>
      <c r="O2158" s="53"/>
      <c r="T2158" s="53"/>
      <c r="V2158" s="53"/>
      <c r="W2158" s="55"/>
    </row>
    <row r="2159">
      <c r="K2159" s="53"/>
      <c r="N2159" s="53"/>
      <c r="O2159" s="53"/>
      <c r="T2159" s="53"/>
      <c r="V2159" s="53"/>
      <c r="W2159" s="55"/>
    </row>
    <row r="2160">
      <c r="K2160" s="53"/>
      <c r="N2160" s="53"/>
      <c r="O2160" s="53"/>
      <c r="T2160" s="53"/>
      <c r="V2160" s="53"/>
      <c r="W2160" s="55"/>
    </row>
    <row r="2161">
      <c r="K2161" s="53"/>
      <c r="N2161" s="53"/>
      <c r="O2161" s="53"/>
      <c r="T2161" s="53"/>
      <c r="V2161" s="53"/>
      <c r="W2161" s="55"/>
    </row>
    <row r="2162">
      <c r="K2162" s="53"/>
      <c r="N2162" s="53"/>
      <c r="O2162" s="53"/>
      <c r="T2162" s="53"/>
      <c r="V2162" s="53"/>
      <c r="W2162" s="55"/>
    </row>
    <row r="2163">
      <c r="K2163" s="53"/>
      <c r="N2163" s="53"/>
      <c r="O2163" s="53"/>
      <c r="T2163" s="53"/>
      <c r="V2163" s="53"/>
      <c r="W2163" s="55"/>
    </row>
    <row r="2164">
      <c r="K2164" s="53"/>
      <c r="N2164" s="53"/>
      <c r="O2164" s="53"/>
      <c r="T2164" s="53"/>
      <c r="V2164" s="53"/>
      <c r="W2164" s="55"/>
    </row>
    <row r="2165">
      <c r="K2165" s="53"/>
      <c r="N2165" s="53"/>
      <c r="O2165" s="53"/>
      <c r="T2165" s="53"/>
      <c r="V2165" s="53"/>
      <c r="W2165" s="55"/>
    </row>
    <row r="2166">
      <c r="K2166" s="53"/>
      <c r="N2166" s="53"/>
      <c r="O2166" s="53"/>
      <c r="T2166" s="53"/>
      <c r="V2166" s="53"/>
      <c r="W2166" s="55"/>
    </row>
    <row r="2167">
      <c r="K2167" s="53"/>
      <c r="N2167" s="53"/>
      <c r="O2167" s="53"/>
      <c r="T2167" s="53"/>
      <c r="V2167" s="53"/>
      <c r="W2167" s="55"/>
    </row>
    <row r="2168">
      <c r="K2168" s="53"/>
      <c r="N2168" s="53"/>
      <c r="O2168" s="53"/>
      <c r="T2168" s="53"/>
      <c r="V2168" s="53"/>
      <c r="W2168" s="55"/>
    </row>
    <row r="2169">
      <c r="K2169" s="53"/>
      <c r="N2169" s="53"/>
      <c r="O2169" s="53"/>
      <c r="T2169" s="53"/>
      <c r="V2169" s="53"/>
      <c r="W2169" s="55"/>
    </row>
    <row r="2170">
      <c r="K2170" s="53"/>
      <c r="N2170" s="53"/>
      <c r="O2170" s="53"/>
      <c r="T2170" s="53"/>
      <c r="V2170" s="53"/>
      <c r="W2170" s="55"/>
    </row>
    <row r="2171">
      <c r="K2171" s="53"/>
      <c r="N2171" s="53"/>
      <c r="O2171" s="53"/>
      <c r="T2171" s="53"/>
      <c r="V2171" s="53"/>
      <c r="W2171" s="55"/>
    </row>
    <row r="2172">
      <c r="K2172" s="53"/>
      <c r="N2172" s="53"/>
      <c r="O2172" s="53"/>
      <c r="T2172" s="53"/>
      <c r="V2172" s="53"/>
      <c r="W2172" s="55"/>
    </row>
    <row r="2173">
      <c r="K2173" s="53"/>
      <c r="N2173" s="53"/>
      <c r="O2173" s="53"/>
      <c r="T2173" s="53"/>
      <c r="V2173" s="53"/>
      <c r="W2173" s="55"/>
    </row>
    <row r="2174">
      <c r="K2174" s="53"/>
      <c r="N2174" s="53"/>
      <c r="O2174" s="53"/>
      <c r="T2174" s="53"/>
      <c r="V2174" s="53"/>
      <c r="W2174" s="55"/>
    </row>
    <row r="2175">
      <c r="K2175" s="53"/>
      <c r="N2175" s="53"/>
      <c r="O2175" s="53"/>
      <c r="T2175" s="53"/>
      <c r="V2175" s="53"/>
      <c r="W2175" s="55"/>
    </row>
    <row r="2176">
      <c r="K2176" s="53"/>
      <c r="N2176" s="53"/>
      <c r="O2176" s="53"/>
      <c r="T2176" s="53"/>
      <c r="V2176" s="53"/>
      <c r="W2176" s="55"/>
    </row>
    <row r="2177">
      <c r="K2177" s="53"/>
      <c r="N2177" s="53"/>
      <c r="O2177" s="53"/>
      <c r="T2177" s="53"/>
      <c r="V2177" s="53"/>
      <c r="W2177" s="55"/>
    </row>
    <row r="2178">
      <c r="K2178" s="53"/>
      <c r="N2178" s="53"/>
      <c r="O2178" s="53"/>
      <c r="T2178" s="53"/>
      <c r="V2178" s="53"/>
      <c r="W2178" s="55"/>
    </row>
    <row r="2179">
      <c r="K2179" s="53"/>
      <c r="N2179" s="53"/>
      <c r="O2179" s="53"/>
      <c r="T2179" s="53"/>
      <c r="V2179" s="53"/>
      <c r="W2179" s="55"/>
    </row>
    <row r="2180">
      <c r="K2180" s="53"/>
      <c r="N2180" s="53"/>
      <c r="O2180" s="53"/>
      <c r="T2180" s="53"/>
      <c r="V2180" s="53"/>
      <c r="W2180" s="55"/>
    </row>
    <row r="2181">
      <c r="K2181" s="53"/>
      <c r="N2181" s="53"/>
      <c r="O2181" s="53"/>
      <c r="T2181" s="53"/>
      <c r="V2181" s="53"/>
      <c r="W2181" s="55"/>
    </row>
    <row r="2182">
      <c r="K2182" s="53"/>
      <c r="N2182" s="53"/>
      <c r="O2182" s="53"/>
      <c r="T2182" s="53"/>
      <c r="V2182" s="53"/>
      <c r="W2182" s="55"/>
    </row>
    <row r="2183">
      <c r="K2183" s="53"/>
      <c r="N2183" s="53"/>
      <c r="O2183" s="53"/>
      <c r="T2183" s="53"/>
      <c r="V2183" s="53"/>
      <c r="W2183" s="55"/>
    </row>
    <row r="2184">
      <c r="K2184" s="53"/>
      <c r="N2184" s="53"/>
      <c r="O2184" s="53"/>
      <c r="T2184" s="53"/>
      <c r="V2184" s="53"/>
      <c r="W2184" s="55"/>
    </row>
    <row r="2185">
      <c r="K2185" s="53"/>
      <c r="N2185" s="53"/>
      <c r="O2185" s="53"/>
      <c r="T2185" s="53"/>
      <c r="V2185" s="53"/>
      <c r="W2185" s="55"/>
    </row>
    <row r="2186">
      <c r="K2186" s="53"/>
      <c r="N2186" s="53"/>
      <c r="O2186" s="53"/>
      <c r="T2186" s="53"/>
      <c r="V2186" s="53"/>
      <c r="W2186" s="55"/>
    </row>
    <row r="2187">
      <c r="K2187" s="53"/>
      <c r="N2187" s="53"/>
      <c r="O2187" s="53"/>
      <c r="T2187" s="53"/>
      <c r="V2187" s="53"/>
      <c r="W2187" s="55"/>
    </row>
    <row r="2188">
      <c r="K2188" s="53"/>
      <c r="N2188" s="53"/>
      <c r="O2188" s="53"/>
      <c r="T2188" s="53"/>
      <c r="V2188" s="53"/>
      <c r="W2188" s="55"/>
    </row>
    <row r="2189">
      <c r="K2189" s="53"/>
      <c r="N2189" s="53"/>
      <c r="O2189" s="53"/>
      <c r="T2189" s="53"/>
      <c r="V2189" s="53"/>
      <c r="W2189" s="55"/>
    </row>
    <row r="2190">
      <c r="K2190" s="53"/>
      <c r="N2190" s="53"/>
      <c r="O2190" s="53"/>
      <c r="T2190" s="53"/>
      <c r="V2190" s="53"/>
      <c r="W2190" s="55"/>
    </row>
    <row r="2191">
      <c r="K2191" s="53"/>
      <c r="N2191" s="53"/>
      <c r="O2191" s="53"/>
      <c r="T2191" s="53"/>
      <c r="V2191" s="53"/>
      <c r="W2191" s="55"/>
    </row>
    <row r="2192">
      <c r="K2192" s="53"/>
      <c r="N2192" s="53"/>
      <c r="O2192" s="53"/>
      <c r="T2192" s="53"/>
      <c r="V2192" s="53"/>
      <c r="W2192" s="55"/>
    </row>
    <row r="2193">
      <c r="K2193" s="53"/>
      <c r="N2193" s="53"/>
      <c r="O2193" s="53"/>
      <c r="T2193" s="53"/>
      <c r="V2193" s="53"/>
      <c r="W2193" s="55"/>
    </row>
    <row r="2194">
      <c r="K2194" s="53"/>
      <c r="N2194" s="53"/>
      <c r="O2194" s="53"/>
      <c r="T2194" s="53"/>
      <c r="V2194" s="53"/>
      <c r="W2194" s="55"/>
    </row>
    <row r="2195">
      <c r="K2195" s="53"/>
      <c r="N2195" s="53"/>
      <c r="O2195" s="53"/>
      <c r="T2195" s="53"/>
      <c r="V2195" s="53"/>
      <c r="W2195" s="55"/>
    </row>
    <row r="2196">
      <c r="K2196" s="53"/>
      <c r="N2196" s="53"/>
      <c r="O2196" s="53"/>
      <c r="T2196" s="53"/>
      <c r="V2196" s="53"/>
      <c r="W2196" s="55"/>
    </row>
    <row r="2197">
      <c r="K2197" s="53"/>
      <c r="N2197" s="53"/>
      <c r="O2197" s="53"/>
      <c r="T2197" s="53"/>
      <c r="V2197" s="53"/>
      <c r="W2197" s="55"/>
    </row>
    <row r="2198">
      <c r="K2198" s="53"/>
      <c r="N2198" s="53"/>
      <c r="O2198" s="53"/>
      <c r="T2198" s="53"/>
      <c r="V2198" s="53"/>
      <c r="W2198" s="55"/>
    </row>
    <row r="2199">
      <c r="K2199" s="53"/>
      <c r="N2199" s="53"/>
      <c r="O2199" s="53"/>
      <c r="T2199" s="53"/>
      <c r="V2199" s="53"/>
      <c r="W2199" s="55"/>
    </row>
    <row r="2200">
      <c r="K2200" s="53"/>
      <c r="N2200" s="53"/>
      <c r="O2200" s="53"/>
      <c r="T2200" s="53"/>
      <c r="V2200" s="53"/>
      <c r="W2200" s="55"/>
    </row>
    <row r="2201">
      <c r="K2201" s="53"/>
      <c r="N2201" s="53"/>
      <c r="O2201" s="53"/>
      <c r="T2201" s="53"/>
      <c r="V2201" s="53"/>
      <c r="W2201" s="55"/>
    </row>
    <row r="2202">
      <c r="K2202" s="53"/>
      <c r="N2202" s="53"/>
      <c r="O2202" s="53"/>
      <c r="T2202" s="53"/>
      <c r="V2202" s="53"/>
      <c r="W2202" s="55"/>
    </row>
    <row r="2203">
      <c r="K2203" s="53"/>
      <c r="N2203" s="53"/>
      <c r="O2203" s="53"/>
      <c r="T2203" s="53"/>
      <c r="V2203" s="53"/>
      <c r="W2203" s="55"/>
    </row>
    <row r="2204">
      <c r="K2204" s="53"/>
      <c r="N2204" s="53"/>
      <c r="O2204" s="53"/>
      <c r="T2204" s="53"/>
      <c r="V2204" s="53"/>
      <c r="W2204" s="55"/>
    </row>
    <row r="2205">
      <c r="K2205" s="53"/>
      <c r="N2205" s="53"/>
      <c r="O2205" s="53"/>
      <c r="T2205" s="53"/>
      <c r="V2205" s="53"/>
      <c r="W2205" s="55"/>
    </row>
    <row r="2206">
      <c r="K2206" s="53"/>
      <c r="N2206" s="53"/>
      <c r="O2206" s="53"/>
      <c r="T2206" s="53"/>
      <c r="V2206" s="53"/>
      <c r="W2206" s="55"/>
    </row>
    <row r="2207">
      <c r="K2207" s="53"/>
      <c r="N2207" s="53"/>
      <c r="O2207" s="53"/>
      <c r="T2207" s="53"/>
      <c r="V2207" s="53"/>
      <c r="W2207" s="55"/>
    </row>
    <row r="2208">
      <c r="K2208" s="53"/>
      <c r="N2208" s="53"/>
      <c r="O2208" s="53"/>
      <c r="T2208" s="53"/>
      <c r="V2208" s="53"/>
      <c r="W2208" s="55"/>
    </row>
    <row r="2209">
      <c r="K2209" s="53"/>
      <c r="N2209" s="53"/>
      <c r="O2209" s="53"/>
      <c r="T2209" s="53"/>
      <c r="V2209" s="53"/>
      <c r="W2209" s="55"/>
    </row>
    <row r="2210">
      <c r="K2210" s="53"/>
      <c r="N2210" s="53"/>
      <c r="O2210" s="53"/>
      <c r="T2210" s="53"/>
      <c r="V2210" s="53"/>
      <c r="W2210" s="55"/>
    </row>
    <row r="2211">
      <c r="K2211" s="53"/>
      <c r="N2211" s="53"/>
      <c r="O2211" s="53"/>
      <c r="T2211" s="53"/>
      <c r="V2211" s="53"/>
      <c r="W2211" s="55"/>
    </row>
    <row r="2212">
      <c r="K2212" s="53"/>
      <c r="N2212" s="53"/>
      <c r="O2212" s="53"/>
      <c r="T2212" s="53"/>
      <c r="V2212" s="53"/>
      <c r="W2212" s="55"/>
    </row>
    <row r="2213">
      <c r="K2213" s="53"/>
      <c r="N2213" s="53"/>
      <c r="O2213" s="53"/>
      <c r="T2213" s="53"/>
      <c r="V2213" s="53"/>
      <c r="W2213" s="55"/>
    </row>
    <row r="2214">
      <c r="K2214" s="53"/>
      <c r="N2214" s="53"/>
      <c r="O2214" s="53"/>
      <c r="T2214" s="53"/>
      <c r="V2214" s="53"/>
      <c r="W2214" s="55"/>
    </row>
    <row r="2215">
      <c r="K2215" s="53"/>
      <c r="N2215" s="53"/>
      <c r="O2215" s="53"/>
      <c r="T2215" s="53"/>
      <c r="V2215" s="53"/>
      <c r="W2215" s="55"/>
    </row>
    <row r="2216">
      <c r="K2216" s="53"/>
      <c r="N2216" s="53"/>
      <c r="O2216" s="53"/>
      <c r="T2216" s="53"/>
      <c r="V2216" s="53"/>
      <c r="W2216" s="55"/>
    </row>
    <row r="2217">
      <c r="K2217" s="53"/>
      <c r="N2217" s="53"/>
      <c r="O2217" s="53"/>
      <c r="T2217" s="53"/>
      <c r="V2217" s="53"/>
      <c r="W2217" s="55"/>
    </row>
    <row r="2218">
      <c r="K2218" s="53"/>
      <c r="N2218" s="53"/>
      <c r="O2218" s="53"/>
      <c r="T2218" s="53"/>
      <c r="V2218" s="53"/>
      <c r="W2218" s="55"/>
    </row>
    <row r="2219">
      <c r="K2219" s="53"/>
      <c r="N2219" s="53"/>
      <c r="O2219" s="53"/>
      <c r="T2219" s="53"/>
      <c r="V2219" s="53"/>
      <c r="W2219" s="55"/>
    </row>
    <row r="2220">
      <c r="K2220" s="53"/>
      <c r="N2220" s="53"/>
      <c r="O2220" s="53"/>
      <c r="T2220" s="53"/>
      <c r="V2220" s="53"/>
      <c r="W2220" s="55"/>
    </row>
    <row r="2221">
      <c r="K2221" s="53"/>
      <c r="N2221" s="53"/>
      <c r="O2221" s="53"/>
      <c r="T2221" s="53"/>
      <c r="V2221" s="53"/>
      <c r="W2221" s="55"/>
    </row>
    <row r="2222">
      <c r="K2222" s="53"/>
      <c r="N2222" s="53"/>
      <c r="O2222" s="53"/>
      <c r="T2222" s="53"/>
      <c r="V2222" s="53"/>
      <c r="W2222" s="55"/>
    </row>
    <row r="2223">
      <c r="K2223" s="53"/>
      <c r="N2223" s="53"/>
      <c r="O2223" s="53"/>
      <c r="T2223" s="53"/>
      <c r="V2223" s="53"/>
      <c r="W2223" s="55"/>
    </row>
    <row r="2224">
      <c r="K2224" s="53"/>
      <c r="N2224" s="53"/>
      <c r="O2224" s="53"/>
      <c r="T2224" s="53"/>
      <c r="V2224" s="53"/>
      <c r="W2224" s="55"/>
    </row>
    <row r="2225">
      <c r="K2225" s="53"/>
      <c r="N2225" s="53"/>
      <c r="O2225" s="53"/>
      <c r="T2225" s="53"/>
      <c r="V2225" s="53"/>
      <c r="W2225" s="55"/>
    </row>
    <row r="2226">
      <c r="K2226" s="53"/>
      <c r="N2226" s="53"/>
      <c r="O2226" s="53"/>
      <c r="T2226" s="53"/>
      <c r="V2226" s="53"/>
      <c r="W2226" s="55"/>
    </row>
    <row r="2227">
      <c r="K2227" s="53"/>
      <c r="N2227" s="53"/>
      <c r="O2227" s="53"/>
      <c r="T2227" s="53"/>
      <c r="V2227" s="53"/>
      <c r="W2227" s="55"/>
    </row>
    <row r="2228">
      <c r="K2228" s="53"/>
      <c r="N2228" s="53"/>
      <c r="O2228" s="53"/>
      <c r="T2228" s="53"/>
      <c r="V2228" s="53"/>
      <c r="W2228" s="55"/>
    </row>
    <row r="2229">
      <c r="K2229" s="53"/>
      <c r="N2229" s="53"/>
      <c r="O2229" s="53"/>
      <c r="T2229" s="53"/>
      <c r="V2229" s="53"/>
      <c r="W2229" s="55"/>
    </row>
    <row r="2230">
      <c r="K2230" s="53"/>
      <c r="N2230" s="53"/>
      <c r="O2230" s="53"/>
      <c r="T2230" s="53"/>
      <c r="V2230" s="53"/>
      <c r="W2230" s="55"/>
    </row>
    <row r="2231">
      <c r="K2231" s="53"/>
      <c r="N2231" s="53"/>
      <c r="O2231" s="53"/>
      <c r="T2231" s="53"/>
      <c r="V2231" s="53"/>
      <c r="W2231" s="55"/>
    </row>
    <row r="2232">
      <c r="K2232" s="53"/>
      <c r="N2232" s="53"/>
      <c r="O2232" s="53"/>
      <c r="T2232" s="53"/>
      <c r="V2232" s="53"/>
      <c r="W2232" s="55"/>
    </row>
    <row r="2233">
      <c r="K2233" s="53"/>
      <c r="N2233" s="53"/>
      <c r="O2233" s="53"/>
      <c r="T2233" s="53"/>
      <c r="V2233" s="53"/>
      <c r="W2233" s="55"/>
    </row>
    <row r="2234">
      <c r="K2234" s="53"/>
      <c r="N2234" s="53"/>
      <c r="O2234" s="53"/>
      <c r="T2234" s="53"/>
      <c r="V2234" s="53"/>
      <c r="W2234" s="55"/>
    </row>
    <row r="2235">
      <c r="K2235" s="53"/>
      <c r="N2235" s="53"/>
      <c r="O2235" s="53"/>
      <c r="T2235" s="53"/>
      <c r="V2235" s="53"/>
      <c r="W2235" s="55"/>
    </row>
    <row r="2236">
      <c r="K2236" s="53"/>
      <c r="N2236" s="53"/>
      <c r="O2236" s="53"/>
      <c r="T2236" s="53"/>
      <c r="V2236" s="53"/>
      <c r="W2236" s="55"/>
    </row>
    <row r="2237">
      <c r="K2237" s="53"/>
      <c r="N2237" s="53"/>
      <c r="O2237" s="53"/>
      <c r="T2237" s="53"/>
      <c r="V2237" s="53"/>
      <c r="W2237" s="55"/>
    </row>
    <row r="2238">
      <c r="K2238" s="53"/>
      <c r="N2238" s="53"/>
      <c r="O2238" s="53"/>
      <c r="T2238" s="53"/>
      <c r="V2238" s="53"/>
      <c r="W2238" s="55"/>
    </row>
    <row r="2239">
      <c r="K2239" s="53"/>
      <c r="N2239" s="53"/>
      <c r="O2239" s="53"/>
      <c r="T2239" s="53"/>
      <c r="V2239" s="53"/>
      <c r="W2239" s="55"/>
    </row>
    <row r="2240">
      <c r="K2240" s="53"/>
      <c r="N2240" s="53"/>
      <c r="O2240" s="53"/>
      <c r="T2240" s="53"/>
      <c r="V2240" s="53"/>
      <c r="W2240" s="55"/>
    </row>
    <row r="2241">
      <c r="K2241" s="53"/>
      <c r="N2241" s="53"/>
      <c r="O2241" s="53"/>
      <c r="T2241" s="53"/>
      <c r="V2241" s="53"/>
      <c r="W2241" s="55"/>
    </row>
    <row r="2242">
      <c r="K2242" s="53"/>
      <c r="N2242" s="53"/>
      <c r="O2242" s="53"/>
      <c r="T2242" s="53"/>
      <c r="V2242" s="53"/>
      <c r="W2242" s="55"/>
    </row>
    <row r="2243">
      <c r="K2243" s="53"/>
      <c r="N2243" s="53"/>
      <c r="O2243" s="53"/>
      <c r="T2243" s="53"/>
      <c r="V2243" s="53"/>
      <c r="W2243" s="55"/>
    </row>
    <row r="2244">
      <c r="K2244" s="53"/>
      <c r="N2244" s="53"/>
      <c r="O2244" s="53"/>
      <c r="T2244" s="53"/>
      <c r="V2244" s="53"/>
      <c r="W2244" s="55"/>
    </row>
    <row r="2245">
      <c r="K2245" s="53"/>
      <c r="N2245" s="53"/>
      <c r="O2245" s="53"/>
      <c r="T2245" s="53"/>
      <c r="V2245" s="53"/>
      <c r="W2245" s="55"/>
    </row>
    <row r="2246">
      <c r="K2246" s="53"/>
      <c r="N2246" s="53"/>
      <c r="O2246" s="53"/>
      <c r="T2246" s="53"/>
      <c r="V2246" s="53"/>
      <c r="W2246" s="55"/>
    </row>
    <row r="2247">
      <c r="K2247" s="53"/>
      <c r="N2247" s="53"/>
      <c r="O2247" s="53"/>
      <c r="T2247" s="53"/>
      <c r="V2247" s="53"/>
      <c r="W2247" s="55"/>
    </row>
    <row r="2248">
      <c r="K2248" s="53"/>
      <c r="N2248" s="53"/>
      <c r="O2248" s="53"/>
      <c r="T2248" s="53"/>
      <c r="V2248" s="53"/>
      <c r="W2248" s="55"/>
    </row>
    <row r="2249">
      <c r="K2249" s="53"/>
      <c r="N2249" s="53"/>
      <c r="O2249" s="53"/>
      <c r="T2249" s="53"/>
      <c r="V2249" s="53"/>
      <c r="W2249" s="55"/>
    </row>
    <row r="2250">
      <c r="K2250" s="53"/>
      <c r="N2250" s="53"/>
      <c r="O2250" s="53"/>
      <c r="T2250" s="53"/>
      <c r="V2250" s="53"/>
      <c r="W2250" s="55"/>
    </row>
    <row r="2251">
      <c r="K2251" s="53"/>
      <c r="N2251" s="53"/>
      <c r="O2251" s="53"/>
      <c r="T2251" s="53"/>
      <c r="V2251" s="53"/>
      <c r="W2251" s="55"/>
    </row>
    <row r="2252">
      <c r="K2252" s="53"/>
      <c r="N2252" s="53"/>
      <c r="O2252" s="53"/>
      <c r="T2252" s="53"/>
      <c r="V2252" s="53"/>
      <c r="W2252" s="55"/>
    </row>
    <row r="2253">
      <c r="K2253" s="53"/>
      <c r="N2253" s="53"/>
      <c r="O2253" s="53"/>
      <c r="T2253" s="53"/>
      <c r="V2253" s="53"/>
      <c r="W2253" s="55"/>
    </row>
    <row r="2254">
      <c r="K2254" s="53"/>
      <c r="N2254" s="53"/>
      <c r="O2254" s="53"/>
      <c r="T2254" s="53"/>
      <c r="V2254" s="53"/>
      <c r="W2254" s="55"/>
    </row>
    <row r="2255">
      <c r="K2255" s="53"/>
      <c r="N2255" s="53"/>
      <c r="O2255" s="53"/>
      <c r="T2255" s="53"/>
      <c r="V2255" s="53"/>
      <c r="W2255" s="55"/>
    </row>
    <row r="2256">
      <c r="K2256" s="53"/>
      <c r="N2256" s="53"/>
      <c r="O2256" s="53"/>
      <c r="T2256" s="53"/>
      <c r="V2256" s="53"/>
      <c r="W2256" s="55"/>
    </row>
    <row r="2257">
      <c r="K2257" s="53"/>
      <c r="N2257" s="53"/>
      <c r="O2257" s="53"/>
      <c r="T2257" s="53"/>
      <c r="V2257" s="53"/>
      <c r="W2257" s="55"/>
    </row>
    <row r="2258">
      <c r="K2258" s="53"/>
      <c r="N2258" s="53"/>
      <c r="O2258" s="53"/>
      <c r="T2258" s="53"/>
      <c r="V2258" s="53"/>
      <c r="W2258" s="55"/>
    </row>
    <row r="2259">
      <c r="K2259" s="53"/>
      <c r="N2259" s="53"/>
      <c r="O2259" s="53"/>
      <c r="T2259" s="53"/>
      <c r="V2259" s="53"/>
      <c r="W2259" s="55"/>
    </row>
    <row r="2260">
      <c r="K2260" s="53"/>
      <c r="N2260" s="53"/>
      <c r="O2260" s="53"/>
      <c r="T2260" s="53"/>
      <c r="V2260" s="53"/>
      <c r="W2260" s="55"/>
    </row>
    <row r="2261">
      <c r="K2261" s="53"/>
      <c r="N2261" s="53"/>
      <c r="O2261" s="53"/>
      <c r="T2261" s="53"/>
      <c r="V2261" s="53"/>
      <c r="W2261" s="55"/>
    </row>
    <row r="2262">
      <c r="K2262" s="53"/>
      <c r="N2262" s="53"/>
      <c r="O2262" s="53"/>
      <c r="T2262" s="53"/>
      <c r="V2262" s="53"/>
      <c r="W2262" s="55"/>
    </row>
    <row r="2263">
      <c r="K2263" s="53"/>
      <c r="N2263" s="53"/>
      <c r="O2263" s="53"/>
      <c r="T2263" s="53"/>
      <c r="V2263" s="53"/>
      <c r="W2263" s="55"/>
    </row>
    <row r="2264">
      <c r="K2264" s="53"/>
      <c r="N2264" s="53"/>
      <c r="O2264" s="53"/>
      <c r="T2264" s="53"/>
      <c r="V2264" s="53"/>
      <c r="W2264" s="55"/>
    </row>
    <row r="2265">
      <c r="K2265" s="53"/>
      <c r="N2265" s="53"/>
      <c r="O2265" s="53"/>
      <c r="T2265" s="53"/>
      <c r="V2265" s="53"/>
      <c r="W2265" s="55"/>
    </row>
    <row r="2266">
      <c r="K2266" s="53"/>
      <c r="N2266" s="53"/>
      <c r="O2266" s="53"/>
      <c r="T2266" s="53"/>
      <c r="V2266" s="53"/>
      <c r="W2266" s="55"/>
    </row>
    <row r="2267">
      <c r="K2267" s="53"/>
      <c r="N2267" s="53"/>
      <c r="O2267" s="53"/>
      <c r="T2267" s="53"/>
      <c r="V2267" s="53"/>
      <c r="W2267" s="55"/>
    </row>
    <row r="2268">
      <c r="K2268" s="53"/>
      <c r="N2268" s="53"/>
      <c r="O2268" s="53"/>
      <c r="T2268" s="53"/>
      <c r="V2268" s="53"/>
      <c r="W2268" s="55"/>
    </row>
    <row r="2269">
      <c r="K2269" s="53"/>
      <c r="N2269" s="53"/>
      <c r="O2269" s="53"/>
      <c r="T2269" s="53"/>
      <c r="V2269" s="53"/>
      <c r="W2269" s="55"/>
    </row>
    <row r="2270">
      <c r="K2270" s="53"/>
      <c r="N2270" s="53"/>
      <c r="O2270" s="53"/>
      <c r="T2270" s="53"/>
      <c r="V2270" s="53"/>
      <c r="W2270" s="55"/>
    </row>
    <row r="2271">
      <c r="K2271" s="53"/>
      <c r="N2271" s="53"/>
      <c r="O2271" s="53"/>
      <c r="T2271" s="53"/>
      <c r="V2271" s="53"/>
      <c r="W2271" s="55"/>
    </row>
    <row r="2272">
      <c r="K2272" s="53"/>
      <c r="N2272" s="53"/>
      <c r="O2272" s="53"/>
      <c r="T2272" s="53"/>
      <c r="V2272" s="53"/>
      <c r="W2272" s="55"/>
    </row>
    <row r="2273">
      <c r="K2273" s="53"/>
      <c r="N2273" s="53"/>
      <c r="O2273" s="53"/>
      <c r="T2273" s="53"/>
      <c r="V2273" s="53"/>
      <c r="W2273" s="55"/>
    </row>
    <row r="2274">
      <c r="K2274" s="53"/>
      <c r="N2274" s="53"/>
      <c r="O2274" s="53"/>
      <c r="T2274" s="53"/>
      <c r="V2274" s="53"/>
      <c r="W2274" s="55"/>
    </row>
    <row r="2275">
      <c r="K2275" s="53"/>
      <c r="N2275" s="53"/>
      <c r="O2275" s="53"/>
      <c r="T2275" s="53"/>
      <c r="V2275" s="53"/>
      <c r="W2275" s="55"/>
    </row>
    <row r="2276">
      <c r="K2276" s="53"/>
      <c r="N2276" s="53"/>
      <c r="O2276" s="53"/>
      <c r="T2276" s="53"/>
      <c r="V2276" s="53"/>
      <c r="W2276" s="55"/>
    </row>
    <row r="2277">
      <c r="K2277" s="53"/>
      <c r="N2277" s="53"/>
      <c r="O2277" s="53"/>
      <c r="T2277" s="53"/>
      <c r="V2277" s="53"/>
      <c r="W2277" s="55"/>
    </row>
    <row r="2278">
      <c r="K2278" s="53"/>
      <c r="N2278" s="53"/>
      <c r="O2278" s="53"/>
      <c r="T2278" s="53"/>
      <c r="V2278" s="53"/>
      <c r="W2278" s="55"/>
    </row>
    <row r="2279">
      <c r="K2279" s="53"/>
      <c r="N2279" s="53"/>
      <c r="O2279" s="53"/>
      <c r="T2279" s="53"/>
      <c r="V2279" s="53"/>
      <c r="W2279" s="55"/>
    </row>
    <row r="2280">
      <c r="K2280" s="53"/>
      <c r="N2280" s="53"/>
      <c r="O2280" s="53"/>
      <c r="T2280" s="53"/>
      <c r="V2280" s="53"/>
      <c r="W2280" s="55"/>
    </row>
    <row r="2281">
      <c r="K2281" s="53"/>
      <c r="N2281" s="53"/>
      <c r="O2281" s="53"/>
      <c r="T2281" s="53"/>
      <c r="V2281" s="53"/>
      <c r="W2281" s="55"/>
    </row>
    <row r="2282">
      <c r="K2282" s="53"/>
      <c r="N2282" s="53"/>
      <c r="O2282" s="53"/>
      <c r="T2282" s="53"/>
      <c r="V2282" s="53"/>
      <c r="W2282" s="55"/>
    </row>
    <row r="2283">
      <c r="K2283" s="53"/>
      <c r="N2283" s="53"/>
      <c r="O2283" s="53"/>
      <c r="T2283" s="53"/>
      <c r="V2283" s="53"/>
      <c r="W2283" s="55"/>
    </row>
    <row r="2284">
      <c r="K2284" s="53"/>
      <c r="N2284" s="53"/>
      <c r="O2284" s="53"/>
      <c r="T2284" s="53"/>
      <c r="V2284" s="53"/>
      <c r="W2284" s="55"/>
    </row>
    <row r="2285">
      <c r="K2285" s="53"/>
      <c r="N2285" s="53"/>
      <c r="O2285" s="53"/>
      <c r="T2285" s="53"/>
      <c r="V2285" s="53"/>
      <c r="W2285" s="55"/>
    </row>
    <row r="2286">
      <c r="K2286" s="53"/>
      <c r="N2286" s="53"/>
      <c r="O2286" s="53"/>
      <c r="T2286" s="53"/>
      <c r="V2286" s="53"/>
      <c r="W2286" s="55"/>
    </row>
    <row r="2287">
      <c r="K2287" s="53"/>
      <c r="N2287" s="53"/>
      <c r="O2287" s="53"/>
      <c r="T2287" s="53"/>
      <c r="V2287" s="53"/>
      <c r="W2287" s="55"/>
    </row>
    <row r="2288">
      <c r="K2288" s="53"/>
      <c r="N2288" s="53"/>
      <c r="O2288" s="53"/>
      <c r="T2288" s="53"/>
      <c r="V2288" s="53"/>
      <c r="W2288" s="55"/>
    </row>
    <row r="2289">
      <c r="K2289" s="53"/>
      <c r="N2289" s="53"/>
      <c r="O2289" s="53"/>
      <c r="T2289" s="53"/>
      <c r="V2289" s="53"/>
      <c r="W2289" s="55"/>
    </row>
    <row r="2290">
      <c r="K2290" s="53"/>
      <c r="N2290" s="53"/>
      <c r="O2290" s="53"/>
      <c r="T2290" s="53"/>
      <c r="V2290" s="53"/>
      <c r="W2290" s="55"/>
    </row>
    <row r="2291">
      <c r="K2291" s="53"/>
      <c r="N2291" s="53"/>
      <c r="O2291" s="53"/>
      <c r="T2291" s="53"/>
      <c r="V2291" s="53"/>
      <c r="W2291" s="55"/>
    </row>
    <row r="2292">
      <c r="K2292" s="53"/>
      <c r="N2292" s="53"/>
      <c r="O2292" s="53"/>
      <c r="T2292" s="53"/>
      <c r="V2292" s="53"/>
      <c r="W2292" s="55"/>
    </row>
    <row r="2293">
      <c r="K2293" s="53"/>
      <c r="N2293" s="53"/>
      <c r="O2293" s="53"/>
      <c r="T2293" s="53"/>
      <c r="V2293" s="53"/>
      <c r="W2293" s="55"/>
    </row>
    <row r="2294">
      <c r="K2294" s="53"/>
      <c r="N2294" s="53"/>
      <c r="O2294" s="53"/>
      <c r="T2294" s="53"/>
      <c r="V2294" s="53"/>
      <c r="W2294" s="55"/>
    </row>
    <row r="2295">
      <c r="K2295" s="53"/>
      <c r="N2295" s="53"/>
      <c r="O2295" s="53"/>
      <c r="T2295" s="53"/>
      <c r="V2295" s="53"/>
      <c r="W2295" s="55"/>
    </row>
    <row r="2296">
      <c r="K2296" s="53"/>
      <c r="N2296" s="53"/>
      <c r="O2296" s="53"/>
      <c r="T2296" s="53"/>
      <c r="V2296" s="53"/>
      <c r="W2296" s="55"/>
    </row>
    <row r="2297">
      <c r="K2297" s="53"/>
      <c r="N2297" s="53"/>
      <c r="O2297" s="53"/>
      <c r="T2297" s="53"/>
      <c r="V2297" s="53"/>
      <c r="W2297" s="55"/>
    </row>
    <row r="2298">
      <c r="K2298" s="53"/>
      <c r="N2298" s="53"/>
      <c r="O2298" s="53"/>
      <c r="T2298" s="53"/>
      <c r="V2298" s="53"/>
      <c r="W2298" s="55"/>
    </row>
    <row r="2299">
      <c r="K2299" s="53"/>
      <c r="N2299" s="53"/>
      <c r="O2299" s="53"/>
      <c r="T2299" s="53"/>
      <c r="V2299" s="53"/>
      <c r="W2299" s="55"/>
    </row>
    <row r="2300">
      <c r="K2300" s="53"/>
      <c r="N2300" s="53"/>
      <c r="O2300" s="53"/>
      <c r="T2300" s="53"/>
      <c r="V2300" s="53"/>
      <c r="W2300" s="55"/>
    </row>
    <row r="2301">
      <c r="K2301" s="53"/>
      <c r="N2301" s="53"/>
      <c r="O2301" s="53"/>
      <c r="T2301" s="53"/>
      <c r="V2301" s="53"/>
      <c r="W2301" s="55"/>
    </row>
    <row r="2302">
      <c r="K2302" s="53"/>
      <c r="N2302" s="53"/>
      <c r="O2302" s="53"/>
      <c r="T2302" s="53"/>
      <c r="V2302" s="53"/>
      <c r="W2302" s="55"/>
    </row>
    <row r="2303">
      <c r="K2303" s="53"/>
      <c r="N2303" s="53"/>
      <c r="O2303" s="53"/>
      <c r="T2303" s="53"/>
      <c r="V2303" s="53"/>
      <c r="W2303" s="55"/>
    </row>
    <row r="2304">
      <c r="K2304" s="53"/>
      <c r="N2304" s="53"/>
      <c r="O2304" s="53"/>
      <c r="T2304" s="53"/>
      <c r="V2304" s="53"/>
      <c r="W2304" s="55"/>
    </row>
    <row r="2305">
      <c r="K2305" s="53"/>
      <c r="N2305" s="53"/>
      <c r="O2305" s="53"/>
      <c r="T2305" s="53"/>
      <c r="V2305" s="53"/>
      <c r="W2305" s="55"/>
    </row>
    <row r="2306">
      <c r="K2306" s="53"/>
      <c r="N2306" s="53"/>
      <c r="O2306" s="53"/>
      <c r="T2306" s="53"/>
      <c r="V2306" s="53"/>
      <c r="W2306" s="55"/>
    </row>
    <row r="2307">
      <c r="K2307" s="53"/>
      <c r="N2307" s="53"/>
      <c r="O2307" s="53"/>
      <c r="T2307" s="53"/>
      <c r="V2307" s="53"/>
      <c r="W2307" s="55"/>
    </row>
    <row r="2308">
      <c r="K2308" s="53"/>
      <c r="N2308" s="53"/>
      <c r="O2308" s="53"/>
      <c r="T2308" s="53"/>
      <c r="V2308" s="53"/>
      <c r="W2308" s="55"/>
    </row>
    <row r="2309">
      <c r="K2309" s="53"/>
      <c r="N2309" s="53"/>
      <c r="O2309" s="53"/>
      <c r="T2309" s="53"/>
      <c r="V2309" s="53"/>
      <c r="W2309" s="55"/>
    </row>
    <row r="2310">
      <c r="K2310" s="53"/>
      <c r="N2310" s="53"/>
      <c r="O2310" s="53"/>
      <c r="T2310" s="53"/>
      <c r="V2310" s="53"/>
      <c r="W2310" s="55"/>
    </row>
    <row r="2311">
      <c r="K2311" s="53"/>
      <c r="N2311" s="53"/>
      <c r="O2311" s="53"/>
      <c r="T2311" s="53"/>
      <c r="V2311" s="53"/>
      <c r="W2311" s="55"/>
    </row>
    <row r="2312">
      <c r="K2312" s="53"/>
      <c r="N2312" s="53"/>
      <c r="O2312" s="53"/>
      <c r="T2312" s="53"/>
      <c r="V2312" s="53"/>
      <c r="W2312" s="55"/>
    </row>
    <row r="2313">
      <c r="K2313" s="53"/>
      <c r="N2313" s="53"/>
      <c r="O2313" s="53"/>
      <c r="T2313" s="53"/>
      <c r="V2313" s="53"/>
      <c r="W2313" s="55"/>
    </row>
    <row r="2314">
      <c r="K2314" s="53"/>
      <c r="N2314" s="53"/>
      <c r="O2314" s="53"/>
      <c r="T2314" s="53"/>
      <c r="V2314" s="53"/>
      <c r="W2314" s="55"/>
    </row>
    <row r="2315">
      <c r="K2315" s="53"/>
      <c r="N2315" s="53"/>
      <c r="O2315" s="53"/>
      <c r="T2315" s="53"/>
      <c r="V2315" s="53"/>
      <c r="W2315" s="55"/>
    </row>
    <row r="2316">
      <c r="K2316" s="53"/>
      <c r="N2316" s="53"/>
      <c r="O2316" s="53"/>
      <c r="T2316" s="53"/>
      <c r="V2316" s="53"/>
      <c r="W2316" s="55"/>
    </row>
    <row r="2317">
      <c r="K2317" s="53"/>
      <c r="N2317" s="53"/>
      <c r="O2317" s="53"/>
      <c r="T2317" s="53"/>
      <c r="V2317" s="53"/>
      <c r="W2317" s="55"/>
    </row>
    <row r="2318">
      <c r="K2318" s="53"/>
      <c r="N2318" s="53"/>
      <c r="O2318" s="53"/>
      <c r="T2318" s="53"/>
      <c r="V2318" s="53"/>
      <c r="W2318" s="55"/>
    </row>
    <row r="2319">
      <c r="K2319" s="53"/>
      <c r="N2319" s="53"/>
      <c r="O2319" s="53"/>
      <c r="T2319" s="53"/>
      <c r="V2319" s="53"/>
      <c r="W2319" s="55"/>
    </row>
    <row r="2320">
      <c r="K2320" s="53"/>
      <c r="N2320" s="53"/>
      <c r="O2320" s="53"/>
      <c r="T2320" s="53"/>
      <c r="V2320" s="53"/>
      <c r="W2320" s="55"/>
    </row>
    <row r="2321">
      <c r="K2321" s="53"/>
      <c r="N2321" s="53"/>
      <c r="O2321" s="53"/>
      <c r="T2321" s="53"/>
      <c r="V2321" s="53"/>
      <c r="W2321" s="55"/>
    </row>
    <row r="2322">
      <c r="K2322" s="53"/>
      <c r="N2322" s="53"/>
      <c r="O2322" s="53"/>
      <c r="T2322" s="53"/>
      <c r="V2322" s="53"/>
      <c r="W2322" s="55"/>
    </row>
    <row r="2323">
      <c r="K2323" s="53"/>
      <c r="N2323" s="53"/>
      <c r="O2323" s="53"/>
      <c r="T2323" s="53"/>
      <c r="V2323" s="53"/>
      <c r="W2323" s="55"/>
    </row>
    <row r="2324">
      <c r="K2324" s="53"/>
      <c r="N2324" s="53"/>
      <c r="O2324" s="53"/>
      <c r="T2324" s="53"/>
      <c r="V2324" s="53"/>
      <c r="W2324" s="55"/>
    </row>
    <row r="2325">
      <c r="K2325" s="53"/>
      <c r="N2325" s="53"/>
      <c r="O2325" s="53"/>
      <c r="T2325" s="53"/>
      <c r="V2325" s="53"/>
      <c r="W2325" s="55"/>
    </row>
    <row r="2326">
      <c r="K2326" s="53"/>
      <c r="N2326" s="53"/>
      <c r="O2326" s="53"/>
      <c r="T2326" s="53"/>
      <c r="V2326" s="53"/>
      <c r="W2326" s="55"/>
    </row>
    <row r="2327">
      <c r="K2327" s="53"/>
      <c r="N2327" s="53"/>
      <c r="O2327" s="53"/>
      <c r="T2327" s="53"/>
      <c r="V2327" s="53"/>
      <c r="W2327" s="55"/>
    </row>
    <row r="2328">
      <c r="K2328" s="53"/>
      <c r="N2328" s="53"/>
      <c r="O2328" s="53"/>
      <c r="T2328" s="53"/>
      <c r="V2328" s="53"/>
      <c r="W2328" s="55"/>
    </row>
    <row r="2329">
      <c r="K2329" s="53"/>
      <c r="N2329" s="53"/>
      <c r="O2329" s="53"/>
      <c r="T2329" s="53"/>
      <c r="V2329" s="53"/>
      <c r="W2329" s="55"/>
    </row>
    <row r="2330">
      <c r="K2330" s="53"/>
      <c r="N2330" s="53"/>
      <c r="O2330" s="53"/>
      <c r="T2330" s="53"/>
      <c r="V2330" s="53"/>
      <c r="W2330" s="55"/>
    </row>
    <row r="2331">
      <c r="K2331" s="53"/>
      <c r="N2331" s="53"/>
      <c r="O2331" s="53"/>
      <c r="T2331" s="53"/>
      <c r="V2331" s="53"/>
      <c r="W2331" s="55"/>
    </row>
    <row r="2332">
      <c r="K2332" s="53"/>
      <c r="N2332" s="53"/>
      <c r="O2332" s="53"/>
      <c r="T2332" s="53"/>
      <c r="V2332" s="53"/>
      <c r="W2332" s="55"/>
    </row>
    <row r="2333">
      <c r="K2333" s="53"/>
      <c r="N2333" s="53"/>
      <c r="O2333" s="53"/>
      <c r="T2333" s="53"/>
      <c r="V2333" s="53"/>
      <c r="W2333" s="55"/>
    </row>
    <row r="2334">
      <c r="K2334" s="53"/>
      <c r="N2334" s="53"/>
      <c r="O2334" s="53"/>
      <c r="T2334" s="53"/>
      <c r="V2334" s="53"/>
      <c r="W2334" s="55"/>
    </row>
    <row r="2335">
      <c r="K2335" s="53"/>
      <c r="N2335" s="53"/>
      <c r="O2335" s="53"/>
      <c r="T2335" s="53"/>
      <c r="V2335" s="53"/>
      <c r="W2335" s="55"/>
    </row>
    <row r="2336">
      <c r="K2336" s="53"/>
      <c r="N2336" s="53"/>
      <c r="O2336" s="53"/>
      <c r="T2336" s="53"/>
      <c r="V2336" s="53"/>
      <c r="W2336" s="55"/>
    </row>
    <row r="2337">
      <c r="K2337" s="53"/>
      <c r="N2337" s="53"/>
      <c r="O2337" s="53"/>
      <c r="T2337" s="53"/>
      <c r="V2337" s="53"/>
      <c r="W2337" s="55"/>
    </row>
    <row r="2338">
      <c r="K2338" s="53"/>
      <c r="N2338" s="53"/>
      <c r="O2338" s="53"/>
      <c r="T2338" s="53"/>
      <c r="V2338" s="53"/>
      <c r="W2338" s="55"/>
    </row>
    <row r="2339">
      <c r="K2339" s="53"/>
      <c r="N2339" s="53"/>
      <c r="O2339" s="53"/>
      <c r="T2339" s="53"/>
      <c r="V2339" s="53"/>
      <c r="W2339" s="55"/>
    </row>
    <row r="2340">
      <c r="K2340" s="53"/>
      <c r="N2340" s="53"/>
      <c r="O2340" s="53"/>
      <c r="T2340" s="53"/>
      <c r="V2340" s="53"/>
      <c r="W2340" s="55"/>
    </row>
    <row r="2341">
      <c r="K2341" s="53"/>
      <c r="N2341" s="53"/>
      <c r="O2341" s="53"/>
      <c r="T2341" s="53"/>
      <c r="V2341" s="53"/>
      <c r="W2341" s="55"/>
    </row>
    <row r="2342">
      <c r="K2342" s="53"/>
      <c r="N2342" s="53"/>
      <c r="O2342" s="53"/>
      <c r="T2342" s="53"/>
      <c r="V2342" s="53"/>
      <c r="W2342" s="55"/>
    </row>
    <row r="2343">
      <c r="K2343" s="53"/>
      <c r="N2343" s="53"/>
      <c r="O2343" s="53"/>
      <c r="T2343" s="53"/>
      <c r="V2343" s="53"/>
      <c r="W2343" s="55"/>
    </row>
    <row r="2344">
      <c r="K2344" s="53"/>
      <c r="N2344" s="53"/>
      <c r="O2344" s="53"/>
      <c r="T2344" s="53"/>
      <c r="V2344" s="53"/>
      <c r="W2344" s="55"/>
    </row>
    <row r="2345">
      <c r="K2345" s="53"/>
      <c r="N2345" s="53"/>
      <c r="O2345" s="53"/>
      <c r="T2345" s="53"/>
      <c r="V2345" s="53"/>
      <c r="W2345" s="55"/>
    </row>
    <row r="2346">
      <c r="K2346" s="53"/>
      <c r="N2346" s="53"/>
      <c r="O2346" s="53"/>
      <c r="T2346" s="53"/>
      <c r="V2346" s="53"/>
      <c r="W2346" s="55"/>
    </row>
    <row r="2347">
      <c r="K2347" s="53"/>
      <c r="N2347" s="53"/>
      <c r="O2347" s="53"/>
      <c r="T2347" s="53"/>
      <c r="V2347" s="53"/>
      <c r="W2347" s="55"/>
    </row>
    <row r="2348">
      <c r="K2348" s="53"/>
      <c r="N2348" s="53"/>
      <c r="O2348" s="53"/>
      <c r="T2348" s="53"/>
      <c r="V2348" s="53"/>
      <c r="W2348" s="55"/>
    </row>
    <row r="2349">
      <c r="K2349" s="53"/>
      <c r="N2349" s="53"/>
      <c r="O2349" s="53"/>
      <c r="T2349" s="53"/>
      <c r="V2349" s="53"/>
      <c r="W2349" s="55"/>
    </row>
    <row r="2350">
      <c r="K2350" s="53"/>
      <c r="N2350" s="53"/>
      <c r="O2350" s="53"/>
      <c r="T2350" s="53"/>
      <c r="V2350" s="53"/>
      <c r="W2350" s="55"/>
    </row>
    <row r="2351">
      <c r="K2351" s="53"/>
      <c r="N2351" s="53"/>
      <c r="O2351" s="53"/>
      <c r="T2351" s="53"/>
      <c r="V2351" s="53"/>
      <c r="W2351" s="55"/>
    </row>
    <row r="2352">
      <c r="K2352" s="53"/>
      <c r="N2352" s="53"/>
      <c r="O2352" s="53"/>
      <c r="T2352" s="53"/>
      <c r="V2352" s="53"/>
      <c r="W2352" s="55"/>
    </row>
    <row r="2353">
      <c r="K2353" s="53"/>
      <c r="N2353" s="53"/>
      <c r="O2353" s="53"/>
      <c r="T2353" s="53"/>
      <c r="V2353" s="53"/>
      <c r="W2353" s="55"/>
    </row>
    <row r="2354">
      <c r="K2354" s="53"/>
      <c r="N2354" s="53"/>
      <c r="O2354" s="53"/>
      <c r="T2354" s="53"/>
      <c r="V2354" s="53"/>
      <c r="W2354" s="55"/>
    </row>
    <row r="2355">
      <c r="K2355" s="53"/>
      <c r="N2355" s="53"/>
      <c r="O2355" s="53"/>
      <c r="T2355" s="53"/>
      <c r="V2355" s="53"/>
      <c r="W2355" s="55"/>
    </row>
    <row r="2356">
      <c r="K2356" s="53"/>
      <c r="N2356" s="53"/>
      <c r="O2356" s="53"/>
      <c r="T2356" s="53"/>
      <c r="V2356" s="53"/>
      <c r="W2356" s="55"/>
    </row>
    <row r="2357">
      <c r="K2357" s="53"/>
      <c r="N2357" s="53"/>
      <c r="O2357" s="53"/>
      <c r="T2357" s="53"/>
      <c r="V2357" s="53"/>
      <c r="W2357" s="55"/>
    </row>
    <row r="2358">
      <c r="K2358" s="53"/>
      <c r="N2358" s="53"/>
      <c r="O2358" s="53"/>
      <c r="T2358" s="53"/>
      <c r="V2358" s="53"/>
      <c r="W2358" s="55"/>
    </row>
    <row r="2359">
      <c r="K2359" s="53"/>
      <c r="N2359" s="53"/>
      <c r="O2359" s="53"/>
      <c r="T2359" s="53"/>
      <c r="V2359" s="53"/>
      <c r="W2359" s="55"/>
    </row>
    <row r="2360">
      <c r="K2360" s="53"/>
      <c r="N2360" s="53"/>
      <c r="O2360" s="53"/>
      <c r="T2360" s="53"/>
      <c r="V2360" s="53"/>
      <c r="W2360" s="55"/>
    </row>
    <row r="2361">
      <c r="K2361" s="53"/>
      <c r="N2361" s="53"/>
      <c r="O2361" s="53"/>
      <c r="T2361" s="53"/>
      <c r="V2361" s="53"/>
      <c r="W2361" s="55"/>
    </row>
    <row r="2362">
      <c r="K2362" s="53"/>
      <c r="N2362" s="53"/>
      <c r="O2362" s="53"/>
      <c r="T2362" s="53"/>
      <c r="V2362" s="53"/>
      <c r="W2362" s="55"/>
    </row>
    <row r="2363">
      <c r="K2363" s="53"/>
      <c r="N2363" s="53"/>
      <c r="O2363" s="53"/>
      <c r="T2363" s="53"/>
      <c r="V2363" s="53"/>
      <c r="W2363" s="55"/>
    </row>
    <row r="2364">
      <c r="K2364" s="53"/>
      <c r="N2364" s="53"/>
      <c r="O2364" s="53"/>
      <c r="T2364" s="53"/>
      <c r="V2364" s="53"/>
      <c r="W2364" s="55"/>
    </row>
    <row r="2365">
      <c r="K2365" s="53"/>
      <c r="N2365" s="53"/>
      <c r="O2365" s="53"/>
      <c r="T2365" s="53"/>
      <c r="V2365" s="53"/>
      <c r="W2365" s="55"/>
    </row>
    <row r="2366">
      <c r="K2366" s="53"/>
      <c r="N2366" s="53"/>
      <c r="O2366" s="53"/>
      <c r="T2366" s="53"/>
      <c r="V2366" s="53"/>
      <c r="W2366" s="55"/>
    </row>
    <row r="2367">
      <c r="K2367" s="53"/>
      <c r="N2367" s="53"/>
      <c r="O2367" s="53"/>
      <c r="T2367" s="53"/>
      <c r="V2367" s="53"/>
      <c r="W2367" s="55"/>
    </row>
    <row r="2368">
      <c r="K2368" s="53"/>
      <c r="N2368" s="53"/>
      <c r="O2368" s="53"/>
      <c r="T2368" s="53"/>
      <c r="V2368" s="53"/>
      <c r="W2368" s="55"/>
    </row>
    <row r="2369">
      <c r="K2369" s="53"/>
      <c r="N2369" s="53"/>
      <c r="O2369" s="53"/>
      <c r="T2369" s="53"/>
      <c r="V2369" s="53"/>
      <c r="W2369" s="55"/>
    </row>
    <row r="2370">
      <c r="K2370" s="53"/>
      <c r="N2370" s="53"/>
      <c r="O2370" s="53"/>
      <c r="T2370" s="53"/>
      <c r="V2370" s="53"/>
      <c r="W2370" s="55"/>
    </row>
    <row r="2371">
      <c r="K2371" s="53"/>
      <c r="N2371" s="53"/>
      <c r="O2371" s="53"/>
      <c r="T2371" s="53"/>
      <c r="V2371" s="53"/>
      <c r="W2371" s="55"/>
    </row>
    <row r="2372">
      <c r="K2372" s="53"/>
      <c r="N2372" s="53"/>
      <c r="O2372" s="53"/>
      <c r="T2372" s="53"/>
      <c r="V2372" s="53"/>
      <c r="W2372" s="55"/>
    </row>
    <row r="2373">
      <c r="K2373" s="53"/>
      <c r="N2373" s="53"/>
      <c r="O2373" s="53"/>
      <c r="T2373" s="53"/>
      <c r="V2373" s="53"/>
      <c r="W2373" s="55"/>
    </row>
    <row r="2374">
      <c r="K2374" s="53"/>
      <c r="N2374" s="53"/>
      <c r="O2374" s="53"/>
      <c r="T2374" s="53"/>
      <c r="V2374" s="53"/>
      <c r="W2374" s="55"/>
    </row>
    <row r="2375">
      <c r="K2375" s="53"/>
      <c r="N2375" s="53"/>
      <c r="O2375" s="53"/>
      <c r="T2375" s="53"/>
      <c r="V2375" s="53"/>
      <c r="W2375" s="55"/>
    </row>
    <row r="2376">
      <c r="K2376" s="53"/>
      <c r="N2376" s="53"/>
      <c r="O2376" s="53"/>
      <c r="T2376" s="53"/>
      <c r="V2376" s="53"/>
      <c r="W2376" s="55"/>
    </row>
    <row r="2377">
      <c r="K2377" s="53"/>
      <c r="N2377" s="53"/>
      <c r="O2377" s="53"/>
      <c r="T2377" s="53"/>
      <c r="V2377" s="53"/>
      <c r="W2377" s="55"/>
    </row>
    <row r="2378">
      <c r="K2378" s="53"/>
      <c r="N2378" s="53"/>
      <c r="O2378" s="53"/>
      <c r="T2378" s="53"/>
      <c r="V2378" s="53"/>
      <c r="W2378" s="55"/>
    </row>
    <row r="2379">
      <c r="K2379" s="53"/>
      <c r="N2379" s="53"/>
      <c r="O2379" s="53"/>
      <c r="T2379" s="53"/>
      <c r="V2379" s="53"/>
      <c r="W2379" s="55"/>
    </row>
    <row r="2380">
      <c r="K2380" s="53"/>
      <c r="N2380" s="53"/>
      <c r="O2380" s="53"/>
      <c r="T2380" s="53"/>
      <c r="V2380" s="53"/>
      <c r="W2380" s="55"/>
    </row>
    <row r="2381">
      <c r="K2381" s="53"/>
      <c r="N2381" s="53"/>
      <c r="O2381" s="53"/>
      <c r="T2381" s="53"/>
      <c r="V2381" s="53"/>
      <c r="W2381" s="55"/>
    </row>
    <row r="2382">
      <c r="K2382" s="53"/>
      <c r="N2382" s="53"/>
      <c r="O2382" s="53"/>
      <c r="T2382" s="53"/>
      <c r="V2382" s="53"/>
      <c r="W2382" s="55"/>
    </row>
    <row r="2383">
      <c r="K2383" s="53"/>
      <c r="N2383" s="53"/>
      <c r="O2383" s="53"/>
      <c r="T2383" s="53"/>
      <c r="V2383" s="53"/>
      <c r="W2383" s="55"/>
    </row>
    <row r="2384">
      <c r="K2384" s="53"/>
      <c r="N2384" s="53"/>
      <c r="O2384" s="53"/>
      <c r="T2384" s="53"/>
      <c r="V2384" s="53"/>
      <c r="W2384" s="55"/>
    </row>
    <row r="2385">
      <c r="K2385" s="53"/>
      <c r="N2385" s="53"/>
      <c r="O2385" s="53"/>
      <c r="T2385" s="53"/>
      <c r="V2385" s="53"/>
      <c r="W2385" s="55"/>
    </row>
    <row r="2386">
      <c r="K2386" s="53"/>
      <c r="N2386" s="53"/>
      <c r="O2386" s="53"/>
      <c r="T2386" s="53"/>
      <c r="V2386" s="53"/>
      <c r="W2386" s="55"/>
    </row>
    <row r="2387">
      <c r="K2387" s="53"/>
      <c r="N2387" s="53"/>
      <c r="O2387" s="53"/>
      <c r="T2387" s="53"/>
      <c r="V2387" s="53"/>
      <c r="W2387" s="55"/>
    </row>
    <row r="2388">
      <c r="K2388" s="53"/>
      <c r="N2388" s="53"/>
      <c r="O2388" s="53"/>
      <c r="T2388" s="53"/>
      <c r="V2388" s="53"/>
      <c r="W2388" s="55"/>
    </row>
    <row r="2389">
      <c r="K2389" s="53"/>
      <c r="N2389" s="53"/>
      <c r="O2389" s="53"/>
      <c r="T2389" s="53"/>
      <c r="V2389" s="53"/>
      <c r="W2389" s="55"/>
    </row>
    <row r="2390">
      <c r="K2390" s="53"/>
      <c r="N2390" s="53"/>
      <c r="O2390" s="53"/>
      <c r="T2390" s="53"/>
      <c r="V2390" s="53"/>
      <c r="W2390" s="55"/>
    </row>
    <row r="2391">
      <c r="K2391" s="53"/>
      <c r="N2391" s="53"/>
      <c r="O2391" s="53"/>
      <c r="T2391" s="53"/>
      <c r="V2391" s="53"/>
      <c r="W2391" s="55"/>
    </row>
    <row r="2392">
      <c r="K2392" s="53"/>
      <c r="N2392" s="53"/>
      <c r="O2392" s="53"/>
      <c r="T2392" s="53"/>
      <c r="V2392" s="53"/>
      <c r="W2392" s="55"/>
    </row>
    <row r="2393">
      <c r="K2393" s="53"/>
      <c r="N2393" s="53"/>
      <c r="O2393" s="53"/>
      <c r="T2393" s="53"/>
      <c r="V2393" s="53"/>
      <c r="W2393" s="55"/>
    </row>
    <row r="2394">
      <c r="K2394" s="53"/>
      <c r="N2394" s="53"/>
      <c r="O2394" s="53"/>
      <c r="T2394" s="53"/>
      <c r="V2394" s="53"/>
      <c r="W2394" s="55"/>
    </row>
    <row r="2395">
      <c r="K2395" s="53"/>
      <c r="N2395" s="53"/>
      <c r="O2395" s="53"/>
      <c r="T2395" s="53"/>
      <c r="V2395" s="53"/>
      <c r="W2395" s="55"/>
    </row>
    <row r="2396">
      <c r="K2396" s="53"/>
      <c r="N2396" s="53"/>
      <c r="O2396" s="53"/>
      <c r="T2396" s="53"/>
      <c r="V2396" s="53"/>
      <c r="W2396" s="55"/>
    </row>
    <row r="2397">
      <c r="K2397" s="53"/>
      <c r="N2397" s="53"/>
      <c r="O2397" s="53"/>
      <c r="T2397" s="53"/>
      <c r="V2397" s="53"/>
      <c r="W2397" s="55"/>
    </row>
    <row r="2398">
      <c r="K2398" s="53"/>
      <c r="N2398" s="53"/>
      <c r="O2398" s="53"/>
      <c r="T2398" s="53"/>
      <c r="V2398" s="53"/>
      <c r="W2398" s="55"/>
    </row>
    <row r="2399">
      <c r="K2399" s="53"/>
      <c r="N2399" s="53"/>
      <c r="O2399" s="53"/>
      <c r="T2399" s="53"/>
      <c r="V2399" s="53"/>
      <c r="W2399" s="55"/>
    </row>
    <row r="2400">
      <c r="K2400" s="53"/>
      <c r="N2400" s="53"/>
      <c r="O2400" s="53"/>
      <c r="T2400" s="53"/>
      <c r="V2400" s="53"/>
      <c r="W2400" s="55"/>
    </row>
    <row r="2401">
      <c r="K2401" s="53"/>
      <c r="N2401" s="53"/>
      <c r="O2401" s="53"/>
      <c r="T2401" s="53"/>
      <c r="V2401" s="53"/>
      <c r="W2401" s="55"/>
    </row>
    <row r="2402">
      <c r="K2402" s="53"/>
      <c r="N2402" s="53"/>
      <c r="O2402" s="53"/>
      <c r="T2402" s="53"/>
      <c r="V2402" s="53"/>
      <c r="W2402" s="55"/>
    </row>
    <row r="2403">
      <c r="K2403" s="53"/>
      <c r="N2403" s="53"/>
      <c r="O2403" s="53"/>
      <c r="T2403" s="53"/>
      <c r="V2403" s="53"/>
      <c r="W2403" s="55"/>
    </row>
    <row r="2404">
      <c r="K2404" s="53"/>
      <c r="N2404" s="53"/>
      <c r="O2404" s="53"/>
      <c r="T2404" s="53"/>
      <c r="V2404" s="53"/>
      <c r="W2404" s="55"/>
    </row>
    <row r="2405">
      <c r="K2405" s="53"/>
      <c r="N2405" s="53"/>
      <c r="O2405" s="53"/>
      <c r="T2405" s="53"/>
      <c r="V2405" s="53"/>
      <c r="W2405" s="55"/>
    </row>
    <row r="2406">
      <c r="K2406" s="53"/>
      <c r="N2406" s="53"/>
      <c r="O2406" s="53"/>
      <c r="T2406" s="53"/>
      <c r="V2406" s="53"/>
      <c r="W2406" s="55"/>
    </row>
    <row r="2407">
      <c r="K2407" s="53"/>
      <c r="N2407" s="53"/>
      <c r="O2407" s="53"/>
      <c r="T2407" s="53"/>
      <c r="V2407" s="53"/>
      <c r="W2407" s="55"/>
    </row>
    <row r="2408">
      <c r="K2408" s="53"/>
      <c r="N2408" s="53"/>
      <c r="O2408" s="53"/>
      <c r="T2408" s="53"/>
      <c r="V2408" s="53"/>
      <c r="W2408" s="55"/>
    </row>
    <row r="2409">
      <c r="K2409" s="53"/>
      <c r="N2409" s="53"/>
      <c r="O2409" s="53"/>
      <c r="T2409" s="53"/>
      <c r="V2409" s="53"/>
      <c r="W2409" s="55"/>
    </row>
    <row r="2410">
      <c r="K2410" s="53"/>
      <c r="N2410" s="53"/>
      <c r="O2410" s="53"/>
      <c r="T2410" s="53"/>
      <c r="V2410" s="53"/>
      <c r="W2410" s="55"/>
    </row>
    <row r="2411">
      <c r="K2411" s="53"/>
      <c r="N2411" s="53"/>
      <c r="O2411" s="53"/>
      <c r="T2411" s="53"/>
      <c r="V2411" s="53"/>
      <c r="W2411" s="55"/>
    </row>
    <row r="2412">
      <c r="K2412" s="53"/>
      <c r="N2412" s="53"/>
      <c r="O2412" s="53"/>
      <c r="T2412" s="53"/>
      <c r="V2412" s="53"/>
      <c r="W2412" s="55"/>
    </row>
    <row r="2413">
      <c r="K2413" s="53"/>
      <c r="N2413" s="53"/>
      <c r="O2413" s="53"/>
      <c r="T2413" s="53"/>
      <c r="V2413" s="53"/>
      <c r="W2413" s="55"/>
    </row>
    <row r="2414">
      <c r="K2414" s="53"/>
      <c r="N2414" s="53"/>
      <c r="O2414" s="53"/>
      <c r="T2414" s="53"/>
      <c r="V2414" s="53"/>
      <c r="W2414" s="55"/>
    </row>
    <row r="2415">
      <c r="K2415" s="53"/>
      <c r="N2415" s="53"/>
      <c r="O2415" s="53"/>
      <c r="T2415" s="53"/>
      <c r="V2415" s="53"/>
      <c r="W2415" s="55"/>
    </row>
    <row r="2416">
      <c r="K2416" s="53"/>
      <c r="N2416" s="53"/>
      <c r="O2416" s="53"/>
      <c r="T2416" s="53"/>
      <c r="V2416" s="53"/>
      <c r="W2416" s="55"/>
    </row>
    <row r="2417">
      <c r="K2417" s="53"/>
      <c r="N2417" s="53"/>
      <c r="O2417" s="53"/>
      <c r="T2417" s="53"/>
      <c r="V2417" s="53"/>
      <c r="W2417" s="55"/>
    </row>
    <row r="2418">
      <c r="K2418" s="53"/>
      <c r="N2418" s="53"/>
      <c r="O2418" s="53"/>
      <c r="T2418" s="53"/>
      <c r="V2418" s="53"/>
      <c r="W2418" s="55"/>
    </row>
    <row r="2419">
      <c r="K2419" s="53"/>
      <c r="N2419" s="53"/>
      <c r="O2419" s="53"/>
      <c r="T2419" s="53"/>
      <c r="V2419" s="53"/>
      <c r="W2419" s="55"/>
    </row>
    <row r="2420">
      <c r="K2420" s="53"/>
      <c r="N2420" s="53"/>
      <c r="O2420" s="53"/>
      <c r="T2420" s="53"/>
      <c r="V2420" s="53"/>
      <c r="W2420" s="55"/>
    </row>
    <row r="2421">
      <c r="K2421" s="53"/>
      <c r="N2421" s="53"/>
      <c r="O2421" s="53"/>
      <c r="T2421" s="53"/>
      <c r="V2421" s="53"/>
      <c r="W2421" s="55"/>
    </row>
    <row r="2422">
      <c r="K2422" s="53"/>
      <c r="N2422" s="53"/>
      <c r="O2422" s="53"/>
      <c r="T2422" s="53"/>
      <c r="V2422" s="53"/>
      <c r="W2422" s="55"/>
    </row>
    <row r="2423">
      <c r="K2423" s="53"/>
      <c r="N2423" s="53"/>
      <c r="O2423" s="53"/>
      <c r="T2423" s="53"/>
      <c r="V2423" s="53"/>
      <c r="W2423" s="55"/>
    </row>
    <row r="2424">
      <c r="K2424" s="53"/>
      <c r="N2424" s="53"/>
      <c r="O2424" s="53"/>
      <c r="T2424" s="53"/>
      <c r="V2424" s="53"/>
      <c r="W2424" s="55"/>
    </row>
    <row r="2425">
      <c r="K2425" s="53"/>
      <c r="N2425" s="53"/>
      <c r="O2425" s="53"/>
      <c r="T2425" s="53"/>
      <c r="V2425" s="53"/>
      <c r="W2425" s="55"/>
    </row>
    <row r="2426">
      <c r="K2426" s="53"/>
      <c r="N2426" s="53"/>
      <c r="O2426" s="53"/>
      <c r="T2426" s="53"/>
      <c r="V2426" s="53"/>
      <c r="W2426" s="55"/>
    </row>
    <row r="2427">
      <c r="K2427" s="53"/>
      <c r="N2427" s="53"/>
      <c r="O2427" s="53"/>
      <c r="T2427" s="53"/>
      <c r="V2427" s="53"/>
      <c r="W2427" s="55"/>
    </row>
    <row r="2428">
      <c r="K2428" s="53"/>
      <c r="N2428" s="53"/>
      <c r="O2428" s="53"/>
      <c r="T2428" s="53"/>
      <c r="V2428" s="53"/>
      <c r="W2428" s="55"/>
    </row>
    <row r="2429">
      <c r="K2429" s="53"/>
      <c r="N2429" s="53"/>
      <c r="O2429" s="53"/>
      <c r="T2429" s="53"/>
      <c r="V2429" s="53"/>
      <c r="W2429" s="55"/>
    </row>
    <row r="2430">
      <c r="K2430" s="53"/>
      <c r="N2430" s="53"/>
      <c r="O2430" s="53"/>
      <c r="T2430" s="53"/>
      <c r="V2430" s="53"/>
      <c r="W2430" s="55"/>
    </row>
    <row r="2431">
      <c r="K2431" s="53"/>
      <c r="N2431" s="53"/>
      <c r="O2431" s="53"/>
      <c r="T2431" s="53"/>
      <c r="V2431" s="53"/>
      <c r="W2431" s="55"/>
    </row>
    <row r="2432">
      <c r="K2432" s="53"/>
      <c r="N2432" s="53"/>
      <c r="O2432" s="53"/>
      <c r="T2432" s="53"/>
      <c r="V2432" s="53"/>
      <c r="W2432" s="55"/>
    </row>
    <row r="2433">
      <c r="K2433" s="53"/>
      <c r="N2433" s="53"/>
      <c r="O2433" s="53"/>
      <c r="T2433" s="53"/>
      <c r="V2433" s="53"/>
      <c r="W2433" s="55"/>
    </row>
    <row r="2434">
      <c r="K2434" s="53"/>
      <c r="N2434" s="53"/>
      <c r="O2434" s="53"/>
      <c r="T2434" s="53"/>
      <c r="V2434" s="53"/>
      <c r="W2434" s="55"/>
    </row>
    <row r="2435">
      <c r="K2435" s="53"/>
      <c r="N2435" s="53"/>
      <c r="O2435" s="53"/>
      <c r="T2435" s="53"/>
      <c r="V2435" s="53"/>
      <c r="W2435" s="55"/>
    </row>
    <row r="2436">
      <c r="K2436" s="53"/>
      <c r="N2436" s="53"/>
      <c r="O2436" s="53"/>
      <c r="T2436" s="53"/>
      <c r="V2436" s="53"/>
      <c r="W2436" s="55"/>
    </row>
    <row r="2437">
      <c r="K2437" s="53"/>
      <c r="N2437" s="53"/>
      <c r="O2437" s="53"/>
      <c r="T2437" s="53"/>
      <c r="V2437" s="53"/>
      <c r="W2437" s="55"/>
    </row>
    <row r="2438">
      <c r="K2438" s="53"/>
      <c r="N2438" s="53"/>
      <c r="O2438" s="53"/>
      <c r="T2438" s="53"/>
      <c r="V2438" s="53"/>
      <c r="W2438" s="55"/>
    </row>
    <row r="2439">
      <c r="K2439" s="53"/>
      <c r="N2439" s="53"/>
      <c r="O2439" s="53"/>
      <c r="T2439" s="53"/>
      <c r="V2439" s="53"/>
      <c r="W2439" s="55"/>
    </row>
    <row r="2440">
      <c r="K2440" s="53"/>
      <c r="N2440" s="53"/>
      <c r="O2440" s="53"/>
      <c r="T2440" s="53"/>
      <c r="V2440" s="53"/>
      <c r="W2440" s="55"/>
    </row>
    <row r="2441">
      <c r="K2441" s="53"/>
      <c r="N2441" s="53"/>
      <c r="O2441" s="53"/>
      <c r="T2441" s="53"/>
      <c r="V2441" s="53"/>
      <c r="W2441" s="55"/>
    </row>
    <row r="2442">
      <c r="K2442" s="53"/>
      <c r="N2442" s="53"/>
      <c r="O2442" s="53"/>
      <c r="T2442" s="53"/>
      <c r="V2442" s="53"/>
      <c r="W2442" s="55"/>
    </row>
    <row r="2443">
      <c r="K2443" s="53"/>
      <c r="N2443" s="53"/>
      <c r="O2443" s="53"/>
      <c r="T2443" s="53"/>
      <c r="V2443" s="53"/>
      <c r="W2443" s="55"/>
    </row>
    <row r="2444">
      <c r="K2444" s="53"/>
      <c r="N2444" s="53"/>
      <c r="O2444" s="53"/>
      <c r="T2444" s="53"/>
      <c r="V2444" s="53"/>
      <c r="W2444" s="55"/>
    </row>
    <row r="2445">
      <c r="K2445" s="53"/>
      <c r="N2445" s="53"/>
      <c r="O2445" s="53"/>
      <c r="T2445" s="53"/>
      <c r="V2445" s="53"/>
      <c r="W2445" s="55"/>
    </row>
    <row r="2446">
      <c r="K2446" s="53"/>
      <c r="N2446" s="53"/>
      <c r="O2446" s="53"/>
      <c r="T2446" s="53"/>
      <c r="V2446" s="53"/>
      <c r="W2446" s="55"/>
    </row>
    <row r="2447">
      <c r="K2447" s="53"/>
      <c r="N2447" s="53"/>
      <c r="O2447" s="53"/>
      <c r="T2447" s="53"/>
      <c r="V2447" s="53"/>
      <c r="W2447" s="55"/>
    </row>
    <row r="2448">
      <c r="K2448" s="53"/>
      <c r="N2448" s="53"/>
      <c r="O2448" s="53"/>
      <c r="T2448" s="53"/>
      <c r="V2448" s="53"/>
      <c r="W2448" s="55"/>
    </row>
    <row r="2449">
      <c r="K2449" s="53"/>
      <c r="N2449" s="53"/>
      <c r="O2449" s="53"/>
      <c r="T2449" s="53"/>
      <c r="V2449" s="53"/>
      <c r="W2449" s="55"/>
    </row>
    <row r="2450">
      <c r="K2450" s="53"/>
      <c r="N2450" s="53"/>
      <c r="O2450" s="53"/>
      <c r="T2450" s="53"/>
      <c r="V2450" s="53"/>
      <c r="W2450" s="55"/>
    </row>
    <row r="2451">
      <c r="K2451" s="53"/>
      <c r="N2451" s="53"/>
      <c r="O2451" s="53"/>
      <c r="T2451" s="53"/>
      <c r="V2451" s="53"/>
      <c r="W2451" s="55"/>
    </row>
    <row r="2452">
      <c r="K2452" s="53"/>
      <c r="N2452" s="53"/>
      <c r="O2452" s="53"/>
      <c r="T2452" s="53"/>
      <c r="V2452" s="53"/>
      <c r="W2452" s="55"/>
    </row>
    <row r="2453">
      <c r="K2453" s="53"/>
      <c r="N2453" s="53"/>
      <c r="O2453" s="53"/>
      <c r="T2453" s="53"/>
      <c r="V2453" s="53"/>
      <c r="W2453" s="55"/>
    </row>
    <row r="2454">
      <c r="K2454" s="53"/>
      <c r="N2454" s="53"/>
      <c r="O2454" s="53"/>
      <c r="T2454" s="53"/>
      <c r="V2454" s="53"/>
      <c r="W2454" s="55"/>
    </row>
    <row r="2455">
      <c r="K2455" s="53"/>
      <c r="N2455" s="53"/>
      <c r="O2455" s="53"/>
      <c r="T2455" s="53"/>
      <c r="V2455" s="53"/>
      <c r="W2455" s="55"/>
    </row>
    <row r="2456">
      <c r="K2456" s="53"/>
      <c r="N2456" s="53"/>
      <c r="O2456" s="53"/>
      <c r="T2456" s="53"/>
      <c r="V2456" s="53"/>
      <c r="W2456" s="55"/>
    </row>
    <row r="2457">
      <c r="K2457" s="53"/>
      <c r="N2457" s="53"/>
      <c r="O2457" s="53"/>
      <c r="T2457" s="53"/>
      <c r="V2457" s="53"/>
      <c r="W2457" s="55"/>
    </row>
    <row r="2458">
      <c r="K2458" s="53"/>
      <c r="N2458" s="53"/>
      <c r="O2458" s="53"/>
      <c r="T2458" s="53"/>
      <c r="V2458" s="53"/>
      <c r="W2458" s="55"/>
    </row>
    <row r="2459">
      <c r="K2459" s="53"/>
      <c r="N2459" s="53"/>
      <c r="O2459" s="53"/>
      <c r="T2459" s="53"/>
      <c r="V2459" s="53"/>
      <c r="W2459" s="55"/>
    </row>
    <row r="2460">
      <c r="K2460" s="53"/>
      <c r="N2460" s="53"/>
      <c r="O2460" s="53"/>
      <c r="T2460" s="53"/>
      <c r="V2460" s="53"/>
      <c r="W2460" s="55"/>
    </row>
    <row r="2461">
      <c r="K2461" s="53"/>
      <c r="N2461" s="53"/>
      <c r="O2461" s="53"/>
      <c r="T2461" s="53"/>
      <c r="V2461" s="53"/>
      <c r="W2461" s="55"/>
    </row>
    <row r="2462">
      <c r="K2462" s="53"/>
      <c r="N2462" s="53"/>
      <c r="O2462" s="53"/>
      <c r="T2462" s="53"/>
      <c r="V2462" s="53"/>
      <c r="W2462" s="55"/>
    </row>
    <row r="2463">
      <c r="K2463" s="53"/>
      <c r="N2463" s="53"/>
      <c r="O2463" s="53"/>
      <c r="T2463" s="53"/>
      <c r="V2463" s="53"/>
      <c r="W2463" s="55"/>
    </row>
    <row r="2464">
      <c r="K2464" s="53"/>
      <c r="N2464" s="53"/>
      <c r="O2464" s="53"/>
      <c r="T2464" s="53"/>
      <c r="V2464" s="53"/>
      <c r="W2464" s="55"/>
    </row>
    <row r="2465">
      <c r="K2465" s="53"/>
      <c r="N2465" s="53"/>
      <c r="O2465" s="53"/>
      <c r="T2465" s="53"/>
      <c r="V2465" s="53"/>
      <c r="W2465" s="55"/>
    </row>
    <row r="2466">
      <c r="K2466" s="53"/>
      <c r="N2466" s="53"/>
      <c r="O2466" s="53"/>
      <c r="T2466" s="53"/>
      <c r="V2466" s="53"/>
      <c r="W2466" s="55"/>
    </row>
    <row r="2467">
      <c r="K2467" s="53"/>
      <c r="N2467" s="53"/>
      <c r="O2467" s="53"/>
      <c r="T2467" s="53"/>
      <c r="V2467" s="53"/>
      <c r="W2467" s="55"/>
    </row>
    <row r="2468">
      <c r="K2468" s="53"/>
      <c r="N2468" s="53"/>
      <c r="O2468" s="53"/>
      <c r="T2468" s="53"/>
      <c r="V2468" s="53"/>
      <c r="W2468" s="55"/>
    </row>
    <row r="2469">
      <c r="K2469" s="53"/>
      <c r="N2469" s="53"/>
      <c r="O2469" s="53"/>
      <c r="T2469" s="53"/>
      <c r="V2469" s="53"/>
      <c r="W2469" s="55"/>
    </row>
    <row r="2470">
      <c r="K2470" s="53"/>
      <c r="N2470" s="53"/>
      <c r="O2470" s="53"/>
      <c r="T2470" s="53"/>
      <c r="V2470" s="53"/>
      <c r="W2470" s="55"/>
    </row>
    <row r="2471">
      <c r="K2471" s="53"/>
      <c r="N2471" s="53"/>
      <c r="O2471" s="53"/>
      <c r="T2471" s="53"/>
      <c r="V2471" s="53"/>
      <c r="W2471" s="55"/>
    </row>
    <row r="2472">
      <c r="K2472" s="53"/>
      <c r="N2472" s="53"/>
      <c r="O2472" s="53"/>
      <c r="T2472" s="53"/>
      <c r="V2472" s="53"/>
      <c r="W2472" s="55"/>
    </row>
    <row r="2473">
      <c r="K2473" s="53"/>
      <c r="N2473" s="53"/>
      <c r="O2473" s="53"/>
      <c r="T2473" s="53"/>
      <c r="V2473" s="53"/>
      <c r="W2473" s="55"/>
    </row>
    <row r="2474">
      <c r="K2474" s="53"/>
      <c r="N2474" s="53"/>
      <c r="O2474" s="53"/>
      <c r="T2474" s="53"/>
      <c r="V2474" s="53"/>
      <c r="W2474" s="55"/>
    </row>
    <row r="2475">
      <c r="K2475" s="53"/>
      <c r="N2475" s="53"/>
      <c r="O2475" s="53"/>
      <c r="T2475" s="53"/>
      <c r="V2475" s="53"/>
      <c r="W2475" s="55"/>
    </row>
    <row r="2476">
      <c r="K2476" s="53"/>
      <c r="N2476" s="53"/>
      <c r="O2476" s="53"/>
      <c r="T2476" s="53"/>
      <c r="V2476" s="53"/>
      <c r="W2476" s="55"/>
    </row>
    <row r="2477">
      <c r="K2477" s="53"/>
      <c r="N2477" s="53"/>
      <c r="O2477" s="53"/>
      <c r="T2477" s="53"/>
      <c r="V2477" s="53"/>
      <c r="W2477" s="55"/>
    </row>
    <row r="2478">
      <c r="K2478" s="53"/>
      <c r="N2478" s="53"/>
      <c r="O2478" s="53"/>
      <c r="T2478" s="53"/>
      <c r="V2478" s="53"/>
      <c r="W2478" s="55"/>
    </row>
    <row r="2479">
      <c r="K2479" s="53"/>
      <c r="N2479" s="53"/>
      <c r="O2479" s="53"/>
      <c r="T2479" s="53"/>
      <c r="V2479" s="53"/>
      <c r="W2479" s="55"/>
    </row>
    <row r="2480">
      <c r="K2480" s="53"/>
      <c r="N2480" s="53"/>
      <c r="O2480" s="53"/>
      <c r="T2480" s="53"/>
      <c r="V2480" s="53"/>
      <c r="W2480" s="55"/>
    </row>
    <row r="2481">
      <c r="K2481" s="53"/>
      <c r="N2481" s="53"/>
      <c r="O2481" s="53"/>
      <c r="T2481" s="53"/>
      <c r="V2481" s="53"/>
      <c r="W2481" s="55"/>
    </row>
    <row r="2482">
      <c r="K2482" s="53"/>
      <c r="N2482" s="53"/>
      <c r="O2482" s="53"/>
      <c r="T2482" s="53"/>
      <c r="V2482" s="53"/>
      <c r="W2482" s="55"/>
    </row>
    <row r="2483">
      <c r="K2483" s="53"/>
      <c r="N2483" s="53"/>
      <c r="O2483" s="53"/>
      <c r="T2483" s="53"/>
      <c r="V2483" s="53"/>
      <c r="W2483" s="55"/>
    </row>
    <row r="2484">
      <c r="K2484" s="53"/>
      <c r="N2484" s="53"/>
      <c r="O2484" s="53"/>
      <c r="T2484" s="53"/>
      <c r="V2484" s="53"/>
      <c r="W2484" s="55"/>
    </row>
    <row r="2485">
      <c r="K2485" s="53"/>
      <c r="N2485" s="53"/>
      <c r="O2485" s="53"/>
      <c r="T2485" s="53"/>
      <c r="V2485" s="53"/>
      <c r="W2485" s="55"/>
    </row>
    <row r="2486">
      <c r="K2486" s="53"/>
      <c r="N2486" s="53"/>
      <c r="O2486" s="53"/>
      <c r="T2486" s="53"/>
      <c r="V2486" s="53"/>
      <c r="W2486" s="55"/>
    </row>
    <row r="2487">
      <c r="K2487" s="53"/>
      <c r="N2487" s="53"/>
      <c r="O2487" s="53"/>
      <c r="T2487" s="53"/>
      <c r="V2487" s="53"/>
      <c r="W2487" s="55"/>
    </row>
    <row r="2488">
      <c r="K2488" s="53"/>
      <c r="N2488" s="53"/>
      <c r="O2488" s="53"/>
      <c r="T2488" s="53"/>
      <c r="V2488" s="53"/>
      <c r="W2488" s="55"/>
    </row>
    <row r="2489">
      <c r="K2489" s="53"/>
      <c r="N2489" s="53"/>
      <c r="O2489" s="53"/>
      <c r="T2489" s="53"/>
      <c r="V2489" s="53"/>
      <c r="W2489" s="55"/>
    </row>
    <row r="2490">
      <c r="K2490" s="53"/>
      <c r="N2490" s="53"/>
      <c r="O2490" s="53"/>
      <c r="T2490" s="53"/>
      <c r="V2490" s="53"/>
      <c r="W2490" s="55"/>
    </row>
    <row r="2491">
      <c r="K2491" s="53"/>
      <c r="N2491" s="53"/>
      <c r="O2491" s="53"/>
      <c r="T2491" s="53"/>
      <c r="V2491" s="53"/>
      <c r="W2491" s="55"/>
    </row>
    <row r="2492">
      <c r="K2492" s="53"/>
      <c r="N2492" s="53"/>
      <c r="O2492" s="53"/>
      <c r="T2492" s="53"/>
      <c r="V2492" s="53"/>
      <c r="W2492" s="55"/>
    </row>
    <row r="2493">
      <c r="K2493" s="53"/>
      <c r="N2493" s="53"/>
      <c r="O2493" s="53"/>
      <c r="T2493" s="53"/>
      <c r="V2493" s="53"/>
      <c r="W2493" s="55"/>
    </row>
    <row r="2494">
      <c r="K2494" s="53"/>
      <c r="N2494" s="53"/>
      <c r="O2494" s="53"/>
      <c r="T2494" s="53"/>
      <c r="V2494" s="53"/>
      <c r="W2494" s="55"/>
    </row>
    <row r="2495">
      <c r="K2495" s="53"/>
      <c r="N2495" s="53"/>
      <c r="O2495" s="53"/>
      <c r="T2495" s="53"/>
      <c r="V2495" s="53"/>
      <c r="W2495" s="55"/>
    </row>
    <row r="2496">
      <c r="K2496" s="53"/>
      <c r="N2496" s="53"/>
      <c r="O2496" s="53"/>
      <c r="T2496" s="53"/>
      <c r="V2496" s="53"/>
      <c r="W2496" s="55"/>
    </row>
    <row r="2497">
      <c r="K2497" s="53"/>
      <c r="N2497" s="53"/>
      <c r="O2497" s="53"/>
      <c r="T2497" s="53"/>
      <c r="V2497" s="53"/>
      <c r="W2497" s="55"/>
    </row>
    <row r="2498">
      <c r="K2498" s="53"/>
      <c r="N2498" s="53"/>
      <c r="O2498" s="53"/>
      <c r="T2498" s="53"/>
      <c r="V2498" s="53"/>
      <c r="W2498" s="55"/>
    </row>
    <row r="2499">
      <c r="K2499" s="53"/>
      <c r="N2499" s="53"/>
      <c r="O2499" s="53"/>
      <c r="T2499" s="53"/>
      <c r="V2499" s="53"/>
      <c r="W2499" s="55"/>
    </row>
    <row r="2500">
      <c r="K2500" s="53"/>
      <c r="N2500" s="53"/>
      <c r="O2500" s="53"/>
      <c r="T2500" s="53"/>
      <c r="V2500" s="53"/>
      <c r="W2500" s="55"/>
    </row>
    <row r="2501">
      <c r="K2501" s="53"/>
      <c r="N2501" s="53"/>
      <c r="O2501" s="53"/>
      <c r="T2501" s="53"/>
      <c r="V2501" s="53"/>
      <c r="W2501" s="55"/>
    </row>
    <row r="2502">
      <c r="K2502" s="53"/>
      <c r="N2502" s="53"/>
      <c r="O2502" s="53"/>
      <c r="T2502" s="53"/>
      <c r="V2502" s="53"/>
      <c r="W2502" s="55"/>
    </row>
    <row r="2503">
      <c r="K2503" s="53"/>
      <c r="N2503" s="53"/>
      <c r="O2503" s="53"/>
      <c r="T2503" s="53"/>
      <c r="V2503" s="53"/>
      <c r="W2503" s="55"/>
    </row>
    <row r="2504">
      <c r="K2504" s="53"/>
      <c r="N2504" s="53"/>
      <c r="O2504" s="53"/>
      <c r="T2504" s="53"/>
      <c r="V2504" s="53"/>
      <c r="W2504" s="55"/>
    </row>
    <row r="2505">
      <c r="K2505" s="53"/>
      <c r="N2505" s="53"/>
      <c r="O2505" s="53"/>
      <c r="T2505" s="53"/>
      <c r="V2505" s="53"/>
      <c r="W2505" s="55"/>
    </row>
    <row r="2506">
      <c r="K2506" s="53"/>
      <c r="N2506" s="53"/>
      <c r="O2506" s="53"/>
      <c r="T2506" s="53"/>
      <c r="V2506" s="53"/>
      <c r="W2506" s="55"/>
    </row>
    <row r="2507">
      <c r="K2507" s="53"/>
      <c r="N2507" s="53"/>
      <c r="O2507" s="53"/>
      <c r="T2507" s="53"/>
      <c r="V2507" s="53"/>
      <c r="W2507" s="55"/>
    </row>
    <row r="2508">
      <c r="K2508" s="53"/>
      <c r="N2508" s="53"/>
      <c r="O2508" s="53"/>
      <c r="T2508" s="53"/>
      <c r="V2508" s="53"/>
      <c r="W2508" s="55"/>
    </row>
    <row r="2509">
      <c r="K2509" s="53"/>
      <c r="N2509" s="53"/>
      <c r="O2509" s="53"/>
      <c r="T2509" s="53"/>
      <c r="V2509" s="53"/>
      <c r="W2509" s="55"/>
    </row>
    <row r="2510">
      <c r="K2510" s="53"/>
      <c r="N2510" s="53"/>
      <c r="O2510" s="53"/>
      <c r="T2510" s="53"/>
      <c r="V2510" s="53"/>
      <c r="W2510" s="55"/>
    </row>
    <row r="2511">
      <c r="K2511" s="53"/>
      <c r="N2511" s="53"/>
      <c r="O2511" s="53"/>
      <c r="T2511" s="53"/>
      <c r="V2511" s="53"/>
      <c r="W2511" s="55"/>
    </row>
    <row r="2512">
      <c r="K2512" s="53"/>
      <c r="N2512" s="53"/>
      <c r="O2512" s="53"/>
      <c r="T2512" s="53"/>
      <c r="V2512" s="53"/>
      <c r="W2512" s="55"/>
    </row>
    <row r="2513">
      <c r="K2513" s="53"/>
      <c r="N2513" s="53"/>
      <c r="O2513" s="53"/>
      <c r="T2513" s="53"/>
      <c r="V2513" s="53"/>
      <c r="W2513" s="55"/>
    </row>
    <row r="2514">
      <c r="K2514" s="53"/>
      <c r="N2514" s="53"/>
      <c r="O2514" s="53"/>
      <c r="T2514" s="53"/>
      <c r="V2514" s="53"/>
      <c r="W2514" s="55"/>
    </row>
    <row r="2515">
      <c r="K2515" s="53"/>
      <c r="N2515" s="53"/>
      <c r="O2515" s="53"/>
      <c r="T2515" s="53"/>
      <c r="V2515" s="53"/>
      <c r="W2515" s="55"/>
    </row>
    <row r="2516">
      <c r="K2516" s="53"/>
      <c r="N2516" s="53"/>
      <c r="O2516" s="53"/>
      <c r="T2516" s="53"/>
      <c r="V2516" s="53"/>
      <c r="W2516" s="55"/>
    </row>
    <row r="2517">
      <c r="K2517" s="53"/>
      <c r="N2517" s="53"/>
      <c r="O2517" s="53"/>
      <c r="T2517" s="53"/>
      <c r="V2517" s="53"/>
      <c r="W2517" s="55"/>
    </row>
    <row r="2518">
      <c r="K2518" s="53"/>
      <c r="N2518" s="53"/>
      <c r="O2518" s="53"/>
      <c r="T2518" s="53"/>
      <c r="V2518" s="53"/>
      <c r="W2518" s="55"/>
    </row>
    <row r="2519">
      <c r="K2519" s="53"/>
      <c r="N2519" s="53"/>
      <c r="O2519" s="53"/>
      <c r="T2519" s="53"/>
      <c r="V2519" s="53"/>
      <c r="W2519" s="55"/>
    </row>
    <row r="2520">
      <c r="K2520" s="53"/>
      <c r="N2520" s="53"/>
      <c r="O2520" s="53"/>
      <c r="T2520" s="53"/>
      <c r="V2520" s="53"/>
      <c r="W2520" s="55"/>
    </row>
    <row r="2521">
      <c r="K2521" s="53"/>
      <c r="N2521" s="53"/>
      <c r="O2521" s="53"/>
      <c r="T2521" s="53"/>
      <c r="V2521" s="53"/>
      <c r="W2521" s="55"/>
    </row>
    <row r="2522">
      <c r="K2522" s="53"/>
      <c r="N2522" s="53"/>
      <c r="O2522" s="53"/>
      <c r="T2522" s="53"/>
      <c r="V2522" s="53"/>
      <c r="W2522" s="55"/>
    </row>
    <row r="2523">
      <c r="K2523" s="53"/>
      <c r="N2523" s="53"/>
      <c r="O2523" s="53"/>
      <c r="T2523" s="53"/>
      <c r="V2523" s="53"/>
      <c r="W2523" s="55"/>
    </row>
    <row r="2524">
      <c r="K2524" s="53"/>
      <c r="N2524" s="53"/>
      <c r="O2524" s="53"/>
      <c r="T2524" s="53"/>
      <c r="V2524" s="53"/>
      <c r="W2524" s="55"/>
    </row>
    <row r="2525">
      <c r="K2525" s="53"/>
      <c r="N2525" s="53"/>
      <c r="O2525" s="53"/>
      <c r="T2525" s="53"/>
      <c r="V2525" s="53"/>
      <c r="W2525" s="55"/>
    </row>
    <row r="2526">
      <c r="K2526" s="53"/>
      <c r="N2526" s="53"/>
      <c r="O2526" s="53"/>
      <c r="T2526" s="53"/>
      <c r="V2526" s="53"/>
      <c r="W2526" s="55"/>
    </row>
    <row r="2527">
      <c r="K2527" s="53"/>
      <c r="N2527" s="53"/>
      <c r="O2527" s="53"/>
      <c r="T2527" s="53"/>
      <c r="V2527" s="53"/>
      <c r="W2527" s="55"/>
    </row>
    <row r="2528">
      <c r="K2528" s="53"/>
      <c r="N2528" s="53"/>
      <c r="O2528" s="53"/>
      <c r="T2528" s="53"/>
      <c r="V2528" s="53"/>
      <c r="W2528" s="55"/>
    </row>
    <row r="2529">
      <c r="K2529" s="53"/>
      <c r="N2529" s="53"/>
      <c r="O2529" s="53"/>
      <c r="T2529" s="53"/>
      <c r="V2529" s="53"/>
      <c r="W2529" s="55"/>
    </row>
    <row r="2530">
      <c r="K2530" s="53"/>
      <c r="N2530" s="53"/>
      <c r="O2530" s="53"/>
      <c r="T2530" s="53"/>
      <c r="V2530" s="53"/>
      <c r="W2530" s="55"/>
    </row>
    <row r="2531">
      <c r="K2531" s="53"/>
      <c r="N2531" s="53"/>
      <c r="O2531" s="53"/>
      <c r="T2531" s="53"/>
      <c r="V2531" s="53"/>
      <c r="W2531" s="55"/>
    </row>
    <row r="2532">
      <c r="K2532" s="53"/>
      <c r="N2532" s="53"/>
      <c r="O2532" s="53"/>
      <c r="T2532" s="53"/>
      <c r="V2532" s="53"/>
      <c r="W2532" s="55"/>
    </row>
    <row r="2533">
      <c r="K2533" s="53"/>
      <c r="N2533" s="53"/>
      <c r="O2533" s="53"/>
      <c r="T2533" s="53"/>
      <c r="V2533" s="53"/>
      <c r="W2533" s="55"/>
    </row>
    <row r="2534">
      <c r="K2534" s="53"/>
      <c r="N2534" s="53"/>
      <c r="O2534" s="53"/>
      <c r="T2534" s="53"/>
      <c r="V2534" s="53"/>
      <c r="W2534" s="55"/>
    </row>
    <row r="2535">
      <c r="K2535" s="53"/>
      <c r="N2535" s="53"/>
      <c r="O2535" s="53"/>
      <c r="T2535" s="53"/>
      <c r="V2535" s="53"/>
      <c r="W2535" s="55"/>
    </row>
    <row r="2536">
      <c r="K2536" s="53"/>
      <c r="N2536" s="53"/>
      <c r="O2536" s="53"/>
      <c r="T2536" s="53"/>
      <c r="V2536" s="53"/>
      <c r="W2536" s="55"/>
    </row>
    <row r="2537">
      <c r="K2537" s="53"/>
      <c r="N2537" s="53"/>
      <c r="O2537" s="53"/>
      <c r="T2537" s="53"/>
      <c r="V2537" s="53"/>
      <c r="W2537" s="55"/>
    </row>
    <row r="2538">
      <c r="K2538" s="53"/>
      <c r="N2538" s="53"/>
      <c r="O2538" s="53"/>
      <c r="T2538" s="53"/>
      <c r="V2538" s="53"/>
      <c r="W2538" s="55"/>
    </row>
    <row r="2539">
      <c r="K2539" s="53"/>
      <c r="N2539" s="53"/>
      <c r="O2539" s="53"/>
      <c r="T2539" s="53"/>
      <c r="V2539" s="53"/>
      <c r="W2539" s="55"/>
    </row>
    <row r="2540">
      <c r="K2540" s="53"/>
      <c r="N2540" s="53"/>
      <c r="O2540" s="53"/>
      <c r="T2540" s="53"/>
      <c r="V2540" s="53"/>
      <c r="W2540" s="55"/>
    </row>
    <row r="2541">
      <c r="K2541" s="53"/>
      <c r="N2541" s="53"/>
      <c r="O2541" s="53"/>
      <c r="T2541" s="53"/>
      <c r="V2541" s="53"/>
      <c r="W2541" s="55"/>
    </row>
    <row r="2542">
      <c r="K2542" s="53"/>
      <c r="N2542" s="53"/>
      <c r="O2542" s="53"/>
      <c r="T2542" s="53"/>
      <c r="V2542" s="53"/>
      <c r="W2542" s="55"/>
    </row>
    <row r="2543">
      <c r="K2543" s="53"/>
      <c r="N2543" s="53"/>
      <c r="O2543" s="53"/>
      <c r="T2543" s="53"/>
      <c r="V2543" s="53"/>
      <c r="W2543" s="55"/>
    </row>
    <row r="2544">
      <c r="K2544" s="53"/>
      <c r="N2544" s="53"/>
      <c r="O2544" s="53"/>
      <c r="T2544" s="53"/>
      <c r="V2544" s="53"/>
      <c r="W2544" s="55"/>
    </row>
    <row r="2545">
      <c r="K2545" s="53"/>
      <c r="N2545" s="53"/>
      <c r="O2545" s="53"/>
      <c r="T2545" s="53"/>
      <c r="V2545" s="53"/>
      <c r="W2545" s="55"/>
    </row>
    <row r="2546">
      <c r="K2546" s="53"/>
      <c r="N2546" s="53"/>
      <c r="O2546" s="53"/>
      <c r="T2546" s="53"/>
      <c r="V2546" s="53"/>
      <c r="W2546" s="55"/>
    </row>
    <row r="2547">
      <c r="K2547" s="53"/>
      <c r="N2547" s="53"/>
      <c r="O2547" s="53"/>
      <c r="T2547" s="53"/>
      <c r="V2547" s="53"/>
      <c r="W2547" s="55"/>
    </row>
    <row r="2548">
      <c r="K2548" s="53"/>
      <c r="N2548" s="53"/>
      <c r="O2548" s="53"/>
      <c r="T2548" s="53"/>
      <c r="V2548" s="53"/>
      <c r="W2548" s="55"/>
    </row>
    <row r="2549">
      <c r="K2549" s="53"/>
      <c r="N2549" s="53"/>
      <c r="O2549" s="53"/>
      <c r="T2549" s="53"/>
      <c r="V2549" s="53"/>
      <c r="W2549" s="55"/>
    </row>
    <row r="2550">
      <c r="K2550" s="53"/>
      <c r="N2550" s="53"/>
      <c r="O2550" s="53"/>
      <c r="T2550" s="53"/>
      <c r="V2550" s="53"/>
      <c r="W2550" s="55"/>
    </row>
    <row r="2551">
      <c r="K2551" s="53"/>
      <c r="N2551" s="53"/>
      <c r="O2551" s="53"/>
      <c r="T2551" s="53"/>
      <c r="V2551" s="53"/>
      <c r="W2551" s="55"/>
    </row>
    <row r="2552">
      <c r="K2552" s="53"/>
      <c r="N2552" s="53"/>
      <c r="O2552" s="53"/>
      <c r="T2552" s="53"/>
      <c r="V2552" s="53"/>
      <c r="W2552" s="55"/>
    </row>
    <row r="2553">
      <c r="K2553" s="53"/>
      <c r="N2553" s="53"/>
      <c r="O2553" s="53"/>
      <c r="T2553" s="53"/>
      <c r="V2553" s="53"/>
      <c r="W2553" s="55"/>
    </row>
    <row r="2554">
      <c r="K2554" s="53"/>
      <c r="N2554" s="53"/>
      <c r="O2554" s="53"/>
      <c r="T2554" s="53"/>
      <c r="V2554" s="53"/>
      <c r="W2554" s="55"/>
    </row>
    <row r="2555">
      <c r="K2555" s="53"/>
      <c r="N2555" s="53"/>
      <c r="O2555" s="53"/>
      <c r="T2555" s="53"/>
      <c r="V2555" s="53"/>
      <c r="W2555" s="55"/>
    </row>
    <row r="2556">
      <c r="K2556" s="53"/>
      <c r="N2556" s="53"/>
      <c r="O2556" s="53"/>
      <c r="T2556" s="53"/>
      <c r="V2556" s="53"/>
      <c r="W2556" s="55"/>
    </row>
    <row r="2557">
      <c r="K2557" s="53"/>
      <c r="N2557" s="53"/>
      <c r="O2557" s="53"/>
      <c r="T2557" s="53"/>
      <c r="V2557" s="53"/>
      <c r="W2557" s="55"/>
    </row>
    <row r="2558">
      <c r="K2558" s="53"/>
      <c r="N2558" s="53"/>
      <c r="O2558" s="53"/>
      <c r="T2558" s="53"/>
      <c r="V2558" s="53"/>
      <c r="W2558" s="55"/>
    </row>
    <row r="2559">
      <c r="K2559" s="53"/>
      <c r="N2559" s="53"/>
      <c r="O2559" s="53"/>
      <c r="T2559" s="53"/>
      <c r="V2559" s="53"/>
      <c r="W2559" s="55"/>
    </row>
    <row r="2560">
      <c r="K2560" s="53"/>
      <c r="N2560" s="53"/>
      <c r="O2560" s="53"/>
      <c r="T2560" s="53"/>
      <c r="V2560" s="53"/>
      <c r="W2560" s="55"/>
    </row>
    <row r="2561">
      <c r="K2561" s="53"/>
      <c r="N2561" s="53"/>
      <c r="O2561" s="53"/>
      <c r="T2561" s="53"/>
      <c r="V2561" s="53"/>
      <c r="W2561" s="55"/>
    </row>
    <row r="2562">
      <c r="K2562" s="53"/>
      <c r="N2562" s="53"/>
      <c r="O2562" s="53"/>
      <c r="T2562" s="53"/>
      <c r="V2562" s="53"/>
      <c r="W2562" s="55"/>
    </row>
    <row r="2563">
      <c r="K2563" s="53"/>
      <c r="N2563" s="53"/>
      <c r="O2563" s="53"/>
      <c r="T2563" s="53"/>
      <c r="V2563" s="53"/>
      <c r="W2563" s="55"/>
    </row>
    <row r="2564">
      <c r="K2564" s="53"/>
      <c r="N2564" s="53"/>
      <c r="O2564" s="53"/>
      <c r="T2564" s="53"/>
      <c r="V2564" s="53"/>
      <c r="W2564" s="55"/>
    </row>
    <row r="2565">
      <c r="K2565" s="53"/>
      <c r="N2565" s="53"/>
      <c r="O2565" s="53"/>
      <c r="T2565" s="53"/>
      <c r="V2565" s="53"/>
      <c r="W2565" s="55"/>
    </row>
    <row r="2566">
      <c r="K2566" s="53"/>
      <c r="N2566" s="53"/>
      <c r="O2566" s="53"/>
      <c r="T2566" s="53"/>
      <c r="V2566" s="53"/>
      <c r="W2566" s="55"/>
    </row>
    <row r="2567">
      <c r="K2567" s="53"/>
      <c r="N2567" s="53"/>
      <c r="O2567" s="53"/>
      <c r="T2567" s="53"/>
      <c r="V2567" s="53"/>
      <c r="W2567" s="55"/>
    </row>
    <row r="2568">
      <c r="K2568" s="53"/>
      <c r="N2568" s="53"/>
      <c r="O2568" s="53"/>
      <c r="T2568" s="53"/>
      <c r="V2568" s="53"/>
      <c r="W2568" s="55"/>
    </row>
    <row r="2569">
      <c r="K2569" s="53"/>
      <c r="N2569" s="53"/>
      <c r="O2569" s="53"/>
      <c r="T2569" s="53"/>
      <c r="V2569" s="53"/>
      <c r="W2569" s="55"/>
    </row>
    <row r="2570">
      <c r="K2570" s="53"/>
      <c r="N2570" s="53"/>
      <c r="O2570" s="53"/>
      <c r="T2570" s="53"/>
      <c r="V2570" s="53"/>
      <c r="W2570" s="55"/>
    </row>
    <row r="2571">
      <c r="K2571" s="53"/>
      <c r="N2571" s="53"/>
      <c r="O2571" s="53"/>
      <c r="T2571" s="53"/>
      <c r="V2571" s="53"/>
      <c r="W2571" s="55"/>
    </row>
    <row r="2572">
      <c r="K2572" s="53"/>
      <c r="N2572" s="53"/>
      <c r="O2572" s="53"/>
      <c r="T2572" s="53"/>
      <c r="V2572" s="53"/>
      <c r="W2572" s="55"/>
    </row>
    <row r="2573">
      <c r="K2573" s="53"/>
      <c r="N2573" s="53"/>
      <c r="O2573" s="53"/>
      <c r="T2573" s="53"/>
      <c r="V2573" s="53"/>
      <c r="W2573" s="55"/>
    </row>
    <row r="2574">
      <c r="K2574" s="53"/>
      <c r="N2574" s="53"/>
      <c r="O2574" s="53"/>
      <c r="T2574" s="53"/>
      <c r="V2574" s="53"/>
      <c r="W2574" s="55"/>
    </row>
    <row r="2575">
      <c r="K2575" s="53"/>
      <c r="N2575" s="53"/>
      <c r="O2575" s="53"/>
      <c r="T2575" s="53"/>
      <c r="V2575" s="53"/>
      <c r="W2575" s="55"/>
    </row>
    <row r="2576">
      <c r="K2576" s="53"/>
      <c r="N2576" s="53"/>
      <c r="O2576" s="53"/>
      <c r="T2576" s="53"/>
      <c r="V2576" s="53"/>
      <c r="W2576" s="55"/>
    </row>
    <row r="2577">
      <c r="K2577" s="53"/>
      <c r="N2577" s="53"/>
      <c r="O2577" s="53"/>
      <c r="T2577" s="53"/>
      <c r="V2577" s="53"/>
      <c r="W2577" s="55"/>
    </row>
    <row r="2578">
      <c r="K2578" s="53"/>
      <c r="N2578" s="53"/>
      <c r="O2578" s="53"/>
      <c r="T2578" s="53"/>
      <c r="V2578" s="53"/>
      <c r="W2578" s="55"/>
    </row>
    <row r="2579">
      <c r="K2579" s="53"/>
      <c r="N2579" s="53"/>
      <c r="O2579" s="53"/>
      <c r="T2579" s="53"/>
      <c r="V2579" s="53"/>
      <c r="W2579" s="55"/>
    </row>
    <row r="2580">
      <c r="K2580" s="53"/>
      <c r="N2580" s="53"/>
      <c r="O2580" s="53"/>
      <c r="T2580" s="53"/>
      <c r="V2580" s="53"/>
      <c r="W2580" s="55"/>
    </row>
    <row r="2581">
      <c r="K2581" s="53"/>
      <c r="N2581" s="53"/>
      <c r="O2581" s="53"/>
      <c r="T2581" s="53"/>
      <c r="V2581" s="53"/>
      <c r="W2581" s="55"/>
    </row>
    <row r="2582">
      <c r="K2582" s="53"/>
      <c r="N2582" s="53"/>
      <c r="O2582" s="53"/>
      <c r="T2582" s="53"/>
      <c r="V2582" s="53"/>
      <c r="W2582" s="55"/>
    </row>
    <row r="2583">
      <c r="K2583" s="53"/>
      <c r="N2583" s="53"/>
      <c r="O2583" s="53"/>
      <c r="T2583" s="53"/>
      <c r="V2583" s="53"/>
      <c r="W2583" s="55"/>
    </row>
    <row r="2584">
      <c r="K2584" s="53"/>
      <c r="N2584" s="53"/>
      <c r="O2584" s="53"/>
      <c r="T2584" s="53"/>
      <c r="V2584" s="53"/>
      <c r="W2584" s="55"/>
    </row>
    <row r="2585">
      <c r="K2585" s="53"/>
      <c r="N2585" s="53"/>
      <c r="O2585" s="53"/>
      <c r="T2585" s="53"/>
      <c r="V2585" s="53"/>
      <c r="W2585" s="55"/>
    </row>
    <row r="2586">
      <c r="K2586" s="53"/>
      <c r="N2586" s="53"/>
      <c r="O2586" s="53"/>
      <c r="T2586" s="53"/>
      <c r="V2586" s="53"/>
      <c r="W2586" s="55"/>
    </row>
    <row r="2587">
      <c r="K2587" s="53"/>
      <c r="N2587" s="53"/>
      <c r="O2587" s="53"/>
      <c r="T2587" s="53"/>
      <c r="V2587" s="53"/>
      <c r="W2587" s="55"/>
    </row>
    <row r="2588">
      <c r="K2588" s="53"/>
      <c r="N2588" s="53"/>
      <c r="O2588" s="53"/>
      <c r="T2588" s="53"/>
      <c r="V2588" s="53"/>
      <c r="W2588" s="55"/>
    </row>
    <row r="2589">
      <c r="K2589" s="53"/>
      <c r="N2589" s="53"/>
      <c r="O2589" s="53"/>
      <c r="T2589" s="53"/>
      <c r="V2589" s="53"/>
      <c r="W2589" s="55"/>
    </row>
    <row r="2590">
      <c r="K2590" s="53"/>
      <c r="N2590" s="53"/>
      <c r="O2590" s="53"/>
      <c r="T2590" s="53"/>
      <c r="V2590" s="53"/>
      <c r="W2590" s="55"/>
    </row>
    <row r="2591">
      <c r="K2591" s="53"/>
      <c r="N2591" s="53"/>
      <c r="O2591" s="53"/>
      <c r="T2591" s="53"/>
      <c r="V2591" s="53"/>
      <c r="W2591" s="55"/>
    </row>
    <row r="2592">
      <c r="K2592" s="53"/>
      <c r="N2592" s="53"/>
      <c r="O2592" s="53"/>
      <c r="T2592" s="53"/>
      <c r="V2592" s="53"/>
      <c r="W2592" s="55"/>
    </row>
    <row r="2593">
      <c r="K2593" s="53"/>
      <c r="N2593" s="53"/>
      <c r="O2593" s="53"/>
      <c r="T2593" s="53"/>
      <c r="V2593" s="53"/>
      <c r="W2593" s="55"/>
    </row>
    <row r="2594">
      <c r="K2594" s="53"/>
      <c r="N2594" s="53"/>
      <c r="O2594" s="53"/>
      <c r="T2594" s="53"/>
      <c r="V2594" s="53"/>
      <c r="W2594" s="55"/>
    </row>
    <row r="2595">
      <c r="K2595" s="53"/>
      <c r="N2595" s="53"/>
      <c r="O2595" s="53"/>
      <c r="T2595" s="53"/>
      <c r="V2595" s="53"/>
      <c r="W2595" s="55"/>
    </row>
    <row r="2596">
      <c r="K2596" s="53"/>
      <c r="N2596" s="53"/>
      <c r="O2596" s="53"/>
      <c r="T2596" s="53"/>
      <c r="V2596" s="53"/>
      <c r="W2596" s="55"/>
    </row>
    <row r="2597">
      <c r="K2597" s="53"/>
      <c r="N2597" s="53"/>
      <c r="O2597" s="53"/>
      <c r="T2597" s="53"/>
      <c r="V2597" s="53"/>
      <c r="W2597" s="55"/>
    </row>
    <row r="2598">
      <c r="K2598" s="53"/>
      <c r="N2598" s="53"/>
      <c r="O2598" s="53"/>
      <c r="T2598" s="53"/>
      <c r="V2598" s="53"/>
      <c r="W2598" s="55"/>
    </row>
    <row r="2599">
      <c r="K2599" s="53"/>
      <c r="N2599" s="53"/>
      <c r="O2599" s="53"/>
      <c r="T2599" s="53"/>
      <c r="V2599" s="53"/>
      <c r="W2599" s="55"/>
    </row>
    <row r="2600">
      <c r="K2600" s="53"/>
      <c r="N2600" s="53"/>
      <c r="O2600" s="53"/>
      <c r="T2600" s="53"/>
      <c r="V2600" s="53"/>
      <c r="W2600" s="55"/>
    </row>
    <row r="2601">
      <c r="K2601" s="53"/>
      <c r="N2601" s="53"/>
      <c r="O2601" s="53"/>
      <c r="T2601" s="53"/>
      <c r="V2601" s="53"/>
      <c r="W2601" s="55"/>
    </row>
    <row r="2602">
      <c r="K2602" s="53"/>
      <c r="N2602" s="53"/>
      <c r="O2602" s="53"/>
      <c r="T2602" s="53"/>
      <c r="V2602" s="53"/>
      <c r="W2602" s="55"/>
    </row>
    <row r="2603">
      <c r="K2603" s="53"/>
      <c r="N2603" s="53"/>
      <c r="O2603" s="53"/>
      <c r="T2603" s="53"/>
      <c r="V2603" s="53"/>
      <c r="W2603" s="55"/>
    </row>
    <row r="2604">
      <c r="K2604" s="53"/>
      <c r="N2604" s="53"/>
      <c r="O2604" s="53"/>
      <c r="T2604" s="53"/>
      <c r="V2604" s="53"/>
      <c r="W2604" s="55"/>
    </row>
    <row r="2605">
      <c r="K2605" s="53"/>
      <c r="N2605" s="53"/>
      <c r="O2605" s="53"/>
      <c r="T2605" s="53"/>
      <c r="V2605" s="53"/>
      <c r="W2605" s="55"/>
    </row>
    <row r="2606">
      <c r="K2606" s="53"/>
      <c r="N2606" s="53"/>
      <c r="O2606" s="53"/>
      <c r="T2606" s="53"/>
      <c r="V2606" s="53"/>
      <c r="W2606" s="55"/>
    </row>
    <row r="2607">
      <c r="K2607" s="53"/>
      <c r="N2607" s="53"/>
      <c r="O2607" s="53"/>
      <c r="T2607" s="53"/>
      <c r="V2607" s="53"/>
      <c r="W2607" s="55"/>
    </row>
    <row r="2608">
      <c r="K2608" s="53"/>
      <c r="N2608" s="53"/>
      <c r="O2608" s="53"/>
      <c r="T2608" s="53"/>
      <c r="V2608" s="53"/>
      <c r="W2608" s="55"/>
    </row>
    <row r="2609">
      <c r="K2609" s="53"/>
      <c r="N2609" s="53"/>
      <c r="O2609" s="53"/>
      <c r="T2609" s="53"/>
      <c r="V2609" s="53"/>
      <c r="W2609" s="55"/>
    </row>
    <row r="2610">
      <c r="K2610" s="53"/>
      <c r="N2610" s="53"/>
      <c r="O2610" s="53"/>
      <c r="T2610" s="53"/>
      <c r="V2610" s="53"/>
      <c r="W2610" s="55"/>
    </row>
    <row r="2611">
      <c r="K2611" s="53"/>
      <c r="N2611" s="53"/>
      <c r="O2611" s="53"/>
      <c r="T2611" s="53"/>
      <c r="V2611" s="53"/>
      <c r="W2611" s="55"/>
    </row>
    <row r="2612">
      <c r="K2612" s="53"/>
      <c r="N2612" s="53"/>
      <c r="O2612" s="53"/>
      <c r="T2612" s="53"/>
      <c r="V2612" s="53"/>
      <c r="W2612" s="55"/>
    </row>
    <row r="2613">
      <c r="K2613" s="53"/>
      <c r="N2613" s="53"/>
      <c r="O2613" s="53"/>
      <c r="T2613" s="53"/>
      <c r="V2613" s="53"/>
      <c r="W2613" s="55"/>
    </row>
    <row r="2614">
      <c r="K2614" s="53"/>
      <c r="N2614" s="53"/>
      <c r="O2614" s="53"/>
      <c r="T2614" s="53"/>
      <c r="V2614" s="53"/>
      <c r="W2614" s="55"/>
    </row>
    <row r="2615">
      <c r="K2615" s="53"/>
      <c r="N2615" s="53"/>
      <c r="O2615" s="53"/>
      <c r="T2615" s="53"/>
      <c r="V2615" s="53"/>
      <c r="W2615" s="55"/>
    </row>
    <row r="2616">
      <c r="K2616" s="53"/>
      <c r="N2616" s="53"/>
      <c r="O2616" s="53"/>
      <c r="T2616" s="53"/>
      <c r="V2616" s="53"/>
      <c r="W2616" s="55"/>
    </row>
    <row r="2617">
      <c r="K2617" s="53"/>
      <c r="N2617" s="53"/>
      <c r="O2617" s="53"/>
      <c r="T2617" s="53"/>
      <c r="V2617" s="53"/>
      <c r="W2617" s="55"/>
    </row>
    <row r="2618">
      <c r="K2618" s="53"/>
      <c r="N2618" s="53"/>
      <c r="O2618" s="53"/>
      <c r="T2618" s="53"/>
      <c r="V2618" s="53"/>
      <c r="W2618" s="55"/>
    </row>
    <row r="2619">
      <c r="K2619" s="53"/>
      <c r="N2619" s="53"/>
      <c r="O2619" s="53"/>
      <c r="T2619" s="53"/>
      <c r="V2619" s="53"/>
      <c r="W2619" s="55"/>
    </row>
    <row r="2620">
      <c r="K2620" s="53"/>
      <c r="N2620" s="53"/>
      <c r="O2620" s="53"/>
      <c r="T2620" s="53"/>
      <c r="V2620" s="53"/>
      <c r="W2620" s="55"/>
    </row>
    <row r="2621">
      <c r="K2621" s="53"/>
      <c r="N2621" s="53"/>
      <c r="O2621" s="53"/>
      <c r="T2621" s="53"/>
      <c r="V2621" s="53"/>
      <c r="W2621" s="55"/>
    </row>
    <row r="2622">
      <c r="K2622" s="53"/>
      <c r="N2622" s="53"/>
      <c r="O2622" s="53"/>
      <c r="T2622" s="53"/>
      <c r="V2622" s="53"/>
      <c r="W2622" s="55"/>
    </row>
    <row r="2623">
      <c r="K2623" s="53"/>
      <c r="N2623" s="53"/>
      <c r="O2623" s="53"/>
      <c r="T2623" s="53"/>
      <c r="V2623" s="53"/>
      <c r="W2623" s="55"/>
    </row>
    <row r="2624">
      <c r="K2624" s="53"/>
      <c r="N2624" s="53"/>
      <c r="O2624" s="53"/>
      <c r="T2624" s="53"/>
      <c r="V2624" s="53"/>
      <c r="W2624" s="55"/>
    </row>
    <row r="2625">
      <c r="K2625" s="53"/>
      <c r="N2625" s="53"/>
      <c r="O2625" s="53"/>
      <c r="T2625" s="53"/>
      <c r="V2625" s="53"/>
      <c r="W2625" s="55"/>
    </row>
    <row r="2626">
      <c r="K2626" s="53"/>
      <c r="N2626" s="53"/>
      <c r="O2626" s="53"/>
      <c r="T2626" s="53"/>
      <c r="V2626" s="53"/>
      <c r="W2626" s="55"/>
    </row>
    <row r="2627">
      <c r="K2627" s="53"/>
      <c r="N2627" s="53"/>
      <c r="O2627" s="53"/>
      <c r="T2627" s="53"/>
      <c r="V2627" s="53"/>
      <c r="W2627" s="55"/>
    </row>
    <row r="2628">
      <c r="K2628" s="53"/>
      <c r="N2628" s="53"/>
      <c r="O2628" s="53"/>
      <c r="T2628" s="53"/>
      <c r="V2628" s="53"/>
      <c r="W2628" s="55"/>
    </row>
    <row r="2629">
      <c r="K2629" s="53"/>
      <c r="N2629" s="53"/>
      <c r="O2629" s="53"/>
      <c r="T2629" s="53"/>
      <c r="V2629" s="53"/>
      <c r="W2629" s="55"/>
    </row>
    <row r="2630">
      <c r="K2630" s="53"/>
      <c r="N2630" s="53"/>
      <c r="O2630" s="53"/>
      <c r="T2630" s="53"/>
      <c r="V2630" s="53"/>
      <c r="W2630" s="55"/>
    </row>
    <row r="2631">
      <c r="K2631" s="53"/>
      <c r="N2631" s="53"/>
      <c r="O2631" s="53"/>
      <c r="T2631" s="53"/>
      <c r="V2631" s="53"/>
      <c r="W2631" s="55"/>
    </row>
    <row r="2632">
      <c r="K2632" s="53"/>
      <c r="N2632" s="53"/>
      <c r="O2632" s="53"/>
      <c r="T2632" s="53"/>
      <c r="V2632" s="53"/>
      <c r="W2632" s="55"/>
    </row>
    <row r="2633">
      <c r="K2633" s="53"/>
      <c r="N2633" s="53"/>
      <c r="O2633" s="53"/>
      <c r="T2633" s="53"/>
      <c r="V2633" s="53"/>
      <c r="W2633" s="55"/>
    </row>
    <row r="2634">
      <c r="K2634" s="53"/>
      <c r="N2634" s="53"/>
      <c r="O2634" s="53"/>
      <c r="T2634" s="53"/>
      <c r="V2634" s="53"/>
      <c r="W2634" s="55"/>
    </row>
    <row r="2635">
      <c r="K2635" s="53"/>
      <c r="N2635" s="53"/>
      <c r="O2635" s="53"/>
      <c r="T2635" s="53"/>
      <c r="V2635" s="53"/>
      <c r="W2635" s="55"/>
    </row>
    <row r="2636">
      <c r="K2636" s="53"/>
      <c r="N2636" s="53"/>
      <c r="O2636" s="53"/>
      <c r="T2636" s="53"/>
      <c r="V2636" s="53"/>
      <c r="W2636" s="55"/>
    </row>
    <row r="2637">
      <c r="K2637" s="53"/>
      <c r="N2637" s="53"/>
      <c r="O2637" s="53"/>
      <c r="T2637" s="53"/>
      <c r="V2637" s="53"/>
      <c r="W2637" s="55"/>
    </row>
    <row r="2638">
      <c r="K2638" s="53"/>
      <c r="N2638" s="53"/>
      <c r="O2638" s="53"/>
      <c r="T2638" s="53"/>
      <c r="V2638" s="53"/>
      <c r="W2638" s="55"/>
    </row>
    <row r="2639">
      <c r="K2639" s="53"/>
      <c r="N2639" s="53"/>
      <c r="O2639" s="53"/>
      <c r="T2639" s="53"/>
      <c r="V2639" s="53"/>
      <c r="W2639" s="55"/>
    </row>
    <row r="2640">
      <c r="K2640" s="53"/>
      <c r="N2640" s="53"/>
      <c r="O2640" s="53"/>
      <c r="T2640" s="53"/>
      <c r="V2640" s="53"/>
      <c r="W2640" s="55"/>
    </row>
    <row r="2641">
      <c r="K2641" s="53"/>
      <c r="N2641" s="53"/>
      <c r="O2641" s="53"/>
      <c r="T2641" s="53"/>
      <c r="V2641" s="53"/>
      <c r="W2641" s="55"/>
    </row>
    <row r="2642">
      <c r="K2642" s="53"/>
      <c r="N2642" s="53"/>
      <c r="O2642" s="53"/>
      <c r="T2642" s="53"/>
      <c r="V2642" s="53"/>
      <c r="W2642" s="55"/>
    </row>
    <row r="2643">
      <c r="K2643" s="53"/>
      <c r="N2643" s="53"/>
      <c r="O2643" s="53"/>
      <c r="T2643" s="53"/>
      <c r="V2643" s="53"/>
      <c r="W2643" s="55"/>
    </row>
    <row r="2644">
      <c r="K2644" s="53"/>
      <c r="N2644" s="53"/>
      <c r="O2644" s="53"/>
      <c r="T2644" s="53"/>
      <c r="V2644" s="53"/>
      <c r="W2644" s="55"/>
    </row>
    <row r="2645">
      <c r="K2645" s="53"/>
      <c r="N2645" s="53"/>
      <c r="O2645" s="53"/>
      <c r="T2645" s="53"/>
      <c r="V2645" s="53"/>
      <c r="W2645" s="55"/>
    </row>
    <row r="2646">
      <c r="K2646" s="53"/>
      <c r="N2646" s="53"/>
      <c r="O2646" s="53"/>
      <c r="T2646" s="53"/>
      <c r="V2646" s="53"/>
      <c r="W2646" s="55"/>
    </row>
    <row r="2647">
      <c r="K2647" s="53"/>
      <c r="N2647" s="53"/>
      <c r="O2647" s="53"/>
      <c r="T2647" s="53"/>
      <c r="V2647" s="53"/>
      <c r="W2647" s="55"/>
    </row>
    <row r="2648">
      <c r="K2648" s="53"/>
      <c r="N2648" s="53"/>
      <c r="O2648" s="53"/>
      <c r="T2648" s="53"/>
      <c r="V2648" s="53"/>
      <c r="W2648" s="55"/>
    </row>
    <row r="2649">
      <c r="K2649" s="53"/>
      <c r="N2649" s="53"/>
      <c r="O2649" s="53"/>
      <c r="T2649" s="53"/>
      <c r="V2649" s="53"/>
      <c r="W2649" s="55"/>
    </row>
    <row r="2650">
      <c r="K2650" s="53"/>
      <c r="N2650" s="53"/>
      <c r="O2650" s="53"/>
      <c r="T2650" s="53"/>
      <c r="V2650" s="53"/>
      <c r="W2650" s="55"/>
    </row>
    <row r="2651">
      <c r="K2651" s="53"/>
      <c r="N2651" s="53"/>
      <c r="O2651" s="53"/>
      <c r="T2651" s="53"/>
      <c r="V2651" s="53"/>
      <c r="W2651" s="55"/>
    </row>
    <row r="2652">
      <c r="K2652" s="53"/>
      <c r="N2652" s="53"/>
      <c r="O2652" s="53"/>
      <c r="T2652" s="53"/>
      <c r="V2652" s="53"/>
      <c r="W2652" s="55"/>
    </row>
    <row r="2653">
      <c r="K2653" s="53"/>
      <c r="N2653" s="53"/>
      <c r="O2653" s="53"/>
      <c r="T2653" s="53"/>
      <c r="V2653" s="53"/>
      <c r="W2653" s="55"/>
    </row>
    <row r="2654">
      <c r="K2654" s="53"/>
      <c r="N2654" s="53"/>
      <c r="O2654" s="53"/>
      <c r="T2654" s="53"/>
      <c r="V2654" s="53"/>
      <c r="W2654" s="55"/>
    </row>
    <row r="2655">
      <c r="K2655" s="53"/>
      <c r="N2655" s="53"/>
      <c r="O2655" s="53"/>
      <c r="T2655" s="53"/>
      <c r="V2655" s="53"/>
      <c r="W2655" s="55"/>
    </row>
    <row r="2656">
      <c r="K2656" s="53"/>
      <c r="N2656" s="53"/>
      <c r="O2656" s="53"/>
      <c r="T2656" s="53"/>
      <c r="V2656" s="53"/>
      <c r="W2656" s="55"/>
    </row>
    <row r="2657">
      <c r="K2657" s="53"/>
      <c r="N2657" s="53"/>
      <c r="O2657" s="53"/>
      <c r="T2657" s="53"/>
      <c r="V2657" s="53"/>
      <c r="W2657" s="55"/>
    </row>
    <row r="2658">
      <c r="K2658" s="53"/>
      <c r="N2658" s="53"/>
      <c r="O2658" s="53"/>
      <c r="T2658" s="53"/>
      <c r="V2658" s="53"/>
      <c r="W2658" s="55"/>
    </row>
    <row r="2659">
      <c r="K2659" s="53"/>
      <c r="N2659" s="53"/>
      <c r="O2659" s="53"/>
      <c r="T2659" s="53"/>
      <c r="V2659" s="53"/>
      <c r="W2659" s="55"/>
    </row>
    <row r="2660">
      <c r="K2660" s="53"/>
      <c r="N2660" s="53"/>
      <c r="O2660" s="53"/>
      <c r="T2660" s="53"/>
      <c r="V2660" s="53"/>
      <c r="W2660" s="55"/>
    </row>
    <row r="2661">
      <c r="K2661" s="53"/>
      <c r="N2661" s="53"/>
      <c r="O2661" s="53"/>
      <c r="T2661" s="53"/>
      <c r="V2661" s="53"/>
      <c r="W2661" s="55"/>
    </row>
    <row r="2662">
      <c r="K2662" s="53"/>
      <c r="N2662" s="53"/>
      <c r="O2662" s="53"/>
      <c r="T2662" s="53"/>
      <c r="V2662" s="53"/>
      <c r="W2662" s="55"/>
    </row>
    <row r="2663">
      <c r="K2663" s="53"/>
      <c r="N2663" s="53"/>
      <c r="O2663" s="53"/>
      <c r="T2663" s="53"/>
      <c r="V2663" s="53"/>
      <c r="W2663" s="55"/>
    </row>
    <row r="2664">
      <c r="K2664" s="53"/>
      <c r="N2664" s="53"/>
      <c r="O2664" s="53"/>
      <c r="T2664" s="53"/>
      <c r="V2664" s="53"/>
      <c r="W2664" s="55"/>
    </row>
    <row r="2665">
      <c r="K2665" s="53"/>
      <c r="N2665" s="53"/>
      <c r="O2665" s="53"/>
      <c r="T2665" s="53"/>
      <c r="V2665" s="53"/>
      <c r="W2665" s="55"/>
    </row>
    <row r="2666">
      <c r="K2666" s="53"/>
      <c r="N2666" s="53"/>
      <c r="O2666" s="53"/>
      <c r="T2666" s="53"/>
      <c r="V2666" s="53"/>
      <c r="W2666" s="55"/>
    </row>
    <row r="2667">
      <c r="K2667" s="53"/>
      <c r="N2667" s="53"/>
      <c r="O2667" s="53"/>
      <c r="T2667" s="53"/>
      <c r="V2667" s="53"/>
      <c r="W2667" s="55"/>
    </row>
    <row r="2668">
      <c r="K2668" s="53"/>
      <c r="N2668" s="53"/>
      <c r="O2668" s="53"/>
      <c r="T2668" s="53"/>
      <c r="V2668" s="53"/>
      <c r="W2668" s="55"/>
    </row>
    <row r="2669">
      <c r="K2669" s="53"/>
      <c r="N2669" s="53"/>
      <c r="O2669" s="53"/>
      <c r="T2669" s="53"/>
      <c r="V2669" s="53"/>
      <c r="W2669" s="55"/>
    </row>
    <row r="2670">
      <c r="K2670" s="53"/>
      <c r="N2670" s="53"/>
      <c r="O2670" s="53"/>
      <c r="T2670" s="53"/>
      <c r="V2670" s="53"/>
      <c r="W2670" s="55"/>
    </row>
    <row r="2671">
      <c r="K2671" s="53"/>
      <c r="N2671" s="53"/>
      <c r="O2671" s="53"/>
      <c r="T2671" s="53"/>
      <c r="V2671" s="53"/>
      <c r="W2671" s="55"/>
    </row>
    <row r="2672">
      <c r="K2672" s="53"/>
      <c r="N2672" s="53"/>
      <c r="O2672" s="53"/>
      <c r="T2672" s="53"/>
      <c r="V2672" s="53"/>
      <c r="W2672" s="55"/>
    </row>
    <row r="2673">
      <c r="K2673" s="53"/>
      <c r="N2673" s="53"/>
      <c r="O2673" s="53"/>
      <c r="T2673" s="53"/>
      <c r="V2673" s="53"/>
      <c r="W2673" s="55"/>
    </row>
    <row r="2674">
      <c r="K2674" s="53"/>
      <c r="N2674" s="53"/>
      <c r="O2674" s="53"/>
      <c r="T2674" s="53"/>
      <c r="V2674" s="53"/>
      <c r="W2674" s="55"/>
    </row>
    <row r="2675">
      <c r="K2675" s="53"/>
      <c r="N2675" s="53"/>
      <c r="O2675" s="53"/>
      <c r="T2675" s="53"/>
      <c r="V2675" s="53"/>
      <c r="W2675" s="55"/>
    </row>
    <row r="2676">
      <c r="K2676" s="53"/>
      <c r="N2676" s="53"/>
      <c r="O2676" s="53"/>
      <c r="T2676" s="53"/>
      <c r="V2676" s="53"/>
      <c r="W2676" s="55"/>
    </row>
    <row r="2677">
      <c r="K2677" s="53"/>
      <c r="N2677" s="53"/>
      <c r="O2677" s="53"/>
      <c r="T2677" s="53"/>
      <c r="V2677" s="53"/>
      <c r="W2677" s="55"/>
    </row>
    <row r="2678">
      <c r="K2678" s="53"/>
      <c r="N2678" s="53"/>
      <c r="O2678" s="53"/>
      <c r="T2678" s="53"/>
      <c r="V2678" s="53"/>
      <c r="W2678" s="55"/>
    </row>
    <row r="2679">
      <c r="K2679" s="53"/>
      <c r="N2679" s="53"/>
      <c r="O2679" s="53"/>
      <c r="T2679" s="53"/>
      <c r="V2679" s="53"/>
      <c r="W2679" s="55"/>
    </row>
    <row r="2680">
      <c r="K2680" s="53"/>
      <c r="N2680" s="53"/>
      <c r="O2680" s="53"/>
      <c r="T2680" s="53"/>
      <c r="V2680" s="53"/>
      <c r="W2680" s="55"/>
    </row>
    <row r="2681">
      <c r="K2681" s="53"/>
      <c r="N2681" s="53"/>
      <c r="O2681" s="53"/>
      <c r="T2681" s="53"/>
      <c r="V2681" s="53"/>
      <c r="W2681" s="55"/>
    </row>
    <row r="2682">
      <c r="K2682" s="53"/>
      <c r="N2682" s="53"/>
      <c r="O2682" s="53"/>
      <c r="T2682" s="53"/>
      <c r="V2682" s="53"/>
      <c r="W2682" s="55"/>
    </row>
    <row r="2683">
      <c r="K2683" s="53"/>
      <c r="N2683" s="53"/>
      <c r="O2683" s="53"/>
      <c r="T2683" s="53"/>
      <c r="V2683" s="53"/>
      <c r="W2683" s="55"/>
    </row>
    <row r="2684">
      <c r="K2684" s="53"/>
      <c r="N2684" s="53"/>
      <c r="O2684" s="53"/>
      <c r="T2684" s="53"/>
      <c r="V2684" s="53"/>
      <c r="W2684" s="55"/>
    </row>
    <row r="2685">
      <c r="K2685" s="53"/>
      <c r="N2685" s="53"/>
      <c r="O2685" s="53"/>
      <c r="T2685" s="53"/>
      <c r="V2685" s="53"/>
      <c r="W2685" s="55"/>
    </row>
    <row r="2686">
      <c r="K2686" s="53"/>
      <c r="N2686" s="53"/>
      <c r="O2686" s="53"/>
      <c r="T2686" s="53"/>
      <c r="V2686" s="53"/>
      <c r="W2686" s="55"/>
    </row>
    <row r="2687">
      <c r="K2687" s="53"/>
      <c r="N2687" s="53"/>
      <c r="O2687" s="53"/>
      <c r="T2687" s="53"/>
      <c r="V2687" s="53"/>
      <c r="W2687" s="55"/>
    </row>
    <row r="2688">
      <c r="K2688" s="53"/>
      <c r="N2688" s="53"/>
      <c r="O2688" s="53"/>
      <c r="T2688" s="53"/>
      <c r="V2688" s="53"/>
      <c r="W2688" s="55"/>
    </row>
    <row r="2689">
      <c r="K2689" s="53"/>
      <c r="N2689" s="53"/>
      <c r="O2689" s="53"/>
      <c r="T2689" s="53"/>
      <c r="V2689" s="53"/>
      <c r="W2689" s="55"/>
    </row>
    <row r="2690">
      <c r="K2690" s="53"/>
      <c r="N2690" s="53"/>
      <c r="O2690" s="53"/>
      <c r="T2690" s="53"/>
      <c r="V2690" s="53"/>
      <c r="W2690" s="55"/>
    </row>
    <row r="2691">
      <c r="K2691" s="53"/>
      <c r="N2691" s="53"/>
      <c r="O2691" s="53"/>
      <c r="T2691" s="53"/>
      <c r="V2691" s="53"/>
      <c r="W2691" s="55"/>
    </row>
    <row r="2692">
      <c r="K2692" s="53"/>
      <c r="N2692" s="53"/>
      <c r="O2692" s="53"/>
      <c r="T2692" s="53"/>
      <c r="V2692" s="53"/>
      <c r="W2692" s="55"/>
    </row>
    <row r="2693">
      <c r="K2693" s="53"/>
      <c r="N2693" s="53"/>
      <c r="O2693" s="53"/>
      <c r="T2693" s="53"/>
      <c r="V2693" s="53"/>
      <c r="W2693" s="55"/>
    </row>
    <row r="2694">
      <c r="K2694" s="53"/>
      <c r="N2694" s="53"/>
      <c r="O2694" s="53"/>
      <c r="T2694" s="53"/>
      <c r="V2694" s="53"/>
      <c r="W2694" s="55"/>
    </row>
    <row r="2695">
      <c r="K2695" s="53"/>
      <c r="N2695" s="53"/>
      <c r="O2695" s="53"/>
      <c r="T2695" s="53"/>
      <c r="V2695" s="53"/>
      <c r="W2695" s="55"/>
    </row>
    <row r="2696">
      <c r="K2696" s="53"/>
      <c r="N2696" s="53"/>
      <c r="O2696" s="53"/>
      <c r="T2696" s="53"/>
      <c r="V2696" s="53"/>
      <c r="W2696" s="55"/>
    </row>
    <row r="2697">
      <c r="K2697" s="53"/>
      <c r="N2697" s="53"/>
      <c r="O2697" s="53"/>
      <c r="T2697" s="53"/>
      <c r="V2697" s="53"/>
      <c r="W2697" s="55"/>
    </row>
    <row r="2698">
      <c r="K2698" s="53"/>
      <c r="N2698" s="53"/>
      <c r="O2698" s="53"/>
      <c r="T2698" s="53"/>
      <c r="V2698" s="53"/>
      <c r="W2698" s="55"/>
    </row>
    <row r="2699">
      <c r="K2699" s="53"/>
      <c r="N2699" s="53"/>
      <c r="O2699" s="53"/>
      <c r="T2699" s="53"/>
      <c r="V2699" s="53"/>
      <c r="W2699" s="55"/>
    </row>
    <row r="2700">
      <c r="K2700" s="53"/>
      <c r="N2700" s="53"/>
      <c r="O2700" s="53"/>
      <c r="T2700" s="53"/>
      <c r="V2700" s="53"/>
      <c r="W2700" s="55"/>
    </row>
    <row r="2701">
      <c r="K2701" s="53"/>
      <c r="N2701" s="53"/>
      <c r="O2701" s="53"/>
      <c r="T2701" s="53"/>
      <c r="V2701" s="53"/>
      <c r="W2701" s="55"/>
    </row>
    <row r="2702">
      <c r="K2702" s="53"/>
      <c r="N2702" s="53"/>
      <c r="O2702" s="53"/>
      <c r="T2702" s="53"/>
      <c r="V2702" s="53"/>
      <c r="W2702" s="55"/>
    </row>
    <row r="2703">
      <c r="K2703" s="53"/>
      <c r="N2703" s="53"/>
      <c r="O2703" s="53"/>
      <c r="T2703" s="53"/>
      <c r="V2703" s="53"/>
      <c r="W2703" s="55"/>
    </row>
    <row r="2704">
      <c r="K2704" s="53"/>
      <c r="N2704" s="53"/>
      <c r="O2704" s="53"/>
      <c r="T2704" s="53"/>
      <c r="V2704" s="53"/>
      <c r="W2704" s="55"/>
    </row>
    <row r="2705">
      <c r="K2705" s="53"/>
      <c r="N2705" s="53"/>
      <c r="O2705" s="53"/>
      <c r="T2705" s="53"/>
      <c r="V2705" s="53"/>
      <c r="W2705" s="55"/>
    </row>
    <row r="2706">
      <c r="K2706" s="53"/>
      <c r="N2706" s="53"/>
      <c r="O2706" s="53"/>
      <c r="T2706" s="53"/>
      <c r="V2706" s="53"/>
      <c r="W2706" s="55"/>
    </row>
    <row r="2707">
      <c r="K2707" s="53"/>
      <c r="N2707" s="53"/>
      <c r="O2707" s="53"/>
      <c r="T2707" s="53"/>
      <c r="V2707" s="53"/>
      <c r="W2707" s="55"/>
    </row>
    <row r="2708">
      <c r="K2708" s="53"/>
      <c r="N2708" s="53"/>
      <c r="O2708" s="53"/>
      <c r="T2708" s="53"/>
      <c r="V2708" s="53"/>
      <c r="W2708" s="55"/>
    </row>
    <row r="2709">
      <c r="K2709" s="53"/>
      <c r="N2709" s="53"/>
      <c r="O2709" s="53"/>
      <c r="T2709" s="53"/>
      <c r="V2709" s="53"/>
      <c r="W2709" s="55"/>
    </row>
    <row r="2710">
      <c r="K2710" s="53"/>
      <c r="N2710" s="53"/>
      <c r="O2710" s="53"/>
      <c r="T2710" s="53"/>
      <c r="V2710" s="53"/>
      <c r="W2710" s="55"/>
    </row>
    <row r="2711">
      <c r="K2711" s="53"/>
      <c r="N2711" s="53"/>
      <c r="O2711" s="53"/>
      <c r="T2711" s="53"/>
      <c r="V2711" s="53"/>
      <c r="W2711" s="55"/>
    </row>
    <row r="2712">
      <c r="K2712" s="53"/>
      <c r="N2712" s="53"/>
      <c r="O2712" s="53"/>
      <c r="T2712" s="53"/>
      <c r="V2712" s="53"/>
      <c r="W2712" s="55"/>
    </row>
    <row r="2713">
      <c r="K2713" s="53"/>
      <c r="N2713" s="53"/>
      <c r="O2713" s="53"/>
      <c r="T2713" s="53"/>
      <c r="V2713" s="53"/>
      <c r="W2713" s="55"/>
    </row>
    <row r="2714">
      <c r="K2714" s="53"/>
      <c r="N2714" s="53"/>
      <c r="O2714" s="53"/>
      <c r="T2714" s="53"/>
      <c r="V2714" s="53"/>
      <c r="W2714" s="55"/>
    </row>
    <row r="2715">
      <c r="K2715" s="53"/>
      <c r="N2715" s="53"/>
      <c r="O2715" s="53"/>
      <c r="T2715" s="53"/>
      <c r="V2715" s="53"/>
      <c r="W2715" s="55"/>
    </row>
    <row r="2716">
      <c r="K2716" s="53"/>
      <c r="N2716" s="53"/>
      <c r="O2716" s="53"/>
      <c r="T2716" s="53"/>
      <c r="V2716" s="53"/>
      <c r="W2716" s="55"/>
    </row>
    <row r="2717">
      <c r="K2717" s="53"/>
      <c r="N2717" s="53"/>
      <c r="O2717" s="53"/>
      <c r="T2717" s="53"/>
      <c r="V2717" s="53"/>
      <c r="W2717" s="55"/>
    </row>
    <row r="2718">
      <c r="K2718" s="53"/>
      <c r="N2718" s="53"/>
      <c r="O2718" s="53"/>
      <c r="T2718" s="53"/>
      <c r="V2718" s="53"/>
      <c r="W2718" s="55"/>
    </row>
    <row r="2719">
      <c r="K2719" s="53"/>
      <c r="N2719" s="53"/>
      <c r="O2719" s="53"/>
      <c r="T2719" s="53"/>
      <c r="V2719" s="53"/>
      <c r="W2719" s="55"/>
    </row>
    <row r="2720">
      <c r="K2720" s="53"/>
      <c r="N2720" s="53"/>
      <c r="O2720" s="53"/>
      <c r="T2720" s="53"/>
      <c r="V2720" s="53"/>
      <c r="W2720" s="55"/>
    </row>
    <row r="2721">
      <c r="K2721" s="53"/>
      <c r="N2721" s="53"/>
      <c r="O2721" s="53"/>
      <c r="T2721" s="53"/>
      <c r="V2721" s="53"/>
      <c r="W2721" s="55"/>
    </row>
    <row r="2722">
      <c r="K2722" s="53"/>
      <c r="N2722" s="53"/>
      <c r="O2722" s="53"/>
      <c r="T2722" s="53"/>
      <c r="V2722" s="53"/>
      <c r="W2722" s="55"/>
    </row>
    <row r="2723">
      <c r="K2723" s="53"/>
      <c r="N2723" s="53"/>
      <c r="O2723" s="53"/>
      <c r="T2723" s="53"/>
      <c r="V2723" s="53"/>
      <c r="W2723" s="55"/>
    </row>
    <row r="2724">
      <c r="K2724" s="53"/>
      <c r="N2724" s="53"/>
      <c r="O2724" s="53"/>
      <c r="T2724" s="53"/>
      <c r="V2724" s="53"/>
      <c r="W2724" s="55"/>
    </row>
    <row r="2725">
      <c r="K2725" s="53"/>
      <c r="N2725" s="53"/>
      <c r="O2725" s="53"/>
      <c r="T2725" s="53"/>
      <c r="V2725" s="53"/>
      <c r="W2725" s="55"/>
    </row>
    <row r="2726">
      <c r="K2726" s="53"/>
      <c r="N2726" s="53"/>
      <c r="O2726" s="53"/>
      <c r="T2726" s="53"/>
      <c r="V2726" s="53"/>
      <c r="W2726" s="55"/>
    </row>
    <row r="2727">
      <c r="K2727" s="53"/>
      <c r="N2727" s="53"/>
      <c r="O2727" s="53"/>
      <c r="T2727" s="53"/>
      <c r="V2727" s="53"/>
      <c r="W2727" s="55"/>
    </row>
    <row r="2728">
      <c r="K2728" s="53"/>
      <c r="N2728" s="53"/>
      <c r="O2728" s="53"/>
      <c r="T2728" s="53"/>
      <c r="V2728" s="53"/>
      <c r="W2728" s="55"/>
    </row>
    <row r="2729">
      <c r="K2729" s="53"/>
      <c r="N2729" s="53"/>
      <c r="O2729" s="53"/>
      <c r="T2729" s="53"/>
      <c r="V2729" s="53"/>
      <c r="W2729" s="55"/>
    </row>
    <row r="2730">
      <c r="K2730" s="53"/>
      <c r="N2730" s="53"/>
      <c r="O2730" s="53"/>
      <c r="T2730" s="53"/>
      <c r="V2730" s="53"/>
      <c r="W2730" s="55"/>
    </row>
    <row r="2731">
      <c r="K2731" s="53"/>
      <c r="N2731" s="53"/>
      <c r="O2731" s="53"/>
      <c r="T2731" s="53"/>
      <c r="V2731" s="53"/>
      <c r="W2731" s="55"/>
    </row>
    <row r="2732">
      <c r="K2732" s="53"/>
      <c r="N2732" s="53"/>
      <c r="O2732" s="53"/>
      <c r="T2732" s="53"/>
      <c r="V2732" s="53"/>
      <c r="W2732" s="55"/>
    </row>
    <row r="2733">
      <c r="K2733" s="53"/>
      <c r="N2733" s="53"/>
      <c r="O2733" s="53"/>
      <c r="T2733" s="53"/>
      <c r="V2733" s="53"/>
      <c r="W2733" s="55"/>
    </row>
    <row r="2734">
      <c r="K2734" s="53"/>
      <c r="N2734" s="53"/>
      <c r="O2734" s="53"/>
      <c r="T2734" s="53"/>
      <c r="V2734" s="53"/>
      <c r="W2734" s="55"/>
    </row>
    <row r="2735">
      <c r="K2735" s="53"/>
      <c r="N2735" s="53"/>
      <c r="O2735" s="53"/>
      <c r="T2735" s="53"/>
      <c r="V2735" s="53"/>
      <c r="W2735" s="55"/>
    </row>
    <row r="2736">
      <c r="K2736" s="53"/>
      <c r="N2736" s="53"/>
      <c r="O2736" s="53"/>
      <c r="T2736" s="53"/>
      <c r="V2736" s="53"/>
      <c r="W2736" s="55"/>
    </row>
    <row r="2737">
      <c r="K2737" s="53"/>
      <c r="N2737" s="53"/>
      <c r="O2737" s="53"/>
      <c r="T2737" s="53"/>
      <c r="V2737" s="53"/>
      <c r="W2737" s="55"/>
    </row>
    <row r="2738">
      <c r="K2738" s="53"/>
      <c r="N2738" s="53"/>
      <c r="O2738" s="53"/>
      <c r="T2738" s="53"/>
      <c r="V2738" s="53"/>
      <c r="W2738" s="55"/>
    </row>
    <row r="2739">
      <c r="K2739" s="53"/>
      <c r="N2739" s="53"/>
      <c r="O2739" s="53"/>
      <c r="T2739" s="53"/>
      <c r="V2739" s="53"/>
      <c r="W2739" s="55"/>
    </row>
    <row r="2740">
      <c r="K2740" s="53"/>
      <c r="N2740" s="53"/>
      <c r="O2740" s="53"/>
      <c r="T2740" s="53"/>
      <c r="V2740" s="53"/>
      <c r="W2740" s="55"/>
    </row>
    <row r="2741">
      <c r="K2741" s="53"/>
      <c r="N2741" s="53"/>
      <c r="O2741" s="53"/>
      <c r="T2741" s="53"/>
      <c r="V2741" s="53"/>
      <c r="W2741" s="55"/>
    </row>
    <row r="2742">
      <c r="K2742" s="53"/>
      <c r="N2742" s="53"/>
      <c r="O2742" s="53"/>
      <c r="T2742" s="53"/>
      <c r="V2742" s="53"/>
      <c r="W2742" s="55"/>
    </row>
    <row r="2743">
      <c r="K2743" s="53"/>
      <c r="N2743" s="53"/>
      <c r="O2743" s="53"/>
      <c r="T2743" s="53"/>
      <c r="V2743" s="53"/>
      <c r="W2743" s="55"/>
    </row>
    <row r="2744">
      <c r="K2744" s="53"/>
      <c r="N2744" s="53"/>
      <c r="O2744" s="53"/>
      <c r="T2744" s="53"/>
      <c r="V2744" s="53"/>
      <c r="W2744" s="55"/>
    </row>
    <row r="2745">
      <c r="K2745" s="53"/>
      <c r="N2745" s="53"/>
      <c r="O2745" s="53"/>
      <c r="T2745" s="53"/>
      <c r="V2745" s="53"/>
      <c r="W2745" s="55"/>
    </row>
    <row r="2746">
      <c r="K2746" s="53"/>
      <c r="N2746" s="53"/>
      <c r="O2746" s="53"/>
      <c r="T2746" s="53"/>
      <c r="V2746" s="53"/>
      <c r="W2746" s="55"/>
    </row>
    <row r="2747">
      <c r="K2747" s="53"/>
      <c r="N2747" s="53"/>
      <c r="O2747" s="53"/>
      <c r="T2747" s="53"/>
      <c r="V2747" s="53"/>
      <c r="W2747" s="55"/>
    </row>
    <row r="2748">
      <c r="K2748" s="53"/>
      <c r="N2748" s="53"/>
      <c r="O2748" s="53"/>
      <c r="T2748" s="53"/>
      <c r="V2748" s="53"/>
      <c r="W2748" s="55"/>
    </row>
    <row r="2749">
      <c r="K2749" s="53"/>
      <c r="N2749" s="53"/>
      <c r="O2749" s="53"/>
      <c r="T2749" s="53"/>
      <c r="V2749" s="53"/>
      <c r="W2749" s="55"/>
    </row>
    <row r="2750">
      <c r="K2750" s="53"/>
      <c r="N2750" s="53"/>
      <c r="O2750" s="53"/>
      <c r="T2750" s="53"/>
      <c r="V2750" s="53"/>
      <c r="W2750" s="55"/>
    </row>
    <row r="2751">
      <c r="K2751" s="53"/>
      <c r="N2751" s="53"/>
      <c r="O2751" s="53"/>
      <c r="T2751" s="53"/>
      <c r="V2751" s="53"/>
      <c r="W2751" s="55"/>
    </row>
    <row r="2752">
      <c r="K2752" s="53"/>
      <c r="N2752" s="53"/>
      <c r="O2752" s="53"/>
      <c r="T2752" s="53"/>
      <c r="V2752" s="53"/>
      <c r="W2752" s="55"/>
    </row>
    <row r="2753">
      <c r="K2753" s="53"/>
      <c r="N2753" s="53"/>
      <c r="O2753" s="53"/>
      <c r="T2753" s="53"/>
      <c r="V2753" s="53"/>
      <c r="W2753" s="55"/>
    </row>
    <row r="2754">
      <c r="K2754" s="53"/>
      <c r="N2754" s="53"/>
      <c r="O2754" s="53"/>
      <c r="T2754" s="53"/>
      <c r="V2754" s="53"/>
      <c r="W2754" s="55"/>
    </row>
    <row r="2755">
      <c r="K2755" s="53"/>
      <c r="N2755" s="53"/>
      <c r="O2755" s="53"/>
      <c r="T2755" s="53"/>
      <c r="V2755" s="53"/>
      <c r="W2755" s="55"/>
    </row>
    <row r="2756">
      <c r="K2756" s="53"/>
      <c r="N2756" s="53"/>
      <c r="O2756" s="53"/>
      <c r="T2756" s="53"/>
      <c r="V2756" s="53"/>
      <c r="W2756" s="55"/>
    </row>
    <row r="2757">
      <c r="K2757" s="53"/>
      <c r="N2757" s="53"/>
      <c r="O2757" s="53"/>
      <c r="T2757" s="53"/>
      <c r="V2757" s="53"/>
      <c r="W2757" s="55"/>
    </row>
    <row r="2758">
      <c r="K2758" s="53"/>
      <c r="N2758" s="53"/>
      <c r="O2758" s="53"/>
      <c r="T2758" s="53"/>
      <c r="V2758" s="53"/>
      <c r="W2758" s="55"/>
    </row>
    <row r="2759">
      <c r="K2759" s="53"/>
      <c r="N2759" s="53"/>
      <c r="O2759" s="53"/>
      <c r="T2759" s="53"/>
      <c r="V2759" s="53"/>
      <c r="W2759" s="55"/>
    </row>
    <row r="2760">
      <c r="K2760" s="53"/>
      <c r="N2760" s="53"/>
      <c r="O2760" s="53"/>
      <c r="T2760" s="53"/>
      <c r="V2760" s="53"/>
      <c r="W2760" s="55"/>
    </row>
    <row r="2761">
      <c r="K2761" s="53"/>
      <c r="N2761" s="53"/>
      <c r="O2761" s="53"/>
      <c r="T2761" s="53"/>
      <c r="V2761" s="53"/>
      <c r="W2761" s="55"/>
    </row>
    <row r="2762">
      <c r="K2762" s="53"/>
      <c r="N2762" s="53"/>
      <c r="O2762" s="53"/>
      <c r="T2762" s="53"/>
      <c r="V2762" s="53"/>
      <c r="W2762" s="55"/>
    </row>
    <row r="2763">
      <c r="K2763" s="53"/>
      <c r="N2763" s="53"/>
      <c r="O2763" s="53"/>
      <c r="T2763" s="53"/>
      <c r="V2763" s="53"/>
      <c r="W2763" s="55"/>
    </row>
    <row r="2764">
      <c r="K2764" s="53"/>
      <c r="N2764" s="53"/>
      <c r="O2764" s="53"/>
      <c r="T2764" s="53"/>
      <c r="V2764" s="53"/>
      <c r="W2764" s="55"/>
    </row>
    <row r="2765">
      <c r="K2765" s="53"/>
      <c r="N2765" s="53"/>
      <c r="O2765" s="53"/>
      <c r="T2765" s="53"/>
      <c r="V2765" s="53"/>
      <c r="W2765" s="55"/>
    </row>
    <row r="2766">
      <c r="K2766" s="53"/>
      <c r="N2766" s="53"/>
      <c r="O2766" s="53"/>
      <c r="T2766" s="53"/>
      <c r="V2766" s="53"/>
      <c r="W2766" s="55"/>
    </row>
    <row r="2767">
      <c r="K2767" s="53"/>
      <c r="N2767" s="53"/>
      <c r="O2767" s="53"/>
      <c r="T2767" s="53"/>
      <c r="V2767" s="53"/>
      <c r="W2767" s="55"/>
    </row>
    <row r="2768">
      <c r="K2768" s="53"/>
      <c r="N2768" s="53"/>
      <c r="O2768" s="53"/>
      <c r="T2768" s="53"/>
      <c r="V2768" s="53"/>
      <c r="W2768" s="55"/>
    </row>
    <row r="2769">
      <c r="K2769" s="53"/>
      <c r="N2769" s="53"/>
      <c r="O2769" s="53"/>
      <c r="T2769" s="53"/>
      <c r="V2769" s="53"/>
      <c r="W2769" s="55"/>
    </row>
    <row r="2770">
      <c r="K2770" s="53"/>
      <c r="N2770" s="53"/>
      <c r="O2770" s="53"/>
      <c r="T2770" s="53"/>
      <c r="V2770" s="53"/>
      <c r="W2770" s="55"/>
    </row>
    <row r="2771">
      <c r="K2771" s="53"/>
      <c r="N2771" s="53"/>
      <c r="O2771" s="53"/>
      <c r="T2771" s="53"/>
      <c r="V2771" s="53"/>
      <c r="W2771" s="55"/>
    </row>
    <row r="2772">
      <c r="K2772" s="53"/>
      <c r="N2772" s="53"/>
      <c r="O2772" s="53"/>
      <c r="T2772" s="53"/>
      <c r="V2772" s="53"/>
      <c r="W2772" s="55"/>
    </row>
    <row r="2773">
      <c r="K2773" s="53"/>
      <c r="N2773" s="53"/>
      <c r="O2773" s="53"/>
      <c r="T2773" s="53"/>
      <c r="V2773" s="53"/>
      <c r="W2773" s="55"/>
    </row>
    <row r="2774">
      <c r="K2774" s="53"/>
      <c r="N2774" s="53"/>
      <c r="O2774" s="53"/>
      <c r="T2774" s="53"/>
      <c r="V2774" s="53"/>
      <c r="W2774" s="55"/>
    </row>
    <row r="2775">
      <c r="K2775" s="53"/>
      <c r="N2775" s="53"/>
      <c r="O2775" s="53"/>
      <c r="T2775" s="53"/>
      <c r="V2775" s="53"/>
      <c r="W2775" s="55"/>
    </row>
    <row r="2776">
      <c r="K2776" s="53"/>
      <c r="N2776" s="53"/>
      <c r="O2776" s="53"/>
      <c r="T2776" s="53"/>
      <c r="V2776" s="53"/>
      <c r="W2776" s="55"/>
    </row>
    <row r="2777">
      <c r="K2777" s="53"/>
      <c r="N2777" s="53"/>
      <c r="O2777" s="53"/>
      <c r="T2777" s="53"/>
      <c r="V2777" s="53"/>
      <c r="W2777" s="55"/>
    </row>
    <row r="2778">
      <c r="K2778" s="53"/>
      <c r="N2778" s="53"/>
      <c r="O2778" s="53"/>
      <c r="T2778" s="53"/>
      <c r="V2778" s="53"/>
      <c r="W2778" s="55"/>
    </row>
    <row r="2779">
      <c r="K2779" s="53"/>
      <c r="N2779" s="53"/>
      <c r="O2779" s="53"/>
      <c r="T2779" s="53"/>
      <c r="V2779" s="53"/>
      <c r="W2779" s="55"/>
    </row>
    <row r="2780">
      <c r="K2780" s="53"/>
      <c r="N2780" s="53"/>
      <c r="O2780" s="53"/>
      <c r="T2780" s="53"/>
      <c r="V2780" s="53"/>
      <c r="W2780" s="55"/>
    </row>
    <row r="2781">
      <c r="K2781" s="53"/>
      <c r="N2781" s="53"/>
      <c r="O2781" s="53"/>
      <c r="T2781" s="53"/>
      <c r="V2781" s="53"/>
      <c r="W2781" s="55"/>
    </row>
    <row r="2782">
      <c r="K2782" s="53"/>
      <c r="N2782" s="53"/>
      <c r="O2782" s="53"/>
      <c r="T2782" s="53"/>
      <c r="V2782" s="53"/>
      <c r="W2782" s="55"/>
    </row>
    <row r="2783">
      <c r="K2783" s="53"/>
      <c r="N2783" s="53"/>
      <c r="O2783" s="53"/>
      <c r="T2783" s="53"/>
      <c r="V2783" s="53"/>
      <c r="W2783" s="55"/>
    </row>
    <row r="2784">
      <c r="K2784" s="53"/>
      <c r="N2784" s="53"/>
      <c r="O2784" s="53"/>
      <c r="T2784" s="53"/>
      <c r="V2784" s="53"/>
      <c r="W2784" s="55"/>
    </row>
    <row r="2785">
      <c r="K2785" s="53"/>
      <c r="N2785" s="53"/>
      <c r="O2785" s="53"/>
      <c r="T2785" s="53"/>
      <c r="V2785" s="53"/>
      <c r="W2785" s="55"/>
    </row>
    <row r="2786">
      <c r="K2786" s="53"/>
      <c r="N2786" s="53"/>
      <c r="O2786" s="53"/>
      <c r="T2786" s="53"/>
      <c r="V2786" s="53"/>
      <c r="W2786" s="55"/>
    </row>
    <row r="2787">
      <c r="K2787" s="53"/>
      <c r="N2787" s="53"/>
      <c r="O2787" s="53"/>
      <c r="T2787" s="53"/>
      <c r="V2787" s="53"/>
      <c r="W2787" s="55"/>
    </row>
    <row r="2788">
      <c r="K2788" s="53"/>
      <c r="N2788" s="53"/>
      <c r="O2788" s="53"/>
      <c r="T2788" s="53"/>
      <c r="V2788" s="53"/>
      <c r="W2788" s="55"/>
    </row>
    <row r="2789">
      <c r="K2789" s="53"/>
      <c r="N2789" s="53"/>
      <c r="O2789" s="53"/>
      <c r="T2789" s="53"/>
      <c r="V2789" s="53"/>
      <c r="W2789" s="55"/>
    </row>
    <row r="2790">
      <c r="K2790" s="53"/>
      <c r="N2790" s="53"/>
      <c r="O2790" s="53"/>
      <c r="T2790" s="53"/>
      <c r="V2790" s="53"/>
      <c r="W2790" s="55"/>
    </row>
    <row r="2791">
      <c r="K2791" s="53"/>
      <c r="N2791" s="53"/>
      <c r="O2791" s="53"/>
      <c r="T2791" s="53"/>
      <c r="V2791" s="53"/>
      <c r="W2791" s="55"/>
    </row>
    <row r="2792">
      <c r="K2792" s="53"/>
      <c r="N2792" s="53"/>
      <c r="O2792" s="53"/>
      <c r="T2792" s="53"/>
      <c r="V2792" s="53"/>
      <c r="W2792" s="55"/>
    </row>
    <row r="2793">
      <c r="K2793" s="53"/>
      <c r="N2793" s="53"/>
      <c r="O2793" s="53"/>
      <c r="T2793" s="53"/>
      <c r="V2793" s="53"/>
      <c r="W2793" s="55"/>
    </row>
    <row r="2794">
      <c r="K2794" s="53"/>
      <c r="N2794" s="53"/>
      <c r="O2794" s="53"/>
      <c r="T2794" s="53"/>
      <c r="V2794" s="53"/>
      <c r="W2794" s="55"/>
    </row>
    <row r="2795">
      <c r="K2795" s="53"/>
      <c r="N2795" s="53"/>
      <c r="O2795" s="53"/>
      <c r="T2795" s="53"/>
      <c r="V2795" s="53"/>
      <c r="W2795" s="55"/>
    </row>
    <row r="2796">
      <c r="K2796" s="53"/>
      <c r="N2796" s="53"/>
      <c r="O2796" s="53"/>
      <c r="T2796" s="53"/>
      <c r="V2796" s="53"/>
      <c r="W2796" s="55"/>
    </row>
    <row r="2797">
      <c r="K2797" s="53"/>
      <c r="N2797" s="53"/>
      <c r="O2797" s="53"/>
      <c r="T2797" s="53"/>
      <c r="V2797" s="53"/>
      <c r="W2797" s="55"/>
    </row>
    <row r="2798">
      <c r="K2798" s="53"/>
      <c r="N2798" s="53"/>
      <c r="O2798" s="53"/>
      <c r="T2798" s="53"/>
      <c r="V2798" s="53"/>
      <c r="W2798" s="55"/>
    </row>
    <row r="2799">
      <c r="K2799" s="53"/>
      <c r="N2799" s="53"/>
      <c r="O2799" s="53"/>
      <c r="T2799" s="53"/>
      <c r="V2799" s="53"/>
      <c r="W2799" s="55"/>
    </row>
    <row r="2800">
      <c r="K2800" s="53"/>
      <c r="N2800" s="53"/>
      <c r="O2800" s="53"/>
      <c r="T2800" s="53"/>
      <c r="V2800" s="53"/>
      <c r="W2800" s="55"/>
    </row>
    <row r="2801">
      <c r="K2801" s="53"/>
      <c r="N2801" s="53"/>
      <c r="O2801" s="53"/>
      <c r="T2801" s="53"/>
      <c r="V2801" s="53"/>
      <c r="W2801" s="55"/>
    </row>
    <row r="2802">
      <c r="K2802" s="53"/>
      <c r="N2802" s="53"/>
      <c r="O2802" s="53"/>
      <c r="T2802" s="53"/>
      <c r="V2802" s="53"/>
      <c r="W2802" s="55"/>
    </row>
    <row r="2803">
      <c r="K2803" s="53"/>
      <c r="N2803" s="53"/>
      <c r="O2803" s="53"/>
      <c r="T2803" s="53"/>
      <c r="V2803" s="53"/>
      <c r="W2803" s="55"/>
    </row>
    <row r="2804">
      <c r="K2804" s="53"/>
      <c r="N2804" s="53"/>
      <c r="O2804" s="53"/>
      <c r="T2804" s="53"/>
      <c r="V2804" s="53"/>
      <c r="W2804" s="55"/>
    </row>
    <row r="2805">
      <c r="K2805" s="53"/>
      <c r="N2805" s="53"/>
      <c r="O2805" s="53"/>
      <c r="T2805" s="53"/>
      <c r="V2805" s="53"/>
      <c r="W2805" s="55"/>
    </row>
    <row r="2806">
      <c r="K2806" s="53"/>
      <c r="N2806" s="53"/>
      <c r="O2806" s="53"/>
      <c r="T2806" s="53"/>
      <c r="V2806" s="53"/>
      <c r="W2806" s="55"/>
    </row>
    <row r="2807">
      <c r="K2807" s="53"/>
      <c r="N2807" s="53"/>
      <c r="O2807" s="53"/>
      <c r="T2807" s="53"/>
      <c r="V2807" s="53"/>
      <c r="W2807" s="55"/>
    </row>
    <row r="2808">
      <c r="K2808" s="53"/>
      <c r="N2808" s="53"/>
      <c r="O2808" s="53"/>
      <c r="T2808" s="53"/>
      <c r="V2808" s="53"/>
      <c r="W2808" s="55"/>
    </row>
    <row r="2809">
      <c r="K2809" s="53"/>
      <c r="N2809" s="53"/>
      <c r="O2809" s="53"/>
      <c r="T2809" s="53"/>
      <c r="V2809" s="53"/>
      <c r="W2809" s="55"/>
    </row>
    <row r="2810">
      <c r="K2810" s="53"/>
      <c r="N2810" s="53"/>
      <c r="O2810" s="53"/>
      <c r="T2810" s="53"/>
      <c r="V2810" s="53"/>
      <c r="W2810" s="55"/>
    </row>
    <row r="2811">
      <c r="K2811" s="53"/>
      <c r="N2811" s="53"/>
      <c r="O2811" s="53"/>
      <c r="T2811" s="53"/>
      <c r="V2811" s="53"/>
      <c r="W2811" s="55"/>
    </row>
    <row r="2812">
      <c r="K2812" s="53"/>
      <c r="N2812" s="53"/>
      <c r="O2812" s="53"/>
      <c r="T2812" s="53"/>
      <c r="V2812" s="53"/>
      <c r="W2812" s="55"/>
    </row>
    <row r="2813">
      <c r="K2813" s="53"/>
      <c r="N2813" s="53"/>
      <c r="O2813" s="53"/>
      <c r="T2813" s="53"/>
      <c r="V2813" s="53"/>
      <c r="W2813" s="55"/>
    </row>
    <row r="2814">
      <c r="K2814" s="53"/>
      <c r="N2814" s="53"/>
      <c r="O2814" s="53"/>
      <c r="T2814" s="53"/>
      <c r="V2814" s="53"/>
      <c r="W2814" s="55"/>
    </row>
    <row r="2815">
      <c r="K2815" s="53"/>
      <c r="N2815" s="53"/>
      <c r="O2815" s="53"/>
      <c r="T2815" s="53"/>
      <c r="V2815" s="53"/>
      <c r="W2815" s="55"/>
    </row>
    <row r="2816">
      <c r="K2816" s="53"/>
      <c r="N2816" s="53"/>
      <c r="O2816" s="53"/>
      <c r="T2816" s="53"/>
      <c r="V2816" s="53"/>
      <c r="W2816" s="55"/>
    </row>
    <row r="2817">
      <c r="K2817" s="53"/>
      <c r="N2817" s="53"/>
      <c r="O2817" s="53"/>
      <c r="T2817" s="53"/>
      <c r="V2817" s="53"/>
      <c r="W2817" s="55"/>
    </row>
    <row r="2818">
      <c r="K2818" s="53"/>
      <c r="N2818" s="53"/>
      <c r="O2818" s="53"/>
      <c r="T2818" s="53"/>
      <c r="V2818" s="53"/>
      <c r="W2818" s="55"/>
    </row>
    <row r="2819">
      <c r="K2819" s="53"/>
      <c r="N2819" s="53"/>
      <c r="O2819" s="53"/>
      <c r="T2819" s="53"/>
      <c r="V2819" s="53"/>
      <c r="W2819" s="55"/>
    </row>
    <row r="2820">
      <c r="K2820" s="53"/>
      <c r="N2820" s="53"/>
      <c r="O2820" s="53"/>
      <c r="T2820" s="53"/>
      <c r="V2820" s="53"/>
      <c r="W2820" s="55"/>
    </row>
    <row r="2821">
      <c r="K2821" s="53"/>
      <c r="N2821" s="53"/>
      <c r="O2821" s="53"/>
      <c r="T2821" s="53"/>
      <c r="V2821" s="53"/>
      <c r="W2821" s="55"/>
    </row>
    <row r="2822">
      <c r="K2822" s="53"/>
      <c r="N2822" s="53"/>
      <c r="O2822" s="53"/>
      <c r="T2822" s="53"/>
      <c r="V2822" s="53"/>
      <c r="W2822" s="55"/>
    </row>
    <row r="2823">
      <c r="K2823" s="53"/>
      <c r="N2823" s="53"/>
      <c r="O2823" s="53"/>
      <c r="T2823" s="53"/>
      <c r="V2823" s="53"/>
      <c r="W2823" s="55"/>
    </row>
    <row r="2824">
      <c r="K2824" s="53"/>
      <c r="N2824" s="53"/>
      <c r="O2824" s="53"/>
      <c r="T2824" s="53"/>
      <c r="V2824" s="53"/>
      <c r="W2824" s="55"/>
    </row>
    <row r="2825">
      <c r="K2825" s="53"/>
      <c r="N2825" s="53"/>
      <c r="O2825" s="53"/>
      <c r="T2825" s="53"/>
      <c r="V2825" s="53"/>
      <c r="W2825" s="55"/>
    </row>
    <row r="2826">
      <c r="K2826" s="53"/>
      <c r="N2826" s="53"/>
      <c r="O2826" s="53"/>
      <c r="T2826" s="53"/>
      <c r="V2826" s="53"/>
      <c r="W2826" s="55"/>
    </row>
    <row r="2827">
      <c r="K2827" s="53"/>
      <c r="N2827" s="53"/>
      <c r="O2827" s="53"/>
      <c r="T2827" s="53"/>
      <c r="V2827" s="53"/>
      <c r="W2827" s="55"/>
    </row>
    <row r="2828">
      <c r="K2828" s="53"/>
      <c r="N2828" s="53"/>
      <c r="O2828" s="53"/>
      <c r="T2828" s="53"/>
      <c r="V2828" s="53"/>
      <c r="W2828" s="55"/>
    </row>
    <row r="2829">
      <c r="K2829" s="53"/>
      <c r="N2829" s="53"/>
      <c r="O2829" s="53"/>
      <c r="T2829" s="53"/>
      <c r="V2829" s="53"/>
      <c r="W2829" s="55"/>
    </row>
    <row r="2830">
      <c r="K2830" s="53"/>
      <c r="N2830" s="53"/>
      <c r="O2830" s="53"/>
      <c r="T2830" s="53"/>
      <c r="V2830" s="53"/>
      <c r="W2830" s="55"/>
    </row>
    <row r="2831">
      <c r="K2831" s="53"/>
      <c r="N2831" s="53"/>
      <c r="O2831" s="53"/>
      <c r="T2831" s="53"/>
      <c r="V2831" s="53"/>
      <c r="W2831" s="55"/>
    </row>
    <row r="2832">
      <c r="K2832" s="53"/>
      <c r="N2832" s="53"/>
      <c r="O2832" s="53"/>
      <c r="T2832" s="53"/>
      <c r="V2832" s="53"/>
      <c r="W2832" s="55"/>
    </row>
    <row r="2833">
      <c r="K2833" s="53"/>
      <c r="N2833" s="53"/>
      <c r="O2833" s="53"/>
      <c r="T2833" s="53"/>
      <c r="V2833" s="53"/>
      <c r="W2833" s="55"/>
    </row>
    <row r="2834">
      <c r="K2834" s="53"/>
      <c r="N2834" s="53"/>
      <c r="O2834" s="53"/>
      <c r="T2834" s="53"/>
      <c r="V2834" s="53"/>
      <c r="W2834" s="55"/>
    </row>
    <row r="2835">
      <c r="K2835" s="53"/>
      <c r="N2835" s="53"/>
      <c r="O2835" s="53"/>
      <c r="T2835" s="53"/>
      <c r="V2835" s="53"/>
      <c r="W2835" s="55"/>
    </row>
    <row r="2836">
      <c r="K2836" s="53"/>
      <c r="N2836" s="53"/>
      <c r="O2836" s="53"/>
      <c r="T2836" s="53"/>
      <c r="V2836" s="53"/>
      <c r="W2836" s="55"/>
    </row>
    <row r="2837">
      <c r="K2837" s="53"/>
      <c r="N2837" s="53"/>
      <c r="O2837" s="53"/>
      <c r="T2837" s="53"/>
      <c r="V2837" s="53"/>
      <c r="W2837" s="55"/>
    </row>
    <row r="2838">
      <c r="K2838" s="53"/>
      <c r="N2838" s="53"/>
      <c r="O2838" s="53"/>
      <c r="T2838" s="53"/>
      <c r="V2838" s="53"/>
      <c r="W2838" s="55"/>
    </row>
    <row r="2839">
      <c r="K2839" s="53"/>
      <c r="N2839" s="53"/>
      <c r="O2839" s="53"/>
      <c r="T2839" s="53"/>
      <c r="V2839" s="53"/>
      <c r="W2839" s="55"/>
    </row>
    <row r="2840">
      <c r="K2840" s="53"/>
      <c r="N2840" s="53"/>
      <c r="O2840" s="53"/>
      <c r="T2840" s="53"/>
      <c r="V2840" s="53"/>
      <c r="W2840" s="55"/>
    </row>
    <row r="2841">
      <c r="K2841" s="53"/>
      <c r="N2841" s="53"/>
      <c r="O2841" s="53"/>
      <c r="T2841" s="53"/>
      <c r="V2841" s="53"/>
      <c r="W2841" s="55"/>
    </row>
    <row r="2842">
      <c r="K2842" s="53"/>
      <c r="N2842" s="53"/>
      <c r="O2842" s="53"/>
      <c r="T2842" s="53"/>
      <c r="V2842" s="53"/>
      <c r="W2842" s="55"/>
    </row>
    <row r="2843">
      <c r="K2843" s="53"/>
      <c r="N2843" s="53"/>
      <c r="O2843" s="53"/>
      <c r="T2843" s="53"/>
      <c r="V2843" s="53"/>
      <c r="W2843" s="55"/>
    </row>
    <row r="2844">
      <c r="K2844" s="53"/>
      <c r="N2844" s="53"/>
      <c r="O2844" s="53"/>
      <c r="T2844" s="53"/>
      <c r="V2844" s="53"/>
      <c r="W2844" s="55"/>
    </row>
    <row r="2845">
      <c r="K2845" s="53"/>
      <c r="N2845" s="53"/>
      <c r="O2845" s="53"/>
      <c r="T2845" s="53"/>
      <c r="V2845" s="53"/>
      <c r="W2845" s="55"/>
    </row>
    <row r="2846">
      <c r="K2846" s="53"/>
      <c r="N2846" s="53"/>
      <c r="O2846" s="53"/>
      <c r="T2846" s="53"/>
      <c r="V2846" s="53"/>
      <c r="W2846" s="55"/>
    </row>
    <row r="2847">
      <c r="K2847" s="53"/>
      <c r="N2847" s="53"/>
      <c r="O2847" s="53"/>
      <c r="T2847" s="53"/>
      <c r="V2847" s="53"/>
      <c r="W2847" s="55"/>
    </row>
    <row r="2848">
      <c r="K2848" s="53"/>
      <c r="N2848" s="53"/>
      <c r="O2848" s="53"/>
      <c r="T2848" s="53"/>
      <c r="V2848" s="53"/>
      <c r="W2848" s="55"/>
    </row>
    <row r="2849">
      <c r="K2849" s="53"/>
      <c r="N2849" s="53"/>
      <c r="O2849" s="53"/>
      <c r="T2849" s="53"/>
      <c r="V2849" s="53"/>
      <c r="W2849" s="55"/>
    </row>
    <row r="2850">
      <c r="K2850" s="53"/>
      <c r="N2850" s="53"/>
      <c r="O2850" s="53"/>
      <c r="T2850" s="53"/>
      <c r="V2850" s="53"/>
      <c r="W2850" s="55"/>
    </row>
    <row r="2851">
      <c r="K2851" s="53"/>
      <c r="N2851" s="53"/>
      <c r="O2851" s="53"/>
      <c r="T2851" s="53"/>
      <c r="V2851" s="53"/>
      <c r="W2851" s="55"/>
    </row>
    <row r="2852">
      <c r="K2852" s="53"/>
      <c r="N2852" s="53"/>
      <c r="O2852" s="53"/>
      <c r="T2852" s="53"/>
      <c r="V2852" s="53"/>
      <c r="W2852" s="55"/>
    </row>
    <row r="2853">
      <c r="K2853" s="53"/>
      <c r="N2853" s="53"/>
      <c r="O2853" s="53"/>
      <c r="T2853" s="53"/>
      <c r="V2853" s="53"/>
      <c r="W2853" s="55"/>
    </row>
    <row r="2854">
      <c r="K2854" s="53"/>
      <c r="N2854" s="53"/>
      <c r="O2854" s="53"/>
      <c r="T2854" s="53"/>
      <c r="V2854" s="53"/>
      <c r="W2854" s="55"/>
    </row>
    <row r="2855">
      <c r="K2855" s="53"/>
      <c r="N2855" s="53"/>
      <c r="O2855" s="53"/>
      <c r="T2855" s="53"/>
      <c r="V2855" s="53"/>
      <c r="W2855" s="55"/>
    </row>
    <row r="2856">
      <c r="K2856" s="53"/>
      <c r="N2856" s="53"/>
      <c r="O2856" s="53"/>
      <c r="T2856" s="53"/>
      <c r="V2856" s="53"/>
      <c r="W2856" s="55"/>
    </row>
    <row r="2857">
      <c r="K2857" s="53"/>
      <c r="N2857" s="53"/>
      <c r="O2857" s="53"/>
      <c r="T2857" s="53"/>
      <c r="V2857" s="53"/>
      <c r="W2857" s="55"/>
    </row>
    <row r="2858">
      <c r="K2858" s="53"/>
      <c r="N2858" s="53"/>
      <c r="O2858" s="53"/>
      <c r="T2858" s="53"/>
      <c r="V2858" s="53"/>
      <c r="W2858" s="55"/>
    </row>
    <row r="2859">
      <c r="K2859" s="53"/>
      <c r="N2859" s="53"/>
      <c r="O2859" s="53"/>
      <c r="T2859" s="53"/>
      <c r="V2859" s="53"/>
      <c r="W2859" s="55"/>
    </row>
    <row r="2860">
      <c r="K2860" s="53"/>
      <c r="N2860" s="53"/>
      <c r="O2860" s="53"/>
      <c r="T2860" s="53"/>
      <c r="V2860" s="53"/>
      <c r="W2860" s="55"/>
    </row>
    <row r="2861">
      <c r="K2861" s="53"/>
      <c r="N2861" s="53"/>
      <c r="O2861" s="53"/>
      <c r="T2861" s="53"/>
      <c r="V2861" s="53"/>
      <c r="W2861" s="55"/>
    </row>
    <row r="2862">
      <c r="K2862" s="53"/>
      <c r="N2862" s="53"/>
      <c r="O2862" s="53"/>
      <c r="T2862" s="53"/>
      <c r="V2862" s="53"/>
      <c r="W2862" s="55"/>
    </row>
    <row r="2863">
      <c r="K2863" s="53"/>
      <c r="N2863" s="53"/>
      <c r="O2863" s="53"/>
      <c r="T2863" s="53"/>
      <c r="V2863" s="53"/>
      <c r="W2863" s="55"/>
    </row>
    <row r="2864">
      <c r="K2864" s="53"/>
      <c r="N2864" s="53"/>
      <c r="O2864" s="53"/>
      <c r="T2864" s="53"/>
      <c r="V2864" s="53"/>
      <c r="W2864" s="55"/>
    </row>
    <row r="2865">
      <c r="K2865" s="53"/>
      <c r="N2865" s="53"/>
      <c r="O2865" s="53"/>
      <c r="T2865" s="53"/>
      <c r="V2865" s="53"/>
      <c r="W2865" s="55"/>
    </row>
    <row r="2866">
      <c r="K2866" s="53"/>
      <c r="N2866" s="53"/>
      <c r="O2866" s="53"/>
      <c r="T2866" s="53"/>
      <c r="V2866" s="53"/>
      <c r="W2866" s="55"/>
    </row>
    <row r="2867">
      <c r="K2867" s="53"/>
      <c r="N2867" s="53"/>
      <c r="O2867" s="53"/>
      <c r="T2867" s="53"/>
      <c r="V2867" s="53"/>
      <c r="W2867" s="55"/>
    </row>
    <row r="2868">
      <c r="K2868" s="53"/>
      <c r="N2868" s="53"/>
      <c r="O2868" s="53"/>
      <c r="T2868" s="53"/>
      <c r="V2868" s="53"/>
      <c r="W2868" s="55"/>
    </row>
    <row r="2869">
      <c r="K2869" s="53"/>
      <c r="N2869" s="53"/>
      <c r="O2869" s="53"/>
      <c r="T2869" s="53"/>
      <c r="V2869" s="53"/>
      <c r="W2869" s="55"/>
    </row>
    <row r="2870">
      <c r="K2870" s="53"/>
      <c r="N2870" s="53"/>
      <c r="O2870" s="53"/>
      <c r="T2870" s="53"/>
      <c r="V2870" s="53"/>
      <c r="W2870" s="55"/>
    </row>
    <row r="2871">
      <c r="K2871" s="53"/>
      <c r="N2871" s="53"/>
      <c r="O2871" s="53"/>
      <c r="T2871" s="53"/>
      <c r="V2871" s="53"/>
      <c r="W2871" s="55"/>
    </row>
    <row r="2872">
      <c r="K2872" s="53"/>
      <c r="N2872" s="53"/>
      <c r="O2872" s="53"/>
      <c r="T2872" s="53"/>
      <c r="V2872" s="53"/>
      <c r="W2872" s="55"/>
    </row>
    <row r="2873">
      <c r="K2873" s="53"/>
      <c r="N2873" s="53"/>
      <c r="O2873" s="53"/>
      <c r="T2873" s="53"/>
      <c r="V2873" s="53"/>
      <c r="W2873" s="55"/>
    </row>
    <row r="2874">
      <c r="K2874" s="53"/>
      <c r="N2874" s="53"/>
      <c r="O2874" s="53"/>
      <c r="T2874" s="53"/>
      <c r="V2874" s="53"/>
      <c r="W2874" s="55"/>
    </row>
    <row r="2875">
      <c r="K2875" s="53"/>
      <c r="N2875" s="53"/>
      <c r="O2875" s="53"/>
      <c r="T2875" s="53"/>
      <c r="V2875" s="53"/>
      <c r="W2875" s="55"/>
    </row>
    <row r="2876">
      <c r="K2876" s="53"/>
      <c r="N2876" s="53"/>
      <c r="O2876" s="53"/>
      <c r="T2876" s="53"/>
      <c r="V2876" s="53"/>
      <c r="W2876" s="55"/>
    </row>
    <row r="2877">
      <c r="K2877" s="53"/>
      <c r="N2877" s="53"/>
      <c r="O2877" s="53"/>
      <c r="T2877" s="53"/>
      <c r="V2877" s="53"/>
      <c r="W2877" s="55"/>
    </row>
    <row r="2878">
      <c r="K2878" s="53"/>
      <c r="N2878" s="53"/>
      <c r="O2878" s="53"/>
      <c r="T2878" s="53"/>
      <c r="V2878" s="53"/>
      <c r="W2878" s="55"/>
    </row>
    <row r="2879">
      <c r="K2879" s="53"/>
      <c r="N2879" s="53"/>
      <c r="O2879" s="53"/>
      <c r="T2879" s="53"/>
      <c r="V2879" s="53"/>
      <c r="W2879" s="55"/>
    </row>
    <row r="2880">
      <c r="K2880" s="53"/>
      <c r="N2880" s="53"/>
      <c r="O2880" s="53"/>
      <c r="T2880" s="53"/>
      <c r="V2880" s="53"/>
      <c r="W2880" s="55"/>
    </row>
    <row r="2881">
      <c r="K2881" s="53"/>
      <c r="N2881" s="53"/>
      <c r="O2881" s="53"/>
      <c r="T2881" s="53"/>
      <c r="V2881" s="53"/>
      <c r="W2881" s="55"/>
    </row>
    <row r="2882">
      <c r="K2882" s="53"/>
      <c r="N2882" s="53"/>
      <c r="O2882" s="53"/>
      <c r="T2882" s="53"/>
      <c r="V2882" s="53"/>
      <c r="W2882" s="55"/>
    </row>
    <row r="2883">
      <c r="K2883" s="53"/>
      <c r="N2883" s="53"/>
      <c r="O2883" s="53"/>
      <c r="T2883" s="53"/>
      <c r="V2883" s="53"/>
      <c r="W2883" s="55"/>
    </row>
    <row r="2884">
      <c r="K2884" s="53"/>
      <c r="N2884" s="53"/>
      <c r="O2884" s="53"/>
      <c r="T2884" s="53"/>
      <c r="V2884" s="53"/>
      <c r="W2884" s="55"/>
    </row>
    <row r="2885">
      <c r="K2885" s="53"/>
      <c r="N2885" s="53"/>
      <c r="O2885" s="53"/>
      <c r="T2885" s="53"/>
      <c r="V2885" s="53"/>
      <c r="W2885" s="55"/>
    </row>
    <row r="2886">
      <c r="K2886" s="53"/>
      <c r="N2886" s="53"/>
      <c r="O2886" s="53"/>
      <c r="T2886" s="53"/>
      <c r="V2886" s="53"/>
      <c r="W2886" s="55"/>
    </row>
    <row r="2887">
      <c r="K2887" s="53"/>
      <c r="N2887" s="53"/>
      <c r="O2887" s="53"/>
      <c r="T2887" s="53"/>
      <c r="V2887" s="53"/>
      <c r="W2887" s="55"/>
    </row>
    <row r="2888">
      <c r="K2888" s="53"/>
      <c r="N2888" s="53"/>
      <c r="O2888" s="53"/>
      <c r="T2888" s="53"/>
      <c r="V2888" s="53"/>
      <c r="W2888" s="55"/>
    </row>
    <row r="2889">
      <c r="K2889" s="53"/>
      <c r="N2889" s="53"/>
      <c r="O2889" s="53"/>
      <c r="T2889" s="53"/>
      <c r="V2889" s="53"/>
      <c r="W2889" s="55"/>
    </row>
    <row r="2890">
      <c r="K2890" s="53"/>
      <c r="N2890" s="53"/>
      <c r="O2890" s="53"/>
      <c r="T2890" s="53"/>
      <c r="V2890" s="53"/>
      <c r="W2890" s="55"/>
    </row>
    <row r="2891">
      <c r="K2891" s="53"/>
      <c r="N2891" s="53"/>
      <c r="O2891" s="53"/>
      <c r="T2891" s="53"/>
      <c r="V2891" s="53"/>
      <c r="W2891" s="55"/>
    </row>
    <row r="2892">
      <c r="K2892" s="53"/>
      <c r="N2892" s="53"/>
      <c r="O2892" s="53"/>
      <c r="T2892" s="53"/>
      <c r="V2892" s="53"/>
      <c r="W2892" s="55"/>
    </row>
    <row r="2893">
      <c r="K2893" s="53"/>
      <c r="N2893" s="53"/>
      <c r="O2893" s="53"/>
      <c r="T2893" s="53"/>
      <c r="V2893" s="53"/>
      <c r="W2893" s="55"/>
    </row>
    <row r="2894">
      <c r="K2894" s="53"/>
      <c r="N2894" s="53"/>
      <c r="O2894" s="53"/>
      <c r="T2894" s="53"/>
      <c r="V2894" s="53"/>
      <c r="W2894" s="55"/>
    </row>
    <row r="2895">
      <c r="K2895" s="53"/>
      <c r="N2895" s="53"/>
      <c r="O2895" s="53"/>
      <c r="T2895" s="53"/>
      <c r="V2895" s="53"/>
      <c r="W2895" s="55"/>
    </row>
    <row r="2896">
      <c r="K2896" s="53"/>
      <c r="N2896" s="53"/>
      <c r="O2896" s="53"/>
      <c r="T2896" s="53"/>
      <c r="V2896" s="53"/>
      <c r="W2896" s="55"/>
    </row>
    <row r="2897">
      <c r="K2897" s="53"/>
      <c r="N2897" s="53"/>
      <c r="O2897" s="53"/>
      <c r="T2897" s="53"/>
      <c r="V2897" s="53"/>
      <c r="W2897" s="55"/>
    </row>
    <row r="2898">
      <c r="K2898" s="53"/>
      <c r="N2898" s="53"/>
      <c r="O2898" s="53"/>
      <c r="T2898" s="53"/>
      <c r="V2898" s="53"/>
      <c r="W2898" s="55"/>
    </row>
    <row r="2899">
      <c r="K2899" s="53"/>
      <c r="N2899" s="53"/>
      <c r="O2899" s="53"/>
      <c r="T2899" s="53"/>
      <c r="V2899" s="53"/>
      <c r="W2899" s="55"/>
    </row>
    <row r="2900">
      <c r="K2900" s="53"/>
      <c r="N2900" s="53"/>
      <c r="O2900" s="53"/>
      <c r="T2900" s="53"/>
      <c r="V2900" s="53"/>
      <c r="W2900" s="55"/>
    </row>
    <row r="2901">
      <c r="K2901" s="53"/>
      <c r="N2901" s="53"/>
      <c r="O2901" s="53"/>
      <c r="T2901" s="53"/>
      <c r="V2901" s="53"/>
      <c r="W2901" s="55"/>
    </row>
    <row r="2902">
      <c r="K2902" s="53"/>
      <c r="N2902" s="53"/>
      <c r="O2902" s="53"/>
      <c r="T2902" s="53"/>
      <c r="V2902" s="53"/>
      <c r="W2902" s="55"/>
    </row>
    <row r="2903">
      <c r="K2903" s="53"/>
      <c r="N2903" s="53"/>
      <c r="O2903" s="53"/>
      <c r="T2903" s="53"/>
      <c r="V2903" s="53"/>
      <c r="W2903" s="55"/>
    </row>
    <row r="2904">
      <c r="K2904" s="53"/>
      <c r="N2904" s="53"/>
      <c r="O2904" s="53"/>
      <c r="T2904" s="53"/>
      <c r="V2904" s="53"/>
      <c r="W2904" s="55"/>
    </row>
    <row r="2905">
      <c r="K2905" s="53"/>
      <c r="N2905" s="53"/>
      <c r="O2905" s="53"/>
      <c r="T2905" s="53"/>
      <c r="V2905" s="53"/>
      <c r="W2905" s="55"/>
    </row>
    <row r="2906">
      <c r="K2906" s="53"/>
      <c r="N2906" s="53"/>
      <c r="O2906" s="53"/>
      <c r="T2906" s="53"/>
      <c r="V2906" s="53"/>
      <c r="W2906" s="55"/>
    </row>
    <row r="2907">
      <c r="K2907" s="53"/>
      <c r="N2907" s="53"/>
      <c r="O2907" s="53"/>
      <c r="T2907" s="53"/>
      <c r="V2907" s="53"/>
      <c r="W2907" s="55"/>
    </row>
    <row r="2908">
      <c r="K2908" s="53"/>
      <c r="N2908" s="53"/>
      <c r="O2908" s="53"/>
      <c r="T2908" s="53"/>
      <c r="V2908" s="53"/>
      <c r="W2908" s="55"/>
    </row>
    <row r="2909">
      <c r="K2909" s="53"/>
      <c r="N2909" s="53"/>
      <c r="O2909" s="53"/>
      <c r="T2909" s="53"/>
      <c r="V2909" s="53"/>
      <c r="W2909" s="55"/>
    </row>
    <row r="2910">
      <c r="K2910" s="53"/>
      <c r="N2910" s="53"/>
      <c r="O2910" s="53"/>
      <c r="T2910" s="53"/>
      <c r="V2910" s="53"/>
      <c r="W2910" s="55"/>
    </row>
    <row r="2911">
      <c r="K2911" s="53"/>
      <c r="N2911" s="53"/>
      <c r="O2911" s="53"/>
      <c r="T2911" s="53"/>
      <c r="V2911" s="53"/>
      <c r="W2911" s="55"/>
    </row>
    <row r="2912">
      <c r="K2912" s="53"/>
      <c r="N2912" s="53"/>
      <c r="O2912" s="53"/>
      <c r="T2912" s="53"/>
      <c r="V2912" s="53"/>
      <c r="W2912" s="55"/>
    </row>
    <row r="2913">
      <c r="K2913" s="53"/>
      <c r="N2913" s="53"/>
      <c r="O2913" s="53"/>
      <c r="T2913" s="53"/>
      <c r="V2913" s="53"/>
      <c r="W2913" s="55"/>
    </row>
    <row r="2914">
      <c r="K2914" s="53"/>
      <c r="N2914" s="53"/>
      <c r="O2914" s="53"/>
      <c r="T2914" s="53"/>
      <c r="V2914" s="53"/>
      <c r="W2914" s="55"/>
    </row>
    <row r="2915">
      <c r="K2915" s="53"/>
      <c r="N2915" s="53"/>
      <c r="O2915" s="53"/>
      <c r="T2915" s="53"/>
      <c r="V2915" s="53"/>
      <c r="W2915" s="55"/>
    </row>
    <row r="2916">
      <c r="K2916" s="53"/>
      <c r="N2916" s="53"/>
      <c r="O2916" s="53"/>
      <c r="T2916" s="53"/>
      <c r="V2916" s="53"/>
      <c r="W2916" s="55"/>
    </row>
    <row r="2917">
      <c r="K2917" s="53"/>
      <c r="N2917" s="53"/>
      <c r="O2917" s="53"/>
      <c r="T2917" s="53"/>
      <c r="V2917" s="53"/>
      <c r="W2917" s="55"/>
    </row>
    <row r="2918">
      <c r="K2918" s="53"/>
      <c r="N2918" s="53"/>
      <c r="O2918" s="53"/>
      <c r="T2918" s="53"/>
      <c r="V2918" s="53"/>
      <c r="W2918" s="55"/>
    </row>
    <row r="2919">
      <c r="K2919" s="53"/>
      <c r="N2919" s="53"/>
      <c r="O2919" s="53"/>
      <c r="T2919" s="53"/>
      <c r="V2919" s="53"/>
      <c r="W2919" s="55"/>
    </row>
    <row r="2920">
      <c r="K2920" s="53"/>
      <c r="N2920" s="53"/>
      <c r="O2920" s="53"/>
      <c r="T2920" s="53"/>
      <c r="V2920" s="53"/>
      <c r="W2920" s="55"/>
    </row>
    <row r="2921">
      <c r="K2921" s="53"/>
      <c r="N2921" s="53"/>
      <c r="O2921" s="53"/>
      <c r="T2921" s="53"/>
      <c r="V2921" s="53"/>
      <c r="W2921" s="55"/>
    </row>
    <row r="2922">
      <c r="K2922" s="53"/>
      <c r="N2922" s="53"/>
      <c r="O2922" s="53"/>
      <c r="T2922" s="53"/>
      <c r="V2922" s="53"/>
      <c r="W2922" s="55"/>
    </row>
    <row r="2923">
      <c r="K2923" s="53"/>
      <c r="N2923" s="53"/>
      <c r="O2923" s="53"/>
      <c r="T2923" s="53"/>
      <c r="V2923" s="53"/>
      <c r="W2923" s="55"/>
    </row>
    <row r="2924">
      <c r="K2924" s="53"/>
      <c r="N2924" s="53"/>
      <c r="O2924" s="53"/>
      <c r="T2924" s="53"/>
      <c r="V2924" s="53"/>
      <c r="W2924" s="55"/>
    </row>
    <row r="2925">
      <c r="K2925" s="53"/>
      <c r="N2925" s="53"/>
      <c r="O2925" s="53"/>
      <c r="T2925" s="53"/>
      <c r="V2925" s="53"/>
      <c r="W2925" s="55"/>
    </row>
    <row r="2926">
      <c r="K2926" s="53"/>
      <c r="N2926" s="53"/>
      <c r="O2926" s="53"/>
      <c r="T2926" s="53"/>
      <c r="V2926" s="53"/>
      <c r="W2926" s="55"/>
    </row>
    <row r="2927">
      <c r="K2927" s="53"/>
      <c r="N2927" s="53"/>
      <c r="O2927" s="53"/>
      <c r="T2927" s="53"/>
      <c r="V2927" s="53"/>
      <c r="W2927" s="55"/>
    </row>
    <row r="2928">
      <c r="K2928" s="53"/>
      <c r="N2928" s="53"/>
      <c r="O2928" s="53"/>
      <c r="T2928" s="53"/>
      <c r="V2928" s="53"/>
      <c r="W2928" s="55"/>
    </row>
    <row r="2929">
      <c r="K2929" s="53"/>
      <c r="N2929" s="53"/>
      <c r="O2929" s="53"/>
      <c r="T2929" s="53"/>
      <c r="V2929" s="53"/>
      <c r="W2929" s="55"/>
    </row>
    <row r="2930">
      <c r="K2930" s="53"/>
      <c r="N2930" s="53"/>
      <c r="O2930" s="53"/>
      <c r="T2930" s="53"/>
      <c r="V2930" s="53"/>
      <c r="W2930" s="55"/>
    </row>
    <row r="2931">
      <c r="K2931" s="53"/>
      <c r="N2931" s="53"/>
      <c r="O2931" s="53"/>
      <c r="T2931" s="53"/>
      <c r="V2931" s="53"/>
      <c r="W2931" s="55"/>
    </row>
    <row r="2932">
      <c r="K2932" s="53"/>
      <c r="N2932" s="53"/>
      <c r="O2932" s="53"/>
      <c r="T2932" s="53"/>
      <c r="V2932" s="53"/>
      <c r="W2932" s="55"/>
    </row>
    <row r="2933">
      <c r="K2933" s="53"/>
      <c r="N2933" s="53"/>
      <c r="O2933" s="53"/>
      <c r="T2933" s="53"/>
      <c r="V2933" s="53"/>
      <c r="W2933" s="55"/>
    </row>
    <row r="2934">
      <c r="K2934" s="53"/>
      <c r="N2934" s="53"/>
      <c r="O2934" s="53"/>
      <c r="T2934" s="53"/>
      <c r="V2934" s="53"/>
      <c r="W2934" s="55"/>
    </row>
    <row r="2935">
      <c r="K2935" s="53"/>
      <c r="N2935" s="53"/>
      <c r="O2935" s="53"/>
      <c r="T2935" s="53"/>
      <c r="V2935" s="53"/>
      <c r="W2935" s="55"/>
    </row>
    <row r="2936">
      <c r="K2936" s="53"/>
      <c r="N2936" s="53"/>
      <c r="O2936" s="53"/>
      <c r="T2936" s="53"/>
      <c r="V2936" s="53"/>
      <c r="W2936" s="55"/>
    </row>
    <row r="2937">
      <c r="K2937" s="53"/>
      <c r="N2937" s="53"/>
      <c r="O2937" s="53"/>
      <c r="T2937" s="53"/>
      <c r="V2937" s="53"/>
      <c r="W2937" s="55"/>
    </row>
    <row r="2938">
      <c r="K2938" s="53"/>
      <c r="N2938" s="53"/>
      <c r="O2938" s="53"/>
      <c r="T2938" s="53"/>
      <c r="V2938" s="53"/>
      <c r="W2938" s="55"/>
    </row>
    <row r="2939">
      <c r="K2939" s="53"/>
      <c r="N2939" s="53"/>
      <c r="O2939" s="53"/>
      <c r="T2939" s="53"/>
      <c r="V2939" s="53"/>
      <c r="W2939" s="55"/>
    </row>
    <row r="2940">
      <c r="K2940" s="53"/>
      <c r="N2940" s="53"/>
      <c r="O2940" s="53"/>
      <c r="T2940" s="53"/>
      <c r="V2940" s="53"/>
      <c r="W2940" s="55"/>
    </row>
    <row r="2941">
      <c r="K2941" s="53"/>
      <c r="N2941" s="53"/>
      <c r="O2941" s="53"/>
      <c r="T2941" s="53"/>
      <c r="V2941" s="53"/>
      <c r="W2941" s="55"/>
    </row>
    <row r="2942">
      <c r="K2942" s="53"/>
      <c r="N2942" s="53"/>
      <c r="O2942" s="53"/>
      <c r="T2942" s="53"/>
      <c r="V2942" s="53"/>
      <c r="W2942" s="55"/>
    </row>
    <row r="2943">
      <c r="K2943" s="53"/>
      <c r="N2943" s="53"/>
      <c r="O2943" s="53"/>
      <c r="T2943" s="53"/>
      <c r="V2943" s="53"/>
      <c r="W2943" s="55"/>
    </row>
    <row r="2944">
      <c r="K2944" s="53"/>
      <c r="N2944" s="53"/>
      <c r="O2944" s="53"/>
      <c r="T2944" s="53"/>
      <c r="V2944" s="53"/>
      <c r="W2944" s="55"/>
    </row>
    <row r="2945">
      <c r="K2945" s="53"/>
      <c r="N2945" s="53"/>
      <c r="O2945" s="53"/>
      <c r="T2945" s="53"/>
      <c r="V2945" s="53"/>
      <c r="W2945" s="55"/>
    </row>
    <row r="2946">
      <c r="K2946" s="53"/>
      <c r="N2946" s="53"/>
      <c r="O2946" s="53"/>
      <c r="T2946" s="53"/>
      <c r="V2946" s="53"/>
      <c r="W2946" s="55"/>
    </row>
    <row r="2947">
      <c r="K2947" s="53"/>
      <c r="N2947" s="53"/>
      <c r="O2947" s="53"/>
      <c r="T2947" s="53"/>
      <c r="V2947" s="53"/>
      <c r="W2947" s="55"/>
    </row>
    <row r="2948">
      <c r="K2948" s="53"/>
      <c r="N2948" s="53"/>
      <c r="O2948" s="53"/>
      <c r="T2948" s="53"/>
      <c r="V2948" s="53"/>
      <c r="W2948" s="55"/>
    </row>
    <row r="2949">
      <c r="K2949" s="53"/>
      <c r="N2949" s="53"/>
      <c r="O2949" s="53"/>
      <c r="T2949" s="53"/>
      <c r="V2949" s="53"/>
      <c r="W2949" s="55"/>
    </row>
    <row r="2950">
      <c r="K2950" s="53"/>
      <c r="N2950" s="53"/>
      <c r="O2950" s="53"/>
      <c r="T2950" s="53"/>
      <c r="V2950" s="53"/>
      <c r="W2950" s="55"/>
    </row>
    <row r="2951">
      <c r="K2951" s="53"/>
      <c r="N2951" s="53"/>
      <c r="O2951" s="53"/>
      <c r="T2951" s="53"/>
      <c r="V2951" s="53"/>
      <c r="W2951" s="55"/>
    </row>
    <row r="2952">
      <c r="K2952" s="53"/>
      <c r="N2952" s="53"/>
      <c r="O2952" s="53"/>
      <c r="T2952" s="53"/>
      <c r="V2952" s="53"/>
      <c r="W2952" s="55"/>
    </row>
    <row r="2953">
      <c r="K2953" s="53"/>
      <c r="N2953" s="53"/>
      <c r="O2953" s="53"/>
      <c r="T2953" s="53"/>
      <c r="V2953" s="53"/>
      <c r="W2953" s="55"/>
    </row>
    <row r="2954">
      <c r="K2954" s="53"/>
      <c r="N2954" s="53"/>
      <c r="O2954" s="53"/>
      <c r="T2954" s="53"/>
      <c r="V2954" s="53"/>
      <c r="W2954" s="55"/>
    </row>
    <row r="2955">
      <c r="K2955" s="53"/>
      <c r="N2955" s="53"/>
      <c r="O2955" s="53"/>
      <c r="T2955" s="53"/>
      <c r="V2955" s="53"/>
      <c r="W2955" s="55"/>
    </row>
    <row r="2956">
      <c r="K2956" s="53"/>
      <c r="N2956" s="53"/>
      <c r="O2956" s="53"/>
      <c r="T2956" s="53"/>
      <c r="V2956" s="53"/>
      <c r="W2956" s="55"/>
    </row>
    <row r="2957">
      <c r="K2957" s="53"/>
      <c r="N2957" s="53"/>
      <c r="O2957" s="53"/>
      <c r="T2957" s="53"/>
      <c r="V2957" s="53"/>
      <c r="W2957" s="55"/>
    </row>
    <row r="2958">
      <c r="K2958" s="53"/>
      <c r="N2958" s="53"/>
      <c r="O2958" s="53"/>
      <c r="T2958" s="53"/>
      <c r="V2958" s="53"/>
      <c r="W2958" s="55"/>
    </row>
    <row r="2959">
      <c r="K2959" s="53"/>
      <c r="N2959" s="53"/>
      <c r="O2959" s="53"/>
      <c r="T2959" s="53"/>
      <c r="V2959" s="53"/>
      <c r="W2959" s="55"/>
    </row>
    <row r="2960">
      <c r="K2960" s="53"/>
      <c r="N2960" s="53"/>
      <c r="O2960" s="53"/>
      <c r="T2960" s="53"/>
      <c r="V2960" s="53"/>
      <c r="W2960" s="55"/>
    </row>
    <row r="2961">
      <c r="K2961" s="53"/>
      <c r="N2961" s="53"/>
      <c r="O2961" s="53"/>
      <c r="T2961" s="53"/>
      <c r="V2961" s="53"/>
      <c r="W2961" s="55"/>
    </row>
    <row r="2962">
      <c r="K2962" s="53"/>
      <c r="N2962" s="53"/>
      <c r="O2962" s="53"/>
      <c r="T2962" s="53"/>
      <c r="V2962" s="53"/>
      <c r="W2962" s="55"/>
    </row>
    <row r="2963">
      <c r="K2963" s="53"/>
      <c r="N2963" s="53"/>
      <c r="O2963" s="53"/>
      <c r="T2963" s="53"/>
      <c r="V2963" s="53"/>
      <c r="W2963" s="55"/>
    </row>
    <row r="2964">
      <c r="K2964" s="53"/>
      <c r="N2964" s="53"/>
      <c r="O2964" s="53"/>
      <c r="T2964" s="53"/>
      <c r="V2964" s="53"/>
      <c r="W2964" s="55"/>
    </row>
    <row r="2965">
      <c r="K2965" s="53"/>
      <c r="N2965" s="53"/>
      <c r="O2965" s="53"/>
      <c r="T2965" s="53"/>
      <c r="V2965" s="53"/>
      <c r="W2965" s="55"/>
    </row>
    <row r="2966">
      <c r="K2966" s="53"/>
      <c r="N2966" s="53"/>
      <c r="O2966" s="53"/>
      <c r="T2966" s="53"/>
      <c r="V2966" s="53"/>
      <c r="W2966" s="55"/>
    </row>
    <row r="2967">
      <c r="K2967" s="53"/>
      <c r="N2967" s="53"/>
      <c r="O2967" s="53"/>
      <c r="T2967" s="53"/>
      <c r="V2967" s="53"/>
      <c r="W2967" s="55"/>
    </row>
    <row r="2968">
      <c r="K2968" s="53"/>
      <c r="N2968" s="53"/>
      <c r="O2968" s="53"/>
      <c r="T2968" s="53"/>
      <c r="V2968" s="53"/>
      <c r="W2968" s="55"/>
    </row>
    <row r="2969">
      <c r="K2969" s="53"/>
      <c r="N2969" s="53"/>
      <c r="O2969" s="53"/>
      <c r="T2969" s="53"/>
      <c r="V2969" s="53"/>
      <c r="W2969" s="55"/>
    </row>
    <row r="2970">
      <c r="K2970" s="53"/>
      <c r="N2970" s="53"/>
      <c r="O2970" s="53"/>
      <c r="T2970" s="53"/>
      <c r="V2970" s="53"/>
      <c r="W2970" s="55"/>
    </row>
    <row r="2971">
      <c r="K2971" s="53"/>
      <c r="N2971" s="53"/>
      <c r="O2971" s="53"/>
      <c r="T2971" s="53"/>
      <c r="V2971" s="53"/>
      <c r="W2971" s="55"/>
    </row>
    <row r="2972">
      <c r="K2972" s="53"/>
      <c r="N2972" s="53"/>
      <c r="O2972" s="53"/>
      <c r="T2972" s="53"/>
      <c r="V2972" s="53"/>
      <c r="W2972" s="55"/>
    </row>
    <row r="2973">
      <c r="K2973" s="53"/>
      <c r="N2973" s="53"/>
      <c r="O2973" s="53"/>
      <c r="T2973" s="53"/>
      <c r="V2973" s="53"/>
      <c r="W2973" s="55"/>
    </row>
    <row r="2974">
      <c r="K2974" s="53"/>
      <c r="N2974" s="53"/>
      <c r="O2974" s="53"/>
      <c r="T2974" s="53"/>
      <c r="V2974" s="53"/>
      <c r="W2974" s="55"/>
    </row>
    <row r="2975">
      <c r="K2975" s="53"/>
      <c r="N2975" s="53"/>
      <c r="O2975" s="53"/>
      <c r="T2975" s="53"/>
      <c r="V2975" s="53"/>
      <c r="W2975" s="55"/>
    </row>
    <row r="2976">
      <c r="K2976" s="53"/>
      <c r="N2976" s="53"/>
      <c r="O2976" s="53"/>
      <c r="T2976" s="53"/>
      <c r="V2976" s="53"/>
      <c r="W2976" s="55"/>
    </row>
    <row r="2977">
      <c r="K2977" s="53"/>
      <c r="N2977" s="53"/>
      <c r="O2977" s="53"/>
      <c r="T2977" s="53"/>
      <c r="V2977" s="53"/>
      <c r="W2977" s="55"/>
    </row>
    <row r="2978">
      <c r="K2978" s="53"/>
      <c r="N2978" s="53"/>
      <c r="O2978" s="53"/>
      <c r="T2978" s="53"/>
      <c r="V2978" s="53"/>
      <c r="W2978" s="55"/>
    </row>
    <row r="2979">
      <c r="K2979" s="53"/>
      <c r="N2979" s="53"/>
      <c r="O2979" s="53"/>
      <c r="T2979" s="53"/>
      <c r="V2979" s="53"/>
      <c r="W2979" s="55"/>
    </row>
    <row r="2980">
      <c r="K2980" s="53"/>
      <c r="N2980" s="53"/>
      <c r="O2980" s="53"/>
      <c r="T2980" s="53"/>
      <c r="V2980" s="53"/>
      <c r="W2980" s="55"/>
    </row>
    <row r="2981">
      <c r="K2981" s="53"/>
      <c r="N2981" s="53"/>
      <c r="O2981" s="53"/>
      <c r="T2981" s="53"/>
      <c r="V2981" s="53"/>
      <c r="W2981" s="55"/>
    </row>
    <row r="2982">
      <c r="K2982" s="53"/>
      <c r="N2982" s="53"/>
      <c r="O2982" s="53"/>
      <c r="T2982" s="53"/>
      <c r="V2982" s="53"/>
      <c r="W2982" s="55"/>
    </row>
    <row r="2983">
      <c r="K2983" s="53"/>
      <c r="N2983" s="53"/>
      <c r="O2983" s="53"/>
      <c r="T2983" s="53"/>
      <c r="V2983" s="53"/>
      <c r="W2983" s="55"/>
    </row>
    <row r="2984">
      <c r="K2984" s="53"/>
      <c r="N2984" s="53"/>
      <c r="O2984" s="53"/>
      <c r="T2984" s="53"/>
      <c r="V2984" s="53"/>
      <c r="W2984" s="55"/>
    </row>
    <row r="2985">
      <c r="K2985" s="53"/>
      <c r="N2985" s="53"/>
      <c r="O2985" s="53"/>
      <c r="T2985" s="53"/>
      <c r="V2985" s="53"/>
      <c r="W2985" s="55"/>
    </row>
    <row r="2986">
      <c r="K2986" s="53"/>
      <c r="N2986" s="53"/>
      <c r="O2986" s="53"/>
      <c r="T2986" s="53"/>
      <c r="V2986" s="53"/>
      <c r="W2986" s="55"/>
    </row>
    <row r="2987">
      <c r="K2987" s="53"/>
      <c r="N2987" s="53"/>
      <c r="O2987" s="53"/>
      <c r="T2987" s="53"/>
      <c r="V2987" s="53"/>
      <c r="W2987" s="55"/>
    </row>
    <row r="2988">
      <c r="K2988" s="53"/>
      <c r="N2988" s="53"/>
      <c r="O2988" s="53"/>
      <c r="T2988" s="53"/>
      <c r="V2988" s="53"/>
      <c r="W2988" s="55"/>
    </row>
    <row r="2989">
      <c r="K2989" s="53"/>
      <c r="N2989" s="53"/>
      <c r="O2989" s="53"/>
      <c r="T2989" s="53"/>
      <c r="V2989" s="53"/>
      <c r="W2989" s="55"/>
    </row>
    <row r="2990">
      <c r="K2990" s="53"/>
      <c r="N2990" s="53"/>
      <c r="O2990" s="53"/>
      <c r="T2990" s="53"/>
      <c r="V2990" s="53"/>
      <c r="W2990" s="55"/>
    </row>
    <row r="2991">
      <c r="K2991" s="53"/>
      <c r="N2991" s="53"/>
      <c r="O2991" s="53"/>
      <c r="T2991" s="53"/>
      <c r="V2991" s="53"/>
      <c r="W2991" s="55"/>
    </row>
    <row r="2992">
      <c r="K2992" s="53"/>
      <c r="N2992" s="53"/>
      <c r="O2992" s="53"/>
      <c r="T2992" s="53"/>
      <c r="V2992" s="53"/>
      <c r="W2992" s="55"/>
    </row>
    <row r="2993">
      <c r="K2993" s="53"/>
      <c r="N2993" s="53"/>
      <c r="O2993" s="53"/>
      <c r="T2993" s="53"/>
      <c r="V2993" s="53"/>
      <c r="W2993" s="55"/>
    </row>
    <row r="2994">
      <c r="K2994" s="53"/>
      <c r="N2994" s="53"/>
      <c r="O2994" s="53"/>
      <c r="T2994" s="53"/>
      <c r="V2994" s="53"/>
      <c r="W2994" s="55"/>
    </row>
    <row r="2995">
      <c r="K2995" s="53"/>
      <c r="N2995" s="53"/>
      <c r="O2995" s="53"/>
      <c r="T2995" s="53"/>
      <c r="V2995" s="53"/>
      <c r="W2995" s="55"/>
    </row>
    <row r="2996">
      <c r="K2996" s="53"/>
      <c r="N2996" s="53"/>
      <c r="O2996" s="53"/>
      <c r="T2996" s="53"/>
      <c r="V2996" s="53"/>
      <c r="W2996" s="55"/>
    </row>
    <row r="2997">
      <c r="K2997" s="53"/>
      <c r="N2997" s="53"/>
      <c r="O2997" s="53"/>
      <c r="T2997" s="53"/>
      <c r="V2997" s="53"/>
      <c r="W2997" s="55"/>
    </row>
    <row r="2998">
      <c r="K2998" s="53"/>
      <c r="N2998" s="53"/>
      <c r="O2998" s="53"/>
      <c r="T2998" s="53"/>
      <c r="V2998" s="53"/>
      <c r="W2998" s="55"/>
    </row>
    <row r="2999">
      <c r="K2999" s="53"/>
      <c r="N2999" s="53"/>
      <c r="O2999" s="53"/>
      <c r="T2999" s="53"/>
      <c r="V2999" s="53"/>
      <c r="W2999" s="55"/>
    </row>
    <row r="3000">
      <c r="K3000" s="53"/>
      <c r="N3000" s="53"/>
      <c r="O3000" s="53"/>
      <c r="T3000" s="53"/>
      <c r="V3000" s="53"/>
      <c r="W3000" s="55"/>
    </row>
    <row r="3001">
      <c r="K3001" s="53"/>
      <c r="N3001" s="53"/>
      <c r="O3001" s="53"/>
      <c r="T3001" s="53"/>
      <c r="V3001" s="53"/>
      <c r="W3001" s="55"/>
    </row>
    <row r="3002">
      <c r="K3002" s="53"/>
      <c r="N3002" s="53"/>
      <c r="O3002" s="53"/>
      <c r="T3002" s="53"/>
      <c r="V3002" s="53"/>
      <c r="W3002" s="55"/>
    </row>
    <row r="3003">
      <c r="K3003" s="53"/>
      <c r="N3003" s="53"/>
      <c r="O3003" s="53"/>
      <c r="T3003" s="53"/>
      <c r="V3003" s="53"/>
      <c r="W3003" s="55"/>
    </row>
    <row r="3004">
      <c r="K3004" s="53"/>
      <c r="N3004" s="53"/>
      <c r="O3004" s="53"/>
      <c r="T3004" s="53"/>
      <c r="V3004" s="53"/>
      <c r="W3004" s="55"/>
    </row>
    <row r="3005">
      <c r="K3005" s="53"/>
      <c r="N3005" s="53"/>
      <c r="O3005" s="53"/>
      <c r="T3005" s="53"/>
      <c r="V3005" s="53"/>
      <c r="W3005" s="55"/>
    </row>
    <row r="3006">
      <c r="K3006" s="53"/>
      <c r="N3006" s="53"/>
      <c r="O3006" s="53"/>
      <c r="T3006" s="53"/>
      <c r="V3006" s="53"/>
      <c r="W3006" s="55"/>
    </row>
    <row r="3007">
      <c r="K3007" s="53"/>
      <c r="N3007" s="53"/>
      <c r="O3007" s="53"/>
      <c r="T3007" s="53"/>
      <c r="V3007" s="53"/>
      <c r="W3007" s="55"/>
    </row>
    <row r="3008">
      <c r="K3008" s="53"/>
      <c r="N3008" s="53"/>
      <c r="O3008" s="53"/>
      <c r="T3008" s="53"/>
      <c r="V3008" s="53"/>
      <c r="W3008" s="55"/>
    </row>
    <row r="3009">
      <c r="K3009" s="53"/>
      <c r="N3009" s="53"/>
      <c r="O3009" s="53"/>
      <c r="T3009" s="53"/>
      <c r="V3009" s="53"/>
      <c r="W3009" s="55"/>
    </row>
    <row r="3010">
      <c r="K3010" s="53"/>
      <c r="N3010" s="53"/>
      <c r="O3010" s="53"/>
      <c r="T3010" s="53"/>
      <c r="V3010" s="53"/>
      <c r="W3010" s="55"/>
    </row>
    <row r="3011">
      <c r="K3011" s="53"/>
      <c r="N3011" s="53"/>
      <c r="O3011" s="53"/>
      <c r="T3011" s="53"/>
      <c r="V3011" s="53"/>
      <c r="W3011" s="55"/>
    </row>
    <row r="3012">
      <c r="K3012" s="53"/>
      <c r="N3012" s="53"/>
      <c r="O3012" s="53"/>
      <c r="T3012" s="53"/>
      <c r="V3012" s="53"/>
      <c r="W3012" s="55"/>
    </row>
    <row r="3013">
      <c r="K3013" s="53"/>
      <c r="N3013" s="53"/>
      <c r="O3013" s="53"/>
      <c r="T3013" s="53"/>
      <c r="V3013" s="53"/>
      <c r="W3013" s="55"/>
    </row>
    <row r="3014">
      <c r="K3014" s="53"/>
      <c r="N3014" s="53"/>
      <c r="O3014" s="53"/>
      <c r="T3014" s="53"/>
      <c r="V3014" s="53"/>
      <c r="W3014" s="55"/>
    </row>
    <row r="3015">
      <c r="K3015" s="53"/>
      <c r="N3015" s="53"/>
      <c r="O3015" s="53"/>
      <c r="T3015" s="53"/>
      <c r="V3015" s="53"/>
      <c r="W3015" s="55"/>
    </row>
    <row r="3016">
      <c r="K3016" s="53"/>
      <c r="N3016" s="53"/>
      <c r="O3016" s="53"/>
      <c r="T3016" s="53"/>
      <c r="V3016" s="53"/>
      <c r="W3016" s="55"/>
    </row>
    <row r="3017">
      <c r="K3017" s="53"/>
      <c r="N3017" s="53"/>
      <c r="O3017" s="53"/>
      <c r="T3017" s="53"/>
      <c r="V3017" s="53"/>
      <c r="W3017" s="55"/>
    </row>
    <row r="3018">
      <c r="K3018" s="53"/>
      <c r="N3018" s="53"/>
      <c r="O3018" s="53"/>
      <c r="T3018" s="53"/>
      <c r="V3018" s="53"/>
      <c r="W3018" s="55"/>
    </row>
    <row r="3019">
      <c r="K3019" s="53"/>
      <c r="N3019" s="53"/>
      <c r="O3019" s="53"/>
      <c r="T3019" s="53"/>
      <c r="V3019" s="53"/>
      <c r="W3019" s="55"/>
    </row>
    <row r="3020">
      <c r="K3020" s="53"/>
      <c r="N3020" s="53"/>
      <c r="O3020" s="53"/>
      <c r="T3020" s="53"/>
      <c r="V3020" s="53"/>
      <c r="W3020" s="55"/>
    </row>
    <row r="3021">
      <c r="K3021" s="53"/>
      <c r="N3021" s="53"/>
      <c r="O3021" s="53"/>
      <c r="T3021" s="53"/>
      <c r="V3021" s="53"/>
      <c r="W3021" s="55"/>
    </row>
    <row r="3022">
      <c r="K3022" s="53"/>
      <c r="N3022" s="53"/>
      <c r="O3022" s="53"/>
      <c r="T3022" s="53"/>
      <c r="V3022" s="53"/>
      <c r="W3022" s="55"/>
    </row>
    <row r="3023">
      <c r="K3023" s="53"/>
      <c r="N3023" s="53"/>
      <c r="O3023" s="53"/>
      <c r="T3023" s="53"/>
      <c r="V3023" s="53"/>
      <c r="W3023" s="55"/>
    </row>
    <row r="3024">
      <c r="K3024" s="53"/>
      <c r="N3024" s="53"/>
      <c r="O3024" s="53"/>
      <c r="T3024" s="53"/>
      <c r="V3024" s="53"/>
      <c r="W3024" s="55"/>
    </row>
    <row r="3025">
      <c r="K3025" s="53"/>
      <c r="N3025" s="53"/>
      <c r="O3025" s="53"/>
      <c r="T3025" s="53"/>
      <c r="V3025" s="53"/>
      <c r="W3025" s="55"/>
    </row>
    <row r="3026">
      <c r="K3026" s="53"/>
      <c r="N3026" s="53"/>
      <c r="O3026" s="53"/>
      <c r="T3026" s="53"/>
      <c r="V3026" s="53"/>
      <c r="W3026" s="55"/>
    </row>
    <row r="3027">
      <c r="K3027" s="53"/>
      <c r="N3027" s="53"/>
      <c r="O3027" s="53"/>
      <c r="T3027" s="53"/>
      <c r="V3027" s="53"/>
      <c r="W3027" s="55"/>
    </row>
    <row r="3028">
      <c r="K3028" s="53"/>
      <c r="N3028" s="53"/>
      <c r="O3028" s="53"/>
      <c r="T3028" s="53"/>
      <c r="V3028" s="53"/>
      <c r="W3028" s="55"/>
    </row>
    <row r="3029">
      <c r="K3029" s="53"/>
      <c r="N3029" s="53"/>
      <c r="O3029" s="53"/>
      <c r="T3029" s="53"/>
      <c r="V3029" s="53"/>
      <c r="W3029" s="55"/>
    </row>
    <row r="3030">
      <c r="K3030" s="53"/>
      <c r="N3030" s="53"/>
      <c r="O3030" s="53"/>
      <c r="T3030" s="53"/>
      <c r="V3030" s="53"/>
      <c r="W3030" s="55"/>
    </row>
    <row r="3031">
      <c r="K3031" s="53"/>
      <c r="N3031" s="53"/>
      <c r="O3031" s="53"/>
      <c r="T3031" s="53"/>
      <c r="V3031" s="53"/>
      <c r="W3031" s="55"/>
    </row>
    <row r="3032">
      <c r="K3032" s="53"/>
      <c r="N3032" s="53"/>
      <c r="O3032" s="53"/>
      <c r="T3032" s="53"/>
      <c r="V3032" s="53"/>
      <c r="W3032" s="55"/>
    </row>
    <row r="3033">
      <c r="K3033" s="53"/>
      <c r="N3033" s="53"/>
      <c r="O3033" s="53"/>
      <c r="T3033" s="53"/>
      <c r="V3033" s="53"/>
      <c r="W3033" s="55"/>
    </row>
    <row r="3034">
      <c r="K3034" s="53"/>
      <c r="N3034" s="53"/>
      <c r="O3034" s="53"/>
      <c r="T3034" s="53"/>
      <c r="V3034" s="53"/>
      <c r="W3034" s="55"/>
    </row>
    <row r="3035">
      <c r="K3035" s="53"/>
      <c r="N3035" s="53"/>
      <c r="O3035" s="53"/>
      <c r="T3035" s="53"/>
      <c r="V3035" s="53"/>
      <c r="W3035" s="55"/>
    </row>
    <row r="3036">
      <c r="K3036" s="53"/>
      <c r="N3036" s="53"/>
      <c r="O3036" s="53"/>
      <c r="T3036" s="53"/>
      <c r="V3036" s="53"/>
      <c r="W3036" s="55"/>
    </row>
    <row r="3037">
      <c r="K3037" s="53"/>
      <c r="N3037" s="53"/>
      <c r="O3037" s="53"/>
      <c r="T3037" s="53"/>
      <c r="V3037" s="53"/>
      <c r="W3037" s="55"/>
    </row>
    <row r="3038">
      <c r="K3038" s="53"/>
      <c r="N3038" s="53"/>
      <c r="O3038" s="53"/>
      <c r="T3038" s="53"/>
      <c r="V3038" s="53"/>
      <c r="W3038" s="55"/>
    </row>
    <row r="3039">
      <c r="K3039" s="53"/>
      <c r="N3039" s="53"/>
      <c r="O3039" s="53"/>
      <c r="T3039" s="53"/>
      <c r="V3039" s="53"/>
      <c r="W3039" s="55"/>
    </row>
    <row r="3040">
      <c r="K3040" s="53"/>
      <c r="N3040" s="53"/>
      <c r="O3040" s="53"/>
      <c r="T3040" s="53"/>
      <c r="V3040" s="53"/>
      <c r="W3040" s="55"/>
    </row>
    <row r="3041">
      <c r="K3041" s="53"/>
      <c r="N3041" s="53"/>
      <c r="O3041" s="53"/>
      <c r="T3041" s="53"/>
      <c r="V3041" s="53"/>
      <c r="W3041" s="55"/>
    </row>
    <row r="3042">
      <c r="K3042" s="53"/>
      <c r="N3042" s="53"/>
      <c r="O3042" s="53"/>
      <c r="T3042" s="53"/>
      <c r="V3042" s="53"/>
      <c r="W3042" s="55"/>
    </row>
    <row r="3043">
      <c r="K3043" s="53"/>
      <c r="N3043" s="53"/>
      <c r="O3043" s="53"/>
      <c r="T3043" s="53"/>
      <c r="V3043" s="53"/>
      <c r="W3043" s="55"/>
    </row>
    <row r="3044">
      <c r="K3044" s="53"/>
      <c r="N3044" s="53"/>
      <c r="O3044" s="53"/>
      <c r="T3044" s="53"/>
      <c r="V3044" s="53"/>
      <c r="W3044" s="55"/>
    </row>
    <row r="3045">
      <c r="K3045" s="53"/>
      <c r="N3045" s="53"/>
      <c r="O3045" s="53"/>
      <c r="T3045" s="53"/>
      <c r="V3045" s="53"/>
      <c r="W3045" s="55"/>
    </row>
    <row r="3046">
      <c r="K3046" s="53"/>
      <c r="N3046" s="53"/>
      <c r="O3046" s="53"/>
      <c r="T3046" s="53"/>
      <c r="V3046" s="53"/>
      <c r="W3046" s="55"/>
    </row>
    <row r="3047">
      <c r="K3047" s="53"/>
      <c r="N3047" s="53"/>
      <c r="O3047" s="53"/>
      <c r="T3047" s="53"/>
      <c r="V3047" s="53"/>
      <c r="W3047" s="55"/>
    </row>
    <row r="3048">
      <c r="K3048" s="53"/>
      <c r="N3048" s="53"/>
      <c r="O3048" s="53"/>
      <c r="T3048" s="53"/>
      <c r="V3048" s="53"/>
      <c r="W3048" s="55"/>
    </row>
    <row r="3049">
      <c r="K3049" s="53"/>
      <c r="N3049" s="53"/>
      <c r="O3049" s="53"/>
      <c r="T3049" s="53"/>
      <c r="V3049" s="53"/>
      <c r="W3049" s="55"/>
    </row>
    <row r="3050">
      <c r="K3050" s="53"/>
      <c r="N3050" s="53"/>
      <c r="O3050" s="53"/>
      <c r="T3050" s="53"/>
      <c r="V3050" s="53"/>
      <c r="W3050" s="55"/>
    </row>
    <row r="3051">
      <c r="K3051" s="53"/>
      <c r="N3051" s="53"/>
      <c r="O3051" s="53"/>
      <c r="T3051" s="53"/>
      <c r="V3051" s="53"/>
      <c r="W3051" s="55"/>
    </row>
    <row r="3052">
      <c r="K3052" s="53"/>
      <c r="N3052" s="53"/>
      <c r="O3052" s="53"/>
      <c r="T3052" s="53"/>
      <c r="V3052" s="53"/>
      <c r="W3052" s="55"/>
    </row>
    <row r="3053">
      <c r="K3053" s="53"/>
      <c r="N3053" s="53"/>
      <c r="O3053" s="53"/>
      <c r="T3053" s="53"/>
      <c r="V3053" s="53"/>
      <c r="W3053" s="55"/>
    </row>
    <row r="3054">
      <c r="K3054" s="53"/>
      <c r="N3054" s="53"/>
      <c r="O3054" s="53"/>
      <c r="T3054" s="53"/>
      <c r="V3054" s="53"/>
      <c r="W3054" s="55"/>
    </row>
    <row r="3055">
      <c r="K3055" s="53"/>
      <c r="N3055" s="53"/>
      <c r="O3055" s="53"/>
      <c r="T3055" s="53"/>
      <c r="V3055" s="53"/>
      <c r="W3055" s="55"/>
    </row>
    <row r="3056">
      <c r="K3056" s="53"/>
      <c r="N3056" s="53"/>
      <c r="O3056" s="53"/>
      <c r="T3056" s="53"/>
      <c r="V3056" s="53"/>
      <c r="W3056" s="55"/>
    </row>
    <row r="3057">
      <c r="K3057" s="53"/>
      <c r="N3057" s="53"/>
      <c r="O3057" s="53"/>
      <c r="T3057" s="53"/>
      <c r="V3057" s="53"/>
      <c r="W3057" s="55"/>
    </row>
    <row r="3058">
      <c r="K3058" s="53"/>
      <c r="N3058" s="53"/>
      <c r="O3058" s="53"/>
      <c r="T3058" s="53"/>
      <c r="V3058" s="53"/>
      <c r="W3058" s="55"/>
    </row>
    <row r="3059">
      <c r="K3059" s="53"/>
      <c r="N3059" s="53"/>
      <c r="O3059" s="53"/>
      <c r="T3059" s="53"/>
      <c r="V3059" s="53"/>
      <c r="W3059" s="55"/>
    </row>
    <row r="3060">
      <c r="K3060" s="53"/>
      <c r="N3060" s="53"/>
      <c r="O3060" s="53"/>
      <c r="T3060" s="53"/>
      <c r="V3060" s="53"/>
      <c r="W3060" s="55"/>
    </row>
    <row r="3061">
      <c r="K3061" s="53"/>
      <c r="N3061" s="53"/>
      <c r="O3061" s="53"/>
      <c r="T3061" s="53"/>
      <c r="V3061" s="53"/>
      <c r="W3061" s="55"/>
    </row>
    <row r="3062">
      <c r="K3062" s="53"/>
      <c r="N3062" s="53"/>
      <c r="O3062" s="53"/>
      <c r="T3062" s="53"/>
      <c r="V3062" s="53"/>
      <c r="W3062" s="55"/>
    </row>
    <row r="3063">
      <c r="K3063" s="53"/>
      <c r="N3063" s="53"/>
      <c r="O3063" s="53"/>
      <c r="T3063" s="53"/>
      <c r="V3063" s="53"/>
      <c r="W3063" s="55"/>
    </row>
    <row r="3064">
      <c r="K3064" s="53"/>
      <c r="N3064" s="53"/>
      <c r="O3064" s="53"/>
      <c r="T3064" s="53"/>
      <c r="V3064" s="53"/>
      <c r="W3064" s="55"/>
    </row>
    <row r="3065">
      <c r="K3065" s="53"/>
      <c r="N3065" s="53"/>
      <c r="O3065" s="53"/>
      <c r="T3065" s="53"/>
      <c r="V3065" s="53"/>
      <c r="W3065" s="55"/>
    </row>
    <row r="3066">
      <c r="K3066" s="53"/>
      <c r="N3066" s="53"/>
      <c r="O3066" s="53"/>
      <c r="T3066" s="53"/>
      <c r="V3066" s="53"/>
      <c r="W3066" s="55"/>
    </row>
    <row r="3067">
      <c r="K3067" s="53"/>
      <c r="N3067" s="53"/>
      <c r="O3067" s="53"/>
      <c r="T3067" s="53"/>
      <c r="V3067" s="53"/>
      <c r="W3067" s="55"/>
    </row>
    <row r="3068">
      <c r="K3068" s="53"/>
      <c r="N3068" s="53"/>
      <c r="O3068" s="53"/>
      <c r="T3068" s="53"/>
      <c r="V3068" s="53"/>
      <c r="W3068" s="55"/>
    </row>
    <row r="3069">
      <c r="K3069" s="53"/>
      <c r="N3069" s="53"/>
      <c r="O3069" s="53"/>
      <c r="T3069" s="53"/>
      <c r="V3069" s="53"/>
      <c r="W3069" s="55"/>
    </row>
    <row r="3070">
      <c r="K3070" s="53"/>
      <c r="N3070" s="53"/>
      <c r="O3070" s="53"/>
      <c r="T3070" s="53"/>
      <c r="V3070" s="53"/>
      <c r="W3070" s="55"/>
    </row>
    <row r="3071">
      <c r="K3071" s="53"/>
      <c r="N3071" s="53"/>
      <c r="O3071" s="53"/>
      <c r="T3071" s="53"/>
      <c r="V3071" s="53"/>
      <c r="W3071" s="55"/>
    </row>
    <row r="3072">
      <c r="K3072" s="53"/>
      <c r="N3072" s="53"/>
      <c r="O3072" s="53"/>
      <c r="T3072" s="53"/>
      <c r="V3072" s="53"/>
      <c r="W3072" s="55"/>
    </row>
    <row r="3073">
      <c r="K3073" s="53"/>
      <c r="N3073" s="53"/>
      <c r="O3073" s="53"/>
      <c r="T3073" s="53"/>
      <c r="V3073" s="53"/>
      <c r="W3073" s="55"/>
    </row>
    <row r="3074">
      <c r="K3074" s="53"/>
      <c r="N3074" s="53"/>
      <c r="O3074" s="53"/>
      <c r="T3074" s="53"/>
      <c r="V3074" s="53"/>
      <c r="W3074" s="55"/>
    </row>
    <row r="3075">
      <c r="K3075" s="53"/>
      <c r="N3075" s="53"/>
      <c r="O3075" s="53"/>
      <c r="T3075" s="53"/>
      <c r="V3075" s="53"/>
      <c r="W3075" s="55"/>
    </row>
    <row r="3076">
      <c r="K3076" s="53"/>
      <c r="N3076" s="53"/>
      <c r="O3076" s="53"/>
      <c r="T3076" s="53"/>
      <c r="V3076" s="53"/>
      <c r="W3076" s="55"/>
    </row>
    <row r="3077">
      <c r="K3077" s="53"/>
      <c r="N3077" s="53"/>
      <c r="O3077" s="53"/>
      <c r="T3077" s="53"/>
      <c r="V3077" s="53"/>
      <c r="W3077" s="55"/>
    </row>
    <row r="3078">
      <c r="K3078" s="53"/>
      <c r="N3078" s="53"/>
      <c r="O3078" s="53"/>
      <c r="T3078" s="53"/>
      <c r="V3078" s="53"/>
      <c r="W3078" s="55"/>
    </row>
    <row r="3079">
      <c r="K3079" s="53"/>
      <c r="N3079" s="53"/>
      <c r="O3079" s="53"/>
      <c r="T3079" s="53"/>
      <c r="V3079" s="53"/>
      <c r="W3079" s="55"/>
    </row>
    <row r="3080">
      <c r="K3080" s="53"/>
      <c r="N3080" s="53"/>
      <c r="O3080" s="53"/>
      <c r="T3080" s="53"/>
      <c r="V3080" s="53"/>
      <c r="W3080" s="55"/>
    </row>
    <row r="3081">
      <c r="K3081" s="53"/>
      <c r="N3081" s="53"/>
      <c r="O3081" s="53"/>
      <c r="T3081" s="53"/>
      <c r="V3081" s="53"/>
      <c r="W3081" s="55"/>
    </row>
    <row r="3082">
      <c r="K3082" s="53"/>
      <c r="N3082" s="53"/>
      <c r="O3082" s="53"/>
      <c r="T3082" s="53"/>
      <c r="V3082" s="53"/>
      <c r="W3082" s="55"/>
    </row>
    <row r="3083">
      <c r="K3083" s="53"/>
      <c r="N3083" s="53"/>
      <c r="O3083" s="53"/>
      <c r="T3083" s="53"/>
      <c r="V3083" s="53"/>
      <c r="W3083" s="55"/>
    </row>
    <row r="3084">
      <c r="K3084" s="53"/>
      <c r="N3084" s="53"/>
      <c r="O3084" s="53"/>
      <c r="T3084" s="53"/>
      <c r="V3084" s="53"/>
      <c r="W3084" s="55"/>
    </row>
    <row r="3085">
      <c r="K3085" s="53"/>
      <c r="N3085" s="53"/>
      <c r="O3085" s="53"/>
      <c r="T3085" s="53"/>
      <c r="V3085" s="53"/>
      <c r="W3085" s="55"/>
    </row>
    <row r="3086">
      <c r="K3086" s="53"/>
      <c r="N3086" s="53"/>
      <c r="O3086" s="53"/>
      <c r="T3086" s="53"/>
      <c r="V3086" s="53"/>
      <c r="W3086" s="55"/>
    </row>
    <row r="3087">
      <c r="K3087" s="53"/>
      <c r="N3087" s="53"/>
      <c r="O3087" s="53"/>
      <c r="T3087" s="53"/>
      <c r="V3087" s="53"/>
      <c r="W3087" s="55"/>
    </row>
    <row r="3088">
      <c r="K3088" s="53"/>
      <c r="N3088" s="53"/>
      <c r="O3088" s="53"/>
      <c r="T3088" s="53"/>
      <c r="V3088" s="53"/>
      <c r="W3088" s="55"/>
    </row>
    <row r="3089">
      <c r="K3089" s="53"/>
      <c r="N3089" s="53"/>
      <c r="O3089" s="53"/>
      <c r="T3089" s="53"/>
      <c r="V3089" s="53"/>
      <c r="W3089" s="55"/>
    </row>
    <row r="3090">
      <c r="K3090" s="53"/>
      <c r="N3090" s="53"/>
      <c r="O3090" s="53"/>
      <c r="T3090" s="53"/>
      <c r="V3090" s="53"/>
      <c r="W3090" s="55"/>
    </row>
    <row r="3091">
      <c r="K3091" s="53"/>
      <c r="N3091" s="53"/>
      <c r="O3091" s="53"/>
      <c r="T3091" s="53"/>
      <c r="V3091" s="53"/>
      <c r="W3091" s="55"/>
    </row>
    <row r="3092">
      <c r="K3092" s="53"/>
      <c r="N3092" s="53"/>
      <c r="O3092" s="53"/>
      <c r="T3092" s="53"/>
      <c r="V3092" s="53"/>
      <c r="W3092" s="55"/>
    </row>
    <row r="3093">
      <c r="K3093" s="53"/>
      <c r="N3093" s="53"/>
      <c r="O3093" s="53"/>
      <c r="T3093" s="53"/>
      <c r="V3093" s="53"/>
      <c r="W3093" s="55"/>
    </row>
    <row r="3094">
      <c r="K3094" s="53"/>
      <c r="N3094" s="53"/>
      <c r="O3094" s="53"/>
      <c r="T3094" s="53"/>
      <c r="V3094" s="53"/>
      <c r="W3094" s="55"/>
    </row>
    <row r="3095">
      <c r="K3095" s="53"/>
      <c r="N3095" s="53"/>
      <c r="O3095" s="53"/>
      <c r="T3095" s="53"/>
      <c r="V3095" s="53"/>
      <c r="W3095" s="55"/>
    </row>
    <row r="3096">
      <c r="K3096" s="53"/>
      <c r="N3096" s="53"/>
      <c r="O3096" s="53"/>
      <c r="T3096" s="53"/>
      <c r="V3096" s="53"/>
      <c r="W3096" s="55"/>
    </row>
    <row r="3097">
      <c r="K3097" s="53"/>
      <c r="N3097" s="53"/>
      <c r="O3097" s="53"/>
      <c r="T3097" s="53"/>
      <c r="V3097" s="53"/>
      <c r="W3097" s="55"/>
    </row>
    <row r="3098">
      <c r="K3098" s="53"/>
      <c r="N3098" s="53"/>
      <c r="O3098" s="53"/>
      <c r="T3098" s="53"/>
      <c r="V3098" s="53"/>
      <c r="W3098" s="55"/>
    </row>
    <row r="3099">
      <c r="K3099" s="53"/>
      <c r="N3099" s="53"/>
      <c r="O3099" s="53"/>
      <c r="T3099" s="53"/>
      <c r="V3099" s="53"/>
      <c r="W3099" s="55"/>
    </row>
    <row r="3100">
      <c r="K3100" s="53"/>
      <c r="N3100" s="53"/>
      <c r="O3100" s="53"/>
      <c r="T3100" s="53"/>
      <c r="V3100" s="53"/>
      <c r="W3100" s="55"/>
    </row>
    <row r="3101">
      <c r="K3101" s="53"/>
      <c r="N3101" s="53"/>
      <c r="O3101" s="53"/>
      <c r="T3101" s="53"/>
      <c r="V3101" s="53"/>
      <c r="W3101" s="55"/>
    </row>
    <row r="3102">
      <c r="K3102" s="53"/>
      <c r="N3102" s="53"/>
      <c r="O3102" s="53"/>
      <c r="T3102" s="53"/>
      <c r="V3102" s="53"/>
      <c r="W3102" s="55"/>
    </row>
    <row r="3103">
      <c r="K3103" s="53"/>
      <c r="N3103" s="53"/>
      <c r="O3103" s="53"/>
      <c r="T3103" s="53"/>
      <c r="V3103" s="53"/>
      <c r="W3103" s="55"/>
    </row>
    <row r="3104">
      <c r="K3104" s="53"/>
      <c r="N3104" s="53"/>
      <c r="O3104" s="53"/>
      <c r="T3104" s="53"/>
      <c r="V3104" s="53"/>
      <c r="W3104" s="55"/>
    </row>
    <row r="3105">
      <c r="K3105" s="53"/>
      <c r="N3105" s="53"/>
      <c r="O3105" s="53"/>
      <c r="T3105" s="53"/>
      <c r="V3105" s="53"/>
      <c r="W3105" s="55"/>
    </row>
    <row r="3106">
      <c r="K3106" s="53"/>
      <c r="N3106" s="53"/>
      <c r="O3106" s="53"/>
      <c r="T3106" s="53"/>
      <c r="V3106" s="53"/>
      <c r="W3106" s="55"/>
    </row>
    <row r="3107">
      <c r="K3107" s="53"/>
      <c r="N3107" s="53"/>
      <c r="O3107" s="53"/>
      <c r="T3107" s="53"/>
      <c r="V3107" s="53"/>
      <c r="W3107" s="55"/>
    </row>
    <row r="3108">
      <c r="K3108" s="53"/>
      <c r="N3108" s="53"/>
      <c r="O3108" s="53"/>
      <c r="T3108" s="53"/>
      <c r="V3108" s="53"/>
      <c r="W3108" s="55"/>
    </row>
    <row r="3109">
      <c r="K3109" s="53"/>
      <c r="N3109" s="53"/>
      <c r="O3109" s="53"/>
      <c r="T3109" s="53"/>
      <c r="V3109" s="53"/>
      <c r="W3109" s="55"/>
    </row>
    <row r="3110">
      <c r="K3110" s="53"/>
      <c r="N3110" s="53"/>
      <c r="O3110" s="53"/>
      <c r="T3110" s="53"/>
      <c r="V3110" s="53"/>
      <c r="W3110" s="55"/>
    </row>
    <row r="3111">
      <c r="K3111" s="53"/>
      <c r="N3111" s="53"/>
      <c r="O3111" s="53"/>
      <c r="T3111" s="53"/>
      <c r="V3111" s="53"/>
      <c r="W3111" s="55"/>
    </row>
    <row r="3112">
      <c r="K3112" s="53"/>
      <c r="N3112" s="53"/>
      <c r="O3112" s="53"/>
      <c r="T3112" s="53"/>
      <c r="V3112" s="53"/>
      <c r="W3112" s="55"/>
    </row>
    <row r="3113">
      <c r="K3113" s="53"/>
      <c r="N3113" s="53"/>
      <c r="O3113" s="53"/>
      <c r="T3113" s="53"/>
      <c r="V3113" s="53"/>
      <c r="W3113" s="55"/>
    </row>
    <row r="3114">
      <c r="K3114" s="53"/>
      <c r="N3114" s="53"/>
      <c r="O3114" s="53"/>
      <c r="T3114" s="53"/>
      <c r="V3114" s="53"/>
      <c r="W3114" s="55"/>
    </row>
    <row r="3115">
      <c r="K3115" s="53"/>
      <c r="N3115" s="53"/>
      <c r="O3115" s="53"/>
      <c r="T3115" s="53"/>
      <c r="V3115" s="53"/>
      <c r="W3115" s="55"/>
    </row>
    <row r="3116">
      <c r="K3116" s="53"/>
      <c r="N3116" s="53"/>
      <c r="O3116" s="53"/>
      <c r="T3116" s="53"/>
      <c r="V3116" s="53"/>
      <c r="W3116" s="55"/>
    </row>
    <row r="3117">
      <c r="K3117" s="53"/>
      <c r="N3117" s="53"/>
      <c r="O3117" s="53"/>
      <c r="T3117" s="53"/>
      <c r="V3117" s="53"/>
      <c r="W3117" s="55"/>
    </row>
    <row r="3118">
      <c r="K3118" s="53"/>
      <c r="N3118" s="53"/>
      <c r="O3118" s="53"/>
      <c r="T3118" s="53"/>
      <c r="V3118" s="53"/>
      <c r="W3118" s="55"/>
    </row>
    <row r="3119">
      <c r="K3119" s="53"/>
      <c r="N3119" s="53"/>
      <c r="O3119" s="53"/>
      <c r="T3119" s="53"/>
      <c r="V3119" s="53"/>
      <c r="W3119" s="55"/>
    </row>
    <row r="3120">
      <c r="K3120" s="53"/>
      <c r="N3120" s="53"/>
      <c r="O3120" s="53"/>
      <c r="T3120" s="53"/>
      <c r="V3120" s="53"/>
      <c r="W3120" s="55"/>
    </row>
    <row r="3121">
      <c r="K3121" s="53"/>
      <c r="N3121" s="53"/>
      <c r="O3121" s="53"/>
      <c r="T3121" s="53"/>
      <c r="V3121" s="53"/>
      <c r="W3121" s="55"/>
    </row>
    <row r="3122">
      <c r="K3122" s="53"/>
      <c r="N3122" s="53"/>
      <c r="O3122" s="53"/>
      <c r="T3122" s="53"/>
      <c r="V3122" s="53"/>
      <c r="W3122" s="55"/>
    </row>
    <row r="3123">
      <c r="K3123" s="53"/>
      <c r="N3123" s="53"/>
      <c r="O3123" s="53"/>
      <c r="T3123" s="53"/>
      <c r="V3123" s="53"/>
      <c r="W3123" s="55"/>
    </row>
    <row r="3124">
      <c r="K3124" s="53"/>
      <c r="N3124" s="53"/>
      <c r="O3124" s="53"/>
      <c r="T3124" s="53"/>
      <c r="V3124" s="53"/>
      <c r="W3124" s="55"/>
    </row>
    <row r="3125">
      <c r="K3125" s="53"/>
      <c r="N3125" s="53"/>
      <c r="O3125" s="53"/>
      <c r="T3125" s="53"/>
      <c r="V3125" s="53"/>
      <c r="W3125" s="55"/>
    </row>
    <row r="3126">
      <c r="K3126" s="53"/>
      <c r="N3126" s="53"/>
      <c r="O3126" s="53"/>
      <c r="T3126" s="53"/>
      <c r="V3126" s="53"/>
      <c r="W3126" s="55"/>
    </row>
    <row r="3127">
      <c r="K3127" s="53"/>
      <c r="N3127" s="53"/>
      <c r="O3127" s="53"/>
      <c r="T3127" s="53"/>
      <c r="V3127" s="53"/>
      <c r="W3127" s="55"/>
    </row>
    <row r="3128">
      <c r="K3128" s="53"/>
      <c r="N3128" s="53"/>
      <c r="O3128" s="53"/>
      <c r="T3128" s="53"/>
      <c r="V3128" s="53"/>
      <c r="W3128" s="55"/>
    </row>
    <row r="3129">
      <c r="K3129" s="53"/>
      <c r="N3129" s="53"/>
      <c r="O3129" s="53"/>
      <c r="T3129" s="53"/>
      <c r="V3129" s="53"/>
      <c r="W3129" s="55"/>
    </row>
    <row r="3130">
      <c r="K3130" s="53"/>
      <c r="N3130" s="53"/>
      <c r="O3130" s="53"/>
      <c r="T3130" s="53"/>
      <c r="V3130" s="53"/>
      <c r="W3130" s="55"/>
    </row>
    <row r="3131">
      <c r="K3131" s="53"/>
      <c r="N3131" s="53"/>
      <c r="O3131" s="53"/>
      <c r="T3131" s="53"/>
      <c r="V3131" s="53"/>
      <c r="W3131" s="55"/>
    </row>
    <row r="3132">
      <c r="K3132" s="53"/>
      <c r="N3132" s="53"/>
      <c r="O3132" s="53"/>
      <c r="T3132" s="53"/>
      <c r="V3132" s="53"/>
      <c r="W3132" s="55"/>
    </row>
    <row r="3133">
      <c r="K3133" s="53"/>
      <c r="N3133" s="53"/>
      <c r="O3133" s="53"/>
      <c r="T3133" s="53"/>
      <c r="V3133" s="53"/>
      <c r="W3133" s="55"/>
    </row>
    <row r="3134">
      <c r="K3134" s="53"/>
      <c r="N3134" s="53"/>
      <c r="O3134" s="53"/>
      <c r="T3134" s="53"/>
      <c r="V3134" s="53"/>
      <c r="W3134" s="55"/>
    </row>
    <row r="3135">
      <c r="K3135" s="53"/>
      <c r="N3135" s="53"/>
      <c r="O3135" s="53"/>
      <c r="T3135" s="53"/>
      <c r="V3135" s="53"/>
      <c r="W3135" s="55"/>
    </row>
    <row r="3136">
      <c r="K3136" s="53"/>
      <c r="N3136" s="53"/>
      <c r="O3136" s="53"/>
      <c r="T3136" s="53"/>
      <c r="V3136" s="53"/>
      <c r="W3136" s="55"/>
    </row>
    <row r="3137">
      <c r="K3137" s="53"/>
      <c r="N3137" s="53"/>
      <c r="O3137" s="53"/>
      <c r="T3137" s="53"/>
      <c r="V3137" s="53"/>
      <c r="W3137" s="55"/>
    </row>
    <row r="3138">
      <c r="K3138" s="53"/>
      <c r="N3138" s="53"/>
      <c r="O3138" s="53"/>
      <c r="T3138" s="53"/>
      <c r="V3138" s="53"/>
      <c r="W3138" s="55"/>
    </row>
    <row r="3139">
      <c r="K3139" s="53"/>
      <c r="N3139" s="53"/>
      <c r="O3139" s="53"/>
      <c r="T3139" s="53"/>
      <c r="V3139" s="53"/>
      <c r="W3139" s="55"/>
    </row>
    <row r="3140">
      <c r="K3140" s="53"/>
      <c r="N3140" s="53"/>
      <c r="O3140" s="53"/>
      <c r="T3140" s="53"/>
      <c r="V3140" s="53"/>
      <c r="W3140" s="55"/>
    </row>
    <row r="3141">
      <c r="K3141" s="53"/>
      <c r="N3141" s="53"/>
      <c r="O3141" s="53"/>
      <c r="T3141" s="53"/>
      <c r="V3141" s="53"/>
      <c r="W3141" s="55"/>
    </row>
    <row r="3142">
      <c r="K3142" s="53"/>
      <c r="N3142" s="53"/>
      <c r="O3142" s="53"/>
      <c r="T3142" s="53"/>
      <c r="V3142" s="53"/>
      <c r="W3142" s="55"/>
    </row>
    <row r="3143">
      <c r="K3143" s="53"/>
      <c r="N3143" s="53"/>
      <c r="O3143" s="53"/>
      <c r="T3143" s="53"/>
      <c r="V3143" s="53"/>
      <c r="W3143" s="55"/>
    </row>
    <row r="3144">
      <c r="K3144" s="53"/>
      <c r="N3144" s="53"/>
      <c r="O3144" s="53"/>
      <c r="T3144" s="53"/>
      <c r="V3144" s="53"/>
      <c r="W3144" s="55"/>
    </row>
    <row r="3145">
      <c r="K3145" s="53"/>
      <c r="N3145" s="53"/>
      <c r="O3145" s="53"/>
      <c r="T3145" s="53"/>
      <c r="V3145" s="53"/>
      <c r="W3145" s="55"/>
    </row>
    <row r="3146">
      <c r="K3146" s="53"/>
      <c r="N3146" s="53"/>
      <c r="O3146" s="53"/>
      <c r="T3146" s="53"/>
      <c r="V3146" s="53"/>
      <c r="W3146" s="55"/>
    </row>
    <row r="3147">
      <c r="K3147" s="53"/>
      <c r="N3147" s="53"/>
      <c r="O3147" s="53"/>
      <c r="T3147" s="53"/>
      <c r="V3147" s="53"/>
      <c r="W3147" s="55"/>
    </row>
    <row r="3148">
      <c r="K3148" s="53"/>
      <c r="N3148" s="53"/>
      <c r="O3148" s="53"/>
      <c r="T3148" s="53"/>
      <c r="V3148" s="53"/>
      <c r="W3148" s="55"/>
    </row>
    <row r="3149">
      <c r="K3149" s="53"/>
      <c r="N3149" s="53"/>
      <c r="O3149" s="53"/>
      <c r="T3149" s="53"/>
      <c r="V3149" s="53"/>
      <c r="W3149" s="55"/>
    </row>
    <row r="3150">
      <c r="K3150" s="53"/>
      <c r="N3150" s="53"/>
      <c r="O3150" s="53"/>
      <c r="T3150" s="53"/>
      <c r="V3150" s="53"/>
      <c r="W3150" s="55"/>
    </row>
    <row r="3151">
      <c r="K3151" s="53"/>
      <c r="N3151" s="53"/>
      <c r="O3151" s="53"/>
      <c r="T3151" s="53"/>
      <c r="V3151" s="53"/>
      <c r="W3151" s="55"/>
    </row>
    <row r="3152">
      <c r="K3152" s="53"/>
      <c r="N3152" s="53"/>
      <c r="O3152" s="53"/>
      <c r="T3152" s="53"/>
      <c r="V3152" s="53"/>
      <c r="W3152" s="55"/>
    </row>
    <row r="3153">
      <c r="K3153" s="53"/>
      <c r="N3153" s="53"/>
      <c r="O3153" s="53"/>
      <c r="T3153" s="53"/>
      <c r="V3153" s="53"/>
      <c r="W3153" s="55"/>
    </row>
    <row r="3154">
      <c r="K3154" s="53"/>
      <c r="N3154" s="53"/>
      <c r="O3154" s="53"/>
      <c r="T3154" s="53"/>
      <c r="V3154" s="53"/>
      <c r="W3154" s="55"/>
    </row>
    <row r="3155">
      <c r="K3155" s="53"/>
      <c r="N3155" s="53"/>
      <c r="O3155" s="53"/>
      <c r="T3155" s="53"/>
      <c r="V3155" s="53"/>
      <c r="W3155" s="55"/>
    </row>
    <row r="3156">
      <c r="K3156" s="53"/>
      <c r="N3156" s="53"/>
      <c r="O3156" s="53"/>
      <c r="T3156" s="53"/>
      <c r="V3156" s="53"/>
      <c r="W3156" s="55"/>
    </row>
    <row r="3157">
      <c r="K3157" s="53"/>
      <c r="N3157" s="53"/>
      <c r="O3157" s="53"/>
      <c r="T3157" s="53"/>
      <c r="V3157" s="53"/>
      <c r="W3157" s="55"/>
    </row>
    <row r="3158">
      <c r="K3158" s="53"/>
      <c r="N3158" s="53"/>
      <c r="O3158" s="53"/>
      <c r="T3158" s="53"/>
      <c r="V3158" s="53"/>
      <c r="W3158" s="55"/>
    </row>
    <row r="3159">
      <c r="K3159" s="53"/>
      <c r="N3159" s="53"/>
      <c r="O3159" s="53"/>
      <c r="T3159" s="53"/>
      <c r="V3159" s="53"/>
      <c r="W3159" s="55"/>
    </row>
    <row r="3160">
      <c r="K3160" s="53"/>
      <c r="N3160" s="53"/>
      <c r="O3160" s="53"/>
      <c r="T3160" s="53"/>
      <c r="V3160" s="53"/>
      <c r="W3160" s="55"/>
    </row>
    <row r="3161">
      <c r="K3161" s="53"/>
      <c r="N3161" s="53"/>
      <c r="O3161" s="53"/>
      <c r="T3161" s="53"/>
      <c r="V3161" s="53"/>
      <c r="W3161" s="55"/>
    </row>
    <row r="3162">
      <c r="K3162" s="53"/>
      <c r="N3162" s="53"/>
      <c r="O3162" s="53"/>
      <c r="T3162" s="53"/>
      <c r="V3162" s="53"/>
      <c r="W3162" s="55"/>
    </row>
    <row r="3163">
      <c r="K3163" s="53"/>
      <c r="N3163" s="53"/>
      <c r="O3163" s="53"/>
      <c r="T3163" s="53"/>
      <c r="V3163" s="53"/>
      <c r="W3163" s="55"/>
    </row>
    <row r="3164">
      <c r="K3164" s="53"/>
      <c r="N3164" s="53"/>
      <c r="O3164" s="53"/>
      <c r="T3164" s="53"/>
      <c r="V3164" s="53"/>
      <c r="W3164" s="55"/>
    </row>
    <row r="3165">
      <c r="K3165" s="53"/>
      <c r="N3165" s="53"/>
      <c r="O3165" s="53"/>
      <c r="T3165" s="53"/>
      <c r="V3165" s="53"/>
      <c r="W3165" s="55"/>
    </row>
    <row r="3166">
      <c r="K3166" s="53"/>
      <c r="N3166" s="53"/>
      <c r="O3166" s="53"/>
      <c r="T3166" s="53"/>
      <c r="V3166" s="53"/>
      <c r="W3166" s="55"/>
    </row>
    <row r="3167">
      <c r="K3167" s="53"/>
      <c r="N3167" s="53"/>
      <c r="O3167" s="53"/>
      <c r="T3167" s="53"/>
      <c r="V3167" s="53"/>
      <c r="W3167" s="55"/>
    </row>
    <row r="3168">
      <c r="K3168" s="53"/>
      <c r="N3168" s="53"/>
      <c r="O3168" s="53"/>
      <c r="T3168" s="53"/>
      <c r="V3168" s="53"/>
      <c r="W3168" s="55"/>
    </row>
    <row r="3169">
      <c r="K3169" s="53"/>
      <c r="N3169" s="53"/>
      <c r="O3169" s="53"/>
      <c r="T3169" s="53"/>
      <c r="V3169" s="53"/>
      <c r="W3169" s="55"/>
    </row>
    <row r="3170">
      <c r="K3170" s="53"/>
      <c r="N3170" s="53"/>
      <c r="O3170" s="53"/>
      <c r="T3170" s="53"/>
      <c r="V3170" s="53"/>
      <c r="W3170" s="55"/>
    </row>
    <row r="3171">
      <c r="K3171" s="53"/>
      <c r="N3171" s="53"/>
      <c r="O3171" s="53"/>
      <c r="T3171" s="53"/>
      <c r="V3171" s="53"/>
      <c r="W3171" s="55"/>
    </row>
    <row r="3172">
      <c r="K3172" s="53"/>
      <c r="N3172" s="53"/>
      <c r="O3172" s="53"/>
      <c r="T3172" s="53"/>
      <c r="V3172" s="53"/>
      <c r="W3172" s="55"/>
    </row>
    <row r="3173">
      <c r="K3173" s="53"/>
      <c r="N3173" s="53"/>
      <c r="O3173" s="53"/>
      <c r="T3173" s="53"/>
      <c r="V3173" s="53"/>
      <c r="W3173" s="55"/>
    </row>
    <row r="3174">
      <c r="K3174" s="53"/>
      <c r="N3174" s="53"/>
      <c r="O3174" s="53"/>
      <c r="T3174" s="53"/>
      <c r="V3174" s="53"/>
      <c r="W3174" s="55"/>
    </row>
    <row r="3175">
      <c r="K3175" s="53"/>
      <c r="N3175" s="53"/>
      <c r="O3175" s="53"/>
      <c r="T3175" s="53"/>
      <c r="V3175" s="53"/>
      <c r="W3175" s="55"/>
    </row>
    <row r="3176">
      <c r="K3176" s="53"/>
      <c r="N3176" s="53"/>
      <c r="O3176" s="53"/>
      <c r="T3176" s="53"/>
      <c r="V3176" s="53"/>
      <c r="W3176" s="55"/>
    </row>
    <row r="3177">
      <c r="K3177" s="53"/>
      <c r="N3177" s="53"/>
      <c r="O3177" s="53"/>
      <c r="T3177" s="53"/>
      <c r="V3177" s="53"/>
      <c r="W3177" s="55"/>
    </row>
    <row r="3178">
      <c r="K3178" s="53"/>
      <c r="N3178" s="53"/>
      <c r="O3178" s="53"/>
      <c r="T3178" s="53"/>
      <c r="V3178" s="53"/>
      <c r="W3178" s="55"/>
    </row>
    <row r="3179">
      <c r="K3179" s="53"/>
      <c r="N3179" s="53"/>
      <c r="O3179" s="53"/>
      <c r="T3179" s="53"/>
      <c r="V3179" s="53"/>
      <c r="W3179" s="55"/>
    </row>
    <row r="3180">
      <c r="K3180" s="53"/>
      <c r="N3180" s="53"/>
      <c r="O3180" s="53"/>
      <c r="T3180" s="53"/>
      <c r="V3180" s="53"/>
      <c r="W3180" s="55"/>
    </row>
    <row r="3181">
      <c r="K3181" s="53"/>
      <c r="N3181" s="53"/>
      <c r="O3181" s="53"/>
      <c r="T3181" s="53"/>
      <c r="V3181" s="53"/>
      <c r="W3181" s="55"/>
    </row>
    <row r="3182">
      <c r="K3182" s="53"/>
      <c r="N3182" s="53"/>
      <c r="O3182" s="53"/>
      <c r="T3182" s="53"/>
      <c r="V3182" s="53"/>
      <c r="W3182" s="55"/>
    </row>
    <row r="3183">
      <c r="K3183" s="53"/>
      <c r="N3183" s="53"/>
      <c r="O3183" s="53"/>
      <c r="T3183" s="53"/>
      <c r="V3183" s="53"/>
      <c r="W3183" s="55"/>
    </row>
    <row r="3184">
      <c r="K3184" s="53"/>
      <c r="N3184" s="53"/>
      <c r="O3184" s="53"/>
      <c r="T3184" s="53"/>
      <c r="V3184" s="53"/>
      <c r="W3184" s="55"/>
    </row>
    <row r="3185">
      <c r="K3185" s="53"/>
      <c r="N3185" s="53"/>
      <c r="O3185" s="53"/>
      <c r="T3185" s="53"/>
      <c r="V3185" s="53"/>
      <c r="W3185" s="55"/>
    </row>
    <row r="3186">
      <c r="K3186" s="53"/>
      <c r="N3186" s="53"/>
      <c r="O3186" s="53"/>
      <c r="T3186" s="53"/>
      <c r="V3186" s="53"/>
      <c r="W3186" s="55"/>
    </row>
    <row r="3187">
      <c r="K3187" s="53"/>
      <c r="N3187" s="53"/>
      <c r="O3187" s="53"/>
      <c r="T3187" s="53"/>
      <c r="V3187" s="53"/>
      <c r="W3187" s="55"/>
    </row>
    <row r="3188">
      <c r="K3188" s="53"/>
      <c r="N3188" s="53"/>
      <c r="O3188" s="53"/>
      <c r="T3188" s="53"/>
      <c r="V3188" s="53"/>
      <c r="W3188" s="55"/>
    </row>
    <row r="3189">
      <c r="K3189" s="53"/>
      <c r="N3189" s="53"/>
      <c r="O3189" s="53"/>
      <c r="T3189" s="53"/>
      <c r="V3189" s="53"/>
      <c r="W3189" s="55"/>
    </row>
    <row r="3190">
      <c r="K3190" s="53"/>
      <c r="N3190" s="53"/>
      <c r="O3190" s="53"/>
      <c r="T3190" s="53"/>
      <c r="V3190" s="53"/>
      <c r="W3190" s="55"/>
    </row>
    <row r="3191">
      <c r="K3191" s="53"/>
      <c r="N3191" s="53"/>
      <c r="O3191" s="53"/>
      <c r="T3191" s="53"/>
      <c r="V3191" s="53"/>
      <c r="W3191" s="55"/>
    </row>
    <row r="3192">
      <c r="K3192" s="53"/>
      <c r="N3192" s="53"/>
      <c r="O3192" s="53"/>
      <c r="T3192" s="53"/>
      <c r="V3192" s="53"/>
      <c r="W3192" s="55"/>
    </row>
    <row r="3193">
      <c r="K3193" s="53"/>
      <c r="N3193" s="53"/>
      <c r="O3193" s="53"/>
      <c r="T3193" s="53"/>
      <c r="V3193" s="53"/>
      <c r="W3193" s="55"/>
    </row>
    <row r="3194">
      <c r="K3194" s="53"/>
      <c r="N3194" s="53"/>
      <c r="O3194" s="53"/>
      <c r="T3194" s="53"/>
      <c r="V3194" s="53"/>
      <c r="W3194" s="55"/>
    </row>
    <row r="3195">
      <c r="K3195" s="53"/>
      <c r="N3195" s="53"/>
      <c r="O3195" s="53"/>
      <c r="T3195" s="53"/>
      <c r="V3195" s="53"/>
      <c r="W3195" s="55"/>
    </row>
    <row r="3196">
      <c r="K3196" s="53"/>
      <c r="N3196" s="53"/>
      <c r="O3196" s="53"/>
      <c r="T3196" s="53"/>
      <c r="V3196" s="53"/>
      <c r="W3196" s="55"/>
    </row>
    <row r="3197">
      <c r="K3197" s="53"/>
      <c r="N3197" s="53"/>
      <c r="O3197" s="53"/>
      <c r="T3197" s="53"/>
      <c r="V3197" s="53"/>
      <c r="W3197" s="55"/>
    </row>
    <row r="3198">
      <c r="K3198" s="53"/>
      <c r="N3198" s="53"/>
      <c r="O3198" s="53"/>
      <c r="T3198" s="53"/>
      <c r="V3198" s="53"/>
      <c r="W3198" s="55"/>
    </row>
    <row r="3199">
      <c r="K3199" s="53"/>
      <c r="N3199" s="53"/>
      <c r="O3199" s="53"/>
      <c r="T3199" s="53"/>
      <c r="V3199" s="53"/>
      <c r="W3199" s="55"/>
    </row>
    <row r="3200">
      <c r="K3200" s="53"/>
      <c r="N3200" s="53"/>
      <c r="O3200" s="53"/>
      <c r="T3200" s="53"/>
      <c r="V3200" s="53"/>
      <c r="W3200" s="55"/>
    </row>
    <row r="3201">
      <c r="K3201" s="53"/>
      <c r="N3201" s="53"/>
      <c r="O3201" s="53"/>
      <c r="T3201" s="53"/>
      <c r="V3201" s="53"/>
      <c r="W3201" s="55"/>
    </row>
    <row r="3202">
      <c r="K3202" s="53"/>
      <c r="N3202" s="53"/>
      <c r="O3202" s="53"/>
      <c r="T3202" s="53"/>
      <c r="V3202" s="53"/>
      <c r="W3202" s="55"/>
    </row>
    <row r="3203">
      <c r="K3203" s="53"/>
      <c r="N3203" s="53"/>
      <c r="O3203" s="53"/>
      <c r="T3203" s="53"/>
      <c r="V3203" s="53"/>
      <c r="W3203" s="55"/>
    </row>
    <row r="3204">
      <c r="K3204" s="53"/>
      <c r="N3204" s="53"/>
      <c r="O3204" s="53"/>
      <c r="T3204" s="53"/>
      <c r="V3204" s="53"/>
      <c r="W3204" s="55"/>
    </row>
    <row r="3205">
      <c r="K3205" s="53"/>
      <c r="N3205" s="53"/>
      <c r="O3205" s="53"/>
      <c r="T3205" s="53"/>
      <c r="V3205" s="53"/>
      <c r="W3205" s="55"/>
    </row>
    <row r="3206">
      <c r="K3206" s="53"/>
      <c r="N3206" s="53"/>
      <c r="O3206" s="53"/>
      <c r="T3206" s="53"/>
      <c r="V3206" s="53"/>
      <c r="W3206" s="55"/>
    </row>
    <row r="3207">
      <c r="K3207" s="53"/>
      <c r="N3207" s="53"/>
      <c r="O3207" s="53"/>
      <c r="T3207" s="53"/>
      <c r="V3207" s="53"/>
      <c r="W3207" s="55"/>
    </row>
    <row r="3208">
      <c r="K3208" s="53"/>
      <c r="N3208" s="53"/>
      <c r="O3208" s="53"/>
      <c r="T3208" s="53"/>
      <c r="V3208" s="53"/>
      <c r="W3208" s="55"/>
    </row>
    <row r="3209">
      <c r="K3209" s="53"/>
      <c r="N3209" s="53"/>
      <c r="O3209" s="53"/>
      <c r="T3209" s="53"/>
      <c r="V3209" s="53"/>
      <c r="W3209" s="55"/>
    </row>
    <row r="3210">
      <c r="K3210" s="53"/>
      <c r="N3210" s="53"/>
      <c r="O3210" s="53"/>
      <c r="T3210" s="53"/>
      <c r="V3210" s="53"/>
      <c r="W3210" s="55"/>
    </row>
    <row r="3211">
      <c r="K3211" s="53"/>
      <c r="N3211" s="53"/>
      <c r="O3211" s="53"/>
      <c r="T3211" s="53"/>
      <c r="V3211" s="53"/>
      <c r="W3211" s="55"/>
    </row>
    <row r="3212">
      <c r="K3212" s="53"/>
      <c r="N3212" s="53"/>
      <c r="O3212" s="53"/>
      <c r="T3212" s="53"/>
      <c r="V3212" s="53"/>
      <c r="W3212" s="55"/>
    </row>
    <row r="3213">
      <c r="K3213" s="53"/>
      <c r="N3213" s="53"/>
      <c r="O3213" s="53"/>
      <c r="T3213" s="53"/>
      <c r="V3213" s="53"/>
      <c r="W3213" s="55"/>
    </row>
    <row r="3214">
      <c r="K3214" s="53"/>
      <c r="N3214" s="53"/>
      <c r="O3214" s="53"/>
      <c r="T3214" s="53"/>
      <c r="V3214" s="53"/>
      <c r="W3214" s="55"/>
    </row>
    <row r="3215">
      <c r="K3215" s="53"/>
      <c r="N3215" s="53"/>
      <c r="O3215" s="53"/>
      <c r="T3215" s="53"/>
      <c r="V3215" s="53"/>
      <c r="W3215" s="55"/>
    </row>
    <row r="3216">
      <c r="K3216" s="53"/>
      <c r="N3216" s="53"/>
      <c r="O3216" s="53"/>
      <c r="T3216" s="53"/>
      <c r="V3216" s="53"/>
      <c r="W3216" s="55"/>
    </row>
    <row r="3217">
      <c r="K3217" s="53"/>
      <c r="N3217" s="53"/>
      <c r="O3217" s="53"/>
      <c r="T3217" s="53"/>
      <c r="V3217" s="53"/>
      <c r="W3217" s="55"/>
    </row>
    <row r="3218">
      <c r="K3218" s="53"/>
      <c r="N3218" s="53"/>
      <c r="O3218" s="53"/>
      <c r="T3218" s="53"/>
      <c r="V3218" s="53"/>
      <c r="W3218" s="55"/>
    </row>
    <row r="3219">
      <c r="K3219" s="53"/>
      <c r="N3219" s="53"/>
      <c r="O3219" s="53"/>
      <c r="T3219" s="53"/>
      <c r="V3219" s="53"/>
      <c r="W3219" s="55"/>
    </row>
    <row r="3220">
      <c r="K3220" s="53"/>
      <c r="N3220" s="53"/>
      <c r="O3220" s="53"/>
      <c r="T3220" s="53"/>
      <c r="V3220" s="53"/>
      <c r="W3220" s="55"/>
    </row>
    <row r="3221">
      <c r="K3221" s="53"/>
      <c r="N3221" s="53"/>
      <c r="O3221" s="53"/>
      <c r="T3221" s="53"/>
      <c r="V3221" s="53"/>
      <c r="W3221" s="55"/>
    </row>
    <row r="3222">
      <c r="K3222" s="53"/>
      <c r="N3222" s="53"/>
      <c r="O3222" s="53"/>
      <c r="T3222" s="53"/>
      <c r="V3222" s="53"/>
      <c r="W3222" s="55"/>
    </row>
    <row r="3223">
      <c r="K3223" s="53"/>
      <c r="N3223" s="53"/>
      <c r="O3223" s="53"/>
      <c r="T3223" s="53"/>
      <c r="V3223" s="53"/>
      <c r="W3223" s="55"/>
    </row>
    <row r="3224">
      <c r="K3224" s="53"/>
      <c r="N3224" s="53"/>
      <c r="O3224" s="53"/>
      <c r="T3224" s="53"/>
      <c r="V3224" s="53"/>
      <c r="W3224" s="55"/>
    </row>
    <row r="3225">
      <c r="K3225" s="53"/>
      <c r="N3225" s="53"/>
      <c r="O3225" s="53"/>
      <c r="T3225" s="53"/>
      <c r="V3225" s="53"/>
      <c r="W3225" s="55"/>
    </row>
    <row r="3226">
      <c r="K3226" s="53"/>
      <c r="N3226" s="53"/>
      <c r="O3226" s="53"/>
      <c r="T3226" s="53"/>
      <c r="V3226" s="53"/>
      <c r="W3226" s="55"/>
    </row>
    <row r="3227">
      <c r="K3227" s="53"/>
      <c r="N3227" s="53"/>
      <c r="O3227" s="53"/>
      <c r="T3227" s="53"/>
      <c r="V3227" s="53"/>
      <c r="W3227" s="55"/>
    </row>
    <row r="3228">
      <c r="K3228" s="53"/>
      <c r="N3228" s="53"/>
      <c r="O3228" s="53"/>
      <c r="T3228" s="53"/>
      <c r="V3228" s="53"/>
      <c r="W3228" s="55"/>
    </row>
    <row r="3229">
      <c r="K3229" s="53"/>
      <c r="N3229" s="53"/>
      <c r="O3229" s="53"/>
      <c r="T3229" s="53"/>
      <c r="V3229" s="53"/>
      <c r="W3229" s="55"/>
    </row>
    <row r="3230">
      <c r="K3230" s="53"/>
      <c r="N3230" s="53"/>
      <c r="O3230" s="53"/>
      <c r="T3230" s="53"/>
      <c r="V3230" s="53"/>
      <c r="W3230" s="55"/>
    </row>
    <row r="3231">
      <c r="K3231" s="53"/>
      <c r="N3231" s="53"/>
      <c r="O3231" s="53"/>
      <c r="T3231" s="53"/>
      <c r="V3231" s="53"/>
      <c r="W3231" s="55"/>
    </row>
    <row r="3232">
      <c r="K3232" s="53"/>
      <c r="N3232" s="53"/>
      <c r="O3232" s="53"/>
      <c r="T3232" s="53"/>
      <c r="V3232" s="53"/>
      <c r="W3232" s="55"/>
    </row>
    <row r="3233">
      <c r="K3233" s="53"/>
      <c r="N3233" s="53"/>
      <c r="O3233" s="53"/>
      <c r="T3233" s="53"/>
      <c r="V3233" s="53"/>
      <c r="W3233" s="55"/>
    </row>
    <row r="3234">
      <c r="K3234" s="53"/>
      <c r="N3234" s="53"/>
      <c r="O3234" s="53"/>
      <c r="T3234" s="53"/>
      <c r="V3234" s="53"/>
      <c r="W3234" s="55"/>
    </row>
    <row r="3235">
      <c r="K3235" s="53"/>
      <c r="N3235" s="53"/>
      <c r="O3235" s="53"/>
      <c r="T3235" s="53"/>
      <c r="V3235" s="53"/>
      <c r="W3235" s="55"/>
    </row>
    <row r="3236">
      <c r="K3236" s="53"/>
      <c r="N3236" s="53"/>
      <c r="O3236" s="53"/>
      <c r="T3236" s="53"/>
      <c r="V3236" s="53"/>
      <c r="W3236" s="55"/>
    </row>
    <row r="3237">
      <c r="K3237" s="53"/>
      <c r="N3237" s="53"/>
      <c r="O3237" s="53"/>
      <c r="T3237" s="53"/>
      <c r="V3237" s="53"/>
      <c r="W3237" s="55"/>
    </row>
    <row r="3238">
      <c r="K3238" s="53"/>
      <c r="N3238" s="53"/>
      <c r="O3238" s="53"/>
      <c r="T3238" s="53"/>
      <c r="V3238" s="53"/>
      <c r="W3238" s="55"/>
    </row>
    <row r="3239">
      <c r="K3239" s="53"/>
      <c r="N3239" s="53"/>
      <c r="O3239" s="53"/>
      <c r="T3239" s="53"/>
      <c r="V3239" s="53"/>
      <c r="W3239" s="55"/>
    </row>
    <row r="3240">
      <c r="K3240" s="53"/>
      <c r="N3240" s="53"/>
      <c r="O3240" s="53"/>
      <c r="T3240" s="53"/>
      <c r="V3240" s="53"/>
      <c r="W3240" s="55"/>
    </row>
    <row r="3241">
      <c r="K3241" s="53"/>
      <c r="N3241" s="53"/>
      <c r="O3241" s="53"/>
      <c r="T3241" s="53"/>
      <c r="V3241" s="53"/>
      <c r="W3241" s="55"/>
    </row>
    <row r="3242">
      <c r="K3242" s="53"/>
      <c r="N3242" s="53"/>
      <c r="O3242" s="53"/>
      <c r="T3242" s="53"/>
      <c r="V3242" s="53"/>
      <c r="W3242" s="55"/>
    </row>
    <row r="3243">
      <c r="K3243" s="53"/>
      <c r="N3243" s="53"/>
      <c r="O3243" s="53"/>
      <c r="T3243" s="53"/>
      <c r="V3243" s="53"/>
      <c r="W3243" s="55"/>
    </row>
    <row r="3244">
      <c r="K3244" s="53"/>
      <c r="N3244" s="53"/>
      <c r="O3244" s="53"/>
      <c r="T3244" s="53"/>
      <c r="V3244" s="53"/>
      <c r="W3244" s="55"/>
    </row>
    <row r="3245">
      <c r="K3245" s="53"/>
      <c r="N3245" s="53"/>
      <c r="O3245" s="53"/>
      <c r="T3245" s="53"/>
      <c r="V3245" s="53"/>
      <c r="W3245" s="55"/>
    </row>
    <row r="3246">
      <c r="K3246" s="53"/>
      <c r="N3246" s="53"/>
      <c r="O3246" s="53"/>
      <c r="T3246" s="53"/>
      <c r="V3246" s="53"/>
      <c r="W3246" s="55"/>
    </row>
    <row r="3247">
      <c r="K3247" s="53"/>
      <c r="N3247" s="53"/>
      <c r="O3247" s="53"/>
      <c r="T3247" s="53"/>
      <c r="V3247" s="53"/>
      <c r="W3247" s="55"/>
    </row>
    <row r="3248">
      <c r="K3248" s="53"/>
      <c r="N3248" s="53"/>
      <c r="O3248" s="53"/>
      <c r="T3248" s="53"/>
      <c r="V3248" s="53"/>
      <c r="W3248" s="55"/>
    </row>
    <row r="3249">
      <c r="K3249" s="53"/>
      <c r="N3249" s="53"/>
      <c r="O3249" s="53"/>
      <c r="T3249" s="53"/>
      <c r="V3249" s="53"/>
      <c r="W3249" s="55"/>
    </row>
    <row r="3250">
      <c r="K3250" s="53"/>
      <c r="N3250" s="53"/>
      <c r="O3250" s="53"/>
      <c r="T3250" s="53"/>
      <c r="V3250" s="53"/>
      <c r="W3250" s="55"/>
    </row>
    <row r="3251">
      <c r="K3251" s="53"/>
      <c r="N3251" s="53"/>
      <c r="O3251" s="53"/>
      <c r="T3251" s="53"/>
      <c r="V3251" s="53"/>
      <c r="W3251" s="55"/>
    </row>
    <row r="3252">
      <c r="K3252" s="53"/>
      <c r="N3252" s="53"/>
      <c r="O3252" s="53"/>
      <c r="T3252" s="53"/>
      <c r="V3252" s="53"/>
      <c r="W3252" s="55"/>
    </row>
    <row r="3253">
      <c r="K3253" s="53"/>
      <c r="N3253" s="53"/>
      <c r="O3253" s="53"/>
      <c r="T3253" s="53"/>
      <c r="V3253" s="53"/>
      <c r="W3253" s="55"/>
    </row>
    <row r="3254">
      <c r="K3254" s="53"/>
      <c r="N3254" s="53"/>
      <c r="O3254" s="53"/>
      <c r="T3254" s="53"/>
      <c r="V3254" s="53"/>
      <c r="W3254" s="55"/>
    </row>
    <row r="3255">
      <c r="K3255" s="53"/>
      <c r="N3255" s="53"/>
      <c r="O3255" s="53"/>
      <c r="T3255" s="53"/>
      <c r="V3255" s="53"/>
      <c r="W3255" s="55"/>
    </row>
    <row r="3256">
      <c r="K3256" s="53"/>
      <c r="N3256" s="53"/>
      <c r="O3256" s="53"/>
      <c r="T3256" s="53"/>
      <c r="V3256" s="53"/>
      <c r="W3256" s="55"/>
    </row>
    <row r="3257">
      <c r="K3257" s="53"/>
      <c r="N3257" s="53"/>
      <c r="O3257" s="53"/>
      <c r="T3257" s="53"/>
      <c r="V3257" s="53"/>
      <c r="W3257" s="55"/>
    </row>
    <row r="3258">
      <c r="K3258" s="53"/>
      <c r="N3258" s="53"/>
      <c r="O3258" s="53"/>
      <c r="T3258" s="53"/>
      <c r="V3258" s="53"/>
      <c r="W3258" s="55"/>
    </row>
    <row r="3259">
      <c r="K3259" s="53"/>
      <c r="N3259" s="53"/>
      <c r="O3259" s="53"/>
      <c r="T3259" s="53"/>
      <c r="V3259" s="53"/>
      <c r="W3259" s="55"/>
    </row>
    <row r="3260">
      <c r="K3260" s="53"/>
      <c r="N3260" s="53"/>
      <c r="O3260" s="53"/>
      <c r="T3260" s="53"/>
      <c r="V3260" s="53"/>
      <c r="W3260" s="55"/>
    </row>
    <row r="3261">
      <c r="K3261" s="53"/>
      <c r="N3261" s="53"/>
      <c r="O3261" s="53"/>
      <c r="T3261" s="53"/>
      <c r="V3261" s="53"/>
      <c r="W3261" s="55"/>
    </row>
    <row r="3262">
      <c r="K3262" s="53"/>
      <c r="N3262" s="53"/>
      <c r="O3262" s="53"/>
      <c r="T3262" s="53"/>
      <c r="V3262" s="53"/>
      <c r="W3262" s="55"/>
    </row>
    <row r="3263">
      <c r="K3263" s="53"/>
      <c r="N3263" s="53"/>
      <c r="O3263" s="53"/>
      <c r="T3263" s="53"/>
      <c r="V3263" s="53"/>
      <c r="W3263" s="55"/>
    </row>
    <row r="3264">
      <c r="K3264" s="53"/>
      <c r="N3264" s="53"/>
      <c r="O3264" s="53"/>
      <c r="T3264" s="53"/>
      <c r="V3264" s="53"/>
      <c r="W3264" s="55"/>
    </row>
    <row r="3265">
      <c r="K3265" s="53"/>
      <c r="N3265" s="53"/>
      <c r="O3265" s="53"/>
      <c r="T3265" s="53"/>
      <c r="V3265" s="53"/>
      <c r="W3265" s="55"/>
    </row>
    <row r="3266">
      <c r="K3266" s="53"/>
      <c r="N3266" s="53"/>
      <c r="O3266" s="53"/>
      <c r="T3266" s="53"/>
      <c r="V3266" s="53"/>
      <c r="W3266" s="55"/>
    </row>
    <row r="3267">
      <c r="K3267" s="53"/>
      <c r="N3267" s="53"/>
      <c r="O3267" s="53"/>
      <c r="T3267" s="53"/>
      <c r="V3267" s="53"/>
      <c r="W3267" s="55"/>
    </row>
    <row r="3268">
      <c r="K3268" s="53"/>
      <c r="N3268" s="53"/>
      <c r="O3268" s="53"/>
      <c r="T3268" s="53"/>
      <c r="V3268" s="53"/>
      <c r="W3268" s="55"/>
    </row>
    <row r="3269">
      <c r="K3269" s="53"/>
      <c r="N3269" s="53"/>
      <c r="O3269" s="53"/>
      <c r="T3269" s="53"/>
      <c r="V3269" s="53"/>
      <c r="W3269" s="55"/>
    </row>
    <row r="3270">
      <c r="K3270" s="53"/>
      <c r="N3270" s="53"/>
      <c r="O3270" s="53"/>
      <c r="T3270" s="53"/>
      <c r="V3270" s="53"/>
      <c r="W3270" s="55"/>
    </row>
    <row r="3271">
      <c r="K3271" s="53"/>
      <c r="N3271" s="53"/>
      <c r="O3271" s="53"/>
      <c r="T3271" s="53"/>
      <c r="V3271" s="53"/>
      <c r="W3271" s="55"/>
    </row>
    <row r="3272">
      <c r="K3272" s="53"/>
      <c r="N3272" s="53"/>
      <c r="O3272" s="53"/>
      <c r="T3272" s="53"/>
      <c r="V3272" s="53"/>
      <c r="W3272" s="55"/>
    </row>
    <row r="3273">
      <c r="K3273" s="53"/>
      <c r="N3273" s="53"/>
      <c r="O3273" s="53"/>
      <c r="T3273" s="53"/>
      <c r="V3273" s="53"/>
      <c r="W3273" s="55"/>
    </row>
    <row r="3274">
      <c r="K3274" s="53"/>
      <c r="N3274" s="53"/>
      <c r="O3274" s="53"/>
      <c r="T3274" s="53"/>
      <c r="V3274" s="53"/>
      <c r="W3274" s="55"/>
    </row>
    <row r="3275">
      <c r="K3275" s="53"/>
      <c r="N3275" s="53"/>
      <c r="O3275" s="53"/>
      <c r="T3275" s="53"/>
      <c r="V3275" s="53"/>
      <c r="W3275" s="55"/>
    </row>
    <row r="3276">
      <c r="K3276" s="53"/>
      <c r="N3276" s="53"/>
      <c r="O3276" s="53"/>
      <c r="T3276" s="53"/>
      <c r="V3276" s="53"/>
      <c r="W3276" s="55"/>
    </row>
    <row r="3277">
      <c r="K3277" s="53"/>
      <c r="N3277" s="53"/>
      <c r="O3277" s="53"/>
      <c r="T3277" s="53"/>
      <c r="V3277" s="53"/>
      <c r="W3277" s="55"/>
    </row>
    <row r="3278">
      <c r="K3278" s="53"/>
      <c r="N3278" s="53"/>
      <c r="O3278" s="53"/>
      <c r="T3278" s="53"/>
      <c r="V3278" s="53"/>
      <c r="W3278" s="55"/>
    </row>
    <row r="3279">
      <c r="K3279" s="53"/>
      <c r="N3279" s="53"/>
      <c r="O3279" s="53"/>
      <c r="T3279" s="53"/>
      <c r="V3279" s="53"/>
      <c r="W3279" s="55"/>
    </row>
    <row r="3280">
      <c r="K3280" s="53"/>
      <c r="N3280" s="53"/>
      <c r="O3280" s="53"/>
      <c r="T3280" s="53"/>
      <c r="V3280" s="53"/>
      <c r="W3280" s="55"/>
    </row>
    <row r="3281">
      <c r="K3281" s="53"/>
      <c r="N3281" s="53"/>
      <c r="O3281" s="53"/>
      <c r="T3281" s="53"/>
      <c r="V3281" s="53"/>
      <c r="W3281" s="55"/>
    </row>
    <row r="3282">
      <c r="K3282" s="53"/>
      <c r="N3282" s="53"/>
      <c r="O3282" s="53"/>
      <c r="T3282" s="53"/>
      <c r="V3282" s="53"/>
      <c r="W3282" s="55"/>
    </row>
    <row r="3283">
      <c r="K3283" s="53"/>
      <c r="N3283" s="53"/>
      <c r="O3283" s="53"/>
      <c r="T3283" s="53"/>
      <c r="V3283" s="53"/>
      <c r="W3283" s="55"/>
    </row>
    <row r="3284">
      <c r="K3284" s="53"/>
      <c r="N3284" s="53"/>
      <c r="O3284" s="53"/>
      <c r="T3284" s="53"/>
      <c r="V3284" s="53"/>
      <c r="W3284" s="55"/>
    </row>
    <row r="3285">
      <c r="K3285" s="53"/>
      <c r="N3285" s="53"/>
      <c r="O3285" s="53"/>
      <c r="T3285" s="53"/>
      <c r="V3285" s="53"/>
      <c r="W3285" s="55"/>
    </row>
    <row r="3286">
      <c r="K3286" s="53"/>
      <c r="N3286" s="53"/>
      <c r="O3286" s="53"/>
      <c r="T3286" s="53"/>
      <c r="V3286" s="53"/>
      <c r="W3286" s="55"/>
    </row>
    <row r="3287">
      <c r="K3287" s="53"/>
      <c r="N3287" s="53"/>
      <c r="O3287" s="53"/>
      <c r="T3287" s="53"/>
      <c r="V3287" s="53"/>
      <c r="W3287" s="55"/>
    </row>
    <row r="3288">
      <c r="K3288" s="53"/>
      <c r="N3288" s="53"/>
      <c r="O3288" s="53"/>
      <c r="T3288" s="53"/>
      <c r="V3288" s="53"/>
      <c r="W3288" s="55"/>
    </row>
    <row r="3289">
      <c r="K3289" s="53"/>
      <c r="N3289" s="53"/>
      <c r="O3289" s="53"/>
      <c r="T3289" s="53"/>
      <c r="V3289" s="53"/>
      <c r="W3289" s="55"/>
    </row>
    <row r="3290">
      <c r="K3290" s="53"/>
      <c r="N3290" s="53"/>
      <c r="O3290" s="53"/>
      <c r="T3290" s="53"/>
      <c r="V3290" s="53"/>
      <c r="W3290" s="55"/>
    </row>
    <row r="3291">
      <c r="K3291" s="53"/>
      <c r="N3291" s="53"/>
      <c r="O3291" s="53"/>
      <c r="T3291" s="53"/>
      <c r="V3291" s="53"/>
      <c r="W3291" s="55"/>
    </row>
    <row r="3292">
      <c r="K3292" s="53"/>
      <c r="N3292" s="53"/>
      <c r="O3292" s="53"/>
      <c r="T3292" s="53"/>
      <c r="V3292" s="53"/>
      <c r="W3292" s="55"/>
    </row>
    <row r="3293">
      <c r="K3293" s="53"/>
      <c r="N3293" s="53"/>
      <c r="O3293" s="53"/>
      <c r="T3293" s="53"/>
      <c r="V3293" s="53"/>
      <c r="W3293" s="55"/>
    </row>
    <row r="3294">
      <c r="K3294" s="53"/>
      <c r="N3294" s="53"/>
      <c r="O3294" s="53"/>
      <c r="T3294" s="53"/>
      <c r="V3294" s="53"/>
      <c r="W3294" s="55"/>
    </row>
    <row r="3295">
      <c r="K3295" s="53"/>
      <c r="N3295" s="53"/>
      <c r="O3295" s="53"/>
      <c r="T3295" s="53"/>
      <c r="V3295" s="53"/>
      <c r="W3295" s="55"/>
    </row>
    <row r="3296">
      <c r="K3296" s="53"/>
      <c r="N3296" s="53"/>
      <c r="O3296" s="53"/>
      <c r="T3296" s="53"/>
      <c r="V3296" s="53"/>
      <c r="W3296" s="55"/>
    </row>
    <row r="3297">
      <c r="K3297" s="53"/>
      <c r="N3297" s="53"/>
      <c r="O3297" s="53"/>
      <c r="T3297" s="53"/>
      <c r="V3297" s="53"/>
      <c r="W3297" s="55"/>
    </row>
    <row r="3298">
      <c r="K3298" s="53"/>
      <c r="N3298" s="53"/>
      <c r="O3298" s="53"/>
      <c r="T3298" s="53"/>
      <c r="V3298" s="53"/>
      <c r="W3298" s="55"/>
    </row>
    <row r="3299">
      <c r="K3299" s="53"/>
      <c r="N3299" s="53"/>
      <c r="O3299" s="53"/>
      <c r="T3299" s="53"/>
      <c r="V3299" s="53"/>
      <c r="W3299" s="55"/>
    </row>
    <row r="3300">
      <c r="K3300" s="53"/>
      <c r="N3300" s="53"/>
      <c r="O3300" s="53"/>
      <c r="T3300" s="53"/>
      <c r="V3300" s="53"/>
      <c r="W3300" s="55"/>
    </row>
    <row r="3301">
      <c r="K3301" s="53"/>
      <c r="N3301" s="53"/>
      <c r="O3301" s="53"/>
      <c r="T3301" s="53"/>
      <c r="V3301" s="53"/>
      <c r="W3301" s="55"/>
    </row>
    <row r="3302">
      <c r="K3302" s="53"/>
      <c r="N3302" s="53"/>
      <c r="O3302" s="53"/>
      <c r="T3302" s="53"/>
      <c r="V3302" s="53"/>
      <c r="W3302" s="55"/>
    </row>
    <row r="3303">
      <c r="K3303" s="53"/>
      <c r="N3303" s="53"/>
      <c r="O3303" s="53"/>
      <c r="T3303" s="53"/>
      <c r="V3303" s="53"/>
      <c r="W3303" s="55"/>
    </row>
    <row r="3304">
      <c r="K3304" s="53"/>
      <c r="N3304" s="53"/>
      <c r="O3304" s="53"/>
      <c r="T3304" s="53"/>
      <c r="V3304" s="53"/>
      <c r="W3304" s="55"/>
    </row>
    <row r="3305">
      <c r="K3305" s="53"/>
      <c r="N3305" s="53"/>
      <c r="O3305" s="53"/>
      <c r="T3305" s="53"/>
      <c r="V3305" s="53"/>
      <c r="W3305" s="55"/>
    </row>
    <row r="3306">
      <c r="K3306" s="53"/>
      <c r="N3306" s="53"/>
      <c r="O3306" s="53"/>
      <c r="T3306" s="53"/>
      <c r="V3306" s="53"/>
      <c r="W3306" s="55"/>
    </row>
    <row r="3307">
      <c r="K3307" s="53"/>
      <c r="N3307" s="53"/>
      <c r="O3307" s="53"/>
      <c r="T3307" s="53"/>
      <c r="V3307" s="53"/>
      <c r="W3307" s="55"/>
    </row>
    <row r="3308">
      <c r="K3308" s="53"/>
      <c r="N3308" s="53"/>
      <c r="O3308" s="53"/>
      <c r="T3308" s="53"/>
      <c r="V3308" s="53"/>
      <c r="W3308" s="55"/>
    </row>
    <row r="3309">
      <c r="K3309" s="53"/>
      <c r="N3309" s="53"/>
      <c r="O3309" s="53"/>
      <c r="T3309" s="53"/>
      <c r="V3309" s="53"/>
      <c r="W3309" s="55"/>
    </row>
    <row r="3310">
      <c r="K3310" s="53"/>
      <c r="N3310" s="53"/>
      <c r="O3310" s="53"/>
      <c r="T3310" s="53"/>
      <c r="V3310" s="53"/>
      <c r="W3310" s="55"/>
    </row>
    <row r="3311">
      <c r="K3311" s="53"/>
      <c r="N3311" s="53"/>
      <c r="O3311" s="53"/>
      <c r="T3311" s="53"/>
      <c r="V3311" s="53"/>
      <c r="W3311" s="55"/>
    </row>
    <row r="3312">
      <c r="K3312" s="53"/>
      <c r="N3312" s="53"/>
      <c r="O3312" s="53"/>
      <c r="T3312" s="53"/>
      <c r="V3312" s="53"/>
      <c r="W3312" s="55"/>
    </row>
    <row r="3313">
      <c r="K3313" s="53"/>
      <c r="N3313" s="53"/>
      <c r="O3313" s="53"/>
      <c r="T3313" s="53"/>
      <c r="V3313" s="53"/>
      <c r="W3313" s="55"/>
    </row>
    <row r="3314">
      <c r="K3314" s="53"/>
      <c r="N3314" s="53"/>
      <c r="O3314" s="53"/>
      <c r="T3314" s="53"/>
      <c r="V3314" s="53"/>
      <c r="W3314" s="55"/>
    </row>
    <row r="3315">
      <c r="K3315" s="53"/>
      <c r="N3315" s="53"/>
      <c r="O3315" s="53"/>
      <c r="T3315" s="53"/>
      <c r="V3315" s="53"/>
      <c r="W3315" s="55"/>
    </row>
    <row r="3316">
      <c r="K3316" s="53"/>
      <c r="N3316" s="53"/>
      <c r="O3316" s="53"/>
      <c r="T3316" s="53"/>
      <c r="V3316" s="53"/>
      <c r="W3316" s="55"/>
    </row>
    <row r="3317">
      <c r="K3317" s="53"/>
      <c r="N3317" s="53"/>
      <c r="O3317" s="53"/>
      <c r="T3317" s="53"/>
      <c r="V3317" s="53"/>
      <c r="W3317" s="55"/>
    </row>
    <row r="3318">
      <c r="K3318" s="53"/>
      <c r="N3318" s="53"/>
      <c r="O3318" s="53"/>
      <c r="T3318" s="53"/>
      <c r="V3318" s="53"/>
      <c r="W3318" s="55"/>
    </row>
    <row r="3319">
      <c r="K3319" s="53"/>
      <c r="N3319" s="53"/>
      <c r="O3319" s="53"/>
      <c r="T3319" s="53"/>
      <c r="V3319" s="53"/>
      <c r="W3319" s="55"/>
    </row>
    <row r="3320">
      <c r="K3320" s="53"/>
      <c r="N3320" s="53"/>
      <c r="O3320" s="53"/>
      <c r="T3320" s="53"/>
      <c r="V3320" s="53"/>
      <c r="W3320" s="55"/>
    </row>
    <row r="3321">
      <c r="K3321" s="53"/>
      <c r="N3321" s="53"/>
      <c r="O3321" s="53"/>
      <c r="T3321" s="53"/>
      <c r="V3321" s="53"/>
      <c r="W3321" s="55"/>
    </row>
    <row r="3322">
      <c r="K3322" s="53"/>
      <c r="N3322" s="53"/>
      <c r="O3322" s="53"/>
      <c r="T3322" s="53"/>
      <c r="V3322" s="53"/>
      <c r="W3322" s="55"/>
    </row>
    <row r="3323">
      <c r="K3323" s="53"/>
      <c r="N3323" s="53"/>
      <c r="O3323" s="53"/>
      <c r="T3323" s="53"/>
      <c r="V3323" s="53"/>
      <c r="W3323" s="55"/>
    </row>
    <row r="3324">
      <c r="K3324" s="53"/>
      <c r="N3324" s="53"/>
      <c r="O3324" s="53"/>
      <c r="T3324" s="53"/>
      <c r="V3324" s="53"/>
      <c r="W3324" s="55"/>
    </row>
    <row r="3325">
      <c r="K3325" s="53"/>
      <c r="N3325" s="53"/>
      <c r="O3325" s="53"/>
      <c r="T3325" s="53"/>
      <c r="V3325" s="53"/>
      <c r="W3325" s="55"/>
    </row>
    <row r="3326">
      <c r="K3326" s="53"/>
      <c r="N3326" s="53"/>
      <c r="O3326" s="53"/>
      <c r="T3326" s="53"/>
      <c r="V3326" s="53"/>
      <c r="W3326" s="55"/>
    </row>
    <row r="3327">
      <c r="K3327" s="53"/>
      <c r="N3327" s="53"/>
      <c r="O3327" s="53"/>
      <c r="T3327" s="53"/>
      <c r="V3327" s="53"/>
      <c r="W3327" s="55"/>
    </row>
    <row r="3328">
      <c r="K3328" s="53"/>
      <c r="N3328" s="53"/>
      <c r="O3328" s="53"/>
      <c r="T3328" s="53"/>
      <c r="V3328" s="53"/>
      <c r="W3328" s="55"/>
    </row>
    <row r="3329">
      <c r="K3329" s="53"/>
      <c r="N3329" s="53"/>
      <c r="O3329" s="53"/>
      <c r="T3329" s="53"/>
      <c r="V3329" s="53"/>
      <c r="W3329" s="55"/>
    </row>
    <row r="3330">
      <c r="K3330" s="53"/>
      <c r="N3330" s="53"/>
      <c r="O3330" s="53"/>
      <c r="T3330" s="53"/>
      <c r="V3330" s="53"/>
      <c r="W3330" s="55"/>
    </row>
    <row r="3331">
      <c r="K3331" s="53"/>
      <c r="N3331" s="53"/>
      <c r="O3331" s="53"/>
      <c r="T3331" s="53"/>
      <c r="V3331" s="53"/>
      <c r="W3331" s="55"/>
    </row>
    <row r="3332">
      <c r="K3332" s="53"/>
      <c r="N3332" s="53"/>
      <c r="O3332" s="53"/>
      <c r="T3332" s="53"/>
      <c r="V3332" s="53"/>
      <c r="W3332" s="55"/>
    </row>
    <row r="3333">
      <c r="K3333" s="53"/>
      <c r="N3333" s="53"/>
      <c r="O3333" s="53"/>
      <c r="T3333" s="53"/>
      <c r="V3333" s="53"/>
      <c r="W3333" s="55"/>
    </row>
    <row r="3334">
      <c r="K3334" s="53"/>
      <c r="N3334" s="53"/>
      <c r="O3334" s="53"/>
      <c r="T3334" s="53"/>
      <c r="V3334" s="53"/>
      <c r="W3334" s="55"/>
    </row>
    <row r="3335">
      <c r="K3335" s="53"/>
      <c r="N3335" s="53"/>
      <c r="O3335" s="53"/>
      <c r="T3335" s="53"/>
      <c r="V3335" s="53"/>
      <c r="W3335" s="55"/>
    </row>
    <row r="3336">
      <c r="K3336" s="53"/>
      <c r="N3336" s="53"/>
      <c r="O3336" s="53"/>
      <c r="T3336" s="53"/>
      <c r="V3336" s="53"/>
      <c r="W3336" s="55"/>
    </row>
    <row r="3337">
      <c r="K3337" s="53"/>
      <c r="N3337" s="53"/>
      <c r="O3337" s="53"/>
      <c r="T3337" s="53"/>
      <c r="V3337" s="53"/>
      <c r="W3337" s="55"/>
    </row>
    <row r="3338">
      <c r="K3338" s="53"/>
      <c r="N3338" s="53"/>
      <c r="O3338" s="53"/>
      <c r="T3338" s="53"/>
      <c r="V3338" s="53"/>
      <c r="W3338" s="55"/>
    </row>
    <row r="3339">
      <c r="K3339" s="53"/>
      <c r="N3339" s="53"/>
      <c r="O3339" s="53"/>
      <c r="T3339" s="53"/>
      <c r="V3339" s="53"/>
      <c r="W3339" s="55"/>
    </row>
    <row r="3340">
      <c r="K3340" s="53"/>
      <c r="N3340" s="53"/>
      <c r="O3340" s="53"/>
      <c r="T3340" s="53"/>
      <c r="V3340" s="53"/>
      <c r="W3340" s="55"/>
    </row>
    <row r="3341">
      <c r="K3341" s="53"/>
      <c r="N3341" s="53"/>
      <c r="O3341" s="53"/>
      <c r="T3341" s="53"/>
      <c r="V3341" s="53"/>
      <c r="W3341" s="55"/>
    </row>
    <row r="3342">
      <c r="K3342" s="53"/>
      <c r="N3342" s="53"/>
      <c r="O3342" s="53"/>
      <c r="T3342" s="53"/>
      <c r="V3342" s="53"/>
      <c r="W3342" s="55"/>
    </row>
    <row r="3343">
      <c r="K3343" s="53"/>
      <c r="N3343" s="53"/>
      <c r="O3343" s="53"/>
      <c r="T3343" s="53"/>
      <c r="V3343" s="53"/>
      <c r="W3343" s="55"/>
    </row>
    <row r="3344">
      <c r="K3344" s="53"/>
      <c r="N3344" s="53"/>
      <c r="O3344" s="53"/>
      <c r="T3344" s="53"/>
      <c r="V3344" s="53"/>
      <c r="W3344" s="55"/>
    </row>
    <row r="3345">
      <c r="K3345" s="53"/>
      <c r="N3345" s="53"/>
      <c r="O3345" s="53"/>
      <c r="T3345" s="53"/>
      <c r="V3345" s="53"/>
      <c r="W3345" s="55"/>
    </row>
    <row r="3346">
      <c r="K3346" s="53"/>
      <c r="N3346" s="53"/>
      <c r="O3346" s="53"/>
      <c r="T3346" s="53"/>
      <c r="V3346" s="53"/>
      <c r="W3346" s="55"/>
    </row>
    <row r="3347">
      <c r="K3347" s="53"/>
      <c r="N3347" s="53"/>
      <c r="O3347" s="53"/>
      <c r="T3347" s="53"/>
      <c r="V3347" s="53"/>
      <c r="W3347" s="55"/>
    </row>
    <row r="3348">
      <c r="K3348" s="53"/>
      <c r="N3348" s="53"/>
      <c r="O3348" s="53"/>
      <c r="T3348" s="53"/>
      <c r="V3348" s="53"/>
      <c r="W3348" s="55"/>
    </row>
    <row r="3349">
      <c r="K3349" s="53"/>
      <c r="N3349" s="53"/>
      <c r="O3349" s="53"/>
      <c r="T3349" s="53"/>
      <c r="V3349" s="53"/>
      <c r="W3349" s="55"/>
    </row>
    <row r="3350">
      <c r="K3350" s="53"/>
      <c r="N3350" s="53"/>
      <c r="O3350" s="53"/>
      <c r="T3350" s="53"/>
      <c r="V3350" s="53"/>
      <c r="W3350" s="55"/>
    </row>
    <row r="3351">
      <c r="K3351" s="53"/>
      <c r="N3351" s="53"/>
      <c r="O3351" s="53"/>
      <c r="T3351" s="53"/>
      <c r="V3351" s="53"/>
      <c r="W3351" s="55"/>
    </row>
    <row r="3352">
      <c r="K3352" s="53"/>
      <c r="N3352" s="53"/>
      <c r="O3352" s="53"/>
      <c r="T3352" s="53"/>
      <c r="V3352" s="53"/>
      <c r="W3352" s="55"/>
    </row>
    <row r="3353">
      <c r="K3353" s="53"/>
      <c r="N3353" s="53"/>
      <c r="O3353" s="53"/>
      <c r="T3353" s="53"/>
      <c r="V3353" s="53"/>
      <c r="W3353" s="55"/>
    </row>
    <row r="3354">
      <c r="K3354" s="53"/>
      <c r="N3354" s="53"/>
      <c r="O3354" s="53"/>
      <c r="T3354" s="53"/>
      <c r="V3354" s="53"/>
      <c r="W3354" s="55"/>
    </row>
    <row r="3355">
      <c r="K3355" s="53"/>
      <c r="N3355" s="53"/>
      <c r="O3355" s="53"/>
      <c r="T3355" s="53"/>
      <c r="V3355" s="53"/>
      <c r="W3355" s="55"/>
    </row>
    <row r="3356">
      <c r="K3356" s="53"/>
      <c r="N3356" s="53"/>
      <c r="O3356" s="53"/>
      <c r="T3356" s="53"/>
      <c r="V3356" s="53"/>
      <c r="W3356" s="55"/>
    </row>
    <row r="3357">
      <c r="K3357" s="53"/>
      <c r="N3357" s="53"/>
      <c r="O3357" s="53"/>
      <c r="T3357" s="53"/>
      <c r="V3357" s="53"/>
      <c r="W3357" s="55"/>
    </row>
    <row r="3358">
      <c r="K3358" s="53"/>
      <c r="N3358" s="53"/>
      <c r="O3358" s="53"/>
      <c r="T3358" s="53"/>
      <c r="V3358" s="53"/>
      <c r="W3358" s="55"/>
    </row>
    <row r="3359">
      <c r="K3359" s="53"/>
      <c r="N3359" s="53"/>
      <c r="O3359" s="53"/>
      <c r="T3359" s="53"/>
      <c r="V3359" s="53"/>
      <c r="W3359" s="55"/>
    </row>
    <row r="3360">
      <c r="K3360" s="53"/>
      <c r="N3360" s="53"/>
      <c r="O3360" s="53"/>
      <c r="T3360" s="53"/>
      <c r="V3360" s="53"/>
      <c r="W3360" s="55"/>
    </row>
    <row r="3361">
      <c r="K3361" s="53"/>
      <c r="N3361" s="53"/>
      <c r="O3361" s="53"/>
      <c r="T3361" s="53"/>
      <c r="V3361" s="53"/>
      <c r="W3361" s="55"/>
    </row>
    <row r="3362">
      <c r="K3362" s="53"/>
      <c r="N3362" s="53"/>
      <c r="O3362" s="53"/>
      <c r="T3362" s="53"/>
      <c r="V3362" s="53"/>
      <c r="W3362" s="55"/>
    </row>
    <row r="3363">
      <c r="K3363" s="53"/>
      <c r="N3363" s="53"/>
      <c r="O3363" s="53"/>
      <c r="T3363" s="53"/>
      <c r="V3363" s="53"/>
      <c r="W3363" s="55"/>
    </row>
    <row r="3364">
      <c r="K3364" s="53"/>
      <c r="N3364" s="53"/>
      <c r="O3364" s="53"/>
      <c r="T3364" s="53"/>
      <c r="V3364" s="53"/>
      <c r="W3364" s="55"/>
    </row>
    <row r="3365">
      <c r="K3365" s="53"/>
      <c r="N3365" s="53"/>
      <c r="O3365" s="53"/>
      <c r="T3365" s="53"/>
      <c r="V3365" s="53"/>
      <c r="W3365" s="55"/>
    </row>
    <row r="3366">
      <c r="K3366" s="53"/>
      <c r="N3366" s="53"/>
      <c r="O3366" s="53"/>
      <c r="T3366" s="53"/>
      <c r="V3366" s="53"/>
      <c r="W3366" s="55"/>
    </row>
    <row r="3367">
      <c r="K3367" s="53"/>
      <c r="N3367" s="53"/>
      <c r="O3367" s="53"/>
      <c r="T3367" s="53"/>
      <c r="V3367" s="53"/>
      <c r="W3367" s="55"/>
    </row>
    <row r="3368">
      <c r="K3368" s="53"/>
      <c r="N3368" s="53"/>
      <c r="O3368" s="53"/>
      <c r="T3368" s="53"/>
      <c r="V3368" s="53"/>
      <c r="W3368" s="55"/>
    </row>
    <row r="3369">
      <c r="K3369" s="53"/>
      <c r="N3369" s="53"/>
      <c r="O3369" s="53"/>
      <c r="T3369" s="53"/>
      <c r="V3369" s="53"/>
      <c r="W3369" s="55"/>
    </row>
    <row r="3370">
      <c r="K3370" s="53"/>
      <c r="N3370" s="53"/>
      <c r="O3370" s="53"/>
      <c r="T3370" s="53"/>
      <c r="V3370" s="53"/>
      <c r="W3370" s="55"/>
    </row>
    <row r="3371">
      <c r="K3371" s="53"/>
      <c r="N3371" s="53"/>
      <c r="O3371" s="53"/>
      <c r="T3371" s="53"/>
      <c r="V3371" s="53"/>
      <c r="W3371" s="55"/>
    </row>
    <row r="3372">
      <c r="K3372" s="53"/>
      <c r="N3372" s="53"/>
      <c r="O3372" s="53"/>
      <c r="T3372" s="53"/>
      <c r="V3372" s="53"/>
      <c r="W3372" s="55"/>
    </row>
    <row r="3373">
      <c r="K3373" s="53"/>
      <c r="N3373" s="53"/>
      <c r="O3373" s="53"/>
      <c r="T3373" s="53"/>
      <c r="V3373" s="53"/>
      <c r="W3373" s="55"/>
    </row>
    <row r="3374">
      <c r="K3374" s="53"/>
      <c r="N3374" s="53"/>
      <c r="O3374" s="53"/>
      <c r="T3374" s="53"/>
      <c r="V3374" s="53"/>
      <c r="W3374" s="55"/>
    </row>
    <row r="3375">
      <c r="K3375" s="53"/>
      <c r="N3375" s="53"/>
      <c r="O3375" s="53"/>
      <c r="T3375" s="53"/>
      <c r="V3375" s="53"/>
      <c r="W3375" s="55"/>
    </row>
    <row r="3376">
      <c r="K3376" s="53"/>
      <c r="N3376" s="53"/>
      <c r="O3376" s="53"/>
      <c r="T3376" s="53"/>
      <c r="V3376" s="53"/>
      <c r="W3376" s="55"/>
    </row>
    <row r="3377">
      <c r="K3377" s="53"/>
      <c r="N3377" s="53"/>
      <c r="O3377" s="53"/>
      <c r="T3377" s="53"/>
      <c r="V3377" s="53"/>
      <c r="W3377" s="55"/>
    </row>
    <row r="3378">
      <c r="K3378" s="53"/>
      <c r="N3378" s="53"/>
      <c r="O3378" s="53"/>
      <c r="T3378" s="53"/>
      <c r="V3378" s="53"/>
      <c r="W3378" s="55"/>
    </row>
    <row r="3379">
      <c r="K3379" s="53"/>
      <c r="N3379" s="53"/>
      <c r="O3379" s="53"/>
      <c r="T3379" s="53"/>
      <c r="V3379" s="53"/>
      <c r="W3379" s="55"/>
    </row>
    <row r="3380">
      <c r="K3380" s="53"/>
      <c r="N3380" s="53"/>
      <c r="O3380" s="53"/>
      <c r="T3380" s="53"/>
      <c r="V3380" s="53"/>
      <c r="W3380" s="55"/>
    </row>
    <row r="3381">
      <c r="K3381" s="53"/>
      <c r="N3381" s="53"/>
      <c r="O3381" s="53"/>
      <c r="T3381" s="53"/>
      <c r="V3381" s="53"/>
      <c r="W3381" s="55"/>
    </row>
    <row r="3382">
      <c r="K3382" s="53"/>
      <c r="N3382" s="53"/>
      <c r="O3382" s="53"/>
      <c r="T3382" s="53"/>
      <c r="V3382" s="53"/>
      <c r="W3382" s="55"/>
    </row>
    <row r="3383">
      <c r="K3383" s="53"/>
      <c r="N3383" s="53"/>
      <c r="O3383" s="53"/>
      <c r="T3383" s="53"/>
      <c r="V3383" s="53"/>
      <c r="W3383" s="55"/>
    </row>
    <row r="3384">
      <c r="K3384" s="53"/>
      <c r="N3384" s="53"/>
      <c r="O3384" s="53"/>
      <c r="T3384" s="53"/>
      <c r="V3384" s="53"/>
      <c r="W3384" s="55"/>
    </row>
    <row r="3385">
      <c r="K3385" s="53"/>
      <c r="N3385" s="53"/>
      <c r="O3385" s="53"/>
      <c r="T3385" s="53"/>
      <c r="V3385" s="53"/>
      <c r="W3385" s="55"/>
    </row>
    <row r="3386">
      <c r="K3386" s="53"/>
      <c r="N3386" s="53"/>
      <c r="O3386" s="53"/>
      <c r="T3386" s="53"/>
      <c r="V3386" s="53"/>
      <c r="W3386" s="55"/>
    </row>
    <row r="3387">
      <c r="K3387" s="53"/>
      <c r="N3387" s="53"/>
      <c r="O3387" s="53"/>
      <c r="T3387" s="53"/>
      <c r="V3387" s="53"/>
      <c r="W3387" s="55"/>
    </row>
    <row r="3388">
      <c r="K3388" s="53"/>
      <c r="N3388" s="53"/>
      <c r="O3388" s="53"/>
      <c r="T3388" s="53"/>
      <c r="V3388" s="53"/>
      <c r="W3388" s="55"/>
    </row>
    <row r="3389">
      <c r="K3389" s="53"/>
      <c r="N3389" s="53"/>
      <c r="O3389" s="53"/>
      <c r="T3389" s="53"/>
      <c r="V3389" s="53"/>
      <c r="W3389" s="55"/>
    </row>
    <row r="3390">
      <c r="K3390" s="53"/>
      <c r="N3390" s="53"/>
      <c r="O3390" s="53"/>
      <c r="T3390" s="53"/>
      <c r="V3390" s="53"/>
      <c r="W3390" s="55"/>
    </row>
    <row r="3391">
      <c r="K3391" s="53"/>
      <c r="N3391" s="53"/>
      <c r="O3391" s="53"/>
      <c r="T3391" s="53"/>
      <c r="V3391" s="53"/>
      <c r="W3391" s="55"/>
    </row>
    <row r="3392">
      <c r="K3392" s="53"/>
      <c r="N3392" s="53"/>
      <c r="O3392" s="53"/>
      <c r="T3392" s="53"/>
      <c r="V3392" s="53"/>
      <c r="W3392" s="55"/>
    </row>
    <row r="3393">
      <c r="K3393" s="53"/>
      <c r="N3393" s="53"/>
      <c r="O3393" s="53"/>
      <c r="T3393" s="53"/>
      <c r="V3393" s="53"/>
      <c r="W3393" s="55"/>
    </row>
    <row r="3394">
      <c r="K3394" s="53"/>
      <c r="N3394" s="53"/>
      <c r="O3394" s="53"/>
      <c r="T3394" s="53"/>
      <c r="V3394" s="53"/>
      <c r="W3394" s="55"/>
    </row>
    <row r="3395">
      <c r="K3395" s="53"/>
      <c r="N3395" s="53"/>
      <c r="O3395" s="53"/>
      <c r="T3395" s="53"/>
      <c r="V3395" s="53"/>
      <c r="W3395" s="55"/>
    </row>
    <row r="3396">
      <c r="K3396" s="53"/>
      <c r="N3396" s="53"/>
      <c r="O3396" s="53"/>
      <c r="T3396" s="53"/>
      <c r="V3396" s="53"/>
      <c r="W3396" s="55"/>
    </row>
    <row r="3397">
      <c r="K3397" s="53"/>
      <c r="N3397" s="53"/>
      <c r="O3397" s="53"/>
      <c r="T3397" s="53"/>
      <c r="V3397" s="53"/>
      <c r="W3397" s="55"/>
    </row>
    <row r="3398">
      <c r="K3398" s="53"/>
      <c r="N3398" s="53"/>
      <c r="O3398" s="53"/>
      <c r="T3398" s="53"/>
      <c r="V3398" s="53"/>
      <c r="W3398" s="55"/>
    </row>
    <row r="3399">
      <c r="K3399" s="53"/>
      <c r="N3399" s="53"/>
      <c r="O3399" s="53"/>
      <c r="T3399" s="53"/>
      <c r="V3399" s="53"/>
      <c r="W3399" s="55"/>
    </row>
    <row r="3400">
      <c r="K3400" s="53"/>
      <c r="N3400" s="53"/>
      <c r="O3400" s="53"/>
      <c r="T3400" s="53"/>
      <c r="V3400" s="53"/>
      <c r="W3400" s="55"/>
    </row>
    <row r="3401">
      <c r="K3401" s="53"/>
      <c r="N3401" s="53"/>
      <c r="O3401" s="53"/>
      <c r="T3401" s="53"/>
      <c r="V3401" s="53"/>
      <c r="W3401" s="55"/>
    </row>
    <row r="3402">
      <c r="K3402" s="53"/>
      <c r="N3402" s="53"/>
      <c r="O3402" s="53"/>
      <c r="T3402" s="53"/>
      <c r="V3402" s="53"/>
      <c r="W3402" s="55"/>
    </row>
    <row r="3403">
      <c r="K3403" s="53"/>
      <c r="N3403" s="53"/>
      <c r="O3403" s="53"/>
      <c r="T3403" s="53"/>
      <c r="V3403" s="53"/>
      <c r="W3403" s="55"/>
    </row>
    <row r="3404">
      <c r="K3404" s="53"/>
      <c r="N3404" s="53"/>
      <c r="O3404" s="53"/>
      <c r="T3404" s="53"/>
      <c r="V3404" s="53"/>
      <c r="W3404" s="55"/>
    </row>
    <row r="3405">
      <c r="K3405" s="53"/>
      <c r="N3405" s="53"/>
      <c r="O3405" s="53"/>
      <c r="T3405" s="53"/>
      <c r="V3405" s="53"/>
      <c r="W3405" s="55"/>
    </row>
    <row r="3406">
      <c r="K3406" s="53"/>
      <c r="N3406" s="53"/>
      <c r="O3406" s="53"/>
      <c r="T3406" s="53"/>
      <c r="V3406" s="53"/>
      <c r="W3406" s="55"/>
    </row>
    <row r="3407">
      <c r="K3407" s="53"/>
      <c r="N3407" s="53"/>
      <c r="O3407" s="53"/>
      <c r="T3407" s="53"/>
      <c r="V3407" s="53"/>
      <c r="W3407" s="55"/>
    </row>
    <row r="3408">
      <c r="K3408" s="53"/>
      <c r="N3408" s="53"/>
      <c r="O3408" s="53"/>
      <c r="T3408" s="53"/>
      <c r="V3408" s="53"/>
      <c r="W3408" s="55"/>
    </row>
    <row r="3409">
      <c r="K3409" s="53"/>
      <c r="N3409" s="53"/>
      <c r="O3409" s="53"/>
      <c r="T3409" s="53"/>
      <c r="V3409" s="53"/>
      <c r="W3409" s="55"/>
    </row>
    <row r="3410">
      <c r="K3410" s="53"/>
      <c r="N3410" s="53"/>
      <c r="O3410" s="53"/>
      <c r="T3410" s="53"/>
      <c r="V3410" s="53"/>
      <c r="W3410" s="55"/>
    </row>
    <row r="3411">
      <c r="K3411" s="53"/>
      <c r="N3411" s="53"/>
      <c r="O3411" s="53"/>
      <c r="T3411" s="53"/>
      <c r="V3411" s="53"/>
      <c r="W3411" s="55"/>
    </row>
    <row r="3412">
      <c r="K3412" s="53"/>
      <c r="N3412" s="53"/>
      <c r="O3412" s="53"/>
      <c r="T3412" s="53"/>
      <c r="V3412" s="53"/>
      <c r="W3412" s="55"/>
    </row>
    <row r="3413">
      <c r="K3413" s="53"/>
      <c r="N3413" s="53"/>
      <c r="O3413" s="53"/>
      <c r="T3413" s="53"/>
      <c r="V3413" s="53"/>
      <c r="W3413" s="55"/>
    </row>
    <row r="3414">
      <c r="K3414" s="53"/>
      <c r="N3414" s="53"/>
      <c r="O3414" s="53"/>
      <c r="T3414" s="53"/>
      <c r="V3414" s="53"/>
      <c r="W3414" s="55"/>
    </row>
    <row r="3415">
      <c r="K3415" s="53"/>
      <c r="N3415" s="53"/>
      <c r="O3415" s="53"/>
      <c r="T3415" s="53"/>
      <c r="V3415" s="53"/>
      <c r="W3415" s="55"/>
    </row>
    <row r="3416">
      <c r="K3416" s="53"/>
      <c r="N3416" s="53"/>
      <c r="O3416" s="53"/>
      <c r="T3416" s="53"/>
      <c r="V3416" s="53"/>
      <c r="W3416" s="55"/>
    </row>
    <row r="3417">
      <c r="K3417" s="53"/>
      <c r="N3417" s="53"/>
      <c r="O3417" s="53"/>
      <c r="T3417" s="53"/>
      <c r="V3417" s="53"/>
      <c r="W3417" s="55"/>
    </row>
    <row r="3418">
      <c r="K3418" s="53"/>
      <c r="N3418" s="53"/>
      <c r="O3418" s="53"/>
      <c r="T3418" s="53"/>
      <c r="V3418" s="53"/>
      <c r="W3418" s="55"/>
    </row>
    <row r="3419">
      <c r="K3419" s="53"/>
      <c r="N3419" s="53"/>
      <c r="O3419" s="53"/>
      <c r="T3419" s="53"/>
      <c r="V3419" s="53"/>
      <c r="W3419" s="55"/>
    </row>
    <row r="3420">
      <c r="K3420" s="53"/>
      <c r="N3420" s="53"/>
      <c r="O3420" s="53"/>
      <c r="T3420" s="53"/>
      <c r="V3420" s="53"/>
      <c r="W3420" s="55"/>
    </row>
    <row r="3421">
      <c r="K3421" s="53"/>
      <c r="N3421" s="53"/>
      <c r="O3421" s="53"/>
      <c r="T3421" s="53"/>
      <c r="V3421" s="53"/>
      <c r="W3421" s="55"/>
    </row>
    <row r="3422">
      <c r="K3422" s="53"/>
      <c r="N3422" s="53"/>
      <c r="O3422" s="53"/>
      <c r="T3422" s="53"/>
      <c r="V3422" s="53"/>
      <c r="W3422" s="55"/>
    </row>
    <row r="3423">
      <c r="K3423" s="53"/>
      <c r="N3423" s="53"/>
      <c r="O3423" s="53"/>
      <c r="T3423" s="53"/>
      <c r="V3423" s="53"/>
      <c r="W3423" s="55"/>
    </row>
    <row r="3424">
      <c r="K3424" s="53"/>
      <c r="N3424" s="53"/>
      <c r="O3424" s="53"/>
      <c r="T3424" s="53"/>
      <c r="V3424" s="53"/>
      <c r="W3424" s="55"/>
    </row>
    <row r="3425">
      <c r="K3425" s="53"/>
      <c r="N3425" s="53"/>
      <c r="O3425" s="53"/>
      <c r="T3425" s="53"/>
      <c r="V3425" s="53"/>
      <c r="W3425" s="55"/>
    </row>
    <row r="3426">
      <c r="K3426" s="53"/>
      <c r="N3426" s="53"/>
      <c r="O3426" s="53"/>
      <c r="T3426" s="53"/>
      <c r="V3426" s="53"/>
      <c r="W3426" s="55"/>
    </row>
    <row r="3427">
      <c r="K3427" s="53"/>
      <c r="N3427" s="53"/>
      <c r="O3427" s="53"/>
      <c r="T3427" s="53"/>
      <c r="V3427" s="53"/>
      <c r="W3427" s="55"/>
    </row>
    <row r="3428">
      <c r="K3428" s="53"/>
      <c r="N3428" s="53"/>
      <c r="O3428" s="53"/>
      <c r="T3428" s="53"/>
      <c r="V3428" s="53"/>
      <c r="W3428" s="55"/>
    </row>
    <row r="3429">
      <c r="K3429" s="53"/>
      <c r="N3429" s="53"/>
      <c r="O3429" s="53"/>
      <c r="T3429" s="53"/>
      <c r="V3429" s="53"/>
      <c r="W3429" s="55"/>
    </row>
    <row r="3430">
      <c r="K3430" s="53"/>
      <c r="N3430" s="53"/>
      <c r="O3430" s="53"/>
      <c r="T3430" s="53"/>
      <c r="V3430" s="53"/>
      <c r="W3430" s="55"/>
    </row>
    <row r="3431">
      <c r="K3431" s="53"/>
      <c r="N3431" s="53"/>
      <c r="O3431" s="53"/>
      <c r="T3431" s="53"/>
      <c r="V3431" s="53"/>
      <c r="W3431" s="55"/>
    </row>
    <row r="3432">
      <c r="K3432" s="53"/>
      <c r="N3432" s="53"/>
      <c r="O3432" s="53"/>
      <c r="T3432" s="53"/>
      <c r="V3432" s="53"/>
      <c r="W3432" s="55"/>
    </row>
    <row r="3433">
      <c r="K3433" s="53"/>
      <c r="N3433" s="53"/>
      <c r="O3433" s="53"/>
      <c r="T3433" s="53"/>
      <c r="V3433" s="53"/>
      <c r="W3433" s="55"/>
    </row>
    <row r="3434">
      <c r="K3434" s="53"/>
      <c r="N3434" s="53"/>
      <c r="O3434" s="53"/>
      <c r="T3434" s="53"/>
      <c r="V3434" s="53"/>
      <c r="W3434" s="55"/>
    </row>
    <row r="3435">
      <c r="K3435" s="53"/>
      <c r="N3435" s="53"/>
      <c r="O3435" s="53"/>
      <c r="T3435" s="53"/>
      <c r="V3435" s="53"/>
      <c r="W3435" s="55"/>
    </row>
    <row r="3436">
      <c r="K3436" s="53"/>
      <c r="N3436" s="53"/>
      <c r="O3436" s="53"/>
      <c r="T3436" s="53"/>
      <c r="V3436" s="53"/>
      <c r="W3436" s="55"/>
    </row>
    <row r="3437">
      <c r="K3437" s="53"/>
      <c r="N3437" s="53"/>
      <c r="O3437" s="53"/>
      <c r="T3437" s="53"/>
      <c r="V3437" s="53"/>
      <c r="W3437" s="55"/>
    </row>
    <row r="3438">
      <c r="K3438" s="53"/>
      <c r="N3438" s="53"/>
      <c r="O3438" s="53"/>
      <c r="T3438" s="53"/>
      <c r="V3438" s="53"/>
      <c r="W3438" s="55"/>
    </row>
    <row r="3439">
      <c r="K3439" s="53"/>
      <c r="N3439" s="53"/>
      <c r="O3439" s="53"/>
      <c r="T3439" s="53"/>
      <c r="V3439" s="53"/>
      <c r="W3439" s="55"/>
    </row>
    <row r="3440">
      <c r="K3440" s="53"/>
      <c r="N3440" s="53"/>
      <c r="O3440" s="53"/>
      <c r="T3440" s="53"/>
      <c r="V3440" s="53"/>
      <c r="W3440" s="55"/>
    </row>
    <row r="3441">
      <c r="K3441" s="53"/>
      <c r="N3441" s="53"/>
      <c r="O3441" s="53"/>
      <c r="T3441" s="53"/>
      <c r="V3441" s="53"/>
      <c r="W3441" s="55"/>
    </row>
    <row r="3442">
      <c r="K3442" s="53"/>
      <c r="N3442" s="53"/>
      <c r="O3442" s="53"/>
      <c r="T3442" s="53"/>
      <c r="V3442" s="53"/>
      <c r="W3442" s="55"/>
    </row>
    <row r="3443">
      <c r="K3443" s="53"/>
      <c r="N3443" s="53"/>
      <c r="O3443" s="53"/>
      <c r="T3443" s="53"/>
      <c r="V3443" s="53"/>
      <c r="W3443" s="55"/>
    </row>
    <row r="3444">
      <c r="K3444" s="53"/>
      <c r="N3444" s="53"/>
      <c r="O3444" s="53"/>
      <c r="T3444" s="53"/>
      <c r="V3444" s="53"/>
      <c r="W3444" s="55"/>
    </row>
    <row r="3445">
      <c r="K3445" s="53"/>
      <c r="N3445" s="53"/>
      <c r="O3445" s="53"/>
      <c r="T3445" s="53"/>
      <c r="V3445" s="53"/>
      <c r="W3445" s="55"/>
    </row>
    <row r="3446">
      <c r="K3446" s="53"/>
      <c r="N3446" s="53"/>
      <c r="O3446" s="53"/>
      <c r="T3446" s="53"/>
      <c r="V3446" s="53"/>
      <c r="W3446" s="55"/>
    </row>
    <row r="3447">
      <c r="K3447" s="53"/>
      <c r="N3447" s="53"/>
      <c r="O3447" s="53"/>
      <c r="T3447" s="53"/>
      <c r="V3447" s="53"/>
      <c r="W3447" s="55"/>
    </row>
    <row r="3448">
      <c r="K3448" s="53"/>
      <c r="N3448" s="53"/>
      <c r="O3448" s="53"/>
      <c r="T3448" s="53"/>
      <c r="V3448" s="53"/>
      <c r="W3448" s="55"/>
    </row>
    <row r="3449">
      <c r="K3449" s="53"/>
      <c r="N3449" s="53"/>
      <c r="O3449" s="53"/>
      <c r="T3449" s="53"/>
      <c r="V3449" s="53"/>
      <c r="W3449" s="55"/>
    </row>
    <row r="3450">
      <c r="K3450" s="53"/>
      <c r="N3450" s="53"/>
      <c r="O3450" s="53"/>
      <c r="T3450" s="53"/>
      <c r="V3450" s="53"/>
      <c r="W3450" s="55"/>
    </row>
    <row r="3451">
      <c r="K3451" s="53"/>
      <c r="N3451" s="53"/>
      <c r="O3451" s="53"/>
      <c r="T3451" s="53"/>
      <c r="V3451" s="53"/>
      <c r="W3451" s="55"/>
    </row>
    <row r="3452">
      <c r="K3452" s="53"/>
      <c r="N3452" s="53"/>
      <c r="O3452" s="53"/>
      <c r="T3452" s="53"/>
      <c r="V3452" s="53"/>
      <c r="W3452" s="55"/>
    </row>
    <row r="3453">
      <c r="K3453" s="53"/>
      <c r="N3453" s="53"/>
      <c r="O3453" s="53"/>
      <c r="T3453" s="53"/>
      <c r="V3453" s="53"/>
      <c r="W3453" s="55"/>
    </row>
    <row r="3454">
      <c r="K3454" s="53"/>
      <c r="N3454" s="53"/>
      <c r="O3454" s="53"/>
      <c r="T3454" s="53"/>
      <c r="V3454" s="53"/>
      <c r="W3454" s="55"/>
    </row>
    <row r="3455">
      <c r="K3455" s="53"/>
      <c r="N3455" s="53"/>
      <c r="O3455" s="53"/>
      <c r="T3455" s="53"/>
      <c r="V3455" s="53"/>
      <c r="W3455" s="55"/>
    </row>
    <row r="3456">
      <c r="K3456" s="53"/>
      <c r="N3456" s="53"/>
      <c r="O3456" s="53"/>
      <c r="T3456" s="53"/>
      <c r="V3456" s="53"/>
      <c r="W3456" s="55"/>
    </row>
    <row r="3457">
      <c r="K3457" s="53"/>
      <c r="N3457" s="53"/>
      <c r="O3457" s="53"/>
      <c r="T3457" s="53"/>
      <c r="V3457" s="53"/>
      <c r="W3457" s="55"/>
    </row>
    <row r="3458">
      <c r="K3458" s="53"/>
      <c r="N3458" s="53"/>
      <c r="O3458" s="53"/>
      <c r="T3458" s="53"/>
      <c r="V3458" s="53"/>
      <c r="W3458" s="55"/>
    </row>
    <row r="3459">
      <c r="K3459" s="53"/>
      <c r="N3459" s="53"/>
      <c r="O3459" s="53"/>
      <c r="T3459" s="53"/>
      <c r="V3459" s="53"/>
      <c r="W3459" s="55"/>
    </row>
    <row r="3460">
      <c r="K3460" s="53"/>
      <c r="N3460" s="53"/>
      <c r="O3460" s="53"/>
      <c r="T3460" s="53"/>
      <c r="V3460" s="53"/>
      <c r="W3460" s="55"/>
    </row>
    <row r="3461">
      <c r="K3461" s="53"/>
      <c r="N3461" s="53"/>
      <c r="O3461" s="53"/>
      <c r="T3461" s="53"/>
      <c r="V3461" s="53"/>
      <c r="W3461" s="55"/>
    </row>
    <row r="3462">
      <c r="K3462" s="53"/>
      <c r="N3462" s="53"/>
      <c r="O3462" s="53"/>
      <c r="T3462" s="53"/>
      <c r="V3462" s="53"/>
      <c r="W3462" s="55"/>
    </row>
    <row r="3463">
      <c r="K3463" s="53"/>
      <c r="N3463" s="53"/>
      <c r="O3463" s="53"/>
      <c r="T3463" s="53"/>
      <c r="V3463" s="53"/>
      <c r="W3463" s="55"/>
    </row>
    <row r="3464">
      <c r="K3464" s="53"/>
      <c r="N3464" s="53"/>
      <c r="O3464" s="53"/>
      <c r="T3464" s="53"/>
      <c r="V3464" s="53"/>
      <c r="W3464" s="55"/>
    </row>
    <row r="3465">
      <c r="K3465" s="53"/>
      <c r="N3465" s="53"/>
      <c r="O3465" s="53"/>
      <c r="T3465" s="53"/>
      <c r="V3465" s="53"/>
      <c r="W3465" s="55"/>
    </row>
    <row r="3466">
      <c r="K3466" s="53"/>
      <c r="N3466" s="53"/>
      <c r="O3466" s="53"/>
      <c r="T3466" s="53"/>
      <c r="V3466" s="53"/>
      <c r="W3466" s="55"/>
    </row>
    <row r="3467">
      <c r="K3467" s="53"/>
      <c r="N3467" s="53"/>
      <c r="O3467" s="53"/>
      <c r="T3467" s="53"/>
      <c r="V3467" s="53"/>
      <c r="W3467" s="55"/>
    </row>
    <row r="3468">
      <c r="K3468" s="53"/>
      <c r="N3468" s="53"/>
      <c r="O3468" s="53"/>
      <c r="T3468" s="53"/>
      <c r="V3468" s="53"/>
      <c r="W3468" s="55"/>
    </row>
    <row r="3469">
      <c r="K3469" s="53"/>
      <c r="N3469" s="53"/>
      <c r="O3469" s="53"/>
      <c r="T3469" s="53"/>
      <c r="V3469" s="53"/>
      <c r="W3469" s="55"/>
    </row>
    <row r="3470">
      <c r="K3470" s="53"/>
      <c r="N3470" s="53"/>
      <c r="O3470" s="53"/>
      <c r="T3470" s="53"/>
      <c r="V3470" s="53"/>
      <c r="W3470" s="55"/>
    </row>
    <row r="3471">
      <c r="K3471" s="53"/>
      <c r="N3471" s="53"/>
      <c r="O3471" s="53"/>
      <c r="T3471" s="53"/>
      <c r="V3471" s="53"/>
      <c r="W3471" s="55"/>
    </row>
    <row r="3472">
      <c r="K3472" s="53"/>
      <c r="N3472" s="53"/>
      <c r="O3472" s="53"/>
      <c r="T3472" s="53"/>
      <c r="V3472" s="53"/>
      <c r="W3472" s="55"/>
    </row>
    <row r="3473">
      <c r="K3473" s="53"/>
      <c r="N3473" s="53"/>
      <c r="O3473" s="53"/>
      <c r="T3473" s="53"/>
      <c r="V3473" s="53"/>
      <c r="W3473" s="55"/>
    </row>
    <row r="3474">
      <c r="K3474" s="53"/>
      <c r="N3474" s="53"/>
      <c r="O3474" s="53"/>
      <c r="T3474" s="53"/>
      <c r="V3474" s="53"/>
      <c r="W3474" s="55"/>
    </row>
    <row r="3475">
      <c r="K3475" s="53"/>
      <c r="N3475" s="53"/>
      <c r="O3475" s="53"/>
      <c r="T3475" s="53"/>
      <c r="V3475" s="53"/>
      <c r="W3475" s="55"/>
    </row>
    <row r="3476">
      <c r="K3476" s="53"/>
      <c r="N3476" s="53"/>
      <c r="O3476" s="53"/>
      <c r="T3476" s="53"/>
      <c r="V3476" s="53"/>
      <c r="W3476" s="55"/>
    </row>
    <row r="3477">
      <c r="K3477" s="53"/>
      <c r="N3477" s="53"/>
      <c r="O3477" s="53"/>
      <c r="T3477" s="53"/>
      <c r="V3477" s="53"/>
      <c r="W3477" s="55"/>
    </row>
    <row r="3478">
      <c r="K3478" s="53"/>
      <c r="N3478" s="53"/>
      <c r="O3478" s="53"/>
      <c r="T3478" s="53"/>
      <c r="V3478" s="53"/>
      <c r="W3478" s="55"/>
    </row>
    <row r="3479">
      <c r="K3479" s="53"/>
      <c r="N3479" s="53"/>
      <c r="O3479" s="53"/>
      <c r="T3479" s="53"/>
      <c r="V3479" s="53"/>
      <c r="W3479" s="55"/>
    </row>
    <row r="3480">
      <c r="K3480" s="53"/>
      <c r="N3480" s="53"/>
      <c r="O3480" s="53"/>
      <c r="T3480" s="53"/>
      <c r="V3480" s="53"/>
      <c r="W3480" s="55"/>
    </row>
    <row r="3481">
      <c r="K3481" s="53"/>
      <c r="N3481" s="53"/>
      <c r="O3481" s="53"/>
      <c r="T3481" s="53"/>
      <c r="V3481" s="53"/>
      <c r="W3481" s="55"/>
    </row>
    <row r="3482">
      <c r="K3482" s="53"/>
      <c r="N3482" s="53"/>
      <c r="O3482" s="53"/>
      <c r="T3482" s="53"/>
      <c r="V3482" s="53"/>
      <c r="W3482" s="55"/>
    </row>
    <row r="3483">
      <c r="K3483" s="53"/>
      <c r="N3483" s="53"/>
      <c r="O3483" s="53"/>
      <c r="T3483" s="53"/>
      <c r="V3483" s="53"/>
      <c r="W3483" s="55"/>
    </row>
    <row r="3484">
      <c r="K3484" s="53"/>
      <c r="N3484" s="53"/>
      <c r="O3484" s="53"/>
      <c r="T3484" s="53"/>
      <c r="V3484" s="53"/>
      <c r="W3484" s="55"/>
    </row>
    <row r="3485">
      <c r="K3485" s="53"/>
      <c r="N3485" s="53"/>
      <c r="O3485" s="53"/>
      <c r="T3485" s="53"/>
      <c r="V3485" s="53"/>
      <c r="W3485" s="55"/>
    </row>
    <row r="3486">
      <c r="K3486" s="53"/>
      <c r="N3486" s="53"/>
      <c r="O3486" s="53"/>
      <c r="T3486" s="53"/>
      <c r="V3486" s="53"/>
      <c r="W3486" s="55"/>
    </row>
    <row r="3487">
      <c r="K3487" s="53"/>
      <c r="N3487" s="53"/>
      <c r="O3487" s="53"/>
      <c r="T3487" s="53"/>
      <c r="V3487" s="53"/>
      <c r="W3487" s="55"/>
    </row>
    <row r="3488">
      <c r="K3488" s="53"/>
      <c r="N3488" s="53"/>
      <c r="O3488" s="53"/>
      <c r="T3488" s="53"/>
      <c r="V3488" s="53"/>
      <c r="W3488" s="55"/>
    </row>
    <row r="3489">
      <c r="K3489" s="53"/>
      <c r="N3489" s="53"/>
      <c r="O3489" s="53"/>
      <c r="T3489" s="53"/>
      <c r="V3489" s="53"/>
      <c r="W3489" s="55"/>
    </row>
    <row r="3490">
      <c r="K3490" s="53"/>
      <c r="N3490" s="53"/>
      <c r="O3490" s="53"/>
      <c r="T3490" s="53"/>
      <c r="V3490" s="53"/>
      <c r="W3490" s="55"/>
    </row>
    <row r="3491">
      <c r="K3491" s="53"/>
      <c r="N3491" s="53"/>
      <c r="O3491" s="53"/>
      <c r="T3491" s="53"/>
      <c r="V3491" s="53"/>
      <c r="W3491" s="55"/>
    </row>
    <row r="3492">
      <c r="K3492" s="53"/>
      <c r="N3492" s="53"/>
      <c r="O3492" s="53"/>
      <c r="T3492" s="53"/>
      <c r="V3492" s="53"/>
      <c r="W3492" s="55"/>
    </row>
    <row r="3493">
      <c r="K3493" s="53"/>
      <c r="N3493" s="53"/>
      <c r="O3493" s="53"/>
      <c r="T3493" s="53"/>
      <c r="V3493" s="53"/>
      <c r="W3493" s="55"/>
    </row>
    <row r="3494">
      <c r="K3494" s="53"/>
      <c r="N3494" s="53"/>
      <c r="O3494" s="53"/>
      <c r="T3494" s="53"/>
      <c r="V3494" s="53"/>
      <c r="W3494" s="55"/>
    </row>
    <row r="3495">
      <c r="K3495" s="53"/>
      <c r="N3495" s="53"/>
      <c r="O3495" s="53"/>
      <c r="T3495" s="53"/>
      <c r="V3495" s="53"/>
      <c r="W3495" s="55"/>
    </row>
    <row r="3496">
      <c r="K3496" s="53"/>
      <c r="N3496" s="53"/>
      <c r="O3496" s="53"/>
      <c r="T3496" s="53"/>
      <c r="V3496" s="53"/>
      <c r="W3496" s="55"/>
    </row>
    <row r="3497">
      <c r="K3497" s="53"/>
      <c r="N3497" s="53"/>
      <c r="O3497" s="53"/>
      <c r="T3497" s="53"/>
      <c r="V3497" s="53"/>
      <c r="W3497" s="55"/>
    </row>
    <row r="3498">
      <c r="K3498" s="53"/>
      <c r="N3498" s="53"/>
      <c r="O3498" s="53"/>
      <c r="T3498" s="53"/>
      <c r="V3498" s="53"/>
      <c r="W3498" s="55"/>
    </row>
    <row r="3499">
      <c r="K3499" s="53"/>
      <c r="N3499" s="53"/>
      <c r="O3499" s="53"/>
      <c r="T3499" s="53"/>
      <c r="V3499" s="53"/>
      <c r="W3499" s="55"/>
    </row>
    <row r="3500">
      <c r="K3500" s="53"/>
      <c r="N3500" s="53"/>
      <c r="O3500" s="53"/>
      <c r="T3500" s="53"/>
      <c r="V3500" s="53"/>
      <c r="W3500" s="55"/>
    </row>
    <row r="3501">
      <c r="K3501" s="53"/>
      <c r="N3501" s="53"/>
      <c r="O3501" s="53"/>
      <c r="T3501" s="53"/>
      <c r="V3501" s="53"/>
      <c r="W3501" s="55"/>
    </row>
    <row r="3502">
      <c r="K3502" s="53"/>
      <c r="N3502" s="53"/>
      <c r="O3502" s="53"/>
      <c r="T3502" s="53"/>
      <c r="V3502" s="53"/>
      <c r="W3502" s="55"/>
    </row>
    <row r="3503">
      <c r="K3503" s="53"/>
      <c r="N3503" s="53"/>
      <c r="O3503" s="53"/>
      <c r="T3503" s="53"/>
      <c r="V3503" s="53"/>
      <c r="W3503" s="55"/>
    </row>
    <row r="3504">
      <c r="K3504" s="53"/>
      <c r="N3504" s="53"/>
      <c r="O3504" s="53"/>
      <c r="T3504" s="53"/>
      <c r="V3504" s="53"/>
      <c r="W3504" s="55"/>
    </row>
    <row r="3505">
      <c r="K3505" s="53"/>
      <c r="N3505" s="53"/>
      <c r="O3505" s="53"/>
      <c r="T3505" s="53"/>
      <c r="V3505" s="53"/>
      <c r="W3505" s="55"/>
    </row>
    <row r="3506">
      <c r="K3506" s="53"/>
      <c r="N3506" s="53"/>
      <c r="O3506" s="53"/>
      <c r="T3506" s="53"/>
      <c r="V3506" s="53"/>
      <c r="W3506" s="55"/>
    </row>
    <row r="3507">
      <c r="K3507" s="53"/>
      <c r="N3507" s="53"/>
      <c r="O3507" s="53"/>
      <c r="T3507" s="53"/>
      <c r="V3507" s="53"/>
      <c r="W3507" s="55"/>
    </row>
    <row r="3508">
      <c r="K3508" s="53"/>
      <c r="N3508" s="53"/>
      <c r="O3508" s="53"/>
      <c r="T3508" s="53"/>
      <c r="V3508" s="53"/>
      <c r="W3508" s="55"/>
    </row>
    <row r="3509">
      <c r="K3509" s="53"/>
      <c r="N3509" s="53"/>
      <c r="O3509" s="53"/>
      <c r="T3509" s="53"/>
      <c r="V3509" s="53"/>
      <c r="W3509" s="55"/>
    </row>
    <row r="3510">
      <c r="K3510" s="53"/>
      <c r="N3510" s="53"/>
      <c r="O3510" s="53"/>
      <c r="T3510" s="53"/>
      <c r="V3510" s="53"/>
      <c r="W3510" s="55"/>
    </row>
    <row r="3511">
      <c r="K3511" s="53"/>
      <c r="N3511" s="53"/>
      <c r="O3511" s="53"/>
      <c r="T3511" s="53"/>
      <c r="V3511" s="53"/>
      <c r="W3511" s="55"/>
    </row>
    <row r="3512">
      <c r="K3512" s="53"/>
      <c r="N3512" s="53"/>
      <c r="O3512" s="53"/>
      <c r="T3512" s="53"/>
      <c r="V3512" s="53"/>
      <c r="W3512" s="55"/>
    </row>
    <row r="3513">
      <c r="K3513" s="53"/>
      <c r="N3513" s="53"/>
      <c r="O3513" s="53"/>
      <c r="T3513" s="53"/>
      <c r="V3513" s="53"/>
      <c r="W3513" s="55"/>
    </row>
    <row r="3514">
      <c r="K3514" s="53"/>
      <c r="N3514" s="53"/>
      <c r="O3514" s="53"/>
      <c r="T3514" s="53"/>
      <c r="V3514" s="53"/>
      <c r="W3514" s="55"/>
    </row>
    <row r="3515">
      <c r="K3515" s="53"/>
      <c r="N3515" s="53"/>
      <c r="O3515" s="53"/>
      <c r="T3515" s="53"/>
      <c r="V3515" s="53"/>
      <c r="W3515" s="55"/>
    </row>
    <row r="3516">
      <c r="K3516" s="53"/>
      <c r="N3516" s="53"/>
      <c r="O3516" s="53"/>
      <c r="T3516" s="53"/>
      <c r="V3516" s="53"/>
      <c r="W3516" s="55"/>
    </row>
    <row r="3517">
      <c r="K3517" s="53"/>
      <c r="N3517" s="53"/>
      <c r="O3517" s="53"/>
      <c r="T3517" s="53"/>
      <c r="V3517" s="53"/>
      <c r="W3517" s="55"/>
    </row>
    <row r="3518">
      <c r="K3518" s="53"/>
      <c r="N3518" s="53"/>
      <c r="O3518" s="53"/>
      <c r="T3518" s="53"/>
      <c r="V3518" s="53"/>
      <c r="W3518" s="55"/>
    </row>
    <row r="3519">
      <c r="K3519" s="53"/>
      <c r="N3519" s="53"/>
      <c r="O3519" s="53"/>
      <c r="T3519" s="53"/>
      <c r="V3519" s="53"/>
      <c r="W3519" s="55"/>
    </row>
    <row r="3520">
      <c r="K3520" s="53"/>
      <c r="N3520" s="53"/>
      <c r="O3520" s="53"/>
      <c r="T3520" s="53"/>
      <c r="V3520" s="53"/>
      <c r="W3520" s="55"/>
    </row>
    <row r="3521">
      <c r="K3521" s="53"/>
      <c r="N3521" s="53"/>
      <c r="O3521" s="53"/>
      <c r="T3521" s="53"/>
      <c r="V3521" s="53"/>
      <c r="W3521" s="55"/>
    </row>
    <row r="3522">
      <c r="K3522" s="53"/>
      <c r="N3522" s="53"/>
      <c r="O3522" s="53"/>
      <c r="T3522" s="53"/>
      <c r="V3522" s="53"/>
      <c r="W3522" s="55"/>
    </row>
    <row r="3523">
      <c r="K3523" s="53"/>
      <c r="N3523" s="53"/>
      <c r="O3523" s="53"/>
      <c r="T3523" s="53"/>
      <c r="V3523" s="53"/>
      <c r="W3523" s="55"/>
    </row>
    <row r="3524">
      <c r="K3524" s="53"/>
      <c r="N3524" s="53"/>
      <c r="O3524" s="53"/>
      <c r="T3524" s="53"/>
      <c r="V3524" s="53"/>
      <c r="W3524" s="55"/>
    </row>
    <row r="3525">
      <c r="K3525" s="53"/>
      <c r="N3525" s="53"/>
      <c r="O3525" s="53"/>
      <c r="T3525" s="53"/>
      <c r="V3525" s="53"/>
      <c r="W3525" s="55"/>
    </row>
    <row r="3526">
      <c r="K3526" s="53"/>
      <c r="N3526" s="53"/>
      <c r="O3526" s="53"/>
      <c r="T3526" s="53"/>
      <c r="V3526" s="53"/>
      <c r="W3526" s="55"/>
    </row>
    <row r="3527">
      <c r="K3527" s="53"/>
      <c r="N3527" s="53"/>
      <c r="O3527" s="53"/>
      <c r="T3527" s="53"/>
      <c r="V3527" s="53"/>
      <c r="W3527" s="55"/>
    </row>
    <row r="3528">
      <c r="K3528" s="53"/>
      <c r="N3528" s="53"/>
      <c r="O3528" s="53"/>
      <c r="T3528" s="53"/>
      <c r="V3528" s="53"/>
      <c r="W3528" s="55"/>
    </row>
    <row r="3529">
      <c r="K3529" s="53"/>
      <c r="N3529" s="53"/>
      <c r="O3529" s="53"/>
      <c r="T3529" s="53"/>
      <c r="V3529" s="53"/>
      <c r="W3529" s="55"/>
    </row>
    <row r="3530">
      <c r="K3530" s="53"/>
      <c r="N3530" s="53"/>
      <c r="O3530" s="53"/>
      <c r="T3530" s="53"/>
      <c r="V3530" s="53"/>
      <c r="W3530" s="55"/>
    </row>
    <row r="3531">
      <c r="K3531" s="53"/>
      <c r="N3531" s="53"/>
      <c r="O3531" s="53"/>
      <c r="T3531" s="53"/>
      <c r="V3531" s="53"/>
      <c r="W3531" s="55"/>
    </row>
    <row r="3532">
      <c r="K3532" s="53"/>
      <c r="N3532" s="53"/>
      <c r="O3532" s="53"/>
      <c r="T3532" s="53"/>
      <c r="V3532" s="53"/>
      <c r="W3532" s="55"/>
    </row>
    <row r="3533">
      <c r="K3533" s="53"/>
      <c r="N3533" s="53"/>
      <c r="O3533" s="53"/>
      <c r="T3533" s="53"/>
      <c r="V3533" s="53"/>
      <c r="W3533" s="55"/>
    </row>
    <row r="3534">
      <c r="K3534" s="53"/>
      <c r="N3534" s="53"/>
      <c r="O3534" s="53"/>
      <c r="T3534" s="53"/>
      <c r="V3534" s="53"/>
      <c r="W3534" s="55"/>
    </row>
    <row r="3535">
      <c r="K3535" s="53"/>
      <c r="N3535" s="53"/>
      <c r="O3535" s="53"/>
      <c r="T3535" s="53"/>
      <c r="V3535" s="53"/>
      <c r="W3535" s="55"/>
    </row>
    <row r="3536">
      <c r="K3536" s="53"/>
      <c r="N3536" s="53"/>
      <c r="O3536" s="53"/>
      <c r="T3536" s="53"/>
      <c r="V3536" s="53"/>
      <c r="W3536" s="55"/>
    </row>
    <row r="3537">
      <c r="K3537" s="53"/>
      <c r="N3537" s="53"/>
      <c r="O3537" s="53"/>
      <c r="T3537" s="53"/>
      <c r="V3537" s="53"/>
      <c r="W3537" s="55"/>
    </row>
    <row r="3538">
      <c r="K3538" s="53"/>
      <c r="N3538" s="53"/>
      <c r="O3538" s="53"/>
      <c r="T3538" s="53"/>
      <c r="V3538" s="53"/>
      <c r="W3538" s="55"/>
    </row>
    <row r="3539">
      <c r="K3539" s="53"/>
      <c r="N3539" s="53"/>
      <c r="O3539" s="53"/>
      <c r="T3539" s="53"/>
      <c r="V3539" s="53"/>
      <c r="W3539" s="55"/>
    </row>
    <row r="3540">
      <c r="K3540" s="53"/>
      <c r="N3540" s="53"/>
      <c r="O3540" s="53"/>
      <c r="T3540" s="53"/>
      <c r="V3540" s="53"/>
      <c r="W3540" s="55"/>
    </row>
    <row r="3541">
      <c r="K3541" s="53"/>
      <c r="N3541" s="53"/>
      <c r="O3541" s="53"/>
      <c r="T3541" s="53"/>
      <c r="V3541" s="53"/>
      <c r="W3541" s="55"/>
    </row>
    <row r="3542">
      <c r="K3542" s="53"/>
      <c r="N3542" s="53"/>
      <c r="O3542" s="53"/>
      <c r="T3542" s="53"/>
      <c r="V3542" s="53"/>
      <c r="W3542" s="55"/>
    </row>
    <row r="3543">
      <c r="K3543" s="53"/>
      <c r="N3543" s="53"/>
      <c r="O3543" s="53"/>
      <c r="T3543" s="53"/>
      <c r="V3543" s="53"/>
      <c r="W3543" s="55"/>
    </row>
    <row r="3544">
      <c r="K3544" s="53"/>
      <c r="N3544" s="53"/>
      <c r="O3544" s="53"/>
      <c r="T3544" s="53"/>
      <c r="V3544" s="53"/>
      <c r="W3544" s="55"/>
    </row>
    <row r="3545">
      <c r="K3545" s="53"/>
      <c r="N3545" s="53"/>
      <c r="O3545" s="53"/>
      <c r="T3545" s="53"/>
      <c r="V3545" s="53"/>
      <c r="W3545" s="55"/>
    </row>
    <row r="3546">
      <c r="K3546" s="53"/>
      <c r="N3546" s="53"/>
      <c r="O3546" s="53"/>
      <c r="T3546" s="53"/>
      <c r="V3546" s="53"/>
      <c r="W3546" s="55"/>
    </row>
    <row r="3547">
      <c r="K3547" s="53"/>
      <c r="N3547" s="53"/>
      <c r="O3547" s="53"/>
      <c r="T3547" s="53"/>
      <c r="V3547" s="53"/>
      <c r="W3547" s="55"/>
    </row>
    <row r="3548">
      <c r="K3548" s="53"/>
      <c r="N3548" s="53"/>
      <c r="O3548" s="53"/>
      <c r="T3548" s="53"/>
      <c r="V3548" s="53"/>
      <c r="W3548" s="55"/>
    </row>
    <row r="3549">
      <c r="K3549" s="53"/>
      <c r="N3549" s="53"/>
      <c r="O3549" s="53"/>
      <c r="T3549" s="53"/>
      <c r="V3549" s="53"/>
      <c r="W3549" s="55"/>
    </row>
    <row r="3550">
      <c r="K3550" s="53"/>
      <c r="N3550" s="53"/>
      <c r="O3550" s="53"/>
      <c r="T3550" s="53"/>
      <c r="V3550" s="53"/>
      <c r="W3550" s="55"/>
    </row>
    <row r="3551">
      <c r="K3551" s="53"/>
      <c r="N3551" s="53"/>
      <c r="O3551" s="53"/>
      <c r="T3551" s="53"/>
      <c r="V3551" s="53"/>
      <c r="W3551" s="55"/>
    </row>
    <row r="3552">
      <c r="K3552" s="53"/>
      <c r="N3552" s="53"/>
      <c r="O3552" s="53"/>
      <c r="T3552" s="53"/>
      <c r="V3552" s="53"/>
      <c r="W3552" s="55"/>
    </row>
    <row r="3553">
      <c r="K3553" s="53"/>
      <c r="N3553" s="53"/>
      <c r="O3553" s="53"/>
      <c r="T3553" s="53"/>
      <c r="V3553" s="53"/>
      <c r="W3553" s="55"/>
    </row>
    <row r="3554">
      <c r="K3554" s="53"/>
      <c r="N3554" s="53"/>
      <c r="O3554" s="53"/>
      <c r="T3554" s="53"/>
      <c r="V3554" s="53"/>
      <c r="W3554" s="55"/>
    </row>
    <row r="3555">
      <c r="K3555" s="53"/>
      <c r="N3555" s="53"/>
      <c r="O3555" s="53"/>
      <c r="T3555" s="53"/>
      <c r="V3555" s="53"/>
      <c r="W3555" s="55"/>
    </row>
    <row r="3556">
      <c r="K3556" s="53"/>
      <c r="N3556" s="53"/>
      <c r="O3556" s="53"/>
      <c r="T3556" s="53"/>
      <c r="V3556" s="53"/>
      <c r="W3556" s="55"/>
    </row>
    <row r="3557">
      <c r="K3557" s="53"/>
      <c r="N3557" s="53"/>
      <c r="O3557" s="53"/>
      <c r="T3557" s="53"/>
      <c r="V3557" s="53"/>
      <c r="W3557" s="55"/>
    </row>
    <row r="3558">
      <c r="K3558" s="53"/>
      <c r="N3558" s="53"/>
      <c r="O3558" s="53"/>
      <c r="T3558" s="53"/>
      <c r="V3558" s="53"/>
      <c r="W3558" s="55"/>
    </row>
    <row r="3559">
      <c r="K3559" s="53"/>
      <c r="N3559" s="53"/>
      <c r="O3559" s="53"/>
      <c r="T3559" s="53"/>
      <c r="V3559" s="53"/>
      <c r="W3559" s="55"/>
    </row>
    <row r="3560">
      <c r="K3560" s="53"/>
      <c r="N3560" s="53"/>
      <c r="O3560" s="53"/>
      <c r="T3560" s="53"/>
      <c r="V3560" s="53"/>
      <c r="W3560" s="55"/>
    </row>
    <row r="3561">
      <c r="K3561" s="53"/>
      <c r="N3561" s="53"/>
      <c r="O3561" s="53"/>
      <c r="T3561" s="53"/>
      <c r="V3561" s="53"/>
      <c r="W3561" s="55"/>
    </row>
    <row r="3562">
      <c r="K3562" s="53"/>
      <c r="N3562" s="53"/>
      <c r="O3562" s="53"/>
      <c r="T3562" s="53"/>
      <c r="V3562" s="53"/>
      <c r="W3562" s="55"/>
    </row>
    <row r="3563">
      <c r="K3563" s="53"/>
      <c r="N3563" s="53"/>
      <c r="O3563" s="53"/>
      <c r="T3563" s="53"/>
      <c r="V3563" s="53"/>
      <c r="W3563" s="55"/>
    </row>
    <row r="3564">
      <c r="K3564" s="53"/>
      <c r="N3564" s="53"/>
      <c r="O3564" s="53"/>
      <c r="T3564" s="53"/>
      <c r="V3564" s="53"/>
      <c r="W3564" s="55"/>
    </row>
    <row r="3565">
      <c r="K3565" s="53"/>
      <c r="N3565" s="53"/>
      <c r="O3565" s="53"/>
      <c r="T3565" s="53"/>
      <c r="V3565" s="53"/>
      <c r="W3565" s="55"/>
    </row>
    <row r="3566">
      <c r="K3566" s="53"/>
      <c r="N3566" s="53"/>
      <c r="O3566" s="53"/>
      <c r="T3566" s="53"/>
      <c r="V3566" s="53"/>
      <c r="W3566" s="55"/>
    </row>
    <row r="3567">
      <c r="K3567" s="53"/>
      <c r="N3567" s="53"/>
      <c r="O3567" s="53"/>
      <c r="T3567" s="53"/>
      <c r="V3567" s="53"/>
      <c r="W3567" s="55"/>
    </row>
    <row r="3568">
      <c r="K3568" s="53"/>
      <c r="N3568" s="53"/>
      <c r="O3568" s="53"/>
      <c r="T3568" s="53"/>
      <c r="V3568" s="53"/>
      <c r="W3568" s="55"/>
    </row>
    <row r="3569">
      <c r="K3569" s="53"/>
      <c r="N3569" s="53"/>
      <c r="O3569" s="53"/>
      <c r="T3569" s="53"/>
      <c r="V3569" s="53"/>
      <c r="W3569" s="55"/>
    </row>
    <row r="3570">
      <c r="K3570" s="53"/>
      <c r="N3570" s="53"/>
      <c r="O3570" s="53"/>
      <c r="T3570" s="53"/>
      <c r="V3570" s="53"/>
      <c r="W3570" s="55"/>
    </row>
    <row r="3571">
      <c r="K3571" s="53"/>
      <c r="N3571" s="53"/>
      <c r="O3571" s="53"/>
      <c r="T3571" s="53"/>
      <c r="V3571" s="53"/>
      <c r="W3571" s="55"/>
    </row>
    <row r="3572">
      <c r="K3572" s="53"/>
      <c r="N3572" s="53"/>
      <c r="O3572" s="53"/>
      <c r="T3572" s="53"/>
      <c r="V3572" s="53"/>
      <c r="W3572" s="55"/>
    </row>
    <row r="3573">
      <c r="K3573" s="53"/>
      <c r="N3573" s="53"/>
      <c r="O3573" s="53"/>
      <c r="T3573" s="53"/>
      <c r="V3573" s="53"/>
      <c r="W3573" s="55"/>
    </row>
    <row r="3574">
      <c r="K3574" s="53"/>
      <c r="N3574" s="53"/>
      <c r="O3574" s="53"/>
      <c r="T3574" s="53"/>
      <c r="V3574" s="53"/>
      <c r="W3574" s="55"/>
    </row>
    <row r="3575">
      <c r="K3575" s="53"/>
      <c r="N3575" s="53"/>
      <c r="O3575" s="53"/>
      <c r="T3575" s="53"/>
      <c r="V3575" s="53"/>
      <c r="W3575" s="55"/>
    </row>
    <row r="3576">
      <c r="K3576" s="53"/>
      <c r="N3576" s="53"/>
      <c r="O3576" s="53"/>
      <c r="T3576" s="53"/>
      <c r="V3576" s="53"/>
      <c r="W3576" s="55"/>
    </row>
    <row r="3577">
      <c r="K3577" s="53"/>
      <c r="N3577" s="53"/>
      <c r="O3577" s="53"/>
      <c r="T3577" s="53"/>
      <c r="V3577" s="53"/>
      <c r="W3577" s="55"/>
    </row>
    <row r="3578">
      <c r="K3578" s="53"/>
      <c r="N3578" s="53"/>
      <c r="O3578" s="53"/>
      <c r="T3578" s="53"/>
      <c r="V3578" s="53"/>
      <c r="W3578" s="55"/>
    </row>
    <row r="3579">
      <c r="K3579" s="53"/>
      <c r="N3579" s="53"/>
      <c r="O3579" s="53"/>
      <c r="T3579" s="53"/>
      <c r="V3579" s="53"/>
      <c r="W3579" s="55"/>
    </row>
    <row r="3580">
      <c r="K3580" s="53"/>
      <c r="N3580" s="53"/>
      <c r="O3580" s="53"/>
      <c r="T3580" s="53"/>
      <c r="V3580" s="53"/>
      <c r="W3580" s="55"/>
    </row>
    <row r="3581">
      <c r="K3581" s="53"/>
      <c r="N3581" s="53"/>
      <c r="O3581" s="53"/>
      <c r="T3581" s="53"/>
      <c r="V3581" s="53"/>
      <c r="W3581" s="55"/>
    </row>
    <row r="3582">
      <c r="K3582" s="53"/>
      <c r="N3582" s="53"/>
      <c r="O3582" s="53"/>
      <c r="T3582" s="53"/>
      <c r="V3582" s="53"/>
      <c r="W3582" s="55"/>
    </row>
    <row r="3583">
      <c r="K3583" s="53"/>
      <c r="N3583" s="53"/>
      <c r="O3583" s="53"/>
      <c r="T3583" s="53"/>
      <c r="V3583" s="53"/>
      <c r="W3583" s="55"/>
    </row>
    <row r="3584">
      <c r="K3584" s="53"/>
      <c r="N3584" s="53"/>
      <c r="O3584" s="53"/>
      <c r="T3584" s="53"/>
      <c r="V3584" s="53"/>
      <c r="W3584" s="55"/>
    </row>
    <row r="3585">
      <c r="K3585" s="53"/>
      <c r="N3585" s="53"/>
      <c r="O3585" s="53"/>
      <c r="T3585" s="53"/>
      <c r="V3585" s="53"/>
      <c r="W3585" s="55"/>
    </row>
    <row r="3586">
      <c r="K3586" s="53"/>
      <c r="N3586" s="53"/>
      <c r="O3586" s="53"/>
      <c r="T3586" s="53"/>
      <c r="V3586" s="53"/>
      <c r="W3586" s="55"/>
    </row>
    <row r="3587">
      <c r="K3587" s="53"/>
      <c r="N3587" s="53"/>
      <c r="O3587" s="53"/>
      <c r="T3587" s="53"/>
      <c r="V3587" s="53"/>
      <c r="W3587" s="55"/>
    </row>
    <row r="3588">
      <c r="K3588" s="53"/>
      <c r="N3588" s="53"/>
      <c r="O3588" s="53"/>
      <c r="T3588" s="53"/>
      <c r="V3588" s="53"/>
      <c r="W3588" s="55"/>
    </row>
    <row r="3589">
      <c r="K3589" s="53"/>
      <c r="N3589" s="53"/>
      <c r="O3589" s="53"/>
      <c r="T3589" s="53"/>
      <c r="V3589" s="53"/>
      <c r="W3589" s="55"/>
    </row>
    <row r="3590">
      <c r="K3590" s="53"/>
      <c r="N3590" s="53"/>
      <c r="O3590" s="53"/>
      <c r="T3590" s="53"/>
      <c r="V3590" s="53"/>
      <c r="W3590" s="55"/>
    </row>
    <row r="3591">
      <c r="K3591" s="53"/>
      <c r="N3591" s="53"/>
      <c r="O3591" s="53"/>
      <c r="T3591" s="53"/>
      <c r="V3591" s="53"/>
      <c r="W3591" s="55"/>
    </row>
    <row r="3592">
      <c r="K3592" s="53"/>
      <c r="N3592" s="53"/>
      <c r="O3592" s="53"/>
      <c r="T3592" s="53"/>
      <c r="V3592" s="53"/>
      <c r="W3592" s="55"/>
    </row>
    <row r="3593">
      <c r="K3593" s="53"/>
      <c r="N3593" s="53"/>
      <c r="O3593" s="53"/>
      <c r="T3593" s="53"/>
      <c r="V3593" s="53"/>
      <c r="W3593" s="55"/>
    </row>
    <row r="3594">
      <c r="K3594" s="53"/>
      <c r="N3594" s="53"/>
      <c r="O3594" s="53"/>
      <c r="T3594" s="53"/>
      <c r="V3594" s="53"/>
      <c r="W3594" s="55"/>
    </row>
    <row r="3595">
      <c r="K3595" s="53"/>
      <c r="N3595" s="53"/>
      <c r="O3595" s="53"/>
      <c r="T3595" s="53"/>
      <c r="V3595" s="53"/>
      <c r="W3595" s="55"/>
    </row>
    <row r="3596">
      <c r="K3596" s="53"/>
      <c r="N3596" s="53"/>
      <c r="O3596" s="53"/>
      <c r="T3596" s="53"/>
      <c r="V3596" s="53"/>
      <c r="W3596" s="55"/>
    </row>
    <row r="3597">
      <c r="K3597" s="53"/>
      <c r="N3597" s="53"/>
      <c r="O3597" s="53"/>
      <c r="T3597" s="53"/>
      <c r="V3597" s="53"/>
      <c r="W3597" s="55"/>
    </row>
    <row r="3598">
      <c r="K3598" s="53"/>
      <c r="N3598" s="53"/>
      <c r="O3598" s="53"/>
      <c r="T3598" s="53"/>
      <c r="V3598" s="53"/>
      <c r="W3598" s="55"/>
    </row>
    <row r="3599">
      <c r="K3599" s="53"/>
      <c r="N3599" s="53"/>
      <c r="O3599" s="53"/>
      <c r="T3599" s="53"/>
      <c r="V3599" s="53"/>
      <c r="W3599" s="55"/>
    </row>
    <row r="3600">
      <c r="K3600" s="53"/>
      <c r="N3600" s="53"/>
      <c r="O3600" s="53"/>
      <c r="T3600" s="53"/>
      <c r="V3600" s="53"/>
      <c r="W3600" s="55"/>
    </row>
    <row r="3601">
      <c r="K3601" s="53"/>
      <c r="N3601" s="53"/>
      <c r="O3601" s="53"/>
      <c r="T3601" s="53"/>
      <c r="V3601" s="53"/>
      <c r="W3601" s="55"/>
    </row>
    <row r="3602">
      <c r="K3602" s="53"/>
      <c r="N3602" s="53"/>
      <c r="O3602" s="53"/>
      <c r="T3602" s="53"/>
      <c r="V3602" s="53"/>
      <c r="W3602" s="55"/>
    </row>
    <row r="3603">
      <c r="K3603" s="53"/>
      <c r="N3603" s="53"/>
      <c r="O3603" s="53"/>
      <c r="T3603" s="53"/>
      <c r="V3603" s="53"/>
      <c r="W3603" s="55"/>
    </row>
    <row r="3604">
      <c r="K3604" s="53"/>
      <c r="N3604" s="53"/>
      <c r="O3604" s="53"/>
      <c r="T3604" s="53"/>
      <c r="V3604" s="53"/>
      <c r="W3604" s="55"/>
    </row>
    <row r="3605">
      <c r="K3605" s="53"/>
      <c r="N3605" s="53"/>
      <c r="O3605" s="53"/>
      <c r="T3605" s="53"/>
      <c r="V3605" s="53"/>
      <c r="W3605" s="55"/>
    </row>
    <row r="3606">
      <c r="K3606" s="53"/>
      <c r="N3606" s="53"/>
      <c r="O3606" s="53"/>
      <c r="T3606" s="53"/>
      <c r="V3606" s="53"/>
      <c r="W3606" s="55"/>
    </row>
    <row r="3607">
      <c r="K3607" s="53"/>
      <c r="N3607" s="53"/>
      <c r="O3607" s="53"/>
      <c r="T3607" s="53"/>
      <c r="V3607" s="53"/>
      <c r="W3607" s="55"/>
    </row>
    <row r="3608">
      <c r="K3608" s="53"/>
      <c r="N3608" s="53"/>
      <c r="O3608" s="53"/>
      <c r="T3608" s="53"/>
      <c r="V3608" s="53"/>
      <c r="W3608" s="55"/>
    </row>
    <row r="3609">
      <c r="K3609" s="53"/>
      <c r="N3609" s="53"/>
      <c r="O3609" s="53"/>
      <c r="T3609" s="53"/>
      <c r="V3609" s="53"/>
      <c r="W3609" s="55"/>
    </row>
    <row r="3610">
      <c r="K3610" s="53"/>
      <c r="N3610" s="53"/>
      <c r="O3610" s="53"/>
      <c r="T3610" s="53"/>
      <c r="V3610" s="53"/>
      <c r="W3610" s="55"/>
    </row>
    <row r="3611">
      <c r="K3611" s="53"/>
      <c r="N3611" s="53"/>
      <c r="O3611" s="53"/>
      <c r="T3611" s="53"/>
      <c r="V3611" s="53"/>
      <c r="W3611" s="55"/>
    </row>
    <row r="3612">
      <c r="K3612" s="53"/>
      <c r="N3612" s="53"/>
      <c r="O3612" s="53"/>
      <c r="T3612" s="53"/>
      <c r="V3612" s="53"/>
      <c r="W3612" s="55"/>
    </row>
    <row r="3613">
      <c r="K3613" s="53"/>
      <c r="N3613" s="53"/>
      <c r="O3613" s="53"/>
      <c r="T3613" s="53"/>
      <c r="V3613" s="53"/>
      <c r="W3613" s="55"/>
    </row>
    <row r="3614">
      <c r="K3614" s="53"/>
      <c r="N3614" s="53"/>
      <c r="O3614" s="53"/>
      <c r="T3614" s="53"/>
      <c r="V3614" s="53"/>
      <c r="W3614" s="55"/>
    </row>
    <row r="3615">
      <c r="K3615" s="53"/>
      <c r="N3615" s="53"/>
      <c r="O3615" s="53"/>
      <c r="T3615" s="53"/>
      <c r="V3615" s="53"/>
      <c r="W3615" s="55"/>
    </row>
    <row r="3616">
      <c r="K3616" s="53"/>
      <c r="N3616" s="53"/>
      <c r="O3616" s="53"/>
      <c r="T3616" s="53"/>
      <c r="V3616" s="53"/>
      <c r="W3616" s="55"/>
    </row>
    <row r="3617">
      <c r="K3617" s="53"/>
      <c r="N3617" s="53"/>
      <c r="O3617" s="53"/>
      <c r="T3617" s="53"/>
      <c r="V3617" s="53"/>
      <c r="W3617" s="55"/>
    </row>
    <row r="3618">
      <c r="K3618" s="53"/>
      <c r="N3618" s="53"/>
      <c r="O3618" s="53"/>
      <c r="T3618" s="53"/>
      <c r="V3618" s="53"/>
      <c r="W3618" s="55"/>
    </row>
    <row r="3619">
      <c r="K3619" s="53"/>
      <c r="N3619" s="53"/>
      <c r="O3619" s="53"/>
      <c r="T3619" s="53"/>
      <c r="V3619" s="53"/>
      <c r="W3619" s="55"/>
    </row>
    <row r="3620">
      <c r="K3620" s="53"/>
      <c r="N3620" s="53"/>
      <c r="O3620" s="53"/>
      <c r="T3620" s="53"/>
      <c r="V3620" s="53"/>
      <c r="W3620" s="55"/>
    </row>
    <row r="3621">
      <c r="K3621" s="53"/>
      <c r="N3621" s="53"/>
      <c r="O3621" s="53"/>
      <c r="T3621" s="53"/>
      <c r="V3621" s="53"/>
      <c r="W3621" s="55"/>
    </row>
    <row r="3622">
      <c r="K3622" s="53"/>
      <c r="N3622" s="53"/>
      <c r="O3622" s="53"/>
      <c r="T3622" s="53"/>
      <c r="V3622" s="53"/>
      <c r="W3622" s="55"/>
    </row>
    <row r="3623">
      <c r="K3623" s="53"/>
      <c r="N3623" s="53"/>
      <c r="O3623" s="53"/>
      <c r="T3623" s="53"/>
      <c r="V3623" s="53"/>
      <c r="W3623" s="55"/>
    </row>
    <row r="3624">
      <c r="K3624" s="53"/>
      <c r="N3624" s="53"/>
      <c r="O3624" s="53"/>
      <c r="T3624" s="53"/>
      <c r="V3624" s="53"/>
      <c r="W3624" s="55"/>
    </row>
    <row r="3625">
      <c r="K3625" s="53"/>
      <c r="N3625" s="53"/>
      <c r="O3625" s="53"/>
      <c r="T3625" s="53"/>
      <c r="V3625" s="53"/>
      <c r="W3625" s="55"/>
    </row>
    <row r="3626">
      <c r="K3626" s="53"/>
      <c r="N3626" s="53"/>
      <c r="O3626" s="53"/>
      <c r="T3626" s="53"/>
      <c r="V3626" s="53"/>
      <c r="W3626" s="55"/>
    </row>
    <row r="3627">
      <c r="K3627" s="53"/>
      <c r="N3627" s="53"/>
      <c r="O3627" s="53"/>
      <c r="T3627" s="53"/>
      <c r="V3627" s="53"/>
      <c r="W3627" s="55"/>
    </row>
    <row r="3628">
      <c r="K3628" s="53"/>
      <c r="N3628" s="53"/>
      <c r="O3628" s="53"/>
      <c r="T3628" s="53"/>
      <c r="V3628" s="53"/>
      <c r="W3628" s="55"/>
    </row>
    <row r="3629">
      <c r="K3629" s="53"/>
      <c r="N3629" s="53"/>
      <c r="O3629" s="53"/>
      <c r="T3629" s="53"/>
      <c r="V3629" s="53"/>
      <c r="W3629" s="55"/>
    </row>
    <row r="3630">
      <c r="K3630" s="53"/>
      <c r="N3630" s="53"/>
      <c r="O3630" s="53"/>
      <c r="T3630" s="53"/>
      <c r="V3630" s="53"/>
      <c r="W3630" s="55"/>
    </row>
    <row r="3631">
      <c r="K3631" s="53"/>
      <c r="N3631" s="53"/>
      <c r="O3631" s="53"/>
      <c r="T3631" s="53"/>
      <c r="V3631" s="53"/>
      <c r="W3631" s="55"/>
    </row>
    <row r="3632">
      <c r="K3632" s="53"/>
      <c r="N3632" s="53"/>
      <c r="O3632" s="53"/>
      <c r="T3632" s="53"/>
      <c r="V3632" s="53"/>
      <c r="W3632" s="55"/>
    </row>
    <row r="3633">
      <c r="K3633" s="53"/>
      <c r="N3633" s="53"/>
      <c r="O3633" s="53"/>
      <c r="T3633" s="53"/>
      <c r="V3633" s="53"/>
      <c r="W3633" s="55"/>
    </row>
    <row r="3634">
      <c r="K3634" s="53"/>
      <c r="N3634" s="53"/>
      <c r="O3634" s="53"/>
      <c r="T3634" s="53"/>
      <c r="V3634" s="53"/>
      <c r="W3634" s="55"/>
    </row>
    <row r="3635">
      <c r="K3635" s="53"/>
      <c r="N3635" s="53"/>
      <c r="O3635" s="53"/>
      <c r="T3635" s="53"/>
      <c r="V3635" s="53"/>
      <c r="W3635" s="55"/>
    </row>
    <row r="3636">
      <c r="K3636" s="53"/>
      <c r="N3636" s="53"/>
      <c r="O3636" s="53"/>
      <c r="T3636" s="53"/>
      <c r="V3636" s="53"/>
      <c r="W3636" s="55"/>
    </row>
    <row r="3637">
      <c r="K3637" s="53"/>
      <c r="N3637" s="53"/>
      <c r="O3637" s="53"/>
      <c r="T3637" s="53"/>
      <c r="V3637" s="53"/>
      <c r="W3637" s="55"/>
    </row>
    <row r="3638">
      <c r="K3638" s="53"/>
      <c r="N3638" s="53"/>
      <c r="O3638" s="53"/>
      <c r="T3638" s="53"/>
      <c r="V3638" s="53"/>
      <c r="W3638" s="55"/>
    </row>
    <row r="3639">
      <c r="K3639" s="53"/>
      <c r="N3639" s="53"/>
      <c r="O3639" s="53"/>
      <c r="T3639" s="53"/>
      <c r="V3639" s="53"/>
      <c r="W3639" s="55"/>
    </row>
    <row r="3640">
      <c r="K3640" s="53"/>
      <c r="N3640" s="53"/>
      <c r="O3640" s="53"/>
      <c r="T3640" s="53"/>
      <c r="V3640" s="53"/>
      <c r="W3640" s="55"/>
    </row>
    <row r="3641">
      <c r="K3641" s="53"/>
      <c r="N3641" s="53"/>
      <c r="O3641" s="53"/>
      <c r="T3641" s="53"/>
      <c r="V3641" s="53"/>
      <c r="W3641" s="55"/>
    </row>
    <row r="3642">
      <c r="K3642" s="53"/>
      <c r="N3642" s="53"/>
      <c r="O3642" s="53"/>
      <c r="T3642" s="53"/>
      <c r="V3642" s="53"/>
      <c r="W3642" s="55"/>
    </row>
    <row r="3643">
      <c r="K3643" s="53"/>
      <c r="N3643" s="53"/>
      <c r="O3643" s="53"/>
      <c r="T3643" s="53"/>
      <c r="V3643" s="53"/>
      <c r="W3643" s="55"/>
    </row>
    <row r="3644">
      <c r="K3644" s="53"/>
      <c r="N3644" s="53"/>
      <c r="O3644" s="53"/>
      <c r="T3644" s="53"/>
      <c r="V3644" s="53"/>
      <c r="W3644" s="55"/>
    </row>
    <row r="3645">
      <c r="K3645" s="53"/>
      <c r="N3645" s="53"/>
      <c r="O3645" s="53"/>
      <c r="T3645" s="53"/>
      <c r="V3645" s="53"/>
      <c r="W3645" s="55"/>
    </row>
    <row r="3646">
      <c r="K3646" s="53"/>
      <c r="N3646" s="53"/>
      <c r="O3646" s="53"/>
      <c r="T3646" s="53"/>
      <c r="V3646" s="53"/>
      <c r="W3646" s="55"/>
    </row>
    <row r="3647">
      <c r="K3647" s="53"/>
      <c r="N3647" s="53"/>
      <c r="O3647" s="53"/>
      <c r="T3647" s="53"/>
      <c r="V3647" s="53"/>
      <c r="W3647" s="55"/>
    </row>
    <row r="3648">
      <c r="K3648" s="53"/>
      <c r="N3648" s="53"/>
      <c r="O3648" s="53"/>
      <c r="T3648" s="53"/>
      <c r="V3648" s="53"/>
      <c r="W3648" s="55"/>
    </row>
    <row r="3649">
      <c r="K3649" s="53"/>
      <c r="N3649" s="53"/>
      <c r="O3649" s="53"/>
      <c r="T3649" s="53"/>
      <c r="V3649" s="53"/>
      <c r="W3649" s="55"/>
    </row>
    <row r="3650">
      <c r="K3650" s="53"/>
      <c r="N3650" s="53"/>
      <c r="O3650" s="53"/>
      <c r="T3650" s="53"/>
      <c r="V3650" s="53"/>
      <c r="W3650" s="55"/>
    </row>
    <row r="3651">
      <c r="K3651" s="53"/>
      <c r="N3651" s="53"/>
      <c r="O3651" s="53"/>
      <c r="T3651" s="53"/>
      <c r="V3651" s="53"/>
      <c r="W3651" s="55"/>
    </row>
    <row r="3652">
      <c r="K3652" s="53"/>
      <c r="N3652" s="53"/>
      <c r="O3652" s="53"/>
      <c r="T3652" s="53"/>
      <c r="V3652" s="53"/>
      <c r="W3652" s="55"/>
    </row>
    <row r="3653">
      <c r="K3653" s="53"/>
      <c r="N3653" s="53"/>
      <c r="O3653" s="53"/>
      <c r="T3653" s="53"/>
      <c r="V3653" s="53"/>
      <c r="W3653" s="55"/>
    </row>
    <row r="3654">
      <c r="K3654" s="53"/>
      <c r="N3654" s="53"/>
      <c r="O3654" s="53"/>
      <c r="T3654" s="53"/>
      <c r="V3654" s="53"/>
      <c r="W3654" s="55"/>
    </row>
    <row r="3655">
      <c r="K3655" s="53"/>
      <c r="N3655" s="53"/>
      <c r="O3655" s="53"/>
      <c r="T3655" s="53"/>
      <c r="V3655" s="53"/>
      <c r="W3655" s="55"/>
    </row>
    <row r="3656">
      <c r="K3656" s="53"/>
      <c r="N3656" s="53"/>
      <c r="O3656" s="53"/>
      <c r="T3656" s="53"/>
      <c r="V3656" s="53"/>
      <c r="W3656" s="55"/>
    </row>
    <row r="3657">
      <c r="K3657" s="53"/>
      <c r="N3657" s="53"/>
      <c r="O3657" s="53"/>
      <c r="T3657" s="53"/>
      <c r="V3657" s="53"/>
      <c r="W3657" s="55"/>
    </row>
    <row r="3658">
      <c r="K3658" s="53"/>
      <c r="N3658" s="53"/>
      <c r="O3658" s="53"/>
      <c r="T3658" s="53"/>
      <c r="V3658" s="53"/>
      <c r="W3658" s="55"/>
    </row>
    <row r="3659">
      <c r="K3659" s="53"/>
      <c r="N3659" s="53"/>
      <c r="O3659" s="53"/>
      <c r="T3659" s="53"/>
      <c r="V3659" s="53"/>
      <c r="W3659" s="55"/>
    </row>
    <row r="3660">
      <c r="K3660" s="53"/>
      <c r="N3660" s="53"/>
      <c r="O3660" s="53"/>
      <c r="T3660" s="53"/>
      <c r="V3660" s="53"/>
      <c r="W3660" s="55"/>
    </row>
    <row r="3661">
      <c r="K3661" s="53"/>
      <c r="N3661" s="53"/>
      <c r="O3661" s="53"/>
      <c r="T3661" s="53"/>
      <c r="V3661" s="53"/>
      <c r="W3661" s="55"/>
    </row>
    <row r="3662">
      <c r="K3662" s="53"/>
      <c r="N3662" s="53"/>
      <c r="O3662" s="53"/>
      <c r="T3662" s="53"/>
      <c r="V3662" s="53"/>
      <c r="W3662" s="55"/>
    </row>
    <row r="3663">
      <c r="K3663" s="53"/>
      <c r="N3663" s="53"/>
      <c r="O3663" s="53"/>
      <c r="T3663" s="53"/>
      <c r="V3663" s="53"/>
      <c r="W3663" s="55"/>
    </row>
    <row r="3664">
      <c r="K3664" s="53"/>
      <c r="N3664" s="53"/>
      <c r="O3664" s="53"/>
      <c r="T3664" s="53"/>
      <c r="V3664" s="53"/>
      <c r="W3664" s="55"/>
    </row>
    <row r="3665">
      <c r="K3665" s="53"/>
      <c r="N3665" s="53"/>
      <c r="O3665" s="53"/>
      <c r="T3665" s="53"/>
      <c r="V3665" s="53"/>
      <c r="W3665" s="55"/>
    </row>
    <row r="3666">
      <c r="K3666" s="53"/>
      <c r="N3666" s="53"/>
      <c r="O3666" s="53"/>
      <c r="T3666" s="53"/>
      <c r="V3666" s="53"/>
      <c r="W3666" s="55"/>
    </row>
    <row r="3667">
      <c r="K3667" s="53"/>
      <c r="N3667" s="53"/>
      <c r="O3667" s="53"/>
      <c r="T3667" s="53"/>
      <c r="V3667" s="53"/>
      <c r="W3667" s="55"/>
    </row>
    <row r="3668">
      <c r="K3668" s="53"/>
      <c r="N3668" s="53"/>
      <c r="O3668" s="53"/>
      <c r="T3668" s="53"/>
      <c r="V3668" s="53"/>
      <c r="W3668" s="55"/>
    </row>
    <row r="3669">
      <c r="K3669" s="53"/>
      <c r="N3669" s="53"/>
      <c r="O3669" s="53"/>
      <c r="T3669" s="53"/>
      <c r="V3669" s="53"/>
      <c r="W3669" s="55"/>
    </row>
    <row r="3670">
      <c r="K3670" s="53"/>
      <c r="N3670" s="53"/>
      <c r="O3670" s="53"/>
      <c r="T3670" s="53"/>
      <c r="V3670" s="53"/>
      <c r="W3670" s="55"/>
    </row>
    <row r="3671">
      <c r="K3671" s="53"/>
      <c r="N3671" s="53"/>
      <c r="O3671" s="53"/>
      <c r="T3671" s="53"/>
      <c r="V3671" s="53"/>
      <c r="W3671" s="55"/>
    </row>
    <row r="3672">
      <c r="K3672" s="53"/>
      <c r="N3672" s="53"/>
      <c r="O3672" s="53"/>
      <c r="T3672" s="53"/>
      <c r="V3672" s="53"/>
      <c r="W3672" s="55"/>
    </row>
    <row r="3673">
      <c r="K3673" s="53"/>
      <c r="N3673" s="53"/>
      <c r="O3673" s="53"/>
      <c r="T3673" s="53"/>
      <c r="V3673" s="53"/>
      <c r="W3673" s="55"/>
    </row>
    <row r="3674">
      <c r="K3674" s="53"/>
      <c r="N3674" s="53"/>
      <c r="O3674" s="53"/>
      <c r="T3674" s="53"/>
      <c r="V3674" s="53"/>
      <c r="W3674" s="55"/>
    </row>
    <row r="3675">
      <c r="K3675" s="53"/>
      <c r="N3675" s="53"/>
      <c r="O3675" s="53"/>
      <c r="T3675" s="53"/>
      <c r="V3675" s="53"/>
      <c r="W3675" s="55"/>
    </row>
    <row r="3676">
      <c r="K3676" s="53"/>
      <c r="N3676" s="53"/>
      <c r="O3676" s="53"/>
      <c r="T3676" s="53"/>
      <c r="V3676" s="53"/>
      <c r="W3676" s="55"/>
    </row>
    <row r="3677">
      <c r="K3677" s="53"/>
      <c r="N3677" s="53"/>
      <c r="O3677" s="53"/>
      <c r="T3677" s="53"/>
      <c r="V3677" s="53"/>
      <c r="W3677" s="55"/>
    </row>
    <row r="3678">
      <c r="K3678" s="53"/>
      <c r="N3678" s="53"/>
      <c r="O3678" s="53"/>
      <c r="T3678" s="53"/>
      <c r="V3678" s="53"/>
      <c r="W3678" s="55"/>
    </row>
    <row r="3679">
      <c r="K3679" s="53"/>
      <c r="N3679" s="53"/>
      <c r="O3679" s="53"/>
      <c r="T3679" s="53"/>
      <c r="V3679" s="53"/>
      <c r="W3679" s="55"/>
    </row>
    <row r="3680">
      <c r="K3680" s="53"/>
      <c r="N3680" s="53"/>
      <c r="O3680" s="53"/>
      <c r="T3680" s="53"/>
      <c r="V3680" s="53"/>
      <c r="W3680" s="55"/>
    </row>
    <row r="3681">
      <c r="K3681" s="53"/>
      <c r="N3681" s="53"/>
      <c r="O3681" s="53"/>
      <c r="T3681" s="53"/>
      <c r="V3681" s="53"/>
      <c r="W3681" s="55"/>
    </row>
    <row r="3682">
      <c r="K3682" s="53"/>
      <c r="N3682" s="53"/>
      <c r="O3682" s="53"/>
      <c r="T3682" s="53"/>
      <c r="V3682" s="53"/>
      <c r="W3682" s="55"/>
    </row>
    <row r="3683">
      <c r="K3683" s="53"/>
      <c r="N3683" s="53"/>
      <c r="O3683" s="53"/>
      <c r="T3683" s="53"/>
      <c r="V3683" s="53"/>
      <c r="W3683" s="55"/>
    </row>
    <row r="3684">
      <c r="K3684" s="53"/>
      <c r="N3684" s="53"/>
      <c r="O3684" s="53"/>
      <c r="T3684" s="53"/>
      <c r="V3684" s="53"/>
      <c r="W3684" s="55"/>
    </row>
    <row r="3685">
      <c r="K3685" s="53"/>
      <c r="N3685" s="53"/>
      <c r="O3685" s="53"/>
      <c r="T3685" s="53"/>
      <c r="V3685" s="53"/>
      <c r="W3685" s="55"/>
    </row>
    <row r="3686">
      <c r="K3686" s="53"/>
      <c r="N3686" s="53"/>
      <c r="O3686" s="53"/>
      <c r="T3686" s="53"/>
      <c r="V3686" s="53"/>
      <c r="W3686" s="55"/>
    </row>
    <row r="3687">
      <c r="K3687" s="53"/>
      <c r="N3687" s="53"/>
      <c r="O3687" s="53"/>
      <c r="T3687" s="53"/>
      <c r="V3687" s="53"/>
      <c r="W3687" s="55"/>
    </row>
    <row r="3688">
      <c r="K3688" s="53"/>
      <c r="N3688" s="53"/>
      <c r="O3688" s="53"/>
      <c r="T3688" s="53"/>
      <c r="V3688" s="53"/>
      <c r="W3688" s="55"/>
    </row>
    <row r="3689">
      <c r="K3689" s="53"/>
      <c r="N3689" s="53"/>
      <c r="O3689" s="53"/>
      <c r="T3689" s="53"/>
      <c r="V3689" s="53"/>
      <c r="W3689" s="55"/>
    </row>
    <row r="3690">
      <c r="K3690" s="53"/>
      <c r="N3690" s="53"/>
      <c r="O3690" s="53"/>
      <c r="T3690" s="53"/>
      <c r="V3690" s="53"/>
      <c r="W3690" s="55"/>
    </row>
    <row r="3691">
      <c r="K3691" s="53"/>
      <c r="N3691" s="53"/>
      <c r="O3691" s="53"/>
      <c r="T3691" s="53"/>
      <c r="V3691" s="53"/>
      <c r="W3691" s="55"/>
    </row>
    <row r="3692">
      <c r="K3692" s="53"/>
      <c r="N3692" s="53"/>
      <c r="O3692" s="53"/>
      <c r="T3692" s="53"/>
      <c r="V3692" s="53"/>
      <c r="W3692" s="55"/>
    </row>
    <row r="3693">
      <c r="K3693" s="53"/>
      <c r="N3693" s="53"/>
      <c r="O3693" s="53"/>
      <c r="T3693" s="53"/>
      <c r="V3693" s="53"/>
      <c r="W3693" s="55"/>
    </row>
    <row r="3694">
      <c r="K3694" s="53"/>
      <c r="N3694" s="53"/>
      <c r="O3694" s="53"/>
      <c r="T3694" s="53"/>
      <c r="V3694" s="53"/>
      <c r="W3694" s="55"/>
    </row>
    <row r="3695">
      <c r="K3695" s="53"/>
      <c r="N3695" s="53"/>
      <c r="O3695" s="53"/>
      <c r="T3695" s="53"/>
      <c r="V3695" s="53"/>
      <c r="W3695" s="55"/>
    </row>
    <row r="3696">
      <c r="K3696" s="53"/>
      <c r="N3696" s="53"/>
      <c r="O3696" s="53"/>
      <c r="T3696" s="53"/>
      <c r="V3696" s="53"/>
      <c r="W3696" s="55"/>
    </row>
    <row r="3697">
      <c r="K3697" s="53"/>
      <c r="N3697" s="53"/>
      <c r="O3697" s="53"/>
      <c r="T3697" s="53"/>
      <c r="V3697" s="53"/>
      <c r="W3697" s="55"/>
    </row>
    <row r="3698">
      <c r="K3698" s="53"/>
      <c r="N3698" s="53"/>
      <c r="O3698" s="53"/>
      <c r="T3698" s="53"/>
      <c r="V3698" s="53"/>
      <c r="W3698" s="55"/>
    </row>
    <row r="3699">
      <c r="K3699" s="53"/>
      <c r="N3699" s="53"/>
      <c r="O3699" s="53"/>
      <c r="T3699" s="53"/>
      <c r="V3699" s="53"/>
      <c r="W3699" s="55"/>
    </row>
    <row r="3700">
      <c r="K3700" s="53"/>
      <c r="N3700" s="53"/>
      <c r="O3700" s="53"/>
      <c r="T3700" s="53"/>
      <c r="V3700" s="53"/>
      <c r="W3700" s="55"/>
    </row>
    <row r="3701">
      <c r="K3701" s="53"/>
      <c r="N3701" s="53"/>
      <c r="O3701" s="53"/>
      <c r="T3701" s="53"/>
      <c r="V3701" s="53"/>
      <c r="W3701" s="55"/>
    </row>
    <row r="3702">
      <c r="K3702" s="53"/>
      <c r="N3702" s="53"/>
      <c r="O3702" s="53"/>
      <c r="T3702" s="53"/>
      <c r="V3702" s="53"/>
      <c r="W3702" s="55"/>
    </row>
    <row r="3703">
      <c r="K3703" s="53"/>
      <c r="N3703" s="53"/>
      <c r="O3703" s="53"/>
      <c r="T3703" s="53"/>
      <c r="V3703" s="53"/>
      <c r="W3703" s="55"/>
    </row>
    <row r="3704">
      <c r="K3704" s="53"/>
      <c r="N3704" s="53"/>
      <c r="O3704" s="53"/>
      <c r="T3704" s="53"/>
      <c r="V3704" s="53"/>
      <c r="W3704" s="55"/>
    </row>
    <row r="3705">
      <c r="K3705" s="53"/>
      <c r="N3705" s="53"/>
      <c r="O3705" s="53"/>
      <c r="T3705" s="53"/>
      <c r="V3705" s="53"/>
      <c r="W3705" s="55"/>
    </row>
    <row r="3706">
      <c r="K3706" s="53"/>
      <c r="N3706" s="53"/>
      <c r="O3706" s="53"/>
      <c r="T3706" s="53"/>
      <c r="V3706" s="53"/>
      <c r="W3706" s="55"/>
    </row>
    <row r="3707">
      <c r="K3707" s="53"/>
      <c r="N3707" s="53"/>
      <c r="O3707" s="53"/>
      <c r="T3707" s="53"/>
      <c r="V3707" s="53"/>
      <c r="W3707" s="55"/>
    </row>
    <row r="3708">
      <c r="K3708" s="53"/>
      <c r="N3708" s="53"/>
      <c r="O3708" s="53"/>
      <c r="T3708" s="53"/>
      <c r="V3708" s="53"/>
      <c r="W3708" s="55"/>
    </row>
    <row r="3709">
      <c r="K3709" s="53"/>
      <c r="N3709" s="53"/>
      <c r="O3709" s="53"/>
      <c r="T3709" s="53"/>
      <c r="V3709" s="53"/>
      <c r="W3709" s="55"/>
    </row>
    <row r="3710">
      <c r="K3710" s="53"/>
      <c r="N3710" s="53"/>
      <c r="O3710" s="53"/>
      <c r="T3710" s="53"/>
      <c r="V3710" s="53"/>
      <c r="W3710" s="55"/>
    </row>
    <row r="3711">
      <c r="K3711" s="53"/>
      <c r="N3711" s="53"/>
      <c r="O3711" s="53"/>
      <c r="T3711" s="53"/>
      <c r="V3711" s="53"/>
      <c r="W3711" s="55"/>
    </row>
    <row r="3712">
      <c r="K3712" s="53"/>
      <c r="N3712" s="53"/>
      <c r="O3712" s="53"/>
      <c r="T3712" s="53"/>
      <c r="V3712" s="53"/>
      <c r="W3712" s="55"/>
    </row>
    <row r="3713">
      <c r="K3713" s="53"/>
      <c r="N3713" s="53"/>
      <c r="O3713" s="53"/>
      <c r="T3713" s="53"/>
      <c r="V3713" s="53"/>
      <c r="W3713" s="55"/>
    </row>
    <row r="3714">
      <c r="K3714" s="53"/>
      <c r="N3714" s="53"/>
      <c r="O3714" s="53"/>
      <c r="T3714" s="53"/>
      <c r="V3714" s="53"/>
      <c r="W3714" s="55"/>
    </row>
    <row r="3715">
      <c r="K3715" s="53"/>
      <c r="N3715" s="53"/>
      <c r="O3715" s="53"/>
      <c r="T3715" s="53"/>
      <c r="V3715" s="53"/>
      <c r="W3715" s="55"/>
    </row>
    <row r="3716">
      <c r="K3716" s="53"/>
      <c r="N3716" s="53"/>
      <c r="O3716" s="53"/>
      <c r="T3716" s="53"/>
      <c r="V3716" s="53"/>
      <c r="W3716" s="55"/>
    </row>
    <row r="3717">
      <c r="K3717" s="53"/>
      <c r="N3717" s="53"/>
      <c r="O3717" s="53"/>
      <c r="T3717" s="53"/>
      <c r="V3717" s="53"/>
      <c r="W3717" s="55"/>
    </row>
    <row r="3718">
      <c r="K3718" s="53"/>
      <c r="N3718" s="53"/>
      <c r="O3718" s="53"/>
      <c r="T3718" s="53"/>
      <c r="V3718" s="53"/>
      <c r="W3718" s="55"/>
    </row>
    <row r="3719">
      <c r="K3719" s="53"/>
      <c r="N3719" s="53"/>
      <c r="O3719" s="53"/>
      <c r="T3719" s="53"/>
      <c r="V3719" s="53"/>
      <c r="W3719" s="55"/>
    </row>
    <row r="3720">
      <c r="K3720" s="53"/>
      <c r="N3720" s="53"/>
      <c r="O3720" s="53"/>
      <c r="T3720" s="53"/>
      <c r="V3720" s="53"/>
      <c r="W3720" s="55"/>
    </row>
    <row r="3721">
      <c r="K3721" s="53"/>
      <c r="N3721" s="53"/>
      <c r="O3721" s="53"/>
      <c r="T3721" s="53"/>
      <c r="V3721" s="53"/>
      <c r="W3721" s="55"/>
    </row>
    <row r="3722">
      <c r="K3722" s="53"/>
      <c r="N3722" s="53"/>
      <c r="O3722" s="53"/>
      <c r="T3722" s="53"/>
      <c r="V3722" s="53"/>
      <c r="W3722" s="55"/>
    </row>
    <row r="3723">
      <c r="K3723" s="53"/>
      <c r="N3723" s="53"/>
      <c r="O3723" s="53"/>
      <c r="T3723" s="53"/>
      <c r="V3723" s="53"/>
      <c r="W3723" s="55"/>
    </row>
    <row r="3724">
      <c r="K3724" s="53"/>
      <c r="N3724" s="53"/>
      <c r="O3724" s="53"/>
      <c r="T3724" s="53"/>
      <c r="V3724" s="53"/>
      <c r="W3724" s="55"/>
    </row>
    <row r="3725">
      <c r="K3725" s="53"/>
      <c r="N3725" s="53"/>
      <c r="O3725" s="53"/>
      <c r="T3725" s="53"/>
      <c r="V3725" s="53"/>
      <c r="W3725" s="55"/>
    </row>
    <row r="3726">
      <c r="K3726" s="53"/>
      <c r="N3726" s="53"/>
      <c r="O3726" s="53"/>
      <c r="T3726" s="53"/>
      <c r="V3726" s="53"/>
      <c r="W3726" s="55"/>
    </row>
    <row r="3727">
      <c r="K3727" s="53"/>
      <c r="N3727" s="53"/>
      <c r="O3727" s="53"/>
      <c r="T3727" s="53"/>
      <c r="V3727" s="53"/>
      <c r="W3727" s="55"/>
    </row>
    <row r="3728">
      <c r="K3728" s="53"/>
      <c r="N3728" s="53"/>
      <c r="O3728" s="53"/>
      <c r="T3728" s="53"/>
      <c r="V3728" s="53"/>
      <c r="W3728" s="55"/>
    </row>
    <row r="3729">
      <c r="K3729" s="53"/>
      <c r="N3729" s="53"/>
      <c r="O3729" s="53"/>
      <c r="T3729" s="53"/>
      <c r="V3729" s="53"/>
      <c r="W3729" s="55"/>
    </row>
    <row r="3730">
      <c r="K3730" s="53"/>
      <c r="N3730" s="53"/>
      <c r="O3730" s="53"/>
      <c r="T3730" s="53"/>
      <c r="V3730" s="53"/>
      <c r="W3730" s="55"/>
    </row>
    <row r="3731">
      <c r="K3731" s="53"/>
      <c r="N3731" s="53"/>
      <c r="O3731" s="53"/>
      <c r="T3731" s="53"/>
      <c r="V3731" s="53"/>
      <c r="W3731" s="55"/>
    </row>
    <row r="3732">
      <c r="K3732" s="53"/>
      <c r="N3732" s="53"/>
      <c r="O3732" s="53"/>
      <c r="T3732" s="53"/>
      <c r="V3732" s="53"/>
      <c r="W3732" s="55"/>
    </row>
    <row r="3733">
      <c r="K3733" s="53"/>
      <c r="N3733" s="53"/>
      <c r="O3733" s="53"/>
      <c r="T3733" s="53"/>
      <c r="V3733" s="53"/>
      <c r="W3733" s="55"/>
    </row>
    <row r="3734">
      <c r="K3734" s="53"/>
      <c r="N3734" s="53"/>
      <c r="O3734" s="53"/>
      <c r="T3734" s="53"/>
      <c r="V3734" s="53"/>
      <c r="W3734" s="55"/>
    </row>
    <row r="3735">
      <c r="K3735" s="53"/>
      <c r="N3735" s="53"/>
      <c r="O3735" s="53"/>
      <c r="T3735" s="53"/>
      <c r="V3735" s="53"/>
      <c r="W3735" s="55"/>
    </row>
    <row r="3736">
      <c r="K3736" s="53"/>
      <c r="N3736" s="53"/>
      <c r="O3736" s="53"/>
      <c r="T3736" s="53"/>
      <c r="V3736" s="53"/>
      <c r="W3736" s="55"/>
    </row>
    <row r="3737">
      <c r="K3737" s="53"/>
      <c r="N3737" s="53"/>
      <c r="O3737" s="53"/>
      <c r="T3737" s="53"/>
      <c r="V3737" s="53"/>
      <c r="W3737" s="55"/>
    </row>
    <row r="3738">
      <c r="K3738" s="53"/>
      <c r="N3738" s="53"/>
      <c r="O3738" s="53"/>
      <c r="T3738" s="53"/>
      <c r="V3738" s="53"/>
      <c r="W3738" s="55"/>
    </row>
    <row r="3739">
      <c r="K3739" s="53"/>
      <c r="N3739" s="53"/>
      <c r="O3739" s="53"/>
      <c r="T3739" s="53"/>
      <c r="V3739" s="53"/>
      <c r="W3739" s="55"/>
    </row>
    <row r="3740">
      <c r="K3740" s="53"/>
      <c r="N3740" s="53"/>
      <c r="O3740" s="53"/>
      <c r="T3740" s="53"/>
      <c r="V3740" s="53"/>
      <c r="W3740" s="55"/>
    </row>
    <row r="3741">
      <c r="K3741" s="53"/>
      <c r="N3741" s="53"/>
      <c r="O3741" s="53"/>
      <c r="T3741" s="53"/>
      <c r="V3741" s="53"/>
      <c r="W3741" s="55"/>
    </row>
    <row r="3742">
      <c r="K3742" s="53"/>
      <c r="N3742" s="53"/>
      <c r="O3742" s="53"/>
      <c r="T3742" s="53"/>
      <c r="V3742" s="53"/>
      <c r="W3742" s="55"/>
    </row>
    <row r="3743">
      <c r="K3743" s="53"/>
      <c r="N3743" s="53"/>
      <c r="O3743" s="53"/>
      <c r="T3743" s="53"/>
      <c r="V3743" s="53"/>
      <c r="W3743" s="55"/>
    </row>
    <row r="3744">
      <c r="K3744" s="53"/>
      <c r="N3744" s="53"/>
      <c r="O3744" s="53"/>
      <c r="T3744" s="53"/>
      <c r="V3744" s="53"/>
      <c r="W3744" s="55"/>
    </row>
    <row r="3745">
      <c r="K3745" s="53"/>
      <c r="N3745" s="53"/>
      <c r="O3745" s="53"/>
      <c r="T3745" s="53"/>
      <c r="V3745" s="53"/>
      <c r="W3745" s="55"/>
    </row>
    <row r="3746">
      <c r="K3746" s="53"/>
      <c r="N3746" s="53"/>
      <c r="O3746" s="53"/>
      <c r="T3746" s="53"/>
      <c r="V3746" s="53"/>
      <c r="W3746" s="55"/>
    </row>
    <row r="3747">
      <c r="K3747" s="53"/>
      <c r="N3747" s="53"/>
      <c r="O3747" s="53"/>
      <c r="T3747" s="53"/>
      <c r="V3747" s="53"/>
      <c r="W3747" s="55"/>
    </row>
    <row r="3748">
      <c r="K3748" s="53"/>
      <c r="N3748" s="53"/>
      <c r="O3748" s="53"/>
      <c r="T3748" s="53"/>
      <c r="V3748" s="53"/>
      <c r="W3748" s="55"/>
    </row>
    <row r="3749">
      <c r="K3749" s="53"/>
      <c r="N3749" s="53"/>
      <c r="O3749" s="53"/>
      <c r="T3749" s="53"/>
      <c r="V3749" s="53"/>
      <c r="W3749" s="55"/>
    </row>
    <row r="3750">
      <c r="K3750" s="53"/>
      <c r="N3750" s="53"/>
      <c r="O3750" s="53"/>
      <c r="T3750" s="53"/>
      <c r="V3750" s="53"/>
      <c r="W3750" s="55"/>
    </row>
    <row r="3751">
      <c r="K3751" s="53"/>
      <c r="N3751" s="53"/>
      <c r="O3751" s="53"/>
      <c r="T3751" s="53"/>
      <c r="V3751" s="53"/>
      <c r="W3751" s="55"/>
    </row>
    <row r="3752">
      <c r="K3752" s="53"/>
      <c r="N3752" s="53"/>
      <c r="O3752" s="53"/>
      <c r="T3752" s="53"/>
      <c r="V3752" s="53"/>
      <c r="W3752" s="55"/>
    </row>
    <row r="3753">
      <c r="K3753" s="53"/>
      <c r="N3753" s="53"/>
      <c r="O3753" s="53"/>
      <c r="T3753" s="53"/>
      <c r="V3753" s="53"/>
      <c r="W3753" s="55"/>
    </row>
    <row r="3754">
      <c r="K3754" s="53"/>
      <c r="N3754" s="53"/>
      <c r="O3754" s="53"/>
      <c r="T3754" s="53"/>
      <c r="V3754" s="53"/>
      <c r="W3754" s="55"/>
    </row>
    <row r="3755">
      <c r="K3755" s="53"/>
      <c r="N3755" s="53"/>
      <c r="O3755" s="53"/>
      <c r="T3755" s="53"/>
      <c r="V3755" s="53"/>
      <c r="W3755" s="55"/>
    </row>
    <row r="3756">
      <c r="K3756" s="53"/>
      <c r="N3756" s="53"/>
      <c r="O3756" s="53"/>
      <c r="T3756" s="53"/>
      <c r="V3756" s="53"/>
      <c r="W3756" s="55"/>
    </row>
    <row r="3757">
      <c r="K3757" s="53"/>
      <c r="N3757" s="53"/>
      <c r="O3757" s="53"/>
      <c r="T3757" s="53"/>
      <c r="V3757" s="53"/>
      <c r="W3757" s="55"/>
    </row>
    <row r="3758">
      <c r="K3758" s="53"/>
      <c r="N3758" s="53"/>
      <c r="O3758" s="53"/>
      <c r="T3758" s="53"/>
      <c r="V3758" s="53"/>
      <c r="W3758" s="55"/>
    </row>
    <row r="3759">
      <c r="K3759" s="53"/>
      <c r="N3759" s="53"/>
      <c r="O3759" s="53"/>
      <c r="T3759" s="53"/>
      <c r="V3759" s="53"/>
      <c r="W3759" s="55"/>
    </row>
    <row r="3760">
      <c r="K3760" s="53"/>
      <c r="N3760" s="53"/>
      <c r="O3760" s="53"/>
      <c r="T3760" s="53"/>
      <c r="V3760" s="53"/>
      <c r="W3760" s="55"/>
    </row>
    <row r="3761">
      <c r="K3761" s="53"/>
      <c r="N3761" s="53"/>
      <c r="O3761" s="53"/>
      <c r="T3761" s="53"/>
      <c r="V3761" s="53"/>
      <c r="W3761" s="55"/>
    </row>
    <row r="3762">
      <c r="K3762" s="53"/>
      <c r="N3762" s="53"/>
      <c r="O3762" s="53"/>
      <c r="T3762" s="53"/>
      <c r="V3762" s="53"/>
      <c r="W3762" s="55"/>
    </row>
    <row r="3763">
      <c r="K3763" s="53"/>
      <c r="N3763" s="53"/>
      <c r="O3763" s="53"/>
      <c r="T3763" s="53"/>
      <c r="V3763" s="53"/>
      <c r="W3763" s="55"/>
    </row>
    <row r="3764">
      <c r="K3764" s="53"/>
      <c r="N3764" s="53"/>
      <c r="O3764" s="53"/>
      <c r="T3764" s="53"/>
      <c r="V3764" s="53"/>
      <c r="W3764" s="55"/>
    </row>
    <row r="3765">
      <c r="K3765" s="53"/>
      <c r="N3765" s="53"/>
      <c r="O3765" s="53"/>
      <c r="T3765" s="53"/>
      <c r="V3765" s="53"/>
      <c r="W3765" s="55"/>
    </row>
    <row r="3766">
      <c r="K3766" s="53"/>
      <c r="N3766" s="53"/>
      <c r="O3766" s="53"/>
      <c r="T3766" s="53"/>
      <c r="V3766" s="53"/>
      <c r="W3766" s="55"/>
    </row>
    <row r="3767">
      <c r="K3767" s="53"/>
      <c r="N3767" s="53"/>
      <c r="O3767" s="53"/>
      <c r="T3767" s="53"/>
      <c r="V3767" s="53"/>
      <c r="W3767" s="55"/>
    </row>
    <row r="3768">
      <c r="K3768" s="53"/>
      <c r="N3768" s="53"/>
      <c r="O3768" s="53"/>
      <c r="T3768" s="53"/>
      <c r="V3768" s="53"/>
      <c r="W3768" s="55"/>
    </row>
    <row r="3769">
      <c r="K3769" s="53"/>
      <c r="N3769" s="53"/>
      <c r="O3769" s="53"/>
      <c r="T3769" s="53"/>
      <c r="V3769" s="53"/>
      <c r="W3769" s="55"/>
    </row>
    <row r="3770">
      <c r="K3770" s="53"/>
      <c r="N3770" s="53"/>
      <c r="O3770" s="53"/>
      <c r="T3770" s="53"/>
      <c r="V3770" s="53"/>
      <c r="W3770" s="55"/>
    </row>
    <row r="3771">
      <c r="K3771" s="53"/>
      <c r="N3771" s="53"/>
      <c r="O3771" s="53"/>
      <c r="T3771" s="53"/>
      <c r="V3771" s="53"/>
      <c r="W3771" s="55"/>
    </row>
    <row r="3772">
      <c r="K3772" s="53"/>
      <c r="N3772" s="53"/>
      <c r="O3772" s="53"/>
      <c r="T3772" s="53"/>
      <c r="V3772" s="53"/>
      <c r="W3772" s="55"/>
    </row>
    <row r="3773">
      <c r="K3773" s="53"/>
      <c r="N3773" s="53"/>
      <c r="O3773" s="53"/>
      <c r="T3773" s="53"/>
      <c r="V3773" s="53"/>
      <c r="W3773" s="55"/>
    </row>
    <row r="3774">
      <c r="K3774" s="53"/>
      <c r="N3774" s="53"/>
      <c r="O3774" s="53"/>
      <c r="T3774" s="53"/>
      <c r="V3774" s="53"/>
      <c r="W3774" s="55"/>
    </row>
    <row r="3775">
      <c r="K3775" s="53"/>
      <c r="N3775" s="53"/>
      <c r="O3775" s="53"/>
      <c r="T3775" s="53"/>
      <c r="V3775" s="53"/>
      <c r="W3775" s="55"/>
    </row>
    <row r="3776">
      <c r="K3776" s="53"/>
      <c r="N3776" s="53"/>
      <c r="O3776" s="53"/>
      <c r="T3776" s="53"/>
      <c r="V3776" s="53"/>
      <c r="W3776" s="55"/>
    </row>
    <row r="3777">
      <c r="K3777" s="53"/>
      <c r="N3777" s="53"/>
      <c r="O3777" s="53"/>
      <c r="T3777" s="53"/>
      <c r="V3777" s="53"/>
      <c r="W3777" s="55"/>
    </row>
    <row r="3778">
      <c r="K3778" s="53"/>
      <c r="N3778" s="53"/>
      <c r="O3778" s="53"/>
      <c r="T3778" s="53"/>
      <c r="V3778" s="53"/>
      <c r="W3778" s="55"/>
    </row>
    <row r="3779">
      <c r="K3779" s="53"/>
      <c r="N3779" s="53"/>
      <c r="O3779" s="53"/>
      <c r="T3779" s="53"/>
      <c r="V3779" s="53"/>
      <c r="W3779" s="55"/>
    </row>
    <row r="3780">
      <c r="K3780" s="53"/>
      <c r="N3780" s="53"/>
      <c r="O3780" s="53"/>
      <c r="T3780" s="53"/>
      <c r="V3780" s="53"/>
      <c r="W3780" s="55"/>
    </row>
    <row r="3781">
      <c r="K3781" s="53"/>
      <c r="N3781" s="53"/>
      <c r="O3781" s="53"/>
      <c r="T3781" s="53"/>
      <c r="V3781" s="53"/>
      <c r="W3781" s="55"/>
    </row>
    <row r="3782">
      <c r="K3782" s="53"/>
      <c r="N3782" s="53"/>
      <c r="O3782" s="53"/>
      <c r="T3782" s="53"/>
      <c r="V3782" s="53"/>
      <c r="W3782" s="55"/>
    </row>
    <row r="3783">
      <c r="K3783" s="53"/>
      <c r="N3783" s="53"/>
      <c r="O3783" s="53"/>
      <c r="T3783" s="53"/>
      <c r="V3783" s="53"/>
      <c r="W3783" s="55"/>
    </row>
    <row r="3784">
      <c r="K3784" s="53"/>
      <c r="N3784" s="53"/>
      <c r="O3784" s="53"/>
      <c r="T3784" s="53"/>
      <c r="V3784" s="53"/>
      <c r="W3784" s="55"/>
    </row>
    <row r="3785">
      <c r="K3785" s="53"/>
      <c r="N3785" s="53"/>
      <c r="O3785" s="53"/>
      <c r="T3785" s="53"/>
      <c r="V3785" s="53"/>
      <c r="W3785" s="55"/>
    </row>
    <row r="3786">
      <c r="K3786" s="53"/>
      <c r="N3786" s="53"/>
      <c r="O3786" s="53"/>
      <c r="T3786" s="53"/>
      <c r="V3786" s="53"/>
      <c r="W3786" s="55"/>
    </row>
    <row r="3787">
      <c r="K3787" s="53"/>
      <c r="N3787" s="53"/>
      <c r="O3787" s="53"/>
      <c r="T3787" s="53"/>
      <c r="V3787" s="53"/>
      <c r="W3787" s="55"/>
    </row>
    <row r="3788">
      <c r="K3788" s="53"/>
      <c r="N3788" s="53"/>
      <c r="O3788" s="53"/>
      <c r="T3788" s="53"/>
      <c r="V3788" s="53"/>
      <c r="W3788" s="55"/>
    </row>
    <row r="3789">
      <c r="K3789" s="53"/>
      <c r="N3789" s="53"/>
      <c r="O3789" s="53"/>
      <c r="T3789" s="53"/>
      <c r="V3789" s="53"/>
      <c r="W3789" s="55"/>
    </row>
    <row r="3790">
      <c r="K3790" s="53"/>
      <c r="N3790" s="53"/>
      <c r="O3790" s="53"/>
      <c r="T3790" s="53"/>
      <c r="V3790" s="53"/>
      <c r="W3790" s="55"/>
    </row>
    <row r="3791">
      <c r="K3791" s="53"/>
      <c r="N3791" s="53"/>
      <c r="O3791" s="53"/>
      <c r="T3791" s="53"/>
      <c r="V3791" s="53"/>
      <c r="W3791" s="55"/>
    </row>
    <row r="3792">
      <c r="K3792" s="53"/>
      <c r="N3792" s="53"/>
      <c r="O3792" s="53"/>
      <c r="T3792" s="53"/>
      <c r="V3792" s="53"/>
      <c r="W3792" s="55"/>
    </row>
    <row r="3793">
      <c r="K3793" s="53"/>
      <c r="N3793" s="53"/>
      <c r="O3793" s="53"/>
      <c r="T3793" s="53"/>
      <c r="V3793" s="53"/>
      <c r="W3793" s="55"/>
    </row>
    <row r="3794">
      <c r="K3794" s="53"/>
      <c r="N3794" s="53"/>
      <c r="O3794" s="53"/>
      <c r="T3794" s="53"/>
      <c r="V3794" s="53"/>
      <c r="W3794" s="55"/>
    </row>
    <row r="3795">
      <c r="K3795" s="53"/>
      <c r="N3795" s="53"/>
      <c r="O3795" s="53"/>
      <c r="T3795" s="53"/>
      <c r="V3795" s="53"/>
      <c r="W3795" s="55"/>
    </row>
    <row r="3796">
      <c r="K3796" s="53"/>
      <c r="N3796" s="53"/>
      <c r="O3796" s="53"/>
      <c r="T3796" s="53"/>
      <c r="V3796" s="53"/>
      <c r="W3796" s="55"/>
    </row>
    <row r="3797">
      <c r="K3797" s="53"/>
      <c r="N3797" s="53"/>
      <c r="O3797" s="53"/>
      <c r="T3797" s="53"/>
      <c r="V3797" s="53"/>
      <c r="W3797" s="55"/>
    </row>
    <row r="3798">
      <c r="K3798" s="53"/>
      <c r="N3798" s="53"/>
      <c r="O3798" s="53"/>
      <c r="T3798" s="53"/>
      <c r="V3798" s="53"/>
      <c r="W3798" s="55"/>
    </row>
    <row r="3799">
      <c r="K3799" s="53"/>
      <c r="N3799" s="53"/>
      <c r="O3799" s="53"/>
      <c r="T3799" s="53"/>
      <c r="V3799" s="53"/>
      <c r="W3799" s="55"/>
    </row>
    <row r="3800">
      <c r="K3800" s="53"/>
      <c r="N3800" s="53"/>
      <c r="O3800" s="53"/>
      <c r="T3800" s="53"/>
      <c r="V3800" s="53"/>
      <c r="W3800" s="55"/>
    </row>
    <row r="3801">
      <c r="K3801" s="53"/>
      <c r="N3801" s="53"/>
      <c r="O3801" s="53"/>
      <c r="T3801" s="53"/>
      <c r="V3801" s="53"/>
      <c r="W3801" s="55"/>
    </row>
    <row r="3802">
      <c r="K3802" s="53"/>
      <c r="N3802" s="53"/>
      <c r="O3802" s="53"/>
      <c r="T3802" s="53"/>
      <c r="V3802" s="53"/>
      <c r="W3802" s="55"/>
    </row>
    <row r="3803">
      <c r="K3803" s="53"/>
      <c r="N3803" s="53"/>
      <c r="O3803" s="53"/>
      <c r="T3803" s="53"/>
      <c r="V3803" s="53"/>
      <c r="W3803" s="55"/>
    </row>
    <row r="3804">
      <c r="K3804" s="53"/>
      <c r="N3804" s="53"/>
      <c r="O3804" s="53"/>
      <c r="T3804" s="53"/>
      <c r="V3804" s="53"/>
      <c r="W3804" s="55"/>
    </row>
    <row r="3805">
      <c r="K3805" s="53"/>
      <c r="N3805" s="53"/>
      <c r="O3805" s="53"/>
      <c r="T3805" s="53"/>
      <c r="V3805" s="53"/>
      <c r="W3805" s="55"/>
    </row>
    <row r="3806">
      <c r="K3806" s="53"/>
      <c r="N3806" s="53"/>
      <c r="O3806" s="53"/>
      <c r="T3806" s="53"/>
      <c r="V3806" s="53"/>
      <c r="W3806" s="55"/>
    </row>
    <row r="3807">
      <c r="K3807" s="53"/>
      <c r="N3807" s="53"/>
      <c r="O3807" s="53"/>
      <c r="T3807" s="53"/>
      <c r="V3807" s="53"/>
      <c r="W3807" s="55"/>
    </row>
    <row r="3808">
      <c r="K3808" s="53"/>
      <c r="N3808" s="53"/>
      <c r="O3808" s="53"/>
      <c r="T3808" s="53"/>
      <c r="V3808" s="53"/>
      <c r="W3808" s="55"/>
    </row>
    <row r="3809">
      <c r="K3809" s="53"/>
      <c r="N3809" s="53"/>
      <c r="O3809" s="53"/>
      <c r="T3809" s="53"/>
      <c r="V3809" s="53"/>
      <c r="W3809" s="55"/>
    </row>
    <row r="3810">
      <c r="K3810" s="53"/>
      <c r="N3810" s="53"/>
      <c r="O3810" s="53"/>
      <c r="T3810" s="53"/>
      <c r="V3810" s="53"/>
      <c r="W3810" s="55"/>
    </row>
    <row r="3811">
      <c r="K3811" s="53"/>
      <c r="N3811" s="53"/>
      <c r="O3811" s="53"/>
      <c r="T3811" s="53"/>
      <c r="V3811" s="53"/>
      <c r="W3811" s="55"/>
    </row>
    <row r="3812">
      <c r="K3812" s="53"/>
      <c r="N3812" s="53"/>
      <c r="O3812" s="53"/>
      <c r="T3812" s="53"/>
      <c r="V3812" s="53"/>
      <c r="W3812" s="55"/>
    </row>
    <row r="3813">
      <c r="K3813" s="53"/>
      <c r="N3813" s="53"/>
      <c r="O3813" s="53"/>
      <c r="T3813" s="53"/>
      <c r="V3813" s="53"/>
      <c r="W3813" s="55"/>
    </row>
    <row r="3814">
      <c r="K3814" s="53"/>
      <c r="N3814" s="53"/>
      <c r="O3814" s="53"/>
      <c r="T3814" s="53"/>
      <c r="V3814" s="53"/>
      <c r="W3814" s="55"/>
    </row>
    <row r="3815">
      <c r="K3815" s="53"/>
      <c r="N3815" s="53"/>
      <c r="O3815" s="53"/>
      <c r="T3815" s="53"/>
      <c r="V3815" s="53"/>
      <c r="W3815" s="55"/>
    </row>
    <row r="3816">
      <c r="K3816" s="53"/>
      <c r="N3816" s="53"/>
      <c r="O3816" s="53"/>
      <c r="T3816" s="53"/>
      <c r="V3816" s="53"/>
      <c r="W3816" s="55"/>
    </row>
    <row r="3817">
      <c r="K3817" s="53"/>
      <c r="N3817" s="53"/>
      <c r="O3817" s="53"/>
      <c r="T3817" s="53"/>
      <c r="V3817" s="53"/>
      <c r="W3817" s="55"/>
    </row>
    <row r="3818">
      <c r="K3818" s="53"/>
      <c r="N3818" s="53"/>
      <c r="O3818" s="53"/>
      <c r="T3818" s="53"/>
      <c r="V3818" s="53"/>
      <c r="W3818" s="55"/>
    </row>
    <row r="3819">
      <c r="K3819" s="53"/>
      <c r="N3819" s="53"/>
      <c r="O3819" s="53"/>
      <c r="T3819" s="53"/>
      <c r="V3819" s="53"/>
      <c r="W3819" s="55"/>
    </row>
    <row r="3820">
      <c r="K3820" s="53"/>
      <c r="N3820" s="53"/>
      <c r="O3820" s="53"/>
      <c r="T3820" s="53"/>
      <c r="V3820" s="53"/>
      <c r="W3820" s="55"/>
    </row>
    <row r="3821">
      <c r="K3821" s="53"/>
      <c r="N3821" s="53"/>
      <c r="O3821" s="53"/>
      <c r="T3821" s="53"/>
      <c r="V3821" s="53"/>
      <c r="W3821" s="55"/>
    </row>
    <row r="3822">
      <c r="K3822" s="53"/>
      <c r="N3822" s="53"/>
      <c r="O3822" s="53"/>
      <c r="T3822" s="53"/>
      <c r="V3822" s="53"/>
      <c r="W3822" s="55"/>
    </row>
    <row r="3823">
      <c r="K3823" s="53"/>
      <c r="N3823" s="53"/>
      <c r="O3823" s="53"/>
      <c r="T3823" s="53"/>
      <c r="V3823" s="53"/>
      <c r="W3823" s="55"/>
    </row>
    <row r="3824">
      <c r="K3824" s="53"/>
      <c r="N3824" s="53"/>
      <c r="O3824" s="53"/>
      <c r="T3824" s="53"/>
      <c r="V3824" s="53"/>
      <c r="W3824" s="55"/>
    </row>
    <row r="3825">
      <c r="K3825" s="53"/>
      <c r="N3825" s="53"/>
      <c r="O3825" s="53"/>
      <c r="T3825" s="53"/>
      <c r="V3825" s="53"/>
      <c r="W3825" s="55"/>
    </row>
    <row r="3826">
      <c r="K3826" s="53"/>
      <c r="N3826" s="53"/>
      <c r="O3826" s="53"/>
      <c r="T3826" s="53"/>
      <c r="V3826" s="53"/>
      <c r="W3826" s="55"/>
    </row>
    <row r="3827">
      <c r="K3827" s="53"/>
      <c r="N3827" s="53"/>
      <c r="O3827" s="53"/>
      <c r="T3827" s="53"/>
      <c r="V3827" s="53"/>
      <c r="W3827" s="55"/>
    </row>
    <row r="3828">
      <c r="K3828" s="53"/>
      <c r="N3828" s="53"/>
      <c r="O3828" s="53"/>
      <c r="T3828" s="53"/>
      <c r="V3828" s="53"/>
      <c r="W3828" s="55"/>
    </row>
    <row r="3829">
      <c r="K3829" s="53"/>
      <c r="N3829" s="53"/>
      <c r="O3829" s="53"/>
      <c r="T3829" s="53"/>
      <c r="V3829" s="53"/>
      <c r="W3829" s="55"/>
    </row>
    <row r="3830">
      <c r="K3830" s="53"/>
      <c r="N3830" s="53"/>
      <c r="O3830" s="53"/>
      <c r="T3830" s="53"/>
      <c r="V3830" s="53"/>
      <c r="W3830" s="55"/>
    </row>
    <row r="3831">
      <c r="K3831" s="53"/>
      <c r="N3831" s="53"/>
      <c r="O3831" s="53"/>
      <c r="T3831" s="53"/>
      <c r="V3831" s="53"/>
      <c r="W3831" s="55"/>
    </row>
    <row r="3832">
      <c r="K3832" s="53"/>
      <c r="N3832" s="53"/>
      <c r="O3832" s="53"/>
      <c r="T3832" s="53"/>
      <c r="V3832" s="53"/>
      <c r="W3832" s="55"/>
    </row>
    <row r="3833">
      <c r="K3833" s="53"/>
      <c r="N3833" s="53"/>
      <c r="O3833" s="53"/>
      <c r="T3833" s="53"/>
      <c r="V3833" s="53"/>
      <c r="W3833" s="55"/>
    </row>
    <row r="3834">
      <c r="K3834" s="53"/>
      <c r="N3834" s="53"/>
      <c r="O3834" s="53"/>
      <c r="T3834" s="53"/>
      <c r="V3834" s="53"/>
      <c r="W3834" s="55"/>
    </row>
    <row r="3835">
      <c r="K3835" s="53"/>
      <c r="N3835" s="53"/>
      <c r="O3835" s="53"/>
      <c r="T3835" s="53"/>
      <c r="V3835" s="53"/>
      <c r="W3835" s="55"/>
    </row>
    <row r="3836">
      <c r="K3836" s="53"/>
      <c r="N3836" s="53"/>
      <c r="O3836" s="53"/>
      <c r="T3836" s="53"/>
      <c r="V3836" s="53"/>
      <c r="W3836" s="55"/>
    </row>
    <row r="3837">
      <c r="K3837" s="53"/>
      <c r="N3837" s="53"/>
      <c r="O3837" s="53"/>
      <c r="T3837" s="53"/>
      <c r="V3837" s="53"/>
      <c r="W3837" s="55"/>
    </row>
    <row r="3838">
      <c r="K3838" s="53"/>
      <c r="N3838" s="53"/>
      <c r="O3838" s="53"/>
      <c r="T3838" s="53"/>
      <c r="V3838" s="53"/>
      <c r="W3838" s="55"/>
    </row>
    <row r="3839">
      <c r="K3839" s="53"/>
      <c r="N3839" s="53"/>
      <c r="O3839" s="53"/>
      <c r="T3839" s="53"/>
      <c r="V3839" s="53"/>
      <c r="W3839" s="55"/>
    </row>
    <row r="3840">
      <c r="K3840" s="53"/>
      <c r="N3840" s="53"/>
      <c r="O3840" s="53"/>
      <c r="T3840" s="53"/>
      <c r="V3840" s="53"/>
      <c r="W3840" s="55"/>
    </row>
    <row r="3841">
      <c r="K3841" s="53"/>
      <c r="N3841" s="53"/>
      <c r="O3841" s="53"/>
      <c r="T3841" s="53"/>
      <c r="V3841" s="53"/>
      <c r="W3841" s="55"/>
    </row>
    <row r="3842">
      <c r="K3842" s="53"/>
      <c r="N3842" s="53"/>
      <c r="O3842" s="53"/>
      <c r="T3842" s="53"/>
      <c r="V3842" s="53"/>
      <c r="W3842" s="55"/>
    </row>
    <row r="3843">
      <c r="K3843" s="53"/>
      <c r="N3843" s="53"/>
      <c r="O3843" s="53"/>
      <c r="T3843" s="53"/>
      <c r="V3843" s="53"/>
      <c r="W3843" s="55"/>
    </row>
    <row r="3844">
      <c r="K3844" s="53"/>
      <c r="N3844" s="53"/>
      <c r="O3844" s="53"/>
      <c r="T3844" s="53"/>
      <c r="V3844" s="53"/>
      <c r="W3844" s="55"/>
    </row>
    <row r="3845">
      <c r="K3845" s="53"/>
      <c r="N3845" s="53"/>
      <c r="O3845" s="53"/>
      <c r="T3845" s="53"/>
      <c r="V3845" s="53"/>
      <c r="W3845" s="55"/>
    </row>
    <row r="3846">
      <c r="K3846" s="53"/>
      <c r="N3846" s="53"/>
      <c r="O3846" s="53"/>
      <c r="T3846" s="53"/>
      <c r="V3846" s="53"/>
      <c r="W3846" s="55"/>
    </row>
    <row r="3847">
      <c r="K3847" s="53"/>
      <c r="N3847" s="53"/>
      <c r="O3847" s="53"/>
      <c r="T3847" s="53"/>
      <c r="V3847" s="53"/>
      <c r="W3847" s="55"/>
    </row>
    <row r="3848">
      <c r="K3848" s="53"/>
      <c r="N3848" s="53"/>
      <c r="O3848" s="53"/>
      <c r="T3848" s="53"/>
      <c r="V3848" s="53"/>
      <c r="W3848" s="55"/>
    </row>
    <row r="3849">
      <c r="K3849" s="53"/>
      <c r="N3849" s="53"/>
      <c r="O3849" s="53"/>
      <c r="T3849" s="53"/>
      <c r="V3849" s="53"/>
      <c r="W3849" s="55"/>
    </row>
    <row r="3850">
      <c r="K3850" s="53"/>
      <c r="N3850" s="53"/>
      <c r="O3850" s="53"/>
      <c r="T3850" s="53"/>
      <c r="V3850" s="53"/>
      <c r="W3850" s="55"/>
    </row>
    <row r="3851">
      <c r="K3851" s="53"/>
      <c r="N3851" s="53"/>
      <c r="O3851" s="53"/>
      <c r="T3851" s="53"/>
      <c r="V3851" s="53"/>
      <c r="W3851" s="55"/>
    </row>
    <row r="3852">
      <c r="K3852" s="53"/>
      <c r="N3852" s="53"/>
      <c r="O3852" s="53"/>
      <c r="T3852" s="53"/>
      <c r="V3852" s="53"/>
      <c r="W3852" s="55"/>
    </row>
    <row r="3853">
      <c r="K3853" s="53"/>
      <c r="N3853" s="53"/>
      <c r="O3853" s="53"/>
      <c r="T3853" s="53"/>
      <c r="V3853" s="53"/>
      <c r="W3853" s="55"/>
    </row>
    <row r="3854">
      <c r="K3854" s="53"/>
      <c r="N3854" s="53"/>
      <c r="O3854" s="53"/>
      <c r="T3854" s="53"/>
      <c r="V3854" s="53"/>
      <c r="W3854" s="55"/>
    </row>
    <row r="3855">
      <c r="K3855" s="53"/>
      <c r="N3855" s="53"/>
      <c r="O3855" s="53"/>
      <c r="T3855" s="53"/>
      <c r="V3855" s="53"/>
      <c r="W3855" s="55"/>
    </row>
    <row r="3856">
      <c r="K3856" s="53"/>
      <c r="N3856" s="53"/>
      <c r="O3856" s="53"/>
      <c r="T3856" s="53"/>
      <c r="V3856" s="53"/>
      <c r="W3856" s="55"/>
    </row>
    <row r="3857">
      <c r="K3857" s="53"/>
      <c r="N3857" s="53"/>
      <c r="O3857" s="53"/>
      <c r="T3857" s="53"/>
      <c r="V3857" s="53"/>
      <c r="W3857" s="55"/>
    </row>
    <row r="3858">
      <c r="K3858" s="53"/>
      <c r="N3858" s="53"/>
      <c r="O3858" s="53"/>
      <c r="T3858" s="53"/>
      <c r="V3858" s="53"/>
      <c r="W3858" s="55"/>
    </row>
    <row r="3859">
      <c r="K3859" s="53"/>
      <c r="N3859" s="53"/>
      <c r="O3859" s="53"/>
      <c r="T3859" s="53"/>
      <c r="V3859" s="53"/>
      <c r="W3859" s="55"/>
    </row>
    <row r="3860">
      <c r="K3860" s="53"/>
      <c r="N3860" s="53"/>
      <c r="O3860" s="53"/>
      <c r="T3860" s="53"/>
      <c r="V3860" s="53"/>
      <c r="W3860" s="55"/>
    </row>
    <row r="3861">
      <c r="K3861" s="53"/>
      <c r="N3861" s="53"/>
      <c r="O3861" s="53"/>
      <c r="T3861" s="53"/>
      <c r="V3861" s="53"/>
      <c r="W3861" s="55"/>
    </row>
    <row r="3862">
      <c r="K3862" s="53"/>
      <c r="N3862" s="53"/>
      <c r="O3862" s="53"/>
      <c r="T3862" s="53"/>
      <c r="V3862" s="53"/>
      <c r="W3862" s="55"/>
    </row>
    <row r="3863">
      <c r="K3863" s="53"/>
      <c r="N3863" s="53"/>
      <c r="O3863" s="53"/>
      <c r="T3863" s="53"/>
      <c r="V3863" s="53"/>
      <c r="W3863" s="55"/>
    </row>
    <row r="3864">
      <c r="K3864" s="53"/>
      <c r="N3864" s="53"/>
      <c r="O3864" s="53"/>
      <c r="T3864" s="53"/>
      <c r="V3864" s="53"/>
      <c r="W3864" s="55"/>
    </row>
    <row r="3865">
      <c r="K3865" s="53"/>
      <c r="N3865" s="53"/>
      <c r="O3865" s="53"/>
      <c r="T3865" s="53"/>
      <c r="V3865" s="53"/>
      <c r="W3865" s="55"/>
    </row>
    <row r="3866">
      <c r="K3866" s="53"/>
      <c r="N3866" s="53"/>
      <c r="O3866" s="53"/>
      <c r="T3866" s="53"/>
      <c r="V3866" s="53"/>
      <c r="W3866" s="55"/>
    </row>
    <row r="3867">
      <c r="K3867" s="53"/>
      <c r="N3867" s="53"/>
      <c r="O3867" s="53"/>
      <c r="T3867" s="53"/>
      <c r="V3867" s="53"/>
      <c r="W3867" s="55"/>
    </row>
    <row r="3868">
      <c r="K3868" s="53"/>
      <c r="N3868" s="53"/>
      <c r="O3868" s="53"/>
      <c r="T3868" s="53"/>
      <c r="V3868" s="53"/>
      <c r="W3868" s="55"/>
    </row>
    <row r="3869">
      <c r="K3869" s="53"/>
      <c r="N3869" s="53"/>
      <c r="O3869" s="53"/>
      <c r="T3869" s="53"/>
      <c r="V3869" s="53"/>
      <c r="W3869" s="55"/>
    </row>
    <row r="3870">
      <c r="K3870" s="53"/>
      <c r="N3870" s="53"/>
      <c r="O3870" s="53"/>
      <c r="T3870" s="53"/>
      <c r="V3870" s="53"/>
      <c r="W3870" s="55"/>
    </row>
    <row r="3871">
      <c r="K3871" s="53"/>
      <c r="N3871" s="53"/>
      <c r="O3871" s="53"/>
      <c r="T3871" s="53"/>
      <c r="V3871" s="53"/>
      <c r="W3871" s="55"/>
    </row>
    <row r="3872">
      <c r="K3872" s="53"/>
      <c r="N3872" s="53"/>
      <c r="O3872" s="53"/>
      <c r="T3872" s="53"/>
      <c r="V3872" s="53"/>
      <c r="W3872" s="55"/>
    </row>
    <row r="3873">
      <c r="K3873" s="53"/>
      <c r="N3873" s="53"/>
      <c r="O3873" s="53"/>
      <c r="T3873" s="53"/>
      <c r="V3873" s="53"/>
      <c r="W3873" s="55"/>
    </row>
    <row r="3874">
      <c r="K3874" s="53"/>
      <c r="N3874" s="53"/>
      <c r="O3874" s="53"/>
      <c r="T3874" s="53"/>
      <c r="V3874" s="53"/>
      <c r="W3874" s="55"/>
    </row>
    <row r="3875">
      <c r="K3875" s="53"/>
      <c r="N3875" s="53"/>
      <c r="O3875" s="53"/>
      <c r="T3875" s="53"/>
      <c r="V3875" s="53"/>
      <c r="W3875" s="55"/>
    </row>
    <row r="3876">
      <c r="K3876" s="53"/>
      <c r="N3876" s="53"/>
      <c r="O3876" s="53"/>
      <c r="T3876" s="53"/>
      <c r="V3876" s="53"/>
      <c r="W3876" s="55"/>
    </row>
    <row r="3877">
      <c r="K3877" s="53"/>
      <c r="N3877" s="53"/>
      <c r="O3877" s="53"/>
      <c r="T3877" s="53"/>
      <c r="V3877" s="53"/>
      <c r="W3877" s="55"/>
    </row>
    <row r="3878">
      <c r="K3878" s="53"/>
      <c r="N3878" s="53"/>
      <c r="O3878" s="53"/>
      <c r="T3878" s="53"/>
      <c r="V3878" s="53"/>
      <c r="W3878" s="55"/>
    </row>
    <row r="3879">
      <c r="K3879" s="53"/>
      <c r="N3879" s="53"/>
      <c r="O3879" s="53"/>
      <c r="T3879" s="53"/>
      <c r="V3879" s="53"/>
      <c r="W3879" s="55"/>
    </row>
    <row r="3880">
      <c r="K3880" s="53"/>
      <c r="N3880" s="53"/>
      <c r="O3880" s="53"/>
      <c r="T3880" s="53"/>
      <c r="V3880" s="53"/>
      <c r="W3880" s="55"/>
    </row>
    <row r="3881">
      <c r="K3881" s="53"/>
      <c r="N3881" s="53"/>
      <c r="O3881" s="53"/>
      <c r="T3881" s="53"/>
      <c r="V3881" s="53"/>
      <c r="W3881" s="55"/>
    </row>
    <row r="3882">
      <c r="K3882" s="53"/>
      <c r="N3882" s="53"/>
      <c r="O3882" s="53"/>
      <c r="T3882" s="53"/>
      <c r="V3882" s="53"/>
      <c r="W3882" s="55"/>
    </row>
    <row r="3883">
      <c r="K3883" s="53"/>
      <c r="N3883" s="53"/>
      <c r="O3883" s="53"/>
      <c r="T3883" s="53"/>
      <c r="V3883" s="53"/>
      <c r="W3883" s="55"/>
    </row>
    <row r="3884">
      <c r="K3884" s="53"/>
      <c r="N3884" s="53"/>
      <c r="O3884" s="53"/>
      <c r="T3884" s="53"/>
      <c r="V3884" s="53"/>
      <c r="W3884" s="55"/>
    </row>
    <row r="3885">
      <c r="K3885" s="53"/>
      <c r="N3885" s="53"/>
      <c r="O3885" s="53"/>
      <c r="T3885" s="53"/>
      <c r="V3885" s="53"/>
      <c r="W3885" s="55"/>
    </row>
    <row r="3886">
      <c r="K3886" s="53"/>
      <c r="N3886" s="53"/>
      <c r="O3886" s="53"/>
      <c r="T3886" s="53"/>
      <c r="V3886" s="53"/>
      <c r="W3886" s="55"/>
    </row>
    <row r="3887">
      <c r="K3887" s="53"/>
      <c r="N3887" s="53"/>
      <c r="O3887" s="53"/>
      <c r="T3887" s="53"/>
      <c r="V3887" s="53"/>
      <c r="W3887" s="55"/>
    </row>
    <row r="3888">
      <c r="K3888" s="53"/>
      <c r="N3888" s="53"/>
      <c r="O3888" s="53"/>
      <c r="T3888" s="53"/>
      <c r="V3888" s="53"/>
      <c r="W3888" s="55"/>
    </row>
    <row r="3889">
      <c r="K3889" s="53"/>
      <c r="N3889" s="53"/>
      <c r="O3889" s="53"/>
      <c r="T3889" s="53"/>
      <c r="V3889" s="53"/>
      <c r="W3889" s="55"/>
    </row>
    <row r="3890">
      <c r="K3890" s="53"/>
      <c r="N3890" s="53"/>
      <c r="O3890" s="53"/>
      <c r="T3890" s="53"/>
      <c r="V3890" s="53"/>
      <c r="W3890" s="55"/>
    </row>
    <row r="3891">
      <c r="K3891" s="53"/>
      <c r="N3891" s="53"/>
      <c r="O3891" s="53"/>
      <c r="T3891" s="53"/>
      <c r="V3891" s="53"/>
      <c r="W3891" s="55"/>
    </row>
    <row r="3892">
      <c r="K3892" s="53"/>
      <c r="N3892" s="53"/>
      <c r="O3892" s="53"/>
      <c r="T3892" s="53"/>
      <c r="V3892" s="53"/>
      <c r="W3892" s="55"/>
    </row>
    <row r="3893">
      <c r="K3893" s="53"/>
      <c r="N3893" s="53"/>
      <c r="O3893" s="53"/>
      <c r="T3893" s="53"/>
      <c r="V3893" s="53"/>
      <c r="W3893" s="55"/>
    </row>
    <row r="3894">
      <c r="K3894" s="53"/>
      <c r="N3894" s="53"/>
      <c r="O3894" s="53"/>
      <c r="T3894" s="53"/>
      <c r="V3894" s="53"/>
      <c r="W3894" s="55"/>
    </row>
    <row r="3895">
      <c r="K3895" s="53"/>
      <c r="N3895" s="53"/>
      <c r="O3895" s="53"/>
      <c r="T3895" s="53"/>
      <c r="V3895" s="53"/>
      <c r="W3895" s="55"/>
    </row>
    <row r="3896">
      <c r="K3896" s="53"/>
      <c r="N3896" s="53"/>
      <c r="O3896" s="53"/>
      <c r="T3896" s="53"/>
      <c r="V3896" s="53"/>
      <c r="W3896" s="55"/>
    </row>
    <row r="3897">
      <c r="K3897" s="53"/>
      <c r="N3897" s="53"/>
      <c r="O3897" s="53"/>
      <c r="T3897" s="53"/>
      <c r="V3897" s="53"/>
      <c r="W3897" s="55"/>
    </row>
    <row r="3898">
      <c r="K3898" s="53"/>
      <c r="N3898" s="53"/>
      <c r="O3898" s="53"/>
      <c r="T3898" s="53"/>
      <c r="V3898" s="53"/>
      <c r="W3898" s="55"/>
    </row>
    <row r="3899">
      <c r="K3899" s="53"/>
      <c r="N3899" s="53"/>
      <c r="O3899" s="53"/>
      <c r="T3899" s="53"/>
      <c r="V3899" s="53"/>
      <c r="W3899" s="55"/>
    </row>
    <row r="3900">
      <c r="K3900" s="53"/>
      <c r="N3900" s="53"/>
      <c r="O3900" s="53"/>
      <c r="T3900" s="53"/>
      <c r="V3900" s="53"/>
      <c r="W3900" s="55"/>
    </row>
    <row r="3901">
      <c r="K3901" s="53"/>
      <c r="N3901" s="53"/>
      <c r="O3901" s="53"/>
      <c r="T3901" s="53"/>
      <c r="V3901" s="53"/>
      <c r="W3901" s="55"/>
    </row>
    <row r="3902">
      <c r="K3902" s="53"/>
      <c r="N3902" s="53"/>
      <c r="O3902" s="53"/>
      <c r="T3902" s="53"/>
      <c r="V3902" s="53"/>
      <c r="W3902" s="55"/>
    </row>
    <row r="3903">
      <c r="K3903" s="53"/>
      <c r="N3903" s="53"/>
      <c r="O3903" s="53"/>
      <c r="T3903" s="53"/>
      <c r="V3903" s="53"/>
      <c r="W3903" s="55"/>
    </row>
    <row r="3904">
      <c r="K3904" s="53"/>
      <c r="N3904" s="53"/>
      <c r="O3904" s="53"/>
      <c r="T3904" s="53"/>
      <c r="V3904" s="53"/>
      <c r="W3904" s="55"/>
    </row>
    <row r="3905">
      <c r="K3905" s="53"/>
      <c r="N3905" s="53"/>
      <c r="O3905" s="53"/>
      <c r="T3905" s="53"/>
      <c r="V3905" s="53"/>
      <c r="W3905" s="55"/>
    </row>
    <row r="3906">
      <c r="K3906" s="53"/>
      <c r="N3906" s="53"/>
      <c r="O3906" s="53"/>
      <c r="T3906" s="53"/>
      <c r="V3906" s="53"/>
      <c r="W3906" s="55"/>
    </row>
    <row r="3907">
      <c r="K3907" s="53"/>
      <c r="N3907" s="53"/>
      <c r="O3907" s="53"/>
      <c r="T3907" s="53"/>
      <c r="V3907" s="53"/>
      <c r="W3907" s="55"/>
    </row>
    <row r="3908">
      <c r="K3908" s="53"/>
      <c r="N3908" s="53"/>
      <c r="O3908" s="53"/>
      <c r="T3908" s="53"/>
      <c r="V3908" s="53"/>
      <c r="W3908" s="55"/>
    </row>
    <row r="3909">
      <c r="K3909" s="53"/>
      <c r="N3909" s="53"/>
      <c r="O3909" s="53"/>
      <c r="T3909" s="53"/>
      <c r="V3909" s="53"/>
      <c r="W3909" s="55"/>
    </row>
    <row r="3910">
      <c r="K3910" s="53"/>
      <c r="N3910" s="53"/>
      <c r="O3910" s="53"/>
      <c r="T3910" s="53"/>
      <c r="V3910" s="53"/>
      <c r="W3910" s="55"/>
    </row>
    <row r="3911">
      <c r="K3911" s="53"/>
      <c r="N3911" s="53"/>
      <c r="O3911" s="53"/>
      <c r="T3911" s="53"/>
      <c r="V3911" s="53"/>
      <c r="W3911" s="55"/>
    </row>
    <row r="3912">
      <c r="K3912" s="53"/>
      <c r="N3912" s="53"/>
      <c r="O3912" s="53"/>
      <c r="T3912" s="53"/>
      <c r="V3912" s="53"/>
      <c r="W3912" s="55"/>
    </row>
    <row r="3913">
      <c r="K3913" s="53"/>
      <c r="N3913" s="53"/>
      <c r="O3913" s="53"/>
      <c r="T3913" s="53"/>
      <c r="V3913" s="53"/>
      <c r="W3913" s="55"/>
    </row>
    <row r="3914">
      <c r="K3914" s="53"/>
      <c r="N3914" s="53"/>
      <c r="O3914" s="53"/>
      <c r="T3914" s="53"/>
      <c r="V3914" s="53"/>
      <c r="W3914" s="55"/>
    </row>
    <row r="3915">
      <c r="K3915" s="53"/>
      <c r="N3915" s="53"/>
      <c r="O3915" s="53"/>
      <c r="T3915" s="53"/>
      <c r="V3915" s="53"/>
      <c r="W3915" s="55"/>
    </row>
    <row r="3916">
      <c r="K3916" s="53"/>
      <c r="N3916" s="53"/>
      <c r="O3916" s="53"/>
      <c r="T3916" s="53"/>
      <c r="V3916" s="53"/>
      <c r="W3916" s="55"/>
    </row>
    <row r="3917">
      <c r="K3917" s="53"/>
      <c r="N3917" s="53"/>
      <c r="O3917" s="53"/>
      <c r="T3917" s="53"/>
      <c r="V3917" s="53"/>
      <c r="W3917" s="55"/>
    </row>
    <row r="3918">
      <c r="K3918" s="53"/>
      <c r="N3918" s="53"/>
      <c r="O3918" s="53"/>
      <c r="T3918" s="53"/>
      <c r="V3918" s="53"/>
      <c r="W3918" s="55"/>
    </row>
    <row r="3919">
      <c r="K3919" s="53"/>
      <c r="N3919" s="53"/>
      <c r="O3919" s="53"/>
      <c r="T3919" s="53"/>
      <c r="V3919" s="53"/>
      <c r="W3919" s="55"/>
    </row>
    <row r="3920">
      <c r="K3920" s="53"/>
      <c r="N3920" s="53"/>
      <c r="O3920" s="53"/>
      <c r="T3920" s="53"/>
      <c r="V3920" s="53"/>
      <c r="W3920" s="55"/>
    </row>
    <row r="3921">
      <c r="K3921" s="53"/>
      <c r="N3921" s="53"/>
      <c r="O3921" s="53"/>
      <c r="T3921" s="53"/>
      <c r="V3921" s="53"/>
      <c r="W3921" s="55"/>
    </row>
    <row r="3922">
      <c r="K3922" s="53"/>
      <c r="N3922" s="53"/>
      <c r="O3922" s="53"/>
      <c r="T3922" s="53"/>
      <c r="V3922" s="53"/>
      <c r="W3922" s="55"/>
    </row>
    <row r="3923">
      <c r="K3923" s="53"/>
      <c r="N3923" s="53"/>
      <c r="O3923" s="53"/>
      <c r="T3923" s="53"/>
      <c r="V3923" s="53"/>
      <c r="W3923" s="55"/>
    </row>
    <row r="3924">
      <c r="K3924" s="53"/>
      <c r="N3924" s="53"/>
      <c r="O3924" s="53"/>
      <c r="T3924" s="53"/>
      <c r="V3924" s="53"/>
      <c r="W3924" s="55"/>
    </row>
    <row r="3925">
      <c r="K3925" s="53"/>
      <c r="N3925" s="53"/>
      <c r="O3925" s="53"/>
      <c r="T3925" s="53"/>
      <c r="V3925" s="53"/>
      <c r="W3925" s="55"/>
    </row>
    <row r="3926">
      <c r="K3926" s="53"/>
      <c r="N3926" s="53"/>
      <c r="O3926" s="53"/>
      <c r="T3926" s="53"/>
      <c r="V3926" s="53"/>
      <c r="W3926" s="55"/>
    </row>
    <row r="3927">
      <c r="K3927" s="53"/>
      <c r="N3927" s="53"/>
      <c r="O3927" s="53"/>
      <c r="T3927" s="53"/>
      <c r="V3927" s="53"/>
      <c r="W3927" s="55"/>
    </row>
    <row r="3928">
      <c r="K3928" s="53"/>
      <c r="N3928" s="53"/>
      <c r="O3928" s="53"/>
      <c r="T3928" s="53"/>
      <c r="V3928" s="53"/>
      <c r="W3928" s="55"/>
    </row>
    <row r="3929">
      <c r="K3929" s="53"/>
      <c r="N3929" s="53"/>
      <c r="O3929" s="53"/>
      <c r="T3929" s="53"/>
      <c r="V3929" s="53"/>
      <c r="W3929" s="55"/>
    </row>
    <row r="3930">
      <c r="K3930" s="53"/>
      <c r="N3930" s="53"/>
      <c r="O3930" s="53"/>
      <c r="T3930" s="53"/>
      <c r="V3930" s="53"/>
      <c r="W3930" s="55"/>
    </row>
    <row r="3931">
      <c r="K3931" s="53"/>
      <c r="N3931" s="53"/>
      <c r="O3931" s="53"/>
      <c r="T3931" s="53"/>
      <c r="V3931" s="53"/>
      <c r="W3931" s="55"/>
    </row>
    <row r="3932">
      <c r="K3932" s="53"/>
      <c r="N3932" s="53"/>
      <c r="O3932" s="53"/>
      <c r="T3932" s="53"/>
      <c r="V3932" s="53"/>
      <c r="W3932" s="55"/>
    </row>
    <row r="3933">
      <c r="K3933" s="53"/>
      <c r="N3933" s="53"/>
      <c r="O3933" s="53"/>
      <c r="T3933" s="53"/>
      <c r="V3933" s="53"/>
      <c r="W3933" s="55"/>
    </row>
    <row r="3934">
      <c r="K3934" s="53"/>
      <c r="N3934" s="53"/>
      <c r="O3934" s="53"/>
      <c r="T3934" s="53"/>
      <c r="V3934" s="53"/>
      <c r="W3934" s="55"/>
    </row>
    <row r="3935">
      <c r="K3935" s="53"/>
      <c r="N3935" s="53"/>
      <c r="O3935" s="53"/>
      <c r="T3935" s="53"/>
      <c r="V3935" s="53"/>
      <c r="W3935" s="55"/>
    </row>
    <row r="3936">
      <c r="K3936" s="53"/>
      <c r="N3936" s="53"/>
      <c r="O3936" s="53"/>
      <c r="T3936" s="53"/>
      <c r="V3936" s="53"/>
      <c r="W3936" s="55"/>
    </row>
    <row r="3937">
      <c r="K3937" s="53"/>
      <c r="N3937" s="53"/>
      <c r="O3937" s="53"/>
      <c r="T3937" s="53"/>
      <c r="V3937" s="53"/>
      <c r="W3937" s="55"/>
    </row>
    <row r="3938">
      <c r="K3938" s="53"/>
      <c r="N3938" s="53"/>
      <c r="O3938" s="53"/>
      <c r="T3938" s="53"/>
      <c r="V3938" s="53"/>
      <c r="W3938" s="55"/>
    </row>
    <row r="3939">
      <c r="K3939" s="53"/>
      <c r="N3939" s="53"/>
      <c r="O3939" s="53"/>
      <c r="T3939" s="53"/>
      <c r="V3939" s="53"/>
      <c r="W3939" s="55"/>
    </row>
    <row r="3940">
      <c r="K3940" s="53"/>
      <c r="N3940" s="53"/>
      <c r="O3940" s="53"/>
      <c r="T3940" s="53"/>
      <c r="V3940" s="53"/>
      <c r="W3940" s="55"/>
    </row>
    <row r="3941">
      <c r="K3941" s="53"/>
      <c r="N3941" s="53"/>
      <c r="O3941" s="53"/>
      <c r="T3941" s="53"/>
      <c r="V3941" s="53"/>
      <c r="W3941" s="55"/>
    </row>
    <row r="3942">
      <c r="K3942" s="53"/>
      <c r="N3942" s="53"/>
      <c r="O3942" s="53"/>
      <c r="T3942" s="53"/>
      <c r="V3942" s="53"/>
      <c r="W3942" s="55"/>
    </row>
    <row r="3943">
      <c r="K3943" s="53"/>
      <c r="N3943" s="53"/>
      <c r="O3943" s="53"/>
      <c r="T3943" s="53"/>
      <c r="V3943" s="53"/>
      <c r="W3943" s="55"/>
    </row>
    <row r="3944">
      <c r="K3944" s="53"/>
      <c r="N3944" s="53"/>
      <c r="O3944" s="53"/>
      <c r="T3944" s="53"/>
      <c r="V3944" s="53"/>
      <c r="W3944" s="55"/>
    </row>
    <row r="3945">
      <c r="K3945" s="53"/>
      <c r="N3945" s="53"/>
      <c r="O3945" s="53"/>
      <c r="T3945" s="53"/>
      <c r="V3945" s="53"/>
      <c r="W3945" s="55"/>
    </row>
    <row r="3946">
      <c r="K3946" s="53"/>
      <c r="N3946" s="53"/>
      <c r="O3946" s="53"/>
      <c r="T3946" s="53"/>
      <c r="V3946" s="53"/>
      <c r="W3946" s="55"/>
    </row>
    <row r="3947">
      <c r="K3947" s="53"/>
      <c r="N3947" s="53"/>
      <c r="O3947" s="53"/>
      <c r="T3947" s="53"/>
      <c r="V3947" s="53"/>
      <c r="W3947" s="55"/>
    </row>
    <row r="3948">
      <c r="K3948" s="53"/>
      <c r="N3948" s="53"/>
      <c r="O3948" s="53"/>
      <c r="T3948" s="53"/>
      <c r="V3948" s="53"/>
      <c r="W3948" s="55"/>
    </row>
    <row r="3949">
      <c r="K3949" s="53"/>
      <c r="N3949" s="53"/>
      <c r="O3949" s="53"/>
      <c r="T3949" s="53"/>
      <c r="V3949" s="53"/>
      <c r="W3949" s="55"/>
    </row>
    <row r="3950">
      <c r="K3950" s="53"/>
      <c r="N3950" s="53"/>
      <c r="O3950" s="53"/>
      <c r="T3950" s="53"/>
      <c r="V3950" s="53"/>
      <c r="W3950" s="55"/>
    </row>
    <row r="3951">
      <c r="K3951" s="53"/>
      <c r="N3951" s="53"/>
      <c r="O3951" s="53"/>
      <c r="T3951" s="53"/>
      <c r="V3951" s="53"/>
      <c r="W3951" s="55"/>
    </row>
    <row r="3952">
      <c r="K3952" s="53"/>
      <c r="N3952" s="53"/>
      <c r="O3952" s="53"/>
      <c r="T3952" s="53"/>
      <c r="V3952" s="53"/>
      <c r="W3952" s="55"/>
    </row>
    <row r="3953">
      <c r="K3953" s="53"/>
      <c r="N3953" s="53"/>
      <c r="O3953" s="53"/>
      <c r="T3953" s="53"/>
      <c r="V3953" s="53"/>
      <c r="W3953" s="55"/>
    </row>
    <row r="3954">
      <c r="K3954" s="53"/>
      <c r="N3954" s="53"/>
      <c r="O3954" s="53"/>
      <c r="T3954" s="53"/>
      <c r="V3954" s="53"/>
      <c r="W3954" s="55"/>
    </row>
    <row r="3955">
      <c r="K3955" s="53"/>
      <c r="N3955" s="53"/>
      <c r="O3955" s="53"/>
      <c r="T3955" s="53"/>
      <c r="V3955" s="53"/>
      <c r="W3955" s="55"/>
    </row>
    <row r="3956">
      <c r="K3956" s="53"/>
      <c r="N3956" s="53"/>
      <c r="O3956" s="53"/>
      <c r="T3956" s="53"/>
      <c r="V3956" s="53"/>
      <c r="W3956" s="55"/>
    </row>
    <row r="3957">
      <c r="K3957" s="53"/>
      <c r="N3957" s="53"/>
      <c r="O3957" s="53"/>
      <c r="T3957" s="53"/>
      <c r="V3957" s="53"/>
      <c r="W3957" s="55"/>
    </row>
    <row r="3958">
      <c r="K3958" s="53"/>
      <c r="N3958" s="53"/>
      <c r="O3958" s="53"/>
      <c r="T3958" s="53"/>
      <c r="V3958" s="53"/>
      <c r="W3958" s="55"/>
    </row>
    <row r="3959">
      <c r="K3959" s="53"/>
      <c r="N3959" s="53"/>
      <c r="O3959" s="53"/>
      <c r="T3959" s="53"/>
      <c r="V3959" s="53"/>
      <c r="W3959" s="55"/>
    </row>
    <row r="3960">
      <c r="K3960" s="53"/>
      <c r="N3960" s="53"/>
      <c r="O3960" s="53"/>
      <c r="T3960" s="53"/>
      <c r="V3960" s="53"/>
      <c r="W3960" s="55"/>
    </row>
    <row r="3961">
      <c r="K3961" s="53"/>
      <c r="N3961" s="53"/>
      <c r="O3961" s="53"/>
      <c r="T3961" s="53"/>
      <c r="V3961" s="53"/>
      <c r="W3961" s="55"/>
    </row>
    <row r="3962">
      <c r="K3962" s="53"/>
      <c r="N3962" s="53"/>
      <c r="O3962" s="53"/>
      <c r="T3962" s="53"/>
      <c r="V3962" s="53"/>
      <c r="W3962" s="55"/>
    </row>
    <row r="3963">
      <c r="K3963" s="53"/>
      <c r="N3963" s="53"/>
      <c r="O3963" s="53"/>
      <c r="T3963" s="53"/>
      <c r="V3963" s="53"/>
      <c r="W3963" s="55"/>
    </row>
    <row r="3964">
      <c r="K3964" s="53"/>
      <c r="N3964" s="53"/>
      <c r="O3964" s="53"/>
      <c r="T3964" s="53"/>
      <c r="V3964" s="53"/>
      <c r="W3964" s="55"/>
    </row>
    <row r="3965">
      <c r="K3965" s="53"/>
      <c r="N3965" s="53"/>
      <c r="O3965" s="53"/>
      <c r="T3965" s="53"/>
      <c r="V3965" s="53"/>
      <c r="W3965" s="55"/>
    </row>
    <row r="3966">
      <c r="K3966" s="53"/>
      <c r="N3966" s="53"/>
      <c r="O3966" s="53"/>
      <c r="T3966" s="53"/>
      <c r="V3966" s="53"/>
      <c r="W3966" s="55"/>
    </row>
    <row r="3967">
      <c r="K3967" s="53"/>
      <c r="N3967" s="53"/>
      <c r="O3967" s="53"/>
      <c r="T3967" s="53"/>
      <c r="V3967" s="53"/>
      <c r="W3967" s="55"/>
    </row>
    <row r="3968">
      <c r="K3968" s="53"/>
      <c r="N3968" s="53"/>
      <c r="O3968" s="53"/>
      <c r="T3968" s="53"/>
      <c r="V3968" s="53"/>
      <c r="W3968" s="55"/>
    </row>
    <row r="3969">
      <c r="K3969" s="53"/>
      <c r="N3969" s="53"/>
      <c r="O3969" s="53"/>
      <c r="T3969" s="53"/>
      <c r="V3969" s="53"/>
      <c r="W3969" s="55"/>
    </row>
    <row r="3970">
      <c r="K3970" s="53"/>
      <c r="N3970" s="53"/>
      <c r="O3970" s="53"/>
      <c r="T3970" s="53"/>
      <c r="V3970" s="53"/>
      <c r="W3970" s="55"/>
    </row>
    <row r="3971">
      <c r="K3971" s="53"/>
      <c r="N3971" s="53"/>
      <c r="O3971" s="53"/>
      <c r="T3971" s="53"/>
      <c r="V3971" s="53"/>
      <c r="W3971" s="55"/>
    </row>
    <row r="3972">
      <c r="K3972" s="53"/>
      <c r="N3972" s="53"/>
      <c r="O3972" s="53"/>
      <c r="T3972" s="53"/>
      <c r="V3972" s="53"/>
      <c r="W3972" s="55"/>
    </row>
    <row r="3973">
      <c r="K3973" s="53"/>
      <c r="N3973" s="53"/>
      <c r="O3973" s="53"/>
      <c r="T3973" s="53"/>
      <c r="V3973" s="53"/>
      <c r="W3973" s="55"/>
    </row>
    <row r="3974">
      <c r="K3974" s="53"/>
      <c r="N3974" s="53"/>
      <c r="O3974" s="53"/>
      <c r="T3974" s="53"/>
      <c r="V3974" s="53"/>
      <c r="W3974" s="55"/>
    </row>
    <row r="3975">
      <c r="K3975" s="53"/>
      <c r="N3975" s="53"/>
      <c r="O3975" s="53"/>
      <c r="T3975" s="53"/>
      <c r="V3975" s="53"/>
      <c r="W3975" s="55"/>
    </row>
    <row r="3976">
      <c r="K3976" s="53"/>
      <c r="N3976" s="53"/>
      <c r="O3976" s="53"/>
      <c r="T3976" s="53"/>
      <c r="V3976" s="53"/>
      <c r="W3976" s="55"/>
    </row>
    <row r="3977">
      <c r="K3977" s="53"/>
      <c r="N3977" s="53"/>
      <c r="O3977" s="53"/>
      <c r="T3977" s="53"/>
      <c r="V3977" s="53"/>
      <c r="W3977" s="55"/>
    </row>
    <row r="3978">
      <c r="K3978" s="53"/>
      <c r="N3978" s="53"/>
      <c r="O3978" s="53"/>
      <c r="T3978" s="53"/>
      <c r="V3978" s="53"/>
      <c r="W3978" s="55"/>
    </row>
    <row r="3979">
      <c r="K3979" s="53"/>
      <c r="N3979" s="53"/>
      <c r="O3979" s="53"/>
      <c r="T3979" s="53"/>
      <c r="V3979" s="53"/>
      <c r="W3979" s="55"/>
    </row>
    <row r="3980">
      <c r="K3980" s="53"/>
      <c r="N3980" s="53"/>
      <c r="O3980" s="53"/>
      <c r="T3980" s="53"/>
      <c r="V3980" s="53"/>
      <c r="W3980" s="55"/>
    </row>
    <row r="3981">
      <c r="K3981" s="53"/>
      <c r="N3981" s="53"/>
      <c r="O3981" s="53"/>
      <c r="T3981" s="53"/>
      <c r="V3981" s="53"/>
      <c r="W3981" s="55"/>
    </row>
    <row r="3982">
      <c r="K3982" s="53"/>
      <c r="N3982" s="53"/>
      <c r="O3982" s="53"/>
      <c r="T3982" s="53"/>
      <c r="V3982" s="53"/>
      <c r="W3982" s="55"/>
    </row>
    <row r="3983">
      <c r="K3983" s="53"/>
      <c r="N3983" s="53"/>
      <c r="O3983" s="53"/>
      <c r="T3983" s="53"/>
      <c r="V3983" s="53"/>
      <c r="W3983" s="55"/>
    </row>
    <row r="3984">
      <c r="K3984" s="53"/>
      <c r="N3984" s="53"/>
      <c r="O3984" s="53"/>
      <c r="T3984" s="53"/>
      <c r="V3984" s="53"/>
      <c r="W3984" s="55"/>
    </row>
    <row r="3985">
      <c r="K3985" s="53"/>
      <c r="N3985" s="53"/>
      <c r="O3985" s="53"/>
      <c r="T3985" s="53"/>
      <c r="V3985" s="53"/>
      <c r="W3985" s="55"/>
    </row>
    <row r="3986">
      <c r="K3986" s="53"/>
      <c r="N3986" s="53"/>
      <c r="O3986" s="53"/>
      <c r="T3986" s="53"/>
      <c r="V3986" s="53"/>
      <c r="W3986" s="55"/>
    </row>
    <row r="3987">
      <c r="K3987" s="53"/>
      <c r="N3987" s="53"/>
      <c r="O3987" s="53"/>
      <c r="T3987" s="53"/>
      <c r="V3987" s="53"/>
      <c r="W3987" s="55"/>
    </row>
    <row r="3988">
      <c r="K3988" s="53"/>
      <c r="N3988" s="53"/>
      <c r="O3988" s="53"/>
      <c r="T3988" s="53"/>
      <c r="V3988" s="53"/>
      <c r="W3988" s="55"/>
    </row>
    <row r="3989">
      <c r="K3989" s="53"/>
      <c r="N3989" s="53"/>
      <c r="O3989" s="53"/>
      <c r="T3989" s="53"/>
      <c r="V3989" s="53"/>
      <c r="W3989" s="55"/>
    </row>
    <row r="3990">
      <c r="K3990" s="53"/>
      <c r="N3990" s="53"/>
      <c r="O3990" s="53"/>
      <c r="T3990" s="53"/>
      <c r="V3990" s="53"/>
      <c r="W3990" s="55"/>
    </row>
    <row r="3991">
      <c r="K3991" s="53"/>
      <c r="N3991" s="53"/>
      <c r="O3991" s="53"/>
      <c r="T3991" s="53"/>
      <c r="V3991" s="53"/>
      <c r="W3991" s="55"/>
    </row>
    <row r="3992">
      <c r="K3992" s="53"/>
      <c r="N3992" s="53"/>
      <c r="O3992" s="53"/>
      <c r="T3992" s="53"/>
      <c r="V3992" s="53"/>
      <c r="W3992" s="55"/>
    </row>
    <row r="3993">
      <c r="K3993" s="53"/>
      <c r="N3993" s="53"/>
      <c r="O3993" s="53"/>
      <c r="T3993" s="53"/>
      <c r="V3993" s="53"/>
      <c r="W3993" s="55"/>
    </row>
    <row r="3994">
      <c r="K3994" s="53"/>
      <c r="N3994" s="53"/>
      <c r="O3994" s="53"/>
      <c r="T3994" s="53"/>
      <c r="V3994" s="53"/>
      <c r="W3994" s="55"/>
    </row>
    <row r="3995">
      <c r="K3995" s="53"/>
      <c r="N3995" s="53"/>
      <c r="O3995" s="53"/>
      <c r="T3995" s="53"/>
      <c r="V3995" s="53"/>
      <c r="W3995" s="55"/>
    </row>
    <row r="3996">
      <c r="K3996" s="53"/>
      <c r="N3996" s="53"/>
      <c r="O3996" s="53"/>
      <c r="T3996" s="53"/>
      <c r="V3996" s="53"/>
      <c r="W3996" s="55"/>
    </row>
    <row r="3997">
      <c r="K3997" s="53"/>
      <c r="N3997" s="53"/>
      <c r="O3997" s="53"/>
      <c r="T3997" s="53"/>
      <c r="V3997" s="53"/>
      <c r="W3997" s="55"/>
    </row>
    <row r="3998">
      <c r="K3998" s="53"/>
      <c r="N3998" s="53"/>
      <c r="O3998" s="53"/>
      <c r="T3998" s="53"/>
      <c r="V3998" s="53"/>
      <c r="W3998" s="55"/>
    </row>
    <row r="3999">
      <c r="K3999" s="53"/>
      <c r="N3999" s="53"/>
      <c r="O3999" s="53"/>
      <c r="T3999" s="53"/>
      <c r="V3999" s="53"/>
      <c r="W3999" s="55"/>
    </row>
    <row r="4000">
      <c r="K4000" s="53"/>
      <c r="N4000" s="53"/>
      <c r="O4000" s="53"/>
      <c r="T4000" s="53"/>
      <c r="V4000" s="53"/>
      <c r="W4000" s="55"/>
    </row>
    <row r="4001">
      <c r="K4001" s="53"/>
      <c r="N4001" s="53"/>
      <c r="O4001" s="53"/>
      <c r="T4001" s="53"/>
      <c r="V4001" s="53"/>
      <c r="W4001" s="55"/>
    </row>
    <row r="4002">
      <c r="K4002" s="53"/>
      <c r="N4002" s="53"/>
      <c r="O4002" s="53"/>
      <c r="T4002" s="53"/>
      <c r="V4002" s="53"/>
      <c r="W4002" s="55"/>
    </row>
    <row r="4003">
      <c r="K4003" s="53"/>
      <c r="N4003" s="53"/>
      <c r="O4003" s="53"/>
      <c r="T4003" s="53"/>
      <c r="V4003" s="53"/>
      <c r="W4003" s="55"/>
    </row>
    <row r="4004">
      <c r="K4004" s="53"/>
      <c r="N4004" s="53"/>
      <c r="O4004" s="53"/>
      <c r="T4004" s="53"/>
      <c r="V4004" s="53"/>
      <c r="W4004" s="55"/>
    </row>
    <row r="4005">
      <c r="K4005" s="53"/>
      <c r="N4005" s="53"/>
      <c r="O4005" s="53"/>
      <c r="T4005" s="53"/>
      <c r="V4005" s="53"/>
      <c r="W4005" s="55"/>
    </row>
    <row r="4006">
      <c r="K4006" s="53"/>
      <c r="N4006" s="53"/>
      <c r="O4006" s="53"/>
      <c r="T4006" s="53"/>
      <c r="V4006" s="53"/>
      <c r="W4006" s="55"/>
    </row>
    <row r="4007">
      <c r="K4007" s="53"/>
      <c r="N4007" s="53"/>
      <c r="O4007" s="53"/>
      <c r="T4007" s="53"/>
      <c r="V4007" s="53"/>
      <c r="W4007" s="55"/>
    </row>
    <row r="4008">
      <c r="K4008" s="53"/>
      <c r="N4008" s="53"/>
      <c r="O4008" s="53"/>
      <c r="T4008" s="53"/>
      <c r="V4008" s="53"/>
      <c r="W4008" s="55"/>
    </row>
    <row r="4009">
      <c r="K4009" s="53"/>
      <c r="N4009" s="53"/>
      <c r="O4009" s="53"/>
      <c r="T4009" s="53"/>
      <c r="V4009" s="53"/>
      <c r="W4009" s="55"/>
    </row>
    <row r="4010">
      <c r="K4010" s="53"/>
      <c r="N4010" s="53"/>
      <c r="O4010" s="53"/>
      <c r="T4010" s="53"/>
      <c r="V4010" s="53"/>
      <c r="W4010" s="55"/>
    </row>
    <row r="4011">
      <c r="K4011" s="53"/>
      <c r="N4011" s="53"/>
      <c r="O4011" s="53"/>
      <c r="T4011" s="53"/>
      <c r="V4011" s="53"/>
      <c r="W4011" s="55"/>
    </row>
    <row r="4012">
      <c r="K4012" s="53"/>
      <c r="N4012" s="53"/>
      <c r="O4012" s="53"/>
      <c r="T4012" s="53"/>
      <c r="V4012" s="53"/>
      <c r="W4012" s="55"/>
    </row>
    <row r="4013">
      <c r="K4013" s="53"/>
      <c r="N4013" s="53"/>
      <c r="O4013" s="53"/>
      <c r="T4013" s="53"/>
      <c r="V4013" s="53"/>
      <c r="W4013" s="55"/>
    </row>
    <row r="4014">
      <c r="K4014" s="53"/>
      <c r="N4014" s="53"/>
      <c r="O4014" s="53"/>
      <c r="T4014" s="53"/>
      <c r="V4014" s="53"/>
      <c r="W4014" s="55"/>
    </row>
    <row r="4015">
      <c r="K4015" s="53"/>
      <c r="N4015" s="53"/>
      <c r="O4015" s="53"/>
      <c r="T4015" s="53"/>
      <c r="V4015" s="53"/>
      <c r="W4015" s="55"/>
    </row>
    <row r="4016">
      <c r="K4016" s="53"/>
      <c r="N4016" s="53"/>
      <c r="O4016" s="53"/>
      <c r="T4016" s="53"/>
      <c r="V4016" s="53"/>
      <c r="W4016" s="55"/>
    </row>
    <row r="4017">
      <c r="K4017" s="53"/>
      <c r="N4017" s="53"/>
      <c r="O4017" s="53"/>
      <c r="T4017" s="53"/>
      <c r="V4017" s="53"/>
      <c r="W4017" s="55"/>
    </row>
    <row r="4018">
      <c r="K4018" s="53"/>
      <c r="N4018" s="53"/>
      <c r="O4018" s="53"/>
      <c r="T4018" s="53"/>
      <c r="V4018" s="53"/>
      <c r="W4018" s="55"/>
    </row>
    <row r="4019">
      <c r="K4019" s="53"/>
      <c r="N4019" s="53"/>
      <c r="O4019" s="53"/>
      <c r="T4019" s="53"/>
      <c r="V4019" s="53"/>
      <c r="W4019" s="55"/>
    </row>
    <row r="4020">
      <c r="K4020" s="53"/>
      <c r="N4020" s="53"/>
      <c r="O4020" s="53"/>
      <c r="T4020" s="53"/>
      <c r="V4020" s="53"/>
      <c r="W4020" s="55"/>
    </row>
    <row r="4021">
      <c r="K4021" s="53"/>
      <c r="N4021" s="53"/>
      <c r="O4021" s="53"/>
      <c r="T4021" s="53"/>
      <c r="V4021" s="53"/>
      <c r="W4021" s="55"/>
    </row>
    <row r="4022">
      <c r="K4022" s="53"/>
      <c r="N4022" s="53"/>
      <c r="O4022" s="53"/>
      <c r="T4022" s="53"/>
      <c r="V4022" s="53"/>
      <c r="W4022" s="55"/>
    </row>
    <row r="4023">
      <c r="K4023" s="53"/>
      <c r="N4023" s="53"/>
      <c r="O4023" s="53"/>
      <c r="T4023" s="53"/>
      <c r="V4023" s="53"/>
      <c r="W4023" s="55"/>
    </row>
    <row r="4024">
      <c r="K4024" s="53"/>
      <c r="N4024" s="53"/>
      <c r="O4024" s="53"/>
      <c r="T4024" s="53"/>
      <c r="V4024" s="53"/>
      <c r="W4024" s="55"/>
    </row>
    <row r="4025">
      <c r="K4025" s="53"/>
      <c r="N4025" s="53"/>
      <c r="O4025" s="53"/>
      <c r="T4025" s="53"/>
      <c r="V4025" s="53"/>
      <c r="W4025" s="55"/>
    </row>
    <row r="4026">
      <c r="K4026" s="53"/>
      <c r="N4026" s="53"/>
      <c r="O4026" s="53"/>
      <c r="T4026" s="53"/>
      <c r="V4026" s="53"/>
      <c r="W4026" s="55"/>
    </row>
    <row r="4027">
      <c r="K4027" s="53"/>
      <c r="N4027" s="53"/>
      <c r="O4027" s="53"/>
      <c r="T4027" s="53"/>
      <c r="V4027" s="53"/>
      <c r="W4027" s="55"/>
    </row>
    <row r="4028">
      <c r="K4028" s="53"/>
      <c r="N4028" s="53"/>
      <c r="O4028" s="53"/>
      <c r="T4028" s="53"/>
      <c r="V4028" s="53"/>
      <c r="W4028" s="55"/>
    </row>
    <row r="4029">
      <c r="K4029" s="53"/>
      <c r="N4029" s="53"/>
      <c r="O4029" s="53"/>
      <c r="T4029" s="53"/>
      <c r="V4029" s="53"/>
      <c r="W4029" s="55"/>
    </row>
    <row r="4030">
      <c r="K4030" s="53"/>
      <c r="N4030" s="53"/>
      <c r="O4030" s="53"/>
      <c r="T4030" s="53"/>
      <c r="V4030" s="53"/>
      <c r="W4030" s="55"/>
    </row>
    <row r="4031">
      <c r="K4031" s="53"/>
      <c r="N4031" s="53"/>
      <c r="O4031" s="53"/>
      <c r="T4031" s="53"/>
      <c r="V4031" s="53"/>
      <c r="W4031" s="55"/>
    </row>
    <row r="4032">
      <c r="K4032" s="53"/>
      <c r="N4032" s="53"/>
      <c r="O4032" s="53"/>
      <c r="T4032" s="53"/>
      <c r="V4032" s="53"/>
      <c r="W4032" s="55"/>
    </row>
    <row r="4033">
      <c r="K4033" s="53"/>
      <c r="N4033" s="53"/>
      <c r="O4033" s="53"/>
      <c r="T4033" s="53"/>
      <c r="V4033" s="53"/>
      <c r="W4033" s="55"/>
    </row>
    <row r="4034">
      <c r="K4034" s="53"/>
      <c r="N4034" s="53"/>
      <c r="O4034" s="53"/>
      <c r="T4034" s="53"/>
      <c r="V4034" s="53"/>
      <c r="W4034" s="55"/>
    </row>
    <row r="4035">
      <c r="K4035" s="53"/>
      <c r="N4035" s="53"/>
      <c r="O4035" s="53"/>
      <c r="T4035" s="53"/>
      <c r="V4035" s="53"/>
      <c r="W4035" s="55"/>
    </row>
    <row r="4036">
      <c r="K4036" s="53"/>
      <c r="N4036" s="53"/>
      <c r="O4036" s="53"/>
      <c r="T4036" s="53"/>
      <c r="V4036" s="53"/>
      <c r="W4036" s="55"/>
    </row>
    <row r="4037">
      <c r="K4037" s="53"/>
      <c r="N4037" s="53"/>
      <c r="O4037" s="53"/>
      <c r="T4037" s="53"/>
      <c r="V4037" s="53"/>
      <c r="W4037" s="55"/>
    </row>
    <row r="4038">
      <c r="K4038" s="53"/>
      <c r="N4038" s="53"/>
      <c r="O4038" s="53"/>
      <c r="T4038" s="53"/>
      <c r="V4038" s="53"/>
      <c r="W4038" s="55"/>
    </row>
    <row r="4039">
      <c r="K4039" s="53"/>
      <c r="N4039" s="53"/>
      <c r="O4039" s="53"/>
      <c r="T4039" s="53"/>
      <c r="V4039" s="53"/>
      <c r="W4039" s="55"/>
    </row>
    <row r="4040">
      <c r="K4040" s="53"/>
      <c r="N4040" s="53"/>
      <c r="O4040" s="53"/>
      <c r="T4040" s="53"/>
      <c r="V4040" s="53"/>
      <c r="W4040" s="55"/>
    </row>
    <row r="4041">
      <c r="K4041" s="53"/>
      <c r="N4041" s="53"/>
      <c r="O4041" s="53"/>
      <c r="T4041" s="53"/>
      <c r="V4041" s="53"/>
      <c r="W4041" s="55"/>
    </row>
    <row r="4042">
      <c r="K4042" s="53"/>
      <c r="N4042" s="53"/>
      <c r="O4042" s="53"/>
      <c r="T4042" s="53"/>
      <c r="V4042" s="53"/>
      <c r="W4042" s="55"/>
    </row>
    <row r="4043">
      <c r="K4043" s="53"/>
      <c r="N4043" s="53"/>
      <c r="O4043" s="53"/>
      <c r="T4043" s="53"/>
      <c r="V4043" s="53"/>
      <c r="W4043" s="55"/>
    </row>
    <row r="4044">
      <c r="K4044" s="53"/>
      <c r="N4044" s="53"/>
      <c r="O4044" s="53"/>
      <c r="T4044" s="53"/>
      <c r="V4044" s="53"/>
      <c r="W4044" s="55"/>
    </row>
    <row r="4045">
      <c r="K4045" s="53"/>
      <c r="N4045" s="53"/>
      <c r="O4045" s="53"/>
      <c r="T4045" s="53"/>
      <c r="V4045" s="53"/>
      <c r="W4045" s="55"/>
    </row>
    <row r="4046">
      <c r="K4046" s="53"/>
      <c r="N4046" s="53"/>
      <c r="O4046" s="53"/>
      <c r="T4046" s="53"/>
      <c r="V4046" s="53"/>
      <c r="W4046" s="55"/>
    </row>
    <row r="4047">
      <c r="K4047" s="53"/>
      <c r="N4047" s="53"/>
      <c r="O4047" s="53"/>
      <c r="T4047" s="53"/>
      <c r="V4047" s="53"/>
      <c r="W4047" s="55"/>
    </row>
    <row r="4048">
      <c r="K4048" s="53"/>
      <c r="N4048" s="53"/>
      <c r="O4048" s="53"/>
      <c r="T4048" s="53"/>
      <c r="V4048" s="53"/>
      <c r="W4048" s="55"/>
    </row>
    <row r="4049">
      <c r="K4049" s="53"/>
      <c r="N4049" s="53"/>
      <c r="O4049" s="53"/>
      <c r="T4049" s="53"/>
      <c r="V4049" s="53"/>
      <c r="W4049" s="55"/>
    </row>
    <row r="4050">
      <c r="K4050" s="53"/>
      <c r="N4050" s="53"/>
      <c r="O4050" s="53"/>
      <c r="T4050" s="53"/>
      <c r="V4050" s="53"/>
      <c r="W4050" s="55"/>
    </row>
    <row r="4051">
      <c r="K4051" s="53"/>
      <c r="N4051" s="53"/>
      <c r="O4051" s="53"/>
      <c r="T4051" s="53"/>
      <c r="V4051" s="53"/>
      <c r="W4051" s="55"/>
    </row>
    <row r="4052">
      <c r="K4052" s="53"/>
      <c r="N4052" s="53"/>
      <c r="O4052" s="53"/>
      <c r="T4052" s="53"/>
      <c r="V4052" s="53"/>
      <c r="W4052" s="55"/>
    </row>
    <row r="4053">
      <c r="K4053" s="53"/>
      <c r="N4053" s="53"/>
      <c r="O4053" s="53"/>
      <c r="T4053" s="53"/>
      <c r="V4053" s="53"/>
      <c r="W4053" s="55"/>
    </row>
    <row r="4054">
      <c r="K4054" s="53"/>
      <c r="N4054" s="53"/>
      <c r="O4054" s="53"/>
      <c r="T4054" s="53"/>
      <c r="V4054" s="53"/>
      <c r="W4054" s="55"/>
    </row>
    <row r="4055">
      <c r="K4055" s="53"/>
      <c r="N4055" s="53"/>
      <c r="O4055" s="53"/>
      <c r="T4055" s="53"/>
      <c r="V4055" s="53"/>
      <c r="W4055" s="55"/>
    </row>
    <row r="4056">
      <c r="K4056" s="53"/>
      <c r="N4056" s="53"/>
      <c r="O4056" s="53"/>
      <c r="T4056" s="53"/>
      <c r="V4056" s="53"/>
      <c r="W4056" s="55"/>
    </row>
    <row r="4057">
      <c r="K4057" s="53"/>
      <c r="N4057" s="53"/>
      <c r="O4057" s="53"/>
      <c r="T4057" s="53"/>
      <c r="V4057" s="53"/>
      <c r="W4057" s="55"/>
    </row>
    <row r="4058">
      <c r="K4058" s="53"/>
      <c r="N4058" s="53"/>
      <c r="O4058" s="53"/>
      <c r="T4058" s="53"/>
      <c r="V4058" s="53"/>
      <c r="W4058" s="55"/>
    </row>
    <row r="4059">
      <c r="K4059" s="53"/>
      <c r="N4059" s="53"/>
      <c r="O4059" s="53"/>
      <c r="T4059" s="53"/>
      <c r="V4059" s="53"/>
      <c r="W4059" s="55"/>
    </row>
    <row r="4060">
      <c r="K4060" s="53"/>
      <c r="N4060" s="53"/>
      <c r="O4060" s="53"/>
      <c r="T4060" s="53"/>
      <c r="V4060" s="53"/>
      <c r="W4060" s="55"/>
    </row>
    <row r="4061">
      <c r="K4061" s="53"/>
      <c r="N4061" s="53"/>
      <c r="O4061" s="53"/>
      <c r="T4061" s="53"/>
      <c r="V4061" s="53"/>
      <c r="W4061" s="55"/>
    </row>
    <row r="4062">
      <c r="K4062" s="53"/>
      <c r="N4062" s="53"/>
      <c r="O4062" s="53"/>
      <c r="T4062" s="53"/>
      <c r="V4062" s="53"/>
      <c r="W4062" s="55"/>
    </row>
    <row r="4063">
      <c r="K4063" s="53"/>
      <c r="N4063" s="53"/>
      <c r="O4063" s="53"/>
      <c r="T4063" s="53"/>
      <c r="V4063" s="53"/>
      <c r="W4063" s="55"/>
    </row>
    <row r="4064">
      <c r="K4064" s="53"/>
      <c r="N4064" s="53"/>
      <c r="O4064" s="53"/>
      <c r="T4064" s="53"/>
      <c r="V4064" s="53"/>
      <c r="W4064" s="55"/>
    </row>
    <row r="4065">
      <c r="K4065" s="53"/>
      <c r="N4065" s="53"/>
      <c r="O4065" s="53"/>
      <c r="T4065" s="53"/>
      <c r="V4065" s="53"/>
      <c r="W4065" s="55"/>
    </row>
    <row r="4066">
      <c r="K4066" s="53"/>
      <c r="N4066" s="53"/>
      <c r="O4066" s="53"/>
      <c r="T4066" s="53"/>
      <c r="V4066" s="53"/>
      <c r="W4066" s="55"/>
    </row>
    <row r="4067">
      <c r="K4067" s="53"/>
      <c r="N4067" s="53"/>
      <c r="O4067" s="53"/>
      <c r="T4067" s="53"/>
      <c r="V4067" s="53"/>
      <c r="W4067" s="55"/>
    </row>
    <row r="4068">
      <c r="K4068" s="53"/>
      <c r="N4068" s="53"/>
      <c r="O4068" s="53"/>
      <c r="T4068" s="53"/>
      <c r="V4068" s="53"/>
      <c r="W4068" s="55"/>
    </row>
    <row r="4069">
      <c r="K4069" s="53"/>
      <c r="N4069" s="53"/>
      <c r="O4069" s="53"/>
      <c r="T4069" s="53"/>
      <c r="V4069" s="53"/>
      <c r="W4069" s="55"/>
    </row>
    <row r="4070">
      <c r="K4070" s="53"/>
      <c r="N4070" s="53"/>
      <c r="O4070" s="53"/>
      <c r="T4070" s="53"/>
      <c r="V4070" s="53"/>
      <c r="W4070" s="55"/>
    </row>
    <row r="4071">
      <c r="K4071" s="53"/>
      <c r="N4071" s="53"/>
      <c r="O4071" s="53"/>
      <c r="T4071" s="53"/>
      <c r="V4071" s="53"/>
      <c r="W4071" s="55"/>
    </row>
    <row r="4072">
      <c r="K4072" s="53"/>
      <c r="N4072" s="53"/>
      <c r="O4072" s="53"/>
      <c r="T4072" s="53"/>
      <c r="V4072" s="53"/>
      <c r="W4072" s="55"/>
    </row>
    <row r="4073">
      <c r="K4073" s="53"/>
      <c r="N4073" s="53"/>
      <c r="O4073" s="53"/>
      <c r="T4073" s="53"/>
      <c r="V4073" s="53"/>
      <c r="W4073" s="55"/>
    </row>
    <row r="4074">
      <c r="K4074" s="53"/>
      <c r="N4074" s="53"/>
      <c r="O4074" s="53"/>
      <c r="T4074" s="53"/>
      <c r="V4074" s="53"/>
      <c r="W4074" s="55"/>
    </row>
    <row r="4075">
      <c r="K4075" s="53"/>
      <c r="N4075" s="53"/>
      <c r="O4075" s="53"/>
      <c r="T4075" s="53"/>
      <c r="V4075" s="53"/>
      <c r="W4075" s="55"/>
    </row>
    <row r="4076">
      <c r="K4076" s="53"/>
      <c r="N4076" s="53"/>
      <c r="O4076" s="53"/>
      <c r="T4076" s="53"/>
      <c r="V4076" s="53"/>
      <c r="W4076" s="55"/>
    </row>
    <row r="4077">
      <c r="K4077" s="53"/>
      <c r="N4077" s="53"/>
      <c r="O4077" s="53"/>
      <c r="T4077" s="53"/>
      <c r="V4077" s="53"/>
      <c r="W4077" s="55"/>
    </row>
    <row r="4078">
      <c r="K4078" s="53"/>
      <c r="N4078" s="53"/>
      <c r="O4078" s="53"/>
      <c r="T4078" s="53"/>
      <c r="V4078" s="53"/>
      <c r="W4078" s="55"/>
    </row>
    <row r="4079">
      <c r="K4079" s="53"/>
      <c r="N4079" s="53"/>
      <c r="O4079" s="53"/>
      <c r="T4079" s="53"/>
      <c r="V4079" s="53"/>
      <c r="W4079" s="55"/>
    </row>
    <row r="4080">
      <c r="K4080" s="53"/>
      <c r="N4080" s="53"/>
      <c r="O4080" s="53"/>
      <c r="T4080" s="53"/>
      <c r="V4080" s="53"/>
      <c r="W4080" s="55"/>
    </row>
    <row r="4081">
      <c r="K4081" s="53"/>
      <c r="N4081" s="53"/>
      <c r="O4081" s="53"/>
      <c r="T4081" s="53"/>
      <c r="V4081" s="53"/>
      <c r="W4081" s="55"/>
    </row>
    <row r="4082">
      <c r="K4082" s="53"/>
      <c r="N4082" s="53"/>
      <c r="O4082" s="53"/>
      <c r="T4082" s="53"/>
      <c r="V4082" s="53"/>
      <c r="W4082" s="55"/>
    </row>
    <row r="4083">
      <c r="K4083" s="53"/>
      <c r="N4083" s="53"/>
      <c r="O4083" s="53"/>
      <c r="T4083" s="53"/>
      <c r="V4083" s="53"/>
      <c r="W4083" s="55"/>
    </row>
    <row r="4084">
      <c r="K4084" s="53"/>
      <c r="N4084" s="53"/>
      <c r="O4084" s="53"/>
      <c r="T4084" s="53"/>
      <c r="V4084" s="53"/>
      <c r="W4084" s="55"/>
    </row>
    <row r="4085">
      <c r="K4085" s="53"/>
      <c r="N4085" s="53"/>
      <c r="O4085" s="53"/>
      <c r="T4085" s="53"/>
      <c r="V4085" s="53"/>
      <c r="W4085" s="55"/>
    </row>
    <row r="4086">
      <c r="K4086" s="53"/>
      <c r="N4086" s="53"/>
      <c r="O4086" s="53"/>
      <c r="T4086" s="53"/>
      <c r="V4086" s="53"/>
      <c r="W4086" s="55"/>
    </row>
    <row r="4087">
      <c r="K4087" s="53"/>
      <c r="N4087" s="53"/>
      <c r="O4087" s="53"/>
      <c r="T4087" s="53"/>
      <c r="V4087" s="53"/>
      <c r="W4087" s="55"/>
    </row>
    <row r="4088">
      <c r="K4088" s="53"/>
      <c r="N4088" s="53"/>
      <c r="O4088" s="53"/>
      <c r="T4088" s="53"/>
      <c r="V4088" s="53"/>
      <c r="W4088" s="55"/>
    </row>
    <row r="4089">
      <c r="K4089" s="53"/>
      <c r="N4089" s="53"/>
      <c r="O4089" s="53"/>
      <c r="T4089" s="53"/>
      <c r="V4089" s="53"/>
      <c r="W4089" s="55"/>
    </row>
    <row r="4090">
      <c r="K4090" s="53"/>
      <c r="N4090" s="53"/>
      <c r="O4090" s="53"/>
      <c r="T4090" s="53"/>
      <c r="V4090" s="53"/>
      <c r="W4090" s="55"/>
    </row>
    <row r="4091">
      <c r="K4091" s="53"/>
      <c r="N4091" s="53"/>
      <c r="O4091" s="53"/>
      <c r="T4091" s="53"/>
      <c r="V4091" s="53"/>
      <c r="W4091" s="55"/>
    </row>
    <row r="4092">
      <c r="K4092" s="53"/>
      <c r="N4092" s="53"/>
      <c r="O4092" s="53"/>
      <c r="T4092" s="53"/>
      <c r="V4092" s="53"/>
      <c r="W4092" s="55"/>
    </row>
    <row r="4093">
      <c r="K4093" s="53"/>
      <c r="N4093" s="53"/>
      <c r="O4093" s="53"/>
      <c r="T4093" s="53"/>
      <c r="V4093" s="53"/>
      <c r="W4093" s="55"/>
    </row>
    <row r="4094">
      <c r="K4094" s="53"/>
      <c r="N4094" s="53"/>
      <c r="O4094" s="53"/>
      <c r="T4094" s="53"/>
      <c r="V4094" s="53"/>
      <c r="W4094" s="55"/>
    </row>
    <row r="4095">
      <c r="K4095" s="53"/>
      <c r="N4095" s="53"/>
      <c r="O4095" s="53"/>
      <c r="T4095" s="53"/>
      <c r="V4095" s="53"/>
      <c r="W4095" s="55"/>
    </row>
    <row r="4096">
      <c r="K4096" s="53"/>
      <c r="N4096" s="53"/>
      <c r="O4096" s="53"/>
      <c r="T4096" s="53"/>
      <c r="V4096" s="53"/>
      <c r="W4096" s="55"/>
    </row>
    <row r="4097">
      <c r="K4097" s="53"/>
      <c r="N4097" s="53"/>
      <c r="O4097" s="53"/>
      <c r="T4097" s="53"/>
      <c r="V4097" s="53"/>
      <c r="W4097" s="55"/>
    </row>
    <row r="4098">
      <c r="K4098" s="53"/>
      <c r="N4098" s="53"/>
      <c r="O4098" s="53"/>
      <c r="T4098" s="53"/>
      <c r="V4098" s="53"/>
      <c r="W4098" s="55"/>
    </row>
    <row r="4099">
      <c r="K4099" s="53"/>
      <c r="N4099" s="53"/>
      <c r="O4099" s="53"/>
      <c r="T4099" s="53"/>
      <c r="V4099" s="53"/>
      <c r="W4099" s="55"/>
    </row>
    <row r="4100">
      <c r="K4100" s="53"/>
      <c r="N4100" s="53"/>
      <c r="O4100" s="53"/>
      <c r="T4100" s="53"/>
      <c r="V4100" s="53"/>
      <c r="W4100" s="55"/>
    </row>
    <row r="4101">
      <c r="K4101" s="53"/>
      <c r="N4101" s="53"/>
      <c r="O4101" s="53"/>
      <c r="T4101" s="53"/>
      <c r="V4101" s="53"/>
      <c r="W4101" s="55"/>
    </row>
    <row r="4102">
      <c r="K4102" s="53"/>
      <c r="N4102" s="53"/>
      <c r="O4102" s="53"/>
      <c r="T4102" s="53"/>
      <c r="V4102" s="53"/>
      <c r="W4102" s="55"/>
    </row>
    <row r="4103">
      <c r="K4103" s="53"/>
      <c r="N4103" s="53"/>
      <c r="O4103" s="53"/>
      <c r="T4103" s="53"/>
      <c r="V4103" s="53"/>
      <c r="W4103" s="55"/>
    </row>
    <row r="4104">
      <c r="K4104" s="53"/>
      <c r="N4104" s="53"/>
      <c r="O4104" s="53"/>
      <c r="T4104" s="53"/>
      <c r="V4104" s="53"/>
      <c r="W4104" s="55"/>
    </row>
    <row r="4105">
      <c r="K4105" s="53"/>
      <c r="N4105" s="53"/>
      <c r="O4105" s="53"/>
      <c r="T4105" s="53"/>
      <c r="V4105" s="53"/>
      <c r="W4105" s="55"/>
    </row>
    <row r="4106">
      <c r="K4106" s="53"/>
      <c r="N4106" s="53"/>
      <c r="O4106" s="53"/>
      <c r="T4106" s="53"/>
      <c r="V4106" s="53"/>
      <c r="W4106" s="55"/>
    </row>
    <row r="4107">
      <c r="K4107" s="53"/>
      <c r="N4107" s="53"/>
      <c r="O4107" s="53"/>
      <c r="T4107" s="53"/>
      <c r="V4107" s="53"/>
      <c r="W4107" s="55"/>
    </row>
    <row r="4108">
      <c r="K4108" s="53"/>
      <c r="N4108" s="53"/>
      <c r="O4108" s="53"/>
      <c r="T4108" s="53"/>
      <c r="V4108" s="53"/>
      <c r="W4108" s="55"/>
    </row>
    <row r="4109">
      <c r="K4109" s="53"/>
      <c r="N4109" s="53"/>
      <c r="O4109" s="53"/>
      <c r="T4109" s="53"/>
      <c r="V4109" s="53"/>
      <c r="W4109" s="55"/>
    </row>
    <row r="4110">
      <c r="K4110" s="53"/>
      <c r="N4110" s="53"/>
      <c r="O4110" s="53"/>
      <c r="T4110" s="53"/>
      <c r="V4110" s="53"/>
      <c r="W4110" s="55"/>
    </row>
    <row r="4111">
      <c r="K4111" s="53"/>
      <c r="N4111" s="53"/>
      <c r="O4111" s="53"/>
      <c r="T4111" s="53"/>
      <c r="V4111" s="53"/>
      <c r="W4111" s="55"/>
    </row>
    <row r="4112">
      <c r="K4112" s="53"/>
      <c r="N4112" s="53"/>
      <c r="O4112" s="53"/>
      <c r="T4112" s="53"/>
      <c r="V4112" s="53"/>
      <c r="W4112" s="55"/>
    </row>
    <row r="4113">
      <c r="K4113" s="53"/>
      <c r="N4113" s="53"/>
      <c r="O4113" s="53"/>
      <c r="T4113" s="53"/>
      <c r="V4113" s="53"/>
      <c r="W4113" s="55"/>
    </row>
    <row r="4114">
      <c r="K4114" s="53"/>
      <c r="N4114" s="53"/>
      <c r="O4114" s="53"/>
      <c r="T4114" s="53"/>
      <c r="V4114" s="53"/>
      <c r="W4114" s="55"/>
    </row>
    <row r="4115">
      <c r="K4115" s="53"/>
      <c r="N4115" s="53"/>
      <c r="O4115" s="53"/>
      <c r="T4115" s="53"/>
      <c r="V4115" s="53"/>
      <c r="W4115" s="55"/>
    </row>
    <row r="4116">
      <c r="K4116" s="53"/>
      <c r="N4116" s="53"/>
      <c r="O4116" s="53"/>
      <c r="T4116" s="53"/>
      <c r="V4116" s="53"/>
      <c r="W4116" s="55"/>
    </row>
    <row r="4117">
      <c r="K4117" s="53"/>
      <c r="N4117" s="53"/>
      <c r="O4117" s="53"/>
      <c r="T4117" s="53"/>
      <c r="V4117" s="53"/>
      <c r="W4117" s="55"/>
    </row>
    <row r="4118">
      <c r="K4118" s="53"/>
      <c r="N4118" s="53"/>
      <c r="O4118" s="53"/>
      <c r="T4118" s="53"/>
      <c r="V4118" s="53"/>
      <c r="W4118" s="55"/>
    </row>
    <row r="4119">
      <c r="K4119" s="53"/>
      <c r="N4119" s="53"/>
      <c r="O4119" s="53"/>
      <c r="T4119" s="53"/>
      <c r="V4119" s="53"/>
      <c r="W4119" s="55"/>
    </row>
    <row r="4120">
      <c r="K4120" s="53"/>
      <c r="N4120" s="53"/>
      <c r="O4120" s="53"/>
      <c r="T4120" s="53"/>
      <c r="V4120" s="53"/>
      <c r="W4120" s="55"/>
    </row>
    <row r="4121">
      <c r="K4121" s="53"/>
      <c r="N4121" s="53"/>
      <c r="O4121" s="53"/>
      <c r="T4121" s="53"/>
      <c r="V4121" s="53"/>
      <c r="W4121" s="55"/>
    </row>
    <row r="4122">
      <c r="K4122" s="53"/>
      <c r="N4122" s="53"/>
      <c r="O4122" s="53"/>
      <c r="T4122" s="53"/>
      <c r="V4122" s="53"/>
      <c r="W4122" s="55"/>
    </row>
    <row r="4123">
      <c r="K4123" s="53"/>
      <c r="N4123" s="53"/>
      <c r="O4123" s="53"/>
      <c r="T4123" s="53"/>
      <c r="V4123" s="53"/>
      <c r="W4123" s="55"/>
    </row>
    <row r="4124">
      <c r="K4124" s="53"/>
      <c r="N4124" s="53"/>
      <c r="O4124" s="53"/>
      <c r="T4124" s="53"/>
      <c r="V4124" s="53"/>
      <c r="W4124" s="55"/>
    </row>
    <row r="4125">
      <c r="K4125" s="53"/>
      <c r="N4125" s="53"/>
      <c r="O4125" s="53"/>
      <c r="T4125" s="53"/>
      <c r="V4125" s="53"/>
      <c r="W4125" s="55"/>
    </row>
    <row r="4126">
      <c r="K4126" s="53"/>
      <c r="N4126" s="53"/>
      <c r="O4126" s="53"/>
      <c r="T4126" s="53"/>
      <c r="V4126" s="53"/>
      <c r="W4126" s="55"/>
    </row>
    <row r="4127">
      <c r="K4127" s="53"/>
      <c r="N4127" s="53"/>
      <c r="O4127" s="53"/>
      <c r="T4127" s="53"/>
      <c r="V4127" s="53"/>
      <c r="W4127" s="55"/>
    </row>
    <row r="4128">
      <c r="K4128" s="53"/>
      <c r="N4128" s="53"/>
      <c r="O4128" s="53"/>
      <c r="T4128" s="53"/>
      <c r="V4128" s="53"/>
      <c r="W4128" s="55"/>
    </row>
    <row r="4129">
      <c r="K4129" s="53"/>
      <c r="N4129" s="53"/>
      <c r="O4129" s="53"/>
      <c r="T4129" s="53"/>
      <c r="V4129" s="53"/>
      <c r="W4129" s="55"/>
    </row>
    <row r="4130">
      <c r="K4130" s="53"/>
      <c r="N4130" s="53"/>
      <c r="O4130" s="53"/>
      <c r="T4130" s="53"/>
      <c r="V4130" s="53"/>
      <c r="W4130" s="55"/>
    </row>
    <row r="4131">
      <c r="K4131" s="53"/>
      <c r="N4131" s="53"/>
      <c r="O4131" s="53"/>
      <c r="T4131" s="53"/>
      <c r="V4131" s="53"/>
      <c r="W4131" s="55"/>
    </row>
    <row r="4132">
      <c r="K4132" s="53"/>
      <c r="N4132" s="53"/>
      <c r="O4132" s="53"/>
      <c r="T4132" s="53"/>
      <c r="V4132" s="53"/>
      <c r="W4132" s="55"/>
    </row>
    <row r="4133">
      <c r="K4133" s="53"/>
      <c r="N4133" s="53"/>
      <c r="O4133" s="53"/>
      <c r="T4133" s="53"/>
      <c r="V4133" s="53"/>
      <c r="W4133" s="55"/>
    </row>
    <row r="4134">
      <c r="K4134" s="53"/>
      <c r="N4134" s="53"/>
      <c r="O4134" s="53"/>
      <c r="T4134" s="53"/>
      <c r="V4134" s="53"/>
      <c r="W4134" s="55"/>
    </row>
    <row r="4135">
      <c r="K4135" s="53"/>
      <c r="N4135" s="53"/>
      <c r="O4135" s="53"/>
      <c r="T4135" s="53"/>
      <c r="V4135" s="53"/>
      <c r="W4135" s="55"/>
    </row>
    <row r="4136">
      <c r="K4136" s="53"/>
      <c r="N4136" s="53"/>
      <c r="O4136" s="53"/>
      <c r="T4136" s="53"/>
      <c r="V4136" s="53"/>
      <c r="W4136" s="55"/>
    </row>
    <row r="4137">
      <c r="K4137" s="53"/>
      <c r="N4137" s="53"/>
      <c r="O4137" s="53"/>
      <c r="T4137" s="53"/>
      <c r="V4137" s="53"/>
      <c r="W4137" s="55"/>
    </row>
    <row r="4138">
      <c r="K4138" s="53"/>
      <c r="N4138" s="53"/>
      <c r="O4138" s="53"/>
      <c r="T4138" s="53"/>
      <c r="V4138" s="53"/>
      <c r="W4138" s="55"/>
    </row>
    <row r="4139">
      <c r="K4139" s="53"/>
      <c r="N4139" s="53"/>
      <c r="O4139" s="53"/>
      <c r="T4139" s="53"/>
      <c r="V4139" s="53"/>
      <c r="W4139" s="55"/>
    </row>
    <row r="4140">
      <c r="K4140" s="53"/>
      <c r="N4140" s="53"/>
      <c r="O4140" s="53"/>
      <c r="T4140" s="53"/>
      <c r="V4140" s="53"/>
      <c r="W4140" s="55"/>
    </row>
    <row r="4141">
      <c r="K4141" s="53"/>
      <c r="N4141" s="53"/>
      <c r="O4141" s="53"/>
      <c r="T4141" s="53"/>
      <c r="V4141" s="53"/>
      <c r="W4141" s="55"/>
    </row>
    <row r="4142">
      <c r="K4142" s="53"/>
      <c r="N4142" s="53"/>
      <c r="O4142" s="53"/>
      <c r="T4142" s="53"/>
      <c r="V4142" s="53"/>
      <c r="W4142" s="55"/>
    </row>
    <row r="4143">
      <c r="K4143" s="53"/>
      <c r="N4143" s="53"/>
      <c r="O4143" s="53"/>
      <c r="T4143" s="53"/>
      <c r="V4143" s="53"/>
      <c r="W4143" s="55"/>
    </row>
    <row r="4144">
      <c r="K4144" s="53"/>
      <c r="N4144" s="53"/>
      <c r="O4144" s="53"/>
      <c r="T4144" s="53"/>
      <c r="V4144" s="53"/>
      <c r="W4144" s="55"/>
    </row>
    <row r="4145">
      <c r="K4145" s="53"/>
      <c r="N4145" s="53"/>
      <c r="O4145" s="53"/>
      <c r="T4145" s="53"/>
      <c r="V4145" s="53"/>
      <c r="W4145" s="55"/>
    </row>
    <row r="4146">
      <c r="K4146" s="53"/>
      <c r="N4146" s="53"/>
      <c r="O4146" s="53"/>
      <c r="T4146" s="53"/>
      <c r="V4146" s="53"/>
      <c r="W4146" s="55"/>
    </row>
    <row r="4147">
      <c r="K4147" s="53"/>
      <c r="N4147" s="53"/>
      <c r="O4147" s="53"/>
      <c r="T4147" s="53"/>
      <c r="V4147" s="53"/>
      <c r="W4147" s="55"/>
    </row>
    <row r="4148">
      <c r="K4148" s="53"/>
      <c r="N4148" s="53"/>
      <c r="O4148" s="53"/>
      <c r="T4148" s="53"/>
      <c r="V4148" s="53"/>
      <c r="W4148" s="55"/>
    </row>
    <row r="4149">
      <c r="K4149" s="53"/>
      <c r="N4149" s="53"/>
      <c r="O4149" s="53"/>
      <c r="T4149" s="53"/>
      <c r="V4149" s="53"/>
      <c r="W4149" s="55"/>
    </row>
    <row r="4150">
      <c r="K4150" s="53"/>
      <c r="N4150" s="53"/>
      <c r="O4150" s="53"/>
      <c r="T4150" s="53"/>
      <c r="V4150" s="53"/>
      <c r="W4150" s="55"/>
    </row>
    <row r="4151">
      <c r="K4151" s="53"/>
      <c r="N4151" s="53"/>
      <c r="O4151" s="53"/>
      <c r="T4151" s="53"/>
      <c r="V4151" s="53"/>
      <c r="W4151" s="55"/>
    </row>
    <row r="4152">
      <c r="K4152" s="53"/>
      <c r="N4152" s="53"/>
      <c r="O4152" s="53"/>
      <c r="T4152" s="53"/>
      <c r="V4152" s="53"/>
      <c r="W4152" s="55"/>
    </row>
    <row r="4153">
      <c r="K4153" s="53"/>
      <c r="N4153" s="53"/>
      <c r="O4153" s="53"/>
      <c r="T4153" s="53"/>
      <c r="V4153" s="53"/>
      <c r="W4153" s="55"/>
    </row>
    <row r="4154">
      <c r="K4154" s="53"/>
      <c r="N4154" s="53"/>
      <c r="O4154" s="53"/>
      <c r="T4154" s="53"/>
      <c r="V4154" s="53"/>
      <c r="W4154" s="55"/>
    </row>
    <row r="4155">
      <c r="K4155" s="53"/>
      <c r="N4155" s="53"/>
      <c r="O4155" s="53"/>
      <c r="T4155" s="53"/>
      <c r="V4155" s="53"/>
      <c r="W4155" s="55"/>
    </row>
    <row r="4156">
      <c r="K4156" s="53"/>
      <c r="N4156" s="53"/>
      <c r="O4156" s="53"/>
      <c r="T4156" s="53"/>
      <c r="V4156" s="53"/>
      <c r="W4156" s="55"/>
    </row>
    <row r="4157">
      <c r="K4157" s="53"/>
      <c r="N4157" s="53"/>
      <c r="O4157" s="53"/>
      <c r="T4157" s="53"/>
      <c r="V4157" s="53"/>
      <c r="W4157" s="55"/>
    </row>
    <row r="4158">
      <c r="K4158" s="53"/>
      <c r="N4158" s="53"/>
      <c r="O4158" s="53"/>
      <c r="T4158" s="53"/>
      <c r="V4158" s="53"/>
      <c r="W4158" s="55"/>
    </row>
    <row r="4159">
      <c r="K4159" s="53"/>
      <c r="N4159" s="53"/>
      <c r="O4159" s="53"/>
      <c r="T4159" s="53"/>
      <c r="V4159" s="53"/>
      <c r="W4159" s="55"/>
    </row>
    <row r="4160">
      <c r="K4160" s="53"/>
      <c r="N4160" s="53"/>
      <c r="O4160" s="53"/>
      <c r="T4160" s="53"/>
      <c r="V4160" s="53"/>
      <c r="W4160" s="55"/>
    </row>
    <row r="4161">
      <c r="K4161" s="53"/>
      <c r="N4161" s="53"/>
      <c r="O4161" s="53"/>
      <c r="T4161" s="53"/>
      <c r="V4161" s="53"/>
      <c r="W4161" s="55"/>
    </row>
    <row r="4162">
      <c r="K4162" s="53"/>
      <c r="N4162" s="53"/>
      <c r="O4162" s="53"/>
      <c r="T4162" s="53"/>
      <c r="V4162" s="53"/>
      <c r="W4162" s="55"/>
    </row>
    <row r="4163">
      <c r="K4163" s="53"/>
      <c r="N4163" s="53"/>
      <c r="O4163" s="53"/>
      <c r="T4163" s="53"/>
      <c r="V4163" s="53"/>
      <c r="W4163" s="55"/>
    </row>
    <row r="4164">
      <c r="K4164" s="53"/>
      <c r="N4164" s="53"/>
      <c r="O4164" s="53"/>
      <c r="T4164" s="53"/>
      <c r="V4164" s="53"/>
      <c r="W4164" s="55"/>
    </row>
    <row r="4165">
      <c r="K4165" s="53"/>
      <c r="N4165" s="53"/>
      <c r="O4165" s="53"/>
      <c r="T4165" s="53"/>
      <c r="V4165" s="53"/>
      <c r="W4165" s="55"/>
    </row>
    <row r="4166">
      <c r="K4166" s="53"/>
      <c r="N4166" s="53"/>
      <c r="O4166" s="53"/>
      <c r="T4166" s="53"/>
      <c r="V4166" s="53"/>
      <c r="W4166" s="55"/>
    </row>
    <row r="4167">
      <c r="K4167" s="53"/>
      <c r="N4167" s="53"/>
      <c r="O4167" s="53"/>
      <c r="T4167" s="53"/>
      <c r="V4167" s="53"/>
      <c r="W4167" s="55"/>
    </row>
    <row r="4168">
      <c r="K4168" s="53"/>
      <c r="N4168" s="53"/>
      <c r="O4168" s="53"/>
      <c r="T4168" s="53"/>
      <c r="V4168" s="53"/>
      <c r="W4168" s="55"/>
    </row>
    <row r="4169">
      <c r="K4169" s="53"/>
      <c r="N4169" s="53"/>
      <c r="O4169" s="53"/>
      <c r="T4169" s="53"/>
      <c r="V4169" s="53"/>
      <c r="W4169" s="55"/>
    </row>
    <row r="4170">
      <c r="K4170" s="53"/>
      <c r="N4170" s="53"/>
      <c r="O4170" s="53"/>
      <c r="T4170" s="53"/>
      <c r="V4170" s="53"/>
      <c r="W4170" s="55"/>
    </row>
    <row r="4171">
      <c r="K4171" s="53"/>
      <c r="N4171" s="53"/>
      <c r="O4171" s="53"/>
      <c r="T4171" s="53"/>
      <c r="V4171" s="53"/>
      <c r="W4171" s="55"/>
    </row>
    <row r="4172">
      <c r="K4172" s="53"/>
      <c r="N4172" s="53"/>
      <c r="O4172" s="53"/>
      <c r="T4172" s="53"/>
      <c r="V4172" s="53"/>
      <c r="W4172" s="55"/>
    </row>
    <row r="4173">
      <c r="K4173" s="53"/>
      <c r="N4173" s="53"/>
      <c r="O4173" s="53"/>
      <c r="T4173" s="53"/>
      <c r="V4173" s="53"/>
      <c r="W4173" s="55"/>
    </row>
    <row r="4174">
      <c r="K4174" s="53"/>
      <c r="N4174" s="53"/>
      <c r="O4174" s="53"/>
      <c r="T4174" s="53"/>
      <c r="V4174" s="53"/>
      <c r="W4174" s="55"/>
    </row>
    <row r="4175">
      <c r="K4175" s="53"/>
      <c r="N4175" s="53"/>
      <c r="O4175" s="53"/>
      <c r="T4175" s="53"/>
      <c r="V4175" s="53"/>
      <c r="W4175" s="55"/>
    </row>
    <row r="4176">
      <c r="K4176" s="53"/>
      <c r="N4176" s="53"/>
      <c r="O4176" s="53"/>
      <c r="T4176" s="53"/>
      <c r="V4176" s="53"/>
      <c r="W4176" s="55"/>
    </row>
    <row r="4177">
      <c r="K4177" s="53"/>
      <c r="N4177" s="53"/>
      <c r="O4177" s="53"/>
      <c r="T4177" s="53"/>
      <c r="V4177" s="53"/>
      <c r="W4177" s="55"/>
    </row>
    <row r="4178">
      <c r="K4178" s="53"/>
      <c r="N4178" s="53"/>
      <c r="O4178" s="53"/>
      <c r="T4178" s="53"/>
      <c r="V4178" s="53"/>
      <c r="W4178" s="55"/>
    </row>
    <row r="4179">
      <c r="K4179" s="53"/>
      <c r="N4179" s="53"/>
      <c r="O4179" s="53"/>
      <c r="T4179" s="53"/>
      <c r="V4179" s="53"/>
      <c r="W4179" s="55"/>
    </row>
    <row r="4180">
      <c r="K4180" s="53"/>
      <c r="N4180" s="53"/>
      <c r="O4180" s="53"/>
      <c r="T4180" s="53"/>
      <c r="V4180" s="53"/>
      <c r="W4180" s="55"/>
    </row>
    <row r="4181">
      <c r="K4181" s="53"/>
      <c r="N4181" s="53"/>
      <c r="O4181" s="53"/>
      <c r="T4181" s="53"/>
      <c r="V4181" s="53"/>
      <c r="W4181" s="55"/>
    </row>
    <row r="4182">
      <c r="K4182" s="53"/>
      <c r="N4182" s="53"/>
      <c r="O4182" s="53"/>
      <c r="T4182" s="53"/>
      <c r="V4182" s="53"/>
      <c r="W4182" s="55"/>
    </row>
    <row r="4183">
      <c r="K4183" s="53"/>
      <c r="N4183" s="53"/>
      <c r="O4183" s="53"/>
      <c r="T4183" s="53"/>
      <c r="V4183" s="53"/>
      <c r="W4183" s="55"/>
    </row>
    <row r="4184">
      <c r="K4184" s="53"/>
      <c r="N4184" s="53"/>
      <c r="O4184" s="53"/>
      <c r="T4184" s="53"/>
      <c r="V4184" s="53"/>
      <c r="W4184" s="55"/>
    </row>
    <row r="4185">
      <c r="K4185" s="53"/>
      <c r="N4185" s="53"/>
      <c r="O4185" s="53"/>
      <c r="T4185" s="53"/>
      <c r="V4185" s="53"/>
      <c r="W4185" s="55"/>
    </row>
    <row r="4186">
      <c r="K4186" s="53"/>
      <c r="N4186" s="53"/>
      <c r="O4186" s="53"/>
      <c r="T4186" s="53"/>
      <c r="V4186" s="53"/>
      <c r="W4186" s="55"/>
    </row>
    <row r="4187">
      <c r="K4187" s="53"/>
      <c r="N4187" s="53"/>
      <c r="O4187" s="53"/>
      <c r="T4187" s="53"/>
      <c r="V4187" s="53"/>
      <c r="W4187" s="55"/>
    </row>
    <row r="4188">
      <c r="K4188" s="53"/>
      <c r="N4188" s="53"/>
      <c r="O4188" s="53"/>
      <c r="T4188" s="53"/>
      <c r="V4188" s="53"/>
      <c r="W4188" s="55"/>
    </row>
    <row r="4189">
      <c r="K4189" s="53"/>
      <c r="N4189" s="53"/>
      <c r="O4189" s="53"/>
      <c r="T4189" s="53"/>
      <c r="V4189" s="53"/>
      <c r="W4189" s="55"/>
    </row>
    <row r="4190">
      <c r="K4190" s="53"/>
      <c r="N4190" s="53"/>
      <c r="O4190" s="53"/>
      <c r="T4190" s="53"/>
      <c r="V4190" s="53"/>
      <c r="W4190" s="55"/>
    </row>
    <row r="4191">
      <c r="K4191" s="53"/>
      <c r="N4191" s="53"/>
      <c r="O4191" s="53"/>
      <c r="T4191" s="53"/>
      <c r="V4191" s="53"/>
      <c r="W4191" s="55"/>
    </row>
    <row r="4192">
      <c r="K4192" s="53"/>
      <c r="N4192" s="53"/>
      <c r="O4192" s="53"/>
      <c r="T4192" s="53"/>
      <c r="V4192" s="53"/>
      <c r="W4192" s="55"/>
    </row>
    <row r="4193">
      <c r="K4193" s="53"/>
      <c r="N4193" s="53"/>
      <c r="O4193" s="53"/>
      <c r="T4193" s="53"/>
      <c r="V4193" s="53"/>
      <c r="W4193" s="55"/>
    </row>
    <row r="4194">
      <c r="K4194" s="53"/>
      <c r="N4194" s="53"/>
      <c r="O4194" s="53"/>
      <c r="T4194" s="53"/>
      <c r="V4194" s="53"/>
      <c r="W4194" s="55"/>
    </row>
    <row r="4195">
      <c r="K4195" s="53"/>
      <c r="N4195" s="53"/>
      <c r="O4195" s="53"/>
      <c r="T4195" s="53"/>
      <c r="V4195" s="53"/>
      <c r="W4195" s="55"/>
    </row>
    <row r="4196">
      <c r="K4196" s="53"/>
      <c r="N4196" s="53"/>
      <c r="O4196" s="53"/>
      <c r="T4196" s="53"/>
      <c r="V4196" s="53"/>
      <c r="W4196" s="55"/>
    </row>
    <row r="4197">
      <c r="K4197" s="53"/>
      <c r="N4197" s="53"/>
      <c r="O4197" s="53"/>
      <c r="T4197" s="53"/>
      <c r="V4197" s="53"/>
      <c r="W4197" s="55"/>
    </row>
    <row r="4198">
      <c r="K4198" s="53"/>
      <c r="N4198" s="53"/>
      <c r="O4198" s="53"/>
      <c r="T4198" s="53"/>
      <c r="V4198" s="53"/>
      <c r="W4198" s="55"/>
    </row>
    <row r="4199">
      <c r="K4199" s="53"/>
      <c r="N4199" s="53"/>
      <c r="O4199" s="53"/>
      <c r="T4199" s="53"/>
      <c r="V4199" s="53"/>
      <c r="W4199" s="55"/>
    </row>
    <row r="4200">
      <c r="K4200" s="53"/>
      <c r="N4200" s="53"/>
      <c r="O4200" s="53"/>
      <c r="T4200" s="53"/>
      <c r="V4200" s="53"/>
      <c r="W4200" s="55"/>
    </row>
    <row r="4201">
      <c r="K4201" s="53"/>
      <c r="N4201" s="53"/>
      <c r="O4201" s="53"/>
      <c r="T4201" s="53"/>
      <c r="V4201" s="53"/>
      <c r="W4201" s="55"/>
    </row>
    <row r="4202">
      <c r="K4202" s="53"/>
      <c r="N4202" s="53"/>
      <c r="O4202" s="53"/>
      <c r="T4202" s="53"/>
      <c r="V4202" s="53"/>
      <c r="W4202" s="55"/>
    </row>
    <row r="4203">
      <c r="K4203" s="53"/>
      <c r="N4203" s="53"/>
      <c r="O4203" s="53"/>
      <c r="T4203" s="53"/>
      <c r="V4203" s="53"/>
      <c r="W4203" s="55"/>
    </row>
    <row r="4204">
      <c r="K4204" s="53"/>
      <c r="N4204" s="53"/>
      <c r="O4204" s="53"/>
      <c r="T4204" s="53"/>
      <c r="V4204" s="53"/>
      <c r="W4204" s="55"/>
    </row>
    <row r="4205">
      <c r="K4205" s="53"/>
      <c r="N4205" s="53"/>
      <c r="O4205" s="53"/>
      <c r="T4205" s="53"/>
      <c r="V4205" s="53"/>
      <c r="W4205" s="55"/>
    </row>
    <row r="4206">
      <c r="K4206" s="53"/>
      <c r="N4206" s="53"/>
      <c r="O4206" s="53"/>
      <c r="T4206" s="53"/>
      <c r="V4206" s="53"/>
      <c r="W4206" s="55"/>
    </row>
    <row r="4207">
      <c r="K4207" s="53"/>
      <c r="N4207" s="53"/>
      <c r="O4207" s="53"/>
      <c r="T4207" s="53"/>
      <c r="V4207" s="53"/>
      <c r="W4207" s="55"/>
    </row>
    <row r="4208">
      <c r="K4208" s="53"/>
      <c r="N4208" s="53"/>
      <c r="O4208" s="53"/>
      <c r="T4208" s="53"/>
      <c r="V4208" s="53"/>
      <c r="W4208" s="55"/>
    </row>
    <row r="4209">
      <c r="K4209" s="53"/>
      <c r="N4209" s="53"/>
      <c r="O4209" s="53"/>
      <c r="T4209" s="53"/>
      <c r="V4209" s="53"/>
      <c r="W4209" s="55"/>
    </row>
    <row r="4210">
      <c r="K4210" s="53"/>
      <c r="N4210" s="53"/>
      <c r="O4210" s="53"/>
      <c r="T4210" s="53"/>
      <c r="V4210" s="53"/>
      <c r="W4210" s="55"/>
    </row>
    <row r="4211">
      <c r="K4211" s="53"/>
      <c r="N4211" s="53"/>
      <c r="O4211" s="53"/>
      <c r="T4211" s="53"/>
      <c r="V4211" s="53"/>
      <c r="W4211" s="55"/>
    </row>
    <row r="4212">
      <c r="K4212" s="53"/>
      <c r="N4212" s="53"/>
      <c r="O4212" s="53"/>
      <c r="T4212" s="53"/>
      <c r="V4212" s="53"/>
      <c r="W4212" s="55"/>
    </row>
    <row r="4213">
      <c r="K4213" s="53"/>
      <c r="N4213" s="53"/>
      <c r="O4213" s="53"/>
      <c r="T4213" s="53"/>
      <c r="V4213" s="53"/>
      <c r="W4213" s="55"/>
    </row>
    <row r="4214">
      <c r="K4214" s="53"/>
      <c r="N4214" s="53"/>
      <c r="O4214" s="53"/>
      <c r="T4214" s="53"/>
      <c r="V4214" s="53"/>
      <c r="W4214" s="55"/>
    </row>
    <row r="4215">
      <c r="K4215" s="53"/>
      <c r="N4215" s="53"/>
      <c r="O4215" s="53"/>
      <c r="T4215" s="53"/>
      <c r="V4215" s="53"/>
      <c r="W4215" s="55"/>
    </row>
    <row r="4216">
      <c r="K4216" s="53"/>
      <c r="N4216" s="53"/>
      <c r="O4216" s="53"/>
      <c r="T4216" s="53"/>
      <c r="V4216" s="53"/>
      <c r="W4216" s="55"/>
    </row>
    <row r="4217">
      <c r="K4217" s="53"/>
      <c r="N4217" s="53"/>
      <c r="O4217" s="53"/>
      <c r="T4217" s="53"/>
      <c r="V4217" s="53"/>
      <c r="W4217" s="55"/>
    </row>
    <row r="4218">
      <c r="K4218" s="53"/>
      <c r="N4218" s="53"/>
      <c r="O4218" s="53"/>
      <c r="T4218" s="53"/>
      <c r="V4218" s="53"/>
      <c r="W4218" s="55"/>
    </row>
    <row r="4219">
      <c r="K4219" s="53"/>
      <c r="N4219" s="53"/>
      <c r="O4219" s="53"/>
      <c r="T4219" s="53"/>
      <c r="V4219" s="53"/>
      <c r="W4219" s="55"/>
    </row>
    <row r="4220">
      <c r="K4220" s="53"/>
      <c r="N4220" s="53"/>
      <c r="O4220" s="53"/>
      <c r="T4220" s="53"/>
      <c r="V4220" s="53"/>
      <c r="W4220" s="55"/>
    </row>
    <row r="4221">
      <c r="K4221" s="53"/>
      <c r="N4221" s="53"/>
      <c r="O4221" s="53"/>
      <c r="T4221" s="53"/>
      <c r="V4221" s="53"/>
      <c r="W4221" s="55"/>
    </row>
    <row r="4222">
      <c r="K4222" s="53"/>
      <c r="N4222" s="53"/>
      <c r="O4222" s="53"/>
      <c r="T4222" s="53"/>
      <c r="V4222" s="53"/>
      <c r="W4222" s="55"/>
    </row>
    <row r="4223">
      <c r="K4223" s="53"/>
      <c r="N4223" s="53"/>
      <c r="O4223" s="53"/>
      <c r="T4223" s="53"/>
      <c r="V4223" s="53"/>
      <c r="W4223" s="55"/>
    </row>
    <row r="4224">
      <c r="K4224" s="53"/>
      <c r="N4224" s="53"/>
      <c r="O4224" s="53"/>
      <c r="T4224" s="53"/>
      <c r="V4224" s="53"/>
      <c r="W4224" s="55"/>
    </row>
    <row r="4225">
      <c r="K4225" s="53"/>
      <c r="N4225" s="53"/>
      <c r="O4225" s="53"/>
      <c r="T4225" s="53"/>
      <c r="V4225" s="53"/>
      <c r="W4225" s="55"/>
    </row>
    <row r="4226">
      <c r="K4226" s="53"/>
      <c r="N4226" s="53"/>
      <c r="O4226" s="53"/>
      <c r="T4226" s="53"/>
      <c r="V4226" s="53"/>
      <c r="W4226" s="55"/>
    </row>
    <row r="4227">
      <c r="K4227" s="53"/>
      <c r="N4227" s="53"/>
      <c r="O4227" s="53"/>
      <c r="T4227" s="53"/>
      <c r="V4227" s="53"/>
      <c r="W4227" s="55"/>
    </row>
    <row r="4228">
      <c r="K4228" s="53"/>
      <c r="N4228" s="53"/>
      <c r="O4228" s="53"/>
      <c r="T4228" s="53"/>
      <c r="V4228" s="53"/>
      <c r="W4228" s="55"/>
    </row>
    <row r="4229">
      <c r="K4229" s="53"/>
      <c r="N4229" s="53"/>
      <c r="O4229" s="53"/>
      <c r="T4229" s="53"/>
      <c r="V4229" s="53"/>
      <c r="W4229" s="55"/>
    </row>
    <row r="4230">
      <c r="K4230" s="53"/>
      <c r="N4230" s="53"/>
      <c r="O4230" s="53"/>
      <c r="T4230" s="53"/>
      <c r="V4230" s="53"/>
      <c r="W4230" s="55"/>
    </row>
    <row r="4231">
      <c r="K4231" s="53"/>
      <c r="N4231" s="53"/>
      <c r="O4231" s="53"/>
      <c r="T4231" s="53"/>
      <c r="V4231" s="53"/>
      <c r="W4231" s="55"/>
    </row>
    <row r="4232">
      <c r="K4232" s="53"/>
      <c r="N4232" s="53"/>
      <c r="O4232" s="53"/>
      <c r="T4232" s="53"/>
      <c r="V4232" s="53"/>
      <c r="W4232" s="55"/>
    </row>
    <row r="4233">
      <c r="K4233" s="53"/>
      <c r="N4233" s="53"/>
      <c r="O4233" s="53"/>
      <c r="T4233" s="53"/>
      <c r="V4233" s="53"/>
      <c r="W4233" s="55"/>
    </row>
    <row r="4234">
      <c r="K4234" s="53"/>
      <c r="N4234" s="53"/>
      <c r="O4234" s="53"/>
      <c r="T4234" s="53"/>
      <c r="V4234" s="53"/>
      <c r="W4234" s="55"/>
    </row>
    <row r="4235">
      <c r="K4235" s="53"/>
      <c r="N4235" s="53"/>
      <c r="O4235" s="53"/>
      <c r="T4235" s="53"/>
      <c r="V4235" s="53"/>
      <c r="W4235" s="55"/>
    </row>
    <row r="4236">
      <c r="K4236" s="53"/>
      <c r="N4236" s="53"/>
      <c r="O4236" s="53"/>
      <c r="T4236" s="53"/>
      <c r="V4236" s="53"/>
      <c r="W4236" s="55"/>
    </row>
    <row r="4237">
      <c r="K4237" s="53"/>
      <c r="N4237" s="53"/>
      <c r="O4237" s="53"/>
      <c r="T4237" s="53"/>
      <c r="V4237" s="53"/>
      <c r="W4237" s="55"/>
    </row>
    <row r="4238">
      <c r="K4238" s="53"/>
      <c r="N4238" s="53"/>
      <c r="O4238" s="53"/>
      <c r="T4238" s="53"/>
      <c r="V4238" s="53"/>
      <c r="W4238" s="55"/>
    </row>
    <row r="4239">
      <c r="K4239" s="53"/>
      <c r="N4239" s="53"/>
      <c r="O4239" s="53"/>
      <c r="T4239" s="53"/>
      <c r="V4239" s="53"/>
      <c r="W4239" s="55"/>
    </row>
    <row r="4240">
      <c r="K4240" s="53"/>
      <c r="N4240" s="53"/>
      <c r="O4240" s="53"/>
      <c r="T4240" s="53"/>
      <c r="V4240" s="53"/>
      <c r="W4240" s="55"/>
    </row>
    <row r="4241">
      <c r="K4241" s="53"/>
      <c r="N4241" s="53"/>
      <c r="O4241" s="53"/>
      <c r="T4241" s="53"/>
      <c r="V4241" s="53"/>
      <c r="W4241" s="55"/>
    </row>
    <row r="4242">
      <c r="K4242" s="53"/>
      <c r="N4242" s="53"/>
      <c r="O4242" s="53"/>
      <c r="T4242" s="53"/>
      <c r="V4242" s="53"/>
      <c r="W4242" s="55"/>
    </row>
    <row r="4243">
      <c r="K4243" s="53"/>
      <c r="N4243" s="53"/>
      <c r="O4243" s="53"/>
      <c r="T4243" s="53"/>
      <c r="V4243" s="53"/>
      <c r="W4243" s="55"/>
    </row>
    <row r="4244">
      <c r="K4244" s="53"/>
      <c r="N4244" s="53"/>
      <c r="O4244" s="53"/>
      <c r="T4244" s="53"/>
      <c r="V4244" s="53"/>
      <c r="W4244" s="55"/>
    </row>
    <row r="4245">
      <c r="K4245" s="53"/>
      <c r="N4245" s="53"/>
      <c r="O4245" s="53"/>
      <c r="T4245" s="53"/>
      <c r="V4245" s="53"/>
      <c r="W4245" s="55"/>
    </row>
    <row r="4246">
      <c r="K4246" s="53"/>
      <c r="N4246" s="53"/>
      <c r="O4246" s="53"/>
      <c r="T4246" s="53"/>
      <c r="V4246" s="53"/>
      <c r="W4246" s="55"/>
    </row>
    <row r="4247">
      <c r="K4247" s="53"/>
      <c r="N4247" s="53"/>
      <c r="O4247" s="53"/>
      <c r="T4247" s="53"/>
      <c r="V4247" s="53"/>
      <c r="W4247" s="55"/>
    </row>
    <row r="4248">
      <c r="K4248" s="53"/>
      <c r="N4248" s="53"/>
      <c r="O4248" s="53"/>
      <c r="T4248" s="53"/>
      <c r="V4248" s="53"/>
      <c r="W4248" s="55"/>
    </row>
    <row r="4249">
      <c r="K4249" s="53"/>
      <c r="N4249" s="53"/>
      <c r="O4249" s="53"/>
      <c r="T4249" s="53"/>
      <c r="V4249" s="53"/>
      <c r="W4249" s="55"/>
    </row>
    <row r="4250">
      <c r="K4250" s="53"/>
      <c r="N4250" s="53"/>
      <c r="O4250" s="53"/>
      <c r="T4250" s="53"/>
      <c r="V4250" s="53"/>
      <c r="W4250" s="55"/>
    </row>
    <row r="4251">
      <c r="K4251" s="53"/>
      <c r="N4251" s="53"/>
      <c r="O4251" s="53"/>
      <c r="T4251" s="53"/>
      <c r="V4251" s="53"/>
      <c r="W4251" s="55"/>
    </row>
    <row r="4252">
      <c r="K4252" s="53"/>
      <c r="N4252" s="53"/>
      <c r="O4252" s="53"/>
      <c r="T4252" s="53"/>
      <c r="V4252" s="53"/>
      <c r="W4252" s="55"/>
    </row>
    <row r="4253">
      <c r="K4253" s="53"/>
      <c r="N4253" s="53"/>
      <c r="O4253" s="53"/>
      <c r="T4253" s="53"/>
      <c r="V4253" s="53"/>
      <c r="W4253" s="55"/>
    </row>
    <row r="4254">
      <c r="K4254" s="53"/>
      <c r="N4254" s="53"/>
      <c r="O4254" s="53"/>
      <c r="T4254" s="53"/>
      <c r="V4254" s="53"/>
      <c r="W4254" s="55"/>
    </row>
    <row r="4255">
      <c r="K4255" s="53"/>
      <c r="N4255" s="53"/>
      <c r="O4255" s="53"/>
      <c r="T4255" s="53"/>
      <c r="V4255" s="53"/>
      <c r="W4255" s="55"/>
    </row>
    <row r="4256">
      <c r="K4256" s="53"/>
      <c r="N4256" s="53"/>
      <c r="O4256" s="53"/>
      <c r="T4256" s="53"/>
      <c r="V4256" s="53"/>
      <c r="W4256" s="55"/>
    </row>
    <row r="4257">
      <c r="K4257" s="53"/>
      <c r="N4257" s="53"/>
      <c r="O4257" s="53"/>
      <c r="T4257" s="53"/>
      <c r="V4257" s="53"/>
      <c r="W4257" s="55"/>
    </row>
    <row r="4258">
      <c r="K4258" s="53"/>
      <c r="N4258" s="53"/>
      <c r="O4258" s="53"/>
      <c r="T4258" s="53"/>
      <c r="V4258" s="53"/>
      <c r="W4258" s="55"/>
    </row>
    <row r="4259">
      <c r="K4259" s="53"/>
      <c r="N4259" s="53"/>
      <c r="O4259" s="53"/>
      <c r="T4259" s="53"/>
      <c r="V4259" s="53"/>
      <c r="W4259" s="55"/>
    </row>
    <row r="4260">
      <c r="K4260" s="53"/>
      <c r="N4260" s="53"/>
      <c r="O4260" s="53"/>
      <c r="T4260" s="53"/>
      <c r="V4260" s="53"/>
      <c r="W4260" s="55"/>
    </row>
    <row r="4261">
      <c r="K4261" s="53"/>
      <c r="N4261" s="53"/>
      <c r="O4261" s="53"/>
      <c r="T4261" s="53"/>
      <c r="V4261" s="53"/>
      <c r="W4261" s="55"/>
    </row>
    <row r="4262">
      <c r="K4262" s="53"/>
      <c r="N4262" s="53"/>
      <c r="O4262" s="53"/>
      <c r="T4262" s="53"/>
      <c r="V4262" s="53"/>
      <c r="W4262" s="55"/>
    </row>
    <row r="4263">
      <c r="K4263" s="53"/>
      <c r="N4263" s="53"/>
      <c r="O4263" s="53"/>
      <c r="T4263" s="53"/>
      <c r="V4263" s="53"/>
      <c r="W4263" s="55"/>
    </row>
    <row r="4264">
      <c r="K4264" s="53"/>
      <c r="N4264" s="53"/>
      <c r="O4264" s="53"/>
      <c r="T4264" s="53"/>
      <c r="V4264" s="53"/>
      <c r="W4264" s="55"/>
    </row>
    <row r="4265">
      <c r="K4265" s="53"/>
      <c r="N4265" s="53"/>
      <c r="O4265" s="53"/>
      <c r="T4265" s="53"/>
      <c r="V4265" s="53"/>
      <c r="W4265" s="55"/>
    </row>
    <row r="4266">
      <c r="K4266" s="53"/>
      <c r="N4266" s="53"/>
      <c r="O4266" s="53"/>
      <c r="T4266" s="53"/>
      <c r="V4266" s="53"/>
      <c r="W4266" s="55"/>
    </row>
    <row r="4267">
      <c r="K4267" s="53"/>
      <c r="N4267" s="53"/>
      <c r="O4267" s="53"/>
      <c r="T4267" s="53"/>
      <c r="V4267" s="53"/>
      <c r="W4267" s="55"/>
    </row>
    <row r="4268">
      <c r="K4268" s="53"/>
      <c r="N4268" s="53"/>
      <c r="O4268" s="53"/>
      <c r="T4268" s="53"/>
      <c r="V4268" s="53"/>
      <c r="W4268" s="55"/>
    </row>
    <row r="4269">
      <c r="K4269" s="53"/>
      <c r="N4269" s="53"/>
      <c r="O4269" s="53"/>
      <c r="T4269" s="53"/>
      <c r="V4269" s="53"/>
      <c r="W4269" s="55"/>
    </row>
    <row r="4270">
      <c r="K4270" s="53"/>
      <c r="N4270" s="53"/>
      <c r="O4270" s="53"/>
      <c r="T4270" s="53"/>
      <c r="V4270" s="53"/>
      <c r="W4270" s="55"/>
    </row>
    <row r="4271">
      <c r="K4271" s="53"/>
      <c r="N4271" s="53"/>
      <c r="O4271" s="53"/>
      <c r="T4271" s="53"/>
      <c r="V4271" s="53"/>
      <c r="W4271" s="55"/>
    </row>
    <row r="4272">
      <c r="K4272" s="53"/>
      <c r="N4272" s="53"/>
      <c r="O4272" s="53"/>
      <c r="T4272" s="53"/>
      <c r="V4272" s="53"/>
      <c r="W4272" s="55"/>
    </row>
    <row r="4273">
      <c r="K4273" s="53"/>
      <c r="N4273" s="53"/>
      <c r="O4273" s="53"/>
      <c r="T4273" s="53"/>
      <c r="V4273" s="53"/>
      <c r="W4273" s="55"/>
    </row>
    <row r="4274">
      <c r="K4274" s="53"/>
      <c r="N4274" s="53"/>
      <c r="O4274" s="53"/>
      <c r="T4274" s="53"/>
      <c r="V4274" s="53"/>
      <c r="W4274" s="55"/>
    </row>
    <row r="4275">
      <c r="K4275" s="53"/>
      <c r="N4275" s="53"/>
      <c r="O4275" s="53"/>
      <c r="T4275" s="53"/>
      <c r="V4275" s="53"/>
      <c r="W4275" s="55"/>
    </row>
    <row r="4276">
      <c r="K4276" s="53"/>
      <c r="N4276" s="53"/>
      <c r="O4276" s="53"/>
      <c r="T4276" s="53"/>
      <c r="V4276" s="53"/>
      <c r="W4276" s="55"/>
    </row>
    <row r="4277">
      <c r="K4277" s="53"/>
      <c r="N4277" s="53"/>
      <c r="O4277" s="53"/>
      <c r="T4277" s="53"/>
      <c r="V4277" s="53"/>
      <c r="W4277" s="55"/>
    </row>
    <row r="4278">
      <c r="K4278" s="53"/>
      <c r="N4278" s="53"/>
      <c r="O4278" s="53"/>
      <c r="T4278" s="53"/>
      <c r="V4278" s="53"/>
      <c r="W4278" s="55"/>
    </row>
    <row r="4279">
      <c r="K4279" s="53"/>
      <c r="N4279" s="53"/>
      <c r="O4279" s="53"/>
      <c r="T4279" s="53"/>
      <c r="V4279" s="53"/>
      <c r="W4279" s="55"/>
    </row>
    <row r="4280">
      <c r="K4280" s="53"/>
      <c r="N4280" s="53"/>
      <c r="O4280" s="53"/>
      <c r="T4280" s="53"/>
      <c r="V4280" s="53"/>
      <c r="W4280" s="55"/>
    </row>
    <row r="4281">
      <c r="K4281" s="53"/>
      <c r="N4281" s="53"/>
      <c r="O4281" s="53"/>
      <c r="T4281" s="53"/>
      <c r="V4281" s="53"/>
      <c r="W4281" s="55"/>
    </row>
    <row r="4282">
      <c r="K4282" s="53"/>
      <c r="N4282" s="53"/>
      <c r="O4282" s="53"/>
      <c r="T4282" s="53"/>
      <c r="V4282" s="53"/>
      <c r="W4282" s="55"/>
    </row>
    <row r="4283">
      <c r="K4283" s="53"/>
      <c r="N4283" s="53"/>
      <c r="O4283" s="53"/>
      <c r="T4283" s="53"/>
      <c r="V4283" s="53"/>
      <c r="W4283" s="55"/>
    </row>
    <row r="4284">
      <c r="K4284" s="53"/>
      <c r="N4284" s="53"/>
      <c r="O4284" s="53"/>
      <c r="T4284" s="53"/>
      <c r="V4284" s="53"/>
      <c r="W4284" s="55"/>
    </row>
    <row r="4285">
      <c r="K4285" s="53"/>
      <c r="N4285" s="53"/>
      <c r="O4285" s="53"/>
      <c r="T4285" s="53"/>
      <c r="V4285" s="53"/>
      <c r="W4285" s="55"/>
    </row>
    <row r="4286">
      <c r="K4286" s="53"/>
      <c r="N4286" s="53"/>
      <c r="O4286" s="53"/>
      <c r="T4286" s="53"/>
      <c r="V4286" s="53"/>
      <c r="W4286" s="55"/>
    </row>
    <row r="4287">
      <c r="K4287" s="53"/>
      <c r="N4287" s="53"/>
      <c r="O4287" s="53"/>
      <c r="T4287" s="53"/>
      <c r="V4287" s="53"/>
      <c r="W4287" s="55"/>
    </row>
    <row r="4288">
      <c r="K4288" s="53"/>
      <c r="N4288" s="53"/>
      <c r="O4288" s="53"/>
      <c r="T4288" s="53"/>
      <c r="V4288" s="53"/>
      <c r="W4288" s="55"/>
    </row>
    <row r="4289">
      <c r="K4289" s="53"/>
      <c r="N4289" s="53"/>
      <c r="O4289" s="53"/>
      <c r="T4289" s="53"/>
      <c r="V4289" s="53"/>
      <c r="W4289" s="55"/>
    </row>
    <row r="4290">
      <c r="K4290" s="53"/>
      <c r="N4290" s="53"/>
      <c r="O4290" s="53"/>
      <c r="T4290" s="53"/>
      <c r="V4290" s="53"/>
      <c r="W4290" s="55"/>
    </row>
    <row r="4291">
      <c r="K4291" s="53"/>
      <c r="N4291" s="53"/>
      <c r="O4291" s="53"/>
      <c r="T4291" s="53"/>
      <c r="V4291" s="53"/>
      <c r="W4291" s="55"/>
    </row>
    <row r="4292">
      <c r="K4292" s="53"/>
      <c r="N4292" s="53"/>
      <c r="O4292" s="53"/>
      <c r="T4292" s="53"/>
      <c r="V4292" s="53"/>
      <c r="W4292" s="55"/>
    </row>
    <row r="4293">
      <c r="K4293" s="53"/>
      <c r="N4293" s="53"/>
      <c r="O4293" s="53"/>
      <c r="T4293" s="53"/>
      <c r="V4293" s="53"/>
      <c r="W4293" s="55"/>
    </row>
    <row r="4294">
      <c r="K4294" s="53"/>
      <c r="N4294" s="53"/>
      <c r="O4294" s="53"/>
      <c r="T4294" s="53"/>
      <c r="V4294" s="53"/>
      <c r="W4294" s="55"/>
    </row>
    <row r="4295">
      <c r="K4295" s="53"/>
      <c r="N4295" s="53"/>
      <c r="O4295" s="53"/>
      <c r="T4295" s="53"/>
      <c r="V4295" s="53"/>
      <c r="W4295" s="55"/>
    </row>
    <row r="4296">
      <c r="K4296" s="53"/>
      <c r="N4296" s="53"/>
      <c r="O4296" s="53"/>
      <c r="T4296" s="53"/>
      <c r="V4296" s="53"/>
      <c r="W4296" s="55"/>
    </row>
    <row r="4297">
      <c r="K4297" s="53"/>
      <c r="N4297" s="53"/>
      <c r="O4297" s="53"/>
      <c r="T4297" s="53"/>
      <c r="V4297" s="53"/>
      <c r="W4297" s="55"/>
    </row>
    <row r="4298">
      <c r="K4298" s="53"/>
      <c r="N4298" s="53"/>
      <c r="O4298" s="53"/>
      <c r="T4298" s="53"/>
      <c r="V4298" s="53"/>
      <c r="W4298" s="55"/>
    </row>
    <row r="4299">
      <c r="K4299" s="53"/>
      <c r="N4299" s="53"/>
      <c r="O4299" s="53"/>
      <c r="T4299" s="53"/>
      <c r="V4299" s="53"/>
      <c r="W4299" s="55"/>
    </row>
    <row r="4300">
      <c r="K4300" s="53"/>
      <c r="N4300" s="53"/>
      <c r="O4300" s="53"/>
      <c r="T4300" s="53"/>
      <c r="V4300" s="53"/>
      <c r="W4300" s="55"/>
    </row>
    <row r="4301">
      <c r="K4301" s="53"/>
      <c r="N4301" s="53"/>
      <c r="O4301" s="53"/>
      <c r="T4301" s="53"/>
      <c r="V4301" s="53"/>
      <c r="W4301" s="55"/>
    </row>
    <row r="4302">
      <c r="K4302" s="53"/>
      <c r="N4302" s="53"/>
      <c r="O4302" s="53"/>
      <c r="T4302" s="53"/>
      <c r="V4302" s="53"/>
      <c r="W4302" s="55"/>
    </row>
    <row r="4303">
      <c r="K4303" s="53"/>
      <c r="N4303" s="53"/>
      <c r="O4303" s="53"/>
      <c r="T4303" s="53"/>
      <c r="V4303" s="53"/>
      <c r="W4303" s="55"/>
    </row>
    <row r="4304">
      <c r="K4304" s="53"/>
      <c r="N4304" s="53"/>
      <c r="O4304" s="53"/>
      <c r="T4304" s="53"/>
      <c r="V4304" s="53"/>
      <c r="W4304" s="55"/>
    </row>
    <row r="4305">
      <c r="K4305" s="53"/>
      <c r="N4305" s="53"/>
      <c r="O4305" s="53"/>
      <c r="T4305" s="53"/>
      <c r="V4305" s="53"/>
      <c r="W4305" s="55"/>
    </row>
    <row r="4306">
      <c r="K4306" s="53"/>
      <c r="N4306" s="53"/>
      <c r="O4306" s="53"/>
      <c r="T4306" s="53"/>
      <c r="V4306" s="53"/>
      <c r="W4306" s="55"/>
    </row>
    <row r="4307">
      <c r="K4307" s="53"/>
      <c r="N4307" s="53"/>
      <c r="O4307" s="53"/>
      <c r="T4307" s="53"/>
      <c r="V4307" s="53"/>
      <c r="W4307" s="55"/>
    </row>
    <row r="4308">
      <c r="K4308" s="53"/>
      <c r="N4308" s="53"/>
      <c r="O4308" s="53"/>
      <c r="T4308" s="53"/>
      <c r="V4308" s="53"/>
      <c r="W4308" s="55"/>
    </row>
    <row r="4309">
      <c r="K4309" s="53"/>
      <c r="N4309" s="53"/>
      <c r="O4309" s="53"/>
      <c r="T4309" s="53"/>
      <c r="V4309" s="53"/>
      <c r="W4309" s="55"/>
    </row>
    <row r="4310">
      <c r="K4310" s="53"/>
      <c r="N4310" s="53"/>
      <c r="O4310" s="53"/>
      <c r="T4310" s="53"/>
      <c r="V4310" s="53"/>
      <c r="W4310" s="55"/>
    </row>
    <row r="4311">
      <c r="K4311" s="53"/>
      <c r="N4311" s="53"/>
      <c r="O4311" s="53"/>
      <c r="T4311" s="53"/>
      <c r="V4311" s="53"/>
      <c r="W4311" s="55"/>
    </row>
    <row r="4312">
      <c r="K4312" s="53"/>
      <c r="N4312" s="53"/>
      <c r="O4312" s="53"/>
      <c r="T4312" s="53"/>
      <c r="V4312" s="53"/>
      <c r="W4312" s="55"/>
    </row>
    <row r="4313">
      <c r="K4313" s="53"/>
      <c r="N4313" s="53"/>
      <c r="O4313" s="53"/>
      <c r="T4313" s="53"/>
      <c r="V4313" s="53"/>
      <c r="W4313" s="55"/>
    </row>
    <row r="4314">
      <c r="K4314" s="53"/>
      <c r="N4314" s="53"/>
      <c r="O4314" s="53"/>
      <c r="T4314" s="53"/>
      <c r="V4314" s="53"/>
      <c r="W4314" s="55"/>
    </row>
    <row r="4315">
      <c r="K4315" s="53"/>
      <c r="N4315" s="53"/>
      <c r="O4315" s="53"/>
      <c r="T4315" s="53"/>
      <c r="V4315" s="53"/>
      <c r="W4315" s="55"/>
    </row>
    <row r="4316">
      <c r="K4316" s="53"/>
      <c r="N4316" s="53"/>
      <c r="O4316" s="53"/>
      <c r="T4316" s="53"/>
      <c r="V4316" s="53"/>
      <c r="W4316" s="55"/>
    </row>
    <row r="4317">
      <c r="K4317" s="53"/>
      <c r="N4317" s="53"/>
      <c r="O4317" s="53"/>
      <c r="T4317" s="53"/>
      <c r="V4317" s="53"/>
      <c r="W4317" s="55"/>
    </row>
    <row r="4318">
      <c r="K4318" s="53"/>
      <c r="N4318" s="53"/>
      <c r="O4318" s="53"/>
      <c r="T4318" s="53"/>
      <c r="V4318" s="53"/>
      <c r="W4318" s="55"/>
    </row>
    <row r="4319">
      <c r="K4319" s="53"/>
      <c r="N4319" s="53"/>
      <c r="O4319" s="53"/>
      <c r="T4319" s="53"/>
      <c r="V4319" s="53"/>
      <c r="W4319" s="55"/>
    </row>
    <row r="4320">
      <c r="K4320" s="53"/>
      <c r="N4320" s="53"/>
      <c r="O4320" s="53"/>
      <c r="T4320" s="53"/>
      <c r="V4320" s="53"/>
      <c r="W4320" s="55"/>
    </row>
    <row r="4321">
      <c r="K4321" s="53"/>
      <c r="N4321" s="53"/>
      <c r="O4321" s="53"/>
      <c r="T4321" s="53"/>
      <c r="V4321" s="53"/>
      <c r="W4321" s="55"/>
    </row>
    <row r="4322">
      <c r="K4322" s="53"/>
      <c r="N4322" s="53"/>
      <c r="O4322" s="53"/>
      <c r="T4322" s="53"/>
      <c r="V4322" s="53"/>
      <c r="W4322" s="55"/>
    </row>
    <row r="4323">
      <c r="K4323" s="53"/>
      <c r="N4323" s="53"/>
      <c r="O4323" s="53"/>
      <c r="T4323" s="53"/>
      <c r="V4323" s="53"/>
      <c r="W4323" s="55"/>
    </row>
    <row r="4324">
      <c r="K4324" s="53"/>
      <c r="N4324" s="53"/>
      <c r="O4324" s="53"/>
      <c r="T4324" s="53"/>
      <c r="V4324" s="53"/>
      <c r="W4324" s="55"/>
    </row>
    <row r="4325">
      <c r="K4325" s="53"/>
      <c r="N4325" s="53"/>
      <c r="O4325" s="53"/>
      <c r="T4325" s="53"/>
      <c r="V4325" s="53"/>
      <c r="W4325" s="55"/>
    </row>
    <row r="4326">
      <c r="K4326" s="53"/>
      <c r="N4326" s="53"/>
      <c r="O4326" s="53"/>
      <c r="T4326" s="53"/>
      <c r="V4326" s="53"/>
      <c r="W4326" s="55"/>
    </row>
    <row r="4327">
      <c r="K4327" s="53"/>
      <c r="N4327" s="53"/>
      <c r="O4327" s="53"/>
      <c r="T4327" s="53"/>
      <c r="V4327" s="53"/>
      <c r="W4327" s="55"/>
    </row>
    <row r="4328">
      <c r="K4328" s="53"/>
      <c r="N4328" s="53"/>
      <c r="O4328" s="53"/>
      <c r="T4328" s="53"/>
      <c r="V4328" s="53"/>
      <c r="W4328" s="55"/>
    </row>
    <row r="4329">
      <c r="K4329" s="53"/>
      <c r="N4329" s="53"/>
      <c r="O4329" s="53"/>
      <c r="T4329" s="53"/>
      <c r="V4329" s="53"/>
      <c r="W4329" s="55"/>
    </row>
    <row r="4330">
      <c r="K4330" s="53"/>
      <c r="N4330" s="53"/>
      <c r="O4330" s="53"/>
      <c r="T4330" s="53"/>
      <c r="V4330" s="53"/>
      <c r="W4330" s="55"/>
    </row>
    <row r="4331">
      <c r="K4331" s="53"/>
      <c r="N4331" s="53"/>
      <c r="O4331" s="53"/>
      <c r="T4331" s="53"/>
      <c r="V4331" s="53"/>
      <c r="W4331" s="55"/>
    </row>
    <row r="4332">
      <c r="K4332" s="53"/>
      <c r="N4332" s="53"/>
      <c r="O4332" s="53"/>
      <c r="T4332" s="53"/>
      <c r="V4332" s="53"/>
      <c r="W4332" s="55"/>
    </row>
    <row r="4333">
      <c r="K4333" s="53"/>
      <c r="N4333" s="53"/>
      <c r="O4333" s="53"/>
      <c r="T4333" s="53"/>
      <c r="V4333" s="53"/>
      <c r="W4333" s="55"/>
    </row>
    <row r="4334">
      <c r="K4334" s="53"/>
      <c r="N4334" s="53"/>
      <c r="O4334" s="53"/>
      <c r="T4334" s="53"/>
      <c r="V4334" s="53"/>
      <c r="W4334" s="55"/>
    </row>
    <row r="4335">
      <c r="K4335" s="53"/>
      <c r="N4335" s="53"/>
      <c r="O4335" s="53"/>
      <c r="T4335" s="53"/>
      <c r="V4335" s="53"/>
      <c r="W4335" s="55"/>
    </row>
    <row r="4336">
      <c r="K4336" s="53"/>
      <c r="N4336" s="53"/>
      <c r="O4336" s="53"/>
      <c r="T4336" s="53"/>
      <c r="V4336" s="53"/>
      <c r="W4336" s="55"/>
    </row>
    <row r="4337">
      <c r="K4337" s="53"/>
      <c r="N4337" s="53"/>
      <c r="O4337" s="53"/>
      <c r="T4337" s="53"/>
      <c r="V4337" s="53"/>
      <c r="W4337" s="55"/>
    </row>
    <row r="4338">
      <c r="K4338" s="53"/>
      <c r="N4338" s="53"/>
      <c r="O4338" s="53"/>
      <c r="T4338" s="53"/>
      <c r="V4338" s="53"/>
      <c r="W4338" s="55"/>
    </row>
    <row r="4339">
      <c r="K4339" s="53"/>
      <c r="N4339" s="53"/>
      <c r="O4339" s="53"/>
      <c r="T4339" s="53"/>
      <c r="V4339" s="53"/>
      <c r="W4339" s="55"/>
    </row>
    <row r="4340">
      <c r="K4340" s="53"/>
      <c r="N4340" s="53"/>
      <c r="O4340" s="53"/>
      <c r="T4340" s="53"/>
      <c r="V4340" s="53"/>
      <c r="W4340" s="55"/>
    </row>
    <row r="4341">
      <c r="K4341" s="53"/>
      <c r="N4341" s="53"/>
      <c r="O4341" s="53"/>
      <c r="T4341" s="53"/>
      <c r="V4341" s="53"/>
      <c r="W4341" s="55"/>
    </row>
    <row r="4342">
      <c r="K4342" s="53"/>
      <c r="N4342" s="53"/>
      <c r="O4342" s="53"/>
      <c r="T4342" s="53"/>
      <c r="V4342" s="53"/>
      <c r="W4342" s="55"/>
    </row>
    <row r="4343">
      <c r="K4343" s="53"/>
      <c r="N4343" s="53"/>
      <c r="O4343" s="53"/>
      <c r="T4343" s="53"/>
      <c r="V4343" s="53"/>
      <c r="W4343" s="55"/>
    </row>
    <row r="4344">
      <c r="K4344" s="53"/>
      <c r="N4344" s="53"/>
      <c r="O4344" s="53"/>
      <c r="T4344" s="53"/>
      <c r="V4344" s="53"/>
      <c r="W4344" s="55"/>
    </row>
    <row r="4345">
      <c r="K4345" s="53"/>
      <c r="N4345" s="53"/>
      <c r="O4345" s="53"/>
      <c r="T4345" s="53"/>
      <c r="V4345" s="53"/>
      <c r="W4345" s="55"/>
    </row>
    <row r="4346">
      <c r="K4346" s="53"/>
      <c r="N4346" s="53"/>
      <c r="O4346" s="53"/>
      <c r="T4346" s="53"/>
      <c r="V4346" s="53"/>
      <c r="W4346" s="55"/>
    </row>
    <row r="4347">
      <c r="K4347" s="53"/>
      <c r="N4347" s="53"/>
      <c r="O4347" s="53"/>
      <c r="T4347" s="53"/>
      <c r="V4347" s="53"/>
      <c r="W4347" s="55"/>
    </row>
    <row r="4348">
      <c r="K4348" s="53"/>
      <c r="N4348" s="53"/>
      <c r="O4348" s="53"/>
      <c r="T4348" s="53"/>
      <c r="V4348" s="53"/>
      <c r="W4348" s="55"/>
    </row>
    <row r="4349">
      <c r="K4349" s="53"/>
      <c r="N4349" s="53"/>
      <c r="O4349" s="53"/>
      <c r="T4349" s="53"/>
      <c r="V4349" s="53"/>
      <c r="W4349" s="55"/>
    </row>
    <row r="4350">
      <c r="K4350" s="53"/>
      <c r="N4350" s="53"/>
      <c r="O4350" s="53"/>
      <c r="T4350" s="53"/>
      <c r="V4350" s="53"/>
      <c r="W4350" s="55"/>
    </row>
    <row r="4351">
      <c r="K4351" s="53"/>
      <c r="N4351" s="53"/>
      <c r="O4351" s="53"/>
      <c r="T4351" s="53"/>
      <c r="V4351" s="53"/>
      <c r="W4351" s="55"/>
    </row>
    <row r="4352">
      <c r="K4352" s="53"/>
      <c r="N4352" s="53"/>
      <c r="O4352" s="53"/>
      <c r="T4352" s="53"/>
      <c r="V4352" s="53"/>
      <c r="W4352" s="55"/>
    </row>
    <row r="4353">
      <c r="K4353" s="53"/>
      <c r="N4353" s="53"/>
      <c r="O4353" s="53"/>
      <c r="T4353" s="53"/>
      <c r="V4353" s="53"/>
      <c r="W4353" s="55"/>
    </row>
    <row r="4354">
      <c r="K4354" s="53"/>
      <c r="N4354" s="53"/>
      <c r="O4354" s="53"/>
      <c r="T4354" s="53"/>
      <c r="V4354" s="53"/>
      <c r="W4354" s="55"/>
    </row>
    <row r="4355">
      <c r="K4355" s="53"/>
      <c r="N4355" s="53"/>
      <c r="O4355" s="53"/>
      <c r="T4355" s="53"/>
      <c r="V4355" s="53"/>
      <c r="W4355" s="55"/>
    </row>
    <row r="4356">
      <c r="K4356" s="53"/>
      <c r="N4356" s="53"/>
      <c r="O4356" s="53"/>
      <c r="T4356" s="53"/>
      <c r="V4356" s="53"/>
      <c r="W4356" s="55"/>
    </row>
    <row r="4357">
      <c r="K4357" s="53"/>
      <c r="N4357" s="53"/>
      <c r="O4357" s="53"/>
      <c r="T4357" s="53"/>
      <c r="V4357" s="53"/>
      <c r="W4357" s="55"/>
    </row>
    <row r="4358">
      <c r="K4358" s="53"/>
      <c r="N4358" s="53"/>
      <c r="O4358" s="53"/>
      <c r="T4358" s="53"/>
      <c r="V4358" s="53"/>
      <c r="W4358" s="55"/>
    </row>
    <row r="4359">
      <c r="K4359" s="53"/>
      <c r="N4359" s="53"/>
      <c r="O4359" s="53"/>
      <c r="T4359" s="53"/>
      <c r="V4359" s="53"/>
      <c r="W4359" s="55"/>
    </row>
    <row r="4360">
      <c r="K4360" s="53"/>
      <c r="N4360" s="53"/>
      <c r="O4360" s="53"/>
      <c r="T4360" s="53"/>
      <c r="V4360" s="53"/>
      <c r="W4360" s="55"/>
    </row>
    <row r="4361">
      <c r="K4361" s="53"/>
      <c r="N4361" s="53"/>
      <c r="O4361" s="53"/>
      <c r="T4361" s="53"/>
      <c r="V4361" s="53"/>
      <c r="W4361" s="55"/>
    </row>
    <row r="4362">
      <c r="K4362" s="53"/>
      <c r="N4362" s="53"/>
      <c r="O4362" s="53"/>
      <c r="T4362" s="53"/>
      <c r="V4362" s="53"/>
      <c r="W4362" s="55"/>
    </row>
    <row r="4363">
      <c r="K4363" s="53"/>
      <c r="N4363" s="53"/>
      <c r="O4363" s="53"/>
      <c r="T4363" s="53"/>
      <c r="V4363" s="53"/>
      <c r="W4363" s="55"/>
    </row>
    <row r="4364">
      <c r="K4364" s="53"/>
      <c r="N4364" s="53"/>
      <c r="O4364" s="53"/>
      <c r="T4364" s="53"/>
      <c r="V4364" s="53"/>
      <c r="W4364" s="55"/>
    </row>
    <row r="4365">
      <c r="K4365" s="53"/>
      <c r="N4365" s="53"/>
      <c r="O4365" s="53"/>
      <c r="T4365" s="53"/>
      <c r="V4365" s="53"/>
      <c r="W4365" s="55"/>
    </row>
    <row r="4366">
      <c r="K4366" s="53"/>
      <c r="N4366" s="53"/>
      <c r="O4366" s="53"/>
      <c r="T4366" s="53"/>
      <c r="V4366" s="53"/>
      <c r="W4366" s="55"/>
    </row>
    <row r="4367">
      <c r="K4367" s="53"/>
      <c r="N4367" s="53"/>
      <c r="O4367" s="53"/>
      <c r="T4367" s="53"/>
      <c r="V4367" s="53"/>
      <c r="W4367" s="55"/>
    </row>
    <row r="4368">
      <c r="K4368" s="53"/>
      <c r="N4368" s="53"/>
      <c r="O4368" s="53"/>
      <c r="T4368" s="53"/>
      <c r="V4368" s="53"/>
      <c r="W4368" s="55"/>
    </row>
    <row r="4369">
      <c r="K4369" s="53"/>
      <c r="N4369" s="53"/>
      <c r="O4369" s="53"/>
      <c r="T4369" s="53"/>
      <c r="V4369" s="53"/>
      <c r="W4369" s="55"/>
    </row>
    <row r="4370">
      <c r="K4370" s="53"/>
      <c r="N4370" s="53"/>
      <c r="O4370" s="53"/>
      <c r="T4370" s="53"/>
      <c r="V4370" s="53"/>
      <c r="W4370" s="55"/>
    </row>
    <row r="4371">
      <c r="K4371" s="53"/>
      <c r="N4371" s="53"/>
      <c r="O4371" s="53"/>
      <c r="T4371" s="53"/>
      <c r="V4371" s="53"/>
      <c r="W4371" s="55"/>
    </row>
    <row r="4372">
      <c r="K4372" s="53"/>
      <c r="N4372" s="53"/>
      <c r="O4372" s="53"/>
      <c r="T4372" s="53"/>
      <c r="V4372" s="53"/>
      <c r="W4372" s="55"/>
    </row>
    <row r="4373">
      <c r="K4373" s="53"/>
      <c r="N4373" s="53"/>
      <c r="O4373" s="53"/>
      <c r="T4373" s="53"/>
      <c r="V4373" s="53"/>
      <c r="W4373" s="55"/>
    </row>
    <row r="4374">
      <c r="K4374" s="53"/>
      <c r="N4374" s="53"/>
      <c r="O4374" s="53"/>
      <c r="T4374" s="53"/>
      <c r="V4374" s="53"/>
      <c r="W4374" s="55"/>
    </row>
    <row r="4375">
      <c r="K4375" s="53"/>
      <c r="N4375" s="53"/>
      <c r="O4375" s="53"/>
      <c r="T4375" s="53"/>
      <c r="V4375" s="53"/>
      <c r="W4375" s="55"/>
    </row>
    <row r="4376">
      <c r="K4376" s="53"/>
      <c r="N4376" s="53"/>
      <c r="O4376" s="53"/>
      <c r="T4376" s="53"/>
      <c r="V4376" s="53"/>
      <c r="W4376" s="55"/>
    </row>
    <row r="4377">
      <c r="K4377" s="53"/>
      <c r="N4377" s="53"/>
      <c r="O4377" s="53"/>
      <c r="T4377" s="53"/>
      <c r="V4377" s="53"/>
      <c r="W4377" s="55"/>
    </row>
    <row r="4378">
      <c r="K4378" s="53"/>
      <c r="N4378" s="53"/>
      <c r="O4378" s="53"/>
      <c r="T4378" s="53"/>
      <c r="V4378" s="53"/>
      <c r="W4378" s="55"/>
    </row>
    <row r="4379">
      <c r="K4379" s="53"/>
      <c r="N4379" s="53"/>
      <c r="O4379" s="53"/>
      <c r="T4379" s="53"/>
      <c r="V4379" s="53"/>
      <c r="W4379" s="55"/>
    </row>
    <row r="4380">
      <c r="K4380" s="53"/>
      <c r="N4380" s="53"/>
      <c r="O4380" s="53"/>
      <c r="T4380" s="53"/>
      <c r="V4380" s="53"/>
      <c r="W4380" s="55"/>
    </row>
    <row r="4381">
      <c r="K4381" s="53"/>
      <c r="N4381" s="53"/>
      <c r="O4381" s="53"/>
      <c r="T4381" s="53"/>
      <c r="V4381" s="53"/>
      <c r="W4381" s="55"/>
    </row>
    <row r="4382">
      <c r="K4382" s="53"/>
      <c r="N4382" s="53"/>
      <c r="O4382" s="53"/>
      <c r="T4382" s="53"/>
      <c r="V4382" s="53"/>
      <c r="W4382" s="55"/>
    </row>
    <row r="4383">
      <c r="K4383" s="53"/>
      <c r="N4383" s="53"/>
      <c r="O4383" s="53"/>
      <c r="T4383" s="53"/>
      <c r="V4383" s="53"/>
      <c r="W4383" s="55"/>
    </row>
    <row r="4384">
      <c r="K4384" s="53"/>
      <c r="N4384" s="53"/>
      <c r="O4384" s="53"/>
      <c r="T4384" s="53"/>
      <c r="V4384" s="53"/>
      <c r="W4384" s="55"/>
    </row>
    <row r="4385">
      <c r="K4385" s="53"/>
      <c r="N4385" s="53"/>
      <c r="O4385" s="53"/>
      <c r="T4385" s="53"/>
      <c r="V4385" s="53"/>
      <c r="W4385" s="55"/>
    </row>
    <row r="4386">
      <c r="K4386" s="53"/>
      <c r="N4386" s="53"/>
      <c r="O4386" s="53"/>
      <c r="T4386" s="53"/>
      <c r="V4386" s="53"/>
      <c r="W4386" s="55"/>
    </row>
    <row r="4387">
      <c r="K4387" s="53"/>
      <c r="N4387" s="53"/>
      <c r="O4387" s="53"/>
      <c r="T4387" s="53"/>
      <c r="V4387" s="53"/>
      <c r="W4387" s="55"/>
    </row>
    <row r="4388">
      <c r="K4388" s="53"/>
      <c r="N4388" s="53"/>
      <c r="O4388" s="53"/>
      <c r="T4388" s="53"/>
      <c r="V4388" s="53"/>
      <c r="W4388" s="55"/>
    </row>
    <row r="4389">
      <c r="K4389" s="53"/>
      <c r="N4389" s="53"/>
      <c r="O4389" s="53"/>
      <c r="T4389" s="53"/>
      <c r="V4389" s="53"/>
      <c r="W4389" s="55"/>
    </row>
    <row r="4390">
      <c r="K4390" s="53"/>
      <c r="N4390" s="53"/>
      <c r="O4390" s="53"/>
      <c r="T4390" s="53"/>
      <c r="V4390" s="53"/>
      <c r="W4390" s="55"/>
    </row>
    <row r="4391">
      <c r="K4391" s="53"/>
      <c r="N4391" s="53"/>
      <c r="O4391" s="53"/>
      <c r="T4391" s="53"/>
      <c r="V4391" s="53"/>
      <c r="W4391" s="55"/>
    </row>
    <row r="4392">
      <c r="K4392" s="53"/>
      <c r="N4392" s="53"/>
      <c r="O4392" s="53"/>
      <c r="T4392" s="53"/>
      <c r="V4392" s="53"/>
      <c r="W4392" s="55"/>
    </row>
    <row r="4393">
      <c r="K4393" s="53"/>
      <c r="N4393" s="53"/>
      <c r="O4393" s="53"/>
      <c r="T4393" s="53"/>
      <c r="V4393" s="53"/>
      <c r="W4393" s="55"/>
    </row>
    <row r="4394">
      <c r="K4394" s="53"/>
      <c r="N4394" s="53"/>
      <c r="O4394" s="53"/>
      <c r="T4394" s="53"/>
      <c r="V4394" s="53"/>
      <c r="W4394" s="55"/>
    </row>
    <row r="4395">
      <c r="K4395" s="53"/>
      <c r="N4395" s="53"/>
      <c r="O4395" s="53"/>
      <c r="T4395" s="53"/>
      <c r="V4395" s="53"/>
      <c r="W4395" s="55"/>
    </row>
    <row r="4396">
      <c r="K4396" s="53"/>
      <c r="N4396" s="53"/>
      <c r="O4396" s="53"/>
      <c r="T4396" s="53"/>
      <c r="V4396" s="53"/>
      <c r="W4396" s="55"/>
    </row>
    <row r="4397">
      <c r="K4397" s="53"/>
      <c r="N4397" s="53"/>
      <c r="O4397" s="53"/>
      <c r="T4397" s="53"/>
      <c r="V4397" s="53"/>
      <c r="W4397" s="55"/>
    </row>
    <row r="4398">
      <c r="K4398" s="53"/>
      <c r="N4398" s="53"/>
      <c r="O4398" s="53"/>
      <c r="T4398" s="53"/>
      <c r="V4398" s="53"/>
      <c r="W4398" s="55"/>
    </row>
    <row r="4399">
      <c r="K4399" s="53"/>
      <c r="N4399" s="53"/>
      <c r="O4399" s="53"/>
      <c r="T4399" s="53"/>
      <c r="V4399" s="53"/>
      <c r="W4399" s="55"/>
    </row>
    <row r="4400">
      <c r="K4400" s="53"/>
      <c r="N4400" s="53"/>
      <c r="O4400" s="53"/>
      <c r="T4400" s="53"/>
      <c r="V4400" s="53"/>
      <c r="W4400" s="55"/>
    </row>
    <row r="4401">
      <c r="K4401" s="53"/>
      <c r="N4401" s="53"/>
      <c r="O4401" s="53"/>
      <c r="T4401" s="53"/>
      <c r="V4401" s="53"/>
      <c r="W4401" s="55"/>
    </row>
    <row r="4402">
      <c r="K4402" s="53"/>
      <c r="N4402" s="53"/>
      <c r="O4402" s="53"/>
      <c r="T4402" s="53"/>
      <c r="V4402" s="53"/>
      <c r="W4402" s="55"/>
    </row>
    <row r="4403">
      <c r="K4403" s="53"/>
      <c r="N4403" s="53"/>
      <c r="O4403" s="53"/>
      <c r="T4403" s="53"/>
      <c r="V4403" s="53"/>
      <c r="W4403" s="55"/>
    </row>
    <row r="4404">
      <c r="K4404" s="53"/>
      <c r="N4404" s="53"/>
      <c r="O4404" s="53"/>
      <c r="T4404" s="53"/>
      <c r="V4404" s="53"/>
      <c r="W4404" s="55"/>
    </row>
    <row r="4405">
      <c r="K4405" s="53"/>
      <c r="N4405" s="53"/>
      <c r="O4405" s="53"/>
      <c r="T4405" s="53"/>
      <c r="V4405" s="53"/>
      <c r="W4405" s="55"/>
    </row>
    <row r="4406">
      <c r="K4406" s="53"/>
      <c r="N4406" s="53"/>
      <c r="O4406" s="53"/>
      <c r="T4406" s="53"/>
      <c r="V4406" s="53"/>
      <c r="W4406" s="55"/>
    </row>
    <row r="4407">
      <c r="K4407" s="53"/>
      <c r="N4407" s="53"/>
      <c r="O4407" s="53"/>
      <c r="T4407" s="53"/>
      <c r="V4407" s="53"/>
      <c r="W4407" s="55"/>
    </row>
    <row r="4408">
      <c r="K4408" s="53"/>
      <c r="N4408" s="53"/>
      <c r="O4408" s="53"/>
      <c r="T4408" s="53"/>
      <c r="V4408" s="53"/>
      <c r="W4408" s="55"/>
    </row>
    <row r="4409">
      <c r="K4409" s="53"/>
      <c r="N4409" s="53"/>
      <c r="O4409" s="53"/>
      <c r="T4409" s="53"/>
      <c r="V4409" s="53"/>
      <c r="W4409" s="55"/>
    </row>
    <row r="4410">
      <c r="K4410" s="53"/>
      <c r="N4410" s="53"/>
      <c r="O4410" s="53"/>
      <c r="T4410" s="53"/>
      <c r="V4410" s="53"/>
      <c r="W4410" s="55"/>
    </row>
    <row r="4411">
      <c r="K4411" s="53"/>
      <c r="N4411" s="53"/>
      <c r="O4411" s="53"/>
      <c r="T4411" s="53"/>
      <c r="V4411" s="53"/>
      <c r="W4411" s="55"/>
    </row>
    <row r="4412">
      <c r="K4412" s="53"/>
      <c r="N4412" s="53"/>
      <c r="O4412" s="53"/>
      <c r="T4412" s="53"/>
      <c r="V4412" s="53"/>
      <c r="W4412" s="55"/>
    </row>
    <row r="4413">
      <c r="K4413" s="53"/>
      <c r="N4413" s="53"/>
      <c r="O4413" s="53"/>
      <c r="T4413" s="53"/>
      <c r="V4413" s="53"/>
      <c r="W4413" s="55"/>
    </row>
    <row r="4414">
      <c r="K4414" s="53"/>
      <c r="N4414" s="53"/>
      <c r="O4414" s="53"/>
      <c r="T4414" s="53"/>
      <c r="V4414" s="53"/>
      <c r="W4414" s="55"/>
    </row>
    <row r="4415">
      <c r="K4415" s="53"/>
      <c r="N4415" s="53"/>
      <c r="O4415" s="53"/>
      <c r="T4415" s="53"/>
      <c r="V4415" s="53"/>
      <c r="W4415" s="55"/>
    </row>
    <row r="4416">
      <c r="K4416" s="53"/>
      <c r="N4416" s="53"/>
      <c r="O4416" s="53"/>
      <c r="T4416" s="53"/>
      <c r="V4416" s="53"/>
      <c r="W4416" s="55"/>
    </row>
    <row r="4417">
      <c r="K4417" s="53"/>
      <c r="N4417" s="53"/>
      <c r="O4417" s="53"/>
      <c r="T4417" s="53"/>
      <c r="V4417" s="53"/>
      <c r="W4417" s="55"/>
    </row>
    <row r="4418">
      <c r="K4418" s="53"/>
      <c r="N4418" s="53"/>
      <c r="O4418" s="53"/>
      <c r="T4418" s="53"/>
      <c r="V4418" s="53"/>
      <c r="W4418" s="55"/>
    </row>
    <row r="4419">
      <c r="K4419" s="53"/>
      <c r="N4419" s="53"/>
      <c r="O4419" s="53"/>
      <c r="T4419" s="53"/>
      <c r="V4419" s="53"/>
      <c r="W4419" s="55"/>
    </row>
    <row r="4420">
      <c r="K4420" s="53"/>
      <c r="N4420" s="53"/>
      <c r="O4420" s="53"/>
      <c r="T4420" s="53"/>
      <c r="V4420" s="53"/>
      <c r="W4420" s="55"/>
    </row>
    <row r="4421">
      <c r="K4421" s="53"/>
      <c r="N4421" s="53"/>
      <c r="O4421" s="53"/>
      <c r="T4421" s="53"/>
      <c r="V4421" s="53"/>
      <c r="W4421" s="55"/>
    </row>
    <row r="4422">
      <c r="K4422" s="53"/>
      <c r="N4422" s="53"/>
      <c r="O4422" s="53"/>
      <c r="T4422" s="53"/>
      <c r="V4422" s="53"/>
      <c r="W4422" s="55"/>
    </row>
    <row r="4423">
      <c r="K4423" s="53"/>
      <c r="N4423" s="53"/>
      <c r="O4423" s="53"/>
      <c r="T4423" s="53"/>
      <c r="V4423" s="53"/>
      <c r="W4423" s="55"/>
    </row>
    <row r="4424">
      <c r="K4424" s="53"/>
      <c r="N4424" s="53"/>
      <c r="O4424" s="53"/>
      <c r="T4424" s="53"/>
      <c r="V4424" s="53"/>
      <c r="W4424" s="55"/>
    </row>
    <row r="4425">
      <c r="K4425" s="53"/>
      <c r="N4425" s="53"/>
      <c r="O4425" s="53"/>
      <c r="T4425" s="53"/>
      <c r="V4425" s="53"/>
      <c r="W4425" s="55"/>
    </row>
    <row r="4426">
      <c r="K4426" s="53"/>
      <c r="N4426" s="53"/>
      <c r="O4426" s="53"/>
      <c r="T4426" s="53"/>
      <c r="V4426" s="53"/>
      <c r="W4426" s="55"/>
    </row>
    <row r="4427">
      <c r="K4427" s="53"/>
      <c r="N4427" s="53"/>
      <c r="O4427" s="53"/>
      <c r="T4427" s="53"/>
      <c r="V4427" s="53"/>
      <c r="W4427" s="55"/>
    </row>
    <row r="4428">
      <c r="K4428" s="53"/>
      <c r="N4428" s="53"/>
      <c r="O4428" s="53"/>
      <c r="T4428" s="53"/>
      <c r="V4428" s="53"/>
      <c r="W4428" s="55"/>
    </row>
    <row r="4429">
      <c r="K4429" s="53"/>
      <c r="N4429" s="53"/>
      <c r="O4429" s="53"/>
      <c r="T4429" s="53"/>
      <c r="V4429" s="53"/>
      <c r="W4429" s="55"/>
    </row>
    <row r="4430">
      <c r="K4430" s="53"/>
      <c r="N4430" s="53"/>
      <c r="O4430" s="53"/>
      <c r="T4430" s="53"/>
      <c r="V4430" s="53"/>
      <c r="W4430" s="55"/>
    </row>
    <row r="4431">
      <c r="K4431" s="53"/>
      <c r="N4431" s="53"/>
      <c r="O4431" s="53"/>
      <c r="T4431" s="53"/>
      <c r="V4431" s="53"/>
      <c r="W4431" s="55"/>
    </row>
    <row r="4432">
      <c r="K4432" s="53"/>
      <c r="N4432" s="53"/>
      <c r="O4432" s="53"/>
      <c r="T4432" s="53"/>
      <c r="V4432" s="53"/>
      <c r="W4432" s="55"/>
    </row>
    <row r="4433">
      <c r="K4433" s="53"/>
      <c r="N4433" s="53"/>
      <c r="O4433" s="53"/>
      <c r="T4433" s="53"/>
      <c r="V4433" s="53"/>
      <c r="W4433" s="55"/>
    </row>
    <row r="4434">
      <c r="K4434" s="53"/>
      <c r="N4434" s="53"/>
      <c r="O4434" s="53"/>
      <c r="T4434" s="53"/>
      <c r="V4434" s="53"/>
      <c r="W4434" s="55"/>
    </row>
    <row r="4435">
      <c r="K4435" s="53"/>
      <c r="N4435" s="53"/>
      <c r="O4435" s="53"/>
      <c r="T4435" s="53"/>
      <c r="V4435" s="53"/>
      <c r="W4435" s="55"/>
    </row>
    <row r="4436">
      <c r="K4436" s="53"/>
      <c r="N4436" s="53"/>
      <c r="O4436" s="53"/>
      <c r="T4436" s="53"/>
      <c r="V4436" s="53"/>
      <c r="W4436" s="55"/>
    </row>
    <row r="4437">
      <c r="K4437" s="53"/>
      <c r="N4437" s="53"/>
      <c r="O4437" s="53"/>
      <c r="T4437" s="53"/>
      <c r="V4437" s="53"/>
      <c r="W4437" s="55"/>
    </row>
    <row r="4438">
      <c r="K4438" s="53"/>
      <c r="N4438" s="53"/>
      <c r="O4438" s="53"/>
      <c r="T4438" s="53"/>
      <c r="V4438" s="53"/>
      <c r="W4438" s="55"/>
    </row>
    <row r="4439">
      <c r="K4439" s="53"/>
      <c r="N4439" s="53"/>
      <c r="O4439" s="53"/>
      <c r="T4439" s="53"/>
      <c r="V4439" s="53"/>
      <c r="W4439" s="55"/>
    </row>
    <row r="4440">
      <c r="K4440" s="53"/>
      <c r="N4440" s="53"/>
      <c r="O4440" s="53"/>
      <c r="T4440" s="53"/>
      <c r="V4440" s="53"/>
      <c r="W4440" s="55"/>
    </row>
    <row r="4441">
      <c r="K4441" s="53"/>
      <c r="N4441" s="53"/>
      <c r="O4441" s="53"/>
      <c r="T4441" s="53"/>
      <c r="V4441" s="53"/>
      <c r="W4441" s="55"/>
    </row>
    <row r="4442">
      <c r="K4442" s="53"/>
      <c r="N4442" s="53"/>
      <c r="O4442" s="53"/>
      <c r="T4442" s="53"/>
      <c r="V4442" s="53"/>
      <c r="W4442" s="55"/>
    </row>
    <row r="4443">
      <c r="K4443" s="53"/>
      <c r="N4443" s="53"/>
      <c r="O4443" s="53"/>
      <c r="T4443" s="53"/>
      <c r="V4443" s="53"/>
      <c r="W4443" s="55"/>
    </row>
    <row r="4444">
      <c r="K4444" s="53"/>
      <c r="N4444" s="53"/>
      <c r="O4444" s="53"/>
      <c r="T4444" s="53"/>
      <c r="V4444" s="53"/>
      <c r="W4444" s="55"/>
    </row>
    <row r="4445">
      <c r="K4445" s="53"/>
      <c r="N4445" s="53"/>
      <c r="O4445" s="53"/>
      <c r="T4445" s="53"/>
      <c r="V4445" s="53"/>
      <c r="W4445" s="55"/>
    </row>
    <row r="4446">
      <c r="K4446" s="53"/>
      <c r="N4446" s="53"/>
      <c r="O4446" s="53"/>
      <c r="T4446" s="53"/>
      <c r="V4446" s="53"/>
      <c r="W4446" s="55"/>
    </row>
    <row r="4447">
      <c r="K4447" s="53"/>
      <c r="N4447" s="53"/>
      <c r="O4447" s="53"/>
      <c r="T4447" s="53"/>
      <c r="V4447" s="53"/>
      <c r="W4447" s="55"/>
    </row>
    <row r="4448">
      <c r="K4448" s="53"/>
      <c r="N4448" s="53"/>
      <c r="O4448" s="53"/>
      <c r="T4448" s="53"/>
      <c r="V4448" s="53"/>
      <c r="W4448" s="55"/>
    </row>
    <row r="4449">
      <c r="K4449" s="53"/>
      <c r="N4449" s="53"/>
      <c r="O4449" s="53"/>
      <c r="T4449" s="53"/>
      <c r="V4449" s="53"/>
      <c r="W4449" s="55"/>
    </row>
    <row r="4450">
      <c r="K4450" s="53"/>
      <c r="N4450" s="53"/>
      <c r="O4450" s="53"/>
      <c r="T4450" s="53"/>
      <c r="V4450" s="53"/>
      <c r="W4450" s="55"/>
    </row>
    <row r="4451">
      <c r="K4451" s="53"/>
      <c r="N4451" s="53"/>
      <c r="O4451" s="53"/>
      <c r="T4451" s="53"/>
      <c r="V4451" s="53"/>
      <c r="W4451" s="55"/>
    </row>
    <row r="4452">
      <c r="K4452" s="53"/>
      <c r="N4452" s="53"/>
      <c r="O4452" s="53"/>
      <c r="T4452" s="53"/>
      <c r="V4452" s="53"/>
      <c r="W4452" s="55"/>
    </row>
    <row r="4453">
      <c r="K4453" s="53"/>
      <c r="N4453" s="53"/>
      <c r="O4453" s="53"/>
      <c r="T4453" s="53"/>
      <c r="V4453" s="53"/>
      <c r="W4453" s="55"/>
    </row>
    <row r="4454">
      <c r="K4454" s="53"/>
      <c r="N4454" s="53"/>
      <c r="O4454" s="53"/>
      <c r="T4454" s="53"/>
      <c r="V4454" s="53"/>
      <c r="W4454" s="55"/>
    </row>
    <row r="4455">
      <c r="K4455" s="53"/>
      <c r="N4455" s="53"/>
      <c r="O4455" s="53"/>
      <c r="T4455" s="53"/>
      <c r="V4455" s="53"/>
      <c r="W4455" s="55"/>
    </row>
    <row r="4456">
      <c r="K4456" s="53"/>
      <c r="N4456" s="53"/>
      <c r="O4456" s="53"/>
      <c r="T4456" s="53"/>
      <c r="V4456" s="53"/>
      <c r="W4456" s="55"/>
    </row>
    <row r="4457">
      <c r="K4457" s="53"/>
      <c r="N4457" s="53"/>
      <c r="O4457" s="53"/>
      <c r="T4457" s="53"/>
      <c r="V4457" s="53"/>
      <c r="W4457" s="55"/>
    </row>
    <row r="4458">
      <c r="K4458" s="53"/>
      <c r="N4458" s="53"/>
      <c r="O4458" s="53"/>
      <c r="T4458" s="53"/>
      <c r="V4458" s="53"/>
      <c r="W4458" s="55"/>
    </row>
    <row r="4459">
      <c r="K4459" s="53"/>
      <c r="N4459" s="53"/>
      <c r="O4459" s="53"/>
      <c r="T4459" s="53"/>
      <c r="V4459" s="53"/>
      <c r="W4459" s="55"/>
    </row>
    <row r="4460">
      <c r="K4460" s="53"/>
      <c r="N4460" s="53"/>
      <c r="O4460" s="53"/>
      <c r="T4460" s="53"/>
      <c r="V4460" s="53"/>
      <c r="W4460" s="55"/>
    </row>
    <row r="4461">
      <c r="K4461" s="53"/>
      <c r="N4461" s="53"/>
      <c r="O4461" s="53"/>
      <c r="T4461" s="53"/>
      <c r="V4461" s="53"/>
      <c r="W4461" s="55"/>
    </row>
    <row r="4462">
      <c r="K4462" s="53"/>
      <c r="N4462" s="53"/>
      <c r="O4462" s="53"/>
      <c r="T4462" s="53"/>
      <c r="V4462" s="53"/>
      <c r="W4462" s="55"/>
    </row>
    <row r="4463">
      <c r="K4463" s="53"/>
      <c r="N4463" s="53"/>
      <c r="O4463" s="53"/>
      <c r="T4463" s="53"/>
      <c r="V4463" s="53"/>
      <c r="W4463" s="55"/>
    </row>
    <row r="4464">
      <c r="K4464" s="53"/>
      <c r="N4464" s="53"/>
      <c r="O4464" s="53"/>
      <c r="T4464" s="53"/>
      <c r="V4464" s="53"/>
      <c r="W4464" s="55"/>
    </row>
    <row r="4465">
      <c r="K4465" s="53"/>
      <c r="N4465" s="53"/>
      <c r="O4465" s="53"/>
      <c r="T4465" s="53"/>
      <c r="V4465" s="53"/>
      <c r="W4465" s="55"/>
    </row>
    <row r="4466">
      <c r="K4466" s="53"/>
      <c r="N4466" s="53"/>
      <c r="O4466" s="53"/>
      <c r="T4466" s="53"/>
      <c r="V4466" s="53"/>
      <c r="W4466" s="55"/>
    </row>
    <row r="4467">
      <c r="K4467" s="53"/>
      <c r="N4467" s="53"/>
      <c r="O4467" s="53"/>
      <c r="T4467" s="53"/>
      <c r="V4467" s="53"/>
      <c r="W4467" s="55"/>
    </row>
    <row r="4468">
      <c r="K4468" s="53"/>
      <c r="N4468" s="53"/>
      <c r="O4468" s="53"/>
      <c r="T4468" s="53"/>
      <c r="V4468" s="53"/>
      <c r="W4468" s="55"/>
    </row>
    <row r="4469">
      <c r="K4469" s="53"/>
      <c r="N4469" s="53"/>
      <c r="O4469" s="53"/>
      <c r="T4469" s="53"/>
      <c r="V4469" s="53"/>
      <c r="W4469" s="55"/>
    </row>
    <row r="4470">
      <c r="K4470" s="53"/>
      <c r="N4470" s="53"/>
      <c r="O4470" s="53"/>
      <c r="T4470" s="53"/>
      <c r="V4470" s="53"/>
      <c r="W4470" s="55"/>
    </row>
    <row r="4471">
      <c r="K4471" s="53"/>
      <c r="N4471" s="53"/>
      <c r="O4471" s="53"/>
      <c r="T4471" s="53"/>
      <c r="V4471" s="53"/>
      <c r="W4471" s="55"/>
    </row>
    <row r="4472">
      <c r="K4472" s="53"/>
      <c r="N4472" s="53"/>
      <c r="O4472" s="53"/>
      <c r="T4472" s="53"/>
      <c r="V4472" s="53"/>
      <c r="W4472" s="55"/>
    </row>
    <row r="4473">
      <c r="K4473" s="53"/>
      <c r="N4473" s="53"/>
      <c r="O4473" s="53"/>
      <c r="T4473" s="53"/>
      <c r="V4473" s="53"/>
      <c r="W4473" s="55"/>
    </row>
    <row r="4474">
      <c r="K4474" s="53"/>
      <c r="N4474" s="53"/>
      <c r="O4474" s="53"/>
      <c r="T4474" s="53"/>
      <c r="V4474" s="53"/>
      <c r="W4474" s="55"/>
    </row>
    <row r="4475">
      <c r="K4475" s="53"/>
      <c r="N4475" s="53"/>
      <c r="O4475" s="53"/>
      <c r="T4475" s="53"/>
      <c r="V4475" s="53"/>
      <c r="W4475" s="55"/>
    </row>
    <row r="4476">
      <c r="K4476" s="53"/>
      <c r="N4476" s="53"/>
      <c r="O4476" s="53"/>
      <c r="T4476" s="53"/>
      <c r="V4476" s="53"/>
      <c r="W4476" s="55"/>
    </row>
    <row r="4477">
      <c r="K4477" s="53"/>
      <c r="N4477" s="53"/>
      <c r="O4477" s="53"/>
      <c r="T4477" s="53"/>
      <c r="V4477" s="53"/>
      <c r="W4477" s="55"/>
    </row>
    <row r="4478">
      <c r="K4478" s="53"/>
      <c r="N4478" s="53"/>
      <c r="O4478" s="53"/>
      <c r="T4478" s="53"/>
      <c r="V4478" s="53"/>
      <c r="W4478" s="55"/>
    </row>
    <row r="4479">
      <c r="K4479" s="53"/>
      <c r="N4479" s="53"/>
      <c r="O4479" s="53"/>
      <c r="T4479" s="53"/>
      <c r="V4479" s="53"/>
      <c r="W4479" s="55"/>
    </row>
    <row r="4480">
      <c r="K4480" s="53"/>
      <c r="N4480" s="53"/>
      <c r="O4480" s="53"/>
      <c r="T4480" s="53"/>
      <c r="V4480" s="53"/>
      <c r="W4480" s="55"/>
    </row>
    <row r="4481">
      <c r="K4481" s="53"/>
      <c r="N4481" s="53"/>
      <c r="O4481" s="53"/>
      <c r="T4481" s="53"/>
      <c r="V4481" s="53"/>
      <c r="W4481" s="55"/>
    </row>
    <row r="4482">
      <c r="K4482" s="53"/>
      <c r="N4482" s="53"/>
      <c r="O4482" s="53"/>
      <c r="T4482" s="53"/>
      <c r="V4482" s="53"/>
      <c r="W4482" s="55"/>
    </row>
    <row r="4483">
      <c r="K4483" s="53"/>
      <c r="N4483" s="53"/>
      <c r="O4483" s="53"/>
      <c r="T4483" s="53"/>
      <c r="V4483" s="53"/>
      <c r="W4483" s="55"/>
    </row>
    <row r="4484">
      <c r="K4484" s="53"/>
      <c r="N4484" s="53"/>
      <c r="O4484" s="53"/>
      <c r="T4484" s="53"/>
      <c r="V4484" s="53"/>
      <c r="W4484" s="55"/>
    </row>
    <row r="4485">
      <c r="K4485" s="53"/>
      <c r="N4485" s="53"/>
      <c r="O4485" s="53"/>
      <c r="T4485" s="53"/>
      <c r="V4485" s="53"/>
      <c r="W4485" s="55"/>
    </row>
    <row r="4486">
      <c r="K4486" s="53"/>
      <c r="N4486" s="53"/>
      <c r="O4486" s="53"/>
      <c r="T4486" s="53"/>
      <c r="V4486" s="53"/>
      <c r="W4486" s="55"/>
    </row>
    <row r="4487">
      <c r="K4487" s="53"/>
      <c r="N4487" s="53"/>
      <c r="O4487" s="53"/>
      <c r="T4487" s="53"/>
      <c r="V4487" s="53"/>
      <c r="W4487" s="55"/>
    </row>
    <row r="4488">
      <c r="K4488" s="53"/>
      <c r="N4488" s="53"/>
      <c r="O4488" s="53"/>
      <c r="T4488" s="53"/>
      <c r="V4488" s="53"/>
      <c r="W4488" s="55"/>
    </row>
    <row r="4489">
      <c r="K4489" s="53"/>
      <c r="N4489" s="53"/>
      <c r="O4489" s="53"/>
      <c r="T4489" s="53"/>
      <c r="V4489" s="53"/>
      <c r="W4489" s="55"/>
    </row>
    <row r="4490">
      <c r="K4490" s="53"/>
      <c r="N4490" s="53"/>
      <c r="O4490" s="53"/>
      <c r="T4490" s="53"/>
      <c r="V4490" s="53"/>
      <c r="W4490" s="55"/>
    </row>
    <row r="4491">
      <c r="K4491" s="53"/>
      <c r="N4491" s="53"/>
      <c r="O4491" s="53"/>
      <c r="T4491" s="53"/>
      <c r="V4491" s="53"/>
      <c r="W4491" s="55"/>
    </row>
    <row r="4492">
      <c r="K4492" s="53"/>
      <c r="N4492" s="53"/>
      <c r="O4492" s="53"/>
      <c r="T4492" s="53"/>
      <c r="V4492" s="53"/>
      <c r="W4492" s="55"/>
    </row>
    <row r="4493">
      <c r="K4493" s="53"/>
      <c r="N4493" s="53"/>
      <c r="O4493" s="53"/>
      <c r="T4493" s="53"/>
      <c r="V4493" s="53"/>
      <c r="W4493" s="55"/>
    </row>
    <row r="4494">
      <c r="K4494" s="53"/>
      <c r="N4494" s="53"/>
      <c r="O4494" s="53"/>
      <c r="T4494" s="53"/>
      <c r="V4494" s="53"/>
      <c r="W4494" s="55"/>
    </row>
    <row r="4495">
      <c r="K4495" s="53"/>
      <c r="N4495" s="53"/>
      <c r="O4495" s="53"/>
      <c r="T4495" s="53"/>
      <c r="V4495" s="53"/>
      <c r="W4495" s="55"/>
    </row>
    <row r="4496">
      <c r="K4496" s="53"/>
      <c r="N4496" s="53"/>
      <c r="O4496" s="53"/>
      <c r="T4496" s="53"/>
      <c r="V4496" s="53"/>
      <c r="W4496" s="55"/>
    </row>
    <row r="4497">
      <c r="K4497" s="53"/>
      <c r="N4497" s="53"/>
      <c r="O4497" s="53"/>
      <c r="T4497" s="53"/>
      <c r="V4497" s="53"/>
      <c r="W4497" s="55"/>
    </row>
    <row r="4498">
      <c r="K4498" s="53"/>
      <c r="N4498" s="53"/>
      <c r="O4498" s="53"/>
      <c r="T4498" s="53"/>
      <c r="V4498" s="53"/>
      <c r="W4498" s="55"/>
    </row>
    <row r="4499">
      <c r="K4499" s="53"/>
      <c r="N4499" s="53"/>
      <c r="O4499" s="53"/>
      <c r="T4499" s="53"/>
      <c r="V4499" s="53"/>
      <c r="W4499" s="55"/>
    </row>
    <row r="4500">
      <c r="K4500" s="53"/>
      <c r="N4500" s="53"/>
      <c r="O4500" s="53"/>
      <c r="T4500" s="53"/>
      <c r="V4500" s="53"/>
      <c r="W4500" s="55"/>
    </row>
    <row r="4501">
      <c r="K4501" s="53"/>
      <c r="N4501" s="53"/>
      <c r="O4501" s="53"/>
      <c r="T4501" s="53"/>
      <c r="V4501" s="53"/>
      <c r="W4501" s="55"/>
    </row>
    <row r="4502">
      <c r="K4502" s="53"/>
      <c r="N4502" s="53"/>
      <c r="O4502" s="53"/>
      <c r="T4502" s="53"/>
      <c r="V4502" s="53"/>
      <c r="W4502" s="55"/>
    </row>
    <row r="4503">
      <c r="K4503" s="53"/>
      <c r="N4503" s="53"/>
      <c r="O4503" s="53"/>
      <c r="T4503" s="53"/>
      <c r="V4503" s="53"/>
      <c r="W4503" s="55"/>
    </row>
    <row r="4504">
      <c r="K4504" s="53"/>
      <c r="N4504" s="53"/>
      <c r="O4504" s="53"/>
      <c r="T4504" s="53"/>
      <c r="V4504" s="53"/>
      <c r="W4504" s="55"/>
    </row>
    <row r="4505">
      <c r="K4505" s="53"/>
      <c r="N4505" s="53"/>
      <c r="O4505" s="53"/>
      <c r="T4505" s="53"/>
      <c r="V4505" s="53"/>
      <c r="W4505" s="55"/>
    </row>
    <row r="4506">
      <c r="K4506" s="53"/>
      <c r="N4506" s="53"/>
      <c r="O4506" s="53"/>
      <c r="T4506" s="53"/>
      <c r="V4506" s="53"/>
      <c r="W4506" s="55"/>
    </row>
    <row r="4507">
      <c r="K4507" s="53"/>
      <c r="N4507" s="53"/>
      <c r="O4507" s="53"/>
      <c r="T4507" s="53"/>
      <c r="V4507" s="53"/>
      <c r="W4507" s="55"/>
    </row>
    <row r="4508">
      <c r="K4508" s="53"/>
      <c r="N4508" s="53"/>
      <c r="O4508" s="53"/>
      <c r="T4508" s="53"/>
      <c r="V4508" s="53"/>
      <c r="W4508" s="55"/>
    </row>
    <row r="4509">
      <c r="K4509" s="53"/>
      <c r="N4509" s="53"/>
      <c r="O4509" s="53"/>
      <c r="T4509" s="53"/>
      <c r="V4509" s="53"/>
      <c r="W4509" s="55"/>
    </row>
    <row r="4510">
      <c r="K4510" s="53"/>
      <c r="N4510" s="53"/>
      <c r="O4510" s="53"/>
      <c r="T4510" s="53"/>
      <c r="V4510" s="53"/>
      <c r="W4510" s="55"/>
    </row>
    <row r="4511">
      <c r="K4511" s="53"/>
      <c r="N4511" s="53"/>
      <c r="O4511" s="53"/>
      <c r="T4511" s="53"/>
      <c r="V4511" s="53"/>
      <c r="W4511" s="55"/>
    </row>
    <row r="4512">
      <c r="K4512" s="53"/>
      <c r="N4512" s="53"/>
      <c r="O4512" s="53"/>
      <c r="T4512" s="53"/>
      <c r="V4512" s="53"/>
      <c r="W4512" s="55"/>
    </row>
    <row r="4513">
      <c r="K4513" s="53"/>
      <c r="N4513" s="53"/>
      <c r="O4513" s="53"/>
      <c r="T4513" s="53"/>
      <c r="V4513" s="53"/>
      <c r="W4513" s="55"/>
    </row>
    <row r="4514">
      <c r="K4514" s="53"/>
      <c r="N4514" s="53"/>
      <c r="O4514" s="53"/>
      <c r="T4514" s="53"/>
      <c r="V4514" s="53"/>
      <c r="W4514" s="55"/>
    </row>
    <row r="4515">
      <c r="K4515" s="53"/>
      <c r="N4515" s="53"/>
      <c r="O4515" s="53"/>
      <c r="T4515" s="53"/>
      <c r="V4515" s="53"/>
      <c r="W4515" s="55"/>
    </row>
    <row r="4516">
      <c r="K4516" s="53"/>
      <c r="N4516" s="53"/>
      <c r="O4516" s="53"/>
      <c r="T4516" s="53"/>
      <c r="V4516" s="53"/>
      <c r="W4516" s="55"/>
    </row>
    <row r="4517">
      <c r="K4517" s="53"/>
      <c r="N4517" s="53"/>
      <c r="O4517" s="53"/>
      <c r="T4517" s="53"/>
      <c r="V4517" s="53"/>
      <c r="W4517" s="55"/>
    </row>
    <row r="4518">
      <c r="K4518" s="53"/>
      <c r="N4518" s="53"/>
      <c r="O4518" s="53"/>
      <c r="T4518" s="53"/>
      <c r="V4518" s="53"/>
      <c r="W4518" s="55"/>
    </row>
    <row r="4519">
      <c r="K4519" s="53"/>
      <c r="N4519" s="53"/>
      <c r="O4519" s="53"/>
      <c r="T4519" s="53"/>
      <c r="V4519" s="53"/>
      <c r="W4519" s="55"/>
    </row>
    <row r="4520">
      <c r="K4520" s="53"/>
      <c r="N4520" s="53"/>
      <c r="O4520" s="53"/>
      <c r="T4520" s="53"/>
      <c r="V4520" s="53"/>
      <c r="W4520" s="55"/>
    </row>
    <row r="4521">
      <c r="K4521" s="53"/>
      <c r="N4521" s="53"/>
      <c r="O4521" s="53"/>
      <c r="T4521" s="53"/>
      <c r="V4521" s="53"/>
      <c r="W4521" s="55"/>
    </row>
    <row r="4522">
      <c r="K4522" s="53"/>
      <c r="N4522" s="53"/>
      <c r="O4522" s="53"/>
      <c r="T4522" s="53"/>
      <c r="V4522" s="53"/>
      <c r="W4522" s="55"/>
    </row>
    <row r="4523">
      <c r="K4523" s="53"/>
      <c r="N4523" s="53"/>
      <c r="O4523" s="53"/>
      <c r="T4523" s="53"/>
      <c r="V4523" s="53"/>
      <c r="W4523" s="55"/>
    </row>
    <row r="4524">
      <c r="K4524" s="53"/>
      <c r="N4524" s="53"/>
      <c r="O4524" s="53"/>
      <c r="T4524" s="53"/>
      <c r="V4524" s="53"/>
      <c r="W4524" s="55"/>
    </row>
    <row r="4525">
      <c r="K4525" s="53"/>
      <c r="N4525" s="53"/>
      <c r="O4525" s="53"/>
      <c r="T4525" s="53"/>
      <c r="V4525" s="53"/>
      <c r="W4525" s="55"/>
    </row>
    <row r="4526">
      <c r="K4526" s="53"/>
      <c r="N4526" s="53"/>
      <c r="O4526" s="53"/>
      <c r="T4526" s="53"/>
      <c r="V4526" s="53"/>
      <c r="W4526" s="55"/>
    </row>
    <row r="4527">
      <c r="K4527" s="53"/>
      <c r="N4527" s="53"/>
      <c r="O4527" s="53"/>
      <c r="T4527" s="53"/>
      <c r="V4527" s="53"/>
      <c r="W4527" s="55"/>
    </row>
    <row r="4528">
      <c r="K4528" s="53"/>
      <c r="N4528" s="53"/>
      <c r="O4528" s="53"/>
      <c r="T4528" s="53"/>
      <c r="V4528" s="53"/>
      <c r="W4528" s="55"/>
    </row>
    <row r="4529">
      <c r="K4529" s="53"/>
      <c r="N4529" s="53"/>
      <c r="O4529" s="53"/>
      <c r="T4529" s="53"/>
      <c r="V4529" s="53"/>
      <c r="W4529" s="55"/>
    </row>
    <row r="4530">
      <c r="K4530" s="53"/>
      <c r="N4530" s="53"/>
      <c r="O4530" s="53"/>
      <c r="T4530" s="53"/>
      <c r="V4530" s="53"/>
      <c r="W4530" s="55"/>
    </row>
    <row r="4531">
      <c r="K4531" s="53"/>
      <c r="N4531" s="53"/>
      <c r="O4531" s="53"/>
      <c r="T4531" s="53"/>
      <c r="V4531" s="53"/>
      <c r="W4531" s="55"/>
    </row>
    <row r="4532">
      <c r="K4532" s="53"/>
      <c r="N4532" s="53"/>
      <c r="O4532" s="53"/>
      <c r="T4532" s="53"/>
      <c r="V4532" s="53"/>
      <c r="W4532" s="55"/>
    </row>
    <row r="4533">
      <c r="K4533" s="53"/>
      <c r="N4533" s="53"/>
      <c r="O4533" s="53"/>
      <c r="T4533" s="53"/>
      <c r="V4533" s="53"/>
      <c r="W4533" s="55"/>
    </row>
    <row r="4534">
      <c r="K4534" s="53"/>
      <c r="N4534" s="53"/>
      <c r="O4534" s="53"/>
      <c r="T4534" s="53"/>
      <c r="V4534" s="53"/>
      <c r="W4534" s="55"/>
    </row>
    <row r="4535">
      <c r="K4535" s="53"/>
      <c r="N4535" s="53"/>
      <c r="O4535" s="53"/>
      <c r="T4535" s="53"/>
      <c r="V4535" s="53"/>
      <c r="W4535" s="55"/>
    </row>
    <row r="4536">
      <c r="K4536" s="53"/>
      <c r="N4536" s="53"/>
      <c r="O4536" s="53"/>
      <c r="T4536" s="53"/>
      <c r="V4536" s="53"/>
      <c r="W4536" s="55"/>
    </row>
    <row r="4537">
      <c r="K4537" s="53"/>
      <c r="N4537" s="53"/>
      <c r="O4537" s="53"/>
      <c r="T4537" s="53"/>
      <c r="V4537" s="53"/>
      <c r="W4537" s="55"/>
    </row>
    <row r="4538">
      <c r="K4538" s="53"/>
      <c r="N4538" s="53"/>
      <c r="O4538" s="53"/>
      <c r="T4538" s="53"/>
      <c r="V4538" s="53"/>
      <c r="W4538" s="55"/>
    </row>
    <row r="4539">
      <c r="K4539" s="53"/>
      <c r="N4539" s="53"/>
      <c r="O4539" s="53"/>
      <c r="T4539" s="53"/>
      <c r="V4539" s="53"/>
      <c r="W4539" s="55"/>
    </row>
    <row r="4540">
      <c r="K4540" s="53"/>
      <c r="N4540" s="53"/>
      <c r="O4540" s="53"/>
      <c r="T4540" s="53"/>
      <c r="V4540" s="53"/>
      <c r="W4540" s="55"/>
    </row>
    <row r="4541">
      <c r="K4541" s="53"/>
      <c r="N4541" s="53"/>
      <c r="O4541" s="53"/>
      <c r="T4541" s="53"/>
      <c r="V4541" s="53"/>
      <c r="W4541" s="55"/>
    </row>
    <row r="4542">
      <c r="K4542" s="53"/>
      <c r="N4542" s="53"/>
      <c r="O4542" s="53"/>
      <c r="T4542" s="53"/>
      <c r="V4542" s="53"/>
      <c r="W4542" s="55"/>
    </row>
    <row r="4543">
      <c r="K4543" s="53"/>
      <c r="N4543" s="53"/>
      <c r="O4543" s="53"/>
      <c r="T4543" s="53"/>
      <c r="V4543" s="53"/>
      <c r="W4543" s="55"/>
    </row>
    <row r="4544">
      <c r="K4544" s="53"/>
      <c r="N4544" s="53"/>
      <c r="O4544" s="53"/>
      <c r="T4544" s="53"/>
      <c r="V4544" s="53"/>
      <c r="W4544" s="55"/>
    </row>
    <row r="4545">
      <c r="K4545" s="53"/>
      <c r="N4545" s="53"/>
      <c r="O4545" s="53"/>
      <c r="T4545" s="53"/>
      <c r="V4545" s="53"/>
      <c r="W4545" s="55"/>
    </row>
    <row r="4546">
      <c r="K4546" s="53"/>
      <c r="N4546" s="53"/>
      <c r="O4546" s="53"/>
      <c r="T4546" s="53"/>
      <c r="V4546" s="53"/>
      <c r="W4546" s="55"/>
    </row>
    <row r="4547">
      <c r="K4547" s="53"/>
      <c r="N4547" s="53"/>
      <c r="O4547" s="53"/>
      <c r="T4547" s="53"/>
      <c r="V4547" s="53"/>
      <c r="W4547" s="55"/>
    </row>
    <row r="4548">
      <c r="K4548" s="53"/>
      <c r="N4548" s="53"/>
      <c r="O4548" s="53"/>
      <c r="T4548" s="53"/>
      <c r="V4548" s="53"/>
      <c r="W4548" s="55"/>
    </row>
    <row r="4549">
      <c r="K4549" s="53"/>
      <c r="N4549" s="53"/>
      <c r="O4549" s="53"/>
      <c r="T4549" s="53"/>
      <c r="V4549" s="53"/>
      <c r="W4549" s="55"/>
    </row>
    <row r="4550">
      <c r="K4550" s="53"/>
      <c r="N4550" s="53"/>
      <c r="O4550" s="53"/>
      <c r="T4550" s="53"/>
      <c r="V4550" s="53"/>
      <c r="W4550" s="55"/>
    </row>
    <row r="4551">
      <c r="K4551" s="53"/>
      <c r="N4551" s="53"/>
      <c r="O4551" s="53"/>
      <c r="T4551" s="53"/>
      <c r="V4551" s="53"/>
      <c r="W4551" s="55"/>
    </row>
    <row r="4552">
      <c r="K4552" s="53"/>
      <c r="N4552" s="53"/>
      <c r="O4552" s="53"/>
      <c r="T4552" s="53"/>
      <c r="V4552" s="53"/>
      <c r="W4552" s="55"/>
    </row>
    <row r="4553">
      <c r="K4553" s="53"/>
      <c r="N4553" s="53"/>
      <c r="O4553" s="53"/>
      <c r="T4553" s="53"/>
      <c r="V4553" s="53"/>
      <c r="W4553" s="55"/>
    </row>
    <row r="4554">
      <c r="K4554" s="53"/>
      <c r="N4554" s="53"/>
      <c r="O4554" s="53"/>
      <c r="T4554" s="53"/>
      <c r="V4554" s="53"/>
      <c r="W4554" s="55"/>
    </row>
    <row r="4555">
      <c r="K4555" s="53"/>
      <c r="N4555" s="53"/>
      <c r="O4555" s="53"/>
      <c r="T4555" s="53"/>
      <c r="V4555" s="53"/>
      <c r="W4555" s="55"/>
    </row>
    <row r="4556">
      <c r="K4556" s="53"/>
      <c r="N4556" s="53"/>
      <c r="O4556" s="53"/>
      <c r="T4556" s="53"/>
      <c r="V4556" s="53"/>
      <c r="W4556" s="55"/>
    </row>
    <row r="4557">
      <c r="K4557" s="53"/>
      <c r="N4557" s="53"/>
      <c r="O4557" s="53"/>
      <c r="T4557" s="53"/>
      <c r="V4557" s="53"/>
      <c r="W4557" s="55"/>
    </row>
    <row r="4558">
      <c r="K4558" s="53"/>
      <c r="N4558" s="53"/>
      <c r="O4558" s="53"/>
      <c r="T4558" s="53"/>
      <c r="V4558" s="53"/>
      <c r="W4558" s="55"/>
    </row>
    <row r="4559">
      <c r="K4559" s="53"/>
      <c r="N4559" s="53"/>
      <c r="O4559" s="53"/>
      <c r="T4559" s="53"/>
      <c r="V4559" s="53"/>
      <c r="W4559" s="55"/>
    </row>
    <row r="4560">
      <c r="K4560" s="53"/>
      <c r="N4560" s="53"/>
      <c r="O4560" s="53"/>
      <c r="T4560" s="53"/>
      <c r="V4560" s="53"/>
      <c r="W4560" s="55"/>
    </row>
    <row r="4561">
      <c r="K4561" s="53"/>
      <c r="N4561" s="53"/>
      <c r="O4561" s="53"/>
      <c r="T4561" s="53"/>
      <c r="V4561" s="53"/>
      <c r="W4561" s="55"/>
    </row>
    <row r="4562">
      <c r="K4562" s="53"/>
      <c r="N4562" s="53"/>
      <c r="O4562" s="53"/>
      <c r="T4562" s="53"/>
      <c r="V4562" s="53"/>
      <c r="W4562" s="55"/>
    </row>
    <row r="4563">
      <c r="K4563" s="53"/>
      <c r="N4563" s="53"/>
      <c r="O4563" s="53"/>
      <c r="T4563" s="53"/>
      <c r="V4563" s="53"/>
      <c r="W4563" s="55"/>
    </row>
    <row r="4564">
      <c r="K4564" s="53"/>
      <c r="N4564" s="53"/>
      <c r="O4564" s="53"/>
      <c r="T4564" s="53"/>
      <c r="V4564" s="53"/>
      <c r="W4564" s="55"/>
    </row>
    <row r="4565">
      <c r="K4565" s="53"/>
      <c r="N4565" s="53"/>
      <c r="O4565" s="53"/>
      <c r="T4565" s="53"/>
      <c r="V4565" s="53"/>
      <c r="W4565" s="55"/>
    </row>
    <row r="4566">
      <c r="K4566" s="53"/>
      <c r="N4566" s="53"/>
      <c r="O4566" s="53"/>
      <c r="T4566" s="53"/>
      <c r="V4566" s="53"/>
      <c r="W4566" s="55"/>
    </row>
    <row r="4567">
      <c r="K4567" s="53"/>
      <c r="N4567" s="53"/>
      <c r="O4567" s="53"/>
      <c r="T4567" s="53"/>
      <c r="V4567" s="53"/>
      <c r="W4567" s="55"/>
    </row>
    <row r="4568">
      <c r="K4568" s="53"/>
      <c r="N4568" s="53"/>
      <c r="O4568" s="53"/>
      <c r="T4568" s="53"/>
      <c r="V4568" s="53"/>
      <c r="W4568" s="55"/>
    </row>
    <row r="4569">
      <c r="K4569" s="53"/>
      <c r="N4569" s="53"/>
      <c r="O4569" s="53"/>
      <c r="T4569" s="53"/>
      <c r="V4569" s="53"/>
      <c r="W4569" s="55"/>
    </row>
    <row r="4570">
      <c r="K4570" s="53"/>
      <c r="N4570" s="53"/>
      <c r="O4570" s="53"/>
      <c r="T4570" s="53"/>
      <c r="V4570" s="53"/>
      <c r="W4570" s="55"/>
    </row>
    <row r="4571">
      <c r="K4571" s="53"/>
      <c r="N4571" s="53"/>
      <c r="O4571" s="53"/>
      <c r="T4571" s="53"/>
      <c r="V4571" s="53"/>
      <c r="W4571" s="55"/>
    </row>
    <row r="4572">
      <c r="K4572" s="53"/>
      <c r="N4572" s="53"/>
      <c r="O4572" s="53"/>
      <c r="T4572" s="53"/>
      <c r="V4572" s="53"/>
      <c r="W4572" s="55"/>
    </row>
    <row r="4573">
      <c r="K4573" s="53"/>
      <c r="N4573" s="53"/>
      <c r="O4573" s="53"/>
      <c r="T4573" s="53"/>
      <c r="V4573" s="53"/>
      <c r="W4573" s="55"/>
    </row>
    <row r="4574">
      <c r="K4574" s="53"/>
      <c r="N4574" s="53"/>
      <c r="O4574" s="53"/>
      <c r="T4574" s="53"/>
      <c r="V4574" s="53"/>
      <c r="W4574" s="55"/>
    </row>
    <row r="4575">
      <c r="K4575" s="53"/>
      <c r="N4575" s="53"/>
      <c r="O4575" s="53"/>
      <c r="T4575" s="53"/>
      <c r="V4575" s="53"/>
      <c r="W4575" s="55"/>
    </row>
    <row r="4576">
      <c r="K4576" s="53"/>
      <c r="N4576" s="53"/>
      <c r="O4576" s="53"/>
      <c r="T4576" s="53"/>
      <c r="V4576" s="53"/>
      <c r="W4576" s="55"/>
    </row>
    <row r="4577">
      <c r="K4577" s="53"/>
      <c r="N4577" s="53"/>
      <c r="O4577" s="53"/>
      <c r="T4577" s="53"/>
      <c r="V4577" s="53"/>
      <c r="W4577" s="55"/>
    </row>
    <row r="4578">
      <c r="K4578" s="53"/>
      <c r="N4578" s="53"/>
      <c r="O4578" s="53"/>
      <c r="T4578" s="53"/>
      <c r="V4578" s="53"/>
      <c r="W4578" s="55"/>
    </row>
    <row r="4579">
      <c r="K4579" s="53"/>
      <c r="N4579" s="53"/>
      <c r="O4579" s="53"/>
      <c r="T4579" s="53"/>
      <c r="V4579" s="53"/>
      <c r="W4579" s="55"/>
    </row>
    <row r="4580">
      <c r="K4580" s="53"/>
      <c r="N4580" s="53"/>
      <c r="O4580" s="53"/>
      <c r="T4580" s="53"/>
      <c r="V4580" s="53"/>
      <c r="W4580" s="55"/>
    </row>
    <row r="4581">
      <c r="K4581" s="53"/>
      <c r="N4581" s="53"/>
      <c r="O4581" s="53"/>
      <c r="T4581" s="53"/>
      <c r="V4581" s="53"/>
      <c r="W4581" s="55"/>
    </row>
    <row r="4582">
      <c r="K4582" s="53"/>
      <c r="N4582" s="53"/>
      <c r="O4582" s="53"/>
      <c r="T4582" s="53"/>
      <c r="V4582" s="53"/>
      <c r="W4582" s="55"/>
    </row>
    <row r="4583">
      <c r="K4583" s="53"/>
      <c r="N4583" s="53"/>
      <c r="O4583" s="53"/>
      <c r="T4583" s="53"/>
      <c r="V4583" s="53"/>
      <c r="W4583" s="55"/>
    </row>
    <row r="4584">
      <c r="K4584" s="53"/>
      <c r="N4584" s="53"/>
      <c r="O4584" s="53"/>
      <c r="T4584" s="53"/>
      <c r="V4584" s="53"/>
      <c r="W4584" s="55"/>
    </row>
    <row r="4585">
      <c r="K4585" s="53"/>
      <c r="N4585" s="53"/>
      <c r="O4585" s="53"/>
      <c r="T4585" s="53"/>
      <c r="V4585" s="53"/>
      <c r="W4585" s="55"/>
    </row>
    <row r="4586">
      <c r="K4586" s="53"/>
      <c r="N4586" s="53"/>
      <c r="O4586" s="53"/>
      <c r="T4586" s="53"/>
      <c r="V4586" s="53"/>
      <c r="W4586" s="55"/>
    </row>
    <row r="4587">
      <c r="K4587" s="53"/>
      <c r="N4587" s="53"/>
      <c r="O4587" s="53"/>
      <c r="T4587" s="53"/>
      <c r="V4587" s="53"/>
      <c r="W4587" s="55"/>
    </row>
    <row r="4588">
      <c r="K4588" s="53"/>
      <c r="N4588" s="53"/>
      <c r="O4588" s="53"/>
      <c r="T4588" s="53"/>
      <c r="V4588" s="53"/>
      <c r="W4588" s="55"/>
    </row>
    <row r="4589">
      <c r="K4589" s="53"/>
      <c r="N4589" s="53"/>
      <c r="O4589" s="53"/>
      <c r="T4589" s="53"/>
      <c r="V4589" s="53"/>
      <c r="W4589" s="55"/>
    </row>
    <row r="4590">
      <c r="K4590" s="53"/>
      <c r="N4590" s="53"/>
      <c r="O4590" s="53"/>
      <c r="T4590" s="53"/>
      <c r="V4590" s="53"/>
      <c r="W4590" s="55"/>
    </row>
    <row r="4591">
      <c r="K4591" s="53"/>
      <c r="N4591" s="53"/>
      <c r="O4591" s="53"/>
      <c r="T4591" s="53"/>
      <c r="V4591" s="53"/>
      <c r="W4591" s="55"/>
    </row>
    <row r="4592">
      <c r="K4592" s="53"/>
      <c r="N4592" s="53"/>
      <c r="O4592" s="53"/>
      <c r="T4592" s="53"/>
      <c r="V4592" s="53"/>
      <c r="W4592" s="55"/>
    </row>
    <row r="4593">
      <c r="K4593" s="53"/>
      <c r="N4593" s="53"/>
      <c r="O4593" s="53"/>
      <c r="T4593" s="53"/>
      <c r="V4593" s="53"/>
      <c r="W4593" s="55"/>
    </row>
    <row r="4594">
      <c r="K4594" s="53"/>
      <c r="N4594" s="53"/>
      <c r="O4594" s="53"/>
      <c r="T4594" s="53"/>
      <c r="V4594" s="53"/>
      <c r="W4594" s="55"/>
    </row>
    <row r="4595">
      <c r="K4595" s="53"/>
      <c r="N4595" s="53"/>
      <c r="O4595" s="53"/>
      <c r="T4595" s="53"/>
      <c r="V4595" s="53"/>
      <c r="W4595" s="55"/>
    </row>
    <row r="4596">
      <c r="K4596" s="53"/>
      <c r="N4596" s="53"/>
      <c r="O4596" s="53"/>
      <c r="T4596" s="53"/>
      <c r="V4596" s="53"/>
      <c r="W4596" s="55"/>
    </row>
    <row r="4597">
      <c r="K4597" s="53"/>
      <c r="N4597" s="53"/>
      <c r="O4597" s="53"/>
      <c r="T4597" s="53"/>
      <c r="V4597" s="53"/>
      <c r="W4597" s="55"/>
    </row>
    <row r="4598">
      <c r="K4598" s="53"/>
      <c r="N4598" s="53"/>
      <c r="O4598" s="53"/>
      <c r="T4598" s="53"/>
      <c r="V4598" s="53"/>
      <c r="W4598" s="55"/>
    </row>
    <row r="4599">
      <c r="K4599" s="53"/>
      <c r="N4599" s="53"/>
      <c r="O4599" s="53"/>
      <c r="T4599" s="53"/>
      <c r="V4599" s="53"/>
      <c r="W4599" s="55"/>
    </row>
    <row r="4600">
      <c r="K4600" s="53"/>
      <c r="N4600" s="53"/>
      <c r="O4600" s="53"/>
      <c r="T4600" s="53"/>
      <c r="V4600" s="53"/>
      <c r="W4600" s="55"/>
    </row>
    <row r="4601">
      <c r="K4601" s="53"/>
      <c r="N4601" s="53"/>
      <c r="O4601" s="53"/>
      <c r="T4601" s="53"/>
      <c r="V4601" s="53"/>
      <c r="W4601" s="55"/>
    </row>
    <row r="4602">
      <c r="K4602" s="53"/>
      <c r="N4602" s="53"/>
      <c r="O4602" s="53"/>
      <c r="T4602" s="53"/>
      <c r="V4602" s="53"/>
      <c r="W4602" s="55"/>
    </row>
    <row r="4603">
      <c r="K4603" s="53"/>
      <c r="N4603" s="53"/>
      <c r="O4603" s="53"/>
      <c r="T4603" s="53"/>
      <c r="V4603" s="53"/>
      <c r="W4603" s="55"/>
    </row>
    <row r="4604">
      <c r="K4604" s="53"/>
      <c r="N4604" s="53"/>
      <c r="O4604" s="53"/>
      <c r="T4604" s="53"/>
      <c r="V4604" s="53"/>
      <c r="W4604" s="55"/>
    </row>
    <row r="4605">
      <c r="K4605" s="53"/>
      <c r="N4605" s="53"/>
      <c r="O4605" s="53"/>
      <c r="T4605" s="53"/>
      <c r="V4605" s="53"/>
      <c r="W4605" s="55"/>
    </row>
    <row r="4606">
      <c r="K4606" s="53"/>
      <c r="N4606" s="53"/>
      <c r="O4606" s="53"/>
      <c r="T4606" s="53"/>
      <c r="V4606" s="53"/>
      <c r="W4606" s="55"/>
    </row>
    <row r="4607">
      <c r="K4607" s="53"/>
      <c r="N4607" s="53"/>
      <c r="O4607" s="53"/>
      <c r="T4607" s="53"/>
      <c r="V4607" s="53"/>
      <c r="W4607" s="55"/>
    </row>
    <row r="4608">
      <c r="K4608" s="53"/>
      <c r="N4608" s="53"/>
      <c r="O4608" s="53"/>
      <c r="T4608" s="53"/>
      <c r="V4608" s="53"/>
      <c r="W4608" s="55"/>
    </row>
    <row r="4609">
      <c r="K4609" s="53"/>
      <c r="N4609" s="53"/>
      <c r="O4609" s="53"/>
      <c r="T4609" s="53"/>
      <c r="V4609" s="53"/>
      <c r="W4609" s="55"/>
    </row>
    <row r="4610">
      <c r="K4610" s="53"/>
      <c r="N4610" s="53"/>
      <c r="O4610" s="53"/>
      <c r="T4610" s="53"/>
      <c r="V4610" s="53"/>
      <c r="W4610" s="55"/>
    </row>
    <row r="4611">
      <c r="K4611" s="53"/>
      <c r="N4611" s="53"/>
      <c r="O4611" s="53"/>
      <c r="T4611" s="53"/>
      <c r="V4611" s="53"/>
      <c r="W4611" s="55"/>
    </row>
    <row r="4612">
      <c r="K4612" s="53"/>
      <c r="N4612" s="53"/>
      <c r="O4612" s="53"/>
      <c r="T4612" s="53"/>
      <c r="V4612" s="53"/>
      <c r="W4612" s="55"/>
    </row>
    <row r="4613">
      <c r="K4613" s="53"/>
      <c r="N4613" s="53"/>
      <c r="O4613" s="53"/>
      <c r="T4613" s="53"/>
      <c r="V4613" s="53"/>
      <c r="W4613" s="55"/>
    </row>
    <row r="4614">
      <c r="K4614" s="53"/>
      <c r="N4614" s="53"/>
      <c r="O4614" s="53"/>
      <c r="T4614" s="53"/>
      <c r="V4614" s="53"/>
      <c r="W4614" s="55"/>
    </row>
    <row r="4615">
      <c r="K4615" s="53"/>
      <c r="N4615" s="53"/>
      <c r="O4615" s="53"/>
      <c r="T4615" s="53"/>
      <c r="V4615" s="53"/>
      <c r="W4615" s="55"/>
    </row>
    <row r="4616">
      <c r="K4616" s="53"/>
      <c r="N4616" s="53"/>
      <c r="O4616" s="53"/>
      <c r="T4616" s="53"/>
      <c r="V4616" s="53"/>
      <c r="W4616" s="55"/>
    </row>
    <row r="4617">
      <c r="K4617" s="53"/>
      <c r="N4617" s="53"/>
      <c r="O4617" s="53"/>
      <c r="T4617" s="53"/>
      <c r="V4617" s="53"/>
      <c r="W4617" s="55"/>
    </row>
    <row r="4618">
      <c r="K4618" s="53"/>
      <c r="N4618" s="53"/>
      <c r="O4618" s="53"/>
      <c r="T4618" s="53"/>
      <c r="V4618" s="53"/>
      <c r="W4618" s="55"/>
    </row>
    <row r="4619">
      <c r="K4619" s="53"/>
      <c r="N4619" s="53"/>
      <c r="O4619" s="53"/>
      <c r="T4619" s="53"/>
      <c r="V4619" s="53"/>
      <c r="W4619" s="55"/>
    </row>
    <row r="4620">
      <c r="K4620" s="53"/>
      <c r="N4620" s="53"/>
      <c r="O4620" s="53"/>
      <c r="T4620" s="53"/>
      <c r="V4620" s="53"/>
      <c r="W4620" s="55"/>
    </row>
    <row r="4621">
      <c r="K4621" s="53"/>
      <c r="N4621" s="53"/>
      <c r="O4621" s="53"/>
      <c r="T4621" s="53"/>
      <c r="V4621" s="53"/>
      <c r="W4621" s="55"/>
    </row>
    <row r="4622">
      <c r="K4622" s="53"/>
      <c r="N4622" s="53"/>
      <c r="O4622" s="53"/>
      <c r="T4622" s="53"/>
      <c r="V4622" s="53"/>
      <c r="W4622" s="55"/>
    </row>
    <row r="4623">
      <c r="K4623" s="53"/>
      <c r="N4623" s="53"/>
      <c r="O4623" s="53"/>
      <c r="T4623" s="53"/>
      <c r="V4623" s="53"/>
      <c r="W4623" s="55"/>
    </row>
    <row r="4624">
      <c r="K4624" s="53"/>
      <c r="N4624" s="53"/>
      <c r="O4624" s="53"/>
      <c r="T4624" s="53"/>
      <c r="V4624" s="53"/>
      <c r="W4624" s="55"/>
    </row>
    <row r="4625">
      <c r="K4625" s="53"/>
      <c r="N4625" s="53"/>
      <c r="O4625" s="53"/>
      <c r="T4625" s="53"/>
      <c r="V4625" s="53"/>
      <c r="W4625" s="55"/>
    </row>
    <row r="4626">
      <c r="K4626" s="53"/>
      <c r="N4626" s="53"/>
      <c r="O4626" s="53"/>
      <c r="T4626" s="53"/>
      <c r="V4626" s="53"/>
      <c r="W4626" s="55"/>
    </row>
    <row r="4627">
      <c r="K4627" s="53"/>
      <c r="N4627" s="53"/>
      <c r="O4627" s="53"/>
      <c r="T4627" s="53"/>
      <c r="V4627" s="53"/>
      <c r="W4627" s="55"/>
    </row>
    <row r="4628">
      <c r="K4628" s="53"/>
      <c r="N4628" s="53"/>
      <c r="O4628" s="53"/>
      <c r="T4628" s="53"/>
      <c r="V4628" s="53"/>
      <c r="W4628" s="55"/>
    </row>
    <row r="4629">
      <c r="K4629" s="53"/>
      <c r="N4629" s="53"/>
      <c r="O4629" s="53"/>
      <c r="T4629" s="53"/>
      <c r="V4629" s="53"/>
      <c r="W4629" s="55"/>
    </row>
    <row r="4630">
      <c r="K4630" s="53"/>
      <c r="N4630" s="53"/>
      <c r="O4630" s="53"/>
      <c r="T4630" s="53"/>
      <c r="V4630" s="53"/>
      <c r="W4630" s="55"/>
    </row>
    <row r="4631">
      <c r="K4631" s="53"/>
      <c r="N4631" s="53"/>
      <c r="O4631" s="53"/>
      <c r="T4631" s="53"/>
      <c r="V4631" s="53"/>
      <c r="W4631" s="55"/>
    </row>
    <row r="4632">
      <c r="K4632" s="53"/>
      <c r="N4632" s="53"/>
      <c r="O4632" s="53"/>
      <c r="T4632" s="53"/>
      <c r="V4632" s="53"/>
      <c r="W4632" s="55"/>
    </row>
    <row r="4633">
      <c r="K4633" s="53"/>
      <c r="N4633" s="53"/>
      <c r="O4633" s="53"/>
      <c r="T4633" s="53"/>
      <c r="V4633" s="53"/>
      <c r="W4633" s="55"/>
    </row>
    <row r="4634">
      <c r="K4634" s="53"/>
      <c r="N4634" s="53"/>
      <c r="O4634" s="53"/>
      <c r="T4634" s="53"/>
      <c r="V4634" s="53"/>
      <c r="W4634" s="55"/>
    </row>
    <row r="4635">
      <c r="K4635" s="53"/>
      <c r="N4635" s="53"/>
      <c r="O4635" s="53"/>
      <c r="T4635" s="53"/>
      <c r="V4635" s="53"/>
      <c r="W4635" s="55"/>
    </row>
    <row r="4636">
      <c r="K4636" s="53"/>
      <c r="N4636" s="53"/>
      <c r="O4636" s="53"/>
      <c r="T4636" s="53"/>
      <c r="V4636" s="53"/>
      <c r="W4636" s="55"/>
    </row>
    <row r="4637">
      <c r="K4637" s="53"/>
      <c r="N4637" s="53"/>
      <c r="O4637" s="53"/>
      <c r="T4637" s="53"/>
      <c r="V4637" s="53"/>
      <c r="W4637" s="55"/>
    </row>
    <row r="4638">
      <c r="K4638" s="53"/>
      <c r="N4638" s="53"/>
      <c r="O4638" s="53"/>
      <c r="T4638" s="53"/>
      <c r="V4638" s="53"/>
      <c r="W4638" s="55"/>
    </row>
    <row r="4639">
      <c r="K4639" s="53"/>
      <c r="N4639" s="53"/>
      <c r="O4639" s="53"/>
      <c r="T4639" s="53"/>
      <c r="V4639" s="53"/>
      <c r="W4639" s="55"/>
    </row>
    <row r="4640">
      <c r="K4640" s="53"/>
      <c r="N4640" s="53"/>
      <c r="O4640" s="53"/>
      <c r="T4640" s="53"/>
      <c r="V4640" s="53"/>
      <c r="W4640" s="55"/>
    </row>
    <row r="4641">
      <c r="K4641" s="53"/>
      <c r="N4641" s="53"/>
      <c r="O4641" s="53"/>
      <c r="T4641" s="53"/>
      <c r="V4641" s="53"/>
      <c r="W4641" s="55"/>
    </row>
    <row r="4642">
      <c r="K4642" s="53"/>
      <c r="N4642" s="53"/>
      <c r="O4642" s="53"/>
      <c r="T4642" s="53"/>
      <c r="V4642" s="53"/>
      <c r="W4642" s="55"/>
    </row>
    <row r="4643">
      <c r="K4643" s="53"/>
      <c r="N4643" s="53"/>
      <c r="O4643" s="53"/>
      <c r="T4643" s="53"/>
      <c r="V4643" s="53"/>
      <c r="W4643" s="55"/>
    </row>
    <row r="4644">
      <c r="K4644" s="53"/>
      <c r="N4644" s="53"/>
      <c r="O4644" s="53"/>
      <c r="T4644" s="53"/>
      <c r="V4644" s="53"/>
      <c r="W4644" s="55"/>
    </row>
    <row r="4645">
      <c r="K4645" s="53"/>
      <c r="N4645" s="53"/>
      <c r="O4645" s="53"/>
      <c r="T4645" s="53"/>
      <c r="V4645" s="53"/>
      <c r="W4645" s="55"/>
    </row>
    <row r="4646">
      <c r="K4646" s="53"/>
      <c r="N4646" s="53"/>
      <c r="O4646" s="53"/>
      <c r="T4646" s="53"/>
      <c r="V4646" s="53"/>
      <c r="W4646" s="55"/>
    </row>
    <row r="4647">
      <c r="K4647" s="53"/>
      <c r="N4647" s="53"/>
      <c r="O4647" s="53"/>
      <c r="T4647" s="53"/>
      <c r="V4647" s="53"/>
      <c r="W4647" s="55"/>
    </row>
    <row r="4648">
      <c r="K4648" s="53"/>
      <c r="N4648" s="53"/>
      <c r="O4648" s="53"/>
      <c r="T4648" s="53"/>
      <c r="V4648" s="53"/>
      <c r="W4648" s="55"/>
    </row>
    <row r="4649">
      <c r="K4649" s="53"/>
      <c r="N4649" s="53"/>
      <c r="O4649" s="53"/>
      <c r="T4649" s="53"/>
      <c r="V4649" s="53"/>
      <c r="W4649" s="55"/>
    </row>
    <row r="4650">
      <c r="K4650" s="53"/>
      <c r="N4650" s="53"/>
      <c r="O4650" s="53"/>
      <c r="T4650" s="53"/>
      <c r="V4650" s="53"/>
      <c r="W4650" s="55"/>
    </row>
    <row r="4651">
      <c r="K4651" s="53"/>
      <c r="N4651" s="53"/>
      <c r="O4651" s="53"/>
      <c r="T4651" s="53"/>
      <c r="V4651" s="53"/>
      <c r="W4651" s="55"/>
    </row>
    <row r="4652">
      <c r="K4652" s="53"/>
      <c r="N4652" s="53"/>
      <c r="O4652" s="53"/>
      <c r="T4652" s="53"/>
      <c r="V4652" s="53"/>
      <c r="W4652" s="55"/>
    </row>
    <row r="4653">
      <c r="K4653" s="53"/>
      <c r="N4653" s="53"/>
      <c r="O4653" s="53"/>
      <c r="T4653" s="53"/>
      <c r="V4653" s="53"/>
      <c r="W4653" s="55"/>
    </row>
    <row r="4654">
      <c r="K4654" s="53"/>
      <c r="N4654" s="53"/>
      <c r="O4654" s="53"/>
      <c r="T4654" s="53"/>
      <c r="V4654" s="53"/>
      <c r="W4654" s="55"/>
    </row>
    <row r="4655">
      <c r="K4655" s="53"/>
      <c r="N4655" s="53"/>
      <c r="O4655" s="53"/>
      <c r="T4655" s="53"/>
      <c r="V4655" s="53"/>
      <c r="W4655" s="55"/>
    </row>
    <row r="4656">
      <c r="K4656" s="53"/>
      <c r="N4656" s="53"/>
      <c r="O4656" s="53"/>
      <c r="T4656" s="53"/>
      <c r="V4656" s="53"/>
      <c r="W4656" s="55"/>
    </row>
    <row r="4657">
      <c r="K4657" s="53"/>
      <c r="N4657" s="53"/>
      <c r="O4657" s="53"/>
      <c r="T4657" s="53"/>
      <c r="V4657" s="53"/>
      <c r="W4657" s="55"/>
    </row>
    <row r="4658">
      <c r="K4658" s="53"/>
      <c r="N4658" s="53"/>
      <c r="O4658" s="53"/>
      <c r="T4658" s="53"/>
      <c r="V4658" s="53"/>
      <c r="W4658" s="55"/>
    </row>
    <row r="4659">
      <c r="K4659" s="53"/>
      <c r="N4659" s="53"/>
      <c r="O4659" s="53"/>
      <c r="T4659" s="53"/>
      <c r="V4659" s="53"/>
      <c r="W4659" s="55"/>
    </row>
    <row r="4660">
      <c r="K4660" s="53"/>
      <c r="N4660" s="53"/>
      <c r="O4660" s="53"/>
      <c r="T4660" s="53"/>
      <c r="V4660" s="53"/>
      <c r="W4660" s="55"/>
    </row>
    <row r="4661">
      <c r="K4661" s="53"/>
      <c r="N4661" s="53"/>
      <c r="O4661" s="53"/>
      <c r="T4661" s="53"/>
      <c r="V4661" s="53"/>
      <c r="W4661" s="55"/>
    </row>
    <row r="4662">
      <c r="K4662" s="53"/>
      <c r="N4662" s="53"/>
      <c r="O4662" s="53"/>
      <c r="T4662" s="53"/>
      <c r="V4662" s="53"/>
      <c r="W4662" s="55"/>
    </row>
    <row r="4663">
      <c r="K4663" s="53"/>
      <c r="N4663" s="53"/>
      <c r="O4663" s="53"/>
      <c r="T4663" s="53"/>
      <c r="V4663" s="53"/>
      <c r="W4663" s="55"/>
    </row>
    <row r="4664">
      <c r="K4664" s="53"/>
      <c r="N4664" s="53"/>
      <c r="O4664" s="53"/>
      <c r="T4664" s="53"/>
      <c r="V4664" s="53"/>
      <c r="W4664" s="55"/>
    </row>
    <row r="4665">
      <c r="K4665" s="53"/>
      <c r="N4665" s="53"/>
      <c r="O4665" s="53"/>
      <c r="T4665" s="53"/>
      <c r="V4665" s="53"/>
      <c r="W4665" s="55"/>
    </row>
    <row r="4666">
      <c r="K4666" s="53"/>
      <c r="N4666" s="53"/>
      <c r="O4666" s="53"/>
      <c r="T4666" s="53"/>
      <c r="V4666" s="53"/>
      <c r="W4666" s="55"/>
    </row>
    <row r="4667">
      <c r="K4667" s="53"/>
      <c r="N4667" s="53"/>
      <c r="O4667" s="53"/>
      <c r="T4667" s="53"/>
      <c r="V4667" s="53"/>
      <c r="W4667" s="55"/>
    </row>
    <row r="4668">
      <c r="K4668" s="53"/>
      <c r="N4668" s="53"/>
      <c r="O4668" s="53"/>
      <c r="T4668" s="53"/>
      <c r="V4668" s="53"/>
      <c r="W4668" s="55"/>
    </row>
    <row r="4669">
      <c r="K4669" s="53"/>
      <c r="N4669" s="53"/>
      <c r="O4669" s="53"/>
      <c r="T4669" s="53"/>
      <c r="V4669" s="53"/>
      <c r="W4669" s="55"/>
    </row>
    <row r="4670">
      <c r="K4670" s="53"/>
      <c r="N4670" s="53"/>
      <c r="O4670" s="53"/>
      <c r="T4670" s="53"/>
      <c r="V4670" s="53"/>
      <c r="W4670" s="55"/>
    </row>
    <row r="4671">
      <c r="K4671" s="53"/>
      <c r="N4671" s="53"/>
      <c r="O4671" s="53"/>
      <c r="T4671" s="53"/>
      <c r="V4671" s="53"/>
      <c r="W4671" s="55"/>
    </row>
    <row r="4672">
      <c r="K4672" s="53"/>
      <c r="N4672" s="53"/>
      <c r="O4672" s="53"/>
      <c r="T4672" s="53"/>
      <c r="V4672" s="53"/>
      <c r="W4672" s="55"/>
    </row>
    <row r="4673">
      <c r="K4673" s="53"/>
      <c r="N4673" s="53"/>
      <c r="O4673" s="53"/>
      <c r="T4673" s="53"/>
      <c r="V4673" s="53"/>
      <c r="W4673" s="55"/>
    </row>
    <row r="4674">
      <c r="K4674" s="53"/>
      <c r="N4674" s="53"/>
      <c r="O4674" s="53"/>
      <c r="T4674" s="53"/>
      <c r="V4674" s="53"/>
      <c r="W4674" s="55"/>
    </row>
    <row r="4675">
      <c r="K4675" s="53"/>
      <c r="N4675" s="53"/>
      <c r="O4675" s="53"/>
      <c r="T4675" s="53"/>
      <c r="V4675" s="53"/>
      <c r="W4675" s="55"/>
    </row>
    <row r="4676">
      <c r="K4676" s="53"/>
      <c r="N4676" s="53"/>
      <c r="O4676" s="53"/>
      <c r="T4676" s="53"/>
      <c r="V4676" s="53"/>
      <c r="W4676" s="55"/>
    </row>
    <row r="4677">
      <c r="K4677" s="53"/>
      <c r="N4677" s="53"/>
      <c r="O4677" s="53"/>
      <c r="T4677" s="53"/>
      <c r="V4677" s="53"/>
      <c r="W4677" s="55"/>
    </row>
    <row r="4678">
      <c r="K4678" s="53"/>
      <c r="N4678" s="53"/>
      <c r="O4678" s="53"/>
      <c r="T4678" s="53"/>
      <c r="V4678" s="53"/>
      <c r="W4678" s="55"/>
    </row>
    <row r="4679">
      <c r="K4679" s="53"/>
      <c r="N4679" s="53"/>
      <c r="O4679" s="53"/>
      <c r="T4679" s="53"/>
      <c r="V4679" s="53"/>
      <c r="W4679" s="55"/>
    </row>
    <row r="4680">
      <c r="K4680" s="53"/>
      <c r="N4680" s="53"/>
      <c r="O4680" s="53"/>
      <c r="T4680" s="53"/>
      <c r="V4680" s="53"/>
      <c r="W4680" s="55"/>
    </row>
    <row r="4681">
      <c r="K4681" s="53"/>
      <c r="N4681" s="53"/>
      <c r="O4681" s="53"/>
      <c r="T4681" s="53"/>
      <c r="V4681" s="53"/>
      <c r="W4681" s="55"/>
    </row>
    <row r="4682">
      <c r="K4682" s="53"/>
      <c r="N4682" s="53"/>
      <c r="O4682" s="53"/>
      <c r="T4682" s="53"/>
      <c r="V4682" s="53"/>
      <c r="W4682" s="55"/>
    </row>
    <row r="4683">
      <c r="K4683" s="53"/>
      <c r="N4683" s="53"/>
      <c r="O4683" s="53"/>
      <c r="T4683" s="53"/>
      <c r="V4683" s="53"/>
      <c r="W4683" s="55"/>
    </row>
    <row r="4684">
      <c r="K4684" s="53"/>
      <c r="N4684" s="53"/>
      <c r="O4684" s="53"/>
      <c r="T4684" s="53"/>
      <c r="V4684" s="53"/>
      <c r="W4684" s="55"/>
    </row>
    <row r="4685">
      <c r="K4685" s="53"/>
      <c r="N4685" s="53"/>
      <c r="O4685" s="53"/>
      <c r="T4685" s="53"/>
      <c r="V4685" s="53"/>
      <c r="W4685" s="55"/>
    </row>
    <row r="4686">
      <c r="K4686" s="53"/>
      <c r="N4686" s="53"/>
      <c r="O4686" s="53"/>
      <c r="T4686" s="53"/>
      <c r="V4686" s="53"/>
      <c r="W4686" s="55"/>
    </row>
    <row r="4687">
      <c r="K4687" s="53"/>
      <c r="N4687" s="53"/>
      <c r="O4687" s="53"/>
      <c r="T4687" s="53"/>
      <c r="V4687" s="53"/>
      <c r="W4687" s="55"/>
    </row>
    <row r="4688">
      <c r="K4688" s="53"/>
      <c r="N4688" s="53"/>
      <c r="O4688" s="53"/>
      <c r="T4688" s="53"/>
      <c r="V4688" s="53"/>
      <c r="W4688" s="55"/>
    </row>
    <row r="4689">
      <c r="K4689" s="53"/>
      <c r="N4689" s="53"/>
      <c r="O4689" s="53"/>
      <c r="T4689" s="53"/>
      <c r="V4689" s="53"/>
      <c r="W4689" s="55"/>
    </row>
    <row r="4690">
      <c r="K4690" s="53"/>
      <c r="N4690" s="53"/>
      <c r="O4690" s="53"/>
      <c r="T4690" s="53"/>
      <c r="V4690" s="53"/>
      <c r="W4690" s="55"/>
    </row>
    <row r="4691">
      <c r="K4691" s="53"/>
      <c r="N4691" s="53"/>
      <c r="O4691" s="53"/>
      <c r="T4691" s="53"/>
      <c r="V4691" s="53"/>
      <c r="W4691" s="55"/>
    </row>
    <row r="4692">
      <c r="K4692" s="53"/>
      <c r="N4692" s="53"/>
      <c r="O4692" s="53"/>
      <c r="T4692" s="53"/>
      <c r="V4692" s="53"/>
      <c r="W4692" s="55"/>
    </row>
    <row r="4693">
      <c r="K4693" s="53"/>
      <c r="N4693" s="53"/>
      <c r="O4693" s="53"/>
      <c r="T4693" s="53"/>
      <c r="V4693" s="53"/>
      <c r="W4693" s="55"/>
    </row>
    <row r="4694">
      <c r="K4694" s="53"/>
      <c r="N4694" s="53"/>
      <c r="O4694" s="53"/>
      <c r="T4694" s="53"/>
      <c r="V4694" s="53"/>
      <c r="W4694" s="55"/>
    </row>
    <row r="4695">
      <c r="K4695" s="53"/>
      <c r="N4695" s="53"/>
      <c r="O4695" s="53"/>
      <c r="T4695" s="53"/>
      <c r="V4695" s="53"/>
      <c r="W4695" s="55"/>
    </row>
    <row r="4696">
      <c r="K4696" s="53"/>
      <c r="N4696" s="53"/>
      <c r="O4696" s="53"/>
      <c r="T4696" s="53"/>
      <c r="V4696" s="53"/>
      <c r="W4696" s="55"/>
    </row>
    <row r="4697">
      <c r="K4697" s="53"/>
      <c r="N4697" s="53"/>
      <c r="O4697" s="53"/>
      <c r="T4697" s="53"/>
      <c r="V4697" s="53"/>
      <c r="W4697" s="55"/>
    </row>
    <row r="4698">
      <c r="K4698" s="53"/>
      <c r="N4698" s="53"/>
      <c r="O4698" s="53"/>
      <c r="T4698" s="53"/>
      <c r="V4698" s="53"/>
      <c r="W4698" s="55"/>
    </row>
    <row r="4699">
      <c r="K4699" s="53"/>
      <c r="N4699" s="53"/>
      <c r="O4699" s="53"/>
      <c r="T4699" s="53"/>
      <c r="V4699" s="53"/>
      <c r="W4699" s="55"/>
    </row>
    <row r="4700">
      <c r="K4700" s="53"/>
      <c r="N4700" s="53"/>
      <c r="O4700" s="53"/>
      <c r="T4700" s="53"/>
      <c r="V4700" s="53"/>
      <c r="W4700" s="55"/>
    </row>
    <row r="4701">
      <c r="K4701" s="53"/>
      <c r="N4701" s="53"/>
      <c r="O4701" s="53"/>
      <c r="T4701" s="53"/>
      <c r="V4701" s="53"/>
      <c r="W4701" s="55"/>
    </row>
    <row r="4702">
      <c r="K4702" s="53"/>
      <c r="N4702" s="53"/>
      <c r="O4702" s="53"/>
      <c r="T4702" s="53"/>
      <c r="V4702" s="53"/>
      <c r="W4702" s="55"/>
    </row>
    <row r="4703">
      <c r="K4703" s="53"/>
      <c r="N4703" s="53"/>
      <c r="O4703" s="53"/>
      <c r="T4703" s="53"/>
      <c r="V4703" s="53"/>
      <c r="W4703" s="55"/>
    </row>
    <row r="4704">
      <c r="K4704" s="53"/>
      <c r="N4704" s="53"/>
      <c r="O4704" s="53"/>
      <c r="T4704" s="53"/>
      <c r="V4704" s="53"/>
      <c r="W4704" s="55"/>
    </row>
    <row r="4705">
      <c r="K4705" s="53"/>
      <c r="N4705" s="53"/>
      <c r="O4705" s="53"/>
      <c r="T4705" s="53"/>
      <c r="V4705" s="53"/>
      <c r="W4705" s="55"/>
    </row>
    <row r="4706">
      <c r="K4706" s="53"/>
      <c r="N4706" s="53"/>
      <c r="O4706" s="53"/>
      <c r="T4706" s="53"/>
      <c r="V4706" s="53"/>
      <c r="W4706" s="55"/>
    </row>
    <row r="4707">
      <c r="K4707" s="53"/>
      <c r="N4707" s="53"/>
      <c r="O4707" s="53"/>
      <c r="T4707" s="53"/>
      <c r="V4707" s="53"/>
      <c r="W4707" s="55"/>
    </row>
    <row r="4708">
      <c r="K4708" s="53"/>
      <c r="N4708" s="53"/>
      <c r="O4708" s="53"/>
      <c r="T4708" s="53"/>
      <c r="V4708" s="53"/>
      <c r="W4708" s="55"/>
    </row>
    <row r="4709">
      <c r="K4709" s="53"/>
      <c r="N4709" s="53"/>
      <c r="O4709" s="53"/>
      <c r="T4709" s="53"/>
      <c r="V4709" s="53"/>
      <c r="W4709" s="55"/>
    </row>
    <row r="4710">
      <c r="K4710" s="53"/>
      <c r="N4710" s="53"/>
      <c r="O4710" s="53"/>
      <c r="T4710" s="53"/>
      <c r="V4710" s="53"/>
      <c r="W4710" s="55"/>
    </row>
    <row r="4711">
      <c r="K4711" s="53"/>
      <c r="N4711" s="53"/>
      <c r="O4711" s="53"/>
      <c r="T4711" s="53"/>
      <c r="V4711" s="53"/>
      <c r="W4711" s="55"/>
    </row>
    <row r="4712">
      <c r="K4712" s="53"/>
      <c r="N4712" s="53"/>
      <c r="O4712" s="53"/>
      <c r="T4712" s="53"/>
      <c r="V4712" s="53"/>
      <c r="W4712" s="55"/>
    </row>
    <row r="4713">
      <c r="K4713" s="53"/>
      <c r="N4713" s="53"/>
      <c r="O4713" s="53"/>
      <c r="T4713" s="53"/>
      <c r="V4713" s="53"/>
      <c r="W4713" s="55"/>
    </row>
    <row r="4714">
      <c r="K4714" s="53"/>
      <c r="N4714" s="53"/>
      <c r="O4714" s="53"/>
      <c r="T4714" s="53"/>
      <c r="V4714" s="53"/>
      <c r="W4714" s="55"/>
    </row>
    <row r="4715">
      <c r="K4715" s="53"/>
      <c r="N4715" s="53"/>
      <c r="O4715" s="53"/>
      <c r="T4715" s="53"/>
      <c r="V4715" s="53"/>
      <c r="W4715" s="55"/>
    </row>
    <row r="4716">
      <c r="K4716" s="53"/>
      <c r="N4716" s="53"/>
      <c r="O4716" s="53"/>
      <c r="T4716" s="53"/>
      <c r="V4716" s="53"/>
      <c r="W4716" s="55"/>
    </row>
    <row r="4717">
      <c r="K4717" s="53"/>
      <c r="N4717" s="53"/>
      <c r="O4717" s="53"/>
      <c r="T4717" s="53"/>
      <c r="V4717" s="53"/>
      <c r="W4717" s="55"/>
    </row>
  </sheetData>
  <customSheetViews>
    <customSheetView guid="{FD99B3D0-B602-4449-AA5B-B0ACB44E4FD6}" filter="1" showAutoFilter="1">
      <autoFilter ref="$A$1:$Y$4717"/>
    </customSheetView>
    <customSheetView guid="{65E07285-1442-4B52-8165-CF0D15ADC43A}" filter="1" showAutoFilter="1">
      <autoFilter ref="$U$1:$U$4717"/>
    </customSheetView>
  </customSheetView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2.63" defaultRowHeight="15.75" outlineLevelCol="2"/>
  <cols>
    <col customWidth="1" min="4" max="4" width="14.13" outlineLevel="1"/>
    <col min="5" max="10" width="12.63" outlineLevel="1"/>
    <col customWidth="1" min="11" max="11" width="11.5" outlineLevel="1"/>
    <col customWidth="1" min="12" max="12" width="10.5" outlineLevel="1"/>
    <col customWidth="1" min="13" max="13" width="8.25" outlineLevel="1"/>
    <col customWidth="1" min="14" max="14" width="16.5" outlineLevel="1"/>
    <col customWidth="1" min="15" max="15" width="36.75"/>
    <col customWidth="1" min="16" max="16" width="11.25"/>
    <col customWidth="1" min="17" max="17" width="13.75"/>
    <col customWidth="1" min="18" max="20" width="8.25"/>
    <col customWidth="1" min="21" max="21" width="15.75"/>
    <col customWidth="1" min="22" max="22" width="15.38" outlineLevel="1"/>
    <col customWidth="1" min="23" max="23" width="19.5" outlineLevel="1"/>
    <col customWidth="1" min="24" max="24" width="9.38" outlineLevel="1"/>
    <col customWidth="1" min="25" max="25" width="8.75" outlineLevel="2"/>
    <col customWidth="1" min="26" max="26" width="8.38" outlineLevel="2"/>
    <col customWidth="1" min="27" max="27" width="10.13" outlineLevel="2"/>
    <col customWidth="1" min="28" max="28" width="8.88" outlineLevel="2"/>
    <col customWidth="1" min="29" max="29" width="8.0" outlineLevel="2"/>
    <col customWidth="1" min="30" max="30" width="9.5" outlineLevel="2"/>
    <col customWidth="1" min="31" max="32" width="10.88" outlineLevel="2"/>
    <col customWidth="1" min="33" max="33" width="10.25" outlineLevel="2"/>
    <col customWidth="1" min="34" max="34" width="7.13" outlineLevel="2"/>
    <col customWidth="1" min="35" max="35" width="7.5" outlineLevel="2"/>
    <col customWidth="1" min="36" max="36" width="9.38" outlineLevel="2"/>
    <col customWidth="1" min="37" max="37" width="11.38" outlineLevel="2"/>
    <col customWidth="1" min="38" max="38" width="26.38" outlineLevel="2"/>
    <col customWidth="1" min="39" max="39" width="20.38" outlineLevel="2"/>
    <col customWidth="1" min="40" max="40" width="20.88" outlineLevel="2"/>
    <col customWidth="1" min="41" max="41" width="19.75" outlineLevel="1"/>
    <col customWidth="1" min="42" max="42" width="13.25" outlineLevel="1"/>
    <col customWidth="1" min="43" max="43" width="14.88" outlineLevel="1"/>
    <col customWidth="1" min="44" max="44" width="18.25" outlineLevel="1"/>
    <col customWidth="1" min="45" max="45" width="11.75" outlineLevel="1"/>
    <col customWidth="1" min="46" max="49" width="12.13" outlineLevel="1"/>
    <col customWidth="1" min="50" max="50" width="13.63"/>
    <col customWidth="1" min="51" max="51" width="3.75"/>
    <col customWidth="1" min="52" max="52" width="7.0"/>
    <col customWidth="1" min="53" max="54" width="10.75"/>
    <col customWidth="1" min="55" max="55" width="11.25"/>
    <col customWidth="1" min="56" max="56" width="6.75"/>
    <col customWidth="1" min="57" max="64" width="11.38"/>
    <col customWidth="1" min="65" max="65" width="7.5"/>
    <col customWidth="1" min="66" max="66" width="11.0"/>
    <col customWidth="1" min="67" max="67" width="7.75"/>
    <col customWidth="1" min="68" max="68" width="11.0"/>
    <col customWidth="1" min="69" max="69" width="2.88"/>
    <col customWidth="1" min="70" max="75" width="11.0"/>
  </cols>
  <sheetData>
    <row r="1">
      <c r="A1" s="58" t="s">
        <v>156</v>
      </c>
      <c r="B1" s="58" t="s">
        <v>133</v>
      </c>
      <c r="C1" s="58" t="s">
        <v>134</v>
      </c>
      <c r="D1" s="58" t="s">
        <v>136</v>
      </c>
      <c r="E1" s="58" t="s">
        <v>137</v>
      </c>
      <c r="F1" s="58" t="s">
        <v>157</v>
      </c>
      <c r="G1" s="58" t="s">
        <v>158</v>
      </c>
      <c r="H1" s="58" t="s">
        <v>159</v>
      </c>
      <c r="I1" s="58" t="s">
        <v>160</v>
      </c>
      <c r="J1" s="58" t="s">
        <v>161</v>
      </c>
      <c r="K1" s="59" t="s">
        <v>138</v>
      </c>
      <c r="L1" s="59" t="s">
        <v>140</v>
      </c>
      <c r="M1" s="58" t="s">
        <v>141</v>
      </c>
      <c r="N1" s="59" t="s">
        <v>162</v>
      </c>
      <c r="O1" s="60" t="s">
        <v>144</v>
      </c>
      <c r="P1" s="50" t="s">
        <v>163</v>
      </c>
      <c r="Q1" s="50" t="s">
        <v>164</v>
      </c>
      <c r="R1" s="61" t="s">
        <v>165</v>
      </c>
      <c r="S1" s="51" t="s">
        <v>166</v>
      </c>
      <c r="T1" s="62" t="s">
        <v>167</v>
      </c>
      <c r="U1" s="63" t="s">
        <v>168</v>
      </c>
      <c r="V1" s="63" t="s">
        <v>169</v>
      </c>
      <c r="W1" s="58" t="s">
        <v>170</v>
      </c>
      <c r="X1" s="64" t="str">
        <f>IF(ISNA(MATCH("ER - LAST ONLY",$X$2:$X264,0)),"Note Name?","ERROR!! Note Name?")</f>
        <v>Note Name?</v>
      </c>
      <c r="Y1" s="65" t="s">
        <v>171</v>
      </c>
      <c r="Z1" s="66" t="s">
        <v>172</v>
      </c>
      <c r="AA1" s="67" t="s">
        <v>173</v>
      </c>
      <c r="AB1" s="63" t="s">
        <v>174</v>
      </c>
      <c r="AC1" s="68" t="s">
        <v>175</v>
      </c>
      <c r="AD1" s="69" t="s">
        <v>176</v>
      </c>
      <c r="AE1" s="51" t="s">
        <v>177</v>
      </c>
      <c r="AF1" s="70" t="str">
        <f>IF(COUNTIF($AF2:$AF264,TRUE)=0,"Tube IDs w Diff Times?",CONCATENATE("ERROR!! Tube IDs w Diff Times? ",COUNTIF($AF2:$AF264,TRUE)))</f>
        <v>Tube IDs w Diff Times?</v>
      </c>
      <c r="AG1" s="51" t="s">
        <v>178</v>
      </c>
      <c r="AH1" s="63" t="s">
        <v>179</v>
      </c>
      <c r="AI1" s="63" t="s">
        <v>180</v>
      </c>
      <c r="AJ1" s="59" t="s">
        <v>142</v>
      </c>
      <c r="AK1" s="71" t="s">
        <v>139</v>
      </c>
      <c r="AL1" s="63" t="s">
        <v>143</v>
      </c>
      <c r="AM1" s="63" t="s">
        <v>181</v>
      </c>
      <c r="AN1" s="63" t="s">
        <v>182</v>
      </c>
      <c r="AO1" s="72" t="s">
        <v>183</v>
      </c>
      <c r="AP1" s="66" t="s">
        <v>184</v>
      </c>
      <c r="AQ1" s="66" t="s">
        <v>185</v>
      </c>
      <c r="AR1" s="66" t="s">
        <v>186</v>
      </c>
      <c r="AS1" s="73" t="s">
        <v>187</v>
      </c>
      <c r="AT1" s="74" t="str">
        <f>(IF(COUNTIF($AT2:$AT264,FALSE)=0,"NAME COLS CHECK?",CONCATENATE("ERROR!! NAME COLS CHECK? ",COUNTIF($AT2:$AT264,FALSE))))</f>
        <v>ERROR!! NAME COLS CHECK? 182</v>
      </c>
      <c r="AU1" s="51" t="s">
        <v>188</v>
      </c>
      <c r="AV1" s="51" t="s">
        <v>189</v>
      </c>
      <c r="AW1" s="51" t="s">
        <v>190</v>
      </c>
      <c r="AX1" s="61" t="s">
        <v>191</v>
      </c>
      <c r="AY1" s="75">
        <f>SUM($AX2:$AX264)</f>
        <v>7</v>
      </c>
      <c r="AZ1" s="76" t="s">
        <v>192</v>
      </c>
      <c r="BA1" s="77" t="str">
        <f>CONCATENATE("CURRENT BOOL TRUE = ",COUNTIF(BA$2:BA264,TRUE))</f>
        <v>CURRENT BOOL TRUE = 0</v>
      </c>
      <c r="BB1" s="59" t="s">
        <v>193</v>
      </c>
      <c r="BC1" s="59" t="s">
        <v>194</v>
      </c>
      <c r="BD1" s="78" t="s">
        <v>195</v>
      </c>
      <c r="BE1" s="79" t="str">
        <f>CONCATENATE("Rep Tube IDs Sorted = ",COUNTA(BL3:BL264))</f>
        <v>Rep Tube IDs Sorted = 0</v>
      </c>
      <c r="BF1" s="79" t="s">
        <v>196</v>
      </c>
      <c r="BG1" s="80" t="s">
        <v>197</v>
      </c>
      <c r="BH1" s="80" t="s">
        <v>198</v>
      </c>
      <c r="BI1" s="81" t="s">
        <v>199</v>
      </c>
      <c r="BJ1" s="81" t="s">
        <v>200</v>
      </c>
      <c r="BK1" s="81" t="s">
        <v>201</v>
      </c>
      <c r="BL1" s="81" t="s">
        <v>202</v>
      </c>
      <c r="BM1" s="82" t="s">
        <v>192</v>
      </c>
      <c r="BN1" s="63" t="str">
        <f>CONCATENATE("Blank or Whitespace ", COUNTIF(BN2:BN264, TRUE))</f>
        <v>Blank or Whitespace 190</v>
      </c>
      <c r="BO1" s="63" t="str">
        <f>CONCATENATE("Blank     ", COUNTIF(BO2:BO264, TRUE))</f>
        <v>Blank     0</v>
      </c>
      <c r="BP1" s="63" t="str">
        <f>CONCATENATE("Whitespace ", COUNTIF(BP2:BP264, TRUE))</f>
        <v>Whitespace 190</v>
      </c>
      <c r="BQ1" s="83"/>
      <c r="BR1" s="84" t="s">
        <v>203</v>
      </c>
      <c r="BS1" s="85">
        <f>COUNTIF(BS2:BS264,FALSE)</f>
        <v>0</v>
      </c>
      <c r="BT1" s="59"/>
      <c r="BU1" s="59"/>
      <c r="BV1" s="59"/>
      <c r="BW1" s="59"/>
    </row>
    <row r="2">
      <c r="A2" s="86" t="s">
        <v>204</v>
      </c>
      <c r="B2" s="87">
        <v>44659.0</v>
      </c>
      <c r="C2" s="88">
        <v>0.38612268518518517</v>
      </c>
      <c r="D2" s="89"/>
      <c r="E2" s="89"/>
      <c r="F2" s="89"/>
      <c r="G2" s="86"/>
      <c r="H2" s="90"/>
      <c r="I2" s="3"/>
      <c r="J2" s="3"/>
      <c r="K2" s="89" t="s">
        <v>205</v>
      </c>
      <c r="L2" s="36"/>
      <c r="M2" s="91"/>
      <c r="N2" s="3"/>
      <c r="O2" s="92"/>
      <c r="P2" s="93" t="b">
        <f>IFNA(IF(VLOOKUP($A2,'Add from APT'!$AA$2:$AC264,3,FALSE)&gt;0,TRUE,FALSE),"ER - NOT IN APT")</f>
        <v>0</v>
      </c>
      <c r="Q2" s="94" t="str">
        <f>IF(ISLOGICAL(P2),IF(P2,"ER - REPS IN APT", IFNA(VLOOKUP($A2,RAW_APT!$A$3:$M264,7,FALSE),"ER - NOT IN APT")),P2)</f>
        <v>Collected</v>
      </c>
      <c r="R2" s="95" t="b">
        <f t="shared" ref="R2:R68" si="2">IF(EXACT($A2,$A1),FALSE,TRUE)</f>
        <v>1</v>
      </c>
      <c r="S2" s="96">
        <f t="shared" ref="S2:S264" si="3">COUNTIF($A$2:$A264,$A2)</f>
        <v>1</v>
      </c>
      <c r="T2" s="97"/>
      <c r="U2" s="3"/>
      <c r="V2" s="3"/>
      <c r="W2" s="98"/>
      <c r="X2" s="99" t="b">
        <f t="shared" ref="X2:X49" si="4">IF(ISBLANK($U2),IF(ISBLANK($V2),FALSE,"ER - LAST ONLY"),TRUE)</f>
        <v>0</v>
      </c>
      <c r="Y2" s="100"/>
      <c r="Z2" s="101" t="str">
        <f t="shared" ref="Z2:Z264" si="5">IF($S2&gt;4,TRUE,IFERROR(0/0,""))</f>
        <v/>
      </c>
      <c r="AA2" s="102" t="b">
        <f t="shared" ref="AA2:AA264" si="6">IF(ISBLANK($O2),FALSE,TRUE)</f>
        <v>0</v>
      </c>
      <c r="AB2" s="98"/>
      <c r="AC2" s="103">
        <v>228.0</v>
      </c>
      <c r="AD2" s="104"/>
      <c r="AE2" s="105" t="str">
        <f t="shared" ref="AE2:AE264" si="7">IFERROR(IF(EXACT($L2,$B2),(TIMEVALUE($M2)-TIMEVALUE($C2))*24*60,IFERROR(0/0,"")),IFERROR(0/0,""))</f>
        <v/>
      </c>
      <c r="AF2" s="106" t="b">
        <f t="shared" ref="AF2:AF67" si="8">OR(AND(NOT($AG2),IFERROR(NOT($AG3),""),EXACT($A2,$A3),NOT(EXACT(CONCATENATE($B2,$C2),CONCATENATE($B3,$C3)))),AND(NOT($AG2),IFERROR(NOT($AG1),""),EXACT($A2,$A1),NOT(EXACT(CONCATENATE($B2,$C2),CONCATENATE($B1,$C1)))))</f>
        <v>0</v>
      </c>
      <c r="AG2" s="93" t="b">
        <f t="shared" ref="AG2:AG264" si="9">IF($AH2&gt;0,TRUE,FALSE)</f>
        <v>1</v>
      </c>
      <c r="AH2" s="103">
        <v>1.0</v>
      </c>
      <c r="AI2" s="103"/>
      <c r="AJ2" s="97"/>
      <c r="AK2" s="101" t="str">
        <f t="shared" ref="AK2:AK264" si="10">IFS(AND($AJ2&gt;=2,$AJ2&lt;3),"Negative",AND($AJ2&gt;=3,$AJ2&lt;4),"Positive",AND($AJ2&gt;=4,$AJ2&lt;5),"Inconclusive",$AJ2=5,"MANUAL FILL",$AG2,"DELETED",TRUE,$K2)</f>
        <v>DELETED</v>
      </c>
      <c r="AL2" s="98"/>
      <c r="AM2" s="94" t="s">
        <v>206</v>
      </c>
      <c r="AN2" s="94" t="s">
        <v>206</v>
      </c>
      <c r="AO2" s="102" t="str">
        <f>IFERROR(__xludf.DUMMYFUNCTION("IF($AG2, ""DELETED"",TRIM(JOIN("" "",D2:E2)))"),"DELETED")</f>
        <v>DELETED</v>
      </c>
      <c r="AP2" s="94" t="str">
        <f t="shared" ref="AP2:AQ2" si="1">IF($AG2, "DELETED", TRIM(CONCATENATE(F2,I2,U2)))</f>
        <v>DELETED</v>
      </c>
      <c r="AQ2" s="94" t="str">
        <f t="shared" si="1"/>
        <v>DELETED</v>
      </c>
      <c r="AR2" s="94" t="str">
        <f>IFERROR(__xludf.DUMMYFUNCTION("IF($AG2, ""DELETED"", TRIM(JOIN("" "",AP2,AQ2)))"),"DELETED")</f>
        <v>DELETED</v>
      </c>
      <c r="AS2" s="9"/>
      <c r="AT2" s="93" t="b">
        <f t="shared" ref="AT2:AT264" si="12">IF(OR($AG2,SUM($AU2:$AW2)=1),TRUE,FALSE)</f>
        <v>1</v>
      </c>
      <c r="AU2" s="93" t="str">
        <f t="shared" ref="AU2:AU264" si="13">IF($AG2,IFERROR(0/0,""),IF(ISBLANK($F2),IF(ISBLANK($G2),IFERROR(0/0,""),2),1))</f>
        <v/>
      </c>
      <c r="AV2" s="93" t="str">
        <f t="shared" ref="AV2:AV264" si="14">IF($AG2,IFERROR(0/0,""),IF(ISBLANK($I2),IF(ISBLANK($J2),IFERROR(0/0,""),2),1))</f>
        <v/>
      </c>
      <c r="AW2" s="93" t="str">
        <f t="shared" ref="AW2:AW49" si="15">IF($AG2,IFERROR(0/0,""),IF(ISBLANK($U2),IF(ISBLANK($V2),IFERROR(0/0,""),2),1))</f>
        <v/>
      </c>
      <c r="AX2" s="107" t="str">
        <f t="shared" ref="AX2:AX264" si="16">IF(AND($X2,$A3=$A2),1,IFERROR(0/0,""))</f>
        <v/>
      </c>
      <c r="AY2" s="98"/>
      <c r="AZ2" s="108"/>
      <c r="BA2" s="109" t="str">
        <f t="shared" ref="BA2:BA264" si="17">IF(AG2,IFERROR(0/0,""),IF(EXACT(UPPER(A2),A2),IFERROR(0/0,""),TRUE))</f>
        <v/>
      </c>
      <c r="BB2" s="98"/>
      <c r="BC2" s="98"/>
      <c r="BD2" s="108"/>
      <c r="BE2" s="110" t="str">
        <f t="array" ref="BE2:BE264">SORT(BL$2:BL264,1,TRUE)</f>
        <v/>
      </c>
      <c r="BF2" s="111" t="str">
        <f t="shared" ref="BF2:BF264" si="18">IF(COUNTIF(BJ$2:BJ264,BE2)&gt;0,COUNTIF(BJ$2:BJ264,BE2),IFERROR(0/0,""))</f>
        <v/>
      </c>
      <c r="BG2" s="112" t="str">
        <f t="shared" ref="BG2:BG264" si="19">IF($AG2,IFERROR(0/0,""),CONCATENATE($A2,"__",$B2,"_",$C2,"_",$D2,"_",$E2,"_",$K2,"_",$L2,"_",$M2,"_",$O2))</f>
        <v/>
      </c>
      <c r="BH2" s="113" t="str">
        <f t="shared" ref="BH2:BH264" si="20">IF(ISBLANK(IFERROR(MATCH(LEFT(BG2, FIND("__",BG2)-1),BE$2:BE264,0),"")),IFERROR(0/0,""),TRUE)</f>
        <v/>
      </c>
      <c r="BI2" s="114" t="str">
        <f t="array" ref="BI2:BI80">SORT(UNIQUE(BG$2:BG264),1,TRUE)</f>
        <v>AG1103__44697_0.190300925925926___Negative_44697_0.361099537037037_</v>
      </c>
      <c r="BJ2" s="114" t="str">
        <f t="shared" ref="BJ2:BJ264" si="21">IFERROR(LEFT(BI2, FIND("__",BI2)-1),"")</f>
        <v>AG1103</v>
      </c>
      <c r="BK2" s="115" t="b">
        <f t="shared" ref="BK2:BK16" si="22">IFERROR(AND(EXACT(BJ3,BJ2),NOT(EXACT(BJ2,BJ1))),"")</f>
        <v>0</v>
      </c>
      <c r="BL2" s="114" t="str">
        <f t="shared" ref="BL2:BL264" si="23">IF(BK2,BJ2,IFERROR(0/0,""))</f>
        <v/>
      </c>
      <c r="BM2" s="108"/>
      <c r="BN2" s="7" t="b">
        <f t="shared" ref="BN2:BN264" si="24">OR(BO2,BP2)</f>
        <v>0</v>
      </c>
      <c r="BO2" s="116" t="b">
        <f t="shared" ref="BO2:BO264" si="25">ISBLANK($AR2)</f>
        <v>0</v>
      </c>
      <c r="BP2" s="117" t="b">
        <f t="shared" ref="BP2:BP264" si="26">IF(TRIM($AR2)="",TRUE,FALSE)</f>
        <v>0</v>
      </c>
      <c r="BQ2" s="118"/>
      <c r="BR2" s="119" t="s">
        <v>206</v>
      </c>
      <c r="BS2" s="7" t="b">
        <f t="shared" ref="BS2:BS264" si="27">EXACT(BR2,$AK2)</f>
        <v>1</v>
      </c>
      <c r="BT2" s="7"/>
      <c r="BU2" s="7"/>
      <c r="BV2" s="7"/>
      <c r="BW2" s="7"/>
    </row>
    <row r="3">
      <c r="A3" s="120" t="s">
        <v>207</v>
      </c>
      <c r="B3" s="36">
        <v>44659.0</v>
      </c>
      <c r="C3" s="91">
        <v>0.3866203703703704</v>
      </c>
      <c r="D3" s="3"/>
      <c r="E3" s="3"/>
      <c r="F3" s="3"/>
      <c r="G3" s="120"/>
      <c r="H3" s="121"/>
      <c r="I3" s="3"/>
      <c r="J3" s="3"/>
      <c r="K3" s="3" t="s">
        <v>205</v>
      </c>
      <c r="L3" s="36">
        <v>44861.0</v>
      </c>
      <c r="M3" s="91">
        <v>0.48483796296296294</v>
      </c>
      <c r="N3" s="3" t="s">
        <v>208</v>
      </c>
      <c r="O3" s="92"/>
      <c r="P3" s="93" t="b">
        <f>IFNA(IF(VLOOKUP($A3,'Add from APT'!$AA$2:$AC264,3,FALSE)&gt;0,TRUE,FALSE),"ER - NOT IN APT")</f>
        <v>0</v>
      </c>
      <c r="Q3" s="94" t="str">
        <f>IF(ISLOGICAL(P3),IF(P3,"ER - REPS IN APT", IFNA(VLOOKUP($A3,RAW_APT!$A$3:$M264,7,FALSE),"ER - NOT IN APT")),P3)</f>
        <v>Collected</v>
      </c>
      <c r="R3" s="95" t="b">
        <f t="shared" si="2"/>
        <v>1</v>
      </c>
      <c r="S3" s="96">
        <f t="shared" si="3"/>
        <v>1</v>
      </c>
      <c r="T3" s="97"/>
      <c r="U3" s="3"/>
      <c r="V3" s="3"/>
      <c r="W3" s="98"/>
      <c r="X3" s="99" t="b">
        <f t="shared" si="4"/>
        <v>0</v>
      </c>
      <c r="Y3" s="100"/>
      <c r="Z3" s="101" t="str">
        <f t="shared" si="5"/>
        <v/>
      </c>
      <c r="AA3" s="102" t="b">
        <f t="shared" si="6"/>
        <v>0</v>
      </c>
      <c r="AB3" s="98"/>
      <c r="AC3" s="103">
        <v>229.0</v>
      </c>
      <c r="AD3" s="104"/>
      <c r="AE3" s="105" t="str">
        <f t="shared" si="7"/>
        <v/>
      </c>
      <c r="AF3" s="106" t="b">
        <f t="shared" si="8"/>
        <v>0</v>
      </c>
      <c r="AG3" s="93" t="b">
        <f t="shared" si="9"/>
        <v>1</v>
      </c>
      <c r="AH3" s="103">
        <v>1.0</v>
      </c>
      <c r="AI3" s="103"/>
      <c r="AJ3" s="97"/>
      <c r="AK3" s="101" t="str">
        <f t="shared" si="10"/>
        <v>DELETED</v>
      </c>
      <c r="AL3" s="98"/>
      <c r="AM3" s="94" t="s">
        <v>206</v>
      </c>
      <c r="AN3" s="94" t="s">
        <v>206</v>
      </c>
      <c r="AO3" s="102" t="str">
        <f>IFERROR(__xludf.DUMMYFUNCTION("IF($AG3, ""DELETED"",TRIM(JOIN("" "",D3:E3)))"),"DELETED")</f>
        <v>DELETED</v>
      </c>
      <c r="AP3" s="94" t="str">
        <f t="shared" ref="AP3:AQ3" si="11">IF($AG3, "DELETED", TRIM(CONCATENATE(F3,I3,U3)))</f>
        <v>DELETED</v>
      </c>
      <c r="AQ3" s="94" t="str">
        <f t="shared" si="11"/>
        <v>DELETED</v>
      </c>
      <c r="AR3" s="94" t="str">
        <f>IFERROR(__xludf.DUMMYFUNCTION("IF($AG3, ""DELETED"", TRIM(JOIN("" "",AP3,AQ3)))"),"DELETED")</f>
        <v>DELETED</v>
      </c>
      <c r="AS3" s="9"/>
      <c r="AT3" s="93" t="b">
        <f t="shared" si="12"/>
        <v>1</v>
      </c>
      <c r="AU3" s="93" t="str">
        <f t="shared" si="13"/>
        <v/>
      </c>
      <c r="AV3" s="93" t="str">
        <f t="shared" si="14"/>
        <v/>
      </c>
      <c r="AW3" s="93" t="str">
        <f t="shared" si="15"/>
        <v/>
      </c>
      <c r="AX3" s="107" t="str">
        <f t="shared" si="16"/>
        <v/>
      </c>
      <c r="AY3" s="98"/>
      <c r="AZ3" s="108"/>
      <c r="BA3" s="109" t="str">
        <f t="shared" si="17"/>
        <v/>
      </c>
      <c r="BB3" s="98"/>
      <c r="BC3" s="98"/>
      <c r="BD3" s="108"/>
      <c r="BE3" s="122"/>
      <c r="BF3" s="111" t="str">
        <f t="shared" si="18"/>
        <v/>
      </c>
      <c r="BG3" s="112" t="str">
        <f t="shared" si="19"/>
        <v/>
      </c>
      <c r="BH3" s="113" t="str">
        <f t="shared" si="20"/>
        <v/>
      </c>
      <c r="BI3" s="122" t="s">
        <v>209</v>
      </c>
      <c r="BJ3" s="114" t="str">
        <f t="shared" si="21"/>
        <v>AG1224</v>
      </c>
      <c r="BK3" s="115" t="b">
        <f t="shared" si="22"/>
        <v>0</v>
      </c>
      <c r="BL3" s="114" t="str">
        <f t="shared" si="23"/>
        <v/>
      </c>
      <c r="BM3" s="108"/>
      <c r="BN3" s="123" t="b">
        <f t="shared" si="24"/>
        <v>0</v>
      </c>
      <c r="BO3" s="123" t="b">
        <f t="shared" si="25"/>
        <v>0</v>
      </c>
      <c r="BP3" s="123" t="b">
        <f t="shared" si="26"/>
        <v>0</v>
      </c>
      <c r="BQ3" s="124"/>
      <c r="BR3" s="125" t="s">
        <v>206</v>
      </c>
      <c r="BS3" s="7" t="b">
        <f t="shared" si="27"/>
        <v>1</v>
      </c>
      <c r="BT3" s="123"/>
      <c r="BU3" s="123"/>
      <c r="BV3" s="123"/>
      <c r="BW3" s="123"/>
    </row>
    <row r="4">
      <c r="A4" s="86">
        <v>7.2782051679E10</v>
      </c>
      <c r="B4" s="87">
        <v>44659.0</v>
      </c>
      <c r="C4" s="88">
        <v>0.5501736111111111</v>
      </c>
      <c r="D4" s="89"/>
      <c r="E4" s="89"/>
      <c r="F4" s="89"/>
      <c r="G4" s="86"/>
      <c r="H4" s="89"/>
      <c r="I4" s="3"/>
      <c r="J4" s="3"/>
      <c r="K4" s="89" t="s">
        <v>205</v>
      </c>
      <c r="L4" s="36"/>
      <c r="M4" s="91"/>
      <c r="N4" s="3"/>
      <c r="O4" s="92"/>
      <c r="P4" s="93" t="str">
        <f>IFNA(IF(VLOOKUP($A4,'Add from APT'!$AA$2:$AC264,3,FALSE)&gt;0,TRUE,FALSE),"ER - NOT IN APT")</f>
        <v>ER - NOT IN APT</v>
      </c>
      <c r="Q4" s="94" t="str">
        <f>IF(ISLOGICAL(P4),IF(P4,"ER - REPS IN APT", IFNA(VLOOKUP($A4,RAW_APT!$A$3:$M264,7,FALSE),"ER - NOT IN APT")),P4)</f>
        <v>ER - NOT IN APT</v>
      </c>
      <c r="R4" s="95" t="b">
        <f t="shared" si="2"/>
        <v>1</v>
      </c>
      <c r="S4" s="96">
        <f t="shared" si="3"/>
        <v>2</v>
      </c>
      <c r="T4" s="97"/>
      <c r="U4" s="3"/>
      <c r="V4" s="3"/>
      <c r="W4" s="98"/>
      <c r="X4" s="99" t="b">
        <f t="shared" si="4"/>
        <v>0</v>
      </c>
      <c r="Y4" s="100"/>
      <c r="Z4" s="101" t="str">
        <f t="shared" si="5"/>
        <v/>
      </c>
      <c r="AA4" s="102" t="b">
        <f t="shared" si="6"/>
        <v>0</v>
      </c>
      <c r="AB4" s="98"/>
      <c r="AC4" s="103">
        <v>231.0</v>
      </c>
      <c r="AD4" s="104"/>
      <c r="AE4" s="105" t="str">
        <f t="shared" si="7"/>
        <v/>
      </c>
      <c r="AF4" s="106" t="b">
        <f t="shared" si="8"/>
        <v>0</v>
      </c>
      <c r="AG4" s="93" t="b">
        <f t="shared" si="9"/>
        <v>1</v>
      </c>
      <c r="AH4" s="103">
        <v>1.0</v>
      </c>
      <c r="AI4" s="103"/>
      <c r="AJ4" s="97"/>
      <c r="AK4" s="101" t="str">
        <f t="shared" si="10"/>
        <v>DELETED</v>
      </c>
      <c r="AL4" s="98"/>
      <c r="AM4" s="94" t="s">
        <v>206</v>
      </c>
      <c r="AN4" s="94" t="s">
        <v>206</v>
      </c>
      <c r="AO4" s="102" t="str">
        <f>IFERROR(__xludf.DUMMYFUNCTION("IF($AG4, ""DELETED"",TRIM(JOIN("" "",D4:E4)))"),"DELETED")</f>
        <v>DELETED</v>
      </c>
      <c r="AP4" s="94" t="str">
        <f t="shared" ref="AP4:AQ4" si="28">IF($AG4, "DELETED", TRIM(CONCATENATE(F4,I4,U4)))</f>
        <v>DELETED</v>
      </c>
      <c r="AQ4" s="94" t="str">
        <f t="shared" si="28"/>
        <v>DELETED</v>
      </c>
      <c r="AR4" s="94" t="str">
        <f>IFERROR(__xludf.DUMMYFUNCTION("IF($AG4, ""DELETED"", TRIM(JOIN("" "",AP4,AQ4)))"),"DELETED")</f>
        <v>DELETED</v>
      </c>
      <c r="AS4" s="9"/>
      <c r="AT4" s="93" t="b">
        <f t="shared" si="12"/>
        <v>1</v>
      </c>
      <c r="AU4" s="93" t="str">
        <f t="shared" si="13"/>
        <v/>
      </c>
      <c r="AV4" s="93" t="str">
        <f t="shared" si="14"/>
        <v/>
      </c>
      <c r="AW4" s="93" t="str">
        <f t="shared" si="15"/>
        <v/>
      </c>
      <c r="AX4" s="107" t="str">
        <f t="shared" si="16"/>
        <v/>
      </c>
      <c r="AY4" s="98"/>
      <c r="AZ4" s="108"/>
      <c r="BA4" s="109" t="str">
        <f t="shared" si="17"/>
        <v/>
      </c>
      <c r="BB4" s="98"/>
      <c r="BC4" s="98"/>
      <c r="BD4" s="108"/>
      <c r="BE4" s="126"/>
      <c r="BF4" s="111" t="str">
        <f t="shared" si="18"/>
        <v/>
      </c>
      <c r="BG4" s="112" t="str">
        <f t="shared" si="19"/>
        <v/>
      </c>
      <c r="BH4" s="113" t="str">
        <f t="shared" si="20"/>
        <v/>
      </c>
      <c r="BI4" s="126" t="s">
        <v>210</v>
      </c>
      <c r="BJ4" s="114" t="str">
        <f t="shared" si="21"/>
        <v>AG1259</v>
      </c>
      <c r="BK4" s="115" t="b">
        <f t="shared" si="22"/>
        <v>0</v>
      </c>
      <c r="BL4" s="114" t="str">
        <f t="shared" si="23"/>
        <v/>
      </c>
      <c r="BM4" s="108"/>
      <c r="BN4" s="123" t="b">
        <f t="shared" si="24"/>
        <v>0</v>
      </c>
      <c r="BO4" s="123" t="b">
        <f t="shared" si="25"/>
        <v>0</v>
      </c>
      <c r="BP4" s="123" t="b">
        <f t="shared" si="26"/>
        <v>0</v>
      </c>
      <c r="BQ4" s="127"/>
      <c r="BR4" s="119" t="s">
        <v>206</v>
      </c>
      <c r="BS4" s="7" t="b">
        <f t="shared" si="27"/>
        <v>1</v>
      </c>
      <c r="BT4" s="128"/>
      <c r="BU4" s="128"/>
      <c r="BV4" s="128"/>
      <c r="BW4" s="128"/>
    </row>
    <row r="5">
      <c r="A5" s="86">
        <v>7.2782051679E10</v>
      </c>
      <c r="B5" s="87">
        <v>44659.0</v>
      </c>
      <c r="C5" s="88">
        <v>0.5501736111111111</v>
      </c>
      <c r="D5" s="89"/>
      <c r="E5" s="89"/>
      <c r="F5" s="3"/>
      <c r="G5" s="120"/>
      <c r="H5" s="121"/>
      <c r="I5" s="3"/>
      <c r="J5" s="3"/>
      <c r="K5" s="89" t="s">
        <v>205</v>
      </c>
      <c r="L5" s="36"/>
      <c r="M5" s="91"/>
      <c r="N5" s="3"/>
      <c r="O5" s="92"/>
      <c r="P5" s="93" t="str">
        <f>IFNA(IF(VLOOKUP($A5,'Add from APT'!$AA$2:$AC264,3,FALSE)&gt;0,TRUE,FALSE),"ER - NOT IN APT")</f>
        <v>ER - NOT IN APT</v>
      </c>
      <c r="Q5" s="94" t="str">
        <f>IF(ISLOGICAL(P5),IF(P5,"ER - REPS IN APT", IFNA(VLOOKUP($A5,RAW_APT!$A$3:$M264,7,FALSE),"ER - NOT IN APT")),P5)</f>
        <v>ER - NOT IN APT</v>
      </c>
      <c r="R5" s="95" t="b">
        <f t="shared" si="2"/>
        <v>0</v>
      </c>
      <c r="S5" s="96">
        <f t="shared" si="3"/>
        <v>2</v>
      </c>
      <c r="T5" s="97"/>
      <c r="U5" s="3"/>
      <c r="V5" s="3"/>
      <c r="W5" s="98"/>
      <c r="X5" s="99" t="b">
        <f t="shared" si="4"/>
        <v>0</v>
      </c>
      <c r="Y5" s="100"/>
      <c r="Z5" s="101" t="str">
        <f t="shared" si="5"/>
        <v/>
      </c>
      <c r="AA5" s="102" t="b">
        <f t="shared" si="6"/>
        <v>0</v>
      </c>
      <c r="AB5" s="98"/>
      <c r="AC5" s="103">
        <v>230.0</v>
      </c>
      <c r="AD5" s="104"/>
      <c r="AE5" s="105" t="str">
        <f t="shared" si="7"/>
        <v/>
      </c>
      <c r="AF5" s="106" t="b">
        <f t="shared" si="8"/>
        <v>0</v>
      </c>
      <c r="AG5" s="93" t="b">
        <f t="shared" si="9"/>
        <v>1</v>
      </c>
      <c r="AH5" s="103">
        <v>1.0</v>
      </c>
      <c r="AI5" s="103"/>
      <c r="AJ5" s="7"/>
      <c r="AK5" s="101" t="str">
        <f t="shared" si="10"/>
        <v>DELETED</v>
      </c>
      <c r="AL5" s="98"/>
      <c r="AM5" s="94" t="s">
        <v>206</v>
      </c>
      <c r="AN5" s="94" t="s">
        <v>206</v>
      </c>
      <c r="AO5" s="102" t="str">
        <f>IFERROR(__xludf.DUMMYFUNCTION("IF($AG5, ""DELETED"",TRIM(JOIN("" "",D5:E5)))"),"DELETED")</f>
        <v>DELETED</v>
      </c>
      <c r="AP5" s="94" t="str">
        <f t="shared" ref="AP5:AQ5" si="29">IF($AG5, "DELETED", TRIM(CONCATENATE(F5,I5,U5)))</f>
        <v>DELETED</v>
      </c>
      <c r="AQ5" s="94" t="str">
        <f t="shared" si="29"/>
        <v>DELETED</v>
      </c>
      <c r="AR5" s="94" t="str">
        <f>IFERROR(__xludf.DUMMYFUNCTION("IF($AG5, ""DELETED"", TRIM(JOIN("" "",AP5,AQ5)))"),"DELETED")</f>
        <v>DELETED</v>
      </c>
      <c r="AS5" s="9"/>
      <c r="AT5" s="93" t="b">
        <f t="shared" si="12"/>
        <v>1</v>
      </c>
      <c r="AU5" s="93" t="str">
        <f t="shared" si="13"/>
        <v/>
      </c>
      <c r="AV5" s="93" t="str">
        <f t="shared" si="14"/>
        <v/>
      </c>
      <c r="AW5" s="93" t="str">
        <f t="shared" si="15"/>
        <v/>
      </c>
      <c r="AX5" s="107" t="str">
        <f t="shared" si="16"/>
        <v/>
      </c>
      <c r="AY5" s="3"/>
      <c r="AZ5" s="129"/>
      <c r="BA5" s="109" t="str">
        <f t="shared" si="17"/>
        <v/>
      </c>
      <c r="BB5" s="3"/>
      <c r="BC5" s="3"/>
      <c r="BD5" s="108"/>
      <c r="BE5" s="126"/>
      <c r="BF5" s="111" t="str">
        <f t="shared" si="18"/>
        <v/>
      </c>
      <c r="BG5" s="112" t="str">
        <f t="shared" si="19"/>
        <v/>
      </c>
      <c r="BH5" s="113" t="str">
        <f t="shared" si="20"/>
        <v/>
      </c>
      <c r="BI5" s="126" t="s">
        <v>211</v>
      </c>
      <c r="BJ5" s="114" t="str">
        <f t="shared" si="21"/>
        <v>AG1419</v>
      </c>
      <c r="BK5" s="115" t="b">
        <f t="shared" si="22"/>
        <v>0</v>
      </c>
      <c r="BL5" s="114" t="str">
        <f t="shared" si="23"/>
        <v/>
      </c>
      <c r="BM5" s="108"/>
      <c r="BN5" s="123" t="b">
        <f t="shared" si="24"/>
        <v>0</v>
      </c>
      <c r="BO5" s="123" t="b">
        <f t="shared" si="25"/>
        <v>0</v>
      </c>
      <c r="BP5" s="123" t="b">
        <f t="shared" si="26"/>
        <v>0</v>
      </c>
      <c r="BQ5" s="127"/>
      <c r="BR5" s="119" t="s">
        <v>206</v>
      </c>
      <c r="BS5" s="7" t="b">
        <f t="shared" si="27"/>
        <v>1</v>
      </c>
      <c r="BT5" s="128"/>
      <c r="BU5" s="128"/>
      <c r="BV5" s="128"/>
      <c r="BW5" s="128"/>
    </row>
    <row r="6">
      <c r="A6" s="86" t="s">
        <v>212</v>
      </c>
      <c r="B6" s="87">
        <v>44666.0</v>
      </c>
      <c r="C6" s="88">
        <v>0.496875</v>
      </c>
      <c r="D6" s="89"/>
      <c r="E6" s="89"/>
      <c r="F6" s="89"/>
      <c r="G6" s="86"/>
      <c r="H6" s="90"/>
      <c r="I6" s="3"/>
      <c r="J6" s="3"/>
      <c r="K6" s="89" t="s">
        <v>205</v>
      </c>
      <c r="L6" s="36"/>
      <c r="M6" s="91"/>
      <c r="N6" s="121"/>
      <c r="O6" s="92"/>
      <c r="P6" s="93" t="b">
        <f>IFNA(IF(VLOOKUP($A6,'Add from APT'!$AA$2:$AC264,3,FALSE)&gt;0,TRUE,FALSE),"ER - NOT IN APT")</f>
        <v>0</v>
      </c>
      <c r="Q6" s="94" t="str">
        <f>IF(ISLOGICAL(P6),IF(P6,"ER - REPS IN APT", IFNA(VLOOKUP($A6,RAW_APT!$A$3:$M264,7,FALSE),"ER - NOT IN APT")),P6)</f>
        <v>Collected</v>
      </c>
      <c r="R6" s="95" t="b">
        <f t="shared" si="2"/>
        <v>1</v>
      </c>
      <c r="S6" s="96">
        <f t="shared" si="3"/>
        <v>1</v>
      </c>
      <c r="T6" s="130"/>
      <c r="U6" s="3"/>
      <c r="V6" s="3"/>
      <c r="W6" s="9"/>
      <c r="X6" s="99" t="b">
        <f t="shared" si="4"/>
        <v>0</v>
      </c>
      <c r="Y6" s="7"/>
      <c r="Z6" s="101" t="str">
        <f t="shared" si="5"/>
        <v/>
      </c>
      <c r="AA6" s="102" t="b">
        <f t="shared" si="6"/>
        <v>0</v>
      </c>
      <c r="AB6" s="131"/>
      <c r="AC6" s="130">
        <v>227.0</v>
      </c>
      <c r="AD6" s="132"/>
      <c r="AE6" s="105" t="str">
        <f t="shared" si="7"/>
        <v/>
      </c>
      <c r="AF6" s="106" t="b">
        <f t="shared" si="8"/>
        <v>0</v>
      </c>
      <c r="AG6" s="93" t="b">
        <f t="shared" si="9"/>
        <v>1</v>
      </c>
      <c r="AH6" s="130">
        <v>1.0</v>
      </c>
      <c r="AI6" s="13"/>
      <c r="AJ6" s="7"/>
      <c r="AK6" s="101" t="str">
        <f t="shared" si="10"/>
        <v>DELETED</v>
      </c>
      <c r="AL6" s="98"/>
      <c r="AM6" s="94" t="s">
        <v>206</v>
      </c>
      <c r="AN6" s="94" t="s">
        <v>206</v>
      </c>
      <c r="AO6" s="102" t="str">
        <f>IFERROR(__xludf.DUMMYFUNCTION("IF($AG6, ""DELETED"",TRIM(JOIN("" "",D6:E6)))"),"DELETED")</f>
        <v>DELETED</v>
      </c>
      <c r="AP6" s="94" t="str">
        <f t="shared" ref="AP6:AQ6" si="30">IF($AG6, "DELETED", TRIM(CONCATENATE(F6,I6,U6)))</f>
        <v>DELETED</v>
      </c>
      <c r="AQ6" s="94" t="str">
        <f t="shared" si="30"/>
        <v>DELETED</v>
      </c>
      <c r="AR6" s="94" t="str">
        <f>IFERROR(__xludf.DUMMYFUNCTION("IF($AG6, ""DELETED"", TRIM(JOIN("" "",AP6,AQ6)))"),"DELETED")</f>
        <v>DELETED</v>
      </c>
      <c r="AS6" s="9"/>
      <c r="AT6" s="93" t="b">
        <f t="shared" si="12"/>
        <v>1</v>
      </c>
      <c r="AU6" s="93" t="str">
        <f t="shared" si="13"/>
        <v/>
      </c>
      <c r="AV6" s="93" t="str">
        <f t="shared" si="14"/>
        <v/>
      </c>
      <c r="AW6" s="93" t="str">
        <f t="shared" si="15"/>
        <v/>
      </c>
      <c r="AX6" s="107" t="str">
        <f t="shared" si="16"/>
        <v/>
      </c>
      <c r="AY6" s="3"/>
      <c r="AZ6" s="129"/>
      <c r="BA6" s="109" t="str">
        <f t="shared" si="17"/>
        <v/>
      </c>
      <c r="BB6" s="3"/>
      <c r="BC6" s="3"/>
      <c r="BD6" s="108"/>
      <c r="BE6" s="133"/>
      <c r="BF6" s="111" t="str">
        <f t="shared" si="18"/>
        <v/>
      </c>
      <c r="BG6" s="112" t="str">
        <f t="shared" si="19"/>
        <v/>
      </c>
      <c r="BH6" s="113" t="str">
        <f t="shared" si="20"/>
        <v/>
      </c>
      <c r="BI6" s="133" t="s">
        <v>213</v>
      </c>
      <c r="BJ6" s="114" t="str">
        <f t="shared" si="21"/>
        <v>AG1523</v>
      </c>
      <c r="BK6" s="115" t="b">
        <f t="shared" si="22"/>
        <v>0</v>
      </c>
      <c r="BL6" s="114" t="str">
        <f t="shared" si="23"/>
        <v/>
      </c>
      <c r="BM6" s="108"/>
      <c r="BN6" s="123" t="b">
        <f t="shared" si="24"/>
        <v>0</v>
      </c>
      <c r="BO6" s="123" t="b">
        <f t="shared" si="25"/>
        <v>0</v>
      </c>
      <c r="BP6" s="123" t="b">
        <f t="shared" si="26"/>
        <v>0</v>
      </c>
      <c r="BQ6" s="127"/>
      <c r="BR6" s="119" t="s">
        <v>206</v>
      </c>
      <c r="BS6" s="7" t="b">
        <f t="shared" si="27"/>
        <v>1</v>
      </c>
      <c r="BT6" s="128"/>
      <c r="BU6" s="128"/>
      <c r="BV6" s="128"/>
      <c r="BW6" s="128"/>
    </row>
    <row r="7">
      <c r="A7" s="86" t="s">
        <v>214</v>
      </c>
      <c r="B7" s="87">
        <v>44670.0</v>
      </c>
      <c r="C7" s="88">
        <v>0.46875</v>
      </c>
      <c r="D7" s="89"/>
      <c r="E7" s="89"/>
      <c r="F7" s="89"/>
      <c r="G7" s="86"/>
      <c r="H7" s="90"/>
      <c r="I7" s="3"/>
      <c r="J7" s="3"/>
      <c r="K7" s="89" t="s">
        <v>215</v>
      </c>
      <c r="L7" s="36">
        <v>44670.0</v>
      </c>
      <c r="M7" s="91">
        <v>0.5004282407407408</v>
      </c>
      <c r="N7" s="121"/>
      <c r="O7" s="92"/>
      <c r="P7" s="93" t="b">
        <f>IFNA(IF(VLOOKUP($A7,'Add from APT'!$AA$2:$AC264,3,FALSE)&gt;0,TRUE,FALSE),"ER - NOT IN APT")</f>
        <v>0</v>
      </c>
      <c r="Q7" s="94" t="str">
        <f>IF(ISLOGICAL(P7),IF(P7,"ER - REPS IN APT", IFNA(VLOOKUP($A7,RAW_APT!$A$3:$M264,7,FALSE),"ER - NOT IN APT")),P7)</f>
        <v>Result</v>
      </c>
      <c r="R7" s="95" t="b">
        <f t="shared" si="2"/>
        <v>1</v>
      </c>
      <c r="S7" s="96">
        <f t="shared" si="3"/>
        <v>3</v>
      </c>
      <c r="T7" s="97"/>
      <c r="U7" s="3"/>
      <c r="V7" s="3"/>
      <c r="W7" s="98"/>
      <c r="X7" s="99" t="b">
        <f t="shared" si="4"/>
        <v>0</v>
      </c>
      <c r="Y7" s="100"/>
      <c r="Z7" s="101" t="str">
        <f t="shared" si="5"/>
        <v/>
      </c>
      <c r="AA7" s="102" t="b">
        <f t="shared" si="6"/>
        <v>0</v>
      </c>
      <c r="AB7" s="98"/>
      <c r="AC7" s="103">
        <v>215.0</v>
      </c>
      <c r="AD7" s="104"/>
      <c r="AE7" s="105">
        <f t="shared" si="7"/>
        <v>45.61666667</v>
      </c>
      <c r="AF7" s="106" t="b">
        <f t="shared" si="8"/>
        <v>0</v>
      </c>
      <c r="AG7" s="93" t="b">
        <f t="shared" si="9"/>
        <v>1</v>
      </c>
      <c r="AH7" s="103">
        <v>2.0</v>
      </c>
      <c r="AI7" s="103"/>
      <c r="AJ7" s="97"/>
      <c r="AK7" s="101" t="str">
        <f t="shared" si="10"/>
        <v>DELETED</v>
      </c>
      <c r="AL7" s="98"/>
      <c r="AM7" s="94" t="s">
        <v>206</v>
      </c>
      <c r="AN7" s="94" t="s">
        <v>206</v>
      </c>
      <c r="AO7" s="102" t="str">
        <f>IFERROR(__xludf.DUMMYFUNCTION("IF($AG7, ""DELETED"",TRIM(JOIN("" "",D7:E7)))"),"DELETED")</f>
        <v>DELETED</v>
      </c>
      <c r="AP7" s="94" t="str">
        <f t="shared" ref="AP7:AQ7" si="31">IF($AG7, "DELETED", TRIM(CONCATENATE(F7,I7,U7)))</f>
        <v>DELETED</v>
      </c>
      <c r="AQ7" s="94" t="str">
        <f t="shared" si="31"/>
        <v>DELETED</v>
      </c>
      <c r="AR7" s="94" t="str">
        <f>IFERROR(__xludf.DUMMYFUNCTION("IF($AG7, ""DELETED"", TRIM(JOIN("" "",AP7,AQ7)))"),"DELETED")</f>
        <v>DELETED</v>
      </c>
      <c r="AS7" s="9"/>
      <c r="AT7" s="93" t="b">
        <f t="shared" si="12"/>
        <v>1</v>
      </c>
      <c r="AU7" s="93" t="str">
        <f t="shared" si="13"/>
        <v/>
      </c>
      <c r="AV7" s="93" t="str">
        <f t="shared" si="14"/>
        <v/>
      </c>
      <c r="AW7" s="93" t="str">
        <f t="shared" si="15"/>
        <v/>
      </c>
      <c r="AX7" s="107" t="str">
        <f t="shared" si="16"/>
        <v/>
      </c>
      <c r="AY7" s="98"/>
      <c r="AZ7" s="108"/>
      <c r="BA7" s="109" t="str">
        <f t="shared" si="17"/>
        <v/>
      </c>
      <c r="BB7" s="98"/>
      <c r="BC7" s="98"/>
      <c r="BD7" s="108"/>
      <c r="BE7" s="134"/>
      <c r="BF7" s="111" t="str">
        <f t="shared" si="18"/>
        <v/>
      </c>
      <c r="BG7" s="112" t="str">
        <f t="shared" si="19"/>
        <v/>
      </c>
      <c r="BH7" s="113" t="str">
        <f t="shared" si="20"/>
        <v/>
      </c>
      <c r="BI7" s="134" t="s">
        <v>216</v>
      </c>
      <c r="BJ7" s="114" t="str">
        <f t="shared" si="21"/>
        <v>AG1608</v>
      </c>
      <c r="BK7" s="115" t="b">
        <f t="shared" si="22"/>
        <v>0</v>
      </c>
      <c r="BL7" s="114" t="str">
        <f t="shared" si="23"/>
        <v/>
      </c>
      <c r="BM7" s="108"/>
      <c r="BN7" s="123" t="b">
        <f t="shared" si="24"/>
        <v>0</v>
      </c>
      <c r="BO7" s="123" t="b">
        <f t="shared" si="25"/>
        <v>0</v>
      </c>
      <c r="BP7" s="123" t="b">
        <f t="shared" si="26"/>
        <v>0</v>
      </c>
      <c r="BQ7" s="118"/>
      <c r="BR7" s="119" t="s">
        <v>206</v>
      </c>
      <c r="BS7" s="7" t="b">
        <f t="shared" si="27"/>
        <v>1</v>
      </c>
      <c r="BT7" s="7"/>
      <c r="BU7" s="7"/>
      <c r="BV7" s="7"/>
      <c r="BW7" s="7"/>
    </row>
    <row r="8">
      <c r="A8" s="86" t="s">
        <v>214</v>
      </c>
      <c r="B8" s="87">
        <v>44670.0</v>
      </c>
      <c r="C8" s="88">
        <v>0.46875</v>
      </c>
      <c r="D8" s="89"/>
      <c r="E8" s="89"/>
      <c r="F8" s="89"/>
      <c r="G8" s="86"/>
      <c r="H8" s="90"/>
      <c r="I8" s="3"/>
      <c r="J8" s="3"/>
      <c r="K8" s="89" t="s">
        <v>215</v>
      </c>
      <c r="L8" s="36">
        <v>44670.0</v>
      </c>
      <c r="M8" s="91">
        <v>0.5004282407407408</v>
      </c>
      <c r="N8" s="3"/>
      <c r="O8" s="92"/>
      <c r="P8" s="93" t="b">
        <f>IFNA(IF(VLOOKUP($A8,'Add from APT'!$AA$2:$AC264,3,FALSE)&gt;0,TRUE,FALSE),"ER - NOT IN APT")</f>
        <v>0</v>
      </c>
      <c r="Q8" s="94" t="str">
        <f>IF(ISLOGICAL(P8),IF(P8,"ER - REPS IN APT", IFNA(VLOOKUP($A8,RAW_APT!$A$3:$M264,7,FALSE),"ER - NOT IN APT")),P8)</f>
        <v>Result</v>
      </c>
      <c r="R8" s="95" t="b">
        <f t="shared" si="2"/>
        <v>0</v>
      </c>
      <c r="S8" s="96">
        <f t="shared" si="3"/>
        <v>3</v>
      </c>
      <c r="T8" s="97"/>
      <c r="U8" s="3"/>
      <c r="V8" s="3"/>
      <c r="W8" s="98"/>
      <c r="X8" s="99" t="b">
        <f t="shared" si="4"/>
        <v>0</v>
      </c>
      <c r="Y8" s="100"/>
      <c r="Z8" s="101" t="str">
        <f t="shared" si="5"/>
        <v/>
      </c>
      <c r="AA8" s="102" t="b">
        <f t="shared" si="6"/>
        <v>0</v>
      </c>
      <c r="AB8" s="98"/>
      <c r="AC8" s="103">
        <v>216.0</v>
      </c>
      <c r="AD8" s="104"/>
      <c r="AE8" s="105">
        <f t="shared" si="7"/>
        <v>45.61666667</v>
      </c>
      <c r="AF8" s="106" t="b">
        <f t="shared" si="8"/>
        <v>0</v>
      </c>
      <c r="AG8" s="93" t="b">
        <f t="shared" si="9"/>
        <v>1</v>
      </c>
      <c r="AH8" s="103">
        <v>2.0</v>
      </c>
      <c r="AI8" s="103"/>
      <c r="AJ8" s="97"/>
      <c r="AK8" s="101" t="str">
        <f t="shared" si="10"/>
        <v>DELETED</v>
      </c>
      <c r="AL8" s="98"/>
      <c r="AM8" s="94" t="s">
        <v>206</v>
      </c>
      <c r="AN8" s="94" t="s">
        <v>206</v>
      </c>
      <c r="AO8" s="102" t="str">
        <f>IFERROR(__xludf.DUMMYFUNCTION("IF($AG8, ""DELETED"",TRIM(JOIN("" "",D8:E8)))"),"DELETED")</f>
        <v>DELETED</v>
      </c>
      <c r="AP8" s="94" t="str">
        <f t="shared" ref="AP8:AQ8" si="32">IF($AG8, "DELETED", TRIM(CONCATENATE(F8,I8,U8)))</f>
        <v>DELETED</v>
      </c>
      <c r="AQ8" s="94" t="str">
        <f t="shared" si="32"/>
        <v>DELETED</v>
      </c>
      <c r="AR8" s="94" t="str">
        <f>IFERROR(__xludf.DUMMYFUNCTION("IF($AG8, ""DELETED"", TRIM(JOIN("" "",AP8,AQ8)))"),"DELETED")</f>
        <v>DELETED</v>
      </c>
      <c r="AS8" s="9"/>
      <c r="AT8" s="93" t="b">
        <f t="shared" si="12"/>
        <v>1</v>
      </c>
      <c r="AU8" s="93" t="str">
        <f t="shared" si="13"/>
        <v/>
      </c>
      <c r="AV8" s="93" t="str">
        <f t="shared" si="14"/>
        <v/>
      </c>
      <c r="AW8" s="93" t="str">
        <f t="shared" si="15"/>
        <v/>
      </c>
      <c r="AX8" s="107" t="str">
        <f t="shared" si="16"/>
        <v/>
      </c>
      <c r="AY8" s="98"/>
      <c r="AZ8" s="108"/>
      <c r="BA8" s="109" t="str">
        <f t="shared" si="17"/>
        <v/>
      </c>
      <c r="BB8" s="98"/>
      <c r="BC8" s="98"/>
      <c r="BD8" s="108"/>
      <c r="BE8" s="134"/>
      <c r="BF8" s="111" t="str">
        <f t="shared" si="18"/>
        <v/>
      </c>
      <c r="BG8" s="112" t="str">
        <f t="shared" si="19"/>
        <v/>
      </c>
      <c r="BH8" s="113" t="str">
        <f t="shared" si="20"/>
        <v/>
      </c>
      <c r="BI8" s="134" t="s">
        <v>217</v>
      </c>
      <c r="BJ8" s="114" t="str">
        <f t="shared" si="21"/>
        <v>AG1637</v>
      </c>
      <c r="BK8" s="115" t="b">
        <f t="shared" si="22"/>
        <v>0</v>
      </c>
      <c r="BL8" s="114" t="str">
        <f t="shared" si="23"/>
        <v/>
      </c>
      <c r="BM8" s="108"/>
      <c r="BN8" s="123" t="b">
        <f t="shared" si="24"/>
        <v>0</v>
      </c>
      <c r="BO8" s="123" t="b">
        <f t="shared" si="25"/>
        <v>0</v>
      </c>
      <c r="BP8" s="123" t="b">
        <f t="shared" si="26"/>
        <v>0</v>
      </c>
      <c r="BQ8" s="118"/>
      <c r="BR8" s="119" t="s">
        <v>206</v>
      </c>
      <c r="BS8" s="7" t="b">
        <f t="shared" si="27"/>
        <v>1</v>
      </c>
      <c r="BT8" s="7"/>
      <c r="BU8" s="7"/>
      <c r="BV8" s="7"/>
      <c r="BW8" s="7"/>
    </row>
    <row r="9">
      <c r="A9" s="86" t="s">
        <v>214</v>
      </c>
      <c r="B9" s="87">
        <v>44670.0</v>
      </c>
      <c r="C9" s="88">
        <v>0.46875</v>
      </c>
      <c r="D9" s="89"/>
      <c r="E9" s="89"/>
      <c r="F9" s="3"/>
      <c r="G9" s="120"/>
      <c r="H9" s="121"/>
      <c r="I9" s="89"/>
      <c r="J9" s="89"/>
      <c r="K9" s="89" t="s">
        <v>215</v>
      </c>
      <c r="L9" s="36">
        <v>44670.0</v>
      </c>
      <c r="M9" s="91">
        <v>0.5004282407407408</v>
      </c>
      <c r="N9" s="3"/>
      <c r="O9" s="92"/>
      <c r="P9" s="93" t="b">
        <f>IFNA(IF(VLOOKUP($A9,'Add from APT'!$AA$2:$AC264,3,FALSE)&gt;0,TRUE,FALSE),"ER - NOT IN APT")</f>
        <v>0</v>
      </c>
      <c r="Q9" s="94" t="str">
        <f>IF(ISLOGICAL(P9),IF(P9,"ER - REPS IN APT", IFNA(VLOOKUP($A9,RAW_APT!$A$3:$M264,7,FALSE),"ER - NOT IN APT")),P9)</f>
        <v>Result</v>
      </c>
      <c r="R9" s="95" t="b">
        <f t="shared" si="2"/>
        <v>0</v>
      </c>
      <c r="S9" s="96">
        <f t="shared" si="3"/>
        <v>3</v>
      </c>
      <c r="T9" s="97"/>
      <c r="U9" s="3"/>
      <c r="V9" s="3"/>
      <c r="W9" s="98"/>
      <c r="X9" s="99" t="b">
        <f t="shared" si="4"/>
        <v>0</v>
      </c>
      <c r="Y9" s="100"/>
      <c r="Z9" s="101" t="str">
        <f t="shared" si="5"/>
        <v/>
      </c>
      <c r="AA9" s="102" t="b">
        <f t="shared" si="6"/>
        <v>0</v>
      </c>
      <c r="AB9" s="98"/>
      <c r="AC9" s="103">
        <v>214.0</v>
      </c>
      <c r="AD9" s="104"/>
      <c r="AE9" s="105">
        <f t="shared" si="7"/>
        <v>45.61666667</v>
      </c>
      <c r="AF9" s="106" t="b">
        <f t="shared" si="8"/>
        <v>0</v>
      </c>
      <c r="AG9" s="93" t="b">
        <f t="shared" si="9"/>
        <v>1</v>
      </c>
      <c r="AH9" s="103">
        <v>2.0</v>
      </c>
      <c r="AI9" s="103"/>
      <c r="AJ9" s="97"/>
      <c r="AK9" s="101" t="str">
        <f t="shared" si="10"/>
        <v>DELETED</v>
      </c>
      <c r="AL9" s="98"/>
      <c r="AM9" s="94" t="s">
        <v>206</v>
      </c>
      <c r="AN9" s="94" t="s">
        <v>206</v>
      </c>
      <c r="AO9" s="102" t="str">
        <f>IFERROR(__xludf.DUMMYFUNCTION("IF($AG9, ""DELETED"",TRIM(JOIN("" "",D9:E9)))"),"DELETED")</f>
        <v>DELETED</v>
      </c>
      <c r="AP9" s="94" t="str">
        <f t="shared" ref="AP9:AQ9" si="33">IF($AG9, "DELETED", TRIM(CONCATENATE(F9,I9,U9)))</f>
        <v>DELETED</v>
      </c>
      <c r="AQ9" s="94" t="str">
        <f t="shared" si="33"/>
        <v>DELETED</v>
      </c>
      <c r="AR9" s="94" t="str">
        <f>IFERROR(__xludf.DUMMYFUNCTION("IF($AG9, ""DELETED"", TRIM(JOIN("" "",AP9,AQ9)))"),"DELETED")</f>
        <v>DELETED</v>
      </c>
      <c r="AS9" s="9"/>
      <c r="AT9" s="93" t="b">
        <f t="shared" si="12"/>
        <v>1</v>
      </c>
      <c r="AU9" s="93" t="str">
        <f t="shared" si="13"/>
        <v/>
      </c>
      <c r="AV9" s="93" t="str">
        <f t="shared" si="14"/>
        <v/>
      </c>
      <c r="AW9" s="93" t="str">
        <f t="shared" si="15"/>
        <v/>
      </c>
      <c r="AX9" s="107" t="str">
        <f t="shared" si="16"/>
        <v/>
      </c>
      <c r="AY9" s="98"/>
      <c r="AZ9" s="108"/>
      <c r="BA9" s="109" t="str">
        <f t="shared" si="17"/>
        <v/>
      </c>
      <c r="BB9" s="98"/>
      <c r="BC9" s="98"/>
      <c r="BD9" s="108"/>
      <c r="BE9" s="134"/>
      <c r="BF9" s="111" t="str">
        <f t="shared" si="18"/>
        <v/>
      </c>
      <c r="BG9" s="112" t="str">
        <f t="shared" si="19"/>
        <v/>
      </c>
      <c r="BH9" s="113" t="str">
        <f t="shared" si="20"/>
        <v/>
      </c>
      <c r="BI9" s="134" t="s">
        <v>218</v>
      </c>
      <c r="BJ9" s="114" t="str">
        <f t="shared" si="21"/>
        <v>AG1640</v>
      </c>
      <c r="BK9" s="115" t="b">
        <f t="shared" si="22"/>
        <v>0</v>
      </c>
      <c r="BL9" s="114" t="str">
        <f t="shared" si="23"/>
        <v/>
      </c>
      <c r="BM9" s="108"/>
      <c r="BN9" s="7" t="b">
        <f t="shared" si="24"/>
        <v>0</v>
      </c>
      <c r="BO9" s="7" t="b">
        <f t="shared" si="25"/>
        <v>0</v>
      </c>
      <c r="BP9" s="7" t="b">
        <f t="shared" si="26"/>
        <v>0</v>
      </c>
      <c r="BQ9" s="118"/>
      <c r="BR9" s="119" t="s">
        <v>206</v>
      </c>
      <c r="BS9" s="7" t="b">
        <f t="shared" si="27"/>
        <v>1</v>
      </c>
      <c r="BT9" s="7"/>
      <c r="BU9" s="7"/>
      <c r="BV9" s="7"/>
      <c r="BW9" s="7"/>
    </row>
    <row r="10">
      <c r="A10" s="86" t="s">
        <v>219</v>
      </c>
      <c r="B10" s="87">
        <v>44670.0</v>
      </c>
      <c r="C10" s="88">
        <v>0.4692824074074074</v>
      </c>
      <c r="D10" s="89"/>
      <c r="E10" s="89"/>
      <c r="F10" s="89"/>
      <c r="G10" s="86"/>
      <c r="H10" s="90"/>
      <c r="I10" s="3"/>
      <c r="J10" s="3"/>
      <c r="K10" s="89" t="s">
        <v>205</v>
      </c>
      <c r="L10" s="36"/>
      <c r="M10" s="91"/>
      <c r="N10" s="3"/>
      <c r="O10" s="92"/>
      <c r="P10" s="93" t="b">
        <f>IFNA(IF(VLOOKUP($A10,'Add from APT'!$AA$2:$AC264,3,FALSE)&gt;0,TRUE,FALSE),"ER - NOT IN APT")</f>
        <v>0</v>
      </c>
      <c r="Q10" s="94" t="str">
        <f>IF(ISLOGICAL(P10),IF(P10,"ER - REPS IN APT", IFNA(VLOOKUP($A10,RAW_APT!$A$3:$M264,7,FALSE),"ER - NOT IN APT")),P10)</f>
        <v>Collected</v>
      </c>
      <c r="R10" s="95" t="b">
        <f t="shared" si="2"/>
        <v>1</v>
      </c>
      <c r="S10" s="96">
        <f t="shared" si="3"/>
        <v>3</v>
      </c>
      <c r="T10" s="97"/>
      <c r="U10" s="3"/>
      <c r="V10" s="3"/>
      <c r="W10" s="9"/>
      <c r="X10" s="99" t="b">
        <f t="shared" si="4"/>
        <v>0</v>
      </c>
      <c r="Y10" s="100"/>
      <c r="Z10" s="101" t="str">
        <f t="shared" si="5"/>
        <v/>
      </c>
      <c r="AA10" s="102" t="b">
        <f t="shared" si="6"/>
        <v>0</v>
      </c>
      <c r="AB10" s="98"/>
      <c r="AC10" s="103">
        <v>218.0</v>
      </c>
      <c r="AD10" s="104"/>
      <c r="AE10" s="105" t="str">
        <f t="shared" si="7"/>
        <v/>
      </c>
      <c r="AF10" s="106" t="b">
        <f t="shared" si="8"/>
        <v>0</v>
      </c>
      <c r="AG10" s="93" t="b">
        <f t="shared" si="9"/>
        <v>1</v>
      </c>
      <c r="AH10" s="103">
        <v>2.0</v>
      </c>
      <c r="AI10" s="103"/>
      <c r="AJ10" s="97"/>
      <c r="AK10" s="101" t="str">
        <f t="shared" si="10"/>
        <v>DELETED</v>
      </c>
      <c r="AL10" s="98"/>
      <c r="AM10" s="94" t="s">
        <v>206</v>
      </c>
      <c r="AN10" s="94" t="s">
        <v>206</v>
      </c>
      <c r="AO10" s="102" t="str">
        <f>IFERROR(__xludf.DUMMYFUNCTION("IF($AG10, ""DELETED"",TRIM(JOIN("" "",D10:E10)))"),"DELETED")</f>
        <v>DELETED</v>
      </c>
      <c r="AP10" s="94" t="str">
        <f t="shared" ref="AP10:AQ10" si="34">IF($AG10, "DELETED", TRIM(CONCATENATE(F10,I10,U10)))</f>
        <v>DELETED</v>
      </c>
      <c r="AQ10" s="94" t="str">
        <f t="shared" si="34"/>
        <v>DELETED</v>
      </c>
      <c r="AR10" s="94" t="str">
        <f>IFERROR(__xludf.DUMMYFUNCTION("IF($AG10, ""DELETED"", TRIM(JOIN("" "",AP10,AQ10)))"),"DELETED")</f>
        <v>DELETED</v>
      </c>
      <c r="AS10" s="9"/>
      <c r="AT10" s="93" t="b">
        <f t="shared" si="12"/>
        <v>1</v>
      </c>
      <c r="AU10" s="93" t="str">
        <f t="shared" si="13"/>
        <v/>
      </c>
      <c r="AV10" s="93" t="str">
        <f t="shared" si="14"/>
        <v/>
      </c>
      <c r="AW10" s="93" t="str">
        <f t="shared" si="15"/>
        <v/>
      </c>
      <c r="AX10" s="107" t="str">
        <f t="shared" si="16"/>
        <v/>
      </c>
      <c r="AY10" s="98"/>
      <c r="AZ10" s="108"/>
      <c r="BA10" s="109" t="str">
        <f t="shared" si="17"/>
        <v/>
      </c>
      <c r="BB10" s="98"/>
      <c r="BC10" s="98"/>
      <c r="BD10" s="108"/>
      <c r="BE10" s="134"/>
      <c r="BF10" s="111" t="str">
        <f t="shared" si="18"/>
        <v/>
      </c>
      <c r="BG10" s="112" t="str">
        <f t="shared" si="19"/>
        <v/>
      </c>
      <c r="BH10" s="113" t="str">
        <f t="shared" si="20"/>
        <v/>
      </c>
      <c r="BI10" s="134" t="s">
        <v>220</v>
      </c>
      <c r="BJ10" s="114" t="str">
        <f t="shared" si="21"/>
        <v>AG1713</v>
      </c>
      <c r="BK10" s="115" t="b">
        <f t="shared" si="22"/>
        <v>0</v>
      </c>
      <c r="BL10" s="114" t="str">
        <f t="shared" si="23"/>
        <v/>
      </c>
      <c r="BM10" s="108"/>
      <c r="BN10" s="135" t="b">
        <f t="shared" si="24"/>
        <v>0</v>
      </c>
      <c r="BO10" s="135" t="b">
        <f t="shared" si="25"/>
        <v>0</v>
      </c>
      <c r="BP10" s="135" t="b">
        <f t="shared" si="26"/>
        <v>0</v>
      </c>
      <c r="BQ10" s="136"/>
      <c r="BR10" s="137" t="s">
        <v>206</v>
      </c>
      <c r="BS10" s="7" t="b">
        <f t="shared" si="27"/>
        <v>1</v>
      </c>
      <c r="BT10" s="135"/>
      <c r="BU10" s="135"/>
      <c r="BV10" s="135"/>
      <c r="BW10" s="135"/>
    </row>
    <row r="11">
      <c r="A11" s="86" t="s">
        <v>219</v>
      </c>
      <c r="B11" s="87">
        <v>44670.0</v>
      </c>
      <c r="C11" s="88">
        <v>0.4692824074074074</v>
      </c>
      <c r="D11" s="89"/>
      <c r="E11" s="89"/>
      <c r="F11" s="3"/>
      <c r="G11" s="120"/>
      <c r="H11" s="121"/>
      <c r="I11" s="3"/>
      <c r="J11" s="3"/>
      <c r="K11" s="89" t="s">
        <v>205</v>
      </c>
      <c r="L11" s="36"/>
      <c r="M11" s="91"/>
      <c r="N11" s="3"/>
      <c r="O11" s="92"/>
      <c r="P11" s="93" t="b">
        <f>IFNA(IF(VLOOKUP($A11,'Add from APT'!$AA$2:$AC264,3,FALSE)&gt;0,TRUE,FALSE),"ER - NOT IN APT")</f>
        <v>0</v>
      </c>
      <c r="Q11" s="94" t="str">
        <f>IF(ISLOGICAL(P11),IF(P11,"ER - REPS IN APT", IFNA(VLOOKUP($A11,RAW_APT!$A$3:$M264,7,FALSE),"ER - NOT IN APT")),P11)</f>
        <v>Collected</v>
      </c>
      <c r="R11" s="95" t="b">
        <f t="shared" si="2"/>
        <v>0</v>
      </c>
      <c r="S11" s="96">
        <f t="shared" si="3"/>
        <v>3</v>
      </c>
      <c r="T11" s="97"/>
      <c r="U11" s="3"/>
      <c r="V11" s="3"/>
      <c r="W11" s="98"/>
      <c r="X11" s="99" t="b">
        <f t="shared" si="4"/>
        <v>0</v>
      </c>
      <c r="Y11" s="100"/>
      <c r="Z11" s="101" t="str">
        <f t="shared" si="5"/>
        <v/>
      </c>
      <c r="AA11" s="102" t="b">
        <f t="shared" si="6"/>
        <v>0</v>
      </c>
      <c r="AB11" s="98"/>
      <c r="AC11" s="103">
        <v>217.0</v>
      </c>
      <c r="AD11" s="104"/>
      <c r="AE11" s="105" t="str">
        <f t="shared" si="7"/>
        <v/>
      </c>
      <c r="AF11" s="106" t="b">
        <f t="shared" si="8"/>
        <v>0</v>
      </c>
      <c r="AG11" s="93" t="b">
        <f t="shared" si="9"/>
        <v>1</v>
      </c>
      <c r="AH11" s="103">
        <v>2.0</v>
      </c>
      <c r="AI11" s="103"/>
      <c r="AJ11" s="97"/>
      <c r="AK11" s="101" t="str">
        <f t="shared" si="10"/>
        <v>DELETED</v>
      </c>
      <c r="AL11" s="98"/>
      <c r="AM11" s="94" t="s">
        <v>206</v>
      </c>
      <c r="AN11" s="94" t="s">
        <v>206</v>
      </c>
      <c r="AO11" s="102" t="str">
        <f>IFERROR(__xludf.DUMMYFUNCTION("IF($AG11, ""DELETED"",TRIM(JOIN("" "",D11:E11)))"),"DELETED")</f>
        <v>DELETED</v>
      </c>
      <c r="AP11" s="94" t="str">
        <f t="shared" ref="AP11:AQ11" si="35">IF($AG11, "DELETED", TRIM(CONCATENATE(F11,I11,U11)))</f>
        <v>DELETED</v>
      </c>
      <c r="AQ11" s="94" t="str">
        <f t="shared" si="35"/>
        <v>DELETED</v>
      </c>
      <c r="AR11" s="94" t="str">
        <f>IFERROR(__xludf.DUMMYFUNCTION("IF($AG11, ""DELETED"", TRIM(JOIN("" "",AP11,AQ11)))"),"DELETED")</f>
        <v>DELETED</v>
      </c>
      <c r="AS11" s="9"/>
      <c r="AT11" s="93" t="b">
        <f t="shared" si="12"/>
        <v>1</v>
      </c>
      <c r="AU11" s="93" t="str">
        <f t="shared" si="13"/>
        <v/>
      </c>
      <c r="AV11" s="93" t="str">
        <f t="shared" si="14"/>
        <v/>
      </c>
      <c r="AW11" s="93" t="str">
        <f t="shared" si="15"/>
        <v/>
      </c>
      <c r="AX11" s="107" t="str">
        <f t="shared" si="16"/>
        <v/>
      </c>
      <c r="AY11" s="98"/>
      <c r="AZ11" s="108"/>
      <c r="BA11" s="109" t="str">
        <f t="shared" si="17"/>
        <v/>
      </c>
      <c r="BB11" s="98"/>
      <c r="BC11" s="98"/>
      <c r="BD11" s="108"/>
      <c r="BE11" s="134"/>
      <c r="BF11" s="111" t="str">
        <f t="shared" si="18"/>
        <v/>
      </c>
      <c r="BG11" s="112" t="str">
        <f t="shared" si="19"/>
        <v/>
      </c>
      <c r="BH11" s="113" t="str">
        <f t="shared" si="20"/>
        <v/>
      </c>
      <c r="BI11" s="134" t="s">
        <v>221</v>
      </c>
      <c r="BJ11" s="114" t="str">
        <f t="shared" si="21"/>
        <v>AG1821</v>
      </c>
      <c r="BK11" s="115" t="b">
        <f t="shared" si="22"/>
        <v>0</v>
      </c>
      <c r="BL11" s="114" t="str">
        <f t="shared" si="23"/>
        <v/>
      </c>
      <c r="BM11" s="108"/>
      <c r="BN11" s="135" t="b">
        <f t="shared" si="24"/>
        <v>0</v>
      </c>
      <c r="BO11" s="135" t="b">
        <f t="shared" si="25"/>
        <v>0</v>
      </c>
      <c r="BP11" s="135" t="b">
        <f t="shared" si="26"/>
        <v>0</v>
      </c>
      <c r="BQ11" s="136"/>
      <c r="BR11" s="137" t="s">
        <v>206</v>
      </c>
      <c r="BS11" s="7" t="b">
        <f t="shared" si="27"/>
        <v>1</v>
      </c>
      <c r="BT11" s="135"/>
      <c r="BU11" s="135"/>
      <c r="BV11" s="135"/>
      <c r="BW11" s="135"/>
    </row>
    <row r="12">
      <c r="A12" s="86" t="s">
        <v>219</v>
      </c>
      <c r="B12" s="87">
        <v>44670.0</v>
      </c>
      <c r="C12" s="88">
        <v>0.4692824074074074</v>
      </c>
      <c r="D12" s="89"/>
      <c r="E12" s="89"/>
      <c r="F12" s="3"/>
      <c r="G12" s="120"/>
      <c r="H12" s="3"/>
      <c r="I12" s="3"/>
      <c r="J12" s="3"/>
      <c r="K12" s="89" t="s">
        <v>205</v>
      </c>
      <c r="L12" s="36"/>
      <c r="M12" s="91"/>
      <c r="N12" s="3"/>
      <c r="O12" s="92"/>
      <c r="P12" s="93" t="b">
        <f>IFNA(IF(VLOOKUP($A12,'Add from APT'!$AA$2:$AC264,3,FALSE)&gt;0,TRUE,FALSE),"ER - NOT IN APT")</f>
        <v>0</v>
      </c>
      <c r="Q12" s="94" t="str">
        <f>IF(ISLOGICAL(P12),IF(P12,"ER - REPS IN APT", IFNA(VLOOKUP($A12,RAW_APT!$A$3:$M264,7,FALSE),"ER - NOT IN APT")),P12)</f>
        <v>Collected</v>
      </c>
      <c r="R12" s="95" t="b">
        <f t="shared" si="2"/>
        <v>0</v>
      </c>
      <c r="S12" s="96">
        <f t="shared" si="3"/>
        <v>3</v>
      </c>
      <c r="T12" s="97"/>
      <c r="U12" s="3"/>
      <c r="V12" s="3"/>
      <c r="W12" s="9"/>
      <c r="X12" s="99" t="b">
        <f t="shared" si="4"/>
        <v>0</v>
      </c>
      <c r="Y12" s="100"/>
      <c r="Z12" s="101" t="str">
        <f t="shared" si="5"/>
        <v/>
      </c>
      <c r="AA12" s="102" t="b">
        <f t="shared" si="6"/>
        <v>0</v>
      </c>
      <c r="AB12" s="98"/>
      <c r="AC12" s="103">
        <v>219.0</v>
      </c>
      <c r="AD12" s="104"/>
      <c r="AE12" s="105" t="str">
        <f t="shared" si="7"/>
        <v/>
      </c>
      <c r="AF12" s="106" t="b">
        <f t="shared" si="8"/>
        <v>0</v>
      </c>
      <c r="AG12" s="93" t="b">
        <f t="shared" si="9"/>
        <v>1</v>
      </c>
      <c r="AH12" s="103">
        <v>2.0</v>
      </c>
      <c r="AI12" s="103"/>
      <c r="AJ12" s="103"/>
      <c r="AK12" s="101" t="str">
        <f t="shared" si="10"/>
        <v>DELETED</v>
      </c>
      <c r="AL12" s="98"/>
      <c r="AM12" s="94" t="s">
        <v>206</v>
      </c>
      <c r="AN12" s="94" t="s">
        <v>206</v>
      </c>
      <c r="AO12" s="102" t="str">
        <f>IFERROR(__xludf.DUMMYFUNCTION("IF($AG12, ""DELETED"",TRIM(JOIN("" "",D12:E12)))"),"DELETED")</f>
        <v>DELETED</v>
      </c>
      <c r="AP12" s="94" t="str">
        <f t="shared" ref="AP12:AQ12" si="36">IF($AG12, "DELETED", TRIM(CONCATENATE(F12,I12,U12)))</f>
        <v>DELETED</v>
      </c>
      <c r="AQ12" s="94" t="str">
        <f t="shared" si="36"/>
        <v>DELETED</v>
      </c>
      <c r="AR12" s="94" t="str">
        <f>IFERROR(__xludf.DUMMYFUNCTION("IF($AG12, ""DELETED"", TRIM(JOIN("" "",AP12,AQ12)))"),"DELETED")</f>
        <v>DELETED</v>
      </c>
      <c r="AS12" s="9"/>
      <c r="AT12" s="93" t="b">
        <f t="shared" si="12"/>
        <v>1</v>
      </c>
      <c r="AU12" s="93" t="str">
        <f t="shared" si="13"/>
        <v/>
      </c>
      <c r="AV12" s="93" t="str">
        <f t="shared" si="14"/>
        <v/>
      </c>
      <c r="AW12" s="93" t="str">
        <f t="shared" si="15"/>
        <v/>
      </c>
      <c r="AX12" s="107" t="str">
        <f t="shared" si="16"/>
        <v/>
      </c>
      <c r="AY12" s="104"/>
      <c r="AZ12" s="138"/>
      <c r="BA12" s="109" t="str">
        <f t="shared" si="17"/>
        <v/>
      </c>
      <c r="BB12" s="104"/>
      <c r="BC12" s="104"/>
      <c r="BD12" s="108"/>
      <c r="BE12" s="134"/>
      <c r="BF12" s="111" t="str">
        <f t="shared" si="18"/>
        <v/>
      </c>
      <c r="BG12" s="112" t="str">
        <f t="shared" si="19"/>
        <v/>
      </c>
      <c r="BH12" s="113" t="str">
        <f t="shared" si="20"/>
        <v/>
      </c>
      <c r="BI12" s="134" t="s">
        <v>222</v>
      </c>
      <c r="BJ12" s="114" t="str">
        <f t="shared" si="21"/>
        <v>AG1828</v>
      </c>
      <c r="BK12" s="115" t="b">
        <f t="shared" si="22"/>
        <v>0</v>
      </c>
      <c r="BL12" s="114" t="str">
        <f t="shared" si="23"/>
        <v/>
      </c>
      <c r="BM12" s="108"/>
      <c r="BN12" s="135" t="b">
        <f t="shared" si="24"/>
        <v>0</v>
      </c>
      <c r="BO12" s="135" t="b">
        <f t="shared" si="25"/>
        <v>0</v>
      </c>
      <c r="BP12" s="135" t="b">
        <f t="shared" si="26"/>
        <v>0</v>
      </c>
      <c r="BQ12" s="136"/>
      <c r="BR12" s="137" t="s">
        <v>206</v>
      </c>
      <c r="BS12" s="7" t="b">
        <f t="shared" si="27"/>
        <v>1</v>
      </c>
      <c r="BT12" s="135"/>
      <c r="BU12" s="135"/>
      <c r="BV12" s="135"/>
      <c r="BW12" s="135"/>
    </row>
    <row r="13">
      <c r="A13" s="86" t="s">
        <v>223</v>
      </c>
      <c r="B13" s="87">
        <v>44670.0</v>
      </c>
      <c r="C13" s="88">
        <v>0.4699305555555556</v>
      </c>
      <c r="D13" s="89"/>
      <c r="E13" s="89"/>
      <c r="F13" s="89"/>
      <c r="G13" s="86"/>
      <c r="H13" s="89"/>
      <c r="I13" s="3"/>
      <c r="J13" s="3"/>
      <c r="K13" s="89" t="s">
        <v>205</v>
      </c>
      <c r="L13" s="36"/>
      <c r="M13" s="91"/>
      <c r="N13" s="3"/>
      <c r="O13" s="92"/>
      <c r="P13" s="93" t="b">
        <f>IFNA(IF(VLOOKUP($A13,'Add from APT'!$AA$2:$AC264,3,FALSE)&gt;0,TRUE,FALSE),"ER - NOT IN APT")</f>
        <v>0</v>
      </c>
      <c r="Q13" s="94" t="str">
        <f>IF(ISLOGICAL(P13),IF(P13,"ER - REPS IN APT", IFNA(VLOOKUP($A13,RAW_APT!$A$3:$M264,7,FALSE),"ER - NOT IN APT")),P13)</f>
        <v>Collected</v>
      </c>
      <c r="R13" s="95" t="b">
        <f t="shared" si="2"/>
        <v>1</v>
      </c>
      <c r="S13" s="96">
        <f t="shared" si="3"/>
        <v>3</v>
      </c>
      <c r="T13" s="130"/>
      <c r="U13" s="3"/>
      <c r="V13" s="3"/>
      <c r="W13" s="9"/>
      <c r="X13" s="99" t="b">
        <f t="shared" si="4"/>
        <v>0</v>
      </c>
      <c r="Y13" s="7"/>
      <c r="Z13" s="101" t="str">
        <f t="shared" si="5"/>
        <v/>
      </c>
      <c r="AA13" s="102" t="b">
        <f t="shared" si="6"/>
        <v>0</v>
      </c>
      <c r="AB13" s="131"/>
      <c r="AC13" s="130">
        <v>222.0</v>
      </c>
      <c r="AD13" s="132"/>
      <c r="AE13" s="105" t="str">
        <f t="shared" si="7"/>
        <v/>
      </c>
      <c r="AF13" s="106" t="b">
        <f t="shared" si="8"/>
        <v>0</v>
      </c>
      <c r="AG13" s="93" t="b">
        <f t="shared" si="9"/>
        <v>1</v>
      </c>
      <c r="AH13" s="130">
        <v>2.0</v>
      </c>
      <c r="AI13" s="13"/>
      <c r="AJ13" s="7"/>
      <c r="AK13" s="101" t="str">
        <f t="shared" si="10"/>
        <v>DELETED</v>
      </c>
      <c r="AL13" s="98"/>
      <c r="AM13" s="94" t="s">
        <v>206</v>
      </c>
      <c r="AN13" s="94" t="s">
        <v>206</v>
      </c>
      <c r="AO13" s="102" t="str">
        <f>IFERROR(__xludf.DUMMYFUNCTION("IF($AG13, ""DELETED"",TRIM(JOIN("" "",D13:E13)))"),"DELETED")</f>
        <v>DELETED</v>
      </c>
      <c r="AP13" s="94" t="str">
        <f t="shared" ref="AP13:AQ13" si="37">IF($AG13, "DELETED", TRIM(CONCATENATE(F13,I13,U13)))</f>
        <v>DELETED</v>
      </c>
      <c r="AQ13" s="94" t="str">
        <f t="shared" si="37"/>
        <v>DELETED</v>
      </c>
      <c r="AR13" s="94" t="str">
        <f>IFERROR(__xludf.DUMMYFUNCTION("IF($AG13, ""DELETED"", TRIM(JOIN("" "",AP13,AQ13)))"),"DELETED")</f>
        <v>DELETED</v>
      </c>
      <c r="AS13" s="9"/>
      <c r="AT13" s="93" t="b">
        <f t="shared" si="12"/>
        <v>1</v>
      </c>
      <c r="AU13" s="93" t="str">
        <f t="shared" si="13"/>
        <v/>
      </c>
      <c r="AV13" s="93" t="str">
        <f t="shared" si="14"/>
        <v/>
      </c>
      <c r="AW13" s="93" t="str">
        <f t="shared" si="15"/>
        <v/>
      </c>
      <c r="AX13" s="107" t="str">
        <f t="shared" si="16"/>
        <v/>
      </c>
      <c r="AY13" s="3"/>
      <c r="AZ13" s="129"/>
      <c r="BA13" s="109" t="str">
        <f t="shared" si="17"/>
        <v/>
      </c>
      <c r="BB13" s="3"/>
      <c r="BC13" s="3"/>
      <c r="BD13" s="108"/>
      <c r="BE13" s="134"/>
      <c r="BF13" s="111" t="str">
        <f t="shared" si="18"/>
        <v/>
      </c>
      <c r="BG13" s="112" t="str">
        <f t="shared" si="19"/>
        <v/>
      </c>
      <c r="BH13" s="113" t="str">
        <f t="shared" si="20"/>
        <v/>
      </c>
      <c r="BI13" s="134" t="s">
        <v>224</v>
      </c>
      <c r="BJ13" s="114" t="str">
        <f t="shared" si="21"/>
        <v>AG1844</v>
      </c>
      <c r="BK13" s="115" t="b">
        <f t="shared" si="22"/>
        <v>0</v>
      </c>
      <c r="BL13" s="114" t="str">
        <f t="shared" si="23"/>
        <v/>
      </c>
      <c r="BM13" s="108"/>
      <c r="BN13" s="139" t="b">
        <f t="shared" si="24"/>
        <v>0</v>
      </c>
      <c r="BO13" s="139" t="b">
        <f t="shared" si="25"/>
        <v>0</v>
      </c>
      <c r="BP13" s="139" t="b">
        <f t="shared" si="26"/>
        <v>0</v>
      </c>
      <c r="BQ13" s="140"/>
      <c r="BR13" s="141" t="s">
        <v>206</v>
      </c>
      <c r="BS13" s="7" t="b">
        <f t="shared" si="27"/>
        <v>1</v>
      </c>
      <c r="BT13" s="139"/>
      <c r="BU13" s="139"/>
      <c r="BV13" s="139"/>
      <c r="BW13" s="139"/>
    </row>
    <row r="14">
      <c r="A14" s="86" t="s">
        <v>223</v>
      </c>
      <c r="B14" s="87">
        <v>44670.0</v>
      </c>
      <c r="C14" s="88">
        <v>0.4699305555555556</v>
      </c>
      <c r="D14" s="89"/>
      <c r="E14" s="89"/>
      <c r="F14" s="3"/>
      <c r="G14" s="120"/>
      <c r="H14" s="121"/>
      <c r="I14" s="3"/>
      <c r="J14" s="3"/>
      <c r="K14" s="89" t="s">
        <v>205</v>
      </c>
      <c r="L14" s="36"/>
      <c r="M14" s="91"/>
      <c r="N14" s="3"/>
      <c r="O14" s="92"/>
      <c r="P14" s="93" t="b">
        <f>IFNA(IF(VLOOKUP($A14,'Add from APT'!$AA$2:$AC264,3,FALSE)&gt;0,TRUE,FALSE),"ER - NOT IN APT")</f>
        <v>0</v>
      </c>
      <c r="Q14" s="94" t="str">
        <f>IF(ISLOGICAL(P14),IF(P14,"ER - REPS IN APT", IFNA(VLOOKUP($A14,RAW_APT!$A$3:$M264,7,FALSE),"ER - NOT IN APT")),P14)</f>
        <v>Collected</v>
      </c>
      <c r="R14" s="95" t="b">
        <f t="shared" si="2"/>
        <v>0</v>
      </c>
      <c r="S14" s="96">
        <f t="shared" si="3"/>
        <v>3</v>
      </c>
      <c r="T14" s="97"/>
      <c r="U14" s="3"/>
      <c r="V14" s="3"/>
      <c r="W14" s="9"/>
      <c r="X14" s="99" t="b">
        <f t="shared" si="4"/>
        <v>0</v>
      </c>
      <c r="Y14" s="100"/>
      <c r="Z14" s="101" t="str">
        <f t="shared" si="5"/>
        <v/>
      </c>
      <c r="AA14" s="102" t="b">
        <f t="shared" si="6"/>
        <v>0</v>
      </c>
      <c r="AB14" s="98"/>
      <c r="AC14" s="103">
        <v>220.0</v>
      </c>
      <c r="AD14" s="104"/>
      <c r="AE14" s="105" t="str">
        <f t="shared" si="7"/>
        <v/>
      </c>
      <c r="AF14" s="106" t="b">
        <f t="shared" si="8"/>
        <v>0</v>
      </c>
      <c r="AG14" s="93" t="b">
        <f t="shared" si="9"/>
        <v>1</v>
      </c>
      <c r="AH14" s="103">
        <v>2.0</v>
      </c>
      <c r="AI14" s="103"/>
      <c r="AJ14" s="103"/>
      <c r="AK14" s="101" t="str">
        <f t="shared" si="10"/>
        <v>DELETED</v>
      </c>
      <c r="AL14" s="98"/>
      <c r="AM14" s="94" t="s">
        <v>206</v>
      </c>
      <c r="AN14" s="94" t="s">
        <v>206</v>
      </c>
      <c r="AO14" s="102" t="str">
        <f>IFERROR(__xludf.DUMMYFUNCTION("IF($AG14, ""DELETED"",TRIM(JOIN("" "",D14:E14)))"),"DELETED")</f>
        <v>DELETED</v>
      </c>
      <c r="AP14" s="94" t="str">
        <f t="shared" ref="AP14:AQ14" si="38">IF($AG14, "DELETED", TRIM(CONCATENATE(F14,I14,U14)))</f>
        <v>DELETED</v>
      </c>
      <c r="AQ14" s="94" t="str">
        <f t="shared" si="38"/>
        <v>DELETED</v>
      </c>
      <c r="AR14" s="94" t="str">
        <f>IFERROR(__xludf.DUMMYFUNCTION("IF($AG14, ""DELETED"", TRIM(JOIN("" "",AP14,AQ14)))"),"DELETED")</f>
        <v>DELETED</v>
      </c>
      <c r="AS14" s="9"/>
      <c r="AT14" s="93" t="b">
        <f t="shared" si="12"/>
        <v>1</v>
      </c>
      <c r="AU14" s="93" t="str">
        <f t="shared" si="13"/>
        <v/>
      </c>
      <c r="AV14" s="93" t="str">
        <f t="shared" si="14"/>
        <v/>
      </c>
      <c r="AW14" s="93" t="str">
        <f t="shared" si="15"/>
        <v/>
      </c>
      <c r="AX14" s="107" t="str">
        <f t="shared" si="16"/>
        <v/>
      </c>
      <c r="AY14" s="104"/>
      <c r="AZ14" s="138"/>
      <c r="BA14" s="109" t="str">
        <f t="shared" si="17"/>
        <v/>
      </c>
      <c r="BB14" s="104"/>
      <c r="BC14" s="104"/>
      <c r="BD14" s="108"/>
      <c r="BE14" s="134"/>
      <c r="BF14" s="111" t="str">
        <f t="shared" si="18"/>
        <v/>
      </c>
      <c r="BG14" s="112" t="str">
        <f t="shared" si="19"/>
        <v/>
      </c>
      <c r="BH14" s="113" t="str">
        <f t="shared" si="20"/>
        <v/>
      </c>
      <c r="BI14" s="134" t="s">
        <v>225</v>
      </c>
      <c r="BJ14" s="114" t="str">
        <f t="shared" si="21"/>
        <v>AG1858</v>
      </c>
      <c r="BK14" s="115" t="b">
        <f t="shared" si="22"/>
        <v>0</v>
      </c>
      <c r="BL14" s="114" t="str">
        <f t="shared" si="23"/>
        <v/>
      </c>
      <c r="BM14" s="108"/>
      <c r="BN14" s="135" t="b">
        <f t="shared" si="24"/>
        <v>0</v>
      </c>
      <c r="BO14" s="135" t="b">
        <f t="shared" si="25"/>
        <v>0</v>
      </c>
      <c r="BP14" s="135" t="b">
        <f t="shared" si="26"/>
        <v>0</v>
      </c>
      <c r="BQ14" s="136"/>
      <c r="BR14" s="137" t="s">
        <v>206</v>
      </c>
      <c r="BS14" s="7" t="b">
        <f t="shared" si="27"/>
        <v>1</v>
      </c>
      <c r="BT14" s="135"/>
      <c r="BU14" s="135"/>
      <c r="BV14" s="135"/>
      <c r="BW14" s="135"/>
    </row>
    <row r="15">
      <c r="A15" s="86" t="s">
        <v>223</v>
      </c>
      <c r="B15" s="87">
        <v>44670.0</v>
      </c>
      <c r="C15" s="88">
        <v>0.4699305555555556</v>
      </c>
      <c r="D15" s="89"/>
      <c r="E15" s="89"/>
      <c r="F15" s="3"/>
      <c r="G15" s="120"/>
      <c r="H15" s="121"/>
      <c r="I15" s="3"/>
      <c r="J15" s="3"/>
      <c r="K15" s="89" t="s">
        <v>205</v>
      </c>
      <c r="L15" s="36"/>
      <c r="M15" s="91"/>
      <c r="N15" s="3"/>
      <c r="O15" s="92"/>
      <c r="P15" s="93" t="b">
        <f>IFNA(IF(VLOOKUP($A15,'Add from APT'!$AA$2:$AC264,3,FALSE)&gt;0,TRUE,FALSE),"ER - NOT IN APT")</f>
        <v>0</v>
      </c>
      <c r="Q15" s="94" t="str">
        <f>IF(ISLOGICAL(P15),IF(P15,"ER - REPS IN APT", IFNA(VLOOKUP($A15,RAW_APT!$A$3:$M264,7,FALSE),"ER - NOT IN APT")),P15)</f>
        <v>Collected</v>
      </c>
      <c r="R15" s="95" t="b">
        <f t="shared" si="2"/>
        <v>0</v>
      </c>
      <c r="S15" s="96">
        <f t="shared" si="3"/>
        <v>3</v>
      </c>
      <c r="T15" s="130"/>
      <c r="U15" s="3"/>
      <c r="V15" s="3"/>
      <c r="W15" s="9"/>
      <c r="X15" s="99" t="b">
        <f t="shared" si="4"/>
        <v>0</v>
      </c>
      <c r="Y15" s="7"/>
      <c r="Z15" s="101" t="str">
        <f t="shared" si="5"/>
        <v/>
      </c>
      <c r="AA15" s="102" t="b">
        <f t="shared" si="6"/>
        <v>0</v>
      </c>
      <c r="AB15" s="131"/>
      <c r="AC15" s="130">
        <v>221.0</v>
      </c>
      <c r="AD15" s="132"/>
      <c r="AE15" s="105" t="str">
        <f t="shared" si="7"/>
        <v/>
      </c>
      <c r="AF15" s="106" t="b">
        <f t="shared" si="8"/>
        <v>0</v>
      </c>
      <c r="AG15" s="93" t="b">
        <f t="shared" si="9"/>
        <v>1</v>
      </c>
      <c r="AH15" s="130">
        <v>2.0</v>
      </c>
      <c r="AI15" s="13"/>
      <c r="AJ15" s="7"/>
      <c r="AK15" s="101" t="str">
        <f t="shared" si="10"/>
        <v>DELETED</v>
      </c>
      <c r="AL15" s="98"/>
      <c r="AM15" s="94" t="s">
        <v>206</v>
      </c>
      <c r="AN15" s="94" t="s">
        <v>206</v>
      </c>
      <c r="AO15" s="102" t="str">
        <f>IFERROR(__xludf.DUMMYFUNCTION("IF($AG15, ""DELETED"",TRIM(JOIN("" "",D15:E15)))"),"DELETED")</f>
        <v>DELETED</v>
      </c>
      <c r="AP15" s="94" t="str">
        <f t="shared" ref="AP15:AQ15" si="39">IF($AG15, "DELETED", TRIM(CONCATENATE(F15,I15,U15)))</f>
        <v>DELETED</v>
      </c>
      <c r="AQ15" s="94" t="str">
        <f t="shared" si="39"/>
        <v>DELETED</v>
      </c>
      <c r="AR15" s="94" t="str">
        <f>IFERROR(__xludf.DUMMYFUNCTION("IF($AG15, ""DELETED"", TRIM(JOIN("" "",AP15,AQ15)))"),"DELETED")</f>
        <v>DELETED</v>
      </c>
      <c r="AS15" s="9"/>
      <c r="AT15" s="93" t="b">
        <f t="shared" si="12"/>
        <v>1</v>
      </c>
      <c r="AU15" s="93" t="str">
        <f t="shared" si="13"/>
        <v/>
      </c>
      <c r="AV15" s="93" t="str">
        <f t="shared" si="14"/>
        <v/>
      </c>
      <c r="AW15" s="93" t="str">
        <f t="shared" si="15"/>
        <v/>
      </c>
      <c r="AX15" s="107" t="str">
        <f t="shared" si="16"/>
        <v/>
      </c>
      <c r="AY15" s="3"/>
      <c r="AZ15" s="129"/>
      <c r="BA15" s="109" t="str">
        <f t="shared" si="17"/>
        <v/>
      </c>
      <c r="BB15" s="3"/>
      <c r="BC15" s="3"/>
      <c r="BD15" s="108"/>
      <c r="BE15" s="134"/>
      <c r="BF15" s="111" t="str">
        <f t="shared" si="18"/>
        <v/>
      </c>
      <c r="BG15" s="112" t="str">
        <f t="shared" si="19"/>
        <v/>
      </c>
      <c r="BH15" s="113" t="str">
        <f t="shared" si="20"/>
        <v/>
      </c>
      <c r="BI15" s="134" t="s">
        <v>226</v>
      </c>
      <c r="BJ15" s="114" t="str">
        <f t="shared" si="21"/>
        <v>AG1866</v>
      </c>
      <c r="BK15" s="115" t="b">
        <f t="shared" si="22"/>
        <v>0</v>
      </c>
      <c r="BL15" s="114" t="str">
        <f t="shared" si="23"/>
        <v/>
      </c>
      <c r="BM15" s="108"/>
      <c r="BN15" s="135" t="b">
        <f t="shared" si="24"/>
        <v>0</v>
      </c>
      <c r="BO15" s="135" t="b">
        <f t="shared" si="25"/>
        <v>0</v>
      </c>
      <c r="BP15" s="135" t="b">
        <f t="shared" si="26"/>
        <v>0</v>
      </c>
      <c r="BQ15" s="136"/>
      <c r="BR15" s="137" t="s">
        <v>206</v>
      </c>
      <c r="BS15" s="7" t="b">
        <f t="shared" si="27"/>
        <v>1</v>
      </c>
      <c r="BT15" s="135"/>
      <c r="BU15" s="135"/>
      <c r="BV15" s="135"/>
      <c r="BW15" s="135"/>
    </row>
    <row r="16">
      <c r="A16" s="86" t="s">
        <v>227</v>
      </c>
      <c r="B16" s="87">
        <v>44670.0</v>
      </c>
      <c r="C16" s="88">
        <v>0.48736111111111113</v>
      </c>
      <c r="D16" s="89"/>
      <c r="E16" s="89"/>
      <c r="F16" s="89"/>
      <c r="G16" s="86"/>
      <c r="H16" s="90"/>
      <c r="I16" s="3"/>
      <c r="J16" s="3"/>
      <c r="K16" s="89" t="s">
        <v>228</v>
      </c>
      <c r="L16" s="36">
        <v>44670.0</v>
      </c>
      <c r="M16" s="91">
        <v>0.5004282407407408</v>
      </c>
      <c r="N16" s="3"/>
      <c r="O16" s="92"/>
      <c r="P16" s="93" t="b">
        <f>IFNA(IF(VLOOKUP($A16,'Add from APT'!$AA$2:$AC264,3,FALSE)&gt;0,TRUE,FALSE),"ER - NOT IN APT")</f>
        <v>0</v>
      </c>
      <c r="Q16" s="94" t="str">
        <f>IF(ISLOGICAL(P16),IF(P16,"ER - REPS IN APT", IFNA(VLOOKUP($A16,RAW_APT!$A$3:$M264,7,FALSE),"ER - NOT IN APT")),P16)</f>
        <v>Result</v>
      </c>
      <c r="R16" s="95" t="b">
        <f t="shared" si="2"/>
        <v>1</v>
      </c>
      <c r="S16" s="96">
        <f t="shared" si="3"/>
        <v>4</v>
      </c>
      <c r="T16" s="97"/>
      <c r="U16" s="3"/>
      <c r="V16" s="3"/>
      <c r="W16" s="98"/>
      <c r="X16" s="99" t="b">
        <f t="shared" si="4"/>
        <v>0</v>
      </c>
      <c r="Y16" s="100"/>
      <c r="Z16" s="101" t="str">
        <f t="shared" si="5"/>
        <v/>
      </c>
      <c r="AA16" s="102" t="b">
        <f t="shared" si="6"/>
        <v>0</v>
      </c>
      <c r="AB16" s="98"/>
      <c r="AC16" s="103">
        <v>225.0</v>
      </c>
      <c r="AD16" s="104"/>
      <c r="AE16" s="105">
        <f t="shared" si="7"/>
        <v>18.81666667</v>
      </c>
      <c r="AF16" s="106" t="b">
        <f t="shared" si="8"/>
        <v>0</v>
      </c>
      <c r="AG16" s="93" t="b">
        <f t="shared" si="9"/>
        <v>1</v>
      </c>
      <c r="AH16" s="103">
        <v>2.0</v>
      </c>
      <c r="AI16" s="103"/>
      <c r="AJ16" s="97"/>
      <c r="AK16" s="101" t="str">
        <f t="shared" si="10"/>
        <v>DELETED</v>
      </c>
      <c r="AL16" s="98"/>
      <c r="AM16" s="94" t="s">
        <v>206</v>
      </c>
      <c r="AN16" s="94" t="s">
        <v>206</v>
      </c>
      <c r="AO16" s="102" t="str">
        <f>IFERROR(__xludf.DUMMYFUNCTION("IF($AG16, ""DELETED"",TRIM(JOIN("" "",D16:E16)))"),"DELETED")</f>
        <v>DELETED</v>
      </c>
      <c r="AP16" s="94" t="str">
        <f t="shared" ref="AP16:AQ16" si="40">IF($AG16, "DELETED", TRIM(CONCATENATE(F16,I16,U16)))</f>
        <v>DELETED</v>
      </c>
      <c r="AQ16" s="94" t="str">
        <f t="shared" si="40"/>
        <v>DELETED</v>
      </c>
      <c r="AR16" s="94" t="str">
        <f>IFERROR(__xludf.DUMMYFUNCTION("IF($AG16, ""DELETED"", TRIM(JOIN("" "",AP16,AQ16)))"),"DELETED")</f>
        <v>DELETED</v>
      </c>
      <c r="AS16" s="9"/>
      <c r="AT16" s="93" t="b">
        <f t="shared" si="12"/>
        <v>1</v>
      </c>
      <c r="AU16" s="93" t="str">
        <f t="shared" si="13"/>
        <v/>
      </c>
      <c r="AV16" s="93" t="str">
        <f t="shared" si="14"/>
        <v/>
      </c>
      <c r="AW16" s="93" t="str">
        <f t="shared" si="15"/>
        <v/>
      </c>
      <c r="AX16" s="107" t="str">
        <f t="shared" si="16"/>
        <v/>
      </c>
      <c r="AY16" s="98"/>
      <c r="AZ16" s="108"/>
      <c r="BA16" s="109" t="str">
        <f t="shared" si="17"/>
        <v/>
      </c>
      <c r="BB16" s="98"/>
      <c r="BC16" s="98"/>
      <c r="BD16" s="108"/>
      <c r="BE16" s="134"/>
      <c r="BF16" s="111" t="str">
        <f t="shared" si="18"/>
        <v/>
      </c>
      <c r="BG16" s="112" t="str">
        <f t="shared" si="19"/>
        <v/>
      </c>
      <c r="BH16" s="113" t="str">
        <f t="shared" si="20"/>
        <v/>
      </c>
      <c r="BI16" s="134" t="s">
        <v>229</v>
      </c>
      <c r="BJ16" s="114" t="str">
        <f t="shared" si="21"/>
        <v>AG213</v>
      </c>
      <c r="BK16" s="115" t="b">
        <f t="shared" si="22"/>
        <v>0</v>
      </c>
      <c r="BL16" s="114" t="str">
        <f t="shared" si="23"/>
        <v/>
      </c>
      <c r="BM16" s="108"/>
      <c r="BN16" s="7" t="b">
        <f t="shared" si="24"/>
        <v>0</v>
      </c>
      <c r="BO16" s="7" t="b">
        <f t="shared" si="25"/>
        <v>0</v>
      </c>
      <c r="BP16" s="7" t="b">
        <f t="shared" si="26"/>
        <v>0</v>
      </c>
      <c r="BQ16" s="118"/>
      <c r="BR16" s="119" t="s">
        <v>206</v>
      </c>
      <c r="BS16" s="7" t="b">
        <f t="shared" si="27"/>
        <v>1</v>
      </c>
      <c r="BT16" s="7"/>
      <c r="BU16" s="7"/>
      <c r="BV16" s="7"/>
      <c r="BW16" s="7"/>
    </row>
    <row r="17">
      <c r="A17" s="86" t="s">
        <v>227</v>
      </c>
      <c r="B17" s="87">
        <v>44670.0</v>
      </c>
      <c r="C17" s="88">
        <v>0.48736111111111113</v>
      </c>
      <c r="D17" s="89"/>
      <c r="E17" s="89"/>
      <c r="F17" s="89"/>
      <c r="G17" s="86"/>
      <c r="H17" s="90"/>
      <c r="I17" s="3"/>
      <c r="J17" s="3"/>
      <c r="K17" s="89" t="s">
        <v>228</v>
      </c>
      <c r="L17" s="36">
        <v>44670.0</v>
      </c>
      <c r="M17" s="91">
        <v>0.5004282407407408</v>
      </c>
      <c r="N17" s="3"/>
      <c r="O17" s="92"/>
      <c r="P17" s="93" t="b">
        <f>IFNA(IF(VLOOKUP($A17,'Add from APT'!$AA$2:$AC264,3,FALSE)&gt;0,TRUE,FALSE),"ER - NOT IN APT")</f>
        <v>0</v>
      </c>
      <c r="Q17" s="94" t="str">
        <f>IF(ISLOGICAL(P17),IF(P17,"ER - REPS IN APT", IFNA(VLOOKUP($A17,RAW_APT!$A$3:$M264,7,FALSE),"ER - NOT IN APT")),P17)</f>
        <v>Result</v>
      </c>
      <c r="R17" s="95" t="b">
        <f t="shared" si="2"/>
        <v>0</v>
      </c>
      <c r="S17" s="96">
        <f t="shared" si="3"/>
        <v>4</v>
      </c>
      <c r="T17" s="130"/>
      <c r="U17" s="3"/>
      <c r="V17" s="3"/>
      <c r="W17" s="9"/>
      <c r="X17" s="99" t="b">
        <f t="shared" si="4"/>
        <v>0</v>
      </c>
      <c r="Y17" s="7"/>
      <c r="Z17" s="101" t="str">
        <f t="shared" si="5"/>
        <v/>
      </c>
      <c r="AA17" s="102" t="b">
        <f t="shared" si="6"/>
        <v>0</v>
      </c>
      <c r="AB17" s="131"/>
      <c r="AC17" s="130">
        <v>224.0</v>
      </c>
      <c r="AD17" s="132"/>
      <c r="AE17" s="105">
        <f t="shared" si="7"/>
        <v>18.81666667</v>
      </c>
      <c r="AF17" s="106" t="b">
        <f t="shared" si="8"/>
        <v>0</v>
      </c>
      <c r="AG17" s="93" t="b">
        <f t="shared" si="9"/>
        <v>1</v>
      </c>
      <c r="AH17" s="130">
        <v>2.0</v>
      </c>
      <c r="AI17" s="13"/>
      <c r="AJ17" s="7"/>
      <c r="AK17" s="101" t="str">
        <f t="shared" si="10"/>
        <v>DELETED</v>
      </c>
      <c r="AL17" s="98"/>
      <c r="AM17" s="94" t="s">
        <v>206</v>
      </c>
      <c r="AN17" s="94" t="s">
        <v>206</v>
      </c>
      <c r="AO17" s="102" t="str">
        <f>IFERROR(__xludf.DUMMYFUNCTION("IF($AG17, ""DELETED"",TRIM(JOIN("" "",D17:E17)))"),"DELETED")</f>
        <v>DELETED</v>
      </c>
      <c r="AP17" s="94" t="str">
        <f t="shared" ref="AP17:AQ17" si="41">IF($AG17, "DELETED", TRIM(CONCATENATE(F17,I17,U17)))</f>
        <v>DELETED</v>
      </c>
      <c r="AQ17" s="94" t="str">
        <f t="shared" si="41"/>
        <v>DELETED</v>
      </c>
      <c r="AR17" s="94" t="str">
        <f>IFERROR(__xludf.DUMMYFUNCTION("IF($AG17, ""DELETED"", TRIM(JOIN("" "",AP17,AQ17)))"),"DELETED")</f>
        <v>DELETED</v>
      </c>
      <c r="AS17" s="9"/>
      <c r="AT17" s="93" t="b">
        <f t="shared" si="12"/>
        <v>1</v>
      </c>
      <c r="AU17" s="93" t="str">
        <f t="shared" si="13"/>
        <v/>
      </c>
      <c r="AV17" s="93" t="str">
        <f t="shared" si="14"/>
        <v/>
      </c>
      <c r="AW17" s="93" t="str">
        <f t="shared" si="15"/>
        <v/>
      </c>
      <c r="AX17" s="107" t="str">
        <f t="shared" si="16"/>
        <v/>
      </c>
      <c r="AY17" s="3"/>
      <c r="AZ17" s="129"/>
      <c r="BA17" s="109" t="str">
        <f t="shared" si="17"/>
        <v/>
      </c>
      <c r="BB17" s="3"/>
      <c r="BC17" s="3"/>
      <c r="BD17" s="108"/>
      <c r="BE17" s="134"/>
      <c r="BF17" s="111" t="str">
        <f t="shared" si="18"/>
        <v/>
      </c>
      <c r="BG17" s="112" t="str">
        <f t="shared" si="19"/>
        <v/>
      </c>
      <c r="BH17" s="113" t="str">
        <f t="shared" si="20"/>
        <v/>
      </c>
      <c r="BI17" s="134" t="s">
        <v>230</v>
      </c>
      <c r="BJ17" s="114" t="str">
        <f t="shared" si="21"/>
        <v>AG2159</v>
      </c>
      <c r="BK17" s="115" t="str">
        <f>IFERROR(AND(EXACT(#REF!,BJ17),NOT(EXACT(BJ17,BJ16))),"")</f>
        <v/>
      </c>
      <c r="BL17" s="114" t="str">
        <f t="shared" si="23"/>
        <v/>
      </c>
      <c r="BM17" s="108"/>
      <c r="BN17" s="7" t="b">
        <f t="shared" si="24"/>
        <v>0</v>
      </c>
      <c r="BO17" s="7" t="b">
        <f t="shared" si="25"/>
        <v>0</v>
      </c>
      <c r="BP17" s="7" t="b">
        <f t="shared" si="26"/>
        <v>0</v>
      </c>
      <c r="BQ17" s="118"/>
      <c r="BR17" s="119" t="s">
        <v>206</v>
      </c>
      <c r="BS17" s="7" t="b">
        <f t="shared" si="27"/>
        <v>1</v>
      </c>
      <c r="BT17" s="7"/>
      <c r="BU17" s="7"/>
      <c r="BV17" s="7"/>
      <c r="BW17" s="7"/>
    </row>
    <row r="18">
      <c r="A18" s="86" t="s">
        <v>227</v>
      </c>
      <c r="B18" s="87">
        <v>44670.0</v>
      </c>
      <c r="C18" s="88">
        <v>0.48736111111111113</v>
      </c>
      <c r="D18" s="89"/>
      <c r="E18" s="89"/>
      <c r="F18" s="3"/>
      <c r="G18" s="120"/>
      <c r="H18" s="3"/>
      <c r="I18" s="89"/>
      <c r="J18" s="89"/>
      <c r="K18" s="89" t="s">
        <v>228</v>
      </c>
      <c r="L18" s="36">
        <v>44670.0</v>
      </c>
      <c r="M18" s="91">
        <v>0.5004282407407408</v>
      </c>
      <c r="N18" s="3"/>
      <c r="O18" s="92"/>
      <c r="P18" s="93" t="b">
        <f>IFNA(IF(VLOOKUP($A18,'Add from APT'!$AA$2:$AC264,3,FALSE)&gt;0,TRUE,FALSE),"ER - NOT IN APT")</f>
        <v>0</v>
      </c>
      <c r="Q18" s="94" t="str">
        <f>IF(ISLOGICAL(P18),IF(P18,"ER - REPS IN APT", IFNA(VLOOKUP($A18,RAW_APT!$A$3:$M264,7,FALSE),"ER - NOT IN APT")),P18)</f>
        <v>Result</v>
      </c>
      <c r="R18" s="95" t="b">
        <f t="shared" si="2"/>
        <v>0</v>
      </c>
      <c r="S18" s="96">
        <f t="shared" si="3"/>
        <v>4</v>
      </c>
      <c r="T18" s="130"/>
      <c r="U18" s="3"/>
      <c r="V18" s="3"/>
      <c r="W18" s="9"/>
      <c r="X18" s="99" t="b">
        <f t="shared" si="4"/>
        <v>0</v>
      </c>
      <c r="Y18" s="7"/>
      <c r="Z18" s="101" t="str">
        <f t="shared" si="5"/>
        <v/>
      </c>
      <c r="AA18" s="102" t="b">
        <f t="shared" si="6"/>
        <v>0</v>
      </c>
      <c r="AB18" s="131"/>
      <c r="AC18" s="130">
        <v>223.0</v>
      </c>
      <c r="AD18" s="132"/>
      <c r="AE18" s="105">
        <f t="shared" si="7"/>
        <v>18.81666667</v>
      </c>
      <c r="AF18" s="106" t="b">
        <f t="shared" si="8"/>
        <v>0</v>
      </c>
      <c r="AG18" s="93" t="b">
        <f t="shared" si="9"/>
        <v>1</v>
      </c>
      <c r="AH18" s="130">
        <v>2.0</v>
      </c>
      <c r="AI18" s="13"/>
      <c r="AJ18" s="7"/>
      <c r="AK18" s="101" t="str">
        <f t="shared" si="10"/>
        <v>DELETED</v>
      </c>
      <c r="AL18" s="98"/>
      <c r="AM18" s="94" t="s">
        <v>206</v>
      </c>
      <c r="AN18" s="94" t="s">
        <v>206</v>
      </c>
      <c r="AO18" s="102" t="str">
        <f>IFERROR(__xludf.DUMMYFUNCTION("IF($AG18, ""DELETED"",TRIM(JOIN("" "",D18:E18)))"),"DELETED")</f>
        <v>DELETED</v>
      </c>
      <c r="AP18" s="94" t="str">
        <f t="shared" ref="AP18:AQ18" si="42">IF($AG18, "DELETED", TRIM(CONCATENATE(F18,I18,U18)))</f>
        <v>DELETED</v>
      </c>
      <c r="AQ18" s="94" t="str">
        <f t="shared" si="42"/>
        <v>DELETED</v>
      </c>
      <c r="AR18" s="94" t="str">
        <f>IFERROR(__xludf.DUMMYFUNCTION("IF($AG18, ""DELETED"", TRIM(JOIN("" "",AP18,AQ18)))"),"DELETED")</f>
        <v>DELETED</v>
      </c>
      <c r="AS18" s="9"/>
      <c r="AT18" s="93" t="b">
        <f t="shared" si="12"/>
        <v>1</v>
      </c>
      <c r="AU18" s="93" t="str">
        <f t="shared" si="13"/>
        <v/>
      </c>
      <c r="AV18" s="93" t="str">
        <f t="shared" si="14"/>
        <v/>
      </c>
      <c r="AW18" s="93" t="str">
        <f t="shared" si="15"/>
        <v/>
      </c>
      <c r="AX18" s="107" t="str">
        <f t="shared" si="16"/>
        <v/>
      </c>
      <c r="AY18" s="3"/>
      <c r="AZ18" s="129"/>
      <c r="BA18" s="109" t="str">
        <f t="shared" si="17"/>
        <v/>
      </c>
      <c r="BB18" s="3"/>
      <c r="BC18" s="3"/>
      <c r="BD18" s="108"/>
      <c r="BE18" s="134"/>
      <c r="BF18" s="111" t="str">
        <f t="shared" si="18"/>
        <v/>
      </c>
      <c r="BG18" s="112" t="str">
        <f t="shared" si="19"/>
        <v/>
      </c>
      <c r="BH18" s="113" t="str">
        <f t="shared" si="20"/>
        <v/>
      </c>
      <c r="BI18" s="134" t="s">
        <v>231</v>
      </c>
      <c r="BJ18" s="114" t="str">
        <f t="shared" si="21"/>
        <v>AG2164</v>
      </c>
      <c r="BK18" s="115" t="str">
        <f>IFERROR(AND(EXACT(BJ19,BJ18),NOT(EXACT(BJ18,#REF!))),"")</f>
        <v/>
      </c>
      <c r="BL18" s="114" t="str">
        <f t="shared" si="23"/>
        <v/>
      </c>
      <c r="BM18" s="108"/>
      <c r="BN18" s="7" t="b">
        <f t="shared" si="24"/>
        <v>0</v>
      </c>
      <c r="BO18" s="7" t="b">
        <f t="shared" si="25"/>
        <v>0</v>
      </c>
      <c r="BP18" s="7" t="b">
        <f t="shared" si="26"/>
        <v>0</v>
      </c>
      <c r="BQ18" s="118"/>
      <c r="BR18" s="119" t="s">
        <v>206</v>
      </c>
      <c r="BS18" s="7" t="b">
        <f t="shared" si="27"/>
        <v>1</v>
      </c>
      <c r="BT18" s="7"/>
      <c r="BU18" s="7"/>
      <c r="BV18" s="7"/>
      <c r="BW18" s="7"/>
    </row>
    <row r="19">
      <c r="A19" s="86" t="s">
        <v>227</v>
      </c>
      <c r="B19" s="87">
        <v>44670.0</v>
      </c>
      <c r="C19" s="88">
        <v>0.48736111111111113</v>
      </c>
      <c r="D19" s="89"/>
      <c r="E19" s="89"/>
      <c r="F19" s="3"/>
      <c r="G19" s="120"/>
      <c r="H19" s="121"/>
      <c r="I19" s="89"/>
      <c r="J19" s="89"/>
      <c r="K19" s="89" t="s">
        <v>228</v>
      </c>
      <c r="L19" s="36">
        <v>44670.0</v>
      </c>
      <c r="M19" s="91">
        <v>0.5004282407407408</v>
      </c>
      <c r="N19" s="121"/>
      <c r="O19" s="92"/>
      <c r="P19" s="93" t="b">
        <f>IFNA(IF(VLOOKUP($A19,'Add from APT'!$AA$2:$AC264,3,FALSE)&gt;0,TRUE,FALSE),"ER - NOT IN APT")</f>
        <v>0</v>
      </c>
      <c r="Q19" s="94" t="str">
        <f>IF(ISLOGICAL(P19),IF(P19,"ER - REPS IN APT", IFNA(VLOOKUP($A19,RAW_APT!$A$3:$M264,7,FALSE),"ER - NOT IN APT")),P19)</f>
        <v>Result</v>
      </c>
      <c r="R19" s="95" t="b">
        <f t="shared" si="2"/>
        <v>0</v>
      </c>
      <c r="S19" s="96">
        <f t="shared" si="3"/>
        <v>4</v>
      </c>
      <c r="T19" s="97"/>
      <c r="U19" s="3"/>
      <c r="V19" s="3"/>
      <c r="W19" s="98"/>
      <c r="X19" s="99" t="b">
        <f t="shared" si="4"/>
        <v>0</v>
      </c>
      <c r="Y19" s="100"/>
      <c r="Z19" s="101" t="str">
        <f t="shared" si="5"/>
        <v/>
      </c>
      <c r="AA19" s="102" t="b">
        <f t="shared" si="6"/>
        <v>0</v>
      </c>
      <c r="AB19" s="98"/>
      <c r="AC19" s="103">
        <v>226.0</v>
      </c>
      <c r="AD19" s="104"/>
      <c r="AE19" s="105">
        <f t="shared" si="7"/>
        <v>18.81666667</v>
      </c>
      <c r="AF19" s="106" t="b">
        <f t="shared" si="8"/>
        <v>0</v>
      </c>
      <c r="AG19" s="93" t="b">
        <f t="shared" si="9"/>
        <v>1</v>
      </c>
      <c r="AH19" s="103">
        <v>2.0</v>
      </c>
      <c r="AI19" s="103"/>
      <c r="AJ19" s="97"/>
      <c r="AK19" s="101" t="str">
        <f t="shared" si="10"/>
        <v>DELETED</v>
      </c>
      <c r="AL19" s="98"/>
      <c r="AM19" s="94" t="s">
        <v>206</v>
      </c>
      <c r="AN19" s="94" t="s">
        <v>206</v>
      </c>
      <c r="AO19" s="102" t="str">
        <f>IFERROR(__xludf.DUMMYFUNCTION("IF($AG19, ""DELETED"",TRIM(JOIN("" "",D19:E19)))"),"DELETED")</f>
        <v>DELETED</v>
      </c>
      <c r="AP19" s="94" t="str">
        <f t="shared" ref="AP19:AQ19" si="43">IF($AG19, "DELETED", TRIM(CONCATENATE(F19,I19,U19)))</f>
        <v>DELETED</v>
      </c>
      <c r="AQ19" s="94" t="str">
        <f t="shared" si="43"/>
        <v>DELETED</v>
      </c>
      <c r="AR19" s="94" t="str">
        <f>IFERROR(__xludf.DUMMYFUNCTION("IF($AG19, ""DELETED"", TRIM(JOIN("" "",AP19,AQ19)))"),"DELETED")</f>
        <v>DELETED</v>
      </c>
      <c r="AS19" s="9"/>
      <c r="AT19" s="93" t="b">
        <f t="shared" si="12"/>
        <v>1</v>
      </c>
      <c r="AU19" s="93" t="str">
        <f t="shared" si="13"/>
        <v/>
      </c>
      <c r="AV19" s="93" t="str">
        <f t="shared" si="14"/>
        <v/>
      </c>
      <c r="AW19" s="93" t="str">
        <f t="shared" si="15"/>
        <v/>
      </c>
      <c r="AX19" s="107" t="str">
        <f t="shared" si="16"/>
        <v/>
      </c>
      <c r="AY19" s="98"/>
      <c r="AZ19" s="108"/>
      <c r="BA19" s="109" t="str">
        <f t="shared" si="17"/>
        <v/>
      </c>
      <c r="BB19" s="98"/>
      <c r="BC19" s="98"/>
      <c r="BD19" s="108"/>
      <c r="BE19" s="134"/>
      <c r="BF19" s="111" t="str">
        <f t="shared" si="18"/>
        <v/>
      </c>
      <c r="BG19" s="112" t="str">
        <f t="shared" si="19"/>
        <v/>
      </c>
      <c r="BH19" s="113" t="str">
        <f t="shared" si="20"/>
        <v/>
      </c>
      <c r="BI19" s="134" t="s">
        <v>232</v>
      </c>
      <c r="BJ19" s="114" t="str">
        <f t="shared" si="21"/>
        <v>AG2202</v>
      </c>
      <c r="BK19" s="115" t="b">
        <f t="shared" ref="BK19:BK67" si="45">IFERROR(AND(EXACT(BJ20,BJ19),NOT(EXACT(BJ19,BJ18))),"")</f>
        <v>0</v>
      </c>
      <c r="BL19" s="114" t="str">
        <f t="shared" si="23"/>
        <v/>
      </c>
      <c r="BM19" s="108"/>
      <c r="BN19" s="7" t="b">
        <f t="shared" si="24"/>
        <v>0</v>
      </c>
      <c r="BO19" s="7" t="b">
        <f t="shared" si="25"/>
        <v>0</v>
      </c>
      <c r="BP19" s="7" t="b">
        <f t="shared" si="26"/>
        <v>0</v>
      </c>
      <c r="BQ19" s="118"/>
      <c r="BR19" s="119" t="s">
        <v>206</v>
      </c>
      <c r="BS19" s="7" t="b">
        <f t="shared" si="27"/>
        <v>1</v>
      </c>
      <c r="BT19" s="7"/>
      <c r="BU19" s="7"/>
      <c r="BV19" s="7"/>
      <c r="BW19" s="7"/>
    </row>
    <row r="20">
      <c r="A20" s="86" t="s">
        <v>233</v>
      </c>
      <c r="B20" s="87">
        <v>44676.0</v>
      </c>
      <c r="C20" s="88">
        <v>0.3518865740740741</v>
      </c>
      <c r="D20" s="89"/>
      <c r="E20" s="89"/>
      <c r="F20" s="89"/>
      <c r="G20" s="86"/>
      <c r="H20" s="90"/>
      <c r="I20" s="3"/>
      <c r="J20" s="3"/>
      <c r="K20" s="89" t="s">
        <v>228</v>
      </c>
      <c r="L20" s="36">
        <v>44683.0</v>
      </c>
      <c r="M20" s="91">
        <v>0.3578125</v>
      </c>
      <c r="N20" s="3"/>
      <c r="O20" s="142"/>
      <c r="P20" s="93" t="b">
        <f>IFNA(IF(VLOOKUP($A20,'Add from APT'!$AA$2:$AC264,3,FALSE)&gt;0,TRUE,FALSE),"ER - NOT IN APT")</f>
        <v>0</v>
      </c>
      <c r="Q20" s="94" t="str">
        <f>IF(ISLOGICAL(P20),IF(P20,"ER - REPS IN APT", IFNA(VLOOKUP($A20,RAW_APT!$A$3:$M264,7,FALSE),"ER - NOT IN APT")),P20)</f>
        <v>Result</v>
      </c>
      <c r="R20" s="95" t="b">
        <f t="shared" si="2"/>
        <v>1</v>
      </c>
      <c r="S20" s="96">
        <f t="shared" si="3"/>
        <v>1</v>
      </c>
      <c r="T20" s="97"/>
      <c r="U20" s="3"/>
      <c r="V20" s="3"/>
      <c r="W20" s="98"/>
      <c r="X20" s="99" t="b">
        <f t="shared" si="4"/>
        <v>0</v>
      </c>
      <c r="Y20" s="100"/>
      <c r="Z20" s="101" t="str">
        <f t="shared" si="5"/>
        <v/>
      </c>
      <c r="AA20" s="102" t="b">
        <f t="shared" si="6"/>
        <v>0</v>
      </c>
      <c r="AB20" s="98"/>
      <c r="AC20" s="103">
        <v>212.0</v>
      </c>
      <c r="AD20" s="104"/>
      <c r="AE20" s="105" t="str">
        <f t="shared" si="7"/>
        <v/>
      </c>
      <c r="AF20" s="106" t="b">
        <f t="shared" si="8"/>
        <v>0</v>
      </c>
      <c r="AG20" s="93" t="b">
        <f t="shared" si="9"/>
        <v>1</v>
      </c>
      <c r="AH20" s="103">
        <v>2.0</v>
      </c>
      <c r="AI20" s="103"/>
      <c r="AJ20" s="97"/>
      <c r="AK20" s="101" t="str">
        <f t="shared" si="10"/>
        <v>DELETED</v>
      </c>
      <c r="AL20" s="98"/>
      <c r="AM20" s="94" t="s">
        <v>206</v>
      </c>
      <c r="AN20" s="94" t="s">
        <v>206</v>
      </c>
      <c r="AO20" s="102" t="str">
        <f>IFERROR(__xludf.DUMMYFUNCTION("IF($AG20, ""DELETED"",TRIM(JOIN("" "",D20:E20)))"),"DELETED")</f>
        <v>DELETED</v>
      </c>
      <c r="AP20" s="94" t="str">
        <f t="shared" ref="AP20:AQ20" si="44">IF($AG20, "DELETED", TRIM(CONCATENATE(F20,I20,U20)))</f>
        <v>DELETED</v>
      </c>
      <c r="AQ20" s="94" t="str">
        <f t="shared" si="44"/>
        <v>DELETED</v>
      </c>
      <c r="AR20" s="94" t="str">
        <f>IFERROR(__xludf.DUMMYFUNCTION("IF($AG20, ""DELETED"", TRIM(JOIN("" "",AP20,AQ20)))"),"DELETED")</f>
        <v>DELETED</v>
      </c>
      <c r="AS20" s="9"/>
      <c r="AT20" s="93" t="b">
        <f t="shared" si="12"/>
        <v>1</v>
      </c>
      <c r="AU20" s="93" t="str">
        <f t="shared" si="13"/>
        <v/>
      </c>
      <c r="AV20" s="93" t="str">
        <f t="shared" si="14"/>
        <v/>
      </c>
      <c r="AW20" s="93" t="str">
        <f t="shared" si="15"/>
        <v/>
      </c>
      <c r="AX20" s="107" t="str">
        <f t="shared" si="16"/>
        <v/>
      </c>
      <c r="AY20" s="98"/>
      <c r="AZ20" s="108"/>
      <c r="BA20" s="109" t="str">
        <f t="shared" si="17"/>
        <v/>
      </c>
      <c r="BB20" s="98"/>
      <c r="BC20" s="98"/>
      <c r="BD20" s="108"/>
      <c r="BE20" s="134"/>
      <c r="BF20" s="111" t="str">
        <f t="shared" si="18"/>
        <v/>
      </c>
      <c r="BG20" s="112" t="str">
        <f t="shared" si="19"/>
        <v/>
      </c>
      <c r="BH20" s="113" t="str">
        <f t="shared" si="20"/>
        <v/>
      </c>
      <c r="BI20" s="134" t="s">
        <v>234</v>
      </c>
      <c r="BJ20" s="114" t="str">
        <f t="shared" si="21"/>
        <v>AG2246</v>
      </c>
      <c r="BK20" s="115" t="b">
        <f t="shared" si="45"/>
        <v>0</v>
      </c>
      <c r="BL20" s="114" t="str">
        <f t="shared" si="23"/>
        <v/>
      </c>
      <c r="BM20" s="108"/>
      <c r="BN20" s="7" t="b">
        <f t="shared" si="24"/>
        <v>0</v>
      </c>
      <c r="BO20" s="7" t="b">
        <f t="shared" si="25"/>
        <v>0</v>
      </c>
      <c r="BP20" s="7" t="b">
        <f t="shared" si="26"/>
        <v>0</v>
      </c>
      <c r="BQ20" s="118"/>
      <c r="BR20" s="119" t="s">
        <v>206</v>
      </c>
      <c r="BS20" s="7" t="b">
        <f t="shared" si="27"/>
        <v>1</v>
      </c>
      <c r="BT20" s="7"/>
      <c r="BU20" s="7"/>
      <c r="BV20" s="7"/>
      <c r="BW20" s="7"/>
    </row>
    <row r="21">
      <c r="A21" s="86" t="s">
        <v>235</v>
      </c>
      <c r="B21" s="87">
        <v>44676.0</v>
      </c>
      <c r="C21" s="88">
        <v>0.3570023148148148</v>
      </c>
      <c r="D21" s="89"/>
      <c r="E21" s="89"/>
      <c r="F21" s="89"/>
      <c r="G21" s="86"/>
      <c r="H21" s="90"/>
      <c r="I21" s="3"/>
      <c r="J21" s="3"/>
      <c r="K21" s="89" t="s">
        <v>228</v>
      </c>
      <c r="L21" s="36">
        <v>44676.0</v>
      </c>
      <c r="M21" s="91">
        <v>0.4426273148148148</v>
      </c>
      <c r="N21" s="3"/>
      <c r="O21" s="142"/>
      <c r="P21" s="93" t="b">
        <f>IFNA(IF(VLOOKUP($A21,'Add from APT'!$AA$2:$AC264,3,FALSE)&gt;0,TRUE,FALSE),"ER - NOT IN APT")</f>
        <v>0</v>
      </c>
      <c r="Q21" s="94" t="str">
        <f>IF(ISLOGICAL(P21),IF(P21,"ER - REPS IN APT", IFNA(VLOOKUP($A21,RAW_APT!$A$3:$M264,7,FALSE),"ER - NOT IN APT")),P21)</f>
        <v>Result</v>
      </c>
      <c r="R21" s="95" t="b">
        <f t="shared" si="2"/>
        <v>1</v>
      </c>
      <c r="S21" s="96">
        <f t="shared" si="3"/>
        <v>1</v>
      </c>
      <c r="T21" s="130"/>
      <c r="U21" s="3"/>
      <c r="V21" s="3"/>
      <c r="W21" s="9"/>
      <c r="X21" s="99" t="b">
        <f t="shared" si="4"/>
        <v>0</v>
      </c>
      <c r="Y21" s="7"/>
      <c r="Z21" s="101" t="str">
        <f t="shared" si="5"/>
        <v/>
      </c>
      <c r="AA21" s="102" t="b">
        <f t="shared" si="6"/>
        <v>0</v>
      </c>
      <c r="AB21" s="131"/>
      <c r="AC21" s="130">
        <v>213.0</v>
      </c>
      <c r="AD21" s="132"/>
      <c r="AE21" s="105">
        <f t="shared" si="7"/>
        <v>123.3</v>
      </c>
      <c r="AF21" s="106" t="b">
        <f t="shared" si="8"/>
        <v>0</v>
      </c>
      <c r="AG21" s="93" t="b">
        <f t="shared" si="9"/>
        <v>1</v>
      </c>
      <c r="AH21" s="130">
        <v>2.0</v>
      </c>
      <c r="AI21" s="13"/>
      <c r="AJ21" s="7"/>
      <c r="AK21" s="101" t="str">
        <f t="shared" si="10"/>
        <v>DELETED</v>
      </c>
      <c r="AL21" s="98"/>
      <c r="AM21" s="94" t="s">
        <v>206</v>
      </c>
      <c r="AN21" s="94" t="s">
        <v>206</v>
      </c>
      <c r="AO21" s="102" t="str">
        <f>IFERROR(__xludf.DUMMYFUNCTION("IF($AG21, ""DELETED"",TRIM(JOIN("" "",D21:E21)))"),"DELETED")</f>
        <v>DELETED</v>
      </c>
      <c r="AP21" s="94" t="str">
        <f t="shared" ref="AP21:AQ21" si="46">IF($AG21, "DELETED", TRIM(CONCATENATE(F21,I21,U21)))</f>
        <v>DELETED</v>
      </c>
      <c r="AQ21" s="94" t="str">
        <f t="shared" si="46"/>
        <v>DELETED</v>
      </c>
      <c r="AR21" s="94" t="str">
        <f>IFERROR(__xludf.DUMMYFUNCTION("IF($AG21, ""DELETED"", TRIM(JOIN("" "",AP21,AQ21)))"),"DELETED")</f>
        <v>DELETED</v>
      </c>
      <c r="AS21" s="9"/>
      <c r="AT21" s="93" t="b">
        <f t="shared" si="12"/>
        <v>1</v>
      </c>
      <c r="AU21" s="93" t="str">
        <f t="shared" si="13"/>
        <v/>
      </c>
      <c r="AV21" s="93" t="str">
        <f t="shared" si="14"/>
        <v/>
      </c>
      <c r="AW21" s="93" t="str">
        <f t="shared" si="15"/>
        <v/>
      </c>
      <c r="AX21" s="107" t="str">
        <f t="shared" si="16"/>
        <v/>
      </c>
      <c r="AY21" s="3"/>
      <c r="AZ21" s="129"/>
      <c r="BA21" s="109" t="str">
        <f t="shared" si="17"/>
        <v/>
      </c>
      <c r="BB21" s="3"/>
      <c r="BC21" s="3"/>
      <c r="BD21" s="108"/>
      <c r="BE21" s="143"/>
      <c r="BF21" s="111" t="str">
        <f t="shared" si="18"/>
        <v/>
      </c>
      <c r="BG21" s="112" t="str">
        <f t="shared" si="19"/>
        <v/>
      </c>
      <c r="BH21" s="113" t="str">
        <f t="shared" si="20"/>
        <v/>
      </c>
      <c r="BI21" s="143" t="s">
        <v>236</v>
      </c>
      <c r="BJ21" s="114" t="str">
        <f t="shared" si="21"/>
        <v>AG252</v>
      </c>
      <c r="BK21" s="115" t="b">
        <f t="shared" si="45"/>
        <v>0</v>
      </c>
      <c r="BL21" s="114" t="str">
        <f t="shared" si="23"/>
        <v/>
      </c>
      <c r="BM21" s="108"/>
      <c r="BN21" s="7" t="b">
        <f t="shared" si="24"/>
        <v>0</v>
      </c>
      <c r="BO21" s="7" t="b">
        <f t="shared" si="25"/>
        <v>0</v>
      </c>
      <c r="BP21" s="7" t="b">
        <f t="shared" si="26"/>
        <v>0</v>
      </c>
      <c r="BQ21" s="118"/>
      <c r="BR21" s="119" t="s">
        <v>206</v>
      </c>
      <c r="BS21" s="7" t="b">
        <f t="shared" si="27"/>
        <v>1</v>
      </c>
      <c r="BT21" s="7"/>
      <c r="BU21" s="7"/>
      <c r="BV21" s="7"/>
      <c r="BW21" s="7"/>
    </row>
    <row r="22">
      <c r="A22" s="86" t="s">
        <v>237</v>
      </c>
      <c r="B22" s="87">
        <v>44678.0</v>
      </c>
      <c r="C22" s="88">
        <v>0.6161805555555555</v>
      </c>
      <c r="D22" s="89"/>
      <c r="E22" s="89"/>
      <c r="F22" s="89"/>
      <c r="G22" s="86"/>
      <c r="H22" s="90"/>
      <c r="I22" s="3"/>
      <c r="J22" s="3"/>
      <c r="K22" s="89" t="s">
        <v>228</v>
      </c>
      <c r="L22" s="36">
        <v>44678.0</v>
      </c>
      <c r="M22" s="91">
        <v>0.6284375</v>
      </c>
      <c r="N22" s="121"/>
      <c r="O22" s="92"/>
      <c r="P22" s="93" t="b">
        <f>IFNA(IF(VLOOKUP($A22,'Add from APT'!$AA$2:$AC264,3,FALSE)&gt;0,TRUE,FALSE),"ER - NOT IN APT")</f>
        <v>0</v>
      </c>
      <c r="Q22" s="94" t="str">
        <f>IF(ISLOGICAL(P22),IF(P22,"ER - REPS IN APT", IFNA(VLOOKUP($A22,RAW_APT!$A$3:$M264,7,FALSE),"ER - NOT IN APT")),P22)</f>
        <v>Result</v>
      </c>
      <c r="R22" s="95" t="b">
        <f t="shared" si="2"/>
        <v>1</v>
      </c>
      <c r="S22" s="96">
        <f t="shared" si="3"/>
        <v>1</v>
      </c>
      <c r="T22" s="97"/>
      <c r="U22" s="3"/>
      <c r="V22" s="3"/>
      <c r="W22" s="98"/>
      <c r="X22" s="99" t="b">
        <f t="shared" si="4"/>
        <v>0</v>
      </c>
      <c r="Y22" s="100"/>
      <c r="Z22" s="101" t="str">
        <f t="shared" si="5"/>
        <v/>
      </c>
      <c r="AA22" s="102" t="b">
        <f t="shared" si="6"/>
        <v>0</v>
      </c>
      <c r="AB22" s="98"/>
      <c r="AC22" s="103">
        <v>198.0</v>
      </c>
      <c r="AD22" s="104"/>
      <c r="AE22" s="105">
        <f t="shared" si="7"/>
        <v>17.65</v>
      </c>
      <c r="AF22" s="106" t="b">
        <f t="shared" si="8"/>
        <v>0</v>
      </c>
      <c r="AG22" s="93" t="b">
        <f t="shared" si="9"/>
        <v>1</v>
      </c>
      <c r="AH22" s="103">
        <v>1.0</v>
      </c>
      <c r="AI22" s="103"/>
      <c r="AJ22" s="97"/>
      <c r="AK22" s="101" t="str">
        <f t="shared" si="10"/>
        <v>DELETED</v>
      </c>
      <c r="AL22" s="98"/>
      <c r="AM22" s="94" t="s">
        <v>206</v>
      </c>
      <c r="AN22" s="94" t="s">
        <v>206</v>
      </c>
      <c r="AO22" s="102" t="str">
        <f>IFERROR(__xludf.DUMMYFUNCTION("IF($AG22, ""DELETED"",TRIM(JOIN("" "",D22:E22)))"),"DELETED")</f>
        <v>DELETED</v>
      </c>
      <c r="AP22" s="94" t="str">
        <f t="shared" ref="AP22:AQ22" si="47">IF($AG22, "DELETED", TRIM(CONCATENATE(F22,I22,U22)))</f>
        <v>DELETED</v>
      </c>
      <c r="AQ22" s="94" t="str">
        <f t="shared" si="47"/>
        <v>DELETED</v>
      </c>
      <c r="AR22" s="94" t="str">
        <f>IFERROR(__xludf.DUMMYFUNCTION("IF($AG22, ""DELETED"", TRIM(JOIN("" "",AP22,AQ22)))"),"DELETED")</f>
        <v>DELETED</v>
      </c>
      <c r="AS22" s="9"/>
      <c r="AT22" s="93" t="b">
        <f t="shared" si="12"/>
        <v>1</v>
      </c>
      <c r="AU22" s="93" t="str">
        <f t="shared" si="13"/>
        <v/>
      </c>
      <c r="AV22" s="93" t="str">
        <f t="shared" si="14"/>
        <v/>
      </c>
      <c r="AW22" s="93" t="str">
        <f t="shared" si="15"/>
        <v/>
      </c>
      <c r="AX22" s="107" t="str">
        <f t="shared" si="16"/>
        <v/>
      </c>
      <c r="AY22" s="98"/>
      <c r="AZ22" s="108"/>
      <c r="BA22" s="109" t="str">
        <f t="shared" si="17"/>
        <v/>
      </c>
      <c r="BB22" s="98"/>
      <c r="BC22" s="98"/>
      <c r="BD22" s="108"/>
      <c r="BE22" s="134"/>
      <c r="BF22" s="111" t="str">
        <f t="shared" si="18"/>
        <v/>
      </c>
      <c r="BG22" s="112" t="str">
        <f t="shared" si="19"/>
        <v/>
      </c>
      <c r="BH22" s="113" t="str">
        <f t="shared" si="20"/>
        <v/>
      </c>
      <c r="BI22" s="134" t="s">
        <v>238</v>
      </c>
      <c r="BJ22" s="114" t="str">
        <f t="shared" si="21"/>
        <v>AG256</v>
      </c>
      <c r="BK22" s="115" t="b">
        <f t="shared" si="45"/>
        <v>0</v>
      </c>
      <c r="BL22" s="114" t="str">
        <f t="shared" si="23"/>
        <v/>
      </c>
      <c r="BM22" s="108"/>
      <c r="BN22" s="7" t="b">
        <f t="shared" si="24"/>
        <v>0</v>
      </c>
      <c r="BO22" s="7" t="b">
        <f t="shared" si="25"/>
        <v>0</v>
      </c>
      <c r="BP22" s="7" t="b">
        <f t="shared" si="26"/>
        <v>0</v>
      </c>
      <c r="BQ22" s="118"/>
      <c r="BR22" s="119" t="s">
        <v>206</v>
      </c>
      <c r="BS22" s="7" t="b">
        <f t="shared" si="27"/>
        <v>1</v>
      </c>
      <c r="BT22" s="7"/>
      <c r="BU22" s="7"/>
      <c r="BV22" s="7"/>
      <c r="BW22" s="7"/>
    </row>
    <row r="23">
      <c r="A23" s="86" t="s">
        <v>239</v>
      </c>
      <c r="B23" s="87">
        <v>44678.0</v>
      </c>
      <c r="C23" s="88">
        <v>0.6163425925925926</v>
      </c>
      <c r="D23" s="89"/>
      <c r="E23" s="89"/>
      <c r="F23" s="89"/>
      <c r="G23" s="86"/>
      <c r="H23" s="90"/>
      <c r="I23" s="3"/>
      <c r="J23" s="3"/>
      <c r="K23" s="89" t="s">
        <v>228</v>
      </c>
      <c r="L23" s="36">
        <v>44678.0</v>
      </c>
      <c r="M23" s="91">
        <v>0.6284375</v>
      </c>
      <c r="N23" s="121"/>
      <c r="O23" s="92"/>
      <c r="P23" s="93" t="b">
        <f>IFNA(IF(VLOOKUP($A23,'Add from APT'!$AA$2:$AC264,3,FALSE)&gt;0,TRUE,FALSE),"ER - NOT IN APT")</f>
        <v>0</v>
      </c>
      <c r="Q23" s="94" t="str">
        <f>IF(ISLOGICAL(P23),IF(P23,"ER - REPS IN APT", IFNA(VLOOKUP($A23,RAW_APT!$A$3:$M264,7,FALSE),"ER - NOT IN APT")),P23)</f>
        <v>Result</v>
      </c>
      <c r="R23" s="95" t="b">
        <f t="shared" si="2"/>
        <v>1</v>
      </c>
      <c r="S23" s="96">
        <f t="shared" si="3"/>
        <v>1</v>
      </c>
      <c r="T23" s="97"/>
      <c r="U23" s="3"/>
      <c r="V23" s="3"/>
      <c r="W23" s="98"/>
      <c r="X23" s="99" t="b">
        <f t="shared" si="4"/>
        <v>0</v>
      </c>
      <c r="Y23" s="100"/>
      <c r="Z23" s="101" t="str">
        <f t="shared" si="5"/>
        <v/>
      </c>
      <c r="AA23" s="102" t="b">
        <f t="shared" si="6"/>
        <v>0</v>
      </c>
      <c r="AB23" s="98"/>
      <c r="AC23" s="103">
        <v>199.0</v>
      </c>
      <c r="AD23" s="104"/>
      <c r="AE23" s="105">
        <f t="shared" si="7"/>
        <v>17.41666667</v>
      </c>
      <c r="AF23" s="106" t="b">
        <f t="shared" si="8"/>
        <v>0</v>
      </c>
      <c r="AG23" s="93" t="b">
        <f t="shared" si="9"/>
        <v>1</v>
      </c>
      <c r="AH23" s="103">
        <v>1.0</v>
      </c>
      <c r="AI23" s="103"/>
      <c r="AJ23" s="97"/>
      <c r="AK23" s="101" t="str">
        <f t="shared" si="10"/>
        <v>DELETED</v>
      </c>
      <c r="AL23" s="98"/>
      <c r="AM23" s="94" t="s">
        <v>206</v>
      </c>
      <c r="AN23" s="94" t="s">
        <v>206</v>
      </c>
      <c r="AO23" s="102" t="str">
        <f>IFERROR(__xludf.DUMMYFUNCTION("IF($AG23, ""DELETED"",TRIM(JOIN("" "",D23:E23)))"),"DELETED")</f>
        <v>DELETED</v>
      </c>
      <c r="AP23" s="94" t="str">
        <f t="shared" ref="AP23:AQ23" si="48">IF($AG23, "DELETED", TRIM(CONCATENATE(F23,I23,U23)))</f>
        <v>DELETED</v>
      </c>
      <c r="AQ23" s="94" t="str">
        <f t="shared" si="48"/>
        <v>DELETED</v>
      </c>
      <c r="AR23" s="94" t="str">
        <f>IFERROR(__xludf.DUMMYFUNCTION("IF($AG23, ""DELETED"", TRIM(JOIN("" "",AP23,AQ23)))"),"DELETED")</f>
        <v>DELETED</v>
      </c>
      <c r="AS23" s="9"/>
      <c r="AT23" s="93" t="b">
        <f t="shared" si="12"/>
        <v>1</v>
      </c>
      <c r="AU23" s="93" t="str">
        <f t="shared" si="13"/>
        <v/>
      </c>
      <c r="AV23" s="93" t="str">
        <f t="shared" si="14"/>
        <v/>
      </c>
      <c r="AW23" s="93" t="str">
        <f t="shared" si="15"/>
        <v/>
      </c>
      <c r="AX23" s="107" t="str">
        <f t="shared" si="16"/>
        <v/>
      </c>
      <c r="AY23" s="98"/>
      <c r="AZ23" s="108"/>
      <c r="BA23" s="109" t="str">
        <f t="shared" si="17"/>
        <v/>
      </c>
      <c r="BB23" s="98"/>
      <c r="BC23" s="98"/>
      <c r="BD23" s="108"/>
      <c r="BE23" s="143"/>
      <c r="BF23" s="111" t="str">
        <f t="shared" si="18"/>
        <v/>
      </c>
      <c r="BG23" s="112" t="str">
        <f t="shared" si="19"/>
        <v/>
      </c>
      <c r="BH23" s="113" t="str">
        <f t="shared" si="20"/>
        <v/>
      </c>
      <c r="BI23" s="143" t="s">
        <v>240</v>
      </c>
      <c r="BJ23" s="114" t="str">
        <f t="shared" si="21"/>
        <v>AG299</v>
      </c>
      <c r="BK23" s="115" t="b">
        <f t="shared" si="45"/>
        <v>0</v>
      </c>
      <c r="BL23" s="114" t="str">
        <f t="shared" si="23"/>
        <v/>
      </c>
      <c r="BM23" s="108"/>
      <c r="BN23" s="7" t="b">
        <f t="shared" si="24"/>
        <v>0</v>
      </c>
      <c r="BO23" s="7" t="b">
        <f t="shared" si="25"/>
        <v>0</v>
      </c>
      <c r="BP23" s="7" t="b">
        <f t="shared" si="26"/>
        <v>0</v>
      </c>
      <c r="BQ23" s="118"/>
      <c r="BR23" s="119" t="s">
        <v>206</v>
      </c>
      <c r="BS23" s="7" t="b">
        <f t="shared" si="27"/>
        <v>1</v>
      </c>
      <c r="BT23" s="7"/>
      <c r="BU23" s="7"/>
      <c r="BV23" s="7"/>
      <c r="BW23" s="7"/>
    </row>
    <row r="24">
      <c r="A24" s="86" t="s">
        <v>241</v>
      </c>
      <c r="B24" s="87">
        <v>44678.0</v>
      </c>
      <c r="C24" s="88">
        <v>0.6164814814814815</v>
      </c>
      <c r="D24" s="89"/>
      <c r="E24" s="89"/>
      <c r="F24" s="89"/>
      <c r="G24" s="86"/>
      <c r="H24" s="90"/>
      <c r="I24" s="3"/>
      <c r="J24" s="3"/>
      <c r="K24" s="89" t="s">
        <v>228</v>
      </c>
      <c r="L24" s="36">
        <v>44678.0</v>
      </c>
      <c r="M24" s="91">
        <v>0.6284375</v>
      </c>
      <c r="N24" s="3"/>
      <c r="O24" s="92"/>
      <c r="P24" s="93" t="b">
        <f>IFNA(IF(VLOOKUP($A24,'Add from APT'!$AA$2:$AC264,3,FALSE)&gt;0,TRUE,FALSE),"ER - NOT IN APT")</f>
        <v>0</v>
      </c>
      <c r="Q24" s="94" t="str">
        <f>IF(ISLOGICAL(P24),IF(P24,"ER - REPS IN APT", IFNA(VLOOKUP($A24,RAW_APT!$A$3:$M264,7,FALSE),"ER - NOT IN APT")),P24)</f>
        <v>Result</v>
      </c>
      <c r="R24" s="95" t="b">
        <f t="shared" si="2"/>
        <v>1</v>
      </c>
      <c r="S24" s="96">
        <f t="shared" si="3"/>
        <v>1</v>
      </c>
      <c r="T24" s="97"/>
      <c r="U24" s="3"/>
      <c r="V24" s="3"/>
      <c r="W24" s="98"/>
      <c r="X24" s="99" t="b">
        <f t="shared" si="4"/>
        <v>0</v>
      </c>
      <c r="Y24" s="100"/>
      <c r="Z24" s="101" t="str">
        <f t="shared" si="5"/>
        <v/>
      </c>
      <c r="AA24" s="102" t="b">
        <f t="shared" si="6"/>
        <v>0</v>
      </c>
      <c r="AB24" s="98"/>
      <c r="AC24" s="103">
        <v>200.0</v>
      </c>
      <c r="AD24" s="104"/>
      <c r="AE24" s="105">
        <f t="shared" si="7"/>
        <v>17.21666667</v>
      </c>
      <c r="AF24" s="106" t="b">
        <f t="shared" si="8"/>
        <v>0</v>
      </c>
      <c r="AG24" s="93" t="b">
        <f t="shared" si="9"/>
        <v>1</v>
      </c>
      <c r="AH24" s="103">
        <v>1.0</v>
      </c>
      <c r="AI24" s="103"/>
      <c r="AJ24" s="97"/>
      <c r="AK24" s="101" t="str">
        <f t="shared" si="10"/>
        <v>DELETED</v>
      </c>
      <c r="AL24" s="98"/>
      <c r="AM24" s="94" t="s">
        <v>206</v>
      </c>
      <c r="AN24" s="94" t="s">
        <v>206</v>
      </c>
      <c r="AO24" s="102" t="str">
        <f>IFERROR(__xludf.DUMMYFUNCTION("IF($AG24, ""DELETED"",TRIM(JOIN("" "",D24:E24)))"),"DELETED")</f>
        <v>DELETED</v>
      </c>
      <c r="AP24" s="94" t="str">
        <f t="shared" ref="AP24:AQ24" si="49">IF($AG24, "DELETED", TRIM(CONCATENATE(F24,I24,U24)))</f>
        <v>DELETED</v>
      </c>
      <c r="AQ24" s="94" t="str">
        <f t="shared" si="49"/>
        <v>DELETED</v>
      </c>
      <c r="AR24" s="94" t="str">
        <f>IFERROR(__xludf.DUMMYFUNCTION("IF($AG24, ""DELETED"", TRIM(JOIN("" "",AP24,AQ24)))"),"DELETED")</f>
        <v>DELETED</v>
      </c>
      <c r="AS24" s="9"/>
      <c r="AT24" s="93" t="b">
        <f t="shared" si="12"/>
        <v>1</v>
      </c>
      <c r="AU24" s="93" t="str">
        <f t="shared" si="13"/>
        <v/>
      </c>
      <c r="AV24" s="93" t="str">
        <f t="shared" si="14"/>
        <v/>
      </c>
      <c r="AW24" s="93" t="str">
        <f t="shared" si="15"/>
        <v/>
      </c>
      <c r="AX24" s="107" t="str">
        <f t="shared" si="16"/>
        <v/>
      </c>
      <c r="AY24" s="98"/>
      <c r="AZ24" s="108"/>
      <c r="BA24" s="109" t="str">
        <f t="shared" si="17"/>
        <v/>
      </c>
      <c r="BB24" s="98"/>
      <c r="BC24" s="98"/>
      <c r="BD24" s="108"/>
      <c r="BE24" s="134"/>
      <c r="BF24" s="111" t="str">
        <f t="shared" si="18"/>
        <v/>
      </c>
      <c r="BG24" s="112" t="str">
        <f t="shared" si="19"/>
        <v/>
      </c>
      <c r="BH24" s="113" t="str">
        <f t="shared" si="20"/>
        <v/>
      </c>
      <c r="BI24" s="134" t="s">
        <v>242</v>
      </c>
      <c r="BJ24" s="114" t="str">
        <f t="shared" si="21"/>
        <v>AG4603</v>
      </c>
      <c r="BK24" s="115" t="b">
        <f t="shared" si="45"/>
        <v>0</v>
      </c>
      <c r="BL24" s="114" t="str">
        <f t="shared" si="23"/>
        <v/>
      </c>
      <c r="BM24" s="108"/>
      <c r="BN24" s="7" t="b">
        <f t="shared" si="24"/>
        <v>0</v>
      </c>
      <c r="BO24" s="7" t="b">
        <f t="shared" si="25"/>
        <v>0</v>
      </c>
      <c r="BP24" s="7" t="b">
        <f t="shared" si="26"/>
        <v>0</v>
      </c>
      <c r="BQ24" s="118"/>
      <c r="BR24" s="119" t="s">
        <v>206</v>
      </c>
      <c r="BS24" s="7" t="b">
        <f t="shared" si="27"/>
        <v>1</v>
      </c>
      <c r="BT24" s="7"/>
      <c r="BU24" s="7"/>
      <c r="BV24" s="7"/>
      <c r="BW24" s="7"/>
    </row>
    <row r="25">
      <c r="A25" s="86" t="s">
        <v>243</v>
      </c>
      <c r="B25" s="87">
        <v>44678.0</v>
      </c>
      <c r="C25" s="88">
        <v>0.6167939814814815</v>
      </c>
      <c r="D25" s="89"/>
      <c r="E25" s="89"/>
      <c r="F25" s="89"/>
      <c r="G25" s="86"/>
      <c r="H25" s="90"/>
      <c r="I25" s="3"/>
      <c r="J25" s="3"/>
      <c r="K25" s="89" t="s">
        <v>228</v>
      </c>
      <c r="L25" s="36">
        <v>44678.0</v>
      </c>
      <c r="M25" s="91">
        <v>0.6284375</v>
      </c>
      <c r="N25" s="3"/>
      <c r="O25" s="92"/>
      <c r="P25" s="93" t="b">
        <f>IFNA(IF(VLOOKUP($A25,'Add from APT'!$AA$2:$AC264,3,FALSE)&gt;0,TRUE,FALSE),"ER - NOT IN APT")</f>
        <v>0</v>
      </c>
      <c r="Q25" s="94" t="str">
        <f>IF(ISLOGICAL(P25),IF(P25,"ER - REPS IN APT", IFNA(VLOOKUP($A25,RAW_APT!$A$3:$M264,7,FALSE),"ER - NOT IN APT")),P25)</f>
        <v>Result</v>
      </c>
      <c r="R25" s="95" t="b">
        <f t="shared" si="2"/>
        <v>1</v>
      </c>
      <c r="S25" s="96">
        <f t="shared" si="3"/>
        <v>1</v>
      </c>
      <c r="T25" s="130"/>
      <c r="U25" s="3"/>
      <c r="V25" s="3"/>
      <c r="W25" s="3"/>
      <c r="X25" s="99" t="b">
        <f t="shared" si="4"/>
        <v>0</v>
      </c>
      <c r="Y25" s="7"/>
      <c r="Z25" s="101" t="str">
        <f t="shared" si="5"/>
        <v/>
      </c>
      <c r="AA25" s="102" t="b">
        <f t="shared" si="6"/>
        <v>0</v>
      </c>
      <c r="AB25" s="131"/>
      <c r="AC25" s="130">
        <v>201.0</v>
      </c>
      <c r="AD25" s="132"/>
      <c r="AE25" s="105">
        <f t="shared" si="7"/>
        <v>16.76666667</v>
      </c>
      <c r="AF25" s="106" t="b">
        <f t="shared" si="8"/>
        <v>0</v>
      </c>
      <c r="AG25" s="93" t="b">
        <f t="shared" si="9"/>
        <v>1</v>
      </c>
      <c r="AH25" s="130">
        <v>1.0</v>
      </c>
      <c r="AI25" s="13"/>
      <c r="AJ25" s="7"/>
      <c r="AK25" s="101" t="str">
        <f t="shared" si="10"/>
        <v>DELETED</v>
      </c>
      <c r="AL25" s="98"/>
      <c r="AM25" s="94" t="s">
        <v>206</v>
      </c>
      <c r="AN25" s="94" t="s">
        <v>206</v>
      </c>
      <c r="AO25" s="102" t="str">
        <f>IFERROR(__xludf.DUMMYFUNCTION("IF($AG25, ""DELETED"",TRIM(JOIN("" "",D25:E25)))"),"DELETED")</f>
        <v>DELETED</v>
      </c>
      <c r="AP25" s="94" t="str">
        <f t="shared" ref="AP25:AQ25" si="50">IF($AG25, "DELETED", TRIM(CONCATENATE(F25,I25,U25)))</f>
        <v>DELETED</v>
      </c>
      <c r="AQ25" s="94" t="str">
        <f t="shared" si="50"/>
        <v>DELETED</v>
      </c>
      <c r="AR25" s="94" t="str">
        <f>IFERROR(__xludf.DUMMYFUNCTION("IF($AG25, ""DELETED"", TRIM(JOIN("" "",AP25,AQ25)))"),"DELETED")</f>
        <v>DELETED</v>
      </c>
      <c r="AS25" s="9"/>
      <c r="AT25" s="93" t="b">
        <f t="shared" si="12"/>
        <v>1</v>
      </c>
      <c r="AU25" s="93" t="str">
        <f t="shared" si="13"/>
        <v/>
      </c>
      <c r="AV25" s="93" t="str">
        <f t="shared" si="14"/>
        <v/>
      </c>
      <c r="AW25" s="93" t="str">
        <f t="shared" si="15"/>
        <v/>
      </c>
      <c r="AX25" s="107" t="str">
        <f t="shared" si="16"/>
        <v/>
      </c>
      <c r="AY25" s="3"/>
      <c r="AZ25" s="129"/>
      <c r="BA25" s="109" t="str">
        <f t="shared" si="17"/>
        <v/>
      </c>
      <c r="BB25" s="3"/>
      <c r="BC25" s="3"/>
      <c r="BD25" s="108"/>
      <c r="BE25" s="134"/>
      <c r="BF25" s="111" t="str">
        <f t="shared" si="18"/>
        <v/>
      </c>
      <c r="BG25" s="112" t="str">
        <f t="shared" si="19"/>
        <v/>
      </c>
      <c r="BH25" s="113" t="str">
        <f t="shared" si="20"/>
        <v/>
      </c>
      <c r="BI25" s="134" t="s">
        <v>244</v>
      </c>
      <c r="BJ25" s="114" t="str">
        <f t="shared" si="21"/>
        <v>AG469</v>
      </c>
      <c r="BK25" s="115" t="b">
        <f t="shared" si="45"/>
        <v>0</v>
      </c>
      <c r="BL25" s="114" t="str">
        <f t="shared" si="23"/>
        <v/>
      </c>
      <c r="BM25" s="108"/>
      <c r="BN25" s="7" t="b">
        <f t="shared" si="24"/>
        <v>0</v>
      </c>
      <c r="BO25" s="7" t="b">
        <f t="shared" si="25"/>
        <v>0</v>
      </c>
      <c r="BP25" s="7" t="b">
        <f t="shared" si="26"/>
        <v>0</v>
      </c>
      <c r="BQ25" s="118"/>
      <c r="BR25" s="119" t="s">
        <v>206</v>
      </c>
      <c r="BS25" s="7" t="b">
        <f t="shared" si="27"/>
        <v>1</v>
      </c>
      <c r="BT25" s="7"/>
      <c r="BU25" s="7"/>
      <c r="BV25" s="7"/>
      <c r="BW25" s="7"/>
    </row>
    <row r="26">
      <c r="A26" s="86" t="s">
        <v>245</v>
      </c>
      <c r="B26" s="87">
        <v>44678.0</v>
      </c>
      <c r="C26" s="88">
        <v>0.6169444444444444</v>
      </c>
      <c r="D26" s="89"/>
      <c r="E26" s="89"/>
      <c r="F26" s="89"/>
      <c r="G26" s="86"/>
      <c r="H26" s="90"/>
      <c r="I26" s="3"/>
      <c r="J26" s="3"/>
      <c r="K26" s="89" t="s">
        <v>228</v>
      </c>
      <c r="L26" s="36">
        <v>44678.0</v>
      </c>
      <c r="M26" s="91">
        <v>0.6284375</v>
      </c>
      <c r="N26" s="3"/>
      <c r="O26" s="92"/>
      <c r="P26" s="93" t="b">
        <f>IFNA(IF(VLOOKUP($A26,'Add from APT'!$AA$2:$AC264,3,FALSE)&gt;0,TRUE,FALSE),"ER - NOT IN APT")</f>
        <v>0</v>
      </c>
      <c r="Q26" s="94" t="str">
        <f>IF(ISLOGICAL(P26),IF(P26,"ER - REPS IN APT", IFNA(VLOOKUP($A26,RAW_APT!$A$3:$M264,7,FALSE),"ER - NOT IN APT")),P26)</f>
        <v>Result</v>
      </c>
      <c r="R26" s="95" t="b">
        <f t="shared" si="2"/>
        <v>1</v>
      </c>
      <c r="S26" s="96">
        <f t="shared" si="3"/>
        <v>1</v>
      </c>
      <c r="T26" s="97"/>
      <c r="U26" s="3"/>
      <c r="V26" s="3"/>
      <c r="W26" s="98"/>
      <c r="X26" s="99" t="b">
        <f t="shared" si="4"/>
        <v>0</v>
      </c>
      <c r="Y26" s="100"/>
      <c r="Z26" s="101" t="str">
        <f t="shared" si="5"/>
        <v/>
      </c>
      <c r="AA26" s="102" t="b">
        <f t="shared" si="6"/>
        <v>0</v>
      </c>
      <c r="AB26" s="98"/>
      <c r="AC26" s="103">
        <v>202.0</v>
      </c>
      <c r="AD26" s="104"/>
      <c r="AE26" s="105">
        <f t="shared" si="7"/>
        <v>16.55</v>
      </c>
      <c r="AF26" s="106" t="b">
        <f t="shared" si="8"/>
        <v>0</v>
      </c>
      <c r="AG26" s="93" t="b">
        <f t="shared" si="9"/>
        <v>1</v>
      </c>
      <c r="AH26" s="103">
        <v>1.0</v>
      </c>
      <c r="AI26" s="103"/>
      <c r="AJ26" s="97"/>
      <c r="AK26" s="101" t="str">
        <f t="shared" si="10"/>
        <v>DELETED</v>
      </c>
      <c r="AL26" s="98"/>
      <c r="AM26" s="94" t="s">
        <v>206</v>
      </c>
      <c r="AN26" s="94" t="s">
        <v>206</v>
      </c>
      <c r="AO26" s="102" t="str">
        <f>IFERROR(__xludf.DUMMYFUNCTION("IF($AG26, ""DELETED"",TRIM(JOIN("" "",D26:E26)))"),"DELETED")</f>
        <v>DELETED</v>
      </c>
      <c r="AP26" s="94" t="str">
        <f t="shared" ref="AP26:AQ26" si="51">IF($AG26, "DELETED", TRIM(CONCATENATE(F26,I26,U26)))</f>
        <v>DELETED</v>
      </c>
      <c r="AQ26" s="94" t="str">
        <f t="shared" si="51"/>
        <v>DELETED</v>
      </c>
      <c r="AR26" s="94" t="str">
        <f>IFERROR(__xludf.DUMMYFUNCTION("IF($AG26, ""DELETED"", TRIM(JOIN("" "",AP26,AQ26)))"),"DELETED")</f>
        <v>DELETED</v>
      </c>
      <c r="AS26" s="9"/>
      <c r="AT26" s="93" t="b">
        <f t="shared" si="12"/>
        <v>1</v>
      </c>
      <c r="AU26" s="93" t="str">
        <f t="shared" si="13"/>
        <v/>
      </c>
      <c r="AV26" s="93" t="str">
        <f t="shared" si="14"/>
        <v/>
      </c>
      <c r="AW26" s="93" t="str">
        <f t="shared" si="15"/>
        <v/>
      </c>
      <c r="AX26" s="107" t="str">
        <f t="shared" si="16"/>
        <v/>
      </c>
      <c r="AY26" s="98"/>
      <c r="AZ26" s="108"/>
      <c r="BA26" s="109" t="str">
        <f t="shared" si="17"/>
        <v/>
      </c>
      <c r="BB26" s="98"/>
      <c r="BC26" s="98"/>
      <c r="BD26" s="108"/>
      <c r="BE26" s="134"/>
      <c r="BF26" s="111" t="str">
        <f t="shared" si="18"/>
        <v/>
      </c>
      <c r="BG26" s="112" t="str">
        <f t="shared" si="19"/>
        <v/>
      </c>
      <c r="BH26" s="113" t="str">
        <f t="shared" si="20"/>
        <v/>
      </c>
      <c r="BI26" s="134" t="s">
        <v>246</v>
      </c>
      <c r="BJ26" s="114" t="str">
        <f t="shared" si="21"/>
        <v>AG570</v>
      </c>
      <c r="BK26" s="115" t="b">
        <f t="shared" si="45"/>
        <v>0</v>
      </c>
      <c r="BL26" s="114" t="str">
        <f t="shared" si="23"/>
        <v/>
      </c>
      <c r="BM26" s="108"/>
      <c r="BN26" s="7" t="b">
        <f t="shared" si="24"/>
        <v>0</v>
      </c>
      <c r="BO26" s="7" t="b">
        <f t="shared" si="25"/>
        <v>0</v>
      </c>
      <c r="BP26" s="7" t="b">
        <f t="shared" si="26"/>
        <v>0</v>
      </c>
      <c r="BQ26" s="118"/>
      <c r="BR26" s="119" t="s">
        <v>206</v>
      </c>
      <c r="BS26" s="7" t="b">
        <f t="shared" si="27"/>
        <v>1</v>
      </c>
      <c r="BT26" s="7"/>
      <c r="BU26" s="7"/>
      <c r="BV26" s="7"/>
      <c r="BW26" s="7"/>
    </row>
    <row r="27">
      <c r="A27" s="86" t="s">
        <v>247</v>
      </c>
      <c r="B27" s="87">
        <v>44678.0</v>
      </c>
      <c r="C27" s="88">
        <v>0.617337962962963</v>
      </c>
      <c r="D27" s="89"/>
      <c r="E27" s="89"/>
      <c r="F27" s="89"/>
      <c r="G27" s="86"/>
      <c r="H27" s="89"/>
      <c r="I27" s="3"/>
      <c r="J27" s="3"/>
      <c r="K27" s="89" t="s">
        <v>228</v>
      </c>
      <c r="L27" s="36">
        <v>44678.0</v>
      </c>
      <c r="M27" s="91">
        <v>0.6284375</v>
      </c>
      <c r="N27" s="3"/>
      <c r="O27" s="92"/>
      <c r="P27" s="93" t="b">
        <f>IFNA(IF(VLOOKUP($A27,'Add from APT'!$AA$2:$AC264,3,FALSE)&gt;0,TRUE,FALSE),"ER - NOT IN APT")</f>
        <v>0</v>
      </c>
      <c r="Q27" s="94" t="str">
        <f>IF(ISLOGICAL(P27),IF(P27,"ER - REPS IN APT", IFNA(VLOOKUP($A27,RAW_APT!$A$3:$M264,7,FALSE),"ER - NOT IN APT")),P27)</f>
        <v>Result</v>
      </c>
      <c r="R27" s="95" t="b">
        <f t="shared" si="2"/>
        <v>1</v>
      </c>
      <c r="S27" s="96">
        <f t="shared" si="3"/>
        <v>1</v>
      </c>
      <c r="T27" s="130"/>
      <c r="U27" s="3"/>
      <c r="V27" s="3"/>
      <c r="W27" s="3"/>
      <c r="X27" s="99" t="b">
        <f t="shared" si="4"/>
        <v>0</v>
      </c>
      <c r="Y27" s="7"/>
      <c r="Z27" s="101" t="str">
        <f t="shared" si="5"/>
        <v/>
      </c>
      <c r="AA27" s="102" t="b">
        <f t="shared" si="6"/>
        <v>0</v>
      </c>
      <c r="AB27" s="131"/>
      <c r="AC27" s="130">
        <v>203.0</v>
      </c>
      <c r="AD27" s="132"/>
      <c r="AE27" s="105">
        <f t="shared" si="7"/>
        <v>15.98333333</v>
      </c>
      <c r="AF27" s="106" t="b">
        <f t="shared" si="8"/>
        <v>0</v>
      </c>
      <c r="AG27" s="93" t="b">
        <f t="shared" si="9"/>
        <v>1</v>
      </c>
      <c r="AH27" s="130">
        <v>1.0</v>
      </c>
      <c r="AI27" s="13"/>
      <c r="AJ27" s="7"/>
      <c r="AK27" s="101" t="str">
        <f t="shared" si="10"/>
        <v>DELETED</v>
      </c>
      <c r="AL27" s="98"/>
      <c r="AM27" s="94" t="s">
        <v>206</v>
      </c>
      <c r="AN27" s="94" t="s">
        <v>206</v>
      </c>
      <c r="AO27" s="102" t="str">
        <f>IFERROR(__xludf.DUMMYFUNCTION("IF($AG27, ""DELETED"",TRIM(JOIN("" "",D27:E27)))"),"DELETED")</f>
        <v>DELETED</v>
      </c>
      <c r="AP27" s="94" t="str">
        <f t="shared" ref="AP27:AQ27" si="52">IF($AG27, "DELETED", TRIM(CONCATENATE(F27,I27,U27)))</f>
        <v>DELETED</v>
      </c>
      <c r="AQ27" s="94" t="str">
        <f t="shared" si="52"/>
        <v>DELETED</v>
      </c>
      <c r="AR27" s="94" t="str">
        <f>IFERROR(__xludf.DUMMYFUNCTION("IF($AG27, ""DELETED"", TRIM(JOIN("" "",AP27,AQ27)))"),"DELETED")</f>
        <v>DELETED</v>
      </c>
      <c r="AS27" s="9"/>
      <c r="AT27" s="93" t="b">
        <f t="shared" si="12"/>
        <v>1</v>
      </c>
      <c r="AU27" s="93" t="str">
        <f t="shared" si="13"/>
        <v/>
      </c>
      <c r="AV27" s="93" t="str">
        <f t="shared" si="14"/>
        <v/>
      </c>
      <c r="AW27" s="93" t="str">
        <f t="shared" si="15"/>
        <v/>
      </c>
      <c r="AX27" s="107" t="str">
        <f t="shared" si="16"/>
        <v/>
      </c>
      <c r="AY27" s="3"/>
      <c r="AZ27" s="129"/>
      <c r="BA27" s="109" t="str">
        <f t="shared" si="17"/>
        <v/>
      </c>
      <c r="BB27" s="3"/>
      <c r="BC27" s="3"/>
      <c r="BD27" s="108"/>
      <c r="BE27" s="134"/>
      <c r="BF27" s="111" t="str">
        <f t="shared" si="18"/>
        <v/>
      </c>
      <c r="BG27" s="112" t="str">
        <f t="shared" si="19"/>
        <v/>
      </c>
      <c r="BH27" s="113" t="str">
        <f t="shared" si="20"/>
        <v/>
      </c>
      <c r="BI27" s="134" t="s">
        <v>248</v>
      </c>
      <c r="BJ27" s="114" t="str">
        <f t="shared" si="21"/>
        <v>AG575</v>
      </c>
      <c r="BK27" s="115" t="b">
        <f t="shared" si="45"/>
        <v>0</v>
      </c>
      <c r="BL27" s="114" t="str">
        <f t="shared" si="23"/>
        <v/>
      </c>
      <c r="BM27" s="108"/>
      <c r="BN27" s="7" t="b">
        <f t="shared" si="24"/>
        <v>0</v>
      </c>
      <c r="BO27" s="7" t="b">
        <f t="shared" si="25"/>
        <v>0</v>
      </c>
      <c r="BP27" s="7" t="b">
        <f t="shared" si="26"/>
        <v>0</v>
      </c>
      <c r="BQ27" s="118"/>
      <c r="BR27" s="119" t="s">
        <v>206</v>
      </c>
      <c r="BS27" s="7" t="b">
        <f t="shared" si="27"/>
        <v>1</v>
      </c>
      <c r="BT27" s="7"/>
      <c r="BU27" s="7"/>
      <c r="BV27" s="7"/>
      <c r="BW27" s="7"/>
    </row>
    <row r="28">
      <c r="A28" s="86" t="s">
        <v>249</v>
      </c>
      <c r="B28" s="87">
        <v>44678.0</v>
      </c>
      <c r="C28" s="88">
        <v>0.6174652777777778</v>
      </c>
      <c r="D28" s="89"/>
      <c r="E28" s="89"/>
      <c r="F28" s="89"/>
      <c r="G28" s="86"/>
      <c r="H28" s="90"/>
      <c r="I28" s="3"/>
      <c r="J28" s="3"/>
      <c r="K28" s="89" t="s">
        <v>228</v>
      </c>
      <c r="L28" s="36">
        <v>44678.0</v>
      </c>
      <c r="M28" s="91">
        <v>0.6284375</v>
      </c>
      <c r="N28" s="3"/>
      <c r="O28" s="92"/>
      <c r="P28" s="93" t="b">
        <f>IFNA(IF(VLOOKUP($A28,'Add from APT'!$AA$2:$AC264,3,FALSE)&gt;0,TRUE,FALSE),"ER - NOT IN APT")</f>
        <v>0</v>
      </c>
      <c r="Q28" s="94" t="str">
        <f>IF(ISLOGICAL(P28),IF(P28,"ER - REPS IN APT", IFNA(VLOOKUP($A28,RAW_APT!$A$3:$M264,7,FALSE),"ER - NOT IN APT")),P28)</f>
        <v>Result</v>
      </c>
      <c r="R28" s="95" t="b">
        <f t="shared" si="2"/>
        <v>1</v>
      </c>
      <c r="S28" s="96">
        <f t="shared" si="3"/>
        <v>1</v>
      </c>
      <c r="T28" s="97"/>
      <c r="U28" s="3"/>
      <c r="V28" s="3"/>
      <c r="W28" s="98"/>
      <c r="X28" s="99" t="b">
        <f t="shared" si="4"/>
        <v>0</v>
      </c>
      <c r="Y28" s="100"/>
      <c r="Z28" s="101" t="str">
        <f t="shared" si="5"/>
        <v/>
      </c>
      <c r="AA28" s="102" t="b">
        <f t="shared" si="6"/>
        <v>0</v>
      </c>
      <c r="AB28" s="98"/>
      <c r="AC28" s="103">
        <v>204.0</v>
      </c>
      <c r="AD28" s="104"/>
      <c r="AE28" s="105">
        <f t="shared" si="7"/>
        <v>15.8</v>
      </c>
      <c r="AF28" s="106" t="b">
        <f t="shared" si="8"/>
        <v>0</v>
      </c>
      <c r="AG28" s="93" t="b">
        <f t="shared" si="9"/>
        <v>1</v>
      </c>
      <c r="AH28" s="103">
        <v>1.0</v>
      </c>
      <c r="AI28" s="103"/>
      <c r="AJ28" s="97"/>
      <c r="AK28" s="101" t="str">
        <f t="shared" si="10"/>
        <v>DELETED</v>
      </c>
      <c r="AL28" s="98"/>
      <c r="AM28" s="94" t="s">
        <v>206</v>
      </c>
      <c r="AN28" s="94" t="s">
        <v>206</v>
      </c>
      <c r="AO28" s="102" t="str">
        <f>IFERROR(__xludf.DUMMYFUNCTION("IF($AG28, ""DELETED"",TRIM(JOIN("" "",D28:E28)))"),"DELETED")</f>
        <v>DELETED</v>
      </c>
      <c r="AP28" s="94" t="str">
        <f t="shared" ref="AP28:AQ28" si="53">IF($AG28, "DELETED", TRIM(CONCATENATE(F28,I28,U28)))</f>
        <v>DELETED</v>
      </c>
      <c r="AQ28" s="94" t="str">
        <f t="shared" si="53"/>
        <v>DELETED</v>
      </c>
      <c r="AR28" s="94" t="str">
        <f>IFERROR(__xludf.DUMMYFUNCTION("IF($AG28, ""DELETED"", TRIM(JOIN("" "",AP28,AQ28)))"),"DELETED")</f>
        <v>DELETED</v>
      </c>
      <c r="AS28" s="9"/>
      <c r="AT28" s="93" t="b">
        <f t="shared" si="12"/>
        <v>1</v>
      </c>
      <c r="AU28" s="93" t="str">
        <f t="shared" si="13"/>
        <v/>
      </c>
      <c r="AV28" s="93" t="str">
        <f t="shared" si="14"/>
        <v/>
      </c>
      <c r="AW28" s="93" t="str">
        <f t="shared" si="15"/>
        <v/>
      </c>
      <c r="AX28" s="107" t="str">
        <f t="shared" si="16"/>
        <v/>
      </c>
      <c r="AY28" s="98"/>
      <c r="AZ28" s="108"/>
      <c r="BA28" s="109" t="str">
        <f t="shared" si="17"/>
        <v/>
      </c>
      <c r="BB28" s="98"/>
      <c r="BC28" s="98"/>
      <c r="BD28" s="108"/>
      <c r="BE28" s="143"/>
      <c r="BF28" s="111" t="str">
        <f t="shared" si="18"/>
        <v/>
      </c>
      <c r="BG28" s="112" t="str">
        <f t="shared" si="19"/>
        <v/>
      </c>
      <c r="BH28" s="113" t="str">
        <f t="shared" si="20"/>
        <v/>
      </c>
      <c r="BI28" s="143" t="s">
        <v>250</v>
      </c>
      <c r="BJ28" s="114" t="str">
        <f t="shared" si="21"/>
        <v>AG611</v>
      </c>
      <c r="BK28" s="115" t="b">
        <f t="shared" si="45"/>
        <v>0</v>
      </c>
      <c r="BL28" s="114" t="str">
        <f t="shared" si="23"/>
        <v/>
      </c>
      <c r="BM28" s="108"/>
      <c r="BN28" s="7" t="b">
        <f t="shared" si="24"/>
        <v>0</v>
      </c>
      <c r="BO28" s="7" t="b">
        <f t="shared" si="25"/>
        <v>0</v>
      </c>
      <c r="BP28" s="7" t="b">
        <f t="shared" si="26"/>
        <v>0</v>
      </c>
      <c r="BQ28" s="118"/>
      <c r="BR28" s="119" t="s">
        <v>206</v>
      </c>
      <c r="BS28" s="7" t="b">
        <f t="shared" si="27"/>
        <v>1</v>
      </c>
      <c r="BT28" s="7"/>
      <c r="BU28" s="7"/>
      <c r="BV28" s="7"/>
      <c r="BW28" s="7"/>
    </row>
    <row r="29">
      <c r="A29" s="86" t="s">
        <v>251</v>
      </c>
      <c r="B29" s="87">
        <v>44678.0</v>
      </c>
      <c r="C29" s="88">
        <v>0.6176967592592593</v>
      </c>
      <c r="D29" s="89"/>
      <c r="E29" s="89"/>
      <c r="F29" s="89"/>
      <c r="G29" s="86"/>
      <c r="H29" s="90"/>
      <c r="I29" s="3"/>
      <c r="J29" s="3"/>
      <c r="K29" s="89" t="s">
        <v>228</v>
      </c>
      <c r="L29" s="36">
        <v>44678.0</v>
      </c>
      <c r="M29" s="91">
        <v>0.6284375</v>
      </c>
      <c r="N29" s="3"/>
      <c r="O29" s="92"/>
      <c r="P29" s="93" t="b">
        <f>IFNA(IF(VLOOKUP($A29,'Add from APT'!$AA$2:$AC264,3,FALSE)&gt;0,TRUE,FALSE),"ER - NOT IN APT")</f>
        <v>0</v>
      </c>
      <c r="Q29" s="94" t="str">
        <f>IF(ISLOGICAL(P29),IF(P29,"ER - REPS IN APT", IFNA(VLOOKUP($A29,RAW_APT!$A$3:$M264,7,FALSE),"ER - NOT IN APT")),P29)</f>
        <v>Result</v>
      </c>
      <c r="R29" s="95" t="b">
        <f t="shared" si="2"/>
        <v>1</v>
      </c>
      <c r="S29" s="96">
        <f t="shared" si="3"/>
        <v>1</v>
      </c>
      <c r="T29" s="97"/>
      <c r="U29" s="3"/>
      <c r="V29" s="3"/>
      <c r="W29" s="98"/>
      <c r="X29" s="99" t="b">
        <f t="shared" si="4"/>
        <v>0</v>
      </c>
      <c r="Y29" s="100"/>
      <c r="Z29" s="101" t="str">
        <f t="shared" si="5"/>
        <v/>
      </c>
      <c r="AA29" s="102" t="b">
        <f t="shared" si="6"/>
        <v>0</v>
      </c>
      <c r="AB29" s="98"/>
      <c r="AC29" s="103">
        <v>205.0</v>
      </c>
      <c r="AD29" s="104"/>
      <c r="AE29" s="105">
        <f t="shared" si="7"/>
        <v>15.46666667</v>
      </c>
      <c r="AF29" s="106" t="b">
        <f t="shared" si="8"/>
        <v>0</v>
      </c>
      <c r="AG29" s="93" t="b">
        <f t="shared" si="9"/>
        <v>1</v>
      </c>
      <c r="AH29" s="103">
        <v>1.0</v>
      </c>
      <c r="AI29" s="103"/>
      <c r="AJ29" s="97"/>
      <c r="AK29" s="101" t="str">
        <f t="shared" si="10"/>
        <v>DELETED</v>
      </c>
      <c r="AL29" s="98"/>
      <c r="AM29" s="94" t="s">
        <v>206</v>
      </c>
      <c r="AN29" s="94" t="s">
        <v>206</v>
      </c>
      <c r="AO29" s="102" t="str">
        <f>IFERROR(__xludf.DUMMYFUNCTION("IF($AG29, ""DELETED"",TRIM(JOIN("" "",D29:E29)))"),"DELETED")</f>
        <v>DELETED</v>
      </c>
      <c r="AP29" s="94" t="str">
        <f t="shared" ref="AP29:AQ29" si="54">IF($AG29, "DELETED", TRIM(CONCATENATE(F29,I29,U29)))</f>
        <v>DELETED</v>
      </c>
      <c r="AQ29" s="94" t="str">
        <f t="shared" si="54"/>
        <v>DELETED</v>
      </c>
      <c r="AR29" s="94" t="str">
        <f>IFERROR(__xludf.DUMMYFUNCTION("IF($AG29, ""DELETED"", TRIM(JOIN("" "",AP29,AQ29)))"),"DELETED")</f>
        <v>DELETED</v>
      </c>
      <c r="AS29" s="9"/>
      <c r="AT29" s="93" t="b">
        <f t="shared" si="12"/>
        <v>1</v>
      </c>
      <c r="AU29" s="93" t="str">
        <f t="shared" si="13"/>
        <v/>
      </c>
      <c r="AV29" s="93" t="str">
        <f t="shared" si="14"/>
        <v/>
      </c>
      <c r="AW29" s="93" t="str">
        <f t="shared" si="15"/>
        <v/>
      </c>
      <c r="AX29" s="107" t="str">
        <f t="shared" si="16"/>
        <v/>
      </c>
      <c r="AY29" s="98"/>
      <c r="AZ29" s="108"/>
      <c r="BA29" s="109" t="str">
        <f t="shared" si="17"/>
        <v/>
      </c>
      <c r="BB29" s="98"/>
      <c r="BC29" s="98"/>
      <c r="BD29" s="108"/>
      <c r="BE29" s="143"/>
      <c r="BF29" s="111" t="str">
        <f t="shared" si="18"/>
        <v/>
      </c>
      <c r="BG29" s="112" t="str">
        <f t="shared" si="19"/>
        <v/>
      </c>
      <c r="BH29" s="113" t="str">
        <f t="shared" si="20"/>
        <v/>
      </c>
      <c r="BI29" s="143" t="s">
        <v>252</v>
      </c>
      <c r="BJ29" s="114" t="str">
        <f t="shared" si="21"/>
        <v>AG615</v>
      </c>
      <c r="BK29" s="115" t="b">
        <f t="shared" si="45"/>
        <v>0</v>
      </c>
      <c r="BL29" s="114" t="str">
        <f t="shared" si="23"/>
        <v/>
      </c>
      <c r="BM29" s="108"/>
      <c r="BN29" s="7" t="b">
        <f t="shared" si="24"/>
        <v>0</v>
      </c>
      <c r="BO29" s="7" t="b">
        <f t="shared" si="25"/>
        <v>0</v>
      </c>
      <c r="BP29" s="7" t="b">
        <f t="shared" si="26"/>
        <v>0</v>
      </c>
      <c r="BQ29" s="118"/>
      <c r="BR29" s="119" t="s">
        <v>206</v>
      </c>
      <c r="BS29" s="7" t="b">
        <f t="shared" si="27"/>
        <v>1</v>
      </c>
      <c r="BT29" s="7"/>
      <c r="BU29" s="7"/>
      <c r="BV29" s="7"/>
      <c r="BW29" s="7"/>
    </row>
    <row r="30">
      <c r="A30" s="86" t="s">
        <v>253</v>
      </c>
      <c r="B30" s="87">
        <v>44678.0</v>
      </c>
      <c r="C30" s="88">
        <v>0.6178472222222222</v>
      </c>
      <c r="D30" s="89"/>
      <c r="E30" s="89"/>
      <c r="F30" s="89"/>
      <c r="G30" s="86"/>
      <c r="H30" s="89"/>
      <c r="I30" s="3"/>
      <c r="J30" s="3"/>
      <c r="K30" s="89" t="s">
        <v>228</v>
      </c>
      <c r="L30" s="36">
        <v>44678.0</v>
      </c>
      <c r="M30" s="91">
        <v>0.628449074074074</v>
      </c>
      <c r="N30" s="3"/>
      <c r="O30" s="92"/>
      <c r="P30" s="93" t="b">
        <f>IFNA(IF(VLOOKUP($A30,'Add from APT'!$AA$2:$AC264,3,FALSE)&gt;0,TRUE,FALSE),"ER - NOT IN APT")</f>
        <v>0</v>
      </c>
      <c r="Q30" s="94" t="str">
        <f>IF(ISLOGICAL(P30),IF(P30,"ER - REPS IN APT", IFNA(VLOOKUP($A30,RAW_APT!$A$3:$M264,7,FALSE),"ER - NOT IN APT")),P30)</f>
        <v>Result</v>
      </c>
      <c r="R30" s="95" t="b">
        <f t="shared" si="2"/>
        <v>1</v>
      </c>
      <c r="S30" s="96">
        <f t="shared" si="3"/>
        <v>1</v>
      </c>
      <c r="T30" s="97"/>
      <c r="U30" s="3"/>
      <c r="V30" s="3"/>
      <c r="W30" s="98"/>
      <c r="X30" s="99" t="b">
        <f t="shared" si="4"/>
        <v>0</v>
      </c>
      <c r="Y30" s="100"/>
      <c r="Z30" s="101" t="str">
        <f t="shared" si="5"/>
        <v/>
      </c>
      <c r="AA30" s="102" t="b">
        <f t="shared" si="6"/>
        <v>0</v>
      </c>
      <c r="AB30" s="98"/>
      <c r="AC30" s="103">
        <v>206.0</v>
      </c>
      <c r="AD30" s="104"/>
      <c r="AE30" s="105">
        <f t="shared" si="7"/>
        <v>15.26666667</v>
      </c>
      <c r="AF30" s="106" t="b">
        <f t="shared" si="8"/>
        <v>0</v>
      </c>
      <c r="AG30" s="93" t="b">
        <f t="shared" si="9"/>
        <v>1</v>
      </c>
      <c r="AH30" s="103">
        <v>1.0</v>
      </c>
      <c r="AI30" s="103"/>
      <c r="AJ30" s="97"/>
      <c r="AK30" s="101" t="str">
        <f t="shared" si="10"/>
        <v>DELETED</v>
      </c>
      <c r="AL30" s="98"/>
      <c r="AM30" s="94" t="s">
        <v>206</v>
      </c>
      <c r="AN30" s="94" t="s">
        <v>206</v>
      </c>
      <c r="AO30" s="102" t="str">
        <f>IFERROR(__xludf.DUMMYFUNCTION("IF($AG30, ""DELETED"",TRIM(JOIN("" "",D30:E30)))"),"DELETED")</f>
        <v>DELETED</v>
      </c>
      <c r="AP30" s="94" t="str">
        <f t="shared" ref="AP30:AQ30" si="55">IF($AG30, "DELETED", TRIM(CONCATENATE(F30,I30,U30)))</f>
        <v>DELETED</v>
      </c>
      <c r="AQ30" s="94" t="str">
        <f t="shared" si="55"/>
        <v>DELETED</v>
      </c>
      <c r="AR30" s="94" t="str">
        <f>IFERROR(__xludf.DUMMYFUNCTION("IF($AG30, ""DELETED"", TRIM(JOIN("" "",AP30,AQ30)))"),"DELETED")</f>
        <v>DELETED</v>
      </c>
      <c r="AS30" s="9"/>
      <c r="AT30" s="93" t="b">
        <f t="shared" si="12"/>
        <v>1</v>
      </c>
      <c r="AU30" s="93" t="str">
        <f t="shared" si="13"/>
        <v/>
      </c>
      <c r="AV30" s="93" t="str">
        <f t="shared" si="14"/>
        <v/>
      </c>
      <c r="AW30" s="93" t="str">
        <f t="shared" si="15"/>
        <v/>
      </c>
      <c r="AX30" s="107" t="str">
        <f t="shared" si="16"/>
        <v/>
      </c>
      <c r="AY30" s="98"/>
      <c r="AZ30" s="108"/>
      <c r="BA30" s="109" t="str">
        <f t="shared" si="17"/>
        <v/>
      </c>
      <c r="BB30" s="98"/>
      <c r="BC30" s="98"/>
      <c r="BD30" s="108"/>
      <c r="BE30" s="143"/>
      <c r="BF30" s="111" t="str">
        <f t="shared" si="18"/>
        <v/>
      </c>
      <c r="BG30" s="112" t="str">
        <f t="shared" si="19"/>
        <v/>
      </c>
      <c r="BH30" s="113" t="str">
        <f t="shared" si="20"/>
        <v/>
      </c>
      <c r="BI30" s="143" t="s">
        <v>254</v>
      </c>
      <c r="BJ30" s="114" t="str">
        <f t="shared" si="21"/>
        <v>AG663</v>
      </c>
      <c r="BK30" s="115" t="b">
        <f t="shared" si="45"/>
        <v>0</v>
      </c>
      <c r="BL30" s="114" t="str">
        <f t="shared" si="23"/>
        <v/>
      </c>
      <c r="BM30" s="108"/>
      <c r="BN30" s="7" t="b">
        <f t="shared" si="24"/>
        <v>0</v>
      </c>
      <c r="BO30" s="7" t="b">
        <f t="shared" si="25"/>
        <v>0</v>
      </c>
      <c r="BP30" s="7" t="b">
        <f t="shared" si="26"/>
        <v>0</v>
      </c>
      <c r="BQ30" s="118"/>
      <c r="BR30" s="119" t="s">
        <v>206</v>
      </c>
      <c r="BS30" s="7" t="b">
        <f t="shared" si="27"/>
        <v>1</v>
      </c>
      <c r="BT30" s="7"/>
      <c r="BU30" s="7"/>
      <c r="BV30" s="7"/>
      <c r="BW30" s="7"/>
    </row>
    <row r="31">
      <c r="A31" s="86" t="s">
        <v>255</v>
      </c>
      <c r="B31" s="87">
        <v>44678.0</v>
      </c>
      <c r="C31" s="88">
        <v>0.6180208333333334</v>
      </c>
      <c r="D31" s="89"/>
      <c r="E31" s="89"/>
      <c r="F31" s="89"/>
      <c r="G31" s="86"/>
      <c r="H31" s="89"/>
      <c r="I31" s="3"/>
      <c r="J31" s="3"/>
      <c r="K31" s="89" t="s">
        <v>228</v>
      </c>
      <c r="L31" s="36">
        <v>44678.0</v>
      </c>
      <c r="M31" s="91">
        <v>0.628449074074074</v>
      </c>
      <c r="N31" s="3"/>
      <c r="O31" s="92"/>
      <c r="P31" s="93" t="b">
        <f>IFNA(IF(VLOOKUP($A31,'Add from APT'!$AA$2:$AC264,3,FALSE)&gt;0,TRUE,FALSE),"ER - NOT IN APT")</f>
        <v>0</v>
      </c>
      <c r="Q31" s="94" t="str">
        <f>IF(ISLOGICAL(P31),IF(P31,"ER - REPS IN APT", IFNA(VLOOKUP($A31,RAW_APT!$A$3:$M264,7,FALSE),"ER - NOT IN APT")),P31)</f>
        <v>Result</v>
      </c>
      <c r="R31" s="95" t="b">
        <f t="shared" si="2"/>
        <v>1</v>
      </c>
      <c r="S31" s="96">
        <f t="shared" si="3"/>
        <v>1</v>
      </c>
      <c r="T31" s="97"/>
      <c r="U31" s="3"/>
      <c r="V31" s="3"/>
      <c r="W31" s="98"/>
      <c r="X31" s="99" t="b">
        <f t="shared" si="4"/>
        <v>0</v>
      </c>
      <c r="Y31" s="100"/>
      <c r="Z31" s="101" t="str">
        <f t="shared" si="5"/>
        <v/>
      </c>
      <c r="AA31" s="102" t="b">
        <f t="shared" si="6"/>
        <v>0</v>
      </c>
      <c r="AB31" s="98"/>
      <c r="AC31" s="103">
        <v>207.0</v>
      </c>
      <c r="AD31" s="104"/>
      <c r="AE31" s="105">
        <f t="shared" si="7"/>
        <v>15.01666667</v>
      </c>
      <c r="AF31" s="106" t="b">
        <f t="shared" si="8"/>
        <v>0</v>
      </c>
      <c r="AG31" s="93" t="b">
        <f t="shared" si="9"/>
        <v>1</v>
      </c>
      <c r="AH31" s="103">
        <v>1.0</v>
      </c>
      <c r="AI31" s="103"/>
      <c r="AJ31" s="97"/>
      <c r="AK31" s="101" t="str">
        <f t="shared" si="10"/>
        <v>DELETED</v>
      </c>
      <c r="AL31" s="98"/>
      <c r="AM31" s="94" t="s">
        <v>206</v>
      </c>
      <c r="AN31" s="94" t="s">
        <v>206</v>
      </c>
      <c r="AO31" s="102" t="str">
        <f>IFERROR(__xludf.DUMMYFUNCTION("IF($AG31, ""DELETED"",TRIM(JOIN("" "",D31:E31)))"),"DELETED")</f>
        <v>DELETED</v>
      </c>
      <c r="AP31" s="94" t="str">
        <f t="shared" ref="AP31:AQ31" si="56">IF($AG31, "DELETED", TRIM(CONCATENATE(F31,I31,U31)))</f>
        <v>DELETED</v>
      </c>
      <c r="AQ31" s="94" t="str">
        <f t="shared" si="56"/>
        <v>DELETED</v>
      </c>
      <c r="AR31" s="94" t="str">
        <f>IFERROR(__xludf.DUMMYFUNCTION("IF($AG31, ""DELETED"", TRIM(JOIN("" "",AP31,AQ31)))"),"DELETED")</f>
        <v>DELETED</v>
      </c>
      <c r="AS31" s="9"/>
      <c r="AT31" s="93" t="b">
        <f t="shared" si="12"/>
        <v>1</v>
      </c>
      <c r="AU31" s="93" t="str">
        <f t="shared" si="13"/>
        <v/>
      </c>
      <c r="AV31" s="93" t="str">
        <f t="shared" si="14"/>
        <v/>
      </c>
      <c r="AW31" s="93" t="str">
        <f t="shared" si="15"/>
        <v/>
      </c>
      <c r="AX31" s="107" t="str">
        <f t="shared" si="16"/>
        <v/>
      </c>
      <c r="AY31" s="98"/>
      <c r="AZ31" s="108"/>
      <c r="BA31" s="109" t="str">
        <f t="shared" si="17"/>
        <v/>
      </c>
      <c r="BB31" s="98"/>
      <c r="BC31" s="98"/>
      <c r="BD31" s="108"/>
      <c r="BE31" s="143"/>
      <c r="BF31" s="111" t="str">
        <f t="shared" si="18"/>
        <v/>
      </c>
      <c r="BG31" s="112" t="str">
        <f t="shared" si="19"/>
        <v/>
      </c>
      <c r="BH31" s="113" t="str">
        <f t="shared" si="20"/>
        <v/>
      </c>
      <c r="BI31" s="143" t="s">
        <v>256</v>
      </c>
      <c r="BJ31" s="114" t="str">
        <f t="shared" si="21"/>
        <v>AG718</v>
      </c>
      <c r="BK31" s="115" t="b">
        <f t="shared" si="45"/>
        <v>0</v>
      </c>
      <c r="BL31" s="114" t="str">
        <f t="shared" si="23"/>
        <v/>
      </c>
      <c r="BM31" s="108"/>
      <c r="BN31" s="7" t="b">
        <f t="shared" si="24"/>
        <v>0</v>
      </c>
      <c r="BO31" s="7" t="b">
        <f t="shared" si="25"/>
        <v>0</v>
      </c>
      <c r="BP31" s="7" t="b">
        <f t="shared" si="26"/>
        <v>0</v>
      </c>
      <c r="BQ31" s="118"/>
      <c r="BR31" s="119" t="s">
        <v>206</v>
      </c>
      <c r="BS31" s="7" t="b">
        <f t="shared" si="27"/>
        <v>1</v>
      </c>
      <c r="BT31" s="7"/>
      <c r="BU31" s="7"/>
      <c r="BV31" s="7"/>
      <c r="BW31" s="7"/>
    </row>
    <row r="32">
      <c r="A32" s="86" t="s">
        <v>257</v>
      </c>
      <c r="B32" s="87">
        <v>44678.0</v>
      </c>
      <c r="C32" s="88">
        <v>0.6181712962962963</v>
      </c>
      <c r="D32" s="89"/>
      <c r="E32" s="89"/>
      <c r="F32" s="89"/>
      <c r="G32" s="86"/>
      <c r="H32" s="90"/>
      <c r="I32" s="3"/>
      <c r="J32" s="3"/>
      <c r="K32" s="89" t="s">
        <v>228</v>
      </c>
      <c r="L32" s="36">
        <v>44678.0</v>
      </c>
      <c r="M32" s="91">
        <v>0.628449074074074</v>
      </c>
      <c r="N32" s="3"/>
      <c r="O32" s="92"/>
      <c r="P32" s="93" t="b">
        <f>IFNA(IF(VLOOKUP($A32,'Add from APT'!$AA$2:$AC264,3,FALSE)&gt;0,TRUE,FALSE),"ER - NOT IN APT")</f>
        <v>0</v>
      </c>
      <c r="Q32" s="94" t="str">
        <f>IF(ISLOGICAL(P32),IF(P32,"ER - REPS IN APT", IFNA(VLOOKUP($A32,RAW_APT!$A$3:$M264,7,FALSE),"ER - NOT IN APT")),P32)</f>
        <v>Result</v>
      </c>
      <c r="R32" s="95" t="b">
        <f t="shared" si="2"/>
        <v>1</v>
      </c>
      <c r="S32" s="96">
        <f t="shared" si="3"/>
        <v>1</v>
      </c>
      <c r="T32" s="97"/>
      <c r="U32" s="3"/>
      <c r="V32" s="3"/>
      <c r="W32" s="98"/>
      <c r="X32" s="99" t="b">
        <f t="shared" si="4"/>
        <v>0</v>
      </c>
      <c r="Y32" s="100"/>
      <c r="Z32" s="101" t="str">
        <f t="shared" si="5"/>
        <v/>
      </c>
      <c r="AA32" s="102" t="b">
        <f t="shared" si="6"/>
        <v>0</v>
      </c>
      <c r="AB32" s="98"/>
      <c r="AC32" s="103">
        <v>208.0</v>
      </c>
      <c r="AD32" s="104"/>
      <c r="AE32" s="105">
        <f t="shared" si="7"/>
        <v>14.8</v>
      </c>
      <c r="AF32" s="106" t="b">
        <f t="shared" si="8"/>
        <v>0</v>
      </c>
      <c r="AG32" s="93" t="b">
        <f t="shared" si="9"/>
        <v>1</v>
      </c>
      <c r="AH32" s="103">
        <v>1.0</v>
      </c>
      <c r="AI32" s="103"/>
      <c r="AJ32" s="97"/>
      <c r="AK32" s="101" t="str">
        <f t="shared" si="10"/>
        <v>DELETED</v>
      </c>
      <c r="AL32" s="98"/>
      <c r="AM32" s="94" t="s">
        <v>206</v>
      </c>
      <c r="AN32" s="94" t="s">
        <v>206</v>
      </c>
      <c r="AO32" s="102" t="str">
        <f>IFERROR(__xludf.DUMMYFUNCTION("IF($AG32, ""DELETED"",TRIM(JOIN("" "",D32:E32)))"),"DELETED")</f>
        <v>DELETED</v>
      </c>
      <c r="AP32" s="94" t="str">
        <f t="shared" ref="AP32:AQ32" si="57">IF($AG32, "DELETED", TRIM(CONCATENATE(F32,I32,U32)))</f>
        <v>DELETED</v>
      </c>
      <c r="AQ32" s="94" t="str">
        <f t="shared" si="57"/>
        <v>DELETED</v>
      </c>
      <c r="AR32" s="94" t="str">
        <f>IFERROR(__xludf.DUMMYFUNCTION("IF($AG32, ""DELETED"", TRIM(JOIN("" "",AP32,AQ32)))"),"DELETED")</f>
        <v>DELETED</v>
      </c>
      <c r="AS32" s="9"/>
      <c r="AT32" s="93" t="b">
        <f t="shared" si="12"/>
        <v>1</v>
      </c>
      <c r="AU32" s="93" t="str">
        <f t="shared" si="13"/>
        <v/>
      </c>
      <c r="AV32" s="93" t="str">
        <f t="shared" si="14"/>
        <v/>
      </c>
      <c r="AW32" s="93" t="str">
        <f t="shared" si="15"/>
        <v/>
      </c>
      <c r="AX32" s="107" t="str">
        <f t="shared" si="16"/>
        <v/>
      </c>
      <c r="AY32" s="98"/>
      <c r="AZ32" s="108"/>
      <c r="BA32" s="109" t="str">
        <f t="shared" si="17"/>
        <v/>
      </c>
      <c r="BB32" s="98"/>
      <c r="BC32" s="98"/>
      <c r="BD32" s="108"/>
      <c r="BE32" s="134"/>
      <c r="BF32" s="111" t="str">
        <f t="shared" si="18"/>
        <v/>
      </c>
      <c r="BG32" s="112" t="str">
        <f t="shared" si="19"/>
        <v/>
      </c>
      <c r="BH32" s="113" t="str">
        <f t="shared" si="20"/>
        <v/>
      </c>
      <c r="BI32" s="134" t="s">
        <v>258</v>
      </c>
      <c r="BJ32" s="114" t="str">
        <f t="shared" si="21"/>
        <v>AG815</v>
      </c>
      <c r="BK32" s="115" t="b">
        <f t="shared" si="45"/>
        <v>0</v>
      </c>
      <c r="BL32" s="114" t="str">
        <f t="shared" si="23"/>
        <v/>
      </c>
      <c r="BM32" s="108"/>
      <c r="BN32" s="7" t="b">
        <f t="shared" si="24"/>
        <v>0</v>
      </c>
      <c r="BO32" s="7" t="b">
        <f t="shared" si="25"/>
        <v>0</v>
      </c>
      <c r="BP32" s="7" t="b">
        <f t="shared" si="26"/>
        <v>0</v>
      </c>
      <c r="BQ32" s="118"/>
      <c r="BR32" s="119" t="s">
        <v>206</v>
      </c>
      <c r="BS32" s="7" t="b">
        <f t="shared" si="27"/>
        <v>1</v>
      </c>
      <c r="BT32" s="7"/>
      <c r="BU32" s="7"/>
      <c r="BV32" s="7"/>
      <c r="BW32" s="7"/>
    </row>
    <row r="33">
      <c r="A33" s="86" t="s">
        <v>259</v>
      </c>
      <c r="B33" s="87">
        <v>44678.0</v>
      </c>
      <c r="C33" s="88">
        <v>0.6183217592592593</v>
      </c>
      <c r="D33" s="89"/>
      <c r="E33" s="89"/>
      <c r="F33" s="89"/>
      <c r="G33" s="86"/>
      <c r="H33" s="90"/>
      <c r="I33" s="3"/>
      <c r="J33" s="3"/>
      <c r="K33" s="89" t="s">
        <v>228</v>
      </c>
      <c r="L33" s="36">
        <v>44678.0</v>
      </c>
      <c r="M33" s="91">
        <v>0.628449074074074</v>
      </c>
      <c r="N33" s="3"/>
      <c r="O33" s="92"/>
      <c r="P33" s="93" t="b">
        <f>IFNA(IF(VLOOKUP($A33,'Add from APT'!$AA$2:$AC264,3,FALSE)&gt;0,TRUE,FALSE),"ER - NOT IN APT")</f>
        <v>0</v>
      </c>
      <c r="Q33" s="94" t="str">
        <f>IF(ISLOGICAL(P33),IF(P33,"ER - REPS IN APT", IFNA(VLOOKUP($A33,RAW_APT!$A$3:$M264,7,FALSE),"ER - NOT IN APT")),P33)</f>
        <v>Result</v>
      </c>
      <c r="R33" s="95" t="b">
        <f t="shared" si="2"/>
        <v>1</v>
      </c>
      <c r="S33" s="96">
        <f t="shared" si="3"/>
        <v>1</v>
      </c>
      <c r="T33" s="97"/>
      <c r="U33" s="3"/>
      <c r="V33" s="3"/>
      <c r="W33" s="98"/>
      <c r="X33" s="99" t="b">
        <f t="shared" si="4"/>
        <v>0</v>
      </c>
      <c r="Y33" s="100"/>
      <c r="Z33" s="101" t="str">
        <f t="shared" si="5"/>
        <v/>
      </c>
      <c r="AA33" s="102" t="b">
        <f t="shared" si="6"/>
        <v>0</v>
      </c>
      <c r="AB33" s="98"/>
      <c r="AC33" s="103">
        <v>209.0</v>
      </c>
      <c r="AD33" s="104"/>
      <c r="AE33" s="105">
        <f t="shared" si="7"/>
        <v>14.58333333</v>
      </c>
      <c r="AF33" s="106" t="b">
        <f t="shared" si="8"/>
        <v>0</v>
      </c>
      <c r="AG33" s="93" t="b">
        <f t="shared" si="9"/>
        <v>1</v>
      </c>
      <c r="AH33" s="103">
        <v>1.0</v>
      </c>
      <c r="AI33" s="103"/>
      <c r="AJ33" s="97"/>
      <c r="AK33" s="101" t="str">
        <f t="shared" si="10"/>
        <v>DELETED</v>
      </c>
      <c r="AL33" s="98"/>
      <c r="AM33" s="94" t="s">
        <v>206</v>
      </c>
      <c r="AN33" s="94" t="s">
        <v>206</v>
      </c>
      <c r="AO33" s="102" t="str">
        <f>IFERROR(__xludf.DUMMYFUNCTION("IF($AG33, ""DELETED"",TRIM(JOIN("" "",D33:E33)))"),"DELETED")</f>
        <v>DELETED</v>
      </c>
      <c r="AP33" s="94" t="str">
        <f t="shared" ref="AP33:AQ33" si="58">IF($AG33, "DELETED", TRIM(CONCATENATE(F33,I33,U33)))</f>
        <v>DELETED</v>
      </c>
      <c r="AQ33" s="94" t="str">
        <f t="shared" si="58"/>
        <v>DELETED</v>
      </c>
      <c r="AR33" s="94" t="str">
        <f>IFERROR(__xludf.DUMMYFUNCTION("IF($AG33, ""DELETED"", TRIM(JOIN("" "",AP33,AQ33)))"),"DELETED")</f>
        <v>DELETED</v>
      </c>
      <c r="AS33" s="9"/>
      <c r="AT33" s="93" t="b">
        <f t="shared" si="12"/>
        <v>1</v>
      </c>
      <c r="AU33" s="93" t="str">
        <f t="shared" si="13"/>
        <v/>
      </c>
      <c r="AV33" s="93" t="str">
        <f t="shared" si="14"/>
        <v/>
      </c>
      <c r="AW33" s="93" t="str">
        <f t="shared" si="15"/>
        <v/>
      </c>
      <c r="AX33" s="107" t="str">
        <f t="shared" si="16"/>
        <v/>
      </c>
      <c r="AY33" s="98"/>
      <c r="AZ33" s="108"/>
      <c r="BA33" s="109" t="str">
        <f t="shared" si="17"/>
        <v/>
      </c>
      <c r="BB33" s="98"/>
      <c r="BC33" s="98"/>
      <c r="BD33" s="108"/>
      <c r="BE33" s="134"/>
      <c r="BF33" s="111" t="str">
        <f t="shared" si="18"/>
        <v/>
      </c>
      <c r="BG33" s="112" t="str">
        <f t="shared" si="19"/>
        <v/>
      </c>
      <c r="BH33" s="113" t="str">
        <f t="shared" si="20"/>
        <v/>
      </c>
      <c r="BI33" s="134" t="s">
        <v>260</v>
      </c>
      <c r="BJ33" s="114" t="str">
        <f t="shared" si="21"/>
        <v>AG91</v>
      </c>
      <c r="BK33" s="115" t="b">
        <f t="shared" si="45"/>
        <v>0</v>
      </c>
      <c r="BL33" s="114" t="str">
        <f t="shared" si="23"/>
        <v/>
      </c>
      <c r="BM33" s="108"/>
      <c r="BN33" s="7" t="b">
        <f t="shared" si="24"/>
        <v>0</v>
      </c>
      <c r="BO33" s="7" t="b">
        <f t="shared" si="25"/>
        <v>0</v>
      </c>
      <c r="BP33" s="7" t="b">
        <f t="shared" si="26"/>
        <v>0</v>
      </c>
      <c r="BQ33" s="118"/>
      <c r="BR33" s="119" t="s">
        <v>206</v>
      </c>
      <c r="BS33" s="7" t="b">
        <f t="shared" si="27"/>
        <v>1</v>
      </c>
      <c r="BT33" s="7"/>
      <c r="BU33" s="7"/>
      <c r="BV33" s="7"/>
      <c r="BW33" s="7"/>
    </row>
    <row r="34">
      <c r="A34" s="86" t="s">
        <v>261</v>
      </c>
      <c r="B34" s="87">
        <v>44678.0</v>
      </c>
      <c r="C34" s="88">
        <v>0.6184606481481482</v>
      </c>
      <c r="D34" s="89"/>
      <c r="E34" s="89"/>
      <c r="F34" s="89"/>
      <c r="G34" s="86"/>
      <c r="H34" s="89"/>
      <c r="I34" s="3"/>
      <c r="J34" s="3"/>
      <c r="K34" s="89" t="s">
        <v>228</v>
      </c>
      <c r="L34" s="36">
        <v>44678.0</v>
      </c>
      <c r="M34" s="91">
        <v>0.628449074074074</v>
      </c>
      <c r="N34" s="3"/>
      <c r="O34" s="92"/>
      <c r="P34" s="93" t="b">
        <f>IFNA(IF(VLOOKUP($A34,'Add from APT'!$AA$2:$AC264,3,FALSE)&gt;0,TRUE,FALSE),"ER - NOT IN APT")</f>
        <v>0</v>
      </c>
      <c r="Q34" s="94" t="str">
        <f>IF(ISLOGICAL(P34),IF(P34,"ER - REPS IN APT", IFNA(VLOOKUP($A34,RAW_APT!$A$3:$M264,7,FALSE),"ER - NOT IN APT")),P34)</f>
        <v>Result</v>
      </c>
      <c r="R34" s="95" t="b">
        <f t="shared" si="2"/>
        <v>1</v>
      </c>
      <c r="S34" s="96">
        <f t="shared" si="3"/>
        <v>1</v>
      </c>
      <c r="T34" s="97"/>
      <c r="U34" s="3"/>
      <c r="V34" s="3"/>
      <c r="W34" s="98"/>
      <c r="X34" s="99" t="b">
        <f t="shared" si="4"/>
        <v>0</v>
      </c>
      <c r="Y34" s="100"/>
      <c r="Z34" s="101" t="str">
        <f t="shared" si="5"/>
        <v/>
      </c>
      <c r="AA34" s="102" t="b">
        <f t="shared" si="6"/>
        <v>0</v>
      </c>
      <c r="AB34" s="98"/>
      <c r="AC34" s="103">
        <v>210.0</v>
      </c>
      <c r="AD34" s="104"/>
      <c r="AE34" s="105">
        <f t="shared" si="7"/>
        <v>14.38333333</v>
      </c>
      <c r="AF34" s="106" t="b">
        <f t="shared" si="8"/>
        <v>0</v>
      </c>
      <c r="AG34" s="93" t="b">
        <f t="shared" si="9"/>
        <v>1</v>
      </c>
      <c r="AH34" s="103">
        <v>1.0</v>
      </c>
      <c r="AI34" s="103"/>
      <c r="AJ34" s="97"/>
      <c r="AK34" s="101" t="str">
        <f t="shared" si="10"/>
        <v>DELETED</v>
      </c>
      <c r="AL34" s="98"/>
      <c r="AM34" s="94" t="s">
        <v>206</v>
      </c>
      <c r="AN34" s="94" t="s">
        <v>206</v>
      </c>
      <c r="AO34" s="102" t="str">
        <f>IFERROR(__xludf.DUMMYFUNCTION("IF($AG34, ""DELETED"",TRIM(JOIN("" "",D34:E34)))"),"DELETED")</f>
        <v>DELETED</v>
      </c>
      <c r="AP34" s="94" t="str">
        <f t="shared" ref="AP34:AQ34" si="59">IF($AG34, "DELETED", TRIM(CONCATENATE(F34,I34,U34)))</f>
        <v>DELETED</v>
      </c>
      <c r="AQ34" s="94" t="str">
        <f t="shared" si="59"/>
        <v>DELETED</v>
      </c>
      <c r="AR34" s="94" t="str">
        <f>IFERROR(__xludf.DUMMYFUNCTION("IF($AG34, ""DELETED"", TRIM(JOIN("" "",AP34,AQ34)))"),"DELETED")</f>
        <v>DELETED</v>
      </c>
      <c r="AS34" s="9"/>
      <c r="AT34" s="93" t="b">
        <f t="shared" si="12"/>
        <v>1</v>
      </c>
      <c r="AU34" s="93" t="str">
        <f t="shared" si="13"/>
        <v/>
      </c>
      <c r="AV34" s="93" t="str">
        <f t="shared" si="14"/>
        <v/>
      </c>
      <c r="AW34" s="93" t="str">
        <f t="shared" si="15"/>
        <v/>
      </c>
      <c r="AX34" s="107" t="str">
        <f t="shared" si="16"/>
        <v/>
      </c>
      <c r="AY34" s="98"/>
      <c r="AZ34" s="108"/>
      <c r="BA34" s="109" t="str">
        <f t="shared" si="17"/>
        <v/>
      </c>
      <c r="BB34" s="98"/>
      <c r="BC34" s="98"/>
      <c r="BD34" s="108"/>
      <c r="BE34" s="143"/>
      <c r="BF34" s="111" t="str">
        <f t="shared" si="18"/>
        <v/>
      </c>
      <c r="BG34" s="112" t="str">
        <f t="shared" si="19"/>
        <v/>
      </c>
      <c r="BH34" s="113" t="str">
        <f t="shared" si="20"/>
        <v/>
      </c>
      <c r="BI34" s="143" t="s">
        <v>262</v>
      </c>
      <c r="BJ34" s="114" t="str">
        <f t="shared" si="21"/>
        <v>AH1039</v>
      </c>
      <c r="BK34" s="115" t="b">
        <f t="shared" si="45"/>
        <v>0</v>
      </c>
      <c r="BL34" s="114" t="str">
        <f t="shared" si="23"/>
        <v/>
      </c>
      <c r="BM34" s="108"/>
      <c r="BN34" s="7" t="b">
        <f t="shared" si="24"/>
        <v>0</v>
      </c>
      <c r="BO34" s="7" t="b">
        <f t="shared" si="25"/>
        <v>0</v>
      </c>
      <c r="BP34" s="7" t="b">
        <f t="shared" si="26"/>
        <v>0</v>
      </c>
      <c r="BQ34" s="118"/>
      <c r="BR34" s="119" t="s">
        <v>206</v>
      </c>
      <c r="BS34" s="7" t="b">
        <f t="shared" si="27"/>
        <v>1</v>
      </c>
      <c r="BT34" s="7"/>
      <c r="BU34" s="7"/>
      <c r="BV34" s="7"/>
      <c r="BW34" s="7"/>
    </row>
    <row r="35">
      <c r="A35" s="86" t="s">
        <v>263</v>
      </c>
      <c r="B35" s="87">
        <v>44678.0</v>
      </c>
      <c r="C35" s="88">
        <v>0.6185995370370371</v>
      </c>
      <c r="D35" s="89"/>
      <c r="E35" s="89"/>
      <c r="F35" s="89"/>
      <c r="G35" s="86"/>
      <c r="H35" s="89"/>
      <c r="I35" s="121"/>
      <c r="J35" s="3"/>
      <c r="K35" s="89" t="s">
        <v>228</v>
      </c>
      <c r="L35" s="36">
        <v>44678.0</v>
      </c>
      <c r="M35" s="91">
        <v>0.628449074074074</v>
      </c>
      <c r="N35" s="3"/>
      <c r="O35" s="92"/>
      <c r="P35" s="93" t="b">
        <f>IFNA(IF(VLOOKUP($A35,'Add from APT'!$AA$2:$AC264,3,FALSE)&gt;0,TRUE,FALSE),"ER - NOT IN APT")</f>
        <v>0</v>
      </c>
      <c r="Q35" s="94" t="str">
        <f>IF(ISLOGICAL(P35),IF(P35,"ER - REPS IN APT", IFNA(VLOOKUP($A35,RAW_APT!$A$3:$M264,7,FALSE),"ER - NOT IN APT")),P35)</f>
        <v>Result</v>
      </c>
      <c r="R35" s="95" t="b">
        <f t="shared" si="2"/>
        <v>1</v>
      </c>
      <c r="S35" s="96">
        <f t="shared" si="3"/>
        <v>1</v>
      </c>
      <c r="T35" s="130"/>
      <c r="U35" s="3"/>
      <c r="V35" s="3"/>
      <c r="W35" s="3"/>
      <c r="X35" s="99" t="b">
        <f t="shared" si="4"/>
        <v>0</v>
      </c>
      <c r="Y35" s="7"/>
      <c r="Z35" s="101" t="str">
        <f t="shared" si="5"/>
        <v/>
      </c>
      <c r="AA35" s="102" t="b">
        <f t="shared" si="6"/>
        <v>0</v>
      </c>
      <c r="AB35" s="131"/>
      <c r="AC35" s="130">
        <v>211.0</v>
      </c>
      <c r="AD35" s="132"/>
      <c r="AE35" s="105">
        <f t="shared" si="7"/>
        <v>14.18333333</v>
      </c>
      <c r="AF35" s="106" t="b">
        <f t="shared" si="8"/>
        <v>0</v>
      </c>
      <c r="AG35" s="93" t="b">
        <f t="shared" si="9"/>
        <v>1</v>
      </c>
      <c r="AH35" s="130">
        <v>1.0</v>
      </c>
      <c r="AI35" s="13"/>
      <c r="AJ35" s="7"/>
      <c r="AK35" s="101" t="str">
        <f t="shared" si="10"/>
        <v>DELETED</v>
      </c>
      <c r="AL35" s="98"/>
      <c r="AM35" s="94" t="s">
        <v>206</v>
      </c>
      <c r="AN35" s="94" t="s">
        <v>206</v>
      </c>
      <c r="AO35" s="102" t="str">
        <f>IFERROR(__xludf.DUMMYFUNCTION("IF($AG35, ""DELETED"",TRIM(JOIN("" "",D35:E35)))"),"DELETED")</f>
        <v>DELETED</v>
      </c>
      <c r="AP35" s="94" t="str">
        <f t="shared" ref="AP35:AQ35" si="60">IF($AG35, "DELETED", TRIM(CONCATENATE(F35,I35,U35)))</f>
        <v>DELETED</v>
      </c>
      <c r="AQ35" s="94" t="str">
        <f t="shared" si="60"/>
        <v>DELETED</v>
      </c>
      <c r="AR35" s="94" t="str">
        <f>IFERROR(__xludf.DUMMYFUNCTION("IF($AG35, ""DELETED"", TRIM(JOIN("" "",AP35,AQ35)))"),"DELETED")</f>
        <v>DELETED</v>
      </c>
      <c r="AS35" s="9"/>
      <c r="AT35" s="93" t="b">
        <f t="shared" si="12"/>
        <v>1</v>
      </c>
      <c r="AU35" s="93" t="str">
        <f t="shared" si="13"/>
        <v/>
      </c>
      <c r="AV35" s="93" t="str">
        <f t="shared" si="14"/>
        <v/>
      </c>
      <c r="AW35" s="93" t="str">
        <f t="shared" si="15"/>
        <v/>
      </c>
      <c r="AX35" s="107" t="str">
        <f t="shared" si="16"/>
        <v/>
      </c>
      <c r="AY35" s="3"/>
      <c r="AZ35" s="129"/>
      <c r="BA35" s="109" t="str">
        <f t="shared" si="17"/>
        <v/>
      </c>
      <c r="BB35" s="3"/>
      <c r="BC35" s="3"/>
      <c r="BD35" s="108"/>
      <c r="BE35" s="134"/>
      <c r="BF35" s="111" t="str">
        <f t="shared" si="18"/>
        <v/>
      </c>
      <c r="BG35" s="112" t="str">
        <f t="shared" si="19"/>
        <v/>
      </c>
      <c r="BH35" s="113" t="str">
        <f t="shared" si="20"/>
        <v/>
      </c>
      <c r="BI35" s="134" t="s">
        <v>264</v>
      </c>
      <c r="BJ35" s="114" t="str">
        <f t="shared" si="21"/>
        <v>AH1486</v>
      </c>
      <c r="BK35" s="115" t="b">
        <f t="shared" si="45"/>
        <v>0</v>
      </c>
      <c r="BL35" s="114" t="str">
        <f t="shared" si="23"/>
        <v/>
      </c>
      <c r="BM35" s="108"/>
      <c r="BN35" s="7" t="b">
        <f t="shared" si="24"/>
        <v>0</v>
      </c>
      <c r="BO35" s="7" t="b">
        <f t="shared" si="25"/>
        <v>0</v>
      </c>
      <c r="BP35" s="7" t="b">
        <f t="shared" si="26"/>
        <v>0</v>
      </c>
      <c r="BQ35" s="118"/>
      <c r="BR35" s="119" t="s">
        <v>206</v>
      </c>
      <c r="BS35" s="7" t="b">
        <f t="shared" si="27"/>
        <v>1</v>
      </c>
      <c r="BT35" s="7"/>
      <c r="BU35" s="7"/>
      <c r="BV35" s="7"/>
      <c r="BW35" s="7"/>
    </row>
    <row r="36">
      <c r="A36" s="86" t="s">
        <v>265</v>
      </c>
      <c r="B36" s="87">
        <v>44679.0</v>
      </c>
      <c r="C36" s="88">
        <v>0.17568287037037036</v>
      </c>
      <c r="D36" s="89"/>
      <c r="E36" s="89"/>
      <c r="F36" s="89"/>
      <c r="G36" s="86"/>
      <c r="H36" s="90"/>
      <c r="I36" s="3"/>
      <c r="J36" s="3"/>
      <c r="K36" s="89" t="s">
        <v>205</v>
      </c>
      <c r="L36" s="36"/>
      <c r="M36" s="91"/>
      <c r="N36" s="3"/>
      <c r="O36" s="92"/>
      <c r="P36" s="93" t="b">
        <f>IFNA(IF(VLOOKUP($A36,'Add from APT'!$AA$2:$AC264,3,FALSE)&gt;0,TRUE,FALSE),"ER - NOT IN APT")</f>
        <v>0</v>
      </c>
      <c r="Q36" s="94" t="str">
        <f>IF(ISLOGICAL(P36),IF(P36,"ER - REPS IN APT", IFNA(VLOOKUP($A36,RAW_APT!$A$3:$M264,7,FALSE),"ER - NOT IN APT")),P36)</f>
        <v>Collected</v>
      </c>
      <c r="R36" s="95" t="b">
        <f t="shared" si="2"/>
        <v>1</v>
      </c>
      <c r="S36" s="96">
        <f t="shared" si="3"/>
        <v>2</v>
      </c>
      <c r="T36" s="97"/>
      <c r="U36" s="3"/>
      <c r="V36" s="3"/>
      <c r="W36" s="98"/>
      <c r="X36" s="99" t="b">
        <f t="shared" si="4"/>
        <v>0</v>
      </c>
      <c r="Y36" s="100"/>
      <c r="Z36" s="101" t="str">
        <f t="shared" si="5"/>
        <v/>
      </c>
      <c r="AA36" s="102" t="b">
        <f t="shared" si="6"/>
        <v>0</v>
      </c>
      <c r="AB36" s="98"/>
      <c r="AC36" s="103">
        <v>192.0</v>
      </c>
      <c r="AD36" s="104"/>
      <c r="AE36" s="105" t="str">
        <f t="shared" si="7"/>
        <v/>
      </c>
      <c r="AF36" s="106" t="b">
        <f t="shared" si="8"/>
        <v>0</v>
      </c>
      <c r="AG36" s="93" t="b">
        <f t="shared" si="9"/>
        <v>1</v>
      </c>
      <c r="AH36" s="103">
        <v>2.0</v>
      </c>
      <c r="AI36" s="103"/>
      <c r="AJ36" s="97"/>
      <c r="AK36" s="101" t="str">
        <f t="shared" si="10"/>
        <v>DELETED</v>
      </c>
      <c r="AL36" s="98"/>
      <c r="AM36" s="94" t="s">
        <v>206</v>
      </c>
      <c r="AN36" s="94" t="s">
        <v>206</v>
      </c>
      <c r="AO36" s="102" t="str">
        <f>IFERROR(__xludf.DUMMYFUNCTION("IF($AG36, ""DELETED"",TRIM(JOIN("" "",D36:E36)))"),"DELETED")</f>
        <v>DELETED</v>
      </c>
      <c r="AP36" s="94" t="str">
        <f t="shared" ref="AP36:AQ36" si="61">IF($AG36, "DELETED", TRIM(CONCATENATE(F36,I36,U36)))</f>
        <v>DELETED</v>
      </c>
      <c r="AQ36" s="94" t="str">
        <f t="shared" si="61"/>
        <v>DELETED</v>
      </c>
      <c r="AR36" s="94" t="str">
        <f>IFERROR(__xludf.DUMMYFUNCTION("IF($AG36, ""DELETED"", TRIM(JOIN("" "",AP36,AQ36)))"),"DELETED")</f>
        <v>DELETED</v>
      </c>
      <c r="AS36" s="9"/>
      <c r="AT36" s="93" t="b">
        <f t="shared" si="12"/>
        <v>1</v>
      </c>
      <c r="AU36" s="93" t="str">
        <f t="shared" si="13"/>
        <v/>
      </c>
      <c r="AV36" s="93" t="str">
        <f t="shared" si="14"/>
        <v/>
      </c>
      <c r="AW36" s="93" t="str">
        <f t="shared" si="15"/>
        <v/>
      </c>
      <c r="AX36" s="107" t="str">
        <f t="shared" si="16"/>
        <v/>
      </c>
      <c r="AY36" s="98"/>
      <c r="AZ36" s="108"/>
      <c r="BA36" s="109" t="str">
        <f t="shared" si="17"/>
        <v/>
      </c>
      <c r="BB36" s="98"/>
      <c r="BC36" s="98"/>
      <c r="BD36" s="108"/>
      <c r="BE36" s="134"/>
      <c r="BF36" s="111" t="str">
        <f t="shared" si="18"/>
        <v/>
      </c>
      <c r="BG36" s="112" t="str">
        <f t="shared" si="19"/>
        <v/>
      </c>
      <c r="BH36" s="113" t="str">
        <f t="shared" si="20"/>
        <v/>
      </c>
      <c r="BI36" s="134" t="s">
        <v>266</v>
      </c>
      <c r="BJ36" s="114" t="str">
        <f t="shared" si="21"/>
        <v>AH248</v>
      </c>
      <c r="BK36" s="115" t="b">
        <f t="shared" si="45"/>
        <v>0</v>
      </c>
      <c r="BL36" s="114" t="str">
        <f t="shared" si="23"/>
        <v/>
      </c>
      <c r="BM36" s="108"/>
      <c r="BN36" s="7" t="b">
        <f t="shared" si="24"/>
        <v>0</v>
      </c>
      <c r="BO36" s="7" t="b">
        <f t="shared" si="25"/>
        <v>0</v>
      </c>
      <c r="BP36" s="7" t="b">
        <f t="shared" si="26"/>
        <v>0</v>
      </c>
      <c r="BQ36" s="118"/>
      <c r="BR36" s="119" t="s">
        <v>206</v>
      </c>
      <c r="BS36" s="7" t="b">
        <f t="shared" si="27"/>
        <v>1</v>
      </c>
      <c r="BT36" s="7"/>
      <c r="BU36" s="7"/>
      <c r="BV36" s="7"/>
      <c r="BW36" s="7"/>
    </row>
    <row r="37">
      <c r="A37" s="86" t="s">
        <v>265</v>
      </c>
      <c r="B37" s="87">
        <v>44679.0</v>
      </c>
      <c r="C37" s="88">
        <v>0.17568287037037036</v>
      </c>
      <c r="D37" s="89"/>
      <c r="E37" s="89"/>
      <c r="F37" s="89"/>
      <c r="G37" s="86"/>
      <c r="H37" s="90"/>
      <c r="I37" s="3"/>
      <c r="J37" s="3"/>
      <c r="K37" s="89" t="s">
        <v>205</v>
      </c>
      <c r="L37" s="36"/>
      <c r="M37" s="91"/>
      <c r="N37" s="3"/>
      <c r="O37" s="92"/>
      <c r="P37" s="93" t="b">
        <f>IFNA(IF(VLOOKUP($A37,'Add from APT'!$AA$2:$AC264,3,FALSE)&gt;0,TRUE,FALSE),"ER - NOT IN APT")</f>
        <v>0</v>
      </c>
      <c r="Q37" s="94" t="str">
        <f>IF(ISLOGICAL(P37),IF(P37,"ER - REPS IN APT", IFNA(VLOOKUP($A37,RAW_APT!$A$3:$M264,7,FALSE),"ER - NOT IN APT")),P37)</f>
        <v>Collected</v>
      </c>
      <c r="R37" s="95" t="b">
        <f t="shared" si="2"/>
        <v>0</v>
      </c>
      <c r="S37" s="96">
        <f t="shared" si="3"/>
        <v>2</v>
      </c>
      <c r="T37" s="97"/>
      <c r="U37" s="3"/>
      <c r="V37" s="3"/>
      <c r="W37" s="98"/>
      <c r="X37" s="99" t="b">
        <f t="shared" si="4"/>
        <v>0</v>
      </c>
      <c r="Y37" s="100"/>
      <c r="Z37" s="101" t="str">
        <f t="shared" si="5"/>
        <v/>
      </c>
      <c r="AA37" s="102" t="b">
        <f t="shared" si="6"/>
        <v>0</v>
      </c>
      <c r="AB37" s="98"/>
      <c r="AC37" s="103">
        <v>193.0</v>
      </c>
      <c r="AD37" s="104"/>
      <c r="AE37" s="105" t="str">
        <f t="shared" si="7"/>
        <v/>
      </c>
      <c r="AF37" s="106" t="b">
        <f t="shared" si="8"/>
        <v>0</v>
      </c>
      <c r="AG37" s="93" t="b">
        <f t="shared" si="9"/>
        <v>1</v>
      </c>
      <c r="AH37" s="103">
        <v>2.0</v>
      </c>
      <c r="AI37" s="103"/>
      <c r="AJ37" s="97"/>
      <c r="AK37" s="101" t="str">
        <f t="shared" si="10"/>
        <v>DELETED</v>
      </c>
      <c r="AL37" s="98"/>
      <c r="AM37" s="94" t="s">
        <v>206</v>
      </c>
      <c r="AN37" s="94" t="s">
        <v>206</v>
      </c>
      <c r="AO37" s="102" t="str">
        <f>IFERROR(__xludf.DUMMYFUNCTION("IF($AG37, ""DELETED"",TRIM(JOIN("" "",D37:E37)))"),"DELETED")</f>
        <v>DELETED</v>
      </c>
      <c r="AP37" s="94" t="str">
        <f t="shared" ref="AP37:AQ37" si="62">IF($AG37, "DELETED", TRIM(CONCATENATE(F37,I37,U37)))</f>
        <v>DELETED</v>
      </c>
      <c r="AQ37" s="94" t="str">
        <f t="shared" si="62"/>
        <v>DELETED</v>
      </c>
      <c r="AR37" s="94" t="str">
        <f>IFERROR(__xludf.DUMMYFUNCTION("IF($AG37, ""DELETED"", TRIM(JOIN("" "",AP37,AQ37)))"),"DELETED")</f>
        <v>DELETED</v>
      </c>
      <c r="AS37" s="9"/>
      <c r="AT37" s="93" t="b">
        <f t="shared" si="12"/>
        <v>1</v>
      </c>
      <c r="AU37" s="93" t="str">
        <f t="shared" si="13"/>
        <v/>
      </c>
      <c r="AV37" s="93" t="str">
        <f t="shared" si="14"/>
        <v/>
      </c>
      <c r="AW37" s="93" t="str">
        <f t="shared" si="15"/>
        <v/>
      </c>
      <c r="AX37" s="107" t="str">
        <f t="shared" si="16"/>
        <v/>
      </c>
      <c r="AY37" s="98"/>
      <c r="AZ37" s="108"/>
      <c r="BA37" s="109" t="str">
        <f t="shared" si="17"/>
        <v/>
      </c>
      <c r="BB37" s="98"/>
      <c r="BC37" s="98"/>
      <c r="BD37" s="108"/>
      <c r="BE37" s="134"/>
      <c r="BF37" s="111" t="str">
        <f t="shared" si="18"/>
        <v/>
      </c>
      <c r="BG37" s="112" t="str">
        <f t="shared" si="19"/>
        <v/>
      </c>
      <c r="BH37" s="113" t="str">
        <f t="shared" si="20"/>
        <v/>
      </c>
      <c r="BI37" s="134" t="s">
        <v>267</v>
      </c>
      <c r="BJ37" s="114" t="str">
        <f t="shared" si="21"/>
        <v>AH258</v>
      </c>
      <c r="BK37" s="115" t="b">
        <f t="shared" si="45"/>
        <v>0</v>
      </c>
      <c r="BL37" s="114" t="str">
        <f t="shared" si="23"/>
        <v/>
      </c>
      <c r="BM37" s="108"/>
      <c r="BN37" s="7" t="b">
        <f t="shared" si="24"/>
        <v>0</v>
      </c>
      <c r="BO37" s="7" t="b">
        <f t="shared" si="25"/>
        <v>0</v>
      </c>
      <c r="BP37" s="7" t="b">
        <f t="shared" si="26"/>
        <v>0</v>
      </c>
      <c r="BQ37" s="118"/>
      <c r="BR37" s="119" t="s">
        <v>206</v>
      </c>
      <c r="BS37" s="7" t="b">
        <f t="shared" si="27"/>
        <v>1</v>
      </c>
      <c r="BT37" s="7"/>
      <c r="BU37" s="7"/>
      <c r="BV37" s="7"/>
      <c r="BW37" s="7"/>
    </row>
    <row r="38">
      <c r="A38" s="86" t="s">
        <v>268</v>
      </c>
      <c r="B38" s="87">
        <v>44679.0</v>
      </c>
      <c r="C38" s="88">
        <v>0.5215162037037037</v>
      </c>
      <c r="D38" s="89"/>
      <c r="E38" s="89"/>
      <c r="F38" s="89"/>
      <c r="G38" s="86"/>
      <c r="H38" s="90"/>
      <c r="I38" s="3"/>
      <c r="J38" s="3"/>
      <c r="K38" s="89" t="s">
        <v>205</v>
      </c>
      <c r="L38" s="36"/>
      <c r="M38" s="91"/>
      <c r="N38" s="3"/>
      <c r="O38" s="92"/>
      <c r="P38" s="93" t="b">
        <f>IFNA(IF(VLOOKUP($A38,'Add from APT'!$AA$2:$AC264,3,FALSE)&gt;0,TRUE,FALSE),"ER - NOT IN APT")</f>
        <v>0</v>
      </c>
      <c r="Q38" s="94" t="str">
        <f>IF(ISLOGICAL(P38),IF(P38,"ER - REPS IN APT", IFNA(VLOOKUP($A38,RAW_APT!$A$3:$M264,7,FALSE),"ER - NOT IN APT")),P38)</f>
        <v>Collected</v>
      </c>
      <c r="R38" s="95" t="b">
        <f t="shared" si="2"/>
        <v>1</v>
      </c>
      <c r="S38" s="96">
        <f t="shared" si="3"/>
        <v>4</v>
      </c>
      <c r="T38" s="130"/>
      <c r="U38" s="3"/>
      <c r="V38" s="3"/>
      <c r="W38" s="3"/>
      <c r="X38" s="99" t="b">
        <f t="shared" si="4"/>
        <v>0</v>
      </c>
      <c r="Y38" s="7"/>
      <c r="Z38" s="101" t="str">
        <f t="shared" si="5"/>
        <v/>
      </c>
      <c r="AA38" s="102" t="b">
        <f t="shared" si="6"/>
        <v>0</v>
      </c>
      <c r="AB38" s="131"/>
      <c r="AC38" s="130">
        <v>196.0</v>
      </c>
      <c r="AD38" s="132"/>
      <c r="AE38" s="105" t="str">
        <f t="shared" si="7"/>
        <v/>
      </c>
      <c r="AF38" s="106" t="b">
        <f t="shared" si="8"/>
        <v>0</v>
      </c>
      <c r="AG38" s="93" t="b">
        <f t="shared" si="9"/>
        <v>1</v>
      </c>
      <c r="AH38" s="130">
        <v>2.0</v>
      </c>
      <c r="AI38" s="13"/>
      <c r="AJ38" s="7"/>
      <c r="AK38" s="101" t="str">
        <f t="shared" si="10"/>
        <v>DELETED</v>
      </c>
      <c r="AL38" s="98"/>
      <c r="AM38" s="94" t="s">
        <v>206</v>
      </c>
      <c r="AN38" s="94" t="s">
        <v>206</v>
      </c>
      <c r="AO38" s="102" t="str">
        <f>IFERROR(__xludf.DUMMYFUNCTION("IF($AG38, ""DELETED"",TRIM(JOIN("" "",D38:E38)))"),"DELETED")</f>
        <v>DELETED</v>
      </c>
      <c r="AP38" s="94" t="str">
        <f t="shared" ref="AP38:AQ38" si="63">IF($AG38, "DELETED", TRIM(CONCATENATE(F38,I38,U38)))</f>
        <v>DELETED</v>
      </c>
      <c r="AQ38" s="94" t="str">
        <f t="shared" si="63"/>
        <v>DELETED</v>
      </c>
      <c r="AR38" s="94" t="str">
        <f>IFERROR(__xludf.DUMMYFUNCTION("IF($AG38, ""DELETED"", TRIM(JOIN("" "",AP38,AQ38)))"),"DELETED")</f>
        <v>DELETED</v>
      </c>
      <c r="AS38" s="9"/>
      <c r="AT38" s="93" t="b">
        <f t="shared" si="12"/>
        <v>1</v>
      </c>
      <c r="AU38" s="93" t="str">
        <f t="shared" si="13"/>
        <v/>
      </c>
      <c r="AV38" s="93" t="str">
        <f t="shared" si="14"/>
        <v/>
      </c>
      <c r="AW38" s="93" t="str">
        <f t="shared" si="15"/>
        <v/>
      </c>
      <c r="AX38" s="107" t="str">
        <f t="shared" si="16"/>
        <v/>
      </c>
      <c r="AY38" s="3"/>
      <c r="AZ38" s="129"/>
      <c r="BA38" s="109" t="str">
        <f t="shared" si="17"/>
        <v/>
      </c>
      <c r="BB38" s="3"/>
      <c r="BC38" s="3"/>
      <c r="BD38" s="108"/>
      <c r="BE38" s="134"/>
      <c r="BF38" s="111" t="str">
        <f t="shared" si="18"/>
        <v/>
      </c>
      <c r="BG38" s="112" t="str">
        <f t="shared" si="19"/>
        <v/>
      </c>
      <c r="BH38" s="113" t="str">
        <f t="shared" si="20"/>
        <v/>
      </c>
      <c r="BI38" s="134" t="s">
        <v>269</v>
      </c>
      <c r="BJ38" s="114" t="str">
        <f t="shared" si="21"/>
        <v>AH266</v>
      </c>
      <c r="BK38" s="115" t="b">
        <f t="shared" si="45"/>
        <v>0</v>
      </c>
      <c r="BL38" s="114" t="str">
        <f t="shared" si="23"/>
        <v/>
      </c>
      <c r="BM38" s="108"/>
      <c r="BN38" s="7" t="b">
        <f t="shared" si="24"/>
        <v>0</v>
      </c>
      <c r="BO38" s="7" t="b">
        <f t="shared" si="25"/>
        <v>0</v>
      </c>
      <c r="BP38" s="7" t="b">
        <f t="shared" si="26"/>
        <v>0</v>
      </c>
      <c r="BQ38" s="118"/>
      <c r="BR38" s="119" t="s">
        <v>206</v>
      </c>
      <c r="BS38" s="7" t="b">
        <f t="shared" si="27"/>
        <v>1</v>
      </c>
      <c r="BT38" s="7"/>
      <c r="BU38" s="7"/>
      <c r="BV38" s="7"/>
      <c r="BW38" s="7"/>
    </row>
    <row r="39">
      <c r="A39" s="86" t="s">
        <v>268</v>
      </c>
      <c r="B39" s="87">
        <v>44679.0</v>
      </c>
      <c r="C39" s="88">
        <v>0.5215162037037037</v>
      </c>
      <c r="D39" s="89"/>
      <c r="E39" s="89"/>
      <c r="F39" s="89"/>
      <c r="G39" s="86"/>
      <c r="H39" s="89"/>
      <c r="I39" s="3"/>
      <c r="J39" s="3"/>
      <c r="K39" s="89" t="s">
        <v>205</v>
      </c>
      <c r="L39" s="36"/>
      <c r="M39" s="91"/>
      <c r="N39" s="3"/>
      <c r="O39" s="92"/>
      <c r="P39" s="93" t="b">
        <f>IFNA(IF(VLOOKUP($A39,'Add from APT'!$AA$2:$AC264,3,FALSE)&gt;0,TRUE,FALSE),"ER - NOT IN APT")</f>
        <v>0</v>
      </c>
      <c r="Q39" s="94" t="str">
        <f>IF(ISLOGICAL(P39),IF(P39,"ER - REPS IN APT", IFNA(VLOOKUP($A39,RAW_APT!$A$3:$M264,7,FALSE),"ER - NOT IN APT")),P39)</f>
        <v>Collected</v>
      </c>
      <c r="R39" s="95" t="b">
        <f t="shared" si="2"/>
        <v>0</v>
      </c>
      <c r="S39" s="96">
        <f t="shared" si="3"/>
        <v>4</v>
      </c>
      <c r="T39" s="97"/>
      <c r="U39" s="3"/>
      <c r="V39" s="3"/>
      <c r="W39" s="98"/>
      <c r="X39" s="99" t="b">
        <f t="shared" si="4"/>
        <v>0</v>
      </c>
      <c r="Y39" s="100"/>
      <c r="Z39" s="101" t="str">
        <f t="shared" si="5"/>
        <v/>
      </c>
      <c r="AA39" s="102" t="b">
        <f t="shared" si="6"/>
        <v>0</v>
      </c>
      <c r="AB39" s="98"/>
      <c r="AC39" s="103">
        <v>194.0</v>
      </c>
      <c r="AD39" s="104"/>
      <c r="AE39" s="105" t="str">
        <f t="shared" si="7"/>
        <v/>
      </c>
      <c r="AF39" s="106" t="b">
        <f t="shared" si="8"/>
        <v>0</v>
      </c>
      <c r="AG39" s="93" t="b">
        <f t="shared" si="9"/>
        <v>1</v>
      </c>
      <c r="AH39" s="103">
        <v>2.0</v>
      </c>
      <c r="AI39" s="103"/>
      <c r="AJ39" s="97"/>
      <c r="AK39" s="101" t="str">
        <f t="shared" si="10"/>
        <v>DELETED</v>
      </c>
      <c r="AL39" s="98"/>
      <c r="AM39" s="94" t="s">
        <v>206</v>
      </c>
      <c r="AN39" s="94" t="s">
        <v>206</v>
      </c>
      <c r="AO39" s="102" t="str">
        <f>IFERROR(__xludf.DUMMYFUNCTION("IF($AG39, ""DELETED"",TRIM(JOIN("" "",D39:E39)))"),"DELETED")</f>
        <v>DELETED</v>
      </c>
      <c r="AP39" s="94" t="str">
        <f t="shared" ref="AP39:AQ39" si="64">IF($AG39, "DELETED", TRIM(CONCATENATE(F39,I39,U39)))</f>
        <v>DELETED</v>
      </c>
      <c r="AQ39" s="94" t="str">
        <f t="shared" si="64"/>
        <v>DELETED</v>
      </c>
      <c r="AR39" s="94" t="str">
        <f>IFERROR(__xludf.DUMMYFUNCTION("IF($AG39, ""DELETED"", TRIM(JOIN("" "",AP39,AQ39)))"),"DELETED")</f>
        <v>DELETED</v>
      </c>
      <c r="AS39" s="9"/>
      <c r="AT39" s="93" t="b">
        <f t="shared" si="12"/>
        <v>1</v>
      </c>
      <c r="AU39" s="93" t="str">
        <f t="shared" si="13"/>
        <v/>
      </c>
      <c r="AV39" s="93" t="str">
        <f t="shared" si="14"/>
        <v/>
      </c>
      <c r="AW39" s="93" t="str">
        <f t="shared" si="15"/>
        <v/>
      </c>
      <c r="AX39" s="107" t="str">
        <f t="shared" si="16"/>
        <v/>
      </c>
      <c r="AY39" s="98"/>
      <c r="AZ39" s="108"/>
      <c r="BA39" s="109" t="str">
        <f t="shared" si="17"/>
        <v/>
      </c>
      <c r="BB39" s="98"/>
      <c r="BC39" s="98"/>
      <c r="BD39" s="108"/>
      <c r="BE39" s="134"/>
      <c r="BF39" s="111" t="str">
        <f t="shared" si="18"/>
        <v/>
      </c>
      <c r="BG39" s="112" t="str">
        <f t="shared" si="19"/>
        <v/>
      </c>
      <c r="BH39" s="113" t="str">
        <f t="shared" si="20"/>
        <v/>
      </c>
      <c r="BI39" s="134" t="s">
        <v>270</v>
      </c>
      <c r="BJ39" s="114" t="str">
        <f t="shared" si="21"/>
        <v>AH330</v>
      </c>
      <c r="BK39" s="115" t="b">
        <f t="shared" si="45"/>
        <v>0</v>
      </c>
      <c r="BL39" s="114" t="str">
        <f t="shared" si="23"/>
        <v/>
      </c>
      <c r="BM39" s="108"/>
      <c r="BN39" s="7" t="b">
        <f t="shared" si="24"/>
        <v>0</v>
      </c>
      <c r="BO39" s="7" t="b">
        <f t="shared" si="25"/>
        <v>0</v>
      </c>
      <c r="BP39" s="7" t="b">
        <f t="shared" si="26"/>
        <v>0</v>
      </c>
      <c r="BQ39" s="118"/>
      <c r="BR39" s="119" t="s">
        <v>206</v>
      </c>
      <c r="BS39" s="7" t="b">
        <f t="shared" si="27"/>
        <v>1</v>
      </c>
      <c r="BT39" s="7"/>
      <c r="BU39" s="7"/>
      <c r="BV39" s="7"/>
      <c r="BW39" s="7"/>
    </row>
    <row r="40">
      <c r="A40" s="86" t="s">
        <v>268</v>
      </c>
      <c r="B40" s="87">
        <v>44679.0</v>
      </c>
      <c r="C40" s="88">
        <v>0.5215162037037037</v>
      </c>
      <c r="D40" s="89"/>
      <c r="E40" s="89"/>
      <c r="F40" s="3"/>
      <c r="G40" s="120"/>
      <c r="H40" s="3"/>
      <c r="I40" s="90"/>
      <c r="J40" s="89"/>
      <c r="K40" s="89" t="s">
        <v>205</v>
      </c>
      <c r="L40" s="36"/>
      <c r="M40" s="91"/>
      <c r="N40" s="3"/>
      <c r="O40" s="92"/>
      <c r="P40" s="93" t="b">
        <f>IFNA(IF(VLOOKUP($A40,'Add from APT'!$AA$2:$AC264,3,FALSE)&gt;0,TRUE,FALSE),"ER - NOT IN APT")</f>
        <v>0</v>
      </c>
      <c r="Q40" s="94" t="str">
        <f>IF(ISLOGICAL(P40),IF(P40,"ER - REPS IN APT", IFNA(VLOOKUP($A40,RAW_APT!$A$3:$M264,7,FALSE),"ER - NOT IN APT")),P40)</f>
        <v>Collected</v>
      </c>
      <c r="R40" s="95" t="b">
        <f t="shared" si="2"/>
        <v>0</v>
      </c>
      <c r="S40" s="96">
        <f t="shared" si="3"/>
        <v>4</v>
      </c>
      <c r="T40" s="97"/>
      <c r="U40" s="3"/>
      <c r="V40" s="3"/>
      <c r="W40" s="98"/>
      <c r="X40" s="99" t="b">
        <f t="shared" si="4"/>
        <v>0</v>
      </c>
      <c r="Y40" s="100"/>
      <c r="Z40" s="101" t="str">
        <f t="shared" si="5"/>
        <v/>
      </c>
      <c r="AA40" s="102" t="b">
        <f t="shared" si="6"/>
        <v>0</v>
      </c>
      <c r="AB40" s="98"/>
      <c r="AC40" s="103">
        <v>195.0</v>
      </c>
      <c r="AD40" s="104"/>
      <c r="AE40" s="105" t="str">
        <f t="shared" si="7"/>
        <v/>
      </c>
      <c r="AF40" s="106" t="b">
        <f t="shared" si="8"/>
        <v>0</v>
      </c>
      <c r="AG40" s="93" t="b">
        <f t="shared" si="9"/>
        <v>1</v>
      </c>
      <c r="AH40" s="103">
        <v>2.0</v>
      </c>
      <c r="AI40" s="103"/>
      <c r="AJ40" s="97"/>
      <c r="AK40" s="101" t="str">
        <f t="shared" si="10"/>
        <v>DELETED</v>
      </c>
      <c r="AL40" s="98"/>
      <c r="AM40" s="94" t="s">
        <v>206</v>
      </c>
      <c r="AN40" s="94" t="s">
        <v>206</v>
      </c>
      <c r="AO40" s="102" t="str">
        <f>IFERROR(__xludf.DUMMYFUNCTION("IF($AG40, ""DELETED"",TRIM(JOIN("" "",D40:E40)))"),"DELETED")</f>
        <v>DELETED</v>
      </c>
      <c r="AP40" s="94" t="str">
        <f t="shared" ref="AP40:AQ40" si="65">IF($AG40, "DELETED", TRIM(CONCATENATE(F40,I40,U40)))</f>
        <v>DELETED</v>
      </c>
      <c r="AQ40" s="94" t="str">
        <f t="shared" si="65"/>
        <v>DELETED</v>
      </c>
      <c r="AR40" s="94" t="str">
        <f>IFERROR(__xludf.DUMMYFUNCTION("IF($AG40, ""DELETED"", TRIM(JOIN("" "",AP40,AQ40)))"),"DELETED")</f>
        <v>DELETED</v>
      </c>
      <c r="AS40" s="9"/>
      <c r="AT40" s="93" t="b">
        <f t="shared" si="12"/>
        <v>1</v>
      </c>
      <c r="AU40" s="93" t="str">
        <f t="shared" si="13"/>
        <v/>
      </c>
      <c r="AV40" s="93" t="str">
        <f t="shared" si="14"/>
        <v/>
      </c>
      <c r="AW40" s="93" t="str">
        <f t="shared" si="15"/>
        <v/>
      </c>
      <c r="AX40" s="107" t="str">
        <f t="shared" si="16"/>
        <v/>
      </c>
      <c r="AY40" s="98"/>
      <c r="AZ40" s="108"/>
      <c r="BA40" s="109" t="str">
        <f t="shared" si="17"/>
        <v/>
      </c>
      <c r="BB40" s="98"/>
      <c r="BC40" s="98"/>
      <c r="BD40" s="108"/>
      <c r="BE40" s="134"/>
      <c r="BF40" s="111" t="str">
        <f t="shared" si="18"/>
        <v/>
      </c>
      <c r="BG40" s="112" t="str">
        <f t="shared" si="19"/>
        <v/>
      </c>
      <c r="BH40" s="113" t="str">
        <f t="shared" si="20"/>
        <v/>
      </c>
      <c r="BI40" s="134" t="s">
        <v>271</v>
      </c>
      <c r="BJ40" s="114" t="str">
        <f t="shared" si="21"/>
        <v>AH63</v>
      </c>
      <c r="BK40" s="115" t="b">
        <f t="shared" si="45"/>
        <v>0</v>
      </c>
      <c r="BL40" s="114" t="str">
        <f t="shared" si="23"/>
        <v/>
      </c>
      <c r="BM40" s="108"/>
      <c r="BN40" s="7" t="b">
        <f t="shared" si="24"/>
        <v>0</v>
      </c>
      <c r="BO40" s="7" t="b">
        <f t="shared" si="25"/>
        <v>0</v>
      </c>
      <c r="BP40" s="7" t="b">
        <f t="shared" si="26"/>
        <v>0</v>
      </c>
      <c r="BQ40" s="118"/>
      <c r="BR40" s="119" t="s">
        <v>206</v>
      </c>
      <c r="BS40" s="7" t="b">
        <f t="shared" si="27"/>
        <v>1</v>
      </c>
      <c r="BT40" s="7"/>
      <c r="BU40" s="7"/>
      <c r="BV40" s="7"/>
      <c r="BW40" s="7"/>
    </row>
    <row r="41">
      <c r="A41" s="86" t="s">
        <v>268</v>
      </c>
      <c r="B41" s="87">
        <v>44679.0</v>
      </c>
      <c r="C41" s="88">
        <v>0.5215162037037037</v>
      </c>
      <c r="D41" s="89"/>
      <c r="E41" s="89"/>
      <c r="F41" s="3"/>
      <c r="G41" s="120"/>
      <c r="H41" s="121"/>
      <c r="I41" s="89"/>
      <c r="J41" s="89"/>
      <c r="K41" s="89" t="s">
        <v>205</v>
      </c>
      <c r="L41" s="36"/>
      <c r="M41" s="91"/>
      <c r="N41" s="3"/>
      <c r="O41" s="92"/>
      <c r="P41" s="93" t="b">
        <f>IFNA(IF(VLOOKUP($A41,'Add from APT'!$AA$2:$AC264,3,FALSE)&gt;0,TRUE,FALSE),"ER - NOT IN APT")</f>
        <v>0</v>
      </c>
      <c r="Q41" s="94" t="str">
        <f>IF(ISLOGICAL(P41),IF(P41,"ER - REPS IN APT", IFNA(VLOOKUP($A41,RAW_APT!$A$3:$M264,7,FALSE),"ER - NOT IN APT")),P41)</f>
        <v>Collected</v>
      </c>
      <c r="R41" s="95" t="b">
        <f t="shared" si="2"/>
        <v>0</v>
      </c>
      <c r="S41" s="96">
        <f t="shared" si="3"/>
        <v>4</v>
      </c>
      <c r="T41" s="130"/>
      <c r="U41" s="3"/>
      <c r="V41" s="3"/>
      <c r="W41" s="3"/>
      <c r="X41" s="99" t="b">
        <f t="shared" si="4"/>
        <v>0</v>
      </c>
      <c r="Y41" s="7"/>
      <c r="Z41" s="101" t="str">
        <f t="shared" si="5"/>
        <v/>
      </c>
      <c r="AA41" s="102" t="b">
        <f t="shared" si="6"/>
        <v>0</v>
      </c>
      <c r="AB41" s="131"/>
      <c r="AC41" s="130">
        <v>197.0</v>
      </c>
      <c r="AD41" s="132"/>
      <c r="AE41" s="105" t="str">
        <f t="shared" si="7"/>
        <v/>
      </c>
      <c r="AF41" s="106" t="b">
        <f t="shared" si="8"/>
        <v>0</v>
      </c>
      <c r="AG41" s="93" t="b">
        <f t="shared" si="9"/>
        <v>1</v>
      </c>
      <c r="AH41" s="130">
        <v>2.0</v>
      </c>
      <c r="AI41" s="13"/>
      <c r="AJ41" s="7"/>
      <c r="AK41" s="101" t="str">
        <f t="shared" si="10"/>
        <v>DELETED</v>
      </c>
      <c r="AL41" s="98"/>
      <c r="AM41" s="94" t="s">
        <v>206</v>
      </c>
      <c r="AN41" s="94" t="s">
        <v>206</v>
      </c>
      <c r="AO41" s="102" t="str">
        <f>IFERROR(__xludf.DUMMYFUNCTION("IF($AG41, ""DELETED"",TRIM(JOIN("" "",D41:E41)))"),"DELETED")</f>
        <v>DELETED</v>
      </c>
      <c r="AP41" s="94" t="str">
        <f t="shared" ref="AP41:AQ41" si="66">IF($AG41, "DELETED", TRIM(CONCATENATE(F41,I41,U41)))</f>
        <v>DELETED</v>
      </c>
      <c r="AQ41" s="94" t="str">
        <f t="shared" si="66"/>
        <v>DELETED</v>
      </c>
      <c r="AR41" s="94" t="str">
        <f>IFERROR(__xludf.DUMMYFUNCTION("IF($AG41, ""DELETED"", TRIM(JOIN("" "",AP41,AQ41)))"),"DELETED")</f>
        <v>DELETED</v>
      </c>
      <c r="AS41" s="9"/>
      <c r="AT41" s="93" t="b">
        <f t="shared" si="12"/>
        <v>1</v>
      </c>
      <c r="AU41" s="93" t="str">
        <f t="shared" si="13"/>
        <v/>
      </c>
      <c r="AV41" s="93" t="str">
        <f t="shared" si="14"/>
        <v/>
      </c>
      <c r="AW41" s="93" t="str">
        <f t="shared" si="15"/>
        <v/>
      </c>
      <c r="AX41" s="107" t="str">
        <f t="shared" si="16"/>
        <v/>
      </c>
      <c r="AY41" s="3"/>
      <c r="AZ41" s="129"/>
      <c r="BA41" s="109" t="str">
        <f t="shared" si="17"/>
        <v/>
      </c>
      <c r="BB41" s="3"/>
      <c r="BC41" s="3"/>
      <c r="BD41" s="108"/>
      <c r="BE41" s="134"/>
      <c r="BF41" s="111" t="str">
        <f t="shared" si="18"/>
        <v/>
      </c>
      <c r="BG41" s="112" t="str">
        <f t="shared" si="19"/>
        <v/>
      </c>
      <c r="BH41" s="113" t="str">
        <f t="shared" si="20"/>
        <v/>
      </c>
      <c r="BI41" s="134" t="s">
        <v>272</v>
      </c>
      <c r="BJ41" s="114" t="str">
        <f t="shared" si="21"/>
        <v>AH6802</v>
      </c>
      <c r="BK41" s="115" t="b">
        <f t="shared" si="45"/>
        <v>0</v>
      </c>
      <c r="BL41" s="114" t="str">
        <f t="shared" si="23"/>
        <v/>
      </c>
      <c r="BM41" s="108"/>
      <c r="BN41" s="7" t="b">
        <f t="shared" si="24"/>
        <v>0</v>
      </c>
      <c r="BO41" s="7" t="b">
        <f t="shared" si="25"/>
        <v>0</v>
      </c>
      <c r="BP41" s="7" t="b">
        <f t="shared" si="26"/>
        <v>0</v>
      </c>
      <c r="BQ41" s="118"/>
      <c r="BR41" s="119" t="s">
        <v>206</v>
      </c>
      <c r="BS41" s="7" t="b">
        <f t="shared" si="27"/>
        <v>1</v>
      </c>
      <c r="BT41" s="7"/>
      <c r="BU41" s="7"/>
      <c r="BV41" s="7"/>
      <c r="BW41" s="7"/>
    </row>
    <row r="42">
      <c r="A42" s="86" t="s">
        <v>273</v>
      </c>
      <c r="B42" s="87">
        <v>44683.0</v>
      </c>
      <c r="C42" s="88">
        <v>0.17497685185185186</v>
      </c>
      <c r="D42" s="89"/>
      <c r="E42" s="89"/>
      <c r="F42" s="9"/>
      <c r="G42" s="86"/>
      <c r="H42" s="89"/>
      <c r="I42" s="9"/>
      <c r="J42" s="89"/>
      <c r="K42" s="89" t="s">
        <v>228</v>
      </c>
      <c r="L42" s="36">
        <v>44683.0</v>
      </c>
      <c r="M42" s="91">
        <v>0.3578125</v>
      </c>
      <c r="N42" s="3"/>
      <c r="O42" s="142"/>
      <c r="P42" s="93" t="b">
        <f>IFNA(IF(VLOOKUP($A42,'Add from APT'!$AA$2:$AC264,3,FALSE)&gt;0,TRUE,FALSE),"ER - NOT IN APT")</f>
        <v>0</v>
      </c>
      <c r="Q42" s="94" t="str">
        <f>IF(ISLOGICAL(P42),IF(P42,"ER - REPS IN APT", IFNA(VLOOKUP($A42,RAW_APT!$A$3:$M264,7,FALSE),"ER - NOT IN APT")),P42)</f>
        <v>Result</v>
      </c>
      <c r="R42" s="95" t="b">
        <f t="shared" si="2"/>
        <v>1</v>
      </c>
      <c r="S42" s="96">
        <f t="shared" si="3"/>
        <v>4</v>
      </c>
      <c r="T42" s="103">
        <v>2.0</v>
      </c>
      <c r="U42" s="9"/>
      <c r="V42" s="89"/>
      <c r="W42" s="98"/>
      <c r="X42" s="99" t="b">
        <f t="shared" si="4"/>
        <v>0</v>
      </c>
      <c r="Y42" s="100"/>
      <c r="Z42" s="101" t="str">
        <f t="shared" si="5"/>
        <v/>
      </c>
      <c r="AA42" s="102" t="b">
        <f t="shared" si="6"/>
        <v>0</v>
      </c>
      <c r="AB42" s="98"/>
      <c r="AC42" s="103">
        <v>167.0</v>
      </c>
      <c r="AD42" s="104"/>
      <c r="AE42" s="105">
        <f t="shared" si="7"/>
        <v>263.2833333</v>
      </c>
      <c r="AF42" s="106" t="b">
        <f t="shared" si="8"/>
        <v>0</v>
      </c>
      <c r="AG42" s="93" t="b">
        <f t="shared" si="9"/>
        <v>0</v>
      </c>
      <c r="AH42" s="103"/>
      <c r="AI42" s="103"/>
      <c r="AJ42" s="97"/>
      <c r="AK42" s="101" t="str">
        <f t="shared" si="10"/>
        <v>Negative</v>
      </c>
      <c r="AL42" s="98"/>
      <c r="AM42" s="94" t="s">
        <v>274</v>
      </c>
      <c r="AN42" s="94" t="s">
        <v>275</v>
      </c>
      <c r="AO42" s="102" t="str">
        <f>IFERROR(__xludf.DUMMYFUNCTION("IF($AG42, ""DELETED"",TRIM(JOIN("" "",D42:E42)))"),"")</f>
        <v/>
      </c>
      <c r="AP42" s="94" t="str">
        <f t="shared" ref="AP42:AQ42" si="67">IF($AG42, "DELETED", TRIM(CONCATENATE(F42,I42,U42)))</f>
        <v/>
      </c>
      <c r="AQ42" s="94" t="str">
        <f t="shared" si="67"/>
        <v/>
      </c>
      <c r="AR42" s="94" t="str">
        <f>IFERROR(__xludf.DUMMYFUNCTION("IF($AG42, ""DELETED"", TRIM(JOIN("" "",AP42,AQ42)))"),"")</f>
        <v/>
      </c>
      <c r="AS42" s="9"/>
      <c r="AT42" s="93" t="b">
        <f t="shared" si="12"/>
        <v>0</v>
      </c>
      <c r="AU42" s="93" t="str">
        <f t="shared" si="13"/>
        <v/>
      </c>
      <c r="AV42" s="93" t="str">
        <f t="shared" si="14"/>
        <v/>
      </c>
      <c r="AW42" s="93" t="str">
        <f t="shared" si="15"/>
        <v/>
      </c>
      <c r="AX42" s="107" t="str">
        <f t="shared" si="16"/>
        <v/>
      </c>
      <c r="AY42" s="98"/>
      <c r="AZ42" s="108"/>
      <c r="BA42" s="109" t="str">
        <f t="shared" si="17"/>
        <v/>
      </c>
      <c r="BB42" s="98"/>
      <c r="BC42" s="98"/>
      <c r="BD42" s="108"/>
      <c r="BE42" s="134"/>
      <c r="BF42" s="111" t="str">
        <f t="shared" si="18"/>
        <v/>
      </c>
      <c r="BG42" s="112" t="str">
        <f t="shared" si="19"/>
        <v>AG575__44683_0.174976851851852___Negative_44683_0.3578125_</v>
      </c>
      <c r="BH42" s="113" t="str">
        <f t="shared" si="20"/>
        <v/>
      </c>
      <c r="BI42" s="134" t="s">
        <v>276</v>
      </c>
      <c r="BJ42" s="114" t="str">
        <f t="shared" si="21"/>
        <v>AH6875</v>
      </c>
      <c r="BK42" s="115" t="b">
        <f t="shared" si="45"/>
        <v>0</v>
      </c>
      <c r="BL42" s="114" t="str">
        <f t="shared" si="23"/>
        <v/>
      </c>
      <c r="BM42" s="108"/>
      <c r="BN42" s="7" t="b">
        <f t="shared" si="24"/>
        <v>1</v>
      </c>
      <c r="BO42" s="7" t="b">
        <f t="shared" si="25"/>
        <v>0</v>
      </c>
      <c r="BP42" s="7" t="b">
        <f t="shared" si="26"/>
        <v>1</v>
      </c>
      <c r="BQ42" s="118"/>
      <c r="BR42" s="119" t="s">
        <v>228</v>
      </c>
      <c r="BS42" s="7" t="b">
        <f t="shared" si="27"/>
        <v>1</v>
      </c>
      <c r="BT42" s="7"/>
      <c r="BU42" s="7"/>
      <c r="BV42" s="7"/>
      <c r="BW42" s="7"/>
    </row>
    <row r="43">
      <c r="A43" s="86" t="s">
        <v>273</v>
      </c>
      <c r="B43" s="87">
        <v>44683.0</v>
      </c>
      <c r="C43" s="88">
        <v>0.17497685185185186</v>
      </c>
      <c r="D43" s="89"/>
      <c r="E43" s="89"/>
      <c r="F43" s="9"/>
      <c r="G43" s="86"/>
      <c r="H43" s="90"/>
      <c r="I43" s="9"/>
      <c r="J43" s="89"/>
      <c r="K43" s="89" t="s">
        <v>228</v>
      </c>
      <c r="L43" s="36">
        <v>44683.0</v>
      </c>
      <c r="M43" s="91">
        <v>0.3578125</v>
      </c>
      <c r="N43" s="3"/>
      <c r="O43" s="142"/>
      <c r="P43" s="93" t="b">
        <f>IFNA(IF(VLOOKUP($A43,'Add from APT'!$AA$2:$AC264,3,FALSE)&gt;0,TRUE,FALSE),"ER - NOT IN APT")</f>
        <v>0</v>
      </c>
      <c r="Q43" s="94" t="str">
        <f>IF(ISLOGICAL(P43),IF(P43,"ER - REPS IN APT", IFNA(VLOOKUP($A43,RAW_APT!$A$3:$M264,7,FALSE),"ER - NOT IN APT")),P43)</f>
        <v>Result</v>
      </c>
      <c r="R43" s="95" t="b">
        <f t="shared" si="2"/>
        <v>0</v>
      </c>
      <c r="S43" s="96">
        <f t="shared" si="3"/>
        <v>4</v>
      </c>
      <c r="T43" s="144">
        <v>2.0</v>
      </c>
      <c r="U43" s="9"/>
      <c r="V43" s="89"/>
      <c r="W43" s="145"/>
      <c r="X43" s="99" t="b">
        <f t="shared" si="4"/>
        <v>0</v>
      </c>
      <c r="Y43" s="146"/>
      <c r="Z43" s="101" t="str">
        <f t="shared" si="5"/>
        <v/>
      </c>
      <c r="AA43" s="102" t="b">
        <f t="shared" si="6"/>
        <v>0</v>
      </c>
      <c r="AB43" s="145"/>
      <c r="AC43" s="144">
        <v>166.0</v>
      </c>
      <c r="AD43" s="147"/>
      <c r="AE43" s="105">
        <f t="shared" si="7"/>
        <v>263.2833333</v>
      </c>
      <c r="AF43" s="106" t="b">
        <f t="shared" si="8"/>
        <v>0</v>
      </c>
      <c r="AG43" s="93" t="b">
        <f t="shared" si="9"/>
        <v>0</v>
      </c>
      <c r="AH43" s="147"/>
      <c r="AI43" s="147"/>
      <c r="AJ43" s="145"/>
      <c r="AK43" s="101" t="str">
        <f t="shared" si="10"/>
        <v>Negative</v>
      </c>
      <c r="AL43" s="98"/>
      <c r="AM43" s="94" t="s">
        <v>274</v>
      </c>
      <c r="AN43" s="94" t="s">
        <v>277</v>
      </c>
      <c r="AO43" s="102" t="str">
        <f>IFERROR(__xludf.DUMMYFUNCTION("IF($AG43, ""DELETED"",TRIM(JOIN("" "",D43:E43)))"),"")</f>
        <v/>
      </c>
      <c r="AP43" s="94" t="str">
        <f t="shared" ref="AP43:AQ43" si="68">IF($AG43, "DELETED", TRIM(CONCATENATE(F43,I43,U43)))</f>
        <v/>
      </c>
      <c r="AQ43" s="94" t="str">
        <f t="shared" si="68"/>
        <v/>
      </c>
      <c r="AR43" s="94" t="str">
        <f>IFERROR(__xludf.DUMMYFUNCTION("IF($AG43, ""DELETED"", TRIM(JOIN("" "",AP43,AQ43)))"),"")</f>
        <v/>
      </c>
      <c r="AS43" s="148"/>
      <c r="AT43" s="93" t="b">
        <f t="shared" si="12"/>
        <v>0</v>
      </c>
      <c r="AU43" s="93" t="str">
        <f t="shared" si="13"/>
        <v/>
      </c>
      <c r="AV43" s="93" t="str">
        <f t="shared" si="14"/>
        <v/>
      </c>
      <c r="AW43" s="93" t="str">
        <f t="shared" si="15"/>
        <v/>
      </c>
      <c r="AX43" s="107" t="str">
        <f t="shared" si="16"/>
        <v/>
      </c>
      <c r="AY43" s="145"/>
      <c r="AZ43" s="149"/>
      <c r="BA43" s="109" t="str">
        <f t="shared" si="17"/>
        <v/>
      </c>
      <c r="BB43" s="145"/>
      <c r="BC43" s="145"/>
      <c r="BD43" s="108"/>
      <c r="BE43" s="134"/>
      <c r="BF43" s="111" t="str">
        <f t="shared" si="18"/>
        <v/>
      </c>
      <c r="BG43" s="112" t="str">
        <f t="shared" si="19"/>
        <v>AG575__44683_0.174976851851852___Negative_44683_0.3578125_</v>
      </c>
      <c r="BH43" s="113" t="str">
        <f t="shared" si="20"/>
        <v/>
      </c>
      <c r="BI43" s="134" t="s">
        <v>278</v>
      </c>
      <c r="BJ43" s="114" t="str">
        <f t="shared" si="21"/>
        <v>AH707</v>
      </c>
      <c r="BK43" s="115" t="b">
        <f t="shared" si="45"/>
        <v>0</v>
      </c>
      <c r="BL43" s="114" t="str">
        <f t="shared" si="23"/>
        <v/>
      </c>
      <c r="BM43" s="108"/>
      <c r="BN43" s="7" t="b">
        <f t="shared" si="24"/>
        <v>1</v>
      </c>
      <c r="BO43" s="7" t="b">
        <f t="shared" si="25"/>
        <v>0</v>
      </c>
      <c r="BP43" s="7" t="b">
        <f t="shared" si="26"/>
        <v>1</v>
      </c>
      <c r="BQ43" s="118"/>
      <c r="BR43" s="119" t="s">
        <v>228</v>
      </c>
      <c r="BS43" s="7" t="b">
        <f t="shared" si="27"/>
        <v>1</v>
      </c>
      <c r="BT43" s="7"/>
      <c r="BU43" s="7"/>
      <c r="BV43" s="7"/>
      <c r="BW43" s="7"/>
    </row>
    <row r="44">
      <c r="A44" s="86" t="s">
        <v>273</v>
      </c>
      <c r="B44" s="87">
        <v>44683.0</v>
      </c>
      <c r="C44" s="88">
        <v>0.17497685185185186</v>
      </c>
      <c r="D44" s="89"/>
      <c r="E44" s="89"/>
      <c r="F44" s="89"/>
      <c r="G44" s="86"/>
      <c r="H44" s="89"/>
      <c r="I44" s="3"/>
      <c r="J44" s="3"/>
      <c r="K44" s="89" t="s">
        <v>228</v>
      </c>
      <c r="L44" s="36">
        <v>44683.0</v>
      </c>
      <c r="M44" s="91">
        <v>0.3578125</v>
      </c>
      <c r="N44" s="3"/>
      <c r="O44" s="142"/>
      <c r="P44" s="93" t="b">
        <f>IFNA(IF(VLOOKUP($A44,'Add from APT'!$AA$2:$AC264,3,FALSE)&gt;0,TRUE,FALSE),"ER - NOT IN APT")</f>
        <v>0</v>
      </c>
      <c r="Q44" s="94" t="str">
        <f>IF(ISLOGICAL(P44),IF(P44,"ER - REPS IN APT", IFNA(VLOOKUP($A44,RAW_APT!$A$3:$M264,7,FALSE),"ER - NOT IN APT")),P44)</f>
        <v>Result</v>
      </c>
      <c r="R44" s="95" t="b">
        <f t="shared" si="2"/>
        <v>0</v>
      </c>
      <c r="S44" s="96">
        <f t="shared" si="3"/>
        <v>4</v>
      </c>
      <c r="T44" s="103">
        <v>2.0</v>
      </c>
      <c r="U44" s="3"/>
      <c r="V44" s="3"/>
      <c r="W44" s="98"/>
      <c r="X44" s="99" t="b">
        <f t="shared" si="4"/>
        <v>0</v>
      </c>
      <c r="Y44" s="100"/>
      <c r="Z44" s="101" t="str">
        <f t="shared" si="5"/>
        <v/>
      </c>
      <c r="AA44" s="102" t="b">
        <f t="shared" si="6"/>
        <v>0</v>
      </c>
      <c r="AB44" s="98"/>
      <c r="AC44" s="103">
        <v>167.0</v>
      </c>
      <c r="AD44" s="104"/>
      <c r="AE44" s="105">
        <f t="shared" si="7"/>
        <v>263.2833333</v>
      </c>
      <c r="AF44" s="106" t="b">
        <f t="shared" si="8"/>
        <v>0</v>
      </c>
      <c r="AG44" s="93" t="b">
        <f t="shared" si="9"/>
        <v>0</v>
      </c>
      <c r="AH44" s="103"/>
      <c r="AI44" s="103"/>
      <c r="AJ44" s="97"/>
      <c r="AK44" s="101" t="str">
        <f t="shared" si="10"/>
        <v>Negative</v>
      </c>
      <c r="AL44" s="104"/>
      <c r="AM44" s="94" t="s">
        <v>274</v>
      </c>
      <c r="AN44" s="94" t="s">
        <v>279</v>
      </c>
      <c r="AO44" s="102" t="str">
        <f>IFERROR(__xludf.DUMMYFUNCTION("IF($AG44, ""DELETED"",TRIM(JOIN("" "",D44:E44)))"),"")</f>
        <v/>
      </c>
      <c r="AP44" s="94" t="str">
        <f t="shared" ref="AP44:AQ44" si="69">IF($AG44, "DELETED", TRIM(CONCATENATE(F44,I44,U44)))</f>
        <v/>
      </c>
      <c r="AQ44" s="94" t="str">
        <f t="shared" si="69"/>
        <v/>
      </c>
      <c r="AR44" s="94" t="str">
        <f>IFERROR(__xludf.DUMMYFUNCTION("IF($AG44, ""DELETED"", TRIM(JOIN("" "",AP44,AQ44)))"),"")</f>
        <v/>
      </c>
      <c r="AS44" s="9"/>
      <c r="AT44" s="93" t="b">
        <f t="shared" si="12"/>
        <v>0</v>
      </c>
      <c r="AU44" s="93" t="str">
        <f t="shared" si="13"/>
        <v/>
      </c>
      <c r="AV44" s="93" t="str">
        <f t="shared" si="14"/>
        <v/>
      </c>
      <c r="AW44" s="93" t="str">
        <f t="shared" si="15"/>
        <v/>
      </c>
      <c r="AX44" s="107" t="str">
        <f t="shared" si="16"/>
        <v/>
      </c>
      <c r="AY44" s="98"/>
      <c r="AZ44" s="108"/>
      <c r="BA44" s="109" t="str">
        <f t="shared" si="17"/>
        <v/>
      </c>
      <c r="BB44" s="98"/>
      <c r="BC44" s="98"/>
      <c r="BD44" s="108"/>
      <c r="BE44" s="134"/>
      <c r="BF44" s="111" t="str">
        <f t="shared" si="18"/>
        <v/>
      </c>
      <c r="BG44" s="112" t="str">
        <f t="shared" si="19"/>
        <v>AG575__44683_0.174976851851852___Negative_44683_0.3578125_</v>
      </c>
      <c r="BH44" s="113" t="str">
        <f t="shared" si="20"/>
        <v/>
      </c>
      <c r="BI44" s="134" t="s">
        <v>280</v>
      </c>
      <c r="BJ44" s="114" t="str">
        <f t="shared" si="21"/>
        <v>AH7211</v>
      </c>
      <c r="BK44" s="115" t="b">
        <f t="shared" si="45"/>
        <v>0</v>
      </c>
      <c r="BL44" s="114" t="str">
        <f t="shared" si="23"/>
        <v/>
      </c>
      <c r="BM44" s="108"/>
      <c r="BN44" s="7" t="b">
        <f t="shared" si="24"/>
        <v>1</v>
      </c>
      <c r="BO44" s="7" t="b">
        <f t="shared" si="25"/>
        <v>0</v>
      </c>
      <c r="BP44" s="7" t="b">
        <f t="shared" si="26"/>
        <v>1</v>
      </c>
      <c r="BQ44" s="118"/>
      <c r="BR44" s="119" t="s">
        <v>228</v>
      </c>
      <c r="BS44" s="7" t="b">
        <f t="shared" si="27"/>
        <v>1</v>
      </c>
      <c r="BT44" s="7"/>
      <c r="BU44" s="7"/>
      <c r="BV44" s="7"/>
      <c r="BW44" s="7"/>
    </row>
    <row r="45">
      <c r="A45" s="86" t="s">
        <v>273</v>
      </c>
      <c r="B45" s="87">
        <v>44683.0</v>
      </c>
      <c r="C45" s="88">
        <v>0.17497685185185186</v>
      </c>
      <c r="D45" s="89"/>
      <c r="E45" s="89"/>
      <c r="F45" s="89"/>
      <c r="G45" s="86"/>
      <c r="H45" s="90"/>
      <c r="I45" s="3"/>
      <c r="J45" s="3"/>
      <c r="K45" s="89" t="s">
        <v>228</v>
      </c>
      <c r="L45" s="36">
        <v>44683.0</v>
      </c>
      <c r="M45" s="91">
        <v>0.3578125</v>
      </c>
      <c r="N45" s="3"/>
      <c r="O45" s="142"/>
      <c r="P45" s="93" t="b">
        <f>IFNA(IF(VLOOKUP($A45,'Add from APT'!$AA$2:$AC264,3,FALSE)&gt;0,TRUE,FALSE),"ER - NOT IN APT")</f>
        <v>0</v>
      </c>
      <c r="Q45" s="94" t="str">
        <f>IF(ISLOGICAL(P45),IF(P45,"ER - REPS IN APT", IFNA(VLOOKUP($A45,RAW_APT!$A$3:$M264,7,FALSE),"ER - NOT IN APT")),P45)</f>
        <v>Result</v>
      </c>
      <c r="R45" s="95" t="b">
        <f t="shared" si="2"/>
        <v>0</v>
      </c>
      <c r="S45" s="96">
        <f t="shared" si="3"/>
        <v>4</v>
      </c>
      <c r="T45" s="103">
        <v>2.0</v>
      </c>
      <c r="U45" s="3"/>
      <c r="V45" s="3"/>
      <c r="W45" s="98"/>
      <c r="X45" s="99" t="b">
        <f t="shared" si="4"/>
        <v>0</v>
      </c>
      <c r="Y45" s="100"/>
      <c r="Z45" s="101" t="str">
        <f t="shared" si="5"/>
        <v/>
      </c>
      <c r="AA45" s="102" t="b">
        <f t="shared" si="6"/>
        <v>0</v>
      </c>
      <c r="AB45" s="98"/>
      <c r="AC45" s="103">
        <v>166.0</v>
      </c>
      <c r="AD45" s="104"/>
      <c r="AE45" s="105">
        <f t="shared" si="7"/>
        <v>263.2833333</v>
      </c>
      <c r="AF45" s="106" t="b">
        <f t="shared" si="8"/>
        <v>0</v>
      </c>
      <c r="AG45" s="93" t="b">
        <f t="shared" si="9"/>
        <v>0</v>
      </c>
      <c r="AH45" s="103"/>
      <c r="AI45" s="103"/>
      <c r="AJ45" s="97"/>
      <c r="AK45" s="101" t="str">
        <f t="shared" si="10"/>
        <v>Negative</v>
      </c>
      <c r="AL45" s="98"/>
      <c r="AM45" s="94" t="s">
        <v>274</v>
      </c>
      <c r="AN45" s="94" t="s">
        <v>281</v>
      </c>
      <c r="AO45" s="102" t="str">
        <f>IFERROR(__xludf.DUMMYFUNCTION("IF($AG45, ""DELETED"",TRIM(JOIN("" "",D45:E45)))"),"")</f>
        <v/>
      </c>
      <c r="AP45" s="94" t="str">
        <f t="shared" ref="AP45:AQ45" si="70">IF($AG45, "DELETED", TRIM(CONCATENATE(F45,I45,U45)))</f>
        <v/>
      </c>
      <c r="AQ45" s="94" t="str">
        <f t="shared" si="70"/>
        <v/>
      </c>
      <c r="AR45" s="94" t="str">
        <f>IFERROR(__xludf.DUMMYFUNCTION("IF($AG45, ""DELETED"", TRIM(JOIN("" "",AP45,AQ45)))"),"")</f>
        <v/>
      </c>
      <c r="AS45" s="9"/>
      <c r="AT45" s="93" t="b">
        <f t="shared" si="12"/>
        <v>0</v>
      </c>
      <c r="AU45" s="93" t="str">
        <f t="shared" si="13"/>
        <v/>
      </c>
      <c r="AV45" s="93" t="str">
        <f t="shared" si="14"/>
        <v/>
      </c>
      <c r="AW45" s="93" t="str">
        <f t="shared" si="15"/>
        <v/>
      </c>
      <c r="AX45" s="107" t="str">
        <f t="shared" si="16"/>
        <v/>
      </c>
      <c r="AY45" s="98"/>
      <c r="AZ45" s="108"/>
      <c r="BA45" s="109" t="str">
        <f t="shared" si="17"/>
        <v/>
      </c>
      <c r="BB45" s="98"/>
      <c r="BC45" s="98"/>
      <c r="BD45" s="108"/>
      <c r="BE45" s="134"/>
      <c r="BF45" s="111" t="str">
        <f t="shared" si="18"/>
        <v/>
      </c>
      <c r="BG45" s="112" t="str">
        <f t="shared" si="19"/>
        <v>AG575__44683_0.174976851851852___Negative_44683_0.3578125_</v>
      </c>
      <c r="BH45" s="113" t="str">
        <f t="shared" si="20"/>
        <v/>
      </c>
      <c r="BI45" s="134" t="s">
        <v>282</v>
      </c>
      <c r="BJ45" s="114" t="str">
        <f t="shared" si="21"/>
        <v>AH7225</v>
      </c>
      <c r="BK45" s="115" t="b">
        <f t="shared" si="45"/>
        <v>0</v>
      </c>
      <c r="BL45" s="114" t="str">
        <f t="shared" si="23"/>
        <v/>
      </c>
      <c r="BM45" s="108"/>
      <c r="BN45" s="7" t="b">
        <f t="shared" si="24"/>
        <v>1</v>
      </c>
      <c r="BO45" s="7" t="b">
        <f t="shared" si="25"/>
        <v>0</v>
      </c>
      <c r="BP45" s="7" t="b">
        <f t="shared" si="26"/>
        <v>1</v>
      </c>
      <c r="BQ45" s="118"/>
      <c r="BR45" s="119" t="s">
        <v>228</v>
      </c>
      <c r="BS45" s="7" t="b">
        <f t="shared" si="27"/>
        <v>1</v>
      </c>
      <c r="BT45" s="7"/>
      <c r="BU45" s="7"/>
      <c r="BV45" s="7"/>
      <c r="BW45" s="7"/>
    </row>
    <row r="46">
      <c r="A46" s="86" t="s">
        <v>283</v>
      </c>
      <c r="B46" s="87">
        <v>44683.0</v>
      </c>
      <c r="C46" s="88">
        <v>0.17721064814814816</v>
      </c>
      <c r="D46" s="89"/>
      <c r="E46" s="89"/>
      <c r="F46" s="89"/>
      <c r="G46" s="86"/>
      <c r="H46" s="89"/>
      <c r="I46" s="9"/>
      <c r="J46" s="104"/>
      <c r="K46" s="89" t="s">
        <v>228</v>
      </c>
      <c r="L46" s="36">
        <v>44683.0</v>
      </c>
      <c r="M46" s="91">
        <v>0.3578125</v>
      </c>
      <c r="N46" s="3"/>
      <c r="O46" s="142"/>
      <c r="P46" s="93" t="b">
        <f>IFNA(IF(VLOOKUP($A46,'Add from APT'!$AA$2:$AC264,3,FALSE)&gt;0,TRUE,FALSE),"ER - NOT IN APT")</f>
        <v>0</v>
      </c>
      <c r="Q46" s="94" t="str">
        <f>IF(ISLOGICAL(P46),IF(P46,"ER - REPS IN APT", IFNA(VLOOKUP($A46,RAW_APT!$A$3:$M264,7,FALSE),"ER - NOT IN APT")),P46)</f>
        <v>Result</v>
      </c>
      <c r="R46" s="95" t="b">
        <f t="shared" si="2"/>
        <v>1</v>
      </c>
      <c r="S46" s="96">
        <f t="shared" si="3"/>
        <v>2</v>
      </c>
      <c r="T46" s="103">
        <v>1.0</v>
      </c>
      <c r="U46" s="9"/>
      <c r="V46" s="104"/>
      <c r="W46" s="98"/>
      <c r="X46" s="99" t="b">
        <f t="shared" si="4"/>
        <v>0</v>
      </c>
      <c r="Y46" s="100"/>
      <c r="Z46" s="101" t="str">
        <f t="shared" si="5"/>
        <v/>
      </c>
      <c r="AA46" s="102" t="b">
        <f t="shared" si="6"/>
        <v>0</v>
      </c>
      <c r="AB46" s="98"/>
      <c r="AC46" s="103">
        <v>168.0</v>
      </c>
      <c r="AD46" s="104"/>
      <c r="AE46" s="105">
        <f t="shared" si="7"/>
        <v>260.0666667</v>
      </c>
      <c r="AF46" s="106" t="b">
        <f t="shared" si="8"/>
        <v>0</v>
      </c>
      <c r="AG46" s="93" t="b">
        <f t="shared" si="9"/>
        <v>0</v>
      </c>
      <c r="AH46" s="103"/>
      <c r="AI46" s="103"/>
      <c r="AJ46" s="97"/>
      <c r="AK46" s="101" t="str">
        <f t="shared" si="10"/>
        <v>Negative</v>
      </c>
      <c r="AL46" s="98"/>
      <c r="AM46" s="94" t="s">
        <v>284</v>
      </c>
      <c r="AN46" s="94" t="s">
        <v>285</v>
      </c>
      <c r="AO46" s="102" t="str">
        <f>IFERROR(__xludf.DUMMYFUNCTION("IF($AG46, ""DELETED"",TRIM(JOIN("" "",D46:E46)))"),"")</f>
        <v/>
      </c>
      <c r="AP46" s="94" t="str">
        <f t="shared" ref="AP46:AQ46" si="71">IF($AG46, "DELETED", TRIM(CONCATENATE(F46,I46,U46)))</f>
        <v/>
      </c>
      <c r="AQ46" s="94" t="str">
        <f t="shared" si="71"/>
        <v/>
      </c>
      <c r="AR46" s="94" t="str">
        <f>IFERROR(__xludf.DUMMYFUNCTION("IF($AG46, ""DELETED"", TRIM(JOIN("" "",AP46,AQ46)))"),"")</f>
        <v/>
      </c>
      <c r="AS46" s="9"/>
      <c r="AT46" s="93" t="b">
        <f t="shared" si="12"/>
        <v>0</v>
      </c>
      <c r="AU46" s="93" t="str">
        <f t="shared" si="13"/>
        <v/>
      </c>
      <c r="AV46" s="93" t="str">
        <f t="shared" si="14"/>
        <v/>
      </c>
      <c r="AW46" s="93" t="str">
        <f t="shared" si="15"/>
        <v/>
      </c>
      <c r="AX46" s="107" t="str">
        <f t="shared" si="16"/>
        <v/>
      </c>
      <c r="AY46" s="98"/>
      <c r="AZ46" s="108"/>
      <c r="BA46" s="109" t="str">
        <f t="shared" si="17"/>
        <v/>
      </c>
      <c r="BB46" s="98"/>
      <c r="BC46" s="98"/>
      <c r="BD46" s="108"/>
      <c r="BE46" s="134"/>
      <c r="BF46" s="111" t="str">
        <f t="shared" si="18"/>
        <v/>
      </c>
      <c r="BG46" s="112" t="str">
        <f t="shared" si="19"/>
        <v>AK7133__44683_0.177210648148148___Negative_44683_0.3578125_</v>
      </c>
      <c r="BH46" s="113" t="str">
        <f t="shared" si="20"/>
        <v/>
      </c>
      <c r="BI46" s="134" t="s">
        <v>286</v>
      </c>
      <c r="BJ46" s="114" t="str">
        <f t="shared" si="21"/>
        <v>AH7289</v>
      </c>
      <c r="BK46" s="115" t="b">
        <f t="shared" si="45"/>
        <v>0</v>
      </c>
      <c r="BL46" s="114" t="str">
        <f t="shared" si="23"/>
        <v/>
      </c>
      <c r="BM46" s="108"/>
      <c r="BN46" s="7" t="b">
        <f t="shared" si="24"/>
        <v>1</v>
      </c>
      <c r="BO46" s="7" t="b">
        <f t="shared" si="25"/>
        <v>0</v>
      </c>
      <c r="BP46" s="7" t="b">
        <f t="shared" si="26"/>
        <v>1</v>
      </c>
      <c r="BQ46" s="118"/>
      <c r="BR46" s="119" t="s">
        <v>228</v>
      </c>
      <c r="BS46" s="7" t="b">
        <f t="shared" si="27"/>
        <v>1</v>
      </c>
      <c r="BT46" s="7"/>
      <c r="BU46" s="7"/>
      <c r="BV46" s="7"/>
      <c r="BW46" s="7"/>
    </row>
    <row r="47">
      <c r="A47" s="86" t="s">
        <v>283</v>
      </c>
      <c r="B47" s="87">
        <v>44683.0</v>
      </c>
      <c r="C47" s="88">
        <v>0.17721064814814816</v>
      </c>
      <c r="D47" s="89"/>
      <c r="E47" s="89"/>
      <c r="F47" s="89"/>
      <c r="G47" s="86"/>
      <c r="H47" s="89"/>
      <c r="I47" s="3"/>
      <c r="J47" s="3"/>
      <c r="K47" s="89" t="s">
        <v>228</v>
      </c>
      <c r="L47" s="36">
        <v>44683.0</v>
      </c>
      <c r="M47" s="91">
        <v>0.3578125</v>
      </c>
      <c r="N47" s="3"/>
      <c r="O47" s="142"/>
      <c r="P47" s="93" t="b">
        <f>IFNA(IF(VLOOKUP($A47,'Add from APT'!$AA$2:$AC264,3,FALSE)&gt;0,TRUE,FALSE),"ER - NOT IN APT")</f>
        <v>0</v>
      </c>
      <c r="Q47" s="94" t="str">
        <f>IF(ISLOGICAL(P47),IF(P47,"ER - REPS IN APT", IFNA(VLOOKUP($A47,RAW_APT!$A$3:$M264,7,FALSE),"ER - NOT IN APT")),P47)</f>
        <v>Result</v>
      </c>
      <c r="R47" s="95" t="b">
        <f t="shared" si="2"/>
        <v>0</v>
      </c>
      <c r="S47" s="96">
        <f t="shared" si="3"/>
        <v>2</v>
      </c>
      <c r="T47" s="130">
        <v>1.0</v>
      </c>
      <c r="U47" s="3"/>
      <c r="V47" s="3"/>
      <c r="W47" s="3"/>
      <c r="X47" s="99" t="b">
        <f t="shared" si="4"/>
        <v>0</v>
      </c>
      <c r="Y47" s="7"/>
      <c r="Z47" s="101" t="str">
        <f t="shared" si="5"/>
        <v/>
      </c>
      <c r="AA47" s="102" t="b">
        <f t="shared" si="6"/>
        <v>0</v>
      </c>
      <c r="AB47" s="131"/>
      <c r="AC47" s="130">
        <v>168.0</v>
      </c>
      <c r="AD47" s="132"/>
      <c r="AE47" s="105">
        <f t="shared" si="7"/>
        <v>260.0666667</v>
      </c>
      <c r="AF47" s="106" t="b">
        <f t="shared" si="8"/>
        <v>0</v>
      </c>
      <c r="AG47" s="93" t="b">
        <f t="shared" si="9"/>
        <v>0</v>
      </c>
      <c r="AH47" s="130"/>
      <c r="AI47" s="13"/>
      <c r="AJ47" s="7"/>
      <c r="AK47" s="101" t="str">
        <f t="shared" si="10"/>
        <v>Negative</v>
      </c>
      <c r="AL47" s="98"/>
      <c r="AM47" s="94" t="s">
        <v>284</v>
      </c>
      <c r="AN47" s="94" t="s">
        <v>287</v>
      </c>
      <c r="AO47" s="102" t="str">
        <f>IFERROR(__xludf.DUMMYFUNCTION("IF($AG47, ""DELETED"",TRIM(JOIN("" "",D47:E47)))"),"")</f>
        <v/>
      </c>
      <c r="AP47" s="94" t="str">
        <f t="shared" ref="AP47:AQ47" si="72">IF($AG47, "DELETED", TRIM(CONCATENATE(F47,I47,U47)))</f>
        <v/>
      </c>
      <c r="AQ47" s="94" t="str">
        <f t="shared" si="72"/>
        <v/>
      </c>
      <c r="AR47" s="94" t="str">
        <f>IFERROR(__xludf.DUMMYFUNCTION("IF($AG47, ""DELETED"", TRIM(JOIN("" "",AP47,AQ47)))"),"")</f>
        <v/>
      </c>
      <c r="AS47" s="9"/>
      <c r="AT47" s="93" t="b">
        <f t="shared" si="12"/>
        <v>0</v>
      </c>
      <c r="AU47" s="93" t="str">
        <f t="shared" si="13"/>
        <v/>
      </c>
      <c r="AV47" s="93" t="str">
        <f t="shared" si="14"/>
        <v/>
      </c>
      <c r="AW47" s="93" t="str">
        <f t="shared" si="15"/>
        <v/>
      </c>
      <c r="AX47" s="107" t="str">
        <f t="shared" si="16"/>
        <v/>
      </c>
      <c r="AY47" s="3"/>
      <c r="AZ47" s="129"/>
      <c r="BA47" s="109" t="str">
        <f t="shared" si="17"/>
        <v/>
      </c>
      <c r="BB47" s="3"/>
      <c r="BC47" s="3"/>
      <c r="BD47" s="108"/>
      <c r="BE47" s="134"/>
      <c r="BF47" s="111" t="str">
        <f t="shared" si="18"/>
        <v/>
      </c>
      <c r="BG47" s="112" t="str">
        <f t="shared" si="19"/>
        <v>AK7133__44683_0.177210648148148___Negative_44683_0.3578125_</v>
      </c>
      <c r="BH47" s="113" t="str">
        <f t="shared" si="20"/>
        <v/>
      </c>
      <c r="BI47" s="134" t="s">
        <v>288</v>
      </c>
      <c r="BJ47" s="114" t="str">
        <f t="shared" si="21"/>
        <v>AH7292</v>
      </c>
      <c r="BK47" s="115" t="b">
        <f t="shared" si="45"/>
        <v>0</v>
      </c>
      <c r="BL47" s="114" t="str">
        <f t="shared" si="23"/>
        <v/>
      </c>
      <c r="BM47" s="108"/>
      <c r="BN47" s="7" t="b">
        <f t="shared" si="24"/>
        <v>1</v>
      </c>
      <c r="BO47" s="7" t="b">
        <f t="shared" si="25"/>
        <v>0</v>
      </c>
      <c r="BP47" s="7" t="b">
        <f t="shared" si="26"/>
        <v>1</v>
      </c>
      <c r="BQ47" s="118"/>
      <c r="BR47" s="119" t="s">
        <v>228</v>
      </c>
      <c r="BS47" s="7" t="b">
        <f t="shared" si="27"/>
        <v>1</v>
      </c>
      <c r="BT47" s="7"/>
      <c r="BU47" s="7"/>
      <c r="BV47" s="7"/>
      <c r="BW47" s="7"/>
    </row>
    <row r="48">
      <c r="A48" s="86" t="s">
        <v>289</v>
      </c>
      <c r="B48" s="87">
        <v>44683.0</v>
      </c>
      <c r="C48" s="88">
        <v>0.17770833333333333</v>
      </c>
      <c r="D48" s="89"/>
      <c r="E48" s="89"/>
      <c r="F48" s="89"/>
      <c r="G48" s="86"/>
      <c r="H48" s="90"/>
      <c r="I48" s="9"/>
      <c r="J48" s="9"/>
      <c r="K48" s="89" t="s">
        <v>228</v>
      </c>
      <c r="L48" s="36">
        <v>44683.0</v>
      </c>
      <c r="M48" s="91">
        <v>0.3578125</v>
      </c>
      <c r="N48" s="3"/>
      <c r="O48" s="142"/>
      <c r="P48" s="93" t="b">
        <f>IFNA(IF(VLOOKUP($A48,'Add from APT'!$AA$2:$AC264,3,FALSE)&gt;0,TRUE,FALSE),"ER - NOT IN APT")</f>
        <v>0</v>
      </c>
      <c r="Q48" s="94" t="str">
        <f>IF(ISLOGICAL(P48),IF(P48,"ER - REPS IN APT", IFNA(VLOOKUP($A48,RAW_APT!$A$3:$M264,7,FALSE),"ER - NOT IN APT")),P48)</f>
        <v>Result</v>
      </c>
      <c r="R48" s="95" t="b">
        <f t="shared" si="2"/>
        <v>1</v>
      </c>
      <c r="S48" s="96">
        <f t="shared" si="3"/>
        <v>2</v>
      </c>
      <c r="T48" s="103">
        <v>1.0</v>
      </c>
      <c r="U48" s="9"/>
      <c r="V48" s="9"/>
      <c r="W48" s="98"/>
      <c r="X48" s="99" t="b">
        <f t="shared" si="4"/>
        <v>0</v>
      </c>
      <c r="Y48" s="100"/>
      <c r="Z48" s="101" t="str">
        <f t="shared" si="5"/>
        <v/>
      </c>
      <c r="AA48" s="102" t="b">
        <f t="shared" si="6"/>
        <v>0</v>
      </c>
      <c r="AB48" s="98"/>
      <c r="AC48" s="103">
        <v>169.0</v>
      </c>
      <c r="AD48" s="104"/>
      <c r="AE48" s="105">
        <f t="shared" si="7"/>
        <v>259.35</v>
      </c>
      <c r="AF48" s="106" t="b">
        <f t="shared" si="8"/>
        <v>0</v>
      </c>
      <c r="AG48" s="93" t="b">
        <f t="shared" si="9"/>
        <v>0</v>
      </c>
      <c r="AH48" s="103"/>
      <c r="AI48" s="103"/>
      <c r="AJ48" s="97"/>
      <c r="AK48" s="101" t="str">
        <f t="shared" si="10"/>
        <v>Negative</v>
      </c>
      <c r="AL48" s="98"/>
      <c r="AM48" s="94" t="s">
        <v>284</v>
      </c>
      <c r="AN48" s="94" t="s">
        <v>290</v>
      </c>
      <c r="AO48" s="102" t="str">
        <f>IFERROR(__xludf.DUMMYFUNCTION("IF($AG48, ""DELETED"",TRIM(JOIN("" "",D48:E48)))"),"")</f>
        <v/>
      </c>
      <c r="AP48" s="94" t="str">
        <f t="shared" ref="AP48:AQ48" si="73">IF($AG48, "DELETED", TRIM(CONCATENATE(F48,I48,U48)))</f>
        <v/>
      </c>
      <c r="AQ48" s="94" t="str">
        <f t="shared" si="73"/>
        <v/>
      </c>
      <c r="AR48" s="94" t="str">
        <f>IFERROR(__xludf.DUMMYFUNCTION("IF($AG48, ""DELETED"", TRIM(JOIN("" "",AP48,AQ48)))"),"")</f>
        <v/>
      </c>
      <c r="AS48" s="9"/>
      <c r="AT48" s="93" t="b">
        <f t="shared" si="12"/>
        <v>0</v>
      </c>
      <c r="AU48" s="93" t="str">
        <f t="shared" si="13"/>
        <v/>
      </c>
      <c r="AV48" s="93" t="str">
        <f t="shared" si="14"/>
        <v/>
      </c>
      <c r="AW48" s="93" t="str">
        <f t="shared" si="15"/>
        <v/>
      </c>
      <c r="AX48" s="107" t="str">
        <f t="shared" si="16"/>
        <v/>
      </c>
      <c r="AY48" s="98"/>
      <c r="AZ48" s="108"/>
      <c r="BA48" s="109" t="str">
        <f t="shared" si="17"/>
        <v/>
      </c>
      <c r="BB48" s="98"/>
      <c r="BC48" s="98"/>
      <c r="BD48" s="108"/>
      <c r="BE48" s="134"/>
      <c r="BF48" s="111" t="str">
        <f t="shared" si="18"/>
        <v/>
      </c>
      <c r="BG48" s="112" t="str">
        <f t="shared" si="19"/>
        <v>AG91__44683_0.177708333333333___Negative_44683_0.3578125_</v>
      </c>
      <c r="BH48" s="113" t="str">
        <f t="shared" si="20"/>
        <v/>
      </c>
      <c r="BI48" s="134" t="s">
        <v>291</v>
      </c>
      <c r="BJ48" s="114" t="str">
        <f t="shared" si="21"/>
        <v>AH7299</v>
      </c>
      <c r="BK48" s="115" t="b">
        <f t="shared" si="45"/>
        <v>0</v>
      </c>
      <c r="BL48" s="114" t="str">
        <f t="shared" si="23"/>
        <v/>
      </c>
      <c r="BM48" s="108"/>
      <c r="BN48" s="7" t="b">
        <f t="shared" si="24"/>
        <v>1</v>
      </c>
      <c r="BO48" s="7" t="b">
        <f t="shared" si="25"/>
        <v>0</v>
      </c>
      <c r="BP48" s="7" t="b">
        <f t="shared" si="26"/>
        <v>1</v>
      </c>
      <c r="BQ48" s="118"/>
      <c r="BR48" s="119" t="s">
        <v>228</v>
      </c>
      <c r="BS48" s="7" t="b">
        <f t="shared" si="27"/>
        <v>1</v>
      </c>
      <c r="BT48" s="7"/>
      <c r="BU48" s="7"/>
      <c r="BV48" s="7"/>
      <c r="BW48" s="7"/>
    </row>
    <row r="49">
      <c r="A49" s="86" t="s">
        <v>289</v>
      </c>
      <c r="B49" s="87">
        <v>44683.0</v>
      </c>
      <c r="C49" s="88">
        <v>0.17770833333333333</v>
      </c>
      <c r="D49" s="89"/>
      <c r="E49" s="89"/>
      <c r="F49" s="89"/>
      <c r="G49" s="86"/>
      <c r="H49" s="90"/>
      <c r="I49" s="3"/>
      <c r="J49" s="3"/>
      <c r="K49" s="89" t="s">
        <v>228</v>
      </c>
      <c r="L49" s="36">
        <v>44683.0</v>
      </c>
      <c r="M49" s="91">
        <v>0.3578125</v>
      </c>
      <c r="N49" s="3"/>
      <c r="O49" s="142"/>
      <c r="P49" s="93" t="b">
        <f>IFNA(IF(VLOOKUP($A49,'Add from APT'!$AA$2:$AC264,3,FALSE)&gt;0,TRUE,FALSE),"ER - NOT IN APT")</f>
        <v>0</v>
      </c>
      <c r="Q49" s="94" t="str">
        <f>IF(ISLOGICAL(P49),IF(P49,"ER - REPS IN APT", IFNA(VLOOKUP($A49,RAW_APT!$A$3:$M264,7,FALSE),"ER - NOT IN APT")),P49)</f>
        <v>Result</v>
      </c>
      <c r="R49" s="95" t="b">
        <f t="shared" si="2"/>
        <v>0</v>
      </c>
      <c r="S49" s="96">
        <f t="shared" si="3"/>
        <v>2</v>
      </c>
      <c r="T49" s="103">
        <v>1.0</v>
      </c>
      <c r="U49" s="3"/>
      <c r="V49" s="9"/>
      <c r="W49" s="98"/>
      <c r="X49" s="99" t="b">
        <f t="shared" si="4"/>
        <v>0</v>
      </c>
      <c r="Y49" s="100"/>
      <c r="Z49" s="101" t="str">
        <f t="shared" si="5"/>
        <v/>
      </c>
      <c r="AA49" s="102" t="b">
        <f t="shared" si="6"/>
        <v>0</v>
      </c>
      <c r="AB49" s="98"/>
      <c r="AC49" s="103">
        <v>169.0</v>
      </c>
      <c r="AD49" s="104"/>
      <c r="AE49" s="105">
        <f t="shared" si="7"/>
        <v>259.35</v>
      </c>
      <c r="AF49" s="106" t="b">
        <f t="shared" si="8"/>
        <v>0</v>
      </c>
      <c r="AG49" s="93" t="b">
        <f t="shared" si="9"/>
        <v>0</v>
      </c>
      <c r="AH49" s="103"/>
      <c r="AI49" s="103"/>
      <c r="AJ49" s="97"/>
      <c r="AK49" s="101" t="str">
        <f t="shared" si="10"/>
        <v>Negative</v>
      </c>
      <c r="AL49" s="98"/>
      <c r="AM49" s="94" t="s">
        <v>284</v>
      </c>
      <c r="AN49" s="94" t="s">
        <v>287</v>
      </c>
      <c r="AO49" s="102" t="str">
        <f>IFERROR(__xludf.DUMMYFUNCTION("IF($AG49, ""DELETED"",TRIM(JOIN("" "",D49:E49)))"),"")</f>
        <v/>
      </c>
      <c r="AP49" s="94" t="str">
        <f t="shared" ref="AP49:AQ49" si="74">IF($AG49, "DELETED", TRIM(CONCATENATE(F49,I49,U49)))</f>
        <v/>
      </c>
      <c r="AQ49" s="94" t="str">
        <f t="shared" si="74"/>
        <v/>
      </c>
      <c r="AR49" s="94" t="str">
        <f>IFERROR(__xludf.DUMMYFUNCTION("IF($AG49, ""DELETED"", TRIM(JOIN("" "",AP49,AQ49)))"),"")</f>
        <v/>
      </c>
      <c r="AS49" s="9"/>
      <c r="AT49" s="93" t="b">
        <f t="shared" si="12"/>
        <v>0</v>
      </c>
      <c r="AU49" s="93" t="str">
        <f t="shared" si="13"/>
        <v/>
      </c>
      <c r="AV49" s="93" t="str">
        <f t="shared" si="14"/>
        <v/>
      </c>
      <c r="AW49" s="93" t="str">
        <f t="shared" si="15"/>
        <v/>
      </c>
      <c r="AX49" s="107" t="str">
        <f t="shared" si="16"/>
        <v/>
      </c>
      <c r="AY49" s="98"/>
      <c r="AZ49" s="108"/>
      <c r="BA49" s="109" t="str">
        <f t="shared" si="17"/>
        <v/>
      </c>
      <c r="BB49" s="98"/>
      <c r="BC49" s="98"/>
      <c r="BD49" s="108"/>
      <c r="BE49" s="134"/>
      <c r="BF49" s="111" t="str">
        <f t="shared" si="18"/>
        <v/>
      </c>
      <c r="BG49" s="112" t="str">
        <f t="shared" si="19"/>
        <v>AG91__44683_0.177708333333333___Negative_44683_0.3578125_</v>
      </c>
      <c r="BH49" s="113" t="str">
        <f t="shared" si="20"/>
        <v/>
      </c>
      <c r="BI49" s="134" t="s">
        <v>292</v>
      </c>
      <c r="BJ49" s="114" t="str">
        <f t="shared" si="21"/>
        <v>AH7650</v>
      </c>
      <c r="BK49" s="115" t="b">
        <f t="shared" si="45"/>
        <v>0</v>
      </c>
      <c r="BL49" s="114" t="str">
        <f t="shared" si="23"/>
        <v/>
      </c>
      <c r="BM49" s="108"/>
      <c r="BN49" s="7" t="b">
        <f t="shared" si="24"/>
        <v>1</v>
      </c>
      <c r="BO49" s="7" t="b">
        <f t="shared" si="25"/>
        <v>0</v>
      </c>
      <c r="BP49" s="7" t="b">
        <f t="shared" si="26"/>
        <v>1</v>
      </c>
      <c r="BQ49" s="118"/>
      <c r="BR49" s="119" t="s">
        <v>228</v>
      </c>
      <c r="BS49" s="7" t="b">
        <f t="shared" si="27"/>
        <v>1</v>
      </c>
      <c r="BT49" s="7"/>
      <c r="BU49" s="7"/>
      <c r="BV49" s="7"/>
      <c r="BW49" s="7"/>
    </row>
    <row r="50">
      <c r="A50" s="86" t="s">
        <v>293</v>
      </c>
      <c r="B50" s="87">
        <v>44683.0</v>
      </c>
      <c r="C50" s="88">
        <v>0.17806712962962962</v>
      </c>
      <c r="D50" s="89"/>
      <c r="E50" s="89"/>
      <c r="F50" s="89"/>
      <c r="G50" s="86"/>
      <c r="H50" s="90"/>
      <c r="K50" s="89" t="s">
        <v>228</v>
      </c>
      <c r="L50" s="36">
        <v>44683.0</v>
      </c>
      <c r="M50" s="91">
        <v>0.3578125</v>
      </c>
      <c r="N50" s="3"/>
      <c r="O50" s="142"/>
      <c r="P50" s="93" t="b">
        <f>IFNA(IF(VLOOKUP($A50,'Add from APT'!$AA$2:$AC264,3,FALSE)&gt;0,TRUE,FALSE),"ER - NOT IN APT")</f>
        <v>0</v>
      </c>
      <c r="Q50" s="94" t="str">
        <f>IF(ISLOGICAL(P50),IF(P50,"ER - REPS IN APT", IFNA(VLOOKUP($A50,RAW_APT!$A$3:$M264,7,FALSE),"ER - NOT IN APT")),P50)</f>
        <v>Result</v>
      </c>
      <c r="R50" s="95" t="b">
        <f t="shared" si="2"/>
        <v>1</v>
      </c>
      <c r="S50" s="96">
        <f t="shared" si="3"/>
        <v>2</v>
      </c>
      <c r="T50" s="103">
        <v>1.0</v>
      </c>
      <c r="U50" s="9"/>
      <c r="V50" s="9"/>
      <c r="W50" s="98"/>
      <c r="X50" s="99" t="b">
        <f>IF(ISBLANK(#REF!),IF(ISBLANK(#REF!),FALSE,"ER - LAST ONLY"),TRUE)</f>
        <v>1</v>
      </c>
      <c r="Y50" s="100"/>
      <c r="Z50" s="101" t="str">
        <f t="shared" si="5"/>
        <v/>
      </c>
      <c r="AA50" s="102" t="b">
        <f t="shared" si="6"/>
        <v>0</v>
      </c>
      <c r="AB50" s="98"/>
      <c r="AC50" s="103">
        <v>170.0</v>
      </c>
      <c r="AD50" s="104"/>
      <c r="AE50" s="105">
        <f t="shared" si="7"/>
        <v>258.8333333</v>
      </c>
      <c r="AF50" s="106" t="b">
        <f t="shared" si="8"/>
        <v>0</v>
      </c>
      <c r="AG50" s="93" t="b">
        <f t="shared" si="9"/>
        <v>0</v>
      </c>
      <c r="AH50" s="103"/>
      <c r="AI50" s="103"/>
      <c r="AJ50" s="97"/>
      <c r="AK50" s="101" t="str">
        <f t="shared" si="10"/>
        <v>Negative</v>
      </c>
      <c r="AL50" s="98"/>
      <c r="AM50" s="94" t="s">
        <v>284</v>
      </c>
      <c r="AN50" s="94" t="s">
        <v>294</v>
      </c>
      <c r="AO50" s="102" t="str">
        <f>IFERROR(__xludf.DUMMYFUNCTION("IF($AG50, ""DELETED"",TRIM(JOIN("" "",D50:E50)))"),"")</f>
        <v/>
      </c>
      <c r="AP50" s="94" t="str">
        <f t="shared" ref="AP50:AQ50" si="75">IF($AG50, "DELETED", TRIM(CONCATENATE(F50,I50,U50)))</f>
        <v/>
      </c>
      <c r="AQ50" s="94" t="str">
        <f t="shared" si="75"/>
        <v/>
      </c>
      <c r="AR50" s="94" t="str">
        <f>IFERROR(__xludf.DUMMYFUNCTION("IF($AG50, ""DELETED"", TRIM(JOIN("" "",AP50,AQ50)))"),"")</f>
        <v/>
      </c>
      <c r="AS50" s="9"/>
      <c r="AT50" s="93" t="b">
        <f t="shared" si="12"/>
        <v>1</v>
      </c>
      <c r="AU50" s="93" t="str">
        <f t="shared" si="13"/>
        <v/>
      </c>
      <c r="AV50" s="93" t="str">
        <f t="shared" si="14"/>
        <v/>
      </c>
      <c r="AW50" s="93">
        <f>IF($AG50,IFERROR(0/0,""),IF(ISBLANK(#REF!),IF(ISBLANK(#REF!),IFERROR(0/0,""),2),1))</f>
        <v>1</v>
      </c>
      <c r="AX50" s="107">
        <f t="shared" si="16"/>
        <v>1</v>
      </c>
      <c r="AY50" s="98"/>
      <c r="AZ50" s="108"/>
      <c r="BA50" s="109" t="str">
        <f t="shared" si="17"/>
        <v/>
      </c>
      <c r="BB50" s="98"/>
      <c r="BC50" s="98"/>
      <c r="BD50" s="108"/>
      <c r="BE50" s="134"/>
      <c r="BF50" s="111" t="str">
        <f t="shared" si="18"/>
        <v/>
      </c>
      <c r="BG50" s="112" t="str">
        <f t="shared" si="19"/>
        <v>AG1419__44683_0.17806712962963___Negative_44683_0.3578125_</v>
      </c>
      <c r="BH50" s="113" t="str">
        <f t="shared" si="20"/>
        <v/>
      </c>
      <c r="BI50" s="134" t="s">
        <v>295</v>
      </c>
      <c r="BJ50" s="114" t="str">
        <f t="shared" si="21"/>
        <v>AH772</v>
      </c>
      <c r="BK50" s="115" t="b">
        <f t="shared" si="45"/>
        <v>0</v>
      </c>
      <c r="BL50" s="114" t="str">
        <f t="shared" si="23"/>
        <v/>
      </c>
      <c r="BM50" s="108"/>
      <c r="BN50" s="7" t="b">
        <f t="shared" si="24"/>
        <v>1</v>
      </c>
      <c r="BO50" s="7" t="b">
        <f t="shared" si="25"/>
        <v>0</v>
      </c>
      <c r="BP50" s="7" t="b">
        <f t="shared" si="26"/>
        <v>1</v>
      </c>
      <c r="BQ50" s="118"/>
      <c r="BR50" s="119" t="s">
        <v>228</v>
      </c>
      <c r="BS50" s="7" t="b">
        <f t="shared" si="27"/>
        <v>1</v>
      </c>
      <c r="BT50" s="7"/>
      <c r="BU50" s="7"/>
      <c r="BV50" s="7"/>
      <c r="BW50" s="7"/>
    </row>
    <row r="51">
      <c r="A51" s="86" t="s">
        <v>293</v>
      </c>
      <c r="B51" s="87">
        <v>44683.0</v>
      </c>
      <c r="C51" s="88">
        <v>0.17806712962962962</v>
      </c>
      <c r="D51" s="89"/>
      <c r="E51" s="89"/>
      <c r="F51" s="89"/>
      <c r="G51" s="86"/>
      <c r="H51" s="90"/>
      <c r="I51" s="3"/>
      <c r="J51" s="3"/>
      <c r="K51" s="89" t="s">
        <v>228</v>
      </c>
      <c r="L51" s="36">
        <v>44683.0</v>
      </c>
      <c r="M51" s="91">
        <v>0.3578125</v>
      </c>
      <c r="N51" s="3"/>
      <c r="O51" s="142"/>
      <c r="P51" s="93" t="b">
        <f>IFNA(IF(VLOOKUP($A51,'Add from APT'!$AA$2:$AC264,3,FALSE)&gt;0,TRUE,FALSE),"ER - NOT IN APT")</f>
        <v>0</v>
      </c>
      <c r="Q51" s="94" t="str">
        <f>IF(ISLOGICAL(P51),IF(P51,"ER - REPS IN APT", IFNA(VLOOKUP($A51,RAW_APT!$A$3:$M264,7,FALSE),"ER - NOT IN APT")),P51)</f>
        <v>Result</v>
      </c>
      <c r="R51" s="95" t="b">
        <f t="shared" si="2"/>
        <v>0</v>
      </c>
      <c r="S51" s="96">
        <f t="shared" si="3"/>
        <v>2</v>
      </c>
      <c r="T51" s="103">
        <v>1.0</v>
      </c>
      <c r="U51" s="3"/>
      <c r="V51" s="3"/>
      <c r="W51" s="98"/>
      <c r="X51" s="99" t="b">
        <f t="shared" ref="X51:X64" si="77">IF(ISBLANK($U51),IF(ISBLANK($V51),FALSE,"ER - LAST ONLY"),TRUE)</f>
        <v>0</v>
      </c>
      <c r="Y51" s="100"/>
      <c r="Z51" s="101" t="str">
        <f t="shared" si="5"/>
        <v/>
      </c>
      <c r="AA51" s="102" t="b">
        <f t="shared" si="6"/>
        <v>0</v>
      </c>
      <c r="AB51" s="98"/>
      <c r="AC51" s="103">
        <v>170.0</v>
      </c>
      <c r="AD51" s="104"/>
      <c r="AE51" s="105">
        <f t="shared" si="7"/>
        <v>258.8333333</v>
      </c>
      <c r="AF51" s="106" t="b">
        <f t="shared" si="8"/>
        <v>0</v>
      </c>
      <c r="AG51" s="93" t="b">
        <f t="shared" si="9"/>
        <v>0</v>
      </c>
      <c r="AH51" s="103"/>
      <c r="AI51" s="103"/>
      <c r="AJ51" s="97"/>
      <c r="AK51" s="101" t="str">
        <f t="shared" si="10"/>
        <v>Negative</v>
      </c>
      <c r="AL51" s="98"/>
      <c r="AM51" s="94" t="s">
        <v>284</v>
      </c>
      <c r="AN51" s="94" t="s">
        <v>287</v>
      </c>
      <c r="AO51" s="102" t="str">
        <f>IFERROR(__xludf.DUMMYFUNCTION("IF($AG51, ""DELETED"",TRIM(JOIN("" "",D51:E51)))"),"")</f>
        <v/>
      </c>
      <c r="AP51" s="94" t="str">
        <f t="shared" ref="AP51:AQ51" si="76">IF($AG51, "DELETED", TRIM(CONCATENATE(F51,I51,U51)))</f>
        <v/>
      </c>
      <c r="AQ51" s="94" t="str">
        <f t="shared" si="76"/>
        <v/>
      </c>
      <c r="AR51" s="94" t="str">
        <f>IFERROR(__xludf.DUMMYFUNCTION("IF($AG51, ""DELETED"", TRIM(JOIN("" "",AP51,AQ51)))"),"")</f>
        <v/>
      </c>
      <c r="AS51" s="9"/>
      <c r="AT51" s="93" t="b">
        <f t="shared" si="12"/>
        <v>0</v>
      </c>
      <c r="AU51" s="93" t="str">
        <f t="shared" si="13"/>
        <v/>
      </c>
      <c r="AV51" s="93" t="str">
        <f t="shared" si="14"/>
        <v/>
      </c>
      <c r="AW51" s="93" t="str">
        <f t="shared" ref="AW51:AW64" si="79">IF($AG51,IFERROR(0/0,""),IF(ISBLANK($U51),IF(ISBLANK($V51),IFERROR(0/0,""),2),1))</f>
        <v/>
      </c>
      <c r="AX51" s="107" t="str">
        <f t="shared" si="16"/>
        <v/>
      </c>
      <c r="AY51" s="98"/>
      <c r="AZ51" s="108"/>
      <c r="BA51" s="109" t="str">
        <f t="shared" si="17"/>
        <v/>
      </c>
      <c r="BB51" s="98"/>
      <c r="BC51" s="98"/>
      <c r="BD51" s="108"/>
      <c r="BE51" s="134"/>
      <c r="BF51" s="111" t="str">
        <f t="shared" si="18"/>
        <v/>
      </c>
      <c r="BG51" s="112" t="str">
        <f t="shared" si="19"/>
        <v>AG1419__44683_0.17806712962963___Negative_44683_0.3578125_</v>
      </c>
      <c r="BH51" s="113" t="str">
        <f t="shared" si="20"/>
        <v/>
      </c>
      <c r="BI51" s="134" t="s">
        <v>296</v>
      </c>
      <c r="BJ51" s="114" t="str">
        <f t="shared" si="21"/>
        <v>AH7931</v>
      </c>
      <c r="BK51" s="115" t="b">
        <f t="shared" si="45"/>
        <v>0</v>
      </c>
      <c r="BL51" s="114" t="str">
        <f t="shared" si="23"/>
        <v/>
      </c>
      <c r="BM51" s="108"/>
      <c r="BN51" s="7" t="b">
        <f t="shared" si="24"/>
        <v>1</v>
      </c>
      <c r="BO51" s="7" t="b">
        <f t="shared" si="25"/>
        <v>0</v>
      </c>
      <c r="BP51" s="7" t="b">
        <f t="shared" si="26"/>
        <v>1</v>
      </c>
      <c r="BQ51" s="118"/>
      <c r="BR51" s="119" t="s">
        <v>228</v>
      </c>
      <c r="BS51" s="7" t="b">
        <f t="shared" si="27"/>
        <v>1</v>
      </c>
      <c r="BT51" s="7"/>
      <c r="BU51" s="7"/>
      <c r="BV51" s="7"/>
      <c r="BW51" s="7"/>
    </row>
    <row r="52">
      <c r="A52" s="86" t="s">
        <v>297</v>
      </c>
      <c r="B52" s="87">
        <v>44683.0</v>
      </c>
      <c r="C52" s="88">
        <v>0.17832175925925925</v>
      </c>
      <c r="D52" s="89"/>
      <c r="E52" s="89"/>
      <c r="F52" s="89"/>
      <c r="G52" s="86"/>
      <c r="H52" s="89"/>
      <c r="I52" s="3"/>
      <c r="J52" s="3"/>
      <c r="K52" s="89" t="s">
        <v>228</v>
      </c>
      <c r="L52" s="36">
        <v>44683.0</v>
      </c>
      <c r="M52" s="91">
        <v>0.3578125</v>
      </c>
      <c r="N52" s="3"/>
      <c r="O52" s="142"/>
      <c r="P52" s="93" t="b">
        <f>IFNA(IF(VLOOKUP($A52,'Add from APT'!$AA$2:$AC264,3,FALSE)&gt;0,TRUE,FALSE),"ER - NOT IN APT")</f>
        <v>0</v>
      </c>
      <c r="Q52" s="94" t="str">
        <f>IF(ISLOGICAL(P52),IF(P52,"ER - REPS IN APT", IFNA(VLOOKUP($A52,RAW_APT!$A$3:$M264,7,FALSE),"ER - NOT IN APT")),P52)</f>
        <v>Result</v>
      </c>
      <c r="R52" s="95" t="b">
        <f t="shared" si="2"/>
        <v>1</v>
      </c>
      <c r="S52" s="96">
        <f t="shared" si="3"/>
        <v>1</v>
      </c>
      <c r="T52" s="97"/>
      <c r="U52" s="9"/>
      <c r="V52" s="3"/>
      <c r="W52" s="98"/>
      <c r="X52" s="99" t="b">
        <f t="shared" si="77"/>
        <v>0</v>
      </c>
      <c r="Y52" s="100"/>
      <c r="Z52" s="101" t="str">
        <f t="shared" si="5"/>
        <v/>
      </c>
      <c r="AA52" s="102" t="b">
        <f t="shared" si="6"/>
        <v>0</v>
      </c>
      <c r="AB52" s="98"/>
      <c r="AC52" s="103">
        <v>171.0</v>
      </c>
      <c r="AD52" s="104"/>
      <c r="AE52" s="105">
        <f t="shared" si="7"/>
        <v>258.4666667</v>
      </c>
      <c r="AF52" s="106" t="b">
        <f t="shared" si="8"/>
        <v>0</v>
      </c>
      <c r="AG52" s="93" t="b">
        <f t="shared" si="9"/>
        <v>0</v>
      </c>
      <c r="AH52" s="103"/>
      <c r="AI52" s="103"/>
      <c r="AJ52" s="97"/>
      <c r="AK52" s="101" t="str">
        <f t="shared" si="10"/>
        <v>Negative</v>
      </c>
      <c r="AL52" s="98"/>
      <c r="AM52" s="94" t="s">
        <v>284</v>
      </c>
      <c r="AN52" s="94" t="s">
        <v>287</v>
      </c>
      <c r="AO52" s="102" t="str">
        <f>IFERROR(__xludf.DUMMYFUNCTION("IF($AG52, ""DELETED"",TRIM(JOIN("" "",D52:E52)))"),"")</f>
        <v/>
      </c>
      <c r="AP52" s="94" t="str">
        <f t="shared" ref="AP52:AQ52" si="78">IF($AG52, "DELETED", TRIM(CONCATENATE(F52,I52,U52)))</f>
        <v/>
      </c>
      <c r="AQ52" s="94" t="str">
        <f t="shared" si="78"/>
        <v/>
      </c>
      <c r="AR52" s="94" t="str">
        <f>IFERROR(__xludf.DUMMYFUNCTION("IF($AG52, ""DELETED"", TRIM(JOIN("" "",AP52,AQ52)))"),"")</f>
        <v/>
      </c>
      <c r="AS52" s="9"/>
      <c r="AT52" s="93" t="b">
        <f t="shared" si="12"/>
        <v>0</v>
      </c>
      <c r="AU52" s="93" t="str">
        <f t="shared" si="13"/>
        <v/>
      </c>
      <c r="AV52" s="93" t="str">
        <f t="shared" si="14"/>
        <v/>
      </c>
      <c r="AW52" s="93" t="str">
        <f t="shared" si="79"/>
        <v/>
      </c>
      <c r="AX52" s="107" t="str">
        <f t="shared" si="16"/>
        <v/>
      </c>
      <c r="AY52" s="98"/>
      <c r="AZ52" s="108"/>
      <c r="BA52" s="109" t="str">
        <f t="shared" si="17"/>
        <v/>
      </c>
      <c r="BB52" s="98"/>
      <c r="BC52" s="98"/>
      <c r="BD52" s="108"/>
      <c r="BE52" s="134"/>
      <c r="BF52" s="111" t="str">
        <f t="shared" si="18"/>
        <v/>
      </c>
      <c r="BG52" s="112" t="str">
        <f t="shared" si="19"/>
        <v>AH7292__44683_0.178321759259259___Negative_44683_0.3578125_</v>
      </c>
      <c r="BH52" s="113" t="str">
        <f t="shared" si="20"/>
        <v/>
      </c>
      <c r="BI52" s="134" t="s">
        <v>298</v>
      </c>
      <c r="BJ52" s="114" t="str">
        <f t="shared" si="21"/>
        <v>AH7933</v>
      </c>
      <c r="BK52" s="115" t="b">
        <f t="shared" si="45"/>
        <v>0</v>
      </c>
      <c r="BL52" s="114" t="str">
        <f t="shared" si="23"/>
        <v/>
      </c>
      <c r="BM52" s="108"/>
      <c r="BN52" s="7" t="b">
        <f t="shared" si="24"/>
        <v>1</v>
      </c>
      <c r="BO52" s="7" t="b">
        <f t="shared" si="25"/>
        <v>0</v>
      </c>
      <c r="BP52" s="7" t="b">
        <f t="shared" si="26"/>
        <v>1</v>
      </c>
      <c r="BQ52" s="118"/>
      <c r="BR52" s="119" t="s">
        <v>228</v>
      </c>
      <c r="BS52" s="7" t="b">
        <f t="shared" si="27"/>
        <v>1</v>
      </c>
      <c r="BT52" s="7"/>
      <c r="BU52" s="7"/>
      <c r="BV52" s="7"/>
      <c r="BW52" s="7"/>
    </row>
    <row r="53">
      <c r="A53" s="86" t="s">
        <v>299</v>
      </c>
      <c r="B53" s="87">
        <v>44683.0</v>
      </c>
      <c r="C53" s="88">
        <v>0.17994212962962963</v>
      </c>
      <c r="D53" s="89"/>
      <c r="E53" s="89"/>
      <c r="F53" s="89"/>
      <c r="G53" s="86"/>
      <c r="H53" s="90"/>
      <c r="I53" s="9"/>
      <c r="J53" s="9"/>
      <c r="K53" s="89" t="s">
        <v>228</v>
      </c>
      <c r="L53" s="36">
        <v>44683.0</v>
      </c>
      <c r="M53" s="91">
        <v>0.35782407407407407</v>
      </c>
      <c r="N53" s="3"/>
      <c r="O53" s="142"/>
      <c r="P53" s="93" t="b">
        <f>IFNA(IF(VLOOKUP($A53,'Add from APT'!$AA$2:$AC264,3,FALSE)&gt;0,TRUE,FALSE),"ER - NOT IN APT")</f>
        <v>0</v>
      </c>
      <c r="Q53" s="94" t="str">
        <f>IF(ISLOGICAL(P53),IF(P53,"ER - REPS IN APT", IFNA(VLOOKUP($A53,RAW_APT!$A$3:$M264,7,FALSE),"ER - NOT IN APT")),P53)</f>
        <v>Result</v>
      </c>
      <c r="R53" s="95" t="b">
        <f t="shared" si="2"/>
        <v>1</v>
      </c>
      <c r="S53" s="96">
        <f t="shared" si="3"/>
        <v>2</v>
      </c>
      <c r="T53" s="103">
        <v>1.0</v>
      </c>
      <c r="U53" s="9"/>
      <c r="V53" s="9"/>
      <c r="W53" s="150"/>
      <c r="X53" s="99" t="b">
        <f t="shared" si="77"/>
        <v>0</v>
      </c>
      <c r="Y53" s="151"/>
      <c r="Z53" s="101" t="str">
        <f t="shared" si="5"/>
        <v/>
      </c>
      <c r="AA53" s="102" t="b">
        <f t="shared" si="6"/>
        <v>0</v>
      </c>
      <c r="AB53" s="150"/>
      <c r="AC53" s="103">
        <v>172.0</v>
      </c>
      <c r="AD53" s="152"/>
      <c r="AE53" s="105">
        <f t="shared" si="7"/>
        <v>256.15</v>
      </c>
      <c r="AF53" s="106" t="b">
        <f t="shared" si="8"/>
        <v>0</v>
      </c>
      <c r="AG53" s="93" t="b">
        <f t="shared" si="9"/>
        <v>0</v>
      </c>
      <c r="AH53" s="152"/>
      <c r="AI53" s="152"/>
      <c r="AJ53" s="150"/>
      <c r="AK53" s="101" t="str">
        <f t="shared" si="10"/>
        <v>Negative</v>
      </c>
      <c r="AL53" s="98"/>
      <c r="AM53" s="94" t="s">
        <v>300</v>
      </c>
      <c r="AN53" s="94" t="s">
        <v>301</v>
      </c>
      <c r="AO53" s="102" t="str">
        <f>IFERROR(__xludf.DUMMYFUNCTION("IF($AG53, ""DELETED"",TRIM(JOIN("" "",D53:E53)))"),"")</f>
        <v/>
      </c>
      <c r="AP53" s="94" t="str">
        <f t="shared" ref="AP53:AQ53" si="80">IF($AG53, "DELETED", TRIM(CONCATENATE(F53,I53,U53)))</f>
        <v/>
      </c>
      <c r="AQ53" s="94" t="str">
        <f t="shared" si="80"/>
        <v/>
      </c>
      <c r="AR53" s="94" t="str">
        <f>IFERROR(__xludf.DUMMYFUNCTION("IF($AG53, ""DELETED"", TRIM(JOIN("" "",AP53,AQ53)))"),"")</f>
        <v/>
      </c>
      <c r="AS53" s="153"/>
      <c r="AT53" s="93" t="b">
        <f t="shared" si="12"/>
        <v>0</v>
      </c>
      <c r="AU53" s="93" t="str">
        <f t="shared" si="13"/>
        <v/>
      </c>
      <c r="AV53" s="93" t="str">
        <f t="shared" si="14"/>
        <v/>
      </c>
      <c r="AW53" s="93" t="str">
        <f t="shared" si="79"/>
        <v/>
      </c>
      <c r="AX53" s="107" t="str">
        <f t="shared" si="16"/>
        <v/>
      </c>
      <c r="AY53" s="150"/>
      <c r="AZ53" s="154"/>
      <c r="BA53" s="109" t="str">
        <f t="shared" si="17"/>
        <v/>
      </c>
      <c r="BB53" s="150"/>
      <c r="BC53" s="150"/>
      <c r="BD53" s="108"/>
      <c r="BE53" s="134"/>
      <c r="BF53" s="111" t="str">
        <f t="shared" si="18"/>
        <v/>
      </c>
      <c r="BG53" s="112" t="str">
        <f t="shared" si="19"/>
        <v>AH7299__44683_0.17994212962963___Negative_44683_0.357824074074074_</v>
      </c>
      <c r="BH53" s="113" t="str">
        <f t="shared" si="20"/>
        <v/>
      </c>
      <c r="BI53" s="134" t="s">
        <v>302</v>
      </c>
      <c r="BJ53" s="114" t="str">
        <f t="shared" si="21"/>
        <v>AH7951</v>
      </c>
      <c r="BK53" s="115" t="b">
        <f t="shared" si="45"/>
        <v>0</v>
      </c>
      <c r="BL53" s="114" t="str">
        <f t="shared" si="23"/>
        <v/>
      </c>
      <c r="BM53" s="108"/>
      <c r="BN53" s="7" t="b">
        <f t="shared" si="24"/>
        <v>1</v>
      </c>
      <c r="BO53" s="7" t="b">
        <f t="shared" si="25"/>
        <v>0</v>
      </c>
      <c r="BP53" s="7" t="b">
        <f t="shared" si="26"/>
        <v>1</v>
      </c>
      <c r="BQ53" s="118"/>
      <c r="BR53" s="119" t="s">
        <v>228</v>
      </c>
      <c r="BS53" s="7" t="b">
        <f t="shared" si="27"/>
        <v>1</v>
      </c>
      <c r="BT53" s="7"/>
      <c r="BU53" s="7"/>
      <c r="BV53" s="7"/>
      <c r="BW53" s="7"/>
    </row>
    <row r="54">
      <c r="A54" s="86" t="s">
        <v>299</v>
      </c>
      <c r="B54" s="87">
        <v>44683.0</v>
      </c>
      <c r="C54" s="88">
        <v>0.17994212962962963</v>
      </c>
      <c r="D54" s="89"/>
      <c r="E54" s="89"/>
      <c r="F54" s="89"/>
      <c r="G54" s="86"/>
      <c r="H54" s="90"/>
      <c r="I54" s="3"/>
      <c r="J54" s="3"/>
      <c r="K54" s="89" t="s">
        <v>228</v>
      </c>
      <c r="L54" s="36">
        <v>44683.0</v>
      </c>
      <c r="M54" s="91">
        <v>0.35782407407407407</v>
      </c>
      <c r="N54" s="3"/>
      <c r="O54" s="142"/>
      <c r="P54" s="93" t="b">
        <f>IFNA(IF(VLOOKUP($A54,'Add from APT'!$AA$2:$AC264,3,FALSE)&gt;0,TRUE,FALSE),"ER - NOT IN APT")</f>
        <v>0</v>
      </c>
      <c r="Q54" s="94" t="str">
        <f>IF(ISLOGICAL(P54),IF(P54,"ER - REPS IN APT", IFNA(VLOOKUP($A54,RAW_APT!$A$3:$M264,7,FALSE),"ER - NOT IN APT")),P54)</f>
        <v>Result</v>
      </c>
      <c r="R54" s="95" t="b">
        <f t="shared" si="2"/>
        <v>0</v>
      </c>
      <c r="S54" s="96">
        <f t="shared" si="3"/>
        <v>2</v>
      </c>
      <c r="T54" s="103">
        <v>1.0</v>
      </c>
      <c r="U54" s="128"/>
      <c r="V54" s="128"/>
      <c r="W54" s="150"/>
      <c r="X54" s="99" t="b">
        <f t="shared" si="77"/>
        <v>0</v>
      </c>
      <c r="Y54" s="151"/>
      <c r="Z54" s="101" t="str">
        <f t="shared" si="5"/>
        <v/>
      </c>
      <c r="AA54" s="102" t="b">
        <f t="shared" si="6"/>
        <v>0</v>
      </c>
      <c r="AB54" s="150"/>
      <c r="AC54" s="103">
        <v>172.0</v>
      </c>
      <c r="AD54" s="152"/>
      <c r="AE54" s="105">
        <f t="shared" si="7"/>
        <v>256.15</v>
      </c>
      <c r="AF54" s="106" t="b">
        <f t="shared" si="8"/>
        <v>0</v>
      </c>
      <c r="AG54" s="93" t="b">
        <f t="shared" si="9"/>
        <v>0</v>
      </c>
      <c r="AH54" s="152"/>
      <c r="AI54" s="152"/>
      <c r="AJ54" s="150"/>
      <c r="AK54" s="101" t="str">
        <f t="shared" si="10"/>
        <v>Negative</v>
      </c>
      <c r="AL54" s="98"/>
      <c r="AM54" s="94" t="s">
        <v>300</v>
      </c>
      <c r="AN54" s="94" t="s">
        <v>303</v>
      </c>
      <c r="AO54" s="102" t="str">
        <f>IFERROR(__xludf.DUMMYFUNCTION("IF($AG54, ""DELETED"",TRIM(JOIN("" "",D54:E54)))"),"")</f>
        <v/>
      </c>
      <c r="AP54" s="94" t="str">
        <f t="shared" ref="AP54:AQ54" si="81">IF($AG54, "DELETED", TRIM(CONCATENATE(F54,I54,U54)))</f>
        <v/>
      </c>
      <c r="AQ54" s="94" t="str">
        <f t="shared" si="81"/>
        <v/>
      </c>
      <c r="AR54" s="94" t="str">
        <f>IFERROR(__xludf.DUMMYFUNCTION("IF($AG54, ""DELETED"", TRIM(JOIN("" "",AP54,AQ54)))"),"")</f>
        <v/>
      </c>
      <c r="AS54" s="153"/>
      <c r="AT54" s="93" t="b">
        <f t="shared" si="12"/>
        <v>0</v>
      </c>
      <c r="AU54" s="93" t="str">
        <f t="shared" si="13"/>
        <v/>
      </c>
      <c r="AV54" s="93" t="str">
        <f t="shared" si="14"/>
        <v/>
      </c>
      <c r="AW54" s="93" t="str">
        <f t="shared" si="79"/>
        <v/>
      </c>
      <c r="AX54" s="107" t="str">
        <f t="shared" si="16"/>
        <v/>
      </c>
      <c r="AY54" s="150"/>
      <c r="AZ54" s="154"/>
      <c r="BA54" s="109" t="str">
        <f t="shared" si="17"/>
        <v/>
      </c>
      <c r="BB54" s="150"/>
      <c r="BC54" s="150"/>
      <c r="BD54" s="108"/>
      <c r="BE54" s="134"/>
      <c r="BF54" s="111" t="str">
        <f t="shared" si="18"/>
        <v/>
      </c>
      <c r="BG54" s="112" t="str">
        <f t="shared" si="19"/>
        <v>AH7299__44683_0.17994212962963___Negative_44683_0.357824074074074_</v>
      </c>
      <c r="BH54" s="113" t="str">
        <f t="shared" si="20"/>
        <v/>
      </c>
      <c r="BI54" s="134" t="s">
        <v>304</v>
      </c>
      <c r="BJ54" s="114" t="str">
        <f t="shared" si="21"/>
        <v>AH8786</v>
      </c>
      <c r="BK54" s="115" t="b">
        <f t="shared" si="45"/>
        <v>0</v>
      </c>
      <c r="BL54" s="114" t="str">
        <f t="shared" si="23"/>
        <v/>
      </c>
      <c r="BM54" s="108"/>
      <c r="BN54" s="7" t="b">
        <f t="shared" si="24"/>
        <v>1</v>
      </c>
      <c r="BO54" s="7" t="b">
        <f t="shared" si="25"/>
        <v>0</v>
      </c>
      <c r="BP54" s="7" t="b">
        <f t="shared" si="26"/>
        <v>1</v>
      </c>
      <c r="BQ54" s="118"/>
      <c r="BR54" s="119" t="s">
        <v>228</v>
      </c>
      <c r="BS54" s="7" t="b">
        <f t="shared" si="27"/>
        <v>1</v>
      </c>
      <c r="BT54" s="7"/>
      <c r="BU54" s="7"/>
      <c r="BV54" s="7"/>
      <c r="BW54" s="7"/>
    </row>
    <row r="55">
      <c r="A55" s="86" t="s">
        <v>305</v>
      </c>
      <c r="B55" s="87">
        <v>44683.0</v>
      </c>
      <c r="C55" s="88">
        <v>0.19702546296296297</v>
      </c>
      <c r="D55" s="89"/>
      <c r="E55" s="89"/>
      <c r="F55" s="89"/>
      <c r="G55" s="86"/>
      <c r="H55" s="90"/>
      <c r="I55" s="9"/>
      <c r="J55" s="89"/>
      <c r="K55" s="89" t="s">
        <v>228</v>
      </c>
      <c r="L55" s="36">
        <v>44690.0</v>
      </c>
      <c r="M55" s="91">
        <v>0.3232291666666667</v>
      </c>
      <c r="N55" s="3"/>
      <c r="O55" s="142"/>
      <c r="P55" s="93" t="b">
        <f>IFNA(IF(VLOOKUP($A55,'Add from APT'!$AA$2:$AC264,3,FALSE)&gt;0,TRUE,FALSE),"ER - NOT IN APT")</f>
        <v>0</v>
      </c>
      <c r="Q55" s="94" t="str">
        <f>IF(ISLOGICAL(P55),IF(P55,"ER - REPS IN APT", IFNA(VLOOKUP($A55,RAW_APT!$A$3:$M264,7,FALSE),"ER - NOT IN APT")),P55)</f>
        <v>Result</v>
      </c>
      <c r="R55" s="95" t="b">
        <f t="shared" si="2"/>
        <v>1</v>
      </c>
      <c r="S55" s="96">
        <f t="shared" si="3"/>
        <v>4</v>
      </c>
      <c r="T55" s="103">
        <v>3.0</v>
      </c>
      <c r="U55" s="9"/>
      <c r="V55" s="89"/>
      <c r="W55" s="98"/>
      <c r="X55" s="99" t="b">
        <f t="shared" si="77"/>
        <v>0</v>
      </c>
      <c r="Y55" s="100"/>
      <c r="Z55" s="101" t="str">
        <f t="shared" si="5"/>
        <v/>
      </c>
      <c r="AA55" s="102" t="b">
        <f t="shared" si="6"/>
        <v>0</v>
      </c>
      <c r="AB55" s="98"/>
      <c r="AC55" s="103">
        <v>173.0</v>
      </c>
      <c r="AD55" s="104"/>
      <c r="AE55" s="105" t="str">
        <f t="shared" si="7"/>
        <v/>
      </c>
      <c r="AF55" s="106" t="b">
        <f t="shared" si="8"/>
        <v>0</v>
      </c>
      <c r="AG55" s="93" t="b">
        <f t="shared" si="9"/>
        <v>0</v>
      </c>
      <c r="AH55" s="103"/>
      <c r="AI55" s="103"/>
      <c r="AJ55" s="97"/>
      <c r="AK55" s="101" t="str">
        <f t="shared" si="10"/>
        <v>Negative</v>
      </c>
      <c r="AL55" s="98"/>
      <c r="AM55" s="94" t="s">
        <v>306</v>
      </c>
      <c r="AN55" s="94" t="s">
        <v>307</v>
      </c>
      <c r="AO55" s="102" t="str">
        <f>IFERROR(__xludf.DUMMYFUNCTION("IF($AG55, ""DELETED"",TRIM(JOIN("" "",D55:E55)))"),"")</f>
        <v/>
      </c>
      <c r="AP55" s="94" t="str">
        <f t="shared" ref="AP55:AQ55" si="82">IF($AG55, "DELETED", TRIM(CONCATENATE(F55,I55,U55)))</f>
        <v/>
      </c>
      <c r="AQ55" s="94" t="str">
        <f t="shared" si="82"/>
        <v/>
      </c>
      <c r="AR55" s="94" t="str">
        <f>IFERROR(__xludf.DUMMYFUNCTION("IF($AG55, ""DELETED"", TRIM(JOIN("" "",AP55,AQ55)))"),"")</f>
        <v/>
      </c>
      <c r="AS55" s="155"/>
      <c r="AT55" s="93" t="b">
        <f t="shared" si="12"/>
        <v>0</v>
      </c>
      <c r="AU55" s="93" t="str">
        <f t="shared" si="13"/>
        <v/>
      </c>
      <c r="AV55" s="93" t="str">
        <f t="shared" si="14"/>
        <v/>
      </c>
      <c r="AW55" s="93" t="str">
        <f t="shared" si="79"/>
        <v/>
      </c>
      <c r="AX55" s="107" t="str">
        <f t="shared" si="16"/>
        <v/>
      </c>
      <c r="AY55" s="98"/>
      <c r="AZ55" s="108"/>
      <c r="BA55" s="109" t="str">
        <f t="shared" si="17"/>
        <v/>
      </c>
      <c r="BB55" s="98"/>
      <c r="BC55" s="98"/>
      <c r="BD55" s="108"/>
      <c r="BE55" s="134"/>
      <c r="BF55" s="111" t="str">
        <f t="shared" si="18"/>
        <v/>
      </c>
      <c r="BG55" s="112" t="str">
        <f t="shared" si="19"/>
        <v>AJ9453__44683_0.197025462962963___Negative_44690_0.323229166666667_</v>
      </c>
      <c r="BH55" s="113" t="str">
        <f t="shared" si="20"/>
        <v/>
      </c>
      <c r="BI55" s="134" t="s">
        <v>308</v>
      </c>
      <c r="BJ55" s="114" t="str">
        <f t="shared" si="21"/>
        <v>AH8860</v>
      </c>
      <c r="BK55" s="115" t="b">
        <f t="shared" si="45"/>
        <v>0</v>
      </c>
      <c r="BL55" s="114" t="str">
        <f t="shared" si="23"/>
        <v/>
      </c>
      <c r="BM55" s="108"/>
      <c r="BN55" s="7" t="b">
        <f t="shared" si="24"/>
        <v>1</v>
      </c>
      <c r="BO55" s="7" t="b">
        <f t="shared" si="25"/>
        <v>0</v>
      </c>
      <c r="BP55" s="7" t="b">
        <f t="shared" si="26"/>
        <v>1</v>
      </c>
      <c r="BQ55" s="118"/>
      <c r="BR55" s="119" t="s">
        <v>228</v>
      </c>
      <c r="BS55" s="7" t="b">
        <f t="shared" si="27"/>
        <v>1</v>
      </c>
      <c r="BT55" s="7"/>
      <c r="BU55" s="7"/>
      <c r="BV55" s="7"/>
      <c r="BW55" s="7"/>
    </row>
    <row r="56">
      <c r="A56" s="3" t="s">
        <v>305</v>
      </c>
      <c r="B56" s="36">
        <v>44683.0</v>
      </c>
      <c r="C56" s="91">
        <v>0.19702546296296297</v>
      </c>
      <c r="D56" s="3"/>
      <c r="E56" s="3"/>
      <c r="F56" s="3"/>
      <c r="G56" s="120"/>
      <c r="H56" s="121"/>
      <c r="I56" s="9"/>
      <c r="J56" s="89"/>
      <c r="K56" s="3" t="s">
        <v>228</v>
      </c>
      <c r="L56" s="36">
        <v>44690.0</v>
      </c>
      <c r="M56" s="91">
        <v>0.3232291666666667</v>
      </c>
      <c r="N56" s="3"/>
      <c r="O56" s="92"/>
      <c r="P56" s="93" t="b">
        <f>IFNA(IF(VLOOKUP($A56,'Add from APT'!$AA$2:$AC264,3,FALSE)&gt;0,TRUE,FALSE),"ER - NOT IN APT")</f>
        <v>0</v>
      </c>
      <c r="Q56" s="94" t="str">
        <f>IF(ISLOGICAL(P56),IF(P56,"ER - REPS IN APT", IFNA(VLOOKUP($A56,RAW_APT!$A$3:$M264,7,FALSE),"ER - NOT IN APT")),P56)</f>
        <v>Result</v>
      </c>
      <c r="R56" s="95" t="b">
        <f t="shared" si="2"/>
        <v>0</v>
      </c>
      <c r="S56" s="96">
        <f t="shared" si="3"/>
        <v>4</v>
      </c>
      <c r="T56" s="103">
        <v>3.0</v>
      </c>
      <c r="U56" s="9"/>
      <c r="V56" s="89"/>
      <c r="W56" s="98"/>
      <c r="X56" s="99" t="b">
        <f t="shared" si="77"/>
        <v>0</v>
      </c>
      <c r="Y56" s="100"/>
      <c r="Z56" s="101" t="str">
        <f t="shared" si="5"/>
        <v/>
      </c>
      <c r="AA56" s="102" t="b">
        <f t="shared" si="6"/>
        <v>0</v>
      </c>
      <c r="AB56" s="98"/>
      <c r="AC56" s="156">
        <v>173.0</v>
      </c>
      <c r="AD56" s="104"/>
      <c r="AE56" s="105" t="str">
        <f t="shared" si="7"/>
        <v/>
      </c>
      <c r="AF56" s="106" t="b">
        <f t="shared" si="8"/>
        <v>0</v>
      </c>
      <c r="AG56" s="93" t="b">
        <f t="shared" si="9"/>
        <v>0</v>
      </c>
      <c r="AH56" s="156"/>
      <c r="AI56" s="103"/>
      <c r="AJ56" s="97"/>
      <c r="AK56" s="101" t="str">
        <f t="shared" si="10"/>
        <v>Negative</v>
      </c>
      <c r="AL56" s="3"/>
      <c r="AM56" s="94" t="s">
        <v>306</v>
      </c>
      <c r="AN56" s="94" t="s">
        <v>309</v>
      </c>
      <c r="AO56" s="102" t="str">
        <f>IFERROR(__xludf.DUMMYFUNCTION("IF($AG56, ""DELETED"",TRIM(JOIN("" "",D56:E56)))"),"")</f>
        <v/>
      </c>
      <c r="AP56" s="94" t="str">
        <f t="shared" ref="AP56:AQ56" si="83">IF($AG56, "DELETED", TRIM(CONCATENATE(F56,I56,U56)))</f>
        <v/>
      </c>
      <c r="AQ56" s="94" t="str">
        <f t="shared" si="83"/>
        <v/>
      </c>
      <c r="AR56" s="94" t="str">
        <f>IFERROR(__xludf.DUMMYFUNCTION("IF($AG56, ""DELETED"", TRIM(JOIN("" "",AP56,AQ56)))"),"")</f>
        <v/>
      </c>
      <c r="AS56" s="155"/>
      <c r="AT56" s="93" t="b">
        <f t="shared" si="12"/>
        <v>0</v>
      </c>
      <c r="AU56" s="93" t="str">
        <f t="shared" si="13"/>
        <v/>
      </c>
      <c r="AV56" s="93" t="str">
        <f t="shared" si="14"/>
        <v/>
      </c>
      <c r="AW56" s="93" t="str">
        <f t="shared" si="79"/>
        <v/>
      </c>
      <c r="AX56" s="107" t="str">
        <f t="shared" si="16"/>
        <v/>
      </c>
      <c r="AY56" s="98"/>
      <c r="AZ56" s="108"/>
      <c r="BA56" s="109" t="str">
        <f t="shared" si="17"/>
        <v/>
      </c>
      <c r="BB56" s="98"/>
      <c r="BC56" s="98"/>
      <c r="BD56" s="108"/>
      <c r="BE56" s="143"/>
      <c r="BF56" s="111" t="str">
        <f t="shared" si="18"/>
        <v/>
      </c>
      <c r="BG56" s="112" t="str">
        <f t="shared" si="19"/>
        <v>AJ9453__44683_0.197025462962963___Negative_44690_0.323229166666667_</v>
      </c>
      <c r="BH56" s="113" t="str">
        <f t="shared" si="20"/>
        <v/>
      </c>
      <c r="BI56" s="143" t="s">
        <v>310</v>
      </c>
      <c r="BJ56" s="114" t="str">
        <f t="shared" si="21"/>
        <v>AH9070</v>
      </c>
      <c r="BK56" s="115" t="b">
        <f t="shared" si="45"/>
        <v>0</v>
      </c>
      <c r="BL56" s="114" t="str">
        <f t="shared" si="23"/>
        <v/>
      </c>
      <c r="BM56" s="108"/>
      <c r="BN56" s="7" t="b">
        <f t="shared" si="24"/>
        <v>1</v>
      </c>
      <c r="BO56" s="7" t="b">
        <f t="shared" si="25"/>
        <v>0</v>
      </c>
      <c r="BP56" s="7" t="b">
        <f t="shared" si="26"/>
        <v>1</v>
      </c>
      <c r="BQ56" s="118"/>
      <c r="BR56" s="119" t="s">
        <v>228</v>
      </c>
      <c r="BS56" s="7" t="b">
        <f t="shared" si="27"/>
        <v>1</v>
      </c>
      <c r="BT56" s="7"/>
      <c r="BU56" s="7"/>
      <c r="BV56" s="7"/>
      <c r="BW56" s="7"/>
    </row>
    <row r="57">
      <c r="A57" s="3" t="s">
        <v>305</v>
      </c>
      <c r="B57" s="36">
        <v>44683.0</v>
      </c>
      <c r="C57" s="91">
        <v>0.19702546296296297</v>
      </c>
      <c r="D57" s="3"/>
      <c r="E57" s="3"/>
      <c r="F57" s="3"/>
      <c r="G57" s="120"/>
      <c r="H57" s="121"/>
      <c r="I57" s="9"/>
      <c r="J57" s="89"/>
      <c r="K57" s="3" t="s">
        <v>228</v>
      </c>
      <c r="L57" s="36">
        <v>44690.0</v>
      </c>
      <c r="M57" s="91">
        <v>0.3232291666666667</v>
      </c>
      <c r="N57" s="3"/>
      <c r="O57" s="92"/>
      <c r="P57" s="93" t="b">
        <f>IFNA(IF(VLOOKUP($A57,'Add from APT'!$AA$2:$AC264,3,FALSE)&gt;0,TRUE,FALSE),"ER - NOT IN APT")</f>
        <v>0</v>
      </c>
      <c r="Q57" s="94" t="str">
        <f>IF(ISLOGICAL(P57),IF(P57,"ER - REPS IN APT", IFNA(VLOOKUP($A57,RAW_APT!$A$3:$M264,7,FALSE),"ER - NOT IN APT")),P57)</f>
        <v>Result</v>
      </c>
      <c r="R57" s="95" t="b">
        <f t="shared" si="2"/>
        <v>0</v>
      </c>
      <c r="S57" s="96">
        <f t="shared" si="3"/>
        <v>4</v>
      </c>
      <c r="T57" s="103">
        <v>3.0</v>
      </c>
      <c r="U57" s="9"/>
      <c r="V57" s="89"/>
      <c r="W57" s="98"/>
      <c r="X57" s="99" t="b">
        <f t="shared" si="77"/>
        <v>0</v>
      </c>
      <c r="Y57" s="100"/>
      <c r="Z57" s="101" t="str">
        <f t="shared" si="5"/>
        <v/>
      </c>
      <c r="AA57" s="102" t="b">
        <f t="shared" si="6"/>
        <v>0</v>
      </c>
      <c r="AB57" s="98"/>
      <c r="AC57" s="156">
        <v>173.0</v>
      </c>
      <c r="AD57" s="104"/>
      <c r="AE57" s="105" t="str">
        <f t="shared" si="7"/>
        <v/>
      </c>
      <c r="AF57" s="106" t="b">
        <f t="shared" si="8"/>
        <v>0</v>
      </c>
      <c r="AG57" s="93" t="b">
        <f t="shared" si="9"/>
        <v>0</v>
      </c>
      <c r="AH57" s="156"/>
      <c r="AI57" s="103"/>
      <c r="AJ57" s="97"/>
      <c r="AK57" s="101" t="str">
        <f t="shared" si="10"/>
        <v>Negative</v>
      </c>
      <c r="AL57" s="3"/>
      <c r="AM57" s="94" t="s">
        <v>306</v>
      </c>
      <c r="AN57" s="94" t="s">
        <v>311</v>
      </c>
      <c r="AO57" s="102" t="str">
        <f>IFERROR(__xludf.DUMMYFUNCTION("IF($AG57, ""DELETED"",TRIM(JOIN("" "",D57:E57)))"),"")</f>
        <v/>
      </c>
      <c r="AP57" s="94" t="str">
        <f t="shared" ref="AP57:AQ57" si="84">IF($AG57, "DELETED", TRIM(CONCATENATE(F57,I57,U57)))</f>
        <v/>
      </c>
      <c r="AQ57" s="94" t="str">
        <f t="shared" si="84"/>
        <v/>
      </c>
      <c r="AR57" s="94" t="str">
        <f>IFERROR(__xludf.DUMMYFUNCTION("IF($AG57, ""DELETED"", TRIM(JOIN("" "",AP57,AQ57)))"),"")</f>
        <v/>
      </c>
      <c r="AS57" s="155"/>
      <c r="AT57" s="93" t="b">
        <f t="shared" si="12"/>
        <v>0</v>
      </c>
      <c r="AU57" s="93" t="str">
        <f t="shared" si="13"/>
        <v/>
      </c>
      <c r="AV57" s="93" t="str">
        <f t="shared" si="14"/>
        <v/>
      </c>
      <c r="AW57" s="93" t="str">
        <f t="shared" si="79"/>
        <v/>
      </c>
      <c r="AX57" s="107" t="str">
        <f t="shared" si="16"/>
        <v/>
      </c>
      <c r="AY57" s="98"/>
      <c r="AZ57" s="108"/>
      <c r="BA57" s="109" t="str">
        <f t="shared" si="17"/>
        <v/>
      </c>
      <c r="BB57" s="98"/>
      <c r="BC57" s="98"/>
      <c r="BD57" s="108"/>
      <c r="BE57" s="157"/>
      <c r="BF57" s="111" t="str">
        <f t="shared" si="18"/>
        <v/>
      </c>
      <c r="BG57" s="112" t="str">
        <f t="shared" si="19"/>
        <v>AJ9453__44683_0.197025462962963___Negative_44690_0.323229166666667_</v>
      </c>
      <c r="BH57" s="113" t="str">
        <f t="shared" si="20"/>
        <v/>
      </c>
      <c r="BI57" s="157" t="s">
        <v>312</v>
      </c>
      <c r="BJ57" s="114" t="str">
        <f t="shared" si="21"/>
        <v>AH9504</v>
      </c>
      <c r="BK57" s="115" t="b">
        <f t="shared" si="45"/>
        <v>0</v>
      </c>
      <c r="BL57" s="114" t="str">
        <f t="shared" si="23"/>
        <v/>
      </c>
      <c r="BM57" s="108"/>
      <c r="BN57" s="7" t="b">
        <f t="shared" si="24"/>
        <v>1</v>
      </c>
      <c r="BO57" s="7" t="b">
        <f t="shared" si="25"/>
        <v>0</v>
      </c>
      <c r="BP57" s="7" t="b">
        <f t="shared" si="26"/>
        <v>1</v>
      </c>
      <c r="BQ57" s="118"/>
      <c r="BR57" s="119" t="s">
        <v>228</v>
      </c>
      <c r="BS57" s="7" t="b">
        <f t="shared" si="27"/>
        <v>1</v>
      </c>
      <c r="BT57" s="7"/>
      <c r="BU57" s="7"/>
      <c r="BV57" s="7"/>
      <c r="BW57" s="7"/>
    </row>
    <row r="58">
      <c r="A58" s="86" t="s">
        <v>305</v>
      </c>
      <c r="B58" s="87">
        <v>44683.0</v>
      </c>
      <c r="C58" s="88">
        <v>0.19702546296296297</v>
      </c>
      <c r="D58" s="89"/>
      <c r="E58" s="89"/>
      <c r="F58" s="89"/>
      <c r="G58" s="86"/>
      <c r="H58" s="90"/>
      <c r="I58" s="3"/>
      <c r="J58" s="3"/>
      <c r="K58" s="89" t="s">
        <v>228</v>
      </c>
      <c r="L58" s="36">
        <v>44690.0</v>
      </c>
      <c r="M58" s="91">
        <v>0.3232291666666667</v>
      </c>
      <c r="N58" s="3"/>
      <c r="O58" s="142"/>
      <c r="P58" s="93" t="b">
        <f>IFNA(IF(VLOOKUP($A58,'Add from APT'!$AA$2:$AC264,3,FALSE)&gt;0,TRUE,FALSE),"ER - NOT IN APT")</f>
        <v>0</v>
      </c>
      <c r="Q58" s="94" t="str">
        <f>IF(ISLOGICAL(P58),IF(P58,"ER - REPS IN APT", IFNA(VLOOKUP($A58,RAW_APT!$A$3:$M264,7,FALSE),"ER - NOT IN APT")),P58)</f>
        <v>Result</v>
      </c>
      <c r="R58" s="95" t="b">
        <f t="shared" si="2"/>
        <v>0</v>
      </c>
      <c r="S58" s="96">
        <f t="shared" si="3"/>
        <v>4</v>
      </c>
      <c r="T58" s="158">
        <v>3.0</v>
      </c>
      <c r="U58" s="159"/>
      <c r="V58" s="159"/>
      <c r="W58" s="160"/>
      <c r="X58" s="99" t="b">
        <f t="shared" si="77"/>
        <v>0</v>
      </c>
      <c r="Y58" s="161"/>
      <c r="Z58" s="101" t="str">
        <f t="shared" si="5"/>
        <v/>
      </c>
      <c r="AA58" s="102" t="b">
        <f t="shared" si="6"/>
        <v>0</v>
      </c>
      <c r="AB58" s="160"/>
      <c r="AC58" s="158">
        <v>173.0</v>
      </c>
      <c r="AD58" s="162"/>
      <c r="AE58" s="105" t="str">
        <f t="shared" si="7"/>
        <v/>
      </c>
      <c r="AF58" s="106" t="b">
        <f t="shared" si="8"/>
        <v>0</v>
      </c>
      <c r="AG58" s="93" t="b">
        <f t="shared" si="9"/>
        <v>0</v>
      </c>
      <c r="AH58" s="158"/>
      <c r="AI58" s="158"/>
      <c r="AJ58" s="163"/>
      <c r="AK58" s="101" t="str">
        <f t="shared" si="10"/>
        <v>Negative</v>
      </c>
      <c r="AL58" s="98"/>
      <c r="AM58" s="94" t="s">
        <v>306</v>
      </c>
      <c r="AN58" s="94" t="s">
        <v>313</v>
      </c>
      <c r="AO58" s="102" t="str">
        <f>IFERROR(__xludf.DUMMYFUNCTION("IF($AG58, ""DELETED"",TRIM(JOIN("" "",D58:E58)))"),"")</f>
        <v/>
      </c>
      <c r="AP58" s="94" t="str">
        <f t="shared" ref="AP58:AQ58" si="85">IF($AG58, "DELETED", TRIM(CONCATENATE(F58,I58,U58)))</f>
        <v/>
      </c>
      <c r="AQ58" s="94" t="str">
        <f t="shared" si="85"/>
        <v/>
      </c>
      <c r="AR58" s="94" t="str">
        <f>IFERROR(__xludf.DUMMYFUNCTION("IF($AG58, ""DELETED"", TRIM(JOIN("" "",AP58,AQ58)))"),"")</f>
        <v/>
      </c>
      <c r="AS58" s="164"/>
      <c r="AT58" s="93" t="b">
        <f t="shared" si="12"/>
        <v>0</v>
      </c>
      <c r="AU58" s="93" t="str">
        <f t="shared" si="13"/>
        <v/>
      </c>
      <c r="AV58" s="93" t="str">
        <f t="shared" si="14"/>
        <v/>
      </c>
      <c r="AW58" s="93" t="str">
        <f t="shared" si="79"/>
        <v/>
      </c>
      <c r="AX58" s="107" t="str">
        <f t="shared" si="16"/>
        <v/>
      </c>
      <c r="AY58" s="160"/>
      <c r="AZ58" s="165"/>
      <c r="BA58" s="109" t="str">
        <f t="shared" si="17"/>
        <v/>
      </c>
      <c r="BB58" s="160"/>
      <c r="BC58" s="160"/>
      <c r="BD58" s="108"/>
      <c r="BE58" s="134"/>
      <c r="BF58" s="111" t="str">
        <f t="shared" si="18"/>
        <v/>
      </c>
      <c r="BG58" s="112" t="str">
        <f t="shared" si="19"/>
        <v>AJ9453__44683_0.197025462962963___Negative_44690_0.323229166666667_</v>
      </c>
      <c r="BH58" s="113" t="str">
        <f t="shared" si="20"/>
        <v/>
      </c>
      <c r="BI58" s="134" t="s">
        <v>314</v>
      </c>
      <c r="BJ58" s="114" t="str">
        <f t="shared" si="21"/>
        <v>AH9625</v>
      </c>
      <c r="BK58" s="115" t="b">
        <f t="shared" si="45"/>
        <v>0</v>
      </c>
      <c r="BL58" s="114" t="str">
        <f t="shared" si="23"/>
        <v/>
      </c>
      <c r="BM58" s="108"/>
      <c r="BN58" s="7" t="b">
        <f t="shared" si="24"/>
        <v>1</v>
      </c>
      <c r="BO58" s="7" t="b">
        <f t="shared" si="25"/>
        <v>0</v>
      </c>
      <c r="BP58" s="7" t="b">
        <f t="shared" si="26"/>
        <v>1</v>
      </c>
      <c r="BQ58" s="118"/>
      <c r="BR58" s="119" t="s">
        <v>228</v>
      </c>
      <c r="BS58" s="7" t="b">
        <f t="shared" si="27"/>
        <v>1</v>
      </c>
      <c r="BT58" s="7"/>
      <c r="BU58" s="7"/>
      <c r="BV58" s="7"/>
      <c r="BW58" s="7"/>
    </row>
    <row r="59">
      <c r="A59" s="86" t="s">
        <v>315</v>
      </c>
      <c r="B59" s="87">
        <v>44683.0</v>
      </c>
      <c r="C59" s="88">
        <v>0.2021875</v>
      </c>
      <c r="D59" s="89"/>
      <c r="E59" s="89"/>
      <c r="F59" s="89"/>
      <c r="G59" s="86"/>
      <c r="H59" s="89"/>
      <c r="I59" s="3"/>
      <c r="J59" s="3"/>
      <c r="K59" s="89" t="s">
        <v>228</v>
      </c>
      <c r="L59" s="36">
        <v>44683.0</v>
      </c>
      <c r="M59" s="91">
        <v>0.35782407407407407</v>
      </c>
      <c r="N59" s="3"/>
      <c r="O59" s="92"/>
      <c r="P59" s="93" t="b">
        <f>IFNA(IF(VLOOKUP($A59,'Add from APT'!$AA$2:$AC264,3,FALSE)&gt;0,TRUE,FALSE),"ER - NOT IN APT")</f>
        <v>0</v>
      </c>
      <c r="Q59" s="94" t="str">
        <f>IF(ISLOGICAL(P59),IF(P59,"ER - REPS IN APT", IFNA(VLOOKUP($A59,RAW_APT!$A$3:$M264,7,FALSE),"ER - NOT IN APT")),P59)</f>
        <v>Result</v>
      </c>
      <c r="R59" s="95" t="b">
        <f t="shared" si="2"/>
        <v>1</v>
      </c>
      <c r="S59" s="96">
        <f t="shared" si="3"/>
        <v>2</v>
      </c>
      <c r="T59" s="103"/>
      <c r="U59" s="3"/>
      <c r="V59" s="3"/>
      <c r="W59" s="9"/>
      <c r="X59" s="99" t="b">
        <f t="shared" si="77"/>
        <v>0</v>
      </c>
      <c r="Y59" s="100"/>
      <c r="Z59" s="101" t="str">
        <f t="shared" si="5"/>
        <v/>
      </c>
      <c r="AA59" s="102" t="b">
        <f t="shared" si="6"/>
        <v>0</v>
      </c>
      <c r="AB59" s="98"/>
      <c r="AC59" s="103">
        <v>174.0</v>
      </c>
      <c r="AD59" s="104"/>
      <c r="AE59" s="105">
        <f t="shared" si="7"/>
        <v>224.1166667</v>
      </c>
      <c r="AF59" s="106" t="b">
        <f t="shared" si="8"/>
        <v>0</v>
      </c>
      <c r="AG59" s="93" t="b">
        <f t="shared" si="9"/>
        <v>0</v>
      </c>
      <c r="AH59" s="103"/>
      <c r="AI59" s="103"/>
      <c r="AJ59" s="97"/>
      <c r="AK59" s="101" t="str">
        <f t="shared" si="10"/>
        <v>Negative</v>
      </c>
      <c r="AL59" s="98"/>
      <c r="AM59" s="94" t="s">
        <v>316</v>
      </c>
      <c r="AN59" s="94" t="s">
        <v>317</v>
      </c>
      <c r="AO59" s="102" t="str">
        <f>IFERROR(__xludf.DUMMYFUNCTION("IF($AG59, ""DELETED"",TRIM(JOIN("" "",D59:E59)))"),"")</f>
        <v/>
      </c>
      <c r="AP59" s="94" t="str">
        <f t="shared" ref="AP59:AQ59" si="86">IF($AG59, "DELETED", TRIM(CONCATENATE(F59,I59,U59)))</f>
        <v/>
      </c>
      <c r="AQ59" s="94" t="str">
        <f t="shared" si="86"/>
        <v/>
      </c>
      <c r="AR59" s="94" t="str">
        <f>IFERROR(__xludf.DUMMYFUNCTION("IF($AG59, ""DELETED"", TRIM(JOIN("" "",AP59,AQ59)))"),"")</f>
        <v/>
      </c>
      <c r="AS59" s="9"/>
      <c r="AT59" s="93" t="b">
        <f t="shared" si="12"/>
        <v>0</v>
      </c>
      <c r="AU59" s="93" t="str">
        <f t="shared" si="13"/>
        <v/>
      </c>
      <c r="AV59" s="93" t="str">
        <f t="shared" si="14"/>
        <v/>
      </c>
      <c r="AW59" s="93" t="str">
        <f t="shared" si="79"/>
        <v/>
      </c>
      <c r="AX59" s="107" t="str">
        <f t="shared" si="16"/>
        <v/>
      </c>
      <c r="AY59" s="98"/>
      <c r="AZ59" s="108"/>
      <c r="BA59" s="109" t="str">
        <f t="shared" si="17"/>
        <v/>
      </c>
      <c r="BB59" s="98"/>
      <c r="BC59" s="98"/>
      <c r="BD59" s="108"/>
      <c r="BE59" s="134"/>
      <c r="BF59" s="111" t="str">
        <f t="shared" si="18"/>
        <v/>
      </c>
      <c r="BG59" s="112" t="str">
        <f t="shared" si="19"/>
        <v>AJ8392__44683_0.2021875___Negative_44683_0.357824074074074_</v>
      </c>
      <c r="BH59" s="113" t="str">
        <f t="shared" si="20"/>
        <v/>
      </c>
      <c r="BI59" s="134" t="s">
        <v>318</v>
      </c>
      <c r="BJ59" s="114" t="str">
        <f t="shared" si="21"/>
        <v>AH9644</v>
      </c>
      <c r="BK59" s="115" t="b">
        <f t="shared" si="45"/>
        <v>0</v>
      </c>
      <c r="BL59" s="114" t="str">
        <f t="shared" si="23"/>
        <v/>
      </c>
      <c r="BM59" s="108"/>
      <c r="BN59" s="7" t="b">
        <f t="shared" si="24"/>
        <v>1</v>
      </c>
      <c r="BO59" s="7" t="b">
        <f t="shared" si="25"/>
        <v>0</v>
      </c>
      <c r="BP59" s="7" t="b">
        <f t="shared" si="26"/>
        <v>1</v>
      </c>
      <c r="BQ59" s="118"/>
      <c r="BR59" s="119" t="s">
        <v>228</v>
      </c>
      <c r="BS59" s="7" t="b">
        <f t="shared" si="27"/>
        <v>1</v>
      </c>
      <c r="BT59" s="7"/>
      <c r="BU59" s="7"/>
      <c r="BV59" s="7"/>
      <c r="BW59" s="7"/>
    </row>
    <row r="60">
      <c r="A60" s="86" t="s">
        <v>315</v>
      </c>
      <c r="B60" s="87">
        <v>44683.0</v>
      </c>
      <c r="C60" s="88">
        <v>0.2021875</v>
      </c>
      <c r="D60" s="89"/>
      <c r="E60" s="89"/>
      <c r="F60" s="89"/>
      <c r="G60" s="86"/>
      <c r="H60" s="89"/>
      <c r="I60" s="121"/>
      <c r="J60" s="3"/>
      <c r="K60" s="89" t="s">
        <v>228</v>
      </c>
      <c r="L60" s="36">
        <v>44683.0</v>
      </c>
      <c r="M60" s="91">
        <v>0.35782407407407407</v>
      </c>
      <c r="N60" s="3"/>
      <c r="O60" s="92"/>
      <c r="P60" s="93" t="b">
        <f>IFNA(IF(VLOOKUP($A60,'Add from APT'!$AA$2:$AC264,3,FALSE)&gt;0,TRUE,FALSE),"ER - NOT IN APT")</f>
        <v>0</v>
      </c>
      <c r="Q60" s="94" t="str">
        <f>IF(ISLOGICAL(P60),IF(P60,"ER - REPS IN APT", IFNA(VLOOKUP($A60,RAW_APT!$A$3:$M264,7,FALSE),"ER - NOT IN APT")),P60)</f>
        <v>Result</v>
      </c>
      <c r="R60" s="95" t="b">
        <f t="shared" si="2"/>
        <v>0</v>
      </c>
      <c r="S60" s="96">
        <f t="shared" si="3"/>
        <v>2</v>
      </c>
      <c r="T60" s="103"/>
      <c r="U60" s="3"/>
      <c r="V60" s="3"/>
      <c r="W60" s="9"/>
      <c r="X60" s="99" t="b">
        <f t="shared" si="77"/>
        <v>0</v>
      </c>
      <c r="Y60" s="100"/>
      <c r="Z60" s="101" t="str">
        <f t="shared" si="5"/>
        <v/>
      </c>
      <c r="AA60" s="102" t="b">
        <f t="shared" si="6"/>
        <v>0</v>
      </c>
      <c r="AB60" s="98"/>
      <c r="AC60" s="103">
        <v>175.0</v>
      </c>
      <c r="AD60" s="104"/>
      <c r="AE60" s="105">
        <f t="shared" si="7"/>
        <v>224.1166667</v>
      </c>
      <c r="AF60" s="106" t="b">
        <f t="shared" si="8"/>
        <v>0</v>
      </c>
      <c r="AG60" s="93" t="b">
        <f t="shared" si="9"/>
        <v>0</v>
      </c>
      <c r="AH60" s="103"/>
      <c r="AI60" s="103"/>
      <c r="AJ60" s="97"/>
      <c r="AK60" s="101" t="str">
        <f t="shared" si="10"/>
        <v>Negative</v>
      </c>
      <c r="AL60" s="98"/>
      <c r="AM60" s="94" t="s">
        <v>316</v>
      </c>
      <c r="AN60" s="94" t="s">
        <v>319</v>
      </c>
      <c r="AO60" s="102" t="str">
        <f>IFERROR(__xludf.DUMMYFUNCTION("IF($AG60, ""DELETED"",TRIM(JOIN("" "",D60:E60)))"),"")</f>
        <v/>
      </c>
      <c r="AP60" s="94" t="str">
        <f t="shared" ref="AP60:AQ60" si="87">IF($AG60, "DELETED", TRIM(CONCATENATE(F60,I60,U60)))</f>
        <v/>
      </c>
      <c r="AQ60" s="94" t="str">
        <f t="shared" si="87"/>
        <v/>
      </c>
      <c r="AR60" s="94" t="str">
        <f>IFERROR(__xludf.DUMMYFUNCTION("IF($AG60, ""DELETED"", TRIM(JOIN("" "",AP60,AQ60)))"),"")</f>
        <v/>
      </c>
      <c r="AS60" s="9"/>
      <c r="AT60" s="93" t="b">
        <f t="shared" si="12"/>
        <v>0</v>
      </c>
      <c r="AU60" s="93" t="str">
        <f t="shared" si="13"/>
        <v/>
      </c>
      <c r="AV60" s="93" t="str">
        <f t="shared" si="14"/>
        <v/>
      </c>
      <c r="AW60" s="93" t="str">
        <f t="shared" si="79"/>
        <v/>
      </c>
      <c r="AX60" s="107" t="str">
        <f t="shared" si="16"/>
        <v/>
      </c>
      <c r="AY60" s="98"/>
      <c r="AZ60" s="108"/>
      <c r="BA60" s="109" t="str">
        <f t="shared" si="17"/>
        <v/>
      </c>
      <c r="BB60" s="98"/>
      <c r="BC60" s="98"/>
      <c r="BD60" s="108"/>
      <c r="BE60" s="134"/>
      <c r="BF60" s="111" t="str">
        <f t="shared" si="18"/>
        <v/>
      </c>
      <c r="BG60" s="112" t="str">
        <f t="shared" si="19"/>
        <v>AJ8392__44683_0.2021875___Negative_44683_0.357824074074074_</v>
      </c>
      <c r="BH60" s="113" t="str">
        <f t="shared" si="20"/>
        <v/>
      </c>
      <c r="BI60" s="134" t="s">
        <v>320</v>
      </c>
      <c r="BJ60" s="114" t="str">
        <f t="shared" si="21"/>
        <v>AH9668</v>
      </c>
      <c r="BK60" s="115" t="b">
        <f t="shared" si="45"/>
        <v>0</v>
      </c>
      <c r="BL60" s="114" t="str">
        <f t="shared" si="23"/>
        <v/>
      </c>
      <c r="BM60" s="108"/>
      <c r="BN60" s="7" t="b">
        <f t="shared" si="24"/>
        <v>1</v>
      </c>
      <c r="BO60" s="7" t="b">
        <f t="shared" si="25"/>
        <v>0</v>
      </c>
      <c r="BP60" s="7" t="b">
        <f t="shared" si="26"/>
        <v>1</v>
      </c>
      <c r="BQ60" s="118"/>
      <c r="BR60" s="119" t="s">
        <v>228</v>
      </c>
      <c r="BS60" s="7" t="b">
        <f t="shared" si="27"/>
        <v>1</v>
      </c>
      <c r="BT60" s="7"/>
      <c r="BU60" s="7"/>
      <c r="BV60" s="7"/>
      <c r="BW60" s="7"/>
    </row>
    <row r="61">
      <c r="A61" s="86" t="s">
        <v>321</v>
      </c>
      <c r="B61" s="87">
        <v>44683.0</v>
      </c>
      <c r="C61" s="88">
        <v>0.20903935185185185</v>
      </c>
      <c r="D61" s="89"/>
      <c r="E61" s="89"/>
      <c r="F61" s="89"/>
      <c r="G61" s="86"/>
      <c r="H61" s="90"/>
      <c r="I61" s="3"/>
      <c r="J61" s="3"/>
      <c r="K61" s="89" t="s">
        <v>228</v>
      </c>
      <c r="L61" s="36">
        <v>44683.0</v>
      </c>
      <c r="M61" s="91">
        <v>0.35782407407407407</v>
      </c>
      <c r="N61" s="3"/>
      <c r="O61" s="92"/>
      <c r="P61" s="93" t="b">
        <f>IFNA(IF(VLOOKUP($A61,'Add from APT'!$AA$2:$AC264,3,FALSE)&gt;0,TRUE,FALSE),"ER - NOT IN APT")</f>
        <v>0</v>
      </c>
      <c r="Q61" s="94" t="str">
        <f>IF(ISLOGICAL(P61),IF(P61,"ER - REPS IN APT", IFNA(VLOOKUP($A61,RAW_APT!$A$3:$M264,7,FALSE),"ER - NOT IN APT")),P61)</f>
        <v>Result</v>
      </c>
      <c r="R61" s="95" t="b">
        <f t="shared" si="2"/>
        <v>1</v>
      </c>
      <c r="S61" s="96">
        <f t="shared" si="3"/>
        <v>4</v>
      </c>
      <c r="T61" s="166"/>
      <c r="U61" s="3"/>
      <c r="V61" s="3"/>
      <c r="W61" s="3"/>
      <c r="X61" s="99" t="b">
        <f t="shared" si="77"/>
        <v>0</v>
      </c>
      <c r="Y61" s="7"/>
      <c r="Z61" s="101" t="str">
        <f t="shared" si="5"/>
        <v/>
      </c>
      <c r="AA61" s="102" t="b">
        <f t="shared" si="6"/>
        <v>0</v>
      </c>
      <c r="AB61" s="131"/>
      <c r="AC61" s="130">
        <v>176.0</v>
      </c>
      <c r="AD61" s="132"/>
      <c r="AE61" s="105">
        <f t="shared" si="7"/>
        <v>214.25</v>
      </c>
      <c r="AF61" s="106" t="b">
        <f t="shared" si="8"/>
        <v>0</v>
      </c>
      <c r="AG61" s="93" t="b">
        <f t="shared" si="9"/>
        <v>0</v>
      </c>
      <c r="AH61" s="130"/>
      <c r="AI61" s="13"/>
      <c r="AJ61" s="7"/>
      <c r="AK61" s="101" t="str">
        <f t="shared" si="10"/>
        <v>Negative</v>
      </c>
      <c r="AL61" s="98"/>
      <c r="AM61" s="94" t="s">
        <v>322</v>
      </c>
      <c r="AN61" s="94" t="s">
        <v>323</v>
      </c>
      <c r="AO61" s="102" t="str">
        <f>IFERROR(__xludf.DUMMYFUNCTION("IF($AG61, ""DELETED"",TRIM(JOIN("" "",D61:E61)))"),"")</f>
        <v/>
      </c>
      <c r="AP61" s="94" t="str">
        <f t="shared" ref="AP61:AQ61" si="88">IF($AG61, "DELETED", TRIM(CONCATENATE(F61,I61,U61)))</f>
        <v/>
      </c>
      <c r="AQ61" s="94" t="str">
        <f t="shared" si="88"/>
        <v/>
      </c>
      <c r="AR61" s="94" t="str">
        <f>IFERROR(__xludf.DUMMYFUNCTION("IF($AG61, ""DELETED"", TRIM(JOIN("" "",AP61,AQ61)))"),"")</f>
        <v/>
      </c>
      <c r="AS61" s="9"/>
      <c r="AT61" s="93" t="b">
        <f t="shared" si="12"/>
        <v>0</v>
      </c>
      <c r="AU61" s="93" t="str">
        <f t="shared" si="13"/>
        <v/>
      </c>
      <c r="AV61" s="93" t="str">
        <f t="shared" si="14"/>
        <v/>
      </c>
      <c r="AW61" s="93" t="str">
        <f t="shared" si="79"/>
        <v/>
      </c>
      <c r="AX61" s="107" t="str">
        <f t="shared" si="16"/>
        <v/>
      </c>
      <c r="AY61" s="3"/>
      <c r="AZ61" s="129"/>
      <c r="BA61" s="109" t="str">
        <f t="shared" si="17"/>
        <v/>
      </c>
      <c r="BB61" s="3"/>
      <c r="BC61" s="3"/>
      <c r="BD61" s="108"/>
      <c r="BE61" s="134"/>
      <c r="BF61" s="111" t="str">
        <f t="shared" si="18"/>
        <v/>
      </c>
      <c r="BG61" s="112" t="str">
        <f t="shared" si="19"/>
        <v>AJ9417__44683_0.209039351851852___Negative_44683_0.357824074074074_</v>
      </c>
      <c r="BH61" s="113" t="str">
        <f t="shared" si="20"/>
        <v/>
      </c>
      <c r="BI61" s="134" t="s">
        <v>324</v>
      </c>
      <c r="BJ61" s="114" t="str">
        <f t="shared" si="21"/>
        <v>AH9741</v>
      </c>
      <c r="BK61" s="115" t="b">
        <f t="shared" si="45"/>
        <v>0</v>
      </c>
      <c r="BL61" s="114" t="str">
        <f t="shared" si="23"/>
        <v/>
      </c>
      <c r="BM61" s="108"/>
      <c r="BN61" s="7" t="b">
        <f t="shared" si="24"/>
        <v>1</v>
      </c>
      <c r="BO61" s="7" t="b">
        <f t="shared" si="25"/>
        <v>0</v>
      </c>
      <c r="BP61" s="7" t="b">
        <f t="shared" si="26"/>
        <v>1</v>
      </c>
      <c r="BQ61" s="118"/>
      <c r="BR61" s="119" t="s">
        <v>228</v>
      </c>
      <c r="BS61" s="7" t="b">
        <f t="shared" si="27"/>
        <v>1</v>
      </c>
      <c r="BT61" s="7"/>
      <c r="BU61" s="7"/>
      <c r="BV61" s="7"/>
      <c r="BW61" s="7"/>
    </row>
    <row r="62">
      <c r="A62" s="86" t="s">
        <v>321</v>
      </c>
      <c r="B62" s="87">
        <v>44683.0</v>
      </c>
      <c r="C62" s="88">
        <v>0.20903935185185185</v>
      </c>
      <c r="D62" s="89"/>
      <c r="E62" s="89"/>
      <c r="F62" s="89"/>
      <c r="G62" s="86"/>
      <c r="H62" s="90"/>
      <c r="I62" s="3"/>
      <c r="J62" s="3"/>
      <c r="K62" s="89" t="s">
        <v>228</v>
      </c>
      <c r="L62" s="36">
        <v>44683.0</v>
      </c>
      <c r="M62" s="91">
        <v>0.35782407407407407</v>
      </c>
      <c r="N62" s="3"/>
      <c r="O62" s="92"/>
      <c r="P62" s="93" t="b">
        <f>IFNA(IF(VLOOKUP($A62,'Add from APT'!$AA$2:$AC264,3,FALSE)&gt;0,TRUE,FALSE),"ER - NOT IN APT")</f>
        <v>0</v>
      </c>
      <c r="Q62" s="94" t="str">
        <f>IF(ISLOGICAL(P62),IF(P62,"ER - REPS IN APT", IFNA(VLOOKUP($A62,RAW_APT!$A$3:$M264,7,FALSE),"ER - NOT IN APT")),P62)</f>
        <v>Result</v>
      </c>
      <c r="R62" s="95" t="b">
        <f t="shared" si="2"/>
        <v>0</v>
      </c>
      <c r="S62" s="96">
        <f t="shared" si="3"/>
        <v>4</v>
      </c>
      <c r="T62" s="97"/>
      <c r="U62" s="3"/>
      <c r="V62" s="3"/>
      <c r="W62" s="98"/>
      <c r="X62" s="99" t="b">
        <f t="shared" si="77"/>
        <v>0</v>
      </c>
      <c r="Y62" s="100"/>
      <c r="Z62" s="101" t="str">
        <f t="shared" si="5"/>
        <v/>
      </c>
      <c r="AA62" s="102" t="b">
        <f t="shared" si="6"/>
        <v>0</v>
      </c>
      <c r="AB62" s="98"/>
      <c r="AC62" s="103">
        <v>179.0</v>
      </c>
      <c r="AD62" s="104"/>
      <c r="AE62" s="105">
        <f t="shared" si="7"/>
        <v>214.25</v>
      </c>
      <c r="AF62" s="106" t="b">
        <f t="shared" si="8"/>
        <v>0</v>
      </c>
      <c r="AG62" s="93" t="b">
        <f t="shared" si="9"/>
        <v>0</v>
      </c>
      <c r="AH62" s="103"/>
      <c r="AI62" s="103"/>
      <c r="AJ62" s="97"/>
      <c r="AK62" s="101" t="str">
        <f t="shared" si="10"/>
        <v>Negative</v>
      </c>
      <c r="AL62" s="98"/>
      <c r="AM62" s="94" t="s">
        <v>322</v>
      </c>
      <c r="AN62" s="94" t="s">
        <v>325</v>
      </c>
      <c r="AO62" s="102" t="str">
        <f>IFERROR(__xludf.DUMMYFUNCTION("IF($AG62, ""DELETED"",TRIM(JOIN("" "",D62:E62)))"),"")</f>
        <v/>
      </c>
      <c r="AP62" s="94" t="str">
        <f t="shared" ref="AP62:AQ62" si="89">IF($AG62, "DELETED", TRIM(CONCATENATE(F62,I62,U62)))</f>
        <v/>
      </c>
      <c r="AQ62" s="94" t="str">
        <f t="shared" si="89"/>
        <v/>
      </c>
      <c r="AR62" s="94" t="str">
        <f>IFERROR(__xludf.DUMMYFUNCTION("IF($AG62, ""DELETED"", TRIM(JOIN("" "",AP62,AQ62)))"),"")</f>
        <v/>
      </c>
      <c r="AS62" s="9"/>
      <c r="AT62" s="93" t="b">
        <f t="shared" si="12"/>
        <v>0</v>
      </c>
      <c r="AU62" s="93" t="str">
        <f t="shared" si="13"/>
        <v/>
      </c>
      <c r="AV62" s="93" t="str">
        <f t="shared" si="14"/>
        <v/>
      </c>
      <c r="AW62" s="93" t="str">
        <f t="shared" si="79"/>
        <v/>
      </c>
      <c r="AX62" s="107" t="str">
        <f t="shared" si="16"/>
        <v/>
      </c>
      <c r="AY62" s="98"/>
      <c r="AZ62" s="108"/>
      <c r="BA62" s="109" t="str">
        <f t="shared" si="17"/>
        <v/>
      </c>
      <c r="BB62" s="98"/>
      <c r="BC62" s="98"/>
      <c r="BD62" s="108"/>
      <c r="BE62" s="134"/>
      <c r="BF62" s="111" t="str">
        <f t="shared" si="18"/>
        <v/>
      </c>
      <c r="BG62" s="112" t="str">
        <f t="shared" si="19"/>
        <v>AJ9417__44683_0.209039351851852___Negative_44683_0.357824074074074_</v>
      </c>
      <c r="BH62" s="113" t="str">
        <f t="shared" si="20"/>
        <v/>
      </c>
      <c r="BI62" s="134" t="s">
        <v>326</v>
      </c>
      <c r="BJ62" s="114" t="str">
        <f t="shared" si="21"/>
        <v>AJ5950</v>
      </c>
      <c r="BK62" s="115" t="b">
        <f t="shared" si="45"/>
        <v>0</v>
      </c>
      <c r="BL62" s="114" t="str">
        <f t="shared" si="23"/>
        <v/>
      </c>
      <c r="BM62" s="108"/>
      <c r="BN62" s="7" t="b">
        <f t="shared" si="24"/>
        <v>1</v>
      </c>
      <c r="BO62" s="7" t="b">
        <f t="shared" si="25"/>
        <v>0</v>
      </c>
      <c r="BP62" s="7" t="b">
        <f t="shared" si="26"/>
        <v>1</v>
      </c>
      <c r="BQ62" s="118"/>
      <c r="BR62" s="119" t="s">
        <v>228</v>
      </c>
      <c r="BS62" s="7" t="b">
        <f t="shared" si="27"/>
        <v>1</v>
      </c>
      <c r="BT62" s="7"/>
      <c r="BU62" s="7"/>
      <c r="BV62" s="7"/>
      <c r="BW62" s="7"/>
    </row>
    <row r="63">
      <c r="A63" s="86" t="s">
        <v>321</v>
      </c>
      <c r="B63" s="87">
        <v>44683.0</v>
      </c>
      <c r="C63" s="88">
        <v>0.20903935185185185</v>
      </c>
      <c r="D63" s="89"/>
      <c r="E63" s="89"/>
      <c r="F63" s="89"/>
      <c r="G63" s="86"/>
      <c r="H63" s="90"/>
      <c r="I63" s="3"/>
      <c r="J63" s="3"/>
      <c r="K63" s="89" t="s">
        <v>228</v>
      </c>
      <c r="L63" s="36">
        <v>44683.0</v>
      </c>
      <c r="M63" s="91">
        <v>0.35782407407407407</v>
      </c>
      <c r="N63" s="3"/>
      <c r="O63" s="92"/>
      <c r="P63" s="93" t="b">
        <f>IFNA(IF(VLOOKUP($A63,'Add from APT'!$AA$2:$AC264,3,FALSE)&gt;0,TRUE,FALSE),"ER - NOT IN APT")</f>
        <v>0</v>
      </c>
      <c r="Q63" s="94" t="str">
        <f>IF(ISLOGICAL(P63),IF(P63,"ER - REPS IN APT", IFNA(VLOOKUP($A63,RAW_APT!$A$3:$M264,7,FALSE),"ER - NOT IN APT")),P63)</f>
        <v>Result</v>
      </c>
      <c r="R63" s="95" t="b">
        <f t="shared" si="2"/>
        <v>0</v>
      </c>
      <c r="S63" s="96">
        <f t="shared" si="3"/>
        <v>4</v>
      </c>
      <c r="T63" s="97"/>
      <c r="U63" s="3"/>
      <c r="V63" s="3"/>
      <c r="W63" s="98"/>
      <c r="X63" s="99" t="b">
        <f t="shared" si="77"/>
        <v>0</v>
      </c>
      <c r="Y63" s="100"/>
      <c r="Z63" s="101" t="str">
        <f t="shared" si="5"/>
        <v/>
      </c>
      <c r="AA63" s="102" t="b">
        <f t="shared" si="6"/>
        <v>0</v>
      </c>
      <c r="AB63" s="98"/>
      <c r="AC63" s="103">
        <v>178.0</v>
      </c>
      <c r="AD63" s="104"/>
      <c r="AE63" s="105">
        <f t="shared" si="7"/>
        <v>214.25</v>
      </c>
      <c r="AF63" s="106" t="b">
        <f t="shared" si="8"/>
        <v>0</v>
      </c>
      <c r="AG63" s="93" t="b">
        <f t="shared" si="9"/>
        <v>0</v>
      </c>
      <c r="AH63" s="103"/>
      <c r="AI63" s="103"/>
      <c r="AJ63" s="97"/>
      <c r="AK63" s="101" t="str">
        <f t="shared" si="10"/>
        <v>Negative</v>
      </c>
      <c r="AL63" s="98"/>
      <c r="AM63" s="94" t="s">
        <v>322</v>
      </c>
      <c r="AN63" s="94" t="s">
        <v>327</v>
      </c>
      <c r="AO63" s="102" t="str">
        <f>IFERROR(__xludf.DUMMYFUNCTION("IF($AG63, ""DELETED"",TRIM(JOIN("" "",D63:E63)))"),"")</f>
        <v/>
      </c>
      <c r="AP63" s="94" t="str">
        <f t="shared" ref="AP63:AQ63" si="90">IF($AG63, "DELETED", TRIM(CONCATENATE(F63,I63,U63)))</f>
        <v/>
      </c>
      <c r="AQ63" s="94" t="str">
        <f t="shared" si="90"/>
        <v/>
      </c>
      <c r="AR63" s="94" t="str">
        <f>IFERROR(__xludf.DUMMYFUNCTION("IF($AG63, ""DELETED"", TRIM(JOIN("" "",AP63,AQ63)))"),"")</f>
        <v/>
      </c>
      <c r="AS63" s="9"/>
      <c r="AT63" s="93" t="b">
        <f t="shared" si="12"/>
        <v>0</v>
      </c>
      <c r="AU63" s="93" t="str">
        <f t="shared" si="13"/>
        <v/>
      </c>
      <c r="AV63" s="93" t="str">
        <f t="shared" si="14"/>
        <v/>
      </c>
      <c r="AW63" s="93" t="str">
        <f t="shared" si="79"/>
        <v/>
      </c>
      <c r="AX63" s="107" t="str">
        <f t="shared" si="16"/>
        <v/>
      </c>
      <c r="AY63" s="98"/>
      <c r="AZ63" s="108"/>
      <c r="BA63" s="109" t="str">
        <f t="shared" si="17"/>
        <v/>
      </c>
      <c r="BB63" s="98"/>
      <c r="BC63" s="98"/>
      <c r="BD63" s="108"/>
      <c r="BE63" s="134"/>
      <c r="BF63" s="111" t="str">
        <f t="shared" si="18"/>
        <v/>
      </c>
      <c r="BG63" s="112" t="str">
        <f t="shared" si="19"/>
        <v>AJ9417__44683_0.209039351851852___Negative_44683_0.357824074074074_</v>
      </c>
      <c r="BH63" s="113" t="str">
        <f t="shared" si="20"/>
        <v/>
      </c>
      <c r="BI63" s="134" t="s">
        <v>328</v>
      </c>
      <c r="BJ63" s="114" t="str">
        <f t="shared" si="21"/>
        <v>AJ7985</v>
      </c>
      <c r="BK63" s="115" t="b">
        <f t="shared" si="45"/>
        <v>0</v>
      </c>
      <c r="BL63" s="114" t="str">
        <f t="shared" si="23"/>
        <v/>
      </c>
      <c r="BM63" s="108"/>
      <c r="BN63" s="7" t="b">
        <f t="shared" si="24"/>
        <v>1</v>
      </c>
      <c r="BO63" s="7" t="b">
        <f t="shared" si="25"/>
        <v>0</v>
      </c>
      <c r="BP63" s="7" t="b">
        <f t="shared" si="26"/>
        <v>1</v>
      </c>
      <c r="BQ63" s="118"/>
      <c r="BR63" s="119" t="s">
        <v>228</v>
      </c>
      <c r="BS63" s="7" t="b">
        <f t="shared" si="27"/>
        <v>1</v>
      </c>
      <c r="BT63" s="7"/>
      <c r="BU63" s="7"/>
      <c r="BV63" s="7"/>
      <c r="BW63" s="7"/>
    </row>
    <row r="64">
      <c r="A64" s="86" t="s">
        <v>321</v>
      </c>
      <c r="B64" s="87">
        <v>44683.0</v>
      </c>
      <c r="C64" s="88">
        <v>0.20903935185185185</v>
      </c>
      <c r="D64" s="89"/>
      <c r="E64" s="89"/>
      <c r="F64" s="3"/>
      <c r="G64" s="120"/>
      <c r="H64" s="121"/>
      <c r="I64" s="89"/>
      <c r="J64" s="89"/>
      <c r="K64" s="89" t="s">
        <v>228</v>
      </c>
      <c r="L64" s="36">
        <v>44683.0</v>
      </c>
      <c r="M64" s="91">
        <v>0.35782407407407407</v>
      </c>
      <c r="N64" s="3"/>
      <c r="O64" s="92"/>
      <c r="P64" s="93" t="b">
        <f>IFNA(IF(VLOOKUP($A64,'Add from APT'!$AA$2:$AC264,3,FALSE)&gt;0,TRUE,FALSE),"ER - NOT IN APT")</f>
        <v>0</v>
      </c>
      <c r="Q64" s="94" t="str">
        <f>IF(ISLOGICAL(P64),IF(P64,"ER - REPS IN APT", IFNA(VLOOKUP($A64,RAW_APT!$A$3:$M264,7,FALSE),"ER - NOT IN APT")),P64)</f>
        <v>Result</v>
      </c>
      <c r="R64" s="95" t="b">
        <f t="shared" si="2"/>
        <v>0</v>
      </c>
      <c r="S64" s="96">
        <f t="shared" si="3"/>
        <v>4</v>
      </c>
      <c r="T64" s="97"/>
      <c r="U64" s="3"/>
      <c r="V64" s="3"/>
      <c r="W64" s="98"/>
      <c r="X64" s="99" t="b">
        <f t="shared" si="77"/>
        <v>0</v>
      </c>
      <c r="Y64" s="100"/>
      <c r="Z64" s="101" t="str">
        <f t="shared" si="5"/>
        <v/>
      </c>
      <c r="AA64" s="102" t="b">
        <f t="shared" si="6"/>
        <v>0</v>
      </c>
      <c r="AB64" s="98"/>
      <c r="AC64" s="103">
        <v>177.0</v>
      </c>
      <c r="AD64" s="104"/>
      <c r="AE64" s="105">
        <f t="shared" si="7"/>
        <v>214.25</v>
      </c>
      <c r="AF64" s="106" t="b">
        <f t="shared" si="8"/>
        <v>0</v>
      </c>
      <c r="AG64" s="93" t="b">
        <f t="shared" si="9"/>
        <v>0</v>
      </c>
      <c r="AH64" s="103"/>
      <c r="AI64" s="103"/>
      <c r="AJ64" s="97"/>
      <c r="AK64" s="101" t="str">
        <f t="shared" si="10"/>
        <v>Negative</v>
      </c>
      <c r="AL64" s="98"/>
      <c r="AM64" s="94" t="s">
        <v>322</v>
      </c>
      <c r="AN64" s="94" t="s">
        <v>329</v>
      </c>
      <c r="AO64" s="102" t="str">
        <f>IFERROR(__xludf.DUMMYFUNCTION("IF($AG64, ""DELETED"",TRIM(JOIN("" "",D64:E64)))"),"")</f>
        <v/>
      </c>
      <c r="AP64" s="94" t="str">
        <f t="shared" ref="AP64:AQ64" si="91">IF($AG64, "DELETED", TRIM(CONCATENATE(F64,I64,U64)))</f>
        <v/>
      </c>
      <c r="AQ64" s="94" t="str">
        <f t="shared" si="91"/>
        <v/>
      </c>
      <c r="AR64" s="94" t="str">
        <f>IFERROR(__xludf.DUMMYFUNCTION("IF($AG64, ""DELETED"", TRIM(JOIN("" "",AP64,AQ64)))"),"")</f>
        <v/>
      </c>
      <c r="AS64" s="9"/>
      <c r="AT64" s="93" t="b">
        <f t="shared" si="12"/>
        <v>0</v>
      </c>
      <c r="AU64" s="93" t="str">
        <f t="shared" si="13"/>
        <v/>
      </c>
      <c r="AV64" s="93" t="str">
        <f t="shared" si="14"/>
        <v/>
      </c>
      <c r="AW64" s="93" t="str">
        <f t="shared" si="79"/>
        <v/>
      </c>
      <c r="AX64" s="107" t="str">
        <f t="shared" si="16"/>
        <v/>
      </c>
      <c r="AY64" s="98"/>
      <c r="AZ64" s="108"/>
      <c r="BA64" s="109" t="str">
        <f t="shared" si="17"/>
        <v/>
      </c>
      <c r="BB64" s="98"/>
      <c r="BC64" s="98"/>
      <c r="BD64" s="108"/>
      <c r="BE64" s="134"/>
      <c r="BF64" s="111" t="str">
        <f t="shared" si="18"/>
        <v/>
      </c>
      <c r="BG64" s="112" t="str">
        <f t="shared" si="19"/>
        <v>AJ9417__44683_0.209039351851852___Negative_44683_0.357824074074074_</v>
      </c>
      <c r="BH64" s="113" t="str">
        <f t="shared" si="20"/>
        <v/>
      </c>
      <c r="BI64" s="134" t="s">
        <v>330</v>
      </c>
      <c r="BJ64" s="114" t="str">
        <f t="shared" si="21"/>
        <v>AJ8368</v>
      </c>
      <c r="BK64" s="115" t="b">
        <f t="shared" si="45"/>
        <v>0</v>
      </c>
      <c r="BL64" s="114" t="str">
        <f t="shared" si="23"/>
        <v/>
      </c>
      <c r="BM64" s="108"/>
      <c r="BN64" s="7" t="b">
        <f t="shared" si="24"/>
        <v>1</v>
      </c>
      <c r="BO64" s="7" t="b">
        <f t="shared" si="25"/>
        <v>0</v>
      </c>
      <c r="BP64" s="7" t="b">
        <f t="shared" si="26"/>
        <v>1</v>
      </c>
      <c r="BQ64" s="118"/>
      <c r="BR64" s="119" t="s">
        <v>228</v>
      </c>
      <c r="BS64" s="7" t="b">
        <f t="shared" si="27"/>
        <v>1</v>
      </c>
      <c r="BT64" s="7"/>
      <c r="BU64" s="7"/>
      <c r="BV64" s="7"/>
      <c r="BW64" s="7"/>
    </row>
    <row r="65">
      <c r="A65" s="86" t="s">
        <v>331</v>
      </c>
      <c r="B65" s="87">
        <v>44683.0</v>
      </c>
      <c r="C65" s="88">
        <v>0.21256944444444445</v>
      </c>
      <c r="D65" s="89"/>
      <c r="E65" s="89"/>
      <c r="H65" s="90"/>
      <c r="I65" s="3"/>
      <c r="J65" s="3"/>
      <c r="K65" s="89" t="s">
        <v>228</v>
      </c>
      <c r="L65" s="36">
        <v>44683.0</v>
      </c>
      <c r="M65" s="91">
        <v>0.35782407407407407</v>
      </c>
      <c r="N65" s="3"/>
      <c r="O65" s="142"/>
      <c r="P65" s="93" t="b">
        <f>IFNA(IF(VLOOKUP($A65,'Add from APT'!$AA$2:$AC264,3,FALSE)&gt;0,TRUE,FALSE),"ER - NOT IN APT")</f>
        <v>0</v>
      </c>
      <c r="Q65" s="94" t="str">
        <f>IF(ISLOGICAL(P65),IF(P65,"ER - REPS IN APT", IFNA(VLOOKUP($A65,RAW_APT!$A$3:$M264,7,FALSE),"ER - NOT IN APT")),P65)</f>
        <v>Result</v>
      </c>
      <c r="R65" s="95" t="b">
        <f t="shared" si="2"/>
        <v>1</v>
      </c>
      <c r="S65" s="96">
        <f t="shared" si="3"/>
        <v>4</v>
      </c>
      <c r="T65" s="103">
        <v>2.0</v>
      </c>
      <c r="U65" s="9"/>
      <c r="V65" s="86"/>
      <c r="W65" s="155"/>
      <c r="X65" s="99" t="b">
        <f t="shared" ref="X65:X66" si="93">IF(ISBLANK(#REF!),IF(ISBLANK(#REF!),FALSE,"ER - LAST ONLY"),TRUE)</f>
        <v>1</v>
      </c>
      <c r="Y65" s="100"/>
      <c r="Z65" s="101" t="str">
        <f t="shared" si="5"/>
        <v/>
      </c>
      <c r="AA65" s="102" t="b">
        <f t="shared" si="6"/>
        <v>0</v>
      </c>
      <c r="AB65" s="98"/>
      <c r="AC65" s="103">
        <v>180.0</v>
      </c>
      <c r="AD65" s="104"/>
      <c r="AE65" s="105">
        <f t="shared" si="7"/>
        <v>209.1666667</v>
      </c>
      <c r="AF65" s="106" t="b">
        <f t="shared" si="8"/>
        <v>0</v>
      </c>
      <c r="AG65" s="93" t="b">
        <f t="shared" si="9"/>
        <v>0</v>
      </c>
      <c r="AH65" s="103"/>
      <c r="AI65" s="103"/>
      <c r="AJ65" s="97"/>
      <c r="AK65" s="101" t="str">
        <f t="shared" si="10"/>
        <v>Negative</v>
      </c>
      <c r="AL65" s="98"/>
      <c r="AM65" s="94" t="s">
        <v>332</v>
      </c>
      <c r="AN65" s="94" t="s">
        <v>333</v>
      </c>
      <c r="AO65" s="102" t="str">
        <f>IFERROR(__xludf.DUMMYFUNCTION("IF($AG65, ""DELETED"",TRIM(JOIN("" "",D65:E65)))"),"")</f>
        <v/>
      </c>
      <c r="AP65" s="94" t="str">
        <f t="shared" ref="AP65:AQ65" si="92">IF($AG65, "DELETED", TRIM(CONCATENATE(F65,I65,U65)))</f>
        <v/>
      </c>
      <c r="AQ65" s="94" t="str">
        <f t="shared" si="92"/>
        <v/>
      </c>
      <c r="AR65" s="94" t="str">
        <f>IFERROR(__xludf.DUMMYFUNCTION("IF($AG65, ""DELETED"", TRIM(JOIN("" "",AP65,AQ65)))"),"")</f>
        <v/>
      </c>
      <c r="AS65" s="155"/>
      <c r="AT65" s="93" t="b">
        <f t="shared" si="12"/>
        <v>1</v>
      </c>
      <c r="AU65" s="93" t="str">
        <f t="shared" si="13"/>
        <v/>
      </c>
      <c r="AV65" s="93" t="str">
        <f t="shared" si="14"/>
        <v/>
      </c>
      <c r="AW65" s="93">
        <f t="shared" ref="AW65:AW66" si="95">IF($AG65,IFERROR(0/0,""),IF(ISBLANK(#REF!),IF(ISBLANK(#REF!),IFERROR(0/0,""),2),1))</f>
        <v>1</v>
      </c>
      <c r="AX65" s="107">
        <f t="shared" si="16"/>
        <v>1</v>
      </c>
      <c r="AY65" s="98"/>
      <c r="AZ65" s="108"/>
      <c r="BA65" s="109" t="str">
        <f t="shared" si="17"/>
        <v/>
      </c>
      <c r="BB65" s="98"/>
      <c r="BC65" s="98"/>
      <c r="BD65" s="108"/>
      <c r="BE65" s="134"/>
      <c r="BF65" s="111" t="str">
        <f t="shared" si="18"/>
        <v/>
      </c>
      <c r="BG65" s="112" t="str">
        <f t="shared" si="19"/>
        <v>AG1713__44683_0.212569444444444___Negative_44683_0.357824074074074_</v>
      </c>
      <c r="BH65" s="113" t="str">
        <f t="shared" si="20"/>
        <v/>
      </c>
      <c r="BI65" s="134" t="s">
        <v>334</v>
      </c>
      <c r="BJ65" s="114" t="str">
        <f t="shared" si="21"/>
        <v>AJ8392</v>
      </c>
      <c r="BK65" s="115" t="b">
        <f t="shared" si="45"/>
        <v>0</v>
      </c>
      <c r="BL65" s="114" t="str">
        <f t="shared" si="23"/>
        <v/>
      </c>
      <c r="BM65" s="108"/>
      <c r="BN65" s="7" t="b">
        <f t="shared" si="24"/>
        <v>1</v>
      </c>
      <c r="BO65" s="7" t="b">
        <f t="shared" si="25"/>
        <v>0</v>
      </c>
      <c r="BP65" s="7" t="b">
        <f t="shared" si="26"/>
        <v>1</v>
      </c>
      <c r="BQ65" s="118"/>
      <c r="BR65" s="119" t="s">
        <v>228</v>
      </c>
      <c r="BS65" s="7" t="b">
        <f t="shared" si="27"/>
        <v>1</v>
      </c>
      <c r="BT65" s="7"/>
      <c r="BU65" s="7"/>
      <c r="BV65" s="7"/>
      <c r="BW65" s="7"/>
    </row>
    <row r="66">
      <c r="A66" s="86" t="s">
        <v>331</v>
      </c>
      <c r="B66" s="87">
        <v>44683.0</v>
      </c>
      <c r="C66" s="88">
        <v>0.21256944444444445</v>
      </c>
      <c r="D66" s="89"/>
      <c r="E66" s="89"/>
      <c r="H66" s="90"/>
      <c r="I66" s="3"/>
      <c r="J66" s="3"/>
      <c r="K66" s="89" t="s">
        <v>228</v>
      </c>
      <c r="L66" s="36">
        <v>44683.0</v>
      </c>
      <c r="M66" s="91">
        <v>0.35782407407407407</v>
      </c>
      <c r="N66" s="121"/>
      <c r="O66" s="142"/>
      <c r="P66" s="93" t="b">
        <f>IFNA(IF(VLOOKUP($A66,'Add from APT'!$AA$2:$AC264,3,FALSE)&gt;0,TRUE,FALSE),"ER - NOT IN APT")</f>
        <v>0</v>
      </c>
      <c r="Q66" s="94" t="str">
        <f>IF(ISLOGICAL(P66),IF(P66,"ER - REPS IN APT", IFNA(VLOOKUP($A66,RAW_APT!$A$3:$M264,7,FALSE),"ER - NOT IN APT")),P66)</f>
        <v>Result</v>
      </c>
      <c r="R66" s="95" t="b">
        <f t="shared" si="2"/>
        <v>0</v>
      </c>
      <c r="S66" s="96">
        <f t="shared" si="3"/>
        <v>4</v>
      </c>
      <c r="T66" s="103">
        <v>2.0</v>
      </c>
      <c r="U66" s="9"/>
      <c r="V66" s="86"/>
      <c r="W66" s="155"/>
      <c r="X66" s="99" t="b">
        <f t="shared" si="93"/>
        <v>1</v>
      </c>
      <c r="Y66" s="100"/>
      <c r="Z66" s="101" t="str">
        <f t="shared" si="5"/>
        <v/>
      </c>
      <c r="AA66" s="102" t="b">
        <f t="shared" si="6"/>
        <v>0</v>
      </c>
      <c r="AB66" s="98"/>
      <c r="AC66" s="103">
        <v>181.0</v>
      </c>
      <c r="AD66" s="104"/>
      <c r="AE66" s="105">
        <f t="shared" si="7"/>
        <v>209.1666667</v>
      </c>
      <c r="AF66" s="106" t="b">
        <f t="shared" si="8"/>
        <v>0</v>
      </c>
      <c r="AG66" s="93" t="b">
        <f t="shared" si="9"/>
        <v>0</v>
      </c>
      <c r="AH66" s="103"/>
      <c r="AI66" s="103"/>
      <c r="AJ66" s="97"/>
      <c r="AK66" s="101" t="str">
        <f t="shared" si="10"/>
        <v>Negative</v>
      </c>
      <c r="AL66" s="98"/>
      <c r="AM66" s="94" t="s">
        <v>332</v>
      </c>
      <c r="AN66" s="94" t="s">
        <v>335</v>
      </c>
      <c r="AO66" s="102" t="str">
        <f>IFERROR(__xludf.DUMMYFUNCTION("IF($AG66, ""DELETED"",TRIM(JOIN("" "",D66:E66)))"),"")</f>
        <v/>
      </c>
      <c r="AP66" s="94" t="str">
        <f t="shared" ref="AP66:AQ66" si="94">IF($AG66, "DELETED", TRIM(CONCATENATE(F66,I66,U66)))</f>
        <v/>
      </c>
      <c r="AQ66" s="94" t="str">
        <f t="shared" si="94"/>
        <v/>
      </c>
      <c r="AR66" s="94" t="str">
        <f>IFERROR(__xludf.DUMMYFUNCTION("IF($AG66, ""DELETED"", TRIM(JOIN("" "",AP66,AQ66)))"),"")</f>
        <v/>
      </c>
      <c r="AS66" s="155"/>
      <c r="AT66" s="93" t="b">
        <f t="shared" si="12"/>
        <v>1</v>
      </c>
      <c r="AU66" s="93" t="str">
        <f t="shared" si="13"/>
        <v/>
      </c>
      <c r="AV66" s="93" t="str">
        <f t="shared" si="14"/>
        <v/>
      </c>
      <c r="AW66" s="93">
        <f t="shared" si="95"/>
        <v>1</v>
      </c>
      <c r="AX66" s="107">
        <f t="shared" si="16"/>
        <v>1</v>
      </c>
      <c r="AY66" s="98"/>
      <c r="AZ66" s="108"/>
      <c r="BA66" s="109" t="str">
        <f t="shared" si="17"/>
        <v/>
      </c>
      <c r="BB66" s="98"/>
      <c r="BC66" s="98"/>
      <c r="BD66" s="108"/>
      <c r="BE66" s="134"/>
      <c r="BF66" s="111" t="str">
        <f t="shared" si="18"/>
        <v/>
      </c>
      <c r="BG66" s="112" t="str">
        <f t="shared" si="19"/>
        <v>AG1713__44683_0.212569444444444___Negative_44683_0.357824074074074_</v>
      </c>
      <c r="BH66" s="113" t="str">
        <f t="shared" si="20"/>
        <v/>
      </c>
      <c r="BI66" s="134" t="s">
        <v>336</v>
      </c>
      <c r="BJ66" s="114" t="str">
        <f t="shared" si="21"/>
        <v>AJ8556</v>
      </c>
      <c r="BK66" s="115" t="b">
        <f t="shared" si="45"/>
        <v>0</v>
      </c>
      <c r="BL66" s="114" t="str">
        <f t="shared" si="23"/>
        <v/>
      </c>
      <c r="BM66" s="108"/>
      <c r="BN66" s="7" t="b">
        <f t="shared" si="24"/>
        <v>1</v>
      </c>
      <c r="BO66" s="7" t="b">
        <f t="shared" si="25"/>
        <v>0</v>
      </c>
      <c r="BP66" s="7" t="b">
        <f t="shared" si="26"/>
        <v>1</v>
      </c>
      <c r="BQ66" s="118"/>
      <c r="BR66" s="119" t="s">
        <v>228</v>
      </c>
      <c r="BS66" s="7" t="b">
        <f t="shared" si="27"/>
        <v>1</v>
      </c>
      <c r="BT66" s="7"/>
      <c r="BU66" s="7"/>
      <c r="BV66" s="7"/>
      <c r="BW66" s="7"/>
    </row>
    <row r="67">
      <c r="A67" s="86" t="s">
        <v>331</v>
      </c>
      <c r="B67" s="87">
        <v>44683.0</v>
      </c>
      <c r="C67" s="88">
        <v>0.21256944444444445</v>
      </c>
      <c r="D67" s="89"/>
      <c r="E67" s="89"/>
      <c r="F67" s="89"/>
      <c r="G67" s="86"/>
      <c r="H67" s="90"/>
      <c r="I67" s="3"/>
      <c r="J67" s="3"/>
      <c r="K67" s="89" t="s">
        <v>228</v>
      </c>
      <c r="L67" s="36">
        <v>44683.0</v>
      </c>
      <c r="M67" s="91">
        <v>0.35782407407407407</v>
      </c>
      <c r="N67" s="121"/>
      <c r="O67" s="142"/>
      <c r="P67" s="93" t="b">
        <f>IFNA(IF(VLOOKUP($A67,'Add from APT'!$AA$2:$AC264,3,FALSE)&gt;0,TRUE,FALSE),"ER - NOT IN APT")</f>
        <v>0</v>
      </c>
      <c r="Q67" s="94" t="str">
        <f>IF(ISLOGICAL(P67),IF(P67,"ER - REPS IN APT", IFNA(VLOOKUP($A67,RAW_APT!$A$3:$M264,7,FALSE),"ER - NOT IN APT")),P67)</f>
        <v>Result</v>
      </c>
      <c r="R67" s="95" t="b">
        <f t="shared" si="2"/>
        <v>0</v>
      </c>
      <c r="S67" s="96">
        <f t="shared" si="3"/>
        <v>4</v>
      </c>
      <c r="T67" s="103">
        <v>2.0</v>
      </c>
      <c r="U67" s="9"/>
      <c r="V67" s="9"/>
      <c r="W67" s="9"/>
      <c r="X67" s="99" t="b">
        <f t="shared" ref="X67:X112" si="97">IF(ISBLANK($U67),IF(ISBLANK($V67),FALSE,"ER - LAST ONLY"),TRUE)</f>
        <v>0</v>
      </c>
      <c r="Y67" s="100"/>
      <c r="Z67" s="101" t="str">
        <f t="shared" si="5"/>
        <v/>
      </c>
      <c r="AA67" s="102" t="b">
        <f t="shared" si="6"/>
        <v>0</v>
      </c>
      <c r="AB67" s="98"/>
      <c r="AC67" s="103">
        <v>181.0</v>
      </c>
      <c r="AD67" s="104"/>
      <c r="AE67" s="105">
        <f t="shared" si="7"/>
        <v>209.1666667</v>
      </c>
      <c r="AF67" s="106" t="b">
        <f t="shared" si="8"/>
        <v>0</v>
      </c>
      <c r="AG67" s="93" t="b">
        <f t="shared" si="9"/>
        <v>0</v>
      </c>
      <c r="AH67" s="103"/>
      <c r="AI67" s="103"/>
      <c r="AJ67" s="97"/>
      <c r="AK67" s="101" t="str">
        <f t="shared" si="10"/>
        <v>Negative</v>
      </c>
      <c r="AL67" s="98"/>
      <c r="AM67" s="94" t="s">
        <v>332</v>
      </c>
      <c r="AN67" s="94" t="s">
        <v>337</v>
      </c>
      <c r="AO67" s="102" t="str">
        <f>IFERROR(__xludf.DUMMYFUNCTION("IF($AG67, ""DELETED"",TRIM(JOIN("" "",D67:E67)))"),"")</f>
        <v/>
      </c>
      <c r="AP67" s="94" t="str">
        <f t="shared" ref="AP67:AQ67" si="96">IF($AG67, "DELETED", TRIM(CONCATENATE(F67,I67,U67)))</f>
        <v/>
      </c>
      <c r="AQ67" s="94" t="str">
        <f t="shared" si="96"/>
        <v/>
      </c>
      <c r="AR67" s="94" t="str">
        <f>IFERROR(__xludf.DUMMYFUNCTION("IF($AG67, ""DELETED"", TRIM(JOIN("" "",AP67,AQ67)))"),"")</f>
        <v/>
      </c>
      <c r="AS67" s="9"/>
      <c r="AT67" s="93" t="b">
        <f t="shared" si="12"/>
        <v>0</v>
      </c>
      <c r="AU67" s="93" t="str">
        <f t="shared" si="13"/>
        <v/>
      </c>
      <c r="AV67" s="93" t="str">
        <f t="shared" si="14"/>
        <v/>
      </c>
      <c r="AW67" s="93" t="str">
        <f t="shared" ref="AW67:AW112" si="99">IF($AG67,IFERROR(0/0,""),IF(ISBLANK($U67),IF(ISBLANK($V67),IFERROR(0/0,""),2),1))</f>
        <v/>
      </c>
      <c r="AX67" s="107" t="str">
        <f t="shared" si="16"/>
        <v/>
      </c>
      <c r="AY67" s="98"/>
      <c r="AZ67" s="108"/>
      <c r="BA67" s="109" t="str">
        <f t="shared" si="17"/>
        <v/>
      </c>
      <c r="BB67" s="98"/>
      <c r="BC67" s="98"/>
      <c r="BD67" s="108"/>
      <c r="BE67" s="134"/>
      <c r="BF67" s="111" t="str">
        <f t="shared" si="18"/>
        <v/>
      </c>
      <c r="BG67" s="112" t="str">
        <f t="shared" si="19"/>
        <v>AG1713__44683_0.212569444444444___Negative_44683_0.357824074074074_</v>
      </c>
      <c r="BH67" s="113" t="str">
        <f t="shared" si="20"/>
        <v/>
      </c>
      <c r="BI67" s="134" t="s">
        <v>338</v>
      </c>
      <c r="BJ67" s="114" t="str">
        <f t="shared" si="21"/>
        <v>AJ8574</v>
      </c>
      <c r="BK67" s="115" t="b">
        <f t="shared" si="45"/>
        <v>0</v>
      </c>
      <c r="BL67" s="114" t="str">
        <f t="shared" si="23"/>
        <v/>
      </c>
      <c r="BM67" s="108"/>
      <c r="BN67" s="7" t="b">
        <f t="shared" si="24"/>
        <v>1</v>
      </c>
      <c r="BO67" s="7" t="b">
        <f t="shared" si="25"/>
        <v>0</v>
      </c>
      <c r="BP67" s="7" t="b">
        <f t="shared" si="26"/>
        <v>1</v>
      </c>
      <c r="BQ67" s="118"/>
      <c r="BR67" s="119" t="s">
        <v>228</v>
      </c>
      <c r="BS67" s="7" t="b">
        <f t="shared" si="27"/>
        <v>1</v>
      </c>
      <c r="BT67" s="7"/>
      <c r="BU67" s="7"/>
      <c r="BV67" s="7"/>
      <c r="BW67" s="7"/>
    </row>
    <row r="68">
      <c r="A68" s="86" t="s">
        <v>331</v>
      </c>
      <c r="B68" s="87">
        <v>44683.0</v>
      </c>
      <c r="C68" s="88">
        <v>0.21256944444444445</v>
      </c>
      <c r="D68" s="89"/>
      <c r="E68" s="89"/>
      <c r="F68" s="89"/>
      <c r="G68" s="86"/>
      <c r="H68" s="90"/>
      <c r="I68" s="3"/>
      <c r="J68" s="3"/>
      <c r="K68" s="89" t="s">
        <v>228</v>
      </c>
      <c r="L68" s="36">
        <v>44683.0</v>
      </c>
      <c r="M68" s="91">
        <v>0.35782407407407407</v>
      </c>
      <c r="N68" s="3"/>
      <c r="O68" s="142"/>
      <c r="P68" s="93" t="b">
        <f>IFNA(IF(VLOOKUP($A68,'Add from APT'!$AA$2:$AC264,3,FALSE)&gt;0,TRUE,FALSE),"ER - NOT IN APT")</f>
        <v>0</v>
      </c>
      <c r="Q68" s="94" t="str">
        <f>IF(ISLOGICAL(P68),IF(P68,"ER - REPS IN APT", IFNA(VLOOKUP($A68,RAW_APT!$A$3:$M264,7,FALSE),"ER - NOT IN APT")),P68)</f>
        <v>Result</v>
      </c>
      <c r="R68" s="95" t="b">
        <f t="shared" si="2"/>
        <v>0</v>
      </c>
      <c r="S68" s="96">
        <f t="shared" si="3"/>
        <v>4</v>
      </c>
      <c r="T68" s="103">
        <v>2.0</v>
      </c>
      <c r="U68" s="3"/>
      <c r="V68" s="9"/>
      <c r="W68" s="9"/>
      <c r="X68" s="99" t="b">
        <f t="shared" si="97"/>
        <v>0</v>
      </c>
      <c r="Y68" s="100"/>
      <c r="Z68" s="101" t="str">
        <f t="shared" si="5"/>
        <v/>
      </c>
      <c r="AA68" s="102" t="b">
        <f t="shared" si="6"/>
        <v>0</v>
      </c>
      <c r="AB68" s="98"/>
      <c r="AC68" s="103">
        <v>180.0</v>
      </c>
      <c r="AD68" s="104"/>
      <c r="AE68" s="105">
        <f t="shared" si="7"/>
        <v>209.1666667</v>
      </c>
      <c r="AF68" s="106" t="str">
        <f>OR(AND(NOT($AG68),IFERROR(NOT(#REF!),""),EXACT($A68,#REF!),NOT(EXACT(CONCATENATE($B68,$C68),CONCATENATE(#REF!,#REF!)))),AND(NOT($AG68),IFERROR(NOT($AG67),""),EXACT($A68,$A67),NOT(EXACT(CONCATENATE($B68,$C68),CONCATENATE($B67,$C67)))))</f>
        <v>#REF!</v>
      </c>
      <c r="AG68" s="93" t="b">
        <f t="shared" si="9"/>
        <v>0</v>
      </c>
      <c r="AH68" s="103"/>
      <c r="AI68" s="103"/>
      <c r="AJ68" s="97"/>
      <c r="AK68" s="101" t="str">
        <f t="shared" si="10"/>
        <v>Negative</v>
      </c>
      <c r="AL68" s="98"/>
      <c r="AM68" s="94" t="s">
        <v>332</v>
      </c>
      <c r="AN68" s="94" t="s">
        <v>339</v>
      </c>
      <c r="AO68" s="102" t="str">
        <f>IFERROR(__xludf.DUMMYFUNCTION("IF($AG68, ""DELETED"",TRIM(JOIN("" "",D68:E68)))"),"")</f>
        <v/>
      </c>
      <c r="AP68" s="94" t="str">
        <f t="shared" ref="AP68:AQ68" si="98">IF($AG68, "DELETED", TRIM(CONCATENATE(F68,I68,U68)))</f>
        <v/>
      </c>
      <c r="AQ68" s="94" t="str">
        <f t="shared" si="98"/>
        <v/>
      </c>
      <c r="AR68" s="94" t="str">
        <f>IFERROR(__xludf.DUMMYFUNCTION("IF($AG68, ""DELETED"", TRIM(JOIN("" "",AP68,AQ68)))"),"")</f>
        <v/>
      </c>
      <c r="AS68" s="9"/>
      <c r="AT68" s="93" t="b">
        <f t="shared" si="12"/>
        <v>0</v>
      </c>
      <c r="AU68" s="93" t="str">
        <f t="shared" si="13"/>
        <v/>
      </c>
      <c r="AV68" s="93" t="str">
        <f t="shared" si="14"/>
        <v/>
      </c>
      <c r="AW68" s="93" t="str">
        <f t="shared" si="99"/>
        <v/>
      </c>
      <c r="AX68" s="107" t="str">
        <f t="shared" si="16"/>
        <v/>
      </c>
      <c r="AY68" s="98"/>
      <c r="AZ68" s="108"/>
      <c r="BA68" s="109" t="str">
        <f t="shared" si="17"/>
        <v/>
      </c>
      <c r="BB68" s="98"/>
      <c r="BC68" s="98"/>
      <c r="BD68" s="108"/>
      <c r="BE68" s="134"/>
      <c r="BF68" s="111" t="str">
        <f t="shared" si="18"/>
        <v/>
      </c>
      <c r="BG68" s="112" t="str">
        <f t="shared" si="19"/>
        <v>AG1713__44683_0.212569444444444___Negative_44683_0.357824074074074_</v>
      </c>
      <c r="BH68" s="113" t="str">
        <f t="shared" si="20"/>
        <v/>
      </c>
      <c r="BI68" s="134" t="s">
        <v>340</v>
      </c>
      <c r="BJ68" s="114" t="str">
        <f t="shared" si="21"/>
        <v>AJ8977</v>
      </c>
      <c r="BK68" s="115" t="str">
        <f>IFERROR(AND(EXACT(#REF!,BJ68),NOT(EXACT(BJ68,BJ67))),"")</f>
        <v/>
      </c>
      <c r="BL68" s="114" t="str">
        <f t="shared" si="23"/>
        <v/>
      </c>
      <c r="BM68" s="108"/>
      <c r="BN68" s="7" t="b">
        <f t="shared" si="24"/>
        <v>1</v>
      </c>
      <c r="BO68" s="7" t="b">
        <f t="shared" si="25"/>
        <v>0</v>
      </c>
      <c r="BP68" s="7" t="b">
        <f t="shared" si="26"/>
        <v>1</v>
      </c>
      <c r="BQ68" s="118"/>
      <c r="BR68" s="119" t="s">
        <v>228</v>
      </c>
      <c r="BS68" s="7" t="b">
        <f t="shared" si="27"/>
        <v>1</v>
      </c>
      <c r="BT68" s="7"/>
      <c r="BU68" s="7"/>
      <c r="BV68" s="7"/>
      <c r="BW68" s="7"/>
    </row>
    <row r="69">
      <c r="A69" s="167" t="s">
        <v>341</v>
      </c>
      <c r="B69" s="168">
        <v>44683.0</v>
      </c>
      <c r="C69" s="169">
        <v>0.23635416666666667</v>
      </c>
      <c r="D69" s="170"/>
      <c r="E69" s="170"/>
      <c r="F69" s="170"/>
      <c r="G69" s="167"/>
      <c r="H69" s="171"/>
      <c r="I69" s="172"/>
      <c r="J69" s="172"/>
      <c r="K69" s="170" t="s">
        <v>228</v>
      </c>
      <c r="L69" s="173">
        <v>44683.0</v>
      </c>
      <c r="M69" s="174">
        <v>0.35782407407407407</v>
      </c>
      <c r="N69" s="172"/>
      <c r="O69" s="175"/>
      <c r="P69" s="176" t="b">
        <f>IFNA(IF(VLOOKUP($A69,'Add from APT'!$AA$2:$AC264,3,FALSE)&gt;0,TRUE,FALSE),"ER - NOT IN APT")</f>
        <v>0</v>
      </c>
      <c r="Q69" s="172" t="str">
        <f>IF(ISLOGICAL(P69),IF(P69,"ER - REPS IN APT", IFNA(VLOOKUP($A69,RAW_APT!$A$3:$M264,7,FALSE),"ER - NOT IN APT")),P69)</f>
        <v>Result</v>
      </c>
      <c r="R69" s="177" t="str">
        <f>IF(EXACT($A69,#REF!),FALSE,TRUE)</f>
        <v>#REF!</v>
      </c>
      <c r="S69" s="177">
        <f t="shared" si="3"/>
        <v>2</v>
      </c>
      <c r="T69" s="177"/>
      <c r="U69" s="172"/>
      <c r="V69" s="172"/>
      <c r="W69" s="178"/>
      <c r="X69" s="179" t="b">
        <f t="shared" si="97"/>
        <v>0</v>
      </c>
      <c r="Y69" s="180"/>
      <c r="Z69" s="181" t="str">
        <f t="shared" si="5"/>
        <v/>
      </c>
      <c r="AA69" s="178" t="b">
        <f t="shared" si="6"/>
        <v>0</v>
      </c>
      <c r="AB69" s="178"/>
      <c r="AC69" s="177">
        <v>183.0</v>
      </c>
      <c r="AD69" s="181"/>
      <c r="AE69" s="182">
        <f t="shared" si="7"/>
        <v>174.9166667</v>
      </c>
      <c r="AF69" s="176" t="str">
        <f>OR(AND(NOT($AG69),IFERROR(NOT($AG70),""),EXACT($A69,$A70),NOT(EXACT(CONCATENATE($B69,$C69),CONCATENATE($B70,$C70)))),AND(NOT($AG69),IFERROR(NOT(#REF!),""),EXACT($A69,#REF!),NOT(EXACT(CONCATENATE($B69,$C69),CONCATENATE(#REF!,#REF!)))))</f>
        <v>#REF!</v>
      </c>
      <c r="AG69" s="176" t="b">
        <f t="shared" si="9"/>
        <v>1</v>
      </c>
      <c r="AH69" s="177">
        <v>4.1</v>
      </c>
      <c r="AI69" s="177"/>
      <c r="AJ69" s="183"/>
      <c r="AK69" s="181" t="str">
        <f t="shared" si="10"/>
        <v>DELETED</v>
      </c>
      <c r="AL69" s="178"/>
      <c r="AM69" s="94" t="s">
        <v>206</v>
      </c>
      <c r="AN69" s="94" t="s">
        <v>206</v>
      </c>
      <c r="AO69" s="178" t="str">
        <f>IFERROR(__xludf.DUMMYFUNCTION("IF($AG69, ""DELETED"",TRIM(JOIN("" "",D69:E69)))"),"DELETED")</f>
        <v>DELETED</v>
      </c>
      <c r="AP69" s="172" t="str">
        <f t="shared" ref="AP69:AQ69" si="100">IF($AG69, "DELETED", TRIM(CONCATENATE(F69,I69,U69)))</f>
        <v>DELETED</v>
      </c>
      <c r="AQ69" s="172" t="str">
        <f t="shared" si="100"/>
        <v>DELETED</v>
      </c>
      <c r="AR69" s="172" t="str">
        <f>IFERROR(__xludf.DUMMYFUNCTION("IF($AG69, ""DELETED"", TRIM(JOIN("" "",AP69,AQ69)))"),"DELETED")</f>
        <v>DELETED</v>
      </c>
      <c r="AS69" s="184"/>
      <c r="AT69" s="176" t="b">
        <f t="shared" si="12"/>
        <v>1</v>
      </c>
      <c r="AU69" s="176" t="str">
        <f t="shared" si="13"/>
        <v/>
      </c>
      <c r="AV69" s="176" t="str">
        <f t="shared" si="14"/>
        <v/>
      </c>
      <c r="AW69" s="176" t="str">
        <f t="shared" si="99"/>
        <v/>
      </c>
      <c r="AX69" s="185" t="str">
        <f t="shared" si="16"/>
        <v/>
      </c>
      <c r="AY69" s="178"/>
      <c r="AZ69" s="108"/>
      <c r="BA69" s="181" t="str">
        <f t="shared" si="17"/>
        <v/>
      </c>
      <c r="BB69" s="178"/>
      <c r="BC69" s="178"/>
      <c r="BD69" s="178"/>
      <c r="BE69" s="186"/>
      <c r="BF69" s="187" t="str">
        <f t="shared" si="18"/>
        <v/>
      </c>
      <c r="BG69" s="188" t="str">
        <f t="shared" si="19"/>
        <v/>
      </c>
      <c r="BH69" s="189" t="str">
        <f t="shared" si="20"/>
        <v/>
      </c>
      <c r="BI69" s="186" t="s">
        <v>342</v>
      </c>
      <c r="BJ69" s="190" t="str">
        <f t="shared" si="21"/>
        <v>AJ9077</v>
      </c>
      <c r="BK69" s="191" t="str">
        <f>IFERROR(AND(EXACT(BJ70,BJ69),NOT(EXACT(BJ69,#REF!))),"")</f>
        <v/>
      </c>
      <c r="BL69" s="190" t="str">
        <f t="shared" si="23"/>
        <v/>
      </c>
      <c r="BM69" s="178"/>
      <c r="BN69" s="176" t="b">
        <f t="shared" si="24"/>
        <v>0</v>
      </c>
      <c r="BO69" s="176" t="b">
        <f t="shared" si="25"/>
        <v>0</v>
      </c>
      <c r="BP69" s="176" t="b">
        <f t="shared" si="26"/>
        <v>0</v>
      </c>
      <c r="BQ69" s="118"/>
      <c r="BR69" s="192" t="s">
        <v>206</v>
      </c>
      <c r="BS69" s="7" t="b">
        <f t="shared" si="27"/>
        <v>1</v>
      </c>
      <c r="BT69" s="176"/>
      <c r="BU69" s="176"/>
      <c r="BV69" s="176"/>
      <c r="BW69" s="176"/>
    </row>
    <row r="70">
      <c r="A70" s="86" t="s">
        <v>341</v>
      </c>
      <c r="B70" s="87">
        <v>44683.0</v>
      </c>
      <c r="C70" s="88">
        <v>0.23635416666666667</v>
      </c>
      <c r="D70" s="89"/>
      <c r="E70" s="89"/>
      <c r="F70" s="89"/>
      <c r="G70" s="86"/>
      <c r="H70" s="90"/>
      <c r="I70" s="3"/>
      <c r="J70" s="3"/>
      <c r="K70" s="89" t="s">
        <v>228</v>
      </c>
      <c r="L70" s="36">
        <v>44683.0</v>
      </c>
      <c r="M70" s="91">
        <v>0.35782407407407407</v>
      </c>
      <c r="N70" s="121"/>
      <c r="O70" s="142"/>
      <c r="P70" s="93" t="b">
        <f>IFNA(IF(VLOOKUP($A70,'Add from APT'!$AA$2:$AC264,3,FALSE)&gt;0,TRUE,FALSE),"ER - NOT IN APT")</f>
        <v>0</v>
      </c>
      <c r="Q70" s="94" t="str">
        <f>IF(ISLOGICAL(P70),IF(P70,"ER - REPS IN APT", IFNA(VLOOKUP($A70,RAW_APT!$A$3:$M264,7,FALSE),"ER - NOT IN APT")),P70)</f>
        <v>Result</v>
      </c>
      <c r="R70" s="95" t="b">
        <f t="shared" ref="R70:R264" si="102">IF(EXACT($A70,$A69),FALSE,TRUE)</f>
        <v>0</v>
      </c>
      <c r="S70" s="96">
        <f t="shared" si="3"/>
        <v>2</v>
      </c>
      <c r="T70" s="130">
        <v>0.1</v>
      </c>
      <c r="U70" s="9"/>
      <c r="V70" s="9"/>
      <c r="W70" s="3"/>
      <c r="X70" s="99" t="b">
        <f t="shared" si="97"/>
        <v>0</v>
      </c>
      <c r="Y70" s="7"/>
      <c r="Z70" s="101" t="str">
        <f t="shared" si="5"/>
        <v/>
      </c>
      <c r="AA70" s="102" t="b">
        <f t="shared" si="6"/>
        <v>0</v>
      </c>
      <c r="AB70" s="131"/>
      <c r="AC70" s="130">
        <v>182.0</v>
      </c>
      <c r="AD70" s="132"/>
      <c r="AE70" s="105">
        <f t="shared" si="7"/>
        <v>174.9166667</v>
      </c>
      <c r="AF70" s="106" t="b">
        <f t="shared" ref="AF70:AF264" si="103">OR(AND(NOT($AG70),IFERROR(NOT($AG71),""),EXACT($A70,$A71),NOT(EXACT(CONCATENATE($B70,$C70),CONCATENATE($B71,$C71)))),AND(NOT($AG70),IFERROR(NOT($AG69),""),EXACT($A70,$A69),NOT(EXACT(CONCATENATE($B70,$C70),CONCATENATE($B69,$C69)))))</f>
        <v>0</v>
      </c>
      <c r="AG70" s="93" t="b">
        <f t="shared" si="9"/>
        <v>0</v>
      </c>
      <c r="AH70" s="130"/>
      <c r="AI70" s="13"/>
      <c r="AJ70" s="7"/>
      <c r="AK70" s="101" t="str">
        <f t="shared" si="10"/>
        <v>Negative</v>
      </c>
      <c r="AL70" s="98"/>
      <c r="AM70" s="94" t="s">
        <v>343</v>
      </c>
      <c r="AN70" s="94" t="s">
        <v>344</v>
      </c>
      <c r="AO70" s="102" t="str">
        <f>IFERROR(__xludf.DUMMYFUNCTION("IF($AG70, ""DELETED"",TRIM(JOIN("" "",D70:E70)))"),"")</f>
        <v/>
      </c>
      <c r="AP70" s="94" t="str">
        <f t="shared" ref="AP70:AQ70" si="101">IF($AG70, "DELETED", TRIM(CONCATENATE(F70,I70,U70)))</f>
        <v/>
      </c>
      <c r="AQ70" s="94" t="str">
        <f t="shared" si="101"/>
        <v/>
      </c>
      <c r="AR70" s="94" t="str">
        <f>IFERROR(__xludf.DUMMYFUNCTION("IF($AG70, ""DELETED"", TRIM(JOIN("" "",AP70,AQ70)))"),"")</f>
        <v/>
      </c>
      <c r="AS70" s="9"/>
      <c r="AT70" s="93" t="b">
        <f t="shared" si="12"/>
        <v>0</v>
      </c>
      <c r="AU70" s="93" t="str">
        <f t="shared" si="13"/>
        <v/>
      </c>
      <c r="AV70" s="93" t="str">
        <f t="shared" si="14"/>
        <v/>
      </c>
      <c r="AW70" s="93" t="str">
        <f t="shared" si="99"/>
        <v/>
      </c>
      <c r="AX70" s="107" t="str">
        <f t="shared" si="16"/>
        <v/>
      </c>
      <c r="AY70" s="3"/>
      <c r="AZ70" s="129"/>
      <c r="BA70" s="109" t="str">
        <f t="shared" si="17"/>
        <v/>
      </c>
      <c r="BB70" s="3"/>
      <c r="BC70" s="3"/>
      <c r="BD70" s="108"/>
      <c r="BE70" s="157"/>
      <c r="BF70" s="111" t="str">
        <f t="shared" si="18"/>
        <v/>
      </c>
      <c r="BG70" s="112" t="str">
        <f t="shared" si="19"/>
        <v>AJ9703__44683_0.236354166666667___Negative_44683_0.357824074074074_</v>
      </c>
      <c r="BH70" s="113" t="str">
        <f t="shared" si="20"/>
        <v/>
      </c>
      <c r="BI70" s="157" t="s">
        <v>345</v>
      </c>
      <c r="BJ70" s="114" t="str">
        <f t="shared" si="21"/>
        <v>AJ9417</v>
      </c>
      <c r="BK70" s="115" t="b">
        <f t="shared" ref="BK70:BK264" si="105">IFERROR(AND(EXACT(BJ71,BJ70),NOT(EXACT(BJ70,BJ69))),"")</f>
        <v>0</v>
      </c>
      <c r="BL70" s="114" t="str">
        <f t="shared" si="23"/>
        <v/>
      </c>
      <c r="BM70" s="108"/>
      <c r="BN70" s="7" t="b">
        <f t="shared" si="24"/>
        <v>1</v>
      </c>
      <c r="BO70" s="7" t="b">
        <f t="shared" si="25"/>
        <v>0</v>
      </c>
      <c r="BP70" s="7" t="b">
        <f t="shared" si="26"/>
        <v>1</v>
      </c>
      <c r="BQ70" s="118"/>
      <c r="BR70" s="119" t="s">
        <v>228</v>
      </c>
      <c r="BS70" s="7" t="b">
        <f t="shared" si="27"/>
        <v>1</v>
      </c>
      <c r="BT70" s="7"/>
      <c r="BU70" s="7"/>
      <c r="BV70" s="7"/>
      <c r="BW70" s="7"/>
    </row>
    <row r="71">
      <c r="A71" s="167" t="s">
        <v>346</v>
      </c>
      <c r="B71" s="168">
        <v>44683.0</v>
      </c>
      <c r="C71" s="169">
        <v>0.2382638888888889</v>
      </c>
      <c r="D71" s="170"/>
      <c r="E71" s="170"/>
      <c r="F71" s="170"/>
      <c r="G71" s="167"/>
      <c r="H71" s="171"/>
      <c r="I71" s="172"/>
      <c r="J71" s="172"/>
      <c r="K71" s="170" t="s">
        <v>228</v>
      </c>
      <c r="L71" s="173">
        <v>44683.0</v>
      </c>
      <c r="M71" s="174">
        <v>0.35782407407407407</v>
      </c>
      <c r="N71" s="172"/>
      <c r="O71" s="193"/>
      <c r="P71" s="176" t="b">
        <f>IFNA(IF(VLOOKUP($A71,'Add from APT'!$AA$2:$AC264,3,FALSE)&gt;0,TRUE,FALSE),"ER - NOT IN APT")</f>
        <v>0</v>
      </c>
      <c r="Q71" s="172" t="str">
        <f>IF(ISLOGICAL(P71),IF(P71,"ER - REPS IN APT", IFNA(VLOOKUP($A71,RAW_APT!$A$3:$M264,7,FALSE),"ER - NOT IN APT")),P71)</f>
        <v>Result</v>
      </c>
      <c r="R71" s="177" t="b">
        <f t="shared" si="102"/>
        <v>1</v>
      </c>
      <c r="S71" s="177">
        <f t="shared" si="3"/>
        <v>2</v>
      </c>
      <c r="T71" s="194"/>
      <c r="U71" s="172"/>
      <c r="V71" s="172"/>
      <c r="W71" s="178"/>
      <c r="X71" s="179" t="b">
        <f t="shared" si="97"/>
        <v>0</v>
      </c>
      <c r="Y71" s="176"/>
      <c r="Z71" s="181" t="str">
        <f t="shared" si="5"/>
        <v/>
      </c>
      <c r="AA71" s="178" t="b">
        <f t="shared" si="6"/>
        <v>0</v>
      </c>
      <c r="AB71" s="195"/>
      <c r="AC71" s="194">
        <v>185.0</v>
      </c>
      <c r="AD71" s="196"/>
      <c r="AE71" s="182">
        <f t="shared" si="7"/>
        <v>172.1666667</v>
      </c>
      <c r="AF71" s="176" t="b">
        <f t="shared" si="103"/>
        <v>0</v>
      </c>
      <c r="AG71" s="176" t="b">
        <f t="shared" si="9"/>
        <v>1</v>
      </c>
      <c r="AH71" s="194">
        <v>4.1</v>
      </c>
      <c r="AI71" s="197"/>
      <c r="AJ71" s="176"/>
      <c r="AK71" s="181" t="str">
        <f t="shared" si="10"/>
        <v>DELETED</v>
      </c>
      <c r="AL71" s="178"/>
      <c r="AM71" s="94" t="s">
        <v>206</v>
      </c>
      <c r="AN71" s="94" t="s">
        <v>206</v>
      </c>
      <c r="AO71" s="178" t="str">
        <f>IFERROR(__xludf.DUMMYFUNCTION("IF($AG71, ""DELETED"",TRIM(JOIN("" "",D71:E71)))"),"DELETED")</f>
        <v>DELETED</v>
      </c>
      <c r="AP71" s="172" t="str">
        <f t="shared" ref="AP71:AQ71" si="104">IF($AG71, "DELETED", TRIM(CONCATENATE(F71,I71,U71)))</f>
        <v>DELETED</v>
      </c>
      <c r="AQ71" s="172" t="str">
        <f t="shared" si="104"/>
        <v>DELETED</v>
      </c>
      <c r="AR71" s="172" t="str">
        <f>IFERROR(__xludf.DUMMYFUNCTION("IF($AG71, ""DELETED"", TRIM(JOIN("" "",AP71,AQ71)))"),"DELETED")</f>
        <v>DELETED</v>
      </c>
      <c r="AS71" s="184"/>
      <c r="AT71" s="176" t="b">
        <f t="shared" si="12"/>
        <v>1</v>
      </c>
      <c r="AU71" s="176" t="str">
        <f t="shared" si="13"/>
        <v/>
      </c>
      <c r="AV71" s="176" t="str">
        <f t="shared" si="14"/>
        <v/>
      </c>
      <c r="AW71" s="176" t="str">
        <f t="shared" si="99"/>
        <v/>
      </c>
      <c r="AX71" s="185" t="str">
        <f t="shared" si="16"/>
        <v/>
      </c>
      <c r="AY71" s="172"/>
      <c r="AZ71" s="129"/>
      <c r="BA71" s="181" t="str">
        <f t="shared" si="17"/>
        <v/>
      </c>
      <c r="BB71" s="172"/>
      <c r="BC71" s="172"/>
      <c r="BD71" s="178"/>
      <c r="BE71" s="186"/>
      <c r="BF71" s="187" t="str">
        <f t="shared" si="18"/>
        <v/>
      </c>
      <c r="BG71" s="188" t="str">
        <f t="shared" si="19"/>
        <v/>
      </c>
      <c r="BH71" s="189" t="str">
        <f t="shared" si="20"/>
        <v/>
      </c>
      <c r="BI71" s="186" t="s">
        <v>347</v>
      </c>
      <c r="BJ71" s="190" t="str">
        <f t="shared" si="21"/>
        <v>AJ9453</v>
      </c>
      <c r="BK71" s="191" t="b">
        <f t="shared" si="105"/>
        <v>0</v>
      </c>
      <c r="BL71" s="190" t="str">
        <f t="shared" si="23"/>
        <v/>
      </c>
      <c r="BM71" s="178"/>
      <c r="BN71" s="176" t="b">
        <f t="shared" si="24"/>
        <v>0</v>
      </c>
      <c r="BO71" s="176" t="b">
        <f t="shared" si="25"/>
        <v>0</v>
      </c>
      <c r="BP71" s="176" t="b">
        <f t="shared" si="26"/>
        <v>0</v>
      </c>
      <c r="BQ71" s="118"/>
      <c r="BR71" s="192" t="s">
        <v>206</v>
      </c>
      <c r="BS71" s="7" t="b">
        <f t="shared" si="27"/>
        <v>1</v>
      </c>
      <c r="BT71" s="176"/>
      <c r="BU71" s="176"/>
      <c r="BV71" s="176"/>
      <c r="BW71" s="176"/>
    </row>
    <row r="72">
      <c r="A72" s="86" t="s">
        <v>346</v>
      </c>
      <c r="B72" s="87">
        <v>44683.0</v>
      </c>
      <c r="C72" s="88">
        <v>0.2382638888888889</v>
      </c>
      <c r="D72" s="89"/>
      <c r="E72" s="89"/>
      <c r="F72" s="89"/>
      <c r="G72" s="86"/>
      <c r="H72" s="90"/>
      <c r="I72" s="3"/>
      <c r="J72" s="3"/>
      <c r="K72" s="89" t="s">
        <v>228</v>
      </c>
      <c r="L72" s="36">
        <v>44683.0</v>
      </c>
      <c r="M72" s="91">
        <v>0.35782407407407407</v>
      </c>
      <c r="N72" s="3"/>
      <c r="O72" s="92"/>
      <c r="P72" s="93" t="b">
        <f>IFNA(IF(VLOOKUP($A72,'Add from APT'!$AA$2:$AC264,3,FALSE)&gt;0,TRUE,FALSE),"ER - NOT IN APT")</f>
        <v>0</v>
      </c>
      <c r="Q72" s="94" t="str">
        <f>IF(ISLOGICAL(P72),IF(P72,"ER - REPS IN APT", IFNA(VLOOKUP($A72,RAW_APT!$A$3:$M264,7,FALSE),"ER - NOT IN APT")),P72)</f>
        <v>Result</v>
      </c>
      <c r="R72" s="95" t="b">
        <f t="shared" si="102"/>
        <v>0</v>
      </c>
      <c r="S72" s="96">
        <f t="shared" si="3"/>
        <v>2</v>
      </c>
      <c r="T72" s="97"/>
      <c r="U72" s="3"/>
      <c r="V72" s="3"/>
      <c r="W72" s="98"/>
      <c r="X72" s="99" t="b">
        <f t="shared" si="97"/>
        <v>0</v>
      </c>
      <c r="Y72" s="100"/>
      <c r="Z72" s="101" t="str">
        <f t="shared" si="5"/>
        <v/>
      </c>
      <c r="AA72" s="102" t="b">
        <f t="shared" si="6"/>
        <v>0</v>
      </c>
      <c r="AB72" s="98"/>
      <c r="AC72" s="103">
        <v>184.0</v>
      </c>
      <c r="AD72" s="104"/>
      <c r="AE72" s="105">
        <f t="shared" si="7"/>
        <v>172.1666667</v>
      </c>
      <c r="AF72" s="106" t="b">
        <f t="shared" si="103"/>
        <v>0</v>
      </c>
      <c r="AG72" s="93" t="b">
        <f t="shared" si="9"/>
        <v>0</v>
      </c>
      <c r="AH72" s="103"/>
      <c r="AI72" s="103"/>
      <c r="AJ72" s="7"/>
      <c r="AK72" s="101" t="str">
        <f t="shared" si="10"/>
        <v>Negative</v>
      </c>
      <c r="AL72" s="98"/>
      <c r="AM72" s="94" t="s">
        <v>343</v>
      </c>
      <c r="AN72" s="94" t="s">
        <v>348</v>
      </c>
      <c r="AO72" s="102" t="str">
        <f>IFERROR(__xludf.DUMMYFUNCTION("IF($AG72, ""DELETED"",TRIM(JOIN("" "",D72:E72)))"),"")</f>
        <v/>
      </c>
      <c r="AP72" s="94" t="str">
        <f t="shared" ref="AP72:AQ72" si="106">IF($AG72, "DELETED", TRIM(CONCATENATE(F72,I72,U72)))</f>
        <v/>
      </c>
      <c r="AQ72" s="94" t="str">
        <f t="shared" si="106"/>
        <v/>
      </c>
      <c r="AR72" s="94" t="str">
        <f>IFERROR(__xludf.DUMMYFUNCTION("IF($AG72, ""DELETED"", TRIM(JOIN("" "",AP72,AQ72)))"),"")</f>
        <v/>
      </c>
      <c r="AS72" s="9"/>
      <c r="AT72" s="93" t="b">
        <f t="shared" si="12"/>
        <v>0</v>
      </c>
      <c r="AU72" s="93" t="str">
        <f t="shared" si="13"/>
        <v/>
      </c>
      <c r="AV72" s="93" t="str">
        <f t="shared" si="14"/>
        <v/>
      </c>
      <c r="AW72" s="93" t="str">
        <f t="shared" si="99"/>
        <v/>
      </c>
      <c r="AX72" s="107" t="str">
        <f t="shared" si="16"/>
        <v/>
      </c>
      <c r="AY72" s="3"/>
      <c r="AZ72" s="129"/>
      <c r="BA72" s="109" t="str">
        <f t="shared" si="17"/>
        <v/>
      </c>
      <c r="BB72" s="3"/>
      <c r="BC72" s="3"/>
      <c r="BD72" s="108"/>
      <c r="BE72" s="143"/>
      <c r="BF72" s="111" t="str">
        <f t="shared" si="18"/>
        <v/>
      </c>
      <c r="BG72" s="112" t="str">
        <f t="shared" si="19"/>
        <v>AG213__44683_0.238263888888889___Negative_44683_0.357824074074074_</v>
      </c>
      <c r="BH72" s="113" t="str">
        <f t="shared" si="20"/>
        <v/>
      </c>
      <c r="BI72" s="143" t="s">
        <v>349</v>
      </c>
      <c r="BJ72" s="114" t="str">
        <f t="shared" si="21"/>
        <v>AJ9479</v>
      </c>
      <c r="BK72" s="115" t="b">
        <f t="shared" si="105"/>
        <v>0</v>
      </c>
      <c r="BL72" s="114" t="str">
        <f t="shared" si="23"/>
        <v/>
      </c>
      <c r="BM72" s="108"/>
      <c r="BN72" s="7" t="b">
        <f t="shared" si="24"/>
        <v>1</v>
      </c>
      <c r="BO72" s="7" t="b">
        <f t="shared" si="25"/>
        <v>0</v>
      </c>
      <c r="BP72" s="7" t="b">
        <f t="shared" si="26"/>
        <v>1</v>
      </c>
      <c r="BQ72" s="118"/>
      <c r="BR72" s="119" t="s">
        <v>228</v>
      </c>
      <c r="BS72" s="7" t="b">
        <f t="shared" si="27"/>
        <v>1</v>
      </c>
      <c r="BT72" s="7"/>
      <c r="BU72" s="7"/>
      <c r="BV72" s="7"/>
      <c r="BW72" s="7"/>
    </row>
    <row r="73">
      <c r="A73" s="86" t="s">
        <v>350</v>
      </c>
      <c r="B73" s="87">
        <v>44683.0</v>
      </c>
      <c r="C73" s="88">
        <v>0.2399074074074074</v>
      </c>
      <c r="D73" s="89"/>
      <c r="E73" s="89"/>
      <c r="F73" s="89"/>
      <c r="G73" s="86"/>
      <c r="H73" s="89"/>
      <c r="I73" s="3"/>
      <c r="J73" s="3"/>
      <c r="K73" s="89" t="s">
        <v>228</v>
      </c>
      <c r="L73" s="36">
        <v>44683.0</v>
      </c>
      <c r="M73" s="91">
        <v>0.35782407407407407</v>
      </c>
      <c r="N73" s="3"/>
      <c r="O73" s="142"/>
      <c r="P73" s="93" t="b">
        <f>IFNA(IF(VLOOKUP($A73,'Add from APT'!$AA$2:$AC264,3,FALSE)&gt;0,TRUE,FALSE),"ER - NOT IN APT")</f>
        <v>0</v>
      </c>
      <c r="Q73" s="94" t="str">
        <f>IF(ISLOGICAL(P73),IF(P73,"ER - REPS IN APT", IFNA(VLOOKUP($A73,RAW_APT!$A$3:$M264,7,FALSE),"ER - NOT IN APT")),P73)</f>
        <v>Result</v>
      </c>
      <c r="R73" s="95" t="b">
        <f t="shared" si="102"/>
        <v>1</v>
      </c>
      <c r="S73" s="96">
        <f t="shared" si="3"/>
        <v>2</v>
      </c>
      <c r="T73" s="103"/>
      <c r="U73" s="9"/>
      <c r="V73" s="9"/>
      <c r="W73" s="104"/>
      <c r="X73" s="99" t="b">
        <f t="shared" si="97"/>
        <v>0</v>
      </c>
      <c r="Y73" s="100"/>
      <c r="Z73" s="101" t="str">
        <f t="shared" si="5"/>
        <v/>
      </c>
      <c r="AA73" s="102" t="b">
        <f t="shared" si="6"/>
        <v>0</v>
      </c>
      <c r="AB73" s="98" t="b">
        <v>0</v>
      </c>
      <c r="AC73" s="198">
        <v>186.0</v>
      </c>
      <c r="AD73" s="104" t="b">
        <v>0</v>
      </c>
      <c r="AE73" s="105">
        <f t="shared" si="7"/>
        <v>169.8</v>
      </c>
      <c r="AF73" s="106" t="b">
        <f t="shared" si="103"/>
        <v>0</v>
      </c>
      <c r="AG73" s="93" t="b">
        <f t="shared" si="9"/>
        <v>0</v>
      </c>
      <c r="AH73" s="103"/>
      <c r="AI73" s="103"/>
      <c r="AJ73" s="103"/>
      <c r="AK73" s="101" t="str">
        <f t="shared" si="10"/>
        <v>Negative</v>
      </c>
      <c r="AL73" s="104" t="s">
        <v>351</v>
      </c>
      <c r="AM73" s="94" t="s">
        <v>343</v>
      </c>
      <c r="AN73" s="94" t="s">
        <v>352</v>
      </c>
      <c r="AO73" s="102" t="str">
        <f>IFERROR(__xludf.DUMMYFUNCTION("IF($AG73, ""DELETED"",TRIM(JOIN("" "",D73:E73)))"),"")</f>
        <v/>
      </c>
      <c r="AP73" s="94" t="str">
        <f t="shared" ref="AP73:AQ73" si="107">IF($AG73, "DELETED", TRIM(CONCATENATE(F73,I73,U73)))</f>
        <v/>
      </c>
      <c r="AQ73" s="94" t="str">
        <f t="shared" si="107"/>
        <v/>
      </c>
      <c r="AR73" s="94" t="str">
        <f>IFERROR(__xludf.DUMMYFUNCTION("IF($AG73, ""DELETED"", TRIM(JOIN("" "",AP73,AQ73)))"),"")</f>
        <v/>
      </c>
      <c r="AS73" s="199"/>
      <c r="AT73" s="93" t="b">
        <f t="shared" si="12"/>
        <v>0</v>
      </c>
      <c r="AU73" s="93" t="str">
        <f t="shared" si="13"/>
        <v/>
      </c>
      <c r="AV73" s="93" t="str">
        <f t="shared" si="14"/>
        <v/>
      </c>
      <c r="AW73" s="93" t="str">
        <f t="shared" si="99"/>
        <v/>
      </c>
      <c r="AX73" s="107" t="str">
        <f t="shared" si="16"/>
        <v/>
      </c>
      <c r="AY73" s="98"/>
      <c r="AZ73" s="108"/>
      <c r="BA73" s="109" t="str">
        <f t="shared" si="17"/>
        <v/>
      </c>
      <c r="BB73" s="98"/>
      <c r="BC73" s="98"/>
      <c r="BD73" s="108"/>
      <c r="BE73" s="134"/>
      <c r="BF73" s="111" t="str">
        <f t="shared" si="18"/>
        <v/>
      </c>
      <c r="BG73" s="112" t="str">
        <f t="shared" si="19"/>
        <v>AG252__44683_0.239907407407407___Negative_44683_0.357824074074074_</v>
      </c>
      <c r="BH73" s="113" t="str">
        <f t="shared" si="20"/>
        <v/>
      </c>
      <c r="BI73" s="134" t="s">
        <v>353</v>
      </c>
      <c r="BJ73" s="114" t="str">
        <f t="shared" si="21"/>
        <v>AJ9703</v>
      </c>
      <c r="BK73" s="115" t="b">
        <f t="shared" si="105"/>
        <v>0</v>
      </c>
      <c r="BL73" s="114" t="str">
        <f t="shared" si="23"/>
        <v/>
      </c>
      <c r="BM73" s="108"/>
      <c r="BN73" s="7" t="b">
        <f t="shared" si="24"/>
        <v>1</v>
      </c>
      <c r="BO73" s="7" t="b">
        <f t="shared" si="25"/>
        <v>0</v>
      </c>
      <c r="BP73" s="7" t="b">
        <f t="shared" si="26"/>
        <v>1</v>
      </c>
      <c r="BQ73" s="118"/>
      <c r="BR73" s="119" t="s">
        <v>228</v>
      </c>
      <c r="BS73" s="7" t="b">
        <f t="shared" si="27"/>
        <v>1</v>
      </c>
      <c r="BT73" s="7"/>
      <c r="BU73" s="7"/>
      <c r="BV73" s="7"/>
      <c r="BW73" s="7"/>
    </row>
    <row r="74">
      <c r="A74" s="167" t="s">
        <v>350</v>
      </c>
      <c r="B74" s="168">
        <v>44683.0</v>
      </c>
      <c r="C74" s="169">
        <v>0.2399074074074074</v>
      </c>
      <c r="D74" s="170"/>
      <c r="E74" s="170"/>
      <c r="F74" s="170"/>
      <c r="G74" s="167"/>
      <c r="H74" s="171"/>
      <c r="I74" s="172"/>
      <c r="J74" s="172"/>
      <c r="K74" s="170" t="s">
        <v>228</v>
      </c>
      <c r="L74" s="173">
        <v>44683.0</v>
      </c>
      <c r="M74" s="174">
        <v>0.35782407407407407</v>
      </c>
      <c r="N74" s="172"/>
      <c r="O74" s="175"/>
      <c r="P74" s="176" t="b">
        <f>IFNA(IF(VLOOKUP($A74,'Add from APT'!$AA$2:$AC264,3,FALSE)&gt;0,TRUE,FALSE),"ER - NOT IN APT")</f>
        <v>0</v>
      </c>
      <c r="Q74" s="172" t="str">
        <f>IF(ISLOGICAL(P74),IF(P74,"ER - REPS IN APT", IFNA(VLOOKUP($A74,RAW_APT!$A$3:$M264,7,FALSE),"ER - NOT IN APT")),P74)</f>
        <v>Result</v>
      </c>
      <c r="R74" s="177" t="b">
        <f t="shared" si="102"/>
        <v>0</v>
      </c>
      <c r="S74" s="177">
        <f t="shared" si="3"/>
        <v>2</v>
      </c>
      <c r="T74" s="200"/>
      <c r="U74" s="201"/>
      <c r="V74" s="201"/>
      <c r="W74" s="201"/>
      <c r="X74" s="179" t="b">
        <f t="shared" si="97"/>
        <v>0</v>
      </c>
      <c r="Y74" s="201"/>
      <c r="Z74" s="181" t="str">
        <f t="shared" si="5"/>
        <v/>
      </c>
      <c r="AA74" s="178" t="b">
        <f t="shared" si="6"/>
        <v>0</v>
      </c>
      <c r="AB74" s="201"/>
      <c r="AC74" s="200">
        <v>187.0</v>
      </c>
      <c r="AD74" s="201"/>
      <c r="AE74" s="182">
        <f t="shared" si="7"/>
        <v>169.8</v>
      </c>
      <c r="AF74" s="176" t="b">
        <f t="shared" si="103"/>
        <v>0</v>
      </c>
      <c r="AG74" s="176" t="b">
        <f t="shared" si="9"/>
        <v>1</v>
      </c>
      <c r="AH74" s="200">
        <v>4.1</v>
      </c>
      <c r="AI74" s="201"/>
      <c r="AJ74" s="201"/>
      <c r="AK74" s="181" t="str">
        <f t="shared" si="10"/>
        <v>DELETED</v>
      </c>
      <c r="AL74" s="181" t="s">
        <v>354</v>
      </c>
      <c r="AM74" s="94" t="s">
        <v>206</v>
      </c>
      <c r="AN74" s="94" t="s">
        <v>206</v>
      </c>
      <c r="AO74" s="178" t="str">
        <f>IFERROR(__xludf.DUMMYFUNCTION("IF($AG74, ""DELETED"",TRIM(JOIN("" "",D74:E74)))"),"DELETED")</f>
        <v>DELETED</v>
      </c>
      <c r="AP74" s="172" t="str">
        <f t="shared" ref="AP74:AQ74" si="108">IF($AG74, "DELETED", TRIM(CONCATENATE(F74,I74,U74)))</f>
        <v>DELETED</v>
      </c>
      <c r="AQ74" s="172" t="str">
        <f t="shared" si="108"/>
        <v>DELETED</v>
      </c>
      <c r="AR74" s="172" t="str">
        <f>IFERROR(__xludf.DUMMYFUNCTION("IF($AG74, ""DELETED"", TRIM(JOIN("" "",AP74,AQ74)))"),"DELETED")</f>
        <v>DELETED</v>
      </c>
      <c r="AS74" s="201"/>
      <c r="AT74" s="176" t="b">
        <f t="shared" si="12"/>
        <v>1</v>
      </c>
      <c r="AU74" s="176" t="str">
        <f t="shared" si="13"/>
        <v/>
      </c>
      <c r="AV74" s="176" t="str">
        <f t="shared" si="14"/>
        <v/>
      </c>
      <c r="AW74" s="176" t="str">
        <f t="shared" si="99"/>
        <v/>
      </c>
      <c r="AX74" s="185" t="str">
        <f t="shared" si="16"/>
        <v/>
      </c>
      <c r="AY74" s="201"/>
      <c r="AZ74" s="124"/>
      <c r="BA74" s="181" t="str">
        <f t="shared" si="17"/>
        <v/>
      </c>
      <c r="BB74" s="201"/>
      <c r="BC74" s="201"/>
      <c r="BD74" s="178"/>
      <c r="BE74" s="186"/>
      <c r="BF74" s="187" t="str">
        <f t="shared" si="18"/>
        <v/>
      </c>
      <c r="BG74" s="188" t="str">
        <f t="shared" si="19"/>
        <v/>
      </c>
      <c r="BH74" s="189" t="str">
        <f t="shared" si="20"/>
        <v/>
      </c>
      <c r="BI74" s="186" t="s">
        <v>355</v>
      </c>
      <c r="BJ74" s="190" t="str">
        <f t="shared" si="21"/>
        <v>AJ9836</v>
      </c>
      <c r="BK74" s="191" t="b">
        <f t="shared" si="105"/>
        <v>0</v>
      </c>
      <c r="BL74" s="190" t="str">
        <f t="shared" si="23"/>
        <v/>
      </c>
      <c r="BM74" s="178"/>
      <c r="BN74" s="176" t="b">
        <f t="shared" si="24"/>
        <v>0</v>
      </c>
      <c r="BO74" s="176" t="b">
        <f t="shared" si="25"/>
        <v>0</v>
      </c>
      <c r="BP74" s="176" t="b">
        <f t="shared" si="26"/>
        <v>0</v>
      </c>
      <c r="BQ74" s="118"/>
      <c r="BR74" s="192" t="s">
        <v>206</v>
      </c>
      <c r="BS74" s="7" t="b">
        <f t="shared" si="27"/>
        <v>1</v>
      </c>
      <c r="BT74" s="176"/>
      <c r="BU74" s="176"/>
      <c r="BV74" s="176"/>
      <c r="BW74" s="176"/>
    </row>
    <row r="75">
      <c r="A75" s="86" t="s">
        <v>356</v>
      </c>
      <c r="B75" s="87">
        <v>44683.0</v>
      </c>
      <c r="C75" s="88">
        <v>0.2581712962962963</v>
      </c>
      <c r="D75" s="89"/>
      <c r="E75" s="89"/>
      <c r="F75" s="89"/>
      <c r="G75" s="86"/>
      <c r="H75" s="90"/>
      <c r="I75" s="3"/>
      <c r="J75" s="3"/>
      <c r="K75" s="89" t="s">
        <v>228</v>
      </c>
      <c r="L75" s="36">
        <v>44683.0</v>
      </c>
      <c r="M75" s="91">
        <v>0.35782407407407407</v>
      </c>
      <c r="N75" s="3"/>
      <c r="O75" s="92"/>
      <c r="P75" s="93" t="b">
        <f>IFNA(IF(VLOOKUP($A75,'Add from APT'!$AA$2:$AC264,3,FALSE)&gt;0,TRUE,FALSE),"ER - NOT IN APT")</f>
        <v>0</v>
      </c>
      <c r="Q75" s="94" t="str">
        <f>IF(ISLOGICAL(P75),IF(P75,"ER - REPS IN APT", IFNA(VLOOKUP($A75,RAW_APT!$A$3:$M264,7,FALSE),"ER - NOT IN APT")),P75)</f>
        <v>Result</v>
      </c>
      <c r="R75" s="95" t="b">
        <f t="shared" si="102"/>
        <v>1</v>
      </c>
      <c r="S75" s="96">
        <f t="shared" si="3"/>
        <v>1</v>
      </c>
      <c r="T75" s="130"/>
      <c r="U75" s="3"/>
      <c r="V75" s="3"/>
      <c r="W75" s="98"/>
      <c r="X75" s="99" t="b">
        <f t="shared" si="97"/>
        <v>0</v>
      </c>
      <c r="Y75" s="7"/>
      <c r="Z75" s="101" t="str">
        <f t="shared" si="5"/>
        <v/>
      </c>
      <c r="AA75" s="102" t="b">
        <f t="shared" si="6"/>
        <v>0</v>
      </c>
      <c r="AB75" s="131"/>
      <c r="AC75" s="130">
        <v>188.0</v>
      </c>
      <c r="AD75" s="132"/>
      <c r="AE75" s="105">
        <f t="shared" si="7"/>
        <v>143.5</v>
      </c>
      <c r="AF75" s="106" t="b">
        <f t="shared" si="103"/>
        <v>0</v>
      </c>
      <c r="AG75" s="93" t="b">
        <f t="shared" si="9"/>
        <v>0</v>
      </c>
      <c r="AH75" s="130"/>
      <c r="AI75" s="13"/>
      <c r="AJ75" s="7"/>
      <c r="AK75" s="101" t="str">
        <f t="shared" si="10"/>
        <v>Negative</v>
      </c>
      <c r="AL75" s="98"/>
      <c r="AM75" s="94" t="s">
        <v>357</v>
      </c>
      <c r="AN75" s="94" t="s">
        <v>358</v>
      </c>
      <c r="AO75" s="102" t="str">
        <f>IFERROR(__xludf.DUMMYFUNCTION("IF($AG75, ""DELETED"",TRIM(JOIN("" "",D75:E75)))"),"")</f>
        <v/>
      </c>
      <c r="AP75" s="94" t="str">
        <f t="shared" ref="AP75:AQ75" si="109">IF($AG75, "DELETED", TRIM(CONCATENATE(F75,I75,U75)))</f>
        <v/>
      </c>
      <c r="AQ75" s="94" t="str">
        <f t="shared" si="109"/>
        <v/>
      </c>
      <c r="AR75" s="94" t="str">
        <f>IFERROR(__xludf.DUMMYFUNCTION("IF($AG75, ""DELETED"", TRIM(JOIN("" "",AP75,AQ75)))"),"")</f>
        <v/>
      </c>
      <c r="AS75" s="9"/>
      <c r="AT75" s="93" t="b">
        <f t="shared" si="12"/>
        <v>0</v>
      </c>
      <c r="AU75" s="93" t="str">
        <f t="shared" si="13"/>
        <v/>
      </c>
      <c r="AV75" s="93" t="str">
        <f t="shared" si="14"/>
        <v/>
      </c>
      <c r="AW75" s="93" t="str">
        <f t="shared" si="99"/>
        <v/>
      </c>
      <c r="AX75" s="107" t="str">
        <f t="shared" si="16"/>
        <v/>
      </c>
      <c r="AY75" s="3"/>
      <c r="AZ75" s="129"/>
      <c r="BA75" s="109" t="str">
        <f t="shared" si="17"/>
        <v/>
      </c>
      <c r="BB75" s="3"/>
      <c r="BC75" s="3"/>
      <c r="BD75" s="108"/>
      <c r="BE75" s="134"/>
      <c r="BF75" s="111" t="str">
        <f t="shared" si="18"/>
        <v/>
      </c>
      <c r="BG75" s="112" t="str">
        <f t="shared" si="19"/>
        <v>AG2164__44683_0.258171296296296___Negative_44683_0.357824074074074_</v>
      </c>
      <c r="BH75" s="113" t="str">
        <f t="shared" si="20"/>
        <v/>
      </c>
      <c r="BI75" s="134" t="s">
        <v>359</v>
      </c>
      <c r="BJ75" s="114" t="str">
        <f t="shared" si="21"/>
        <v>AK5211</v>
      </c>
      <c r="BK75" s="115" t="b">
        <f t="shared" si="105"/>
        <v>0</v>
      </c>
      <c r="BL75" s="114" t="str">
        <f t="shared" si="23"/>
        <v/>
      </c>
      <c r="BM75" s="108"/>
      <c r="BN75" s="7" t="b">
        <f t="shared" si="24"/>
        <v>1</v>
      </c>
      <c r="BO75" s="7" t="b">
        <f t="shared" si="25"/>
        <v>0</v>
      </c>
      <c r="BP75" s="7" t="b">
        <f t="shared" si="26"/>
        <v>1</v>
      </c>
      <c r="BQ75" s="118"/>
      <c r="BR75" s="119" t="s">
        <v>228</v>
      </c>
      <c r="BS75" s="7" t="b">
        <f t="shared" si="27"/>
        <v>1</v>
      </c>
      <c r="BT75" s="7"/>
      <c r="BU75" s="7"/>
      <c r="BV75" s="7"/>
      <c r="BW75" s="7"/>
    </row>
    <row r="76">
      <c r="A76" s="86" t="s">
        <v>360</v>
      </c>
      <c r="B76" s="87">
        <v>44683.0</v>
      </c>
      <c r="C76" s="88">
        <v>0.27576388888888886</v>
      </c>
      <c r="D76" s="89"/>
      <c r="E76" s="89"/>
      <c r="F76" s="89"/>
      <c r="G76" s="86"/>
      <c r="H76" s="89"/>
      <c r="I76" s="3"/>
      <c r="J76" s="3"/>
      <c r="K76" s="89" t="s">
        <v>228</v>
      </c>
      <c r="L76" s="36">
        <v>44683.0</v>
      </c>
      <c r="M76" s="91">
        <v>0.35783564814814817</v>
      </c>
      <c r="N76" s="3"/>
      <c r="O76" s="92"/>
      <c r="P76" s="93" t="b">
        <f>IFNA(IF(VLOOKUP($A76,'Add from APT'!$AA$2:$AC264,3,FALSE)&gt;0,TRUE,FALSE),"ER - NOT IN APT")</f>
        <v>0</v>
      </c>
      <c r="Q76" s="94" t="str">
        <f>IF(ISLOGICAL(P76),IF(P76,"ER - REPS IN APT", IFNA(VLOOKUP($A76,RAW_APT!$A$3:$M264,7,FALSE),"ER - NOT IN APT")),P76)</f>
        <v>Result</v>
      </c>
      <c r="R76" s="95" t="b">
        <f t="shared" si="102"/>
        <v>1</v>
      </c>
      <c r="S76" s="96">
        <f t="shared" si="3"/>
        <v>1</v>
      </c>
      <c r="T76" s="97"/>
      <c r="U76" s="3"/>
      <c r="V76" s="3"/>
      <c r="W76" s="98"/>
      <c r="X76" s="99" t="b">
        <f t="shared" si="97"/>
        <v>0</v>
      </c>
      <c r="Y76" s="100"/>
      <c r="Z76" s="101" t="str">
        <f t="shared" si="5"/>
        <v/>
      </c>
      <c r="AA76" s="102" t="b">
        <f t="shared" si="6"/>
        <v>0</v>
      </c>
      <c r="AB76" s="98"/>
      <c r="AC76" s="103">
        <v>189.0</v>
      </c>
      <c r="AD76" s="104"/>
      <c r="AE76" s="105">
        <f t="shared" si="7"/>
        <v>118.1833333</v>
      </c>
      <c r="AF76" s="106" t="b">
        <f t="shared" si="103"/>
        <v>0</v>
      </c>
      <c r="AG76" s="93" t="b">
        <f t="shared" si="9"/>
        <v>0</v>
      </c>
      <c r="AH76" s="103"/>
      <c r="AI76" s="103"/>
      <c r="AJ76" s="97"/>
      <c r="AK76" s="101" t="str">
        <f t="shared" si="10"/>
        <v>Negative</v>
      </c>
      <c r="AL76" s="98"/>
      <c r="AM76" s="94" t="s">
        <v>361</v>
      </c>
      <c r="AN76" s="94" t="s">
        <v>362</v>
      </c>
      <c r="AO76" s="102" t="str">
        <f>IFERROR(__xludf.DUMMYFUNCTION("IF($AG76, ""DELETED"",TRIM(JOIN("" "",D76:E76)))"),"")</f>
        <v/>
      </c>
      <c r="AP76" s="94" t="str">
        <f t="shared" ref="AP76:AQ76" si="110">IF($AG76, "DELETED", TRIM(CONCATENATE(F76,I76,U76)))</f>
        <v/>
      </c>
      <c r="AQ76" s="94" t="str">
        <f t="shared" si="110"/>
        <v/>
      </c>
      <c r="AR76" s="94" t="str">
        <f>IFERROR(__xludf.DUMMYFUNCTION("IF($AG76, ""DELETED"", TRIM(JOIN("" "",AP76,AQ76)))"),"")</f>
        <v/>
      </c>
      <c r="AS76" s="9"/>
      <c r="AT76" s="93" t="b">
        <f t="shared" si="12"/>
        <v>0</v>
      </c>
      <c r="AU76" s="93" t="str">
        <f t="shared" si="13"/>
        <v/>
      </c>
      <c r="AV76" s="93" t="str">
        <f t="shared" si="14"/>
        <v/>
      </c>
      <c r="AW76" s="93" t="str">
        <f t="shared" si="99"/>
        <v/>
      </c>
      <c r="AX76" s="107" t="str">
        <f t="shared" si="16"/>
        <v/>
      </c>
      <c r="AY76" s="98"/>
      <c r="AZ76" s="108"/>
      <c r="BA76" s="109" t="str">
        <f t="shared" si="17"/>
        <v/>
      </c>
      <c r="BB76" s="98"/>
      <c r="BC76" s="98"/>
      <c r="BD76" s="108"/>
      <c r="BE76" s="134"/>
      <c r="BF76" s="111" t="str">
        <f t="shared" si="18"/>
        <v/>
      </c>
      <c r="BG76" s="112" t="str">
        <f t="shared" si="19"/>
        <v>AK7529__44683_0.275763888888889___Negative_44683_0.357835648148148_</v>
      </c>
      <c r="BH76" s="113" t="str">
        <f t="shared" si="20"/>
        <v/>
      </c>
      <c r="BI76" s="134" t="s">
        <v>363</v>
      </c>
      <c r="BJ76" s="114" t="str">
        <f t="shared" si="21"/>
        <v>AK6656</v>
      </c>
      <c r="BK76" s="115" t="b">
        <f t="shared" si="105"/>
        <v>0</v>
      </c>
      <c r="BL76" s="114" t="str">
        <f t="shared" si="23"/>
        <v/>
      </c>
      <c r="BM76" s="108"/>
      <c r="BN76" s="7" t="b">
        <f t="shared" si="24"/>
        <v>1</v>
      </c>
      <c r="BO76" s="7" t="b">
        <f t="shared" si="25"/>
        <v>0</v>
      </c>
      <c r="BP76" s="7" t="b">
        <f t="shared" si="26"/>
        <v>1</v>
      </c>
      <c r="BQ76" s="118"/>
      <c r="BR76" s="119" t="s">
        <v>228</v>
      </c>
      <c r="BS76" s="7" t="b">
        <f t="shared" si="27"/>
        <v>1</v>
      </c>
      <c r="BT76" s="7"/>
      <c r="BU76" s="7"/>
      <c r="BV76" s="7"/>
      <c r="BW76" s="7"/>
    </row>
    <row r="77">
      <c r="A77" s="86" t="s">
        <v>364</v>
      </c>
      <c r="B77" s="87">
        <v>44683.0</v>
      </c>
      <c r="C77" s="88">
        <v>0.2781018518518519</v>
      </c>
      <c r="D77" s="89"/>
      <c r="E77" s="89"/>
      <c r="F77" s="89"/>
      <c r="G77" s="86"/>
      <c r="H77" s="89"/>
      <c r="I77" s="3"/>
      <c r="J77" s="3"/>
      <c r="K77" s="89" t="s">
        <v>228</v>
      </c>
      <c r="L77" s="36">
        <v>44683.0</v>
      </c>
      <c r="M77" s="91">
        <v>0.3578125</v>
      </c>
      <c r="N77" s="3"/>
      <c r="O77" s="92"/>
      <c r="P77" s="93" t="b">
        <f>IFNA(IF(VLOOKUP($A77,'Add from APT'!$AA$2:$AC264,3,FALSE)&gt;0,TRUE,FALSE),"ER - NOT IN APT")</f>
        <v>0</v>
      </c>
      <c r="Q77" s="94" t="str">
        <f>IF(ISLOGICAL(P77),IF(P77,"ER - REPS IN APT", IFNA(VLOOKUP($A77,RAW_APT!$A$3:$M264,7,FALSE),"ER - NOT IN APT")),P77)</f>
        <v>Result</v>
      </c>
      <c r="R77" s="95" t="b">
        <f t="shared" si="102"/>
        <v>1</v>
      </c>
      <c r="S77" s="96">
        <f t="shared" si="3"/>
        <v>1</v>
      </c>
      <c r="T77" s="130"/>
      <c r="U77" s="3"/>
      <c r="V77" s="3"/>
      <c r="W77" s="98"/>
      <c r="X77" s="99" t="b">
        <f t="shared" si="97"/>
        <v>0</v>
      </c>
      <c r="Y77" s="7"/>
      <c r="Z77" s="101" t="str">
        <f t="shared" si="5"/>
        <v/>
      </c>
      <c r="AA77" s="102" t="b">
        <f t="shared" si="6"/>
        <v>0</v>
      </c>
      <c r="AB77" s="131"/>
      <c r="AC77" s="130">
        <v>190.0</v>
      </c>
      <c r="AD77" s="132"/>
      <c r="AE77" s="105">
        <f t="shared" si="7"/>
        <v>114.7833333</v>
      </c>
      <c r="AF77" s="106" t="b">
        <f t="shared" si="103"/>
        <v>0</v>
      </c>
      <c r="AG77" s="93" t="b">
        <f t="shared" si="9"/>
        <v>0</v>
      </c>
      <c r="AH77" s="130"/>
      <c r="AI77" s="13"/>
      <c r="AJ77" s="7"/>
      <c r="AK77" s="101" t="str">
        <f t="shared" si="10"/>
        <v>Negative</v>
      </c>
      <c r="AL77" s="98"/>
      <c r="AM77" s="94" t="s">
        <v>365</v>
      </c>
      <c r="AN77" s="94" t="s">
        <v>339</v>
      </c>
      <c r="AO77" s="102" t="str">
        <f>IFERROR(__xludf.DUMMYFUNCTION("IF($AG77, ""DELETED"",TRIM(JOIN("" "",D77:E77)))"),"")</f>
        <v/>
      </c>
      <c r="AP77" s="94" t="str">
        <f t="shared" ref="AP77:AQ77" si="111">IF($AG77, "DELETED", TRIM(CONCATENATE(F77,I77,U77)))</f>
        <v/>
      </c>
      <c r="AQ77" s="94" t="str">
        <f t="shared" si="111"/>
        <v/>
      </c>
      <c r="AR77" s="94" t="str">
        <f>IFERROR(__xludf.DUMMYFUNCTION("IF($AG77, ""DELETED"", TRIM(JOIN("" "",AP77,AQ77)))"),"")</f>
        <v/>
      </c>
      <c r="AS77" s="9"/>
      <c r="AT77" s="93" t="b">
        <f t="shared" si="12"/>
        <v>0</v>
      </c>
      <c r="AU77" s="93" t="str">
        <f t="shared" si="13"/>
        <v/>
      </c>
      <c r="AV77" s="93" t="str">
        <f t="shared" si="14"/>
        <v/>
      </c>
      <c r="AW77" s="93" t="str">
        <f t="shared" si="99"/>
        <v/>
      </c>
      <c r="AX77" s="107" t="str">
        <f t="shared" si="16"/>
        <v/>
      </c>
      <c r="AY77" s="3"/>
      <c r="AZ77" s="129"/>
      <c r="BA77" s="109" t="str">
        <f t="shared" si="17"/>
        <v/>
      </c>
      <c r="BB77" s="3"/>
      <c r="BC77" s="3"/>
      <c r="BD77" s="108"/>
      <c r="BE77" s="143"/>
      <c r="BF77" s="111" t="str">
        <f t="shared" si="18"/>
        <v/>
      </c>
      <c r="BG77" s="112" t="str">
        <f t="shared" si="19"/>
        <v>AH9504__44683_0.278101851851852___Negative_44683_0.3578125_</v>
      </c>
      <c r="BH77" s="113" t="str">
        <f t="shared" si="20"/>
        <v/>
      </c>
      <c r="BI77" s="143" t="s">
        <v>366</v>
      </c>
      <c r="BJ77" s="114" t="str">
        <f t="shared" si="21"/>
        <v>AK6972</v>
      </c>
      <c r="BK77" s="115" t="b">
        <f t="shared" si="105"/>
        <v>0</v>
      </c>
      <c r="BL77" s="114" t="str">
        <f t="shared" si="23"/>
        <v/>
      </c>
      <c r="BM77" s="108"/>
      <c r="BN77" s="7" t="b">
        <f t="shared" si="24"/>
        <v>1</v>
      </c>
      <c r="BO77" s="7" t="b">
        <f t="shared" si="25"/>
        <v>0</v>
      </c>
      <c r="BP77" s="7" t="b">
        <f t="shared" si="26"/>
        <v>1</v>
      </c>
      <c r="BQ77" s="118"/>
      <c r="BR77" s="119" t="s">
        <v>228</v>
      </c>
      <c r="BS77" s="7" t="b">
        <f t="shared" si="27"/>
        <v>1</v>
      </c>
      <c r="BT77" s="7"/>
      <c r="BU77" s="7"/>
      <c r="BV77" s="7"/>
      <c r="BW77" s="7"/>
    </row>
    <row r="78">
      <c r="A78" s="86" t="s">
        <v>367</v>
      </c>
      <c r="B78" s="87">
        <v>44683.0</v>
      </c>
      <c r="C78" s="88">
        <v>0.3842013888888889</v>
      </c>
      <c r="D78" s="89"/>
      <c r="E78" s="89"/>
      <c r="F78" s="3"/>
      <c r="G78" s="120"/>
      <c r="H78" s="121"/>
      <c r="I78" s="89"/>
      <c r="J78" s="89"/>
      <c r="K78" s="89" t="s">
        <v>228</v>
      </c>
      <c r="L78" s="36">
        <v>44683.0</v>
      </c>
      <c r="M78" s="91">
        <v>0.6373958333333334</v>
      </c>
      <c r="N78" s="3"/>
      <c r="O78" s="92"/>
      <c r="P78" s="93" t="b">
        <f>IFNA(IF(VLOOKUP($A78,'Add from APT'!$AA$2:$AC264,3,FALSE)&gt;0,TRUE,FALSE),"ER - NOT IN APT")</f>
        <v>0</v>
      </c>
      <c r="Q78" s="94" t="str">
        <f>IF(ISLOGICAL(P78),IF(P78,"ER - REPS IN APT", IFNA(VLOOKUP($A78,RAW_APT!$A$3:$M264,7,FALSE),"ER - NOT IN APT")),P78)</f>
        <v>Result</v>
      </c>
      <c r="R78" s="95" t="b">
        <f t="shared" si="102"/>
        <v>1</v>
      </c>
      <c r="S78" s="96">
        <f t="shared" si="3"/>
        <v>1</v>
      </c>
      <c r="T78" s="97"/>
      <c r="U78" s="3"/>
      <c r="V78" s="3"/>
      <c r="W78" s="98"/>
      <c r="X78" s="99" t="b">
        <f t="shared" si="97"/>
        <v>0</v>
      </c>
      <c r="Y78" s="100"/>
      <c r="Z78" s="101" t="str">
        <f t="shared" si="5"/>
        <v/>
      </c>
      <c r="AA78" s="102" t="b">
        <f t="shared" si="6"/>
        <v>0</v>
      </c>
      <c r="AB78" s="98"/>
      <c r="AC78" s="103">
        <v>191.0</v>
      </c>
      <c r="AD78" s="104"/>
      <c r="AE78" s="105">
        <f t="shared" si="7"/>
        <v>364.6</v>
      </c>
      <c r="AF78" s="106" t="b">
        <f t="shared" si="103"/>
        <v>0</v>
      </c>
      <c r="AG78" s="93" t="b">
        <f t="shared" si="9"/>
        <v>0</v>
      </c>
      <c r="AH78" s="103"/>
      <c r="AI78" s="103"/>
      <c r="AJ78" s="97"/>
      <c r="AK78" s="101" t="str">
        <f t="shared" si="10"/>
        <v>Negative</v>
      </c>
      <c r="AL78" s="98"/>
      <c r="AM78" s="94" t="s">
        <v>368</v>
      </c>
      <c r="AN78" s="94" t="s">
        <v>369</v>
      </c>
      <c r="AO78" s="102" t="str">
        <f>IFERROR(__xludf.DUMMYFUNCTION("IF($AG78, ""DELETED"",TRIM(JOIN("" "",D78:E78)))"),"")</f>
        <v/>
      </c>
      <c r="AP78" s="94" t="str">
        <f t="shared" ref="AP78:AQ78" si="112">IF($AG78, "DELETED", TRIM(CONCATENATE(F78,I78,U78)))</f>
        <v/>
      </c>
      <c r="AQ78" s="94" t="str">
        <f t="shared" si="112"/>
        <v/>
      </c>
      <c r="AR78" s="94" t="str">
        <f>IFERROR(__xludf.DUMMYFUNCTION("IF($AG78, ""DELETED"", TRIM(JOIN("" "",AP78,AQ78)))"),"")</f>
        <v/>
      </c>
      <c r="AS78" s="9"/>
      <c r="AT78" s="93" t="b">
        <f t="shared" si="12"/>
        <v>0</v>
      </c>
      <c r="AU78" s="93" t="str">
        <f t="shared" si="13"/>
        <v/>
      </c>
      <c r="AV78" s="93" t="str">
        <f t="shared" si="14"/>
        <v/>
      </c>
      <c r="AW78" s="93" t="str">
        <f t="shared" si="99"/>
        <v/>
      </c>
      <c r="AX78" s="107" t="str">
        <f t="shared" si="16"/>
        <v/>
      </c>
      <c r="AY78" s="98"/>
      <c r="AZ78" s="108"/>
      <c r="BA78" s="109" t="str">
        <f t="shared" si="17"/>
        <v/>
      </c>
      <c r="BB78" s="98"/>
      <c r="BC78" s="98"/>
      <c r="BD78" s="108"/>
      <c r="BE78" s="143"/>
      <c r="BF78" s="111" t="str">
        <f t="shared" si="18"/>
        <v/>
      </c>
      <c r="BG78" s="112" t="str">
        <f t="shared" si="19"/>
        <v>AG1866__44683_0.384201388888889___Negative_44683_0.637395833333333_</v>
      </c>
      <c r="BH78" s="113" t="str">
        <f t="shared" si="20"/>
        <v/>
      </c>
      <c r="BI78" s="143" t="s">
        <v>370</v>
      </c>
      <c r="BJ78" s="114" t="str">
        <f t="shared" si="21"/>
        <v>AK7133</v>
      </c>
      <c r="BK78" s="115" t="b">
        <f t="shared" si="105"/>
        <v>0</v>
      </c>
      <c r="BL78" s="114" t="str">
        <f t="shared" si="23"/>
        <v/>
      </c>
      <c r="BM78" s="108"/>
      <c r="BN78" s="7" t="b">
        <f t="shared" si="24"/>
        <v>1</v>
      </c>
      <c r="BO78" s="7" t="b">
        <f t="shared" si="25"/>
        <v>0</v>
      </c>
      <c r="BP78" s="7" t="b">
        <f t="shared" si="26"/>
        <v>1</v>
      </c>
      <c r="BQ78" s="118"/>
      <c r="BR78" s="119" t="s">
        <v>228</v>
      </c>
      <c r="BS78" s="7" t="b">
        <f t="shared" si="27"/>
        <v>1</v>
      </c>
      <c r="BT78" s="7"/>
      <c r="BU78" s="7"/>
      <c r="BV78" s="7"/>
      <c r="BW78" s="7"/>
    </row>
    <row r="79">
      <c r="A79" s="86" t="s">
        <v>371</v>
      </c>
      <c r="B79" s="87">
        <v>44689.0</v>
      </c>
      <c r="C79" s="88">
        <v>0.8260300925925926</v>
      </c>
      <c r="D79" s="89"/>
      <c r="E79" s="89"/>
      <c r="F79" s="89"/>
      <c r="G79" s="86"/>
      <c r="H79" s="90"/>
      <c r="I79" s="3"/>
      <c r="J79" s="3"/>
      <c r="K79" s="89" t="s">
        <v>228</v>
      </c>
      <c r="L79" s="36">
        <v>44690.0</v>
      </c>
      <c r="M79" s="91">
        <v>0.3232291666666667</v>
      </c>
      <c r="N79" s="3"/>
      <c r="O79" s="92"/>
      <c r="P79" s="93" t="b">
        <f>IFNA(IF(VLOOKUP($A79,'Add from APT'!$AA$2:$AC264,3,FALSE)&gt;0,TRUE,FALSE),"ER - NOT IN APT")</f>
        <v>0</v>
      </c>
      <c r="Q79" s="94" t="str">
        <f>IF(ISLOGICAL(P79),IF(P79,"ER - REPS IN APT", IFNA(VLOOKUP($A79,RAW_APT!$A$3:$M264,7,FALSE),"ER - NOT IN APT")),P79)</f>
        <v>Result</v>
      </c>
      <c r="R79" s="95" t="b">
        <f t="shared" si="102"/>
        <v>1</v>
      </c>
      <c r="S79" s="96">
        <f t="shared" si="3"/>
        <v>4</v>
      </c>
      <c r="T79" s="97"/>
      <c r="U79" s="3"/>
      <c r="V79" s="3"/>
      <c r="W79" s="98"/>
      <c r="X79" s="99" t="b">
        <f t="shared" si="97"/>
        <v>0</v>
      </c>
      <c r="Y79" s="100"/>
      <c r="Z79" s="101" t="str">
        <f t="shared" si="5"/>
        <v/>
      </c>
      <c r="AA79" s="102" t="b">
        <f t="shared" si="6"/>
        <v>0</v>
      </c>
      <c r="AB79" s="98"/>
      <c r="AC79" s="103">
        <v>163.0</v>
      </c>
      <c r="AD79" s="104"/>
      <c r="AE79" s="105" t="str">
        <f t="shared" si="7"/>
        <v/>
      </c>
      <c r="AF79" s="106" t="b">
        <f t="shared" si="103"/>
        <v>0</v>
      </c>
      <c r="AG79" s="93" t="b">
        <f t="shared" si="9"/>
        <v>0</v>
      </c>
      <c r="AH79" s="103"/>
      <c r="AI79" s="103"/>
      <c r="AJ79" s="97"/>
      <c r="AK79" s="101" t="str">
        <f t="shared" si="10"/>
        <v>Negative</v>
      </c>
      <c r="AL79" s="98"/>
      <c r="AM79" s="94" t="s">
        <v>372</v>
      </c>
      <c r="AN79" s="94" t="s">
        <v>373</v>
      </c>
      <c r="AO79" s="102" t="str">
        <f>IFERROR(__xludf.DUMMYFUNCTION("IF($AG79, ""DELETED"",TRIM(JOIN("" "",D79:E79)))"),"")</f>
        <v/>
      </c>
      <c r="AP79" s="94" t="str">
        <f t="shared" ref="AP79:AQ79" si="113">IF($AG79, "DELETED", TRIM(CONCATENATE(F79,I79,U79)))</f>
        <v/>
      </c>
      <c r="AQ79" s="94" t="str">
        <f t="shared" si="113"/>
        <v/>
      </c>
      <c r="AR79" s="94" t="str">
        <f>IFERROR(__xludf.DUMMYFUNCTION("IF($AG79, ""DELETED"", TRIM(JOIN("" "",AP79,AQ79)))"),"")</f>
        <v/>
      </c>
      <c r="AS79" s="9"/>
      <c r="AT79" s="93" t="b">
        <f t="shared" si="12"/>
        <v>0</v>
      </c>
      <c r="AU79" s="93" t="str">
        <f t="shared" si="13"/>
        <v/>
      </c>
      <c r="AV79" s="93" t="str">
        <f t="shared" si="14"/>
        <v/>
      </c>
      <c r="AW79" s="93" t="str">
        <f t="shared" si="99"/>
        <v/>
      </c>
      <c r="AX79" s="107" t="str">
        <f t="shared" si="16"/>
        <v/>
      </c>
      <c r="AY79" s="98"/>
      <c r="AZ79" s="108"/>
      <c r="BA79" s="109" t="str">
        <f t="shared" si="17"/>
        <v/>
      </c>
      <c r="BB79" s="98"/>
      <c r="BC79" s="98"/>
      <c r="BD79" s="108"/>
      <c r="BE79" s="134"/>
      <c r="BF79" s="111" t="str">
        <f t="shared" si="18"/>
        <v/>
      </c>
      <c r="BG79" s="112" t="str">
        <f t="shared" si="19"/>
        <v>AK5211__44689_0.826030092592593___Negative_44690_0.323229166666667_</v>
      </c>
      <c r="BH79" s="113" t="str">
        <f t="shared" si="20"/>
        <v/>
      </c>
      <c r="BI79" s="134" t="s">
        <v>374</v>
      </c>
      <c r="BJ79" s="114" t="str">
        <f t="shared" si="21"/>
        <v>AK7529</v>
      </c>
      <c r="BK79" s="115" t="b">
        <f t="shared" si="105"/>
        <v>0</v>
      </c>
      <c r="BL79" s="114" t="str">
        <f t="shared" si="23"/>
        <v/>
      </c>
      <c r="BM79" s="108"/>
      <c r="BN79" s="7" t="b">
        <f t="shared" si="24"/>
        <v>1</v>
      </c>
      <c r="BO79" s="7" t="b">
        <f t="shared" si="25"/>
        <v>0</v>
      </c>
      <c r="BP79" s="7" t="b">
        <f t="shared" si="26"/>
        <v>1</v>
      </c>
      <c r="BQ79" s="118"/>
      <c r="BR79" s="119" t="s">
        <v>228</v>
      </c>
      <c r="BS79" s="7" t="b">
        <f t="shared" si="27"/>
        <v>1</v>
      </c>
      <c r="BT79" s="7"/>
      <c r="BU79" s="7"/>
      <c r="BV79" s="7"/>
      <c r="BW79" s="7"/>
    </row>
    <row r="80">
      <c r="A80" s="86" t="s">
        <v>371</v>
      </c>
      <c r="B80" s="87">
        <v>44689.0</v>
      </c>
      <c r="C80" s="88">
        <v>0.8260300925925926</v>
      </c>
      <c r="D80" s="89"/>
      <c r="E80" s="89"/>
      <c r="F80" s="89"/>
      <c r="G80" s="86"/>
      <c r="H80" s="90"/>
      <c r="I80" s="3"/>
      <c r="J80" s="3"/>
      <c r="K80" s="89" t="s">
        <v>228</v>
      </c>
      <c r="L80" s="36">
        <v>44690.0</v>
      </c>
      <c r="M80" s="91">
        <v>0.3232291666666667</v>
      </c>
      <c r="N80" s="3"/>
      <c r="O80" s="92"/>
      <c r="P80" s="93" t="b">
        <f>IFNA(IF(VLOOKUP($A80,'Add from APT'!$AA$2:$AC264,3,FALSE)&gt;0,TRUE,FALSE),"ER - NOT IN APT")</f>
        <v>0</v>
      </c>
      <c r="Q80" s="94" t="str">
        <f>IF(ISLOGICAL(P80),IF(P80,"ER - REPS IN APT", IFNA(VLOOKUP($A80,RAW_APT!$A$3:$M264,7,FALSE),"ER - NOT IN APT")),P80)</f>
        <v>Result</v>
      </c>
      <c r="R80" s="95" t="b">
        <f t="shared" si="102"/>
        <v>0</v>
      </c>
      <c r="S80" s="96">
        <f t="shared" si="3"/>
        <v>4</v>
      </c>
      <c r="T80" s="97"/>
      <c r="U80" s="3"/>
      <c r="V80" s="3"/>
      <c r="W80" s="98"/>
      <c r="X80" s="99" t="b">
        <f t="shared" si="97"/>
        <v>0</v>
      </c>
      <c r="Y80" s="100"/>
      <c r="Z80" s="101" t="str">
        <f t="shared" si="5"/>
        <v/>
      </c>
      <c r="AA80" s="102" t="b">
        <f t="shared" si="6"/>
        <v>0</v>
      </c>
      <c r="AB80" s="98"/>
      <c r="AC80" s="103">
        <v>164.0</v>
      </c>
      <c r="AD80" s="104"/>
      <c r="AE80" s="105" t="str">
        <f t="shared" si="7"/>
        <v/>
      </c>
      <c r="AF80" s="106" t="b">
        <f t="shared" si="103"/>
        <v>0</v>
      </c>
      <c r="AG80" s="93" t="b">
        <f t="shared" si="9"/>
        <v>0</v>
      </c>
      <c r="AH80" s="103"/>
      <c r="AI80" s="103"/>
      <c r="AJ80" s="97"/>
      <c r="AK80" s="101" t="str">
        <f t="shared" si="10"/>
        <v>Negative</v>
      </c>
      <c r="AL80" s="98"/>
      <c r="AM80" s="94" t="s">
        <v>372</v>
      </c>
      <c r="AN80" s="94" t="s">
        <v>375</v>
      </c>
      <c r="AO80" s="102" t="str">
        <f>IFERROR(__xludf.DUMMYFUNCTION("IF($AG80, ""DELETED"",TRIM(JOIN("" "",D80:E80)))"),"")</f>
        <v/>
      </c>
      <c r="AP80" s="94" t="str">
        <f t="shared" ref="AP80:AQ80" si="114">IF($AG80, "DELETED", TRIM(CONCATENATE(F80,I80,U80)))</f>
        <v/>
      </c>
      <c r="AQ80" s="94" t="str">
        <f t="shared" si="114"/>
        <v/>
      </c>
      <c r="AR80" s="94" t="str">
        <f>IFERROR(__xludf.DUMMYFUNCTION("IF($AG80, ""DELETED"", TRIM(JOIN("" "",AP80,AQ80)))"),"")</f>
        <v/>
      </c>
      <c r="AS80" s="9"/>
      <c r="AT80" s="93" t="b">
        <f t="shared" si="12"/>
        <v>0</v>
      </c>
      <c r="AU80" s="93" t="str">
        <f t="shared" si="13"/>
        <v/>
      </c>
      <c r="AV80" s="93" t="str">
        <f t="shared" si="14"/>
        <v/>
      </c>
      <c r="AW80" s="93" t="str">
        <f t="shared" si="99"/>
        <v/>
      </c>
      <c r="AX80" s="107" t="str">
        <f t="shared" si="16"/>
        <v/>
      </c>
      <c r="AY80" s="98"/>
      <c r="AZ80" s="108"/>
      <c r="BA80" s="109" t="str">
        <f t="shared" si="17"/>
        <v/>
      </c>
      <c r="BB80" s="98"/>
      <c r="BC80" s="98"/>
      <c r="BD80" s="108"/>
      <c r="BE80" s="134"/>
      <c r="BF80" s="111" t="str">
        <f t="shared" si="18"/>
        <v/>
      </c>
      <c r="BG80" s="112" t="str">
        <f t="shared" si="19"/>
        <v>AK5211__44689_0.826030092592593___Negative_44690_0.323229166666667_</v>
      </c>
      <c r="BH80" s="113" t="str">
        <f t="shared" si="20"/>
        <v/>
      </c>
      <c r="BI80" s="134"/>
      <c r="BJ80" s="114" t="str">
        <f t="shared" si="21"/>
        <v/>
      </c>
      <c r="BK80" s="115" t="b">
        <f t="shared" si="105"/>
        <v>1</v>
      </c>
      <c r="BL80" s="114" t="str">
        <f t="shared" si="23"/>
        <v/>
      </c>
      <c r="BM80" s="108"/>
      <c r="BN80" s="7" t="b">
        <f t="shared" si="24"/>
        <v>1</v>
      </c>
      <c r="BO80" s="7" t="b">
        <f t="shared" si="25"/>
        <v>0</v>
      </c>
      <c r="BP80" s="7" t="b">
        <f t="shared" si="26"/>
        <v>1</v>
      </c>
      <c r="BQ80" s="118"/>
      <c r="BR80" s="119" t="s">
        <v>228</v>
      </c>
      <c r="BS80" s="7" t="b">
        <f t="shared" si="27"/>
        <v>1</v>
      </c>
      <c r="BT80" s="7"/>
      <c r="BU80" s="7"/>
      <c r="BV80" s="7"/>
      <c r="BW80" s="7"/>
    </row>
    <row r="81">
      <c r="A81" s="86" t="s">
        <v>371</v>
      </c>
      <c r="B81" s="87">
        <v>44689.0</v>
      </c>
      <c r="C81" s="88">
        <v>0.8260300925925926</v>
      </c>
      <c r="D81" s="89"/>
      <c r="E81" s="89"/>
      <c r="F81" s="89"/>
      <c r="G81" s="86"/>
      <c r="H81" s="90"/>
      <c r="I81" s="3"/>
      <c r="J81" s="3"/>
      <c r="K81" s="89" t="s">
        <v>228</v>
      </c>
      <c r="L81" s="36">
        <v>44690.0</v>
      </c>
      <c r="M81" s="91">
        <v>0.3232291666666667</v>
      </c>
      <c r="N81" s="121"/>
      <c r="O81" s="92"/>
      <c r="P81" s="93" t="b">
        <f>IFNA(IF(VLOOKUP($A81,'Add from APT'!$AA$2:$AC264,3,FALSE)&gt;0,TRUE,FALSE),"ER - NOT IN APT")</f>
        <v>0</v>
      </c>
      <c r="Q81" s="94" t="str">
        <f>IF(ISLOGICAL(P81),IF(P81,"ER - REPS IN APT", IFNA(VLOOKUP($A81,RAW_APT!$A$3:$M264,7,FALSE),"ER - NOT IN APT")),P81)</f>
        <v>Result</v>
      </c>
      <c r="R81" s="95" t="b">
        <f t="shared" si="102"/>
        <v>0</v>
      </c>
      <c r="S81" s="96">
        <f t="shared" si="3"/>
        <v>4</v>
      </c>
      <c r="T81" s="97"/>
      <c r="U81" s="3"/>
      <c r="V81" s="3"/>
      <c r="W81" s="98"/>
      <c r="X81" s="99" t="b">
        <f t="shared" si="97"/>
        <v>0</v>
      </c>
      <c r="Y81" s="100"/>
      <c r="Z81" s="101" t="str">
        <f t="shared" si="5"/>
        <v/>
      </c>
      <c r="AA81" s="102" t="b">
        <f t="shared" si="6"/>
        <v>0</v>
      </c>
      <c r="AB81" s="98"/>
      <c r="AC81" s="103">
        <v>162.0</v>
      </c>
      <c r="AD81" s="104"/>
      <c r="AE81" s="105" t="str">
        <f t="shared" si="7"/>
        <v/>
      </c>
      <c r="AF81" s="106" t="b">
        <f t="shared" si="103"/>
        <v>0</v>
      </c>
      <c r="AG81" s="93" t="b">
        <f t="shared" si="9"/>
        <v>0</v>
      </c>
      <c r="AH81" s="103"/>
      <c r="AI81" s="103"/>
      <c r="AJ81" s="97"/>
      <c r="AK81" s="101" t="str">
        <f t="shared" si="10"/>
        <v>Negative</v>
      </c>
      <c r="AL81" s="98"/>
      <c r="AM81" s="94" t="s">
        <v>372</v>
      </c>
      <c r="AN81" s="94" t="s">
        <v>376</v>
      </c>
      <c r="AO81" s="102" t="str">
        <f>IFERROR(__xludf.DUMMYFUNCTION("IF($AG81, ""DELETED"",TRIM(JOIN("" "",D81:E81)))"),"")</f>
        <v/>
      </c>
      <c r="AP81" s="94" t="str">
        <f t="shared" ref="AP81:AQ81" si="115">IF($AG81, "DELETED", TRIM(CONCATENATE(F81,I81,U81)))</f>
        <v/>
      </c>
      <c r="AQ81" s="94" t="str">
        <f t="shared" si="115"/>
        <v/>
      </c>
      <c r="AR81" s="94" t="str">
        <f>IFERROR(__xludf.DUMMYFUNCTION("IF($AG81, ""DELETED"", TRIM(JOIN("" "",AP81,AQ81)))"),"")</f>
        <v/>
      </c>
      <c r="AS81" s="9"/>
      <c r="AT81" s="93" t="b">
        <f t="shared" si="12"/>
        <v>0</v>
      </c>
      <c r="AU81" s="93" t="str">
        <f t="shared" si="13"/>
        <v/>
      </c>
      <c r="AV81" s="93" t="str">
        <f t="shared" si="14"/>
        <v/>
      </c>
      <c r="AW81" s="93" t="str">
        <f t="shared" si="99"/>
        <v/>
      </c>
      <c r="AX81" s="107" t="str">
        <f t="shared" si="16"/>
        <v/>
      </c>
      <c r="AY81" s="98"/>
      <c r="AZ81" s="108"/>
      <c r="BA81" s="109" t="str">
        <f t="shared" si="17"/>
        <v/>
      </c>
      <c r="BB81" s="98"/>
      <c r="BC81" s="98"/>
      <c r="BD81" s="108"/>
      <c r="BE81" s="134"/>
      <c r="BF81" s="111" t="str">
        <f t="shared" si="18"/>
        <v/>
      </c>
      <c r="BG81" s="112" t="str">
        <f t="shared" si="19"/>
        <v>AK5211__44689_0.826030092592593___Negative_44690_0.323229166666667_</v>
      </c>
      <c r="BH81" s="113" t="str">
        <f t="shared" si="20"/>
        <v/>
      </c>
      <c r="BI81" s="202"/>
      <c r="BJ81" s="114" t="str">
        <f t="shared" si="21"/>
        <v/>
      </c>
      <c r="BK81" s="115" t="b">
        <f t="shared" si="105"/>
        <v>0</v>
      </c>
      <c r="BL81" s="114" t="str">
        <f t="shared" si="23"/>
        <v/>
      </c>
      <c r="BM81" s="108"/>
      <c r="BN81" s="7" t="b">
        <f t="shared" si="24"/>
        <v>1</v>
      </c>
      <c r="BO81" s="7" t="b">
        <f t="shared" si="25"/>
        <v>0</v>
      </c>
      <c r="BP81" s="7" t="b">
        <f t="shared" si="26"/>
        <v>1</v>
      </c>
      <c r="BQ81" s="118"/>
      <c r="BR81" s="119" t="s">
        <v>228</v>
      </c>
      <c r="BS81" s="7" t="b">
        <f t="shared" si="27"/>
        <v>1</v>
      </c>
      <c r="BT81" s="7"/>
      <c r="BU81" s="7"/>
      <c r="BV81" s="7"/>
      <c r="BW81" s="7"/>
    </row>
    <row r="82">
      <c r="A82" s="86" t="s">
        <v>371</v>
      </c>
      <c r="B82" s="87">
        <v>44689.0</v>
      </c>
      <c r="C82" s="88">
        <v>0.8260300925925926</v>
      </c>
      <c r="D82" s="89"/>
      <c r="E82" s="89"/>
      <c r="F82" s="89"/>
      <c r="G82" s="86"/>
      <c r="H82" s="90"/>
      <c r="I82" s="3"/>
      <c r="J82" s="3"/>
      <c r="K82" s="89" t="s">
        <v>228</v>
      </c>
      <c r="L82" s="36">
        <v>44690.0</v>
      </c>
      <c r="M82" s="91">
        <v>0.3232291666666667</v>
      </c>
      <c r="N82" s="3"/>
      <c r="O82" s="92"/>
      <c r="P82" s="93" t="b">
        <f>IFNA(IF(VLOOKUP($A82,'Add from APT'!$AA$2:$AC264,3,FALSE)&gt;0,TRUE,FALSE),"ER - NOT IN APT")</f>
        <v>0</v>
      </c>
      <c r="Q82" s="94" t="str">
        <f>IF(ISLOGICAL(P82),IF(P82,"ER - REPS IN APT", IFNA(VLOOKUP($A82,RAW_APT!$A$3:$M264,7,FALSE),"ER - NOT IN APT")),P82)</f>
        <v>Result</v>
      </c>
      <c r="R82" s="95" t="b">
        <f t="shared" si="102"/>
        <v>0</v>
      </c>
      <c r="S82" s="96">
        <f t="shared" si="3"/>
        <v>4</v>
      </c>
      <c r="T82" s="97"/>
      <c r="U82" s="3"/>
      <c r="V82" s="3"/>
      <c r="W82" s="98"/>
      <c r="X82" s="99" t="b">
        <f t="shared" si="97"/>
        <v>0</v>
      </c>
      <c r="Y82" s="100"/>
      <c r="Z82" s="101" t="str">
        <f t="shared" si="5"/>
        <v/>
      </c>
      <c r="AA82" s="102" t="b">
        <f t="shared" si="6"/>
        <v>0</v>
      </c>
      <c r="AB82" s="98"/>
      <c r="AC82" s="103">
        <v>165.0</v>
      </c>
      <c r="AD82" s="104"/>
      <c r="AE82" s="105" t="str">
        <f t="shared" si="7"/>
        <v/>
      </c>
      <c r="AF82" s="106" t="b">
        <f t="shared" si="103"/>
        <v>0</v>
      </c>
      <c r="AG82" s="93" t="b">
        <f t="shared" si="9"/>
        <v>0</v>
      </c>
      <c r="AH82" s="103"/>
      <c r="AI82" s="103"/>
      <c r="AJ82" s="97"/>
      <c r="AK82" s="101" t="str">
        <f t="shared" si="10"/>
        <v>Negative</v>
      </c>
      <c r="AL82" s="98"/>
      <c r="AM82" s="94" t="s">
        <v>372</v>
      </c>
      <c r="AN82" s="94" t="s">
        <v>377</v>
      </c>
      <c r="AO82" s="102" t="str">
        <f>IFERROR(__xludf.DUMMYFUNCTION("IF($AG82, ""DELETED"",TRIM(JOIN("" "",D82:E82)))"),"")</f>
        <v/>
      </c>
      <c r="AP82" s="94" t="str">
        <f t="shared" ref="AP82:AQ82" si="116">IF($AG82, "DELETED", TRIM(CONCATENATE(F82,I82,U82)))</f>
        <v/>
      </c>
      <c r="AQ82" s="94" t="str">
        <f t="shared" si="116"/>
        <v/>
      </c>
      <c r="AR82" s="94" t="str">
        <f>IFERROR(__xludf.DUMMYFUNCTION("IF($AG82, ""DELETED"", TRIM(JOIN("" "",AP82,AQ82)))"),"")</f>
        <v/>
      </c>
      <c r="AS82" s="9"/>
      <c r="AT82" s="93" t="b">
        <f t="shared" si="12"/>
        <v>0</v>
      </c>
      <c r="AU82" s="93" t="str">
        <f t="shared" si="13"/>
        <v/>
      </c>
      <c r="AV82" s="93" t="str">
        <f t="shared" si="14"/>
        <v/>
      </c>
      <c r="AW82" s="93" t="str">
        <f t="shared" si="99"/>
        <v/>
      </c>
      <c r="AX82" s="107" t="str">
        <f t="shared" si="16"/>
        <v/>
      </c>
      <c r="AY82" s="98"/>
      <c r="AZ82" s="108"/>
      <c r="BA82" s="109" t="str">
        <f t="shared" si="17"/>
        <v/>
      </c>
      <c r="BB82" s="98"/>
      <c r="BC82" s="98"/>
      <c r="BD82" s="108"/>
      <c r="BE82" s="134"/>
      <c r="BF82" s="111" t="str">
        <f t="shared" si="18"/>
        <v/>
      </c>
      <c r="BG82" s="112" t="str">
        <f t="shared" si="19"/>
        <v>AK5211__44689_0.826030092592593___Negative_44690_0.323229166666667_</v>
      </c>
      <c r="BH82" s="113" t="str">
        <f t="shared" si="20"/>
        <v/>
      </c>
      <c r="BI82" s="202"/>
      <c r="BJ82" s="114" t="str">
        <f t="shared" si="21"/>
        <v/>
      </c>
      <c r="BK82" s="115" t="b">
        <f t="shared" si="105"/>
        <v>0</v>
      </c>
      <c r="BL82" s="114" t="str">
        <f t="shared" si="23"/>
        <v/>
      </c>
      <c r="BM82" s="108"/>
      <c r="BN82" s="7" t="b">
        <f t="shared" si="24"/>
        <v>1</v>
      </c>
      <c r="BO82" s="7" t="b">
        <f t="shared" si="25"/>
        <v>0</v>
      </c>
      <c r="BP82" s="7" t="b">
        <f t="shared" si="26"/>
        <v>1</v>
      </c>
      <c r="BQ82" s="118"/>
      <c r="BR82" s="119" t="s">
        <v>228</v>
      </c>
      <c r="BS82" s="7" t="b">
        <f t="shared" si="27"/>
        <v>1</v>
      </c>
      <c r="BT82" s="7"/>
      <c r="BU82" s="7"/>
      <c r="BV82" s="7"/>
      <c r="BW82" s="7"/>
    </row>
    <row r="83">
      <c r="A83" s="86" t="s">
        <v>378</v>
      </c>
      <c r="B83" s="87">
        <v>44690.0</v>
      </c>
      <c r="C83" s="88">
        <v>0.17002314814814815</v>
      </c>
      <c r="D83" s="89"/>
      <c r="E83" s="89"/>
      <c r="F83" s="89"/>
      <c r="G83" s="86"/>
      <c r="H83" s="90"/>
      <c r="I83" s="3"/>
      <c r="J83" s="3"/>
      <c r="K83" s="89" t="s">
        <v>228</v>
      </c>
      <c r="L83" s="36">
        <v>44690.0</v>
      </c>
      <c r="M83" s="91">
        <v>0.3232291666666667</v>
      </c>
      <c r="N83" s="121"/>
      <c r="O83" s="92"/>
      <c r="P83" s="93" t="b">
        <f>IFNA(IF(VLOOKUP($A83,'Add from APT'!$AA$2:$AC264,3,FALSE)&gt;0,TRUE,FALSE),"ER - NOT IN APT")</f>
        <v>0</v>
      </c>
      <c r="Q83" s="94" t="str">
        <f>IF(ISLOGICAL(P83),IF(P83,"ER - REPS IN APT", IFNA(VLOOKUP($A83,RAW_APT!$A$3:$M264,7,FALSE),"ER - NOT IN APT")),P83)</f>
        <v>Result</v>
      </c>
      <c r="R83" s="95" t="b">
        <f t="shared" si="102"/>
        <v>1</v>
      </c>
      <c r="S83" s="96">
        <f t="shared" si="3"/>
        <v>4</v>
      </c>
      <c r="T83" s="97"/>
      <c r="U83" s="3"/>
      <c r="V83" s="3"/>
      <c r="W83" s="98"/>
      <c r="X83" s="99" t="b">
        <f t="shared" si="97"/>
        <v>0</v>
      </c>
      <c r="Y83" s="100"/>
      <c r="Z83" s="101" t="str">
        <f t="shared" si="5"/>
        <v/>
      </c>
      <c r="AA83" s="102" t="b">
        <f t="shared" si="6"/>
        <v>0</v>
      </c>
      <c r="AB83" s="98"/>
      <c r="AC83" s="103">
        <v>149.0</v>
      </c>
      <c r="AD83" s="104"/>
      <c r="AE83" s="105">
        <f t="shared" si="7"/>
        <v>220.6166667</v>
      </c>
      <c r="AF83" s="106" t="b">
        <f t="shared" si="103"/>
        <v>0</v>
      </c>
      <c r="AG83" s="93" t="b">
        <f t="shared" si="9"/>
        <v>0</v>
      </c>
      <c r="AH83" s="103"/>
      <c r="AI83" s="103"/>
      <c r="AJ83" s="97"/>
      <c r="AK83" s="101" t="str">
        <f t="shared" si="10"/>
        <v>Negative</v>
      </c>
      <c r="AL83" s="98"/>
      <c r="AM83" s="94" t="s">
        <v>274</v>
      </c>
      <c r="AN83" s="94" t="s">
        <v>279</v>
      </c>
      <c r="AO83" s="102" t="str">
        <f>IFERROR(__xludf.DUMMYFUNCTION("IF($AG83, ""DELETED"",TRIM(JOIN("" "",D83:E83)))"),"")</f>
        <v/>
      </c>
      <c r="AP83" s="94" t="str">
        <f t="shared" ref="AP83:AQ83" si="117">IF($AG83, "DELETED", TRIM(CONCATENATE(F83,I83,U83)))</f>
        <v/>
      </c>
      <c r="AQ83" s="94" t="str">
        <f t="shared" si="117"/>
        <v/>
      </c>
      <c r="AR83" s="94" t="str">
        <f>IFERROR(__xludf.DUMMYFUNCTION("IF($AG83, ""DELETED"", TRIM(JOIN("" "",AP83,AQ83)))"),"")</f>
        <v/>
      </c>
      <c r="AS83" s="9"/>
      <c r="AT83" s="93" t="b">
        <f t="shared" si="12"/>
        <v>0</v>
      </c>
      <c r="AU83" s="93" t="str">
        <f t="shared" si="13"/>
        <v/>
      </c>
      <c r="AV83" s="93" t="str">
        <f t="shared" si="14"/>
        <v/>
      </c>
      <c r="AW83" s="93" t="str">
        <f t="shared" si="99"/>
        <v/>
      </c>
      <c r="AX83" s="107" t="str">
        <f t="shared" si="16"/>
        <v/>
      </c>
      <c r="AY83" s="98"/>
      <c r="AZ83" s="108"/>
      <c r="BA83" s="109" t="str">
        <f t="shared" si="17"/>
        <v/>
      </c>
      <c r="BB83" s="98"/>
      <c r="BC83" s="98"/>
      <c r="BD83" s="108"/>
      <c r="BE83" s="143"/>
      <c r="BF83" s="111" t="str">
        <f t="shared" si="18"/>
        <v/>
      </c>
      <c r="BG83" s="112" t="str">
        <f t="shared" si="19"/>
        <v>AG469__44690_0.170023148148148___Negative_44690_0.323229166666667_</v>
      </c>
      <c r="BH83" s="113" t="str">
        <f t="shared" si="20"/>
        <v/>
      </c>
      <c r="BI83" s="203"/>
      <c r="BJ83" s="114" t="str">
        <f t="shared" si="21"/>
        <v/>
      </c>
      <c r="BK83" s="115" t="b">
        <f t="shared" si="105"/>
        <v>0</v>
      </c>
      <c r="BL83" s="114" t="str">
        <f t="shared" si="23"/>
        <v/>
      </c>
      <c r="BM83" s="108"/>
      <c r="BN83" s="7" t="b">
        <f t="shared" si="24"/>
        <v>1</v>
      </c>
      <c r="BO83" s="7" t="b">
        <f t="shared" si="25"/>
        <v>0</v>
      </c>
      <c r="BP83" s="7" t="b">
        <f t="shared" si="26"/>
        <v>1</v>
      </c>
      <c r="BQ83" s="118"/>
      <c r="BR83" s="119" t="s">
        <v>228</v>
      </c>
      <c r="BS83" s="7" t="b">
        <f t="shared" si="27"/>
        <v>1</v>
      </c>
      <c r="BT83" s="7"/>
      <c r="BU83" s="7"/>
      <c r="BV83" s="7"/>
      <c r="BW83" s="7"/>
    </row>
    <row r="84">
      <c r="A84" s="86" t="s">
        <v>378</v>
      </c>
      <c r="B84" s="87">
        <v>44690.0</v>
      </c>
      <c r="C84" s="88">
        <v>0.17002314814814815</v>
      </c>
      <c r="D84" s="89"/>
      <c r="E84" s="89"/>
      <c r="F84" s="89"/>
      <c r="G84" s="86"/>
      <c r="H84" s="90"/>
      <c r="I84" s="3"/>
      <c r="J84" s="3"/>
      <c r="K84" s="89" t="s">
        <v>228</v>
      </c>
      <c r="L84" s="36">
        <v>44690.0</v>
      </c>
      <c r="M84" s="91">
        <v>0.3232291666666667</v>
      </c>
      <c r="N84" s="3"/>
      <c r="O84" s="92"/>
      <c r="P84" s="93" t="b">
        <f>IFNA(IF(VLOOKUP($A84,'Add from APT'!$AA$2:$AC264,3,FALSE)&gt;0,TRUE,FALSE),"ER - NOT IN APT")</f>
        <v>0</v>
      </c>
      <c r="Q84" s="94" t="str">
        <f>IF(ISLOGICAL(P84),IF(P84,"ER - REPS IN APT", IFNA(VLOOKUP($A84,RAW_APT!$A$3:$M264,7,FALSE),"ER - NOT IN APT")),P84)</f>
        <v>Result</v>
      </c>
      <c r="R84" s="95" t="b">
        <f t="shared" si="102"/>
        <v>0</v>
      </c>
      <c r="S84" s="96">
        <f t="shared" si="3"/>
        <v>4</v>
      </c>
      <c r="T84" s="97"/>
      <c r="U84" s="3"/>
      <c r="V84" s="3"/>
      <c r="W84" s="98"/>
      <c r="X84" s="99" t="b">
        <f t="shared" si="97"/>
        <v>0</v>
      </c>
      <c r="Y84" s="100"/>
      <c r="Z84" s="101" t="str">
        <f t="shared" si="5"/>
        <v/>
      </c>
      <c r="AA84" s="102" t="b">
        <f t="shared" si="6"/>
        <v>0</v>
      </c>
      <c r="AB84" s="98"/>
      <c r="AC84" s="103">
        <v>151.0</v>
      </c>
      <c r="AD84" s="104"/>
      <c r="AE84" s="105">
        <f t="shared" si="7"/>
        <v>220.6166667</v>
      </c>
      <c r="AF84" s="106" t="b">
        <f t="shared" si="103"/>
        <v>0</v>
      </c>
      <c r="AG84" s="93" t="b">
        <f t="shared" si="9"/>
        <v>0</v>
      </c>
      <c r="AH84" s="103"/>
      <c r="AI84" s="103"/>
      <c r="AJ84" s="97"/>
      <c r="AK84" s="101" t="str">
        <f t="shared" si="10"/>
        <v>Negative</v>
      </c>
      <c r="AL84" s="98"/>
      <c r="AM84" s="94" t="s">
        <v>274</v>
      </c>
      <c r="AN84" s="94" t="s">
        <v>281</v>
      </c>
      <c r="AO84" s="102" t="str">
        <f>IFERROR(__xludf.DUMMYFUNCTION("IF($AG84, ""DELETED"",TRIM(JOIN("" "",D84:E84)))"),"")</f>
        <v/>
      </c>
      <c r="AP84" s="94" t="str">
        <f t="shared" ref="AP84:AQ84" si="118">IF($AG84, "DELETED", TRIM(CONCATENATE(F84,I84,U84)))</f>
        <v/>
      </c>
      <c r="AQ84" s="94" t="str">
        <f t="shared" si="118"/>
        <v/>
      </c>
      <c r="AR84" s="94" t="str">
        <f>IFERROR(__xludf.DUMMYFUNCTION("IF($AG84, ""DELETED"", TRIM(JOIN("" "",AP84,AQ84)))"),"")</f>
        <v/>
      </c>
      <c r="AS84" s="9"/>
      <c r="AT84" s="93" t="b">
        <f t="shared" si="12"/>
        <v>0</v>
      </c>
      <c r="AU84" s="93" t="str">
        <f t="shared" si="13"/>
        <v/>
      </c>
      <c r="AV84" s="93" t="str">
        <f t="shared" si="14"/>
        <v/>
      </c>
      <c r="AW84" s="93" t="str">
        <f t="shared" si="99"/>
        <v/>
      </c>
      <c r="AX84" s="107" t="str">
        <f t="shared" si="16"/>
        <v/>
      </c>
      <c r="AY84" s="98"/>
      <c r="AZ84" s="108"/>
      <c r="BA84" s="109" t="str">
        <f t="shared" si="17"/>
        <v/>
      </c>
      <c r="BB84" s="98"/>
      <c r="BC84" s="98"/>
      <c r="BD84" s="108"/>
      <c r="BE84" s="143"/>
      <c r="BF84" s="111" t="str">
        <f t="shared" si="18"/>
        <v/>
      </c>
      <c r="BG84" s="112" t="str">
        <f t="shared" si="19"/>
        <v>AG469__44690_0.170023148148148___Negative_44690_0.323229166666667_</v>
      </c>
      <c r="BH84" s="113" t="str">
        <f t="shared" si="20"/>
        <v/>
      </c>
      <c r="BI84" s="203"/>
      <c r="BJ84" s="114" t="str">
        <f t="shared" si="21"/>
        <v/>
      </c>
      <c r="BK84" s="115" t="b">
        <f t="shared" si="105"/>
        <v>0</v>
      </c>
      <c r="BL84" s="114" t="str">
        <f t="shared" si="23"/>
        <v/>
      </c>
      <c r="BM84" s="108"/>
      <c r="BN84" s="7" t="b">
        <f t="shared" si="24"/>
        <v>1</v>
      </c>
      <c r="BO84" s="7" t="b">
        <f t="shared" si="25"/>
        <v>0</v>
      </c>
      <c r="BP84" s="7" t="b">
        <f t="shared" si="26"/>
        <v>1</v>
      </c>
      <c r="BQ84" s="118"/>
      <c r="BR84" s="119" t="s">
        <v>228</v>
      </c>
      <c r="BS84" s="7" t="b">
        <f t="shared" si="27"/>
        <v>1</v>
      </c>
      <c r="BT84" s="7"/>
      <c r="BU84" s="7"/>
      <c r="BV84" s="7"/>
      <c r="BW84" s="7"/>
    </row>
    <row r="85">
      <c r="A85" s="86" t="s">
        <v>378</v>
      </c>
      <c r="B85" s="87">
        <v>44690.0</v>
      </c>
      <c r="C85" s="88">
        <v>0.17002314814814815</v>
      </c>
      <c r="D85" s="89"/>
      <c r="E85" s="89"/>
      <c r="F85" s="3"/>
      <c r="G85" s="120"/>
      <c r="H85" s="121"/>
      <c r="I85" s="89"/>
      <c r="J85" s="89"/>
      <c r="K85" s="89" t="s">
        <v>228</v>
      </c>
      <c r="L85" s="36">
        <v>44690.0</v>
      </c>
      <c r="M85" s="91">
        <v>0.3232291666666667</v>
      </c>
      <c r="N85" s="3"/>
      <c r="O85" s="92"/>
      <c r="P85" s="93" t="b">
        <f>IFNA(IF(VLOOKUP($A85,'Add from APT'!$AA$2:$AC264,3,FALSE)&gt;0,TRUE,FALSE),"ER - NOT IN APT")</f>
        <v>0</v>
      </c>
      <c r="Q85" s="94" t="str">
        <f>IF(ISLOGICAL(P85),IF(P85,"ER - REPS IN APT", IFNA(VLOOKUP($A85,RAW_APT!$A$3:$M264,7,FALSE),"ER - NOT IN APT")),P85)</f>
        <v>Result</v>
      </c>
      <c r="R85" s="95" t="b">
        <f t="shared" si="102"/>
        <v>0</v>
      </c>
      <c r="S85" s="96">
        <f t="shared" si="3"/>
        <v>4</v>
      </c>
      <c r="T85" s="97"/>
      <c r="U85" s="3"/>
      <c r="V85" s="3"/>
      <c r="W85" s="98"/>
      <c r="X85" s="99" t="b">
        <f t="shared" si="97"/>
        <v>0</v>
      </c>
      <c r="Y85" s="100"/>
      <c r="Z85" s="101" t="str">
        <f t="shared" si="5"/>
        <v/>
      </c>
      <c r="AA85" s="102" t="b">
        <f t="shared" si="6"/>
        <v>0</v>
      </c>
      <c r="AB85" s="98"/>
      <c r="AC85" s="103">
        <v>148.0</v>
      </c>
      <c r="AD85" s="104"/>
      <c r="AE85" s="105">
        <f t="shared" si="7"/>
        <v>220.6166667</v>
      </c>
      <c r="AF85" s="106" t="b">
        <f t="shared" si="103"/>
        <v>0</v>
      </c>
      <c r="AG85" s="93" t="b">
        <f t="shared" si="9"/>
        <v>0</v>
      </c>
      <c r="AH85" s="103"/>
      <c r="AI85" s="103"/>
      <c r="AJ85" s="97"/>
      <c r="AK85" s="101" t="str">
        <f t="shared" si="10"/>
        <v>Negative</v>
      </c>
      <c r="AL85" s="98"/>
      <c r="AM85" s="94" t="s">
        <v>274</v>
      </c>
      <c r="AN85" s="94" t="s">
        <v>275</v>
      </c>
      <c r="AO85" s="102" t="str">
        <f>IFERROR(__xludf.DUMMYFUNCTION("IF($AG85, ""DELETED"",TRIM(JOIN("" "",D85:E85)))"),"")</f>
        <v/>
      </c>
      <c r="AP85" s="94" t="str">
        <f t="shared" ref="AP85:AQ85" si="119">IF($AG85, "DELETED", TRIM(CONCATENATE(F85,I85,U85)))</f>
        <v/>
      </c>
      <c r="AQ85" s="94" t="str">
        <f t="shared" si="119"/>
        <v/>
      </c>
      <c r="AR85" s="94" t="str">
        <f>IFERROR(__xludf.DUMMYFUNCTION("IF($AG85, ""DELETED"", TRIM(JOIN("" "",AP85,AQ85)))"),"")</f>
        <v/>
      </c>
      <c r="AS85" s="9"/>
      <c r="AT85" s="93" t="b">
        <f t="shared" si="12"/>
        <v>0</v>
      </c>
      <c r="AU85" s="93" t="str">
        <f t="shared" si="13"/>
        <v/>
      </c>
      <c r="AV85" s="93" t="str">
        <f t="shared" si="14"/>
        <v/>
      </c>
      <c r="AW85" s="93" t="str">
        <f t="shared" si="99"/>
        <v/>
      </c>
      <c r="AX85" s="107" t="str">
        <f t="shared" si="16"/>
        <v/>
      </c>
      <c r="AY85" s="98"/>
      <c r="AZ85" s="108"/>
      <c r="BA85" s="109" t="str">
        <f t="shared" si="17"/>
        <v/>
      </c>
      <c r="BB85" s="98"/>
      <c r="BC85" s="98"/>
      <c r="BD85" s="108"/>
      <c r="BE85" s="134"/>
      <c r="BF85" s="111" t="str">
        <f t="shared" si="18"/>
        <v/>
      </c>
      <c r="BG85" s="112" t="str">
        <f t="shared" si="19"/>
        <v>AG469__44690_0.170023148148148___Negative_44690_0.323229166666667_</v>
      </c>
      <c r="BH85" s="113" t="str">
        <f t="shared" si="20"/>
        <v/>
      </c>
      <c r="BI85" s="202"/>
      <c r="BJ85" s="114" t="str">
        <f t="shared" si="21"/>
        <v/>
      </c>
      <c r="BK85" s="115" t="b">
        <f t="shared" si="105"/>
        <v>0</v>
      </c>
      <c r="BL85" s="114" t="str">
        <f t="shared" si="23"/>
        <v/>
      </c>
      <c r="BM85" s="108"/>
      <c r="BN85" s="7" t="b">
        <f t="shared" si="24"/>
        <v>1</v>
      </c>
      <c r="BO85" s="7" t="b">
        <f t="shared" si="25"/>
        <v>0</v>
      </c>
      <c r="BP85" s="7" t="b">
        <f t="shared" si="26"/>
        <v>1</v>
      </c>
      <c r="BQ85" s="118"/>
      <c r="BR85" s="119" t="s">
        <v>228</v>
      </c>
      <c r="BS85" s="7" t="b">
        <f t="shared" si="27"/>
        <v>1</v>
      </c>
      <c r="BT85" s="7"/>
      <c r="BU85" s="7"/>
      <c r="BV85" s="7"/>
      <c r="BW85" s="7"/>
    </row>
    <row r="86">
      <c r="A86" s="86" t="s">
        <v>378</v>
      </c>
      <c r="B86" s="87">
        <v>44690.0</v>
      </c>
      <c r="C86" s="88">
        <v>0.17002314814814815</v>
      </c>
      <c r="D86" s="89"/>
      <c r="E86" s="89"/>
      <c r="F86" s="3"/>
      <c r="G86" s="120"/>
      <c r="H86" s="121"/>
      <c r="I86" s="89"/>
      <c r="J86" s="89"/>
      <c r="K86" s="89" t="s">
        <v>228</v>
      </c>
      <c r="L86" s="36">
        <v>44690.0</v>
      </c>
      <c r="M86" s="91">
        <v>0.3232291666666667</v>
      </c>
      <c r="N86" s="3"/>
      <c r="O86" s="92"/>
      <c r="P86" s="93" t="b">
        <f>IFNA(IF(VLOOKUP($A86,'Add from APT'!$AA$2:$AC264,3,FALSE)&gt;0,TRUE,FALSE),"ER - NOT IN APT")</f>
        <v>0</v>
      </c>
      <c r="Q86" s="94" t="str">
        <f>IF(ISLOGICAL(P86),IF(P86,"ER - REPS IN APT", IFNA(VLOOKUP($A86,RAW_APT!$A$3:$M264,7,FALSE),"ER - NOT IN APT")),P86)</f>
        <v>Result</v>
      </c>
      <c r="R86" s="95" t="b">
        <f t="shared" si="102"/>
        <v>0</v>
      </c>
      <c r="S86" s="96">
        <f t="shared" si="3"/>
        <v>4</v>
      </c>
      <c r="T86" s="97"/>
      <c r="U86" s="3"/>
      <c r="V86" s="3"/>
      <c r="W86" s="98"/>
      <c r="X86" s="99" t="b">
        <f t="shared" si="97"/>
        <v>0</v>
      </c>
      <c r="Y86" s="100"/>
      <c r="Z86" s="101" t="str">
        <f t="shared" si="5"/>
        <v/>
      </c>
      <c r="AA86" s="102" t="b">
        <f t="shared" si="6"/>
        <v>0</v>
      </c>
      <c r="AB86" s="98"/>
      <c r="AC86" s="103">
        <v>150.0</v>
      </c>
      <c r="AD86" s="104"/>
      <c r="AE86" s="105">
        <f t="shared" si="7"/>
        <v>220.6166667</v>
      </c>
      <c r="AF86" s="106" t="b">
        <f t="shared" si="103"/>
        <v>0</v>
      </c>
      <c r="AG86" s="93" t="b">
        <f t="shared" si="9"/>
        <v>0</v>
      </c>
      <c r="AH86" s="103"/>
      <c r="AI86" s="103"/>
      <c r="AJ86" s="97"/>
      <c r="AK86" s="101" t="str">
        <f t="shared" si="10"/>
        <v>Negative</v>
      </c>
      <c r="AL86" s="98"/>
      <c r="AM86" s="94" t="s">
        <v>274</v>
      </c>
      <c r="AN86" s="94" t="s">
        <v>277</v>
      </c>
      <c r="AO86" s="102" t="str">
        <f>IFERROR(__xludf.DUMMYFUNCTION("IF($AG86, ""DELETED"",TRIM(JOIN("" "",D86:E86)))"),"")</f>
        <v/>
      </c>
      <c r="AP86" s="94" t="str">
        <f t="shared" ref="AP86:AQ86" si="120">IF($AG86, "DELETED", TRIM(CONCATENATE(F86,I86,U86)))</f>
        <v/>
      </c>
      <c r="AQ86" s="94" t="str">
        <f t="shared" si="120"/>
        <v/>
      </c>
      <c r="AR86" s="94" t="str">
        <f>IFERROR(__xludf.DUMMYFUNCTION("IF($AG86, ""DELETED"", TRIM(JOIN("" "",AP86,AQ86)))"),"")</f>
        <v/>
      </c>
      <c r="AS86" s="9"/>
      <c r="AT86" s="93" t="b">
        <f t="shared" si="12"/>
        <v>0</v>
      </c>
      <c r="AU86" s="93" t="str">
        <f t="shared" si="13"/>
        <v/>
      </c>
      <c r="AV86" s="93" t="str">
        <f t="shared" si="14"/>
        <v/>
      </c>
      <c r="AW86" s="93" t="str">
        <f t="shared" si="99"/>
        <v/>
      </c>
      <c r="AX86" s="107" t="str">
        <f t="shared" si="16"/>
        <v/>
      </c>
      <c r="AY86" s="98"/>
      <c r="AZ86" s="108"/>
      <c r="BA86" s="109" t="str">
        <f t="shared" si="17"/>
        <v/>
      </c>
      <c r="BB86" s="98"/>
      <c r="BC86" s="98"/>
      <c r="BD86" s="108"/>
      <c r="BE86" s="134"/>
      <c r="BF86" s="111" t="str">
        <f t="shared" si="18"/>
        <v/>
      </c>
      <c r="BG86" s="112" t="str">
        <f t="shared" si="19"/>
        <v>AG469__44690_0.170023148148148___Negative_44690_0.323229166666667_</v>
      </c>
      <c r="BH86" s="113" t="str">
        <f t="shared" si="20"/>
        <v/>
      </c>
      <c r="BI86" s="202"/>
      <c r="BJ86" s="114" t="str">
        <f t="shared" si="21"/>
        <v/>
      </c>
      <c r="BK86" s="115" t="b">
        <f t="shared" si="105"/>
        <v>0</v>
      </c>
      <c r="BL86" s="114" t="str">
        <f t="shared" si="23"/>
        <v/>
      </c>
      <c r="BM86" s="108"/>
      <c r="BN86" s="7" t="b">
        <f t="shared" si="24"/>
        <v>1</v>
      </c>
      <c r="BO86" s="7" t="b">
        <f t="shared" si="25"/>
        <v>0</v>
      </c>
      <c r="BP86" s="7" t="b">
        <f t="shared" si="26"/>
        <v>1</v>
      </c>
      <c r="BQ86" s="118"/>
      <c r="BR86" s="119" t="s">
        <v>228</v>
      </c>
      <c r="BS86" s="7" t="b">
        <f t="shared" si="27"/>
        <v>1</v>
      </c>
      <c r="BT86" s="7"/>
      <c r="BU86" s="7"/>
      <c r="BV86" s="7"/>
      <c r="BW86" s="7"/>
    </row>
    <row r="87">
      <c r="A87" s="86" t="s">
        <v>379</v>
      </c>
      <c r="B87" s="87">
        <v>44690.0</v>
      </c>
      <c r="C87" s="88">
        <v>0.1787037037037037</v>
      </c>
      <c r="D87" s="89"/>
      <c r="E87" s="89"/>
      <c r="F87" s="89"/>
      <c r="G87" s="86"/>
      <c r="H87" s="90"/>
      <c r="I87" s="3"/>
      <c r="J87" s="3"/>
      <c r="K87" s="89" t="s">
        <v>228</v>
      </c>
      <c r="L87" s="36">
        <v>44690.0</v>
      </c>
      <c r="M87" s="91">
        <v>0.3232407407407407</v>
      </c>
      <c r="N87" s="3"/>
      <c r="O87" s="92"/>
      <c r="P87" s="93" t="b">
        <f>IFNA(IF(VLOOKUP($A87,'Add from APT'!$AA$2:$AC264,3,FALSE)&gt;0,TRUE,FALSE),"ER - NOT IN APT")</f>
        <v>0</v>
      </c>
      <c r="Q87" s="94" t="str">
        <f>IF(ISLOGICAL(P87),IF(P87,"ER - REPS IN APT", IFNA(VLOOKUP($A87,RAW_APT!$A$3:$M264,7,FALSE),"ER - NOT IN APT")),P87)</f>
        <v>Result</v>
      </c>
      <c r="R87" s="95" t="b">
        <f t="shared" si="102"/>
        <v>1</v>
      </c>
      <c r="S87" s="96">
        <f t="shared" si="3"/>
        <v>3</v>
      </c>
      <c r="T87" s="97"/>
      <c r="U87" s="3"/>
      <c r="V87" s="3"/>
      <c r="W87" s="98"/>
      <c r="X87" s="99" t="b">
        <f t="shared" si="97"/>
        <v>0</v>
      </c>
      <c r="Y87" s="100"/>
      <c r="Z87" s="101" t="str">
        <f t="shared" si="5"/>
        <v/>
      </c>
      <c r="AA87" s="102" t="b">
        <f t="shared" si="6"/>
        <v>0</v>
      </c>
      <c r="AB87" s="98"/>
      <c r="AC87" s="103">
        <v>153.0</v>
      </c>
      <c r="AD87" s="104"/>
      <c r="AE87" s="105">
        <f t="shared" si="7"/>
        <v>208.1333333</v>
      </c>
      <c r="AF87" s="106" t="b">
        <f t="shared" si="103"/>
        <v>0</v>
      </c>
      <c r="AG87" s="93" t="b">
        <f t="shared" si="9"/>
        <v>0</v>
      </c>
      <c r="AH87" s="103"/>
      <c r="AI87" s="103"/>
      <c r="AJ87" s="97"/>
      <c r="AK87" s="101" t="str">
        <f t="shared" si="10"/>
        <v>Negative</v>
      </c>
      <c r="AL87" s="98"/>
      <c r="AM87" s="94" t="s">
        <v>332</v>
      </c>
      <c r="AN87" s="94" t="s">
        <v>337</v>
      </c>
      <c r="AO87" s="102" t="str">
        <f>IFERROR(__xludf.DUMMYFUNCTION("IF($AG87, ""DELETED"",TRIM(JOIN("" "",D87:E87)))"),"")</f>
        <v/>
      </c>
      <c r="AP87" s="94" t="str">
        <f t="shared" ref="AP87:AQ87" si="121">IF($AG87, "DELETED", TRIM(CONCATENATE(F87,I87,U87)))</f>
        <v/>
      </c>
      <c r="AQ87" s="94" t="str">
        <f t="shared" si="121"/>
        <v/>
      </c>
      <c r="AR87" s="94" t="str">
        <f>IFERROR(__xludf.DUMMYFUNCTION("IF($AG87, ""DELETED"", TRIM(JOIN("" "",AP87,AQ87)))"),"")</f>
        <v/>
      </c>
      <c r="AS87" s="9"/>
      <c r="AT87" s="93" t="b">
        <f t="shared" si="12"/>
        <v>0</v>
      </c>
      <c r="AU87" s="93" t="str">
        <f t="shared" si="13"/>
        <v/>
      </c>
      <c r="AV87" s="93" t="str">
        <f t="shared" si="14"/>
        <v/>
      </c>
      <c r="AW87" s="93" t="str">
        <f t="shared" si="99"/>
        <v/>
      </c>
      <c r="AX87" s="107" t="str">
        <f t="shared" si="16"/>
        <v/>
      </c>
      <c r="AY87" s="98"/>
      <c r="AZ87" s="108"/>
      <c r="BA87" s="109" t="str">
        <f t="shared" si="17"/>
        <v/>
      </c>
      <c r="BB87" s="98"/>
      <c r="BC87" s="98"/>
      <c r="BD87" s="108"/>
      <c r="BE87" s="134"/>
      <c r="BF87" s="111" t="str">
        <f t="shared" si="18"/>
        <v/>
      </c>
      <c r="BG87" s="112" t="str">
        <f t="shared" si="19"/>
        <v>AH7931__44690_0.178703703703704___Negative_44690_0.323240740740741_</v>
      </c>
      <c r="BH87" s="113" t="str">
        <f t="shared" si="20"/>
        <v/>
      </c>
      <c r="BI87" s="202"/>
      <c r="BJ87" s="114" t="str">
        <f t="shared" si="21"/>
        <v/>
      </c>
      <c r="BK87" s="115" t="b">
        <f t="shared" si="105"/>
        <v>0</v>
      </c>
      <c r="BL87" s="114" t="str">
        <f t="shared" si="23"/>
        <v/>
      </c>
      <c r="BM87" s="108"/>
      <c r="BN87" s="7" t="b">
        <f t="shared" si="24"/>
        <v>1</v>
      </c>
      <c r="BO87" s="7" t="b">
        <f t="shared" si="25"/>
        <v>0</v>
      </c>
      <c r="BP87" s="7" t="b">
        <f t="shared" si="26"/>
        <v>1</v>
      </c>
      <c r="BQ87" s="118"/>
      <c r="BR87" s="119" t="s">
        <v>228</v>
      </c>
      <c r="BS87" s="7" t="b">
        <f t="shared" si="27"/>
        <v>1</v>
      </c>
      <c r="BT87" s="7"/>
      <c r="BU87" s="7"/>
      <c r="BV87" s="7"/>
      <c r="BW87" s="7"/>
    </row>
    <row r="88">
      <c r="A88" s="86" t="s">
        <v>379</v>
      </c>
      <c r="B88" s="87">
        <v>44690.0</v>
      </c>
      <c r="C88" s="88">
        <v>0.1787037037037037</v>
      </c>
      <c r="D88" s="89"/>
      <c r="E88" s="89"/>
      <c r="F88" s="89"/>
      <c r="G88" s="86"/>
      <c r="H88" s="89"/>
      <c r="I88" s="3"/>
      <c r="J88" s="3"/>
      <c r="K88" s="89" t="s">
        <v>228</v>
      </c>
      <c r="L88" s="36">
        <v>44690.0</v>
      </c>
      <c r="M88" s="91">
        <v>0.3232407407407407</v>
      </c>
      <c r="N88" s="3"/>
      <c r="O88" s="92"/>
      <c r="P88" s="93" t="b">
        <f>IFNA(IF(VLOOKUP($A88,'Add from APT'!$AA$2:$AC264,3,FALSE)&gt;0,TRUE,FALSE),"ER - NOT IN APT")</f>
        <v>0</v>
      </c>
      <c r="Q88" s="94" t="str">
        <f>IF(ISLOGICAL(P88),IF(P88,"ER - REPS IN APT", IFNA(VLOOKUP($A88,RAW_APT!$A$3:$M264,7,FALSE),"ER - NOT IN APT")),P88)</f>
        <v>Result</v>
      </c>
      <c r="R88" s="95" t="b">
        <f t="shared" si="102"/>
        <v>0</v>
      </c>
      <c r="S88" s="96">
        <f t="shared" si="3"/>
        <v>3</v>
      </c>
      <c r="T88" s="97"/>
      <c r="U88" s="3"/>
      <c r="V88" s="3"/>
      <c r="W88" s="98"/>
      <c r="X88" s="99" t="b">
        <f t="shared" si="97"/>
        <v>0</v>
      </c>
      <c r="Y88" s="100"/>
      <c r="Z88" s="101" t="str">
        <f t="shared" si="5"/>
        <v/>
      </c>
      <c r="AA88" s="102" t="b">
        <f t="shared" si="6"/>
        <v>0</v>
      </c>
      <c r="AB88" s="98"/>
      <c r="AC88" s="103">
        <v>154.0</v>
      </c>
      <c r="AD88" s="104"/>
      <c r="AE88" s="105">
        <f t="shared" si="7"/>
        <v>208.1333333</v>
      </c>
      <c r="AF88" s="106" t="b">
        <f t="shared" si="103"/>
        <v>0</v>
      </c>
      <c r="AG88" s="93" t="b">
        <f t="shared" si="9"/>
        <v>0</v>
      </c>
      <c r="AH88" s="103"/>
      <c r="AI88" s="103"/>
      <c r="AJ88" s="97"/>
      <c r="AK88" s="101" t="str">
        <f t="shared" si="10"/>
        <v>Negative</v>
      </c>
      <c r="AL88" s="98"/>
      <c r="AM88" s="94" t="s">
        <v>332</v>
      </c>
      <c r="AN88" s="94" t="s">
        <v>335</v>
      </c>
      <c r="AO88" s="102" t="str">
        <f>IFERROR(__xludf.DUMMYFUNCTION("IF($AG88, ""DELETED"",TRIM(JOIN("" "",D88:E88)))"),"")</f>
        <v/>
      </c>
      <c r="AP88" s="94" t="str">
        <f t="shared" ref="AP88:AQ88" si="122">IF($AG88, "DELETED", TRIM(CONCATENATE(F88,I88,U88)))</f>
        <v/>
      </c>
      <c r="AQ88" s="94" t="str">
        <f t="shared" si="122"/>
        <v/>
      </c>
      <c r="AR88" s="94" t="str">
        <f>IFERROR(__xludf.DUMMYFUNCTION("IF($AG88, ""DELETED"", TRIM(JOIN("" "",AP88,AQ88)))"),"")</f>
        <v/>
      </c>
      <c r="AS88" s="9"/>
      <c r="AT88" s="93" t="b">
        <f t="shared" si="12"/>
        <v>0</v>
      </c>
      <c r="AU88" s="93" t="str">
        <f t="shared" si="13"/>
        <v/>
      </c>
      <c r="AV88" s="93" t="str">
        <f t="shared" si="14"/>
        <v/>
      </c>
      <c r="AW88" s="93" t="str">
        <f t="shared" si="99"/>
        <v/>
      </c>
      <c r="AX88" s="107" t="str">
        <f t="shared" si="16"/>
        <v/>
      </c>
      <c r="AY88" s="98"/>
      <c r="AZ88" s="108"/>
      <c r="BA88" s="109" t="str">
        <f t="shared" si="17"/>
        <v/>
      </c>
      <c r="BB88" s="98"/>
      <c r="BC88" s="98"/>
      <c r="BD88" s="108"/>
      <c r="BE88" s="134"/>
      <c r="BF88" s="111" t="str">
        <f t="shared" si="18"/>
        <v/>
      </c>
      <c r="BG88" s="112" t="str">
        <f t="shared" si="19"/>
        <v>AH7931__44690_0.178703703703704___Negative_44690_0.323240740740741_</v>
      </c>
      <c r="BH88" s="113" t="str">
        <f t="shared" si="20"/>
        <v/>
      </c>
      <c r="BI88" s="202"/>
      <c r="BJ88" s="114" t="str">
        <f t="shared" si="21"/>
        <v/>
      </c>
      <c r="BK88" s="115" t="b">
        <f t="shared" si="105"/>
        <v>0</v>
      </c>
      <c r="BL88" s="114" t="str">
        <f t="shared" si="23"/>
        <v/>
      </c>
      <c r="BM88" s="108"/>
      <c r="BN88" s="7" t="b">
        <f t="shared" si="24"/>
        <v>1</v>
      </c>
      <c r="BO88" s="7" t="b">
        <f t="shared" si="25"/>
        <v>0</v>
      </c>
      <c r="BP88" s="7" t="b">
        <f t="shared" si="26"/>
        <v>1</v>
      </c>
      <c r="BQ88" s="118"/>
      <c r="BR88" s="119" t="s">
        <v>228</v>
      </c>
      <c r="BS88" s="7" t="b">
        <f t="shared" si="27"/>
        <v>1</v>
      </c>
      <c r="BT88" s="7"/>
      <c r="BU88" s="7"/>
      <c r="BV88" s="7"/>
      <c r="BW88" s="7"/>
    </row>
    <row r="89">
      <c r="A89" s="86" t="s">
        <v>379</v>
      </c>
      <c r="B89" s="87">
        <v>44690.0</v>
      </c>
      <c r="C89" s="88">
        <v>0.1787037037037037</v>
      </c>
      <c r="D89" s="89"/>
      <c r="E89" s="89"/>
      <c r="F89" s="89"/>
      <c r="G89" s="86"/>
      <c r="H89" s="90"/>
      <c r="I89" s="3"/>
      <c r="J89" s="3"/>
      <c r="K89" s="89" t="s">
        <v>228</v>
      </c>
      <c r="L89" s="36">
        <v>44690.0</v>
      </c>
      <c r="M89" s="91">
        <v>0.3232407407407407</v>
      </c>
      <c r="N89" s="3"/>
      <c r="O89" s="92"/>
      <c r="P89" s="93" t="b">
        <f>IFNA(IF(VLOOKUP($A89,'Add from APT'!$AA$2:$AC264,3,FALSE)&gt;0,TRUE,FALSE),"ER - NOT IN APT")</f>
        <v>0</v>
      </c>
      <c r="Q89" s="94" t="str">
        <f>IF(ISLOGICAL(P89),IF(P89,"ER - REPS IN APT", IFNA(VLOOKUP($A89,RAW_APT!$A$3:$M264,7,FALSE),"ER - NOT IN APT")),P89)</f>
        <v>Result</v>
      </c>
      <c r="R89" s="95" t="b">
        <f t="shared" si="102"/>
        <v>0</v>
      </c>
      <c r="S89" s="96">
        <f t="shared" si="3"/>
        <v>3</v>
      </c>
      <c r="T89" s="97"/>
      <c r="U89" s="3"/>
      <c r="V89" s="3"/>
      <c r="W89" s="98"/>
      <c r="X89" s="99" t="b">
        <f t="shared" si="97"/>
        <v>0</v>
      </c>
      <c r="Y89" s="100"/>
      <c r="Z89" s="101" t="str">
        <f t="shared" si="5"/>
        <v/>
      </c>
      <c r="AA89" s="102" t="b">
        <f t="shared" si="6"/>
        <v>0</v>
      </c>
      <c r="AB89" s="98"/>
      <c r="AC89" s="103">
        <v>152.0</v>
      </c>
      <c r="AD89" s="104"/>
      <c r="AE89" s="105">
        <f t="shared" si="7"/>
        <v>208.1333333</v>
      </c>
      <c r="AF89" s="106" t="b">
        <f t="shared" si="103"/>
        <v>0</v>
      </c>
      <c r="AG89" s="93" t="b">
        <f t="shared" si="9"/>
        <v>0</v>
      </c>
      <c r="AH89" s="103"/>
      <c r="AI89" s="103"/>
      <c r="AJ89" s="97"/>
      <c r="AK89" s="101" t="str">
        <f t="shared" si="10"/>
        <v>Negative</v>
      </c>
      <c r="AL89" s="98"/>
      <c r="AM89" s="94" t="s">
        <v>332</v>
      </c>
      <c r="AN89" s="94" t="s">
        <v>339</v>
      </c>
      <c r="AO89" s="102" t="str">
        <f>IFERROR(__xludf.DUMMYFUNCTION("IF($AG89, ""DELETED"",TRIM(JOIN("" "",D89:E89)))"),"")</f>
        <v/>
      </c>
      <c r="AP89" s="94" t="str">
        <f t="shared" ref="AP89:AQ89" si="123">IF($AG89, "DELETED", TRIM(CONCATENATE(F89,I89,U89)))</f>
        <v/>
      </c>
      <c r="AQ89" s="94" t="str">
        <f t="shared" si="123"/>
        <v/>
      </c>
      <c r="AR89" s="94" t="str">
        <f>IFERROR(__xludf.DUMMYFUNCTION("IF($AG89, ""DELETED"", TRIM(JOIN("" "",AP89,AQ89)))"),"")</f>
        <v/>
      </c>
      <c r="AS89" s="9"/>
      <c r="AT89" s="93" t="b">
        <f t="shared" si="12"/>
        <v>0</v>
      </c>
      <c r="AU89" s="93" t="str">
        <f t="shared" si="13"/>
        <v/>
      </c>
      <c r="AV89" s="93" t="str">
        <f t="shared" si="14"/>
        <v/>
      </c>
      <c r="AW89" s="93" t="str">
        <f t="shared" si="99"/>
        <v/>
      </c>
      <c r="AX89" s="107" t="str">
        <f t="shared" si="16"/>
        <v/>
      </c>
      <c r="AY89" s="98"/>
      <c r="AZ89" s="108"/>
      <c r="BA89" s="109" t="str">
        <f t="shared" si="17"/>
        <v/>
      </c>
      <c r="BB89" s="98"/>
      <c r="BC89" s="98"/>
      <c r="BD89" s="108"/>
      <c r="BE89" s="143"/>
      <c r="BF89" s="111" t="str">
        <f t="shared" si="18"/>
        <v/>
      </c>
      <c r="BG89" s="112" t="str">
        <f t="shared" si="19"/>
        <v>AH7931__44690_0.178703703703704___Negative_44690_0.323240740740741_</v>
      </c>
      <c r="BH89" s="113" t="str">
        <f t="shared" si="20"/>
        <v/>
      </c>
      <c r="BI89" s="203"/>
      <c r="BJ89" s="114" t="str">
        <f t="shared" si="21"/>
        <v/>
      </c>
      <c r="BK89" s="115" t="b">
        <f t="shared" si="105"/>
        <v>0</v>
      </c>
      <c r="BL89" s="114" t="str">
        <f t="shared" si="23"/>
        <v/>
      </c>
      <c r="BM89" s="108"/>
      <c r="BN89" s="7" t="b">
        <f t="shared" si="24"/>
        <v>1</v>
      </c>
      <c r="BO89" s="7" t="b">
        <f t="shared" si="25"/>
        <v>0</v>
      </c>
      <c r="BP89" s="7" t="b">
        <f t="shared" si="26"/>
        <v>1</v>
      </c>
      <c r="BQ89" s="118"/>
      <c r="BR89" s="119" t="s">
        <v>228</v>
      </c>
      <c r="BS89" s="7" t="b">
        <f t="shared" si="27"/>
        <v>1</v>
      </c>
      <c r="BT89" s="7"/>
      <c r="BU89" s="7"/>
      <c r="BV89" s="7"/>
      <c r="BW89" s="7"/>
    </row>
    <row r="90">
      <c r="A90" s="86" t="s">
        <v>380</v>
      </c>
      <c r="B90" s="87">
        <v>44690.0</v>
      </c>
      <c r="C90" s="88">
        <v>0.2029050925925926</v>
      </c>
      <c r="D90" s="89"/>
      <c r="E90" s="89"/>
      <c r="F90" s="89"/>
      <c r="G90" s="86"/>
      <c r="H90" s="90"/>
      <c r="I90" s="3"/>
      <c r="J90" s="3"/>
      <c r="K90" s="89" t="s">
        <v>228</v>
      </c>
      <c r="L90" s="36">
        <v>44690.0</v>
      </c>
      <c r="M90" s="91">
        <v>0.3232407407407407</v>
      </c>
      <c r="N90" s="3"/>
      <c r="O90" s="92"/>
      <c r="P90" s="93" t="b">
        <f>IFNA(IF(VLOOKUP($A90,'Add from APT'!$AA$2:$AC264,3,FALSE)&gt;0,TRUE,FALSE),"ER - NOT IN APT")</f>
        <v>0</v>
      </c>
      <c r="Q90" s="94" t="str">
        <f>IF(ISLOGICAL(P90),IF(P90,"ER - REPS IN APT", IFNA(VLOOKUP($A90,RAW_APT!$A$3:$M264,7,FALSE),"ER - NOT IN APT")),P90)</f>
        <v>Result</v>
      </c>
      <c r="R90" s="95" t="b">
        <f t="shared" si="102"/>
        <v>1</v>
      </c>
      <c r="S90" s="96">
        <f t="shared" si="3"/>
        <v>3</v>
      </c>
      <c r="T90" s="130"/>
      <c r="U90" s="3"/>
      <c r="V90" s="3"/>
      <c r="W90" s="3"/>
      <c r="X90" s="99" t="b">
        <f t="shared" si="97"/>
        <v>0</v>
      </c>
      <c r="Y90" s="7"/>
      <c r="Z90" s="101" t="str">
        <f t="shared" si="5"/>
        <v/>
      </c>
      <c r="AA90" s="102" t="b">
        <f t="shared" si="6"/>
        <v>0</v>
      </c>
      <c r="AB90" s="131"/>
      <c r="AC90" s="130">
        <v>155.0</v>
      </c>
      <c r="AD90" s="132"/>
      <c r="AE90" s="105">
        <f t="shared" si="7"/>
        <v>173.2833333</v>
      </c>
      <c r="AF90" s="106" t="b">
        <f t="shared" si="103"/>
        <v>0</v>
      </c>
      <c r="AG90" s="93" t="b">
        <f t="shared" si="9"/>
        <v>0</v>
      </c>
      <c r="AH90" s="130"/>
      <c r="AI90" s="130"/>
      <c r="AJ90" s="7"/>
      <c r="AK90" s="101" t="str">
        <f t="shared" si="10"/>
        <v>Negative</v>
      </c>
      <c r="AL90" s="98"/>
      <c r="AM90" s="94" t="s">
        <v>322</v>
      </c>
      <c r="AN90" s="94" t="s">
        <v>323</v>
      </c>
      <c r="AO90" s="102" t="str">
        <f>IFERROR(__xludf.DUMMYFUNCTION("IF($AG90, ""DELETED"",TRIM(JOIN("" "",D90:E90)))"),"")</f>
        <v/>
      </c>
      <c r="AP90" s="94" t="str">
        <f t="shared" ref="AP90:AQ90" si="124">IF($AG90, "DELETED", TRIM(CONCATENATE(F90,I90,U90)))</f>
        <v/>
      </c>
      <c r="AQ90" s="94" t="str">
        <f t="shared" si="124"/>
        <v/>
      </c>
      <c r="AR90" s="94" t="str">
        <f>IFERROR(__xludf.DUMMYFUNCTION("IF($AG90, ""DELETED"", TRIM(JOIN("" "",AP90,AQ90)))"),"")</f>
        <v/>
      </c>
      <c r="AS90" s="9"/>
      <c r="AT90" s="93" t="b">
        <f t="shared" si="12"/>
        <v>0</v>
      </c>
      <c r="AU90" s="93" t="str">
        <f t="shared" si="13"/>
        <v/>
      </c>
      <c r="AV90" s="93" t="str">
        <f t="shared" si="14"/>
        <v/>
      </c>
      <c r="AW90" s="93" t="str">
        <f t="shared" si="99"/>
        <v/>
      </c>
      <c r="AX90" s="107" t="str">
        <f t="shared" si="16"/>
        <v/>
      </c>
      <c r="AY90" s="3"/>
      <c r="AZ90" s="129"/>
      <c r="BA90" s="109" t="str">
        <f t="shared" si="17"/>
        <v/>
      </c>
      <c r="BB90" s="3"/>
      <c r="BC90" s="3"/>
      <c r="BD90" s="108"/>
      <c r="BE90" s="134"/>
      <c r="BF90" s="111" t="str">
        <f t="shared" si="18"/>
        <v/>
      </c>
      <c r="BG90" s="112" t="str">
        <f t="shared" si="19"/>
        <v>AH1039__44690_0.202905092592593___Negative_44690_0.323240740740741_</v>
      </c>
      <c r="BH90" s="113" t="str">
        <f t="shared" si="20"/>
        <v/>
      </c>
      <c r="BI90" s="202"/>
      <c r="BJ90" s="114" t="str">
        <f t="shared" si="21"/>
        <v/>
      </c>
      <c r="BK90" s="115" t="b">
        <f t="shared" si="105"/>
        <v>0</v>
      </c>
      <c r="BL90" s="114" t="str">
        <f t="shared" si="23"/>
        <v/>
      </c>
      <c r="BM90" s="108"/>
      <c r="BN90" s="7" t="b">
        <f t="shared" si="24"/>
        <v>1</v>
      </c>
      <c r="BO90" s="7" t="b">
        <f t="shared" si="25"/>
        <v>0</v>
      </c>
      <c r="BP90" s="7" t="b">
        <f t="shared" si="26"/>
        <v>1</v>
      </c>
      <c r="BQ90" s="118"/>
      <c r="BR90" s="119" t="s">
        <v>228</v>
      </c>
      <c r="BS90" s="7" t="b">
        <f t="shared" si="27"/>
        <v>1</v>
      </c>
      <c r="BT90" s="7"/>
      <c r="BU90" s="7"/>
      <c r="BV90" s="7"/>
      <c r="BW90" s="7"/>
    </row>
    <row r="91">
      <c r="A91" s="119" t="s">
        <v>380</v>
      </c>
      <c r="B91" s="87">
        <v>44690.0</v>
      </c>
      <c r="C91" s="88">
        <v>0.2029050925925926</v>
      </c>
      <c r="D91" s="89"/>
      <c r="E91" s="89"/>
      <c r="F91" s="89"/>
      <c r="G91" s="86"/>
      <c r="H91" s="90"/>
      <c r="I91" s="3"/>
      <c r="J91" s="3"/>
      <c r="K91" s="89" t="s">
        <v>228</v>
      </c>
      <c r="L91" s="36">
        <v>44690.0</v>
      </c>
      <c r="M91" s="91">
        <v>0.3232407407407407</v>
      </c>
      <c r="N91" s="3"/>
      <c r="O91" s="92"/>
      <c r="P91" s="93" t="b">
        <f>IFNA(IF(VLOOKUP($A91,'Add from APT'!$AA$2:$AC264,3,FALSE)&gt;0,TRUE,FALSE),"ER - NOT IN APT")</f>
        <v>0</v>
      </c>
      <c r="Q91" s="94" t="str">
        <f>IF(ISLOGICAL(P91),IF(P91,"ER - REPS IN APT", IFNA(VLOOKUP($A91,RAW_APT!$A$3:$M264,7,FALSE),"ER - NOT IN APT")),P91)</f>
        <v>Result</v>
      </c>
      <c r="R91" s="95" t="b">
        <f t="shared" si="102"/>
        <v>0</v>
      </c>
      <c r="S91" s="96">
        <f t="shared" si="3"/>
        <v>3</v>
      </c>
      <c r="T91" s="97"/>
      <c r="U91" s="3"/>
      <c r="V91" s="3"/>
      <c r="W91" s="98"/>
      <c r="X91" s="99" t="b">
        <f t="shared" si="97"/>
        <v>0</v>
      </c>
      <c r="Y91" s="100"/>
      <c r="Z91" s="101" t="str">
        <f t="shared" si="5"/>
        <v/>
      </c>
      <c r="AA91" s="102" t="b">
        <f t="shared" si="6"/>
        <v>0</v>
      </c>
      <c r="AB91" s="98"/>
      <c r="AC91" s="103">
        <v>156.0</v>
      </c>
      <c r="AD91" s="104"/>
      <c r="AE91" s="105">
        <f t="shared" si="7"/>
        <v>173.2833333</v>
      </c>
      <c r="AF91" s="106" t="b">
        <f t="shared" si="103"/>
        <v>0</v>
      </c>
      <c r="AG91" s="93" t="b">
        <f t="shared" si="9"/>
        <v>0</v>
      </c>
      <c r="AH91" s="103"/>
      <c r="AI91" s="103"/>
      <c r="AJ91" s="103"/>
      <c r="AK91" s="101" t="str">
        <f t="shared" si="10"/>
        <v>Negative</v>
      </c>
      <c r="AL91" s="104"/>
      <c r="AM91" s="94" t="s">
        <v>322</v>
      </c>
      <c r="AN91" s="94" t="s">
        <v>325</v>
      </c>
      <c r="AO91" s="102" t="str">
        <f>IFERROR(__xludf.DUMMYFUNCTION("IF($AG91, ""DELETED"",TRIM(JOIN("" "",D91:E91)))"),"")</f>
        <v/>
      </c>
      <c r="AP91" s="94" t="str">
        <f t="shared" ref="AP91:AQ91" si="125">IF($AG91, "DELETED", TRIM(CONCATENATE(F91,I91,U91)))</f>
        <v/>
      </c>
      <c r="AQ91" s="94" t="str">
        <f t="shared" si="125"/>
        <v/>
      </c>
      <c r="AR91" s="94" t="str">
        <f>IFERROR(__xludf.DUMMYFUNCTION("IF($AG91, ""DELETED"", TRIM(JOIN("" "",AP91,AQ91)))"),"")</f>
        <v/>
      </c>
      <c r="AS91" s="9"/>
      <c r="AT91" s="93" t="b">
        <f t="shared" si="12"/>
        <v>0</v>
      </c>
      <c r="AU91" s="93" t="str">
        <f t="shared" si="13"/>
        <v/>
      </c>
      <c r="AV91" s="93" t="str">
        <f t="shared" si="14"/>
        <v/>
      </c>
      <c r="AW91" s="93" t="str">
        <f t="shared" si="99"/>
        <v/>
      </c>
      <c r="AX91" s="107" t="str">
        <f t="shared" si="16"/>
        <v/>
      </c>
      <c r="AY91" s="104"/>
      <c r="AZ91" s="138"/>
      <c r="BA91" s="109" t="str">
        <f t="shared" si="17"/>
        <v/>
      </c>
      <c r="BB91" s="104"/>
      <c r="BC91" s="104"/>
      <c r="BD91" s="108"/>
      <c r="BE91" s="143"/>
      <c r="BF91" s="111" t="str">
        <f t="shared" si="18"/>
        <v/>
      </c>
      <c r="BG91" s="112" t="str">
        <f t="shared" si="19"/>
        <v>AH1039__44690_0.202905092592593___Negative_44690_0.323240740740741_</v>
      </c>
      <c r="BH91" s="113" t="str">
        <f t="shared" si="20"/>
        <v/>
      </c>
      <c r="BI91" s="203"/>
      <c r="BJ91" s="114" t="str">
        <f t="shared" si="21"/>
        <v/>
      </c>
      <c r="BK91" s="115" t="b">
        <f t="shared" si="105"/>
        <v>0</v>
      </c>
      <c r="BL91" s="114" t="str">
        <f t="shared" si="23"/>
        <v/>
      </c>
      <c r="BM91" s="108"/>
      <c r="BN91" s="7" t="b">
        <f t="shared" si="24"/>
        <v>1</v>
      </c>
      <c r="BO91" s="7" t="b">
        <f t="shared" si="25"/>
        <v>0</v>
      </c>
      <c r="BP91" s="7" t="b">
        <f t="shared" si="26"/>
        <v>1</v>
      </c>
      <c r="BQ91" s="118"/>
      <c r="BR91" s="119" t="s">
        <v>228</v>
      </c>
      <c r="BS91" s="7" t="b">
        <f t="shared" si="27"/>
        <v>1</v>
      </c>
      <c r="BT91" s="7"/>
      <c r="BU91" s="7"/>
      <c r="BV91" s="7"/>
      <c r="BW91" s="7"/>
    </row>
    <row r="92">
      <c r="A92" s="119" t="s">
        <v>380</v>
      </c>
      <c r="B92" s="87">
        <v>44690.0</v>
      </c>
      <c r="C92" s="88">
        <v>0.2029050925925926</v>
      </c>
      <c r="D92" s="89"/>
      <c r="E92" s="89"/>
      <c r="F92" s="3"/>
      <c r="G92" s="120"/>
      <c r="H92" s="3"/>
      <c r="I92" s="89"/>
      <c r="J92" s="89"/>
      <c r="K92" s="89" t="s">
        <v>228</v>
      </c>
      <c r="L92" s="36">
        <v>44690.0</v>
      </c>
      <c r="M92" s="91">
        <v>0.3232407407407407</v>
      </c>
      <c r="N92" s="3"/>
      <c r="O92" s="92"/>
      <c r="P92" s="93" t="b">
        <f>IFNA(IF(VLOOKUP($A92,'Add from APT'!$AA$2:$AC264,3,FALSE)&gt;0,TRUE,FALSE),"ER - NOT IN APT")</f>
        <v>0</v>
      </c>
      <c r="Q92" s="94" t="str">
        <f>IF(ISLOGICAL(P92),IF(P92,"ER - REPS IN APT", IFNA(VLOOKUP($A92,RAW_APT!$A$3:$M264,7,FALSE),"ER - NOT IN APT")),P92)</f>
        <v>Result</v>
      </c>
      <c r="R92" s="95" t="b">
        <f t="shared" si="102"/>
        <v>0</v>
      </c>
      <c r="S92" s="96">
        <f t="shared" si="3"/>
        <v>3</v>
      </c>
      <c r="T92" s="97"/>
      <c r="U92" s="3"/>
      <c r="V92" s="3"/>
      <c r="W92" s="98"/>
      <c r="X92" s="99" t="b">
        <f t="shared" si="97"/>
        <v>0</v>
      </c>
      <c r="Y92" s="100"/>
      <c r="Z92" s="101" t="str">
        <f t="shared" si="5"/>
        <v/>
      </c>
      <c r="AA92" s="102" t="b">
        <f t="shared" si="6"/>
        <v>0</v>
      </c>
      <c r="AB92" s="98"/>
      <c r="AC92" s="103">
        <v>157.0</v>
      </c>
      <c r="AD92" s="104"/>
      <c r="AE92" s="105">
        <f t="shared" si="7"/>
        <v>173.2833333</v>
      </c>
      <c r="AF92" s="106" t="b">
        <f t="shared" si="103"/>
        <v>0</v>
      </c>
      <c r="AG92" s="93" t="b">
        <f t="shared" si="9"/>
        <v>0</v>
      </c>
      <c r="AH92" s="103"/>
      <c r="AI92" s="103"/>
      <c r="AJ92" s="97"/>
      <c r="AK92" s="101" t="str">
        <f t="shared" si="10"/>
        <v>Negative</v>
      </c>
      <c r="AL92" s="104"/>
      <c r="AM92" s="94" t="s">
        <v>322</v>
      </c>
      <c r="AN92" s="94" t="s">
        <v>329</v>
      </c>
      <c r="AO92" s="102" t="str">
        <f>IFERROR(__xludf.DUMMYFUNCTION("IF($AG92, ""DELETED"",TRIM(JOIN("" "",D92:E92)))"),"")</f>
        <v/>
      </c>
      <c r="AP92" s="94" t="str">
        <f t="shared" ref="AP92:AQ92" si="126">IF($AG92, "DELETED", TRIM(CONCATENATE(F92,I92,U92)))</f>
        <v/>
      </c>
      <c r="AQ92" s="94" t="str">
        <f t="shared" si="126"/>
        <v/>
      </c>
      <c r="AR92" s="94" t="str">
        <f>IFERROR(__xludf.DUMMYFUNCTION("IF($AG92, ""DELETED"", TRIM(JOIN("" "",AP92,AQ92)))"),"")</f>
        <v/>
      </c>
      <c r="AS92" s="9"/>
      <c r="AT92" s="93" t="b">
        <f t="shared" si="12"/>
        <v>0</v>
      </c>
      <c r="AU92" s="93" t="str">
        <f t="shared" si="13"/>
        <v/>
      </c>
      <c r="AV92" s="93" t="str">
        <f t="shared" si="14"/>
        <v/>
      </c>
      <c r="AW92" s="93" t="str">
        <f t="shared" si="99"/>
        <v/>
      </c>
      <c r="AX92" s="107" t="str">
        <f t="shared" si="16"/>
        <v/>
      </c>
      <c r="AY92" s="98"/>
      <c r="AZ92" s="108"/>
      <c r="BA92" s="109" t="str">
        <f t="shared" si="17"/>
        <v/>
      </c>
      <c r="BB92" s="98"/>
      <c r="BC92" s="98"/>
      <c r="BD92" s="108"/>
      <c r="BE92" s="134"/>
      <c r="BF92" s="111" t="str">
        <f t="shared" si="18"/>
        <v/>
      </c>
      <c r="BG92" s="112" t="str">
        <f t="shared" si="19"/>
        <v>AH1039__44690_0.202905092592593___Negative_44690_0.323240740740741_</v>
      </c>
      <c r="BH92" s="113" t="str">
        <f t="shared" si="20"/>
        <v/>
      </c>
      <c r="BI92" s="202"/>
      <c r="BJ92" s="114" t="str">
        <f t="shared" si="21"/>
        <v/>
      </c>
      <c r="BK92" s="115" t="b">
        <f t="shared" si="105"/>
        <v>0</v>
      </c>
      <c r="BL92" s="114" t="str">
        <f t="shared" si="23"/>
        <v/>
      </c>
      <c r="BM92" s="108"/>
      <c r="BN92" s="7" t="b">
        <f t="shared" si="24"/>
        <v>1</v>
      </c>
      <c r="BO92" s="7" t="b">
        <f t="shared" si="25"/>
        <v>0</v>
      </c>
      <c r="BP92" s="7" t="b">
        <f t="shared" si="26"/>
        <v>1</v>
      </c>
      <c r="BQ92" s="118"/>
      <c r="BR92" s="119" t="s">
        <v>228</v>
      </c>
      <c r="BS92" s="7" t="b">
        <f t="shared" si="27"/>
        <v>1</v>
      </c>
      <c r="BT92" s="7"/>
      <c r="BU92" s="7"/>
      <c r="BV92" s="7"/>
      <c r="BW92" s="7"/>
    </row>
    <row r="93">
      <c r="A93" s="13" t="s">
        <v>381</v>
      </c>
      <c r="B93" s="36">
        <v>44690.0</v>
      </c>
      <c r="C93" s="91">
        <v>0.2135300925925926</v>
      </c>
      <c r="D93" s="3"/>
      <c r="E93" s="3"/>
      <c r="F93" s="3"/>
      <c r="G93" s="120"/>
      <c r="H93" s="121"/>
      <c r="I93" s="9"/>
      <c r="J93" s="9"/>
      <c r="K93" s="3" t="s">
        <v>228</v>
      </c>
      <c r="L93" s="36">
        <v>44690.0</v>
      </c>
      <c r="M93" s="91">
        <v>0.3232407407407407</v>
      </c>
      <c r="N93" s="3"/>
      <c r="O93" s="92"/>
      <c r="P93" s="93" t="b">
        <f>IFNA(IF(VLOOKUP($A93,'Add from APT'!$AA$2:$AC264,3,FALSE)&gt;0,TRUE,FALSE),"ER - NOT IN APT")</f>
        <v>0</v>
      </c>
      <c r="Q93" s="94" t="str">
        <f>IF(ISLOGICAL(P93),IF(P93,"ER - REPS IN APT", IFNA(VLOOKUP($A93,RAW_APT!$A$3:$M264,7,FALSE),"ER - NOT IN APT")),P93)</f>
        <v>Result</v>
      </c>
      <c r="R93" s="95" t="b">
        <f t="shared" si="102"/>
        <v>1</v>
      </c>
      <c r="S93" s="96">
        <f t="shared" si="3"/>
        <v>4</v>
      </c>
      <c r="T93" s="103">
        <v>3.0</v>
      </c>
      <c r="U93" s="9"/>
      <c r="V93" s="9"/>
      <c r="W93" s="98"/>
      <c r="X93" s="99" t="b">
        <f t="shared" si="97"/>
        <v>0</v>
      </c>
      <c r="Y93" s="100"/>
      <c r="Z93" s="101" t="str">
        <f t="shared" si="5"/>
        <v/>
      </c>
      <c r="AA93" s="102" t="b">
        <f t="shared" si="6"/>
        <v>0</v>
      </c>
      <c r="AB93" s="98"/>
      <c r="AC93" s="156">
        <v>158.0</v>
      </c>
      <c r="AD93" s="104"/>
      <c r="AE93" s="105">
        <f t="shared" si="7"/>
        <v>157.9833333</v>
      </c>
      <c r="AF93" s="106" t="b">
        <f t="shared" si="103"/>
        <v>0</v>
      </c>
      <c r="AG93" s="93" t="b">
        <f t="shared" si="9"/>
        <v>0</v>
      </c>
      <c r="AH93" s="156"/>
      <c r="AI93" s="103"/>
      <c r="AJ93" s="97"/>
      <c r="AK93" s="101" t="str">
        <f t="shared" si="10"/>
        <v>Negative</v>
      </c>
      <c r="AL93" s="13"/>
      <c r="AM93" s="94" t="s">
        <v>284</v>
      </c>
      <c r="AN93" s="94" t="s">
        <v>290</v>
      </c>
      <c r="AO93" s="102" t="str">
        <f>IFERROR(__xludf.DUMMYFUNCTION("IF($AG93, ""DELETED"",TRIM(JOIN("" "",D93:E93)))"),"")</f>
        <v/>
      </c>
      <c r="AP93" s="94" t="str">
        <f t="shared" ref="AP93:AQ93" si="127">IF($AG93, "DELETED", TRIM(CONCATENATE(F93,I93,U93)))</f>
        <v/>
      </c>
      <c r="AQ93" s="94" t="str">
        <f t="shared" si="127"/>
        <v/>
      </c>
      <c r="AR93" s="94" t="str">
        <f>IFERROR(__xludf.DUMMYFUNCTION("IF($AG93, ""DELETED"", TRIM(JOIN("" "",AP93,AQ93)))"),"")</f>
        <v/>
      </c>
      <c r="AS93" s="9"/>
      <c r="AT93" s="93" t="b">
        <f t="shared" si="12"/>
        <v>0</v>
      </c>
      <c r="AU93" s="93" t="str">
        <f t="shared" si="13"/>
        <v/>
      </c>
      <c r="AV93" s="93" t="str">
        <f t="shared" si="14"/>
        <v/>
      </c>
      <c r="AW93" s="93" t="str">
        <f t="shared" si="99"/>
        <v/>
      </c>
      <c r="AX93" s="107" t="str">
        <f t="shared" si="16"/>
        <v/>
      </c>
      <c r="AY93" s="98"/>
      <c r="AZ93" s="108"/>
      <c r="BA93" s="109" t="str">
        <f t="shared" si="17"/>
        <v/>
      </c>
      <c r="BB93" s="98"/>
      <c r="BC93" s="98"/>
      <c r="BD93" s="108"/>
      <c r="BE93" s="143"/>
      <c r="BF93" s="111" t="str">
        <f t="shared" si="18"/>
        <v/>
      </c>
      <c r="BG93" s="112" t="str">
        <f t="shared" si="19"/>
        <v>AJ8556__44690_0.213530092592593___Negative_44690_0.323240740740741_</v>
      </c>
      <c r="BH93" s="113" t="str">
        <f t="shared" si="20"/>
        <v/>
      </c>
      <c r="BI93" s="203"/>
      <c r="BJ93" s="114" t="str">
        <f t="shared" si="21"/>
        <v/>
      </c>
      <c r="BK93" s="115" t="b">
        <f t="shared" si="105"/>
        <v>0</v>
      </c>
      <c r="BL93" s="114" t="str">
        <f t="shared" si="23"/>
        <v/>
      </c>
      <c r="BM93" s="108"/>
      <c r="BN93" s="7" t="b">
        <f t="shared" si="24"/>
        <v>1</v>
      </c>
      <c r="BO93" s="7" t="b">
        <f t="shared" si="25"/>
        <v>0</v>
      </c>
      <c r="BP93" s="7" t="b">
        <f t="shared" si="26"/>
        <v>1</v>
      </c>
      <c r="BQ93" s="118"/>
      <c r="BR93" s="119" t="s">
        <v>228</v>
      </c>
      <c r="BS93" s="7" t="b">
        <f t="shared" si="27"/>
        <v>1</v>
      </c>
      <c r="BT93" s="7"/>
      <c r="BU93" s="7"/>
      <c r="BV93" s="7"/>
      <c r="BW93" s="7"/>
    </row>
    <row r="94">
      <c r="A94" s="13" t="s">
        <v>381</v>
      </c>
      <c r="B94" s="36">
        <v>44690.0</v>
      </c>
      <c r="C94" s="91">
        <v>0.2135300925925926</v>
      </c>
      <c r="D94" s="3"/>
      <c r="E94" s="3"/>
      <c r="F94" s="3"/>
      <c r="G94" s="120"/>
      <c r="H94" s="121"/>
      <c r="I94" s="9"/>
      <c r="J94" s="9"/>
      <c r="K94" s="3" t="s">
        <v>228</v>
      </c>
      <c r="L94" s="36">
        <v>44690.0</v>
      </c>
      <c r="M94" s="91">
        <v>0.3232407407407407</v>
      </c>
      <c r="N94" s="3"/>
      <c r="O94" s="92"/>
      <c r="P94" s="93" t="b">
        <f>IFNA(IF(VLOOKUP($A94,'Add from APT'!$AA$2:$AC264,3,FALSE)&gt;0,TRUE,FALSE),"ER - NOT IN APT")</f>
        <v>0</v>
      </c>
      <c r="Q94" s="94" t="str">
        <f>IF(ISLOGICAL(P94),IF(P94,"ER - REPS IN APT", IFNA(VLOOKUP($A94,RAW_APT!$A$3:$M264,7,FALSE),"ER - NOT IN APT")),P94)</f>
        <v>Result</v>
      </c>
      <c r="R94" s="95" t="b">
        <f t="shared" si="102"/>
        <v>0</v>
      </c>
      <c r="S94" s="96">
        <f t="shared" si="3"/>
        <v>4</v>
      </c>
      <c r="T94" s="103">
        <v>3.0</v>
      </c>
      <c r="U94" s="9"/>
      <c r="V94" s="9"/>
      <c r="W94" s="98"/>
      <c r="X94" s="99" t="b">
        <f t="shared" si="97"/>
        <v>0</v>
      </c>
      <c r="Y94" s="100"/>
      <c r="Z94" s="101" t="str">
        <f t="shared" si="5"/>
        <v/>
      </c>
      <c r="AA94" s="102" t="b">
        <f t="shared" si="6"/>
        <v>0</v>
      </c>
      <c r="AB94" s="98"/>
      <c r="AC94" s="156">
        <v>158.0</v>
      </c>
      <c r="AD94" s="104"/>
      <c r="AE94" s="105">
        <f t="shared" si="7"/>
        <v>157.9833333</v>
      </c>
      <c r="AF94" s="106" t="b">
        <f t="shared" si="103"/>
        <v>0</v>
      </c>
      <c r="AG94" s="93" t="b">
        <f t="shared" si="9"/>
        <v>0</v>
      </c>
      <c r="AH94" s="156"/>
      <c r="AI94" s="103"/>
      <c r="AJ94" s="97"/>
      <c r="AK94" s="101" t="str">
        <f t="shared" si="10"/>
        <v>Negative</v>
      </c>
      <c r="AL94" s="13"/>
      <c r="AM94" s="94" t="s">
        <v>284</v>
      </c>
      <c r="AN94" s="94" t="s">
        <v>285</v>
      </c>
      <c r="AO94" s="102" t="str">
        <f>IFERROR(__xludf.DUMMYFUNCTION("IF($AG94, ""DELETED"",TRIM(JOIN("" "",D94:E94)))"),"")</f>
        <v/>
      </c>
      <c r="AP94" s="94" t="str">
        <f t="shared" ref="AP94:AQ94" si="128">IF($AG94, "DELETED", TRIM(CONCATENATE(F94,I94,U94)))</f>
        <v/>
      </c>
      <c r="AQ94" s="94" t="str">
        <f t="shared" si="128"/>
        <v/>
      </c>
      <c r="AR94" s="94" t="str">
        <f>IFERROR(__xludf.DUMMYFUNCTION("IF($AG94, ""DELETED"", TRIM(JOIN("" "",AP94,AQ94)))"),"")</f>
        <v/>
      </c>
      <c r="AS94" s="9"/>
      <c r="AT94" s="93" t="b">
        <f t="shared" si="12"/>
        <v>0</v>
      </c>
      <c r="AU94" s="93" t="str">
        <f t="shared" si="13"/>
        <v/>
      </c>
      <c r="AV94" s="93" t="str">
        <f t="shared" si="14"/>
        <v/>
      </c>
      <c r="AW94" s="93" t="str">
        <f t="shared" si="99"/>
        <v/>
      </c>
      <c r="AX94" s="107" t="str">
        <f t="shared" si="16"/>
        <v/>
      </c>
      <c r="AY94" s="98"/>
      <c r="AZ94" s="108"/>
      <c r="BA94" s="109" t="str">
        <f t="shared" si="17"/>
        <v/>
      </c>
      <c r="BB94" s="98"/>
      <c r="BC94" s="98"/>
      <c r="BD94" s="108"/>
      <c r="BE94" s="134"/>
      <c r="BF94" s="111" t="str">
        <f t="shared" si="18"/>
        <v/>
      </c>
      <c r="BG94" s="112" t="str">
        <f t="shared" si="19"/>
        <v>AJ8556__44690_0.213530092592593___Negative_44690_0.323240740740741_</v>
      </c>
      <c r="BH94" s="113" t="str">
        <f t="shared" si="20"/>
        <v/>
      </c>
      <c r="BI94" s="202"/>
      <c r="BJ94" s="114" t="str">
        <f t="shared" si="21"/>
        <v/>
      </c>
      <c r="BK94" s="115" t="b">
        <f t="shared" si="105"/>
        <v>0</v>
      </c>
      <c r="BL94" s="114" t="str">
        <f t="shared" si="23"/>
        <v/>
      </c>
      <c r="BM94" s="108"/>
      <c r="BN94" s="7" t="b">
        <f t="shared" si="24"/>
        <v>1</v>
      </c>
      <c r="BO94" s="7" t="b">
        <f t="shared" si="25"/>
        <v>0</v>
      </c>
      <c r="BP94" s="7" t="b">
        <f t="shared" si="26"/>
        <v>1</v>
      </c>
      <c r="BQ94" s="118"/>
      <c r="BR94" s="119" t="s">
        <v>228</v>
      </c>
      <c r="BS94" s="7" t="b">
        <f t="shared" si="27"/>
        <v>1</v>
      </c>
      <c r="BT94" s="7"/>
      <c r="BU94" s="7"/>
      <c r="BV94" s="7"/>
      <c r="BW94" s="7"/>
    </row>
    <row r="95">
      <c r="A95" s="119" t="s">
        <v>381</v>
      </c>
      <c r="B95" s="87">
        <v>44690.0</v>
      </c>
      <c r="C95" s="88">
        <v>0.2135300925925926</v>
      </c>
      <c r="D95" s="89"/>
      <c r="E95" s="89"/>
      <c r="F95" s="89"/>
      <c r="G95" s="86"/>
      <c r="H95" s="89"/>
      <c r="I95" s="104"/>
      <c r="J95" s="9"/>
      <c r="K95" s="89" t="s">
        <v>228</v>
      </c>
      <c r="L95" s="36">
        <v>44690.0</v>
      </c>
      <c r="M95" s="91">
        <v>0.3232407407407407</v>
      </c>
      <c r="N95" s="3"/>
      <c r="O95" s="142"/>
      <c r="P95" s="93" t="b">
        <f>IFNA(IF(VLOOKUP($A95,'Add from APT'!$AA$2:$AC264,3,FALSE)&gt;0,TRUE,FALSE),"ER - NOT IN APT")</f>
        <v>0</v>
      </c>
      <c r="Q95" s="94" t="str">
        <f>IF(ISLOGICAL(P95),IF(P95,"ER - REPS IN APT", IFNA(VLOOKUP($A95,RAW_APT!$A$3:$M264,7,FALSE),"ER - NOT IN APT")),P95)</f>
        <v>Result</v>
      </c>
      <c r="R95" s="95" t="b">
        <f t="shared" si="102"/>
        <v>0</v>
      </c>
      <c r="S95" s="96">
        <f t="shared" si="3"/>
        <v>4</v>
      </c>
      <c r="T95" s="103">
        <v>3.0</v>
      </c>
      <c r="U95" s="104"/>
      <c r="V95" s="9"/>
      <c r="W95" s="98"/>
      <c r="X95" s="99" t="b">
        <f t="shared" si="97"/>
        <v>0</v>
      </c>
      <c r="Y95" s="100"/>
      <c r="Z95" s="101" t="str">
        <f t="shared" si="5"/>
        <v/>
      </c>
      <c r="AA95" s="102" t="b">
        <f t="shared" si="6"/>
        <v>0</v>
      </c>
      <c r="AB95" s="98"/>
      <c r="AC95" s="103">
        <v>158.0</v>
      </c>
      <c r="AD95" s="104"/>
      <c r="AE95" s="105">
        <f t="shared" si="7"/>
        <v>157.9833333</v>
      </c>
      <c r="AF95" s="106" t="b">
        <f t="shared" si="103"/>
        <v>0</v>
      </c>
      <c r="AG95" s="93" t="b">
        <f t="shared" si="9"/>
        <v>0</v>
      </c>
      <c r="AH95" s="103"/>
      <c r="AI95" s="103"/>
      <c r="AJ95" s="97"/>
      <c r="AK95" s="101" t="str">
        <f t="shared" si="10"/>
        <v>Negative</v>
      </c>
      <c r="AL95" s="104"/>
      <c r="AM95" s="94" t="s">
        <v>284</v>
      </c>
      <c r="AN95" s="94" t="s">
        <v>294</v>
      </c>
      <c r="AO95" s="102" t="str">
        <f>IFERROR(__xludf.DUMMYFUNCTION("IF($AG95, ""DELETED"",TRIM(JOIN("" "",D95:E95)))"),"")</f>
        <v/>
      </c>
      <c r="AP95" s="94" t="str">
        <f t="shared" ref="AP95:AQ95" si="129">IF($AG95, "DELETED", TRIM(CONCATENATE(F95,I95,U95)))</f>
        <v/>
      </c>
      <c r="AQ95" s="94" t="str">
        <f t="shared" si="129"/>
        <v/>
      </c>
      <c r="AR95" s="94" t="str">
        <f>IFERROR(__xludf.DUMMYFUNCTION("IF($AG95, ""DELETED"", TRIM(JOIN("" "",AP95,AQ95)))"),"")</f>
        <v/>
      </c>
      <c r="AS95" s="9"/>
      <c r="AT95" s="93" t="b">
        <f t="shared" si="12"/>
        <v>0</v>
      </c>
      <c r="AU95" s="93" t="str">
        <f t="shared" si="13"/>
        <v/>
      </c>
      <c r="AV95" s="93" t="str">
        <f t="shared" si="14"/>
        <v/>
      </c>
      <c r="AW95" s="93" t="str">
        <f t="shared" si="99"/>
        <v/>
      </c>
      <c r="AX95" s="107" t="str">
        <f t="shared" si="16"/>
        <v/>
      </c>
      <c r="AY95" s="98"/>
      <c r="AZ95" s="108"/>
      <c r="BA95" s="109" t="str">
        <f t="shared" si="17"/>
        <v/>
      </c>
      <c r="BB95" s="98"/>
      <c r="BC95" s="98"/>
      <c r="BD95" s="108"/>
      <c r="BE95" s="157"/>
      <c r="BF95" s="111" t="str">
        <f t="shared" si="18"/>
        <v/>
      </c>
      <c r="BG95" s="112" t="str">
        <f t="shared" si="19"/>
        <v>AJ8556__44690_0.213530092592593___Negative_44690_0.323240740740741_</v>
      </c>
      <c r="BH95" s="113" t="str">
        <f t="shared" si="20"/>
        <v/>
      </c>
      <c r="BI95" s="204"/>
      <c r="BJ95" s="114" t="str">
        <f t="shared" si="21"/>
        <v/>
      </c>
      <c r="BK95" s="115" t="b">
        <f t="shared" si="105"/>
        <v>0</v>
      </c>
      <c r="BL95" s="114" t="str">
        <f t="shared" si="23"/>
        <v/>
      </c>
      <c r="BM95" s="108"/>
      <c r="BN95" s="7" t="b">
        <f t="shared" si="24"/>
        <v>1</v>
      </c>
      <c r="BO95" s="7" t="b">
        <f t="shared" si="25"/>
        <v>0</v>
      </c>
      <c r="BP95" s="7" t="b">
        <f t="shared" si="26"/>
        <v>1</v>
      </c>
      <c r="BQ95" s="118"/>
      <c r="BR95" s="119" t="s">
        <v>228</v>
      </c>
      <c r="BS95" s="7" t="b">
        <f t="shared" si="27"/>
        <v>1</v>
      </c>
      <c r="BT95" s="7"/>
      <c r="BU95" s="7"/>
      <c r="BV95" s="7"/>
      <c r="BW95" s="7"/>
    </row>
    <row r="96">
      <c r="A96" s="119" t="s">
        <v>381</v>
      </c>
      <c r="B96" s="87">
        <v>44690.0</v>
      </c>
      <c r="C96" s="88">
        <v>0.2135300925925926</v>
      </c>
      <c r="D96" s="89"/>
      <c r="E96" s="89"/>
      <c r="F96" s="89"/>
      <c r="G96" s="86"/>
      <c r="H96" s="89"/>
      <c r="I96" s="3"/>
      <c r="J96" s="3"/>
      <c r="K96" s="89" t="s">
        <v>228</v>
      </c>
      <c r="L96" s="36">
        <v>44690.0</v>
      </c>
      <c r="M96" s="91">
        <v>0.3232407407407407</v>
      </c>
      <c r="N96" s="3"/>
      <c r="O96" s="142"/>
      <c r="P96" s="93" t="b">
        <f>IFNA(IF(VLOOKUP($A96,'Add from APT'!$AA$2:$AC264,3,FALSE)&gt;0,TRUE,FALSE),"ER - NOT IN APT")</f>
        <v>0</v>
      </c>
      <c r="Q96" s="94" t="str">
        <f>IF(ISLOGICAL(P96),IF(P96,"ER - REPS IN APT", IFNA(VLOOKUP($A96,RAW_APT!$A$3:$M264,7,FALSE),"ER - NOT IN APT")),P96)</f>
        <v>Result</v>
      </c>
      <c r="R96" s="95" t="b">
        <f t="shared" si="102"/>
        <v>0</v>
      </c>
      <c r="S96" s="96">
        <f t="shared" si="3"/>
        <v>4</v>
      </c>
      <c r="T96" s="103">
        <v>3.0</v>
      </c>
      <c r="U96" s="3"/>
      <c r="V96" s="3"/>
      <c r="W96" s="98"/>
      <c r="X96" s="99" t="b">
        <f t="shared" si="97"/>
        <v>0</v>
      </c>
      <c r="Y96" s="100"/>
      <c r="Z96" s="101" t="str">
        <f t="shared" si="5"/>
        <v/>
      </c>
      <c r="AA96" s="102" t="b">
        <f t="shared" si="6"/>
        <v>0</v>
      </c>
      <c r="AB96" s="98"/>
      <c r="AC96" s="103">
        <v>158.0</v>
      </c>
      <c r="AD96" s="104"/>
      <c r="AE96" s="105">
        <f t="shared" si="7"/>
        <v>157.9833333</v>
      </c>
      <c r="AF96" s="106" t="b">
        <f t="shared" si="103"/>
        <v>0</v>
      </c>
      <c r="AG96" s="93" t="b">
        <f t="shared" si="9"/>
        <v>0</v>
      </c>
      <c r="AH96" s="103"/>
      <c r="AI96" s="103"/>
      <c r="AJ96" s="97"/>
      <c r="AK96" s="101" t="str">
        <f t="shared" si="10"/>
        <v>Negative</v>
      </c>
      <c r="AL96" s="104"/>
      <c r="AM96" s="94" t="s">
        <v>284</v>
      </c>
      <c r="AN96" s="94" t="s">
        <v>287</v>
      </c>
      <c r="AO96" s="102" t="str">
        <f>IFERROR(__xludf.DUMMYFUNCTION("IF($AG96, ""DELETED"",TRIM(JOIN("" "",D96:E96)))"),"")</f>
        <v/>
      </c>
      <c r="AP96" s="94" t="str">
        <f t="shared" ref="AP96:AQ96" si="130">IF($AG96, "DELETED", TRIM(CONCATENATE(F96,I96,U96)))</f>
        <v/>
      </c>
      <c r="AQ96" s="94" t="str">
        <f t="shared" si="130"/>
        <v/>
      </c>
      <c r="AR96" s="94" t="str">
        <f>IFERROR(__xludf.DUMMYFUNCTION("IF($AG96, ""DELETED"", TRIM(JOIN("" "",AP96,AQ96)))"),"")</f>
        <v/>
      </c>
      <c r="AS96" s="9"/>
      <c r="AT96" s="93" t="b">
        <f t="shared" si="12"/>
        <v>0</v>
      </c>
      <c r="AU96" s="93" t="str">
        <f t="shared" si="13"/>
        <v/>
      </c>
      <c r="AV96" s="93" t="str">
        <f t="shared" si="14"/>
        <v/>
      </c>
      <c r="AW96" s="93" t="str">
        <f t="shared" si="99"/>
        <v/>
      </c>
      <c r="AX96" s="107" t="str">
        <f t="shared" si="16"/>
        <v/>
      </c>
      <c r="AY96" s="98"/>
      <c r="AZ96" s="108"/>
      <c r="BA96" s="109" t="str">
        <f t="shared" si="17"/>
        <v/>
      </c>
      <c r="BB96" s="98"/>
      <c r="BC96" s="98"/>
      <c r="BD96" s="108"/>
      <c r="BE96" s="134"/>
      <c r="BF96" s="111" t="str">
        <f t="shared" si="18"/>
        <v/>
      </c>
      <c r="BG96" s="112" t="str">
        <f t="shared" si="19"/>
        <v>AJ8556__44690_0.213530092592593___Negative_44690_0.323240740740741_</v>
      </c>
      <c r="BH96" s="113" t="str">
        <f t="shared" si="20"/>
        <v/>
      </c>
      <c r="BI96" s="202"/>
      <c r="BJ96" s="114" t="str">
        <f t="shared" si="21"/>
        <v/>
      </c>
      <c r="BK96" s="115" t="b">
        <f t="shared" si="105"/>
        <v>0</v>
      </c>
      <c r="BL96" s="114" t="str">
        <f t="shared" si="23"/>
        <v/>
      </c>
      <c r="BM96" s="108"/>
      <c r="BN96" s="7" t="b">
        <f t="shared" si="24"/>
        <v>1</v>
      </c>
      <c r="BO96" s="7" t="b">
        <f t="shared" si="25"/>
        <v>0</v>
      </c>
      <c r="BP96" s="7" t="b">
        <f t="shared" si="26"/>
        <v>1</v>
      </c>
      <c r="BQ96" s="118"/>
      <c r="BR96" s="119" t="s">
        <v>228</v>
      </c>
      <c r="BS96" s="7" t="b">
        <f t="shared" si="27"/>
        <v>1</v>
      </c>
      <c r="BT96" s="7"/>
      <c r="BU96" s="7"/>
      <c r="BV96" s="7"/>
      <c r="BW96" s="7"/>
    </row>
    <row r="97">
      <c r="A97" s="119" t="s">
        <v>382</v>
      </c>
      <c r="B97" s="87">
        <v>44690.0</v>
      </c>
      <c r="C97" s="88">
        <v>0.2437037037037037</v>
      </c>
      <c r="D97" s="89"/>
      <c r="E97" s="89"/>
      <c r="F97" s="89"/>
      <c r="G97" s="86"/>
      <c r="H97" s="90"/>
      <c r="I97" s="3"/>
      <c r="J97" s="3"/>
      <c r="K97" s="89" t="s">
        <v>228</v>
      </c>
      <c r="L97" s="36">
        <v>44690.0</v>
      </c>
      <c r="M97" s="91">
        <v>0.3232523148148148</v>
      </c>
      <c r="N97" s="3"/>
      <c r="O97" s="92"/>
      <c r="P97" s="93" t="b">
        <f>IFNA(IF(VLOOKUP($A97,'Add from APT'!$AA$2:$AC264,3,FALSE)&gt;0,TRUE,FALSE),"ER - NOT IN APT")</f>
        <v>0</v>
      </c>
      <c r="Q97" s="94" t="str">
        <f>IF(ISLOGICAL(P97),IF(P97,"ER - REPS IN APT", IFNA(VLOOKUP($A97,RAW_APT!$A$3:$M264,7,FALSE),"ER - NOT IN APT")),P97)</f>
        <v>Result</v>
      </c>
      <c r="R97" s="95" t="b">
        <f t="shared" si="102"/>
        <v>1</v>
      </c>
      <c r="S97" s="96">
        <f t="shared" si="3"/>
        <v>1</v>
      </c>
      <c r="T97" s="97"/>
      <c r="U97" s="3"/>
      <c r="V97" s="3"/>
      <c r="W97" s="98"/>
      <c r="X97" s="99" t="b">
        <f t="shared" si="97"/>
        <v>0</v>
      </c>
      <c r="Y97" s="100"/>
      <c r="Z97" s="101" t="str">
        <f t="shared" si="5"/>
        <v/>
      </c>
      <c r="AA97" s="102" t="b">
        <f t="shared" si="6"/>
        <v>0</v>
      </c>
      <c r="AB97" s="98"/>
      <c r="AC97" s="103">
        <v>159.0</v>
      </c>
      <c r="AD97" s="104"/>
      <c r="AE97" s="105">
        <f t="shared" si="7"/>
        <v>114.55</v>
      </c>
      <c r="AF97" s="106" t="b">
        <f t="shared" si="103"/>
        <v>0</v>
      </c>
      <c r="AG97" s="93" t="b">
        <f t="shared" si="9"/>
        <v>0</v>
      </c>
      <c r="AH97" s="103"/>
      <c r="AI97" s="103"/>
      <c r="AJ97" s="97"/>
      <c r="AK97" s="101" t="str">
        <f t="shared" si="10"/>
        <v>Negative</v>
      </c>
      <c r="AL97" s="104"/>
      <c r="AM97" s="94" t="s">
        <v>365</v>
      </c>
      <c r="AN97" s="94" t="s">
        <v>383</v>
      </c>
      <c r="AO97" s="102" t="str">
        <f>IFERROR(__xludf.DUMMYFUNCTION("IF($AG97, ""DELETED"",TRIM(JOIN("" "",D97:E97)))"),"")</f>
        <v/>
      </c>
      <c r="AP97" s="94" t="str">
        <f t="shared" ref="AP97:AQ97" si="131">IF($AG97, "DELETED", TRIM(CONCATENATE(F97,I97,U97)))</f>
        <v/>
      </c>
      <c r="AQ97" s="94" t="str">
        <f t="shared" si="131"/>
        <v/>
      </c>
      <c r="AR97" s="94" t="str">
        <f>IFERROR(__xludf.DUMMYFUNCTION("IF($AG97, ""DELETED"", TRIM(JOIN("" "",AP97,AQ97)))"),"")</f>
        <v/>
      </c>
      <c r="AS97" s="9"/>
      <c r="AT97" s="93" t="b">
        <f t="shared" si="12"/>
        <v>0</v>
      </c>
      <c r="AU97" s="93" t="str">
        <f t="shared" si="13"/>
        <v/>
      </c>
      <c r="AV97" s="93" t="str">
        <f t="shared" si="14"/>
        <v/>
      </c>
      <c r="AW97" s="93" t="str">
        <f t="shared" si="99"/>
        <v/>
      </c>
      <c r="AX97" s="107" t="str">
        <f t="shared" si="16"/>
        <v/>
      </c>
      <c r="AY97" s="98"/>
      <c r="AZ97" s="108"/>
      <c r="BA97" s="109" t="str">
        <f t="shared" si="17"/>
        <v/>
      </c>
      <c r="BB97" s="98"/>
      <c r="BC97" s="98"/>
      <c r="BD97" s="108"/>
      <c r="BE97" s="143"/>
      <c r="BF97" s="111" t="str">
        <f t="shared" si="18"/>
        <v/>
      </c>
      <c r="BG97" s="112" t="str">
        <f t="shared" si="19"/>
        <v>AG815__44690_0.243703703703704___Negative_44690_0.323252314814815_</v>
      </c>
      <c r="BH97" s="113" t="str">
        <f t="shared" si="20"/>
        <v/>
      </c>
      <c r="BI97" s="203"/>
      <c r="BJ97" s="114" t="str">
        <f t="shared" si="21"/>
        <v/>
      </c>
      <c r="BK97" s="115" t="b">
        <f t="shared" si="105"/>
        <v>0</v>
      </c>
      <c r="BL97" s="114" t="str">
        <f t="shared" si="23"/>
        <v/>
      </c>
      <c r="BM97" s="108"/>
      <c r="BN97" s="7" t="b">
        <f t="shared" si="24"/>
        <v>1</v>
      </c>
      <c r="BO97" s="7" t="b">
        <f t="shared" si="25"/>
        <v>0</v>
      </c>
      <c r="BP97" s="7" t="b">
        <f t="shared" si="26"/>
        <v>1</v>
      </c>
      <c r="BQ97" s="118"/>
      <c r="BR97" s="119" t="s">
        <v>228</v>
      </c>
      <c r="BS97" s="7" t="b">
        <f t="shared" si="27"/>
        <v>1</v>
      </c>
      <c r="BT97" s="7"/>
      <c r="BU97" s="7"/>
      <c r="BV97" s="7"/>
      <c r="BW97" s="7"/>
    </row>
    <row r="98">
      <c r="A98" s="86" t="s">
        <v>384</v>
      </c>
      <c r="B98" s="87">
        <v>44690.0</v>
      </c>
      <c r="C98" s="88">
        <v>0.2795138888888889</v>
      </c>
      <c r="D98" s="89"/>
      <c r="E98" s="89"/>
      <c r="F98" s="89"/>
      <c r="G98" s="86"/>
      <c r="H98" s="90"/>
      <c r="I98" s="3"/>
      <c r="J98" s="3"/>
      <c r="K98" s="89" t="s">
        <v>228</v>
      </c>
      <c r="L98" s="36">
        <v>44690.0</v>
      </c>
      <c r="M98" s="91">
        <v>0.3232523148148148</v>
      </c>
      <c r="N98" s="3"/>
      <c r="O98" s="142"/>
      <c r="P98" s="93" t="b">
        <f>IFNA(IF(VLOOKUP($A98,'Add from APT'!$AA$2:$AC264,3,FALSE)&gt;0,TRUE,FALSE),"ER - NOT IN APT")</f>
        <v>0</v>
      </c>
      <c r="Q98" s="94" t="str">
        <f>IF(ISLOGICAL(P98),IF(P98,"ER - REPS IN APT", IFNA(VLOOKUP($A98,RAW_APT!$A$3:$M264,7,FALSE),"ER - NOT IN APT")),P98)</f>
        <v>Result</v>
      </c>
      <c r="R98" s="95" t="b">
        <f t="shared" si="102"/>
        <v>1</v>
      </c>
      <c r="S98" s="96">
        <f t="shared" si="3"/>
        <v>1</v>
      </c>
      <c r="T98" s="103"/>
      <c r="U98" s="3"/>
      <c r="V98" s="3"/>
      <c r="W98" s="98"/>
      <c r="X98" s="99" t="b">
        <f t="shared" si="97"/>
        <v>0</v>
      </c>
      <c r="Y98" s="100"/>
      <c r="Z98" s="101" t="str">
        <f t="shared" si="5"/>
        <v/>
      </c>
      <c r="AA98" s="102" t="b">
        <f t="shared" si="6"/>
        <v>0</v>
      </c>
      <c r="AB98" s="98"/>
      <c r="AC98" s="103">
        <v>160.0</v>
      </c>
      <c r="AD98" s="104"/>
      <c r="AE98" s="105">
        <f t="shared" si="7"/>
        <v>62.98333333</v>
      </c>
      <c r="AF98" s="106" t="b">
        <f t="shared" si="103"/>
        <v>0</v>
      </c>
      <c r="AG98" s="93" t="b">
        <f t="shared" si="9"/>
        <v>0</v>
      </c>
      <c r="AH98" s="103"/>
      <c r="AI98" s="103"/>
      <c r="AJ98" s="97"/>
      <c r="AK98" s="101" t="str">
        <f t="shared" si="10"/>
        <v>Negative</v>
      </c>
      <c r="AL98" s="98"/>
      <c r="AM98" s="94" t="s">
        <v>365</v>
      </c>
      <c r="AN98" s="94" t="s">
        <v>352</v>
      </c>
      <c r="AO98" s="102" t="str">
        <f>IFERROR(__xludf.DUMMYFUNCTION("IF($AG98, ""DELETED"",TRIM(JOIN("" "",D98:E98)))"),"")</f>
        <v/>
      </c>
      <c r="AP98" s="94" t="str">
        <f t="shared" ref="AP98:AQ98" si="132">IF($AG98, "DELETED", TRIM(CONCATENATE(F98,I98,U98)))</f>
        <v/>
      </c>
      <c r="AQ98" s="94" t="str">
        <f t="shared" si="132"/>
        <v/>
      </c>
      <c r="AR98" s="94" t="str">
        <f>IFERROR(__xludf.DUMMYFUNCTION("IF($AG98, ""DELETED"", TRIM(JOIN("" "",AP98,AQ98)))"),"")</f>
        <v/>
      </c>
      <c r="AS98" s="9"/>
      <c r="AT98" s="93" t="b">
        <f t="shared" si="12"/>
        <v>0</v>
      </c>
      <c r="AU98" s="93" t="str">
        <f t="shared" si="13"/>
        <v/>
      </c>
      <c r="AV98" s="93" t="str">
        <f t="shared" si="14"/>
        <v/>
      </c>
      <c r="AW98" s="93" t="str">
        <f t="shared" si="99"/>
        <v/>
      </c>
      <c r="AX98" s="107" t="str">
        <f t="shared" si="16"/>
        <v/>
      </c>
      <c r="AY98" s="98"/>
      <c r="AZ98" s="108"/>
      <c r="BA98" s="109" t="str">
        <f t="shared" si="17"/>
        <v/>
      </c>
      <c r="BB98" s="98"/>
      <c r="BC98" s="98"/>
      <c r="BD98" s="108"/>
      <c r="BE98" s="134"/>
      <c r="BF98" s="111" t="str">
        <f t="shared" si="18"/>
        <v/>
      </c>
      <c r="BG98" s="112" t="str">
        <f t="shared" si="19"/>
        <v>AG1523__44690_0.279513888888889___Negative_44690_0.323252314814815_</v>
      </c>
      <c r="BH98" s="113" t="str">
        <f t="shared" si="20"/>
        <v/>
      </c>
      <c r="BI98" s="202"/>
      <c r="BJ98" s="114" t="str">
        <f t="shared" si="21"/>
        <v/>
      </c>
      <c r="BK98" s="115" t="b">
        <f t="shared" si="105"/>
        <v>0</v>
      </c>
      <c r="BL98" s="114" t="str">
        <f t="shared" si="23"/>
        <v/>
      </c>
      <c r="BM98" s="108"/>
      <c r="BN98" s="7" t="b">
        <f t="shared" si="24"/>
        <v>1</v>
      </c>
      <c r="BO98" s="7" t="b">
        <f t="shared" si="25"/>
        <v>0</v>
      </c>
      <c r="BP98" s="7" t="b">
        <f t="shared" si="26"/>
        <v>1</v>
      </c>
      <c r="BQ98" s="118"/>
      <c r="BR98" s="119" t="s">
        <v>228</v>
      </c>
      <c r="BS98" s="7" t="b">
        <f t="shared" si="27"/>
        <v>1</v>
      </c>
      <c r="BT98" s="7"/>
      <c r="BU98" s="7"/>
      <c r="BV98" s="7"/>
      <c r="BW98" s="7"/>
    </row>
    <row r="99">
      <c r="A99" s="86" t="s">
        <v>385</v>
      </c>
      <c r="B99" s="87">
        <v>44690.0</v>
      </c>
      <c r="C99" s="88">
        <v>0.280162037037037</v>
      </c>
      <c r="D99" s="89"/>
      <c r="E99" s="89"/>
      <c r="F99" s="89"/>
      <c r="G99" s="86"/>
      <c r="H99" s="90"/>
      <c r="I99" s="9"/>
      <c r="J99" s="9"/>
      <c r="K99" s="89" t="s">
        <v>228</v>
      </c>
      <c r="L99" s="36">
        <v>44690.0</v>
      </c>
      <c r="M99" s="91">
        <v>0.3232523148148148</v>
      </c>
      <c r="N99" s="121"/>
      <c r="O99" s="142"/>
      <c r="P99" s="93" t="b">
        <f>IFNA(IF(VLOOKUP($A99,'Add from APT'!$AA$2:$AC264,3,FALSE)&gt;0,TRUE,FALSE),"ER - NOT IN APT")</f>
        <v>0</v>
      </c>
      <c r="Q99" s="94" t="str">
        <f>IF(ISLOGICAL(P99),IF(P99,"ER - REPS IN APT", IFNA(VLOOKUP($A99,RAW_APT!$A$3:$M264,7,FALSE),"ER - NOT IN APT")),P99)</f>
        <v>Result</v>
      </c>
      <c r="R99" s="95" t="b">
        <f t="shared" si="102"/>
        <v>1</v>
      </c>
      <c r="S99" s="96">
        <f t="shared" si="3"/>
        <v>2</v>
      </c>
      <c r="T99" s="103">
        <v>1.0</v>
      </c>
      <c r="U99" s="89"/>
      <c r="V99" s="89"/>
      <c r="W99" s="104"/>
      <c r="X99" s="99" t="b">
        <f t="shared" si="97"/>
        <v>0</v>
      </c>
      <c r="Y99" s="100"/>
      <c r="Z99" s="101" t="str">
        <f t="shared" si="5"/>
        <v/>
      </c>
      <c r="AA99" s="102" t="b">
        <f t="shared" si="6"/>
        <v>0</v>
      </c>
      <c r="AB99" s="98"/>
      <c r="AC99" s="103">
        <v>161.0</v>
      </c>
      <c r="AD99" s="104"/>
      <c r="AE99" s="105">
        <f t="shared" si="7"/>
        <v>62.05</v>
      </c>
      <c r="AF99" s="106" t="b">
        <f t="shared" si="103"/>
        <v>0</v>
      </c>
      <c r="AG99" s="93" t="b">
        <f t="shared" si="9"/>
        <v>0</v>
      </c>
      <c r="AH99" s="103"/>
      <c r="AI99" s="103"/>
      <c r="AJ99" s="97"/>
      <c r="AK99" s="101" t="str">
        <f t="shared" si="10"/>
        <v>Negative</v>
      </c>
      <c r="AL99" s="98"/>
      <c r="AM99" s="94" t="s">
        <v>365</v>
      </c>
      <c r="AN99" s="94" t="s">
        <v>386</v>
      </c>
      <c r="AO99" s="102" t="str">
        <f>IFERROR(__xludf.DUMMYFUNCTION("IF($AG99, ""DELETED"",TRIM(JOIN("" "",D99:E99)))"),"")</f>
        <v/>
      </c>
      <c r="AP99" s="94" t="str">
        <f t="shared" ref="AP99:AQ99" si="133">IF($AG99, "DELETED", TRIM(CONCATENATE(F99,I99,U99)))</f>
        <v/>
      </c>
      <c r="AQ99" s="94" t="str">
        <f t="shared" si="133"/>
        <v/>
      </c>
      <c r="AR99" s="94" t="str">
        <f>IFERROR(__xludf.DUMMYFUNCTION("IF($AG99, ""DELETED"", TRIM(JOIN("" "",AP99,AQ99)))"),"")</f>
        <v/>
      </c>
      <c r="AS99" s="9"/>
      <c r="AT99" s="93" t="b">
        <f t="shared" si="12"/>
        <v>0</v>
      </c>
      <c r="AU99" s="93" t="str">
        <f t="shared" si="13"/>
        <v/>
      </c>
      <c r="AV99" s="93" t="str">
        <f t="shared" si="14"/>
        <v/>
      </c>
      <c r="AW99" s="93" t="str">
        <f t="shared" si="99"/>
        <v/>
      </c>
      <c r="AX99" s="107" t="str">
        <f t="shared" si="16"/>
        <v/>
      </c>
      <c r="AY99" s="98"/>
      <c r="AZ99" s="108"/>
      <c r="BA99" s="109" t="str">
        <f t="shared" si="17"/>
        <v/>
      </c>
      <c r="BB99" s="98"/>
      <c r="BC99" s="98"/>
      <c r="BD99" s="108"/>
      <c r="BE99" s="134"/>
      <c r="BF99" s="111" t="str">
        <f t="shared" si="18"/>
        <v/>
      </c>
      <c r="BG99" s="112" t="str">
        <f t="shared" si="19"/>
        <v>AH266__44690_0.280162037037037___Negative_44690_0.323252314814815_</v>
      </c>
      <c r="BH99" s="113" t="str">
        <f t="shared" si="20"/>
        <v/>
      </c>
      <c r="BI99" s="202"/>
      <c r="BJ99" s="114" t="str">
        <f t="shared" si="21"/>
        <v/>
      </c>
      <c r="BK99" s="115" t="b">
        <f t="shared" si="105"/>
        <v>0</v>
      </c>
      <c r="BL99" s="114" t="str">
        <f t="shared" si="23"/>
        <v/>
      </c>
      <c r="BM99" s="108"/>
      <c r="BN99" s="7" t="b">
        <f t="shared" si="24"/>
        <v>1</v>
      </c>
      <c r="BO99" s="7" t="b">
        <f t="shared" si="25"/>
        <v>0</v>
      </c>
      <c r="BP99" s="7" t="b">
        <f t="shared" si="26"/>
        <v>1</v>
      </c>
      <c r="BQ99" s="118"/>
      <c r="BR99" s="119" t="s">
        <v>228</v>
      </c>
      <c r="BS99" s="7" t="b">
        <f t="shared" si="27"/>
        <v>1</v>
      </c>
      <c r="BT99" s="7"/>
      <c r="BU99" s="7"/>
      <c r="BV99" s="7"/>
      <c r="BW99" s="7"/>
    </row>
    <row r="100">
      <c r="A100" s="86" t="s">
        <v>385</v>
      </c>
      <c r="B100" s="87">
        <v>44690.0</v>
      </c>
      <c r="C100" s="88">
        <v>0.280162037037037</v>
      </c>
      <c r="D100" s="89"/>
      <c r="E100" s="89"/>
      <c r="F100" s="89"/>
      <c r="G100" s="86"/>
      <c r="H100" s="90"/>
      <c r="I100" s="3"/>
      <c r="J100" s="3"/>
      <c r="K100" s="89" t="s">
        <v>228</v>
      </c>
      <c r="L100" s="36">
        <v>44690.0</v>
      </c>
      <c r="M100" s="91">
        <v>0.3232523148148148</v>
      </c>
      <c r="N100" s="121"/>
      <c r="O100" s="142"/>
      <c r="P100" s="93" t="b">
        <f>IFNA(IF(VLOOKUP($A100,'Add from APT'!$AA$2:$AC264,3,FALSE)&gt;0,TRUE,FALSE),"ER - NOT IN APT")</f>
        <v>0</v>
      </c>
      <c r="Q100" s="94" t="str">
        <f>IF(ISLOGICAL(P100),IF(P100,"ER - REPS IN APT", IFNA(VLOOKUP($A100,RAW_APT!$A$3:$M264,7,FALSE),"ER - NOT IN APT")),P100)</f>
        <v>Result</v>
      </c>
      <c r="R100" s="95" t="b">
        <f t="shared" si="102"/>
        <v>0</v>
      </c>
      <c r="S100" s="96">
        <f t="shared" si="3"/>
        <v>2</v>
      </c>
      <c r="T100" s="103">
        <v>1.0</v>
      </c>
      <c r="U100" s="3"/>
      <c r="V100" s="3"/>
      <c r="W100" s="98"/>
      <c r="X100" s="99" t="b">
        <f t="shared" si="97"/>
        <v>0</v>
      </c>
      <c r="Y100" s="100"/>
      <c r="Z100" s="101" t="str">
        <f t="shared" si="5"/>
        <v/>
      </c>
      <c r="AA100" s="102" t="b">
        <f t="shared" si="6"/>
        <v>0</v>
      </c>
      <c r="AB100" s="98"/>
      <c r="AC100" s="103">
        <v>161.0</v>
      </c>
      <c r="AD100" s="104"/>
      <c r="AE100" s="105">
        <f t="shared" si="7"/>
        <v>62.05</v>
      </c>
      <c r="AF100" s="106" t="b">
        <f t="shared" si="103"/>
        <v>0</v>
      </c>
      <c r="AG100" s="93" t="b">
        <f t="shared" si="9"/>
        <v>0</v>
      </c>
      <c r="AH100" s="103"/>
      <c r="AI100" s="103"/>
      <c r="AJ100" s="97"/>
      <c r="AK100" s="101" t="str">
        <f t="shared" si="10"/>
        <v>Negative</v>
      </c>
      <c r="AL100" s="98"/>
      <c r="AM100" s="94" t="s">
        <v>365</v>
      </c>
      <c r="AN100" s="94" t="s">
        <v>387</v>
      </c>
      <c r="AO100" s="102" t="str">
        <f>IFERROR(__xludf.DUMMYFUNCTION("IF($AG100, ""DELETED"",TRIM(JOIN("" "",D100:E100)))"),"")</f>
        <v/>
      </c>
      <c r="AP100" s="94" t="str">
        <f t="shared" ref="AP100:AQ100" si="134">IF($AG100, "DELETED", TRIM(CONCATENATE(F100,I100,U100)))</f>
        <v/>
      </c>
      <c r="AQ100" s="94" t="str">
        <f t="shared" si="134"/>
        <v/>
      </c>
      <c r="AR100" s="94" t="str">
        <f>IFERROR(__xludf.DUMMYFUNCTION("IF($AG100, ""DELETED"", TRIM(JOIN("" "",AP100,AQ100)))"),"")</f>
        <v/>
      </c>
      <c r="AS100" s="9"/>
      <c r="AT100" s="93" t="b">
        <f t="shared" si="12"/>
        <v>0</v>
      </c>
      <c r="AU100" s="93" t="str">
        <f t="shared" si="13"/>
        <v/>
      </c>
      <c r="AV100" s="93" t="str">
        <f t="shared" si="14"/>
        <v/>
      </c>
      <c r="AW100" s="93" t="str">
        <f t="shared" si="99"/>
        <v/>
      </c>
      <c r="AX100" s="107" t="str">
        <f t="shared" si="16"/>
        <v/>
      </c>
      <c r="AY100" s="98"/>
      <c r="AZ100" s="108"/>
      <c r="BA100" s="109" t="str">
        <f t="shared" si="17"/>
        <v/>
      </c>
      <c r="BB100" s="98"/>
      <c r="BC100" s="98"/>
      <c r="BD100" s="108"/>
      <c r="BE100" s="143"/>
      <c r="BF100" s="111" t="str">
        <f t="shared" si="18"/>
        <v/>
      </c>
      <c r="BG100" s="112" t="str">
        <f t="shared" si="19"/>
        <v>AH266__44690_0.280162037037037___Negative_44690_0.323252314814815_</v>
      </c>
      <c r="BH100" s="113" t="str">
        <f t="shared" si="20"/>
        <v/>
      </c>
      <c r="BI100" s="203"/>
      <c r="BJ100" s="114" t="str">
        <f t="shared" si="21"/>
        <v/>
      </c>
      <c r="BK100" s="115" t="b">
        <f t="shared" si="105"/>
        <v>0</v>
      </c>
      <c r="BL100" s="114" t="str">
        <f t="shared" si="23"/>
        <v/>
      </c>
      <c r="BM100" s="108"/>
      <c r="BN100" s="7" t="b">
        <f t="shared" si="24"/>
        <v>1</v>
      </c>
      <c r="BO100" s="7" t="b">
        <f t="shared" si="25"/>
        <v>0</v>
      </c>
      <c r="BP100" s="7" t="b">
        <f t="shared" si="26"/>
        <v>1</v>
      </c>
      <c r="BQ100" s="118"/>
      <c r="BR100" s="119" t="s">
        <v>228</v>
      </c>
      <c r="BS100" s="7" t="b">
        <f t="shared" si="27"/>
        <v>1</v>
      </c>
      <c r="BT100" s="7"/>
      <c r="BU100" s="7"/>
      <c r="BV100" s="7"/>
      <c r="BW100" s="7"/>
    </row>
    <row r="101">
      <c r="A101" s="86" t="s">
        <v>388</v>
      </c>
      <c r="B101" s="87">
        <v>44696.0</v>
      </c>
      <c r="C101" s="88">
        <v>0.7482523148148148</v>
      </c>
      <c r="D101" s="89"/>
      <c r="E101" s="89"/>
      <c r="F101" s="89"/>
      <c r="G101" s="86"/>
      <c r="H101" s="89"/>
      <c r="I101" s="3"/>
      <c r="J101" s="3"/>
      <c r="K101" s="89" t="s">
        <v>228</v>
      </c>
      <c r="L101" s="36">
        <v>44697.0</v>
      </c>
      <c r="M101" s="91">
        <v>0.361099537037037</v>
      </c>
      <c r="N101" s="3"/>
      <c r="O101" s="92"/>
      <c r="P101" s="93" t="b">
        <f>IFNA(IF(VLOOKUP($A101,'Add from APT'!$AA$2:$AC264,3,FALSE)&gt;0,TRUE,FALSE),"ER - NOT IN APT")</f>
        <v>0</v>
      </c>
      <c r="Q101" s="94" t="str">
        <f>IF(ISLOGICAL(P101),IF(P101,"ER - REPS IN APT", IFNA(VLOOKUP($A101,RAW_APT!$A$3:$M264,7,FALSE),"ER - NOT IN APT")),P101)</f>
        <v>Result</v>
      </c>
      <c r="R101" s="95" t="b">
        <f t="shared" si="102"/>
        <v>1</v>
      </c>
      <c r="S101" s="96">
        <f t="shared" si="3"/>
        <v>2</v>
      </c>
      <c r="T101" s="97"/>
      <c r="U101" s="3"/>
      <c r="V101" s="3"/>
      <c r="W101" s="98"/>
      <c r="X101" s="99" t="b">
        <f t="shared" si="97"/>
        <v>0</v>
      </c>
      <c r="Y101" s="100"/>
      <c r="Z101" s="101" t="str">
        <f t="shared" si="5"/>
        <v/>
      </c>
      <c r="AA101" s="102" t="b">
        <f t="shared" si="6"/>
        <v>0</v>
      </c>
      <c r="AB101" s="98"/>
      <c r="AC101" s="103">
        <v>146.0</v>
      </c>
      <c r="AD101" s="104"/>
      <c r="AE101" s="105" t="str">
        <f t="shared" si="7"/>
        <v/>
      </c>
      <c r="AF101" s="106" t="b">
        <f t="shared" si="103"/>
        <v>0</v>
      </c>
      <c r="AG101" s="93" t="b">
        <f t="shared" si="9"/>
        <v>0</v>
      </c>
      <c r="AH101" s="103"/>
      <c r="AI101" s="103"/>
      <c r="AJ101" s="97"/>
      <c r="AK101" s="101" t="str">
        <f t="shared" si="10"/>
        <v>Negative</v>
      </c>
      <c r="AL101" s="98"/>
      <c r="AM101" s="94" t="s">
        <v>389</v>
      </c>
      <c r="AN101" s="94" t="s">
        <v>375</v>
      </c>
      <c r="AO101" s="102" t="str">
        <f>IFERROR(__xludf.DUMMYFUNCTION("IF($AG101, ""DELETED"",TRIM(JOIN("" "",D101:E101)))"),"")</f>
        <v/>
      </c>
      <c r="AP101" s="94" t="str">
        <f t="shared" ref="AP101:AQ101" si="135">IF($AG101, "DELETED", TRIM(CONCATENATE(F101,I101,U101)))</f>
        <v/>
      </c>
      <c r="AQ101" s="94" t="str">
        <f t="shared" si="135"/>
        <v/>
      </c>
      <c r="AR101" s="94" t="str">
        <f>IFERROR(__xludf.DUMMYFUNCTION("IF($AG101, ""DELETED"", TRIM(JOIN("" "",AP101,AQ101)))"),"")</f>
        <v/>
      </c>
      <c r="AS101" s="9"/>
      <c r="AT101" s="93" t="b">
        <f t="shared" si="12"/>
        <v>0</v>
      </c>
      <c r="AU101" s="93" t="str">
        <f t="shared" si="13"/>
        <v/>
      </c>
      <c r="AV101" s="93" t="str">
        <f t="shared" si="14"/>
        <v/>
      </c>
      <c r="AW101" s="93" t="str">
        <f t="shared" si="99"/>
        <v/>
      </c>
      <c r="AX101" s="107" t="str">
        <f t="shared" si="16"/>
        <v/>
      </c>
      <c r="AY101" s="98"/>
      <c r="AZ101" s="108"/>
      <c r="BA101" s="109" t="str">
        <f t="shared" si="17"/>
        <v/>
      </c>
      <c r="BB101" s="98"/>
      <c r="BC101" s="98"/>
      <c r="BD101" s="108"/>
      <c r="BE101" s="134"/>
      <c r="BF101" s="111" t="str">
        <f t="shared" si="18"/>
        <v/>
      </c>
      <c r="BG101" s="112" t="str">
        <f t="shared" si="19"/>
        <v>AJ8574__44696_0.748252314814815___Negative_44697_0.361099537037037_</v>
      </c>
      <c r="BH101" s="113" t="str">
        <f t="shared" si="20"/>
        <v/>
      </c>
      <c r="BI101" s="202"/>
      <c r="BJ101" s="114" t="str">
        <f t="shared" si="21"/>
        <v/>
      </c>
      <c r="BK101" s="115" t="b">
        <f t="shared" si="105"/>
        <v>0</v>
      </c>
      <c r="BL101" s="114" t="str">
        <f t="shared" si="23"/>
        <v/>
      </c>
      <c r="BM101" s="108"/>
      <c r="BN101" s="7" t="b">
        <f t="shared" si="24"/>
        <v>1</v>
      </c>
      <c r="BO101" s="7" t="b">
        <f t="shared" si="25"/>
        <v>0</v>
      </c>
      <c r="BP101" s="7" t="b">
        <f t="shared" si="26"/>
        <v>1</v>
      </c>
      <c r="BQ101" s="118"/>
      <c r="BR101" s="119" t="s">
        <v>228</v>
      </c>
      <c r="BS101" s="7" t="b">
        <f t="shared" si="27"/>
        <v>1</v>
      </c>
      <c r="BT101" s="7"/>
      <c r="BU101" s="7"/>
      <c r="BV101" s="7"/>
      <c r="BW101" s="7"/>
    </row>
    <row r="102">
      <c r="A102" s="86" t="s">
        <v>388</v>
      </c>
      <c r="B102" s="87">
        <v>44696.0</v>
      </c>
      <c r="C102" s="88">
        <v>0.7482523148148148</v>
      </c>
      <c r="D102" s="89"/>
      <c r="E102" s="89"/>
      <c r="F102" s="89"/>
      <c r="G102" s="86"/>
      <c r="H102" s="90"/>
      <c r="I102" s="3"/>
      <c r="J102" s="3"/>
      <c r="K102" s="89" t="s">
        <v>228</v>
      </c>
      <c r="L102" s="36">
        <v>44697.0</v>
      </c>
      <c r="M102" s="91">
        <v>0.361099537037037</v>
      </c>
      <c r="N102" s="3"/>
      <c r="O102" s="92"/>
      <c r="P102" s="93" t="b">
        <f>IFNA(IF(VLOOKUP($A102,'Add from APT'!$AA$2:$AC264,3,FALSE)&gt;0,TRUE,FALSE),"ER - NOT IN APT")</f>
        <v>0</v>
      </c>
      <c r="Q102" s="94" t="str">
        <f>IF(ISLOGICAL(P102),IF(P102,"ER - REPS IN APT", IFNA(VLOOKUP($A102,RAW_APT!$A$3:$M264,7,FALSE),"ER - NOT IN APT")),P102)</f>
        <v>Result</v>
      </c>
      <c r="R102" s="95" t="b">
        <f t="shared" si="102"/>
        <v>0</v>
      </c>
      <c r="S102" s="96">
        <f t="shared" si="3"/>
        <v>2</v>
      </c>
      <c r="T102" s="97"/>
      <c r="U102" s="3"/>
      <c r="V102" s="3"/>
      <c r="W102" s="98"/>
      <c r="X102" s="99" t="b">
        <f t="shared" si="97"/>
        <v>0</v>
      </c>
      <c r="Y102" s="100"/>
      <c r="Z102" s="101" t="str">
        <f t="shared" si="5"/>
        <v/>
      </c>
      <c r="AA102" s="102" t="b">
        <f t="shared" si="6"/>
        <v>0</v>
      </c>
      <c r="AB102" s="98"/>
      <c r="AC102" s="103">
        <v>147.0</v>
      </c>
      <c r="AD102" s="104"/>
      <c r="AE102" s="105" t="str">
        <f t="shared" si="7"/>
        <v/>
      </c>
      <c r="AF102" s="106" t="b">
        <f t="shared" si="103"/>
        <v>0</v>
      </c>
      <c r="AG102" s="93" t="b">
        <f t="shared" si="9"/>
        <v>0</v>
      </c>
      <c r="AH102" s="103"/>
      <c r="AI102" s="103"/>
      <c r="AJ102" s="97"/>
      <c r="AK102" s="101" t="str">
        <f t="shared" si="10"/>
        <v>Negative</v>
      </c>
      <c r="AL102" s="98"/>
      <c r="AM102" s="94" t="s">
        <v>389</v>
      </c>
      <c r="AN102" s="94" t="s">
        <v>377</v>
      </c>
      <c r="AO102" s="102" t="str">
        <f>IFERROR(__xludf.DUMMYFUNCTION("IF($AG102, ""DELETED"",TRIM(JOIN("" "",D102:E102)))"),"")</f>
        <v/>
      </c>
      <c r="AP102" s="94" t="str">
        <f t="shared" ref="AP102:AQ102" si="136">IF($AG102, "DELETED", TRIM(CONCATENATE(F102,I102,U102)))</f>
        <v/>
      </c>
      <c r="AQ102" s="94" t="str">
        <f t="shared" si="136"/>
        <v/>
      </c>
      <c r="AR102" s="94" t="str">
        <f>IFERROR(__xludf.DUMMYFUNCTION("IF($AG102, ""DELETED"", TRIM(JOIN("" "",AP102,AQ102)))"),"")</f>
        <v/>
      </c>
      <c r="AS102" s="9"/>
      <c r="AT102" s="93" t="b">
        <f t="shared" si="12"/>
        <v>0</v>
      </c>
      <c r="AU102" s="93" t="str">
        <f t="shared" si="13"/>
        <v/>
      </c>
      <c r="AV102" s="93" t="str">
        <f t="shared" si="14"/>
        <v/>
      </c>
      <c r="AW102" s="93" t="str">
        <f t="shared" si="99"/>
        <v/>
      </c>
      <c r="AX102" s="107" t="str">
        <f t="shared" si="16"/>
        <v/>
      </c>
      <c r="AY102" s="98"/>
      <c r="AZ102" s="108"/>
      <c r="BA102" s="109" t="str">
        <f t="shared" si="17"/>
        <v/>
      </c>
      <c r="BB102" s="98"/>
      <c r="BC102" s="98"/>
      <c r="BD102" s="108"/>
      <c r="BE102" s="134"/>
      <c r="BF102" s="111" t="str">
        <f t="shared" si="18"/>
        <v/>
      </c>
      <c r="BG102" s="112" t="str">
        <f t="shared" si="19"/>
        <v>AJ8574__44696_0.748252314814815___Negative_44697_0.361099537037037_</v>
      </c>
      <c r="BH102" s="113" t="str">
        <f t="shared" si="20"/>
        <v/>
      </c>
      <c r="BI102" s="202"/>
      <c r="BJ102" s="114" t="str">
        <f t="shared" si="21"/>
        <v/>
      </c>
      <c r="BK102" s="115" t="b">
        <f t="shared" si="105"/>
        <v>0</v>
      </c>
      <c r="BL102" s="114" t="str">
        <f t="shared" si="23"/>
        <v/>
      </c>
      <c r="BM102" s="108"/>
      <c r="BN102" s="7" t="b">
        <f t="shared" si="24"/>
        <v>1</v>
      </c>
      <c r="BO102" s="7" t="b">
        <f t="shared" si="25"/>
        <v>0</v>
      </c>
      <c r="BP102" s="7" t="b">
        <f t="shared" si="26"/>
        <v>1</v>
      </c>
      <c r="BQ102" s="118"/>
      <c r="BR102" s="119" t="s">
        <v>228</v>
      </c>
      <c r="BS102" s="7" t="b">
        <f t="shared" si="27"/>
        <v>1</v>
      </c>
      <c r="BT102" s="7"/>
      <c r="BU102" s="7"/>
      <c r="BV102" s="7"/>
      <c r="BW102" s="7"/>
    </row>
    <row r="103">
      <c r="A103" s="86" t="s">
        <v>390</v>
      </c>
      <c r="B103" s="87">
        <v>44697.0</v>
      </c>
      <c r="C103" s="88">
        <v>0.15361111111111111</v>
      </c>
      <c r="D103" s="89"/>
      <c r="E103" s="89"/>
      <c r="F103" s="89"/>
      <c r="G103" s="86"/>
      <c r="H103" s="89"/>
      <c r="I103" s="3"/>
      <c r="J103" s="3"/>
      <c r="K103" s="89" t="s">
        <v>228</v>
      </c>
      <c r="L103" s="36">
        <v>44697.0</v>
      </c>
      <c r="M103" s="91">
        <v>0.361099537037037</v>
      </c>
      <c r="N103" s="3"/>
      <c r="O103" s="92"/>
      <c r="P103" s="93" t="b">
        <f>IFNA(IF(VLOOKUP($A103,'Add from APT'!$AA$2:$AC264,3,FALSE)&gt;0,TRUE,FALSE),"ER - NOT IN APT")</f>
        <v>0</v>
      </c>
      <c r="Q103" s="94" t="str">
        <f>IF(ISLOGICAL(P103),IF(P103,"ER - REPS IN APT", IFNA(VLOOKUP($A103,RAW_APT!$A$3:$M264,7,FALSE),"ER - NOT IN APT")),P103)</f>
        <v>Result</v>
      </c>
      <c r="R103" s="95" t="b">
        <f t="shared" si="102"/>
        <v>1</v>
      </c>
      <c r="S103" s="96">
        <f t="shared" si="3"/>
        <v>2</v>
      </c>
      <c r="T103" s="130"/>
      <c r="U103" s="3"/>
      <c r="V103" s="3"/>
      <c r="W103" s="9"/>
      <c r="X103" s="99" t="b">
        <f t="shared" si="97"/>
        <v>0</v>
      </c>
      <c r="Y103" s="7"/>
      <c r="Z103" s="101" t="str">
        <f t="shared" si="5"/>
        <v/>
      </c>
      <c r="AA103" s="102" t="b">
        <f t="shared" si="6"/>
        <v>0</v>
      </c>
      <c r="AB103" s="131"/>
      <c r="AC103" s="130">
        <v>125.0</v>
      </c>
      <c r="AD103" s="132"/>
      <c r="AE103" s="105">
        <f t="shared" si="7"/>
        <v>298.7833333</v>
      </c>
      <c r="AF103" s="106" t="b">
        <f t="shared" si="103"/>
        <v>0</v>
      </c>
      <c r="AG103" s="93" t="b">
        <f t="shared" si="9"/>
        <v>0</v>
      </c>
      <c r="AH103" s="103"/>
      <c r="AI103" s="13"/>
      <c r="AJ103" s="7"/>
      <c r="AK103" s="101" t="str">
        <f t="shared" si="10"/>
        <v>Negative</v>
      </c>
      <c r="AL103" s="98"/>
      <c r="AM103" s="94" t="s">
        <v>300</v>
      </c>
      <c r="AN103" s="94" t="s">
        <v>303</v>
      </c>
      <c r="AO103" s="102" t="str">
        <f>IFERROR(__xludf.DUMMYFUNCTION("IF($AG103, ""DELETED"",TRIM(JOIN("" "",D103:E103)))"),"")</f>
        <v/>
      </c>
      <c r="AP103" s="94" t="str">
        <f t="shared" ref="AP103:AQ103" si="137">IF($AG103, "DELETED", TRIM(CONCATENATE(F103,I103,U103)))</f>
        <v/>
      </c>
      <c r="AQ103" s="94" t="str">
        <f t="shared" si="137"/>
        <v/>
      </c>
      <c r="AR103" s="94" t="str">
        <f>IFERROR(__xludf.DUMMYFUNCTION("IF($AG103, ""DELETED"", TRIM(JOIN("" "",AP103,AQ103)))"),"")</f>
        <v/>
      </c>
      <c r="AS103" s="9"/>
      <c r="AT103" s="93" t="b">
        <f t="shared" si="12"/>
        <v>0</v>
      </c>
      <c r="AU103" s="93" t="str">
        <f t="shared" si="13"/>
        <v/>
      </c>
      <c r="AV103" s="93" t="str">
        <f t="shared" si="14"/>
        <v/>
      </c>
      <c r="AW103" s="93" t="str">
        <f t="shared" si="99"/>
        <v/>
      </c>
      <c r="AX103" s="107" t="str">
        <f t="shared" si="16"/>
        <v/>
      </c>
      <c r="AY103" s="3"/>
      <c r="AZ103" s="129"/>
      <c r="BA103" s="109" t="str">
        <f t="shared" si="17"/>
        <v/>
      </c>
      <c r="BB103" s="3"/>
      <c r="BC103" s="3"/>
      <c r="BD103" s="108"/>
      <c r="BE103" s="134"/>
      <c r="BF103" s="111" t="str">
        <f t="shared" si="18"/>
        <v/>
      </c>
      <c r="BG103" s="112" t="str">
        <f t="shared" si="19"/>
        <v>AH7225__44697_0.153611111111111___Negative_44697_0.361099537037037_</v>
      </c>
      <c r="BH103" s="113" t="str">
        <f t="shared" si="20"/>
        <v/>
      </c>
      <c r="BI103" s="202"/>
      <c r="BJ103" s="114" t="str">
        <f t="shared" si="21"/>
        <v/>
      </c>
      <c r="BK103" s="115" t="b">
        <f t="shared" si="105"/>
        <v>0</v>
      </c>
      <c r="BL103" s="114" t="str">
        <f t="shared" si="23"/>
        <v/>
      </c>
      <c r="BM103" s="108"/>
      <c r="BN103" s="7" t="b">
        <f t="shared" si="24"/>
        <v>1</v>
      </c>
      <c r="BO103" s="7" t="b">
        <f t="shared" si="25"/>
        <v>0</v>
      </c>
      <c r="BP103" s="7" t="b">
        <f t="shared" si="26"/>
        <v>1</v>
      </c>
      <c r="BQ103" s="118"/>
      <c r="BR103" s="119" t="s">
        <v>228</v>
      </c>
      <c r="BS103" s="7" t="b">
        <f t="shared" si="27"/>
        <v>1</v>
      </c>
      <c r="BT103" s="7"/>
      <c r="BU103" s="7"/>
      <c r="BV103" s="7"/>
      <c r="BW103" s="7"/>
    </row>
    <row r="104">
      <c r="A104" s="86" t="s">
        <v>390</v>
      </c>
      <c r="B104" s="87">
        <v>44697.0</v>
      </c>
      <c r="C104" s="88">
        <v>0.15361111111111111</v>
      </c>
      <c r="D104" s="89"/>
      <c r="E104" s="89"/>
      <c r="F104" s="3"/>
      <c r="G104" s="120"/>
      <c r="H104" s="3"/>
      <c r="I104" s="89"/>
      <c r="J104" s="89"/>
      <c r="K104" s="89" t="s">
        <v>228</v>
      </c>
      <c r="L104" s="36">
        <v>44697.0</v>
      </c>
      <c r="M104" s="91">
        <v>0.361099537037037</v>
      </c>
      <c r="N104" s="3"/>
      <c r="O104" s="92"/>
      <c r="P104" s="93" t="b">
        <f>IFNA(IF(VLOOKUP($A104,'Add from APT'!$AA$2:$AC264,3,FALSE)&gt;0,TRUE,FALSE),"ER - NOT IN APT")</f>
        <v>0</v>
      </c>
      <c r="Q104" s="94" t="str">
        <f>IF(ISLOGICAL(P104),IF(P104,"ER - REPS IN APT", IFNA(VLOOKUP($A104,RAW_APT!$A$3:$M264,7,FALSE),"ER - NOT IN APT")),P104)</f>
        <v>Result</v>
      </c>
      <c r="R104" s="95" t="b">
        <f t="shared" si="102"/>
        <v>0</v>
      </c>
      <c r="S104" s="96">
        <f t="shared" si="3"/>
        <v>2</v>
      </c>
      <c r="T104" s="130"/>
      <c r="U104" s="3"/>
      <c r="V104" s="3"/>
      <c r="W104" s="9"/>
      <c r="X104" s="99" t="b">
        <f t="shared" si="97"/>
        <v>0</v>
      </c>
      <c r="Y104" s="7"/>
      <c r="Z104" s="101" t="str">
        <f t="shared" si="5"/>
        <v/>
      </c>
      <c r="AA104" s="102" t="b">
        <f t="shared" si="6"/>
        <v>0</v>
      </c>
      <c r="AB104" s="131"/>
      <c r="AC104" s="130">
        <v>126.0</v>
      </c>
      <c r="AD104" s="132"/>
      <c r="AE104" s="105">
        <f t="shared" si="7"/>
        <v>298.7833333</v>
      </c>
      <c r="AF104" s="106" t="b">
        <f t="shared" si="103"/>
        <v>0</v>
      </c>
      <c r="AG104" s="93" t="b">
        <f t="shared" si="9"/>
        <v>0</v>
      </c>
      <c r="AH104" s="103"/>
      <c r="AI104" s="13"/>
      <c r="AJ104" s="7"/>
      <c r="AK104" s="101" t="str">
        <f t="shared" si="10"/>
        <v>Negative</v>
      </c>
      <c r="AL104" s="98"/>
      <c r="AM104" s="94" t="s">
        <v>300</v>
      </c>
      <c r="AN104" s="94" t="s">
        <v>301</v>
      </c>
      <c r="AO104" s="102" t="str">
        <f>IFERROR(__xludf.DUMMYFUNCTION("IF($AG104, ""DELETED"",TRIM(JOIN("" "",D104:E104)))"),"")</f>
        <v/>
      </c>
      <c r="AP104" s="94" t="str">
        <f t="shared" ref="AP104:AQ104" si="138">IF($AG104, "DELETED", TRIM(CONCATENATE(F104,I104,U104)))</f>
        <v/>
      </c>
      <c r="AQ104" s="94" t="str">
        <f t="shared" si="138"/>
        <v/>
      </c>
      <c r="AR104" s="94" t="str">
        <f>IFERROR(__xludf.DUMMYFUNCTION("IF($AG104, ""DELETED"", TRIM(JOIN("" "",AP104,AQ104)))"),"")</f>
        <v/>
      </c>
      <c r="AS104" s="9"/>
      <c r="AT104" s="93" t="b">
        <f t="shared" si="12"/>
        <v>0</v>
      </c>
      <c r="AU104" s="93" t="str">
        <f t="shared" si="13"/>
        <v/>
      </c>
      <c r="AV104" s="93" t="str">
        <f t="shared" si="14"/>
        <v/>
      </c>
      <c r="AW104" s="93" t="str">
        <f t="shared" si="99"/>
        <v/>
      </c>
      <c r="AX104" s="107" t="str">
        <f t="shared" si="16"/>
        <v/>
      </c>
      <c r="AY104" s="3"/>
      <c r="AZ104" s="129"/>
      <c r="BA104" s="109" t="str">
        <f t="shared" si="17"/>
        <v/>
      </c>
      <c r="BB104" s="3"/>
      <c r="BC104" s="3"/>
      <c r="BD104" s="108"/>
      <c r="BE104" s="134"/>
      <c r="BF104" s="111" t="str">
        <f t="shared" si="18"/>
        <v/>
      </c>
      <c r="BG104" s="112" t="str">
        <f t="shared" si="19"/>
        <v>AH7225__44697_0.153611111111111___Negative_44697_0.361099537037037_</v>
      </c>
      <c r="BH104" s="113" t="str">
        <f t="shared" si="20"/>
        <v/>
      </c>
      <c r="BI104" s="202"/>
      <c r="BJ104" s="114" t="str">
        <f t="shared" si="21"/>
        <v/>
      </c>
      <c r="BK104" s="115" t="b">
        <f t="shared" si="105"/>
        <v>0</v>
      </c>
      <c r="BL104" s="114" t="str">
        <f t="shared" si="23"/>
        <v/>
      </c>
      <c r="BM104" s="108"/>
      <c r="BN104" s="7" t="b">
        <f t="shared" si="24"/>
        <v>1</v>
      </c>
      <c r="BO104" s="7" t="b">
        <f t="shared" si="25"/>
        <v>0</v>
      </c>
      <c r="BP104" s="7" t="b">
        <f t="shared" si="26"/>
        <v>1</v>
      </c>
      <c r="BQ104" s="118"/>
      <c r="BR104" s="119" t="s">
        <v>228</v>
      </c>
      <c r="BS104" s="7" t="b">
        <f t="shared" si="27"/>
        <v>1</v>
      </c>
      <c r="BT104" s="7"/>
      <c r="BU104" s="7"/>
      <c r="BV104" s="7"/>
      <c r="BW104" s="7"/>
    </row>
    <row r="105">
      <c r="A105" s="86" t="s">
        <v>391</v>
      </c>
      <c r="B105" s="87">
        <v>44697.0</v>
      </c>
      <c r="C105" s="88">
        <v>0.17675925925925925</v>
      </c>
      <c r="D105" s="89"/>
      <c r="E105" s="89"/>
      <c r="F105" s="89"/>
      <c r="G105" s="86"/>
      <c r="H105" s="90"/>
      <c r="I105" s="3"/>
      <c r="J105" s="3"/>
      <c r="K105" s="89" t="s">
        <v>228</v>
      </c>
      <c r="L105" s="36">
        <v>44697.0</v>
      </c>
      <c r="M105" s="91">
        <v>0.361099537037037</v>
      </c>
      <c r="N105" s="3"/>
      <c r="O105" s="92"/>
      <c r="P105" s="93" t="b">
        <f>IFNA(IF(VLOOKUP($A105,'Add from APT'!$AA$2:$AC264,3,FALSE)&gt;0,TRUE,FALSE),"ER - NOT IN APT")</f>
        <v>0</v>
      </c>
      <c r="Q105" s="94" t="str">
        <f>IF(ISLOGICAL(P105),IF(P105,"ER - REPS IN APT", IFNA(VLOOKUP($A105,RAW_APT!$A$3:$M264,7,FALSE),"ER - NOT IN APT")),P105)</f>
        <v>Result</v>
      </c>
      <c r="R105" s="95" t="b">
        <f t="shared" si="102"/>
        <v>1</v>
      </c>
      <c r="S105" s="96">
        <f t="shared" si="3"/>
        <v>4</v>
      </c>
      <c r="T105" s="130"/>
      <c r="U105" s="3"/>
      <c r="V105" s="3"/>
      <c r="W105" s="9"/>
      <c r="X105" s="99" t="b">
        <f t="shared" si="97"/>
        <v>0</v>
      </c>
      <c r="Y105" s="7"/>
      <c r="Z105" s="101" t="str">
        <f t="shared" si="5"/>
        <v/>
      </c>
      <c r="AA105" s="102" t="b">
        <f t="shared" si="6"/>
        <v>0</v>
      </c>
      <c r="AB105" s="131"/>
      <c r="AC105" s="130">
        <v>130.0</v>
      </c>
      <c r="AD105" s="132"/>
      <c r="AE105" s="105">
        <f t="shared" si="7"/>
        <v>265.45</v>
      </c>
      <c r="AF105" s="106" t="b">
        <f t="shared" si="103"/>
        <v>0</v>
      </c>
      <c r="AG105" s="93" t="b">
        <f t="shared" si="9"/>
        <v>0</v>
      </c>
      <c r="AH105" s="130"/>
      <c r="AI105" s="13"/>
      <c r="AJ105" s="7"/>
      <c r="AK105" s="101" t="str">
        <f t="shared" si="10"/>
        <v>Negative</v>
      </c>
      <c r="AL105" s="98"/>
      <c r="AM105" s="94" t="s">
        <v>274</v>
      </c>
      <c r="AN105" s="94" t="s">
        <v>279</v>
      </c>
      <c r="AO105" s="102" t="str">
        <f>IFERROR(__xludf.DUMMYFUNCTION("IF($AG105, ""DELETED"",TRIM(JOIN("" "",D105:E105)))"),"")</f>
        <v/>
      </c>
      <c r="AP105" s="94" t="str">
        <f t="shared" ref="AP105:AQ105" si="139">IF($AG105, "DELETED", TRIM(CONCATENATE(F105,I105,U105)))</f>
        <v/>
      </c>
      <c r="AQ105" s="94" t="str">
        <f t="shared" si="139"/>
        <v/>
      </c>
      <c r="AR105" s="94" t="str">
        <f>IFERROR(__xludf.DUMMYFUNCTION("IF($AG105, ""DELETED"", TRIM(JOIN("" "",AP105,AQ105)))"),"")</f>
        <v/>
      </c>
      <c r="AS105" s="9"/>
      <c r="AT105" s="93" t="b">
        <f t="shared" si="12"/>
        <v>0</v>
      </c>
      <c r="AU105" s="93" t="str">
        <f t="shared" si="13"/>
        <v/>
      </c>
      <c r="AV105" s="93" t="str">
        <f t="shared" si="14"/>
        <v/>
      </c>
      <c r="AW105" s="93" t="str">
        <f t="shared" si="99"/>
        <v/>
      </c>
      <c r="AX105" s="107" t="str">
        <f t="shared" si="16"/>
        <v/>
      </c>
      <c r="AY105" s="3"/>
      <c r="AZ105" s="129"/>
      <c r="BA105" s="109" t="str">
        <f t="shared" si="17"/>
        <v/>
      </c>
      <c r="BB105" s="3"/>
      <c r="BC105" s="3"/>
      <c r="BD105" s="108"/>
      <c r="BE105" s="134"/>
      <c r="BF105" s="111" t="str">
        <f t="shared" si="18"/>
        <v/>
      </c>
      <c r="BG105" s="112" t="str">
        <f t="shared" si="19"/>
        <v>AG1637__44697_0.176759259259259___Negative_44697_0.361099537037037_</v>
      </c>
      <c r="BH105" s="113" t="str">
        <f t="shared" si="20"/>
        <v/>
      </c>
      <c r="BI105" s="202"/>
      <c r="BJ105" s="114" t="str">
        <f t="shared" si="21"/>
        <v/>
      </c>
      <c r="BK105" s="115" t="b">
        <f t="shared" si="105"/>
        <v>0</v>
      </c>
      <c r="BL105" s="114" t="str">
        <f t="shared" si="23"/>
        <v/>
      </c>
      <c r="BM105" s="108"/>
      <c r="BN105" s="7" t="b">
        <f t="shared" si="24"/>
        <v>1</v>
      </c>
      <c r="BO105" s="7" t="b">
        <f t="shared" si="25"/>
        <v>0</v>
      </c>
      <c r="BP105" s="7" t="b">
        <f t="shared" si="26"/>
        <v>1</v>
      </c>
      <c r="BQ105" s="118"/>
      <c r="BR105" s="119" t="s">
        <v>228</v>
      </c>
      <c r="BS105" s="7" t="b">
        <f t="shared" si="27"/>
        <v>1</v>
      </c>
      <c r="BT105" s="7"/>
      <c r="BU105" s="7"/>
      <c r="BV105" s="7"/>
      <c r="BW105" s="7"/>
    </row>
    <row r="106">
      <c r="A106" s="86" t="s">
        <v>391</v>
      </c>
      <c r="B106" s="87">
        <v>44697.0</v>
      </c>
      <c r="C106" s="88">
        <v>0.17675925925925925</v>
      </c>
      <c r="D106" s="89"/>
      <c r="E106" s="89"/>
      <c r="F106" s="89"/>
      <c r="G106" s="86"/>
      <c r="H106" s="90"/>
      <c r="I106" s="3"/>
      <c r="J106" s="3"/>
      <c r="K106" s="89" t="s">
        <v>228</v>
      </c>
      <c r="L106" s="36">
        <v>44697.0</v>
      </c>
      <c r="M106" s="91">
        <v>0.361099537037037</v>
      </c>
      <c r="N106" s="3"/>
      <c r="O106" s="92"/>
      <c r="P106" s="93" t="b">
        <f>IFNA(IF(VLOOKUP($A106,'Add from APT'!$AA$2:$AC264,3,FALSE)&gt;0,TRUE,FALSE),"ER - NOT IN APT")</f>
        <v>0</v>
      </c>
      <c r="Q106" s="94" t="str">
        <f>IF(ISLOGICAL(P106),IF(P106,"ER - REPS IN APT", IFNA(VLOOKUP($A106,RAW_APT!$A$3:$M264,7,FALSE),"ER - NOT IN APT")),P106)</f>
        <v>Result</v>
      </c>
      <c r="R106" s="95" t="b">
        <f t="shared" si="102"/>
        <v>0</v>
      </c>
      <c r="S106" s="96">
        <f t="shared" si="3"/>
        <v>4</v>
      </c>
      <c r="T106" s="97"/>
      <c r="U106" s="3"/>
      <c r="V106" s="3"/>
      <c r="W106" s="98"/>
      <c r="X106" s="99" t="b">
        <f t="shared" si="97"/>
        <v>0</v>
      </c>
      <c r="Y106" s="100"/>
      <c r="Z106" s="101" t="str">
        <f t="shared" si="5"/>
        <v/>
      </c>
      <c r="AA106" s="102" t="b">
        <f t="shared" si="6"/>
        <v>0</v>
      </c>
      <c r="AB106" s="98"/>
      <c r="AC106" s="103">
        <v>128.0</v>
      </c>
      <c r="AD106" s="104"/>
      <c r="AE106" s="105">
        <f t="shared" si="7"/>
        <v>265.45</v>
      </c>
      <c r="AF106" s="106" t="b">
        <f t="shared" si="103"/>
        <v>0</v>
      </c>
      <c r="AG106" s="93" t="b">
        <f t="shared" si="9"/>
        <v>0</v>
      </c>
      <c r="AH106" s="103"/>
      <c r="AI106" s="103"/>
      <c r="AJ106" s="97"/>
      <c r="AK106" s="101" t="str">
        <f t="shared" si="10"/>
        <v>Negative</v>
      </c>
      <c r="AL106" s="98"/>
      <c r="AM106" s="94" t="s">
        <v>274</v>
      </c>
      <c r="AN106" s="94" t="s">
        <v>281</v>
      </c>
      <c r="AO106" s="102" t="str">
        <f>IFERROR(__xludf.DUMMYFUNCTION("IF($AG106, ""DELETED"",TRIM(JOIN("" "",D106:E106)))"),"")</f>
        <v/>
      </c>
      <c r="AP106" s="94" t="str">
        <f t="shared" ref="AP106:AQ106" si="140">IF($AG106, "DELETED", TRIM(CONCATENATE(F106,I106,U106)))</f>
        <v/>
      </c>
      <c r="AQ106" s="94" t="str">
        <f t="shared" si="140"/>
        <v/>
      </c>
      <c r="AR106" s="94" t="str">
        <f>IFERROR(__xludf.DUMMYFUNCTION("IF($AG106, ""DELETED"", TRIM(JOIN("" "",AP106,AQ106)))"),"")</f>
        <v/>
      </c>
      <c r="AS106" s="9"/>
      <c r="AT106" s="93" t="b">
        <f t="shared" si="12"/>
        <v>0</v>
      </c>
      <c r="AU106" s="93" t="str">
        <f t="shared" si="13"/>
        <v/>
      </c>
      <c r="AV106" s="93" t="str">
        <f t="shared" si="14"/>
        <v/>
      </c>
      <c r="AW106" s="93" t="str">
        <f t="shared" si="99"/>
        <v/>
      </c>
      <c r="AX106" s="107" t="str">
        <f t="shared" si="16"/>
        <v/>
      </c>
      <c r="AY106" s="98"/>
      <c r="AZ106" s="108"/>
      <c r="BA106" s="109" t="str">
        <f t="shared" si="17"/>
        <v/>
      </c>
      <c r="BB106" s="98"/>
      <c r="BC106" s="98"/>
      <c r="BD106" s="108"/>
      <c r="BE106" s="134"/>
      <c r="BF106" s="111" t="str">
        <f t="shared" si="18"/>
        <v/>
      </c>
      <c r="BG106" s="112" t="str">
        <f t="shared" si="19"/>
        <v>AG1637__44697_0.176759259259259___Negative_44697_0.361099537037037_</v>
      </c>
      <c r="BH106" s="113" t="str">
        <f t="shared" si="20"/>
        <v/>
      </c>
      <c r="BI106" s="202"/>
      <c r="BJ106" s="114" t="str">
        <f t="shared" si="21"/>
        <v/>
      </c>
      <c r="BK106" s="115" t="b">
        <f t="shared" si="105"/>
        <v>0</v>
      </c>
      <c r="BL106" s="114" t="str">
        <f t="shared" si="23"/>
        <v/>
      </c>
      <c r="BM106" s="108"/>
      <c r="BN106" s="7" t="b">
        <f t="shared" si="24"/>
        <v>1</v>
      </c>
      <c r="BO106" s="7" t="b">
        <f t="shared" si="25"/>
        <v>0</v>
      </c>
      <c r="BP106" s="7" t="b">
        <f t="shared" si="26"/>
        <v>1</v>
      </c>
      <c r="BQ106" s="118"/>
      <c r="BR106" s="119" t="s">
        <v>228</v>
      </c>
      <c r="BS106" s="7" t="b">
        <f t="shared" si="27"/>
        <v>1</v>
      </c>
      <c r="BT106" s="7"/>
      <c r="BU106" s="7"/>
      <c r="BV106" s="7"/>
      <c r="BW106" s="7"/>
    </row>
    <row r="107">
      <c r="A107" s="86" t="s">
        <v>391</v>
      </c>
      <c r="B107" s="87">
        <v>44697.0</v>
      </c>
      <c r="C107" s="88">
        <v>0.17675925925925925</v>
      </c>
      <c r="D107" s="89"/>
      <c r="E107" s="89"/>
      <c r="F107" s="3"/>
      <c r="G107" s="120"/>
      <c r="H107" s="121"/>
      <c r="I107" s="89"/>
      <c r="J107" s="89"/>
      <c r="K107" s="89" t="s">
        <v>228</v>
      </c>
      <c r="L107" s="36">
        <v>44697.0</v>
      </c>
      <c r="M107" s="91">
        <v>0.361099537037037</v>
      </c>
      <c r="N107" s="3"/>
      <c r="O107" s="92"/>
      <c r="P107" s="93" t="b">
        <f>IFNA(IF(VLOOKUP($A107,'Add from APT'!$AA$2:$AC264,3,FALSE)&gt;0,TRUE,FALSE),"ER - NOT IN APT")</f>
        <v>0</v>
      </c>
      <c r="Q107" s="94" t="str">
        <f>IF(ISLOGICAL(P107),IF(P107,"ER - REPS IN APT", IFNA(VLOOKUP($A107,RAW_APT!$A$3:$M264,7,FALSE),"ER - NOT IN APT")),P107)</f>
        <v>Result</v>
      </c>
      <c r="R107" s="95" t="b">
        <f t="shared" si="102"/>
        <v>0</v>
      </c>
      <c r="S107" s="96">
        <f t="shared" si="3"/>
        <v>4</v>
      </c>
      <c r="T107" s="97"/>
      <c r="U107" s="3"/>
      <c r="V107" s="3"/>
      <c r="W107" s="98"/>
      <c r="X107" s="99" t="b">
        <f t="shared" si="97"/>
        <v>0</v>
      </c>
      <c r="Y107" s="100"/>
      <c r="Z107" s="101" t="str">
        <f t="shared" si="5"/>
        <v/>
      </c>
      <c r="AA107" s="102" t="b">
        <f t="shared" si="6"/>
        <v>0</v>
      </c>
      <c r="AB107" s="98"/>
      <c r="AC107" s="103">
        <v>127.0</v>
      </c>
      <c r="AD107" s="104"/>
      <c r="AE107" s="105">
        <f t="shared" si="7"/>
        <v>265.45</v>
      </c>
      <c r="AF107" s="106" t="b">
        <f t="shared" si="103"/>
        <v>0</v>
      </c>
      <c r="AG107" s="93" t="b">
        <f t="shared" si="9"/>
        <v>0</v>
      </c>
      <c r="AH107" s="103"/>
      <c r="AI107" s="103"/>
      <c r="AJ107" s="97"/>
      <c r="AK107" s="101" t="str">
        <f t="shared" si="10"/>
        <v>Negative</v>
      </c>
      <c r="AL107" s="98"/>
      <c r="AM107" s="94" t="s">
        <v>274</v>
      </c>
      <c r="AN107" s="94" t="s">
        <v>277</v>
      </c>
      <c r="AO107" s="102" t="str">
        <f>IFERROR(__xludf.DUMMYFUNCTION("IF($AG107, ""DELETED"",TRIM(JOIN("" "",D107:E107)))"),"")</f>
        <v/>
      </c>
      <c r="AP107" s="94" t="str">
        <f t="shared" ref="AP107:AQ107" si="141">IF($AG107, "DELETED", TRIM(CONCATENATE(F107,I107,U107)))</f>
        <v/>
      </c>
      <c r="AQ107" s="94" t="str">
        <f t="shared" si="141"/>
        <v/>
      </c>
      <c r="AR107" s="94" t="str">
        <f>IFERROR(__xludf.DUMMYFUNCTION("IF($AG107, ""DELETED"", TRIM(JOIN("" "",AP107,AQ107)))"),"")</f>
        <v/>
      </c>
      <c r="AS107" s="9"/>
      <c r="AT107" s="93" t="b">
        <f t="shared" si="12"/>
        <v>0</v>
      </c>
      <c r="AU107" s="93" t="str">
        <f t="shared" si="13"/>
        <v/>
      </c>
      <c r="AV107" s="93" t="str">
        <f t="shared" si="14"/>
        <v/>
      </c>
      <c r="AW107" s="93" t="str">
        <f t="shared" si="99"/>
        <v/>
      </c>
      <c r="AX107" s="107" t="str">
        <f t="shared" si="16"/>
        <v/>
      </c>
      <c r="AY107" s="98"/>
      <c r="AZ107" s="108"/>
      <c r="BA107" s="109" t="str">
        <f t="shared" si="17"/>
        <v/>
      </c>
      <c r="BB107" s="98"/>
      <c r="BC107" s="98"/>
      <c r="BD107" s="108"/>
      <c r="BE107" s="134"/>
      <c r="BF107" s="111" t="str">
        <f t="shared" si="18"/>
        <v/>
      </c>
      <c r="BG107" s="112" t="str">
        <f t="shared" si="19"/>
        <v>AG1637__44697_0.176759259259259___Negative_44697_0.361099537037037_</v>
      </c>
      <c r="BH107" s="113" t="str">
        <f t="shared" si="20"/>
        <v/>
      </c>
      <c r="BI107" s="202"/>
      <c r="BJ107" s="114" t="str">
        <f t="shared" si="21"/>
        <v/>
      </c>
      <c r="BK107" s="115" t="b">
        <f t="shared" si="105"/>
        <v>0</v>
      </c>
      <c r="BL107" s="114" t="str">
        <f t="shared" si="23"/>
        <v/>
      </c>
      <c r="BM107" s="108"/>
      <c r="BN107" s="7" t="b">
        <f t="shared" si="24"/>
        <v>1</v>
      </c>
      <c r="BO107" s="7" t="b">
        <f t="shared" si="25"/>
        <v>0</v>
      </c>
      <c r="BP107" s="7" t="b">
        <f t="shared" si="26"/>
        <v>1</v>
      </c>
      <c r="BQ107" s="118"/>
      <c r="BR107" s="119" t="s">
        <v>228</v>
      </c>
      <c r="BS107" s="7" t="b">
        <f t="shared" si="27"/>
        <v>1</v>
      </c>
      <c r="BT107" s="7"/>
      <c r="BU107" s="7"/>
      <c r="BV107" s="7"/>
      <c r="BW107" s="7"/>
    </row>
    <row r="108">
      <c r="A108" s="86" t="s">
        <v>391</v>
      </c>
      <c r="B108" s="87">
        <v>44697.0</v>
      </c>
      <c r="C108" s="88">
        <v>0.17675925925925925</v>
      </c>
      <c r="D108" s="89"/>
      <c r="E108" s="89"/>
      <c r="F108" s="3"/>
      <c r="G108" s="120"/>
      <c r="H108" s="121"/>
      <c r="I108" s="89"/>
      <c r="J108" s="89"/>
      <c r="K108" s="89" t="s">
        <v>228</v>
      </c>
      <c r="L108" s="36">
        <v>44697.0</v>
      </c>
      <c r="M108" s="91">
        <v>0.361099537037037</v>
      </c>
      <c r="N108" s="3"/>
      <c r="O108" s="92"/>
      <c r="P108" s="93" t="b">
        <f>IFNA(IF(VLOOKUP($A108,'Add from APT'!$AA$2:$AC264,3,FALSE)&gt;0,TRUE,FALSE),"ER - NOT IN APT")</f>
        <v>0</v>
      </c>
      <c r="Q108" s="94" t="str">
        <f>IF(ISLOGICAL(P108),IF(P108,"ER - REPS IN APT", IFNA(VLOOKUP($A108,RAW_APT!$A$3:$M264,7,FALSE),"ER - NOT IN APT")),P108)</f>
        <v>Result</v>
      </c>
      <c r="R108" s="95" t="b">
        <f t="shared" si="102"/>
        <v>0</v>
      </c>
      <c r="S108" s="96">
        <f t="shared" si="3"/>
        <v>4</v>
      </c>
      <c r="T108" s="130"/>
      <c r="U108" s="9"/>
      <c r="V108" s="3"/>
      <c r="W108" s="9"/>
      <c r="X108" s="99" t="b">
        <f t="shared" si="97"/>
        <v>0</v>
      </c>
      <c r="Y108" s="7"/>
      <c r="Z108" s="101" t="str">
        <f t="shared" si="5"/>
        <v/>
      </c>
      <c r="AA108" s="102" t="b">
        <f t="shared" si="6"/>
        <v>0</v>
      </c>
      <c r="AB108" s="131"/>
      <c r="AC108" s="130">
        <v>129.0</v>
      </c>
      <c r="AD108" s="132"/>
      <c r="AE108" s="105">
        <f t="shared" si="7"/>
        <v>265.45</v>
      </c>
      <c r="AF108" s="106" t="b">
        <f t="shared" si="103"/>
        <v>0</v>
      </c>
      <c r="AG108" s="93" t="b">
        <f t="shared" si="9"/>
        <v>0</v>
      </c>
      <c r="AH108" s="130"/>
      <c r="AI108" s="13"/>
      <c r="AJ108" s="7"/>
      <c r="AK108" s="101" t="str">
        <f t="shared" si="10"/>
        <v>Negative</v>
      </c>
      <c r="AL108" s="98"/>
      <c r="AM108" s="94" t="s">
        <v>274</v>
      </c>
      <c r="AN108" s="94" t="s">
        <v>275</v>
      </c>
      <c r="AO108" s="102" t="str">
        <f>IFERROR(__xludf.DUMMYFUNCTION("IF($AG108, ""DELETED"",TRIM(JOIN("" "",D108:E108)))"),"")</f>
        <v/>
      </c>
      <c r="AP108" s="94" t="str">
        <f t="shared" ref="AP108:AQ108" si="142">IF($AG108, "DELETED", TRIM(CONCATENATE(F108,I108,U108)))</f>
        <v/>
      </c>
      <c r="AQ108" s="94" t="str">
        <f t="shared" si="142"/>
        <v/>
      </c>
      <c r="AR108" s="94" t="str">
        <f>IFERROR(__xludf.DUMMYFUNCTION("IF($AG108, ""DELETED"", TRIM(JOIN("" "",AP108,AQ108)))"),"")</f>
        <v/>
      </c>
      <c r="AS108" s="9"/>
      <c r="AT108" s="93" t="b">
        <f t="shared" si="12"/>
        <v>0</v>
      </c>
      <c r="AU108" s="93" t="str">
        <f t="shared" si="13"/>
        <v/>
      </c>
      <c r="AV108" s="93" t="str">
        <f t="shared" si="14"/>
        <v/>
      </c>
      <c r="AW108" s="93" t="str">
        <f t="shared" si="99"/>
        <v/>
      </c>
      <c r="AX108" s="107" t="str">
        <f t="shared" si="16"/>
        <v/>
      </c>
      <c r="AY108" s="3"/>
      <c r="AZ108" s="129"/>
      <c r="BA108" s="109" t="str">
        <f t="shared" si="17"/>
        <v/>
      </c>
      <c r="BB108" s="3"/>
      <c r="BC108" s="3"/>
      <c r="BD108" s="108"/>
      <c r="BE108" s="134"/>
      <c r="BF108" s="111" t="str">
        <f t="shared" si="18"/>
        <v/>
      </c>
      <c r="BG108" s="112" t="str">
        <f t="shared" si="19"/>
        <v>AG1637__44697_0.176759259259259___Negative_44697_0.361099537037037_</v>
      </c>
      <c r="BH108" s="113" t="str">
        <f t="shared" si="20"/>
        <v/>
      </c>
      <c r="BI108" s="202"/>
      <c r="BJ108" s="114" t="str">
        <f t="shared" si="21"/>
        <v/>
      </c>
      <c r="BK108" s="115" t="b">
        <f t="shared" si="105"/>
        <v>0</v>
      </c>
      <c r="BL108" s="114" t="str">
        <f t="shared" si="23"/>
        <v/>
      </c>
      <c r="BM108" s="108"/>
      <c r="BN108" s="7" t="b">
        <f t="shared" si="24"/>
        <v>1</v>
      </c>
      <c r="BO108" s="7" t="b">
        <f t="shared" si="25"/>
        <v>0</v>
      </c>
      <c r="BP108" s="7" t="b">
        <f t="shared" si="26"/>
        <v>1</v>
      </c>
      <c r="BQ108" s="118"/>
      <c r="BR108" s="119" t="s">
        <v>228</v>
      </c>
      <c r="BS108" s="7" t="b">
        <f t="shared" si="27"/>
        <v>1</v>
      </c>
      <c r="BT108" s="7"/>
      <c r="BU108" s="7"/>
      <c r="BV108" s="7"/>
      <c r="BW108" s="7"/>
    </row>
    <row r="109">
      <c r="A109" s="86" t="s">
        <v>392</v>
      </c>
      <c r="B109" s="87">
        <v>44697.0</v>
      </c>
      <c r="C109" s="88">
        <v>0.19030092592592593</v>
      </c>
      <c r="D109" s="89"/>
      <c r="E109" s="89"/>
      <c r="F109" s="89"/>
      <c r="G109" s="86"/>
      <c r="H109" s="90"/>
      <c r="I109" s="3"/>
      <c r="J109" s="3"/>
      <c r="K109" s="89" t="s">
        <v>228</v>
      </c>
      <c r="L109" s="36">
        <v>44697.0</v>
      </c>
      <c r="M109" s="91">
        <v>0.361099537037037</v>
      </c>
      <c r="N109" s="121"/>
      <c r="O109" s="92"/>
      <c r="P109" s="93" t="b">
        <f>IFNA(IF(VLOOKUP($A109,'Add from APT'!$AA$2:$AC264,3,FALSE)&gt;0,TRUE,FALSE),"ER - NOT IN APT")</f>
        <v>0</v>
      </c>
      <c r="Q109" s="94" t="str">
        <f>IF(ISLOGICAL(P109),IF(P109,"ER - REPS IN APT", IFNA(VLOOKUP($A109,RAW_APT!$A$3:$M264,7,FALSE),"ER - NOT IN APT")),P109)</f>
        <v>Result</v>
      </c>
      <c r="R109" s="95" t="b">
        <f t="shared" si="102"/>
        <v>1</v>
      </c>
      <c r="S109" s="96">
        <f t="shared" si="3"/>
        <v>4</v>
      </c>
      <c r="T109" s="166"/>
      <c r="U109" s="3"/>
      <c r="V109" s="3"/>
      <c r="W109" s="3"/>
      <c r="X109" s="99" t="b">
        <f t="shared" si="97"/>
        <v>0</v>
      </c>
      <c r="Y109" s="7"/>
      <c r="Z109" s="101" t="str">
        <f t="shared" si="5"/>
        <v/>
      </c>
      <c r="AA109" s="102" t="b">
        <f t="shared" si="6"/>
        <v>0</v>
      </c>
      <c r="AB109" s="131"/>
      <c r="AC109" s="130">
        <v>132.0</v>
      </c>
      <c r="AD109" s="132"/>
      <c r="AE109" s="105">
        <f t="shared" si="7"/>
        <v>245.95</v>
      </c>
      <c r="AF109" s="106" t="b">
        <f t="shared" si="103"/>
        <v>0</v>
      </c>
      <c r="AG109" s="93" t="b">
        <f t="shared" si="9"/>
        <v>0</v>
      </c>
      <c r="AH109" s="130"/>
      <c r="AI109" s="13"/>
      <c r="AJ109" s="7"/>
      <c r="AK109" s="101" t="str">
        <f t="shared" si="10"/>
        <v>Negative</v>
      </c>
      <c r="AL109" s="98"/>
      <c r="AM109" s="94" t="s">
        <v>322</v>
      </c>
      <c r="AN109" s="94" t="s">
        <v>325</v>
      </c>
      <c r="AO109" s="102" t="str">
        <f>IFERROR(__xludf.DUMMYFUNCTION("IF($AG109, ""DELETED"",TRIM(JOIN("" "",D109:E109)))"),"")</f>
        <v/>
      </c>
      <c r="AP109" s="94" t="str">
        <f t="shared" ref="AP109:AQ109" si="143">IF($AG109, "DELETED", TRIM(CONCATENATE(F109,I109,U109)))</f>
        <v/>
      </c>
      <c r="AQ109" s="94" t="str">
        <f t="shared" si="143"/>
        <v/>
      </c>
      <c r="AR109" s="94" t="str">
        <f>IFERROR(__xludf.DUMMYFUNCTION("IF($AG109, ""DELETED"", TRIM(JOIN("" "",AP109,AQ109)))"),"")</f>
        <v/>
      </c>
      <c r="AS109" s="9"/>
      <c r="AT109" s="93" t="b">
        <f t="shared" si="12"/>
        <v>0</v>
      </c>
      <c r="AU109" s="93" t="str">
        <f t="shared" si="13"/>
        <v/>
      </c>
      <c r="AV109" s="93" t="str">
        <f t="shared" si="14"/>
        <v/>
      </c>
      <c r="AW109" s="93" t="str">
        <f t="shared" si="99"/>
        <v/>
      </c>
      <c r="AX109" s="107" t="str">
        <f t="shared" si="16"/>
        <v/>
      </c>
      <c r="AY109" s="3"/>
      <c r="AZ109" s="129"/>
      <c r="BA109" s="109" t="str">
        <f t="shared" si="17"/>
        <v/>
      </c>
      <c r="BB109" s="3"/>
      <c r="BC109" s="3"/>
      <c r="BD109" s="108"/>
      <c r="BE109" s="134"/>
      <c r="BF109" s="111" t="str">
        <f t="shared" si="18"/>
        <v/>
      </c>
      <c r="BG109" s="112" t="str">
        <f t="shared" si="19"/>
        <v>AG1103__44697_0.190300925925926___Negative_44697_0.361099537037037_</v>
      </c>
      <c r="BH109" s="113" t="str">
        <f t="shared" si="20"/>
        <v/>
      </c>
      <c r="BI109" s="202"/>
      <c r="BJ109" s="114" t="str">
        <f t="shared" si="21"/>
        <v/>
      </c>
      <c r="BK109" s="115" t="b">
        <f t="shared" si="105"/>
        <v>0</v>
      </c>
      <c r="BL109" s="114" t="str">
        <f t="shared" si="23"/>
        <v/>
      </c>
      <c r="BM109" s="108"/>
      <c r="BN109" s="7" t="b">
        <f t="shared" si="24"/>
        <v>1</v>
      </c>
      <c r="BO109" s="7" t="b">
        <f t="shared" si="25"/>
        <v>0</v>
      </c>
      <c r="BP109" s="7" t="b">
        <f t="shared" si="26"/>
        <v>1</v>
      </c>
      <c r="BQ109" s="118"/>
      <c r="BR109" s="119" t="s">
        <v>228</v>
      </c>
      <c r="BS109" s="7" t="b">
        <f t="shared" si="27"/>
        <v>1</v>
      </c>
      <c r="BT109" s="7"/>
      <c r="BU109" s="7"/>
      <c r="BV109" s="7"/>
      <c r="BW109" s="7"/>
    </row>
    <row r="110">
      <c r="A110" s="86" t="s">
        <v>392</v>
      </c>
      <c r="B110" s="87">
        <v>44697.0</v>
      </c>
      <c r="C110" s="88">
        <v>0.19030092592592593</v>
      </c>
      <c r="D110" s="89"/>
      <c r="E110" s="89"/>
      <c r="F110" s="89"/>
      <c r="G110" s="86"/>
      <c r="H110" s="90"/>
      <c r="I110" s="3"/>
      <c r="J110" s="3"/>
      <c r="K110" s="89" t="s">
        <v>228</v>
      </c>
      <c r="L110" s="36">
        <v>44697.0</v>
      </c>
      <c r="M110" s="91">
        <v>0.361099537037037</v>
      </c>
      <c r="N110" s="3"/>
      <c r="O110" s="92"/>
      <c r="P110" s="93" t="b">
        <f>IFNA(IF(VLOOKUP($A110,'Add from APT'!$AA$2:$AC264,3,FALSE)&gt;0,TRUE,FALSE),"ER - NOT IN APT")</f>
        <v>0</v>
      </c>
      <c r="Q110" s="94" t="str">
        <f>IF(ISLOGICAL(P110),IF(P110,"ER - REPS IN APT", IFNA(VLOOKUP($A110,RAW_APT!$A$3:$M264,7,FALSE),"ER - NOT IN APT")),P110)</f>
        <v>Result</v>
      </c>
      <c r="R110" s="95" t="b">
        <f t="shared" si="102"/>
        <v>0</v>
      </c>
      <c r="S110" s="96">
        <f t="shared" si="3"/>
        <v>4</v>
      </c>
      <c r="T110" s="97"/>
      <c r="U110" s="3"/>
      <c r="V110" s="3"/>
      <c r="W110" s="98"/>
      <c r="X110" s="99" t="b">
        <f t="shared" si="97"/>
        <v>0</v>
      </c>
      <c r="Y110" s="100"/>
      <c r="Z110" s="101" t="str">
        <f t="shared" si="5"/>
        <v/>
      </c>
      <c r="AA110" s="102" t="b">
        <f t="shared" si="6"/>
        <v>0</v>
      </c>
      <c r="AB110" s="98"/>
      <c r="AC110" s="103">
        <v>131.0</v>
      </c>
      <c r="AD110" s="104"/>
      <c r="AE110" s="105">
        <f t="shared" si="7"/>
        <v>245.95</v>
      </c>
      <c r="AF110" s="106" t="b">
        <f t="shared" si="103"/>
        <v>0</v>
      </c>
      <c r="AG110" s="93" t="b">
        <f t="shared" si="9"/>
        <v>0</v>
      </c>
      <c r="AH110" s="103"/>
      <c r="AI110" s="103"/>
      <c r="AJ110" s="97"/>
      <c r="AK110" s="101" t="str">
        <f t="shared" si="10"/>
        <v>Negative</v>
      </c>
      <c r="AL110" s="98"/>
      <c r="AM110" s="94" t="s">
        <v>322</v>
      </c>
      <c r="AN110" s="94" t="s">
        <v>327</v>
      </c>
      <c r="AO110" s="102" t="str">
        <f>IFERROR(__xludf.DUMMYFUNCTION("IF($AG110, ""DELETED"",TRIM(JOIN("" "",D110:E110)))"),"")</f>
        <v/>
      </c>
      <c r="AP110" s="94" t="str">
        <f t="shared" ref="AP110:AQ110" si="144">IF($AG110, "DELETED", TRIM(CONCATENATE(F110,I110,U110)))</f>
        <v/>
      </c>
      <c r="AQ110" s="94" t="str">
        <f t="shared" si="144"/>
        <v/>
      </c>
      <c r="AR110" s="94" t="str">
        <f>IFERROR(__xludf.DUMMYFUNCTION("IF($AG110, ""DELETED"", TRIM(JOIN("" "",AP110,AQ110)))"),"")</f>
        <v/>
      </c>
      <c r="AS110" s="9"/>
      <c r="AT110" s="93" t="b">
        <f t="shared" si="12"/>
        <v>0</v>
      </c>
      <c r="AU110" s="93" t="str">
        <f t="shared" si="13"/>
        <v/>
      </c>
      <c r="AV110" s="93" t="str">
        <f t="shared" si="14"/>
        <v/>
      </c>
      <c r="AW110" s="93" t="str">
        <f t="shared" si="99"/>
        <v/>
      </c>
      <c r="AX110" s="107" t="str">
        <f t="shared" si="16"/>
        <v/>
      </c>
      <c r="AY110" s="98"/>
      <c r="AZ110" s="108"/>
      <c r="BA110" s="109" t="str">
        <f t="shared" si="17"/>
        <v/>
      </c>
      <c r="BB110" s="98"/>
      <c r="BC110" s="98"/>
      <c r="BD110" s="108"/>
      <c r="BE110" s="143"/>
      <c r="BF110" s="111" t="str">
        <f t="shared" si="18"/>
        <v/>
      </c>
      <c r="BG110" s="112" t="str">
        <f t="shared" si="19"/>
        <v>AG1103__44697_0.190300925925926___Negative_44697_0.361099537037037_</v>
      </c>
      <c r="BH110" s="113" t="str">
        <f t="shared" si="20"/>
        <v/>
      </c>
      <c r="BI110" s="203"/>
      <c r="BJ110" s="114" t="str">
        <f t="shared" si="21"/>
        <v/>
      </c>
      <c r="BK110" s="115" t="b">
        <f t="shared" si="105"/>
        <v>0</v>
      </c>
      <c r="BL110" s="114" t="str">
        <f t="shared" si="23"/>
        <v/>
      </c>
      <c r="BM110" s="108"/>
      <c r="BN110" s="7" t="b">
        <f t="shared" si="24"/>
        <v>1</v>
      </c>
      <c r="BO110" s="7" t="b">
        <f t="shared" si="25"/>
        <v>0</v>
      </c>
      <c r="BP110" s="7" t="b">
        <f t="shared" si="26"/>
        <v>1</v>
      </c>
      <c r="BQ110" s="118"/>
      <c r="BR110" s="119" t="s">
        <v>228</v>
      </c>
      <c r="BS110" s="7" t="b">
        <f t="shared" si="27"/>
        <v>1</v>
      </c>
      <c r="BT110" s="7"/>
      <c r="BU110" s="7"/>
      <c r="BV110" s="7"/>
      <c r="BW110" s="7"/>
    </row>
    <row r="111">
      <c r="A111" s="86" t="s">
        <v>392</v>
      </c>
      <c r="B111" s="87">
        <v>44697.0</v>
      </c>
      <c r="C111" s="88">
        <v>0.19030092592592593</v>
      </c>
      <c r="D111" s="89"/>
      <c r="E111" s="89"/>
      <c r="F111" s="3"/>
      <c r="G111" s="120"/>
      <c r="H111" s="121"/>
      <c r="I111" s="89"/>
      <c r="J111" s="89"/>
      <c r="K111" s="89" t="s">
        <v>228</v>
      </c>
      <c r="L111" s="36">
        <v>44697.0</v>
      </c>
      <c r="M111" s="91">
        <v>0.361099537037037</v>
      </c>
      <c r="N111" s="121"/>
      <c r="O111" s="92"/>
      <c r="P111" s="93" t="b">
        <f>IFNA(IF(VLOOKUP($A111,'Add from APT'!$AA$2:$AC264,3,FALSE)&gt;0,TRUE,FALSE),"ER - NOT IN APT")</f>
        <v>0</v>
      </c>
      <c r="Q111" s="94" t="str">
        <f>IF(ISLOGICAL(P111),IF(P111,"ER - REPS IN APT", IFNA(VLOOKUP($A111,RAW_APT!$A$3:$M264,7,FALSE),"ER - NOT IN APT")),P111)</f>
        <v>Result</v>
      </c>
      <c r="R111" s="95" t="b">
        <f t="shared" si="102"/>
        <v>0</v>
      </c>
      <c r="S111" s="96">
        <f t="shared" si="3"/>
        <v>4</v>
      </c>
      <c r="T111" s="103"/>
      <c r="U111" s="3"/>
      <c r="V111" s="3"/>
      <c r="W111" s="98"/>
      <c r="X111" s="99" t="b">
        <f t="shared" si="97"/>
        <v>0</v>
      </c>
      <c r="Y111" s="100"/>
      <c r="Z111" s="101" t="str">
        <f t="shared" si="5"/>
        <v/>
      </c>
      <c r="AA111" s="102" t="b">
        <f t="shared" si="6"/>
        <v>0</v>
      </c>
      <c r="AB111" s="98"/>
      <c r="AC111" s="103">
        <v>133.0</v>
      </c>
      <c r="AD111" s="104"/>
      <c r="AE111" s="105">
        <f t="shared" si="7"/>
        <v>245.95</v>
      </c>
      <c r="AF111" s="106" t="b">
        <f t="shared" si="103"/>
        <v>0</v>
      </c>
      <c r="AG111" s="93" t="b">
        <f t="shared" si="9"/>
        <v>0</v>
      </c>
      <c r="AH111" s="103"/>
      <c r="AI111" s="103"/>
      <c r="AJ111" s="97"/>
      <c r="AK111" s="101" t="str">
        <f t="shared" si="10"/>
        <v>Negative</v>
      </c>
      <c r="AL111" s="98"/>
      <c r="AM111" s="94" t="s">
        <v>322</v>
      </c>
      <c r="AN111" s="94" t="s">
        <v>393</v>
      </c>
      <c r="AO111" s="102" t="str">
        <f>IFERROR(__xludf.DUMMYFUNCTION("IF($AG111, ""DELETED"",TRIM(JOIN("" "",D111:E111)))"),"")</f>
        <v/>
      </c>
      <c r="AP111" s="94" t="str">
        <f t="shared" ref="AP111:AQ111" si="145">IF($AG111, "DELETED", TRIM(CONCATENATE(F111,I111,U111)))</f>
        <v/>
      </c>
      <c r="AQ111" s="94" t="str">
        <f t="shared" si="145"/>
        <v/>
      </c>
      <c r="AR111" s="94" t="str">
        <f>IFERROR(__xludf.DUMMYFUNCTION("IF($AG111, ""DELETED"", TRIM(JOIN("" "",AP111,AQ111)))"),"")</f>
        <v/>
      </c>
      <c r="AS111" s="9"/>
      <c r="AT111" s="93" t="b">
        <f t="shared" si="12"/>
        <v>0</v>
      </c>
      <c r="AU111" s="93" t="str">
        <f t="shared" si="13"/>
        <v/>
      </c>
      <c r="AV111" s="93" t="str">
        <f t="shared" si="14"/>
        <v/>
      </c>
      <c r="AW111" s="93" t="str">
        <f t="shared" si="99"/>
        <v/>
      </c>
      <c r="AX111" s="107" t="str">
        <f t="shared" si="16"/>
        <v/>
      </c>
      <c r="AY111" s="98"/>
      <c r="AZ111" s="108"/>
      <c r="BA111" s="109" t="str">
        <f t="shared" si="17"/>
        <v/>
      </c>
      <c r="BB111" s="98"/>
      <c r="BC111" s="98"/>
      <c r="BD111" s="108"/>
      <c r="BE111" s="134"/>
      <c r="BF111" s="111" t="str">
        <f t="shared" si="18"/>
        <v/>
      </c>
      <c r="BG111" s="112" t="str">
        <f t="shared" si="19"/>
        <v>AG1103__44697_0.190300925925926___Negative_44697_0.361099537037037_</v>
      </c>
      <c r="BH111" s="113" t="str">
        <f t="shared" si="20"/>
        <v/>
      </c>
      <c r="BI111" s="202"/>
      <c r="BJ111" s="114" t="str">
        <f t="shared" si="21"/>
        <v/>
      </c>
      <c r="BK111" s="115" t="b">
        <f t="shared" si="105"/>
        <v>0</v>
      </c>
      <c r="BL111" s="114" t="str">
        <f t="shared" si="23"/>
        <v/>
      </c>
      <c r="BM111" s="108"/>
      <c r="BN111" s="7" t="b">
        <f t="shared" si="24"/>
        <v>1</v>
      </c>
      <c r="BO111" s="7" t="b">
        <f t="shared" si="25"/>
        <v>0</v>
      </c>
      <c r="BP111" s="7" t="b">
        <f t="shared" si="26"/>
        <v>1</v>
      </c>
      <c r="BQ111" s="118"/>
      <c r="BR111" s="119" t="s">
        <v>228</v>
      </c>
      <c r="BS111" s="7" t="b">
        <f t="shared" si="27"/>
        <v>1</v>
      </c>
      <c r="BT111" s="7"/>
      <c r="BU111" s="7"/>
      <c r="BV111" s="7"/>
      <c r="BW111" s="7"/>
    </row>
    <row r="112">
      <c r="A112" s="86" t="s">
        <v>392</v>
      </c>
      <c r="B112" s="87">
        <v>44697.0</v>
      </c>
      <c r="C112" s="88">
        <v>0.19030092592592593</v>
      </c>
      <c r="D112" s="89"/>
      <c r="E112" s="89"/>
      <c r="F112" s="3"/>
      <c r="G112" s="120"/>
      <c r="H112" s="121"/>
      <c r="I112" s="89"/>
      <c r="J112" s="89"/>
      <c r="K112" s="89" t="s">
        <v>228</v>
      </c>
      <c r="L112" s="36">
        <v>44697.0</v>
      </c>
      <c r="M112" s="91">
        <v>0.361099537037037</v>
      </c>
      <c r="N112" s="3"/>
      <c r="O112" s="92"/>
      <c r="P112" s="93" t="b">
        <f>IFNA(IF(VLOOKUP($A112,'Add from APT'!$AA$2:$AC264,3,FALSE)&gt;0,TRUE,FALSE),"ER - NOT IN APT")</f>
        <v>0</v>
      </c>
      <c r="Q112" s="94" t="str">
        <f>IF(ISLOGICAL(P112),IF(P112,"ER - REPS IN APT", IFNA(VLOOKUP($A112,RAW_APT!$A$3:$M264,7,FALSE),"ER - NOT IN APT")),P112)</f>
        <v>Result</v>
      </c>
      <c r="R112" s="95" t="b">
        <f t="shared" si="102"/>
        <v>0</v>
      </c>
      <c r="S112" s="96">
        <f t="shared" si="3"/>
        <v>4</v>
      </c>
      <c r="T112" s="97"/>
      <c r="U112" s="3"/>
      <c r="V112" s="3"/>
      <c r="W112" s="98"/>
      <c r="X112" s="99" t="b">
        <f t="shared" si="97"/>
        <v>0</v>
      </c>
      <c r="Y112" s="100"/>
      <c r="Z112" s="101" t="str">
        <f t="shared" si="5"/>
        <v/>
      </c>
      <c r="AA112" s="102" t="b">
        <f t="shared" si="6"/>
        <v>0</v>
      </c>
      <c r="AB112" s="98"/>
      <c r="AC112" s="103">
        <v>134.0</v>
      </c>
      <c r="AD112" s="104"/>
      <c r="AE112" s="105">
        <f t="shared" si="7"/>
        <v>245.95</v>
      </c>
      <c r="AF112" s="106" t="b">
        <f t="shared" si="103"/>
        <v>0</v>
      </c>
      <c r="AG112" s="93" t="b">
        <f t="shared" si="9"/>
        <v>0</v>
      </c>
      <c r="AH112" s="103"/>
      <c r="AI112" s="103"/>
      <c r="AJ112" s="97"/>
      <c r="AK112" s="101" t="str">
        <f t="shared" si="10"/>
        <v>Negative</v>
      </c>
      <c r="AL112" s="98"/>
      <c r="AM112" s="94" t="s">
        <v>322</v>
      </c>
      <c r="AN112" s="94" t="s">
        <v>329</v>
      </c>
      <c r="AO112" s="102" t="str">
        <f>IFERROR(__xludf.DUMMYFUNCTION("IF($AG112, ""DELETED"",TRIM(JOIN("" "",D112:E112)))"),"")</f>
        <v/>
      </c>
      <c r="AP112" s="94" t="str">
        <f t="shared" ref="AP112:AQ112" si="146">IF($AG112, "DELETED", TRIM(CONCATENATE(F112,I112,U112)))</f>
        <v/>
      </c>
      <c r="AQ112" s="94" t="str">
        <f t="shared" si="146"/>
        <v/>
      </c>
      <c r="AR112" s="94" t="str">
        <f>IFERROR(__xludf.DUMMYFUNCTION("IF($AG112, ""DELETED"", TRIM(JOIN("" "",AP112,AQ112)))"),"")</f>
        <v/>
      </c>
      <c r="AS112" s="9"/>
      <c r="AT112" s="93" t="b">
        <f t="shared" si="12"/>
        <v>0</v>
      </c>
      <c r="AU112" s="93" t="str">
        <f t="shared" si="13"/>
        <v/>
      </c>
      <c r="AV112" s="93" t="str">
        <f t="shared" si="14"/>
        <v/>
      </c>
      <c r="AW112" s="93" t="str">
        <f t="shared" si="99"/>
        <v/>
      </c>
      <c r="AX112" s="107" t="str">
        <f t="shared" si="16"/>
        <v/>
      </c>
      <c r="AY112" s="98"/>
      <c r="AZ112" s="108"/>
      <c r="BA112" s="109" t="str">
        <f t="shared" si="17"/>
        <v/>
      </c>
      <c r="BB112" s="98"/>
      <c r="BC112" s="98"/>
      <c r="BD112" s="108"/>
      <c r="BE112" s="134"/>
      <c r="BF112" s="111" t="str">
        <f t="shared" si="18"/>
        <v/>
      </c>
      <c r="BG112" s="112" t="str">
        <f t="shared" si="19"/>
        <v>AG1103__44697_0.190300925925926___Negative_44697_0.361099537037037_</v>
      </c>
      <c r="BH112" s="113" t="str">
        <f t="shared" si="20"/>
        <v/>
      </c>
      <c r="BI112" s="202"/>
      <c r="BJ112" s="114" t="str">
        <f t="shared" si="21"/>
        <v/>
      </c>
      <c r="BK112" s="115" t="b">
        <f t="shared" si="105"/>
        <v>0</v>
      </c>
      <c r="BL112" s="114" t="str">
        <f t="shared" si="23"/>
        <v/>
      </c>
      <c r="BM112" s="108"/>
      <c r="BN112" s="7" t="b">
        <f t="shared" si="24"/>
        <v>1</v>
      </c>
      <c r="BO112" s="7" t="b">
        <f t="shared" si="25"/>
        <v>0</v>
      </c>
      <c r="BP112" s="7" t="b">
        <f t="shared" si="26"/>
        <v>1</v>
      </c>
      <c r="BQ112" s="118"/>
      <c r="BR112" s="119" t="s">
        <v>228</v>
      </c>
      <c r="BS112" s="7" t="b">
        <f t="shared" si="27"/>
        <v>1</v>
      </c>
      <c r="BT112" s="7"/>
      <c r="BU112" s="7"/>
      <c r="BV112" s="7"/>
      <c r="BW112" s="7"/>
    </row>
    <row r="113">
      <c r="A113" s="86" t="s">
        <v>394</v>
      </c>
      <c r="B113" s="87">
        <v>44697.0</v>
      </c>
      <c r="C113" s="88">
        <v>0.2023611111111111</v>
      </c>
      <c r="D113" s="89"/>
      <c r="E113" s="89"/>
      <c r="F113" s="89"/>
      <c r="G113" s="86"/>
      <c r="H113" s="90"/>
      <c r="K113" s="89" t="s">
        <v>228</v>
      </c>
      <c r="L113" s="36">
        <v>44697.0</v>
      </c>
      <c r="M113" s="91">
        <v>0.3611111111111111</v>
      </c>
      <c r="N113" s="3"/>
      <c r="O113" s="142"/>
      <c r="P113" s="93" t="b">
        <f>IFNA(IF(VLOOKUP($A113,'Add from APT'!$AA$2:$AC264,3,FALSE)&gt;0,TRUE,FALSE),"ER - NOT IN APT")</f>
        <v>0</v>
      </c>
      <c r="Q113" s="94" t="str">
        <f>IF(ISLOGICAL(P113),IF(P113,"ER - REPS IN APT", IFNA(VLOOKUP($A113,RAW_APT!$A$3:$M264,7,FALSE),"ER - NOT IN APT")),P113)</f>
        <v>Result</v>
      </c>
      <c r="R113" s="95" t="b">
        <f t="shared" si="102"/>
        <v>1</v>
      </c>
      <c r="S113" s="96">
        <f t="shared" si="3"/>
        <v>3</v>
      </c>
      <c r="T113" s="103">
        <v>1.0</v>
      </c>
      <c r="U113" s="9"/>
      <c r="V113" s="9"/>
      <c r="W113" s="98"/>
      <c r="X113" s="99" t="b">
        <f>IF(ISBLANK(#REF!),IF(ISBLANK(#REF!),FALSE,"ER - LAST ONLY"),TRUE)</f>
        <v>1</v>
      </c>
      <c r="Y113" s="100"/>
      <c r="Z113" s="101" t="str">
        <f t="shared" si="5"/>
        <v/>
      </c>
      <c r="AA113" s="102" t="b">
        <f t="shared" si="6"/>
        <v>0</v>
      </c>
      <c r="AB113" s="98"/>
      <c r="AC113" s="103">
        <v>135.0</v>
      </c>
      <c r="AD113" s="104"/>
      <c r="AE113" s="105">
        <f t="shared" si="7"/>
        <v>228.6</v>
      </c>
      <c r="AF113" s="106" t="b">
        <f t="shared" si="103"/>
        <v>0</v>
      </c>
      <c r="AG113" s="93" t="b">
        <f t="shared" si="9"/>
        <v>0</v>
      </c>
      <c r="AH113" s="103"/>
      <c r="AI113" s="103"/>
      <c r="AJ113" s="103"/>
      <c r="AK113" s="101" t="str">
        <f t="shared" si="10"/>
        <v>Negative</v>
      </c>
      <c r="AL113" s="98"/>
      <c r="AM113" s="94" t="s">
        <v>332</v>
      </c>
      <c r="AN113" s="94" t="s">
        <v>333</v>
      </c>
      <c r="AO113" s="102" t="str">
        <f>IFERROR(__xludf.DUMMYFUNCTION("IF($AG113, ""DELETED"",TRIM(JOIN("" "",D113:E113)))"),"")</f>
        <v/>
      </c>
      <c r="AP113" s="94" t="str">
        <f t="shared" ref="AP113:AQ113" si="147">IF($AG113, "DELETED", TRIM(CONCATENATE(F113,I113,U113)))</f>
        <v/>
      </c>
      <c r="AQ113" s="94" t="str">
        <f t="shared" si="147"/>
        <v/>
      </c>
      <c r="AR113" s="94" t="str">
        <f>IFERROR(__xludf.DUMMYFUNCTION("IF($AG113, ""DELETED"", TRIM(JOIN("" "",AP113,AQ113)))"),"")</f>
        <v/>
      </c>
      <c r="AS113" s="9"/>
      <c r="AT113" s="93" t="b">
        <f t="shared" si="12"/>
        <v>1</v>
      </c>
      <c r="AU113" s="93" t="str">
        <f t="shared" si="13"/>
        <v/>
      </c>
      <c r="AV113" s="93" t="str">
        <f t="shared" si="14"/>
        <v/>
      </c>
      <c r="AW113" s="93">
        <f>IF($AG113,IFERROR(0/0,""),IF(ISBLANK(#REF!),IF(ISBLANK(#REF!),IFERROR(0/0,""),2),1))</f>
        <v>1</v>
      </c>
      <c r="AX113" s="107">
        <f t="shared" si="16"/>
        <v>1</v>
      </c>
      <c r="AY113" s="104"/>
      <c r="AZ113" s="138"/>
      <c r="BA113" s="109" t="str">
        <f t="shared" si="17"/>
        <v/>
      </c>
      <c r="BB113" s="104"/>
      <c r="BC113" s="104"/>
      <c r="BD113" s="108"/>
      <c r="BE113" s="134"/>
      <c r="BF113" s="111" t="str">
        <f t="shared" si="18"/>
        <v/>
      </c>
      <c r="BG113" s="112" t="str">
        <f t="shared" si="19"/>
        <v>AJ7985__44697_0.202361111111111___Negative_44697_0.361111111111111_</v>
      </c>
      <c r="BH113" s="113" t="str">
        <f t="shared" si="20"/>
        <v/>
      </c>
      <c r="BI113" s="202"/>
      <c r="BJ113" s="114" t="str">
        <f t="shared" si="21"/>
        <v/>
      </c>
      <c r="BK113" s="115" t="b">
        <f t="shared" si="105"/>
        <v>0</v>
      </c>
      <c r="BL113" s="114" t="str">
        <f t="shared" si="23"/>
        <v/>
      </c>
      <c r="BM113" s="108"/>
      <c r="BN113" s="7" t="b">
        <f t="shared" si="24"/>
        <v>1</v>
      </c>
      <c r="BO113" s="7" t="b">
        <f t="shared" si="25"/>
        <v>0</v>
      </c>
      <c r="BP113" s="7" t="b">
        <f t="shared" si="26"/>
        <v>1</v>
      </c>
      <c r="BQ113" s="118"/>
      <c r="BR113" s="119" t="s">
        <v>228</v>
      </c>
      <c r="BS113" s="7" t="b">
        <f t="shared" si="27"/>
        <v>1</v>
      </c>
      <c r="BT113" s="7"/>
      <c r="BU113" s="7"/>
      <c r="BV113" s="7"/>
      <c r="BW113" s="7"/>
    </row>
    <row r="114">
      <c r="A114" s="119" t="s">
        <v>394</v>
      </c>
      <c r="B114" s="87">
        <v>44697.0</v>
      </c>
      <c r="C114" s="88">
        <v>0.2023611111111111</v>
      </c>
      <c r="D114" s="89"/>
      <c r="E114" s="89"/>
      <c r="F114" s="89"/>
      <c r="G114" s="86"/>
      <c r="H114" s="90"/>
      <c r="I114" s="3"/>
      <c r="J114" s="3"/>
      <c r="K114" s="89" t="s">
        <v>228</v>
      </c>
      <c r="L114" s="36">
        <v>44697.0</v>
      </c>
      <c r="M114" s="91">
        <v>0.3611111111111111</v>
      </c>
      <c r="N114" s="3"/>
      <c r="O114" s="142"/>
      <c r="P114" s="93" t="b">
        <f>IFNA(IF(VLOOKUP($A114,'Add from APT'!$AA$2:$AC264,3,FALSE)&gt;0,TRUE,FALSE),"ER - NOT IN APT")</f>
        <v>0</v>
      </c>
      <c r="Q114" s="94" t="str">
        <f>IF(ISLOGICAL(P114),IF(P114,"ER - REPS IN APT", IFNA(VLOOKUP($A114,RAW_APT!$A$3:$M264,7,FALSE),"ER - NOT IN APT")),P114)</f>
        <v>Result</v>
      </c>
      <c r="R114" s="95" t="b">
        <f t="shared" si="102"/>
        <v>0</v>
      </c>
      <c r="S114" s="96">
        <f t="shared" si="3"/>
        <v>3</v>
      </c>
      <c r="T114" s="103">
        <v>1.0</v>
      </c>
      <c r="U114" s="3"/>
      <c r="V114" s="3"/>
      <c r="W114" s="98"/>
      <c r="X114" s="99" t="b">
        <f t="shared" ref="X114:X122" si="149">IF(ISBLANK($U114),IF(ISBLANK($V114),FALSE,"ER - LAST ONLY"),TRUE)</f>
        <v>0</v>
      </c>
      <c r="Y114" s="100"/>
      <c r="Z114" s="101" t="str">
        <f t="shared" si="5"/>
        <v/>
      </c>
      <c r="AA114" s="102" t="b">
        <f t="shared" si="6"/>
        <v>0</v>
      </c>
      <c r="AB114" s="98"/>
      <c r="AC114" s="103">
        <v>136.0</v>
      </c>
      <c r="AD114" s="104"/>
      <c r="AE114" s="105">
        <f t="shared" si="7"/>
        <v>228.6</v>
      </c>
      <c r="AF114" s="106" t="b">
        <f t="shared" si="103"/>
        <v>0</v>
      </c>
      <c r="AG114" s="93" t="b">
        <f t="shared" si="9"/>
        <v>0</v>
      </c>
      <c r="AH114" s="103"/>
      <c r="AI114" s="103"/>
      <c r="AJ114" s="103"/>
      <c r="AK114" s="101" t="str">
        <f t="shared" si="10"/>
        <v>Negative</v>
      </c>
      <c r="AL114" s="98"/>
      <c r="AM114" s="94" t="s">
        <v>332</v>
      </c>
      <c r="AN114" s="94" t="s">
        <v>335</v>
      </c>
      <c r="AO114" s="102" t="str">
        <f>IFERROR(__xludf.DUMMYFUNCTION("IF($AG114, ""DELETED"",TRIM(JOIN("" "",D114:E114)))"),"")</f>
        <v/>
      </c>
      <c r="AP114" s="94" t="str">
        <f t="shared" ref="AP114:AQ114" si="148">IF($AG114, "DELETED", TRIM(CONCATENATE(F114,I114,U114)))</f>
        <v/>
      </c>
      <c r="AQ114" s="94" t="str">
        <f t="shared" si="148"/>
        <v/>
      </c>
      <c r="AR114" s="94" t="str">
        <f>IFERROR(__xludf.DUMMYFUNCTION("IF($AG114, ""DELETED"", TRIM(JOIN("" "",AP114,AQ114)))"),"")</f>
        <v/>
      </c>
      <c r="AS114" s="9"/>
      <c r="AT114" s="93" t="b">
        <f t="shared" si="12"/>
        <v>0</v>
      </c>
      <c r="AU114" s="93" t="str">
        <f t="shared" si="13"/>
        <v/>
      </c>
      <c r="AV114" s="93" t="str">
        <f t="shared" si="14"/>
        <v/>
      </c>
      <c r="AW114" s="93" t="str">
        <f t="shared" ref="AW114:AW122" si="151">IF($AG114,IFERROR(0/0,""),IF(ISBLANK($U114),IF(ISBLANK($V114),IFERROR(0/0,""),2),1))</f>
        <v/>
      </c>
      <c r="AX114" s="107" t="str">
        <f t="shared" si="16"/>
        <v/>
      </c>
      <c r="AY114" s="104"/>
      <c r="AZ114" s="138"/>
      <c r="BA114" s="109" t="str">
        <f t="shared" si="17"/>
        <v/>
      </c>
      <c r="BB114" s="104"/>
      <c r="BC114" s="104"/>
      <c r="BD114" s="108"/>
      <c r="BE114" s="134"/>
      <c r="BF114" s="111" t="str">
        <f t="shared" si="18"/>
        <v/>
      </c>
      <c r="BG114" s="112" t="str">
        <f t="shared" si="19"/>
        <v>AJ7985__44697_0.202361111111111___Negative_44697_0.361111111111111_</v>
      </c>
      <c r="BH114" s="113" t="str">
        <f t="shared" si="20"/>
        <v/>
      </c>
      <c r="BI114" s="202"/>
      <c r="BJ114" s="114" t="str">
        <f t="shared" si="21"/>
        <v/>
      </c>
      <c r="BK114" s="115" t="b">
        <f t="shared" si="105"/>
        <v>0</v>
      </c>
      <c r="BL114" s="114" t="str">
        <f t="shared" si="23"/>
        <v/>
      </c>
      <c r="BM114" s="108"/>
      <c r="BN114" s="7" t="b">
        <f t="shared" si="24"/>
        <v>1</v>
      </c>
      <c r="BO114" s="7" t="b">
        <f t="shared" si="25"/>
        <v>0</v>
      </c>
      <c r="BP114" s="7" t="b">
        <f t="shared" si="26"/>
        <v>1</v>
      </c>
      <c r="BQ114" s="118"/>
      <c r="BR114" s="119" t="s">
        <v>228</v>
      </c>
      <c r="BS114" s="7" t="b">
        <f t="shared" si="27"/>
        <v>1</v>
      </c>
      <c r="BT114" s="7"/>
      <c r="BU114" s="7"/>
      <c r="BV114" s="7"/>
      <c r="BW114" s="7"/>
    </row>
    <row r="115">
      <c r="A115" s="86" t="s">
        <v>394</v>
      </c>
      <c r="B115" s="87">
        <v>44697.0</v>
      </c>
      <c r="C115" s="88">
        <v>0.2023611111111111</v>
      </c>
      <c r="D115" s="89"/>
      <c r="E115" s="89"/>
      <c r="F115" s="89"/>
      <c r="G115" s="86"/>
      <c r="H115" s="90"/>
      <c r="I115" s="3"/>
      <c r="J115" s="3"/>
      <c r="K115" s="89" t="s">
        <v>228</v>
      </c>
      <c r="L115" s="36">
        <v>44697.0</v>
      </c>
      <c r="M115" s="91">
        <v>0.3611111111111111</v>
      </c>
      <c r="N115" s="3"/>
      <c r="O115" s="142"/>
      <c r="P115" s="93" t="b">
        <f>IFNA(IF(VLOOKUP($A115,'Add from APT'!$AA$2:$AC264,3,FALSE)&gt;0,TRUE,FALSE),"ER - NOT IN APT")</f>
        <v>0</v>
      </c>
      <c r="Q115" s="94" t="str">
        <f>IF(ISLOGICAL(P115),IF(P115,"ER - REPS IN APT", IFNA(VLOOKUP($A115,RAW_APT!$A$3:$M264,7,FALSE),"ER - NOT IN APT")),P115)</f>
        <v>Result</v>
      </c>
      <c r="R115" s="95" t="b">
        <f t="shared" si="102"/>
        <v>0</v>
      </c>
      <c r="S115" s="96">
        <f t="shared" si="3"/>
        <v>3</v>
      </c>
      <c r="T115" s="103">
        <v>1.0</v>
      </c>
      <c r="U115" s="3"/>
      <c r="V115" s="3"/>
      <c r="W115" s="98"/>
      <c r="X115" s="99" t="b">
        <f t="shared" si="149"/>
        <v>0</v>
      </c>
      <c r="Y115" s="100"/>
      <c r="Z115" s="101" t="str">
        <f t="shared" si="5"/>
        <v/>
      </c>
      <c r="AA115" s="102" t="b">
        <f t="shared" si="6"/>
        <v>0</v>
      </c>
      <c r="AB115" s="98"/>
      <c r="AC115" s="103">
        <v>135.0</v>
      </c>
      <c r="AD115" s="104"/>
      <c r="AE115" s="105">
        <f t="shared" si="7"/>
        <v>228.6</v>
      </c>
      <c r="AF115" s="106" t="b">
        <f t="shared" si="103"/>
        <v>0</v>
      </c>
      <c r="AG115" s="93" t="b">
        <f t="shared" si="9"/>
        <v>0</v>
      </c>
      <c r="AH115" s="103"/>
      <c r="AI115" s="103"/>
      <c r="AJ115" s="97"/>
      <c r="AK115" s="101" t="str">
        <f t="shared" si="10"/>
        <v>Negative</v>
      </c>
      <c r="AL115" s="98"/>
      <c r="AM115" s="94" t="s">
        <v>332</v>
      </c>
      <c r="AN115" s="94" t="s">
        <v>339</v>
      </c>
      <c r="AO115" s="102" t="str">
        <f>IFERROR(__xludf.DUMMYFUNCTION("IF($AG115, ""DELETED"",TRIM(JOIN("" "",D115:E115)))"),"")</f>
        <v/>
      </c>
      <c r="AP115" s="94" t="str">
        <f t="shared" ref="AP115:AQ115" si="150">IF($AG115, "DELETED", TRIM(CONCATENATE(F115,I115,U115)))</f>
        <v/>
      </c>
      <c r="AQ115" s="94" t="str">
        <f t="shared" si="150"/>
        <v/>
      </c>
      <c r="AR115" s="94" t="str">
        <f>IFERROR(__xludf.DUMMYFUNCTION("IF($AG115, ""DELETED"", TRIM(JOIN("" "",AP115,AQ115)))"),"")</f>
        <v/>
      </c>
      <c r="AS115" s="9"/>
      <c r="AT115" s="93" t="b">
        <f t="shared" si="12"/>
        <v>0</v>
      </c>
      <c r="AU115" s="93" t="str">
        <f t="shared" si="13"/>
        <v/>
      </c>
      <c r="AV115" s="93" t="str">
        <f t="shared" si="14"/>
        <v/>
      </c>
      <c r="AW115" s="93" t="str">
        <f t="shared" si="151"/>
        <v/>
      </c>
      <c r="AX115" s="107" t="str">
        <f t="shared" si="16"/>
        <v/>
      </c>
      <c r="AY115" s="98"/>
      <c r="AZ115" s="108"/>
      <c r="BA115" s="109" t="str">
        <f t="shared" si="17"/>
        <v/>
      </c>
      <c r="BB115" s="98"/>
      <c r="BC115" s="98"/>
      <c r="BD115" s="108"/>
      <c r="BE115" s="134"/>
      <c r="BF115" s="111" t="str">
        <f t="shared" si="18"/>
        <v/>
      </c>
      <c r="BG115" s="112" t="str">
        <f t="shared" si="19"/>
        <v>AJ7985__44697_0.202361111111111___Negative_44697_0.361111111111111_</v>
      </c>
      <c r="BH115" s="113" t="str">
        <f t="shared" si="20"/>
        <v/>
      </c>
      <c r="BI115" s="202"/>
      <c r="BJ115" s="114" t="str">
        <f t="shared" si="21"/>
        <v/>
      </c>
      <c r="BK115" s="115" t="b">
        <f t="shared" si="105"/>
        <v>0</v>
      </c>
      <c r="BL115" s="114" t="str">
        <f t="shared" si="23"/>
        <v/>
      </c>
      <c r="BM115" s="108"/>
      <c r="BN115" s="7" t="b">
        <f t="shared" si="24"/>
        <v>1</v>
      </c>
      <c r="BO115" s="7" t="b">
        <f t="shared" si="25"/>
        <v>0</v>
      </c>
      <c r="BP115" s="7" t="b">
        <f t="shared" si="26"/>
        <v>1</v>
      </c>
      <c r="BQ115" s="118"/>
      <c r="BR115" s="119" t="s">
        <v>228</v>
      </c>
      <c r="BS115" s="7" t="b">
        <f t="shared" si="27"/>
        <v>1</v>
      </c>
      <c r="BT115" s="7"/>
      <c r="BU115" s="7"/>
      <c r="BV115" s="7"/>
      <c r="BW115" s="7"/>
    </row>
    <row r="116">
      <c r="A116" s="86" t="s">
        <v>395</v>
      </c>
      <c r="B116" s="87">
        <v>44697.0</v>
      </c>
      <c r="C116" s="88">
        <v>0.20684027777777778</v>
      </c>
      <c r="D116" s="89"/>
      <c r="E116" s="89"/>
      <c r="F116" s="89"/>
      <c r="G116" s="86"/>
      <c r="H116" s="89"/>
      <c r="I116" s="3"/>
      <c r="J116" s="3"/>
      <c r="K116" s="89" t="s">
        <v>228</v>
      </c>
      <c r="L116" s="36">
        <v>44697.0</v>
      </c>
      <c r="M116" s="91">
        <v>0.3611111111111111</v>
      </c>
      <c r="N116" s="3"/>
      <c r="O116" s="92"/>
      <c r="P116" s="93" t="b">
        <f>IFNA(IF(VLOOKUP($A116,'Add from APT'!$AA$2:$AC264,3,FALSE)&gt;0,TRUE,FALSE),"ER - NOT IN APT")</f>
        <v>0</v>
      </c>
      <c r="Q116" s="94" t="str">
        <f>IF(ISLOGICAL(P116),IF(P116,"ER - REPS IN APT", IFNA(VLOOKUP($A116,RAW_APT!$A$3:$M264,7,FALSE),"ER - NOT IN APT")),P116)</f>
        <v>Result</v>
      </c>
      <c r="R116" s="95" t="b">
        <f t="shared" si="102"/>
        <v>1</v>
      </c>
      <c r="S116" s="96">
        <f t="shared" si="3"/>
        <v>2</v>
      </c>
      <c r="T116" s="97"/>
      <c r="U116" s="3"/>
      <c r="V116" s="3"/>
      <c r="W116" s="98"/>
      <c r="X116" s="99" t="b">
        <f t="shared" si="149"/>
        <v>0</v>
      </c>
      <c r="Y116" s="100"/>
      <c r="Z116" s="101" t="str">
        <f t="shared" si="5"/>
        <v/>
      </c>
      <c r="AA116" s="102" t="b">
        <f t="shared" si="6"/>
        <v>0</v>
      </c>
      <c r="AB116" s="98"/>
      <c r="AC116" s="103">
        <v>138.0</v>
      </c>
      <c r="AD116" s="104"/>
      <c r="AE116" s="105">
        <f t="shared" si="7"/>
        <v>222.15</v>
      </c>
      <c r="AF116" s="106" t="b">
        <f t="shared" si="103"/>
        <v>0</v>
      </c>
      <c r="AG116" s="93" t="b">
        <f t="shared" si="9"/>
        <v>0</v>
      </c>
      <c r="AH116" s="103"/>
      <c r="AI116" s="103"/>
      <c r="AJ116" s="97"/>
      <c r="AK116" s="101" t="str">
        <f t="shared" si="10"/>
        <v>Negative</v>
      </c>
      <c r="AL116" s="98"/>
      <c r="AM116" s="94" t="s">
        <v>316</v>
      </c>
      <c r="AN116" s="94" t="s">
        <v>317</v>
      </c>
      <c r="AO116" s="102" t="str">
        <f>IFERROR(__xludf.DUMMYFUNCTION("IF($AG116, ""DELETED"",TRIM(JOIN("" "",D116:E116)))"),"")</f>
        <v/>
      </c>
      <c r="AP116" s="94" t="str">
        <f t="shared" ref="AP116:AQ116" si="152">IF($AG116, "DELETED", TRIM(CONCATENATE(F116,I116,U116)))</f>
        <v/>
      </c>
      <c r="AQ116" s="94" t="str">
        <f t="shared" si="152"/>
        <v/>
      </c>
      <c r="AR116" s="94" t="str">
        <f>IFERROR(__xludf.DUMMYFUNCTION("IF($AG116, ""DELETED"", TRIM(JOIN("" "",AP116,AQ116)))"),"")</f>
        <v/>
      </c>
      <c r="AS116" s="9"/>
      <c r="AT116" s="93" t="b">
        <f t="shared" si="12"/>
        <v>0</v>
      </c>
      <c r="AU116" s="93" t="str">
        <f t="shared" si="13"/>
        <v/>
      </c>
      <c r="AV116" s="93" t="str">
        <f t="shared" si="14"/>
        <v/>
      </c>
      <c r="AW116" s="93" t="str">
        <f t="shared" si="151"/>
        <v/>
      </c>
      <c r="AX116" s="107" t="str">
        <f t="shared" si="16"/>
        <v/>
      </c>
      <c r="AY116" s="98"/>
      <c r="AZ116" s="108"/>
      <c r="BA116" s="109" t="str">
        <f t="shared" si="17"/>
        <v/>
      </c>
      <c r="BB116" s="98"/>
      <c r="BC116" s="98"/>
      <c r="BD116" s="108"/>
      <c r="BE116" s="143"/>
      <c r="BF116" s="111" t="str">
        <f t="shared" si="18"/>
        <v/>
      </c>
      <c r="BG116" s="112" t="str">
        <f t="shared" si="19"/>
        <v>AH9668__44697_0.206840277777778___Negative_44697_0.361111111111111_</v>
      </c>
      <c r="BH116" s="113" t="str">
        <f t="shared" si="20"/>
        <v/>
      </c>
      <c r="BI116" s="203"/>
      <c r="BJ116" s="114" t="str">
        <f t="shared" si="21"/>
        <v/>
      </c>
      <c r="BK116" s="115" t="b">
        <f t="shared" si="105"/>
        <v>0</v>
      </c>
      <c r="BL116" s="114" t="str">
        <f t="shared" si="23"/>
        <v/>
      </c>
      <c r="BM116" s="108"/>
      <c r="BN116" s="7" t="b">
        <f t="shared" si="24"/>
        <v>1</v>
      </c>
      <c r="BO116" s="7" t="b">
        <f t="shared" si="25"/>
        <v>0</v>
      </c>
      <c r="BP116" s="7" t="b">
        <f t="shared" si="26"/>
        <v>1</v>
      </c>
      <c r="BQ116" s="118"/>
      <c r="BR116" s="119" t="s">
        <v>228</v>
      </c>
      <c r="BS116" s="7" t="b">
        <f t="shared" si="27"/>
        <v>1</v>
      </c>
      <c r="BT116" s="7"/>
      <c r="BU116" s="7"/>
      <c r="BV116" s="7"/>
      <c r="BW116" s="7"/>
    </row>
    <row r="117">
      <c r="A117" s="86" t="s">
        <v>395</v>
      </c>
      <c r="B117" s="87">
        <v>44697.0</v>
      </c>
      <c r="C117" s="88">
        <v>0.20684027777777778</v>
      </c>
      <c r="D117" s="89"/>
      <c r="E117" s="89"/>
      <c r="F117" s="89"/>
      <c r="G117" s="86"/>
      <c r="H117" s="90"/>
      <c r="I117" s="3"/>
      <c r="J117" s="3"/>
      <c r="K117" s="89" t="s">
        <v>228</v>
      </c>
      <c r="L117" s="36">
        <v>44697.0</v>
      </c>
      <c r="M117" s="91">
        <v>0.3611111111111111</v>
      </c>
      <c r="N117" s="3"/>
      <c r="O117" s="92"/>
      <c r="P117" s="93" t="b">
        <f>IFNA(IF(VLOOKUP($A117,'Add from APT'!$AA$2:$AC264,3,FALSE)&gt;0,TRUE,FALSE),"ER - NOT IN APT")</f>
        <v>0</v>
      </c>
      <c r="Q117" s="94" t="str">
        <f>IF(ISLOGICAL(P117),IF(P117,"ER - REPS IN APT", IFNA(VLOOKUP($A117,RAW_APT!$A$3:$M264,7,FALSE),"ER - NOT IN APT")),P117)</f>
        <v>Result</v>
      </c>
      <c r="R117" s="95" t="b">
        <f t="shared" si="102"/>
        <v>0</v>
      </c>
      <c r="S117" s="96">
        <f t="shared" si="3"/>
        <v>2</v>
      </c>
      <c r="T117" s="97"/>
      <c r="U117" s="3"/>
      <c r="V117" s="3"/>
      <c r="W117" s="98"/>
      <c r="X117" s="99" t="b">
        <f t="shared" si="149"/>
        <v>0</v>
      </c>
      <c r="Y117" s="100"/>
      <c r="Z117" s="101" t="str">
        <f t="shared" si="5"/>
        <v/>
      </c>
      <c r="AA117" s="102" t="b">
        <f t="shared" si="6"/>
        <v>0</v>
      </c>
      <c r="AB117" s="98"/>
      <c r="AC117" s="103">
        <v>137.0</v>
      </c>
      <c r="AD117" s="104"/>
      <c r="AE117" s="105">
        <f t="shared" si="7"/>
        <v>222.15</v>
      </c>
      <c r="AF117" s="106" t="b">
        <f t="shared" si="103"/>
        <v>0</v>
      </c>
      <c r="AG117" s="93" t="b">
        <f t="shared" si="9"/>
        <v>0</v>
      </c>
      <c r="AH117" s="103"/>
      <c r="AI117" s="103"/>
      <c r="AJ117" s="97"/>
      <c r="AK117" s="101" t="str">
        <f t="shared" si="10"/>
        <v>Negative</v>
      </c>
      <c r="AL117" s="98"/>
      <c r="AM117" s="94" t="s">
        <v>316</v>
      </c>
      <c r="AN117" s="94" t="s">
        <v>319</v>
      </c>
      <c r="AO117" s="102" t="str">
        <f>IFERROR(__xludf.DUMMYFUNCTION("IF($AG117, ""DELETED"",TRIM(JOIN("" "",D117:E117)))"),"")</f>
        <v/>
      </c>
      <c r="AP117" s="94" t="str">
        <f t="shared" ref="AP117:AQ117" si="153">IF($AG117, "DELETED", TRIM(CONCATENATE(F117,I117,U117)))</f>
        <v/>
      </c>
      <c r="AQ117" s="94" t="str">
        <f t="shared" si="153"/>
        <v/>
      </c>
      <c r="AR117" s="94" t="str">
        <f>IFERROR(__xludf.DUMMYFUNCTION("IF($AG117, ""DELETED"", TRIM(JOIN("" "",AP117,AQ117)))"),"")</f>
        <v/>
      </c>
      <c r="AS117" s="9"/>
      <c r="AT117" s="93" t="b">
        <f t="shared" si="12"/>
        <v>0</v>
      </c>
      <c r="AU117" s="93" t="str">
        <f t="shared" si="13"/>
        <v/>
      </c>
      <c r="AV117" s="93" t="str">
        <f t="shared" si="14"/>
        <v/>
      </c>
      <c r="AW117" s="93" t="str">
        <f t="shared" si="151"/>
        <v/>
      </c>
      <c r="AX117" s="107" t="str">
        <f t="shared" si="16"/>
        <v/>
      </c>
      <c r="AY117" s="98"/>
      <c r="AZ117" s="108"/>
      <c r="BA117" s="109" t="str">
        <f t="shared" si="17"/>
        <v/>
      </c>
      <c r="BB117" s="98"/>
      <c r="BC117" s="98"/>
      <c r="BD117" s="108"/>
      <c r="BE117" s="143"/>
      <c r="BF117" s="111" t="str">
        <f t="shared" si="18"/>
        <v/>
      </c>
      <c r="BG117" s="112" t="str">
        <f t="shared" si="19"/>
        <v>AH9668__44697_0.206840277777778___Negative_44697_0.361111111111111_</v>
      </c>
      <c r="BH117" s="113" t="str">
        <f t="shared" si="20"/>
        <v/>
      </c>
      <c r="BI117" s="203"/>
      <c r="BJ117" s="114" t="str">
        <f t="shared" si="21"/>
        <v/>
      </c>
      <c r="BK117" s="115" t="b">
        <f t="shared" si="105"/>
        <v>0</v>
      </c>
      <c r="BL117" s="114" t="str">
        <f t="shared" si="23"/>
        <v/>
      </c>
      <c r="BM117" s="108"/>
      <c r="BN117" s="7" t="b">
        <f t="shared" si="24"/>
        <v>1</v>
      </c>
      <c r="BO117" s="7" t="b">
        <f t="shared" si="25"/>
        <v>0</v>
      </c>
      <c r="BP117" s="7" t="b">
        <f t="shared" si="26"/>
        <v>1</v>
      </c>
      <c r="BQ117" s="118"/>
      <c r="BR117" s="119" t="s">
        <v>228</v>
      </c>
      <c r="BS117" s="7" t="b">
        <f t="shared" si="27"/>
        <v>1</v>
      </c>
      <c r="BT117" s="7"/>
      <c r="BU117" s="7"/>
      <c r="BV117" s="7"/>
      <c r="BW117" s="7"/>
    </row>
    <row r="118">
      <c r="A118" s="86" t="s">
        <v>396</v>
      </c>
      <c r="B118" s="87">
        <v>44697.0</v>
      </c>
      <c r="C118" s="88">
        <v>0.20903935185185185</v>
      </c>
      <c r="D118" s="89"/>
      <c r="E118" s="89"/>
      <c r="F118" s="89"/>
      <c r="G118" s="86"/>
      <c r="H118" s="90"/>
      <c r="I118" s="9"/>
      <c r="J118" s="9"/>
      <c r="K118" s="89" t="s">
        <v>228</v>
      </c>
      <c r="L118" s="36">
        <v>44697.0</v>
      </c>
      <c r="M118" s="91">
        <v>0.3611111111111111</v>
      </c>
      <c r="N118" s="3"/>
      <c r="O118" s="142"/>
      <c r="P118" s="93" t="b">
        <f>IFNA(IF(VLOOKUP($A118,'Add from APT'!$AA$2:$AC264,3,FALSE)&gt;0,TRUE,FALSE),"ER - NOT IN APT")</f>
        <v>0</v>
      </c>
      <c r="Q118" s="94" t="str">
        <f>IF(ISLOGICAL(P118),IF(P118,"ER - REPS IN APT", IFNA(VLOOKUP($A118,RAW_APT!$A$3:$M264,7,FALSE),"ER - NOT IN APT")),P118)</f>
        <v>Result</v>
      </c>
      <c r="R118" s="95" t="b">
        <f t="shared" si="102"/>
        <v>1</v>
      </c>
      <c r="S118" s="96">
        <f t="shared" si="3"/>
        <v>4</v>
      </c>
      <c r="T118" s="103">
        <v>2.0</v>
      </c>
      <c r="U118" s="9"/>
      <c r="V118" s="9"/>
      <c r="W118" s="9"/>
      <c r="X118" s="99" t="b">
        <f t="shared" si="149"/>
        <v>0</v>
      </c>
      <c r="Y118" s="100"/>
      <c r="Z118" s="101" t="str">
        <f t="shared" si="5"/>
        <v/>
      </c>
      <c r="AA118" s="102" t="b">
        <f t="shared" si="6"/>
        <v>0</v>
      </c>
      <c r="AB118" s="98"/>
      <c r="AC118" s="103">
        <v>139.0</v>
      </c>
      <c r="AD118" s="104"/>
      <c r="AE118" s="105">
        <f t="shared" si="7"/>
        <v>218.9833333</v>
      </c>
      <c r="AF118" s="106" t="b">
        <f t="shared" si="103"/>
        <v>0</v>
      </c>
      <c r="AG118" s="93" t="b">
        <f t="shared" si="9"/>
        <v>0</v>
      </c>
      <c r="AH118" s="103"/>
      <c r="AI118" s="103"/>
      <c r="AJ118" s="97"/>
      <c r="AK118" s="101" t="str">
        <f t="shared" si="10"/>
        <v>Negative</v>
      </c>
      <c r="AL118" s="98"/>
      <c r="AM118" s="94" t="s">
        <v>397</v>
      </c>
      <c r="AN118" s="94" t="s">
        <v>398</v>
      </c>
      <c r="AO118" s="102" t="str">
        <f>IFERROR(__xludf.DUMMYFUNCTION("IF($AG118, ""DELETED"",TRIM(JOIN("" "",D118:E118)))"),"")</f>
        <v/>
      </c>
      <c r="AP118" s="94" t="str">
        <f t="shared" ref="AP118:AQ118" si="154">IF($AG118, "DELETED", TRIM(CONCATENATE(F118,I118,U118)))</f>
        <v/>
      </c>
      <c r="AQ118" s="94" t="str">
        <f t="shared" si="154"/>
        <v/>
      </c>
      <c r="AR118" s="94" t="str">
        <f>IFERROR(__xludf.DUMMYFUNCTION("IF($AG118, ""DELETED"", TRIM(JOIN("" "",AP118,AQ118)))"),"")</f>
        <v/>
      </c>
      <c r="AS118" s="9"/>
      <c r="AT118" s="93" t="b">
        <f t="shared" si="12"/>
        <v>0</v>
      </c>
      <c r="AU118" s="93" t="str">
        <f t="shared" si="13"/>
        <v/>
      </c>
      <c r="AV118" s="93" t="str">
        <f t="shared" si="14"/>
        <v/>
      </c>
      <c r="AW118" s="93" t="str">
        <f t="shared" si="151"/>
        <v/>
      </c>
      <c r="AX118" s="107" t="str">
        <f t="shared" si="16"/>
        <v/>
      </c>
      <c r="AY118" s="98"/>
      <c r="AZ118" s="108"/>
      <c r="BA118" s="109" t="str">
        <f t="shared" si="17"/>
        <v/>
      </c>
      <c r="BB118" s="98"/>
      <c r="BC118" s="98"/>
      <c r="BD118" s="108"/>
      <c r="BE118" s="134"/>
      <c r="BF118" s="111" t="str">
        <f t="shared" si="18"/>
        <v/>
      </c>
      <c r="BG118" s="112" t="str">
        <f t="shared" si="19"/>
        <v>AJ8977__44697_0.209039351851852___Negative_44697_0.361111111111111_</v>
      </c>
      <c r="BH118" s="113" t="str">
        <f t="shared" si="20"/>
        <v/>
      </c>
      <c r="BI118" s="202"/>
      <c r="BJ118" s="114" t="str">
        <f t="shared" si="21"/>
        <v/>
      </c>
      <c r="BK118" s="115" t="b">
        <f t="shared" si="105"/>
        <v>0</v>
      </c>
      <c r="BL118" s="114" t="str">
        <f t="shared" si="23"/>
        <v/>
      </c>
      <c r="BM118" s="108"/>
      <c r="BN118" s="7" t="b">
        <f t="shared" si="24"/>
        <v>1</v>
      </c>
      <c r="BO118" s="7" t="b">
        <f t="shared" si="25"/>
        <v>0</v>
      </c>
      <c r="BP118" s="7" t="b">
        <f t="shared" si="26"/>
        <v>1</v>
      </c>
      <c r="BQ118" s="118"/>
      <c r="BR118" s="119" t="s">
        <v>228</v>
      </c>
      <c r="BS118" s="7" t="b">
        <f t="shared" si="27"/>
        <v>1</v>
      </c>
      <c r="BT118" s="7"/>
      <c r="BU118" s="7"/>
      <c r="BV118" s="7"/>
      <c r="BW118" s="7"/>
    </row>
    <row r="119">
      <c r="A119" s="86" t="s">
        <v>396</v>
      </c>
      <c r="B119" s="87">
        <v>44697.0</v>
      </c>
      <c r="C119" s="88">
        <v>0.20903935185185185</v>
      </c>
      <c r="D119" s="89"/>
      <c r="E119" s="89"/>
      <c r="F119" s="89"/>
      <c r="G119" s="86"/>
      <c r="H119" s="90"/>
      <c r="I119" s="9"/>
      <c r="J119" s="9"/>
      <c r="K119" s="89" t="s">
        <v>228</v>
      </c>
      <c r="L119" s="36">
        <v>44697.0</v>
      </c>
      <c r="M119" s="91">
        <v>0.3611111111111111</v>
      </c>
      <c r="N119" s="3"/>
      <c r="O119" s="142"/>
      <c r="P119" s="93" t="b">
        <f>IFNA(IF(VLOOKUP($A119,'Add from APT'!$AA$2:$AC264,3,FALSE)&gt;0,TRUE,FALSE),"ER - NOT IN APT")</f>
        <v>0</v>
      </c>
      <c r="Q119" s="94" t="str">
        <f>IF(ISLOGICAL(P119),IF(P119,"ER - REPS IN APT", IFNA(VLOOKUP($A119,RAW_APT!$A$3:$M264,7,FALSE),"ER - NOT IN APT")),P119)</f>
        <v>Result</v>
      </c>
      <c r="R119" s="95" t="b">
        <f t="shared" si="102"/>
        <v>0</v>
      </c>
      <c r="S119" s="96">
        <f t="shared" si="3"/>
        <v>4</v>
      </c>
      <c r="T119" s="103">
        <v>2.0</v>
      </c>
      <c r="U119" s="9"/>
      <c r="V119" s="9"/>
      <c r="W119" s="9"/>
      <c r="X119" s="99" t="b">
        <f t="shared" si="149"/>
        <v>0</v>
      </c>
      <c r="Y119" s="100"/>
      <c r="Z119" s="101" t="str">
        <f t="shared" si="5"/>
        <v/>
      </c>
      <c r="AA119" s="102" t="b">
        <f t="shared" si="6"/>
        <v>0</v>
      </c>
      <c r="AB119" s="98"/>
      <c r="AC119" s="103">
        <v>140.0</v>
      </c>
      <c r="AD119" s="104"/>
      <c r="AE119" s="105">
        <f t="shared" si="7"/>
        <v>218.9833333</v>
      </c>
      <c r="AF119" s="106" t="b">
        <f t="shared" si="103"/>
        <v>0</v>
      </c>
      <c r="AG119" s="93" t="b">
        <f t="shared" si="9"/>
        <v>0</v>
      </c>
      <c r="AH119" s="103"/>
      <c r="AI119" s="103"/>
      <c r="AJ119" s="97"/>
      <c r="AK119" s="101" t="str">
        <f t="shared" si="10"/>
        <v>Negative</v>
      </c>
      <c r="AL119" s="98"/>
      <c r="AM119" s="94" t="s">
        <v>397</v>
      </c>
      <c r="AN119" s="94" t="s">
        <v>399</v>
      </c>
      <c r="AO119" s="102" t="str">
        <f>IFERROR(__xludf.DUMMYFUNCTION("IF($AG119, ""DELETED"",TRIM(JOIN("" "",D119:E119)))"),"")</f>
        <v/>
      </c>
      <c r="AP119" s="94" t="str">
        <f t="shared" ref="AP119:AQ119" si="155">IF($AG119, "DELETED", TRIM(CONCATENATE(F119,I119,U119)))</f>
        <v/>
      </c>
      <c r="AQ119" s="94" t="str">
        <f t="shared" si="155"/>
        <v/>
      </c>
      <c r="AR119" s="94" t="str">
        <f>IFERROR(__xludf.DUMMYFUNCTION("IF($AG119, ""DELETED"", TRIM(JOIN("" "",AP119,AQ119)))"),"")</f>
        <v/>
      </c>
      <c r="AS119" s="9"/>
      <c r="AT119" s="93" t="b">
        <f t="shared" si="12"/>
        <v>0</v>
      </c>
      <c r="AU119" s="93" t="str">
        <f t="shared" si="13"/>
        <v/>
      </c>
      <c r="AV119" s="93" t="str">
        <f t="shared" si="14"/>
        <v/>
      </c>
      <c r="AW119" s="93" t="str">
        <f t="shared" si="151"/>
        <v/>
      </c>
      <c r="AX119" s="107" t="str">
        <f t="shared" si="16"/>
        <v/>
      </c>
      <c r="AY119" s="98"/>
      <c r="AZ119" s="108"/>
      <c r="BA119" s="109" t="str">
        <f t="shared" si="17"/>
        <v/>
      </c>
      <c r="BB119" s="98"/>
      <c r="BC119" s="98"/>
      <c r="BD119" s="108"/>
      <c r="BE119" s="143"/>
      <c r="BF119" s="111" t="str">
        <f t="shared" si="18"/>
        <v/>
      </c>
      <c r="BG119" s="112" t="str">
        <f t="shared" si="19"/>
        <v>AJ8977__44697_0.209039351851852___Negative_44697_0.361111111111111_</v>
      </c>
      <c r="BH119" s="113" t="str">
        <f t="shared" si="20"/>
        <v/>
      </c>
      <c r="BI119" s="203"/>
      <c r="BJ119" s="114" t="str">
        <f t="shared" si="21"/>
        <v/>
      </c>
      <c r="BK119" s="115" t="b">
        <f t="shared" si="105"/>
        <v>0</v>
      </c>
      <c r="BL119" s="114" t="str">
        <f t="shared" si="23"/>
        <v/>
      </c>
      <c r="BM119" s="108"/>
      <c r="BN119" s="7" t="b">
        <f t="shared" si="24"/>
        <v>1</v>
      </c>
      <c r="BO119" s="7" t="b">
        <f t="shared" si="25"/>
        <v>0</v>
      </c>
      <c r="BP119" s="7" t="b">
        <f t="shared" si="26"/>
        <v>1</v>
      </c>
      <c r="BQ119" s="118"/>
      <c r="BR119" s="119" t="s">
        <v>228</v>
      </c>
      <c r="BS119" s="7" t="b">
        <f t="shared" si="27"/>
        <v>1</v>
      </c>
      <c r="BT119" s="7"/>
      <c r="BU119" s="7"/>
      <c r="BV119" s="7"/>
      <c r="BW119" s="7"/>
    </row>
    <row r="120">
      <c r="A120" s="86" t="s">
        <v>396</v>
      </c>
      <c r="B120" s="87">
        <v>44697.0</v>
      </c>
      <c r="C120" s="88">
        <v>0.20903935185185185</v>
      </c>
      <c r="D120" s="89"/>
      <c r="E120" s="89"/>
      <c r="F120" s="89"/>
      <c r="G120" s="86"/>
      <c r="H120" s="90"/>
      <c r="I120" s="3"/>
      <c r="J120" s="3"/>
      <c r="K120" s="89" t="s">
        <v>228</v>
      </c>
      <c r="L120" s="36">
        <v>44697.0</v>
      </c>
      <c r="M120" s="91">
        <v>0.3611111111111111</v>
      </c>
      <c r="N120" s="3"/>
      <c r="O120" s="142"/>
      <c r="P120" s="93" t="b">
        <f>IFNA(IF(VLOOKUP($A120,'Add from APT'!$AA$2:$AC264,3,FALSE)&gt;0,TRUE,FALSE),"ER - NOT IN APT")</f>
        <v>0</v>
      </c>
      <c r="Q120" s="94" t="str">
        <f>IF(ISLOGICAL(P120),IF(P120,"ER - REPS IN APT", IFNA(VLOOKUP($A120,RAW_APT!$A$3:$M264,7,FALSE),"ER - NOT IN APT")),P120)</f>
        <v>Result</v>
      </c>
      <c r="R120" s="95" t="b">
        <f t="shared" si="102"/>
        <v>0</v>
      </c>
      <c r="S120" s="96">
        <f t="shared" si="3"/>
        <v>4</v>
      </c>
      <c r="T120" s="103">
        <v>2.0</v>
      </c>
      <c r="U120" s="3"/>
      <c r="V120" s="3"/>
      <c r="W120" s="9"/>
      <c r="X120" s="99" t="b">
        <f t="shared" si="149"/>
        <v>0</v>
      </c>
      <c r="Y120" s="100"/>
      <c r="Z120" s="101" t="str">
        <f t="shared" si="5"/>
        <v/>
      </c>
      <c r="AA120" s="102" t="b">
        <f t="shared" si="6"/>
        <v>0</v>
      </c>
      <c r="AB120" s="98"/>
      <c r="AC120" s="103">
        <v>139.0</v>
      </c>
      <c r="AD120" s="104"/>
      <c r="AE120" s="105">
        <f t="shared" si="7"/>
        <v>218.9833333</v>
      </c>
      <c r="AF120" s="106" t="b">
        <f t="shared" si="103"/>
        <v>0</v>
      </c>
      <c r="AG120" s="93" t="b">
        <f t="shared" si="9"/>
        <v>0</v>
      </c>
      <c r="AH120" s="103"/>
      <c r="AI120" s="103"/>
      <c r="AJ120" s="97"/>
      <c r="AK120" s="101" t="str">
        <f t="shared" si="10"/>
        <v>Negative</v>
      </c>
      <c r="AL120" s="98"/>
      <c r="AM120" s="94" t="s">
        <v>397</v>
      </c>
      <c r="AN120" s="94" t="s">
        <v>400</v>
      </c>
      <c r="AO120" s="102" t="str">
        <f>IFERROR(__xludf.DUMMYFUNCTION("IF($AG120, ""DELETED"",TRIM(JOIN("" "",D120:E120)))"),"")</f>
        <v/>
      </c>
      <c r="AP120" s="94" t="str">
        <f t="shared" ref="AP120:AQ120" si="156">IF($AG120, "DELETED", TRIM(CONCATENATE(F120,I120,U120)))</f>
        <v/>
      </c>
      <c r="AQ120" s="94" t="str">
        <f t="shared" si="156"/>
        <v/>
      </c>
      <c r="AR120" s="94" t="str">
        <f>IFERROR(__xludf.DUMMYFUNCTION("IF($AG120, ""DELETED"", TRIM(JOIN("" "",AP120,AQ120)))"),"")</f>
        <v/>
      </c>
      <c r="AS120" s="9"/>
      <c r="AT120" s="93" t="b">
        <f t="shared" si="12"/>
        <v>0</v>
      </c>
      <c r="AU120" s="93" t="str">
        <f t="shared" si="13"/>
        <v/>
      </c>
      <c r="AV120" s="93" t="str">
        <f t="shared" si="14"/>
        <v/>
      </c>
      <c r="AW120" s="93" t="str">
        <f t="shared" si="151"/>
        <v/>
      </c>
      <c r="AX120" s="107" t="str">
        <f t="shared" si="16"/>
        <v/>
      </c>
      <c r="AY120" s="98"/>
      <c r="AZ120" s="108"/>
      <c r="BA120" s="109" t="str">
        <f t="shared" si="17"/>
        <v/>
      </c>
      <c r="BB120" s="98"/>
      <c r="BC120" s="98"/>
      <c r="BD120" s="108"/>
      <c r="BE120" s="143"/>
      <c r="BF120" s="111" t="str">
        <f t="shared" si="18"/>
        <v/>
      </c>
      <c r="BG120" s="112" t="str">
        <f t="shared" si="19"/>
        <v>AJ8977__44697_0.209039351851852___Negative_44697_0.361111111111111_</v>
      </c>
      <c r="BH120" s="113" t="str">
        <f t="shared" si="20"/>
        <v/>
      </c>
      <c r="BI120" s="203"/>
      <c r="BJ120" s="114" t="str">
        <f t="shared" si="21"/>
        <v/>
      </c>
      <c r="BK120" s="115" t="b">
        <f t="shared" si="105"/>
        <v>0</v>
      </c>
      <c r="BL120" s="114" t="str">
        <f t="shared" si="23"/>
        <v/>
      </c>
      <c r="BM120" s="108"/>
      <c r="BN120" s="7" t="b">
        <f t="shared" si="24"/>
        <v>1</v>
      </c>
      <c r="BO120" s="7" t="b">
        <f t="shared" si="25"/>
        <v>0</v>
      </c>
      <c r="BP120" s="7" t="b">
        <f t="shared" si="26"/>
        <v>1</v>
      </c>
      <c r="BQ120" s="118"/>
      <c r="BR120" s="119" t="s">
        <v>228</v>
      </c>
      <c r="BS120" s="7" t="b">
        <f t="shared" si="27"/>
        <v>1</v>
      </c>
      <c r="BT120" s="7"/>
      <c r="BU120" s="7"/>
      <c r="BV120" s="7"/>
      <c r="BW120" s="7"/>
    </row>
    <row r="121">
      <c r="A121" s="86" t="s">
        <v>396</v>
      </c>
      <c r="B121" s="87">
        <v>44697.0</v>
      </c>
      <c r="C121" s="88">
        <v>0.20903935185185185</v>
      </c>
      <c r="D121" s="89"/>
      <c r="E121" s="89"/>
      <c r="F121" s="89"/>
      <c r="G121" s="86"/>
      <c r="H121" s="90"/>
      <c r="I121" s="3"/>
      <c r="J121" s="3"/>
      <c r="K121" s="89" t="s">
        <v>228</v>
      </c>
      <c r="L121" s="36">
        <v>44697.0</v>
      </c>
      <c r="M121" s="91">
        <v>0.3611111111111111</v>
      </c>
      <c r="N121" s="3"/>
      <c r="O121" s="142"/>
      <c r="P121" s="93" t="b">
        <f>IFNA(IF(VLOOKUP($A121,'Add from APT'!$AA$2:$AC264,3,FALSE)&gt;0,TRUE,FALSE),"ER - NOT IN APT")</f>
        <v>0</v>
      </c>
      <c r="Q121" s="94" t="str">
        <f>IF(ISLOGICAL(P121),IF(P121,"ER - REPS IN APT", IFNA(VLOOKUP($A121,RAW_APT!$A$3:$M264,7,FALSE),"ER - NOT IN APT")),P121)</f>
        <v>Result</v>
      </c>
      <c r="R121" s="95" t="b">
        <f t="shared" si="102"/>
        <v>0</v>
      </c>
      <c r="S121" s="96">
        <f t="shared" si="3"/>
        <v>4</v>
      </c>
      <c r="T121" s="130">
        <v>2.0</v>
      </c>
      <c r="U121" s="3"/>
      <c r="V121" s="3"/>
      <c r="W121" s="104"/>
      <c r="X121" s="99" t="b">
        <f t="shared" si="149"/>
        <v>0</v>
      </c>
      <c r="Y121" s="100"/>
      <c r="Z121" s="101" t="str">
        <f t="shared" si="5"/>
        <v/>
      </c>
      <c r="AA121" s="102" t="b">
        <f t="shared" si="6"/>
        <v>0</v>
      </c>
      <c r="AB121" s="98"/>
      <c r="AC121" s="103">
        <v>140.0</v>
      </c>
      <c r="AD121" s="104"/>
      <c r="AE121" s="105">
        <f t="shared" si="7"/>
        <v>218.9833333</v>
      </c>
      <c r="AF121" s="106" t="b">
        <f t="shared" si="103"/>
        <v>0</v>
      </c>
      <c r="AG121" s="93" t="b">
        <f t="shared" si="9"/>
        <v>0</v>
      </c>
      <c r="AH121" s="103"/>
      <c r="AI121" s="103"/>
      <c r="AJ121" s="97"/>
      <c r="AK121" s="101" t="str">
        <f t="shared" si="10"/>
        <v>Negative</v>
      </c>
      <c r="AL121" s="98"/>
      <c r="AM121" s="94" t="s">
        <v>397</v>
      </c>
      <c r="AN121" s="94" t="s">
        <v>401</v>
      </c>
      <c r="AO121" s="102" t="str">
        <f>IFERROR(__xludf.DUMMYFUNCTION("IF($AG121, ""DELETED"",TRIM(JOIN("" "",D121:E121)))"),"")</f>
        <v/>
      </c>
      <c r="AP121" s="94" t="str">
        <f t="shared" ref="AP121:AQ121" si="157">IF($AG121, "DELETED", TRIM(CONCATENATE(F121,I121,U121)))</f>
        <v/>
      </c>
      <c r="AQ121" s="94" t="str">
        <f t="shared" si="157"/>
        <v/>
      </c>
      <c r="AR121" s="94" t="str">
        <f>IFERROR(__xludf.DUMMYFUNCTION("IF($AG121, ""DELETED"", TRIM(JOIN("" "",AP121,AQ121)))"),"")</f>
        <v/>
      </c>
      <c r="AS121" s="9"/>
      <c r="AT121" s="93" t="b">
        <f t="shared" si="12"/>
        <v>0</v>
      </c>
      <c r="AU121" s="93" t="str">
        <f t="shared" si="13"/>
        <v/>
      </c>
      <c r="AV121" s="93" t="str">
        <f t="shared" si="14"/>
        <v/>
      </c>
      <c r="AW121" s="93" t="str">
        <f t="shared" si="151"/>
        <v/>
      </c>
      <c r="AX121" s="107" t="str">
        <f t="shared" si="16"/>
        <v/>
      </c>
      <c r="AY121" s="98"/>
      <c r="AZ121" s="108"/>
      <c r="BA121" s="109" t="str">
        <f t="shared" si="17"/>
        <v/>
      </c>
      <c r="BB121" s="98"/>
      <c r="BC121" s="98"/>
      <c r="BD121" s="108"/>
      <c r="BE121" s="143"/>
      <c r="BF121" s="111" t="str">
        <f t="shared" si="18"/>
        <v/>
      </c>
      <c r="BG121" s="112" t="str">
        <f t="shared" si="19"/>
        <v>AJ8977__44697_0.209039351851852___Negative_44697_0.361111111111111_</v>
      </c>
      <c r="BH121" s="113" t="str">
        <f t="shared" si="20"/>
        <v/>
      </c>
      <c r="BI121" s="203"/>
      <c r="BJ121" s="114" t="str">
        <f t="shared" si="21"/>
        <v/>
      </c>
      <c r="BK121" s="115" t="b">
        <f t="shared" si="105"/>
        <v>0</v>
      </c>
      <c r="BL121" s="114" t="str">
        <f t="shared" si="23"/>
        <v/>
      </c>
      <c r="BM121" s="108"/>
      <c r="BN121" s="7" t="b">
        <f t="shared" si="24"/>
        <v>1</v>
      </c>
      <c r="BO121" s="7" t="b">
        <f t="shared" si="25"/>
        <v>0</v>
      </c>
      <c r="BP121" s="7" t="b">
        <f t="shared" si="26"/>
        <v>1</v>
      </c>
      <c r="BQ121" s="118"/>
      <c r="BR121" s="119" t="s">
        <v>228</v>
      </c>
      <c r="BS121" s="7" t="b">
        <f t="shared" si="27"/>
        <v>1</v>
      </c>
      <c r="BT121" s="7"/>
      <c r="BU121" s="7"/>
      <c r="BV121" s="7"/>
      <c r="BW121" s="7"/>
    </row>
    <row r="122">
      <c r="A122" s="86" t="s">
        <v>402</v>
      </c>
      <c r="B122" s="87">
        <v>44697.0</v>
      </c>
      <c r="C122" s="88">
        <v>0.26893518518518517</v>
      </c>
      <c r="D122" s="89"/>
      <c r="E122" s="89"/>
      <c r="F122" s="89"/>
      <c r="G122" s="86"/>
      <c r="H122" s="90"/>
      <c r="I122" s="3"/>
      <c r="J122" s="3"/>
      <c r="K122" s="89" t="s">
        <v>228</v>
      </c>
      <c r="L122" s="36">
        <v>44697.0</v>
      </c>
      <c r="M122" s="91">
        <v>0.3611111111111111</v>
      </c>
      <c r="N122" s="3"/>
      <c r="O122" s="92"/>
      <c r="P122" s="93" t="b">
        <f>IFNA(IF(VLOOKUP($A122,'Add from APT'!$AA$2:$AC264,3,FALSE)&gt;0,TRUE,FALSE),"ER - NOT IN APT")</f>
        <v>0</v>
      </c>
      <c r="Q122" s="94" t="str">
        <f>IF(ISLOGICAL(P122),IF(P122,"ER - REPS IN APT", IFNA(VLOOKUP($A122,RAW_APT!$A$3:$M264,7,FALSE),"ER - NOT IN APT")),P122)</f>
        <v>Result</v>
      </c>
      <c r="R122" s="95" t="b">
        <f t="shared" si="102"/>
        <v>1</v>
      </c>
      <c r="S122" s="96">
        <f t="shared" si="3"/>
        <v>1</v>
      </c>
      <c r="T122" s="97"/>
      <c r="U122" s="3"/>
      <c r="V122" s="3"/>
      <c r="W122" s="98"/>
      <c r="X122" s="99" t="b">
        <f t="shared" si="149"/>
        <v>0</v>
      </c>
      <c r="Y122" s="100"/>
      <c r="Z122" s="101" t="str">
        <f t="shared" si="5"/>
        <v/>
      </c>
      <c r="AA122" s="102" t="b">
        <f t="shared" si="6"/>
        <v>0</v>
      </c>
      <c r="AB122" s="98"/>
      <c r="AC122" s="103">
        <v>141.0</v>
      </c>
      <c r="AD122" s="104"/>
      <c r="AE122" s="105">
        <f t="shared" si="7"/>
        <v>132.7333333</v>
      </c>
      <c r="AF122" s="106" t="b">
        <f t="shared" si="103"/>
        <v>0</v>
      </c>
      <c r="AG122" s="93" t="b">
        <f t="shared" si="9"/>
        <v>0</v>
      </c>
      <c r="AH122" s="103"/>
      <c r="AI122" s="103"/>
      <c r="AJ122" s="97"/>
      <c r="AK122" s="101" t="str">
        <f t="shared" si="10"/>
        <v>Negative</v>
      </c>
      <c r="AL122" s="98"/>
      <c r="AM122" s="94" t="s">
        <v>361</v>
      </c>
      <c r="AN122" s="94" t="s">
        <v>362</v>
      </c>
      <c r="AO122" s="102" t="str">
        <f>IFERROR(__xludf.DUMMYFUNCTION("IF($AG122, ""DELETED"",TRIM(JOIN("" "",D122:E122)))"),"")</f>
        <v/>
      </c>
      <c r="AP122" s="94" t="str">
        <f t="shared" ref="AP122:AQ122" si="158">IF($AG122, "DELETED", TRIM(CONCATENATE(F122,I122,U122)))</f>
        <v/>
      </c>
      <c r="AQ122" s="94" t="str">
        <f t="shared" si="158"/>
        <v/>
      </c>
      <c r="AR122" s="94" t="str">
        <f>IFERROR(__xludf.DUMMYFUNCTION("IF($AG122, ""DELETED"", TRIM(JOIN("" "",AP122,AQ122)))"),"")</f>
        <v/>
      </c>
      <c r="AS122" s="9"/>
      <c r="AT122" s="93" t="b">
        <f t="shared" si="12"/>
        <v>0</v>
      </c>
      <c r="AU122" s="93" t="str">
        <f t="shared" si="13"/>
        <v/>
      </c>
      <c r="AV122" s="93" t="str">
        <f t="shared" si="14"/>
        <v/>
      </c>
      <c r="AW122" s="93" t="str">
        <f t="shared" si="151"/>
        <v/>
      </c>
      <c r="AX122" s="107" t="str">
        <f t="shared" si="16"/>
        <v/>
      </c>
      <c r="AY122" s="98"/>
      <c r="AZ122" s="108"/>
      <c r="BA122" s="109" t="str">
        <f t="shared" si="17"/>
        <v/>
      </c>
      <c r="BB122" s="98"/>
      <c r="BC122" s="98"/>
      <c r="BD122" s="108"/>
      <c r="BE122" s="134"/>
      <c r="BF122" s="111" t="str">
        <f t="shared" si="18"/>
        <v/>
      </c>
      <c r="BG122" s="112" t="str">
        <f t="shared" si="19"/>
        <v>AG570__44697_0.268935185185185___Negative_44697_0.361111111111111_</v>
      </c>
      <c r="BH122" s="113" t="str">
        <f t="shared" si="20"/>
        <v/>
      </c>
      <c r="BI122" s="202"/>
      <c r="BJ122" s="114" t="str">
        <f t="shared" si="21"/>
        <v/>
      </c>
      <c r="BK122" s="115" t="b">
        <f t="shared" si="105"/>
        <v>0</v>
      </c>
      <c r="BL122" s="114" t="str">
        <f t="shared" si="23"/>
        <v/>
      </c>
      <c r="BM122" s="108"/>
      <c r="BN122" s="7" t="b">
        <f t="shared" si="24"/>
        <v>1</v>
      </c>
      <c r="BO122" s="7" t="b">
        <f t="shared" si="25"/>
        <v>0</v>
      </c>
      <c r="BP122" s="7" t="b">
        <f t="shared" si="26"/>
        <v>1</v>
      </c>
      <c r="BQ122" s="118"/>
      <c r="BR122" s="119" t="s">
        <v>228</v>
      </c>
      <c r="BS122" s="7" t="b">
        <f t="shared" si="27"/>
        <v>1</v>
      </c>
      <c r="BT122" s="7"/>
      <c r="BU122" s="7"/>
      <c r="BV122" s="7"/>
      <c r="BW122" s="7"/>
    </row>
    <row r="123">
      <c r="A123" s="86" t="s">
        <v>403</v>
      </c>
      <c r="B123" s="87">
        <v>44697.0</v>
      </c>
      <c r="C123" s="88">
        <v>0.31871527777777775</v>
      </c>
      <c r="D123" s="89"/>
      <c r="E123" s="89"/>
      <c r="H123" s="89"/>
      <c r="I123" s="3"/>
      <c r="J123" s="3"/>
      <c r="K123" s="89" t="s">
        <v>228</v>
      </c>
      <c r="L123" s="36">
        <v>44697.0</v>
      </c>
      <c r="M123" s="91">
        <v>0.3611111111111111</v>
      </c>
      <c r="N123" s="3"/>
      <c r="O123" s="142"/>
      <c r="P123" s="93" t="b">
        <f>IFNA(IF(VLOOKUP($A123,'Add from APT'!$AA$2:$AC264,3,FALSE)&gt;0,TRUE,FALSE),"ER - NOT IN APT")</f>
        <v>0</v>
      </c>
      <c r="Q123" s="94" t="str">
        <f>IF(ISLOGICAL(P123),IF(P123,"ER - REPS IN APT", IFNA(VLOOKUP($A123,RAW_APT!$A$3:$M264,7,FALSE),"ER - NOT IN APT")),P123)</f>
        <v>Result</v>
      </c>
      <c r="R123" s="95" t="b">
        <f t="shared" si="102"/>
        <v>1</v>
      </c>
      <c r="S123" s="96">
        <f t="shared" si="3"/>
        <v>1</v>
      </c>
      <c r="T123" s="103">
        <v>1.0</v>
      </c>
      <c r="U123" s="9"/>
      <c r="V123" s="119"/>
      <c r="W123" s="98"/>
      <c r="X123" s="99" t="b">
        <f>IF(ISBLANK(#REF!),IF(ISBLANK(#REF!),FALSE,"ER - LAST ONLY"),TRUE)</f>
        <v>1</v>
      </c>
      <c r="Y123" s="100"/>
      <c r="Z123" s="101" t="str">
        <f t="shared" si="5"/>
        <v/>
      </c>
      <c r="AA123" s="102" t="b">
        <f t="shared" si="6"/>
        <v>0</v>
      </c>
      <c r="AB123" s="98"/>
      <c r="AC123" s="103">
        <v>142.0</v>
      </c>
      <c r="AD123" s="104"/>
      <c r="AE123" s="105">
        <f t="shared" si="7"/>
        <v>61.05</v>
      </c>
      <c r="AF123" s="106" t="b">
        <f t="shared" si="103"/>
        <v>0</v>
      </c>
      <c r="AG123" s="93" t="b">
        <f t="shared" si="9"/>
        <v>0</v>
      </c>
      <c r="AH123" s="103"/>
      <c r="AI123" s="103"/>
      <c r="AJ123" s="97"/>
      <c r="AK123" s="101" t="str">
        <f t="shared" si="10"/>
        <v>Negative</v>
      </c>
      <c r="AL123" s="98"/>
      <c r="AM123" s="94" t="s">
        <v>365</v>
      </c>
      <c r="AN123" s="94" t="s">
        <v>404</v>
      </c>
      <c r="AO123" s="102" t="str">
        <f>IFERROR(__xludf.DUMMYFUNCTION("IF($AG123, ""DELETED"",TRIM(JOIN("" "",D123:E123)))"),"")</f>
        <v/>
      </c>
      <c r="AP123" s="94" t="str">
        <f t="shared" ref="AP123:AQ123" si="159">IF($AG123, "DELETED", TRIM(CONCATENATE(F123,I123,U123)))</f>
        <v/>
      </c>
      <c r="AQ123" s="94" t="str">
        <f t="shared" si="159"/>
        <v/>
      </c>
      <c r="AR123" s="94" t="str">
        <f>IFERROR(__xludf.DUMMYFUNCTION("IF($AG123, ""DELETED"", TRIM(JOIN("" "",AP123,AQ123)))"),"")</f>
        <v/>
      </c>
      <c r="AS123" s="9"/>
      <c r="AT123" s="93" t="b">
        <f t="shared" si="12"/>
        <v>1</v>
      </c>
      <c r="AU123" s="93" t="str">
        <f t="shared" si="13"/>
        <v/>
      </c>
      <c r="AV123" s="93" t="str">
        <f t="shared" si="14"/>
        <v/>
      </c>
      <c r="AW123" s="93">
        <f>IF($AG123,IFERROR(0/0,""),IF(ISBLANK(#REF!),IF(ISBLANK(#REF!),IFERROR(0/0,""),2),1))</f>
        <v>1</v>
      </c>
      <c r="AX123" s="107" t="str">
        <f t="shared" si="16"/>
        <v/>
      </c>
      <c r="AY123" s="98"/>
      <c r="AZ123" s="108"/>
      <c r="BA123" s="109" t="str">
        <f t="shared" si="17"/>
        <v/>
      </c>
      <c r="BB123" s="98"/>
      <c r="BC123" s="98"/>
      <c r="BD123" s="108"/>
      <c r="BE123" s="134"/>
      <c r="BF123" s="111" t="str">
        <f t="shared" si="18"/>
        <v/>
      </c>
      <c r="BG123" s="112" t="str">
        <f t="shared" si="19"/>
        <v>AH63__44697_0.318715277777778___Negative_44697_0.361111111111111_</v>
      </c>
      <c r="BH123" s="113" t="str">
        <f t="shared" si="20"/>
        <v/>
      </c>
      <c r="BI123" s="202"/>
      <c r="BJ123" s="114" t="str">
        <f t="shared" si="21"/>
        <v/>
      </c>
      <c r="BK123" s="115" t="b">
        <f t="shared" si="105"/>
        <v>0</v>
      </c>
      <c r="BL123" s="114" t="str">
        <f t="shared" si="23"/>
        <v/>
      </c>
      <c r="BM123" s="108"/>
      <c r="BN123" s="7" t="b">
        <f t="shared" si="24"/>
        <v>1</v>
      </c>
      <c r="BO123" s="7" t="b">
        <f t="shared" si="25"/>
        <v>0</v>
      </c>
      <c r="BP123" s="7" t="b">
        <f t="shared" si="26"/>
        <v>1</v>
      </c>
      <c r="BQ123" s="118"/>
      <c r="BR123" s="119" t="s">
        <v>228</v>
      </c>
      <c r="BS123" s="7" t="b">
        <f t="shared" si="27"/>
        <v>1</v>
      </c>
      <c r="BT123" s="7"/>
      <c r="BU123" s="7"/>
      <c r="BV123" s="7"/>
      <c r="BW123" s="7"/>
    </row>
    <row r="124">
      <c r="A124" s="86" t="s">
        <v>405</v>
      </c>
      <c r="B124" s="87">
        <v>44697.0</v>
      </c>
      <c r="C124" s="88">
        <v>0.3221527777777778</v>
      </c>
      <c r="D124" s="89"/>
      <c r="E124" s="89"/>
      <c r="F124" s="89"/>
      <c r="G124" s="86"/>
      <c r="H124" s="90"/>
      <c r="I124" s="3"/>
      <c r="J124" s="3"/>
      <c r="K124" s="89" t="s">
        <v>228</v>
      </c>
      <c r="L124" s="36">
        <v>44697.0</v>
      </c>
      <c r="M124" s="91">
        <v>0.3611226851851852</v>
      </c>
      <c r="N124" s="3"/>
      <c r="O124" s="92"/>
      <c r="P124" s="93" t="b">
        <f>IFNA(IF(VLOOKUP($A124,'Add from APT'!$AA$2:$AC264,3,FALSE)&gt;0,TRUE,FALSE),"ER - NOT IN APT")</f>
        <v>0</v>
      </c>
      <c r="Q124" s="94" t="str">
        <f>IF(ISLOGICAL(P124),IF(P124,"ER - REPS IN APT", IFNA(VLOOKUP($A124,RAW_APT!$A$3:$M264,7,FALSE),"ER - NOT IN APT")),P124)</f>
        <v>Result</v>
      </c>
      <c r="R124" s="95" t="b">
        <f t="shared" si="102"/>
        <v>1</v>
      </c>
      <c r="S124" s="96">
        <f t="shared" si="3"/>
        <v>3</v>
      </c>
      <c r="T124" s="97"/>
      <c r="U124" s="3"/>
      <c r="V124" s="3"/>
      <c r="W124" s="9"/>
      <c r="X124" s="99" t="b">
        <f t="shared" ref="X124:X144" si="161">IF(ISBLANK($U124),IF(ISBLANK($V124),FALSE,"ER - LAST ONLY"),TRUE)</f>
        <v>0</v>
      </c>
      <c r="Y124" s="100"/>
      <c r="Z124" s="101" t="str">
        <f t="shared" si="5"/>
        <v/>
      </c>
      <c r="AA124" s="102" t="b">
        <f t="shared" si="6"/>
        <v>0</v>
      </c>
      <c r="AB124" s="98"/>
      <c r="AC124" s="103">
        <v>144.0</v>
      </c>
      <c r="AD124" s="104"/>
      <c r="AE124" s="105">
        <f t="shared" si="7"/>
        <v>56.11666667</v>
      </c>
      <c r="AF124" s="106" t="b">
        <f t="shared" si="103"/>
        <v>0</v>
      </c>
      <c r="AG124" s="93" t="b">
        <f t="shared" si="9"/>
        <v>0</v>
      </c>
      <c r="AH124" s="103"/>
      <c r="AI124" s="103"/>
      <c r="AJ124" s="97"/>
      <c r="AK124" s="101" t="str">
        <f t="shared" si="10"/>
        <v>Negative</v>
      </c>
      <c r="AL124" s="98"/>
      <c r="AM124" s="94" t="s">
        <v>406</v>
      </c>
      <c r="AN124" s="94" t="s">
        <v>323</v>
      </c>
      <c r="AO124" s="102" t="str">
        <f>IFERROR(__xludf.DUMMYFUNCTION("IF($AG124, ""DELETED"",TRIM(JOIN("" "",D124:E124)))"),"")</f>
        <v/>
      </c>
      <c r="AP124" s="94" t="str">
        <f t="shared" ref="AP124:AQ124" si="160">IF($AG124, "DELETED", TRIM(CONCATENATE(F124,I124,U124)))</f>
        <v/>
      </c>
      <c r="AQ124" s="94" t="str">
        <f t="shared" si="160"/>
        <v/>
      </c>
      <c r="AR124" s="94" t="str">
        <f>IFERROR(__xludf.DUMMYFUNCTION("IF($AG124, ""DELETED"", TRIM(JOIN("" "",AP124,AQ124)))"),"")</f>
        <v/>
      </c>
      <c r="AS124" s="9"/>
      <c r="AT124" s="93" t="b">
        <f t="shared" si="12"/>
        <v>0</v>
      </c>
      <c r="AU124" s="93" t="str">
        <f t="shared" si="13"/>
        <v/>
      </c>
      <c r="AV124" s="93" t="str">
        <f t="shared" si="14"/>
        <v/>
      </c>
      <c r="AW124" s="93" t="str">
        <f t="shared" ref="AW124:AW144" si="163">IF($AG124,IFERROR(0/0,""),IF(ISBLANK($U124),IF(ISBLANK($V124),IFERROR(0/0,""),2),1))</f>
        <v/>
      </c>
      <c r="AX124" s="107" t="str">
        <f t="shared" si="16"/>
        <v/>
      </c>
      <c r="AY124" s="98"/>
      <c r="AZ124" s="108"/>
      <c r="BA124" s="109" t="str">
        <f t="shared" si="17"/>
        <v/>
      </c>
      <c r="BB124" s="98"/>
      <c r="BC124" s="98"/>
      <c r="BD124" s="108"/>
      <c r="BE124" s="134"/>
      <c r="BF124" s="111" t="str">
        <f t="shared" si="18"/>
        <v/>
      </c>
      <c r="BG124" s="112" t="str">
        <f t="shared" si="19"/>
        <v>AG2159__44697_0.322152777777778___Negative_44697_0.361122685185185_</v>
      </c>
      <c r="BH124" s="113" t="str">
        <f t="shared" si="20"/>
        <v/>
      </c>
      <c r="BI124" s="202"/>
      <c r="BJ124" s="114" t="str">
        <f t="shared" si="21"/>
        <v/>
      </c>
      <c r="BK124" s="115" t="b">
        <f t="shared" si="105"/>
        <v>0</v>
      </c>
      <c r="BL124" s="114" t="str">
        <f t="shared" si="23"/>
        <v/>
      </c>
      <c r="BM124" s="108"/>
      <c r="BN124" s="7" t="b">
        <f t="shared" si="24"/>
        <v>1</v>
      </c>
      <c r="BO124" s="7" t="b">
        <f t="shared" si="25"/>
        <v>0</v>
      </c>
      <c r="BP124" s="7" t="b">
        <f t="shared" si="26"/>
        <v>1</v>
      </c>
      <c r="BQ124" s="118"/>
      <c r="BR124" s="119" t="s">
        <v>228</v>
      </c>
      <c r="BS124" s="7" t="b">
        <f t="shared" si="27"/>
        <v>1</v>
      </c>
      <c r="BT124" s="7"/>
      <c r="BU124" s="7"/>
      <c r="BV124" s="7"/>
      <c r="BW124" s="7"/>
    </row>
    <row r="125">
      <c r="A125" s="86" t="s">
        <v>405</v>
      </c>
      <c r="B125" s="87">
        <v>44697.0</v>
      </c>
      <c r="C125" s="88">
        <v>0.3221527777777778</v>
      </c>
      <c r="D125" s="89"/>
      <c r="E125" s="89"/>
      <c r="F125" s="89"/>
      <c r="G125" s="86"/>
      <c r="H125" s="90"/>
      <c r="I125" s="3"/>
      <c r="J125" s="3"/>
      <c r="K125" s="89" t="s">
        <v>228</v>
      </c>
      <c r="L125" s="36">
        <v>44697.0</v>
      </c>
      <c r="M125" s="91">
        <v>0.3611226851851852</v>
      </c>
      <c r="N125" s="3"/>
      <c r="O125" s="92"/>
      <c r="P125" s="93" t="b">
        <f>IFNA(IF(VLOOKUP($A125,'Add from APT'!$AA$2:$AC264,3,FALSE)&gt;0,TRUE,FALSE),"ER - NOT IN APT")</f>
        <v>0</v>
      </c>
      <c r="Q125" s="94" t="str">
        <f>IF(ISLOGICAL(P125),IF(P125,"ER - REPS IN APT", IFNA(VLOOKUP($A125,RAW_APT!$A$3:$M264,7,FALSE),"ER - NOT IN APT")),P125)</f>
        <v>Result</v>
      </c>
      <c r="R125" s="95" t="b">
        <f t="shared" si="102"/>
        <v>0</v>
      </c>
      <c r="S125" s="96">
        <f t="shared" si="3"/>
        <v>3</v>
      </c>
      <c r="T125" s="97"/>
      <c r="U125" s="3"/>
      <c r="V125" s="3"/>
      <c r="W125" s="9"/>
      <c r="X125" s="99" t="b">
        <f t="shared" si="161"/>
        <v>0</v>
      </c>
      <c r="Y125" s="100"/>
      <c r="Z125" s="101" t="str">
        <f t="shared" si="5"/>
        <v/>
      </c>
      <c r="AA125" s="102" t="b">
        <f t="shared" si="6"/>
        <v>0</v>
      </c>
      <c r="AB125" s="98"/>
      <c r="AC125" s="103">
        <v>145.0</v>
      </c>
      <c r="AD125" s="104"/>
      <c r="AE125" s="105">
        <f t="shared" si="7"/>
        <v>56.11666667</v>
      </c>
      <c r="AF125" s="106" t="b">
        <f t="shared" si="103"/>
        <v>0</v>
      </c>
      <c r="AG125" s="93" t="b">
        <f t="shared" si="9"/>
        <v>0</v>
      </c>
      <c r="AH125" s="103"/>
      <c r="AI125" s="103"/>
      <c r="AJ125" s="97"/>
      <c r="AK125" s="101" t="str">
        <f t="shared" si="10"/>
        <v>Negative</v>
      </c>
      <c r="AL125" s="98"/>
      <c r="AM125" s="94" t="s">
        <v>406</v>
      </c>
      <c r="AN125" s="94" t="s">
        <v>387</v>
      </c>
      <c r="AO125" s="102" t="str">
        <f>IFERROR(__xludf.DUMMYFUNCTION("IF($AG125, ""DELETED"",TRIM(JOIN("" "",D125:E125)))"),"")</f>
        <v/>
      </c>
      <c r="AP125" s="94" t="str">
        <f t="shared" ref="AP125:AQ125" si="162">IF($AG125, "DELETED", TRIM(CONCATENATE(F125,I125,U125)))</f>
        <v/>
      </c>
      <c r="AQ125" s="94" t="str">
        <f t="shared" si="162"/>
        <v/>
      </c>
      <c r="AR125" s="94" t="str">
        <f>IFERROR(__xludf.DUMMYFUNCTION("IF($AG125, ""DELETED"", TRIM(JOIN("" "",AP125,AQ125)))"),"")</f>
        <v/>
      </c>
      <c r="AS125" s="9"/>
      <c r="AT125" s="93" t="b">
        <f t="shared" si="12"/>
        <v>0</v>
      </c>
      <c r="AU125" s="93" t="str">
        <f t="shared" si="13"/>
        <v/>
      </c>
      <c r="AV125" s="93" t="str">
        <f t="shared" si="14"/>
        <v/>
      </c>
      <c r="AW125" s="93" t="str">
        <f t="shared" si="163"/>
        <v/>
      </c>
      <c r="AX125" s="107" t="str">
        <f t="shared" si="16"/>
        <v/>
      </c>
      <c r="AY125" s="98"/>
      <c r="AZ125" s="108"/>
      <c r="BA125" s="109" t="str">
        <f t="shared" si="17"/>
        <v/>
      </c>
      <c r="BB125" s="98"/>
      <c r="BC125" s="98"/>
      <c r="BD125" s="108"/>
      <c r="BE125" s="134"/>
      <c r="BF125" s="111" t="str">
        <f t="shared" si="18"/>
        <v/>
      </c>
      <c r="BG125" s="112" t="str">
        <f t="shared" si="19"/>
        <v>AG2159__44697_0.322152777777778___Negative_44697_0.361122685185185_</v>
      </c>
      <c r="BH125" s="113" t="str">
        <f t="shared" si="20"/>
        <v/>
      </c>
      <c r="BI125" s="202"/>
      <c r="BJ125" s="114" t="str">
        <f t="shared" si="21"/>
        <v/>
      </c>
      <c r="BK125" s="115" t="b">
        <f t="shared" si="105"/>
        <v>0</v>
      </c>
      <c r="BL125" s="114" t="str">
        <f t="shared" si="23"/>
        <v/>
      </c>
      <c r="BM125" s="108"/>
      <c r="BN125" s="7" t="b">
        <f t="shared" si="24"/>
        <v>1</v>
      </c>
      <c r="BO125" s="7" t="b">
        <f t="shared" si="25"/>
        <v>0</v>
      </c>
      <c r="BP125" s="7" t="b">
        <f t="shared" si="26"/>
        <v>1</v>
      </c>
      <c r="BQ125" s="118"/>
      <c r="BR125" s="119" t="s">
        <v>228</v>
      </c>
      <c r="BS125" s="7" t="b">
        <f t="shared" si="27"/>
        <v>1</v>
      </c>
      <c r="BT125" s="7"/>
      <c r="BU125" s="7"/>
      <c r="BV125" s="7"/>
      <c r="BW125" s="7"/>
    </row>
    <row r="126">
      <c r="A126" s="86" t="s">
        <v>405</v>
      </c>
      <c r="B126" s="87">
        <v>44697.0</v>
      </c>
      <c r="C126" s="88">
        <v>0.3221527777777778</v>
      </c>
      <c r="D126" s="89"/>
      <c r="E126" s="89"/>
      <c r="F126" s="89"/>
      <c r="G126" s="86"/>
      <c r="H126" s="89"/>
      <c r="I126" s="3"/>
      <c r="J126" s="3"/>
      <c r="K126" s="89" t="s">
        <v>228</v>
      </c>
      <c r="L126" s="36">
        <v>44697.0</v>
      </c>
      <c r="M126" s="91">
        <v>0.3611226851851852</v>
      </c>
      <c r="N126" s="3"/>
      <c r="O126" s="92"/>
      <c r="P126" s="93" t="b">
        <f>IFNA(IF(VLOOKUP($A126,'Add from APT'!$AA$2:$AC264,3,FALSE)&gt;0,TRUE,FALSE),"ER - NOT IN APT")</f>
        <v>0</v>
      </c>
      <c r="Q126" s="94" t="str">
        <f>IF(ISLOGICAL(P126),IF(P126,"ER - REPS IN APT", IFNA(VLOOKUP($A126,RAW_APT!$A$3:$M264,7,FALSE),"ER - NOT IN APT")),P126)</f>
        <v>Result</v>
      </c>
      <c r="R126" s="95" t="b">
        <f t="shared" si="102"/>
        <v>0</v>
      </c>
      <c r="S126" s="96">
        <f t="shared" si="3"/>
        <v>3</v>
      </c>
      <c r="T126" s="97"/>
      <c r="U126" s="3"/>
      <c r="V126" s="3"/>
      <c r="W126" s="9"/>
      <c r="X126" s="99" t="b">
        <f t="shared" si="161"/>
        <v>0</v>
      </c>
      <c r="Y126" s="100"/>
      <c r="Z126" s="101" t="str">
        <f t="shared" si="5"/>
        <v/>
      </c>
      <c r="AA126" s="102" t="b">
        <f t="shared" si="6"/>
        <v>0</v>
      </c>
      <c r="AB126" s="98"/>
      <c r="AC126" s="103">
        <v>143.0</v>
      </c>
      <c r="AD126" s="104"/>
      <c r="AE126" s="105">
        <f t="shared" si="7"/>
        <v>56.11666667</v>
      </c>
      <c r="AF126" s="106" t="b">
        <f t="shared" si="103"/>
        <v>0</v>
      </c>
      <c r="AG126" s="93" t="b">
        <f t="shared" si="9"/>
        <v>0</v>
      </c>
      <c r="AH126" s="103"/>
      <c r="AI126" s="103"/>
      <c r="AJ126" s="97"/>
      <c r="AK126" s="101" t="str">
        <f t="shared" si="10"/>
        <v>Negative</v>
      </c>
      <c r="AL126" s="98"/>
      <c r="AM126" s="94" t="s">
        <v>406</v>
      </c>
      <c r="AN126" s="94" t="s">
        <v>407</v>
      </c>
      <c r="AO126" s="102" t="str">
        <f>IFERROR(__xludf.DUMMYFUNCTION("IF($AG126, ""DELETED"",TRIM(JOIN("" "",D126:E126)))"),"")</f>
        <v/>
      </c>
      <c r="AP126" s="94" t="str">
        <f t="shared" ref="AP126:AQ126" si="164">IF($AG126, "DELETED", TRIM(CONCATENATE(F126,I126,U126)))</f>
        <v/>
      </c>
      <c r="AQ126" s="94" t="str">
        <f t="shared" si="164"/>
        <v/>
      </c>
      <c r="AR126" s="94" t="str">
        <f>IFERROR(__xludf.DUMMYFUNCTION("IF($AG126, ""DELETED"", TRIM(JOIN("" "",AP126,AQ126)))"),"")</f>
        <v/>
      </c>
      <c r="AS126" s="9"/>
      <c r="AT126" s="93" t="b">
        <f t="shared" si="12"/>
        <v>0</v>
      </c>
      <c r="AU126" s="93" t="str">
        <f t="shared" si="13"/>
        <v/>
      </c>
      <c r="AV126" s="93" t="str">
        <f t="shared" si="14"/>
        <v/>
      </c>
      <c r="AW126" s="93" t="str">
        <f t="shared" si="163"/>
        <v/>
      </c>
      <c r="AX126" s="107" t="str">
        <f t="shared" si="16"/>
        <v/>
      </c>
      <c r="AY126" s="98"/>
      <c r="AZ126" s="108"/>
      <c r="BA126" s="109" t="str">
        <f t="shared" si="17"/>
        <v/>
      </c>
      <c r="BB126" s="98"/>
      <c r="BC126" s="98"/>
      <c r="BD126" s="108"/>
      <c r="BE126" s="134"/>
      <c r="BF126" s="111" t="str">
        <f t="shared" si="18"/>
        <v/>
      </c>
      <c r="BG126" s="112" t="str">
        <f t="shared" si="19"/>
        <v>AG2159__44697_0.322152777777778___Negative_44697_0.361122685185185_</v>
      </c>
      <c r="BH126" s="113" t="str">
        <f t="shared" si="20"/>
        <v/>
      </c>
      <c r="BI126" s="202"/>
      <c r="BJ126" s="114" t="str">
        <f t="shared" si="21"/>
        <v/>
      </c>
      <c r="BK126" s="115" t="b">
        <f t="shared" si="105"/>
        <v>0</v>
      </c>
      <c r="BL126" s="114" t="str">
        <f t="shared" si="23"/>
        <v/>
      </c>
      <c r="BM126" s="108"/>
      <c r="BN126" s="7" t="b">
        <f t="shared" si="24"/>
        <v>1</v>
      </c>
      <c r="BO126" s="7" t="b">
        <f t="shared" si="25"/>
        <v>0</v>
      </c>
      <c r="BP126" s="7" t="b">
        <f t="shared" si="26"/>
        <v>1</v>
      </c>
      <c r="BQ126" s="118"/>
      <c r="BR126" s="119" t="s">
        <v>228</v>
      </c>
      <c r="BS126" s="7" t="b">
        <f t="shared" si="27"/>
        <v>1</v>
      </c>
      <c r="BT126" s="7"/>
      <c r="BU126" s="7"/>
      <c r="BV126" s="7"/>
      <c r="BW126" s="7"/>
    </row>
    <row r="127">
      <c r="A127" s="205" t="s">
        <v>408</v>
      </c>
      <c r="B127" s="206">
        <v>44703.0</v>
      </c>
      <c r="C127" s="207">
        <v>0.7817592592592593</v>
      </c>
      <c r="D127" s="208"/>
      <c r="E127" s="208"/>
      <c r="F127" s="208"/>
      <c r="G127" s="205"/>
      <c r="H127" s="209"/>
      <c r="I127" s="210"/>
      <c r="J127" s="210"/>
      <c r="K127" s="208" t="s">
        <v>205</v>
      </c>
      <c r="L127" s="211"/>
      <c r="M127" s="212"/>
      <c r="N127" s="210"/>
      <c r="O127" s="213"/>
      <c r="P127" s="214" t="b">
        <f>IFNA(IF(VLOOKUP($A127,'Add from APT'!$AA$2:$AC264,3,FALSE)&gt;0,TRUE,FALSE),"ER - NOT IN APT")</f>
        <v>0</v>
      </c>
      <c r="Q127" s="210" t="str">
        <f>IF(ISLOGICAL(P127),IF(P127,"ER - REPS IN APT", IFNA(VLOOKUP($A127,RAW_APT!$A$3:$M264,7,FALSE),"ER - NOT IN APT")),P127)</f>
        <v>Collected</v>
      </c>
      <c r="R127" s="215" t="b">
        <f t="shared" si="102"/>
        <v>1</v>
      </c>
      <c r="S127" s="215">
        <f t="shared" si="3"/>
        <v>4</v>
      </c>
      <c r="T127" s="216"/>
      <c r="U127" s="210"/>
      <c r="V127" s="210"/>
      <c r="W127" s="217"/>
      <c r="X127" s="218" t="b">
        <f t="shared" si="161"/>
        <v>0</v>
      </c>
      <c r="Y127" s="219"/>
      <c r="Z127" s="220" t="str">
        <f t="shared" si="5"/>
        <v/>
      </c>
      <c r="AA127" s="217" t="b">
        <f t="shared" si="6"/>
        <v>0</v>
      </c>
      <c r="AB127" s="217"/>
      <c r="AC127" s="215">
        <v>121.0</v>
      </c>
      <c r="AD127" s="220"/>
      <c r="AE127" s="221" t="str">
        <f t="shared" si="7"/>
        <v/>
      </c>
      <c r="AF127" s="214" t="b">
        <f t="shared" si="103"/>
        <v>0</v>
      </c>
      <c r="AG127" s="214" t="b">
        <f t="shared" si="9"/>
        <v>1</v>
      </c>
      <c r="AH127" s="215">
        <v>9.1</v>
      </c>
      <c r="AI127" s="215"/>
      <c r="AJ127" s="216"/>
      <c r="AK127" s="220" t="str">
        <f t="shared" si="10"/>
        <v>DELETED</v>
      </c>
      <c r="AL127" s="217"/>
      <c r="AM127" s="94" t="s">
        <v>206</v>
      </c>
      <c r="AN127" s="94" t="s">
        <v>206</v>
      </c>
      <c r="AO127" s="217" t="str">
        <f>IFERROR(__xludf.DUMMYFUNCTION("IF($AG127, ""DELETED"",TRIM(JOIN("" "",D127:E127)))"),"DELETED")</f>
        <v>DELETED</v>
      </c>
      <c r="AP127" s="210" t="str">
        <f t="shared" ref="AP127:AQ127" si="165">IF($AG127, "DELETED", TRIM(CONCATENATE(F127,I127,U127)))</f>
        <v>DELETED</v>
      </c>
      <c r="AQ127" s="210" t="str">
        <f t="shared" si="165"/>
        <v>DELETED</v>
      </c>
      <c r="AR127" s="210" t="str">
        <f>IFERROR(__xludf.DUMMYFUNCTION("IF($AG127, ""DELETED"", TRIM(JOIN("" "",AP127,AQ127)))"),"DELETED")</f>
        <v>DELETED</v>
      </c>
      <c r="AS127" s="222"/>
      <c r="AT127" s="214" t="b">
        <f t="shared" si="12"/>
        <v>1</v>
      </c>
      <c r="AU127" s="214" t="str">
        <f t="shared" si="13"/>
        <v/>
      </c>
      <c r="AV127" s="214" t="str">
        <f t="shared" si="14"/>
        <v/>
      </c>
      <c r="AW127" s="214" t="str">
        <f t="shared" si="163"/>
        <v/>
      </c>
      <c r="AX127" s="223" t="str">
        <f t="shared" si="16"/>
        <v/>
      </c>
      <c r="AY127" s="217"/>
      <c r="AZ127" s="108"/>
      <c r="BA127" s="220" t="str">
        <f t="shared" si="17"/>
        <v/>
      </c>
      <c r="BB127" s="217"/>
      <c r="BC127" s="217"/>
      <c r="BD127" s="217"/>
      <c r="BE127" s="224"/>
      <c r="BF127" s="225" t="str">
        <f t="shared" si="18"/>
        <v/>
      </c>
      <c r="BG127" s="226" t="str">
        <f t="shared" si="19"/>
        <v/>
      </c>
      <c r="BH127" s="227" t="str">
        <f t="shared" si="20"/>
        <v/>
      </c>
      <c r="BI127" s="228"/>
      <c r="BJ127" s="229" t="str">
        <f t="shared" si="21"/>
        <v/>
      </c>
      <c r="BK127" s="230" t="b">
        <f t="shared" si="105"/>
        <v>0</v>
      </c>
      <c r="BL127" s="229" t="str">
        <f t="shared" si="23"/>
        <v/>
      </c>
      <c r="BM127" s="217"/>
      <c r="BN127" s="214" t="b">
        <f t="shared" si="24"/>
        <v>0</v>
      </c>
      <c r="BO127" s="214" t="b">
        <f t="shared" si="25"/>
        <v>0</v>
      </c>
      <c r="BP127" s="214" t="b">
        <f t="shared" si="26"/>
        <v>0</v>
      </c>
      <c r="BQ127" s="118"/>
      <c r="BR127" s="231" t="s">
        <v>206</v>
      </c>
      <c r="BS127" s="7" t="b">
        <f t="shared" si="27"/>
        <v>1</v>
      </c>
      <c r="BT127" s="214"/>
      <c r="BU127" s="214"/>
      <c r="BV127" s="214"/>
      <c r="BW127" s="214"/>
    </row>
    <row r="128">
      <c r="A128" s="205" t="s">
        <v>408</v>
      </c>
      <c r="B128" s="206">
        <v>44703.0</v>
      </c>
      <c r="C128" s="207">
        <v>0.7817592592592593</v>
      </c>
      <c r="D128" s="208"/>
      <c r="E128" s="208"/>
      <c r="F128" s="208"/>
      <c r="G128" s="205"/>
      <c r="H128" s="209"/>
      <c r="I128" s="210"/>
      <c r="J128" s="210"/>
      <c r="K128" s="208" t="s">
        <v>205</v>
      </c>
      <c r="L128" s="211"/>
      <c r="M128" s="212"/>
      <c r="N128" s="210"/>
      <c r="O128" s="213"/>
      <c r="P128" s="214" t="b">
        <f>IFNA(IF(VLOOKUP($A128,'Add from APT'!$AA$2:$AC264,3,FALSE)&gt;0,TRUE,FALSE),"ER - NOT IN APT")</f>
        <v>0</v>
      </c>
      <c r="Q128" s="210" t="str">
        <f>IF(ISLOGICAL(P128),IF(P128,"ER - REPS IN APT", IFNA(VLOOKUP($A128,RAW_APT!$A$3:$M264,7,FALSE),"ER - NOT IN APT")),P128)</f>
        <v>Collected</v>
      </c>
      <c r="R128" s="215" t="b">
        <f t="shared" si="102"/>
        <v>0</v>
      </c>
      <c r="S128" s="215">
        <f t="shared" si="3"/>
        <v>4</v>
      </c>
      <c r="T128" s="216"/>
      <c r="U128" s="210"/>
      <c r="V128" s="210"/>
      <c r="W128" s="217"/>
      <c r="X128" s="218" t="b">
        <f t="shared" si="161"/>
        <v>0</v>
      </c>
      <c r="Y128" s="219"/>
      <c r="Z128" s="220" t="str">
        <f t="shared" si="5"/>
        <v/>
      </c>
      <c r="AA128" s="217" t="b">
        <f t="shared" si="6"/>
        <v>0</v>
      </c>
      <c r="AB128" s="217"/>
      <c r="AC128" s="215">
        <v>122.0</v>
      </c>
      <c r="AD128" s="220"/>
      <c r="AE128" s="221" t="str">
        <f t="shared" si="7"/>
        <v/>
      </c>
      <c r="AF128" s="214" t="b">
        <f t="shared" si="103"/>
        <v>0</v>
      </c>
      <c r="AG128" s="214" t="b">
        <f t="shared" si="9"/>
        <v>1</v>
      </c>
      <c r="AH128" s="215">
        <v>9.1</v>
      </c>
      <c r="AI128" s="215"/>
      <c r="AJ128" s="216"/>
      <c r="AK128" s="220" t="str">
        <f t="shared" si="10"/>
        <v>DELETED</v>
      </c>
      <c r="AL128" s="217"/>
      <c r="AM128" s="94" t="s">
        <v>206</v>
      </c>
      <c r="AN128" s="94" t="s">
        <v>206</v>
      </c>
      <c r="AO128" s="217" t="str">
        <f>IFERROR(__xludf.DUMMYFUNCTION("IF($AG128, ""DELETED"",TRIM(JOIN("" "",D128:E128)))"),"DELETED")</f>
        <v>DELETED</v>
      </c>
      <c r="AP128" s="210" t="str">
        <f t="shared" ref="AP128:AQ128" si="166">IF($AG128, "DELETED", TRIM(CONCATENATE(F128,I128,U128)))</f>
        <v>DELETED</v>
      </c>
      <c r="AQ128" s="210" t="str">
        <f t="shared" si="166"/>
        <v>DELETED</v>
      </c>
      <c r="AR128" s="210" t="str">
        <f>IFERROR(__xludf.DUMMYFUNCTION("IF($AG128, ""DELETED"", TRIM(JOIN("" "",AP128,AQ128)))"),"DELETED")</f>
        <v>DELETED</v>
      </c>
      <c r="AS128" s="222"/>
      <c r="AT128" s="214" t="b">
        <f t="shared" si="12"/>
        <v>1</v>
      </c>
      <c r="AU128" s="214" t="str">
        <f t="shared" si="13"/>
        <v/>
      </c>
      <c r="AV128" s="214" t="str">
        <f t="shared" si="14"/>
        <v/>
      </c>
      <c r="AW128" s="214" t="str">
        <f t="shared" si="163"/>
        <v/>
      </c>
      <c r="AX128" s="223" t="str">
        <f t="shared" si="16"/>
        <v/>
      </c>
      <c r="AY128" s="217"/>
      <c r="AZ128" s="108"/>
      <c r="BA128" s="220" t="str">
        <f t="shared" si="17"/>
        <v/>
      </c>
      <c r="BB128" s="217"/>
      <c r="BC128" s="217"/>
      <c r="BD128" s="217"/>
      <c r="BE128" s="224"/>
      <c r="BF128" s="225" t="str">
        <f t="shared" si="18"/>
        <v/>
      </c>
      <c r="BG128" s="226" t="str">
        <f t="shared" si="19"/>
        <v/>
      </c>
      <c r="BH128" s="227" t="str">
        <f t="shared" si="20"/>
        <v/>
      </c>
      <c r="BI128" s="228"/>
      <c r="BJ128" s="229" t="str">
        <f t="shared" si="21"/>
        <v/>
      </c>
      <c r="BK128" s="230" t="b">
        <f t="shared" si="105"/>
        <v>0</v>
      </c>
      <c r="BL128" s="229" t="str">
        <f t="shared" si="23"/>
        <v/>
      </c>
      <c r="BM128" s="217"/>
      <c r="BN128" s="214" t="b">
        <f t="shared" si="24"/>
        <v>0</v>
      </c>
      <c r="BO128" s="214" t="b">
        <f t="shared" si="25"/>
        <v>0</v>
      </c>
      <c r="BP128" s="214" t="b">
        <f t="shared" si="26"/>
        <v>0</v>
      </c>
      <c r="BQ128" s="118"/>
      <c r="BR128" s="231" t="s">
        <v>206</v>
      </c>
      <c r="BS128" s="7" t="b">
        <f t="shared" si="27"/>
        <v>1</v>
      </c>
      <c r="BT128" s="214"/>
      <c r="BU128" s="214"/>
      <c r="BV128" s="214"/>
      <c r="BW128" s="214"/>
    </row>
    <row r="129">
      <c r="A129" s="205" t="s">
        <v>408</v>
      </c>
      <c r="B129" s="206">
        <v>44703.0</v>
      </c>
      <c r="C129" s="207">
        <v>0.7817592592592593</v>
      </c>
      <c r="D129" s="208"/>
      <c r="E129" s="208"/>
      <c r="F129" s="208"/>
      <c r="G129" s="205"/>
      <c r="H129" s="209"/>
      <c r="I129" s="210"/>
      <c r="J129" s="210"/>
      <c r="K129" s="208" t="s">
        <v>205</v>
      </c>
      <c r="L129" s="211"/>
      <c r="M129" s="212"/>
      <c r="N129" s="210"/>
      <c r="O129" s="213"/>
      <c r="P129" s="214" t="b">
        <f>IFNA(IF(VLOOKUP($A129,'Add from APT'!$AA$2:$AC264,3,FALSE)&gt;0,TRUE,FALSE),"ER - NOT IN APT")</f>
        <v>0</v>
      </c>
      <c r="Q129" s="210" t="str">
        <f>IF(ISLOGICAL(P129),IF(P129,"ER - REPS IN APT", IFNA(VLOOKUP($A129,RAW_APT!$A$3:$M264,7,FALSE),"ER - NOT IN APT")),P129)</f>
        <v>Collected</v>
      </c>
      <c r="R129" s="215" t="b">
        <f t="shared" si="102"/>
        <v>0</v>
      </c>
      <c r="S129" s="215">
        <f t="shared" si="3"/>
        <v>4</v>
      </c>
      <c r="T129" s="216"/>
      <c r="U129" s="210"/>
      <c r="V129" s="222"/>
      <c r="W129" s="217"/>
      <c r="X129" s="218" t="b">
        <f t="shared" si="161"/>
        <v>0</v>
      </c>
      <c r="Y129" s="219"/>
      <c r="Z129" s="220" t="str">
        <f t="shared" si="5"/>
        <v/>
      </c>
      <c r="AA129" s="217" t="b">
        <f t="shared" si="6"/>
        <v>0</v>
      </c>
      <c r="AB129" s="217"/>
      <c r="AC129" s="215">
        <v>123.0</v>
      </c>
      <c r="AD129" s="220"/>
      <c r="AE129" s="221" t="str">
        <f t="shared" si="7"/>
        <v/>
      </c>
      <c r="AF129" s="214" t="b">
        <f t="shared" si="103"/>
        <v>0</v>
      </c>
      <c r="AG129" s="214" t="b">
        <f t="shared" si="9"/>
        <v>1</v>
      </c>
      <c r="AH129" s="215">
        <v>9.1</v>
      </c>
      <c r="AI129" s="215"/>
      <c r="AJ129" s="214"/>
      <c r="AK129" s="220" t="str">
        <f t="shared" si="10"/>
        <v>DELETED</v>
      </c>
      <c r="AL129" s="217"/>
      <c r="AM129" s="94" t="s">
        <v>206</v>
      </c>
      <c r="AN129" s="94" t="s">
        <v>206</v>
      </c>
      <c r="AO129" s="217" t="str">
        <f>IFERROR(__xludf.DUMMYFUNCTION("IF($AG129, ""DELETED"",TRIM(JOIN("" "",D129:E129)))"),"DELETED")</f>
        <v>DELETED</v>
      </c>
      <c r="AP129" s="210" t="str">
        <f t="shared" ref="AP129:AQ129" si="167">IF($AG129, "DELETED", TRIM(CONCATENATE(F129,I129,U129)))</f>
        <v>DELETED</v>
      </c>
      <c r="AQ129" s="210" t="str">
        <f t="shared" si="167"/>
        <v>DELETED</v>
      </c>
      <c r="AR129" s="210" t="str">
        <f>IFERROR(__xludf.DUMMYFUNCTION("IF($AG129, ""DELETED"", TRIM(JOIN("" "",AP129,AQ129)))"),"DELETED")</f>
        <v>DELETED</v>
      </c>
      <c r="AS129" s="222"/>
      <c r="AT129" s="214" t="b">
        <f t="shared" si="12"/>
        <v>1</v>
      </c>
      <c r="AU129" s="214" t="str">
        <f t="shared" si="13"/>
        <v/>
      </c>
      <c r="AV129" s="214" t="str">
        <f t="shared" si="14"/>
        <v/>
      </c>
      <c r="AW129" s="214" t="str">
        <f t="shared" si="163"/>
        <v/>
      </c>
      <c r="AX129" s="223" t="str">
        <f t="shared" si="16"/>
        <v/>
      </c>
      <c r="AY129" s="210"/>
      <c r="AZ129" s="129"/>
      <c r="BA129" s="220" t="str">
        <f t="shared" si="17"/>
        <v/>
      </c>
      <c r="BB129" s="210"/>
      <c r="BC129" s="210"/>
      <c r="BD129" s="217"/>
      <c r="BE129" s="224"/>
      <c r="BF129" s="225" t="str">
        <f t="shared" si="18"/>
        <v/>
      </c>
      <c r="BG129" s="226" t="str">
        <f t="shared" si="19"/>
        <v/>
      </c>
      <c r="BH129" s="227" t="str">
        <f t="shared" si="20"/>
        <v/>
      </c>
      <c r="BI129" s="228"/>
      <c r="BJ129" s="229" t="str">
        <f t="shared" si="21"/>
        <v/>
      </c>
      <c r="BK129" s="230" t="b">
        <f t="shared" si="105"/>
        <v>0</v>
      </c>
      <c r="BL129" s="229" t="str">
        <f t="shared" si="23"/>
        <v/>
      </c>
      <c r="BM129" s="217"/>
      <c r="BN129" s="214" t="b">
        <f t="shared" si="24"/>
        <v>0</v>
      </c>
      <c r="BO129" s="214" t="b">
        <f t="shared" si="25"/>
        <v>0</v>
      </c>
      <c r="BP129" s="214" t="b">
        <f t="shared" si="26"/>
        <v>0</v>
      </c>
      <c r="BQ129" s="118"/>
      <c r="BR129" s="231" t="s">
        <v>206</v>
      </c>
      <c r="BS129" s="7" t="b">
        <f t="shared" si="27"/>
        <v>1</v>
      </c>
      <c r="BT129" s="214"/>
      <c r="BU129" s="214"/>
      <c r="BV129" s="214"/>
      <c r="BW129" s="214"/>
    </row>
    <row r="130">
      <c r="A130" s="205" t="s">
        <v>408</v>
      </c>
      <c r="B130" s="206">
        <v>44703.0</v>
      </c>
      <c r="C130" s="207">
        <v>0.7817592592592593</v>
      </c>
      <c r="D130" s="208"/>
      <c r="E130" s="208"/>
      <c r="F130" s="208"/>
      <c r="G130" s="205"/>
      <c r="H130" s="209"/>
      <c r="I130" s="210"/>
      <c r="J130" s="210"/>
      <c r="K130" s="208" t="s">
        <v>205</v>
      </c>
      <c r="L130" s="211"/>
      <c r="M130" s="212"/>
      <c r="N130" s="210"/>
      <c r="O130" s="213"/>
      <c r="P130" s="214" t="b">
        <f>IFNA(IF(VLOOKUP($A130,'Add from APT'!$AA$2:$AC264,3,FALSE)&gt;0,TRUE,FALSE),"ER - NOT IN APT")</f>
        <v>0</v>
      </c>
      <c r="Q130" s="210" t="str">
        <f>IF(ISLOGICAL(P130),IF(P130,"ER - REPS IN APT", IFNA(VLOOKUP($A130,RAW_APT!$A$3:$M264,7,FALSE),"ER - NOT IN APT")),P130)</f>
        <v>Collected</v>
      </c>
      <c r="R130" s="215" t="b">
        <f t="shared" si="102"/>
        <v>0</v>
      </c>
      <c r="S130" s="215">
        <f t="shared" si="3"/>
        <v>4</v>
      </c>
      <c r="T130" s="216"/>
      <c r="U130" s="210"/>
      <c r="V130" s="210"/>
      <c r="W130" s="217"/>
      <c r="X130" s="218" t="b">
        <f t="shared" si="161"/>
        <v>0</v>
      </c>
      <c r="Y130" s="219"/>
      <c r="Z130" s="220" t="str">
        <f t="shared" si="5"/>
        <v/>
      </c>
      <c r="AA130" s="217" t="b">
        <f t="shared" si="6"/>
        <v>0</v>
      </c>
      <c r="AB130" s="217"/>
      <c r="AC130" s="215">
        <v>124.0</v>
      </c>
      <c r="AD130" s="220"/>
      <c r="AE130" s="221" t="str">
        <f t="shared" si="7"/>
        <v/>
      </c>
      <c r="AF130" s="214" t="b">
        <f t="shared" si="103"/>
        <v>0</v>
      </c>
      <c r="AG130" s="214" t="b">
        <f t="shared" si="9"/>
        <v>1</v>
      </c>
      <c r="AH130" s="215">
        <v>9.1</v>
      </c>
      <c r="AI130" s="215"/>
      <c r="AJ130" s="216"/>
      <c r="AK130" s="220" t="str">
        <f t="shared" si="10"/>
        <v>DELETED</v>
      </c>
      <c r="AL130" s="217"/>
      <c r="AM130" s="94" t="s">
        <v>206</v>
      </c>
      <c r="AN130" s="94" t="s">
        <v>206</v>
      </c>
      <c r="AO130" s="217" t="str">
        <f>IFERROR(__xludf.DUMMYFUNCTION("IF($AG130, ""DELETED"",TRIM(JOIN("" "",D130:E130)))"),"DELETED")</f>
        <v>DELETED</v>
      </c>
      <c r="AP130" s="210" t="str">
        <f t="shared" ref="AP130:AQ130" si="168">IF($AG130, "DELETED", TRIM(CONCATENATE(F130,I130,U130)))</f>
        <v>DELETED</v>
      </c>
      <c r="AQ130" s="210" t="str">
        <f t="shared" si="168"/>
        <v>DELETED</v>
      </c>
      <c r="AR130" s="210" t="str">
        <f>IFERROR(__xludf.DUMMYFUNCTION("IF($AG130, ""DELETED"", TRIM(JOIN("" "",AP130,AQ130)))"),"DELETED")</f>
        <v>DELETED</v>
      </c>
      <c r="AS130" s="222"/>
      <c r="AT130" s="214" t="b">
        <f t="shared" si="12"/>
        <v>1</v>
      </c>
      <c r="AU130" s="214" t="str">
        <f t="shared" si="13"/>
        <v/>
      </c>
      <c r="AV130" s="214" t="str">
        <f t="shared" si="14"/>
        <v/>
      </c>
      <c r="AW130" s="214" t="str">
        <f t="shared" si="163"/>
        <v/>
      </c>
      <c r="AX130" s="223" t="str">
        <f t="shared" si="16"/>
        <v/>
      </c>
      <c r="AY130" s="217"/>
      <c r="AZ130" s="108"/>
      <c r="BA130" s="220" t="str">
        <f t="shared" si="17"/>
        <v/>
      </c>
      <c r="BB130" s="217"/>
      <c r="BC130" s="217"/>
      <c r="BD130" s="217"/>
      <c r="BE130" s="224"/>
      <c r="BF130" s="225" t="str">
        <f t="shared" si="18"/>
        <v/>
      </c>
      <c r="BG130" s="226" t="str">
        <f t="shared" si="19"/>
        <v/>
      </c>
      <c r="BH130" s="227" t="str">
        <f t="shared" si="20"/>
        <v/>
      </c>
      <c r="BI130" s="228"/>
      <c r="BJ130" s="229" t="str">
        <f t="shared" si="21"/>
        <v/>
      </c>
      <c r="BK130" s="230" t="b">
        <f t="shared" si="105"/>
        <v>0</v>
      </c>
      <c r="BL130" s="229" t="str">
        <f t="shared" si="23"/>
        <v/>
      </c>
      <c r="BM130" s="217"/>
      <c r="BN130" s="214" t="b">
        <f t="shared" si="24"/>
        <v>0</v>
      </c>
      <c r="BO130" s="214" t="b">
        <f t="shared" si="25"/>
        <v>0</v>
      </c>
      <c r="BP130" s="214" t="b">
        <f t="shared" si="26"/>
        <v>0</v>
      </c>
      <c r="BQ130" s="118"/>
      <c r="BR130" s="231" t="s">
        <v>206</v>
      </c>
      <c r="BS130" s="7" t="b">
        <f t="shared" si="27"/>
        <v>1</v>
      </c>
      <c r="BT130" s="214"/>
      <c r="BU130" s="214"/>
      <c r="BV130" s="214"/>
      <c r="BW130" s="214"/>
    </row>
    <row r="131">
      <c r="A131" s="86" t="s">
        <v>409</v>
      </c>
      <c r="B131" s="87">
        <v>44704.0</v>
      </c>
      <c r="C131" s="88">
        <v>0.15653935185185186</v>
      </c>
      <c r="D131" s="89"/>
      <c r="E131" s="89"/>
      <c r="F131" s="89"/>
      <c r="G131" s="86"/>
      <c r="H131" s="89"/>
      <c r="I131" s="3"/>
      <c r="J131" s="3"/>
      <c r="K131" s="9" t="s">
        <v>228</v>
      </c>
      <c r="L131" s="36">
        <v>44704.0</v>
      </c>
      <c r="M131" s="91">
        <v>0.39489583333333333</v>
      </c>
      <c r="N131" s="3"/>
      <c r="O131" s="92"/>
      <c r="P131" s="93" t="b">
        <f>IFNA(IF(VLOOKUP($A131,'Add from APT'!$AA$2:$AC264,3,FALSE)&gt;0,TRUE,FALSE),"ER - NOT IN APT")</f>
        <v>0</v>
      </c>
      <c r="Q131" s="94" t="str">
        <f>IF(ISLOGICAL(P131),IF(P131,"ER - REPS IN APT", IFNA(VLOOKUP($A131,RAW_APT!$A$3:$M264,7,FALSE),"ER - NOT IN APT")),P131)</f>
        <v>Result</v>
      </c>
      <c r="R131" s="95" t="b">
        <f t="shared" si="102"/>
        <v>1</v>
      </c>
      <c r="S131" s="96">
        <f t="shared" si="3"/>
        <v>4</v>
      </c>
      <c r="T131" s="97"/>
      <c r="U131" s="3"/>
      <c r="V131" s="3"/>
      <c r="W131" s="98"/>
      <c r="X131" s="99" t="b">
        <f t="shared" si="161"/>
        <v>0</v>
      </c>
      <c r="Y131" s="100"/>
      <c r="Z131" s="101" t="str">
        <f t="shared" si="5"/>
        <v/>
      </c>
      <c r="AA131" s="102" t="b">
        <f t="shared" si="6"/>
        <v>0</v>
      </c>
      <c r="AB131" s="98"/>
      <c r="AC131" s="103">
        <v>106.0</v>
      </c>
      <c r="AD131" s="104"/>
      <c r="AE131" s="105">
        <f t="shared" si="7"/>
        <v>343.2333333</v>
      </c>
      <c r="AF131" s="106" t="b">
        <f t="shared" si="103"/>
        <v>0</v>
      </c>
      <c r="AG131" s="93" t="b">
        <f t="shared" si="9"/>
        <v>0</v>
      </c>
      <c r="AH131" s="103"/>
      <c r="AI131" s="103"/>
      <c r="AJ131" s="97"/>
      <c r="AK131" s="101" t="str">
        <f t="shared" si="10"/>
        <v>Negative</v>
      </c>
      <c r="AL131" s="104"/>
      <c r="AM131" s="94" t="s">
        <v>274</v>
      </c>
      <c r="AN131" s="94" t="s">
        <v>279</v>
      </c>
      <c r="AO131" s="102" t="str">
        <f>IFERROR(__xludf.DUMMYFUNCTION("IF($AG131, ""DELETED"",TRIM(JOIN("" "",D131:E131)))"),"")</f>
        <v/>
      </c>
      <c r="AP131" s="94" t="str">
        <f t="shared" ref="AP131:AQ131" si="169">IF($AG131, "DELETED", TRIM(CONCATENATE(F131,I131,U131)))</f>
        <v/>
      </c>
      <c r="AQ131" s="94" t="str">
        <f t="shared" si="169"/>
        <v/>
      </c>
      <c r="AR131" s="94" t="str">
        <f>IFERROR(__xludf.DUMMYFUNCTION("IF($AG131, ""DELETED"", TRIM(JOIN("" "",AP131,AQ131)))"),"")</f>
        <v/>
      </c>
      <c r="AS131" s="9"/>
      <c r="AT131" s="93" t="b">
        <f t="shared" si="12"/>
        <v>0</v>
      </c>
      <c r="AU131" s="93" t="str">
        <f t="shared" si="13"/>
        <v/>
      </c>
      <c r="AV131" s="93" t="str">
        <f t="shared" si="14"/>
        <v/>
      </c>
      <c r="AW131" s="93" t="str">
        <f t="shared" si="163"/>
        <v/>
      </c>
      <c r="AX131" s="107" t="str">
        <f t="shared" si="16"/>
        <v/>
      </c>
      <c r="AY131" s="98"/>
      <c r="AZ131" s="108"/>
      <c r="BA131" s="109" t="str">
        <f t="shared" si="17"/>
        <v/>
      </c>
      <c r="BB131" s="98"/>
      <c r="BC131" s="98"/>
      <c r="BD131" s="108"/>
      <c r="BE131" s="134"/>
      <c r="BF131" s="111" t="str">
        <f t="shared" si="18"/>
        <v/>
      </c>
      <c r="BG131" s="112" t="str">
        <f t="shared" si="19"/>
        <v>AJ5950__44704_0.156539351851852___Negative_44704_0.394895833333333_</v>
      </c>
      <c r="BH131" s="113" t="str">
        <f t="shared" si="20"/>
        <v/>
      </c>
      <c r="BI131" s="202"/>
      <c r="BJ131" s="114" t="str">
        <f t="shared" si="21"/>
        <v/>
      </c>
      <c r="BK131" s="115" t="b">
        <f t="shared" si="105"/>
        <v>0</v>
      </c>
      <c r="BL131" s="114" t="str">
        <f t="shared" si="23"/>
        <v/>
      </c>
      <c r="BM131" s="108"/>
      <c r="BN131" s="7" t="b">
        <f t="shared" si="24"/>
        <v>1</v>
      </c>
      <c r="BO131" s="7" t="b">
        <f t="shared" si="25"/>
        <v>0</v>
      </c>
      <c r="BP131" s="7" t="b">
        <f t="shared" si="26"/>
        <v>1</v>
      </c>
      <c r="BQ131" s="118"/>
      <c r="BR131" s="119" t="s">
        <v>228</v>
      </c>
      <c r="BS131" s="7" t="b">
        <f t="shared" si="27"/>
        <v>1</v>
      </c>
      <c r="BT131" s="7"/>
      <c r="BU131" s="7"/>
      <c r="BV131" s="7"/>
      <c r="BW131" s="7"/>
    </row>
    <row r="132">
      <c r="A132" s="86" t="s">
        <v>409</v>
      </c>
      <c r="B132" s="87">
        <v>44704.0</v>
      </c>
      <c r="C132" s="88">
        <v>0.15653935185185186</v>
      </c>
      <c r="D132" s="89"/>
      <c r="E132" s="89"/>
      <c r="F132" s="89"/>
      <c r="G132" s="86"/>
      <c r="H132" s="90"/>
      <c r="I132" s="3"/>
      <c r="J132" s="3"/>
      <c r="K132" s="89" t="s">
        <v>228</v>
      </c>
      <c r="L132" s="36">
        <v>44704.0</v>
      </c>
      <c r="M132" s="91">
        <v>0.39489583333333333</v>
      </c>
      <c r="N132" s="3"/>
      <c r="O132" s="92"/>
      <c r="P132" s="93" t="b">
        <f>IFNA(IF(VLOOKUP($A132,'Add from APT'!$AA$2:$AC264,3,FALSE)&gt;0,TRUE,FALSE),"ER - NOT IN APT")</f>
        <v>0</v>
      </c>
      <c r="Q132" s="94" t="str">
        <f>IF(ISLOGICAL(P132),IF(P132,"ER - REPS IN APT", IFNA(VLOOKUP($A132,RAW_APT!$A$3:$M264,7,FALSE),"ER - NOT IN APT")),P132)</f>
        <v>Result</v>
      </c>
      <c r="R132" s="95" t="b">
        <f t="shared" si="102"/>
        <v>0</v>
      </c>
      <c r="S132" s="96">
        <f t="shared" si="3"/>
        <v>4</v>
      </c>
      <c r="T132" s="97"/>
      <c r="U132" s="3"/>
      <c r="V132" s="3"/>
      <c r="W132" s="98"/>
      <c r="X132" s="99" t="b">
        <f t="shared" si="161"/>
        <v>0</v>
      </c>
      <c r="Y132" s="100"/>
      <c r="Z132" s="101" t="str">
        <f t="shared" si="5"/>
        <v/>
      </c>
      <c r="AA132" s="102" t="b">
        <f t="shared" si="6"/>
        <v>0</v>
      </c>
      <c r="AB132" s="98"/>
      <c r="AC132" s="103">
        <v>103.0</v>
      </c>
      <c r="AD132" s="104"/>
      <c r="AE132" s="105">
        <f t="shared" si="7"/>
        <v>343.2333333</v>
      </c>
      <c r="AF132" s="106" t="b">
        <f t="shared" si="103"/>
        <v>0</v>
      </c>
      <c r="AG132" s="93" t="b">
        <f t="shared" si="9"/>
        <v>0</v>
      </c>
      <c r="AH132" s="103"/>
      <c r="AI132" s="103"/>
      <c r="AJ132" s="97"/>
      <c r="AK132" s="101" t="str">
        <f t="shared" si="10"/>
        <v>Negative</v>
      </c>
      <c r="AL132" s="98"/>
      <c r="AM132" s="94" t="s">
        <v>274</v>
      </c>
      <c r="AN132" s="94" t="s">
        <v>281</v>
      </c>
      <c r="AO132" s="102" t="str">
        <f>IFERROR(__xludf.DUMMYFUNCTION("IF($AG132, ""DELETED"",TRIM(JOIN("" "",D132:E132)))"),"")</f>
        <v/>
      </c>
      <c r="AP132" s="94" t="str">
        <f t="shared" ref="AP132:AQ132" si="170">IF($AG132, "DELETED", TRIM(CONCATENATE(F132,I132,U132)))</f>
        <v/>
      </c>
      <c r="AQ132" s="94" t="str">
        <f t="shared" si="170"/>
        <v/>
      </c>
      <c r="AR132" s="94" t="str">
        <f>IFERROR(__xludf.DUMMYFUNCTION("IF($AG132, ""DELETED"", TRIM(JOIN("" "",AP132,AQ132)))"),"")</f>
        <v/>
      </c>
      <c r="AS132" s="9"/>
      <c r="AT132" s="93" t="b">
        <f t="shared" si="12"/>
        <v>0</v>
      </c>
      <c r="AU132" s="93" t="str">
        <f t="shared" si="13"/>
        <v/>
      </c>
      <c r="AV132" s="93" t="str">
        <f t="shared" si="14"/>
        <v/>
      </c>
      <c r="AW132" s="93" t="str">
        <f t="shared" si="163"/>
        <v/>
      </c>
      <c r="AX132" s="107" t="str">
        <f t="shared" si="16"/>
        <v/>
      </c>
      <c r="AY132" s="98"/>
      <c r="AZ132" s="108"/>
      <c r="BA132" s="109" t="str">
        <f t="shared" si="17"/>
        <v/>
      </c>
      <c r="BB132" s="98"/>
      <c r="BC132" s="98"/>
      <c r="BD132" s="108"/>
      <c r="BE132" s="134"/>
      <c r="BF132" s="111" t="str">
        <f t="shared" si="18"/>
        <v/>
      </c>
      <c r="BG132" s="112" t="str">
        <f t="shared" si="19"/>
        <v>AJ5950__44704_0.156539351851852___Negative_44704_0.394895833333333_</v>
      </c>
      <c r="BH132" s="113" t="str">
        <f t="shared" si="20"/>
        <v/>
      </c>
      <c r="BI132" s="202"/>
      <c r="BJ132" s="114" t="str">
        <f t="shared" si="21"/>
        <v/>
      </c>
      <c r="BK132" s="115" t="b">
        <f t="shared" si="105"/>
        <v>0</v>
      </c>
      <c r="BL132" s="114" t="str">
        <f t="shared" si="23"/>
        <v/>
      </c>
      <c r="BM132" s="108"/>
      <c r="BN132" s="7" t="b">
        <f t="shared" si="24"/>
        <v>1</v>
      </c>
      <c r="BO132" s="7" t="b">
        <f t="shared" si="25"/>
        <v>0</v>
      </c>
      <c r="BP132" s="7" t="b">
        <f t="shared" si="26"/>
        <v>1</v>
      </c>
      <c r="BQ132" s="118"/>
      <c r="BR132" s="119" t="s">
        <v>228</v>
      </c>
      <c r="BS132" s="7" t="b">
        <f t="shared" si="27"/>
        <v>1</v>
      </c>
      <c r="BT132" s="7"/>
      <c r="BU132" s="7"/>
      <c r="BV132" s="7"/>
      <c r="BW132" s="7"/>
    </row>
    <row r="133">
      <c r="A133" s="86" t="s">
        <v>409</v>
      </c>
      <c r="B133" s="87">
        <v>44704.0</v>
      </c>
      <c r="C133" s="88">
        <v>0.15653935185185186</v>
      </c>
      <c r="D133" s="89"/>
      <c r="E133" s="89"/>
      <c r="F133" s="3"/>
      <c r="G133" s="120"/>
      <c r="H133" s="121"/>
      <c r="I133" s="89"/>
      <c r="J133" s="89"/>
      <c r="K133" s="9" t="s">
        <v>228</v>
      </c>
      <c r="L133" s="36">
        <v>44704.0</v>
      </c>
      <c r="M133" s="91">
        <v>0.39489583333333333</v>
      </c>
      <c r="N133" s="121"/>
      <c r="O133" s="92"/>
      <c r="P133" s="93" t="b">
        <f>IFNA(IF(VLOOKUP($A133,'Add from APT'!$AA$2:$AC264,3,FALSE)&gt;0,TRUE,FALSE),"ER - NOT IN APT")</f>
        <v>0</v>
      </c>
      <c r="Q133" s="94" t="str">
        <f>IF(ISLOGICAL(P133),IF(P133,"ER - REPS IN APT", IFNA(VLOOKUP($A133,RAW_APT!$A$3:$M264,7,FALSE),"ER - NOT IN APT")),P133)</f>
        <v>Result</v>
      </c>
      <c r="R133" s="95" t="b">
        <f t="shared" si="102"/>
        <v>0</v>
      </c>
      <c r="S133" s="96">
        <f t="shared" si="3"/>
        <v>4</v>
      </c>
      <c r="T133" s="97"/>
      <c r="U133" s="3"/>
      <c r="V133" s="3"/>
      <c r="W133" s="98"/>
      <c r="X133" s="99" t="b">
        <f t="shared" si="161"/>
        <v>0</v>
      </c>
      <c r="Y133" s="100"/>
      <c r="Z133" s="101" t="str">
        <f t="shared" si="5"/>
        <v/>
      </c>
      <c r="AA133" s="102" t="b">
        <f t="shared" si="6"/>
        <v>0</v>
      </c>
      <c r="AB133" s="98"/>
      <c r="AC133" s="103">
        <v>104.0</v>
      </c>
      <c r="AD133" s="104"/>
      <c r="AE133" s="105">
        <f t="shared" si="7"/>
        <v>343.2333333</v>
      </c>
      <c r="AF133" s="106" t="b">
        <f t="shared" si="103"/>
        <v>0</v>
      </c>
      <c r="AG133" s="93" t="b">
        <f t="shared" si="9"/>
        <v>0</v>
      </c>
      <c r="AH133" s="103"/>
      <c r="AI133" s="103"/>
      <c r="AJ133" s="7"/>
      <c r="AK133" s="101" t="str">
        <f t="shared" si="10"/>
        <v>Negative</v>
      </c>
      <c r="AL133" s="98"/>
      <c r="AM133" s="94" t="s">
        <v>274</v>
      </c>
      <c r="AN133" s="94" t="s">
        <v>277</v>
      </c>
      <c r="AO133" s="102" t="str">
        <f>IFERROR(__xludf.DUMMYFUNCTION("IF($AG133, ""DELETED"",TRIM(JOIN("" "",D133:E133)))"),"")</f>
        <v/>
      </c>
      <c r="AP133" s="94" t="str">
        <f t="shared" ref="AP133:AQ133" si="171">IF($AG133, "DELETED", TRIM(CONCATENATE(F133,I133,U133)))</f>
        <v/>
      </c>
      <c r="AQ133" s="94" t="str">
        <f t="shared" si="171"/>
        <v/>
      </c>
      <c r="AR133" s="94" t="str">
        <f>IFERROR(__xludf.DUMMYFUNCTION("IF($AG133, ""DELETED"", TRIM(JOIN("" "",AP133,AQ133)))"),"")</f>
        <v/>
      </c>
      <c r="AS133" s="9"/>
      <c r="AT133" s="93" t="b">
        <f t="shared" si="12"/>
        <v>0</v>
      </c>
      <c r="AU133" s="93" t="str">
        <f t="shared" si="13"/>
        <v/>
      </c>
      <c r="AV133" s="93" t="str">
        <f t="shared" si="14"/>
        <v/>
      </c>
      <c r="AW133" s="93" t="str">
        <f t="shared" si="163"/>
        <v/>
      </c>
      <c r="AX133" s="107" t="str">
        <f t="shared" si="16"/>
        <v/>
      </c>
      <c r="AY133" s="3"/>
      <c r="AZ133" s="129"/>
      <c r="BA133" s="109" t="str">
        <f t="shared" si="17"/>
        <v/>
      </c>
      <c r="BB133" s="3"/>
      <c r="BC133" s="3"/>
      <c r="BD133" s="108"/>
      <c r="BE133" s="143"/>
      <c r="BF133" s="111" t="str">
        <f t="shared" si="18"/>
        <v/>
      </c>
      <c r="BG133" s="112" t="str">
        <f t="shared" si="19"/>
        <v>AJ5950__44704_0.156539351851852___Negative_44704_0.394895833333333_</v>
      </c>
      <c r="BH133" s="113" t="str">
        <f t="shared" si="20"/>
        <v/>
      </c>
      <c r="BI133" s="203"/>
      <c r="BJ133" s="114" t="str">
        <f t="shared" si="21"/>
        <v/>
      </c>
      <c r="BK133" s="115" t="b">
        <f t="shared" si="105"/>
        <v>0</v>
      </c>
      <c r="BL133" s="114" t="str">
        <f t="shared" si="23"/>
        <v/>
      </c>
      <c r="BM133" s="108"/>
      <c r="BN133" s="7" t="b">
        <f t="shared" si="24"/>
        <v>1</v>
      </c>
      <c r="BO133" s="7" t="b">
        <f t="shared" si="25"/>
        <v>0</v>
      </c>
      <c r="BP133" s="7" t="b">
        <f t="shared" si="26"/>
        <v>1</v>
      </c>
      <c r="BQ133" s="118"/>
      <c r="BR133" s="119" t="s">
        <v>228</v>
      </c>
      <c r="BS133" s="7" t="b">
        <f t="shared" si="27"/>
        <v>1</v>
      </c>
      <c r="BT133" s="7"/>
      <c r="BU133" s="7"/>
      <c r="BV133" s="7"/>
      <c r="BW133" s="7"/>
    </row>
    <row r="134">
      <c r="A134" s="86" t="s">
        <v>409</v>
      </c>
      <c r="B134" s="87">
        <v>44704.0</v>
      </c>
      <c r="C134" s="88">
        <v>0.15653935185185186</v>
      </c>
      <c r="D134" s="89"/>
      <c r="E134" s="89"/>
      <c r="F134" s="3"/>
      <c r="G134" s="120"/>
      <c r="H134" s="3"/>
      <c r="I134" s="89"/>
      <c r="J134" s="89"/>
      <c r="K134" s="9" t="s">
        <v>228</v>
      </c>
      <c r="L134" s="36">
        <v>44704.0</v>
      </c>
      <c r="M134" s="91">
        <v>0.39489583333333333</v>
      </c>
      <c r="N134" s="3"/>
      <c r="O134" s="92"/>
      <c r="P134" s="93" t="b">
        <f>IFNA(IF(VLOOKUP($A134,'Add from APT'!$AA$2:$AC264,3,FALSE)&gt;0,TRUE,FALSE),"ER - NOT IN APT")</f>
        <v>0</v>
      </c>
      <c r="Q134" s="94" t="str">
        <f>IF(ISLOGICAL(P134),IF(P134,"ER - REPS IN APT", IFNA(VLOOKUP($A134,RAW_APT!$A$3:$M264,7,FALSE),"ER - NOT IN APT")),P134)</f>
        <v>Result</v>
      </c>
      <c r="R134" s="95" t="b">
        <f t="shared" si="102"/>
        <v>0</v>
      </c>
      <c r="S134" s="96">
        <f t="shared" si="3"/>
        <v>4</v>
      </c>
      <c r="T134" s="97"/>
      <c r="U134" s="3"/>
      <c r="V134" s="3"/>
      <c r="W134" s="98"/>
      <c r="X134" s="99" t="b">
        <f t="shared" si="161"/>
        <v>0</v>
      </c>
      <c r="Y134" s="100"/>
      <c r="Z134" s="101" t="str">
        <f t="shared" si="5"/>
        <v/>
      </c>
      <c r="AA134" s="102" t="b">
        <f t="shared" si="6"/>
        <v>0</v>
      </c>
      <c r="AB134" s="98"/>
      <c r="AC134" s="103">
        <v>105.0</v>
      </c>
      <c r="AD134" s="104"/>
      <c r="AE134" s="105">
        <f t="shared" si="7"/>
        <v>343.2333333</v>
      </c>
      <c r="AF134" s="106" t="b">
        <f t="shared" si="103"/>
        <v>0</v>
      </c>
      <c r="AG134" s="93" t="b">
        <f t="shared" si="9"/>
        <v>0</v>
      </c>
      <c r="AH134" s="103"/>
      <c r="AI134" s="103"/>
      <c r="AJ134" s="97"/>
      <c r="AK134" s="101" t="str">
        <f t="shared" si="10"/>
        <v>Negative</v>
      </c>
      <c r="AL134" s="98"/>
      <c r="AM134" s="94" t="s">
        <v>274</v>
      </c>
      <c r="AN134" s="94" t="s">
        <v>275</v>
      </c>
      <c r="AO134" s="102" t="str">
        <f>IFERROR(__xludf.DUMMYFUNCTION("IF($AG134, ""DELETED"",TRIM(JOIN("" "",D134:E134)))"),"")</f>
        <v/>
      </c>
      <c r="AP134" s="94" t="str">
        <f t="shared" ref="AP134:AQ134" si="172">IF($AG134, "DELETED", TRIM(CONCATENATE(F134,I134,U134)))</f>
        <v/>
      </c>
      <c r="AQ134" s="94" t="str">
        <f t="shared" si="172"/>
        <v/>
      </c>
      <c r="AR134" s="94" t="str">
        <f>IFERROR(__xludf.DUMMYFUNCTION("IF($AG134, ""DELETED"", TRIM(JOIN("" "",AP134,AQ134)))"),"")</f>
        <v/>
      </c>
      <c r="AS134" s="9"/>
      <c r="AT134" s="93" t="b">
        <f t="shared" si="12"/>
        <v>0</v>
      </c>
      <c r="AU134" s="93" t="str">
        <f t="shared" si="13"/>
        <v/>
      </c>
      <c r="AV134" s="93" t="str">
        <f t="shared" si="14"/>
        <v/>
      </c>
      <c r="AW134" s="93" t="str">
        <f t="shared" si="163"/>
        <v/>
      </c>
      <c r="AX134" s="107" t="str">
        <f t="shared" si="16"/>
        <v/>
      </c>
      <c r="AY134" s="98"/>
      <c r="AZ134" s="108"/>
      <c r="BA134" s="109" t="str">
        <f t="shared" si="17"/>
        <v/>
      </c>
      <c r="BB134" s="98"/>
      <c r="BC134" s="98"/>
      <c r="BD134" s="108"/>
      <c r="BE134" s="134"/>
      <c r="BF134" s="111" t="str">
        <f t="shared" si="18"/>
        <v/>
      </c>
      <c r="BG134" s="112" t="str">
        <f t="shared" si="19"/>
        <v>AJ5950__44704_0.156539351851852___Negative_44704_0.394895833333333_</v>
      </c>
      <c r="BH134" s="113" t="str">
        <f t="shared" si="20"/>
        <v/>
      </c>
      <c r="BI134" s="202"/>
      <c r="BJ134" s="114" t="str">
        <f t="shared" si="21"/>
        <v/>
      </c>
      <c r="BK134" s="115" t="b">
        <f t="shared" si="105"/>
        <v>0</v>
      </c>
      <c r="BL134" s="114" t="str">
        <f t="shared" si="23"/>
        <v/>
      </c>
      <c r="BM134" s="108"/>
      <c r="BN134" s="7" t="b">
        <f t="shared" si="24"/>
        <v>1</v>
      </c>
      <c r="BO134" s="7" t="b">
        <f t="shared" si="25"/>
        <v>0</v>
      </c>
      <c r="BP134" s="7" t="b">
        <f t="shared" si="26"/>
        <v>1</v>
      </c>
      <c r="BQ134" s="118"/>
      <c r="BR134" s="119" t="s">
        <v>228</v>
      </c>
      <c r="BS134" s="7" t="b">
        <f t="shared" si="27"/>
        <v>1</v>
      </c>
      <c r="BT134" s="7"/>
      <c r="BU134" s="7"/>
      <c r="BV134" s="7"/>
      <c r="BW134" s="7"/>
    </row>
    <row r="135">
      <c r="A135" s="3" t="s">
        <v>410</v>
      </c>
      <c r="B135" s="36">
        <v>44704.0</v>
      </c>
      <c r="C135" s="91">
        <v>0.17846064814814816</v>
      </c>
      <c r="D135" s="3"/>
      <c r="E135" s="3"/>
      <c r="F135" s="3"/>
      <c r="G135" s="120"/>
      <c r="H135" s="121"/>
      <c r="I135" s="9"/>
      <c r="J135" s="9"/>
      <c r="K135" s="13" t="s">
        <v>228</v>
      </c>
      <c r="L135" s="36">
        <v>44704.0</v>
      </c>
      <c r="M135" s="91">
        <v>0.39490740740740743</v>
      </c>
      <c r="N135" s="3"/>
      <c r="O135" s="92"/>
      <c r="P135" s="93" t="b">
        <f>IFNA(IF(VLOOKUP($A135,'Add from APT'!$AA$2:$AC264,3,FALSE)&gt;0,TRUE,FALSE),"ER - NOT IN APT")</f>
        <v>0</v>
      </c>
      <c r="Q135" s="94" t="str">
        <f>IF(ISLOGICAL(P135),IF(P135,"ER - REPS IN APT", IFNA(VLOOKUP($A135,RAW_APT!$A$3:$M264,7,FALSE),"ER - NOT IN APT")),P135)</f>
        <v>Result</v>
      </c>
      <c r="R135" s="95" t="b">
        <f t="shared" si="102"/>
        <v>1</v>
      </c>
      <c r="S135" s="96">
        <f t="shared" si="3"/>
        <v>4</v>
      </c>
      <c r="T135" s="103">
        <v>3.0</v>
      </c>
      <c r="U135" s="9"/>
      <c r="V135" s="9"/>
      <c r="W135" s="98"/>
      <c r="X135" s="99" t="b">
        <f t="shared" si="161"/>
        <v>0</v>
      </c>
      <c r="Y135" s="100"/>
      <c r="Z135" s="101" t="str">
        <f t="shared" si="5"/>
        <v/>
      </c>
      <c r="AA135" s="102" t="b">
        <f t="shared" si="6"/>
        <v>0</v>
      </c>
      <c r="AB135" s="98"/>
      <c r="AC135" s="156">
        <v>107.0</v>
      </c>
      <c r="AD135" s="104"/>
      <c r="AE135" s="105">
        <f t="shared" si="7"/>
        <v>311.6833333</v>
      </c>
      <c r="AF135" s="106" t="b">
        <f t="shared" si="103"/>
        <v>0</v>
      </c>
      <c r="AG135" s="93" t="b">
        <f t="shared" si="9"/>
        <v>0</v>
      </c>
      <c r="AH135" s="156"/>
      <c r="AI135" s="103"/>
      <c r="AJ135" s="103"/>
      <c r="AK135" s="101" t="str">
        <f t="shared" si="10"/>
        <v>Negative</v>
      </c>
      <c r="AL135" s="3"/>
      <c r="AM135" s="94" t="s">
        <v>284</v>
      </c>
      <c r="AN135" s="94" t="s">
        <v>290</v>
      </c>
      <c r="AO135" s="102" t="str">
        <f>IFERROR(__xludf.DUMMYFUNCTION("IF($AG135, ""DELETED"",TRIM(JOIN("" "",D135:E135)))"),"")</f>
        <v/>
      </c>
      <c r="AP135" s="94" t="str">
        <f t="shared" ref="AP135:AQ135" si="173">IF($AG135, "DELETED", TRIM(CONCATENATE(F135,I135,U135)))</f>
        <v/>
      </c>
      <c r="AQ135" s="94" t="str">
        <f t="shared" si="173"/>
        <v/>
      </c>
      <c r="AR135" s="94" t="str">
        <f>IFERROR(__xludf.DUMMYFUNCTION("IF($AG135, ""DELETED"", TRIM(JOIN("" "",AP135,AQ135)))"),"")</f>
        <v/>
      </c>
      <c r="AS135" s="9"/>
      <c r="AT135" s="93" t="b">
        <f t="shared" si="12"/>
        <v>0</v>
      </c>
      <c r="AU135" s="93" t="str">
        <f t="shared" si="13"/>
        <v/>
      </c>
      <c r="AV135" s="93" t="str">
        <f t="shared" si="14"/>
        <v/>
      </c>
      <c r="AW135" s="93" t="str">
        <f t="shared" si="163"/>
        <v/>
      </c>
      <c r="AX135" s="107" t="str">
        <f t="shared" si="16"/>
        <v/>
      </c>
      <c r="AY135" s="104"/>
      <c r="AZ135" s="138"/>
      <c r="BA135" s="109" t="str">
        <f t="shared" si="17"/>
        <v/>
      </c>
      <c r="BB135" s="104"/>
      <c r="BC135" s="104"/>
      <c r="BD135" s="108"/>
      <c r="BE135" s="143"/>
      <c r="BF135" s="111" t="str">
        <f t="shared" si="18"/>
        <v/>
      </c>
      <c r="BG135" s="112" t="str">
        <f t="shared" si="19"/>
        <v>AH7211__44704_0.178460648148148___Negative_44704_0.394907407407407_</v>
      </c>
      <c r="BH135" s="113" t="str">
        <f t="shared" si="20"/>
        <v/>
      </c>
      <c r="BI135" s="203"/>
      <c r="BJ135" s="114" t="str">
        <f t="shared" si="21"/>
        <v/>
      </c>
      <c r="BK135" s="115" t="b">
        <f t="shared" si="105"/>
        <v>0</v>
      </c>
      <c r="BL135" s="114" t="str">
        <f t="shared" si="23"/>
        <v/>
      </c>
      <c r="BM135" s="108"/>
      <c r="BN135" s="7" t="b">
        <f t="shared" si="24"/>
        <v>1</v>
      </c>
      <c r="BO135" s="7" t="b">
        <f t="shared" si="25"/>
        <v>0</v>
      </c>
      <c r="BP135" s="7" t="b">
        <f t="shared" si="26"/>
        <v>1</v>
      </c>
      <c r="BQ135" s="118"/>
      <c r="BR135" s="119" t="s">
        <v>228</v>
      </c>
      <c r="BS135" s="7" t="b">
        <f t="shared" si="27"/>
        <v>1</v>
      </c>
      <c r="BT135" s="7"/>
      <c r="BU135" s="7"/>
      <c r="BV135" s="7"/>
      <c r="BW135" s="7"/>
    </row>
    <row r="136">
      <c r="A136" s="3" t="s">
        <v>410</v>
      </c>
      <c r="B136" s="36">
        <v>44704.0</v>
      </c>
      <c r="C136" s="91">
        <v>0.17846064814814816</v>
      </c>
      <c r="D136" s="3"/>
      <c r="E136" s="3"/>
      <c r="F136" s="3"/>
      <c r="G136" s="120"/>
      <c r="H136" s="121"/>
      <c r="I136" s="9"/>
      <c r="J136" s="9"/>
      <c r="K136" s="13" t="s">
        <v>228</v>
      </c>
      <c r="L136" s="36">
        <v>44704.0</v>
      </c>
      <c r="M136" s="91">
        <v>0.39490740740740743</v>
      </c>
      <c r="N136" s="3"/>
      <c r="O136" s="92"/>
      <c r="P136" s="93" t="b">
        <f>IFNA(IF(VLOOKUP($A136,'Add from APT'!$AA$2:$AC264,3,FALSE)&gt;0,TRUE,FALSE),"ER - NOT IN APT")</f>
        <v>0</v>
      </c>
      <c r="Q136" s="94" t="str">
        <f>IF(ISLOGICAL(P136),IF(P136,"ER - REPS IN APT", IFNA(VLOOKUP($A136,RAW_APT!$A$3:$M264,7,FALSE),"ER - NOT IN APT")),P136)</f>
        <v>Result</v>
      </c>
      <c r="R136" s="95" t="b">
        <f t="shared" si="102"/>
        <v>0</v>
      </c>
      <c r="S136" s="96">
        <f t="shared" si="3"/>
        <v>4</v>
      </c>
      <c r="T136" s="103">
        <v>3.0</v>
      </c>
      <c r="U136" s="9"/>
      <c r="V136" s="9"/>
      <c r="W136" s="98"/>
      <c r="X136" s="99" t="b">
        <f t="shared" si="161"/>
        <v>0</v>
      </c>
      <c r="Y136" s="100"/>
      <c r="Z136" s="101" t="str">
        <f t="shared" si="5"/>
        <v/>
      </c>
      <c r="AA136" s="102" t="b">
        <f t="shared" si="6"/>
        <v>0</v>
      </c>
      <c r="AB136" s="98"/>
      <c r="AC136" s="156">
        <v>107.0</v>
      </c>
      <c r="AD136" s="104"/>
      <c r="AE136" s="105">
        <f t="shared" si="7"/>
        <v>311.6833333</v>
      </c>
      <c r="AF136" s="106" t="b">
        <f t="shared" si="103"/>
        <v>0</v>
      </c>
      <c r="AG136" s="93" t="b">
        <f t="shared" si="9"/>
        <v>0</v>
      </c>
      <c r="AH136" s="156"/>
      <c r="AI136" s="103"/>
      <c r="AJ136" s="97"/>
      <c r="AK136" s="101" t="str">
        <f t="shared" si="10"/>
        <v>Negative</v>
      </c>
      <c r="AL136" s="3"/>
      <c r="AM136" s="94" t="s">
        <v>284</v>
      </c>
      <c r="AN136" s="94" t="s">
        <v>285</v>
      </c>
      <c r="AO136" s="102" t="str">
        <f>IFERROR(__xludf.DUMMYFUNCTION("IF($AG136, ""DELETED"",TRIM(JOIN("" "",D136:E136)))"),"")</f>
        <v/>
      </c>
      <c r="AP136" s="94" t="str">
        <f t="shared" ref="AP136:AQ136" si="174">IF($AG136, "DELETED", TRIM(CONCATENATE(F136,I136,U136)))</f>
        <v/>
      </c>
      <c r="AQ136" s="94" t="str">
        <f t="shared" si="174"/>
        <v/>
      </c>
      <c r="AR136" s="94" t="str">
        <f>IFERROR(__xludf.DUMMYFUNCTION("IF($AG136, ""DELETED"", TRIM(JOIN("" "",AP136,AQ136)))"),"")</f>
        <v/>
      </c>
      <c r="AS136" s="9"/>
      <c r="AT136" s="93" t="b">
        <f t="shared" si="12"/>
        <v>0</v>
      </c>
      <c r="AU136" s="93" t="str">
        <f t="shared" si="13"/>
        <v/>
      </c>
      <c r="AV136" s="93" t="str">
        <f t="shared" si="14"/>
        <v/>
      </c>
      <c r="AW136" s="93" t="str">
        <f t="shared" si="163"/>
        <v/>
      </c>
      <c r="AX136" s="107" t="str">
        <f t="shared" si="16"/>
        <v/>
      </c>
      <c r="AY136" s="98"/>
      <c r="AZ136" s="108"/>
      <c r="BA136" s="109" t="str">
        <f t="shared" si="17"/>
        <v/>
      </c>
      <c r="BB136" s="98"/>
      <c r="BC136" s="98"/>
      <c r="BD136" s="108"/>
      <c r="BE136" s="134"/>
      <c r="BF136" s="111" t="str">
        <f t="shared" si="18"/>
        <v/>
      </c>
      <c r="BG136" s="112" t="str">
        <f t="shared" si="19"/>
        <v>AH7211__44704_0.178460648148148___Negative_44704_0.394907407407407_</v>
      </c>
      <c r="BH136" s="113" t="str">
        <f t="shared" si="20"/>
        <v/>
      </c>
      <c r="BI136" s="202"/>
      <c r="BJ136" s="114" t="str">
        <f t="shared" si="21"/>
        <v/>
      </c>
      <c r="BK136" s="115" t="b">
        <f t="shared" si="105"/>
        <v>0</v>
      </c>
      <c r="BL136" s="114" t="str">
        <f t="shared" si="23"/>
        <v/>
      </c>
      <c r="BM136" s="108"/>
      <c r="BN136" s="7" t="b">
        <f t="shared" si="24"/>
        <v>1</v>
      </c>
      <c r="BO136" s="7" t="b">
        <f t="shared" si="25"/>
        <v>0</v>
      </c>
      <c r="BP136" s="7" t="b">
        <f t="shared" si="26"/>
        <v>1</v>
      </c>
      <c r="BQ136" s="118"/>
      <c r="BR136" s="119" t="s">
        <v>228</v>
      </c>
      <c r="BS136" s="7" t="b">
        <f t="shared" si="27"/>
        <v>1</v>
      </c>
      <c r="BT136" s="7"/>
      <c r="BU136" s="7"/>
      <c r="BV136" s="7"/>
      <c r="BW136" s="7"/>
    </row>
    <row r="137">
      <c r="A137" s="86" t="s">
        <v>410</v>
      </c>
      <c r="B137" s="87">
        <v>44704.0</v>
      </c>
      <c r="C137" s="88">
        <v>0.17846064814814816</v>
      </c>
      <c r="D137" s="89"/>
      <c r="E137" s="89"/>
      <c r="F137" s="89"/>
      <c r="G137" s="86"/>
      <c r="H137" s="90"/>
      <c r="I137" s="104"/>
      <c r="J137" s="9"/>
      <c r="K137" s="9" t="s">
        <v>228</v>
      </c>
      <c r="L137" s="36">
        <v>44704.0</v>
      </c>
      <c r="M137" s="91">
        <v>0.39490740740740743</v>
      </c>
      <c r="N137" s="3"/>
      <c r="O137" s="142"/>
      <c r="P137" s="93" t="b">
        <f>IFNA(IF(VLOOKUP($A137,'Add from APT'!$AA$2:$AC264,3,FALSE)&gt;0,TRUE,FALSE),"ER - NOT IN APT")</f>
        <v>0</v>
      </c>
      <c r="Q137" s="94" t="str">
        <f>IF(ISLOGICAL(P137),IF(P137,"ER - REPS IN APT", IFNA(VLOOKUP($A137,RAW_APT!$A$3:$M264,7,FALSE),"ER - NOT IN APT")),P137)</f>
        <v>Result</v>
      </c>
      <c r="R137" s="95" t="b">
        <f t="shared" si="102"/>
        <v>0</v>
      </c>
      <c r="S137" s="96">
        <f t="shared" si="3"/>
        <v>4</v>
      </c>
      <c r="T137" s="103">
        <v>3.0</v>
      </c>
      <c r="U137" s="104"/>
      <c r="V137" s="9"/>
      <c r="W137" s="98"/>
      <c r="X137" s="99" t="b">
        <f t="shared" si="161"/>
        <v>0</v>
      </c>
      <c r="Y137" s="100"/>
      <c r="Z137" s="101" t="str">
        <f t="shared" si="5"/>
        <v/>
      </c>
      <c r="AA137" s="102" t="b">
        <f t="shared" si="6"/>
        <v>0</v>
      </c>
      <c r="AB137" s="98"/>
      <c r="AC137" s="103">
        <v>107.0</v>
      </c>
      <c r="AD137" s="104"/>
      <c r="AE137" s="105">
        <f t="shared" si="7"/>
        <v>311.6833333</v>
      </c>
      <c r="AF137" s="106" t="b">
        <f t="shared" si="103"/>
        <v>0</v>
      </c>
      <c r="AG137" s="93" t="b">
        <f t="shared" si="9"/>
        <v>0</v>
      </c>
      <c r="AH137" s="103"/>
      <c r="AI137" s="103"/>
      <c r="AJ137" s="97"/>
      <c r="AK137" s="101" t="str">
        <f t="shared" si="10"/>
        <v>Negative</v>
      </c>
      <c r="AL137" s="98"/>
      <c r="AM137" s="94" t="s">
        <v>284</v>
      </c>
      <c r="AN137" s="94" t="s">
        <v>294</v>
      </c>
      <c r="AO137" s="102" t="str">
        <f>IFERROR(__xludf.DUMMYFUNCTION("IF($AG137, ""DELETED"",TRIM(JOIN("" "",D137:E137)))"),"")</f>
        <v/>
      </c>
      <c r="AP137" s="94" t="str">
        <f t="shared" ref="AP137:AQ137" si="175">IF($AG137, "DELETED", TRIM(CONCATENATE(F137,I137,U137)))</f>
        <v/>
      </c>
      <c r="AQ137" s="94" t="str">
        <f t="shared" si="175"/>
        <v/>
      </c>
      <c r="AR137" s="94" t="str">
        <f>IFERROR(__xludf.DUMMYFUNCTION("IF($AG137, ""DELETED"", TRIM(JOIN("" "",AP137,AQ137)))"),"")</f>
        <v/>
      </c>
      <c r="AS137" s="9"/>
      <c r="AT137" s="93" t="b">
        <f t="shared" si="12"/>
        <v>0</v>
      </c>
      <c r="AU137" s="93" t="str">
        <f t="shared" si="13"/>
        <v/>
      </c>
      <c r="AV137" s="93" t="str">
        <f t="shared" si="14"/>
        <v/>
      </c>
      <c r="AW137" s="93" t="str">
        <f t="shared" si="163"/>
        <v/>
      </c>
      <c r="AX137" s="107" t="str">
        <f t="shared" si="16"/>
        <v/>
      </c>
      <c r="AY137" s="98"/>
      <c r="AZ137" s="108"/>
      <c r="BA137" s="109" t="str">
        <f t="shared" si="17"/>
        <v/>
      </c>
      <c r="BB137" s="98"/>
      <c r="BC137" s="98"/>
      <c r="BD137" s="108"/>
      <c r="BE137" s="134"/>
      <c r="BF137" s="111" t="str">
        <f t="shared" si="18"/>
        <v/>
      </c>
      <c r="BG137" s="112" t="str">
        <f t="shared" si="19"/>
        <v>AH7211__44704_0.178460648148148___Negative_44704_0.394907407407407_</v>
      </c>
      <c r="BH137" s="113" t="str">
        <f t="shared" si="20"/>
        <v/>
      </c>
      <c r="BI137" s="202"/>
      <c r="BJ137" s="114" t="str">
        <f t="shared" si="21"/>
        <v/>
      </c>
      <c r="BK137" s="115" t="b">
        <f t="shared" si="105"/>
        <v>0</v>
      </c>
      <c r="BL137" s="114" t="str">
        <f t="shared" si="23"/>
        <v/>
      </c>
      <c r="BM137" s="108"/>
      <c r="BN137" s="7" t="b">
        <f t="shared" si="24"/>
        <v>1</v>
      </c>
      <c r="BO137" s="7" t="b">
        <f t="shared" si="25"/>
        <v>0</v>
      </c>
      <c r="BP137" s="7" t="b">
        <f t="shared" si="26"/>
        <v>1</v>
      </c>
      <c r="BQ137" s="118"/>
      <c r="BR137" s="119" t="s">
        <v>228</v>
      </c>
      <c r="BS137" s="7" t="b">
        <f t="shared" si="27"/>
        <v>1</v>
      </c>
      <c r="BT137" s="7"/>
      <c r="BU137" s="7"/>
      <c r="BV137" s="7"/>
      <c r="BW137" s="7"/>
    </row>
    <row r="138">
      <c r="A138" s="86" t="s">
        <v>410</v>
      </c>
      <c r="B138" s="87">
        <v>44704.0</v>
      </c>
      <c r="C138" s="88">
        <v>0.17846064814814816</v>
      </c>
      <c r="D138" s="89"/>
      <c r="E138" s="89"/>
      <c r="F138" s="89"/>
      <c r="G138" s="86"/>
      <c r="H138" s="90"/>
      <c r="I138" s="3"/>
      <c r="J138" s="3"/>
      <c r="K138" s="9" t="s">
        <v>228</v>
      </c>
      <c r="L138" s="36">
        <v>44704.0</v>
      </c>
      <c r="M138" s="91">
        <v>0.39490740740740743</v>
      </c>
      <c r="N138" s="3"/>
      <c r="O138" s="142"/>
      <c r="P138" s="93" t="b">
        <f>IFNA(IF(VLOOKUP($A138,'Add from APT'!$AA$2:$AC264,3,FALSE)&gt;0,TRUE,FALSE),"ER - NOT IN APT")</f>
        <v>0</v>
      </c>
      <c r="Q138" s="94" t="str">
        <f>IF(ISLOGICAL(P138),IF(P138,"ER - REPS IN APT", IFNA(VLOOKUP($A138,RAW_APT!$A$3:$M264,7,FALSE),"ER - NOT IN APT")),P138)</f>
        <v>Result</v>
      </c>
      <c r="R138" s="95" t="b">
        <f t="shared" si="102"/>
        <v>0</v>
      </c>
      <c r="S138" s="96">
        <f t="shared" si="3"/>
        <v>4</v>
      </c>
      <c r="T138" s="130">
        <v>3.0</v>
      </c>
      <c r="U138" s="3"/>
      <c r="V138" s="3"/>
      <c r="W138" s="3"/>
      <c r="X138" s="99" t="b">
        <f t="shared" si="161"/>
        <v>0</v>
      </c>
      <c r="Y138" s="7"/>
      <c r="Z138" s="101" t="str">
        <f t="shared" si="5"/>
        <v/>
      </c>
      <c r="AA138" s="102" t="b">
        <f t="shared" si="6"/>
        <v>0</v>
      </c>
      <c r="AB138" s="131"/>
      <c r="AC138" s="130">
        <v>107.0</v>
      </c>
      <c r="AD138" s="132"/>
      <c r="AE138" s="105">
        <f t="shared" si="7"/>
        <v>311.6833333</v>
      </c>
      <c r="AF138" s="106" t="b">
        <f t="shared" si="103"/>
        <v>0</v>
      </c>
      <c r="AG138" s="93" t="b">
        <f t="shared" si="9"/>
        <v>0</v>
      </c>
      <c r="AH138" s="130"/>
      <c r="AI138" s="13"/>
      <c r="AJ138" s="7"/>
      <c r="AK138" s="101" t="str">
        <f t="shared" si="10"/>
        <v>Negative</v>
      </c>
      <c r="AL138" s="98"/>
      <c r="AM138" s="94" t="s">
        <v>284</v>
      </c>
      <c r="AN138" s="94" t="s">
        <v>287</v>
      </c>
      <c r="AO138" s="102" t="str">
        <f>IFERROR(__xludf.DUMMYFUNCTION("IF($AG138, ""DELETED"",TRIM(JOIN("" "",D138:E138)))"),"")</f>
        <v/>
      </c>
      <c r="AP138" s="94" t="str">
        <f t="shared" ref="AP138:AQ138" si="176">IF($AG138, "DELETED", TRIM(CONCATENATE(F138,I138,U138)))</f>
        <v/>
      </c>
      <c r="AQ138" s="94" t="str">
        <f t="shared" si="176"/>
        <v/>
      </c>
      <c r="AR138" s="94" t="str">
        <f>IFERROR(__xludf.DUMMYFUNCTION("IF($AG138, ""DELETED"", TRIM(JOIN("" "",AP138,AQ138)))"),"")</f>
        <v/>
      </c>
      <c r="AS138" s="9"/>
      <c r="AT138" s="93" t="b">
        <f t="shared" si="12"/>
        <v>0</v>
      </c>
      <c r="AU138" s="93" t="str">
        <f t="shared" si="13"/>
        <v/>
      </c>
      <c r="AV138" s="93" t="str">
        <f t="shared" si="14"/>
        <v/>
      </c>
      <c r="AW138" s="93" t="str">
        <f t="shared" si="163"/>
        <v/>
      </c>
      <c r="AX138" s="107" t="str">
        <f t="shared" si="16"/>
        <v/>
      </c>
      <c r="AY138" s="3"/>
      <c r="AZ138" s="129"/>
      <c r="BA138" s="109" t="str">
        <f t="shared" si="17"/>
        <v/>
      </c>
      <c r="BB138" s="3"/>
      <c r="BC138" s="3"/>
      <c r="BD138" s="108"/>
      <c r="BE138" s="134"/>
      <c r="BF138" s="111" t="str">
        <f t="shared" si="18"/>
        <v/>
      </c>
      <c r="BG138" s="112" t="str">
        <f t="shared" si="19"/>
        <v>AH7211__44704_0.178460648148148___Negative_44704_0.394907407407407_</v>
      </c>
      <c r="BH138" s="113" t="str">
        <f t="shared" si="20"/>
        <v/>
      </c>
      <c r="BI138" s="202"/>
      <c r="BJ138" s="114" t="str">
        <f t="shared" si="21"/>
        <v/>
      </c>
      <c r="BK138" s="115" t="b">
        <f t="shared" si="105"/>
        <v>0</v>
      </c>
      <c r="BL138" s="114" t="str">
        <f t="shared" si="23"/>
        <v/>
      </c>
      <c r="BM138" s="108"/>
      <c r="BN138" s="7" t="b">
        <f t="shared" si="24"/>
        <v>1</v>
      </c>
      <c r="BO138" s="7" t="b">
        <f t="shared" si="25"/>
        <v>0</v>
      </c>
      <c r="BP138" s="7" t="b">
        <f t="shared" si="26"/>
        <v>1</v>
      </c>
      <c r="BQ138" s="118"/>
      <c r="BR138" s="119" t="s">
        <v>228</v>
      </c>
      <c r="BS138" s="7" t="b">
        <f t="shared" si="27"/>
        <v>1</v>
      </c>
      <c r="BT138" s="7"/>
      <c r="BU138" s="7"/>
      <c r="BV138" s="7"/>
      <c r="BW138" s="7"/>
    </row>
    <row r="139">
      <c r="A139" s="86" t="s">
        <v>411</v>
      </c>
      <c r="B139" s="87">
        <v>44704.0</v>
      </c>
      <c r="C139" s="88">
        <v>0.1878240740740741</v>
      </c>
      <c r="D139" s="89"/>
      <c r="E139" s="89"/>
      <c r="F139" s="89"/>
      <c r="G139" s="86"/>
      <c r="H139" s="90"/>
      <c r="I139" s="3"/>
      <c r="J139" s="3"/>
      <c r="K139" s="89" t="s">
        <v>228</v>
      </c>
      <c r="L139" s="36">
        <v>44704.0</v>
      </c>
      <c r="M139" s="91">
        <v>0.39490740740740743</v>
      </c>
      <c r="N139" s="3"/>
      <c r="O139" s="92"/>
      <c r="P139" s="93" t="b">
        <f>IFNA(IF(VLOOKUP($A139,'Add from APT'!$AA$2:$AC264,3,FALSE)&gt;0,TRUE,FALSE),"ER - NOT IN APT")</f>
        <v>0</v>
      </c>
      <c r="Q139" s="94" t="str">
        <f>IF(ISLOGICAL(P139),IF(P139,"ER - REPS IN APT", IFNA(VLOOKUP($A139,RAW_APT!$A$3:$M264,7,FALSE),"ER - NOT IN APT")),P139)</f>
        <v>Result</v>
      </c>
      <c r="R139" s="95" t="b">
        <f t="shared" si="102"/>
        <v>1</v>
      </c>
      <c r="S139" s="96">
        <f t="shared" si="3"/>
        <v>4</v>
      </c>
      <c r="T139" s="97"/>
      <c r="U139" s="3"/>
      <c r="V139" s="3"/>
      <c r="W139" s="98"/>
      <c r="X139" s="99" t="b">
        <f t="shared" si="161"/>
        <v>0</v>
      </c>
      <c r="Y139" s="100"/>
      <c r="Z139" s="101" t="str">
        <f t="shared" si="5"/>
        <v/>
      </c>
      <c r="AA139" s="102" t="b">
        <f t="shared" si="6"/>
        <v>0</v>
      </c>
      <c r="AB139" s="98"/>
      <c r="AC139" s="103">
        <v>111.0</v>
      </c>
      <c r="AD139" s="104"/>
      <c r="AE139" s="105">
        <f t="shared" si="7"/>
        <v>298.2</v>
      </c>
      <c r="AF139" s="106" t="b">
        <f t="shared" si="103"/>
        <v>0</v>
      </c>
      <c r="AG139" s="93" t="b">
        <f t="shared" si="9"/>
        <v>0</v>
      </c>
      <c r="AH139" s="103"/>
      <c r="AI139" s="103"/>
      <c r="AJ139" s="97"/>
      <c r="AK139" s="101" t="str">
        <f t="shared" si="10"/>
        <v>Negative</v>
      </c>
      <c r="AL139" s="98"/>
      <c r="AM139" s="94" t="s">
        <v>322</v>
      </c>
      <c r="AN139" s="94" t="s">
        <v>325</v>
      </c>
      <c r="AO139" s="102" t="str">
        <f>IFERROR(__xludf.DUMMYFUNCTION("IF($AG139, ""DELETED"",TRIM(JOIN("" "",D139:E139)))"),"")</f>
        <v/>
      </c>
      <c r="AP139" s="94" t="str">
        <f t="shared" ref="AP139:AQ139" si="177">IF($AG139, "DELETED", TRIM(CONCATENATE(F139,I139,U139)))</f>
        <v/>
      </c>
      <c r="AQ139" s="94" t="str">
        <f t="shared" si="177"/>
        <v/>
      </c>
      <c r="AR139" s="94" t="str">
        <f>IFERROR(__xludf.DUMMYFUNCTION("IF($AG139, ""DELETED"", TRIM(JOIN("" "",AP139,AQ139)))"),"")</f>
        <v/>
      </c>
      <c r="AS139" s="9"/>
      <c r="AT139" s="93" t="b">
        <f t="shared" si="12"/>
        <v>0</v>
      </c>
      <c r="AU139" s="93" t="str">
        <f t="shared" si="13"/>
        <v/>
      </c>
      <c r="AV139" s="93" t="str">
        <f t="shared" si="14"/>
        <v/>
      </c>
      <c r="AW139" s="93" t="str">
        <f t="shared" si="163"/>
        <v/>
      </c>
      <c r="AX139" s="107" t="str">
        <f t="shared" si="16"/>
        <v/>
      </c>
      <c r="AY139" s="98"/>
      <c r="AZ139" s="108"/>
      <c r="BA139" s="109" t="str">
        <f t="shared" si="17"/>
        <v/>
      </c>
      <c r="BB139" s="98"/>
      <c r="BC139" s="98"/>
      <c r="BD139" s="108"/>
      <c r="BE139" s="134"/>
      <c r="BF139" s="111" t="str">
        <f t="shared" si="18"/>
        <v/>
      </c>
      <c r="BG139" s="112" t="str">
        <f t="shared" si="19"/>
        <v>AH330__44704_0.187824074074074___Negative_44704_0.394907407407407_</v>
      </c>
      <c r="BH139" s="113" t="str">
        <f t="shared" si="20"/>
        <v/>
      </c>
      <c r="BI139" s="202"/>
      <c r="BJ139" s="114" t="str">
        <f t="shared" si="21"/>
        <v/>
      </c>
      <c r="BK139" s="115" t="b">
        <f t="shared" si="105"/>
        <v>0</v>
      </c>
      <c r="BL139" s="114" t="str">
        <f t="shared" si="23"/>
        <v/>
      </c>
      <c r="BM139" s="108"/>
      <c r="BN139" s="7" t="b">
        <f t="shared" si="24"/>
        <v>1</v>
      </c>
      <c r="BO139" s="7" t="b">
        <f t="shared" si="25"/>
        <v>0</v>
      </c>
      <c r="BP139" s="7" t="b">
        <f t="shared" si="26"/>
        <v>1</v>
      </c>
      <c r="BQ139" s="118"/>
      <c r="BR139" s="119" t="s">
        <v>228</v>
      </c>
      <c r="BS139" s="7" t="b">
        <f t="shared" si="27"/>
        <v>1</v>
      </c>
      <c r="BT139" s="7"/>
      <c r="BU139" s="7"/>
      <c r="BV139" s="7"/>
      <c r="BW139" s="7"/>
    </row>
    <row r="140">
      <c r="A140" s="86" t="s">
        <v>411</v>
      </c>
      <c r="B140" s="87">
        <v>44704.0</v>
      </c>
      <c r="C140" s="88">
        <v>0.1878240740740741</v>
      </c>
      <c r="D140" s="89"/>
      <c r="E140" s="89"/>
      <c r="F140" s="89"/>
      <c r="G140" s="86"/>
      <c r="H140" s="90"/>
      <c r="I140" s="3"/>
      <c r="J140" s="3"/>
      <c r="K140" s="89" t="s">
        <v>228</v>
      </c>
      <c r="L140" s="36">
        <v>44704.0</v>
      </c>
      <c r="M140" s="91">
        <v>0.39490740740740743</v>
      </c>
      <c r="N140" s="3"/>
      <c r="O140" s="92"/>
      <c r="P140" s="93" t="b">
        <f>IFNA(IF(VLOOKUP($A140,'Add from APT'!$AA$2:$AC264,3,FALSE)&gt;0,TRUE,FALSE),"ER - NOT IN APT")</f>
        <v>0</v>
      </c>
      <c r="Q140" s="94" t="str">
        <f>IF(ISLOGICAL(P140),IF(P140,"ER - REPS IN APT", IFNA(VLOOKUP($A140,RAW_APT!$A$3:$M264,7,FALSE),"ER - NOT IN APT")),P140)</f>
        <v>Result</v>
      </c>
      <c r="R140" s="95" t="b">
        <f t="shared" si="102"/>
        <v>0</v>
      </c>
      <c r="S140" s="96">
        <f t="shared" si="3"/>
        <v>4</v>
      </c>
      <c r="T140" s="97"/>
      <c r="U140" s="3"/>
      <c r="V140" s="3"/>
      <c r="W140" s="98"/>
      <c r="X140" s="99" t="b">
        <f t="shared" si="161"/>
        <v>0</v>
      </c>
      <c r="Y140" s="100"/>
      <c r="Z140" s="101" t="str">
        <f t="shared" si="5"/>
        <v/>
      </c>
      <c r="AA140" s="102" t="b">
        <f t="shared" si="6"/>
        <v>0</v>
      </c>
      <c r="AB140" s="98"/>
      <c r="AC140" s="103">
        <v>110.0</v>
      </c>
      <c r="AD140" s="104"/>
      <c r="AE140" s="105">
        <f t="shared" si="7"/>
        <v>298.2</v>
      </c>
      <c r="AF140" s="106" t="b">
        <f t="shared" si="103"/>
        <v>0</v>
      </c>
      <c r="AG140" s="93" t="b">
        <f t="shared" si="9"/>
        <v>0</v>
      </c>
      <c r="AH140" s="103"/>
      <c r="AI140" s="103"/>
      <c r="AJ140" s="97"/>
      <c r="AK140" s="101" t="str">
        <f t="shared" si="10"/>
        <v>Negative</v>
      </c>
      <c r="AL140" s="98"/>
      <c r="AM140" s="94" t="s">
        <v>322</v>
      </c>
      <c r="AN140" s="94" t="s">
        <v>327</v>
      </c>
      <c r="AO140" s="102" t="str">
        <f>IFERROR(__xludf.DUMMYFUNCTION("IF($AG140, ""DELETED"",TRIM(JOIN("" "",D140:E140)))"),"")</f>
        <v/>
      </c>
      <c r="AP140" s="94" t="str">
        <f t="shared" ref="AP140:AQ140" si="178">IF($AG140, "DELETED", TRIM(CONCATENATE(F140,I140,U140)))</f>
        <v/>
      </c>
      <c r="AQ140" s="94" t="str">
        <f t="shared" si="178"/>
        <v/>
      </c>
      <c r="AR140" s="94" t="str">
        <f>IFERROR(__xludf.DUMMYFUNCTION("IF($AG140, ""DELETED"", TRIM(JOIN("" "",AP140,AQ140)))"),"")</f>
        <v/>
      </c>
      <c r="AS140" s="9"/>
      <c r="AT140" s="93" t="b">
        <f t="shared" si="12"/>
        <v>0</v>
      </c>
      <c r="AU140" s="93" t="str">
        <f t="shared" si="13"/>
        <v/>
      </c>
      <c r="AV140" s="93" t="str">
        <f t="shared" si="14"/>
        <v/>
      </c>
      <c r="AW140" s="93" t="str">
        <f t="shared" si="163"/>
        <v/>
      </c>
      <c r="AX140" s="107" t="str">
        <f t="shared" si="16"/>
        <v/>
      </c>
      <c r="AY140" s="98"/>
      <c r="AZ140" s="108"/>
      <c r="BA140" s="109" t="str">
        <f t="shared" si="17"/>
        <v/>
      </c>
      <c r="BB140" s="98"/>
      <c r="BC140" s="98"/>
      <c r="BD140" s="108"/>
      <c r="BE140" s="134"/>
      <c r="BF140" s="111" t="str">
        <f t="shared" si="18"/>
        <v/>
      </c>
      <c r="BG140" s="112" t="str">
        <f t="shared" si="19"/>
        <v>AH330__44704_0.187824074074074___Negative_44704_0.394907407407407_</v>
      </c>
      <c r="BH140" s="113" t="str">
        <f t="shared" si="20"/>
        <v/>
      </c>
      <c r="BI140" s="202"/>
      <c r="BJ140" s="114" t="str">
        <f t="shared" si="21"/>
        <v/>
      </c>
      <c r="BK140" s="115" t="b">
        <f t="shared" si="105"/>
        <v>0</v>
      </c>
      <c r="BL140" s="114" t="str">
        <f t="shared" si="23"/>
        <v/>
      </c>
      <c r="BM140" s="108"/>
      <c r="BN140" s="7" t="b">
        <f t="shared" si="24"/>
        <v>1</v>
      </c>
      <c r="BO140" s="7" t="b">
        <f t="shared" si="25"/>
        <v>0</v>
      </c>
      <c r="BP140" s="7" t="b">
        <f t="shared" si="26"/>
        <v>1</v>
      </c>
      <c r="BQ140" s="118"/>
      <c r="BR140" s="119" t="s">
        <v>228</v>
      </c>
      <c r="BS140" s="7" t="b">
        <f t="shared" si="27"/>
        <v>1</v>
      </c>
      <c r="BT140" s="7"/>
      <c r="BU140" s="7"/>
      <c r="BV140" s="7"/>
      <c r="BW140" s="7"/>
    </row>
    <row r="141">
      <c r="A141" s="86" t="s">
        <v>411</v>
      </c>
      <c r="B141" s="87">
        <v>44704.0</v>
      </c>
      <c r="C141" s="88">
        <v>0.1878240740740741</v>
      </c>
      <c r="D141" s="89"/>
      <c r="E141" s="89"/>
      <c r="F141" s="3"/>
      <c r="G141" s="120"/>
      <c r="H141" s="121"/>
      <c r="I141" s="89"/>
      <c r="J141" s="89"/>
      <c r="K141" s="89" t="s">
        <v>228</v>
      </c>
      <c r="L141" s="36">
        <v>44704.0</v>
      </c>
      <c r="M141" s="91">
        <v>0.39490740740740743</v>
      </c>
      <c r="N141" s="3"/>
      <c r="O141" s="92"/>
      <c r="P141" s="93" t="b">
        <f>IFNA(IF(VLOOKUP($A141,'Add from APT'!$AA$2:$AC264,3,FALSE)&gt;0,TRUE,FALSE),"ER - NOT IN APT")</f>
        <v>0</v>
      </c>
      <c r="Q141" s="94" t="str">
        <f>IF(ISLOGICAL(P141),IF(P141,"ER - REPS IN APT", IFNA(VLOOKUP($A141,RAW_APT!$A$3:$M264,7,FALSE),"ER - NOT IN APT")),P141)</f>
        <v>Result</v>
      </c>
      <c r="R141" s="95" t="b">
        <f t="shared" si="102"/>
        <v>0</v>
      </c>
      <c r="S141" s="96">
        <f t="shared" si="3"/>
        <v>4</v>
      </c>
      <c r="T141" s="97"/>
      <c r="U141" s="3"/>
      <c r="V141" s="3"/>
      <c r="W141" s="98"/>
      <c r="X141" s="99" t="b">
        <f t="shared" si="161"/>
        <v>0</v>
      </c>
      <c r="Y141" s="100"/>
      <c r="Z141" s="101" t="str">
        <f t="shared" si="5"/>
        <v/>
      </c>
      <c r="AA141" s="102" t="b">
        <f t="shared" si="6"/>
        <v>0</v>
      </c>
      <c r="AB141" s="98"/>
      <c r="AC141" s="103">
        <v>108.0</v>
      </c>
      <c r="AD141" s="104"/>
      <c r="AE141" s="105">
        <f t="shared" si="7"/>
        <v>298.2</v>
      </c>
      <c r="AF141" s="106" t="b">
        <f t="shared" si="103"/>
        <v>0</v>
      </c>
      <c r="AG141" s="93" t="b">
        <f t="shared" si="9"/>
        <v>0</v>
      </c>
      <c r="AH141" s="103"/>
      <c r="AI141" s="103"/>
      <c r="AJ141" s="97"/>
      <c r="AK141" s="101" t="str">
        <f t="shared" si="10"/>
        <v>Negative</v>
      </c>
      <c r="AL141" s="98"/>
      <c r="AM141" s="94" t="s">
        <v>322</v>
      </c>
      <c r="AN141" s="94" t="s">
        <v>393</v>
      </c>
      <c r="AO141" s="102" t="str">
        <f>IFERROR(__xludf.DUMMYFUNCTION("IF($AG141, ""DELETED"",TRIM(JOIN("" "",D141:E141)))"),"")</f>
        <v/>
      </c>
      <c r="AP141" s="94" t="str">
        <f t="shared" ref="AP141:AQ141" si="179">IF($AG141, "DELETED", TRIM(CONCATENATE(F141,I141,U141)))</f>
        <v/>
      </c>
      <c r="AQ141" s="94" t="str">
        <f t="shared" si="179"/>
        <v/>
      </c>
      <c r="AR141" s="94" t="str">
        <f>IFERROR(__xludf.DUMMYFUNCTION("IF($AG141, ""DELETED"", TRIM(JOIN("" "",AP141,AQ141)))"),"")</f>
        <v/>
      </c>
      <c r="AS141" s="9"/>
      <c r="AT141" s="93" t="b">
        <f t="shared" si="12"/>
        <v>0</v>
      </c>
      <c r="AU141" s="93" t="str">
        <f t="shared" si="13"/>
        <v/>
      </c>
      <c r="AV141" s="93" t="str">
        <f t="shared" si="14"/>
        <v/>
      </c>
      <c r="AW141" s="93" t="str">
        <f t="shared" si="163"/>
        <v/>
      </c>
      <c r="AX141" s="107" t="str">
        <f t="shared" si="16"/>
        <v/>
      </c>
      <c r="AY141" s="98"/>
      <c r="AZ141" s="108"/>
      <c r="BA141" s="109" t="str">
        <f t="shared" si="17"/>
        <v/>
      </c>
      <c r="BB141" s="98"/>
      <c r="BC141" s="98"/>
      <c r="BD141" s="108"/>
      <c r="BE141" s="134"/>
      <c r="BF141" s="111" t="str">
        <f t="shared" si="18"/>
        <v/>
      </c>
      <c r="BG141" s="112" t="str">
        <f t="shared" si="19"/>
        <v>AH330__44704_0.187824074074074___Negative_44704_0.394907407407407_</v>
      </c>
      <c r="BH141" s="113" t="str">
        <f t="shared" si="20"/>
        <v/>
      </c>
      <c r="BI141" s="202"/>
      <c r="BJ141" s="114" t="str">
        <f t="shared" si="21"/>
        <v/>
      </c>
      <c r="BK141" s="115" t="b">
        <f t="shared" si="105"/>
        <v>0</v>
      </c>
      <c r="BL141" s="114" t="str">
        <f t="shared" si="23"/>
        <v/>
      </c>
      <c r="BM141" s="108"/>
      <c r="BN141" s="7" t="b">
        <f t="shared" si="24"/>
        <v>1</v>
      </c>
      <c r="BO141" s="7" t="b">
        <f t="shared" si="25"/>
        <v>0</v>
      </c>
      <c r="BP141" s="7" t="b">
        <f t="shared" si="26"/>
        <v>1</v>
      </c>
      <c r="BQ141" s="118"/>
      <c r="BR141" s="119" t="s">
        <v>228</v>
      </c>
      <c r="BS141" s="7" t="b">
        <f t="shared" si="27"/>
        <v>1</v>
      </c>
      <c r="BT141" s="7"/>
      <c r="BU141" s="7"/>
      <c r="BV141" s="7"/>
      <c r="BW141" s="7"/>
    </row>
    <row r="142">
      <c r="A142" s="86" t="s">
        <v>411</v>
      </c>
      <c r="B142" s="87">
        <v>44704.0</v>
      </c>
      <c r="C142" s="88">
        <v>0.1878240740740741</v>
      </c>
      <c r="D142" s="89"/>
      <c r="E142" s="89"/>
      <c r="F142" s="3"/>
      <c r="G142" s="120"/>
      <c r="H142" s="121"/>
      <c r="I142" s="89"/>
      <c r="J142" s="89"/>
      <c r="K142" s="89" t="s">
        <v>228</v>
      </c>
      <c r="L142" s="36">
        <v>44704.0</v>
      </c>
      <c r="M142" s="91">
        <v>0.39490740740740743</v>
      </c>
      <c r="N142" s="3"/>
      <c r="O142" s="92"/>
      <c r="P142" s="93" t="b">
        <f>IFNA(IF(VLOOKUP($A142,'Add from APT'!$AA$2:$AC264,3,FALSE)&gt;0,TRUE,FALSE),"ER - NOT IN APT")</f>
        <v>0</v>
      </c>
      <c r="Q142" s="94" t="str">
        <f>IF(ISLOGICAL(P142),IF(P142,"ER - REPS IN APT", IFNA(VLOOKUP($A142,RAW_APT!$A$3:$M264,7,FALSE),"ER - NOT IN APT")),P142)</f>
        <v>Result</v>
      </c>
      <c r="R142" s="95" t="b">
        <f t="shared" si="102"/>
        <v>0</v>
      </c>
      <c r="S142" s="96">
        <f t="shared" si="3"/>
        <v>4</v>
      </c>
      <c r="T142" s="97"/>
      <c r="U142" s="3"/>
      <c r="V142" s="3"/>
      <c r="W142" s="98"/>
      <c r="X142" s="99" t="b">
        <f t="shared" si="161"/>
        <v>0</v>
      </c>
      <c r="Y142" s="100"/>
      <c r="Z142" s="101" t="str">
        <f t="shared" si="5"/>
        <v/>
      </c>
      <c r="AA142" s="102" t="b">
        <f t="shared" si="6"/>
        <v>0</v>
      </c>
      <c r="AB142" s="98"/>
      <c r="AC142" s="103">
        <v>109.0</v>
      </c>
      <c r="AD142" s="104"/>
      <c r="AE142" s="105">
        <f t="shared" si="7"/>
        <v>298.2</v>
      </c>
      <c r="AF142" s="106" t="b">
        <f t="shared" si="103"/>
        <v>0</v>
      </c>
      <c r="AG142" s="93" t="b">
        <f t="shared" si="9"/>
        <v>0</v>
      </c>
      <c r="AH142" s="103"/>
      <c r="AI142" s="103"/>
      <c r="AJ142" s="97"/>
      <c r="AK142" s="101" t="str">
        <f t="shared" si="10"/>
        <v>Negative</v>
      </c>
      <c r="AL142" s="98"/>
      <c r="AM142" s="94" t="s">
        <v>322</v>
      </c>
      <c r="AN142" s="94" t="s">
        <v>329</v>
      </c>
      <c r="AO142" s="102" t="str">
        <f>IFERROR(__xludf.DUMMYFUNCTION("IF($AG142, ""DELETED"",TRIM(JOIN("" "",D142:E142)))"),"")</f>
        <v/>
      </c>
      <c r="AP142" s="94" t="str">
        <f t="shared" ref="AP142:AQ142" si="180">IF($AG142, "DELETED", TRIM(CONCATENATE(F142,I142,U142)))</f>
        <v/>
      </c>
      <c r="AQ142" s="94" t="str">
        <f t="shared" si="180"/>
        <v/>
      </c>
      <c r="AR142" s="94" t="str">
        <f>IFERROR(__xludf.DUMMYFUNCTION("IF($AG142, ""DELETED"", TRIM(JOIN("" "",AP142,AQ142)))"),"")</f>
        <v/>
      </c>
      <c r="AS142" s="9"/>
      <c r="AT142" s="93" t="b">
        <f t="shared" si="12"/>
        <v>0</v>
      </c>
      <c r="AU142" s="93" t="str">
        <f t="shared" si="13"/>
        <v/>
      </c>
      <c r="AV142" s="93" t="str">
        <f t="shared" si="14"/>
        <v/>
      </c>
      <c r="AW142" s="93" t="str">
        <f t="shared" si="163"/>
        <v/>
      </c>
      <c r="AX142" s="107" t="str">
        <f t="shared" si="16"/>
        <v/>
      </c>
      <c r="AY142" s="98"/>
      <c r="AZ142" s="108"/>
      <c r="BA142" s="109" t="str">
        <f t="shared" si="17"/>
        <v/>
      </c>
      <c r="BB142" s="98"/>
      <c r="BC142" s="98"/>
      <c r="BD142" s="108"/>
      <c r="BE142" s="134"/>
      <c r="BF142" s="111" t="str">
        <f t="shared" si="18"/>
        <v/>
      </c>
      <c r="BG142" s="112" t="str">
        <f t="shared" si="19"/>
        <v>AH330__44704_0.187824074074074___Negative_44704_0.394907407407407_</v>
      </c>
      <c r="BH142" s="113" t="str">
        <f t="shared" si="20"/>
        <v/>
      </c>
      <c r="BI142" s="202"/>
      <c r="BJ142" s="114" t="str">
        <f t="shared" si="21"/>
        <v/>
      </c>
      <c r="BK142" s="115" t="b">
        <f t="shared" si="105"/>
        <v>0</v>
      </c>
      <c r="BL142" s="114" t="str">
        <f t="shared" si="23"/>
        <v/>
      </c>
      <c r="BM142" s="108"/>
      <c r="BN142" s="7" t="b">
        <f t="shared" si="24"/>
        <v>1</v>
      </c>
      <c r="BO142" s="7" t="b">
        <f t="shared" si="25"/>
        <v>0</v>
      </c>
      <c r="BP142" s="7" t="b">
        <f t="shared" si="26"/>
        <v>1</v>
      </c>
      <c r="BQ142" s="118"/>
      <c r="BR142" s="119" t="s">
        <v>228</v>
      </c>
      <c r="BS142" s="7" t="b">
        <f t="shared" si="27"/>
        <v>1</v>
      </c>
      <c r="BT142" s="7"/>
      <c r="BU142" s="7"/>
      <c r="BV142" s="7"/>
      <c r="BW142" s="7"/>
    </row>
    <row r="143">
      <c r="A143" s="86" t="s">
        <v>412</v>
      </c>
      <c r="B143" s="87">
        <v>44704.0</v>
      </c>
      <c r="C143" s="88">
        <v>0.1905439814814815</v>
      </c>
      <c r="D143" s="89"/>
      <c r="E143" s="89"/>
      <c r="F143" s="89"/>
      <c r="G143" s="86"/>
      <c r="H143" s="90"/>
      <c r="I143" s="3"/>
      <c r="J143" s="3"/>
      <c r="K143" s="89" t="s">
        <v>228</v>
      </c>
      <c r="L143" s="36">
        <v>44704.0</v>
      </c>
      <c r="M143" s="91">
        <v>0.39490740740740743</v>
      </c>
      <c r="N143" s="3"/>
      <c r="O143" s="92"/>
      <c r="P143" s="93" t="b">
        <f>IFNA(IF(VLOOKUP($A143,'Add from APT'!$AA$2:$AC264,3,FALSE)&gt;0,TRUE,FALSE),"ER - NOT IN APT")</f>
        <v>0</v>
      </c>
      <c r="Q143" s="94" t="str">
        <f>IF(ISLOGICAL(P143),IF(P143,"ER - REPS IN APT", IFNA(VLOOKUP($A143,RAW_APT!$A$3:$M264,7,FALSE),"ER - NOT IN APT")),P143)</f>
        <v>Result</v>
      </c>
      <c r="R143" s="95" t="b">
        <f t="shared" si="102"/>
        <v>1</v>
      </c>
      <c r="S143" s="96">
        <f t="shared" si="3"/>
        <v>2</v>
      </c>
      <c r="T143" s="97"/>
      <c r="U143" s="3"/>
      <c r="V143" s="3"/>
      <c r="W143" s="9"/>
      <c r="X143" s="99" t="b">
        <f t="shared" si="161"/>
        <v>0</v>
      </c>
      <c r="Y143" s="100"/>
      <c r="Z143" s="101" t="str">
        <f t="shared" si="5"/>
        <v/>
      </c>
      <c r="AA143" s="102" t="b">
        <f t="shared" si="6"/>
        <v>0</v>
      </c>
      <c r="AB143" s="98"/>
      <c r="AC143" s="103">
        <v>113.0</v>
      </c>
      <c r="AD143" s="104"/>
      <c r="AE143" s="105">
        <f t="shared" si="7"/>
        <v>294.2833333</v>
      </c>
      <c r="AF143" s="106" t="b">
        <f t="shared" si="103"/>
        <v>0</v>
      </c>
      <c r="AG143" s="93" t="b">
        <f t="shared" si="9"/>
        <v>0</v>
      </c>
      <c r="AH143" s="103"/>
      <c r="AI143" s="103"/>
      <c r="AJ143" s="97"/>
      <c r="AK143" s="101" t="str">
        <f t="shared" si="10"/>
        <v>Negative</v>
      </c>
      <c r="AL143" s="98"/>
      <c r="AM143" s="94" t="s">
        <v>316</v>
      </c>
      <c r="AN143" s="94" t="s">
        <v>317</v>
      </c>
      <c r="AO143" s="102" t="str">
        <f>IFERROR(__xludf.DUMMYFUNCTION("IF($AG143, ""DELETED"",TRIM(JOIN("" "",D143:E143)))"),"")</f>
        <v/>
      </c>
      <c r="AP143" s="94" t="str">
        <f t="shared" ref="AP143:AQ143" si="181">IF($AG143, "DELETED", TRIM(CONCATENATE(F143,I143,U143)))</f>
        <v/>
      </c>
      <c r="AQ143" s="94" t="str">
        <f t="shared" si="181"/>
        <v/>
      </c>
      <c r="AR143" s="94" t="str">
        <f>IFERROR(__xludf.DUMMYFUNCTION("IF($AG143, ""DELETED"", TRIM(JOIN("" "",AP143,AQ143)))"),"")</f>
        <v/>
      </c>
      <c r="AS143" s="9"/>
      <c r="AT143" s="93" t="b">
        <f t="shared" si="12"/>
        <v>0</v>
      </c>
      <c r="AU143" s="93" t="str">
        <f t="shared" si="13"/>
        <v/>
      </c>
      <c r="AV143" s="93" t="str">
        <f t="shared" si="14"/>
        <v/>
      </c>
      <c r="AW143" s="93" t="str">
        <f t="shared" si="163"/>
        <v/>
      </c>
      <c r="AX143" s="107" t="str">
        <f t="shared" si="16"/>
        <v/>
      </c>
      <c r="AY143" s="98"/>
      <c r="AZ143" s="108"/>
      <c r="BA143" s="109" t="str">
        <f t="shared" si="17"/>
        <v/>
      </c>
      <c r="BB143" s="98"/>
      <c r="BC143" s="98"/>
      <c r="BD143" s="108"/>
      <c r="BE143" s="134"/>
      <c r="BF143" s="111" t="str">
        <f t="shared" si="18"/>
        <v/>
      </c>
      <c r="BG143" s="112" t="str">
        <f t="shared" si="19"/>
        <v>AG1640__44704_0.190543981481482___Negative_44704_0.394907407407407_</v>
      </c>
      <c r="BH143" s="113" t="str">
        <f t="shared" si="20"/>
        <v/>
      </c>
      <c r="BI143" s="202"/>
      <c r="BJ143" s="114" t="str">
        <f t="shared" si="21"/>
        <v/>
      </c>
      <c r="BK143" s="115" t="b">
        <f t="shared" si="105"/>
        <v>0</v>
      </c>
      <c r="BL143" s="114" t="str">
        <f t="shared" si="23"/>
        <v/>
      </c>
      <c r="BM143" s="108"/>
      <c r="BN143" s="7" t="b">
        <f t="shared" si="24"/>
        <v>1</v>
      </c>
      <c r="BO143" s="7" t="b">
        <f t="shared" si="25"/>
        <v>0</v>
      </c>
      <c r="BP143" s="7" t="b">
        <f t="shared" si="26"/>
        <v>1</v>
      </c>
      <c r="BQ143" s="118"/>
      <c r="BR143" s="119" t="s">
        <v>228</v>
      </c>
      <c r="BS143" s="7" t="b">
        <f t="shared" si="27"/>
        <v>1</v>
      </c>
      <c r="BT143" s="7"/>
      <c r="BU143" s="7"/>
      <c r="BV143" s="7"/>
      <c r="BW143" s="7"/>
    </row>
    <row r="144">
      <c r="A144" s="86" t="s">
        <v>412</v>
      </c>
      <c r="B144" s="87">
        <v>44704.0</v>
      </c>
      <c r="C144" s="88">
        <v>0.1905439814814815</v>
      </c>
      <c r="D144" s="89"/>
      <c r="E144" s="89"/>
      <c r="F144" s="89"/>
      <c r="G144" s="86"/>
      <c r="H144" s="90"/>
      <c r="I144" s="3"/>
      <c r="J144" s="3"/>
      <c r="K144" s="89" t="s">
        <v>228</v>
      </c>
      <c r="L144" s="36">
        <v>44704.0</v>
      </c>
      <c r="M144" s="91">
        <v>0.39490740740740743</v>
      </c>
      <c r="N144" s="3"/>
      <c r="O144" s="92"/>
      <c r="P144" s="93" t="b">
        <f>IFNA(IF(VLOOKUP($A144,'Add from APT'!$AA$2:$AC264,3,FALSE)&gt;0,TRUE,FALSE),"ER - NOT IN APT")</f>
        <v>0</v>
      </c>
      <c r="Q144" s="94" t="str">
        <f>IF(ISLOGICAL(P144),IF(P144,"ER - REPS IN APT", IFNA(VLOOKUP($A144,RAW_APT!$A$3:$M264,7,FALSE),"ER - NOT IN APT")),P144)</f>
        <v>Result</v>
      </c>
      <c r="R144" s="95" t="b">
        <f t="shared" si="102"/>
        <v>0</v>
      </c>
      <c r="S144" s="96">
        <f t="shared" si="3"/>
        <v>2</v>
      </c>
      <c r="T144" s="97"/>
      <c r="U144" s="3"/>
      <c r="V144" s="3"/>
      <c r="W144" s="9"/>
      <c r="X144" s="99" t="b">
        <f t="shared" si="161"/>
        <v>0</v>
      </c>
      <c r="Y144" s="100"/>
      <c r="Z144" s="101" t="str">
        <f t="shared" si="5"/>
        <v/>
      </c>
      <c r="AA144" s="102" t="b">
        <f t="shared" si="6"/>
        <v>0</v>
      </c>
      <c r="AB144" s="98"/>
      <c r="AC144" s="103">
        <v>112.0</v>
      </c>
      <c r="AD144" s="104"/>
      <c r="AE144" s="105">
        <f t="shared" si="7"/>
        <v>294.2833333</v>
      </c>
      <c r="AF144" s="106" t="b">
        <f t="shared" si="103"/>
        <v>0</v>
      </c>
      <c r="AG144" s="93" t="b">
        <f t="shared" si="9"/>
        <v>0</v>
      </c>
      <c r="AH144" s="103"/>
      <c r="AI144" s="103"/>
      <c r="AJ144" s="97"/>
      <c r="AK144" s="101" t="str">
        <f t="shared" si="10"/>
        <v>Negative</v>
      </c>
      <c r="AL144" s="98"/>
      <c r="AM144" s="94" t="s">
        <v>316</v>
      </c>
      <c r="AN144" s="94" t="s">
        <v>319</v>
      </c>
      <c r="AO144" s="102" t="str">
        <f>IFERROR(__xludf.DUMMYFUNCTION("IF($AG144, ""DELETED"",TRIM(JOIN("" "",D144:E144)))"),"")</f>
        <v/>
      </c>
      <c r="AP144" s="94" t="str">
        <f t="shared" ref="AP144:AQ144" si="182">IF($AG144, "DELETED", TRIM(CONCATENATE(F144,I144,U144)))</f>
        <v/>
      </c>
      <c r="AQ144" s="94" t="str">
        <f t="shared" si="182"/>
        <v/>
      </c>
      <c r="AR144" s="94" t="str">
        <f>IFERROR(__xludf.DUMMYFUNCTION("IF($AG144, ""DELETED"", TRIM(JOIN("" "",AP144,AQ144)))"),"")</f>
        <v/>
      </c>
      <c r="AS144" s="9"/>
      <c r="AT144" s="93" t="b">
        <f t="shared" si="12"/>
        <v>0</v>
      </c>
      <c r="AU144" s="93" t="str">
        <f t="shared" si="13"/>
        <v/>
      </c>
      <c r="AV144" s="93" t="str">
        <f t="shared" si="14"/>
        <v/>
      </c>
      <c r="AW144" s="93" t="str">
        <f t="shared" si="163"/>
        <v/>
      </c>
      <c r="AX144" s="107" t="str">
        <f t="shared" si="16"/>
        <v/>
      </c>
      <c r="AY144" s="98"/>
      <c r="AZ144" s="108"/>
      <c r="BA144" s="109" t="str">
        <f t="shared" si="17"/>
        <v/>
      </c>
      <c r="BB144" s="98"/>
      <c r="BC144" s="98"/>
      <c r="BD144" s="108"/>
      <c r="BE144" s="134"/>
      <c r="BF144" s="111" t="str">
        <f t="shared" si="18"/>
        <v/>
      </c>
      <c r="BG144" s="112" t="str">
        <f t="shared" si="19"/>
        <v>AG1640__44704_0.190543981481482___Negative_44704_0.394907407407407_</v>
      </c>
      <c r="BH144" s="113" t="str">
        <f t="shared" si="20"/>
        <v/>
      </c>
      <c r="BI144" s="202"/>
      <c r="BJ144" s="114" t="str">
        <f t="shared" si="21"/>
        <v/>
      </c>
      <c r="BK144" s="115" t="b">
        <f t="shared" si="105"/>
        <v>0</v>
      </c>
      <c r="BL144" s="114" t="str">
        <f t="shared" si="23"/>
        <v/>
      </c>
      <c r="BM144" s="108"/>
      <c r="BN144" s="7" t="b">
        <f t="shared" si="24"/>
        <v>1</v>
      </c>
      <c r="BO144" s="7" t="b">
        <f t="shared" si="25"/>
        <v>0</v>
      </c>
      <c r="BP144" s="7" t="b">
        <f t="shared" si="26"/>
        <v>1</v>
      </c>
      <c r="BQ144" s="118"/>
      <c r="BR144" s="119" t="s">
        <v>228</v>
      </c>
      <c r="BS144" s="7" t="b">
        <f t="shared" si="27"/>
        <v>1</v>
      </c>
      <c r="BT144" s="7"/>
      <c r="BU144" s="7"/>
      <c r="BV144" s="7"/>
      <c r="BW144" s="7"/>
    </row>
    <row r="145">
      <c r="A145" s="86" t="s">
        <v>413</v>
      </c>
      <c r="B145" s="87">
        <v>44704.0</v>
      </c>
      <c r="C145" s="88">
        <v>0.2182638888888889</v>
      </c>
      <c r="D145" s="89"/>
      <c r="E145" s="89"/>
      <c r="H145" s="90"/>
      <c r="I145" s="3"/>
      <c r="J145" s="3"/>
      <c r="K145" s="89" t="s">
        <v>228</v>
      </c>
      <c r="L145" s="36">
        <v>44704.0</v>
      </c>
      <c r="M145" s="91">
        <v>0.39490740740740743</v>
      </c>
      <c r="N145" s="3"/>
      <c r="O145" s="142"/>
      <c r="P145" s="93" t="b">
        <f>IFNA(IF(VLOOKUP($A145,'Add from APT'!$AA$2:$AC264,3,FALSE)&gt;0,TRUE,FALSE),"ER - NOT IN APT")</f>
        <v>0</v>
      </c>
      <c r="Q145" s="94" t="str">
        <f>IF(ISLOGICAL(P145),IF(P145,"ER - REPS IN APT", IFNA(VLOOKUP($A145,RAW_APT!$A$3:$M264,7,FALSE),"ER - NOT IN APT")),P145)</f>
        <v>Result</v>
      </c>
      <c r="R145" s="95" t="b">
        <f t="shared" si="102"/>
        <v>1</v>
      </c>
      <c r="S145" s="96">
        <f t="shared" si="3"/>
        <v>2</v>
      </c>
      <c r="T145" s="130">
        <v>1.0</v>
      </c>
      <c r="U145" s="9"/>
      <c r="V145" s="119"/>
      <c r="W145" s="3"/>
      <c r="X145" s="99" t="b">
        <f>IF(ISBLANK(#REF!),IF(ISBLANK(#REF!),FALSE,"ER - LAST ONLY"),TRUE)</f>
        <v>1</v>
      </c>
      <c r="Y145" s="7"/>
      <c r="Z145" s="101" t="str">
        <f t="shared" si="5"/>
        <v/>
      </c>
      <c r="AA145" s="102" t="b">
        <f t="shared" si="6"/>
        <v>0</v>
      </c>
      <c r="AB145" s="131"/>
      <c r="AC145" s="130">
        <v>114.0</v>
      </c>
      <c r="AD145" s="132"/>
      <c r="AE145" s="105">
        <f t="shared" si="7"/>
        <v>254.3666667</v>
      </c>
      <c r="AF145" s="106" t="b">
        <f t="shared" si="103"/>
        <v>0</v>
      </c>
      <c r="AG145" s="93" t="b">
        <f t="shared" si="9"/>
        <v>0</v>
      </c>
      <c r="AH145" s="130"/>
      <c r="AI145" s="13"/>
      <c r="AJ145" s="7"/>
      <c r="AK145" s="101" t="str">
        <f t="shared" si="10"/>
        <v>Negative</v>
      </c>
      <c r="AL145" s="98"/>
      <c r="AM145" s="94" t="s">
        <v>414</v>
      </c>
      <c r="AN145" s="94" t="s">
        <v>415</v>
      </c>
      <c r="AO145" s="102" t="str">
        <f>IFERROR(__xludf.DUMMYFUNCTION("IF($AG145, ""DELETED"",TRIM(JOIN("" "",D145:E145)))"),"")</f>
        <v/>
      </c>
      <c r="AP145" s="94" t="str">
        <f t="shared" ref="AP145:AQ145" si="183">IF($AG145, "DELETED", TRIM(CONCATENATE(F145,I145,U145)))</f>
        <v/>
      </c>
      <c r="AQ145" s="94" t="str">
        <f t="shared" si="183"/>
        <v/>
      </c>
      <c r="AR145" s="94" t="str">
        <f>IFERROR(__xludf.DUMMYFUNCTION("IF($AG145, ""DELETED"", TRIM(JOIN("" "",AP145,AQ145)))"),"")</f>
        <v/>
      </c>
      <c r="AS145" s="9"/>
      <c r="AT145" s="93" t="b">
        <f t="shared" si="12"/>
        <v>1</v>
      </c>
      <c r="AU145" s="93" t="str">
        <f t="shared" si="13"/>
        <v/>
      </c>
      <c r="AV145" s="93" t="str">
        <f t="shared" si="14"/>
        <v/>
      </c>
      <c r="AW145" s="93">
        <f>IF($AG145,IFERROR(0/0,""),IF(ISBLANK(#REF!),IF(ISBLANK(#REF!),IFERROR(0/0,""),2),1))</f>
        <v>1</v>
      </c>
      <c r="AX145" s="107">
        <f t="shared" si="16"/>
        <v>1</v>
      </c>
      <c r="AY145" s="3"/>
      <c r="AZ145" s="129"/>
      <c r="BA145" s="109" t="str">
        <f t="shared" si="17"/>
        <v/>
      </c>
      <c r="BB145" s="3"/>
      <c r="BC145" s="3"/>
      <c r="BD145" s="108"/>
      <c r="BE145" s="134"/>
      <c r="BF145" s="111" t="str">
        <f t="shared" si="18"/>
        <v/>
      </c>
      <c r="BG145" s="112" t="str">
        <f t="shared" si="19"/>
        <v>AJ9479__44704_0.218263888888889___Negative_44704_0.394907407407407_</v>
      </c>
      <c r="BH145" s="113" t="str">
        <f t="shared" si="20"/>
        <v/>
      </c>
      <c r="BI145" s="202"/>
      <c r="BJ145" s="114" t="str">
        <f t="shared" si="21"/>
        <v/>
      </c>
      <c r="BK145" s="115" t="b">
        <f t="shared" si="105"/>
        <v>0</v>
      </c>
      <c r="BL145" s="114" t="str">
        <f t="shared" si="23"/>
        <v/>
      </c>
      <c r="BM145" s="108"/>
      <c r="BN145" s="7" t="b">
        <f t="shared" si="24"/>
        <v>1</v>
      </c>
      <c r="BO145" s="7" t="b">
        <f t="shared" si="25"/>
        <v>0</v>
      </c>
      <c r="BP145" s="7" t="b">
        <f t="shared" si="26"/>
        <v>1</v>
      </c>
      <c r="BQ145" s="118"/>
      <c r="BR145" s="119" t="s">
        <v>228</v>
      </c>
      <c r="BS145" s="7" t="b">
        <f t="shared" si="27"/>
        <v>1</v>
      </c>
      <c r="BT145" s="7"/>
      <c r="BU145" s="7"/>
      <c r="BV145" s="7"/>
      <c r="BW145" s="7"/>
    </row>
    <row r="146">
      <c r="A146" s="86" t="s">
        <v>413</v>
      </c>
      <c r="B146" s="87">
        <v>44704.0</v>
      </c>
      <c r="C146" s="88">
        <v>0.2182638888888889</v>
      </c>
      <c r="D146" s="89"/>
      <c r="E146" s="89"/>
      <c r="F146" s="89"/>
      <c r="G146" s="86"/>
      <c r="H146" s="90"/>
      <c r="I146" s="3"/>
      <c r="J146" s="3"/>
      <c r="K146" s="89" t="s">
        <v>228</v>
      </c>
      <c r="L146" s="36">
        <v>44704.0</v>
      </c>
      <c r="M146" s="91">
        <v>0.39490740740740743</v>
      </c>
      <c r="N146" s="3"/>
      <c r="O146" s="142"/>
      <c r="P146" s="93" t="b">
        <f>IFNA(IF(VLOOKUP($A146,'Add from APT'!$AA$2:$AC264,3,FALSE)&gt;0,TRUE,FALSE),"ER - NOT IN APT")</f>
        <v>0</v>
      </c>
      <c r="Q146" s="94" t="str">
        <f>IF(ISLOGICAL(P146),IF(P146,"ER - REPS IN APT", IFNA(VLOOKUP($A146,RAW_APT!$A$3:$M264,7,FALSE),"ER - NOT IN APT")),P146)</f>
        <v>Result</v>
      </c>
      <c r="R146" s="95" t="b">
        <f t="shared" si="102"/>
        <v>0</v>
      </c>
      <c r="S146" s="96">
        <f t="shared" si="3"/>
        <v>2</v>
      </c>
      <c r="T146" s="103">
        <v>1.0</v>
      </c>
      <c r="U146" s="3"/>
      <c r="V146" s="3"/>
      <c r="W146" s="98"/>
      <c r="X146" s="99" t="b">
        <f t="shared" ref="X146:X213" si="185">IF(ISBLANK($U146),IF(ISBLANK($V146),FALSE,"ER - LAST ONLY"),TRUE)</f>
        <v>0</v>
      </c>
      <c r="Y146" s="100"/>
      <c r="Z146" s="101" t="str">
        <f t="shared" si="5"/>
        <v/>
      </c>
      <c r="AA146" s="102" t="b">
        <f t="shared" si="6"/>
        <v>0</v>
      </c>
      <c r="AB146" s="98"/>
      <c r="AC146" s="103">
        <v>114.0</v>
      </c>
      <c r="AD146" s="104"/>
      <c r="AE146" s="105">
        <f t="shared" si="7"/>
        <v>254.3666667</v>
      </c>
      <c r="AF146" s="106" t="b">
        <f t="shared" si="103"/>
        <v>0</v>
      </c>
      <c r="AG146" s="93" t="b">
        <f t="shared" si="9"/>
        <v>0</v>
      </c>
      <c r="AH146" s="103"/>
      <c r="AI146" s="103"/>
      <c r="AJ146" s="97"/>
      <c r="AK146" s="101" t="str">
        <f t="shared" si="10"/>
        <v>Negative</v>
      </c>
      <c r="AL146" s="98"/>
      <c r="AM146" s="94" t="s">
        <v>414</v>
      </c>
      <c r="AN146" s="94" t="s">
        <v>416</v>
      </c>
      <c r="AO146" s="102" t="str">
        <f>IFERROR(__xludf.DUMMYFUNCTION("IF($AG146, ""DELETED"",TRIM(JOIN("" "",D146:E146)))"),"")</f>
        <v/>
      </c>
      <c r="AP146" s="94" t="str">
        <f t="shared" ref="AP146:AQ146" si="184">IF($AG146, "DELETED", TRIM(CONCATENATE(F146,I146,U146)))</f>
        <v/>
      </c>
      <c r="AQ146" s="94" t="str">
        <f t="shared" si="184"/>
        <v/>
      </c>
      <c r="AR146" s="94" t="str">
        <f>IFERROR(__xludf.DUMMYFUNCTION("IF($AG146, ""DELETED"", TRIM(JOIN("" "",AP146,AQ146)))"),"")</f>
        <v/>
      </c>
      <c r="AS146" s="9"/>
      <c r="AT146" s="93" t="b">
        <f t="shared" si="12"/>
        <v>0</v>
      </c>
      <c r="AU146" s="93" t="str">
        <f t="shared" si="13"/>
        <v/>
      </c>
      <c r="AV146" s="93" t="str">
        <f t="shared" si="14"/>
        <v/>
      </c>
      <c r="AW146" s="93" t="str">
        <f t="shared" ref="AW146:AW213" si="187">IF($AG146,IFERROR(0/0,""),IF(ISBLANK($U146),IF(ISBLANK($V146),IFERROR(0/0,""),2),1))</f>
        <v/>
      </c>
      <c r="AX146" s="107" t="str">
        <f t="shared" si="16"/>
        <v/>
      </c>
      <c r="AY146" s="98"/>
      <c r="AZ146" s="108"/>
      <c r="BA146" s="109" t="str">
        <f t="shared" si="17"/>
        <v/>
      </c>
      <c r="BB146" s="98"/>
      <c r="BC146" s="98"/>
      <c r="BD146" s="108"/>
      <c r="BE146" s="134"/>
      <c r="BF146" s="111" t="str">
        <f t="shared" si="18"/>
        <v/>
      </c>
      <c r="BG146" s="112" t="str">
        <f t="shared" si="19"/>
        <v>AJ9479__44704_0.218263888888889___Negative_44704_0.394907407407407_</v>
      </c>
      <c r="BH146" s="113" t="str">
        <f t="shared" si="20"/>
        <v/>
      </c>
      <c r="BI146" s="202"/>
      <c r="BJ146" s="114" t="str">
        <f t="shared" si="21"/>
        <v/>
      </c>
      <c r="BK146" s="115" t="b">
        <f t="shared" si="105"/>
        <v>0</v>
      </c>
      <c r="BL146" s="114" t="str">
        <f t="shared" si="23"/>
        <v/>
      </c>
      <c r="BM146" s="108"/>
      <c r="BN146" s="7" t="b">
        <f t="shared" si="24"/>
        <v>1</v>
      </c>
      <c r="BO146" s="7" t="b">
        <f t="shared" si="25"/>
        <v>0</v>
      </c>
      <c r="BP146" s="7" t="b">
        <f t="shared" si="26"/>
        <v>1</v>
      </c>
      <c r="BQ146" s="118"/>
      <c r="BR146" s="119" t="s">
        <v>228</v>
      </c>
      <c r="BS146" s="7" t="b">
        <f t="shared" si="27"/>
        <v>1</v>
      </c>
      <c r="BT146" s="7"/>
      <c r="BU146" s="7"/>
      <c r="BV146" s="7"/>
      <c r="BW146" s="7"/>
    </row>
    <row r="147">
      <c r="A147" s="86" t="s">
        <v>417</v>
      </c>
      <c r="B147" s="87">
        <v>44704.0</v>
      </c>
      <c r="C147" s="88">
        <v>0.2188425925925926</v>
      </c>
      <c r="D147" s="89"/>
      <c r="E147" s="89"/>
      <c r="F147" s="89"/>
      <c r="G147" s="86"/>
      <c r="H147" s="90"/>
      <c r="I147" s="3"/>
      <c r="J147" s="3"/>
      <c r="K147" s="89" t="s">
        <v>228</v>
      </c>
      <c r="L147" s="36">
        <v>44704.0</v>
      </c>
      <c r="M147" s="91">
        <v>0.39490740740740743</v>
      </c>
      <c r="N147" s="3"/>
      <c r="O147" s="92"/>
      <c r="P147" s="93" t="b">
        <f>IFNA(IF(VLOOKUP($A147,'Add from APT'!$AA$2:$AC264,3,FALSE)&gt;0,TRUE,FALSE),"ER - NOT IN APT")</f>
        <v>0</v>
      </c>
      <c r="Q147" s="94" t="str">
        <f>IF(ISLOGICAL(P147),IF(P147,"ER - REPS IN APT", IFNA(VLOOKUP($A147,RAW_APT!$A$3:$M264,7,FALSE),"ER - NOT IN APT")),P147)</f>
        <v>Result</v>
      </c>
      <c r="R147" s="95" t="b">
        <f t="shared" si="102"/>
        <v>1</v>
      </c>
      <c r="S147" s="96">
        <f t="shared" si="3"/>
        <v>3</v>
      </c>
      <c r="T147" s="97"/>
      <c r="U147" s="3"/>
      <c r="V147" s="3"/>
      <c r="W147" s="98"/>
      <c r="X147" s="99" t="b">
        <f t="shared" si="185"/>
        <v>0</v>
      </c>
      <c r="Y147" s="100"/>
      <c r="Z147" s="101" t="str">
        <f t="shared" si="5"/>
        <v/>
      </c>
      <c r="AA147" s="102" t="b">
        <f t="shared" si="6"/>
        <v>0</v>
      </c>
      <c r="AB147" s="98"/>
      <c r="AC147" s="103">
        <v>117.0</v>
      </c>
      <c r="AD147" s="104"/>
      <c r="AE147" s="105">
        <f t="shared" si="7"/>
        <v>253.5333333</v>
      </c>
      <c r="AF147" s="106" t="b">
        <f t="shared" si="103"/>
        <v>0</v>
      </c>
      <c r="AG147" s="93" t="b">
        <f t="shared" si="9"/>
        <v>0</v>
      </c>
      <c r="AH147" s="103"/>
      <c r="AI147" s="103"/>
      <c r="AJ147" s="97"/>
      <c r="AK147" s="101" t="str">
        <f t="shared" si="10"/>
        <v>Negative</v>
      </c>
      <c r="AL147" s="98"/>
      <c r="AM147" s="94" t="s">
        <v>406</v>
      </c>
      <c r="AN147" s="94" t="s">
        <v>387</v>
      </c>
      <c r="AO147" s="102" t="str">
        <f>IFERROR(__xludf.DUMMYFUNCTION("IF($AG147, ""DELETED"",TRIM(JOIN("" "",D147:E147)))"),"")</f>
        <v/>
      </c>
      <c r="AP147" s="94" t="str">
        <f t="shared" ref="AP147:AQ147" si="186">IF($AG147, "DELETED", TRIM(CONCATENATE(F147,I147,U147)))</f>
        <v/>
      </c>
      <c r="AQ147" s="94" t="str">
        <f t="shared" si="186"/>
        <v/>
      </c>
      <c r="AR147" s="94" t="str">
        <f>IFERROR(__xludf.DUMMYFUNCTION("IF($AG147, ""DELETED"", TRIM(JOIN("" "",AP147,AQ147)))"),"")</f>
        <v/>
      </c>
      <c r="AS147" s="9"/>
      <c r="AT147" s="93" t="b">
        <f t="shared" si="12"/>
        <v>0</v>
      </c>
      <c r="AU147" s="93" t="str">
        <f t="shared" si="13"/>
        <v/>
      </c>
      <c r="AV147" s="93" t="str">
        <f t="shared" si="14"/>
        <v/>
      </c>
      <c r="AW147" s="93" t="str">
        <f t="shared" si="187"/>
        <v/>
      </c>
      <c r="AX147" s="107" t="str">
        <f t="shared" si="16"/>
        <v/>
      </c>
      <c r="AY147" s="98"/>
      <c r="AZ147" s="108"/>
      <c r="BA147" s="109" t="str">
        <f t="shared" si="17"/>
        <v/>
      </c>
      <c r="BB147" s="98"/>
      <c r="BC147" s="98"/>
      <c r="BD147" s="108"/>
      <c r="BE147" s="134"/>
      <c r="BF147" s="111" t="str">
        <f t="shared" si="18"/>
        <v/>
      </c>
      <c r="BG147" s="112" t="str">
        <f t="shared" si="19"/>
        <v>AH7289__44704_0.218842592592593___Negative_44704_0.394907407407407_</v>
      </c>
      <c r="BH147" s="113" t="str">
        <f t="shared" si="20"/>
        <v/>
      </c>
      <c r="BI147" s="202"/>
      <c r="BJ147" s="114" t="str">
        <f t="shared" si="21"/>
        <v/>
      </c>
      <c r="BK147" s="115" t="b">
        <f t="shared" si="105"/>
        <v>0</v>
      </c>
      <c r="BL147" s="114" t="str">
        <f t="shared" si="23"/>
        <v/>
      </c>
      <c r="BM147" s="108"/>
      <c r="BN147" s="7" t="b">
        <f t="shared" si="24"/>
        <v>1</v>
      </c>
      <c r="BO147" s="7" t="b">
        <f t="shared" si="25"/>
        <v>0</v>
      </c>
      <c r="BP147" s="7" t="b">
        <f t="shared" si="26"/>
        <v>1</v>
      </c>
      <c r="BQ147" s="118"/>
      <c r="BR147" s="119" t="s">
        <v>228</v>
      </c>
      <c r="BS147" s="7" t="b">
        <f t="shared" si="27"/>
        <v>1</v>
      </c>
      <c r="BT147" s="7"/>
      <c r="BU147" s="7"/>
      <c r="BV147" s="7"/>
      <c r="BW147" s="7"/>
    </row>
    <row r="148">
      <c r="A148" s="86" t="s">
        <v>417</v>
      </c>
      <c r="B148" s="87">
        <v>44704.0</v>
      </c>
      <c r="C148" s="88">
        <v>0.2188425925925926</v>
      </c>
      <c r="D148" s="89"/>
      <c r="E148" s="89"/>
      <c r="F148" s="89"/>
      <c r="G148" s="86"/>
      <c r="H148" s="89"/>
      <c r="I148" s="3"/>
      <c r="J148" s="3"/>
      <c r="K148" s="89" t="s">
        <v>228</v>
      </c>
      <c r="L148" s="36">
        <v>44704.0</v>
      </c>
      <c r="M148" s="91">
        <v>0.39490740740740743</v>
      </c>
      <c r="N148" s="3"/>
      <c r="O148" s="92"/>
      <c r="P148" s="93" t="b">
        <f>IFNA(IF(VLOOKUP($A148,'Add from APT'!$AA$2:$AC264,3,FALSE)&gt;0,TRUE,FALSE),"ER - NOT IN APT")</f>
        <v>0</v>
      </c>
      <c r="Q148" s="94" t="str">
        <f>IF(ISLOGICAL(P148),IF(P148,"ER - REPS IN APT", IFNA(VLOOKUP($A148,RAW_APT!$A$3:$M264,7,FALSE),"ER - NOT IN APT")),P148)</f>
        <v>Result</v>
      </c>
      <c r="R148" s="95" t="b">
        <f t="shared" si="102"/>
        <v>0</v>
      </c>
      <c r="S148" s="96">
        <f t="shared" si="3"/>
        <v>3</v>
      </c>
      <c r="T148" s="97"/>
      <c r="U148" s="3"/>
      <c r="V148" s="3"/>
      <c r="W148" s="98"/>
      <c r="X148" s="99" t="b">
        <f t="shared" si="185"/>
        <v>0</v>
      </c>
      <c r="Y148" s="100"/>
      <c r="Z148" s="101" t="str">
        <f t="shared" si="5"/>
        <v/>
      </c>
      <c r="AA148" s="102" t="b">
        <f t="shared" si="6"/>
        <v>0</v>
      </c>
      <c r="AB148" s="98"/>
      <c r="AC148" s="103">
        <v>115.0</v>
      </c>
      <c r="AD148" s="104"/>
      <c r="AE148" s="105">
        <f t="shared" si="7"/>
        <v>253.5333333</v>
      </c>
      <c r="AF148" s="106" t="b">
        <f t="shared" si="103"/>
        <v>0</v>
      </c>
      <c r="AG148" s="93" t="b">
        <f t="shared" si="9"/>
        <v>0</v>
      </c>
      <c r="AH148" s="103"/>
      <c r="AI148" s="103"/>
      <c r="AJ148" s="97"/>
      <c r="AK148" s="101" t="str">
        <f t="shared" si="10"/>
        <v>Negative</v>
      </c>
      <c r="AL148" s="98"/>
      <c r="AM148" s="94" t="s">
        <v>406</v>
      </c>
      <c r="AN148" s="94" t="s">
        <v>407</v>
      </c>
      <c r="AO148" s="102" t="str">
        <f>IFERROR(__xludf.DUMMYFUNCTION("IF($AG148, ""DELETED"",TRIM(JOIN("" "",D148:E148)))"),"")</f>
        <v/>
      </c>
      <c r="AP148" s="94" t="str">
        <f t="shared" ref="AP148:AQ148" si="188">IF($AG148, "DELETED", TRIM(CONCATENATE(F148,I148,U148)))</f>
        <v/>
      </c>
      <c r="AQ148" s="94" t="str">
        <f t="shared" si="188"/>
        <v/>
      </c>
      <c r="AR148" s="94" t="str">
        <f>IFERROR(__xludf.DUMMYFUNCTION("IF($AG148, ""DELETED"", TRIM(JOIN("" "",AP148,AQ148)))"),"")</f>
        <v/>
      </c>
      <c r="AS148" s="9"/>
      <c r="AT148" s="93" t="b">
        <f t="shared" si="12"/>
        <v>0</v>
      </c>
      <c r="AU148" s="93" t="str">
        <f t="shared" si="13"/>
        <v/>
      </c>
      <c r="AV148" s="93" t="str">
        <f t="shared" si="14"/>
        <v/>
      </c>
      <c r="AW148" s="93" t="str">
        <f t="shared" si="187"/>
        <v/>
      </c>
      <c r="AX148" s="107" t="str">
        <f t="shared" si="16"/>
        <v/>
      </c>
      <c r="AY148" s="98"/>
      <c r="AZ148" s="108"/>
      <c r="BA148" s="109" t="str">
        <f t="shared" si="17"/>
        <v/>
      </c>
      <c r="BB148" s="98"/>
      <c r="BC148" s="98"/>
      <c r="BD148" s="108"/>
      <c r="BE148" s="143"/>
      <c r="BF148" s="111" t="str">
        <f t="shared" si="18"/>
        <v/>
      </c>
      <c r="BG148" s="112" t="str">
        <f t="shared" si="19"/>
        <v>AH7289__44704_0.218842592592593___Negative_44704_0.394907407407407_</v>
      </c>
      <c r="BH148" s="113" t="str">
        <f t="shared" si="20"/>
        <v/>
      </c>
      <c r="BI148" s="203"/>
      <c r="BJ148" s="114" t="str">
        <f t="shared" si="21"/>
        <v/>
      </c>
      <c r="BK148" s="115" t="b">
        <f t="shared" si="105"/>
        <v>0</v>
      </c>
      <c r="BL148" s="114" t="str">
        <f t="shared" si="23"/>
        <v/>
      </c>
      <c r="BM148" s="108"/>
      <c r="BN148" s="7" t="b">
        <f t="shared" si="24"/>
        <v>1</v>
      </c>
      <c r="BO148" s="7" t="b">
        <f t="shared" si="25"/>
        <v>0</v>
      </c>
      <c r="BP148" s="7" t="b">
        <f t="shared" si="26"/>
        <v>1</v>
      </c>
      <c r="BQ148" s="118"/>
      <c r="BR148" s="119" t="s">
        <v>228</v>
      </c>
      <c r="BS148" s="7" t="b">
        <f t="shared" si="27"/>
        <v>1</v>
      </c>
      <c r="BT148" s="7"/>
      <c r="BU148" s="7"/>
      <c r="BV148" s="7"/>
      <c r="BW148" s="7"/>
    </row>
    <row r="149">
      <c r="A149" s="86" t="s">
        <v>417</v>
      </c>
      <c r="B149" s="87">
        <v>44704.0</v>
      </c>
      <c r="C149" s="88">
        <v>0.2188425925925926</v>
      </c>
      <c r="D149" s="89"/>
      <c r="E149" s="89"/>
      <c r="F149" s="3"/>
      <c r="G149" s="120"/>
      <c r="H149" s="3"/>
      <c r="I149" s="89"/>
      <c r="J149" s="89"/>
      <c r="K149" s="89" t="s">
        <v>228</v>
      </c>
      <c r="L149" s="36">
        <v>44704.0</v>
      </c>
      <c r="M149" s="91">
        <v>0.39490740740740743</v>
      </c>
      <c r="N149" s="3"/>
      <c r="O149" s="92"/>
      <c r="P149" s="93" t="b">
        <f>IFNA(IF(VLOOKUP($A149,'Add from APT'!$AA$2:$AC264,3,FALSE)&gt;0,TRUE,FALSE),"ER - NOT IN APT")</f>
        <v>0</v>
      </c>
      <c r="Q149" s="94" t="str">
        <f>IF(ISLOGICAL(P149),IF(P149,"ER - REPS IN APT", IFNA(VLOOKUP($A149,RAW_APT!$A$3:$M264,7,FALSE),"ER - NOT IN APT")),P149)</f>
        <v>Result</v>
      </c>
      <c r="R149" s="95" t="b">
        <f t="shared" si="102"/>
        <v>0</v>
      </c>
      <c r="S149" s="96">
        <f t="shared" si="3"/>
        <v>3</v>
      </c>
      <c r="T149" s="97"/>
      <c r="U149" s="3"/>
      <c r="V149" s="3"/>
      <c r="W149" s="98"/>
      <c r="X149" s="99" t="b">
        <f t="shared" si="185"/>
        <v>0</v>
      </c>
      <c r="Y149" s="100"/>
      <c r="Z149" s="101" t="str">
        <f t="shared" si="5"/>
        <v/>
      </c>
      <c r="AA149" s="102" t="b">
        <f t="shared" si="6"/>
        <v>0</v>
      </c>
      <c r="AB149" s="98"/>
      <c r="AC149" s="103">
        <v>116.0</v>
      </c>
      <c r="AD149" s="104"/>
      <c r="AE149" s="105">
        <f t="shared" si="7"/>
        <v>253.5333333</v>
      </c>
      <c r="AF149" s="106" t="b">
        <f t="shared" si="103"/>
        <v>0</v>
      </c>
      <c r="AG149" s="93" t="b">
        <f t="shared" si="9"/>
        <v>0</v>
      </c>
      <c r="AH149" s="103"/>
      <c r="AI149" s="103"/>
      <c r="AJ149" s="97"/>
      <c r="AK149" s="101" t="str">
        <f t="shared" si="10"/>
        <v>Negative</v>
      </c>
      <c r="AL149" s="98"/>
      <c r="AM149" s="94" t="s">
        <v>406</v>
      </c>
      <c r="AN149" s="94" t="s">
        <v>386</v>
      </c>
      <c r="AO149" s="102" t="str">
        <f>IFERROR(__xludf.DUMMYFUNCTION("IF($AG149, ""DELETED"",TRIM(JOIN("" "",D149:E149)))"),"")</f>
        <v/>
      </c>
      <c r="AP149" s="94" t="str">
        <f t="shared" ref="AP149:AQ149" si="189">IF($AG149, "DELETED", TRIM(CONCATENATE(F149,I149,U149)))</f>
        <v/>
      </c>
      <c r="AQ149" s="94" t="str">
        <f t="shared" si="189"/>
        <v/>
      </c>
      <c r="AR149" s="94" t="str">
        <f>IFERROR(__xludf.DUMMYFUNCTION("IF($AG149, ""DELETED"", TRIM(JOIN("" "",AP149,AQ149)))"),"")</f>
        <v/>
      </c>
      <c r="AS149" s="9"/>
      <c r="AT149" s="93" t="b">
        <f t="shared" si="12"/>
        <v>0</v>
      </c>
      <c r="AU149" s="93" t="str">
        <f t="shared" si="13"/>
        <v/>
      </c>
      <c r="AV149" s="93" t="str">
        <f t="shared" si="14"/>
        <v/>
      </c>
      <c r="AW149" s="93" t="str">
        <f t="shared" si="187"/>
        <v/>
      </c>
      <c r="AX149" s="107" t="str">
        <f t="shared" si="16"/>
        <v/>
      </c>
      <c r="AY149" s="98"/>
      <c r="AZ149" s="108"/>
      <c r="BA149" s="109" t="str">
        <f t="shared" si="17"/>
        <v/>
      </c>
      <c r="BB149" s="98"/>
      <c r="BC149" s="98"/>
      <c r="BD149" s="108"/>
      <c r="BE149" s="134"/>
      <c r="BF149" s="111" t="str">
        <f t="shared" si="18"/>
        <v/>
      </c>
      <c r="BG149" s="112" t="str">
        <f t="shared" si="19"/>
        <v>AH7289__44704_0.218842592592593___Negative_44704_0.394907407407407_</v>
      </c>
      <c r="BH149" s="113" t="str">
        <f t="shared" si="20"/>
        <v/>
      </c>
      <c r="BI149" s="202"/>
      <c r="BJ149" s="114" t="str">
        <f t="shared" si="21"/>
        <v/>
      </c>
      <c r="BK149" s="115" t="b">
        <f t="shared" si="105"/>
        <v>0</v>
      </c>
      <c r="BL149" s="114" t="str">
        <f t="shared" si="23"/>
        <v/>
      </c>
      <c r="BM149" s="108"/>
      <c r="BN149" s="7" t="b">
        <f t="shared" si="24"/>
        <v>1</v>
      </c>
      <c r="BO149" s="7" t="b">
        <f t="shared" si="25"/>
        <v>0</v>
      </c>
      <c r="BP149" s="7" t="b">
        <f t="shared" si="26"/>
        <v>1</v>
      </c>
      <c r="BQ149" s="118"/>
      <c r="BR149" s="119" t="s">
        <v>228</v>
      </c>
      <c r="BS149" s="7" t="b">
        <f t="shared" si="27"/>
        <v>1</v>
      </c>
      <c r="BT149" s="7"/>
      <c r="BU149" s="7"/>
      <c r="BV149" s="7"/>
      <c r="BW149" s="7"/>
    </row>
    <row r="150">
      <c r="A150" s="86" t="s">
        <v>418</v>
      </c>
      <c r="B150" s="87">
        <v>44704.0</v>
      </c>
      <c r="C150" s="88">
        <v>0.22446759259259258</v>
      </c>
      <c r="D150" s="89"/>
      <c r="E150" s="89"/>
      <c r="F150" s="89"/>
      <c r="G150" s="86"/>
      <c r="H150" s="89"/>
      <c r="I150" s="3"/>
      <c r="J150" s="3"/>
      <c r="K150" s="89" t="s">
        <v>228</v>
      </c>
      <c r="L150" s="36">
        <v>44704.0</v>
      </c>
      <c r="M150" s="91">
        <v>0.39491898148148147</v>
      </c>
      <c r="N150" s="3"/>
      <c r="O150" s="92"/>
      <c r="P150" s="93" t="b">
        <f>IFNA(IF(VLOOKUP($A150,'Add from APT'!$AA$2:$AC264,3,FALSE)&gt;0,TRUE,FALSE),"ER - NOT IN APT")</f>
        <v>0</v>
      </c>
      <c r="Q150" s="94" t="str">
        <f>IF(ISLOGICAL(P150),IF(P150,"ER - REPS IN APT", IFNA(VLOOKUP($A150,RAW_APT!$A$3:$M264,7,FALSE),"ER - NOT IN APT")),P150)</f>
        <v>Result</v>
      </c>
      <c r="R150" s="95" t="b">
        <f t="shared" si="102"/>
        <v>1</v>
      </c>
      <c r="S150" s="96">
        <f t="shared" si="3"/>
        <v>2</v>
      </c>
      <c r="T150" s="97"/>
      <c r="U150" s="3"/>
      <c r="V150" s="3"/>
      <c r="W150" s="98"/>
      <c r="X150" s="99" t="b">
        <f t="shared" si="185"/>
        <v>0</v>
      </c>
      <c r="Y150" s="100"/>
      <c r="Z150" s="101" t="str">
        <f t="shared" si="5"/>
        <v/>
      </c>
      <c r="AA150" s="102" t="b">
        <f t="shared" si="6"/>
        <v>0</v>
      </c>
      <c r="AB150" s="98"/>
      <c r="AC150" s="103">
        <v>119.0</v>
      </c>
      <c r="AD150" s="104"/>
      <c r="AE150" s="105">
        <f t="shared" si="7"/>
        <v>245.45</v>
      </c>
      <c r="AF150" s="106" t="b">
        <f t="shared" si="103"/>
        <v>0</v>
      </c>
      <c r="AG150" s="93" t="b">
        <f t="shared" si="9"/>
        <v>0</v>
      </c>
      <c r="AH150" s="103"/>
      <c r="AI150" s="103"/>
      <c r="AJ150" s="97"/>
      <c r="AK150" s="101" t="str">
        <f t="shared" si="10"/>
        <v>Negative</v>
      </c>
      <c r="AL150" s="98"/>
      <c r="AM150" s="94" t="s">
        <v>397</v>
      </c>
      <c r="AN150" s="94" t="s">
        <v>400</v>
      </c>
      <c r="AO150" s="102" t="str">
        <f>IFERROR(__xludf.DUMMYFUNCTION("IF($AG150, ""DELETED"",TRIM(JOIN("" "",D150:E150)))"),"")</f>
        <v/>
      </c>
      <c r="AP150" s="94" t="str">
        <f t="shared" ref="AP150:AQ150" si="190">IF($AG150, "DELETED", TRIM(CONCATENATE(F150,I150,U150)))</f>
        <v/>
      </c>
      <c r="AQ150" s="94" t="str">
        <f t="shared" si="190"/>
        <v/>
      </c>
      <c r="AR150" s="94" t="str">
        <f>IFERROR(__xludf.DUMMYFUNCTION("IF($AG150, ""DELETED"", TRIM(JOIN("" "",AP150,AQ150)))"),"")</f>
        <v/>
      </c>
      <c r="AS150" s="9"/>
      <c r="AT150" s="93" t="b">
        <f t="shared" si="12"/>
        <v>0</v>
      </c>
      <c r="AU150" s="93" t="str">
        <f t="shared" si="13"/>
        <v/>
      </c>
      <c r="AV150" s="93" t="str">
        <f t="shared" si="14"/>
        <v/>
      </c>
      <c r="AW150" s="93" t="str">
        <f t="shared" si="187"/>
        <v/>
      </c>
      <c r="AX150" s="107" t="str">
        <f t="shared" si="16"/>
        <v/>
      </c>
      <c r="AY150" s="98"/>
      <c r="AZ150" s="108"/>
      <c r="BA150" s="109" t="str">
        <f t="shared" si="17"/>
        <v/>
      </c>
      <c r="BB150" s="98"/>
      <c r="BC150" s="98"/>
      <c r="BD150" s="108"/>
      <c r="BE150" s="134"/>
      <c r="BF150" s="111" t="str">
        <f t="shared" si="18"/>
        <v/>
      </c>
      <c r="BG150" s="112" t="str">
        <f t="shared" si="19"/>
        <v>AG1828__44704_0.224467592592593___Negative_44704_0.394918981481481_</v>
      </c>
      <c r="BH150" s="113" t="str">
        <f t="shared" si="20"/>
        <v/>
      </c>
      <c r="BI150" s="202"/>
      <c r="BJ150" s="114" t="str">
        <f t="shared" si="21"/>
        <v/>
      </c>
      <c r="BK150" s="115" t="b">
        <f t="shared" si="105"/>
        <v>0</v>
      </c>
      <c r="BL150" s="114" t="str">
        <f t="shared" si="23"/>
        <v/>
      </c>
      <c r="BM150" s="108"/>
      <c r="BN150" s="7" t="b">
        <f t="shared" si="24"/>
        <v>1</v>
      </c>
      <c r="BO150" s="7" t="b">
        <f t="shared" si="25"/>
        <v>0</v>
      </c>
      <c r="BP150" s="7" t="b">
        <f t="shared" si="26"/>
        <v>1</v>
      </c>
      <c r="BQ150" s="118"/>
      <c r="BR150" s="119" t="s">
        <v>228</v>
      </c>
      <c r="BS150" s="7" t="b">
        <f t="shared" si="27"/>
        <v>1</v>
      </c>
      <c r="BT150" s="7"/>
      <c r="BU150" s="7"/>
      <c r="BV150" s="7"/>
      <c r="BW150" s="7"/>
    </row>
    <row r="151">
      <c r="A151" s="86" t="s">
        <v>418</v>
      </c>
      <c r="B151" s="87">
        <v>44704.0</v>
      </c>
      <c r="C151" s="88">
        <v>0.22446759259259258</v>
      </c>
      <c r="D151" s="89"/>
      <c r="E151" s="89"/>
      <c r="F151" s="89"/>
      <c r="G151" s="86"/>
      <c r="H151" s="90"/>
      <c r="I151" s="3"/>
      <c r="J151" s="3"/>
      <c r="K151" s="89" t="s">
        <v>228</v>
      </c>
      <c r="L151" s="36">
        <v>44704.0</v>
      </c>
      <c r="M151" s="91">
        <v>0.39491898148148147</v>
      </c>
      <c r="N151" s="3"/>
      <c r="O151" s="92"/>
      <c r="P151" s="93" t="b">
        <f>IFNA(IF(VLOOKUP($A151,'Add from APT'!$AA$2:$AC264,3,FALSE)&gt;0,TRUE,FALSE),"ER - NOT IN APT")</f>
        <v>0</v>
      </c>
      <c r="Q151" s="94" t="str">
        <f>IF(ISLOGICAL(P151),IF(P151,"ER - REPS IN APT", IFNA(VLOOKUP($A151,RAW_APT!$A$3:$M264,7,FALSE),"ER - NOT IN APT")),P151)</f>
        <v>Result</v>
      </c>
      <c r="R151" s="95" t="b">
        <f t="shared" si="102"/>
        <v>0</v>
      </c>
      <c r="S151" s="96">
        <f t="shared" si="3"/>
        <v>2</v>
      </c>
      <c r="T151" s="97"/>
      <c r="U151" s="3"/>
      <c r="V151" s="3"/>
      <c r="W151" s="9"/>
      <c r="X151" s="99" t="b">
        <f t="shared" si="185"/>
        <v>0</v>
      </c>
      <c r="Y151" s="100"/>
      <c r="Z151" s="101" t="str">
        <f t="shared" si="5"/>
        <v/>
      </c>
      <c r="AA151" s="102" t="b">
        <f t="shared" si="6"/>
        <v>0</v>
      </c>
      <c r="AB151" s="98"/>
      <c r="AC151" s="103">
        <v>118.0</v>
      </c>
      <c r="AD151" s="104"/>
      <c r="AE151" s="105">
        <f t="shared" si="7"/>
        <v>245.45</v>
      </c>
      <c r="AF151" s="106" t="b">
        <f t="shared" si="103"/>
        <v>0</v>
      </c>
      <c r="AG151" s="93" t="b">
        <f t="shared" si="9"/>
        <v>0</v>
      </c>
      <c r="AH151" s="9"/>
      <c r="AI151" s="166"/>
      <c r="AJ151" s="7"/>
      <c r="AK151" s="101" t="str">
        <f t="shared" si="10"/>
        <v>Negative</v>
      </c>
      <c r="AL151" s="98"/>
      <c r="AM151" s="94" t="s">
        <v>397</v>
      </c>
      <c r="AN151" s="94" t="s">
        <v>401</v>
      </c>
      <c r="AO151" s="102" t="str">
        <f>IFERROR(__xludf.DUMMYFUNCTION("IF($AG151, ""DELETED"",TRIM(JOIN("" "",D151:E151)))"),"")</f>
        <v/>
      </c>
      <c r="AP151" s="94" t="str">
        <f t="shared" ref="AP151:AQ151" si="191">IF($AG151, "DELETED", TRIM(CONCATENATE(F151,I151,U151)))</f>
        <v/>
      </c>
      <c r="AQ151" s="94" t="str">
        <f t="shared" si="191"/>
        <v/>
      </c>
      <c r="AR151" s="94" t="str">
        <f>IFERROR(__xludf.DUMMYFUNCTION("IF($AG151, ""DELETED"", TRIM(JOIN("" "",AP151,AQ151)))"),"")</f>
        <v/>
      </c>
      <c r="AS151" s="9"/>
      <c r="AT151" s="93" t="b">
        <f t="shared" si="12"/>
        <v>0</v>
      </c>
      <c r="AU151" s="93" t="str">
        <f t="shared" si="13"/>
        <v/>
      </c>
      <c r="AV151" s="93" t="str">
        <f t="shared" si="14"/>
        <v/>
      </c>
      <c r="AW151" s="93" t="str">
        <f t="shared" si="187"/>
        <v/>
      </c>
      <c r="AX151" s="107" t="str">
        <f t="shared" si="16"/>
        <v/>
      </c>
      <c r="AY151" s="3"/>
      <c r="AZ151" s="129"/>
      <c r="BA151" s="109" t="str">
        <f t="shared" si="17"/>
        <v/>
      </c>
      <c r="BB151" s="3"/>
      <c r="BC151" s="3"/>
      <c r="BD151" s="108"/>
      <c r="BE151" s="134"/>
      <c r="BF151" s="111" t="str">
        <f t="shared" si="18"/>
        <v/>
      </c>
      <c r="BG151" s="112" t="str">
        <f t="shared" si="19"/>
        <v>AG1828__44704_0.224467592592593___Negative_44704_0.394918981481481_</v>
      </c>
      <c r="BH151" s="113" t="str">
        <f t="shared" si="20"/>
        <v/>
      </c>
      <c r="BI151" s="202"/>
      <c r="BJ151" s="114" t="str">
        <f t="shared" si="21"/>
        <v/>
      </c>
      <c r="BK151" s="115" t="b">
        <f t="shared" si="105"/>
        <v>0</v>
      </c>
      <c r="BL151" s="114" t="str">
        <f t="shared" si="23"/>
        <v/>
      </c>
      <c r="BM151" s="108"/>
      <c r="BN151" s="7" t="b">
        <f t="shared" si="24"/>
        <v>1</v>
      </c>
      <c r="BO151" s="7" t="b">
        <f t="shared" si="25"/>
        <v>0</v>
      </c>
      <c r="BP151" s="7" t="b">
        <f t="shared" si="26"/>
        <v>1</v>
      </c>
      <c r="BQ151" s="118"/>
      <c r="BR151" s="119" t="s">
        <v>228</v>
      </c>
      <c r="BS151" s="7" t="b">
        <f t="shared" si="27"/>
        <v>1</v>
      </c>
      <c r="BT151" s="7"/>
      <c r="BU151" s="7"/>
      <c r="BV151" s="7"/>
      <c r="BW151" s="7"/>
    </row>
    <row r="152">
      <c r="A152" s="86" t="s">
        <v>419</v>
      </c>
      <c r="B152" s="87">
        <v>44704.0</v>
      </c>
      <c r="C152" s="88">
        <v>0.3195138888888889</v>
      </c>
      <c r="D152" s="89"/>
      <c r="E152" s="89"/>
      <c r="F152" s="104"/>
      <c r="G152" s="232"/>
      <c r="H152" s="89"/>
      <c r="I152" s="121"/>
      <c r="J152" s="3"/>
      <c r="K152" s="89" t="s">
        <v>228</v>
      </c>
      <c r="L152" s="36">
        <v>44704.0</v>
      </c>
      <c r="M152" s="91">
        <v>0.39491898148148147</v>
      </c>
      <c r="N152" s="3"/>
      <c r="O152" s="142"/>
      <c r="P152" s="93" t="b">
        <f>IFNA(IF(VLOOKUP($A152,'Add from APT'!$AA$2:$AC264,3,FALSE)&gt;0,TRUE,FALSE),"ER - NOT IN APT")</f>
        <v>0</v>
      </c>
      <c r="Q152" s="94" t="str">
        <f>IF(ISLOGICAL(P152),IF(P152,"ER - REPS IN APT", IFNA(VLOOKUP($A152,RAW_APT!$A$3:$M264,7,FALSE),"ER - NOT IN APT")),P152)</f>
        <v>Result</v>
      </c>
      <c r="R152" s="95" t="b">
        <f t="shared" si="102"/>
        <v>1</v>
      </c>
      <c r="S152" s="96">
        <f t="shared" si="3"/>
        <v>1</v>
      </c>
      <c r="T152" s="130">
        <v>0.0</v>
      </c>
      <c r="W152" s="9"/>
      <c r="X152" s="99" t="b">
        <f t="shared" si="185"/>
        <v>0</v>
      </c>
      <c r="Y152" s="7"/>
      <c r="Z152" s="101" t="str">
        <f t="shared" si="5"/>
        <v/>
      </c>
      <c r="AA152" s="102" t="b">
        <f t="shared" si="6"/>
        <v>0</v>
      </c>
      <c r="AB152" s="131"/>
      <c r="AC152" s="130">
        <v>120.0</v>
      </c>
      <c r="AD152" s="132"/>
      <c r="AE152" s="105">
        <f t="shared" si="7"/>
        <v>108.5833333</v>
      </c>
      <c r="AF152" s="106" t="b">
        <f t="shared" si="103"/>
        <v>0</v>
      </c>
      <c r="AG152" s="93" t="b">
        <f t="shared" si="9"/>
        <v>0</v>
      </c>
      <c r="AH152" s="130"/>
      <c r="AI152" s="13"/>
      <c r="AJ152" s="7"/>
      <c r="AK152" s="101" t="str">
        <f t="shared" si="10"/>
        <v>Negative</v>
      </c>
      <c r="AL152" s="98"/>
      <c r="AM152" s="94" t="s">
        <v>365</v>
      </c>
      <c r="AN152" s="94" t="s">
        <v>352</v>
      </c>
      <c r="AO152" s="102" t="str">
        <f>IFERROR(__xludf.DUMMYFUNCTION("IF($AG152, ""DELETED"",TRIM(JOIN("" "",D152:E152)))"),"")</f>
        <v/>
      </c>
      <c r="AP152" s="94" t="str">
        <f t="shared" ref="AP152:AQ152" si="192">IF($AG152, "DELETED", TRIM(CONCATENATE(F152,I152,U152)))</f>
        <v/>
      </c>
      <c r="AQ152" s="94" t="str">
        <f t="shared" si="192"/>
        <v/>
      </c>
      <c r="AR152" s="94" t="str">
        <f>IFERROR(__xludf.DUMMYFUNCTION("IF($AG152, ""DELETED"", TRIM(JOIN("" "",AP152,AQ152)))"),"")</f>
        <v/>
      </c>
      <c r="AS152" s="9"/>
      <c r="AT152" s="93" t="b">
        <f t="shared" si="12"/>
        <v>0</v>
      </c>
      <c r="AU152" s="93" t="str">
        <f t="shared" si="13"/>
        <v/>
      </c>
      <c r="AV152" s="93" t="str">
        <f t="shared" si="14"/>
        <v/>
      </c>
      <c r="AW152" s="93" t="str">
        <f t="shared" si="187"/>
        <v/>
      </c>
      <c r="AX152" s="107" t="str">
        <f t="shared" si="16"/>
        <v/>
      </c>
      <c r="AY152" s="3"/>
      <c r="AZ152" s="129"/>
      <c r="BA152" s="109" t="str">
        <f t="shared" si="17"/>
        <v/>
      </c>
      <c r="BB152" s="3"/>
      <c r="BC152" s="3"/>
      <c r="BD152" s="108"/>
      <c r="BE152" s="143"/>
      <c r="BF152" s="111" t="str">
        <f t="shared" si="18"/>
        <v/>
      </c>
      <c r="BG152" s="112" t="str">
        <f t="shared" si="19"/>
        <v>AH6802__44704_0.319513888888889___Negative_44704_0.394918981481481_</v>
      </c>
      <c r="BH152" s="113" t="str">
        <f t="shared" si="20"/>
        <v/>
      </c>
      <c r="BI152" s="203"/>
      <c r="BJ152" s="114" t="str">
        <f t="shared" si="21"/>
        <v/>
      </c>
      <c r="BK152" s="115" t="b">
        <f t="shared" si="105"/>
        <v>0</v>
      </c>
      <c r="BL152" s="114" t="str">
        <f t="shared" si="23"/>
        <v/>
      </c>
      <c r="BM152" s="108"/>
      <c r="BN152" s="7" t="b">
        <f t="shared" si="24"/>
        <v>1</v>
      </c>
      <c r="BO152" s="7" t="b">
        <f t="shared" si="25"/>
        <v>0</v>
      </c>
      <c r="BP152" s="7" t="b">
        <f t="shared" si="26"/>
        <v>1</v>
      </c>
      <c r="BQ152" s="118"/>
      <c r="BR152" s="119" t="s">
        <v>228</v>
      </c>
      <c r="BS152" s="7" t="b">
        <f t="shared" si="27"/>
        <v>1</v>
      </c>
      <c r="BT152" s="7"/>
      <c r="BU152" s="7"/>
      <c r="BV152" s="7"/>
      <c r="BW152" s="7"/>
    </row>
    <row r="153">
      <c r="A153" s="86" t="s">
        <v>420</v>
      </c>
      <c r="B153" s="87">
        <v>44712.0</v>
      </c>
      <c r="C153" s="88">
        <v>0.18675925925925926</v>
      </c>
      <c r="D153" s="89"/>
      <c r="E153" s="89"/>
      <c r="F153" s="89"/>
      <c r="G153" s="86"/>
      <c r="H153" s="90"/>
      <c r="I153" s="3"/>
      <c r="J153" s="3"/>
      <c r="K153" s="89" t="s">
        <v>228</v>
      </c>
      <c r="L153" s="36">
        <v>44713.0</v>
      </c>
      <c r="M153" s="91">
        <v>0.3414814814814815</v>
      </c>
      <c r="N153" s="3"/>
      <c r="O153" s="92"/>
      <c r="P153" s="93" t="b">
        <f>IFNA(IF(VLOOKUP($A153,'Add from APT'!$AA$2:$AC264,3,FALSE)&gt;0,TRUE,FALSE),"ER - NOT IN APT")</f>
        <v>0</v>
      </c>
      <c r="Q153" s="94" t="str">
        <f>IF(ISLOGICAL(P153),IF(P153,"ER - REPS IN APT", IFNA(VLOOKUP($A153,RAW_APT!$A$3:$M264,7,FALSE),"ER - NOT IN APT")),P153)</f>
        <v>Result</v>
      </c>
      <c r="R153" s="95" t="b">
        <f t="shared" si="102"/>
        <v>1</v>
      </c>
      <c r="S153" s="96">
        <f t="shared" si="3"/>
        <v>1</v>
      </c>
      <c r="T153" s="97"/>
      <c r="U153" s="3"/>
      <c r="V153" s="3"/>
      <c r="W153" s="9"/>
      <c r="X153" s="99" t="b">
        <f t="shared" si="185"/>
        <v>0</v>
      </c>
      <c r="Y153" s="100"/>
      <c r="Z153" s="101" t="str">
        <f t="shared" si="5"/>
        <v/>
      </c>
      <c r="AA153" s="102" t="b">
        <f t="shared" si="6"/>
        <v>0</v>
      </c>
      <c r="AB153" s="98"/>
      <c r="AC153" s="103">
        <v>97.0</v>
      </c>
      <c r="AD153" s="104"/>
      <c r="AE153" s="105" t="str">
        <f t="shared" si="7"/>
        <v/>
      </c>
      <c r="AF153" s="106" t="b">
        <f t="shared" si="103"/>
        <v>0</v>
      </c>
      <c r="AG153" s="93" t="b">
        <f t="shared" si="9"/>
        <v>0</v>
      </c>
      <c r="AH153" s="103"/>
      <c r="AI153" s="103"/>
      <c r="AJ153" s="97"/>
      <c r="AK153" s="101" t="str">
        <f t="shared" si="10"/>
        <v>Negative</v>
      </c>
      <c r="AL153" s="98"/>
      <c r="AM153" s="94" t="s">
        <v>414</v>
      </c>
      <c r="AN153" s="94" t="s">
        <v>416</v>
      </c>
      <c r="AO153" s="102" t="str">
        <f>IFERROR(__xludf.DUMMYFUNCTION("IF($AG153, ""DELETED"",TRIM(JOIN("" "",D153:E153)))"),"")</f>
        <v/>
      </c>
      <c r="AP153" s="94" t="str">
        <f t="shared" ref="AP153:AQ153" si="193">IF($AG153, "DELETED", TRIM(CONCATENATE(F153,I153,U153)))</f>
        <v/>
      </c>
      <c r="AQ153" s="94" t="str">
        <f t="shared" si="193"/>
        <v/>
      </c>
      <c r="AR153" s="94" t="str">
        <f>IFERROR(__xludf.DUMMYFUNCTION("IF($AG153, ""DELETED"", TRIM(JOIN("" "",AP153,AQ153)))"),"")</f>
        <v/>
      </c>
      <c r="AS153" s="9"/>
      <c r="AT153" s="93" t="b">
        <f t="shared" si="12"/>
        <v>0</v>
      </c>
      <c r="AU153" s="93" t="str">
        <f t="shared" si="13"/>
        <v/>
      </c>
      <c r="AV153" s="93" t="str">
        <f t="shared" si="14"/>
        <v/>
      </c>
      <c r="AW153" s="93" t="str">
        <f t="shared" si="187"/>
        <v/>
      </c>
      <c r="AX153" s="107" t="str">
        <f t="shared" si="16"/>
        <v/>
      </c>
      <c r="AY153" s="98"/>
      <c r="AZ153" s="108"/>
      <c r="BA153" s="109" t="str">
        <f t="shared" si="17"/>
        <v/>
      </c>
      <c r="BB153" s="98"/>
      <c r="BC153" s="98"/>
      <c r="BD153" s="108"/>
      <c r="BE153" s="134"/>
      <c r="BF153" s="111" t="str">
        <f t="shared" si="18"/>
        <v/>
      </c>
      <c r="BG153" s="112" t="str">
        <f t="shared" si="19"/>
        <v>AG663__44712_0.186759259259259___Negative_44713_0.341481481481482_</v>
      </c>
      <c r="BH153" s="113" t="str">
        <f t="shared" si="20"/>
        <v/>
      </c>
      <c r="BI153" s="202"/>
      <c r="BJ153" s="114" t="str">
        <f t="shared" si="21"/>
        <v/>
      </c>
      <c r="BK153" s="115" t="b">
        <f t="shared" si="105"/>
        <v>0</v>
      </c>
      <c r="BL153" s="114" t="str">
        <f t="shared" si="23"/>
        <v/>
      </c>
      <c r="BM153" s="108"/>
      <c r="BN153" s="7" t="b">
        <f t="shared" si="24"/>
        <v>1</v>
      </c>
      <c r="BO153" s="7" t="b">
        <f t="shared" si="25"/>
        <v>0</v>
      </c>
      <c r="BP153" s="7" t="b">
        <f t="shared" si="26"/>
        <v>1</v>
      </c>
      <c r="BQ153" s="118"/>
      <c r="BR153" s="119" t="s">
        <v>228</v>
      </c>
      <c r="BS153" s="7" t="b">
        <f t="shared" si="27"/>
        <v>1</v>
      </c>
      <c r="BT153" s="7"/>
      <c r="BU153" s="7"/>
      <c r="BV153" s="7"/>
      <c r="BW153" s="7"/>
    </row>
    <row r="154">
      <c r="A154" s="86" t="s">
        <v>421</v>
      </c>
      <c r="B154" s="87">
        <v>44712.0</v>
      </c>
      <c r="C154" s="88">
        <v>0.19265046296296295</v>
      </c>
      <c r="D154" s="89"/>
      <c r="E154" s="89"/>
      <c r="F154" s="89"/>
      <c r="G154" s="86"/>
      <c r="H154" s="90"/>
      <c r="I154" s="3"/>
      <c r="J154" s="3"/>
      <c r="K154" s="89" t="s">
        <v>228</v>
      </c>
      <c r="L154" s="36">
        <v>44713.0</v>
      </c>
      <c r="M154" s="91">
        <v>0.3414814814814815</v>
      </c>
      <c r="N154" s="3"/>
      <c r="O154" s="92"/>
      <c r="P154" s="93" t="b">
        <f>IFNA(IF(VLOOKUP($A154,'Add from APT'!$AA$2:$AC264,3,FALSE)&gt;0,TRUE,FALSE),"ER - NOT IN APT")</f>
        <v>0</v>
      </c>
      <c r="Q154" s="94" t="str">
        <f>IF(ISLOGICAL(P154),IF(P154,"ER - REPS IN APT", IFNA(VLOOKUP($A154,RAW_APT!$A$3:$M264,7,FALSE),"ER - NOT IN APT")),P154)</f>
        <v>Result</v>
      </c>
      <c r="R154" s="95" t="b">
        <f t="shared" si="102"/>
        <v>1</v>
      </c>
      <c r="S154" s="96">
        <f t="shared" si="3"/>
        <v>4</v>
      </c>
      <c r="T154" s="97"/>
      <c r="U154" s="3"/>
      <c r="V154" s="3"/>
      <c r="W154" s="98"/>
      <c r="X154" s="99" t="b">
        <f t="shared" si="185"/>
        <v>0</v>
      </c>
      <c r="Y154" s="100"/>
      <c r="Z154" s="101" t="str">
        <f t="shared" si="5"/>
        <v/>
      </c>
      <c r="AA154" s="102" t="b">
        <f t="shared" si="6"/>
        <v>0</v>
      </c>
      <c r="AB154" s="98"/>
      <c r="AC154" s="103">
        <v>100.0</v>
      </c>
      <c r="AD154" s="104"/>
      <c r="AE154" s="105" t="str">
        <f t="shared" si="7"/>
        <v/>
      </c>
      <c r="AF154" s="106" t="b">
        <f t="shared" si="103"/>
        <v>0</v>
      </c>
      <c r="AG154" s="93" t="b">
        <f t="shared" si="9"/>
        <v>0</v>
      </c>
      <c r="AH154" s="103"/>
      <c r="AI154" s="103"/>
      <c r="AJ154" s="97"/>
      <c r="AK154" s="101" t="str">
        <f t="shared" si="10"/>
        <v>Negative</v>
      </c>
      <c r="AL154" s="98"/>
      <c r="AM154" s="94" t="s">
        <v>422</v>
      </c>
      <c r="AN154" s="94" t="s">
        <v>423</v>
      </c>
      <c r="AO154" s="102" t="str">
        <f>IFERROR(__xludf.DUMMYFUNCTION("IF($AG154, ""DELETED"",TRIM(JOIN("" "",D154:E154)))"),"")</f>
        <v/>
      </c>
      <c r="AP154" s="94" t="str">
        <f t="shared" ref="AP154:AQ154" si="194">IF($AG154, "DELETED", TRIM(CONCATENATE(F154,I154,U154)))</f>
        <v/>
      </c>
      <c r="AQ154" s="94" t="str">
        <f t="shared" si="194"/>
        <v/>
      </c>
      <c r="AR154" s="94" t="str">
        <f>IFERROR(__xludf.DUMMYFUNCTION("IF($AG154, ""DELETED"", TRIM(JOIN("" "",AP154,AQ154)))"),"")</f>
        <v/>
      </c>
      <c r="AS154" s="9"/>
      <c r="AT154" s="93" t="b">
        <f t="shared" si="12"/>
        <v>0</v>
      </c>
      <c r="AU154" s="93" t="str">
        <f t="shared" si="13"/>
        <v/>
      </c>
      <c r="AV154" s="93" t="str">
        <f t="shared" si="14"/>
        <v/>
      </c>
      <c r="AW154" s="93" t="str">
        <f t="shared" si="187"/>
        <v/>
      </c>
      <c r="AX154" s="107" t="str">
        <f t="shared" si="16"/>
        <v/>
      </c>
      <c r="AY154" s="98"/>
      <c r="AZ154" s="108"/>
      <c r="BA154" s="109" t="str">
        <f t="shared" si="17"/>
        <v/>
      </c>
      <c r="BB154" s="98"/>
      <c r="BC154" s="98"/>
      <c r="BD154" s="108"/>
      <c r="BE154" s="143"/>
      <c r="BF154" s="111" t="str">
        <f t="shared" si="18"/>
        <v/>
      </c>
      <c r="BG154" s="112" t="str">
        <f t="shared" si="19"/>
        <v>AH9070__44712_0.192650462962963___Negative_44713_0.341481481481482_</v>
      </c>
      <c r="BH154" s="113" t="str">
        <f t="shared" si="20"/>
        <v/>
      </c>
      <c r="BI154" s="233"/>
      <c r="BJ154" s="114" t="str">
        <f t="shared" si="21"/>
        <v/>
      </c>
      <c r="BK154" s="115" t="b">
        <f t="shared" si="105"/>
        <v>0</v>
      </c>
      <c r="BL154" s="114" t="str">
        <f t="shared" si="23"/>
        <v/>
      </c>
      <c r="BM154" s="108"/>
      <c r="BN154" s="7" t="b">
        <f t="shared" si="24"/>
        <v>1</v>
      </c>
      <c r="BO154" s="7" t="b">
        <f t="shared" si="25"/>
        <v>0</v>
      </c>
      <c r="BP154" s="7" t="b">
        <f t="shared" si="26"/>
        <v>1</v>
      </c>
      <c r="BQ154" s="118"/>
      <c r="BR154" s="119" t="s">
        <v>228</v>
      </c>
      <c r="BS154" s="7" t="b">
        <f t="shared" si="27"/>
        <v>1</v>
      </c>
      <c r="BT154" s="7"/>
      <c r="BU154" s="7"/>
      <c r="BV154" s="7"/>
      <c r="BW154" s="7"/>
    </row>
    <row r="155">
      <c r="A155" s="86" t="s">
        <v>421</v>
      </c>
      <c r="B155" s="87">
        <v>44712.0</v>
      </c>
      <c r="C155" s="88">
        <v>0.19265046296296295</v>
      </c>
      <c r="D155" s="89"/>
      <c r="E155" s="89"/>
      <c r="F155" s="89"/>
      <c r="G155" s="86"/>
      <c r="H155" s="90"/>
      <c r="I155" s="3"/>
      <c r="J155" s="3"/>
      <c r="K155" s="89" t="s">
        <v>228</v>
      </c>
      <c r="L155" s="36">
        <v>44713.0</v>
      </c>
      <c r="M155" s="91">
        <v>0.3414814814814815</v>
      </c>
      <c r="N155" s="3"/>
      <c r="O155" s="92"/>
      <c r="P155" s="93" t="b">
        <f>IFNA(IF(VLOOKUP($A155,'Add from APT'!$AA$2:$AC264,3,FALSE)&gt;0,TRUE,FALSE),"ER - NOT IN APT")</f>
        <v>0</v>
      </c>
      <c r="Q155" s="94" t="str">
        <f>IF(ISLOGICAL(P155),IF(P155,"ER - REPS IN APT", IFNA(VLOOKUP($A155,RAW_APT!$A$3:$M264,7,FALSE),"ER - NOT IN APT")),P155)</f>
        <v>Result</v>
      </c>
      <c r="R155" s="95" t="b">
        <f t="shared" si="102"/>
        <v>0</v>
      </c>
      <c r="S155" s="96">
        <f t="shared" si="3"/>
        <v>4</v>
      </c>
      <c r="T155" s="130"/>
      <c r="U155" s="3"/>
      <c r="V155" s="3"/>
      <c r="W155" s="9"/>
      <c r="X155" s="99" t="b">
        <f t="shared" si="185"/>
        <v>0</v>
      </c>
      <c r="Y155" s="7"/>
      <c r="Z155" s="101" t="str">
        <f t="shared" si="5"/>
        <v/>
      </c>
      <c r="AA155" s="102" t="b">
        <f t="shared" si="6"/>
        <v>0</v>
      </c>
      <c r="AB155" s="131"/>
      <c r="AC155" s="130">
        <v>99.0</v>
      </c>
      <c r="AD155" s="132"/>
      <c r="AE155" s="105" t="str">
        <f t="shared" si="7"/>
        <v/>
      </c>
      <c r="AF155" s="106" t="b">
        <f t="shared" si="103"/>
        <v>0</v>
      </c>
      <c r="AG155" s="93" t="b">
        <f t="shared" si="9"/>
        <v>0</v>
      </c>
      <c r="AH155" s="130"/>
      <c r="AI155" s="13"/>
      <c r="AJ155" s="7"/>
      <c r="AK155" s="101" t="str">
        <f t="shared" si="10"/>
        <v>Negative</v>
      </c>
      <c r="AL155" s="98"/>
      <c r="AM155" s="94" t="s">
        <v>422</v>
      </c>
      <c r="AN155" s="94" t="s">
        <v>424</v>
      </c>
      <c r="AO155" s="102" t="str">
        <f>IFERROR(__xludf.DUMMYFUNCTION("IF($AG155, ""DELETED"",TRIM(JOIN("" "",D155:E155)))"),"")</f>
        <v/>
      </c>
      <c r="AP155" s="94" t="str">
        <f t="shared" ref="AP155:AQ155" si="195">IF($AG155, "DELETED", TRIM(CONCATENATE(F155,I155,U155)))</f>
        <v/>
      </c>
      <c r="AQ155" s="94" t="str">
        <f t="shared" si="195"/>
        <v/>
      </c>
      <c r="AR155" s="94" t="str">
        <f>IFERROR(__xludf.DUMMYFUNCTION("IF($AG155, ""DELETED"", TRIM(JOIN("" "",AP155,AQ155)))"),"")</f>
        <v/>
      </c>
      <c r="AS155" s="9"/>
      <c r="AT155" s="93" t="b">
        <f t="shared" si="12"/>
        <v>0</v>
      </c>
      <c r="AU155" s="93" t="str">
        <f t="shared" si="13"/>
        <v/>
      </c>
      <c r="AV155" s="93" t="str">
        <f t="shared" si="14"/>
        <v/>
      </c>
      <c r="AW155" s="93" t="str">
        <f t="shared" si="187"/>
        <v/>
      </c>
      <c r="AX155" s="107" t="str">
        <f t="shared" si="16"/>
        <v/>
      </c>
      <c r="AY155" s="3"/>
      <c r="AZ155" s="129"/>
      <c r="BA155" s="109" t="str">
        <f t="shared" si="17"/>
        <v/>
      </c>
      <c r="BB155" s="3"/>
      <c r="BC155" s="3"/>
      <c r="BD155" s="108"/>
      <c r="BE155" s="157"/>
      <c r="BF155" s="111" t="str">
        <f t="shared" si="18"/>
        <v/>
      </c>
      <c r="BG155" s="112" t="str">
        <f t="shared" si="19"/>
        <v>AH9070__44712_0.192650462962963___Negative_44713_0.341481481481482_</v>
      </c>
      <c r="BH155" s="113" t="str">
        <f t="shared" si="20"/>
        <v/>
      </c>
      <c r="BI155" s="204"/>
      <c r="BJ155" s="114" t="str">
        <f t="shared" si="21"/>
        <v/>
      </c>
      <c r="BK155" s="115" t="b">
        <f t="shared" si="105"/>
        <v>0</v>
      </c>
      <c r="BL155" s="114" t="str">
        <f t="shared" si="23"/>
        <v/>
      </c>
      <c r="BM155" s="108"/>
      <c r="BN155" s="7" t="b">
        <f t="shared" si="24"/>
        <v>1</v>
      </c>
      <c r="BO155" s="7" t="b">
        <f t="shared" si="25"/>
        <v>0</v>
      </c>
      <c r="BP155" s="7" t="b">
        <f t="shared" si="26"/>
        <v>1</v>
      </c>
      <c r="BQ155" s="118"/>
      <c r="BR155" s="119" t="s">
        <v>228</v>
      </c>
      <c r="BS155" s="7" t="b">
        <f t="shared" si="27"/>
        <v>1</v>
      </c>
      <c r="BT155" s="7"/>
      <c r="BU155" s="7"/>
      <c r="BV155" s="7"/>
      <c r="BW155" s="7"/>
    </row>
    <row r="156">
      <c r="A156" s="86" t="s">
        <v>421</v>
      </c>
      <c r="B156" s="87">
        <v>44712.0</v>
      </c>
      <c r="C156" s="88">
        <v>0.19265046296296295</v>
      </c>
      <c r="D156" s="89"/>
      <c r="E156" s="89"/>
      <c r="F156" s="3"/>
      <c r="G156" s="120"/>
      <c r="H156" s="121"/>
      <c r="I156" s="89"/>
      <c r="J156" s="89"/>
      <c r="K156" s="89" t="s">
        <v>228</v>
      </c>
      <c r="L156" s="36">
        <v>44713.0</v>
      </c>
      <c r="M156" s="91">
        <v>0.3414814814814815</v>
      </c>
      <c r="N156" s="3"/>
      <c r="O156" s="92"/>
      <c r="P156" s="93" t="b">
        <f>IFNA(IF(VLOOKUP($A156,'Add from APT'!$AA$2:$AC264,3,FALSE)&gt;0,TRUE,FALSE),"ER - NOT IN APT")</f>
        <v>0</v>
      </c>
      <c r="Q156" s="94" t="str">
        <f>IF(ISLOGICAL(P156),IF(P156,"ER - REPS IN APT", IFNA(VLOOKUP($A156,RAW_APT!$A$3:$M264,7,FALSE),"ER - NOT IN APT")),P156)</f>
        <v>Result</v>
      </c>
      <c r="R156" s="95" t="b">
        <f t="shared" si="102"/>
        <v>0</v>
      </c>
      <c r="S156" s="96">
        <f t="shared" si="3"/>
        <v>4</v>
      </c>
      <c r="T156" s="130"/>
      <c r="U156" s="3"/>
      <c r="V156" s="3"/>
      <c r="W156" s="9"/>
      <c r="X156" s="99" t="b">
        <f t="shared" si="185"/>
        <v>0</v>
      </c>
      <c r="Y156" s="7"/>
      <c r="Z156" s="101" t="str">
        <f t="shared" si="5"/>
        <v/>
      </c>
      <c r="AA156" s="102" t="b">
        <f t="shared" si="6"/>
        <v>0</v>
      </c>
      <c r="AB156" s="131"/>
      <c r="AC156" s="130">
        <v>98.0</v>
      </c>
      <c r="AD156" s="132"/>
      <c r="AE156" s="105" t="str">
        <f t="shared" si="7"/>
        <v/>
      </c>
      <c r="AF156" s="106" t="b">
        <f t="shared" si="103"/>
        <v>0</v>
      </c>
      <c r="AG156" s="93" t="b">
        <f t="shared" si="9"/>
        <v>0</v>
      </c>
      <c r="AH156" s="130"/>
      <c r="AI156" s="13"/>
      <c r="AJ156" s="7"/>
      <c r="AK156" s="101" t="str">
        <f t="shared" si="10"/>
        <v>Negative</v>
      </c>
      <c r="AL156" s="98"/>
      <c r="AM156" s="94" t="s">
        <v>422</v>
      </c>
      <c r="AN156" s="94" t="s">
        <v>425</v>
      </c>
      <c r="AO156" s="102" t="str">
        <f>IFERROR(__xludf.DUMMYFUNCTION("IF($AG156, ""DELETED"",TRIM(JOIN("" "",D156:E156)))"),"")</f>
        <v/>
      </c>
      <c r="AP156" s="94" t="str">
        <f t="shared" ref="AP156:AQ156" si="196">IF($AG156, "DELETED", TRIM(CONCATENATE(F156,I156,U156)))</f>
        <v/>
      </c>
      <c r="AQ156" s="94" t="str">
        <f t="shared" si="196"/>
        <v/>
      </c>
      <c r="AR156" s="94" t="str">
        <f>IFERROR(__xludf.DUMMYFUNCTION("IF($AG156, ""DELETED"", TRIM(JOIN("" "",AP156,AQ156)))"),"")</f>
        <v/>
      </c>
      <c r="AS156" s="9"/>
      <c r="AT156" s="93" t="b">
        <f t="shared" si="12"/>
        <v>0</v>
      </c>
      <c r="AU156" s="93" t="str">
        <f t="shared" si="13"/>
        <v/>
      </c>
      <c r="AV156" s="93" t="str">
        <f t="shared" si="14"/>
        <v/>
      </c>
      <c r="AW156" s="93" t="str">
        <f t="shared" si="187"/>
        <v/>
      </c>
      <c r="AX156" s="107" t="str">
        <f t="shared" si="16"/>
        <v/>
      </c>
      <c r="AY156" s="3"/>
      <c r="AZ156" s="129"/>
      <c r="BA156" s="109" t="str">
        <f t="shared" si="17"/>
        <v/>
      </c>
      <c r="BB156" s="3"/>
      <c r="BC156" s="3"/>
      <c r="BD156" s="108"/>
      <c r="BE156" s="143"/>
      <c r="BF156" s="111" t="str">
        <f t="shared" si="18"/>
        <v/>
      </c>
      <c r="BG156" s="112" t="str">
        <f t="shared" si="19"/>
        <v>AH9070__44712_0.192650462962963___Negative_44713_0.341481481481482_</v>
      </c>
      <c r="BH156" s="113" t="str">
        <f t="shared" si="20"/>
        <v/>
      </c>
      <c r="BI156" s="233"/>
      <c r="BJ156" s="114" t="str">
        <f t="shared" si="21"/>
        <v/>
      </c>
      <c r="BK156" s="115" t="b">
        <f t="shared" si="105"/>
        <v>0</v>
      </c>
      <c r="BL156" s="114" t="str">
        <f t="shared" si="23"/>
        <v/>
      </c>
      <c r="BM156" s="108"/>
      <c r="BN156" s="7" t="b">
        <f t="shared" si="24"/>
        <v>1</v>
      </c>
      <c r="BO156" s="7" t="b">
        <f t="shared" si="25"/>
        <v>0</v>
      </c>
      <c r="BP156" s="7" t="b">
        <f t="shared" si="26"/>
        <v>1</v>
      </c>
      <c r="BQ156" s="118"/>
      <c r="BR156" s="119" t="s">
        <v>228</v>
      </c>
      <c r="BS156" s="7" t="b">
        <f t="shared" si="27"/>
        <v>1</v>
      </c>
      <c r="BT156" s="7"/>
      <c r="BU156" s="7"/>
      <c r="BV156" s="7"/>
      <c r="BW156" s="7"/>
    </row>
    <row r="157">
      <c r="A157" s="86" t="s">
        <v>421</v>
      </c>
      <c r="B157" s="87">
        <v>44712.0</v>
      </c>
      <c r="C157" s="88">
        <v>0.19265046296296295</v>
      </c>
      <c r="D157" s="89"/>
      <c r="E157" s="89"/>
      <c r="F157" s="3"/>
      <c r="G157" s="120"/>
      <c r="H157" s="121"/>
      <c r="I157" s="89"/>
      <c r="J157" s="89"/>
      <c r="K157" s="89" t="s">
        <v>228</v>
      </c>
      <c r="L157" s="36">
        <v>44713.0</v>
      </c>
      <c r="M157" s="91">
        <v>0.3414814814814815</v>
      </c>
      <c r="N157" s="3"/>
      <c r="O157" s="92"/>
      <c r="P157" s="93" t="b">
        <f>IFNA(IF(VLOOKUP($A157,'Add from APT'!$AA$2:$AC264,3,FALSE)&gt;0,TRUE,FALSE),"ER - NOT IN APT")</f>
        <v>0</v>
      </c>
      <c r="Q157" s="94" t="str">
        <f>IF(ISLOGICAL(P157),IF(P157,"ER - REPS IN APT", IFNA(VLOOKUP($A157,RAW_APT!$A$3:$M264,7,FALSE),"ER - NOT IN APT")),P157)</f>
        <v>Result</v>
      </c>
      <c r="R157" s="95" t="b">
        <f t="shared" si="102"/>
        <v>0</v>
      </c>
      <c r="S157" s="96">
        <f t="shared" si="3"/>
        <v>4</v>
      </c>
      <c r="T157" s="130"/>
      <c r="U157" s="3"/>
      <c r="V157" s="3"/>
      <c r="W157" s="9"/>
      <c r="X157" s="99" t="b">
        <f t="shared" si="185"/>
        <v>0</v>
      </c>
      <c r="Y157" s="7"/>
      <c r="Z157" s="101" t="str">
        <f t="shared" si="5"/>
        <v/>
      </c>
      <c r="AA157" s="102" t="b">
        <f t="shared" si="6"/>
        <v>0</v>
      </c>
      <c r="AB157" s="131"/>
      <c r="AC157" s="130">
        <v>101.0</v>
      </c>
      <c r="AD157" s="132"/>
      <c r="AE157" s="105" t="str">
        <f t="shared" si="7"/>
        <v/>
      </c>
      <c r="AF157" s="106" t="b">
        <f t="shared" si="103"/>
        <v>0</v>
      </c>
      <c r="AG157" s="93" t="b">
        <f t="shared" si="9"/>
        <v>0</v>
      </c>
      <c r="AH157" s="130"/>
      <c r="AI157" s="13"/>
      <c r="AJ157" s="7"/>
      <c r="AK157" s="101" t="str">
        <f t="shared" si="10"/>
        <v>Negative</v>
      </c>
      <c r="AL157" s="98"/>
      <c r="AM157" s="94" t="s">
        <v>422</v>
      </c>
      <c r="AN157" s="94" t="s">
        <v>426</v>
      </c>
      <c r="AO157" s="102" t="str">
        <f>IFERROR(__xludf.DUMMYFUNCTION("IF($AG157, ""DELETED"",TRIM(JOIN("" "",D157:E157)))"),"")</f>
        <v/>
      </c>
      <c r="AP157" s="94" t="str">
        <f t="shared" ref="AP157:AQ157" si="197">IF($AG157, "DELETED", TRIM(CONCATENATE(F157,I157,U157)))</f>
        <v/>
      </c>
      <c r="AQ157" s="94" t="str">
        <f t="shared" si="197"/>
        <v/>
      </c>
      <c r="AR157" s="94" t="str">
        <f>IFERROR(__xludf.DUMMYFUNCTION("IF($AG157, ""DELETED"", TRIM(JOIN("" "",AP157,AQ157)))"),"")</f>
        <v/>
      </c>
      <c r="AS157" s="9"/>
      <c r="AT157" s="93" t="b">
        <f t="shared" si="12"/>
        <v>0</v>
      </c>
      <c r="AU157" s="93" t="str">
        <f t="shared" si="13"/>
        <v/>
      </c>
      <c r="AV157" s="93" t="str">
        <f t="shared" si="14"/>
        <v/>
      </c>
      <c r="AW157" s="93" t="str">
        <f t="shared" si="187"/>
        <v/>
      </c>
      <c r="AX157" s="107" t="str">
        <f t="shared" si="16"/>
        <v/>
      </c>
      <c r="AY157" s="3"/>
      <c r="AZ157" s="129"/>
      <c r="BA157" s="109" t="str">
        <f t="shared" si="17"/>
        <v/>
      </c>
      <c r="BB157" s="3"/>
      <c r="BC157" s="3"/>
      <c r="BD157" s="108"/>
      <c r="BE157" s="134"/>
      <c r="BF157" s="111" t="str">
        <f t="shared" si="18"/>
        <v/>
      </c>
      <c r="BG157" s="112" t="str">
        <f t="shared" si="19"/>
        <v>AH9070__44712_0.192650462962963___Negative_44713_0.341481481481482_</v>
      </c>
      <c r="BH157" s="113" t="str">
        <f t="shared" si="20"/>
        <v/>
      </c>
      <c r="BI157" s="202"/>
      <c r="BJ157" s="114" t="str">
        <f t="shared" si="21"/>
        <v/>
      </c>
      <c r="BK157" s="115" t="b">
        <f t="shared" si="105"/>
        <v>0</v>
      </c>
      <c r="BL157" s="114" t="str">
        <f t="shared" si="23"/>
        <v/>
      </c>
      <c r="BM157" s="108"/>
      <c r="BN157" s="7" t="b">
        <f t="shared" si="24"/>
        <v>1</v>
      </c>
      <c r="BO157" s="7" t="b">
        <f t="shared" si="25"/>
        <v>0</v>
      </c>
      <c r="BP157" s="7" t="b">
        <f t="shared" si="26"/>
        <v>1</v>
      </c>
      <c r="BQ157" s="118"/>
      <c r="BR157" s="119" t="s">
        <v>228</v>
      </c>
      <c r="BS157" s="7" t="b">
        <f t="shared" si="27"/>
        <v>1</v>
      </c>
      <c r="BT157" s="7"/>
      <c r="BU157" s="7"/>
      <c r="BV157" s="7"/>
      <c r="BW157" s="7"/>
    </row>
    <row r="158">
      <c r="A158" s="86" t="s">
        <v>427</v>
      </c>
      <c r="B158" s="87">
        <v>44712.0</v>
      </c>
      <c r="C158" s="88">
        <v>0.7929166666666667</v>
      </c>
      <c r="D158" s="89"/>
      <c r="E158" s="89"/>
      <c r="F158" s="89"/>
      <c r="G158" s="86"/>
      <c r="H158" s="89"/>
      <c r="I158" s="9"/>
      <c r="J158" s="9"/>
      <c r="K158" s="89" t="s">
        <v>228</v>
      </c>
      <c r="L158" s="36">
        <v>44713.0</v>
      </c>
      <c r="M158" s="91">
        <v>0.3414814814814815</v>
      </c>
      <c r="N158" s="3"/>
      <c r="O158" s="142"/>
      <c r="P158" s="93" t="b">
        <f>IFNA(IF(VLOOKUP($A158,'Add from APT'!$AA$2:$AC264,3,FALSE)&gt;0,TRUE,FALSE),"ER - NOT IN APT")</f>
        <v>0</v>
      </c>
      <c r="Q158" s="94" t="str">
        <f>IF(ISLOGICAL(P158),IF(P158,"ER - REPS IN APT", IFNA(VLOOKUP($A158,RAW_APT!$A$3:$M264,7,FALSE),"ER - NOT IN APT")),P158)</f>
        <v>Result</v>
      </c>
      <c r="R158" s="95" t="b">
        <f t="shared" si="102"/>
        <v>1</v>
      </c>
      <c r="S158" s="96">
        <f t="shared" si="3"/>
        <v>2</v>
      </c>
      <c r="T158" s="103">
        <v>1.0</v>
      </c>
      <c r="U158" s="9"/>
      <c r="V158" s="9"/>
      <c r="W158" s="9"/>
      <c r="X158" s="99" t="b">
        <f t="shared" si="185"/>
        <v>0</v>
      </c>
      <c r="Y158" s="100"/>
      <c r="Z158" s="101" t="str">
        <f t="shared" si="5"/>
        <v/>
      </c>
      <c r="AA158" s="102" t="b">
        <f t="shared" si="6"/>
        <v>0</v>
      </c>
      <c r="AB158" s="98"/>
      <c r="AC158" s="103">
        <v>102.0</v>
      </c>
      <c r="AD158" s="104"/>
      <c r="AE158" s="105" t="str">
        <f t="shared" si="7"/>
        <v/>
      </c>
      <c r="AF158" s="106" t="b">
        <f t="shared" si="103"/>
        <v>0</v>
      </c>
      <c r="AG158" s="93" t="b">
        <f t="shared" si="9"/>
        <v>0</v>
      </c>
      <c r="AH158" s="103"/>
      <c r="AI158" s="103"/>
      <c r="AJ158" s="97"/>
      <c r="AK158" s="101" t="str">
        <f t="shared" si="10"/>
        <v>Negative</v>
      </c>
      <c r="AL158" s="98"/>
      <c r="AM158" s="94" t="s">
        <v>365</v>
      </c>
      <c r="AN158" s="94" t="s">
        <v>428</v>
      </c>
      <c r="AO158" s="102" t="str">
        <f>IFERROR(__xludf.DUMMYFUNCTION("IF($AG158, ""DELETED"",TRIM(JOIN("" "",D158:E158)))"),"")</f>
        <v/>
      </c>
      <c r="AP158" s="94" t="str">
        <f t="shared" ref="AP158:AQ158" si="198">IF($AG158, "DELETED", TRIM(CONCATENATE(F158,I158,U158)))</f>
        <v/>
      </c>
      <c r="AQ158" s="94" t="str">
        <f t="shared" si="198"/>
        <v/>
      </c>
      <c r="AR158" s="94" t="str">
        <f>IFERROR(__xludf.DUMMYFUNCTION("IF($AG158, ""DELETED"", TRIM(JOIN("" "",AP158,AQ158)))"),"")</f>
        <v/>
      </c>
      <c r="AS158" s="9"/>
      <c r="AT158" s="93" t="b">
        <f t="shared" si="12"/>
        <v>0</v>
      </c>
      <c r="AU158" s="93" t="str">
        <f t="shared" si="13"/>
        <v/>
      </c>
      <c r="AV158" s="93" t="str">
        <f t="shared" si="14"/>
        <v/>
      </c>
      <c r="AW158" s="93" t="str">
        <f t="shared" si="187"/>
        <v/>
      </c>
      <c r="AX158" s="107" t="str">
        <f t="shared" si="16"/>
        <v/>
      </c>
      <c r="AY158" s="98"/>
      <c r="AZ158" s="108"/>
      <c r="BA158" s="109" t="str">
        <f t="shared" si="17"/>
        <v/>
      </c>
      <c r="BB158" s="98"/>
      <c r="BC158" s="98"/>
      <c r="BD158" s="108"/>
      <c r="BE158" s="143"/>
      <c r="BF158" s="111" t="str">
        <f t="shared" si="18"/>
        <v/>
      </c>
      <c r="BG158" s="112" t="str">
        <f t="shared" si="19"/>
        <v>AH258__44712_0.792916666666667___Negative_44713_0.341481481481482_</v>
      </c>
      <c r="BH158" s="113" t="str">
        <f t="shared" si="20"/>
        <v/>
      </c>
      <c r="BI158" s="203"/>
      <c r="BJ158" s="114" t="str">
        <f t="shared" si="21"/>
        <v/>
      </c>
      <c r="BK158" s="115" t="b">
        <f t="shared" si="105"/>
        <v>0</v>
      </c>
      <c r="BL158" s="114" t="str">
        <f t="shared" si="23"/>
        <v/>
      </c>
      <c r="BM158" s="108"/>
      <c r="BN158" s="7" t="b">
        <f t="shared" si="24"/>
        <v>1</v>
      </c>
      <c r="BO158" s="7" t="b">
        <f t="shared" si="25"/>
        <v>0</v>
      </c>
      <c r="BP158" s="7" t="b">
        <f t="shared" si="26"/>
        <v>1</v>
      </c>
      <c r="BQ158" s="118"/>
      <c r="BR158" s="119" t="s">
        <v>228</v>
      </c>
      <c r="BS158" s="7" t="b">
        <f t="shared" si="27"/>
        <v>1</v>
      </c>
      <c r="BT158" s="7"/>
      <c r="BU158" s="7"/>
      <c r="BV158" s="7"/>
      <c r="BW158" s="7"/>
    </row>
    <row r="159">
      <c r="A159" s="86" t="s">
        <v>427</v>
      </c>
      <c r="B159" s="87">
        <v>44712.0</v>
      </c>
      <c r="C159" s="88">
        <v>0.7929166666666667</v>
      </c>
      <c r="D159" s="89"/>
      <c r="E159" s="89"/>
      <c r="F159" s="89"/>
      <c r="G159" s="86"/>
      <c r="H159" s="89"/>
      <c r="I159" s="3"/>
      <c r="J159" s="3"/>
      <c r="K159" s="89" t="s">
        <v>228</v>
      </c>
      <c r="L159" s="36">
        <v>44713.0</v>
      </c>
      <c r="M159" s="91">
        <v>0.3414814814814815</v>
      </c>
      <c r="N159" s="3"/>
      <c r="O159" s="142"/>
      <c r="P159" s="93" t="b">
        <f>IFNA(IF(VLOOKUP($A159,'Add from APT'!$AA$2:$AC264,3,FALSE)&gt;0,TRUE,FALSE),"ER - NOT IN APT")</f>
        <v>0</v>
      </c>
      <c r="Q159" s="94" t="str">
        <f>IF(ISLOGICAL(P159),IF(P159,"ER - REPS IN APT", IFNA(VLOOKUP($A159,RAW_APT!$A$3:$M264,7,FALSE),"ER - NOT IN APT")),P159)</f>
        <v>Result</v>
      </c>
      <c r="R159" s="95" t="b">
        <f t="shared" si="102"/>
        <v>0</v>
      </c>
      <c r="S159" s="96">
        <f t="shared" si="3"/>
        <v>2</v>
      </c>
      <c r="T159" s="103">
        <v>1.0</v>
      </c>
      <c r="U159" s="3"/>
      <c r="V159" s="3"/>
      <c r="W159" s="9"/>
      <c r="X159" s="99" t="b">
        <f t="shared" si="185"/>
        <v>0</v>
      </c>
      <c r="Y159" s="100"/>
      <c r="Z159" s="101" t="str">
        <f t="shared" si="5"/>
        <v/>
      </c>
      <c r="AA159" s="102" t="b">
        <f t="shared" si="6"/>
        <v>0</v>
      </c>
      <c r="AB159" s="98"/>
      <c r="AC159" s="103">
        <v>102.0</v>
      </c>
      <c r="AD159" s="104"/>
      <c r="AE159" s="105" t="str">
        <f t="shared" si="7"/>
        <v/>
      </c>
      <c r="AF159" s="106" t="b">
        <f t="shared" si="103"/>
        <v>0</v>
      </c>
      <c r="AG159" s="93" t="b">
        <f t="shared" si="9"/>
        <v>0</v>
      </c>
      <c r="AH159" s="103"/>
      <c r="AI159" s="103"/>
      <c r="AJ159" s="97"/>
      <c r="AK159" s="101" t="str">
        <f t="shared" si="10"/>
        <v>Negative</v>
      </c>
      <c r="AL159" s="98"/>
      <c r="AM159" s="94" t="s">
        <v>365</v>
      </c>
      <c r="AN159" s="94" t="s">
        <v>383</v>
      </c>
      <c r="AO159" s="102" t="str">
        <f>IFERROR(__xludf.DUMMYFUNCTION("IF($AG159, ""DELETED"",TRIM(JOIN("" "",D159:E159)))"),"")</f>
        <v/>
      </c>
      <c r="AP159" s="94" t="str">
        <f t="shared" ref="AP159:AQ159" si="199">IF($AG159, "DELETED", TRIM(CONCATENATE(F159,I159,U159)))</f>
        <v/>
      </c>
      <c r="AQ159" s="94" t="str">
        <f t="shared" si="199"/>
        <v/>
      </c>
      <c r="AR159" s="94" t="str">
        <f>IFERROR(__xludf.DUMMYFUNCTION("IF($AG159, ""DELETED"", TRIM(JOIN("" "",AP159,AQ159)))"),"")</f>
        <v/>
      </c>
      <c r="AS159" s="9"/>
      <c r="AT159" s="93" t="b">
        <f t="shared" si="12"/>
        <v>0</v>
      </c>
      <c r="AU159" s="93" t="str">
        <f t="shared" si="13"/>
        <v/>
      </c>
      <c r="AV159" s="93" t="str">
        <f t="shared" si="14"/>
        <v/>
      </c>
      <c r="AW159" s="93" t="str">
        <f t="shared" si="187"/>
        <v/>
      </c>
      <c r="AX159" s="107" t="str">
        <f t="shared" si="16"/>
        <v/>
      </c>
      <c r="AY159" s="98"/>
      <c r="AZ159" s="108"/>
      <c r="BA159" s="109" t="str">
        <f t="shared" si="17"/>
        <v/>
      </c>
      <c r="BB159" s="98"/>
      <c r="BC159" s="98"/>
      <c r="BD159" s="108"/>
      <c r="BE159" s="143"/>
      <c r="BF159" s="111" t="str">
        <f t="shared" si="18"/>
        <v/>
      </c>
      <c r="BG159" s="112" t="str">
        <f t="shared" si="19"/>
        <v>AH258__44712_0.792916666666667___Negative_44713_0.341481481481482_</v>
      </c>
      <c r="BH159" s="113" t="str">
        <f t="shared" si="20"/>
        <v/>
      </c>
      <c r="BI159" s="203"/>
      <c r="BJ159" s="114" t="str">
        <f t="shared" si="21"/>
        <v/>
      </c>
      <c r="BK159" s="115" t="b">
        <f t="shared" si="105"/>
        <v>0</v>
      </c>
      <c r="BL159" s="114" t="str">
        <f t="shared" si="23"/>
        <v/>
      </c>
      <c r="BM159" s="108"/>
      <c r="BN159" s="7" t="b">
        <f t="shared" si="24"/>
        <v>1</v>
      </c>
      <c r="BO159" s="7" t="b">
        <f t="shared" si="25"/>
        <v>0</v>
      </c>
      <c r="BP159" s="7" t="b">
        <f t="shared" si="26"/>
        <v>1</v>
      </c>
      <c r="BQ159" s="118"/>
      <c r="BR159" s="119" t="s">
        <v>228</v>
      </c>
      <c r="BS159" s="7" t="b">
        <f t="shared" si="27"/>
        <v>1</v>
      </c>
      <c r="BT159" s="7"/>
      <c r="BU159" s="7"/>
      <c r="BV159" s="7"/>
      <c r="BW159" s="7"/>
    </row>
    <row r="160">
      <c r="A160" s="86" t="s">
        <v>429</v>
      </c>
      <c r="B160" s="87">
        <v>44713.0</v>
      </c>
      <c r="C160" s="88">
        <v>0.17925925925925926</v>
      </c>
      <c r="D160" s="89"/>
      <c r="E160" s="89"/>
      <c r="F160" s="89"/>
      <c r="G160" s="86"/>
      <c r="H160" s="90"/>
      <c r="I160" s="3"/>
      <c r="J160" s="3"/>
      <c r="K160" s="89" t="s">
        <v>228</v>
      </c>
      <c r="L160" s="36">
        <v>44713.0</v>
      </c>
      <c r="M160" s="91">
        <v>0.3414814814814815</v>
      </c>
      <c r="N160" s="3"/>
      <c r="O160" s="142"/>
      <c r="P160" s="93" t="b">
        <f>IFNA(IF(VLOOKUP($A160,'Add from APT'!$AA$2:$AC264,3,FALSE)&gt;0,TRUE,FALSE),"ER - NOT IN APT")</f>
        <v>0</v>
      </c>
      <c r="Q160" s="94" t="str">
        <f>IF(ISLOGICAL(P160),IF(P160,"ER - REPS IN APT", IFNA(VLOOKUP($A160,RAW_APT!$A$3:$M264,7,FALSE),"ER - NOT IN APT")),P160)</f>
        <v>Result</v>
      </c>
      <c r="R160" s="95" t="b">
        <f t="shared" si="102"/>
        <v>1</v>
      </c>
      <c r="S160" s="96">
        <f t="shared" si="3"/>
        <v>1</v>
      </c>
      <c r="T160" s="97"/>
      <c r="U160" s="3"/>
      <c r="V160" s="3"/>
      <c r="W160" s="98"/>
      <c r="X160" s="99" t="b">
        <f t="shared" si="185"/>
        <v>0</v>
      </c>
      <c r="Y160" s="100"/>
      <c r="Z160" s="101" t="str">
        <f t="shared" si="5"/>
        <v/>
      </c>
      <c r="AA160" s="102" t="b">
        <f t="shared" si="6"/>
        <v>0</v>
      </c>
      <c r="AB160" s="98"/>
      <c r="AC160" s="103">
        <v>76.0</v>
      </c>
      <c r="AD160" s="104"/>
      <c r="AE160" s="105">
        <f t="shared" si="7"/>
        <v>233.6</v>
      </c>
      <c r="AF160" s="106" t="b">
        <f t="shared" si="103"/>
        <v>0</v>
      </c>
      <c r="AG160" s="93" t="b">
        <f t="shared" si="9"/>
        <v>0</v>
      </c>
      <c r="AH160" s="103"/>
      <c r="AI160" s="103"/>
      <c r="AJ160" s="97"/>
      <c r="AK160" s="101" t="str">
        <f t="shared" si="10"/>
        <v>Negative</v>
      </c>
      <c r="AL160" s="98"/>
      <c r="AM160" s="94" t="s">
        <v>430</v>
      </c>
      <c r="AN160" s="94" t="s">
        <v>431</v>
      </c>
      <c r="AO160" s="102" t="str">
        <f>IFERROR(__xludf.DUMMYFUNCTION("IF($AG160, ""DELETED"",TRIM(JOIN("" "",D160:E160)))"),"")</f>
        <v/>
      </c>
      <c r="AP160" s="94" t="str">
        <f t="shared" ref="AP160:AQ160" si="200">IF($AG160, "DELETED", TRIM(CONCATENATE(F160,I160,U160)))</f>
        <v/>
      </c>
      <c r="AQ160" s="94" t="str">
        <f t="shared" si="200"/>
        <v/>
      </c>
      <c r="AR160" s="94" t="str">
        <f>IFERROR(__xludf.DUMMYFUNCTION("IF($AG160, ""DELETED"", TRIM(JOIN("" "",AP160,AQ160)))"),"")</f>
        <v/>
      </c>
      <c r="AS160" s="9"/>
      <c r="AT160" s="93" t="b">
        <f t="shared" si="12"/>
        <v>0</v>
      </c>
      <c r="AU160" s="93" t="str">
        <f t="shared" si="13"/>
        <v/>
      </c>
      <c r="AV160" s="93" t="str">
        <f t="shared" si="14"/>
        <v/>
      </c>
      <c r="AW160" s="93" t="str">
        <f t="shared" si="187"/>
        <v/>
      </c>
      <c r="AX160" s="107" t="str">
        <f t="shared" si="16"/>
        <v/>
      </c>
      <c r="AY160" s="98"/>
      <c r="AZ160" s="108"/>
      <c r="BA160" s="109" t="str">
        <f t="shared" si="17"/>
        <v/>
      </c>
      <c r="BB160" s="98"/>
      <c r="BC160" s="98"/>
      <c r="BD160" s="108"/>
      <c r="BE160" s="134"/>
      <c r="BF160" s="111" t="str">
        <f t="shared" si="18"/>
        <v/>
      </c>
      <c r="BG160" s="112" t="str">
        <f t="shared" si="19"/>
        <v>AG718__44713_0.179259259259259___Negative_44713_0.341481481481482_</v>
      </c>
      <c r="BH160" s="113" t="str">
        <f t="shared" si="20"/>
        <v/>
      </c>
      <c r="BI160" s="202"/>
      <c r="BJ160" s="114" t="str">
        <f t="shared" si="21"/>
        <v/>
      </c>
      <c r="BK160" s="115" t="b">
        <f t="shared" si="105"/>
        <v>0</v>
      </c>
      <c r="BL160" s="114" t="str">
        <f t="shared" si="23"/>
        <v/>
      </c>
      <c r="BM160" s="108"/>
      <c r="BN160" s="7" t="b">
        <f t="shared" si="24"/>
        <v>1</v>
      </c>
      <c r="BO160" s="7" t="b">
        <f t="shared" si="25"/>
        <v>0</v>
      </c>
      <c r="BP160" s="7" t="b">
        <f t="shared" si="26"/>
        <v>1</v>
      </c>
      <c r="BQ160" s="118"/>
      <c r="BR160" s="119" t="s">
        <v>228</v>
      </c>
      <c r="BS160" s="7" t="b">
        <f t="shared" si="27"/>
        <v>1</v>
      </c>
      <c r="BT160" s="7"/>
      <c r="BU160" s="7"/>
      <c r="BV160" s="7"/>
      <c r="BW160" s="7"/>
    </row>
    <row r="161">
      <c r="A161" s="86" t="s">
        <v>432</v>
      </c>
      <c r="B161" s="87">
        <v>44713.0</v>
      </c>
      <c r="C161" s="88">
        <v>0.1832175925925926</v>
      </c>
      <c r="D161" s="89"/>
      <c r="E161" s="89"/>
      <c r="F161" s="3"/>
      <c r="G161" s="120"/>
      <c r="H161" s="121"/>
      <c r="I161" s="89"/>
      <c r="J161" s="89"/>
      <c r="K161" s="89" t="s">
        <v>228</v>
      </c>
      <c r="L161" s="36">
        <v>44713.0</v>
      </c>
      <c r="M161" s="91">
        <v>0.3414814814814815</v>
      </c>
      <c r="N161" s="3"/>
      <c r="O161" s="92"/>
      <c r="P161" s="93" t="b">
        <f>IFNA(IF(VLOOKUP($A161,'Add from APT'!$AA$2:$AC264,3,FALSE)&gt;0,TRUE,FALSE),"ER - NOT IN APT")</f>
        <v>0</v>
      </c>
      <c r="Q161" s="94" t="str">
        <f>IF(ISLOGICAL(P161),IF(P161,"ER - REPS IN APT", IFNA(VLOOKUP($A161,RAW_APT!$A$3:$M264,7,FALSE),"ER - NOT IN APT")),P161)</f>
        <v>Result</v>
      </c>
      <c r="R161" s="95" t="b">
        <f t="shared" si="102"/>
        <v>1</v>
      </c>
      <c r="S161" s="96">
        <f t="shared" si="3"/>
        <v>1</v>
      </c>
      <c r="T161" s="103"/>
      <c r="U161" s="3"/>
      <c r="V161" s="3"/>
      <c r="W161" s="98"/>
      <c r="X161" s="99" t="b">
        <f t="shared" si="185"/>
        <v>0</v>
      </c>
      <c r="Y161" s="100"/>
      <c r="Z161" s="101" t="str">
        <f t="shared" si="5"/>
        <v/>
      </c>
      <c r="AA161" s="102" t="b">
        <f t="shared" si="6"/>
        <v>0</v>
      </c>
      <c r="AB161" s="98"/>
      <c r="AC161" s="103">
        <v>77.0</v>
      </c>
      <c r="AD161" s="104"/>
      <c r="AE161" s="105">
        <f t="shared" si="7"/>
        <v>227.9</v>
      </c>
      <c r="AF161" s="106" t="b">
        <f t="shared" si="103"/>
        <v>0</v>
      </c>
      <c r="AG161" s="93" t="b">
        <f t="shared" si="9"/>
        <v>0</v>
      </c>
      <c r="AH161" s="103"/>
      <c r="AI161" s="103"/>
      <c r="AJ161" s="97"/>
      <c r="AK161" s="101" t="str">
        <f t="shared" si="10"/>
        <v>Negative</v>
      </c>
      <c r="AL161" s="98"/>
      <c r="AM161" s="94" t="s">
        <v>414</v>
      </c>
      <c r="AN161" s="94" t="s">
        <v>415</v>
      </c>
      <c r="AO161" s="102" t="str">
        <f>IFERROR(__xludf.DUMMYFUNCTION("IF($AG161, ""DELETED"",TRIM(JOIN("" "",D161:E161)))"),"")</f>
        <v/>
      </c>
      <c r="AP161" s="94" t="str">
        <f t="shared" ref="AP161:AQ161" si="201">IF($AG161, "DELETED", TRIM(CONCATENATE(F161,I161,U161)))</f>
        <v/>
      </c>
      <c r="AQ161" s="94" t="str">
        <f t="shared" si="201"/>
        <v/>
      </c>
      <c r="AR161" s="94" t="str">
        <f>IFERROR(__xludf.DUMMYFUNCTION("IF($AG161, ""DELETED"", TRIM(JOIN("" "",AP161,AQ161)))"),"")</f>
        <v/>
      </c>
      <c r="AS161" s="9"/>
      <c r="AT161" s="93" t="b">
        <f t="shared" si="12"/>
        <v>0</v>
      </c>
      <c r="AU161" s="93" t="str">
        <f t="shared" si="13"/>
        <v/>
      </c>
      <c r="AV161" s="93" t="str">
        <f t="shared" si="14"/>
        <v/>
      </c>
      <c r="AW161" s="93" t="str">
        <f t="shared" si="187"/>
        <v/>
      </c>
      <c r="AX161" s="107" t="str">
        <f t="shared" si="16"/>
        <v/>
      </c>
      <c r="AY161" s="98"/>
      <c r="AZ161" s="108"/>
      <c r="BA161" s="109" t="str">
        <f t="shared" si="17"/>
        <v/>
      </c>
      <c r="BB161" s="98"/>
      <c r="BC161" s="98"/>
      <c r="BD161" s="108"/>
      <c r="BE161" s="134"/>
      <c r="BF161" s="111" t="str">
        <f t="shared" si="18"/>
        <v/>
      </c>
      <c r="BG161" s="112" t="str">
        <f t="shared" si="19"/>
        <v>AH1486__44713_0.183217592592593___Negative_44713_0.341481481481482_</v>
      </c>
      <c r="BH161" s="113" t="str">
        <f t="shared" si="20"/>
        <v/>
      </c>
      <c r="BI161" s="202"/>
      <c r="BJ161" s="114" t="str">
        <f t="shared" si="21"/>
        <v/>
      </c>
      <c r="BK161" s="115" t="b">
        <f t="shared" si="105"/>
        <v>0</v>
      </c>
      <c r="BL161" s="114" t="str">
        <f t="shared" si="23"/>
        <v/>
      </c>
      <c r="BM161" s="108"/>
      <c r="BN161" s="7" t="b">
        <f t="shared" si="24"/>
        <v>1</v>
      </c>
      <c r="BO161" s="7" t="b">
        <f t="shared" si="25"/>
        <v>0</v>
      </c>
      <c r="BP161" s="7" t="b">
        <f t="shared" si="26"/>
        <v>1</v>
      </c>
      <c r="BQ161" s="118"/>
      <c r="BR161" s="119" t="s">
        <v>228</v>
      </c>
      <c r="BS161" s="7" t="b">
        <f t="shared" si="27"/>
        <v>1</v>
      </c>
      <c r="BT161" s="7"/>
      <c r="BU161" s="7"/>
      <c r="BV161" s="7"/>
      <c r="BW161" s="7"/>
    </row>
    <row r="162">
      <c r="A162" s="86" t="s">
        <v>433</v>
      </c>
      <c r="B162" s="87">
        <v>44713.0</v>
      </c>
      <c r="C162" s="88">
        <v>0.19666666666666666</v>
      </c>
      <c r="D162" s="89"/>
      <c r="E162" s="89"/>
      <c r="F162" s="89"/>
      <c r="G162" s="86"/>
      <c r="H162" s="90"/>
      <c r="I162" s="3"/>
      <c r="J162" s="3"/>
      <c r="K162" s="89" t="s">
        <v>228</v>
      </c>
      <c r="L162" s="36">
        <v>44713.0</v>
      </c>
      <c r="M162" s="91">
        <v>0.34149305555555554</v>
      </c>
      <c r="N162" s="121"/>
      <c r="O162" s="92"/>
      <c r="P162" s="93" t="b">
        <f>IFNA(IF(VLOOKUP($A162,'Add from APT'!$AA$2:$AC264,3,FALSE)&gt;0,TRUE,FALSE),"ER - NOT IN APT")</f>
        <v>0</v>
      </c>
      <c r="Q162" s="94" t="str">
        <f>IF(ISLOGICAL(P162),IF(P162,"ER - REPS IN APT", IFNA(VLOOKUP($A162,RAW_APT!$A$3:$M264,7,FALSE),"ER - NOT IN APT")),P162)</f>
        <v>Result</v>
      </c>
      <c r="R162" s="95" t="b">
        <f t="shared" si="102"/>
        <v>1</v>
      </c>
      <c r="S162" s="96">
        <f t="shared" si="3"/>
        <v>2</v>
      </c>
      <c r="T162" s="97"/>
      <c r="U162" s="3"/>
      <c r="V162" s="3"/>
      <c r="W162" s="98"/>
      <c r="X162" s="99" t="b">
        <f t="shared" si="185"/>
        <v>0</v>
      </c>
      <c r="Y162" s="100"/>
      <c r="Z162" s="101" t="str">
        <f t="shared" si="5"/>
        <v/>
      </c>
      <c r="AA162" s="102" t="b">
        <f t="shared" si="6"/>
        <v>0</v>
      </c>
      <c r="AB162" s="98"/>
      <c r="AC162" s="103">
        <v>79.0</v>
      </c>
      <c r="AD162" s="104"/>
      <c r="AE162" s="105">
        <f t="shared" si="7"/>
        <v>208.55</v>
      </c>
      <c r="AF162" s="106" t="b">
        <f t="shared" si="103"/>
        <v>0</v>
      </c>
      <c r="AG162" s="93" t="b">
        <f t="shared" si="9"/>
        <v>0</v>
      </c>
      <c r="AH162" s="103"/>
      <c r="AI162" s="103"/>
      <c r="AJ162" s="97"/>
      <c r="AK162" s="101" t="str">
        <f t="shared" si="10"/>
        <v>Negative</v>
      </c>
      <c r="AL162" s="98"/>
      <c r="AM162" s="94" t="s">
        <v>332</v>
      </c>
      <c r="AN162" s="94" t="s">
        <v>335</v>
      </c>
      <c r="AO162" s="102" t="str">
        <f>IFERROR(__xludf.DUMMYFUNCTION("IF($AG162, ""DELETED"",TRIM(JOIN("" "",D162:E162)))"),"")</f>
        <v/>
      </c>
      <c r="AP162" s="94" t="str">
        <f t="shared" ref="AP162:AQ162" si="202">IF($AG162, "DELETED", TRIM(CONCATENATE(F162,I162,U162)))</f>
        <v/>
      </c>
      <c r="AQ162" s="94" t="str">
        <f t="shared" si="202"/>
        <v/>
      </c>
      <c r="AR162" s="94" t="str">
        <f>IFERROR(__xludf.DUMMYFUNCTION("IF($AG162, ""DELETED"", TRIM(JOIN("" "",AP162,AQ162)))"),"")</f>
        <v/>
      </c>
      <c r="AS162" s="9"/>
      <c r="AT162" s="93" t="b">
        <f t="shared" si="12"/>
        <v>0</v>
      </c>
      <c r="AU162" s="93" t="str">
        <f t="shared" si="13"/>
        <v/>
      </c>
      <c r="AV162" s="93" t="str">
        <f t="shared" si="14"/>
        <v/>
      </c>
      <c r="AW162" s="93" t="str">
        <f t="shared" si="187"/>
        <v/>
      </c>
      <c r="AX162" s="107" t="str">
        <f t="shared" si="16"/>
        <v/>
      </c>
      <c r="AY162" s="98"/>
      <c r="AZ162" s="108"/>
      <c r="BA162" s="109" t="str">
        <f t="shared" si="17"/>
        <v/>
      </c>
      <c r="BB162" s="98"/>
      <c r="BC162" s="98"/>
      <c r="BD162" s="108"/>
      <c r="BE162" s="134"/>
      <c r="BF162" s="111" t="str">
        <f t="shared" si="18"/>
        <v/>
      </c>
      <c r="BG162" s="112" t="str">
        <f t="shared" si="19"/>
        <v>AH7650__44713_0.196666666666667___Negative_44713_0.341493055555556_</v>
      </c>
      <c r="BH162" s="113" t="str">
        <f t="shared" si="20"/>
        <v/>
      </c>
      <c r="BI162" s="202"/>
      <c r="BJ162" s="114" t="str">
        <f t="shared" si="21"/>
        <v/>
      </c>
      <c r="BK162" s="115" t="b">
        <f t="shared" si="105"/>
        <v>0</v>
      </c>
      <c r="BL162" s="114" t="str">
        <f t="shared" si="23"/>
        <v/>
      </c>
      <c r="BM162" s="108"/>
      <c r="BN162" s="7" t="b">
        <f t="shared" si="24"/>
        <v>1</v>
      </c>
      <c r="BO162" s="7" t="b">
        <f t="shared" si="25"/>
        <v>0</v>
      </c>
      <c r="BP162" s="7" t="b">
        <f t="shared" si="26"/>
        <v>1</v>
      </c>
      <c r="BQ162" s="118"/>
      <c r="BR162" s="119" t="s">
        <v>228</v>
      </c>
      <c r="BS162" s="7" t="b">
        <f t="shared" si="27"/>
        <v>1</v>
      </c>
      <c r="BT162" s="7"/>
      <c r="BU162" s="7"/>
      <c r="BV162" s="7"/>
      <c r="BW162" s="7"/>
    </row>
    <row r="163">
      <c r="A163" s="86" t="s">
        <v>433</v>
      </c>
      <c r="B163" s="87">
        <v>44713.0</v>
      </c>
      <c r="C163" s="88">
        <v>0.19666666666666666</v>
      </c>
      <c r="D163" s="89"/>
      <c r="E163" s="89"/>
      <c r="F163" s="89"/>
      <c r="G163" s="86"/>
      <c r="H163" s="90"/>
      <c r="I163" s="3"/>
      <c r="J163" s="3"/>
      <c r="K163" s="89" t="s">
        <v>228</v>
      </c>
      <c r="L163" s="36">
        <v>44713.0</v>
      </c>
      <c r="M163" s="91">
        <v>0.34149305555555554</v>
      </c>
      <c r="N163" s="121"/>
      <c r="O163" s="92"/>
      <c r="P163" s="93" t="b">
        <f>IFNA(IF(VLOOKUP($A163,'Add from APT'!$AA$2:$AC264,3,FALSE)&gt;0,TRUE,FALSE),"ER - NOT IN APT")</f>
        <v>0</v>
      </c>
      <c r="Q163" s="94" t="str">
        <f>IF(ISLOGICAL(P163),IF(P163,"ER - REPS IN APT", IFNA(VLOOKUP($A163,RAW_APT!$A$3:$M264,7,FALSE),"ER - NOT IN APT")),P163)</f>
        <v>Result</v>
      </c>
      <c r="R163" s="95" t="b">
        <f t="shared" si="102"/>
        <v>0</v>
      </c>
      <c r="S163" s="96">
        <f t="shared" si="3"/>
        <v>2</v>
      </c>
      <c r="T163" s="103"/>
      <c r="U163" s="3"/>
      <c r="V163" s="3"/>
      <c r="W163" s="98"/>
      <c r="X163" s="99" t="b">
        <f t="shared" si="185"/>
        <v>0</v>
      </c>
      <c r="Y163" s="100"/>
      <c r="Z163" s="101" t="str">
        <f t="shared" si="5"/>
        <v/>
      </c>
      <c r="AA163" s="102" t="b">
        <f t="shared" si="6"/>
        <v>0</v>
      </c>
      <c r="AB163" s="98"/>
      <c r="AC163" s="103">
        <v>78.0</v>
      </c>
      <c r="AD163" s="104"/>
      <c r="AE163" s="105">
        <f t="shared" si="7"/>
        <v>208.55</v>
      </c>
      <c r="AF163" s="106" t="b">
        <f t="shared" si="103"/>
        <v>0</v>
      </c>
      <c r="AG163" s="93" t="b">
        <f t="shared" si="9"/>
        <v>0</v>
      </c>
      <c r="AH163" s="103"/>
      <c r="AI163" s="103"/>
      <c r="AJ163" s="97"/>
      <c r="AK163" s="101" t="str">
        <f t="shared" si="10"/>
        <v>Negative</v>
      </c>
      <c r="AL163" s="98"/>
      <c r="AM163" s="94" t="s">
        <v>332</v>
      </c>
      <c r="AN163" s="94" t="s">
        <v>339</v>
      </c>
      <c r="AO163" s="102" t="str">
        <f>IFERROR(__xludf.DUMMYFUNCTION("IF($AG163, ""DELETED"",TRIM(JOIN("" "",D163:E163)))"),"")</f>
        <v/>
      </c>
      <c r="AP163" s="94" t="str">
        <f t="shared" ref="AP163:AQ163" si="203">IF($AG163, "DELETED", TRIM(CONCATENATE(F163,I163,U163)))</f>
        <v/>
      </c>
      <c r="AQ163" s="94" t="str">
        <f t="shared" si="203"/>
        <v/>
      </c>
      <c r="AR163" s="94" t="str">
        <f>IFERROR(__xludf.DUMMYFUNCTION("IF($AG163, ""DELETED"", TRIM(JOIN("" "",AP163,AQ163)))"),"")</f>
        <v/>
      </c>
      <c r="AS163" s="9"/>
      <c r="AT163" s="93" t="b">
        <f t="shared" si="12"/>
        <v>0</v>
      </c>
      <c r="AU163" s="93" t="str">
        <f t="shared" si="13"/>
        <v/>
      </c>
      <c r="AV163" s="93" t="str">
        <f t="shared" si="14"/>
        <v/>
      </c>
      <c r="AW163" s="93" t="str">
        <f t="shared" si="187"/>
        <v/>
      </c>
      <c r="AX163" s="107" t="str">
        <f t="shared" si="16"/>
        <v/>
      </c>
      <c r="AY163" s="98"/>
      <c r="AZ163" s="108"/>
      <c r="BA163" s="109" t="str">
        <f t="shared" si="17"/>
        <v/>
      </c>
      <c r="BB163" s="98"/>
      <c r="BC163" s="98"/>
      <c r="BD163" s="108"/>
      <c r="BE163" s="134"/>
      <c r="BF163" s="111" t="str">
        <f t="shared" si="18"/>
        <v/>
      </c>
      <c r="BG163" s="112" t="str">
        <f t="shared" si="19"/>
        <v>AH7650__44713_0.196666666666667___Negative_44713_0.341493055555556_</v>
      </c>
      <c r="BH163" s="113" t="str">
        <f t="shared" si="20"/>
        <v/>
      </c>
      <c r="BI163" s="202"/>
      <c r="BJ163" s="114" t="str">
        <f t="shared" si="21"/>
        <v/>
      </c>
      <c r="BK163" s="115" t="b">
        <f t="shared" si="105"/>
        <v>0</v>
      </c>
      <c r="BL163" s="114" t="str">
        <f t="shared" si="23"/>
        <v/>
      </c>
      <c r="BM163" s="108"/>
      <c r="BN163" s="7" t="b">
        <f t="shared" si="24"/>
        <v>1</v>
      </c>
      <c r="BO163" s="7" t="b">
        <f t="shared" si="25"/>
        <v>0</v>
      </c>
      <c r="BP163" s="7" t="b">
        <f t="shared" si="26"/>
        <v>1</v>
      </c>
      <c r="BQ163" s="118"/>
      <c r="BR163" s="119" t="s">
        <v>228</v>
      </c>
      <c r="BS163" s="7" t="b">
        <f t="shared" si="27"/>
        <v>1</v>
      </c>
      <c r="BT163" s="7"/>
      <c r="BU163" s="7"/>
      <c r="BV163" s="7"/>
      <c r="BW163" s="7"/>
    </row>
    <row r="164">
      <c r="A164" s="86" t="s">
        <v>434</v>
      </c>
      <c r="B164" s="87">
        <v>44713.0</v>
      </c>
      <c r="C164" s="88">
        <v>0.1976388888888889</v>
      </c>
      <c r="D164" s="89"/>
      <c r="E164" s="89"/>
      <c r="F164" s="89"/>
      <c r="G164" s="86"/>
      <c r="H164" s="89"/>
      <c r="I164" s="121"/>
      <c r="J164" s="3"/>
      <c r="K164" s="89" t="s">
        <v>228</v>
      </c>
      <c r="L164" s="36">
        <v>44713.0</v>
      </c>
      <c r="M164" s="91">
        <v>0.34149305555555554</v>
      </c>
      <c r="N164" s="3"/>
      <c r="O164" s="92"/>
      <c r="P164" s="93" t="b">
        <f>IFNA(IF(VLOOKUP($A164,'Add from APT'!$AA$2:$AC264,3,FALSE)&gt;0,TRUE,FALSE),"ER - NOT IN APT")</f>
        <v>0</v>
      </c>
      <c r="Q164" s="94" t="str">
        <f>IF(ISLOGICAL(P164),IF(P164,"ER - REPS IN APT", IFNA(VLOOKUP($A164,RAW_APT!$A$3:$M264,7,FALSE),"ER - NOT IN APT")),P164)</f>
        <v>Result</v>
      </c>
      <c r="R164" s="95" t="b">
        <f t="shared" si="102"/>
        <v>1</v>
      </c>
      <c r="S164" s="96">
        <f t="shared" si="3"/>
        <v>4</v>
      </c>
      <c r="T164" s="97"/>
      <c r="U164" s="3"/>
      <c r="V164" s="3"/>
      <c r="W164" s="98"/>
      <c r="X164" s="99" t="b">
        <f t="shared" si="185"/>
        <v>0</v>
      </c>
      <c r="Y164" s="100"/>
      <c r="Z164" s="101" t="str">
        <f t="shared" si="5"/>
        <v/>
      </c>
      <c r="AA164" s="102" t="b">
        <f t="shared" si="6"/>
        <v>0</v>
      </c>
      <c r="AB164" s="98"/>
      <c r="AC164" s="103">
        <v>81.0</v>
      </c>
      <c r="AD164" s="104"/>
      <c r="AE164" s="105">
        <f t="shared" si="7"/>
        <v>207.15</v>
      </c>
      <c r="AF164" s="106" t="b">
        <f t="shared" si="103"/>
        <v>0</v>
      </c>
      <c r="AG164" s="93" t="b">
        <f t="shared" si="9"/>
        <v>0</v>
      </c>
      <c r="AH164" s="103"/>
      <c r="AI164" s="103"/>
      <c r="AJ164" s="97"/>
      <c r="AK164" s="101" t="str">
        <f t="shared" si="10"/>
        <v>Negative</v>
      </c>
      <c r="AL164" s="98"/>
      <c r="AM164" s="94" t="s">
        <v>322</v>
      </c>
      <c r="AN164" s="94" t="s">
        <v>325</v>
      </c>
      <c r="AO164" s="102" t="str">
        <f>IFERROR(__xludf.DUMMYFUNCTION("IF($AG164, ""DELETED"",TRIM(JOIN("" "",D164:E164)))"),"")</f>
        <v/>
      </c>
      <c r="AP164" s="94" t="str">
        <f t="shared" ref="AP164:AQ164" si="204">IF($AG164, "DELETED", TRIM(CONCATENATE(F164,I164,U164)))</f>
        <v/>
      </c>
      <c r="AQ164" s="94" t="str">
        <f t="shared" si="204"/>
        <v/>
      </c>
      <c r="AR164" s="94" t="str">
        <f>IFERROR(__xludf.DUMMYFUNCTION("IF($AG164, ""DELETED"", TRIM(JOIN("" "",AP164,AQ164)))"),"")</f>
        <v/>
      </c>
      <c r="AS164" s="9"/>
      <c r="AT164" s="93" t="b">
        <f t="shared" si="12"/>
        <v>0</v>
      </c>
      <c r="AU164" s="93" t="str">
        <f t="shared" si="13"/>
        <v/>
      </c>
      <c r="AV164" s="93" t="str">
        <f t="shared" si="14"/>
        <v/>
      </c>
      <c r="AW164" s="93" t="str">
        <f t="shared" si="187"/>
        <v/>
      </c>
      <c r="AX164" s="107" t="str">
        <f t="shared" si="16"/>
        <v/>
      </c>
      <c r="AY164" s="98"/>
      <c r="AZ164" s="108"/>
      <c r="BA164" s="109" t="str">
        <f t="shared" si="17"/>
        <v/>
      </c>
      <c r="BB164" s="98"/>
      <c r="BC164" s="98"/>
      <c r="BD164" s="108"/>
      <c r="BE164" s="143"/>
      <c r="BF164" s="111" t="str">
        <f t="shared" si="18"/>
        <v/>
      </c>
      <c r="BG164" s="112" t="str">
        <f t="shared" si="19"/>
        <v>AK6972__44713_0.197638888888889___Negative_44713_0.341493055555556_</v>
      </c>
      <c r="BH164" s="113" t="str">
        <f t="shared" si="20"/>
        <v/>
      </c>
      <c r="BI164" s="203"/>
      <c r="BJ164" s="114" t="str">
        <f t="shared" si="21"/>
        <v/>
      </c>
      <c r="BK164" s="115" t="b">
        <f t="shared" si="105"/>
        <v>0</v>
      </c>
      <c r="BL164" s="114" t="str">
        <f t="shared" si="23"/>
        <v/>
      </c>
      <c r="BM164" s="108"/>
      <c r="BN164" s="7" t="b">
        <f t="shared" si="24"/>
        <v>1</v>
      </c>
      <c r="BO164" s="7" t="b">
        <f t="shared" si="25"/>
        <v>0</v>
      </c>
      <c r="BP164" s="7" t="b">
        <f t="shared" si="26"/>
        <v>1</v>
      </c>
      <c r="BQ164" s="118"/>
      <c r="BR164" s="119" t="s">
        <v>228</v>
      </c>
      <c r="BS164" s="7" t="b">
        <f t="shared" si="27"/>
        <v>1</v>
      </c>
      <c r="BT164" s="7"/>
      <c r="BU164" s="7"/>
      <c r="BV164" s="7"/>
      <c r="BW164" s="7"/>
    </row>
    <row r="165">
      <c r="A165" s="86" t="s">
        <v>434</v>
      </c>
      <c r="B165" s="87">
        <v>44713.0</v>
      </c>
      <c r="C165" s="88">
        <v>0.1976388888888889</v>
      </c>
      <c r="D165" s="89"/>
      <c r="E165" s="89"/>
      <c r="F165" s="89"/>
      <c r="G165" s="86"/>
      <c r="H165" s="90"/>
      <c r="I165" s="3"/>
      <c r="J165" s="3"/>
      <c r="K165" s="89" t="s">
        <v>228</v>
      </c>
      <c r="L165" s="36">
        <v>44713.0</v>
      </c>
      <c r="M165" s="91">
        <v>0.34149305555555554</v>
      </c>
      <c r="N165" s="3"/>
      <c r="O165" s="92"/>
      <c r="P165" s="93" t="b">
        <f>IFNA(IF(VLOOKUP($A165,'Add from APT'!$AA$2:$AC264,3,FALSE)&gt;0,TRUE,FALSE),"ER - NOT IN APT")</f>
        <v>0</v>
      </c>
      <c r="Q165" s="94" t="str">
        <f>IF(ISLOGICAL(P165),IF(P165,"ER - REPS IN APT", IFNA(VLOOKUP($A165,RAW_APT!$A$3:$M264,7,FALSE),"ER - NOT IN APT")),P165)</f>
        <v>Result</v>
      </c>
      <c r="R165" s="95" t="b">
        <f t="shared" si="102"/>
        <v>0</v>
      </c>
      <c r="S165" s="96">
        <f t="shared" si="3"/>
        <v>4</v>
      </c>
      <c r="T165" s="97"/>
      <c r="U165" s="3"/>
      <c r="V165" s="3"/>
      <c r="W165" s="98"/>
      <c r="X165" s="99" t="b">
        <f t="shared" si="185"/>
        <v>0</v>
      </c>
      <c r="Y165" s="100"/>
      <c r="Z165" s="101" t="str">
        <f t="shared" si="5"/>
        <v/>
      </c>
      <c r="AA165" s="102" t="b">
        <f t="shared" si="6"/>
        <v>0</v>
      </c>
      <c r="AB165" s="98"/>
      <c r="AC165" s="103">
        <v>80.0</v>
      </c>
      <c r="AD165" s="104"/>
      <c r="AE165" s="105">
        <f t="shared" si="7"/>
        <v>207.15</v>
      </c>
      <c r="AF165" s="106" t="b">
        <f t="shared" si="103"/>
        <v>0</v>
      </c>
      <c r="AG165" s="93" t="b">
        <f t="shared" si="9"/>
        <v>0</v>
      </c>
      <c r="AH165" s="103"/>
      <c r="AI165" s="103"/>
      <c r="AJ165" s="97"/>
      <c r="AK165" s="101" t="str">
        <f t="shared" si="10"/>
        <v>Negative</v>
      </c>
      <c r="AL165" s="98"/>
      <c r="AM165" s="94" t="s">
        <v>322</v>
      </c>
      <c r="AN165" s="94" t="s">
        <v>327</v>
      </c>
      <c r="AO165" s="102" t="str">
        <f>IFERROR(__xludf.DUMMYFUNCTION("IF($AG165, ""DELETED"",TRIM(JOIN("" "",D165:E165)))"),"")</f>
        <v/>
      </c>
      <c r="AP165" s="94" t="str">
        <f t="shared" ref="AP165:AQ165" si="205">IF($AG165, "DELETED", TRIM(CONCATENATE(F165,I165,U165)))</f>
        <v/>
      </c>
      <c r="AQ165" s="94" t="str">
        <f t="shared" si="205"/>
        <v/>
      </c>
      <c r="AR165" s="94" t="str">
        <f>IFERROR(__xludf.DUMMYFUNCTION("IF($AG165, ""DELETED"", TRIM(JOIN("" "",AP165,AQ165)))"),"")</f>
        <v/>
      </c>
      <c r="AS165" s="9"/>
      <c r="AT165" s="93" t="b">
        <f t="shared" si="12"/>
        <v>0</v>
      </c>
      <c r="AU165" s="93" t="str">
        <f t="shared" si="13"/>
        <v/>
      </c>
      <c r="AV165" s="93" t="str">
        <f t="shared" si="14"/>
        <v/>
      </c>
      <c r="AW165" s="93" t="str">
        <f t="shared" si="187"/>
        <v/>
      </c>
      <c r="AX165" s="107" t="str">
        <f t="shared" si="16"/>
        <v/>
      </c>
      <c r="AY165" s="98"/>
      <c r="AZ165" s="108"/>
      <c r="BA165" s="109" t="str">
        <f t="shared" si="17"/>
        <v/>
      </c>
      <c r="BB165" s="98"/>
      <c r="BC165" s="98"/>
      <c r="BD165" s="108"/>
      <c r="BE165" s="134"/>
      <c r="BF165" s="111" t="str">
        <f t="shared" si="18"/>
        <v/>
      </c>
      <c r="BG165" s="112" t="str">
        <f t="shared" si="19"/>
        <v>AK6972__44713_0.197638888888889___Negative_44713_0.341493055555556_</v>
      </c>
      <c r="BH165" s="113" t="str">
        <f t="shared" si="20"/>
        <v/>
      </c>
      <c r="BI165" s="202"/>
      <c r="BJ165" s="114" t="str">
        <f t="shared" si="21"/>
        <v/>
      </c>
      <c r="BK165" s="115" t="b">
        <f t="shared" si="105"/>
        <v>0</v>
      </c>
      <c r="BL165" s="114" t="str">
        <f t="shared" si="23"/>
        <v/>
      </c>
      <c r="BM165" s="108"/>
      <c r="BN165" s="7" t="b">
        <f t="shared" si="24"/>
        <v>1</v>
      </c>
      <c r="BO165" s="7" t="b">
        <f t="shared" si="25"/>
        <v>0</v>
      </c>
      <c r="BP165" s="7" t="b">
        <f t="shared" si="26"/>
        <v>1</v>
      </c>
      <c r="BQ165" s="118"/>
      <c r="BR165" s="119" t="s">
        <v>228</v>
      </c>
      <c r="BS165" s="7" t="b">
        <f t="shared" si="27"/>
        <v>1</v>
      </c>
      <c r="BT165" s="7"/>
      <c r="BU165" s="7"/>
      <c r="BV165" s="7"/>
      <c r="BW165" s="7"/>
    </row>
    <row r="166">
      <c r="A166" s="86" t="s">
        <v>434</v>
      </c>
      <c r="B166" s="87">
        <v>44713.0</v>
      </c>
      <c r="C166" s="88">
        <v>0.1976388888888889</v>
      </c>
      <c r="D166" s="89"/>
      <c r="E166" s="89"/>
      <c r="F166" s="3"/>
      <c r="G166" s="120"/>
      <c r="H166" s="3"/>
      <c r="I166" s="89"/>
      <c r="J166" s="89"/>
      <c r="K166" s="89" t="s">
        <v>228</v>
      </c>
      <c r="L166" s="36">
        <v>44713.0</v>
      </c>
      <c r="M166" s="91">
        <v>0.34149305555555554</v>
      </c>
      <c r="N166" s="3"/>
      <c r="O166" s="92"/>
      <c r="P166" s="93" t="b">
        <f>IFNA(IF(VLOOKUP($A166,'Add from APT'!$AA$2:$AC264,3,FALSE)&gt;0,TRUE,FALSE),"ER - NOT IN APT")</f>
        <v>0</v>
      </c>
      <c r="Q166" s="94" t="str">
        <f>IF(ISLOGICAL(P166),IF(P166,"ER - REPS IN APT", IFNA(VLOOKUP($A166,RAW_APT!$A$3:$M264,7,FALSE),"ER - NOT IN APT")),P166)</f>
        <v>Result</v>
      </c>
      <c r="R166" s="95" t="b">
        <f t="shared" si="102"/>
        <v>0</v>
      </c>
      <c r="S166" s="96">
        <f t="shared" si="3"/>
        <v>4</v>
      </c>
      <c r="T166" s="97"/>
      <c r="U166" s="3"/>
      <c r="V166" s="3"/>
      <c r="W166" s="98"/>
      <c r="X166" s="99" t="b">
        <f t="shared" si="185"/>
        <v>0</v>
      </c>
      <c r="Y166" s="100"/>
      <c r="Z166" s="101" t="str">
        <f t="shared" si="5"/>
        <v/>
      </c>
      <c r="AA166" s="102" t="b">
        <f t="shared" si="6"/>
        <v>0</v>
      </c>
      <c r="AB166" s="98"/>
      <c r="AC166" s="103">
        <v>82.0</v>
      </c>
      <c r="AD166" s="104"/>
      <c r="AE166" s="105">
        <f t="shared" si="7"/>
        <v>207.15</v>
      </c>
      <c r="AF166" s="106" t="b">
        <f t="shared" si="103"/>
        <v>0</v>
      </c>
      <c r="AG166" s="93" t="b">
        <f t="shared" si="9"/>
        <v>0</v>
      </c>
      <c r="AH166" s="103"/>
      <c r="AI166" s="103"/>
      <c r="AJ166" s="97"/>
      <c r="AK166" s="101" t="str">
        <f t="shared" si="10"/>
        <v>Negative</v>
      </c>
      <c r="AL166" s="98"/>
      <c r="AM166" s="94" t="s">
        <v>322</v>
      </c>
      <c r="AN166" s="94" t="s">
        <v>393</v>
      </c>
      <c r="AO166" s="102" t="str">
        <f>IFERROR(__xludf.DUMMYFUNCTION("IF($AG166, ""DELETED"",TRIM(JOIN("" "",D166:E166)))"),"")</f>
        <v/>
      </c>
      <c r="AP166" s="94" t="str">
        <f t="shared" ref="AP166:AQ166" si="206">IF($AG166, "DELETED", TRIM(CONCATENATE(F166,I166,U166)))</f>
        <v/>
      </c>
      <c r="AQ166" s="94" t="str">
        <f t="shared" si="206"/>
        <v/>
      </c>
      <c r="AR166" s="94" t="str">
        <f>IFERROR(__xludf.DUMMYFUNCTION("IF($AG166, ""DELETED"", TRIM(JOIN("" "",AP166,AQ166)))"),"")</f>
        <v/>
      </c>
      <c r="AS166" s="9"/>
      <c r="AT166" s="93" t="b">
        <f t="shared" si="12"/>
        <v>0</v>
      </c>
      <c r="AU166" s="93" t="str">
        <f t="shared" si="13"/>
        <v/>
      </c>
      <c r="AV166" s="93" t="str">
        <f t="shared" si="14"/>
        <v/>
      </c>
      <c r="AW166" s="93" t="str">
        <f t="shared" si="187"/>
        <v/>
      </c>
      <c r="AX166" s="107" t="str">
        <f t="shared" si="16"/>
        <v/>
      </c>
      <c r="AY166" s="98"/>
      <c r="AZ166" s="108"/>
      <c r="BA166" s="109" t="str">
        <f t="shared" si="17"/>
        <v/>
      </c>
      <c r="BB166" s="98"/>
      <c r="BC166" s="98"/>
      <c r="BD166" s="108"/>
      <c r="BE166" s="134"/>
      <c r="BF166" s="111" t="str">
        <f t="shared" si="18"/>
        <v/>
      </c>
      <c r="BG166" s="112" t="str">
        <f t="shared" si="19"/>
        <v>AK6972__44713_0.197638888888889___Negative_44713_0.341493055555556_</v>
      </c>
      <c r="BH166" s="113" t="str">
        <f t="shared" si="20"/>
        <v/>
      </c>
      <c r="BI166" s="202"/>
      <c r="BJ166" s="114" t="str">
        <f t="shared" si="21"/>
        <v/>
      </c>
      <c r="BK166" s="115" t="b">
        <f t="shared" si="105"/>
        <v>0</v>
      </c>
      <c r="BL166" s="114" t="str">
        <f t="shared" si="23"/>
        <v/>
      </c>
      <c r="BM166" s="108"/>
      <c r="BN166" s="7" t="b">
        <f t="shared" si="24"/>
        <v>1</v>
      </c>
      <c r="BO166" s="7" t="b">
        <f t="shared" si="25"/>
        <v>0</v>
      </c>
      <c r="BP166" s="7" t="b">
        <f t="shared" si="26"/>
        <v>1</v>
      </c>
      <c r="BQ166" s="118"/>
      <c r="BR166" s="119" t="s">
        <v>228</v>
      </c>
      <c r="BS166" s="7" t="b">
        <f t="shared" si="27"/>
        <v>1</v>
      </c>
      <c r="BT166" s="7"/>
      <c r="BU166" s="7"/>
      <c r="BV166" s="7"/>
      <c r="BW166" s="7"/>
    </row>
    <row r="167">
      <c r="A167" s="86" t="s">
        <v>434</v>
      </c>
      <c r="B167" s="87">
        <v>44713.0</v>
      </c>
      <c r="C167" s="88">
        <v>0.1976388888888889</v>
      </c>
      <c r="D167" s="89"/>
      <c r="E167" s="89"/>
      <c r="F167" s="3"/>
      <c r="G167" s="120"/>
      <c r="H167" s="121"/>
      <c r="I167" s="89"/>
      <c r="J167" s="89"/>
      <c r="K167" s="89" t="s">
        <v>228</v>
      </c>
      <c r="L167" s="36">
        <v>44713.0</v>
      </c>
      <c r="M167" s="91">
        <v>0.34149305555555554</v>
      </c>
      <c r="N167" s="3"/>
      <c r="O167" s="92"/>
      <c r="P167" s="93" t="b">
        <f>IFNA(IF(VLOOKUP($A167,'Add from APT'!$AA$2:$AC264,3,FALSE)&gt;0,TRUE,FALSE),"ER - NOT IN APT")</f>
        <v>0</v>
      </c>
      <c r="Q167" s="94" t="str">
        <f>IF(ISLOGICAL(P167),IF(P167,"ER - REPS IN APT", IFNA(VLOOKUP($A167,RAW_APT!$A$3:$M264,7,FALSE),"ER - NOT IN APT")),P167)</f>
        <v>Result</v>
      </c>
      <c r="R167" s="95" t="b">
        <f t="shared" si="102"/>
        <v>0</v>
      </c>
      <c r="S167" s="96">
        <f t="shared" si="3"/>
        <v>4</v>
      </c>
      <c r="T167" s="97"/>
      <c r="U167" s="3"/>
      <c r="V167" s="3"/>
      <c r="W167" s="98"/>
      <c r="X167" s="99" t="b">
        <f t="shared" si="185"/>
        <v>0</v>
      </c>
      <c r="Y167" s="100"/>
      <c r="Z167" s="101" t="str">
        <f t="shared" si="5"/>
        <v/>
      </c>
      <c r="AA167" s="102" t="b">
        <f t="shared" si="6"/>
        <v>0</v>
      </c>
      <c r="AB167" s="98"/>
      <c r="AC167" s="103">
        <v>83.0</v>
      </c>
      <c r="AD167" s="104"/>
      <c r="AE167" s="105">
        <f t="shared" si="7"/>
        <v>207.15</v>
      </c>
      <c r="AF167" s="106" t="b">
        <f t="shared" si="103"/>
        <v>0</v>
      </c>
      <c r="AG167" s="93" t="b">
        <f t="shared" si="9"/>
        <v>0</v>
      </c>
      <c r="AH167" s="103"/>
      <c r="AI167" s="103"/>
      <c r="AJ167" s="97"/>
      <c r="AK167" s="101" t="str">
        <f t="shared" si="10"/>
        <v>Negative</v>
      </c>
      <c r="AL167" s="98"/>
      <c r="AM167" s="94" t="s">
        <v>322</v>
      </c>
      <c r="AN167" s="94" t="s">
        <v>329</v>
      </c>
      <c r="AO167" s="102" t="str">
        <f>IFERROR(__xludf.DUMMYFUNCTION("IF($AG167, ""DELETED"",TRIM(JOIN("" "",D167:E167)))"),"")</f>
        <v/>
      </c>
      <c r="AP167" s="94" t="str">
        <f t="shared" ref="AP167:AQ167" si="207">IF($AG167, "DELETED", TRIM(CONCATENATE(F167,I167,U167)))</f>
        <v/>
      </c>
      <c r="AQ167" s="94" t="str">
        <f t="shared" si="207"/>
        <v/>
      </c>
      <c r="AR167" s="94" t="str">
        <f>IFERROR(__xludf.DUMMYFUNCTION("IF($AG167, ""DELETED"", TRIM(JOIN("" "",AP167,AQ167)))"),"")</f>
        <v/>
      </c>
      <c r="AS167" s="9"/>
      <c r="AT167" s="93" t="b">
        <f t="shared" si="12"/>
        <v>0</v>
      </c>
      <c r="AU167" s="93" t="str">
        <f t="shared" si="13"/>
        <v/>
      </c>
      <c r="AV167" s="93" t="str">
        <f t="shared" si="14"/>
        <v/>
      </c>
      <c r="AW167" s="93" t="str">
        <f t="shared" si="187"/>
        <v/>
      </c>
      <c r="AX167" s="107" t="str">
        <f t="shared" si="16"/>
        <v/>
      </c>
      <c r="AY167" s="98"/>
      <c r="AZ167" s="108"/>
      <c r="BA167" s="109" t="str">
        <f t="shared" si="17"/>
        <v/>
      </c>
      <c r="BB167" s="98"/>
      <c r="BC167" s="98"/>
      <c r="BD167" s="108"/>
      <c r="BE167" s="134"/>
      <c r="BF167" s="111" t="str">
        <f t="shared" si="18"/>
        <v/>
      </c>
      <c r="BG167" s="112" t="str">
        <f t="shared" si="19"/>
        <v>AK6972__44713_0.197638888888889___Negative_44713_0.341493055555556_</v>
      </c>
      <c r="BH167" s="113" t="str">
        <f t="shared" si="20"/>
        <v/>
      </c>
      <c r="BI167" s="202"/>
      <c r="BJ167" s="114" t="str">
        <f t="shared" si="21"/>
        <v/>
      </c>
      <c r="BK167" s="115" t="b">
        <f t="shared" si="105"/>
        <v>0</v>
      </c>
      <c r="BL167" s="114" t="str">
        <f t="shared" si="23"/>
        <v/>
      </c>
      <c r="BM167" s="108"/>
      <c r="BN167" s="7" t="b">
        <f t="shared" si="24"/>
        <v>1</v>
      </c>
      <c r="BO167" s="7" t="b">
        <f t="shared" si="25"/>
        <v>0</v>
      </c>
      <c r="BP167" s="7" t="b">
        <f t="shared" si="26"/>
        <v>1</v>
      </c>
      <c r="BQ167" s="118"/>
      <c r="BR167" s="119" t="s">
        <v>228</v>
      </c>
      <c r="BS167" s="7" t="b">
        <f t="shared" si="27"/>
        <v>1</v>
      </c>
      <c r="BT167" s="7"/>
      <c r="BU167" s="7"/>
      <c r="BV167" s="7"/>
      <c r="BW167" s="7"/>
    </row>
    <row r="168">
      <c r="A168" s="86" t="s">
        <v>435</v>
      </c>
      <c r="B168" s="87">
        <v>44713.0</v>
      </c>
      <c r="C168" s="88">
        <v>0.20076388888888888</v>
      </c>
      <c r="D168" s="89"/>
      <c r="E168" s="89"/>
      <c r="F168" s="89"/>
      <c r="G168" s="86"/>
      <c r="H168" s="90"/>
      <c r="I168" s="9"/>
      <c r="J168" s="9"/>
      <c r="K168" s="89" t="s">
        <v>228</v>
      </c>
      <c r="L168" s="36">
        <v>44713.0</v>
      </c>
      <c r="M168" s="91">
        <v>0.34149305555555554</v>
      </c>
      <c r="N168" s="3"/>
      <c r="O168" s="142"/>
      <c r="P168" s="93" t="b">
        <f>IFNA(IF(VLOOKUP($A168,'Add from APT'!$AA$2:$AC264,3,FALSE)&gt;0,TRUE,FALSE),"ER - NOT IN APT")</f>
        <v>0</v>
      </c>
      <c r="Q168" s="94" t="str">
        <f>IF(ISLOGICAL(P168),IF(P168,"ER - REPS IN APT", IFNA(VLOOKUP($A168,RAW_APT!$A$3:$M264,7,FALSE),"ER - NOT IN APT")),P168)</f>
        <v>Result</v>
      </c>
      <c r="R168" s="95" t="b">
        <f t="shared" si="102"/>
        <v>1</v>
      </c>
      <c r="S168" s="96">
        <f t="shared" si="3"/>
        <v>2</v>
      </c>
      <c r="T168" s="103">
        <v>1.0</v>
      </c>
      <c r="U168" s="9"/>
      <c r="V168" s="9"/>
      <c r="W168" s="98"/>
      <c r="X168" s="99" t="b">
        <f t="shared" si="185"/>
        <v>0</v>
      </c>
      <c r="Y168" s="100"/>
      <c r="Z168" s="101" t="str">
        <f t="shared" si="5"/>
        <v/>
      </c>
      <c r="AA168" s="102" t="b">
        <f t="shared" si="6"/>
        <v>0</v>
      </c>
      <c r="AB168" s="98"/>
      <c r="AC168" s="103">
        <v>84.0</v>
      </c>
      <c r="AD168" s="104"/>
      <c r="AE168" s="105">
        <f t="shared" si="7"/>
        <v>202.65</v>
      </c>
      <c r="AF168" s="106" t="b">
        <f t="shared" si="103"/>
        <v>0</v>
      </c>
      <c r="AG168" s="93" t="b">
        <f t="shared" si="9"/>
        <v>0</v>
      </c>
      <c r="AH168" s="103"/>
      <c r="AI168" s="103"/>
      <c r="AJ168" s="97"/>
      <c r="AK168" s="101" t="str">
        <f t="shared" si="10"/>
        <v>Negative</v>
      </c>
      <c r="AL168" s="98"/>
      <c r="AM168" s="94" t="s">
        <v>284</v>
      </c>
      <c r="AN168" s="94" t="s">
        <v>290</v>
      </c>
      <c r="AO168" s="102" t="str">
        <f>IFERROR(__xludf.DUMMYFUNCTION("IF($AG168, ""DELETED"",TRIM(JOIN("" "",D168:E168)))"),"")</f>
        <v/>
      </c>
      <c r="AP168" s="94" t="str">
        <f t="shared" ref="AP168:AQ168" si="208">IF($AG168, "DELETED", TRIM(CONCATENATE(F168,I168,U168)))</f>
        <v/>
      </c>
      <c r="AQ168" s="94" t="str">
        <f t="shared" si="208"/>
        <v/>
      </c>
      <c r="AR168" s="94" t="str">
        <f>IFERROR(__xludf.DUMMYFUNCTION("IF($AG168, ""DELETED"", TRIM(JOIN("" "",AP168,AQ168)))"),"")</f>
        <v/>
      </c>
      <c r="AS168" s="9"/>
      <c r="AT168" s="93" t="b">
        <f t="shared" si="12"/>
        <v>0</v>
      </c>
      <c r="AU168" s="93" t="str">
        <f t="shared" si="13"/>
        <v/>
      </c>
      <c r="AV168" s="93" t="str">
        <f t="shared" si="14"/>
        <v/>
      </c>
      <c r="AW168" s="93" t="str">
        <f t="shared" si="187"/>
        <v/>
      </c>
      <c r="AX168" s="107" t="str">
        <f t="shared" si="16"/>
        <v/>
      </c>
      <c r="AY168" s="98"/>
      <c r="AZ168" s="108"/>
      <c r="BA168" s="109" t="str">
        <f t="shared" si="17"/>
        <v/>
      </c>
      <c r="BB168" s="98"/>
      <c r="BC168" s="98"/>
      <c r="BD168" s="108"/>
      <c r="BE168" s="143"/>
      <c r="BF168" s="111" t="str">
        <f t="shared" si="18"/>
        <v/>
      </c>
      <c r="BG168" s="112" t="str">
        <f t="shared" si="19"/>
        <v>AG1821__44713_0.200763888888889___Negative_44713_0.341493055555556_</v>
      </c>
      <c r="BH168" s="113" t="str">
        <f t="shared" si="20"/>
        <v/>
      </c>
      <c r="BI168" s="203"/>
      <c r="BJ168" s="114" t="str">
        <f t="shared" si="21"/>
        <v/>
      </c>
      <c r="BK168" s="115" t="b">
        <f t="shared" si="105"/>
        <v>0</v>
      </c>
      <c r="BL168" s="114" t="str">
        <f t="shared" si="23"/>
        <v/>
      </c>
      <c r="BM168" s="108"/>
      <c r="BN168" s="7" t="b">
        <f t="shared" si="24"/>
        <v>1</v>
      </c>
      <c r="BO168" s="7" t="b">
        <f t="shared" si="25"/>
        <v>0</v>
      </c>
      <c r="BP168" s="7" t="b">
        <f t="shared" si="26"/>
        <v>1</v>
      </c>
      <c r="BQ168" s="118"/>
      <c r="BR168" s="119" t="s">
        <v>228</v>
      </c>
      <c r="BS168" s="7" t="b">
        <f t="shared" si="27"/>
        <v>1</v>
      </c>
      <c r="BT168" s="7"/>
      <c r="BU168" s="7"/>
      <c r="BV168" s="7"/>
      <c r="BW168" s="7"/>
    </row>
    <row r="169">
      <c r="A169" s="86" t="s">
        <v>435</v>
      </c>
      <c r="B169" s="87">
        <v>44713.0</v>
      </c>
      <c r="C169" s="88">
        <v>0.20076388888888888</v>
      </c>
      <c r="D169" s="89"/>
      <c r="E169" s="89"/>
      <c r="F169" s="89"/>
      <c r="G169" s="86"/>
      <c r="H169" s="90"/>
      <c r="I169" s="3"/>
      <c r="J169" s="3"/>
      <c r="K169" s="89" t="s">
        <v>228</v>
      </c>
      <c r="L169" s="36">
        <v>44713.0</v>
      </c>
      <c r="M169" s="91">
        <v>0.34149305555555554</v>
      </c>
      <c r="N169" s="3"/>
      <c r="O169" s="142"/>
      <c r="P169" s="93" t="b">
        <f>IFNA(IF(VLOOKUP($A169,'Add from APT'!$AA$2:$AC264,3,FALSE)&gt;0,TRUE,FALSE),"ER - NOT IN APT")</f>
        <v>0</v>
      </c>
      <c r="Q169" s="94" t="str">
        <f>IF(ISLOGICAL(P169),IF(P169,"ER - REPS IN APT", IFNA(VLOOKUP($A169,RAW_APT!$A$3:$M264,7,FALSE),"ER - NOT IN APT")),P169)</f>
        <v>Result</v>
      </c>
      <c r="R169" s="95" t="b">
        <f t="shared" si="102"/>
        <v>0</v>
      </c>
      <c r="S169" s="96">
        <f t="shared" si="3"/>
        <v>2</v>
      </c>
      <c r="T169" s="103">
        <v>1.0</v>
      </c>
      <c r="U169" s="3"/>
      <c r="V169" s="3"/>
      <c r="W169" s="98"/>
      <c r="X169" s="99" t="b">
        <f t="shared" si="185"/>
        <v>0</v>
      </c>
      <c r="Y169" s="100"/>
      <c r="Z169" s="101" t="str">
        <f t="shared" si="5"/>
        <v/>
      </c>
      <c r="AA169" s="102" t="b">
        <f t="shared" si="6"/>
        <v>0</v>
      </c>
      <c r="AB169" s="98"/>
      <c r="AC169" s="103">
        <v>84.0</v>
      </c>
      <c r="AD169" s="104"/>
      <c r="AE169" s="105">
        <f t="shared" si="7"/>
        <v>202.65</v>
      </c>
      <c r="AF169" s="106" t="b">
        <f t="shared" si="103"/>
        <v>0</v>
      </c>
      <c r="AG169" s="93" t="b">
        <f t="shared" si="9"/>
        <v>0</v>
      </c>
      <c r="AH169" s="103"/>
      <c r="AI169" s="103"/>
      <c r="AJ169" s="97"/>
      <c r="AK169" s="101" t="str">
        <f t="shared" si="10"/>
        <v>Negative</v>
      </c>
      <c r="AL169" s="98"/>
      <c r="AM169" s="94" t="s">
        <v>284</v>
      </c>
      <c r="AN169" s="94" t="s">
        <v>287</v>
      </c>
      <c r="AO169" s="102" t="str">
        <f>IFERROR(__xludf.DUMMYFUNCTION("IF($AG169, ""DELETED"",TRIM(JOIN("" "",D169:E169)))"),"")</f>
        <v/>
      </c>
      <c r="AP169" s="94" t="str">
        <f t="shared" ref="AP169:AQ169" si="209">IF($AG169, "DELETED", TRIM(CONCATENATE(F169,I169,U169)))</f>
        <v/>
      </c>
      <c r="AQ169" s="94" t="str">
        <f t="shared" si="209"/>
        <v/>
      </c>
      <c r="AR169" s="94" t="str">
        <f>IFERROR(__xludf.DUMMYFUNCTION("IF($AG169, ""DELETED"", TRIM(JOIN("" "",AP169,AQ169)))"),"")</f>
        <v/>
      </c>
      <c r="AS169" s="9"/>
      <c r="AT169" s="93" t="b">
        <f t="shared" si="12"/>
        <v>0</v>
      </c>
      <c r="AU169" s="93" t="str">
        <f t="shared" si="13"/>
        <v/>
      </c>
      <c r="AV169" s="93" t="str">
        <f t="shared" si="14"/>
        <v/>
      </c>
      <c r="AW169" s="93" t="str">
        <f t="shared" si="187"/>
        <v/>
      </c>
      <c r="AX169" s="107" t="str">
        <f t="shared" si="16"/>
        <v/>
      </c>
      <c r="AY169" s="98"/>
      <c r="AZ169" s="108"/>
      <c r="BA169" s="109" t="str">
        <f t="shared" si="17"/>
        <v/>
      </c>
      <c r="BB169" s="98"/>
      <c r="BC169" s="98"/>
      <c r="BD169" s="108"/>
      <c r="BE169" s="143"/>
      <c r="BF169" s="111" t="str">
        <f t="shared" si="18"/>
        <v/>
      </c>
      <c r="BG169" s="112" t="str">
        <f t="shared" si="19"/>
        <v>AG1821__44713_0.200763888888889___Negative_44713_0.341493055555556_</v>
      </c>
      <c r="BH169" s="113" t="str">
        <f t="shared" si="20"/>
        <v/>
      </c>
      <c r="BI169" s="203"/>
      <c r="BJ169" s="114" t="str">
        <f t="shared" si="21"/>
        <v/>
      </c>
      <c r="BK169" s="115" t="b">
        <f t="shared" si="105"/>
        <v>0</v>
      </c>
      <c r="BL169" s="114" t="str">
        <f t="shared" si="23"/>
        <v/>
      </c>
      <c r="BM169" s="108"/>
      <c r="BN169" s="7" t="b">
        <f t="shared" si="24"/>
        <v>1</v>
      </c>
      <c r="BO169" s="7" t="b">
        <f t="shared" si="25"/>
        <v>0</v>
      </c>
      <c r="BP169" s="7" t="b">
        <f t="shared" si="26"/>
        <v>1</v>
      </c>
      <c r="BQ169" s="118"/>
      <c r="BR169" s="119" t="s">
        <v>228</v>
      </c>
      <c r="BS169" s="7" t="b">
        <f t="shared" si="27"/>
        <v>1</v>
      </c>
      <c r="BT169" s="7"/>
      <c r="BU169" s="7"/>
      <c r="BV169" s="7"/>
      <c r="BW169" s="7"/>
    </row>
    <row r="170">
      <c r="A170" s="86" t="s">
        <v>436</v>
      </c>
      <c r="B170" s="87">
        <v>44713.0</v>
      </c>
      <c r="C170" s="88">
        <v>0.20396990740740742</v>
      </c>
      <c r="D170" s="89"/>
      <c r="E170" s="89"/>
      <c r="F170" s="89"/>
      <c r="G170" s="86"/>
      <c r="H170" s="90"/>
      <c r="I170" s="3"/>
      <c r="J170" s="3"/>
      <c r="K170" s="89" t="s">
        <v>228</v>
      </c>
      <c r="L170" s="36">
        <v>44713.0</v>
      </c>
      <c r="M170" s="91">
        <v>0.34149305555555554</v>
      </c>
      <c r="N170" s="3"/>
      <c r="O170" s="92"/>
      <c r="P170" s="93" t="b">
        <f>IFNA(IF(VLOOKUP($A170,'Add from APT'!$AA$2:$AC264,3,FALSE)&gt;0,TRUE,FALSE),"ER - NOT IN APT")</f>
        <v>0</v>
      </c>
      <c r="Q170" s="94" t="str">
        <f>IF(ISLOGICAL(P170),IF(P170,"ER - REPS IN APT", IFNA(VLOOKUP($A170,RAW_APT!$A$3:$M264,7,FALSE),"ER - NOT IN APT")),P170)</f>
        <v>Result</v>
      </c>
      <c r="R170" s="95" t="b">
        <f t="shared" si="102"/>
        <v>1</v>
      </c>
      <c r="S170" s="96">
        <f t="shared" si="3"/>
        <v>2</v>
      </c>
      <c r="T170" s="103"/>
      <c r="U170" s="3"/>
      <c r="V170" s="3"/>
      <c r="W170" s="98"/>
      <c r="X170" s="99" t="b">
        <f t="shared" si="185"/>
        <v>0</v>
      </c>
      <c r="Y170" s="100"/>
      <c r="Z170" s="101" t="str">
        <f t="shared" si="5"/>
        <v/>
      </c>
      <c r="AA170" s="102" t="b">
        <f t="shared" si="6"/>
        <v>0</v>
      </c>
      <c r="AB170" s="98"/>
      <c r="AC170" s="103">
        <v>86.0</v>
      </c>
      <c r="AD170" s="104"/>
      <c r="AE170" s="105">
        <f t="shared" si="7"/>
        <v>198.0333333</v>
      </c>
      <c r="AF170" s="106" t="b">
        <f t="shared" si="103"/>
        <v>0</v>
      </c>
      <c r="AG170" s="93" t="b">
        <f t="shared" si="9"/>
        <v>0</v>
      </c>
      <c r="AH170" s="103"/>
      <c r="AI170" s="103"/>
      <c r="AJ170" s="97"/>
      <c r="AK170" s="101" t="str">
        <f t="shared" si="10"/>
        <v>Negative</v>
      </c>
      <c r="AL170" s="98"/>
      <c r="AM170" s="94" t="s">
        <v>300</v>
      </c>
      <c r="AN170" s="94" t="s">
        <v>303</v>
      </c>
      <c r="AO170" s="102" t="str">
        <f>IFERROR(__xludf.DUMMYFUNCTION("IF($AG170, ""DELETED"",TRIM(JOIN("" "",D170:E170)))"),"")</f>
        <v/>
      </c>
      <c r="AP170" s="94" t="str">
        <f t="shared" ref="AP170:AQ170" si="210">IF($AG170, "DELETED", TRIM(CONCATENATE(F170,I170,U170)))</f>
        <v/>
      </c>
      <c r="AQ170" s="94" t="str">
        <f t="shared" si="210"/>
        <v/>
      </c>
      <c r="AR170" s="94" t="str">
        <f>IFERROR(__xludf.DUMMYFUNCTION("IF($AG170, ""DELETED"", TRIM(JOIN("" "",AP170,AQ170)))"),"")</f>
        <v/>
      </c>
      <c r="AS170" s="9"/>
      <c r="AT170" s="93" t="b">
        <f t="shared" si="12"/>
        <v>0</v>
      </c>
      <c r="AU170" s="93" t="str">
        <f t="shared" si="13"/>
        <v/>
      </c>
      <c r="AV170" s="93" t="str">
        <f t="shared" si="14"/>
        <v/>
      </c>
      <c r="AW170" s="93" t="str">
        <f t="shared" si="187"/>
        <v/>
      </c>
      <c r="AX170" s="107" t="str">
        <f t="shared" si="16"/>
        <v/>
      </c>
      <c r="AY170" s="98"/>
      <c r="AZ170" s="108"/>
      <c r="BA170" s="109" t="str">
        <f t="shared" si="17"/>
        <v/>
      </c>
      <c r="BB170" s="98"/>
      <c r="BC170" s="98"/>
      <c r="BD170" s="108"/>
      <c r="BE170" s="143"/>
      <c r="BF170" s="111" t="str">
        <f t="shared" si="18"/>
        <v/>
      </c>
      <c r="BG170" s="112" t="str">
        <f t="shared" si="19"/>
        <v>AH6875__44713_0.203969907407407___Negative_44713_0.341493055555556_</v>
      </c>
      <c r="BH170" s="113" t="str">
        <f t="shared" si="20"/>
        <v/>
      </c>
      <c r="BI170" s="203"/>
      <c r="BJ170" s="114" t="str">
        <f t="shared" si="21"/>
        <v/>
      </c>
      <c r="BK170" s="115" t="b">
        <f t="shared" si="105"/>
        <v>0</v>
      </c>
      <c r="BL170" s="114" t="str">
        <f t="shared" si="23"/>
        <v/>
      </c>
      <c r="BM170" s="108"/>
      <c r="BN170" s="7" t="b">
        <f t="shared" si="24"/>
        <v>1</v>
      </c>
      <c r="BO170" s="7" t="b">
        <f t="shared" si="25"/>
        <v>0</v>
      </c>
      <c r="BP170" s="7" t="b">
        <f t="shared" si="26"/>
        <v>1</v>
      </c>
      <c r="BQ170" s="118"/>
      <c r="BR170" s="119" t="s">
        <v>228</v>
      </c>
      <c r="BS170" s="7" t="b">
        <f t="shared" si="27"/>
        <v>1</v>
      </c>
      <c r="BT170" s="7"/>
      <c r="BU170" s="7"/>
      <c r="BV170" s="7"/>
      <c r="BW170" s="7"/>
    </row>
    <row r="171">
      <c r="A171" s="86" t="s">
        <v>436</v>
      </c>
      <c r="B171" s="87">
        <v>44713.0</v>
      </c>
      <c r="C171" s="88">
        <v>0.20396990740740742</v>
      </c>
      <c r="D171" s="89"/>
      <c r="E171" s="89"/>
      <c r="F171" s="3"/>
      <c r="G171" s="120"/>
      <c r="H171" s="3"/>
      <c r="I171" s="89"/>
      <c r="J171" s="89"/>
      <c r="K171" s="89" t="s">
        <v>228</v>
      </c>
      <c r="L171" s="36">
        <v>44713.0</v>
      </c>
      <c r="M171" s="91">
        <v>0.34149305555555554</v>
      </c>
      <c r="N171" s="3"/>
      <c r="O171" s="92"/>
      <c r="P171" s="93" t="b">
        <f>IFNA(IF(VLOOKUP($A171,'Add from APT'!$AA$2:$AC264,3,FALSE)&gt;0,TRUE,FALSE),"ER - NOT IN APT")</f>
        <v>0</v>
      </c>
      <c r="Q171" s="94" t="str">
        <f>IF(ISLOGICAL(P171),IF(P171,"ER - REPS IN APT", IFNA(VLOOKUP($A171,RAW_APT!$A$3:$M264,7,FALSE),"ER - NOT IN APT")),P171)</f>
        <v>Result</v>
      </c>
      <c r="R171" s="95" t="b">
        <f t="shared" si="102"/>
        <v>0</v>
      </c>
      <c r="S171" s="96">
        <f t="shared" si="3"/>
        <v>2</v>
      </c>
      <c r="T171" s="166"/>
      <c r="U171" s="3"/>
      <c r="V171" s="3"/>
      <c r="W171" s="3"/>
      <c r="X171" s="99" t="b">
        <f t="shared" si="185"/>
        <v>0</v>
      </c>
      <c r="Y171" s="7"/>
      <c r="Z171" s="101" t="str">
        <f t="shared" si="5"/>
        <v/>
      </c>
      <c r="AA171" s="102" t="b">
        <f t="shared" si="6"/>
        <v>0</v>
      </c>
      <c r="AB171" s="131"/>
      <c r="AC171" s="130">
        <v>85.0</v>
      </c>
      <c r="AD171" s="132"/>
      <c r="AE171" s="105">
        <f t="shared" si="7"/>
        <v>198.0333333</v>
      </c>
      <c r="AF171" s="106" t="b">
        <f t="shared" si="103"/>
        <v>0</v>
      </c>
      <c r="AG171" s="93" t="b">
        <f t="shared" si="9"/>
        <v>0</v>
      </c>
      <c r="AH171" s="130"/>
      <c r="AI171" s="13"/>
      <c r="AJ171" s="7"/>
      <c r="AK171" s="101" t="str">
        <f t="shared" si="10"/>
        <v>Negative</v>
      </c>
      <c r="AL171" s="98"/>
      <c r="AM171" s="94" t="s">
        <v>300</v>
      </c>
      <c r="AN171" s="94" t="s">
        <v>301</v>
      </c>
      <c r="AO171" s="102" t="str">
        <f>IFERROR(__xludf.DUMMYFUNCTION("IF($AG171, ""DELETED"",TRIM(JOIN("" "",D171:E171)))"),"")</f>
        <v/>
      </c>
      <c r="AP171" s="94" t="str">
        <f t="shared" ref="AP171:AQ171" si="211">IF($AG171, "DELETED", TRIM(CONCATENATE(F171,I171,U171)))</f>
        <v/>
      </c>
      <c r="AQ171" s="94" t="str">
        <f t="shared" si="211"/>
        <v/>
      </c>
      <c r="AR171" s="94" t="str">
        <f>IFERROR(__xludf.DUMMYFUNCTION("IF($AG171, ""DELETED"", TRIM(JOIN("" "",AP171,AQ171)))"),"")</f>
        <v/>
      </c>
      <c r="AS171" s="9"/>
      <c r="AT171" s="93" t="b">
        <f t="shared" si="12"/>
        <v>0</v>
      </c>
      <c r="AU171" s="93" t="str">
        <f t="shared" si="13"/>
        <v/>
      </c>
      <c r="AV171" s="93" t="str">
        <f t="shared" si="14"/>
        <v/>
      </c>
      <c r="AW171" s="93" t="str">
        <f t="shared" si="187"/>
        <v/>
      </c>
      <c r="AX171" s="107" t="str">
        <f t="shared" si="16"/>
        <v/>
      </c>
      <c r="AY171" s="3"/>
      <c r="AZ171" s="129"/>
      <c r="BA171" s="109" t="str">
        <f t="shared" si="17"/>
        <v/>
      </c>
      <c r="BB171" s="3"/>
      <c r="BC171" s="3"/>
      <c r="BD171" s="108"/>
      <c r="BE171" s="134"/>
      <c r="BF171" s="111" t="str">
        <f t="shared" si="18"/>
        <v/>
      </c>
      <c r="BG171" s="112" t="str">
        <f t="shared" si="19"/>
        <v>AH6875__44713_0.203969907407407___Negative_44713_0.341493055555556_</v>
      </c>
      <c r="BH171" s="113" t="str">
        <f t="shared" si="20"/>
        <v/>
      </c>
      <c r="BI171" s="202"/>
      <c r="BJ171" s="114" t="str">
        <f t="shared" si="21"/>
        <v/>
      </c>
      <c r="BK171" s="115" t="b">
        <f t="shared" si="105"/>
        <v>0</v>
      </c>
      <c r="BL171" s="114" t="str">
        <f t="shared" si="23"/>
        <v/>
      </c>
      <c r="BM171" s="108"/>
      <c r="BN171" s="7" t="b">
        <f t="shared" si="24"/>
        <v>1</v>
      </c>
      <c r="BO171" s="7" t="b">
        <f t="shared" si="25"/>
        <v>0</v>
      </c>
      <c r="BP171" s="7" t="b">
        <f t="shared" si="26"/>
        <v>1</v>
      </c>
      <c r="BQ171" s="118"/>
      <c r="BR171" s="119" t="s">
        <v>228</v>
      </c>
      <c r="BS171" s="7" t="b">
        <f t="shared" si="27"/>
        <v>1</v>
      </c>
      <c r="BT171" s="7"/>
      <c r="BU171" s="7"/>
      <c r="BV171" s="7"/>
      <c r="BW171" s="7"/>
    </row>
    <row r="172">
      <c r="A172" s="86" t="s">
        <v>437</v>
      </c>
      <c r="B172" s="87">
        <v>44713.0</v>
      </c>
      <c r="C172" s="88">
        <v>0.2053125</v>
      </c>
      <c r="D172" s="89"/>
      <c r="E172" s="89"/>
      <c r="F172" s="89"/>
      <c r="G172" s="86"/>
      <c r="H172" s="90"/>
      <c r="I172" s="9"/>
      <c r="J172" s="9"/>
      <c r="K172" s="89" t="s">
        <v>228</v>
      </c>
      <c r="L172" s="36">
        <v>44713.0</v>
      </c>
      <c r="M172" s="91">
        <v>0.34150462962962963</v>
      </c>
      <c r="N172" s="3"/>
      <c r="O172" s="142"/>
      <c r="P172" s="93" t="b">
        <f>IFNA(IF(VLOOKUP($A172,'Add from APT'!$AA$2:$AC264,3,FALSE)&gt;0,TRUE,FALSE),"ER - NOT IN APT")</f>
        <v>0</v>
      </c>
      <c r="Q172" s="94" t="str">
        <f>IF(ISLOGICAL(P172),IF(P172,"ER - REPS IN APT", IFNA(VLOOKUP($A172,RAW_APT!$A$3:$M264,7,FALSE),"ER - NOT IN APT")),P172)</f>
        <v>Result</v>
      </c>
      <c r="R172" s="95" t="b">
        <f t="shared" si="102"/>
        <v>1</v>
      </c>
      <c r="S172" s="96">
        <f t="shared" si="3"/>
        <v>4</v>
      </c>
      <c r="T172" s="103">
        <v>2.0</v>
      </c>
      <c r="U172" s="9"/>
      <c r="V172" s="9"/>
      <c r="W172" s="9"/>
      <c r="X172" s="99" t="b">
        <f t="shared" si="185"/>
        <v>0</v>
      </c>
      <c r="Y172" s="7"/>
      <c r="Z172" s="101" t="str">
        <f t="shared" si="5"/>
        <v/>
      </c>
      <c r="AA172" s="102" t="b">
        <f t="shared" si="6"/>
        <v>0</v>
      </c>
      <c r="AB172" s="131"/>
      <c r="AC172" s="130">
        <v>87.0</v>
      </c>
      <c r="AD172" s="132"/>
      <c r="AE172" s="105">
        <f t="shared" si="7"/>
        <v>196.1166667</v>
      </c>
      <c r="AF172" s="106" t="b">
        <f t="shared" si="103"/>
        <v>0</v>
      </c>
      <c r="AG172" s="93" t="b">
        <f t="shared" si="9"/>
        <v>0</v>
      </c>
      <c r="AH172" s="130"/>
      <c r="AI172" s="13"/>
      <c r="AJ172" s="7"/>
      <c r="AK172" s="101" t="str">
        <f t="shared" si="10"/>
        <v>Negative</v>
      </c>
      <c r="AL172" s="98"/>
      <c r="AM172" s="94" t="s">
        <v>397</v>
      </c>
      <c r="AN172" s="94" t="s">
        <v>398</v>
      </c>
      <c r="AO172" s="102" t="str">
        <f>IFERROR(__xludf.DUMMYFUNCTION("IF($AG172, ""DELETED"",TRIM(JOIN("" "",D172:E172)))"),"")</f>
        <v/>
      </c>
      <c r="AP172" s="94" t="str">
        <f t="shared" ref="AP172:AQ172" si="212">IF($AG172, "DELETED", TRIM(CONCATENATE(F172,I172,U172)))</f>
        <v/>
      </c>
      <c r="AQ172" s="94" t="str">
        <f t="shared" si="212"/>
        <v/>
      </c>
      <c r="AR172" s="94" t="str">
        <f>IFERROR(__xludf.DUMMYFUNCTION("IF($AG172, ""DELETED"", TRIM(JOIN("" "",AP172,AQ172)))"),"")</f>
        <v/>
      </c>
      <c r="AS172" s="9"/>
      <c r="AT172" s="93" t="b">
        <f t="shared" si="12"/>
        <v>0</v>
      </c>
      <c r="AU172" s="93" t="str">
        <f t="shared" si="13"/>
        <v/>
      </c>
      <c r="AV172" s="93" t="str">
        <f t="shared" si="14"/>
        <v/>
      </c>
      <c r="AW172" s="93" t="str">
        <f t="shared" si="187"/>
        <v/>
      </c>
      <c r="AX172" s="107" t="str">
        <f t="shared" si="16"/>
        <v/>
      </c>
      <c r="AY172" s="3"/>
      <c r="AZ172" s="129"/>
      <c r="BA172" s="109" t="str">
        <f t="shared" si="17"/>
        <v/>
      </c>
      <c r="BB172" s="3"/>
      <c r="BC172" s="3"/>
      <c r="BD172" s="108"/>
      <c r="BE172" s="134"/>
      <c r="BF172" s="111" t="str">
        <f t="shared" si="18"/>
        <v/>
      </c>
      <c r="BG172" s="112" t="str">
        <f t="shared" si="19"/>
        <v>AH8860__44713_0.2053125___Negative_44713_0.34150462962963_</v>
      </c>
      <c r="BH172" s="113" t="str">
        <f t="shared" si="20"/>
        <v/>
      </c>
      <c r="BI172" s="202"/>
      <c r="BJ172" s="114" t="str">
        <f t="shared" si="21"/>
        <v/>
      </c>
      <c r="BK172" s="115" t="b">
        <f t="shared" si="105"/>
        <v>0</v>
      </c>
      <c r="BL172" s="114" t="str">
        <f t="shared" si="23"/>
        <v/>
      </c>
      <c r="BM172" s="108"/>
      <c r="BN172" s="7" t="b">
        <f t="shared" si="24"/>
        <v>1</v>
      </c>
      <c r="BO172" s="7" t="b">
        <f t="shared" si="25"/>
        <v>0</v>
      </c>
      <c r="BP172" s="7" t="b">
        <f t="shared" si="26"/>
        <v>1</v>
      </c>
      <c r="BQ172" s="118"/>
      <c r="BR172" s="119" t="s">
        <v>228</v>
      </c>
      <c r="BS172" s="7" t="b">
        <f t="shared" si="27"/>
        <v>1</v>
      </c>
      <c r="BT172" s="7"/>
      <c r="BU172" s="7"/>
      <c r="BV172" s="7"/>
      <c r="BW172" s="7"/>
    </row>
    <row r="173">
      <c r="A173" s="86" t="s">
        <v>437</v>
      </c>
      <c r="B173" s="87">
        <v>44713.0</v>
      </c>
      <c r="C173" s="88">
        <v>0.2053125</v>
      </c>
      <c r="D173" s="89"/>
      <c r="E173" s="89"/>
      <c r="F173" s="89"/>
      <c r="G173" s="86"/>
      <c r="H173" s="90"/>
      <c r="I173" s="9"/>
      <c r="J173" s="9"/>
      <c r="K173" s="89" t="s">
        <v>228</v>
      </c>
      <c r="L173" s="36">
        <v>44713.0</v>
      </c>
      <c r="M173" s="91">
        <v>0.34150462962962963</v>
      </c>
      <c r="N173" s="121"/>
      <c r="O173" s="142"/>
      <c r="P173" s="93" t="b">
        <f>IFNA(IF(VLOOKUP($A173,'Add from APT'!$AA$2:$AC264,3,FALSE)&gt;0,TRUE,FALSE),"ER - NOT IN APT")</f>
        <v>0</v>
      </c>
      <c r="Q173" s="94" t="str">
        <f>IF(ISLOGICAL(P173),IF(P173,"ER - REPS IN APT", IFNA(VLOOKUP($A173,RAW_APT!$A$3:$M264,7,FALSE),"ER - NOT IN APT")),P173)</f>
        <v>Result</v>
      </c>
      <c r="R173" s="95" t="b">
        <f t="shared" si="102"/>
        <v>0</v>
      </c>
      <c r="S173" s="96">
        <f t="shared" si="3"/>
        <v>4</v>
      </c>
      <c r="T173" s="103">
        <v>2.0</v>
      </c>
      <c r="U173" s="9"/>
      <c r="V173" s="9"/>
      <c r="W173" s="3"/>
      <c r="X173" s="99" t="b">
        <f t="shared" si="185"/>
        <v>0</v>
      </c>
      <c r="Y173" s="7"/>
      <c r="Z173" s="101" t="str">
        <f t="shared" si="5"/>
        <v/>
      </c>
      <c r="AA173" s="102" t="b">
        <f t="shared" si="6"/>
        <v>0</v>
      </c>
      <c r="AB173" s="131"/>
      <c r="AC173" s="130">
        <v>88.0</v>
      </c>
      <c r="AD173" s="132"/>
      <c r="AE173" s="105">
        <f t="shared" si="7"/>
        <v>196.1166667</v>
      </c>
      <c r="AF173" s="106" t="b">
        <f t="shared" si="103"/>
        <v>0</v>
      </c>
      <c r="AG173" s="93" t="b">
        <f t="shared" si="9"/>
        <v>0</v>
      </c>
      <c r="AH173" s="130"/>
      <c r="AI173" s="13"/>
      <c r="AJ173" s="7"/>
      <c r="AK173" s="101" t="str">
        <f t="shared" si="10"/>
        <v>Negative</v>
      </c>
      <c r="AL173" s="98"/>
      <c r="AM173" s="94" t="s">
        <v>397</v>
      </c>
      <c r="AN173" s="94" t="s">
        <v>399</v>
      </c>
      <c r="AO173" s="102" t="str">
        <f>IFERROR(__xludf.DUMMYFUNCTION("IF($AG173, ""DELETED"",TRIM(JOIN("" "",D173:E173)))"),"")</f>
        <v/>
      </c>
      <c r="AP173" s="94" t="str">
        <f t="shared" ref="AP173:AQ173" si="213">IF($AG173, "DELETED", TRIM(CONCATENATE(F173,I173,U173)))</f>
        <v/>
      </c>
      <c r="AQ173" s="94" t="str">
        <f t="shared" si="213"/>
        <v/>
      </c>
      <c r="AR173" s="94" t="str">
        <f>IFERROR(__xludf.DUMMYFUNCTION("IF($AG173, ""DELETED"", TRIM(JOIN("" "",AP173,AQ173)))"),"")</f>
        <v/>
      </c>
      <c r="AS173" s="9"/>
      <c r="AT173" s="93" t="b">
        <f t="shared" si="12"/>
        <v>0</v>
      </c>
      <c r="AU173" s="93" t="str">
        <f t="shared" si="13"/>
        <v/>
      </c>
      <c r="AV173" s="93" t="str">
        <f t="shared" si="14"/>
        <v/>
      </c>
      <c r="AW173" s="93" t="str">
        <f t="shared" si="187"/>
        <v/>
      </c>
      <c r="AX173" s="107" t="str">
        <f t="shared" si="16"/>
        <v/>
      </c>
      <c r="AY173" s="3"/>
      <c r="AZ173" s="129"/>
      <c r="BA173" s="109" t="str">
        <f t="shared" si="17"/>
        <v/>
      </c>
      <c r="BB173" s="3"/>
      <c r="BC173" s="3"/>
      <c r="BD173" s="108"/>
      <c r="BE173" s="134"/>
      <c r="BF173" s="111" t="str">
        <f t="shared" si="18"/>
        <v/>
      </c>
      <c r="BG173" s="112" t="str">
        <f t="shared" si="19"/>
        <v>AH8860__44713_0.2053125___Negative_44713_0.34150462962963_</v>
      </c>
      <c r="BH173" s="113" t="str">
        <f t="shared" si="20"/>
        <v/>
      </c>
      <c r="BI173" s="202"/>
      <c r="BJ173" s="114" t="str">
        <f t="shared" si="21"/>
        <v/>
      </c>
      <c r="BK173" s="115" t="b">
        <f t="shared" si="105"/>
        <v>0</v>
      </c>
      <c r="BL173" s="114" t="str">
        <f t="shared" si="23"/>
        <v/>
      </c>
      <c r="BM173" s="108"/>
      <c r="BN173" s="7" t="b">
        <f t="shared" si="24"/>
        <v>1</v>
      </c>
      <c r="BO173" s="7" t="b">
        <f t="shared" si="25"/>
        <v>0</v>
      </c>
      <c r="BP173" s="7" t="b">
        <f t="shared" si="26"/>
        <v>1</v>
      </c>
      <c r="BQ173" s="118"/>
      <c r="BR173" s="119" t="s">
        <v>228</v>
      </c>
      <c r="BS173" s="7" t="b">
        <f t="shared" si="27"/>
        <v>1</v>
      </c>
      <c r="BT173" s="7"/>
      <c r="BU173" s="7"/>
      <c r="BV173" s="7"/>
      <c r="BW173" s="7"/>
    </row>
    <row r="174">
      <c r="A174" s="86" t="s">
        <v>437</v>
      </c>
      <c r="B174" s="87">
        <v>44713.0</v>
      </c>
      <c r="C174" s="88">
        <v>0.2053125</v>
      </c>
      <c r="D174" s="89"/>
      <c r="E174" s="89"/>
      <c r="F174" s="89"/>
      <c r="G174" s="86"/>
      <c r="H174" s="90"/>
      <c r="I174" s="3"/>
      <c r="J174" s="3"/>
      <c r="K174" s="89" t="s">
        <v>228</v>
      </c>
      <c r="L174" s="36">
        <v>44713.0</v>
      </c>
      <c r="M174" s="91">
        <v>0.34150462962962963</v>
      </c>
      <c r="N174" s="3"/>
      <c r="O174" s="142"/>
      <c r="P174" s="93" t="b">
        <f>IFNA(IF(VLOOKUP($A174,'Add from APT'!$AA$2:$AC264,3,FALSE)&gt;0,TRUE,FALSE),"ER - NOT IN APT")</f>
        <v>0</v>
      </c>
      <c r="Q174" s="94" t="str">
        <f>IF(ISLOGICAL(P174),IF(P174,"ER - REPS IN APT", IFNA(VLOOKUP($A174,RAW_APT!$A$3:$M264,7,FALSE),"ER - NOT IN APT")),P174)</f>
        <v>Result</v>
      </c>
      <c r="R174" s="95" t="b">
        <f t="shared" si="102"/>
        <v>0</v>
      </c>
      <c r="S174" s="96">
        <f t="shared" si="3"/>
        <v>4</v>
      </c>
      <c r="T174" s="103">
        <v>2.0</v>
      </c>
      <c r="U174" s="3"/>
      <c r="V174" s="3"/>
      <c r="W174" s="98"/>
      <c r="X174" s="99" t="b">
        <f t="shared" si="185"/>
        <v>0</v>
      </c>
      <c r="Y174" s="100"/>
      <c r="Z174" s="101" t="str">
        <f t="shared" si="5"/>
        <v/>
      </c>
      <c r="AA174" s="102" t="b">
        <f t="shared" si="6"/>
        <v>0</v>
      </c>
      <c r="AB174" s="98"/>
      <c r="AC174" s="103">
        <v>87.0</v>
      </c>
      <c r="AD174" s="104"/>
      <c r="AE174" s="105">
        <f t="shared" si="7"/>
        <v>196.1166667</v>
      </c>
      <c r="AF174" s="106" t="b">
        <f t="shared" si="103"/>
        <v>0</v>
      </c>
      <c r="AG174" s="93" t="b">
        <f t="shared" si="9"/>
        <v>0</v>
      </c>
      <c r="AH174" s="103"/>
      <c r="AI174" s="103"/>
      <c r="AJ174" s="97"/>
      <c r="AK174" s="101" t="str">
        <f t="shared" si="10"/>
        <v>Negative</v>
      </c>
      <c r="AL174" s="98"/>
      <c r="AM174" s="94" t="s">
        <v>397</v>
      </c>
      <c r="AN174" s="94" t="s">
        <v>400</v>
      </c>
      <c r="AO174" s="102" t="str">
        <f>IFERROR(__xludf.DUMMYFUNCTION("IF($AG174, ""DELETED"",TRIM(JOIN("" "",D174:E174)))"),"")</f>
        <v/>
      </c>
      <c r="AP174" s="94" t="str">
        <f t="shared" ref="AP174:AQ174" si="214">IF($AG174, "DELETED", TRIM(CONCATENATE(F174,I174,U174)))</f>
        <v/>
      </c>
      <c r="AQ174" s="94" t="str">
        <f t="shared" si="214"/>
        <v/>
      </c>
      <c r="AR174" s="94" t="str">
        <f>IFERROR(__xludf.DUMMYFUNCTION("IF($AG174, ""DELETED"", TRIM(JOIN("" "",AP174,AQ174)))"),"")</f>
        <v/>
      </c>
      <c r="AS174" s="9"/>
      <c r="AT174" s="93" t="b">
        <f t="shared" si="12"/>
        <v>0</v>
      </c>
      <c r="AU174" s="93" t="str">
        <f t="shared" si="13"/>
        <v/>
      </c>
      <c r="AV174" s="93" t="str">
        <f t="shared" si="14"/>
        <v/>
      </c>
      <c r="AW174" s="93" t="str">
        <f t="shared" si="187"/>
        <v/>
      </c>
      <c r="AX174" s="107" t="str">
        <f t="shared" si="16"/>
        <v/>
      </c>
      <c r="AY174" s="98"/>
      <c r="AZ174" s="108"/>
      <c r="BA174" s="109" t="str">
        <f t="shared" si="17"/>
        <v/>
      </c>
      <c r="BB174" s="98"/>
      <c r="BC174" s="98"/>
      <c r="BD174" s="108"/>
      <c r="BE174" s="134"/>
      <c r="BF174" s="111" t="str">
        <f t="shared" si="18"/>
        <v/>
      </c>
      <c r="BG174" s="112" t="str">
        <f t="shared" si="19"/>
        <v>AH8860__44713_0.2053125___Negative_44713_0.34150462962963_</v>
      </c>
      <c r="BH174" s="113" t="str">
        <f t="shared" si="20"/>
        <v/>
      </c>
      <c r="BI174" s="202"/>
      <c r="BJ174" s="114" t="str">
        <f t="shared" si="21"/>
        <v/>
      </c>
      <c r="BK174" s="115" t="b">
        <f t="shared" si="105"/>
        <v>0</v>
      </c>
      <c r="BL174" s="114" t="str">
        <f t="shared" si="23"/>
        <v/>
      </c>
      <c r="BM174" s="108"/>
      <c r="BN174" s="7" t="b">
        <f t="shared" si="24"/>
        <v>1</v>
      </c>
      <c r="BO174" s="7" t="b">
        <f t="shared" si="25"/>
        <v>0</v>
      </c>
      <c r="BP174" s="7" t="b">
        <f t="shared" si="26"/>
        <v>1</v>
      </c>
      <c r="BQ174" s="118"/>
      <c r="BR174" s="119" t="s">
        <v>228</v>
      </c>
      <c r="BS174" s="7" t="b">
        <f t="shared" si="27"/>
        <v>1</v>
      </c>
      <c r="BT174" s="7"/>
      <c r="BU174" s="7"/>
      <c r="BV174" s="7"/>
      <c r="BW174" s="7"/>
    </row>
    <row r="175">
      <c r="A175" s="86" t="s">
        <v>437</v>
      </c>
      <c r="B175" s="87">
        <v>44713.0</v>
      </c>
      <c r="C175" s="88">
        <v>0.2053125</v>
      </c>
      <c r="D175" s="89"/>
      <c r="E175" s="89"/>
      <c r="F175" s="89"/>
      <c r="G175" s="86"/>
      <c r="H175" s="90"/>
      <c r="I175" s="3"/>
      <c r="J175" s="3"/>
      <c r="K175" s="89" t="s">
        <v>228</v>
      </c>
      <c r="L175" s="36">
        <v>44713.0</v>
      </c>
      <c r="M175" s="91">
        <v>0.34150462962962963</v>
      </c>
      <c r="N175" s="121"/>
      <c r="O175" s="142"/>
      <c r="P175" s="93" t="b">
        <f>IFNA(IF(VLOOKUP($A175,'Add from APT'!$AA$2:$AC264,3,FALSE)&gt;0,TRUE,FALSE),"ER - NOT IN APT")</f>
        <v>0</v>
      </c>
      <c r="Q175" s="94" t="str">
        <f>IF(ISLOGICAL(P175),IF(P175,"ER - REPS IN APT", IFNA(VLOOKUP($A175,RAW_APT!$A$3:$M264,7,FALSE),"ER - NOT IN APT")),P175)</f>
        <v>Result</v>
      </c>
      <c r="R175" s="95" t="b">
        <f t="shared" si="102"/>
        <v>0</v>
      </c>
      <c r="S175" s="96">
        <f t="shared" si="3"/>
        <v>4</v>
      </c>
      <c r="T175" s="130">
        <v>2.0</v>
      </c>
      <c r="U175" s="3"/>
      <c r="V175" s="3"/>
      <c r="W175" s="98"/>
      <c r="X175" s="99" t="b">
        <f t="shared" si="185"/>
        <v>0</v>
      </c>
      <c r="Y175" s="100"/>
      <c r="Z175" s="101" t="str">
        <f t="shared" si="5"/>
        <v/>
      </c>
      <c r="AA175" s="102" t="b">
        <f t="shared" si="6"/>
        <v>0</v>
      </c>
      <c r="AB175" s="98"/>
      <c r="AC175" s="103">
        <v>88.0</v>
      </c>
      <c r="AD175" s="104"/>
      <c r="AE175" s="105">
        <f t="shared" si="7"/>
        <v>196.1166667</v>
      </c>
      <c r="AF175" s="106" t="b">
        <f t="shared" si="103"/>
        <v>0</v>
      </c>
      <c r="AG175" s="93" t="b">
        <f t="shared" si="9"/>
        <v>0</v>
      </c>
      <c r="AH175" s="103"/>
      <c r="AI175" s="103"/>
      <c r="AJ175" s="97"/>
      <c r="AK175" s="101" t="str">
        <f t="shared" si="10"/>
        <v>Negative</v>
      </c>
      <c r="AL175" s="98"/>
      <c r="AM175" s="94" t="s">
        <v>397</v>
      </c>
      <c r="AN175" s="94" t="s">
        <v>401</v>
      </c>
      <c r="AO175" s="102" t="str">
        <f>IFERROR(__xludf.DUMMYFUNCTION("IF($AG175, ""DELETED"",TRIM(JOIN("" "",D175:E175)))"),"")</f>
        <v/>
      </c>
      <c r="AP175" s="94" t="str">
        <f t="shared" ref="AP175:AQ175" si="215">IF($AG175, "DELETED", TRIM(CONCATENATE(F175,I175,U175)))</f>
        <v/>
      </c>
      <c r="AQ175" s="94" t="str">
        <f t="shared" si="215"/>
        <v/>
      </c>
      <c r="AR175" s="94" t="str">
        <f>IFERROR(__xludf.DUMMYFUNCTION("IF($AG175, ""DELETED"", TRIM(JOIN("" "",AP175,AQ175)))"),"")</f>
        <v/>
      </c>
      <c r="AS175" s="9"/>
      <c r="AT175" s="93" t="b">
        <f t="shared" si="12"/>
        <v>0</v>
      </c>
      <c r="AU175" s="93" t="str">
        <f t="shared" si="13"/>
        <v/>
      </c>
      <c r="AV175" s="93" t="str">
        <f t="shared" si="14"/>
        <v/>
      </c>
      <c r="AW175" s="93" t="str">
        <f t="shared" si="187"/>
        <v/>
      </c>
      <c r="AX175" s="107" t="str">
        <f t="shared" si="16"/>
        <v/>
      </c>
      <c r="AY175" s="98"/>
      <c r="AZ175" s="108"/>
      <c r="BA175" s="109" t="str">
        <f t="shared" si="17"/>
        <v/>
      </c>
      <c r="BB175" s="98"/>
      <c r="BC175" s="98"/>
      <c r="BD175" s="108"/>
      <c r="BE175" s="143"/>
      <c r="BF175" s="111" t="str">
        <f t="shared" si="18"/>
        <v/>
      </c>
      <c r="BG175" s="112" t="str">
        <f t="shared" si="19"/>
        <v>AH8860__44713_0.2053125___Negative_44713_0.34150462962963_</v>
      </c>
      <c r="BH175" s="113" t="str">
        <f t="shared" si="20"/>
        <v/>
      </c>
      <c r="BI175" s="203"/>
      <c r="BJ175" s="114" t="str">
        <f t="shared" si="21"/>
        <v/>
      </c>
      <c r="BK175" s="115" t="b">
        <f t="shared" si="105"/>
        <v>0</v>
      </c>
      <c r="BL175" s="114" t="str">
        <f t="shared" si="23"/>
        <v/>
      </c>
      <c r="BM175" s="108"/>
      <c r="BN175" s="7" t="b">
        <f t="shared" si="24"/>
        <v>1</v>
      </c>
      <c r="BO175" s="7" t="b">
        <f t="shared" si="25"/>
        <v>0</v>
      </c>
      <c r="BP175" s="7" t="b">
        <f t="shared" si="26"/>
        <v>1</v>
      </c>
      <c r="BQ175" s="118"/>
      <c r="BR175" s="119" t="s">
        <v>228</v>
      </c>
      <c r="BS175" s="7" t="b">
        <f t="shared" si="27"/>
        <v>1</v>
      </c>
      <c r="BT175" s="7"/>
      <c r="BU175" s="7"/>
      <c r="BV175" s="7"/>
      <c r="BW175" s="7"/>
    </row>
    <row r="176">
      <c r="A176" s="86" t="s">
        <v>438</v>
      </c>
      <c r="B176" s="87">
        <v>44713.0</v>
      </c>
      <c r="C176" s="88">
        <v>0.20859953703703704</v>
      </c>
      <c r="D176" s="89"/>
      <c r="E176" s="89"/>
      <c r="F176" s="89"/>
      <c r="G176" s="86"/>
      <c r="H176" s="90"/>
      <c r="I176" s="3"/>
      <c r="J176" s="3"/>
      <c r="K176" s="89" t="s">
        <v>228</v>
      </c>
      <c r="L176" s="36">
        <v>44713.0</v>
      </c>
      <c r="M176" s="91">
        <v>0.34150462962962963</v>
      </c>
      <c r="N176" s="3"/>
      <c r="O176" s="92"/>
      <c r="P176" s="93" t="b">
        <f>IFNA(IF(VLOOKUP($A176,'Add from APT'!$AA$2:$AC264,3,FALSE)&gt;0,TRUE,FALSE),"ER - NOT IN APT")</f>
        <v>0</v>
      </c>
      <c r="Q176" s="94" t="str">
        <f>IF(ISLOGICAL(P176),IF(P176,"ER - REPS IN APT", IFNA(VLOOKUP($A176,RAW_APT!$A$3:$M264,7,FALSE),"ER - NOT IN APT")),P176)</f>
        <v>Result</v>
      </c>
      <c r="R176" s="95" t="b">
        <f t="shared" si="102"/>
        <v>1</v>
      </c>
      <c r="S176" s="96">
        <f t="shared" si="3"/>
        <v>3</v>
      </c>
      <c r="T176" s="97"/>
      <c r="U176" s="3"/>
      <c r="V176" s="3"/>
      <c r="W176" s="98"/>
      <c r="X176" s="99" t="b">
        <f t="shared" si="185"/>
        <v>0</v>
      </c>
      <c r="Y176" s="100"/>
      <c r="Z176" s="101" t="str">
        <f t="shared" si="5"/>
        <v/>
      </c>
      <c r="AA176" s="102" t="b">
        <f t="shared" si="6"/>
        <v>0</v>
      </c>
      <c r="AB176" s="98"/>
      <c r="AC176" s="103">
        <v>90.0</v>
      </c>
      <c r="AD176" s="104"/>
      <c r="AE176" s="105">
        <f t="shared" si="7"/>
        <v>191.3833333</v>
      </c>
      <c r="AF176" s="106" t="b">
        <f t="shared" si="103"/>
        <v>0</v>
      </c>
      <c r="AG176" s="93" t="b">
        <f t="shared" si="9"/>
        <v>0</v>
      </c>
      <c r="AH176" s="103"/>
      <c r="AI176" s="103"/>
      <c r="AJ176" s="97"/>
      <c r="AK176" s="101" t="str">
        <f t="shared" si="10"/>
        <v>Negative</v>
      </c>
      <c r="AL176" s="98"/>
      <c r="AM176" s="94" t="s">
        <v>406</v>
      </c>
      <c r="AN176" s="94" t="s">
        <v>387</v>
      </c>
      <c r="AO176" s="102" t="str">
        <f>IFERROR(__xludf.DUMMYFUNCTION("IF($AG176, ""DELETED"",TRIM(JOIN("" "",D176:E176)))"),"")</f>
        <v/>
      </c>
      <c r="AP176" s="94" t="str">
        <f t="shared" ref="AP176:AQ176" si="216">IF($AG176, "DELETED", TRIM(CONCATENATE(F176,I176,U176)))</f>
        <v/>
      </c>
      <c r="AQ176" s="94" t="str">
        <f t="shared" si="216"/>
        <v/>
      </c>
      <c r="AR176" s="94" t="str">
        <f>IFERROR(__xludf.DUMMYFUNCTION("IF($AG176, ""DELETED"", TRIM(JOIN("" "",AP176,AQ176)))"),"")</f>
        <v/>
      </c>
      <c r="AS176" s="9"/>
      <c r="AT176" s="93" t="b">
        <f t="shared" si="12"/>
        <v>0</v>
      </c>
      <c r="AU176" s="93" t="str">
        <f t="shared" si="13"/>
        <v/>
      </c>
      <c r="AV176" s="93" t="str">
        <f t="shared" si="14"/>
        <v/>
      </c>
      <c r="AW176" s="93" t="str">
        <f t="shared" si="187"/>
        <v/>
      </c>
      <c r="AX176" s="107" t="str">
        <f t="shared" si="16"/>
        <v/>
      </c>
      <c r="AY176" s="98"/>
      <c r="AZ176" s="108"/>
      <c r="BA176" s="109" t="str">
        <f t="shared" si="17"/>
        <v/>
      </c>
      <c r="BB176" s="98"/>
      <c r="BC176" s="98"/>
      <c r="BD176" s="108"/>
      <c r="BE176" s="143"/>
      <c r="BF176" s="111" t="str">
        <f t="shared" si="18"/>
        <v/>
      </c>
      <c r="BG176" s="112" t="str">
        <f t="shared" si="19"/>
        <v>AG2246__44713_0.208599537037037___Negative_44713_0.34150462962963_</v>
      </c>
      <c r="BH176" s="113" t="str">
        <f t="shared" si="20"/>
        <v/>
      </c>
      <c r="BI176" s="203"/>
      <c r="BJ176" s="114" t="str">
        <f t="shared" si="21"/>
        <v/>
      </c>
      <c r="BK176" s="115" t="b">
        <f t="shared" si="105"/>
        <v>0</v>
      </c>
      <c r="BL176" s="114" t="str">
        <f t="shared" si="23"/>
        <v/>
      </c>
      <c r="BM176" s="108"/>
      <c r="BN176" s="7" t="b">
        <f t="shared" si="24"/>
        <v>1</v>
      </c>
      <c r="BO176" s="7" t="b">
        <f t="shared" si="25"/>
        <v>0</v>
      </c>
      <c r="BP176" s="7" t="b">
        <f t="shared" si="26"/>
        <v>1</v>
      </c>
      <c r="BQ176" s="118"/>
      <c r="BR176" s="119" t="s">
        <v>228</v>
      </c>
      <c r="BS176" s="7" t="b">
        <f t="shared" si="27"/>
        <v>1</v>
      </c>
      <c r="BT176" s="7"/>
      <c r="BU176" s="7"/>
      <c r="BV176" s="7"/>
      <c r="BW176" s="7"/>
    </row>
    <row r="177">
      <c r="A177" s="86" t="s">
        <v>438</v>
      </c>
      <c r="B177" s="87">
        <v>44713.0</v>
      </c>
      <c r="C177" s="88">
        <v>0.20859953703703704</v>
      </c>
      <c r="D177" s="89"/>
      <c r="E177" s="89"/>
      <c r="F177" s="89"/>
      <c r="G177" s="86"/>
      <c r="H177" s="90"/>
      <c r="I177" s="3"/>
      <c r="J177" s="3"/>
      <c r="K177" s="89" t="s">
        <v>228</v>
      </c>
      <c r="L177" s="36">
        <v>44713.0</v>
      </c>
      <c r="M177" s="91">
        <v>0.34150462962962963</v>
      </c>
      <c r="N177" s="121"/>
      <c r="O177" s="92"/>
      <c r="P177" s="93" t="b">
        <f>IFNA(IF(VLOOKUP($A177,'Add from APT'!$AA$2:$AC264,3,FALSE)&gt;0,TRUE,FALSE),"ER - NOT IN APT")</f>
        <v>0</v>
      </c>
      <c r="Q177" s="94" t="str">
        <f>IF(ISLOGICAL(P177),IF(P177,"ER - REPS IN APT", IFNA(VLOOKUP($A177,RAW_APT!$A$3:$M264,7,FALSE),"ER - NOT IN APT")),P177)</f>
        <v>Result</v>
      </c>
      <c r="R177" s="95" t="b">
        <f t="shared" si="102"/>
        <v>0</v>
      </c>
      <c r="S177" s="96">
        <f t="shared" si="3"/>
        <v>3</v>
      </c>
      <c r="T177" s="97"/>
      <c r="U177" s="3"/>
      <c r="V177" s="3"/>
      <c r="W177" s="98"/>
      <c r="X177" s="99" t="b">
        <f t="shared" si="185"/>
        <v>0</v>
      </c>
      <c r="Y177" s="100"/>
      <c r="Z177" s="101" t="str">
        <f t="shared" si="5"/>
        <v/>
      </c>
      <c r="AA177" s="102" t="b">
        <f t="shared" si="6"/>
        <v>0</v>
      </c>
      <c r="AB177" s="98"/>
      <c r="AC177" s="103">
        <v>89.0</v>
      </c>
      <c r="AD177" s="104"/>
      <c r="AE177" s="105">
        <f t="shared" si="7"/>
        <v>191.3833333</v>
      </c>
      <c r="AF177" s="106" t="b">
        <f t="shared" si="103"/>
        <v>0</v>
      </c>
      <c r="AG177" s="93" t="b">
        <f t="shared" si="9"/>
        <v>0</v>
      </c>
      <c r="AH177" s="103"/>
      <c r="AI177" s="103"/>
      <c r="AJ177" s="97"/>
      <c r="AK177" s="101" t="str">
        <f t="shared" si="10"/>
        <v>Negative</v>
      </c>
      <c r="AL177" s="98"/>
      <c r="AM177" s="94" t="s">
        <v>406</v>
      </c>
      <c r="AN177" s="94" t="s">
        <v>407</v>
      </c>
      <c r="AO177" s="102" t="str">
        <f>IFERROR(__xludf.DUMMYFUNCTION("IF($AG177, ""DELETED"",TRIM(JOIN("" "",D177:E177)))"),"")</f>
        <v/>
      </c>
      <c r="AP177" s="94" t="str">
        <f t="shared" ref="AP177:AQ177" si="217">IF($AG177, "DELETED", TRIM(CONCATENATE(F177,I177,U177)))</f>
        <v/>
      </c>
      <c r="AQ177" s="94" t="str">
        <f t="shared" si="217"/>
        <v/>
      </c>
      <c r="AR177" s="94" t="str">
        <f>IFERROR(__xludf.DUMMYFUNCTION("IF($AG177, ""DELETED"", TRIM(JOIN("" "",AP177,AQ177)))"),"")</f>
        <v/>
      </c>
      <c r="AS177" s="9"/>
      <c r="AT177" s="93" t="b">
        <f t="shared" si="12"/>
        <v>0</v>
      </c>
      <c r="AU177" s="93" t="str">
        <f t="shared" si="13"/>
        <v/>
      </c>
      <c r="AV177" s="93" t="str">
        <f t="shared" si="14"/>
        <v/>
      </c>
      <c r="AW177" s="93" t="str">
        <f t="shared" si="187"/>
        <v/>
      </c>
      <c r="AX177" s="107" t="str">
        <f t="shared" si="16"/>
        <v/>
      </c>
      <c r="AY177" s="98"/>
      <c r="AZ177" s="108"/>
      <c r="BA177" s="109" t="str">
        <f t="shared" si="17"/>
        <v/>
      </c>
      <c r="BB177" s="98"/>
      <c r="BC177" s="98"/>
      <c r="BD177" s="108"/>
      <c r="BE177" s="143"/>
      <c r="BF177" s="111" t="str">
        <f t="shared" si="18"/>
        <v/>
      </c>
      <c r="BG177" s="112" t="str">
        <f t="shared" si="19"/>
        <v>AG2246__44713_0.208599537037037___Negative_44713_0.34150462962963_</v>
      </c>
      <c r="BH177" s="113" t="str">
        <f t="shared" si="20"/>
        <v/>
      </c>
      <c r="BI177" s="203"/>
      <c r="BJ177" s="114" t="str">
        <f t="shared" si="21"/>
        <v/>
      </c>
      <c r="BK177" s="115" t="b">
        <f t="shared" si="105"/>
        <v>0</v>
      </c>
      <c r="BL177" s="114" t="str">
        <f t="shared" si="23"/>
        <v/>
      </c>
      <c r="BM177" s="108"/>
      <c r="BN177" s="7" t="b">
        <f t="shared" si="24"/>
        <v>1</v>
      </c>
      <c r="BO177" s="7" t="b">
        <f t="shared" si="25"/>
        <v>0</v>
      </c>
      <c r="BP177" s="7" t="b">
        <f t="shared" si="26"/>
        <v>1</v>
      </c>
      <c r="BQ177" s="118"/>
      <c r="BR177" s="119" t="s">
        <v>228</v>
      </c>
      <c r="BS177" s="7" t="b">
        <f t="shared" si="27"/>
        <v>1</v>
      </c>
      <c r="BT177" s="7"/>
      <c r="BU177" s="7"/>
      <c r="BV177" s="7"/>
      <c r="BW177" s="7"/>
    </row>
    <row r="178">
      <c r="A178" s="86" t="s">
        <v>438</v>
      </c>
      <c r="B178" s="87">
        <v>44713.0</v>
      </c>
      <c r="C178" s="88">
        <v>0.20859953703703704</v>
      </c>
      <c r="D178" s="89"/>
      <c r="E178" s="89"/>
      <c r="F178" s="3"/>
      <c r="G178" s="120"/>
      <c r="H178" s="121"/>
      <c r="I178" s="89"/>
      <c r="J178" s="89"/>
      <c r="K178" s="89" t="s">
        <v>228</v>
      </c>
      <c r="L178" s="36">
        <v>44713.0</v>
      </c>
      <c r="M178" s="91">
        <v>0.34150462962962963</v>
      </c>
      <c r="N178" s="3"/>
      <c r="O178" s="92"/>
      <c r="P178" s="93" t="b">
        <f>IFNA(IF(VLOOKUP($A178,'Add from APT'!$AA$2:$AC264,3,FALSE)&gt;0,TRUE,FALSE),"ER - NOT IN APT")</f>
        <v>0</v>
      </c>
      <c r="Q178" s="94" t="str">
        <f>IF(ISLOGICAL(P178),IF(P178,"ER - REPS IN APT", IFNA(VLOOKUP($A178,RAW_APT!$A$3:$M264,7,FALSE),"ER - NOT IN APT")),P178)</f>
        <v>Result</v>
      </c>
      <c r="R178" s="95" t="b">
        <f t="shared" si="102"/>
        <v>0</v>
      </c>
      <c r="S178" s="96">
        <f t="shared" si="3"/>
        <v>3</v>
      </c>
      <c r="T178" s="166"/>
      <c r="U178" s="3"/>
      <c r="V178" s="3"/>
      <c r="W178" s="3"/>
      <c r="X178" s="99" t="b">
        <f t="shared" si="185"/>
        <v>0</v>
      </c>
      <c r="Y178" s="7"/>
      <c r="Z178" s="101" t="str">
        <f t="shared" si="5"/>
        <v/>
      </c>
      <c r="AA178" s="102" t="b">
        <f t="shared" si="6"/>
        <v>0</v>
      </c>
      <c r="AB178" s="131"/>
      <c r="AC178" s="130">
        <v>91.0</v>
      </c>
      <c r="AD178" s="132"/>
      <c r="AE178" s="105">
        <f t="shared" si="7"/>
        <v>191.3833333</v>
      </c>
      <c r="AF178" s="106" t="b">
        <f t="shared" si="103"/>
        <v>0</v>
      </c>
      <c r="AG178" s="93" t="b">
        <f t="shared" si="9"/>
        <v>0</v>
      </c>
      <c r="AH178" s="130"/>
      <c r="AI178" s="13"/>
      <c r="AJ178" s="7"/>
      <c r="AK178" s="101" t="str">
        <f t="shared" si="10"/>
        <v>Negative</v>
      </c>
      <c r="AL178" s="98"/>
      <c r="AM178" s="94" t="s">
        <v>406</v>
      </c>
      <c r="AN178" s="94" t="s">
        <v>386</v>
      </c>
      <c r="AO178" s="102" t="str">
        <f>IFERROR(__xludf.DUMMYFUNCTION("IF($AG178, ""DELETED"",TRIM(JOIN("" "",D178:E178)))"),"")</f>
        <v/>
      </c>
      <c r="AP178" s="94" t="str">
        <f t="shared" ref="AP178:AQ178" si="218">IF($AG178, "DELETED", TRIM(CONCATENATE(F178,I178,U178)))</f>
        <v/>
      </c>
      <c r="AQ178" s="94" t="str">
        <f t="shared" si="218"/>
        <v/>
      </c>
      <c r="AR178" s="94" t="str">
        <f>IFERROR(__xludf.DUMMYFUNCTION("IF($AG178, ""DELETED"", TRIM(JOIN("" "",AP178,AQ178)))"),"")</f>
        <v/>
      </c>
      <c r="AS178" s="9"/>
      <c r="AT178" s="93" t="b">
        <f t="shared" si="12"/>
        <v>0</v>
      </c>
      <c r="AU178" s="93" t="str">
        <f t="shared" si="13"/>
        <v/>
      </c>
      <c r="AV178" s="93" t="str">
        <f t="shared" si="14"/>
        <v/>
      </c>
      <c r="AW178" s="93" t="str">
        <f t="shared" si="187"/>
        <v/>
      </c>
      <c r="AX178" s="107" t="str">
        <f t="shared" si="16"/>
        <v/>
      </c>
      <c r="AY178" s="3"/>
      <c r="AZ178" s="129"/>
      <c r="BA178" s="109" t="str">
        <f t="shared" si="17"/>
        <v/>
      </c>
      <c r="BB178" s="3"/>
      <c r="BC178" s="3"/>
      <c r="BD178" s="108"/>
      <c r="BE178" s="134"/>
      <c r="BF178" s="111" t="str">
        <f t="shared" si="18"/>
        <v/>
      </c>
      <c r="BG178" s="112" t="str">
        <f t="shared" si="19"/>
        <v>AG2246__44713_0.208599537037037___Negative_44713_0.34150462962963_</v>
      </c>
      <c r="BH178" s="113" t="str">
        <f t="shared" si="20"/>
        <v/>
      </c>
      <c r="BI178" s="202"/>
      <c r="BJ178" s="114" t="str">
        <f t="shared" si="21"/>
        <v/>
      </c>
      <c r="BK178" s="115" t="b">
        <f t="shared" si="105"/>
        <v>0</v>
      </c>
      <c r="BL178" s="114" t="str">
        <f t="shared" si="23"/>
        <v/>
      </c>
      <c r="BM178" s="108"/>
      <c r="BN178" s="7" t="b">
        <f t="shared" si="24"/>
        <v>1</v>
      </c>
      <c r="BO178" s="7" t="b">
        <f t="shared" si="25"/>
        <v>0</v>
      </c>
      <c r="BP178" s="7" t="b">
        <f t="shared" si="26"/>
        <v>1</v>
      </c>
      <c r="BQ178" s="118"/>
      <c r="BR178" s="119" t="s">
        <v>228</v>
      </c>
      <c r="BS178" s="7" t="b">
        <f t="shared" si="27"/>
        <v>1</v>
      </c>
      <c r="BT178" s="7"/>
      <c r="BU178" s="7"/>
      <c r="BV178" s="7"/>
      <c r="BW178" s="7"/>
    </row>
    <row r="179">
      <c r="A179" s="86" t="s">
        <v>439</v>
      </c>
      <c r="B179" s="87">
        <v>44713.0</v>
      </c>
      <c r="C179" s="88">
        <v>0.25175925925925924</v>
      </c>
      <c r="D179" s="89"/>
      <c r="E179" s="89"/>
      <c r="F179" s="89"/>
      <c r="G179" s="86"/>
      <c r="H179" s="90"/>
      <c r="I179" s="3"/>
      <c r="J179" s="3"/>
      <c r="K179" s="89" t="s">
        <v>228</v>
      </c>
      <c r="L179" s="36">
        <v>44713.0</v>
      </c>
      <c r="M179" s="91">
        <v>0.34150462962962963</v>
      </c>
      <c r="N179" s="3"/>
      <c r="O179" s="92"/>
      <c r="P179" s="93" t="b">
        <f>IFNA(IF(VLOOKUP($A179,'Add from APT'!$AA$2:$AC264,3,FALSE)&gt;0,TRUE,FALSE),"ER - NOT IN APT")</f>
        <v>0</v>
      </c>
      <c r="Q179" s="94" t="str">
        <f>IF(ISLOGICAL(P179),IF(P179,"ER - REPS IN APT", IFNA(VLOOKUP($A179,RAW_APT!$A$3:$M264,7,FALSE),"ER - NOT IN APT")),P179)</f>
        <v>Result</v>
      </c>
      <c r="R179" s="95" t="b">
        <f t="shared" si="102"/>
        <v>1</v>
      </c>
      <c r="S179" s="96">
        <f t="shared" si="3"/>
        <v>1</v>
      </c>
      <c r="T179" s="97"/>
      <c r="U179" s="3"/>
      <c r="V179" s="3"/>
      <c r="W179" s="98"/>
      <c r="X179" s="99" t="b">
        <f t="shared" si="185"/>
        <v>0</v>
      </c>
      <c r="Y179" s="100"/>
      <c r="Z179" s="101" t="str">
        <f t="shared" si="5"/>
        <v/>
      </c>
      <c r="AA179" s="102" t="b">
        <f t="shared" si="6"/>
        <v>0</v>
      </c>
      <c r="AB179" s="98"/>
      <c r="AC179" s="103">
        <v>92.0</v>
      </c>
      <c r="AD179" s="104"/>
      <c r="AE179" s="105">
        <f t="shared" si="7"/>
        <v>129.2333333</v>
      </c>
      <c r="AF179" s="106" t="b">
        <f t="shared" si="103"/>
        <v>0</v>
      </c>
      <c r="AG179" s="93" t="b">
        <f t="shared" si="9"/>
        <v>0</v>
      </c>
      <c r="AH179" s="103"/>
      <c r="AI179" s="103"/>
      <c r="AJ179" s="97"/>
      <c r="AK179" s="101" t="str">
        <f t="shared" si="10"/>
        <v>Negative</v>
      </c>
      <c r="AL179" s="98"/>
      <c r="AM179" s="94" t="s">
        <v>322</v>
      </c>
      <c r="AN179" s="94" t="s">
        <v>323</v>
      </c>
      <c r="AO179" s="102" t="str">
        <f>IFERROR(__xludf.DUMMYFUNCTION("IF($AG179, ""DELETED"",TRIM(JOIN("" "",D179:E179)))"),"")</f>
        <v/>
      </c>
      <c r="AP179" s="94" t="str">
        <f t="shared" ref="AP179:AQ179" si="219">IF($AG179, "DELETED", TRIM(CONCATENATE(F179,I179,U179)))</f>
        <v/>
      </c>
      <c r="AQ179" s="94" t="str">
        <f t="shared" si="219"/>
        <v/>
      </c>
      <c r="AR179" s="94" t="str">
        <f>IFERROR(__xludf.DUMMYFUNCTION("IF($AG179, ""DELETED"", TRIM(JOIN("" "",AP179,AQ179)))"),"")</f>
        <v/>
      </c>
      <c r="AS179" s="9"/>
      <c r="AT179" s="93" t="b">
        <f t="shared" si="12"/>
        <v>0</v>
      </c>
      <c r="AU179" s="93" t="str">
        <f t="shared" si="13"/>
        <v/>
      </c>
      <c r="AV179" s="93" t="str">
        <f t="shared" si="14"/>
        <v/>
      </c>
      <c r="AW179" s="93" t="str">
        <f t="shared" si="187"/>
        <v/>
      </c>
      <c r="AX179" s="107" t="str">
        <f t="shared" si="16"/>
        <v/>
      </c>
      <c r="AY179" s="98"/>
      <c r="AZ179" s="108"/>
      <c r="BA179" s="109" t="str">
        <f t="shared" si="17"/>
        <v/>
      </c>
      <c r="BB179" s="98"/>
      <c r="BC179" s="98"/>
      <c r="BD179" s="108"/>
      <c r="BE179" s="134"/>
      <c r="BF179" s="111" t="str">
        <f t="shared" si="18"/>
        <v/>
      </c>
      <c r="BG179" s="112" t="str">
        <f t="shared" si="19"/>
        <v>AH9625__44713_0.251759259259259___Negative_44713_0.34150462962963_</v>
      </c>
      <c r="BH179" s="113" t="str">
        <f t="shared" si="20"/>
        <v/>
      </c>
      <c r="BI179" s="202"/>
      <c r="BJ179" s="114" t="str">
        <f t="shared" si="21"/>
        <v/>
      </c>
      <c r="BK179" s="115" t="b">
        <f t="shared" si="105"/>
        <v>0</v>
      </c>
      <c r="BL179" s="114" t="str">
        <f t="shared" si="23"/>
        <v/>
      </c>
      <c r="BM179" s="108"/>
      <c r="BN179" s="7" t="b">
        <f t="shared" si="24"/>
        <v>1</v>
      </c>
      <c r="BO179" s="7" t="b">
        <f t="shared" si="25"/>
        <v>0</v>
      </c>
      <c r="BP179" s="7" t="b">
        <f t="shared" si="26"/>
        <v>1</v>
      </c>
      <c r="BQ179" s="118"/>
      <c r="BR179" s="119" t="s">
        <v>228</v>
      </c>
      <c r="BS179" s="7" t="b">
        <f t="shared" si="27"/>
        <v>1</v>
      </c>
      <c r="BT179" s="7"/>
      <c r="BU179" s="7"/>
      <c r="BV179" s="7"/>
      <c r="BW179" s="7"/>
    </row>
    <row r="180">
      <c r="A180" s="86" t="s">
        <v>440</v>
      </c>
      <c r="B180" s="87">
        <v>44713.0</v>
      </c>
      <c r="C180" s="88">
        <v>0.2727893518518518</v>
      </c>
      <c r="D180" s="89"/>
      <c r="E180" s="89"/>
      <c r="F180" s="9"/>
      <c r="H180" s="90"/>
      <c r="I180" s="3"/>
      <c r="J180" s="3"/>
      <c r="K180" s="89" t="s">
        <v>228</v>
      </c>
      <c r="L180" s="36">
        <v>44713.0</v>
      </c>
      <c r="M180" s="91">
        <v>0.34150462962962963</v>
      </c>
      <c r="N180" s="3"/>
      <c r="O180" s="142"/>
      <c r="P180" s="93" t="b">
        <f>IFNA(IF(VLOOKUP($A180,'Add from APT'!$AA$2:$AC264,3,FALSE)&gt;0,TRUE,FALSE),"ER - NOT IN APT")</f>
        <v>0</v>
      </c>
      <c r="Q180" s="94" t="str">
        <f>IF(ISLOGICAL(P180),IF(P180,"ER - REPS IN APT", IFNA(VLOOKUP($A180,RAW_APT!$A$3:$M264,7,FALSE),"ER - NOT IN APT")),P180)</f>
        <v>Result</v>
      </c>
      <c r="R180" s="95" t="b">
        <f t="shared" si="102"/>
        <v>1</v>
      </c>
      <c r="S180" s="96">
        <f t="shared" si="3"/>
        <v>1</v>
      </c>
      <c r="T180" s="103"/>
      <c r="U180" s="3"/>
      <c r="V180" s="3"/>
      <c r="W180" s="98"/>
      <c r="X180" s="99" t="b">
        <f t="shared" si="185"/>
        <v>0</v>
      </c>
      <c r="Y180" s="100"/>
      <c r="Z180" s="101" t="str">
        <f t="shared" si="5"/>
        <v/>
      </c>
      <c r="AA180" s="102" t="b">
        <f t="shared" si="6"/>
        <v>0</v>
      </c>
      <c r="AB180" s="98"/>
      <c r="AC180" s="103">
        <v>93.0</v>
      </c>
      <c r="AD180" s="104"/>
      <c r="AE180" s="105">
        <f t="shared" si="7"/>
        <v>98.95</v>
      </c>
      <c r="AF180" s="106" t="b">
        <f t="shared" si="103"/>
        <v>0</v>
      </c>
      <c r="AG180" s="93" t="b">
        <f t="shared" si="9"/>
        <v>0</v>
      </c>
      <c r="AH180" s="103"/>
      <c r="AI180" s="103"/>
      <c r="AJ180" s="97"/>
      <c r="AK180" s="101" t="str">
        <f t="shared" si="10"/>
        <v>Negative</v>
      </c>
      <c r="AL180" s="104"/>
      <c r="AM180" s="94" t="s">
        <v>365</v>
      </c>
      <c r="AN180" s="94" t="s">
        <v>441</v>
      </c>
      <c r="AO180" s="102" t="str">
        <f>IFERROR(__xludf.DUMMYFUNCTION("IF($AG180, ""DELETED"",TRIM(JOIN("" "",D180:E180)))"),"")</f>
        <v/>
      </c>
      <c r="AP180" s="94" t="str">
        <f t="shared" ref="AP180:AQ180" si="220">IF($AG180, "DELETED", TRIM(CONCATENATE(F180,I180,U180)))</f>
        <v/>
      </c>
      <c r="AQ180" s="94" t="str">
        <f t="shared" si="220"/>
        <v/>
      </c>
      <c r="AR180" s="94" t="str">
        <f>IFERROR(__xludf.DUMMYFUNCTION("IF($AG180, ""DELETED"", TRIM(JOIN("" "",AP180,AQ180)))"),"")</f>
        <v/>
      </c>
      <c r="AS180" s="9"/>
      <c r="AT180" s="93" t="b">
        <f t="shared" si="12"/>
        <v>0</v>
      </c>
      <c r="AU180" s="93" t="str">
        <f t="shared" si="13"/>
        <v/>
      </c>
      <c r="AV180" s="93" t="str">
        <f t="shared" si="14"/>
        <v/>
      </c>
      <c r="AW180" s="93" t="str">
        <f t="shared" si="187"/>
        <v/>
      </c>
      <c r="AX180" s="107" t="str">
        <f t="shared" si="16"/>
        <v/>
      </c>
      <c r="AY180" s="98"/>
      <c r="AZ180" s="108"/>
      <c r="BA180" s="109" t="str">
        <f t="shared" si="17"/>
        <v/>
      </c>
      <c r="BB180" s="98"/>
      <c r="BC180" s="98"/>
      <c r="BD180" s="108"/>
      <c r="BE180" s="134"/>
      <c r="BF180" s="111" t="str">
        <f t="shared" si="18"/>
        <v/>
      </c>
      <c r="BG180" s="112" t="str">
        <f t="shared" si="19"/>
        <v>AG256__44713_0.272789351851852___Negative_44713_0.34150462962963_</v>
      </c>
      <c r="BH180" s="113" t="str">
        <f t="shared" si="20"/>
        <v/>
      </c>
      <c r="BI180" s="202"/>
      <c r="BJ180" s="114" t="str">
        <f t="shared" si="21"/>
        <v/>
      </c>
      <c r="BK180" s="115" t="b">
        <f t="shared" si="105"/>
        <v>0</v>
      </c>
      <c r="BL180" s="114" t="str">
        <f t="shared" si="23"/>
        <v/>
      </c>
      <c r="BM180" s="108"/>
      <c r="BN180" s="7" t="b">
        <f t="shared" si="24"/>
        <v>1</v>
      </c>
      <c r="BO180" s="7" t="b">
        <f t="shared" si="25"/>
        <v>0</v>
      </c>
      <c r="BP180" s="7" t="b">
        <f t="shared" si="26"/>
        <v>1</v>
      </c>
      <c r="BQ180" s="118"/>
      <c r="BR180" s="119" t="s">
        <v>228</v>
      </c>
      <c r="BS180" s="7" t="b">
        <f t="shared" si="27"/>
        <v>1</v>
      </c>
      <c r="BT180" s="7"/>
      <c r="BU180" s="7"/>
      <c r="BV180" s="7"/>
      <c r="BW180" s="7"/>
    </row>
    <row r="181">
      <c r="A181" s="234" t="s">
        <v>442</v>
      </c>
      <c r="B181" s="206">
        <v>44713.0</v>
      </c>
      <c r="C181" s="207">
        <v>0.8386574074074075</v>
      </c>
      <c r="D181" s="208"/>
      <c r="E181" s="208"/>
      <c r="F181" s="208"/>
      <c r="G181" s="205"/>
      <c r="H181" s="208"/>
      <c r="I181" s="210"/>
      <c r="J181" s="210"/>
      <c r="K181" s="208" t="s">
        <v>205</v>
      </c>
      <c r="L181" s="211"/>
      <c r="M181" s="212"/>
      <c r="N181" s="210"/>
      <c r="O181" s="235"/>
      <c r="P181" s="214" t="b">
        <f>IFNA(IF(VLOOKUP($A181,'Add from APT'!$AA$2:$AC264,3,FALSE)&gt;0,TRUE,FALSE),"ER - NOT IN APT")</f>
        <v>0</v>
      </c>
      <c r="Q181" s="210" t="str">
        <f>IF(ISLOGICAL(P181),IF(P181,"ER - REPS IN APT", IFNA(VLOOKUP($A181,RAW_APT!$A$3:$M264,7,FALSE),"ER - NOT IN APT")),P181)</f>
        <v>Collected</v>
      </c>
      <c r="R181" s="215" t="b">
        <f t="shared" si="102"/>
        <v>1</v>
      </c>
      <c r="S181" s="215">
        <f t="shared" si="3"/>
        <v>3</v>
      </c>
      <c r="T181" s="216"/>
      <c r="U181" s="210"/>
      <c r="V181" s="210"/>
      <c r="W181" s="217"/>
      <c r="X181" s="218" t="b">
        <f t="shared" si="185"/>
        <v>0</v>
      </c>
      <c r="Y181" s="219"/>
      <c r="Z181" s="220" t="str">
        <f t="shared" si="5"/>
        <v/>
      </c>
      <c r="AA181" s="217" t="b">
        <f t="shared" si="6"/>
        <v>0</v>
      </c>
      <c r="AB181" s="217"/>
      <c r="AC181" s="215">
        <v>95.0</v>
      </c>
      <c r="AD181" s="220"/>
      <c r="AE181" s="221" t="str">
        <f t="shared" si="7"/>
        <v/>
      </c>
      <c r="AF181" s="214" t="b">
        <f t="shared" si="103"/>
        <v>0</v>
      </c>
      <c r="AG181" s="214" t="b">
        <f t="shared" si="9"/>
        <v>1</v>
      </c>
      <c r="AH181" s="215">
        <v>9.1</v>
      </c>
      <c r="AI181" s="215"/>
      <c r="AJ181" s="216"/>
      <c r="AK181" s="220" t="str">
        <f t="shared" si="10"/>
        <v>DELETED</v>
      </c>
      <c r="AL181" s="220" t="s">
        <v>443</v>
      </c>
      <c r="AM181" s="94" t="s">
        <v>206</v>
      </c>
      <c r="AN181" s="94" t="s">
        <v>206</v>
      </c>
      <c r="AO181" s="217" t="str">
        <f>IFERROR(__xludf.DUMMYFUNCTION("IF($AG181, ""DELETED"",TRIM(JOIN("" "",D181:E181)))"),"DELETED")</f>
        <v>DELETED</v>
      </c>
      <c r="AP181" s="210" t="str">
        <f t="shared" ref="AP181:AQ181" si="221">IF($AG181, "DELETED", TRIM(CONCATENATE(F181,I181,U181)))</f>
        <v>DELETED</v>
      </c>
      <c r="AQ181" s="210" t="str">
        <f t="shared" si="221"/>
        <v>DELETED</v>
      </c>
      <c r="AR181" s="210" t="str">
        <f>IFERROR(__xludf.DUMMYFUNCTION("IF($AG181, ""DELETED"", TRIM(JOIN("" "",AP181,AQ181)))"),"DELETED")</f>
        <v>DELETED</v>
      </c>
      <c r="AS181" s="222"/>
      <c r="AT181" s="214" t="b">
        <f t="shared" si="12"/>
        <v>1</v>
      </c>
      <c r="AU181" s="214" t="str">
        <f t="shared" si="13"/>
        <v/>
      </c>
      <c r="AV181" s="214" t="str">
        <f t="shared" si="14"/>
        <v/>
      </c>
      <c r="AW181" s="214" t="str">
        <f t="shared" si="187"/>
        <v/>
      </c>
      <c r="AX181" s="223" t="str">
        <f t="shared" si="16"/>
        <v/>
      </c>
      <c r="AY181" s="217"/>
      <c r="AZ181" s="108"/>
      <c r="BA181" s="220" t="str">
        <f t="shared" si="17"/>
        <v/>
      </c>
      <c r="BB181" s="217"/>
      <c r="BC181" s="217"/>
      <c r="BD181" s="217"/>
      <c r="BE181" s="224"/>
      <c r="BF181" s="225" t="str">
        <f t="shared" si="18"/>
        <v/>
      </c>
      <c r="BG181" s="226" t="str">
        <f t="shared" si="19"/>
        <v/>
      </c>
      <c r="BH181" s="227" t="str">
        <f t="shared" si="20"/>
        <v/>
      </c>
      <c r="BI181" s="228"/>
      <c r="BJ181" s="229" t="str">
        <f t="shared" si="21"/>
        <v/>
      </c>
      <c r="BK181" s="230" t="b">
        <f t="shared" si="105"/>
        <v>0</v>
      </c>
      <c r="BL181" s="229" t="str">
        <f t="shared" si="23"/>
        <v/>
      </c>
      <c r="BM181" s="217"/>
      <c r="BN181" s="214" t="b">
        <f t="shared" si="24"/>
        <v>0</v>
      </c>
      <c r="BO181" s="214" t="b">
        <f t="shared" si="25"/>
        <v>0</v>
      </c>
      <c r="BP181" s="214" t="b">
        <f t="shared" si="26"/>
        <v>0</v>
      </c>
      <c r="BQ181" s="118"/>
      <c r="BR181" s="231" t="s">
        <v>206</v>
      </c>
      <c r="BS181" s="7" t="b">
        <f t="shared" si="27"/>
        <v>1</v>
      </c>
      <c r="BT181" s="214"/>
      <c r="BU181" s="214"/>
      <c r="BV181" s="214"/>
      <c r="BW181" s="214"/>
    </row>
    <row r="182">
      <c r="A182" s="234" t="s">
        <v>442</v>
      </c>
      <c r="B182" s="206">
        <v>44713.0</v>
      </c>
      <c r="C182" s="207">
        <v>0.8386574074074075</v>
      </c>
      <c r="D182" s="208"/>
      <c r="E182" s="208"/>
      <c r="F182" s="208"/>
      <c r="G182" s="205"/>
      <c r="H182" s="209"/>
      <c r="I182" s="210"/>
      <c r="J182" s="210"/>
      <c r="K182" s="208" t="s">
        <v>205</v>
      </c>
      <c r="L182" s="211"/>
      <c r="M182" s="212"/>
      <c r="N182" s="210"/>
      <c r="O182" s="235"/>
      <c r="P182" s="214" t="b">
        <f>IFNA(IF(VLOOKUP($A182,'Add from APT'!$AA$2:$AC264,3,FALSE)&gt;0,TRUE,FALSE),"ER - NOT IN APT")</f>
        <v>0</v>
      </c>
      <c r="Q182" s="210" t="str">
        <f>IF(ISLOGICAL(P182),IF(P182,"ER - REPS IN APT", IFNA(VLOOKUP($A182,RAW_APT!$A$3:$M264,7,FALSE),"ER - NOT IN APT")),P182)</f>
        <v>Collected</v>
      </c>
      <c r="R182" s="215" t="b">
        <f t="shared" si="102"/>
        <v>0</v>
      </c>
      <c r="S182" s="215">
        <f t="shared" si="3"/>
        <v>3</v>
      </c>
      <c r="T182" s="216"/>
      <c r="U182" s="210"/>
      <c r="V182" s="210"/>
      <c r="W182" s="217"/>
      <c r="X182" s="218" t="b">
        <f t="shared" si="185"/>
        <v>0</v>
      </c>
      <c r="Y182" s="219"/>
      <c r="Z182" s="220" t="str">
        <f t="shared" si="5"/>
        <v/>
      </c>
      <c r="AA182" s="217" t="b">
        <f t="shared" si="6"/>
        <v>0</v>
      </c>
      <c r="AB182" s="217"/>
      <c r="AC182" s="215">
        <v>96.0</v>
      </c>
      <c r="AD182" s="220"/>
      <c r="AE182" s="221" t="str">
        <f t="shared" si="7"/>
        <v/>
      </c>
      <c r="AF182" s="214" t="b">
        <f t="shared" si="103"/>
        <v>0</v>
      </c>
      <c r="AG182" s="214" t="b">
        <f t="shared" si="9"/>
        <v>1</v>
      </c>
      <c r="AH182" s="215">
        <v>9.1</v>
      </c>
      <c r="AI182" s="215"/>
      <c r="AJ182" s="216"/>
      <c r="AK182" s="220" t="str">
        <f t="shared" si="10"/>
        <v>DELETED</v>
      </c>
      <c r="AL182" s="220" t="s">
        <v>443</v>
      </c>
      <c r="AM182" s="94" t="s">
        <v>206</v>
      </c>
      <c r="AN182" s="94" t="s">
        <v>206</v>
      </c>
      <c r="AO182" s="217" t="str">
        <f>IFERROR(__xludf.DUMMYFUNCTION("IF($AG182, ""DELETED"",TRIM(JOIN("" "",D182:E182)))"),"DELETED")</f>
        <v>DELETED</v>
      </c>
      <c r="AP182" s="210" t="str">
        <f t="shared" ref="AP182:AQ182" si="222">IF($AG182, "DELETED", TRIM(CONCATENATE(F182,I182,U182)))</f>
        <v>DELETED</v>
      </c>
      <c r="AQ182" s="210" t="str">
        <f t="shared" si="222"/>
        <v>DELETED</v>
      </c>
      <c r="AR182" s="210" t="str">
        <f>IFERROR(__xludf.DUMMYFUNCTION("IF($AG182, ""DELETED"", TRIM(JOIN("" "",AP182,AQ182)))"),"DELETED")</f>
        <v>DELETED</v>
      </c>
      <c r="AS182" s="222"/>
      <c r="AT182" s="214" t="b">
        <f t="shared" si="12"/>
        <v>1</v>
      </c>
      <c r="AU182" s="214" t="str">
        <f t="shared" si="13"/>
        <v/>
      </c>
      <c r="AV182" s="214" t="str">
        <f t="shared" si="14"/>
        <v/>
      </c>
      <c r="AW182" s="214" t="str">
        <f t="shared" si="187"/>
        <v/>
      </c>
      <c r="AX182" s="223" t="str">
        <f t="shared" si="16"/>
        <v/>
      </c>
      <c r="AY182" s="217"/>
      <c r="AZ182" s="108"/>
      <c r="BA182" s="220" t="str">
        <f t="shared" si="17"/>
        <v/>
      </c>
      <c r="BB182" s="217"/>
      <c r="BC182" s="217"/>
      <c r="BD182" s="217"/>
      <c r="BE182" s="224"/>
      <c r="BF182" s="225" t="str">
        <f t="shared" si="18"/>
        <v/>
      </c>
      <c r="BG182" s="226" t="str">
        <f t="shared" si="19"/>
        <v/>
      </c>
      <c r="BH182" s="227" t="str">
        <f t="shared" si="20"/>
        <v/>
      </c>
      <c r="BI182" s="228"/>
      <c r="BJ182" s="229" t="str">
        <f t="shared" si="21"/>
        <v/>
      </c>
      <c r="BK182" s="230" t="b">
        <f t="shared" si="105"/>
        <v>0</v>
      </c>
      <c r="BL182" s="229" t="str">
        <f t="shared" si="23"/>
        <v/>
      </c>
      <c r="BM182" s="217"/>
      <c r="BN182" s="214" t="b">
        <f t="shared" si="24"/>
        <v>0</v>
      </c>
      <c r="BO182" s="214" t="b">
        <f t="shared" si="25"/>
        <v>0</v>
      </c>
      <c r="BP182" s="214" t="b">
        <f t="shared" si="26"/>
        <v>0</v>
      </c>
      <c r="BQ182" s="118"/>
      <c r="BR182" s="231" t="s">
        <v>206</v>
      </c>
      <c r="BS182" s="7" t="b">
        <f t="shared" si="27"/>
        <v>1</v>
      </c>
      <c r="BT182" s="214"/>
      <c r="BU182" s="214"/>
      <c r="BV182" s="214"/>
      <c r="BW182" s="214"/>
    </row>
    <row r="183">
      <c r="A183" s="234" t="s">
        <v>442</v>
      </c>
      <c r="B183" s="206">
        <v>44713.0</v>
      </c>
      <c r="C183" s="207">
        <v>0.8386574074074075</v>
      </c>
      <c r="D183" s="208"/>
      <c r="E183" s="208"/>
      <c r="F183" s="208"/>
      <c r="G183" s="205"/>
      <c r="H183" s="208"/>
      <c r="I183" s="236"/>
      <c r="J183" s="210"/>
      <c r="K183" s="208" t="s">
        <v>205</v>
      </c>
      <c r="L183" s="211"/>
      <c r="M183" s="212"/>
      <c r="N183" s="210"/>
      <c r="O183" s="235"/>
      <c r="P183" s="214" t="b">
        <f>IFNA(IF(VLOOKUP($A183,'Add from APT'!$AA$2:$AC264,3,FALSE)&gt;0,TRUE,FALSE),"ER - NOT IN APT")</f>
        <v>0</v>
      </c>
      <c r="Q183" s="210" t="str">
        <f>IF(ISLOGICAL(P183),IF(P183,"ER - REPS IN APT", IFNA(VLOOKUP($A183,RAW_APT!$A$3:$M264,7,FALSE),"ER - NOT IN APT")),P183)</f>
        <v>Collected</v>
      </c>
      <c r="R183" s="215" t="b">
        <f t="shared" si="102"/>
        <v>0</v>
      </c>
      <c r="S183" s="215">
        <f t="shared" si="3"/>
        <v>3</v>
      </c>
      <c r="T183" s="216"/>
      <c r="U183" s="210"/>
      <c r="V183" s="210"/>
      <c r="W183" s="217"/>
      <c r="X183" s="218" t="b">
        <f t="shared" si="185"/>
        <v>0</v>
      </c>
      <c r="Y183" s="219"/>
      <c r="Z183" s="220" t="str">
        <f t="shared" si="5"/>
        <v/>
      </c>
      <c r="AA183" s="217" t="b">
        <f t="shared" si="6"/>
        <v>0</v>
      </c>
      <c r="AB183" s="217"/>
      <c r="AC183" s="215">
        <v>94.0</v>
      </c>
      <c r="AD183" s="220"/>
      <c r="AE183" s="221" t="str">
        <f t="shared" si="7"/>
        <v/>
      </c>
      <c r="AF183" s="214" t="b">
        <f t="shared" si="103"/>
        <v>0</v>
      </c>
      <c r="AG183" s="214" t="b">
        <f t="shared" si="9"/>
        <v>1</v>
      </c>
      <c r="AH183" s="215">
        <v>9.1</v>
      </c>
      <c r="AI183" s="215"/>
      <c r="AJ183" s="216"/>
      <c r="AK183" s="220" t="str">
        <f t="shared" si="10"/>
        <v>DELETED</v>
      </c>
      <c r="AL183" s="220" t="s">
        <v>443</v>
      </c>
      <c r="AM183" s="94" t="s">
        <v>206</v>
      </c>
      <c r="AN183" s="94" t="s">
        <v>206</v>
      </c>
      <c r="AO183" s="217" t="str">
        <f>IFERROR(__xludf.DUMMYFUNCTION("IF($AG183, ""DELETED"",TRIM(JOIN("" "",D183:E183)))"),"DELETED")</f>
        <v>DELETED</v>
      </c>
      <c r="AP183" s="210" t="str">
        <f t="shared" ref="AP183:AQ183" si="223">IF($AG183, "DELETED", TRIM(CONCATENATE(F183,I183,U183)))</f>
        <v>DELETED</v>
      </c>
      <c r="AQ183" s="210" t="str">
        <f t="shared" si="223"/>
        <v>DELETED</v>
      </c>
      <c r="AR183" s="210" t="str">
        <f>IFERROR(__xludf.DUMMYFUNCTION("IF($AG183, ""DELETED"", TRIM(JOIN("" "",AP183,AQ183)))"),"DELETED")</f>
        <v>DELETED</v>
      </c>
      <c r="AS183" s="222"/>
      <c r="AT183" s="214" t="b">
        <f t="shared" si="12"/>
        <v>1</v>
      </c>
      <c r="AU183" s="214" t="str">
        <f t="shared" si="13"/>
        <v/>
      </c>
      <c r="AV183" s="214" t="str">
        <f t="shared" si="14"/>
        <v/>
      </c>
      <c r="AW183" s="214" t="str">
        <f t="shared" si="187"/>
        <v/>
      </c>
      <c r="AX183" s="223" t="str">
        <f t="shared" si="16"/>
        <v/>
      </c>
      <c r="AY183" s="217"/>
      <c r="AZ183" s="108"/>
      <c r="BA183" s="220" t="str">
        <f t="shared" si="17"/>
        <v/>
      </c>
      <c r="BB183" s="217"/>
      <c r="BC183" s="217"/>
      <c r="BD183" s="217"/>
      <c r="BE183" s="229"/>
      <c r="BF183" s="225" t="str">
        <f t="shared" si="18"/>
        <v/>
      </c>
      <c r="BG183" s="226" t="str">
        <f t="shared" si="19"/>
        <v/>
      </c>
      <c r="BH183" s="227" t="str">
        <f t="shared" si="20"/>
        <v/>
      </c>
      <c r="BI183" s="237"/>
      <c r="BJ183" s="229" t="str">
        <f t="shared" si="21"/>
        <v/>
      </c>
      <c r="BK183" s="230" t="b">
        <f t="shared" si="105"/>
        <v>0</v>
      </c>
      <c r="BL183" s="229" t="str">
        <f t="shared" si="23"/>
        <v/>
      </c>
      <c r="BM183" s="217"/>
      <c r="BN183" s="214" t="b">
        <f t="shared" si="24"/>
        <v>0</v>
      </c>
      <c r="BO183" s="214" t="b">
        <f t="shared" si="25"/>
        <v>0</v>
      </c>
      <c r="BP183" s="214" t="b">
        <f t="shared" si="26"/>
        <v>0</v>
      </c>
      <c r="BQ183" s="118"/>
      <c r="BR183" s="231" t="s">
        <v>206</v>
      </c>
      <c r="BS183" s="7" t="b">
        <f t="shared" si="27"/>
        <v>1</v>
      </c>
      <c r="BT183" s="214"/>
      <c r="BU183" s="214"/>
      <c r="BV183" s="214"/>
      <c r="BW183" s="214"/>
    </row>
    <row r="184">
      <c r="A184" s="86" t="s">
        <v>444</v>
      </c>
      <c r="B184" s="87">
        <v>44718.0</v>
      </c>
      <c r="C184" s="88">
        <v>0.1569212962962963</v>
      </c>
      <c r="D184" s="89"/>
      <c r="E184" s="89"/>
      <c r="F184" s="89"/>
      <c r="G184" s="86"/>
      <c r="H184" s="90"/>
      <c r="I184" s="3"/>
      <c r="J184" s="3"/>
      <c r="K184" s="89" t="s">
        <v>228</v>
      </c>
      <c r="L184" s="36">
        <v>44718.0</v>
      </c>
      <c r="M184" s="91">
        <v>0.36497685185185186</v>
      </c>
      <c r="N184" s="121"/>
      <c r="O184" s="142"/>
      <c r="P184" s="93" t="b">
        <f>IFNA(IF(VLOOKUP($A184,'Add from APT'!$AA$2:$AC264,3,FALSE)&gt;0,TRUE,FALSE),"ER - NOT IN APT")</f>
        <v>0</v>
      </c>
      <c r="Q184" s="94" t="str">
        <f>IF(ISLOGICAL(P184),IF(P184,"ER - REPS IN APT", IFNA(VLOOKUP($A184,RAW_APT!$A$3:$M264,7,FALSE),"ER - NOT IN APT")),P184)</f>
        <v>Result</v>
      </c>
      <c r="R184" s="95" t="b">
        <f t="shared" si="102"/>
        <v>1</v>
      </c>
      <c r="S184" s="96">
        <f t="shared" si="3"/>
        <v>3</v>
      </c>
      <c r="T184" s="97"/>
      <c r="U184" s="3"/>
      <c r="V184" s="3"/>
      <c r="W184" s="98"/>
      <c r="X184" s="99" t="b">
        <f t="shared" si="185"/>
        <v>0</v>
      </c>
      <c r="Y184" s="100"/>
      <c r="Z184" s="101" t="str">
        <f t="shared" si="5"/>
        <v/>
      </c>
      <c r="AA184" s="102" t="b">
        <f t="shared" si="6"/>
        <v>0</v>
      </c>
      <c r="AB184" s="98"/>
      <c r="AC184" s="103">
        <v>56.0</v>
      </c>
      <c r="AD184" s="104"/>
      <c r="AE184" s="105">
        <f t="shared" si="7"/>
        <v>299.6</v>
      </c>
      <c r="AF184" s="106" t="b">
        <f t="shared" si="103"/>
        <v>0</v>
      </c>
      <c r="AG184" s="93" t="b">
        <f t="shared" si="9"/>
        <v>0</v>
      </c>
      <c r="AH184" s="103"/>
      <c r="AI184" s="103"/>
      <c r="AJ184" s="97"/>
      <c r="AK184" s="101" t="str">
        <f t="shared" si="10"/>
        <v>Negative</v>
      </c>
      <c r="AL184" s="98"/>
      <c r="AM184" s="94" t="s">
        <v>372</v>
      </c>
      <c r="AN184" s="94" t="s">
        <v>373</v>
      </c>
      <c r="AO184" s="102" t="str">
        <f>IFERROR(__xludf.DUMMYFUNCTION("IF($AG184, ""DELETED"",TRIM(JOIN("" "",D184:E184)))"),"")</f>
        <v/>
      </c>
      <c r="AP184" s="94" t="str">
        <f t="shared" ref="AP184:AQ184" si="224">IF($AG184, "DELETED", TRIM(CONCATENATE(F184,I184,U184)))</f>
        <v/>
      </c>
      <c r="AQ184" s="94" t="str">
        <f t="shared" si="224"/>
        <v/>
      </c>
      <c r="AR184" s="94" t="str">
        <f>IFERROR(__xludf.DUMMYFUNCTION("IF($AG184, ""DELETED"", TRIM(JOIN("" "",AP184,AQ184)))"),"")</f>
        <v/>
      </c>
      <c r="AS184" s="9"/>
      <c r="AT184" s="93" t="b">
        <f t="shared" si="12"/>
        <v>0</v>
      </c>
      <c r="AU184" s="93" t="str">
        <f t="shared" si="13"/>
        <v/>
      </c>
      <c r="AV184" s="93" t="str">
        <f t="shared" si="14"/>
        <v/>
      </c>
      <c r="AW184" s="93" t="str">
        <f t="shared" si="187"/>
        <v/>
      </c>
      <c r="AX184" s="107" t="str">
        <f t="shared" si="16"/>
        <v/>
      </c>
      <c r="AY184" s="98"/>
      <c r="AZ184" s="108"/>
      <c r="BA184" s="109" t="str">
        <f t="shared" si="17"/>
        <v/>
      </c>
      <c r="BB184" s="98"/>
      <c r="BC184" s="98"/>
      <c r="BD184" s="108"/>
      <c r="BE184" s="143"/>
      <c r="BF184" s="111" t="str">
        <f t="shared" si="18"/>
        <v/>
      </c>
      <c r="BG184" s="112" t="str">
        <f t="shared" si="19"/>
        <v>AG1608__44718_0.156921296296296___Negative_44718_0.364976851851852_</v>
      </c>
      <c r="BH184" s="113" t="str">
        <f t="shared" si="20"/>
        <v/>
      </c>
      <c r="BI184" s="203"/>
      <c r="BJ184" s="114" t="str">
        <f t="shared" si="21"/>
        <v/>
      </c>
      <c r="BK184" s="115" t="b">
        <f t="shared" si="105"/>
        <v>0</v>
      </c>
      <c r="BL184" s="114" t="str">
        <f t="shared" si="23"/>
        <v/>
      </c>
      <c r="BM184" s="108"/>
      <c r="BN184" s="7" t="b">
        <f t="shared" si="24"/>
        <v>1</v>
      </c>
      <c r="BO184" s="7" t="b">
        <f t="shared" si="25"/>
        <v>0</v>
      </c>
      <c r="BP184" s="7" t="b">
        <f t="shared" si="26"/>
        <v>1</v>
      </c>
      <c r="BQ184" s="118"/>
      <c r="BR184" s="119" t="s">
        <v>228</v>
      </c>
      <c r="BS184" s="7" t="b">
        <f t="shared" si="27"/>
        <v>1</v>
      </c>
      <c r="BT184" s="7"/>
      <c r="BU184" s="7"/>
      <c r="BV184" s="7"/>
      <c r="BW184" s="7"/>
    </row>
    <row r="185">
      <c r="A185" s="86" t="s">
        <v>444</v>
      </c>
      <c r="B185" s="87">
        <v>44718.0</v>
      </c>
      <c r="C185" s="88">
        <v>0.1569212962962963</v>
      </c>
      <c r="D185" s="89"/>
      <c r="E185" s="89"/>
      <c r="F185" s="89"/>
      <c r="G185" s="86"/>
      <c r="H185" s="90"/>
      <c r="I185" s="3"/>
      <c r="J185" s="3"/>
      <c r="K185" s="89" t="s">
        <v>228</v>
      </c>
      <c r="L185" s="36">
        <v>44718.0</v>
      </c>
      <c r="M185" s="91">
        <v>0.36497685185185186</v>
      </c>
      <c r="N185" s="3"/>
      <c r="O185" s="142"/>
      <c r="P185" s="93" t="b">
        <f>IFNA(IF(VLOOKUP($A185,'Add from APT'!$AA$2:$AC264,3,FALSE)&gt;0,TRUE,FALSE),"ER - NOT IN APT")</f>
        <v>0</v>
      </c>
      <c r="Q185" s="94" t="str">
        <f>IF(ISLOGICAL(P185),IF(P185,"ER - REPS IN APT", IFNA(VLOOKUP($A185,RAW_APT!$A$3:$M264,7,FALSE),"ER - NOT IN APT")),P185)</f>
        <v>Result</v>
      </c>
      <c r="R185" s="95" t="b">
        <f t="shared" si="102"/>
        <v>0</v>
      </c>
      <c r="S185" s="96">
        <f t="shared" si="3"/>
        <v>3</v>
      </c>
      <c r="T185" s="97"/>
      <c r="U185" s="3"/>
      <c r="V185" s="3"/>
      <c r="W185" s="98"/>
      <c r="X185" s="99" t="b">
        <f t="shared" si="185"/>
        <v>0</v>
      </c>
      <c r="Y185" s="100"/>
      <c r="Z185" s="101" t="str">
        <f t="shared" si="5"/>
        <v/>
      </c>
      <c r="AA185" s="102" t="b">
        <f t="shared" si="6"/>
        <v>0</v>
      </c>
      <c r="AB185" s="98"/>
      <c r="AC185" s="103">
        <v>57.0</v>
      </c>
      <c r="AD185" s="104"/>
      <c r="AE185" s="105">
        <f t="shared" si="7"/>
        <v>299.6</v>
      </c>
      <c r="AF185" s="106" t="b">
        <f t="shared" si="103"/>
        <v>0</v>
      </c>
      <c r="AG185" s="93" t="b">
        <f t="shared" si="9"/>
        <v>0</v>
      </c>
      <c r="AH185" s="103"/>
      <c r="AI185" s="103"/>
      <c r="AJ185" s="97"/>
      <c r="AK185" s="101" t="str">
        <f t="shared" si="10"/>
        <v>Negative</v>
      </c>
      <c r="AL185" s="98"/>
      <c r="AM185" s="94" t="s">
        <v>372</v>
      </c>
      <c r="AN185" s="94" t="s">
        <v>375</v>
      </c>
      <c r="AO185" s="102" t="str">
        <f>IFERROR(__xludf.DUMMYFUNCTION("IF($AG185, ""DELETED"",TRIM(JOIN("" "",D185:E185)))"),"")</f>
        <v/>
      </c>
      <c r="AP185" s="94" t="str">
        <f t="shared" ref="AP185:AQ185" si="225">IF($AG185, "DELETED", TRIM(CONCATENATE(F185,I185,U185)))</f>
        <v/>
      </c>
      <c r="AQ185" s="94" t="str">
        <f t="shared" si="225"/>
        <v/>
      </c>
      <c r="AR185" s="94" t="str">
        <f>IFERROR(__xludf.DUMMYFUNCTION("IF($AG185, ""DELETED"", TRIM(JOIN("" "",AP185,AQ185)))"),"")</f>
        <v/>
      </c>
      <c r="AS185" s="9"/>
      <c r="AT185" s="93" t="b">
        <f t="shared" si="12"/>
        <v>0</v>
      </c>
      <c r="AU185" s="93" t="str">
        <f t="shared" si="13"/>
        <v/>
      </c>
      <c r="AV185" s="93" t="str">
        <f t="shared" si="14"/>
        <v/>
      </c>
      <c r="AW185" s="93" t="str">
        <f t="shared" si="187"/>
        <v/>
      </c>
      <c r="AX185" s="107" t="str">
        <f t="shared" si="16"/>
        <v/>
      </c>
      <c r="AY185" s="98"/>
      <c r="AZ185" s="108"/>
      <c r="BA185" s="109" t="str">
        <f t="shared" si="17"/>
        <v/>
      </c>
      <c r="BB185" s="98"/>
      <c r="BC185" s="98"/>
      <c r="BD185" s="108"/>
      <c r="BE185" s="143"/>
      <c r="BF185" s="111" t="str">
        <f t="shared" si="18"/>
        <v/>
      </c>
      <c r="BG185" s="112" t="str">
        <f t="shared" si="19"/>
        <v>AG1608__44718_0.156921296296296___Negative_44718_0.364976851851852_</v>
      </c>
      <c r="BH185" s="113" t="str">
        <f t="shared" si="20"/>
        <v/>
      </c>
      <c r="BI185" s="203"/>
      <c r="BJ185" s="114" t="str">
        <f t="shared" si="21"/>
        <v/>
      </c>
      <c r="BK185" s="115" t="b">
        <f t="shared" si="105"/>
        <v>0</v>
      </c>
      <c r="BL185" s="114" t="str">
        <f t="shared" si="23"/>
        <v/>
      </c>
      <c r="BM185" s="108"/>
      <c r="BN185" s="7" t="b">
        <f t="shared" si="24"/>
        <v>1</v>
      </c>
      <c r="BO185" s="7" t="b">
        <f t="shared" si="25"/>
        <v>0</v>
      </c>
      <c r="BP185" s="7" t="b">
        <f t="shared" si="26"/>
        <v>1</v>
      </c>
      <c r="BQ185" s="118"/>
      <c r="BR185" s="119" t="s">
        <v>228</v>
      </c>
      <c r="BS185" s="7" t="b">
        <f t="shared" si="27"/>
        <v>1</v>
      </c>
      <c r="BT185" s="7"/>
      <c r="BU185" s="7"/>
      <c r="BV185" s="7"/>
      <c r="BW185" s="7"/>
    </row>
    <row r="186">
      <c r="A186" s="86" t="s">
        <v>444</v>
      </c>
      <c r="B186" s="87">
        <v>44718.0</v>
      </c>
      <c r="C186" s="88">
        <v>0.1569212962962963</v>
      </c>
      <c r="D186" s="89"/>
      <c r="E186" s="89"/>
      <c r="F186" s="89"/>
      <c r="G186" s="86"/>
      <c r="H186" s="90"/>
      <c r="I186" s="3"/>
      <c r="J186" s="3"/>
      <c r="K186" s="89" t="s">
        <v>228</v>
      </c>
      <c r="L186" s="36">
        <v>44718.0</v>
      </c>
      <c r="M186" s="91">
        <v>0.36497685185185186</v>
      </c>
      <c r="N186" s="121"/>
      <c r="O186" s="142"/>
      <c r="P186" s="93" t="b">
        <f>IFNA(IF(VLOOKUP($A186,'Add from APT'!$AA$2:$AC264,3,FALSE)&gt;0,TRUE,FALSE),"ER - NOT IN APT")</f>
        <v>0</v>
      </c>
      <c r="Q186" s="94" t="str">
        <f>IF(ISLOGICAL(P186),IF(P186,"ER - REPS IN APT", IFNA(VLOOKUP($A186,RAW_APT!$A$3:$M264,7,FALSE),"ER - NOT IN APT")),P186)</f>
        <v>Result</v>
      </c>
      <c r="R186" s="95" t="b">
        <f t="shared" si="102"/>
        <v>0</v>
      </c>
      <c r="S186" s="96">
        <f t="shared" si="3"/>
        <v>3</v>
      </c>
      <c r="T186" s="97"/>
      <c r="U186" s="3"/>
      <c r="V186" s="3"/>
      <c r="W186" s="98"/>
      <c r="X186" s="99" t="b">
        <f t="shared" si="185"/>
        <v>0</v>
      </c>
      <c r="Y186" s="100"/>
      <c r="Z186" s="101" t="str">
        <f t="shared" si="5"/>
        <v/>
      </c>
      <c r="AA186" s="102" t="b">
        <f t="shared" si="6"/>
        <v>0</v>
      </c>
      <c r="AB186" s="98"/>
      <c r="AC186" s="103">
        <v>55.0</v>
      </c>
      <c r="AD186" s="104"/>
      <c r="AE186" s="105">
        <f t="shared" si="7"/>
        <v>299.6</v>
      </c>
      <c r="AF186" s="106" t="b">
        <f t="shared" si="103"/>
        <v>0</v>
      </c>
      <c r="AG186" s="93" t="b">
        <f t="shared" si="9"/>
        <v>0</v>
      </c>
      <c r="AH186" s="103"/>
      <c r="AI186" s="103"/>
      <c r="AJ186" s="97"/>
      <c r="AK186" s="101" t="str">
        <f t="shared" si="10"/>
        <v>Negative</v>
      </c>
      <c r="AL186" s="98"/>
      <c r="AM186" s="94" t="s">
        <v>372</v>
      </c>
      <c r="AN186" s="94" t="s">
        <v>376</v>
      </c>
      <c r="AO186" s="102" t="str">
        <f>IFERROR(__xludf.DUMMYFUNCTION("IF($AG186, ""DELETED"",TRIM(JOIN("" "",D186:E186)))"),"")</f>
        <v/>
      </c>
      <c r="AP186" s="94" t="str">
        <f t="shared" ref="AP186:AQ186" si="226">IF($AG186, "DELETED", TRIM(CONCATENATE(F186,I186,U186)))</f>
        <v/>
      </c>
      <c r="AQ186" s="94" t="str">
        <f t="shared" si="226"/>
        <v/>
      </c>
      <c r="AR186" s="94" t="str">
        <f>IFERROR(__xludf.DUMMYFUNCTION("IF($AG186, ""DELETED"", TRIM(JOIN("" "",AP186,AQ186)))"),"")</f>
        <v/>
      </c>
      <c r="AS186" s="9"/>
      <c r="AT186" s="93" t="b">
        <f t="shared" si="12"/>
        <v>0</v>
      </c>
      <c r="AU186" s="93" t="str">
        <f t="shared" si="13"/>
        <v/>
      </c>
      <c r="AV186" s="93" t="str">
        <f t="shared" si="14"/>
        <v/>
      </c>
      <c r="AW186" s="93" t="str">
        <f t="shared" si="187"/>
        <v/>
      </c>
      <c r="AX186" s="107" t="str">
        <f t="shared" si="16"/>
        <v/>
      </c>
      <c r="AY186" s="98"/>
      <c r="AZ186" s="108"/>
      <c r="BA186" s="109" t="str">
        <f t="shared" si="17"/>
        <v/>
      </c>
      <c r="BB186" s="98"/>
      <c r="BC186" s="98"/>
      <c r="BD186" s="108"/>
      <c r="BE186" s="134"/>
      <c r="BF186" s="111" t="str">
        <f t="shared" si="18"/>
        <v/>
      </c>
      <c r="BG186" s="112" t="str">
        <f t="shared" si="19"/>
        <v>AG1608__44718_0.156921296296296___Negative_44718_0.364976851851852_</v>
      </c>
      <c r="BH186" s="113" t="str">
        <f t="shared" si="20"/>
        <v/>
      </c>
      <c r="BI186" s="202"/>
      <c r="BJ186" s="114" t="str">
        <f t="shared" si="21"/>
        <v/>
      </c>
      <c r="BK186" s="115" t="b">
        <f t="shared" si="105"/>
        <v>0</v>
      </c>
      <c r="BL186" s="114" t="str">
        <f t="shared" si="23"/>
        <v/>
      </c>
      <c r="BM186" s="108"/>
      <c r="BN186" s="7" t="b">
        <f t="shared" si="24"/>
        <v>1</v>
      </c>
      <c r="BO186" s="7" t="b">
        <f t="shared" si="25"/>
        <v>0</v>
      </c>
      <c r="BP186" s="7" t="b">
        <f t="shared" si="26"/>
        <v>1</v>
      </c>
      <c r="BQ186" s="118"/>
      <c r="BR186" s="119" t="s">
        <v>228</v>
      </c>
      <c r="BS186" s="7" t="b">
        <f t="shared" si="27"/>
        <v>1</v>
      </c>
      <c r="BT186" s="7"/>
      <c r="BU186" s="7"/>
      <c r="BV186" s="7"/>
      <c r="BW186" s="7"/>
    </row>
    <row r="187">
      <c r="A187" s="86" t="s">
        <v>445</v>
      </c>
      <c r="B187" s="87">
        <v>44718.0</v>
      </c>
      <c r="C187" s="88">
        <v>0.17775462962962962</v>
      </c>
      <c r="D187" s="89"/>
      <c r="E187" s="89"/>
      <c r="F187" s="89"/>
      <c r="G187" s="86"/>
      <c r="H187" s="90"/>
      <c r="I187" s="3"/>
      <c r="J187" s="3"/>
      <c r="K187" s="89" t="s">
        <v>228</v>
      </c>
      <c r="L187" s="36">
        <v>44718.0</v>
      </c>
      <c r="M187" s="91">
        <v>0.36497685185185186</v>
      </c>
      <c r="N187" s="121"/>
      <c r="O187" s="92"/>
      <c r="P187" s="93" t="b">
        <f>IFNA(IF(VLOOKUP($A187,'Add from APT'!$AA$2:$AC264,3,FALSE)&gt;0,TRUE,FALSE),"ER - NOT IN APT")</f>
        <v>0</v>
      </c>
      <c r="Q187" s="94" t="str">
        <f>IF(ISLOGICAL(P187),IF(P187,"ER - REPS IN APT", IFNA(VLOOKUP($A187,RAW_APT!$A$3:$M264,7,FALSE),"ER - NOT IN APT")),P187)</f>
        <v>Result</v>
      </c>
      <c r="R187" s="95" t="b">
        <f t="shared" si="102"/>
        <v>1</v>
      </c>
      <c r="S187" s="96">
        <f t="shared" si="3"/>
        <v>4</v>
      </c>
      <c r="T187" s="97"/>
      <c r="U187" s="3"/>
      <c r="V187" s="3"/>
      <c r="W187" s="9"/>
      <c r="X187" s="99" t="b">
        <f t="shared" si="185"/>
        <v>0</v>
      </c>
      <c r="Y187" s="100"/>
      <c r="Z187" s="101" t="str">
        <f t="shared" si="5"/>
        <v/>
      </c>
      <c r="AA187" s="102" t="b">
        <f t="shared" si="6"/>
        <v>0</v>
      </c>
      <c r="AB187" s="98"/>
      <c r="AC187" s="103">
        <v>59.0</v>
      </c>
      <c r="AD187" s="104"/>
      <c r="AE187" s="105">
        <f t="shared" si="7"/>
        <v>269.6</v>
      </c>
      <c r="AF187" s="106" t="b">
        <f t="shared" si="103"/>
        <v>0</v>
      </c>
      <c r="AG187" s="93" t="b">
        <f t="shared" si="9"/>
        <v>0</v>
      </c>
      <c r="AH187" s="103"/>
      <c r="AI187" s="103"/>
      <c r="AJ187" s="7"/>
      <c r="AK187" s="101" t="str">
        <f t="shared" si="10"/>
        <v>Negative</v>
      </c>
      <c r="AL187" s="98"/>
      <c r="AM187" s="94" t="s">
        <v>274</v>
      </c>
      <c r="AN187" s="94" t="s">
        <v>279</v>
      </c>
      <c r="AO187" s="102" t="str">
        <f>IFERROR(__xludf.DUMMYFUNCTION("IF($AG187, ""DELETED"",TRIM(JOIN("" "",D187:E187)))"),"")</f>
        <v/>
      </c>
      <c r="AP187" s="94" t="str">
        <f t="shared" ref="AP187:AQ187" si="227">IF($AG187, "DELETED", TRIM(CONCATENATE(F187,I187,U187)))</f>
        <v/>
      </c>
      <c r="AQ187" s="94" t="str">
        <f t="shared" si="227"/>
        <v/>
      </c>
      <c r="AR187" s="94" t="str">
        <f>IFERROR(__xludf.DUMMYFUNCTION("IF($AG187, ""DELETED"", TRIM(JOIN("" "",AP187,AQ187)))"),"")</f>
        <v/>
      </c>
      <c r="AS187" s="9"/>
      <c r="AT187" s="93" t="b">
        <f t="shared" si="12"/>
        <v>0</v>
      </c>
      <c r="AU187" s="93" t="str">
        <f t="shared" si="13"/>
        <v/>
      </c>
      <c r="AV187" s="93" t="str">
        <f t="shared" si="14"/>
        <v/>
      </c>
      <c r="AW187" s="93" t="str">
        <f t="shared" si="187"/>
        <v/>
      </c>
      <c r="AX187" s="107" t="str">
        <f t="shared" si="16"/>
        <v/>
      </c>
      <c r="AY187" s="3"/>
      <c r="AZ187" s="129"/>
      <c r="BA187" s="109" t="str">
        <f t="shared" si="17"/>
        <v/>
      </c>
      <c r="BB187" s="3"/>
      <c r="BC187" s="3"/>
      <c r="BD187" s="108"/>
      <c r="BE187" s="134"/>
      <c r="BF187" s="111" t="str">
        <f t="shared" si="18"/>
        <v/>
      </c>
      <c r="BG187" s="112" t="str">
        <f t="shared" si="19"/>
        <v>AH707__44718_0.17775462962963___Negative_44718_0.364976851851852_</v>
      </c>
      <c r="BH187" s="113" t="str">
        <f t="shared" si="20"/>
        <v/>
      </c>
      <c r="BI187" s="202"/>
      <c r="BJ187" s="114" t="str">
        <f t="shared" si="21"/>
        <v/>
      </c>
      <c r="BK187" s="115" t="b">
        <f t="shared" si="105"/>
        <v>0</v>
      </c>
      <c r="BL187" s="114" t="str">
        <f t="shared" si="23"/>
        <v/>
      </c>
      <c r="BM187" s="108"/>
      <c r="BN187" s="7" t="b">
        <f t="shared" si="24"/>
        <v>1</v>
      </c>
      <c r="BO187" s="7" t="b">
        <f t="shared" si="25"/>
        <v>0</v>
      </c>
      <c r="BP187" s="7" t="b">
        <f t="shared" si="26"/>
        <v>1</v>
      </c>
      <c r="BQ187" s="118"/>
      <c r="BR187" s="119" t="s">
        <v>228</v>
      </c>
      <c r="BS187" s="7" t="b">
        <f t="shared" si="27"/>
        <v>1</v>
      </c>
      <c r="BT187" s="7"/>
      <c r="BU187" s="7"/>
      <c r="BV187" s="7"/>
      <c r="BW187" s="7"/>
    </row>
    <row r="188">
      <c r="A188" s="86" t="s">
        <v>445</v>
      </c>
      <c r="B188" s="87">
        <v>44718.0</v>
      </c>
      <c r="C188" s="88">
        <v>0.17775462962962962</v>
      </c>
      <c r="D188" s="89"/>
      <c r="E188" s="89"/>
      <c r="F188" s="89"/>
      <c r="G188" s="86"/>
      <c r="H188" s="90"/>
      <c r="I188" s="3"/>
      <c r="J188" s="3"/>
      <c r="K188" s="89" t="s">
        <v>228</v>
      </c>
      <c r="L188" s="36">
        <v>44718.0</v>
      </c>
      <c r="M188" s="91">
        <v>0.36497685185185186</v>
      </c>
      <c r="N188" s="3"/>
      <c r="O188" s="92"/>
      <c r="P188" s="93" t="b">
        <f>IFNA(IF(VLOOKUP($A188,'Add from APT'!$AA$2:$AC264,3,FALSE)&gt;0,TRUE,FALSE),"ER - NOT IN APT")</f>
        <v>0</v>
      </c>
      <c r="Q188" s="94" t="str">
        <f>IF(ISLOGICAL(P188),IF(P188,"ER - REPS IN APT", IFNA(VLOOKUP($A188,RAW_APT!$A$3:$M264,7,FALSE),"ER - NOT IN APT")),P188)</f>
        <v>Result</v>
      </c>
      <c r="R188" s="95" t="b">
        <f t="shared" si="102"/>
        <v>0</v>
      </c>
      <c r="S188" s="96">
        <f t="shared" si="3"/>
        <v>4</v>
      </c>
      <c r="T188" s="130"/>
      <c r="U188" s="3"/>
      <c r="V188" s="3"/>
      <c r="W188" s="3"/>
      <c r="X188" s="99" t="b">
        <f t="shared" si="185"/>
        <v>0</v>
      </c>
      <c r="Y188" s="7"/>
      <c r="Z188" s="101" t="str">
        <f t="shared" si="5"/>
        <v/>
      </c>
      <c r="AA188" s="102" t="b">
        <f t="shared" si="6"/>
        <v>0</v>
      </c>
      <c r="AB188" s="131"/>
      <c r="AC188" s="130">
        <v>61.0</v>
      </c>
      <c r="AD188" s="132"/>
      <c r="AE188" s="105">
        <f t="shared" si="7"/>
        <v>269.6</v>
      </c>
      <c r="AF188" s="106" t="b">
        <f t="shared" si="103"/>
        <v>0</v>
      </c>
      <c r="AG188" s="93" t="b">
        <f t="shared" si="9"/>
        <v>0</v>
      </c>
      <c r="AH188" s="130"/>
      <c r="AI188" s="13"/>
      <c r="AJ188" s="166"/>
      <c r="AK188" s="101" t="str">
        <f t="shared" si="10"/>
        <v>Negative</v>
      </c>
      <c r="AL188" s="98"/>
      <c r="AM188" s="94" t="s">
        <v>274</v>
      </c>
      <c r="AN188" s="94" t="s">
        <v>281</v>
      </c>
      <c r="AO188" s="102" t="str">
        <f>IFERROR(__xludf.DUMMYFUNCTION("IF($AG188, ""DELETED"",TRIM(JOIN("" "",D188:E188)))"),"")</f>
        <v/>
      </c>
      <c r="AP188" s="94" t="str">
        <f t="shared" ref="AP188:AQ188" si="228">IF($AG188, "DELETED", TRIM(CONCATENATE(F188,I188,U188)))</f>
        <v/>
      </c>
      <c r="AQ188" s="94" t="str">
        <f t="shared" si="228"/>
        <v/>
      </c>
      <c r="AR188" s="94" t="str">
        <f>IFERROR(__xludf.DUMMYFUNCTION("IF($AG188, ""DELETED"", TRIM(JOIN("" "",AP188,AQ188)))"),"")</f>
        <v/>
      </c>
      <c r="AS188" s="9"/>
      <c r="AT188" s="93" t="b">
        <f t="shared" si="12"/>
        <v>0</v>
      </c>
      <c r="AU188" s="93" t="str">
        <f t="shared" si="13"/>
        <v/>
      </c>
      <c r="AV188" s="93" t="str">
        <f t="shared" si="14"/>
        <v/>
      </c>
      <c r="AW188" s="93" t="str">
        <f t="shared" si="187"/>
        <v/>
      </c>
      <c r="AX188" s="107" t="str">
        <f t="shared" si="16"/>
        <v/>
      </c>
      <c r="AY188" s="13"/>
      <c r="AZ188" s="238"/>
      <c r="BA188" s="109" t="str">
        <f t="shared" si="17"/>
        <v/>
      </c>
      <c r="BB188" s="13"/>
      <c r="BC188" s="13"/>
      <c r="BD188" s="108"/>
      <c r="BE188" s="134"/>
      <c r="BF188" s="111" t="str">
        <f t="shared" si="18"/>
        <v/>
      </c>
      <c r="BG188" s="112" t="str">
        <f t="shared" si="19"/>
        <v>AH707__44718_0.17775462962963___Negative_44718_0.364976851851852_</v>
      </c>
      <c r="BH188" s="113" t="str">
        <f t="shared" si="20"/>
        <v/>
      </c>
      <c r="BI188" s="202"/>
      <c r="BJ188" s="114" t="str">
        <f t="shared" si="21"/>
        <v/>
      </c>
      <c r="BK188" s="115" t="b">
        <f t="shared" si="105"/>
        <v>0</v>
      </c>
      <c r="BL188" s="114" t="str">
        <f t="shared" si="23"/>
        <v/>
      </c>
      <c r="BM188" s="108"/>
      <c r="BN188" s="7" t="b">
        <f t="shared" si="24"/>
        <v>1</v>
      </c>
      <c r="BO188" s="7" t="b">
        <f t="shared" si="25"/>
        <v>0</v>
      </c>
      <c r="BP188" s="7" t="b">
        <f t="shared" si="26"/>
        <v>1</v>
      </c>
      <c r="BQ188" s="118"/>
      <c r="BR188" s="119" t="s">
        <v>228</v>
      </c>
      <c r="BS188" s="7" t="b">
        <f t="shared" si="27"/>
        <v>1</v>
      </c>
      <c r="BT188" s="7"/>
      <c r="BU188" s="7"/>
      <c r="BV188" s="7"/>
      <c r="BW188" s="7"/>
    </row>
    <row r="189">
      <c r="A189" s="86" t="s">
        <v>445</v>
      </c>
      <c r="B189" s="87">
        <v>44718.0</v>
      </c>
      <c r="C189" s="88">
        <v>0.17775462962962962</v>
      </c>
      <c r="D189" s="89"/>
      <c r="E189" s="89"/>
      <c r="F189" s="3"/>
      <c r="G189" s="120"/>
      <c r="H189" s="121"/>
      <c r="I189" s="89"/>
      <c r="J189" s="89"/>
      <c r="K189" s="89" t="s">
        <v>228</v>
      </c>
      <c r="L189" s="36">
        <v>44718.0</v>
      </c>
      <c r="M189" s="91">
        <v>0.36497685185185186</v>
      </c>
      <c r="N189" s="3"/>
      <c r="O189" s="92"/>
      <c r="P189" s="93" t="b">
        <f>IFNA(IF(VLOOKUP($A189,'Add from APT'!$AA$2:$AC264,3,FALSE)&gt;0,TRUE,FALSE),"ER - NOT IN APT")</f>
        <v>0</v>
      </c>
      <c r="Q189" s="94" t="str">
        <f>IF(ISLOGICAL(P189),IF(P189,"ER - REPS IN APT", IFNA(VLOOKUP($A189,RAW_APT!$A$3:$M264,7,FALSE),"ER - NOT IN APT")),P189)</f>
        <v>Result</v>
      </c>
      <c r="R189" s="95" t="b">
        <f t="shared" si="102"/>
        <v>0</v>
      </c>
      <c r="S189" s="96">
        <f t="shared" si="3"/>
        <v>4</v>
      </c>
      <c r="T189" s="97"/>
      <c r="U189" s="3"/>
      <c r="V189" s="3"/>
      <c r="W189" s="9"/>
      <c r="X189" s="99" t="b">
        <f t="shared" si="185"/>
        <v>0</v>
      </c>
      <c r="Y189" s="100"/>
      <c r="Z189" s="101" t="str">
        <f t="shared" si="5"/>
        <v/>
      </c>
      <c r="AA189" s="102" t="b">
        <f t="shared" si="6"/>
        <v>0</v>
      </c>
      <c r="AB189" s="98"/>
      <c r="AC189" s="103">
        <v>58.0</v>
      </c>
      <c r="AD189" s="104"/>
      <c r="AE189" s="105">
        <f t="shared" si="7"/>
        <v>269.6</v>
      </c>
      <c r="AF189" s="106" t="b">
        <f t="shared" si="103"/>
        <v>0</v>
      </c>
      <c r="AG189" s="93" t="b">
        <f t="shared" si="9"/>
        <v>0</v>
      </c>
      <c r="AH189" s="103"/>
      <c r="AI189" s="103"/>
      <c r="AJ189" s="97"/>
      <c r="AK189" s="101" t="str">
        <f t="shared" si="10"/>
        <v>Negative</v>
      </c>
      <c r="AL189" s="98"/>
      <c r="AM189" s="94" t="s">
        <v>274</v>
      </c>
      <c r="AN189" s="94" t="s">
        <v>275</v>
      </c>
      <c r="AO189" s="102" t="str">
        <f>IFERROR(__xludf.DUMMYFUNCTION("IF($AG189, ""DELETED"",TRIM(JOIN("" "",D189:E189)))"),"")</f>
        <v/>
      </c>
      <c r="AP189" s="94" t="str">
        <f t="shared" ref="AP189:AQ189" si="229">IF($AG189, "DELETED", TRIM(CONCATENATE(F189,I189,U189)))</f>
        <v/>
      </c>
      <c r="AQ189" s="94" t="str">
        <f t="shared" si="229"/>
        <v/>
      </c>
      <c r="AR189" s="94" t="str">
        <f>IFERROR(__xludf.DUMMYFUNCTION("IF($AG189, ""DELETED"", TRIM(JOIN("" "",AP189,AQ189)))"),"")</f>
        <v/>
      </c>
      <c r="AS189" s="9"/>
      <c r="AT189" s="93" t="b">
        <f t="shared" si="12"/>
        <v>0</v>
      </c>
      <c r="AU189" s="93" t="str">
        <f t="shared" si="13"/>
        <v/>
      </c>
      <c r="AV189" s="93" t="str">
        <f t="shared" si="14"/>
        <v/>
      </c>
      <c r="AW189" s="93" t="str">
        <f t="shared" si="187"/>
        <v/>
      </c>
      <c r="AX189" s="107" t="str">
        <f t="shared" si="16"/>
        <v/>
      </c>
      <c r="AY189" s="98"/>
      <c r="AZ189" s="108"/>
      <c r="BA189" s="109" t="str">
        <f t="shared" si="17"/>
        <v/>
      </c>
      <c r="BB189" s="98"/>
      <c r="BC189" s="98"/>
      <c r="BD189" s="108"/>
      <c r="BE189" s="134"/>
      <c r="BF189" s="111" t="str">
        <f t="shared" si="18"/>
        <v/>
      </c>
      <c r="BG189" s="112" t="str">
        <f t="shared" si="19"/>
        <v>AH707__44718_0.17775462962963___Negative_44718_0.364976851851852_</v>
      </c>
      <c r="BH189" s="113" t="str">
        <f t="shared" si="20"/>
        <v/>
      </c>
      <c r="BI189" s="202"/>
      <c r="BJ189" s="114" t="str">
        <f t="shared" si="21"/>
        <v/>
      </c>
      <c r="BK189" s="115" t="b">
        <f t="shared" si="105"/>
        <v>0</v>
      </c>
      <c r="BL189" s="114" t="str">
        <f t="shared" si="23"/>
        <v/>
      </c>
      <c r="BM189" s="108"/>
      <c r="BN189" s="7" t="b">
        <f t="shared" si="24"/>
        <v>1</v>
      </c>
      <c r="BO189" s="7" t="b">
        <f t="shared" si="25"/>
        <v>0</v>
      </c>
      <c r="BP189" s="7" t="b">
        <f t="shared" si="26"/>
        <v>1</v>
      </c>
      <c r="BQ189" s="118"/>
      <c r="BR189" s="119" t="s">
        <v>228</v>
      </c>
      <c r="BS189" s="7" t="b">
        <f t="shared" si="27"/>
        <v>1</v>
      </c>
      <c r="BT189" s="7"/>
      <c r="BU189" s="7"/>
      <c r="BV189" s="7"/>
      <c r="BW189" s="7"/>
    </row>
    <row r="190">
      <c r="A190" s="86" t="s">
        <v>445</v>
      </c>
      <c r="B190" s="87">
        <v>44718.0</v>
      </c>
      <c r="C190" s="88">
        <v>0.17775462962962962</v>
      </c>
      <c r="D190" s="89"/>
      <c r="E190" s="89"/>
      <c r="F190" s="3"/>
      <c r="G190" s="120"/>
      <c r="H190" s="121"/>
      <c r="I190" s="89"/>
      <c r="J190" s="89"/>
      <c r="K190" s="89" t="s">
        <v>228</v>
      </c>
      <c r="L190" s="36">
        <v>44718.0</v>
      </c>
      <c r="M190" s="91">
        <v>0.36497685185185186</v>
      </c>
      <c r="N190" s="121"/>
      <c r="O190" s="92"/>
      <c r="P190" s="93" t="b">
        <f>IFNA(IF(VLOOKUP($A190,'Add from APT'!$AA$2:$AC264,3,FALSE)&gt;0,TRUE,FALSE),"ER - NOT IN APT")</f>
        <v>0</v>
      </c>
      <c r="Q190" s="94" t="str">
        <f>IF(ISLOGICAL(P190),IF(P190,"ER - REPS IN APT", IFNA(VLOOKUP($A190,RAW_APT!$A$3:$M264,7,FALSE),"ER - NOT IN APT")),P190)</f>
        <v>Result</v>
      </c>
      <c r="R190" s="95" t="b">
        <f t="shared" si="102"/>
        <v>0</v>
      </c>
      <c r="S190" s="96">
        <f t="shared" si="3"/>
        <v>4</v>
      </c>
      <c r="T190" s="97"/>
      <c r="U190" s="3"/>
      <c r="V190" s="3"/>
      <c r="W190" s="9"/>
      <c r="X190" s="99" t="b">
        <f t="shared" si="185"/>
        <v>0</v>
      </c>
      <c r="Y190" s="100"/>
      <c r="Z190" s="101" t="str">
        <f t="shared" si="5"/>
        <v/>
      </c>
      <c r="AA190" s="102" t="b">
        <f t="shared" si="6"/>
        <v>0</v>
      </c>
      <c r="AB190" s="98"/>
      <c r="AC190" s="103">
        <v>60.0</v>
      </c>
      <c r="AD190" s="104"/>
      <c r="AE190" s="105">
        <f t="shared" si="7"/>
        <v>269.6</v>
      </c>
      <c r="AF190" s="106" t="b">
        <f t="shared" si="103"/>
        <v>0</v>
      </c>
      <c r="AG190" s="93" t="b">
        <f t="shared" si="9"/>
        <v>0</v>
      </c>
      <c r="AH190" s="103"/>
      <c r="AI190" s="103"/>
      <c r="AJ190" s="97"/>
      <c r="AK190" s="101" t="str">
        <f t="shared" si="10"/>
        <v>Negative</v>
      </c>
      <c r="AL190" s="98"/>
      <c r="AM190" s="94" t="s">
        <v>274</v>
      </c>
      <c r="AN190" s="94" t="s">
        <v>277</v>
      </c>
      <c r="AO190" s="102" t="str">
        <f>IFERROR(__xludf.DUMMYFUNCTION("IF($AG190, ""DELETED"",TRIM(JOIN("" "",D190:E190)))"),"")</f>
        <v/>
      </c>
      <c r="AP190" s="94" t="str">
        <f t="shared" ref="AP190:AQ190" si="230">IF($AG190, "DELETED", TRIM(CONCATENATE(F190,I190,U190)))</f>
        <v/>
      </c>
      <c r="AQ190" s="94" t="str">
        <f t="shared" si="230"/>
        <v/>
      </c>
      <c r="AR190" s="94" t="str">
        <f>IFERROR(__xludf.DUMMYFUNCTION("IF($AG190, ""DELETED"", TRIM(JOIN("" "",AP190,AQ190)))"),"")</f>
        <v/>
      </c>
      <c r="AS190" s="9"/>
      <c r="AT190" s="93" t="b">
        <f t="shared" si="12"/>
        <v>0</v>
      </c>
      <c r="AU190" s="93" t="str">
        <f t="shared" si="13"/>
        <v/>
      </c>
      <c r="AV190" s="93" t="str">
        <f t="shared" si="14"/>
        <v/>
      </c>
      <c r="AW190" s="93" t="str">
        <f t="shared" si="187"/>
        <v/>
      </c>
      <c r="AX190" s="107" t="str">
        <f t="shared" si="16"/>
        <v/>
      </c>
      <c r="AY190" s="98"/>
      <c r="AZ190" s="108"/>
      <c r="BA190" s="109" t="str">
        <f t="shared" si="17"/>
        <v/>
      </c>
      <c r="BB190" s="98"/>
      <c r="BC190" s="98"/>
      <c r="BD190" s="108"/>
      <c r="BE190" s="134"/>
      <c r="BF190" s="111" t="str">
        <f t="shared" si="18"/>
        <v/>
      </c>
      <c r="BG190" s="112" t="str">
        <f t="shared" si="19"/>
        <v>AH707__44718_0.17775462962963___Negative_44718_0.364976851851852_</v>
      </c>
      <c r="BH190" s="113" t="str">
        <f t="shared" si="20"/>
        <v/>
      </c>
      <c r="BI190" s="202"/>
      <c r="BJ190" s="114" t="str">
        <f t="shared" si="21"/>
        <v/>
      </c>
      <c r="BK190" s="115" t="b">
        <f t="shared" si="105"/>
        <v>0</v>
      </c>
      <c r="BL190" s="114" t="str">
        <f t="shared" si="23"/>
        <v/>
      </c>
      <c r="BM190" s="108"/>
      <c r="BN190" s="7" t="b">
        <f t="shared" si="24"/>
        <v>1</v>
      </c>
      <c r="BO190" s="7" t="b">
        <f t="shared" si="25"/>
        <v>0</v>
      </c>
      <c r="BP190" s="7" t="b">
        <f t="shared" si="26"/>
        <v>1</v>
      </c>
      <c r="BQ190" s="118"/>
      <c r="BR190" s="119" t="s">
        <v>228</v>
      </c>
      <c r="BS190" s="7" t="b">
        <f t="shared" si="27"/>
        <v>1</v>
      </c>
      <c r="BT190" s="7"/>
      <c r="BU190" s="7"/>
      <c r="BV190" s="7"/>
      <c r="BW190" s="7"/>
    </row>
    <row r="191">
      <c r="A191" s="205" t="s">
        <v>446</v>
      </c>
      <c r="B191" s="206">
        <v>44718.0</v>
      </c>
      <c r="C191" s="207">
        <v>0.19365740740740742</v>
      </c>
      <c r="D191" s="208"/>
      <c r="E191" s="208"/>
      <c r="F191" s="208"/>
      <c r="G191" s="205"/>
      <c r="H191" s="209"/>
      <c r="I191" s="210"/>
      <c r="J191" s="210"/>
      <c r="K191" s="208" t="s">
        <v>205</v>
      </c>
      <c r="L191" s="211"/>
      <c r="M191" s="212"/>
      <c r="N191" s="210"/>
      <c r="O191" s="213"/>
      <c r="P191" s="214" t="b">
        <f>IFNA(IF(VLOOKUP($A191,'Add from APT'!$AA$2:$AC264,3,FALSE)&gt;0,TRUE,FALSE),"ER - NOT IN APT")</f>
        <v>0</v>
      </c>
      <c r="Q191" s="210" t="str">
        <f>IF(ISLOGICAL(P191),IF(P191,"ER - REPS IN APT", IFNA(VLOOKUP($A191,RAW_APT!$A$3:$M264,7,FALSE),"ER - NOT IN APT")),P191)</f>
        <v>Collected</v>
      </c>
      <c r="R191" s="215" t="b">
        <f t="shared" si="102"/>
        <v>1</v>
      </c>
      <c r="S191" s="215">
        <f t="shared" si="3"/>
        <v>2</v>
      </c>
      <c r="T191" s="216"/>
      <c r="U191" s="210"/>
      <c r="V191" s="210"/>
      <c r="W191" s="217"/>
      <c r="X191" s="218" t="b">
        <f t="shared" si="185"/>
        <v>0</v>
      </c>
      <c r="Y191" s="219"/>
      <c r="Z191" s="220" t="str">
        <f t="shared" si="5"/>
        <v/>
      </c>
      <c r="AA191" s="217" t="b">
        <f t="shared" si="6"/>
        <v>0</v>
      </c>
      <c r="AB191" s="217"/>
      <c r="AC191" s="215">
        <v>63.0</v>
      </c>
      <c r="AD191" s="220"/>
      <c r="AE191" s="221" t="str">
        <f t="shared" si="7"/>
        <v/>
      </c>
      <c r="AF191" s="214" t="b">
        <f t="shared" si="103"/>
        <v>0</v>
      </c>
      <c r="AG191" s="214" t="b">
        <f t="shared" si="9"/>
        <v>1</v>
      </c>
      <c r="AH191" s="215">
        <v>9.1</v>
      </c>
      <c r="AI191" s="215"/>
      <c r="AJ191" s="214"/>
      <c r="AK191" s="220" t="str">
        <f t="shared" si="10"/>
        <v>DELETED</v>
      </c>
      <c r="AL191" s="217"/>
      <c r="AM191" s="94" t="s">
        <v>206</v>
      </c>
      <c r="AN191" s="94" t="s">
        <v>206</v>
      </c>
      <c r="AO191" s="217" t="str">
        <f>IFERROR(__xludf.DUMMYFUNCTION("IF($AG191, ""DELETED"",TRIM(JOIN("" "",D191:E191)))"),"DELETED")</f>
        <v>DELETED</v>
      </c>
      <c r="AP191" s="210" t="str">
        <f t="shared" ref="AP191:AQ191" si="231">IF($AG191, "DELETED", TRIM(CONCATENATE(F191,I191,U191)))</f>
        <v>DELETED</v>
      </c>
      <c r="AQ191" s="210" t="str">
        <f t="shared" si="231"/>
        <v>DELETED</v>
      </c>
      <c r="AR191" s="210" t="str">
        <f>IFERROR(__xludf.DUMMYFUNCTION("IF($AG191, ""DELETED"", TRIM(JOIN("" "",AP191,AQ191)))"),"DELETED")</f>
        <v>DELETED</v>
      </c>
      <c r="AS191" s="222"/>
      <c r="AT191" s="214" t="b">
        <f t="shared" si="12"/>
        <v>1</v>
      </c>
      <c r="AU191" s="214" t="str">
        <f t="shared" si="13"/>
        <v/>
      </c>
      <c r="AV191" s="214" t="str">
        <f t="shared" si="14"/>
        <v/>
      </c>
      <c r="AW191" s="214" t="str">
        <f t="shared" si="187"/>
        <v/>
      </c>
      <c r="AX191" s="223" t="str">
        <f t="shared" si="16"/>
        <v/>
      </c>
      <c r="AY191" s="210"/>
      <c r="AZ191" s="129"/>
      <c r="BA191" s="220" t="str">
        <f t="shared" si="17"/>
        <v/>
      </c>
      <c r="BB191" s="210"/>
      <c r="BC191" s="210"/>
      <c r="BD191" s="217"/>
      <c r="BE191" s="224"/>
      <c r="BF191" s="225" t="str">
        <f t="shared" si="18"/>
        <v/>
      </c>
      <c r="BG191" s="226" t="str">
        <f t="shared" si="19"/>
        <v/>
      </c>
      <c r="BH191" s="227" t="str">
        <f t="shared" si="20"/>
        <v/>
      </c>
      <c r="BI191" s="228"/>
      <c r="BJ191" s="229" t="str">
        <f t="shared" si="21"/>
        <v/>
      </c>
      <c r="BK191" s="230" t="b">
        <f t="shared" si="105"/>
        <v>0</v>
      </c>
      <c r="BL191" s="229" t="str">
        <f t="shared" si="23"/>
        <v/>
      </c>
      <c r="BM191" s="217"/>
      <c r="BN191" s="214" t="b">
        <f t="shared" si="24"/>
        <v>0</v>
      </c>
      <c r="BO191" s="214" t="b">
        <f t="shared" si="25"/>
        <v>0</v>
      </c>
      <c r="BP191" s="214" t="b">
        <f t="shared" si="26"/>
        <v>0</v>
      </c>
      <c r="BQ191" s="118"/>
      <c r="BR191" s="231" t="s">
        <v>206</v>
      </c>
      <c r="BS191" s="7" t="b">
        <f t="shared" si="27"/>
        <v>1</v>
      </c>
      <c r="BT191" s="214"/>
      <c r="BU191" s="214"/>
      <c r="BV191" s="214"/>
      <c r="BW191" s="214"/>
    </row>
    <row r="192">
      <c r="A192" s="205" t="s">
        <v>446</v>
      </c>
      <c r="B192" s="206">
        <v>44718.0</v>
      </c>
      <c r="C192" s="207">
        <v>0.19365740740740742</v>
      </c>
      <c r="D192" s="208"/>
      <c r="E192" s="208"/>
      <c r="F192" s="210"/>
      <c r="G192" s="239"/>
      <c r="H192" s="236"/>
      <c r="I192" s="208"/>
      <c r="J192" s="208"/>
      <c r="K192" s="208" t="s">
        <v>205</v>
      </c>
      <c r="L192" s="211"/>
      <c r="M192" s="212"/>
      <c r="N192" s="210"/>
      <c r="O192" s="213"/>
      <c r="P192" s="214" t="b">
        <f>IFNA(IF(VLOOKUP($A192,'Add from APT'!$AA$2:$AC264,3,FALSE)&gt;0,TRUE,FALSE),"ER - NOT IN APT")</f>
        <v>0</v>
      </c>
      <c r="Q192" s="210" t="str">
        <f>IF(ISLOGICAL(P192),IF(P192,"ER - REPS IN APT", IFNA(VLOOKUP($A192,RAW_APT!$A$3:$M264,7,FALSE),"ER - NOT IN APT")),P192)</f>
        <v>Collected</v>
      </c>
      <c r="R192" s="215" t="b">
        <f t="shared" si="102"/>
        <v>0</v>
      </c>
      <c r="S192" s="215">
        <f t="shared" si="3"/>
        <v>2</v>
      </c>
      <c r="T192" s="216"/>
      <c r="U192" s="210"/>
      <c r="V192" s="210"/>
      <c r="W192" s="217"/>
      <c r="X192" s="218" t="b">
        <f t="shared" si="185"/>
        <v>0</v>
      </c>
      <c r="Y192" s="219"/>
      <c r="Z192" s="220" t="str">
        <f t="shared" si="5"/>
        <v/>
      </c>
      <c r="AA192" s="217" t="b">
        <f t="shared" si="6"/>
        <v>0</v>
      </c>
      <c r="AB192" s="217"/>
      <c r="AC192" s="215">
        <v>62.0</v>
      </c>
      <c r="AD192" s="220"/>
      <c r="AE192" s="221" t="str">
        <f t="shared" si="7"/>
        <v/>
      </c>
      <c r="AF192" s="214" t="b">
        <f t="shared" si="103"/>
        <v>0</v>
      </c>
      <c r="AG192" s="214" t="b">
        <f t="shared" si="9"/>
        <v>1</v>
      </c>
      <c r="AH192" s="215">
        <v>9.1</v>
      </c>
      <c r="AI192" s="215"/>
      <c r="AJ192" s="216"/>
      <c r="AK192" s="220" t="str">
        <f t="shared" si="10"/>
        <v>DELETED</v>
      </c>
      <c r="AL192" s="217"/>
      <c r="AM192" s="94" t="s">
        <v>206</v>
      </c>
      <c r="AN192" s="94" t="s">
        <v>206</v>
      </c>
      <c r="AO192" s="217" t="str">
        <f>IFERROR(__xludf.DUMMYFUNCTION("IF($AG192, ""DELETED"",TRIM(JOIN("" "",D192:E192)))"),"DELETED")</f>
        <v>DELETED</v>
      </c>
      <c r="AP192" s="210" t="str">
        <f t="shared" ref="AP192:AQ192" si="232">IF($AG192, "DELETED", TRIM(CONCATENATE(F192,I192,U192)))</f>
        <v>DELETED</v>
      </c>
      <c r="AQ192" s="210" t="str">
        <f t="shared" si="232"/>
        <v>DELETED</v>
      </c>
      <c r="AR192" s="210" t="str">
        <f>IFERROR(__xludf.DUMMYFUNCTION("IF($AG192, ""DELETED"", TRIM(JOIN("" "",AP192,AQ192)))"),"DELETED")</f>
        <v>DELETED</v>
      </c>
      <c r="AS192" s="222"/>
      <c r="AT192" s="214" t="b">
        <f t="shared" si="12"/>
        <v>1</v>
      </c>
      <c r="AU192" s="214" t="str">
        <f t="shared" si="13"/>
        <v/>
      </c>
      <c r="AV192" s="214" t="str">
        <f t="shared" si="14"/>
        <v/>
      </c>
      <c r="AW192" s="214" t="str">
        <f t="shared" si="187"/>
        <v/>
      </c>
      <c r="AX192" s="223" t="str">
        <f t="shared" si="16"/>
        <v/>
      </c>
      <c r="AY192" s="217"/>
      <c r="AZ192" s="108"/>
      <c r="BA192" s="220" t="str">
        <f t="shared" si="17"/>
        <v/>
      </c>
      <c r="BB192" s="217"/>
      <c r="BC192" s="217"/>
      <c r="BD192" s="217"/>
      <c r="BE192" s="224"/>
      <c r="BF192" s="225" t="str">
        <f t="shared" si="18"/>
        <v/>
      </c>
      <c r="BG192" s="226" t="str">
        <f t="shared" si="19"/>
        <v/>
      </c>
      <c r="BH192" s="227" t="str">
        <f t="shared" si="20"/>
        <v/>
      </c>
      <c r="BI192" s="228"/>
      <c r="BJ192" s="229" t="str">
        <f t="shared" si="21"/>
        <v/>
      </c>
      <c r="BK192" s="230" t="b">
        <f t="shared" si="105"/>
        <v>0</v>
      </c>
      <c r="BL192" s="229" t="str">
        <f t="shared" si="23"/>
        <v/>
      </c>
      <c r="BM192" s="217"/>
      <c r="BN192" s="214" t="b">
        <f t="shared" si="24"/>
        <v>0</v>
      </c>
      <c r="BO192" s="214" t="b">
        <f t="shared" si="25"/>
        <v>0</v>
      </c>
      <c r="BP192" s="214" t="b">
        <f t="shared" si="26"/>
        <v>0</v>
      </c>
      <c r="BQ192" s="118"/>
      <c r="BR192" s="231" t="s">
        <v>206</v>
      </c>
      <c r="BS192" s="7" t="b">
        <f t="shared" si="27"/>
        <v>1</v>
      </c>
      <c r="BT192" s="214"/>
      <c r="BU192" s="214"/>
      <c r="BV192" s="214"/>
      <c r="BW192" s="214"/>
    </row>
    <row r="193">
      <c r="A193" s="86" t="s">
        <v>447</v>
      </c>
      <c r="B193" s="87">
        <v>44718.0</v>
      </c>
      <c r="C193" s="88">
        <v>0.20266203703703703</v>
      </c>
      <c r="D193" s="89"/>
      <c r="E193" s="89"/>
      <c r="F193" s="89"/>
      <c r="G193" s="86"/>
      <c r="H193" s="90"/>
      <c r="I193" s="3"/>
      <c r="J193" s="3"/>
      <c r="K193" s="89" t="s">
        <v>228</v>
      </c>
      <c r="L193" s="36">
        <v>44718.0</v>
      </c>
      <c r="M193" s="91">
        <v>0.36497685185185186</v>
      </c>
      <c r="N193" s="3"/>
      <c r="O193" s="92"/>
      <c r="P193" s="93" t="b">
        <f>IFNA(IF(VLOOKUP($A193,'Add from APT'!$AA$2:$AC264,3,FALSE)&gt;0,TRUE,FALSE),"ER - NOT IN APT")</f>
        <v>0</v>
      </c>
      <c r="Q193" s="94" t="str">
        <f>IF(ISLOGICAL(P193),IF(P193,"ER - REPS IN APT", IFNA(VLOOKUP($A193,RAW_APT!$A$3:$M264,7,FALSE),"ER - NOT IN APT")),P193)</f>
        <v>Result</v>
      </c>
      <c r="R193" s="95" t="b">
        <f t="shared" si="102"/>
        <v>1</v>
      </c>
      <c r="S193" s="96">
        <f t="shared" si="3"/>
        <v>2</v>
      </c>
      <c r="T193" s="103"/>
      <c r="U193" s="3"/>
      <c r="V193" s="3"/>
      <c r="W193" s="98"/>
      <c r="X193" s="99" t="b">
        <f t="shared" si="185"/>
        <v>0</v>
      </c>
      <c r="Y193" s="100"/>
      <c r="Z193" s="101" t="str">
        <f t="shared" si="5"/>
        <v/>
      </c>
      <c r="AA193" s="102" t="b">
        <f t="shared" si="6"/>
        <v>0</v>
      </c>
      <c r="AB193" s="98"/>
      <c r="AC193" s="103">
        <v>64.0</v>
      </c>
      <c r="AD193" s="104"/>
      <c r="AE193" s="105">
        <f t="shared" si="7"/>
        <v>233.7333333</v>
      </c>
      <c r="AF193" s="106" t="b">
        <f t="shared" si="103"/>
        <v>0</v>
      </c>
      <c r="AG193" s="93" t="b">
        <f t="shared" si="9"/>
        <v>0</v>
      </c>
      <c r="AH193" s="103"/>
      <c r="AI193" s="103"/>
      <c r="AJ193" s="97"/>
      <c r="AK193" s="101" t="str">
        <f t="shared" si="10"/>
        <v>Negative</v>
      </c>
      <c r="AL193" s="98"/>
      <c r="AM193" s="94" t="s">
        <v>332</v>
      </c>
      <c r="AN193" s="94" t="s">
        <v>335</v>
      </c>
      <c r="AO193" s="102" t="str">
        <f>IFERROR(__xludf.DUMMYFUNCTION("IF($AG193, ""DELETED"",TRIM(JOIN("" "",D193:E193)))"),"")</f>
        <v/>
      </c>
      <c r="AP193" s="94" t="str">
        <f t="shared" ref="AP193:AQ193" si="233">IF($AG193, "DELETED", TRIM(CONCATENATE(F193,I193,U193)))</f>
        <v/>
      </c>
      <c r="AQ193" s="94" t="str">
        <f t="shared" si="233"/>
        <v/>
      </c>
      <c r="AR193" s="94" t="str">
        <f>IFERROR(__xludf.DUMMYFUNCTION("IF($AG193, ""DELETED"", TRIM(JOIN("" "",AP193,AQ193)))"),"")</f>
        <v/>
      </c>
      <c r="AS193" s="9"/>
      <c r="AT193" s="93" t="b">
        <f t="shared" si="12"/>
        <v>0</v>
      </c>
      <c r="AU193" s="93" t="str">
        <f t="shared" si="13"/>
        <v/>
      </c>
      <c r="AV193" s="93" t="str">
        <f t="shared" si="14"/>
        <v/>
      </c>
      <c r="AW193" s="93" t="str">
        <f t="shared" si="187"/>
        <v/>
      </c>
      <c r="AX193" s="107" t="str">
        <f t="shared" si="16"/>
        <v/>
      </c>
      <c r="AY193" s="98"/>
      <c r="AZ193" s="108"/>
      <c r="BA193" s="109" t="str">
        <f t="shared" si="17"/>
        <v/>
      </c>
      <c r="BB193" s="98"/>
      <c r="BC193" s="98"/>
      <c r="BD193" s="108"/>
      <c r="BE193" s="134"/>
      <c r="BF193" s="111" t="str">
        <f t="shared" si="18"/>
        <v/>
      </c>
      <c r="BG193" s="112" t="str">
        <f t="shared" si="19"/>
        <v>AG615__44718_0.202662037037037___Negative_44718_0.364976851851852_</v>
      </c>
      <c r="BH193" s="113" t="str">
        <f t="shared" si="20"/>
        <v/>
      </c>
      <c r="BI193" s="202"/>
      <c r="BJ193" s="114" t="str">
        <f t="shared" si="21"/>
        <v/>
      </c>
      <c r="BK193" s="115" t="b">
        <f t="shared" si="105"/>
        <v>0</v>
      </c>
      <c r="BL193" s="114" t="str">
        <f t="shared" si="23"/>
        <v/>
      </c>
      <c r="BM193" s="108"/>
      <c r="BN193" s="7" t="b">
        <f t="shared" si="24"/>
        <v>1</v>
      </c>
      <c r="BO193" s="7" t="b">
        <f t="shared" si="25"/>
        <v>0</v>
      </c>
      <c r="BP193" s="7" t="b">
        <f t="shared" si="26"/>
        <v>1</v>
      </c>
      <c r="BQ193" s="118"/>
      <c r="BR193" s="119" t="s">
        <v>228</v>
      </c>
      <c r="BS193" s="7" t="b">
        <f t="shared" si="27"/>
        <v>1</v>
      </c>
      <c r="BT193" s="7"/>
      <c r="BU193" s="7"/>
      <c r="BV193" s="7"/>
      <c r="BW193" s="7"/>
    </row>
    <row r="194">
      <c r="A194" s="86" t="s">
        <v>447</v>
      </c>
      <c r="B194" s="87">
        <v>44718.0</v>
      </c>
      <c r="C194" s="88">
        <v>0.20266203703703703</v>
      </c>
      <c r="D194" s="89"/>
      <c r="E194" s="89"/>
      <c r="F194" s="89"/>
      <c r="G194" s="86"/>
      <c r="H194" s="90"/>
      <c r="I194" s="3"/>
      <c r="J194" s="3"/>
      <c r="K194" s="89" t="s">
        <v>228</v>
      </c>
      <c r="L194" s="36">
        <v>44718.0</v>
      </c>
      <c r="M194" s="91">
        <v>0.36497685185185186</v>
      </c>
      <c r="N194" s="3"/>
      <c r="O194" s="92"/>
      <c r="P194" s="93" t="b">
        <f>IFNA(IF(VLOOKUP($A194,'Add from APT'!$AA$2:$AC264,3,FALSE)&gt;0,TRUE,FALSE),"ER - NOT IN APT")</f>
        <v>0</v>
      </c>
      <c r="Q194" s="94" t="str">
        <f>IF(ISLOGICAL(P194),IF(P194,"ER - REPS IN APT", IFNA(VLOOKUP($A194,RAW_APT!$A$3:$M264,7,FALSE),"ER - NOT IN APT")),P194)</f>
        <v>Result</v>
      </c>
      <c r="R194" s="95" t="b">
        <f t="shared" si="102"/>
        <v>0</v>
      </c>
      <c r="S194" s="96">
        <f t="shared" si="3"/>
        <v>2</v>
      </c>
      <c r="T194" s="103"/>
      <c r="U194" s="3"/>
      <c r="V194" s="3"/>
      <c r="W194" s="98"/>
      <c r="X194" s="99" t="b">
        <f t="shared" si="185"/>
        <v>0</v>
      </c>
      <c r="Y194" s="100"/>
      <c r="Z194" s="101" t="str">
        <f t="shared" si="5"/>
        <v/>
      </c>
      <c r="AA194" s="102" t="b">
        <f t="shared" si="6"/>
        <v>0</v>
      </c>
      <c r="AB194" s="98"/>
      <c r="AC194" s="103">
        <v>65.0</v>
      </c>
      <c r="AD194" s="104"/>
      <c r="AE194" s="105">
        <f t="shared" si="7"/>
        <v>233.7333333</v>
      </c>
      <c r="AF194" s="106" t="b">
        <f t="shared" si="103"/>
        <v>0</v>
      </c>
      <c r="AG194" s="93" t="b">
        <f t="shared" si="9"/>
        <v>0</v>
      </c>
      <c r="AH194" s="103"/>
      <c r="AI194" s="103"/>
      <c r="AJ194" s="97"/>
      <c r="AK194" s="101" t="str">
        <f t="shared" si="10"/>
        <v>Negative</v>
      </c>
      <c r="AL194" s="98"/>
      <c r="AM194" s="94" t="s">
        <v>332</v>
      </c>
      <c r="AN194" s="94" t="s">
        <v>339</v>
      </c>
      <c r="AO194" s="102" t="str">
        <f>IFERROR(__xludf.DUMMYFUNCTION("IF($AG194, ""DELETED"",TRIM(JOIN("" "",D194:E194)))"),"")</f>
        <v/>
      </c>
      <c r="AP194" s="94" t="str">
        <f t="shared" ref="AP194:AQ194" si="234">IF($AG194, "DELETED", TRIM(CONCATENATE(F194,I194,U194)))</f>
        <v/>
      </c>
      <c r="AQ194" s="94" t="str">
        <f t="shared" si="234"/>
        <v/>
      </c>
      <c r="AR194" s="94" t="str">
        <f>IFERROR(__xludf.DUMMYFUNCTION("IF($AG194, ""DELETED"", TRIM(JOIN("" "",AP194,AQ194)))"),"")</f>
        <v/>
      </c>
      <c r="AS194" s="9"/>
      <c r="AT194" s="93" t="b">
        <f t="shared" si="12"/>
        <v>0</v>
      </c>
      <c r="AU194" s="93" t="str">
        <f t="shared" si="13"/>
        <v/>
      </c>
      <c r="AV194" s="93" t="str">
        <f t="shared" si="14"/>
        <v/>
      </c>
      <c r="AW194" s="93" t="str">
        <f t="shared" si="187"/>
        <v/>
      </c>
      <c r="AX194" s="107" t="str">
        <f t="shared" si="16"/>
        <v/>
      </c>
      <c r="AY194" s="98"/>
      <c r="AZ194" s="108"/>
      <c r="BA194" s="109" t="str">
        <f t="shared" si="17"/>
        <v/>
      </c>
      <c r="BB194" s="98"/>
      <c r="BC194" s="98"/>
      <c r="BD194" s="108"/>
      <c r="BE194" s="134"/>
      <c r="BF194" s="111" t="str">
        <f t="shared" si="18"/>
        <v/>
      </c>
      <c r="BG194" s="112" t="str">
        <f t="shared" si="19"/>
        <v>AG615__44718_0.202662037037037___Negative_44718_0.364976851851852_</v>
      </c>
      <c r="BH194" s="113" t="str">
        <f t="shared" si="20"/>
        <v/>
      </c>
      <c r="BI194" s="202"/>
      <c r="BJ194" s="114" t="str">
        <f t="shared" si="21"/>
        <v/>
      </c>
      <c r="BK194" s="115" t="b">
        <f t="shared" si="105"/>
        <v>0</v>
      </c>
      <c r="BL194" s="114" t="str">
        <f t="shared" si="23"/>
        <v/>
      </c>
      <c r="BM194" s="108"/>
      <c r="BN194" s="7" t="b">
        <f t="shared" si="24"/>
        <v>1</v>
      </c>
      <c r="BO194" s="7" t="b">
        <f t="shared" si="25"/>
        <v>0</v>
      </c>
      <c r="BP194" s="7" t="b">
        <f t="shared" si="26"/>
        <v>1</v>
      </c>
      <c r="BQ194" s="118"/>
      <c r="BR194" s="119" t="s">
        <v>228</v>
      </c>
      <c r="BS194" s="7" t="b">
        <f t="shared" si="27"/>
        <v>1</v>
      </c>
      <c r="BT194" s="7"/>
      <c r="BU194" s="7"/>
      <c r="BV194" s="7"/>
      <c r="BW194" s="7"/>
    </row>
    <row r="195">
      <c r="A195" s="86" t="s">
        <v>448</v>
      </c>
      <c r="B195" s="87">
        <v>44718.0</v>
      </c>
      <c r="C195" s="88">
        <v>0.21167824074074074</v>
      </c>
      <c r="D195" s="89"/>
      <c r="E195" s="89"/>
      <c r="F195" s="89"/>
      <c r="G195" s="86"/>
      <c r="H195" s="90"/>
      <c r="I195" s="3"/>
      <c r="J195" s="3"/>
      <c r="K195" s="89" t="s">
        <v>228</v>
      </c>
      <c r="L195" s="36">
        <v>44718.0</v>
      </c>
      <c r="M195" s="91">
        <v>0.36497685185185186</v>
      </c>
      <c r="N195" s="3"/>
      <c r="O195" s="92"/>
      <c r="P195" s="93" t="b">
        <f>IFNA(IF(VLOOKUP($A195,'Add from APT'!$AA$2:$AC264,3,FALSE)&gt;0,TRUE,FALSE),"ER - NOT IN APT")</f>
        <v>0</v>
      </c>
      <c r="Q195" s="94" t="str">
        <f>IF(ISLOGICAL(P195),IF(P195,"ER - REPS IN APT", IFNA(VLOOKUP($A195,RAW_APT!$A$3:$M264,7,FALSE),"ER - NOT IN APT")),P195)</f>
        <v>Result</v>
      </c>
      <c r="R195" s="95" t="b">
        <f t="shared" si="102"/>
        <v>1</v>
      </c>
      <c r="S195" s="96">
        <f t="shared" si="3"/>
        <v>3</v>
      </c>
      <c r="T195" s="103"/>
      <c r="U195" s="3"/>
      <c r="V195" s="3"/>
      <c r="W195" s="98"/>
      <c r="X195" s="99" t="b">
        <f t="shared" si="185"/>
        <v>0</v>
      </c>
      <c r="Y195" s="100"/>
      <c r="Z195" s="101" t="str">
        <f t="shared" si="5"/>
        <v/>
      </c>
      <c r="AA195" s="102" t="b">
        <f t="shared" si="6"/>
        <v>0</v>
      </c>
      <c r="AB195" s="98"/>
      <c r="AC195" s="103">
        <v>68.0</v>
      </c>
      <c r="AD195" s="104"/>
      <c r="AE195" s="105">
        <f t="shared" si="7"/>
        <v>220.75</v>
      </c>
      <c r="AF195" s="106" t="b">
        <f t="shared" si="103"/>
        <v>0</v>
      </c>
      <c r="AG195" s="93" t="b">
        <f t="shared" si="9"/>
        <v>0</v>
      </c>
      <c r="AH195" s="103"/>
      <c r="AI195" s="103"/>
      <c r="AJ195" s="97"/>
      <c r="AK195" s="101" t="str">
        <f t="shared" si="10"/>
        <v>Negative</v>
      </c>
      <c r="AL195" s="98"/>
      <c r="AM195" s="94" t="s">
        <v>406</v>
      </c>
      <c r="AN195" s="94" t="s">
        <v>387</v>
      </c>
      <c r="AO195" s="102" t="str">
        <f>IFERROR(__xludf.DUMMYFUNCTION("IF($AG195, ""DELETED"",TRIM(JOIN("" "",D195:E195)))"),"")</f>
        <v/>
      </c>
      <c r="AP195" s="94" t="str">
        <f t="shared" ref="AP195:AQ195" si="235">IF($AG195, "DELETED", TRIM(CONCATENATE(F195,I195,U195)))</f>
        <v/>
      </c>
      <c r="AQ195" s="94" t="str">
        <f t="shared" si="235"/>
        <v/>
      </c>
      <c r="AR195" s="94" t="str">
        <f>IFERROR(__xludf.DUMMYFUNCTION("IF($AG195, ""DELETED"", TRIM(JOIN("" "",AP195,AQ195)))"),"")</f>
        <v/>
      </c>
      <c r="AS195" s="9"/>
      <c r="AT195" s="93" t="b">
        <f t="shared" si="12"/>
        <v>0</v>
      </c>
      <c r="AU195" s="93" t="str">
        <f t="shared" si="13"/>
        <v/>
      </c>
      <c r="AV195" s="93" t="str">
        <f t="shared" si="14"/>
        <v/>
      </c>
      <c r="AW195" s="93" t="str">
        <f t="shared" si="187"/>
        <v/>
      </c>
      <c r="AX195" s="107" t="str">
        <f t="shared" si="16"/>
        <v/>
      </c>
      <c r="AY195" s="98"/>
      <c r="AZ195" s="108"/>
      <c r="BA195" s="109" t="str">
        <f t="shared" si="17"/>
        <v/>
      </c>
      <c r="BB195" s="98"/>
      <c r="BC195" s="98"/>
      <c r="BD195" s="108"/>
      <c r="BE195" s="134"/>
      <c r="BF195" s="111" t="str">
        <f t="shared" si="18"/>
        <v/>
      </c>
      <c r="BG195" s="112" t="str">
        <f t="shared" si="19"/>
        <v>AH7933__44718_0.211678240740741___Negative_44718_0.364976851851852_</v>
      </c>
      <c r="BH195" s="113" t="str">
        <f t="shared" si="20"/>
        <v/>
      </c>
      <c r="BI195" s="202"/>
      <c r="BJ195" s="114" t="str">
        <f t="shared" si="21"/>
        <v/>
      </c>
      <c r="BK195" s="115" t="b">
        <f t="shared" si="105"/>
        <v>0</v>
      </c>
      <c r="BL195" s="114" t="str">
        <f t="shared" si="23"/>
        <v/>
      </c>
      <c r="BM195" s="108"/>
      <c r="BN195" s="7" t="b">
        <f t="shared" si="24"/>
        <v>1</v>
      </c>
      <c r="BO195" s="7" t="b">
        <f t="shared" si="25"/>
        <v>0</v>
      </c>
      <c r="BP195" s="7" t="b">
        <f t="shared" si="26"/>
        <v>1</v>
      </c>
      <c r="BQ195" s="118"/>
      <c r="BR195" s="119" t="s">
        <v>228</v>
      </c>
      <c r="BS195" s="7" t="b">
        <f t="shared" si="27"/>
        <v>1</v>
      </c>
      <c r="BT195" s="7"/>
      <c r="BU195" s="7"/>
      <c r="BV195" s="7"/>
      <c r="BW195" s="7"/>
    </row>
    <row r="196">
      <c r="A196" s="86" t="s">
        <v>448</v>
      </c>
      <c r="B196" s="87">
        <v>44718.0</v>
      </c>
      <c r="C196" s="88">
        <v>0.21167824074074074</v>
      </c>
      <c r="D196" s="89"/>
      <c r="E196" s="89"/>
      <c r="F196" s="89"/>
      <c r="G196" s="86"/>
      <c r="H196" s="89"/>
      <c r="I196" s="121"/>
      <c r="J196" s="3"/>
      <c r="K196" s="89" t="s">
        <v>228</v>
      </c>
      <c r="L196" s="36">
        <v>44718.0</v>
      </c>
      <c r="M196" s="91">
        <v>0.36497685185185186</v>
      </c>
      <c r="N196" s="3"/>
      <c r="O196" s="92"/>
      <c r="P196" s="93" t="b">
        <f>IFNA(IF(VLOOKUP($A196,'Add from APT'!$AA$2:$AC264,3,FALSE)&gt;0,TRUE,FALSE),"ER - NOT IN APT")</f>
        <v>0</v>
      </c>
      <c r="Q196" s="94" t="str">
        <f>IF(ISLOGICAL(P196),IF(P196,"ER - REPS IN APT", IFNA(VLOOKUP($A196,RAW_APT!$A$3:$M264,7,FALSE),"ER - NOT IN APT")),P196)</f>
        <v>Result</v>
      </c>
      <c r="R196" s="95" t="b">
        <f t="shared" si="102"/>
        <v>0</v>
      </c>
      <c r="S196" s="96">
        <f t="shared" si="3"/>
        <v>3</v>
      </c>
      <c r="T196" s="103"/>
      <c r="U196" s="3"/>
      <c r="V196" s="3"/>
      <c r="W196" s="9"/>
      <c r="X196" s="99" t="b">
        <f t="shared" si="185"/>
        <v>0</v>
      </c>
      <c r="Y196" s="100"/>
      <c r="Z196" s="101" t="str">
        <f t="shared" si="5"/>
        <v/>
      </c>
      <c r="AA196" s="102" t="b">
        <f t="shared" si="6"/>
        <v>0</v>
      </c>
      <c r="AB196" s="98"/>
      <c r="AC196" s="103">
        <v>66.0</v>
      </c>
      <c r="AD196" s="104"/>
      <c r="AE196" s="105">
        <f t="shared" si="7"/>
        <v>220.75</v>
      </c>
      <c r="AF196" s="106" t="b">
        <f t="shared" si="103"/>
        <v>0</v>
      </c>
      <c r="AG196" s="93" t="b">
        <f t="shared" si="9"/>
        <v>0</v>
      </c>
      <c r="AH196" s="103"/>
      <c r="AI196" s="103"/>
      <c r="AJ196" s="103"/>
      <c r="AK196" s="101" t="str">
        <f t="shared" si="10"/>
        <v>Negative</v>
      </c>
      <c r="AL196" s="98"/>
      <c r="AM196" s="94" t="s">
        <v>406</v>
      </c>
      <c r="AN196" s="94" t="s">
        <v>407</v>
      </c>
      <c r="AO196" s="102" t="str">
        <f>IFERROR(__xludf.DUMMYFUNCTION("IF($AG196, ""DELETED"",TRIM(JOIN("" "",D196:E196)))"),"")</f>
        <v/>
      </c>
      <c r="AP196" s="94" t="str">
        <f t="shared" ref="AP196:AQ196" si="236">IF($AG196, "DELETED", TRIM(CONCATENATE(F196,I196,U196)))</f>
        <v/>
      </c>
      <c r="AQ196" s="94" t="str">
        <f t="shared" si="236"/>
        <v/>
      </c>
      <c r="AR196" s="94" t="str">
        <f>IFERROR(__xludf.DUMMYFUNCTION("IF($AG196, ""DELETED"", TRIM(JOIN("" "",AP196,AQ196)))"),"")</f>
        <v/>
      </c>
      <c r="AS196" s="9"/>
      <c r="AT196" s="93" t="b">
        <f t="shared" si="12"/>
        <v>0</v>
      </c>
      <c r="AU196" s="93" t="str">
        <f t="shared" si="13"/>
        <v/>
      </c>
      <c r="AV196" s="93" t="str">
        <f t="shared" si="14"/>
        <v/>
      </c>
      <c r="AW196" s="93" t="str">
        <f t="shared" si="187"/>
        <v/>
      </c>
      <c r="AX196" s="107" t="str">
        <f t="shared" si="16"/>
        <v/>
      </c>
      <c r="AY196" s="104"/>
      <c r="AZ196" s="138"/>
      <c r="BA196" s="109" t="str">
        <f t="shared" si="17"/>
        <v/>
      </c>
      <c r="BB196" s="104"/>
      <c r="BC196" s="104"/>
      <c r="BD196" s="108"/>
      <c r="BE196" s="134"/>
      <c r="BF196" s="111" t="str">
        <f t="shared" si="18"/>
        <v/>
      </c>
      <c r="BG196" s="112" t="str">
        <f t="shared" si="19"/>
        <v>AH7933__44718_0.211678240740741___Negative_44718_0.364976851851852_</v>
      </c>
      <c r="BH196" s="113" t="str">
        <f t="shared" si="20"/>
        <v/>
      </c>
      <c r="BI196" s="202"/>
      <c r="BJ196" s="114" t="str">
        <f t="shared" si="21"/>
        <v/>
      </c>
      <c r="BK196" s="115" t="b">
        <f t="shared" si="105"/>
        <v>0</v>
      </c>
      <c r="BL196" s="114" t="str">
        <f t="shared" si="23"/>
        <v/>
      </c>
      <c r="BM196" s="108"/>
      <c r="BN196" s="7" t="b">
        <f t="shared" si="24"/>
        <v>1</v>
      </c>
      <c r="BO196" s="7" t="b">
        <f t="shared" si="25"/>
        <v>0</v>
      </c>
      <c r="BP196" s="7" t="b">
        <f t="shared" si="26"/>
        <v>1</v>
      </c>
      <c r="BQ196" s="118"/>
      <c r="BR196" s="119" t="s">
        <v>228</v>
      </c>
      <c r="BS196" s="7" t="b">
        <f t="shared" si="27"/>
        <v>1</v>
      </c>
      <c r="BT196" s="7"/>
      <c r="BU196" s="7"/>
      <c r="BV196" s="7"/>
      <c r="BW196" s="7"/>
    </row>
    <row r="197">
      <c r="A197" s="86" t="s">
        <v>448</v>
      </c>
      <c r="B197" s="87">
        <v>44718.0</v>
      </c>
      <c r="C197" s="88">
        <v>0.21167824074074074</v>
      </c>
      <c r="D197" s="89"/>
      <c r="E197" s="89"/>
      <c r="F197" s="3"/>
      <c r="G197" s="120"/>
      <c r="H197" s="3"/>
      <c r="I197" s="89"/>
      <c r="J197" s="89"/>
      <c r="K197" s="89" t="s">
        <v>228</v>
      </c>
      <c r="L197" s="36">
        <v>44718.0</v>
      </c>
      <c r="M197" s="91">
        <v>0.36497685185185186</v>
      </c>
      <c r="N197" s="3"/>
      <c r="O197" s="92"/>
      <c r="P197" s="93" t="b">
        <f>IFNA(IF(VLOOKUP($A197,'Add from APT'!$AA$2:$AC264,3,FALSE)&gt;0,TRUE,FALSE),"ER - NOT IN APT")</f>
        <v>0</v>
      </c>
      <c r="Q197" s="94" t="str">
        <f>IF(ISLOGICAL(P197),IF(P197,"ER - REPS IN APT", IFNA(VLOOKUP($A197,RAW_APT!$A$3:$M264,7,FALSE),"ER - NOT IN APT")),P197)</f>
        <v>Result</v>
      </c>
      <c r="R197" s="95" t="b">
        <f t="shared" si="102"/>
        <v>0</v>
      </c>
      <c r="S197" s="96">
        <f t="shared" si="3"/>
        <v>3</v>
      </c>
      <c r="T197" s="130"/>
      <c r="U197" s="3"/>
      <c r="V197" s="3"/>
      <c r="W197" s="3"/>
      <c r="X197" s="99" t="b">
        <f t="shared" si="185"/>
        <v>0</v>
      </c>
      <c r="Y197" s="7"/>
      <c r="Z197" s="101" t="str">
        <f t="shared" si="5"/>
        <v/>
      </c>
      <c r="AA197" s="102" t="b">
        <f t="shared" si="6"/>
        <v>0</v>
      </c>
      <c r="AB197" s="131"/>
      <c r="AC197" s="130">
        <v>67.0</v>
      </c>
      <c r="AD197" s="132"/>
      <c r="AE197" s="105">
        <f t="shared" si="7"/>
        <v>220.75</v>
      </c>
      <c r="AF197" s="106" t="b">
        <f t="shared" si="103"/>
        <v>0</v>
      </c>
      <c r="AG197" s="93" t="b">
        <f t="shared" si="9"/>
        <v>0</v>
      </c>
      <c r="AH197" s="130"/>
      <c r="AI197" s="13"/>
      <c r="AJ197" s="166"/>
      <c r="AK197" s="101" t="str">
        <f t="shared" si="10"/>
        <v>Negative</v>
      </c>
      <c r="AL197" s="98"/>
      <c r="AM197" s="94" t="s">
        <v>406</v>
      </c>
      <c r="AN197" s="94" t="s">
        <v>386</v>
      </c>
      <c r="AO197" s="102" t="str">
        <f>IFERROR(__xludf.DUMMYFUNCTION("IF($AG197, ""DELETED"",TRIM(JOIN("" "",D197:E197)))"),"")</f>
        <v/>
      </c>
      <c r="AP197" s="94" t="str">
        <f t="shared" ref="AP197:AQ197" si="237">IF($AG197, "DELETED", TRIM(CONCATENATE(F197,I197,U197)))</f>
        <v/>
      </c>
      <c r="AQ197" s="94" t="str">
        <f t="shared" si="237"/>
        <v/>
      </c>
      <c r="AR197" s="94" t="str">
        <f>IFERROR(__xludf.DUMMYFUNCTION("IF($AG197, ""DELETED"", TRIM(JOIN("" "",AP197,AQ197)))"),"")</f>
        <v/>
      </c>
      <c r="AS197" s="9"/>
      <c r="AT197" s="93" t="b">
        <f t="shared" si="12"/>
        <v>0</v>
      </c>
      <c r="AU197" s="93" t="str">
        <f t="shared" si="13"/>
        <v/>
      </c>
      <c r="AV197" s="93" t="str">
        <f t="shared" si="14"/>
        <v/>
      </c>
      <c r="AW197" s="93" t="str">
        <f t="shared" si="187"/>
        <v/>
      </c>
      <c r="AX197" s="107" t="str">
        <f t="shared" si="16"/>
        <v/>
      </c>
      <c r="AY197" s="13"/>
      <c r="AZ197" s="238"/>
      <c r="BA197" s="109" t="str">
        <f t="shared" si="17"/>
        <v/>
      </c>
      <c r="BB197" s="13"/>
      <c r="BC197" s="13"/>
      <c r="BD197" s="108"/>
      <c r="BE197" s="134"/>
      <c r="BF197" s="111" t="str">
        <f t="shared" si="18"/>
        <v/>
      </c>
      <c r="BG197" s="112" t="str">
        <f t="shared" si="19"/>
        <v>AH7933__44718_0.211678240740741___Negative_44718_0.364976851851852_</v>
      </c>
      <c r="BH197" s="113" t="str">
        <f t="shared" si="20"/>
        <v/>
      </c>
      <c r="BI197" s="202"/>
      <c r="BJ197" s="114" t="str">
        <f t="shared" si="21"/>
        <v/>
      </c>
      <c r="BK197" s="115" t="b">
        <f t="shared" si="105"/>
        <v>0</v>
      </c>
      <c r="BL197" s="114" t="str">
        <f t="shared" si="23"/>
        <v/>
      </c>
      <c r="BM197" s="108"/>
      <c r="BN197" s="7" t="b">
        <f t="shared" si="24"/>
        <v>1</v>
      </c>
      <c r="BO197" s="7" t="b">
        <f t="shared" si="25"/>
        <v>0</v>
      </c>
      <c r="BP197" s="7" t="b">
        <f t="shared" si="26"/>
        <v>1</v>
      </c>
      <c r="BQ197" s="118"/>
      <c r="BR197" s="119" t="s">
        <v>228</v>
      </c>
      <c r="BS197" s="7" t="b">
        <f t="shared" si="27"/>
        <v>1</v>
      </c>
      <c r="BT197" s="7"/>
      <c r="BU197" s="7"/>
      <c r="BV197" s="7"/>
      <c r="BW197" s="7"/>
    </row>
    <row r="198">
      <c r="A198" s="86" t="s">
        <v>449</v>
      </c>
      <c r="B198" s="87">
        <v>44718.0</v>
      </c>
      <c r="C198" s="88">
        <v>0.21364583333333334</v>
      </c>
      <c r="D198" s="89"/>
      <c r="E198" s="89"/>
      <c r="F198" s="89"/>
      <c r="G198" s="86"/>
      <c r="H198" s="90"/>
      <c r="I198" s="3"/>
      <c r="J198" s="3"/>
      <c r="K198" s="89" t="s">
        <v>228</v>
      </c>
      <c r="L198" s="36">
        <v>44718.0</v>
      </c>
      <c r="M198" s="91">
        <v>0.36497685185185186</v>
      </c>
      <c r="N198" s="3"/>
      <c r="O198" s="92"/>
      <c r="P198" s="93" t="b">
        <f>IFNA(IF(VLOOKUP($A198,'Add from APT'!$AA$2:$AC264,3,FALSE)&gt;0,TRUE,FALSE),"ER - NOT IN APT")</f>
        <v>0</v>
      </c>
      <c r="Q198" s="94" t="str">
        <f>IF(ISLOGICAL(P198),IF(P198,"ER - REPS IN APT", IFNA(VLOOKUP($A198,RAW_APT!$A$3:$M264,7,FALSE),"ER - NOT IN APT")),P198)</f>
        <v>Result</v>
      </c>
      <c r="R198" s="95" t="b">
        <f t="shared" si="102"/>
        <v>1</v>
      </c>
      <c r="S198" s="96">
        <f t="shared" si="3"/>
        <v>2</v>
      </c>
      <c r="T198" s="166"/>
      <c r="U198" s="3"/>
      <c r="V198" s="3"/>
      <c r="W198" s="3"/>
      <c r="X198" s="99" t="b">
        <f t="shared" si="185"/>
        <v>0</v>
      </c>
      <c r="Y198" s="7"/>
      <c r="Z198" s="101" t="str">
        <f t="shared" si="5"/>
        <v/>
      </c>
      <c r="AA198" s="102" t="b">
        <f t="shared" si="6"/>
        <v>0</v>
      </c>
      <c r="AB198" s="131"/>
      <c r="AC198" s="130">
        <v>69.0</v>
      </c>
      <c r="AD198" s="132"/>
      <c r="AE198" s="105">
        <f t="shared" si="7"/>
        <v>217.9166667</v>
      </c>
      <c r="AF198" s="106" t="b">
        <f t="shared" si="103"/>
        <v>0</v>
      </c>
      <c r="AG198" s="93" t="b">
        <f t="shared" si="9"/>
        <v>0</v>
      </c>
      <c r="AH198" s="130"/>
      <c r="AI198" s="13"/>
      <c r="AJ198" s="7"/>
      <c r="AK198" s="101" t="str">
        <f t="shared" si="10"/>
        <v>Negative</v>
      </c>
      <c r="AL198" s="98"/>
      <c r="AM198" s="94" t="s">
        <v>397</v>
      </c>
      <c r="AN198" s="94" t="s">
        <v>400</v>
      </c>
      <c r="AO198" s="102" t="str">
        <f>IFERROR(__xludf.DUMMYFUNCTION("IF($AG198, ""DELETED"",TRIM(JOIN("" "",D198:E198)))"),"")</f>
        <v/>
      </c>
      <c r="AP198" s="94" t="str">
        <f t="shared" ref="AP198:AQ198" si="238">IF($AG198, "DELETED", TRIM(CONCATENATE(F198,I198,U198)))</f>
        <v/>
      </c>
      <c r="AQ198" s="94" t="str">
        <f t="shared" si="238"/>
        <v/>
      </c>
      <c r="AR198" s="94" t="str">
        <f>IFERROR(__xludf.DUMMYFUNCTION("IF($AG198, ""DELETED"", TRIM(JOIN("" "",AP198,AQ198)))"),"")</f>
        <v/>
      </c>
      <c r="AS198" s="9"/>
      <c r="AT198" s="93" t="b">
        <f t="shared" si="12"/>
        <v>0</v>
      </c>
      <c r="AU198" s="93" t="str">
        <f t="shared" si="13"/>
        <v/>
      </c>
      <c r="AV198" s="93" t="str">
        <f t="shared" si="14"/>
        <v/>
      </c>
      <c r="AW198" s="93" t="str">
        <f t="shared" si="187"/>
        <v/>
      </c>
      <c r="AX198" s="107" t="str">
        <f t="shared" si="16"/>
        <v/>
      </c>
      <c r="AY198" s="3"/>
      <c r="AZ198" s="129"/>
      <c r="BA198" s="109" t="str">
        <f t="shared" si="17"/>
        <v/>
      </c>
      <c r="BB198" s="3"/>
      <c r="BC198" s="3"/>
      <c r="BD198" s="108"/>
      <c r="BE198" s="134"/>
      <c r="BF198" s="111" t="str">
        <f t="shared" si="18"/>
        <v/>
      </c>
      <c r="BG198" s="112" t="str">
        <f t="shared" si="19"/>
        <v>AH9741__44718_0.213645833333333___Negative_44718_0.364976851851852_</v>
      </c>
      <c r="BH198" s="113" t="str">
        <f t="shared" si="20"/>
        <v/>
      </c>
      <c r="BI198" s="202"/>
      <c r="BJ198" s="114" t="str">
        <f t="shared" si="21"/>
        <v/>
      </c>
      <c r="BK198" s="115" t="b">
        <f t="shared" si="105"/>
        <v>0</v>
      </c>
      <c r="BL198" s="114" t="str">
        <f t="shared" si="23"/>
        <v/>
      </c>
      <c r="BM198" s="108"/>
      <c r="BN198" s="7" t="b">
        <f t="shared" si="24"/>
        <v>1</v>
      </c>
      <c r="BO198" s="7" t="b">
        <f t="shared" si="25"/>
        <v>0</v>
      </c>
      <c r="BP198" s="7" t="b">
        <f t="shared" si="26"/>
        <v>1</v>
      </c>
      <c r="BQ198" s="118"/>
      <c r="BR198" s="119" t="s">
        <v>228</v>
      </c>
      <c r="BS198" s="7" t="b">
        <f t="shared" si="27"/>
        <v>1</v>
      </c>
      <c r="BT198" s="7"/>
      <c r="BU198" s="7"/>
      <c r="BV198" s="7"/>
      <c r="BW198" s="7"/>
    </row>
    <row r="199">
      <c r="A199" s="86" t="s">
        <v>449</v>
      </c>
      <c r="B199" s="87">
        <v>44718.0</v>
      </c>
      <c r="C199" s="88">
        <v>0.21364583333333334</v>
      </c>
      <c r="D199" s="89"/>
      <c r="E199" s="89"/>
      <c r="F199" s="89"/>
      <c r="G199" s="86"/>
      <c r="H199" s="90"/>
      <c r="I199" s="3"/>
      <c r="J199" s="3"/>
      <c r="K199" s="89" t="s">
        <v>228</v>
      </c>
      <c r="L199" s="36">
        <v>44718.0</v>
      </c>
      <c r="M199" s="91">
        <v>0.36497685185185186</v>
      </c>
      <c r="N199" s="121"/>
      <c r="O199" s="92"/>
      <c r="P199" s="93" t="b">
        <f>IFNA(IF(VLOOKUP($A199,'Add from APT'!$AA$2:$AC264,3,FALSE)&gt;0,TRUE,FALSE),"ER - NOT IN APT")</f>
        <v>0</v>
      </c>
      <c r="Q199" s="94" t="str">
        <f>IF(ISLOGICAL(P199),IF(P199,"ER - REPS IN APT", IFNA(VLOOKUP($A199,RAW_APT!$A$3:$M264,7,FALSE),"ER - NOT IN APT")),P199)</f>
        <v>Result</v>
      </c>
      <c r="R199" s="95" t="b">
        <f t="shared" si="102"/>
        <v>0</v>
      </c>
      <c r="S199" s="96">
        <f t="shared" si="3"/>
        <v>2</v>
      </c>
      <c r="T199" s="166"/>
      <c r="U199" s="3"/>
      <c r="V199" s="3"/>
      <c r="W199" s="9"/>
      <c r="X199" s="99" t="b">
        <f t="shared" si="185"/>
        <v>0</v>
      </c>
      <c r="Y199" s="7"/>
      <c r="Z199" s="101" t="str">
        <f t="shared" si="5"/>
        <v/>
      </c>
      <c r="AA199" s="102" t="b">
        <f t="shared" si="6"/>
        <v>0</v>
      </c>
      <c r="AB199" s="131"/>
      <c r="AC199" s="130">
        <v>70.0</v>
      </c>
      <c r="AD199" s="132"/>
      <c r="AE199" s="105">
        <f t="shared" si="7"/>
        <v>217.9166667</v>
      </c>
      <c r="AF199" s="106" t="b">
        <f t="shared" si="103"/>
        <v>0</v>
      </c>
      <c r="AG199" s="93" t="b">
        <f t="shared" si="9"/>
        <v>0</v>
      </c>
      <c r="AH199" s="130"/>
      <c r="AI199" s="13"/>
      <c r="AJ199" s="7"/>
      <c r="AK199" s="101" t="str">
        <f t="shared" si="10"/>
        <v>Negative</v>
      </c>
      <c r="AL199" s="98"/>
      <c r="AM199" s="94" t="s">
        <v>397</v>
      </c>
      <c r="AN199" s="94" t="s">
        <v>401</v>
      </c>
      <c r="AO199" s="102" t="str">
        <f>IFERROR(__xludf.DUMMYFUNCTION("IF($AG199, ""DELETED"",TRIM(JOIN("" "",D199:E199)))"),"")</f>
        <v/>
      </c>
      <c r="AP199" s="94" t="str">
        <f t="shared" ref="AP199:AQ199" si="239">IF($AG199, "DELETED", TRIM(CONCATENATE(F199,I199,U199)))</f>
        <v/>
      </c>
      <c r="AQ199" s="94" t="str">
        <f t="shared" si="239"/>
        <v/>
      </c>
      <c r="AR199" s="94" t="str">
        <f>IFERROR(__xludf.DUMMYFUNCTION("IF($AG199, ""DELETED"", TRIM(JOIN("" "",AP199,AQ199)))"),"")</f>
        <v/>
      </c>
      <c r="AS199" s="9"/>
      <c r="AT199" s="93" t="b">
        <f t="shared" si="12"/>
        <v>0</v>
      </c>
      <c r="AU199" s="93" t="str">
        <f t="shared" si="13"/>
        <v/>
      </c>
      <c r="AV199" s="93" t="str">
        <f t="shared" si="14"/>
        <v/>
      </c>
      <c r="AW199" s="93" t="str">
        <f t="shared" si="187"/>
        <v/>
      </c>
      <c r="AX199" s="107" t="str">
        <f t="shared" si="16"/>
        <v/>
      </c>
      <c r="AY199" s="3"/>
      <c r="AZ199" s="129"/>
      <c r="BA199" s="109" t="str">
        <f t="shared" si="17"/>
        <v/>
      </c>
      <c r="BB199" s="3"/>
      <c r="BC199" s="3"/>
      <c r="BD199" s="108"/>
      <c r="BE199" s="134"/>
      <c r="BF199" s="111" t="str">
        <f t="shared" si="18"/>
        <v/>
      </c>
      <c r="BG199" s="112" t="str">
        <f t="shared" si="19"/>
        <v>AH9741__44718_0.213645833333333___Negative_44718_0.364976851851852_</v>
      </c>
      <c r="BH199" s="113" t="str">
        <f t="shared" si="20"/>
        <v/>
      </c>
      <c r="BI199" s="202"/>
      <c r="BJ199" s="114" t="str">
        <f t="shared" si="21"/>
        <v/>
      </c>
      <c r="BK199" s="115" t="b">
        <f t="shared" si="105"/>
        <v>0</v>
      </c>
      <c r="BL199" s="114" t="str">
        <f t="shared" si="23"/>
        <v/>
      </c>
      <c r="BM199" s="108"/>
      <c r="BN199" s="7" t="b">
        <f t="shared" si="24"/>
        <v>1</v>
      </c>
      <c r="BO199" s="7" t="b">
        <f t="shared" si="25"/>
        <v>0</v>
      </c>
      <c r="BP199" s="7" t="b">
        <f t="shared" si="26"/>
        <v>1</v>
      </c>
      <c r="BQ199" s="118"/>
      <c r="BR199" s="119" t="s">
        <v>228</v>
      </c>
      <c r="BS199" s="7" t="b">
        <f t="shared" si="27"/>
        <v>1</v>
      </c>
      <c r="BT199" s="7"/>
      <c r="BU199" s="7"/>
      <c r="BV199" s="7"/>
      <c r="BW199" s="7"/>
    </row>
    <row r="200">
      <c r="A200" s="86" t="s">
        <v>450</v>
      </c>
      <c r="B200" s="87">
        <v>44718.0</v>
      </c>
      <c r="C200" s="88">
        <v>0.23652777777777778</v>
      </c>
      <c r="D200" s="89"/>
      <c r="E200" s="89"/>
      <c r="F200" s="89"/>
      <c r="G200" s="86"/>
      <c r="H200" s="90"/>
      <c r="I200" s="3"/>
      <c r="J200" s="3"/>
      <c r="K200" s="9" t="s">
        <v>228</v>
      </c>
      <c r="L200" s="36">
        <v>44718.0</v>
      </c>
      <c r="M200" s="91">
        <v>0.36498842592592595</v>
      </c>
      <c r="N200" s="3"/>
      <c r="O200" s="92"/>
      <c r="P200" s="93" t="b">
        <f>IFNA(IF(VLOOKUP($A200,'Add from APT'!$AA$2:$AC264,3,FALSE)&gt;0,TRUE,FALSE),"ER - NOT IN APT")</f>
        <v>0</v>
      </c>
      <c r="Q200" s="94" t="str">
        <f>IF(ISLOGICAL(P200),IF(P200,"ER - REPS IN APT", IFNA(VLOOKUP($A200,RAW_APT!$A$3:$M264,7,FALSE),"ER - NOT IN APT")),P200)</f>
        <v>Result</v>
      </c>
      <c r="R200" s="95" t="b">
        <f t="shared" si="102"/>
        <v>1</v>
      </c>
      <c r="S200" s="96">
        <f t="shared" si="3"/>
        <v>3</v>
      </c>
      <c r="T200" s="97"/>
      <c r="U200" s="3"/>
      <c r="V200" s="3"/>
      <c r="W200" s="98"/>
      <c r="X200" s="99" t="b">
        <f t="shared" si="185"/>
        <v>0</v>
      </c>
      <c r="Y200" s="100"/>
      <c r="Z200" s="101" t="str">
        <f t="shared" si="5"/>
        <v/>
      </c>
      <c r="AA200" s="102" t="b">
        <f t="shared" si="6"/>
        <v>0</v>
      </c>
      <c r="AB200" s="98"/>
      <c r="AC200" s="103">
        <v>73.0</v>
      </c>
      <c r="AD200" s="104"/>
      <c r="AE200" s="105">
        <f t="shared" si="7"/>
        <v>184.9833333</v>
      </c>
      <c r="AF200" s="106" t="b">
        <f t="shared" si="103"/>
        <v>0</v>
      </c>
      <c r="AG200" s="93" t="b">
        <f t="shared" si="9"/>
        <v>0</v>
      </c>
      <c r="AH200" s="103"/>
      <c r="AI200" s="103"/>
      <c r="AJ200" s="97"/>
      <c r="AK200" s="101" t="str">
        <f t="shared" si="10"/>
        <v>Negative</v>
      </c>
      <c r="AL200" s="104"/>
      <c r="AM200" s="94" t="s">
        <v>322</v>
      </c>
      <c r="AN200" s="94" t="s">
        <v>325</v>
      </c>
      <c r="AO200" s="102" t="str">
        <f>IFERROR(__xludf.DUMMYFUNCTION("IF($AG200, ""DELETED"",TRIM(JOIN("" "",D200:E200)))"),"")</f>
        <v/>
      </c>
      <c r="AP200" s="94" t="str">
        <f t="shared" ref="AP200:AQ200" si="240">IF($AG200, "DELETED", TRIM(CONCATENATE(F200,I200,U200)))</f>
        <v/>
      </c>
      <c r="AQ200" s="94" t="str">
        <f t="shared" si="240"/>
        <v/>
      </c>
      <c r="AR200" s="94" t="str">
        <f>IFERROR(__xludf.DUMMYFUNCTION("IF($AG200, ""DELETED"", TRIM(JOIN("" "",AP200,AQ200)))"),"")</f>
        <v/>
      </c>
      <c r="AS200" s="9"/>
      <c r="AT200" s="93" t="b">
        <f t="shared" si="12"/>
        <v>0</v>
      </c>
      <c r="AU200" s="93" t="str">
        <f t="shared" si="13"/>
        <v/>
      </c>
      <c r="AV200" s="93" t="str">
        <f t="shared" si="14"/>
        <v/>
      </c>
      <c r="AW200" s="93" t="str">
        <f t="shared" si="187"/>
        <v/>
      </c>
      <c r="AX200" s="107" t="str">
        <f t="shared" si="16"/>
        <v/>
      </c>
      <c r="AY200" s="98"/>
      <c r="AZ200" s="108"/>
      <c r="BA200" s="109" t="str">
        <f t="shared" si="17"/>
        <v/>
      </c>
      <c r="BB200" s="98"/>
      <c r="BC200" s="98"/>
      <c r="BD200" s="108"/>
      <c r="BE200" s="134"/>
      <c r="BF200" s="111" t="str">
        <f t="shared" si="18"/>
        <v/>
      </c>
      <c r="BG200" s="112" t="str">
        <f t="shared" si="19"/>
        <v>AJ8368__44718_0.236527777777778___Negative_44718_0.364988425925926_</v>
      </c>
      <c r="BH200" s="113" t="str">
        <f t="shared" si="20"/>
        <v/>
      </c>
      <c r="BI200" s="202"/>
      <c r="BJ200" s="114" t="str">
        <f t="shared" si="21"/>
        <v/>
      </c>
      <c r="BK200" s="115" t="b">
        <f t="shared" si="105"/>
        <v>0</v>
      </c>
      <c r="BL200" s="114" t="str">
        <f t="shared" si="23"/>
        <v/>
      </c>
      <c r="BM200" s="108"/>
      <c r="BN200" s="7" t="b">
        <f t="shared" si="24"/>
        <v>1</v>
      </c>
      <c r="BO200" s="7" t="b">
        <f t="shared" si="25"/>
        <v>0</v>
      </c>
      <c r="BP200" s="7" t="b">
        <f t="shared" si="26"/>
        <v>1</v>
      </c>
      <c r="BQ200" s="118"/>
      <c r="BR200" s="119" t="s">
        <v>228</v>
      </c>
      <c r="BS200" s="7" t="b">
        <f t="shared" si="27"/>
        <v>1</v>
      </c>
      <c r="BT200" s="7"/>
      <c r="BU200" s="7"/>
      <c r="BV200" s="7"/>
      <c r="BW200" s="7"/>
    </row>
    <row r="201">
      <c r="A201" s="86" t="s">
        <v>450</v>
      </c>
      <c r="B201" s="87">
        <v>44718.0</v>
      </c>
      <c r="C201" s="88">
        <v>0.23652777777777778</v>
      </c>
      <c r="D201" s="89"/>
      <c r="E201" s="89"/>
      <c r="F201" s="89"/>
      <c r="G201" s="86"/>
      <c r="H201" s="90"/>
      <c r="I201" s="3"/>
      <c r="J201" s="3"/>
      <c r="K201" s="89" t="s">
        <v>228</v>
      </c>
      <c r="L201" s="36">
        <v>44718.0</v>
      </c>
      <c r="M201" s="91">
        <v>0.36498842592592595</v>
      </c>
      <c r="N201" s="3"/>
      <c r="O201" s="92"/>
      <c r="P201" s="93" t="b">
        <f>IFNA(IF(VLOOKUP($A201,'Add from APT'!$AA$2:$AC264,3,FALSE)&gt;0,TRUE,FALSE),"ER - NOT IN APT")</f>
        <v>0</v>
      </c>
      <c r="Q201" s="94" t="str">
        <f>IF(ISLOGICAL(P201),IF(P201,"ER - REPS IN APT", IFNA(VLOOKUP($A201,RAW_APT!$A$3:$M264,7,FALSE),"ER - NOT IN APT")),P201)</f>
        <v>Result</v>
      </c>
      <c r="R201" s="95" t="b">
        <f t="shared" si="102"/>
        <v>0</v>
      </c>
      <c r="S201" s="96">
        <f t="shared" si="3"/>
        <v>3</v>
      </c>
      <c r="T201" s="103"/>
      <c r="U201" s="3"/>
      <c r="V201" s="3"/>
      <c r="W201" s="98"/>
      <c r="X201" s="99" t="b">
        <f t="shared" si="185"/>
        <v>0</v>
      </c>
      <c r="Y201" s="100"/>
      <c r="Z201" s="101" t="str">
        <f t="shared" si="5"/>
        <v/>
      </c>
      <c r="AA201" s="102" t="b">
        <f t="shared" si="6"/>
        <v>0</v>
      </c>
      <c r="AB201" s="98"/>
      <c r="AC201" s="103">
        <v>72.0</v>
      </c>
      <c r="AD201" s="104"/>
      <c r="AE201" s="105">
        <f t="shared" si="7"/>
        <v>184.9833333</v>
      </c>
      <c r="AF201" s="106" t="b">
        <f t="shared" si="103"/>
        <v>0</v>
      </c>
      <c r="AG201" s="93" t="b">
        <f t="shared" si="9"/>
        <v>0</v>
      </c>
      <c r="AH201" s="103"/>
      <c r="AI201" s="103"/>
      <c r="AJ201" s="97"/>
      <c r="AK201" s="101" t="str">
        <f t="shared" si="10"/>
        <v>Negative</v>
      </c>
      <c r="AL201" s="98"/>
      <c r="AM201" s="94" t="s">
        <v>322</v>
      </c>
      <c r="AN201" s="94" t="s">
        <v>327</v>
      </c>
      <c r="AO201" s="102" t="str">
        <f>IFERROR(__xludf.DUMMYFUNCTION("IF($AG201, ""DELETED"",TRIM(JOIN("" "",D201:E201)))"),"")</f>
        <v/>
      </c>
      <c r="AP201" s="94" t="str">
        <f t="shared" ref="AP201:AQ201" si="241">IF($AG201, "DELETED", TRIM(CONCATENATE(F201,I201,U201)))</f>
        <v/>
      </c>
      <c r="AQ201" s="94" t="str">
        <f t="shared" si="241"/>
        <v/>
      </c>
      <c r="AR201" s="94" t="str">
        <f>IFERROR(__xludf.DUMMYFUNCTION("IF($AG201, ""DELETED"", TRIM(JOIN("" "",AP201,AQ201)))"),"")</f>
        <v/>
      </c>
      <c r="AS201" s="9"/>
      <c r="AT201" s="93" t="b">
        <f t="shared" si="12"/>
        <v>0</v>
      </c>
      <c r="AU201" s="93" t="str">
        <f t="shared" si="13"/>
        <v/>
      </c>
      <c r="AV201" s="93" t="str">
        <f t="shared" si="14"/>
        <v/>
      </c>
      <c r="AW201" s="93" t="str">
        <f t="shared" si="187"/>
        <v/>
      </c>
      <c r="AX201" s="107" t="str">
        <f t="shared" si="16"/>
        <v/>
      </c>
      <c r="AY201" s="98"/>
      <c r="AZ201" s="108"/>
      <c r="BA201" s="109" t="str">
        <f t="shared" si="17"/>
        <v/>
      </c>
      <c r="BB201" s="98"/>
      <c r="BC201" s="98"/>
      <c r="BD201" s="108"/>
      <c r="BE201" s="134"/>
      <c r="BF201" s="111" t="str">
        <f t="shared" si="18"/>
        <v/>
      </c>
      <c r="BG201" s="112" t="str">
        <f t="shared" si="19"/>
        <v>AJ8368__44718_0.236527777777778___Negative_44718_0.364988425925926_</v>
      </c>
      <c r="BH201" s="113" t="str">
        <f t="shared" si="20"/>
        <v/>
      </c>
      <c r="BI201" s="202"/>
      <c r="BJ201" s="114" t="str">
        <f t="shared" si="21"/>
        <v/>
      </c>
      <c r="BK201" s="115" t="b">
        <f t="shared" si="105"/>
        <v>0</v>
      </c>
      <c r="BL201" s="114" t="str">
        <f t="shared" si="23"/>
        <v/>
      </c>
      <c r="BM201" s="108"/>
      <c r="BN201" s="7" t="b">
        <f t="shared" si="24"/>
        <v>1</v>
      </c>
      <c r="BO201" s="7" t="b">
        <f t="shared" si="25"/>
        <v>0</v>
      </c>
      <c r="BP201" s="7" t="b">
        <f t="shared" si="26"/>
        <v>1</v>
      </c>
      <c r="BQ201" s="118"/>
      <c r="BR201" s="119" t="s">
        <v>228</v>
      </c>
      <c r="BS201" s="7" t="b">
        <f t="shared" si="27"/>
        <v>1</v>
      </c>
      <c r="BT201" s="7"/>
      <c r="BU201" s="7"/>
      <c r="BV201" s="7"/>
      <c r="BW201" s="7"/>
    </row>
    <row r="202">
      <c r="A202" s="86" t="s">
        <v>450</v>
      </c>
      <c r="B202" s="87">
        <v>44718.0</v>
      </c>
      <c r="C202" s="88">
        <v>0.23652777777777778</v>
      </c>
      <c r="D202" s="89"/>
      <c r="E202" s="89"/>
      <c r="F202" s="3"/>
      <c r="G202" s="120"/>
      <c r="H202" s="121"/>
      <c r="I202" s="89"/>
      <c r="J202" s="89"/>
      <c r="K202" s="89" t="s">
        <v>228</v>
      </c>
      <c r="L202" s="36">
        <v>44718.0</v>
      </c>
      <c r="M202" s="91">
        <v>0.36498842592592595</v>
      </c>
      <c r="N202" s="121"/>
      <c r="O202" s="92"/>
      <c r="P202" s="93" t="b">
        <f>IFNA(IF(VLOOKUP($A202,'Add from APT'!$AA$2:$AC264,3,FALSE)&gt;0,TRUE,FALSE),"ER - NOT IN APT")</f>
        <v>0</v>
      </c>
      <c r="Q202" s="94" t="str">
        <f>IF(ISLOGICAL(P202),IF(P202,"ER - REPS IN APT", IFNA(VLOOKUP($A202,RAW_APT!$A$3:$M264,7,FALSE),"ER - NOT IN APT")),P202)</f>
        <v>Result</v>
      </c>
      <c r="R202" s="95" t="b">
        <f t="shared" si="102"/>
        <v>0</v>
      </c>
      <c r="S202" s="96">
        <f t="shared" si="3"/>
        <v>3</v>
      </c>
      <c r="T202" s="103"/>
      <c r="U202" s="3"/>
      <c r="V202" s="3"/>
      <c r="W202" s="98"/>
      <c r="X202" s="99" t="b">
        <f t="shared" si="185"/>
        <v>0</v>
      </c>
      <c r="Y202" s="100"/>
      <c r="Z202" s="101" t="str">
        <f t="shared" si="5"/>
        <v/>
      </c>
      <c r="AA202" s="102" t="b">
        <f t="shared" si="6"/>
        <v>0</v>
      </c>
      <c r="AB202" s="98"/>
      <c r="AC202" s="103">
        <v>71.0</v>
      </c>
      <c r="AD202" s="104"/>
      <c r="AE202" s="105">
        <f t="shared" si="7"/>
        <v>184.9833333</v>
      </c>
      <c r="AF202" s="106" t="b">
        <f t="shared" si="103"/>
        <v>0</v>
      </c>
      <c r="AG202" s="93" t="b">
        <f t="shared" si="9"/>
        <v>0</v>
      </c>
      <c r="AH202" s="103"/>
      <c r="AI202" s="103"/>
      <c r="AJ202" s="97"/>
      <c r="AK202" s="101" t="str">
        <f t="shared" si="10"/>
        <v>Negative</v>
      </c>
      <c r="AL202" s="98"/>
      <c r="AM202" s="94" t="s">
        <v>322</v>
      </c>
      <c r="AN202" s="94" t="s">
        <v>329</v>
      </c>
      <c r="AO202" s="102" t="str">
        <f>IFERROR(__xludf.DUMMYFUNCTION("IF($AG202, ""DELETED"",TRIM(JOIN("" "",D202:E202)))"),"")</f>
        <v/>
      </c>
      <c r="AP202" s="94" t="str">
        <f t="shared" ref="AP202:AQ202" si="242">IF($AG202, "DELETED", TRIM(CONCATENATE(F202,I202,U202)))</f>
        <v/>
      </c>
      <c r="AQ202" s="94" t="str">
        <f t="shared" si="242"/>
        <v/>
      </c>
      <c r="AR202" s="94" t="str">
        <f>IFERROR(__xludf.DUMMYFUNCTION("IF($AG202, ""DELETED"", TRIM(JOIN("" "",AP202,AQ202)))"),"")</f>
        <v/>
      </c>
      <c r="AS202" s="9"/>
      <c r="AT202" s="93" t="b">
        <f t="shared" si="12"/>
        <v>0</v>
      </c>
      <c r="AU202" s="93" t="str">
        <f t="shared" si="13"/>
        <v/>
      </c>
      <c r="AV202" s="93" t="str">
        <f t="shared" si="14"/>
        <v/>
      </c>
      <c r="AW202" s="93" t="str">
        <f t="shared" si="187"/>
        <v/>
      </c>
      <c r="AX202" s="107" t="str">
        <f t="shared" si="16"/>
        <v/>
      </c>
      <c r="AY202" s="98"/>
      <c r="AZ202" s="108"/>
      <c r="BA202" s="109" t="str">
        <f t="shared" si="17"/>
        <v/>
      </c>
      <c r="BB202" s="98"/>
      <c r="BC202" s="98"/>
      <c r="BD202" s="108"/>
      <c r="BE202" s="143"/>
      <c r="BF202" s="111" t="str">
        <f t="shared" si="18"/>
        <v/>
      </c>
      <c r="BG202" s="112" t="str">
        <f t="shared" si="19"/>
        <v>AJ8368__44718_0.236527777777778___Negative_44718_0.364988425925926_</v>
      </c>
      <c r="BH202" s="113" t="str">
        <f t="shared" si="20"/>
        <v/>
      </c>
      <c r="BI202" s="203"/>
      <c r="BJ202" s="114" t="str">
        <f t="shared" si="21"/>
        <v/>
      </c>
      <c r="BK202" s="115" t="b">
        <f t="shared" si="105"/>
        <v>0</v>
      </c>
      <c r="BL202" s="114" t="str">
        <f t="shared" si="23"/>
        <v/>
      </c>
      <c r="BM202" s="108"/>
      <c r="BN202" s="7" t="b">
        <f t="shared" si="24"/>
        <v>1</v>
      </c>
      <c r="BO202" s="7" t="b">
        <f t="shared" si="25"/>
        <v>0</v>
      </c>
      <c r="BP202" s="7" t="b">
        <f t="shared" si="26"/>
        <v>1</v>
      </c>
      <c r="BQ202" s="118"/>
      <c r="BR202" s="119" t="s">
        <v>228</v>
      </c>
      <c r="BS202" s="7" t="b">
        <f t="shared" si="27"/>
        <v>1</v>
      </c>
      <c r="BT202" s="7"/>
      <c r="BU202" s="7"/>
      <c r="BV202" s="7"/>
      <c r="BW202" s="7"/>
    </row>
    <row r="203">
      <c r="A203" s="86" t="s">
        <v>451</v>
      </c>
      <c r="B203" s="87">
        <v>44718.0</v>
      </c>
      <c r="C203" s="88">
        <v>0.2998032407407407</v>
      </c>
      <c r="D203" s="89"/>
      <c r="E203" s="89"/>
      <c r="F203" s="3"/>
      <c r="G203" s="120"/>
      <c r="H203" s="121"/>
      <c r="I203" s="89"/>
      <c r="J203" s="89"/>
      <c r="K203" s="9" t="s">
        <v>228</v>
      </c>
      <c r="L203" s="36">
        <v>44718.0</v>
      </c>
      <c r="M203" s="91">
        <v>0.36498842592592595</v>
      </c>
      <c r="N203" s="3"/>
      <c r="O203" s="92"/>
      <c r="P203" s="93" t="b">
        <f>IFNA(IF(VLOOKUP($A203,'Add from APT'!$AA$2:$AC264,3,FALSE)&gt;0,TRUE,FALSE),"ER - NOT IN APT")</f>
        <v>0</v>
      </c>
      <c r="Q203" s="94" t="str">
        <f>IF(ISLOGICAL(P203),IF(P203,"ER - REPS IN APT", IFNA(VLOOKUP($A203,RAW_APT!$A$3:$M264,7,FALSE),"ER - NOT IN APT")),P203)</f>
        <v>Result</v>
      </c>
      <c r="R203" s="95" t="b">
        <f t="shared" si="102"/>
        <v>1</v>
      </c>
      <c r="S203" s="96">
        <f t="shared" si="3"/>
        <v>2</v>
      </c>
      <c r="T203" s="103"/>
      <c r="U203" s="3"/>
      <c r="V203" s="3"/>
      <c r="W203" s="9"/>
      <c r="X203" s="99" t="b">
        <f t="shared" si="185"/>
        <v>0</v>
      </c>
      <c r="Y203" s="100"/>
      <c r="Z203" s="101" t="str">
        <f t="shared" si="5"/>
        <v/>
      </c>
      <c r="AA203" s="102" t="b">
        <f t="shared" si="6"/>
        <v>0</v>
      </c>
      <c r="AB203" s="98"/>
      <c r="AC203" s="103">
        <v>74.0</v>
      </c>
      <c r="AD203" s="104"/>
      <c r="AE203" s="105">
        <f t="shared" si="7"/>
        <v>93.86666667</v>
      </c>
      <c r="AF203" s="106" t="b">
        <f t="shared" si="103"/>
        <v>0</v>
      </c>
      <c r="AG203" s="93" t="b">
        <f t="shared" si="9"/>
        <v>0</v>
      </c>
      <c r="AH203" s="103"/>
      <c r="AI203" s="103"/>
      <c r="AJ203" s="97"/>
      <c r="AK203" s="101" t="str">
        <f t="shared" si="10"/>
        <v>Negative</v>
      </c>
      <c r="AL203" s="104"/>
      <c r="AM203" s="94" t="s">
        <v>365</v>
      </c>
      <c r="AN203" s="94" t="s">
        <v>452</v>
      </c>
      <c r="AO203" s="102" t="str">
        <f>IFERROR(__xludf.DUMMYFUNCTION("IF($AG203, ""DELETED"",TRIM(JOIN("" "",D203:E203)))"),"")</f>
        <v/>
      </c>
      <c r="AP203" s="94" t="str">
        <f t="shared" ref="AP203:AQ203" si="243">IF($AG203, "DELETED", TRIM(CONCATENATE(F203,I203,U203)))</f>
        <v/>
      </c>
      <c r="AQ203" s="94" t="str">
        <f t="shared" si="243"/>
        <v/>
      </c>
      <c r="AR203" s="94" t="str">
        <f>IFERROR(__xludf.DUMMYFUNCTION("IF($AG203, ""DELETED"", TRIM(JOIN("" "",AP203,AQ203)))"),"")</f>
        <v/>
      </c>
      <c r="AS203" s="9"/>
      <c r="AT203" s="93" t="b">
        <f t="shared" si="12"/>
        <v>0</v>
      </c>
      <c r="AU203" s="93" t="str">
        <f t="shared" si="13"/>
        <v/>
      </c>
      <c r="AV203" s="93" t="str">
        <f t="shared" si="14"/>
        <v/>
      </c>
      <c r="AW203" s="93" t="str">
        <f t="shared" si="187"/>
        <v/>
      </c>
      <c r="AX203" s="107" t="str">
        <f t="shared" si="16"/>
        <v/>
      </c>
      <c r="AY203" s="98"/>
      <c r="AZ203" s="108"/>
      <c r="BA203" s="109" t="str">
        <f t="shared" si="17"/>
        <v/>
      </c>
      <c r="BB203" s="98"/>
      <c r="BC203" s="98"/>
      <c r="BD203" s="108"/>
      <c r="BE203" s="134"/>
      <c r="BF203" s="111" t="str">
        <f t="shared" si="18"/>
        <v/>
      </c>
      <c r="BG203" s="112" t="str">
        <f t="shared" si="19"/>
        <v>AG2202__44718_0.299803240740741___Negative_44718_0.364988425925926_</v>
      </c>
      <c r="BH203" s="113" t="str">
        <f t="shared" si="20"/>
        <v/>
      </c>
      <c r="BI203" s="202"/>
      <c r="BJ203" s="114" t="str">
        <f t="shared" si="21"/>
        <v/>
      </c>
      <c r="BK203" s="115" t="b">
        <f t="shared" si="105"/>
        <v>0</v>
      </c>
      <c r="BL203" s="114" t="str">
        <f t="shared" si="23"/>
        <v/>
      </c>
      <c r="BM203" s="108"/>
      <c r="BN203" s="7" t="b">
        <f t="shared" si="24"/>
        <v>1</v>
      </c>
      <c r="BO203" s="7" t="b">
        <f t="shared" si="25"/>
        <v>0</v>
      </c>
      <c r="BP203" s="7" t="b">
        <f t="shared" si="26"/>
        <v>1</v>
      </c>
      <c r="BQ203" s="118"/>
      <c r="BR203" s="119" t="s">
        <v>228</v>
      </c>
      <c r="BS203" s="7" t="b">
        <f t="shared" si="27"/>
        <v>1</v>
      </c>
      <c r="BT203" s="7"/>
      <c r="BU203" s="7"/>
      <c r="BV203" s="7"/>
      <c r="BW203" s="7"/>
    </row>
    <row r="204">
      <c r="A204" s="86" t="s">
        <v>451</v>
      </c>
      <c r="B204" s="87">
        <v>44718.0</v>
      </c>
      <c r="C204" s="88">
        <v>0.2998032407407407</v>
      </c>
      <c r="D204" s="89"/>
      <c r="E204" s="89"/>
      <c r="F204" s="3"/>
      <c r="G204" s="120"/>
      <c r="H204" s="121"/>
      <c r="I204" s="89"/>
      <c r="J204" s="89"/>
      <c r="K204" s="89" t="s">
        <v>228</v>
      </c>
      <c r="L204" s="36">
        <v>44718.0</v>
      </c>
      <c r="M204" s="91">
        <v>0.36498842592592595</v>
      </c>
      <c r="N204" s="3"/>
      <c r="O204" s="92"/>
      <c r="P204" s="93" t="b">
        <f>IFNA(IF(VLOOKUP($A204,'Add from APT'!$AA$2:$AC264,3,FALSE)&gt;0,TRUE,FALSE),"ER - NOT IN APT")</f>
        <v>0</v>
      </c>
      <c r="Q204" s="94" t="str">
        <f>IF(ISLOGICAL(P204),IF(P204,"ER - REPS IN APT", IFNA(VLOOKUP($A204,RAW_APT!$A$3:$M264,7,FALSE),"ER - NOT IN APT")),P204)</f>
        <v>Result</v>
      </c>
      <c r="R204" s="95" t="b">
        <f t="shared" si="102"/>
        <v>0</v>
      </c>
      <c r="S204" s="96">
        <f t="shared" si="3"/>
        <v>2</v>
      </c>
      <c r="T204" s="166"/>
      <c r="U204" s="3"/>
      <c r="V204" s="3"/>
      <c r="W204" s="9"/>
      <c r="X204" s="99" t="b">
        <f t="shared" si="185"/>
        <v>0</v>
      </c>
      <c r="Y204" s="7"/>
      <c r="Z204" s="101" t="str">
        <f t="shared" si="5"/>
        <v/>
      </c>
      <c r="AA204" s="102" t="b">
        <f t="shared" si="6"/>
        <v>0</v>
      </c>
      <c r="AB204" s="131"/>
      <c r="AC204" s="130">
        <v>75.0</v>
      </c>
      <c r="AD204" s="132"/>
      <c r="AE204" s="105">
        <f t="shared" si="7"/>
        <v>93.86666667</v>
      </c>
      <c r="AF204" s="106" t="b">
        <f t="shared" si="103"/>
        <v>0</v>
      </c>
      <c r="AG204" s="93" t="b">
        <f t="shared" si="9"/>
        <v>0</v>
      </c>
      <c r="AH204" s="130"/>
      <c r="AI204" s="13"/>
      <c r="AJ204" s="7"/>
      <c r="AK204" s="101" t="str">
        <f t="shared" si="10"/>
        <v>Negative</v>
      </c>
      <c r="AL204" s="98"/>
      <c r="AM204" s="94" t="s">
        <v>365</v>
      </c>
      <c r="AN204" s="94" t="s">
        <v>453</v>
      </c>
      <c r="AO204" s="102" t="str">
        <f>IFERROR(__xludf.DUMMYFUNCTION("IF($AG204, ""DELETED"",TRIM(JOIN("" "",D204:E204)))"),"")</f>
        <v/>
      </c>
      <c r="AP204" s="94" t="str">
        <f t="shared" ref="AP204:AQ204" si="244">IF($AG204, "DELETED", TRIM(CONCATENATE(F204,I204,U204)))</f>
        <v/>
      </c>
      <c r="AQ204" s="94" t="str">
        <f t="shared" si="244"/>
        <v/>
      </c>
      <c r="AR204" s="94" t="str">
        <f>IFERROR(__xludf.DUMMYFUNCTION("IF($AG204, ""DELETED"", TRIM(JOIN("" "",AP204,AQ204)))"),"")</f>
        <v/>
      </c>
      <c r="AS204" s="9"/>
      <c r="AT204" s="93" t="b">
        <f t="shared" si="12"/>
        <v>0</v>
      </c>
      <c r="AU204" s="93" t="str">
        <f t="shared" si="13"/>
        <v/>
      </c>
      <c r="AV204" s="93" t="str">
        <f t="shared" si="14"/>
        <v/>
      </c>
      <c r="AW204" s="93" t="str">
        <f t="shared" si="187"/>
        <v/>
      </c>
      <c r="AX204" s="107" t="str">
        <f t="shared" si="16"/>
        <v/>
      </c>
      <c r="AY204" s="3"/>
      <c r="AZ204" s="129"/>
      <c r="BA204" s="109" t="str">
        <f t="shared" si="17"/>
        <v/>
      </c>
      <c r="BB204" s="3"/>
      <c r="BC204" s="3"/>
      <c r="BD204" s="108"/>
      <c r="BE204" s="134"/>
      <c r="BF204" s="111" t="str">
        <f t="shared" si="18"/>
        <v/>
      </c>
      <c r="BG204" s="112" t="str">
        <f t="shared" si="19"/>
        <v>AG2202__44718_0.299803240740741___Negative_44718_0.364988425925926_</v>
      </c>
      <c r="BH204" s="113" t="str">
        <f t="shared" si="20"/>
        <v/>
      </c>
      <c r="BI204" s="202"/>
      <c r="BJ204" s="114" t="str">
        <f t="shared" si="21"/>
        <v/>
      </c>
      <c r="BK204" s="115" t="b">
        <f t="shared" si="105"/>
        <v>0</v>
      </c>
      <c r="BL204" s="114" t="str">
        <f t="shared" si="23"/>
        <v/>
      </c>
      <c r="BM204" s="108"/>
      <c r="BN204" s="7" t="b">
        <f t="shared" si="24"/>
        <v>1</v>
      </c>
      <c r="BO204" s="7" t="b">
        <f t="shared" si="25"/>
        <v>0</v>
      </c>
      <c r="BP204" s="7" t="b">
        <f t="shared" si="26"/>
        <v>1</v>
      </c>
      <c r="BQ204" s="118"/>
      <c r="BR204" s="119" t="s">
        <v>228</v>
      </c>
      <c r="BS204" s="7" t="b">
        <f t="shared" si="27"/>
        <v>1</v>
      </c>
      <c r="BT204" s="7"/>
      <c r="BU204" s="7"/>
      <c r="BV204" s="7"/>
      <c r="BW204" s="7"/>
    </row>
    <row r="205">
      <c r="A205" s="167" t="s">
        <v>454</v>
      </c>
      <c r="B205" s="168">
        <v>44725.0</v>
      </c>
      <c r="C205" s="169">
        <v>0.15070601851851853</v>
      </c>
      <c r="D205" s="170"/>
      <c r="E205" s="240"/>
      <c r="F205" s="170"/>
      <c r="G205" s="167"/>
      <c r="H205" s="171"/>
      <c r="I205" s="172"/>
      <c r="J205" s="172"/>
      <c r="K205" s="170" t="s">
        <v>205</v>
      </c>
      <c r="L205" s="173"/>
      <c r="M205" s="174"/>
      <c r="N205" s="172"/>
      <c r="O205" s="193"/>
      <c r="P205" s="176" t="b">
        <f>IFNA(IF(VLOOKUP($A205,'Add from APT'!$AA$2:$AC264,3,FALSE)&gt;0,TRUE,FALSE),"ER - NOT IN APT")</f>
        <v>0</v>
      </c>
      <c r="Q205" s="172" t="str">
        <f>IF(ISLOGICAL(P205),IF(P205,"ER - REPS IN APT", IFNA(VLOOKUP($A205,RAW_APT!$A$3:$M264,7,FALSE),"ER - NOT IN APT")),P205)</f>
        <v>Collected</v>
      </c>
      <c r="R205" s="177" t="b">
        <f t="shared" si="102"/>
        <v>1</v>
      </c>
      <c r="S205" s="177">
        <f t="shared" si="3"/>
        <v>2</v>
      </c>
      <c r="T205" s="183"/>
      <c r="U205" s="172"/>
      <c r="V205" s="172"/>
      <c r="W205" s="178"/>
      <c r="X205" s="179" t="b">
        <f t="shared" si="185"/>
        <v>0</v>
      </c>
      <c r="Y205" s="180"/>
      <c r="Z205" s="181" t="str">
        <f t="shared" si="5"/>
        <v/>
      </c>
      <c r="AA205" s="178" t="b">
        <f t="shared" si="6"/>
        <v>0</v>
      </c>
      <c r="AB205" s="178"/>
      <c r="AC205" s="177">
        <v>36.0</v>
      </c>
      <c r="AD205" s="181"/>
      <c r="AE205" s="182" t="str">
        <f t="shared" si="7"/>
        <v/>
      </c>
      <c r="AF205" s="176" t="b">
        <f t="shared" si="103"/>
        <v>0</v>
      </c>
      <c r="AG205" s="176" t="b">
        <f t="shared" si="9"/>
        <v>1</v>
      </c>
      <c r="AH205" s="177">
        <v>9.1</v>
      </c>
      <c r="AI205" s="177"/>
      <c r="AJ205" s="183"/>
      <c r="AK205" s="181" t="str">
        <f t="shared" si="10"/>
        <v>DELETED</v>
      </c>
      <c r="AL205" s="178"/>
      <c r="AM205" s="94" t="s">
        <v>206</v>
      </c>
      <c r="AN205" s="94" t="s">
        <v>206</v>
      </c>
      <c r="AO205" s="178" t="str">
        <f>IFERROR(__xludf.DUMMYFUNCTION("IF($AG205, ""DELETED"",TRIM(JOIN("" "",D205:E205)))"),"DELETED")</f>
        <v>DELETED</v>
      </c>
      <c r="AP205" s="172" t="str">
        <f t="shared" ref="AP205:AQ205" si="245">IF($AG205, "DELETED", TRIM(CONCATENATE(F205,I205,U205)))</f>
        <v>DELETED</v>
      </c>
      <c r="AQ205" s="172" t="str">
        <f t="shared" si="245"/>
        <v>DELETED</v>
      </c>
      <c r="AR205" s="172" t="str">
        <f>IFERROR(__xludf.DUMMYFUNCTION("IF($AG205, ""DELETED"", TRIM(JOIN("" "",AP205,AQ205)))"),"DELETED")</f>
        <v>DELETED</v>
      </c>
      <c r="AS205" s="184"/>
      <c r="AT205" s="176" t="b">
        <f t="shared" si="12"/>
        <v>1</v>
      </c>
      <c r="AU205" s="176" t="str">
        <f t="shared" si="13"/>
        <v/>
      </c>
      <c r="AV205" s="176" t="str">
        <f t="shared" si="14"/>
        <v/>
      </c>
      <c r="AW205" s="176" t="str">
        <f t="shared" si="187"/>
        <v/>
      </c>
      <c r="AX205" s="185" t="str">
        <f t="shared" si="16"/>
        <v/>
      </c>
      <c r="AY205" s="178"/>
      <c r="AZ205" s="108"/>
      <c r="BA205" s="181" t="str">
        <f t="shared" si="17"/>
        <v/>
      </c>
      <c r="BB205" s="178"/>
      <c r="BC205" s="178"/>
      <c r="BD205" s="178"/>
      <c r="BE205" s="186"/>
      <c r="BF205" s="187" t="str">
        <f t="shared" si="18"/>
        <v/>
      </c>
      <c r="BG205" s="188" t="str">
        <f t="shared" si="19"/>
        <v/>
      </c>
      <c r="BH205" s="189" t="str">
        <f t="shared" si="20"/>
        <v/>
      </c>
      <c r="BI205" s="241"/>
      <c r="BJ205" s="190" t="str">
        <f t="shared" si="21"/>
        <v/>
      </c>
      <c r="BK205" s="191" t="b">
        <f t="shared" si="105"/>
        <v>0</v>
      </c>
      <c r="BL205" s="190" t="str">
        <f t="shared" si="23"/>
        <v/>
      </c>
      <c r="BM205" s="178"/>
      <c r="BN205" s="176" t="b">
        <f t="shared" si="24"/>
        <v>0</v>
      </c>
      <c r="BO205" s="176" t="b">
        <f t="shared" si="25"/>
        <v>0</v>
      </c>
      <c r="BP205" s="176" t="b">
        <f t="shared" si="26"/>
        <v>0</v>
      </c>
      <c r="BQ205" s="118"/>
      <c r="BR205" s="192" t="s">
        <v>206</v>
      </c>
      <c r="BS205" s="7" t="b">
        <f t="shared" si="27"/>
        <v>1</v>
      </c>
      <c r="BT205" s="176"/>
      <c r="BU205" s="176"/>
      <c r="BV205" s="176"/>
      <c r="BW205" s="176"/>
    </row>
    <row r="206">
      <c r="A206" s="167" t="s">
        <v>454</v>
      </c>
      <c r="B206" s="168">
        <v>44725.0</v>
      </c>
      <c r="C206" s="169">
        <v>0.15070601851851853</v>
      </c>
      <c r="D206" s="170"/>
      <c r="E206" s="170"/>
      <c r="F206" s="172"/>
      <c r="G206" s="242"/>
      <c r="H206" s="243"/>
      <c r="I206" s="170"/>
      <c r="J206" s="170"/>
      <c r="K206" s="170" t="s">
        <v>205</v>
      </c>
      <c r="L206" s="173"/>
      <c r="M206" s="174"/>
      <c r="N206" s="243"/>
      <c r="O206" s="193"/>
      <c r="P206" s="176" t="b">
        <f>IFNA(IF(VLOOKUP($A206,'Add from APT'!$AA$2:$AC264,3,FALSE)&gt;0,TRUE,FALSE),"ER - NOT IN APT")</f>
        <v>0</v>
      </c>
      <c r="Q206" s="172" t="str">
        <f>IF(ISLOGICAL(P206),IF(P206,"ER - REPS IN APT", IFNA(VLOOKUP($A206,RAW_APT!$A$3:$M264,7,FALSE),"ER - NOT IN APT")),P206)</f>
        <v>Collected</v>
      </c>
      <c r="R206" s="177" t="b">
        <f t="shared" si="102"/>
        <v>0</v>
      </c>
      <c r="S206" s="177">
        <f t="shared" si="3"/>
        <v>2</v>
      </c>
      <c r="T206" s="183"/>
      <c r="U206" s="172"/>
      <c r="V206" s="172"/>
      <c r="W206" s="178"/>
      <c r="X206" s="179" t="b">
        <f t="shared" si="185"/>
        <v>0</v>
      </c>
      <c r="Y206" s="180"/>
      <c r="Z206" s="181" t="str">
        <f t="shared" si="5"/>
        <v/>
      </c>
      <c r="AA206" s="178" t="b">
        <f t="shared" si="6"/>
        <v>0</v>
      </c>
      <c r="AB206" s="178"/>
      <c r="AC206" s="177">
        <v>37.0</v>
      </c>
      <c r="AD206" s="181"/>
      <c r="AE206" s="182" t="str">
        <f t="shared" si="7"/>
        <v/>
      </c>
      <c r="AF206" s="176" t="b">
        <f t="shared" si="103"/>
        <v>0</v>
      </c>
      <c r="AG206" s="176" t="b">
        <f t="shared" si="9"/>
        <v>1</v>
      </c>
      <c r="AH206" s="177">
        <v>9.1</v>
      </c>
      <c r="AI206" s="177"/>
      <c r="AJ206" s="183"/>
      <c r="AK206" s="181" t="str">
        <f t="shared" si="10"/>
        <v>DELETED</v>
      </c>
      <c r="AL206" s="178"/>
      <c r="AM206" s="94" t="s">
        <v>206</v>
      </c>
      <c r="AN206" s="94" t="s">
        <v>206</v>
      </c>
      <c r="AO206" s="178" t="str">
        <f>IFERROR(__xludf.DUMMYFUNCTION("IF($AG206, ""DELETED"",TRIM(JOIN("" "",D206:E206)))"),"DELETED")</f>
        <v>DELETED</v>
      </c>
      <c r="AP206" s="172" t="str">
        <f t="shared" ref="AP206:AQ206" si="246">IF($AG206, "DELETED", TRIM(CONCATENATE(F206,I206,U206)))</f>
        <v>DELETED</v>
      </c>
      <c r="AQ206" s="172" t="str">
        <f t="shared" si="246"/>
        <v>DELETED</v>
      </c>
      <c r="AR206" s="172" t="str">
        <f>IFERROR(__xludf.DUMMYFUNCTION("IF($AG206, ""DELETED"", TRIM(JOIN("" "",AP206,AQ206)))"),"DELETED")</f>
        <v>DELETED</v>
      </c>
      <c r="AS206" s="184"/>
      <c r="AT206" s="176" t="b">
        <f t="shared" si="12"/>
        <v>1</v>
      </c>
      <c r="AU206" s="176" t="str">
        <f t="shared" si="13"/>
        <v/>
      </c>
      <c r="AV206" s="176" t="str">
        <f t="shared" si="14"/>
        <v/>
      </c>
      <c r="AW206" s="176" t="str">
        <f t="shared" si="187"/>
        <v/>
      </c>
      <c r="AX206" s="185" t="str">
        <f t="shared" si="16"/>
        <v/>
      </c>
      <c r="AY206" s="178"/>
      <c r="AZ206" s="108"/>
      <c r="BA206" s="181" t="str">
        <f t="shared" si="17"/>
        <v/>
      </c>
      <c r="BB206" s="178"/>
      <c r="BC206" s="178"/>
      <c r="BD206" s="178"/>
      <c r="BE206" s="186"/>
      <c r="BF206" s="187" t="str">
        <f t="shared" si="18"/>
        <v/>
      </c>
      <c r="BG206" s="188" t="str">
        <f t="shared" si="19"/>
        <v/>
      </c>
      <c r="BH206" s="189" t="str">
        <f t="shared" si="20"/>
        <v/>
      </c>
      <c r="BI206" s="241"/>
      <c r="BJ206" s="190" t="str">
        <f t="shared" si="21"/>
        <v/>
      </c>
      <c r="BK206" s="191" t="b">
        <f t="shared" si="105"/>
        <v>0</v>
      </c>
      <c r="BL206" s="190" t="str">
        <f t="shared" si="23"/>
        <v/>
      </c>
      <c r="BM206" s="178"/>
      <c r="BN206" s="176" t="b">
        <f t="shared" si="24"/>
        <v>0</v>
      </c>
      <c r="BO206" s="176" t="b">
        <f t="shared" si="25"/>
        <v>0</v>
      </c>
      <c r="BP206" s="176" t="b">
        <f t="shared" si="26"/>
        <v>0</v>
      </c>
      <c r="BQ206" s="118"/>
      <c r="BR206" s="192" t="s">
        <v>206</v>
      </c>
      <c r="BS206" s="7" t="b">
        <f t="shared" si="27"/>
        <v>1</v>
      </c>
      <c r="BT206" s="176"/>
      <c r="BU206" s="176"/>
      <c r="BV206" s="176"/>
      <c r="BW206" s="176"/>
    </row>
    <row r="207">
      <c r="A207" s="167" t="s">
        <v>455</v>
      </c>
      <c r="B207" s="168">
        <v>44725.0</v>
      </c>
      <c r="C207" s="169">
        <v>0.16587962962962963</v>
      </c>
      <c r="D207" s="170"/>
      <c r="E207" s="170"/>
      <c r="F207" s="170"/>
      <c r="G207" s="167"/>
      <c r="H207" s="171"/>
      <c r="I207" s="172"/>
      <c r="J207" s="172"/>
      <c r="K207" s="170" t="s">
        <v>205</v>
      </c>
      <c r="L207" s="173"/>
      <c r="M207" s="174"/>
      <c r="N207" s="172"/>
      <c r="O207" s="193"/>
      <c r="P207" s="176" t="b">
        <f>IFNA(IF(VLOOKUP($A207,'Add from APT'!$AA$2:$AC264,3,FALSE)&gt;0,TRUE,FALSE),"ER - NOT IN APT")</f>
        <v>0</v>
      </c>
      <c r="Q207" s="172" t="str">
        <f>IF(ISLOGICAL(P207),IF(P207,"ER - REPS IN APT", IFNA(VLOOKUP($A207,RAW_APT!$A$3:$M264,7,FALSE),"ER - NOT IN APT")),P207)</f>
        <v>Collected</v>
      </c>
      <c r="R207" s="177" t="b">
        <f t="shared" si="102"/>
        <v>1</v>
      </c>
      <c r="S207" s="177">
        <f t="shared" si="3"/>
        <v>3</v>
      </c>
      <c r="T207" s="194"/>
      <c r="U207" s="172"/>
      <c r="V207" s="172"/>
      <c r="W207" s="184"/>
      <c r="X207" s="179" t="b">
        <f t="shared" si="185"/>
        <v>0</v>
      </c>
      <c r="Y207" s="176"/>
      <c r="Z207" s="181" t="str">
        <f t="shared" si="5"/>
        <v/>
      </c>
      <c r="AA207" s="178" t="b">
        <f t="shared" si="6"/>
        <v>0</v>
      </c>
      <c r="AB207" s="195"/>
      <c r="AC207" s="194">
        <v>39.0</v>
      </c>
      <c r="AD207" s="196"/>
      <c r="AE207" s="182" t="str">
        <f t="shared" si="7"/>
        <v/>
      </c>
      <c r="AF207" s="176" t="b">
        <f t="shared" si="103"/>
        <v>0</v>
      </c>
      <c r="AG207" s="176" t="b">
        <f t="shared" si="9"/>
        <v>1</v>
      </c>
      <c r="AH207" s="177">
        <v>9.1</v>
      </c>
      <c r="AI207" s="197"/>
      <c r="AJ207" s="176"/>
      <c r="AK207" s="181" t="str">
        <f t="shared" si="10"/>
        <v>DELETED</v>
      </c>
      <c r="AL207" s="178"/>
      <c r="AM207" s="94" t="s">
        <v>206</v>
      </c>
      <c r="AN207" s="94" t="s">
        <v>206</v>
      </c>
      <c r="AO207" s="178" t="str">
        <f>IFERROR(__xludf.DUMMYFUNCTION("IF($AG207, ""DELETED"",TRIM(JOIN("" "",D207:E207)))"),"DELETED")</f>
        <v>DELETED</v>
      </c>
      <c r="AP207" s="172" t="str">
        <f t="shared" ref="AP207:AQ207" si="247">IF($AG207, "DELETED", TRIM(CONCATENATE(F207,I207,U207)))</f>
        <v>DELETED</v>
      </c>
      <c r="AQ207" s="172" t="str">
        <f t="shared" si="247"/>
        <v>DELETED</v>
      </c>
      <c r="AR207" s="172" t="str">
        <f>IFERROR(__xludf.DUMMYFUNCTION("IF($AG207, ""DELETED"", TRIM(JOIN("" "",AP207,AQ207)))"),"DELETED")</f>
        <v>DELETED</v>
      </c>
      <c r="AS207" s="184"/>
      <c r="AT207" s="176" t="b">
        <f t="shared" si="12"/>
        <v>1</v>
      </c>
      <c r="AU207" s="176" t="str">
        <f t="shared" si="13"/>
        <v/>
      </c>
      <c r="AV207" s="176" t="str">
        <f t="shared" si="14"/>
        <v/>
      </c>
      <c r="AW207" s="176" t="str">
        <f t="shared" si="187"/>
        <v/>
      </c>
      <c r="AX207" s="185" t="str">
        <f t="shared" si="16"/>
        <v/>
      </c>
      <c r="AY207" s="172"/>
      <c r="AZ207" s="129"/>
      <c r="BA207" s="181" t="str">
        <f t="shared" si="17"/>
        <v/>
      </c>
      <c r="BB207" s="172"/>
      <c r="BC207" s="172"/>
      <c r="BD207" s="178"/>
      <c r="BE207" s="190"/>
      <c r="BF207" s="187" t="str">
        <f t="shared" si="18"/>
        <v/>
      </c>
      <c r="BG207" s="188" t="str">
        <f t="shared" si="19"/>
        <v/>
      </c>
      <c r="BH207" s="189" t="str">
        <f t="shared" si="20"/>
        <v/>
      </c>
      <c r="BI207" s="244"/>
      <c r="BJ207" s="190" t="str">
        <f t="shared" si="21"/>
        <v/>
      </c>
      <c r="BK207" s="191" t="b">
        <f t="shared" si="105"/>
        <v>0</v>
      </c>
      <c r="BL207" s="190" t="str">
        <f t="shared" si="23"/>
        <v/>
      </c>
      <c r="BM207" s="178"/>
      <c r="BN207" s="176" t="b">
        <f t="shared" si="24"/>
        <v>0</v>
      </c>
      <c r="BO207" s="176" t="b">
        <f t="shared" si="25"/>
        <v>0</v>
      </c>
      <c r="BP207" s="176" t="b">
        <f t="shared" si="26"/>
        <v>0</v>
      </c>
      <c r="BQ207" s="118"/>
      <c r="BR207" s="192" t="s">
        <v>206</v>
      </c>
      <c r="BS207" s="7" t="b">
        <f t="shared" si="27"/>
        <v>1</v>
      </c>
      <c r="BT207" s="176"/>
      <c r="BU207" s="176"/>
      <c r="BV207" s="176"/>
      <c r="BW207" s="176"/>
    </row>
    <row r="208">
      <c r="A208" s="167" t="s">
        <v>455</v>
      </c>
      <c r="B208" s="168">
        <v>44725.0</v>
      </c>
      <c r="C208" s="169">
        <v>0.16587962962962963</v>
      </c>
      <c r="D208" s="170"/>
      <c r="E208" s="240"/>
      <c r="F208" s="170"/>
      <c r="G208" s="167"/>
      <c r="H208" s="171"/>
      <c r="I208" s="172"/>
      <c r="J208" s="172"/>
      <c r="K208" s="170" t="s">
        <v>205</v>
      </c>
      <c r="L208" s="173"/>
      <c r="M208" s="174"/>
      <c r="N208" s="243"/>
      <c r="O208" s="193"/>
      <c r="P208" s="176" t="b">
        <f>IFNA(IF(VLOOKUP($A208,'Add from APT'!$AA$2:$AC264,3,FALSE)&gt;0,TRUE,FALSE),"ER - NOT IN APT")</f>
        <v>0</v>
      </c>
      <c r="Q208" s="172" t="str">
        <f>IF(ISLOGICAL(P208),IF(P208,"ER - REPS IN APT", IFNA(VLOOKUP($A208,RAW_APT!$A$3:$M264,7,FALSE),"ER - NOT IN APT")),P208)</f>
        <v>Collected</v>
      </c>
      <c r="R208" s="177" t="b">
        <f t="shared" si="102"/>
        <v>0</v>
      </c>
      <c r="S208" s="177">
        <f t="shared" si="3"/>
        <v>3</v>
      </c>
      <c r="T208" s="194"/>
      <c r="U208" s="172"/>
      <c r="V208" s="172"/>
      <c r="W208" s="184"/>
      <c r="X208" s="179" t="b">
        <f t="shared" si="185"/>
        <v>0</v>
      </c>
      <c r="Y208" s="176"/>
      <c r="Z208" s="181" t="str">
        <f t="shared" si="5"/>
        <v/>
      </c>
      <c r="AA208" s="178" t="b">
        <f t="shared" si="6"/>
        <v>0</v>
      </c>
      <c r="AB208" s="195"/>
      <c r="AC208" s="194">
        <v>40.0</v>
      </c>
      <c r="AD208" s="196"/>
      <c r="AE208" s="182" t="str">
        <f t="shared" si="7"/>
        <v/>
      </c>
      <c r="AF208" s="176" t="b">
        <f t="shared" si="103"/>
        <v>0</v>
      </c>
      <c r="AG208" s="176" t="b">
        <f t="shared" si="9"/>
        <v>1</v>
      </c>
      <c r="AH208" s="177">
        <v>9.1</v>
      </c>
      <c r="AI208" s="197"/>
      <c r="AJ208" s="176"/>
      <c r="AK208" s="181" t="str">
        <f t="shared" si="10"/>
        <v>DELETED</v>
      </c>
      <c r="AL208" s="181"/>
      <c r="AM208" s="94" t="s">
        <v>206</v>
      </c>
      <c r="AN208" s="94" t="s">
        <v>206</v>
      </c>
      <c r="AO208" s="178" t="str">
        <f>IFERROR(__xludf.DUMMYFUNCTION("IF($AG208, ""DELETED"",TRIM(JOIN("" "",D208:E208)))"),"DELETED")</f>
        <v>DELETED</v>
      </c>
      <c r="AP208" s="172" t="str">
        <f t="shared" ref="AP208:AQ208" si="248">IF($AG208, "DELETED", TRIM(CONCATENATE(F208,I208,U208)))</f>
        <v>DELETED</v>
      </c>
      <c r="AQ208" s="172" t="str">
        <f t="shared" si="248"/>
        <v>DELETED</v>
      </c>
      <c r="AR208" s="172" t="str">
        <f>IFERROR(__xludf.DUMMYFUNCTION("IF($AG208, ""DELETED"", TRIM(JOIN("" "",AP208,AQ208)))"),"DELETED")</f>
        <v>DELETED</v>
      </c>
      <c r="AS208" s="184"/>
      <c r="AT208" s="176" t="b">
        <f t="shared" si="12"/>
        <v>1</v>
      </c>
      <c r="AU208" s="176" t="str">
        <f t="shared" si="13"/>
        <v/>
      </c>
      <c r="AV208" s="176" t="str">
        <f t="shared" si="14"/>
        <v/>
      </c>
      <c r="AW208" s="176" t="str">
        <f t="shared" si="187"/>
        <v/>
      </c>
      <c r="AX208" s="185" t="str">
        <f t="shared" si="16"/>
        <v/>
      </c>
      <c r="AY208" s="172"/>
      <c r="AZ208" s="129"/>
      <c r="BA208" s="181" t="str">
        <f t="shared" si="17"/>
        <v/>
      </c>
      <c r="BB208" s="172"/>
      <c r="BC208" s="172"/>
      <c r="BD208" s="178"/>
      <c r="BE208" s="186"/>
      <c r="BF208" s="187" t="str">
        <f t="shared" si="18"/>
        <v/>
      </c>
      <c r="BG208" s="188" t="str">
        <f t="shared" si="19"/>
        <v/>
      </c>
      <c r="BH208" s="189" t="str">
        <f t="shared" si="20"/>
        <v/>
      </c>
      <c r="BI208" s="241"/>
      <c r="BJ208" s="190" t="str">
        <f t="shared" si="21"/>
        <v/>
      </c>
      <c r="BK208" s="191" t="b">
        <f t="shared" si="105"/>
        <v>0</v>
      </c>
      <c r="BL208" s="190" t="str">
        <f t="shared" si="23"/>
        <v/>
      </c>
      <c r="BM208" s="178"/>
      <c r="BN208" s="176" t="b">
        <f t="shared" si="24"/>
        <v>0</v>
      </c>
      <c r="BO208" s="176" t="b">
        <f t="shared" si="25"/>
        <v>0</v>
      </c>
      <c r="BP208" s="176" t="b">
        <f t="shared" si="26"/>
        <v>0</v>
      </c>
      <c r="BQ208" s="118"/>
      <c r="BR208" s="192" t="s">
        <v>206</v>
      </c>
      <c r="BS208" s="7" t="b">
        <f t="shared" si="27"/>
        <v>1</v>
      </c>
      <c r="BT208" s="176"/>
      <c r="BU208" s="176"/>
      <c r="BV208" s="176"/>
      <c r="BW208" s="176"/>
    </row>
    <row r="209">
      <c r="A209" s="167" t="s">
        <v>455</v>
      </c>
      <c r="B209" s="168">
        <v>44725.0</v>
      </c>
      <c r="C209" s="169">
        <v>0.16587962962962963</v>
      </c>
      <c r="D209" s="170"/>
      <c r="E209" s="170"/>
      <c r="F209" s="170"/>
      <c r="G209" s="167"/>
      <c r="H209" s="171"/>
      <c r="I209" s="172"/>
      <c r="J209" s="172"/>
      <c r="K209" s="170" t="s">
        <v>205</v>
      </c>
      <c r="L209" s="173"/>
      <c r="M209" s="174"/>
      <c r="N209" s="243"/>
      <c r="O209" s="193"/>
      <c r="P209" s="176" t="b">
        <f>IFNA(IF(VLOOKUP($A209,'Add from APT'!$AA$2:$AC264,3,FALSE)&gt;0,TRUE,FALSE),"ER - NOT IN APT")</f>
        <v>0</v>
      </c>
      <c r="Q209" s="172" t="str">
        <f>IF(ISLOGICAL(P209),IF(P209,"ER - REPS IN APT", IFNA(VLOOKUP($A209,RAW_APT!$A$3:$M264,7,FALSE),"ER - NOT IN APT")),P209)</f>
        <v>Collected</v>
      </c>
      <c r="R209" s="177" t="b">
        <f t="shared" si="102"/>
        <v>0</v>
      </c>
      <c r="S209" s="177">
        <f t="shared" si="3"/>
        <v>3</v>
      </c>
      <c r="T209" s="183"/>
      <c r="U209" s="172"/>
      <c r="V209" s="172"/>
      <c r="W209" s="178"/>
      <c r="X209" s="179" t="b">
        <f t="shared" si="185"/>
        <v>0</v>
      </c>
      <c r="Y209" s="180"/>
      <c r="Z209" s="181" t="str">
        <f t="shared" si="5"/>
        <v/>
      </c>
      <c r="AA209" s="178" t="b">
        <f t="shared" si="6"/>
        <v>0</v>
      </c>
      <c r="AB209" s="178"/>
      <c r="AC209" s="177">
        <v>38.0</v>
      </c>
      <c r="AD209" s="181"/>
      <c r="AE209" s="182" t="str">
        <f t="shared" si="7"/>
        <v/>
      </c>
      <c r="AF209" s="176" t="b">
        <f t="shared" si="103"/>
        <v>0</v>
      </c>
      <c r="AG209" s="176" t="b">
        <f t="shared" si="9"/>
        <v>1</v>
      </c>
      <c r="AH209" s="177">
        <v>9.1</v>
      </c>
      <c r="AI209" s="177"/>
      <c r="AJ209" s="183"/>
      <c r="AK209" s="181" t="str">
        <f t="shared" si="10"/>
        <v>DELETED</v>
      </c>
      <c r="AL209" s="178"/>
      <c r="AM209" s="94" t="s">
        <v>206</v>
      </c>
      <c r="AN209" s="94" t="s">
        <v>206</v>
      </c>
      <c r="AO209" s="178" t="str">
        <f>IFERROR(__xludf.DUMMYFUNCTION("IF($AG209, ""DELETED"",TRIM(JOIN("" "",D209:E209)))"),"DELETED")</f>
        <v>DELETED</v>
      </c>
      <c r="AP209" s="172" t="str">
        <f t="shared" ref="AP209:AQ209" si="249">IF($AG209, "DELETED", TRIM(CONCATENATE(F209,I209,U209)))</f>
        <v>DELETED</v>
      </c>
      <c r="AQ209" s="172" t="str">
        <f t="shared" si="249"/>
        <v>DELETED</v>
      </c>
      <c r="AR209" s="172" t="str">
        <f>IFERROR(__xludf.DUMMYFUNCTION("IF($AG209, ""DELETED"", TRIM(JOIN("" "",AP209,AQ209)))"),"DELETED")</f>
        <v>DELETED</v>
      </c>
      <c r="AS209" s="184"/>
      <c r="AT209" s="176" t="b">
        <f t="shared" si="12"/>
        <v>1</v>
      </c>
      <c r="AU209" s="176" t="str">
        <f t="shared" si="13"/>
        <v/>
      </c>
      <c r="AV209" s="176" t="str">
        <f t="shared" si="14"/>
        <v/>
      </c>
      <c r="AW209" s="176" t="str">
        <f t="shared" si="187"/>
        <v/>
      </c>
      <c r="AX209" s="185" t="str">
        <f t="shared" si="16"/>
        <v/>
      </c>
      <c r="AY209" s="178"/>
      <c r="AZ209" s="108"/>
      <c r="BA209" s="181" t="str">
        <f t="shared" si="17"/>
        <v/>
      </c>
      <c r="BB209" s="178"/>
      <c r="BC209" s="178"/>
      <c r="BD209" s="178"/>
      <c r="BE209" s="186"/>
      <c r="BF209" s="187" t="str">
        <f t="shared" si="18"/>
        <v/>
      </c>
      <c r="BG209" s="188" t="str">
        <f t="shared" si="19"/>
        <v/>
      </c>
      <c r="BH209" s="189" t="str">
        <f t="shared" si="20"/>
        <v/>
      </c>
      <c r="BI209" s="241"/>
      <c r="BJ209" s="190" t="str">
        <f t="shared" si="21"/>
        <v/>
      </c>
      <c r="BK209" s="191" t="b">
        <f t="shared" si="105"/>
        <v>0</v>
      </c>
      <c r="BL209" s="190" t="str">
        <f t="shared" si="23"/>
        <v/>
      </c>
      <c r="BM209" s="178"/>
      <c r="BN209" s="176" t="b">
        <f t="shared" si="24"/>
        <v>0</v>
      </c>
      <c r="BO209" s="176" t="b">
        <f t="shared" si="25"/>
        <v>0</v>
      </c>
      <c r="BP209" s="176" t="b">
        <f t="shared" si="26"/>
        <v>0</v>
      </c>
      <c r="BQ209" s="118"/>
      <c r="BR209" s="192" t="s">
        <v>206</v>
      </c>
      <c r="BS209" s="7" t="b">
        <f t="shared" si="27"/>
        <v>1</v>
      </c>
      <c r="BT209" s="176"/>
      <c r="BU209" s="176"/>
      <c r="BV209" s="176"/>
      <c r="BW209" s="176"/>
    </row>
    <row r="210">
      <c r="A210" s="86" t="s">
        <v>456</v>
      </c>
      <c r="B210" s="87">
        <v>44725.0</v>
      </c>
      <c r="C210" s="88">
        <v>0.20097222222222222</v>
      </c>
      <c r="D210" s="89"/>
      <c r="E210" s="245"/>
      <c r="F210" s="89"/>
      <c r="G210" s="86"/>
      <c r="H210" s="90"/>
      <c r="I210" s="3"/>
      <c r="J210" s="3"/>
      <c r="K210" s="89" t="s">
        <v>228</v>
      </c>
      <c r="L210" s="36">
        <v>44753.0</v>
      </c>
      <c r="M210" s="91">
        <v>0.3984027777777778</v>
      </c>
      <c r="N210" s="121"/>
      <c r="O210" s="92"/>
      <c r="P210" s="93" t="b">
        <f>IFNA(IF(VLOOKUP($A210,'Add from APT'!$AA$2:$AC264,3,FALSE)&gt;0,TRUE,FALSE),"ER - NOT IN APT")</f>
        <v>0</v>
      </c>
      <c r="Q210" s="94" t="str">
        <f>IF(ISLOGICAL(P210),IF(P210,"ER - REPS IN APT", IFNA(VLOOKUP($A210,RAW_APT!$A$3:$M264,7,FALSE),"ER - NOT IN APT")),P210)</f>
        <v>Result</v>
      </c>
      <c r="R210" s="95" t="b">
        <f t="shared" si="102"/>
        <v>1</v>
      </c>
      <c r="S210" s="96">
        <f t="shared" si="3"/>
        <v>4</v>
      </c>
      <c r="T210" s="97"/>
      <c r="U210" s="3"/>
      <c r="V210" s="3"/>
      <c r="W210" s="9"/>
      <c r="X210" s="99" t="b">
        <f t="shared" si="185"/>
        <v>0</v>
      </c>
      <c r="Y210" s="100"/>
      <c r="Z210" s="101" t="str">
        <f t="shared" si="5"/>
        <v/>
      </c>
      <c r="AA210" s="102" t="b">
        <f t="shared" si="6"/>
        <v>0</v>
      </c>
      <c r="AB210" s="98"/>
      <c r="AC210" s="103">
        <v>41.0</v>
      </c>
      <c r="AD210" s="104"/>
      <c r="AE210" s="105" t="str">
        <f t="shared" si="7"/>
        <v/>
      </c>
      <c r="AF210" s="106" t="b">
        <f t="shared" si="103"/>
        <v>0</v>
      </c>
      <c r="AG210" s="93" t="b">
        <f t="shared" si="9"/>
        <v>1</v>
      </c>
      <c r="AH210" s="103">
        <v>9.4</v>
      </c>
      <c r="AI210" s="103"/>
      <c r="AJ210" s="97"/>
      <c r="AK210" s="101" t="str">
        <f t="shared" si="10"/>
        <v>DELETED</v>
      </c>
      <c r="AL210" s="104" t="s">
        <v>457</v>
      </c>
      <c r="AM210" s="94" t="s">
        <v>206</v>
      </c>
      <c r="AN210" s="94" t="s">
        <v>206</v>
      </c>
      <c r="AO210" s="102" t="str">
        <f>IFERROR(__xludf.DUMMYFUNCTION("IF($AG210, ""DELETED"",TRIM(JOIN("" "",D210:E210)))"),"DELETED")</f>
        <v>DELETED</v>
      </c>
      <c r="AP210" s="94" t="str">
        <f t="shared" ref="AP210:AQ210" si="250">IF($AG210, "DELETED", TRIM(CONCATENATE(F210,I210,U210)))</f>
        <v>DELETED</v>
      </c>
      <c r="AQ210" s="94" t="str">
        <f t="shared" si="250"/>
        <v>DELETED</v>
      </c>
      <c r="AR210" s="94" t="str">
        <f>IFERROR(__xludf.DUMMYFUNCTION("IF($AG210, ""DELETED"", TRIM(JOIN("" "",AP210,AQ210)))"),"DELETED")</f>
        <v>DELETED</v>
      </c>
      <c r="AS210" s="9"/>
      <c r="AT210" s="93" t="b">
        <f t="shared" si="12"/>
        <v>1</v>
      </c>
      <c r="AU210" s="93" t="str">
        <f t="shared" si="13"/>
        <v/>
      </c>
      <c r="AV210" s="93" t="str">
        <f t="shared" si="14"/>
        <v/>
      </c>
      <c r="AW210" s="93" t="str">
        <f t="shared" si="187"/>
        <v/>
      </c>
      <c r="AX210" s="107" t="str">
        <f t="shared" si="16"/>
        <v/>
      </c>
      <c r="AY210" s="98"/>
      <c r="AZ210" s="108"/>
      <c r="BA210" s="109" t="str">
        <f t="shared" si="17"/>
        <v/>
      </c>
      <c r="BB210" s="98"/>
      <c r="BC210" s="98"/>
      <c r="BD210" s="108"/>
      <c r="BE210" s="134"/>
      <c r="BF210" s="111" t="str">
        <f t="shared" si="18"/>
        <v/>
      </c>
      <c r="BG210" s="112" t="str">
        <f t="shared" si="19"/>
        <v/>
      </c>
      <c r="BH210" s="113" t="str">
        <f t="shared" si="20"/>
        <v/>
      </c>
      <c r="BI210" s="202"/>
      <c r="BJ210" s="114" t="str">
        <f t="shared" si="21"/>
        <v/>
      </c>
      <c r="BK210" s="115" t="b">
        <f t="shared" si="105"/>
        <v>0</v>
      </c>
      <c r="BL210" s="114" t="str">
        <f t="shared" si="23"/>
        <v/>
      </c>
      <c r="BM210" s="108"/>
      <c r="BN210" s="7" t="b">
        <f t="shared" si="24"/>
        <v>0</v>
      </c>
      <c r="BO210" s="7" t="b">
        <f t="shared" si="25"/>
        <v>0</v>
      </c>
      <c r="BP210" s="7" t="b">
        <f t="shared" si="26"/>
        <v>0</v>
      </c>
      <c r="BQ210" s="118"/>
      <c r="BR210" s="119" t="s">
        <v>206</v>
      </c>
      <c r="BS210" s="7" t="b">
        <f t="shared" si="27"/>
        <v>1</v>
      </c>
      <c r="BT210" s="7"/>
      <c r="BU210" s="7"/>
      <c r="BV210" s="7"/>
      <c r="BW210" s="7"/>
    </row>
    <row r="211">
      <c r="A211" s="86" t="s">
        <v>456</v>
      </c>
      <c r="B211" s="87">
        <v>44725.0</v>
      </c>
      <c r="C211" s="88">
        <v>0.20097222222222222</v>
      </c>
      <c r="D211" s="89"/>
      <c r="E211" s="89"/>
      <c r="F211" s="89"/>
      <c r="G211" s="86"/>
      <c r="H211" s="90"/>
      <c r="I211" s="3"/>
      <c r="J211" s="3"/>
      <c r="K211" s="89" t="s">
        <v>228</v>
      </c>
      <c r="L211" s="36">
        <v>44753.0</v>
      </c>
      <c r="M211" s="91">
        <v>0.3984027777777778</v>
      </c>
      <c r="N211" s="121"/>
      <c r="O211" s="92"/>
      <c r="P211" s="93" t="b">
        <f>IFNA(IF(VLOOKUP($A211,'Add from APT'!$AA$2:$AC264,3,FALSE)&gt;0,TRUE,FALSE),"ER - NOT IN APT")</f>
        <v>0</v>
      </c>
      <c r="Q211" s="94" t="str">
        <f>IF(ISLOGICAL(P211),IF(P211,"ER - REPS IN APT", IFNA(VLOOKUP($A211,RAW_APT!$A$3:$M264,7,FALSE),"ER - NOT IN APT")),P211)</f>
        <v>Result</v>
      </c>
      <c r="R211" s="95" t="b">
        <f t="shared" si="102"/>
        <v>0</v>
      </c>
      <c r="S211" s="96">
        <f t="shared" si="3"/>
        <v>4</v>
      </c>
      <c r="T211" s="130"/>
      <c r="U211" s="3"/>
      <c r="V211" s="3"/>
      <c r="W211" s="3"/>
      <c r="X211" s="99" t="b">
        <f t="shared" si="185"/>
        <v>0</v>
      </c>
      <c r="Y211" s="7"/>
      <c r="Z211" s="101" t="str">
        <f t="shared" si="5"/>
        <v/>
      </c>
      <c r="AA211" s="102" t="b">
        <f t="shared" si="6"/>
        <v>0</v>
      </c>
      <c r="AB211" s="131"/>
      <c r="AC211" s="130">
        <v>44.0</v>
      </c>
      <c r="AD211" s="132"/>
      <c r="AE211" s="105" t="str">
        <f t="shared" si="7"/>
        <v/>
      </c>
      <c r="AF211" s="106" t="b">
        <f t="shared" si="103"/>
        <v>0</v>
      </c>
      <c r="AG211" s="93" t="b">
        <f t="shared" si="9"/>
        <v>1</v>
      </c>
      <c r="AH211" s="103">
        <v>9.4</v>
      </c>
      <c r="AI211" s="13"/>
      <c r="AJ211" s="7"/>
      <c r="AK211" s="101" t="str">
        <f t="shared" si="10"/>
        <v>DELETED</v>
      </c>
      <c r="AL211" s="104" t="s">
        <v>457</v>
      </c>
      <c r="AM211" s="94" t="s">
        <v>206</v>
      </c>
      <c r="AN211" s="94" t="s">
        <v>206</v>
      </c>
      <c r="AO211" s="102" t="str">
        <f>IFERROR(__xludf.DUMMYFUNCTION("IF($AG211, ""DELETED"",TRIM(JOIN("" "",D211:E211)))"),"DELETED")</f>
        <v>DELETED</v>
      </c>
      <c r="AP211" s="94" t="str">
        <f t="shared" ref="AP211:AQ211" si="251">IF($AG211, "DELETED", TRIM(CONCATENATE(F211,I211,U211)))</f>
        <v>DELETED</v>
      </c>
      <c r="AQ211" s="94" t="str">
        <f t="shared" si="251"/>
        <v>DELETED</v>
      </c>
      <c r="AR211" s="94" t="str">
        <f>IFERROR(__xludf.DUMMYFUNCTION("IF($AG211, ""DELETED"", TRIM(JOIN("" "",AP211,AQ211)))"),"DELETED")</f>
        <v>DELETED</v>
      </c>
      <c r="AS211" s="9"/>
      <c r="AT211" s="93" t="b">
        <f t="shared" si="12"/>
        <v>1</v>
      </c>
      <c r="AU211" s="93" t="str">
        <f t="shared" si="13"/>
        <v/>
      </c>
      <c r="AV211" s="93" t="str">
        <f t="shared" si="14"/>
        <v/>
      </c>
      <c r="AW211" s="93" t="str">
        <f t="shared" si="187"/>
        <v/>
      </c>
      <c r="AX211" s="107" t="str">
        <f t="shared" si="16"/>
        <v/>
      </c>
      <c r="AY211" s="3"/>
      <c r="AZ211" s="129"/>
      <c r="BA211" s="109" t="str">
        <f t="shared" si="17"/>
        <v/>
      </c>
      <c r="BB211" s="3"/>
      <c r="BC211" s="3"/>
      <c r="BD211" s="108"/>
      <c r="BE211" s="134"/>
      <c r="BF211" s="111" t="str">
        <f t="shared" si="18"/>
        <v/>
      </c>
      <c r="BG211" s="112" t="str">
        <f t="shared" si="19"/>
        <v/>
      </c>
      <c r="BH211" s="113" t="str">
        <f t="shared" si="20"/>
        <v/>
      </c>
      <c r="BI211" s="202"/>
      <c r="BJ211" s="114" t="str">
        <f t="shared" si="21"/>
        <v/>
      </c>
      <c r="BK211" s="115" t="b">
        <f t="shared" si="105"/>
        <v>0</v>
      </c>
      <c r="BL211" s="114" t="str">
        <f t="shared" si="23"/>
        <v/>
      </c>
      <c r="BM211" s="108"/>
      <c r="BN211" s="7" t="b">
        <f t="shared" si="24"/>
        <v>0</v>
      </c>
      <c r="BO211" s="7" t="b">
        <f t="shared" si="25"/>
        <v>0</v>
      </c>
      <c r="BP211" s="7" t="b">
        <f t="shared" si="26"/>
        <v>0</v>
      </c>
      <c r="BQ211" s="118"/>
      <c r="BR211" s="119" t="s">
        <v>206</v>
      </c>
      <c r="BS211" s="7" t="b">
        <f t="shared" si="27"/>
        <v>1</v>
      </c>
      <c r="BT211" s="7"/>
      <c r="BU211" s="7"/>
      <c r="BV211" s="7"/>
      <c r="BW211" s="7"/>
    </row>
    <row r="212">
      <c r="A212" s="86" t="s">
        <v>456</v>
      </c>
      <c r="B212" s="87">
        <v>44725.0</v>
      </c>
      <c r="C212" s="88">
        <v>0.20097222222222222</v>
      </c>
      <c r="D212" s="89"/>
      <c r="E212" s="245"/>
      <c r="F212" s="3"/>
      <c r="G212" s="120"/>
      <c r="H212" s="121"/>
      <c r="I212" s="89"/>
      <c r="J212" s="89"/>
      <c r="K212" s="89" t="s">
        <v>228</v>
      </c>
      <c r="L212" s="36">
        <v>44753.0</v>
      </c>
      <c r="M212" s="91">
        <v>0.3984027777777778</v>
      </c>
      <c r="N212" s="3"/>
      <c r="O212" s="92"/>
      <c r="P212" s="93" t="b">
        <f>IFNA(IF(VLOOKUP($A212,'Add from APT'!$AA$2:$AC264,3,FALSE)&gt;0,TRUE,FALSE),"ER - NOT IN APT")</f>
        <v>0</v>
      </c>
      <c r="Q212" s="94" t="str">
        <f>IF(ISLOGICAL(P212),IF(P212,"ER - REPS IN APT", IFNA(VLOOKUP($A212,RAW_APT!$A$3:$M264,7,FALSE),"ER - NOT IN APT")),P212)</f>
        <v>Result</v>
      </c>
      <c r="R212" s="95" t="b">
        <f t="shared" si="102"/>
        <v>0</v>
      </c>
      <c r="S212" s="96">
        <f t="shared" si="3"/>
        <v>4</v>
      </c>
      <c r="T212" s="97"/>
      <c r="U212" s="3"/>
      <c r="V212" s="3"/>
      <c r="W212" s="9"/>
      <c r="X212" s="99" t="b">
        <f t="shared" si="185"/>
        <v>0</v>
      </c>
      <c r="Y212" s="100"/>
      <c r="Z212" s="101" t="str">
        <f t="shared" si="5"/>
        <v/>
      </c>
      <c r="AA212" s="102" t="b">
        <f t="shared" si="6"/>
        <v>0</v>
      </c>
      <c r="AB212" s="98"/>
      <c r="AC212" s="103">
        <v>42.0</v>
      </c>
      <c r="AD212" s="104"/>
      <c r="AE212" s="105" t="str">
        <f t="shared" si="7"/>
        <v/>
      </c>
      <c r="AF212" s="106" t="b">
        <f t="shared" si="103"/>
        <v>0</v>
      </c>
      <c r="AG212" s="93" t="b">
        <f t="shared" si="9"/>
        <v>1</v>
      </c>
      <c r="AH212" s="103">
        <v>9.4</v>
      </c>
      <c r="AI212" s="103"/>
      <c r="AJ212" s="97"/>
      <c r="AK212" s="101" t="str">
        <f t="shared" si="10"/>
        <v>DELETED</v>
      </c>
      <c r="AL212" s="104" t="s">
        <v>457</v>
      </c>
      <c r="AM212" s="94" t="s">
        <v>206</v>
      </c>
      <c r="AN212" s="94" t="s">
        <v>206</v>
      </c>
      <c r="AO212" s="102" t="str">
        <f>IFERROR(__xludf.DUMMYFUNCTION("IF($AG212, ""DELETED"",TRIM(JOIN("" "",D212:E212)))"),"DELETED")</f>
        <v>DELETED</v>
      </c>
      <c r="AP212" s="94" t="str">
        <f t="shared" ref="AP212:AQ212" si="252">IF($AG212, "DELETED", TRIM(CONCATENATE(F212,I212,U212)))</f>
        <v>DELETED</v>
      </c>
      <c r="AQ212" s="94" t="str">
        <f t="shared" si="252"/>
        <v>DELETED</v>
      </c>
      <c r="AR212" s="94" t="str">
        <f>IFERROR(__xludf.DUMMYFUNCTION("IF($AG212, ""DELETED"", TRIM(JOIN("" "",AP212,AQ212)))"),"DELETED")</f>
        <v>DELETED</v>
      </c>
      <c r="AS212" s="9"/>
      <c r="AT212" s="93" t="b">
        <f t="shared" si="12"/>
        <v>1</v>
      </c>
      <c r="AU212" s="93" t="str">
        <f t="shared" si="13"/>
        <v/>
      </c>
      <c r="AV212" s="93" t="str">
        <f t="shared" si="14"/>
        <v/>
      </c>
      <c r="AW212" s="93" t="str">
        <f t="shared" si="187"/>
        <v/>
      </c>
      <c r="AX212" s="107" t="str">
        <f t="shared" si="16"/>
        <v/>
      </c>
      <c r="AY212" s="98"/>
      <c r="AZ212" s="108"/>
      <c r="BA212" s="109" t="str">
        <f t="shared" si="17"/>
        <v/>
      </c>
      <c r="BB212" s="98"/>
      <c r="BC212" s="98"/>
      <c r="BD212" s="108"/>
      <c r="BE212" s="134"/>
      <c r="BF212" s="111" t="str">
        <f t="shared" si="18"/>
        <v/>
      </c>
      <c r="BG212" s="112" t="str">
        <f t="shared" si="19"/>
        <v/>
      </c>
      <c r="BH212" s="113" t="str">
        <f t="shared" si="20"/>
        <v/>
      </c>
      <c r="BI212" s="202"/>
      <c r="BJ212" s="114" t="str">
        <f t="shared" si="21"/>
        <v/>
      </c>
      <c r="BK212" s="115" t="b">
        <f t="shared" si="105"/>
        <v>0</v>
      </c>
      <c r="BL212" s="114" t="str">
        <f t="shared" si="23"/>
        <v/>
      </c>
      <c r="BM212" s="108"/>
      <c r="BN212" s="7" t="b">
        <f t="shared" si="24"/>
        <v>0</v>
      </c>
      <c r="BO212" s="7" t="b">
        <f t="shared" si="25"/>
        <v>0</v>
      </c>
      <c r="BP212" s="7" t="b">
        <f t="shared" si="26"/>
        <v>0</v>
      </c>
      <c r="BQ212" s="118"/>
      <c r="BR212" s="119" t="s">
        <v>206</v>
      </c>
      <c r="BS212" s="7" t="b">
        <f t="shared" si="27"/>
        <v>1</v>
      </c>
      <c r="BT212" s="7"/>
      <c r="BU212" s="7"/>
      <c r="BV212" s="7"/>
      <c r="BW212" s="7"/>
    </row>
    <row r="213">
      <c r="A213" s="86" t="s">
        <v>456</v>
      </c>
      <c r="B213" s="87">
        <v>44725.0</v>
      </c>
      <c r="C213" s="88">
        <v>0.20097222222222222</v>
      </c>
      <c r="D213" s="89"/>
      <c r="E213" s="89"/>
      <c r="F213" s="3"/>
      <c r="G213" s="120"/>
      <c r="H213" s="121"/>
      <c r="I213" s="89"/>
      <c r="J213" s="89"/>
      <c r="K213" s="89" t="s">
        <v>228</v>
      </c>
      <c r="L213" s="36">
        <v>44753.0</v>
      </c>
      <c r="M213" s="91">
        <v>0.3984027777777778</v>
      </c>
      <c r="N213" s="3"/>
      <c r="O213" s="92"/>
      <c r="P213" s="93" t="b">
        <f>IFNA(IF(VLOOKUP($A213,'Add from APT'!$AA$2:$AC264,3,FALSE)&gt;0,TRUE,FALSE),"ER - NOT IN APT")</f>
        <v>0</v>
      </c>
      <c r="Q213" s="94" t="str">
        <f>IF(ISLOGICAL(P213),IF(P213,"ER - REPS IN APT", IFNA(VLOOKUP($A213,RAW_APT!$A$3:$M264,7,FALSE),"ER - NOT IN APT")),P213)</f>
        <v>Result</v>
      </c>
      <c r="R213" s="95" t="b">
        <f t="shared" si="102"/>
        <v>0</v>
      </c>
      <c r="S213" s="96">
        <f t="shared" si="3"/>
        <v>4</v>
      </c>
      <c r="T213" s="97"/>
      <c r="U213" s="3"/>
      <c r="V213" s="3"/>
      <c r="W213" s="9"/>
      <c r="X213" s="99" t="b">
        <f t="shared" si="185"/>
        <v>0</v>
      </c>
      <c r="Y213" s="100"/>
      <c r="Z213" s="101" t="str">
        <f t="shared" si="5"/>
        <v/>
      </c>
      <c r="AA213" s="102" t="b">
        <f t="shared" si="6"/>
        <v>0</v>
      </c>
      <c r="AB213" s="98"/>
      <c r="AC213" s="103">
        <v>43.0</v>
      </c>
      <c r="AD213" s="104"/>
      <c r="AE213" s="105" t="str">
        <f t="shared" si="7"/>
        <v/>
      </c>
      <c r="AF213" s="106" t="b">
        <f t="shared" si="103"/>
        <v>0</v>
      </c>
      <c r="AG213" s="93" t="b">
        <f t="shared" si="9"/>
        <v>1</v>
      </c>
      <c r="AH213" s="103">
        <v>9.4</v>
      </c>
      <c r="AI213" s="103"/>
      <c r="AJ213" s="97"/>
      <c r="AK213" s="101" t="str">
        <f t="shared" si="10"/>
        <v>DELETED</v>
      </c>
      <c r="AL213" s="104" t="s">
        <v>457</v>
      </c>
      <c r="AM213" s="94" t="s">
        <v>206</v>
      </c>
      <c r="AN213" s="94" t="s">
        <v>206</v>
      </c>
      <c r="AO213" s="102" t="str">
        <f>IFERROR(__xludf.DUMMYFUNCTION("IF($AG213, ""DELETED"",TRIM(JOIN("" "",D213:E213)))"),"DELETED")</f>
        <v>DELETED</v>
      </c>
      <c r="AP213" s="94" t="str">
        <f t="shared" ref="AP213:AQ213" si="253">IF($AG213, "DELETED", TRIM(CONCATENATE(F213,I213,U213)))</f>
        <v>DELETED</v>
      </c>
      <c r="AQ213" s="94" t="str">
        <f t="shared" si="253"/>
        <v>DELETED</v>
      </c>
      <c r="AR213" s="94" t="str">
        <f>IFERROR(__xludf.DUMMYFUNCTION("IF($AG213, ""DELETED"", TRIM(JOIN("" "",AP213,AQ213)))"),"DELETED")</f>
        <v>DELETED</v>
      </c>
      <c r="AS213" s="9"/>
      <c r="AT213" s="93" t="b">
        <f t="shared" si="12"/>
        <v>1</v>
      </c>
      <c r="AU213" s="93" t="str">
        <f t="shared" si="13"/>
        <v/>
      </c>
      <c r="AV213" s="93" t="str">
        <f t="shared" si="14"/>
        <v/>
      </c>
      <c r="AW213" s="93" t="str">
        <f t="shared" si="187"/>
        <v/>
      </c>
      <c r="AX213" s="107" t="str">
        <f t="shared" si="16"/>
        <v/>
      </c>
      <c r="AY213" s="98"/>
      <c r="AZ213" s="108"/>
      <c r="BA213" s="109" t="str">
        <f t="shared" si="17"/>
        <v/>
      </c>
      <c r="BB213" s="98"/>
      <c r="BC213" s="98"/>
      <c r="BD213" s="108"/>
      <c r="BE213" s="134"/>
      <c r="BF213" s="111" t="str">
        <f t="shared" si="18"/>
        <v/>
      </c>
      <c r="BG213" s="112" t="str">
        <f t="shared" si="19"/>
        <v/>
      </c>
      <c r="BH213" s="113" t="str">
        <f t="shared" si="20"/>
        <v/>
      </c>
      <c r="BI213" s="202"/>
      <c r="BJ213" s="114" t="str">
        <f t="shared" si="21"/>
        <v/>
      </c>
      <c r="BK213" s="115" t="b">
        <f t="shared" si="105"/>
        <v>0</v>
      </c>
      <c r="BL213" s="114" t="str">
        <f t="shared" si="23"/>
        <v/>
      </c>
      <c r="BM213" s="108"/>
      <c r="BN213" s="7" t="b">
        <f t="shared" si="24"/>
        <v>0</v>
      </c>
      <c r="BO213" s="7" t="b">
        <f t="shared" si="25"/>
        <v>0</v>
      </c>
      <c r="BP213" s="7" t="b">
        <f t="shared" si="26"/>
        <v>0</v>
      </c>
      <c r="BQ213" s="118"/>
      <c r="BR213" s="119" t="s">
        <v>206</v>
      </c>
      <c r="BS213" s="7" t="b">
        <f t="shared" si="27"/>
        <v>1</v>
      </c>
      <c r="BT213" s="7"/>
      <c r="BU213" s="7"/>
      <c r="BV213" s="7"/>
      <c r="BW213" s="7"/>
    </row>
    <row r="214">
      <c r="A214" s="86" t="s">
        <v>458</v>
      </c>
      <c r="B214" s="87">
        <v>44725.0</v>
      </c>
      <c r="C214" s="88">
        <v>0.20103009259259258</v>
      </c>
      <c r="D214" s="89"/>
      <c r="E214" s="89"/>
      <c r="F214" s="89"/>
      <c r="G214" s="86"/>
      <c r="H214" s="90"/>
      <c r="K214" s="89" t="s">
        <v>228</v>
      </c>
      <c r="L214" s="36">
        <v>44725.0</v>
      </c>
      <c r="M214" s="91">
        <v>0.4122337962962963</v>
      </c>
      <c r="N214" s="121"/>
      <c r="O214" s="142"/>
      <c r="P214" s="93" t="b">
        <f>IFNA(IF(VLOOKUP($A214,'Add from APT'!$AA$2:$AC264,3,FALSE)&gt;0,TRUE,FALSE),"ER - NOT IN APT")</f>
        <v>0</v>
      </c>
      <c r="Q214" s="94" t="str">
        <f>IF(ISLOGICAL(P214),IF(P214,"ER - REPS IN APT", IFNA(VLOOKUP($A214,RAW_APT!$A$3:$M264,7,FALSE),"ER - NOT IN APT")),P214)</f>
        <v>Result</v>
      </c>
      <c r="R214" s="95" t="b">
        <f t="shared" si="102"/>
        <v>1</v>
      </c>
      <c r="S214" s="96">
        <f t="shared" si="3"/>
        <v>4</v>
      </c>
      <c r="T214" s="103">
        <v>2.0</v>
      </c>
      <c r="U214" s="9"/>
      <c r="V214" s="9"/>
      <c r="W214" s="98"/>
      <c r="X214" s="99" t="b">
        <f t="shared" ref="X214:X215" si="255">IF(ISBLANK(#REF!),IF(ISBLANK(#REF!),FALSE,"ER - LAST ONLY"),TRUE)</f>
        <v>1</v>
      </c>
      <c r="Y214" s="100"/>
      <c r="Z214" s="101" t="str">
        <f t="shared" si="5"/>
        <v/>
      </c>
      <c r="AA214" s="102" t="b">
        <f t="shared" si="6"/>
        <v>0</v>
      </c>
      <c r="AB214" s="98"/>
      <c r="AC214" s="103">
        <v>45.0</v>
      </c>
      <c r="AD214" s="104"/>
      <c r="AE214" s="105">
        <f t="shared" si="7"/>
        <v>304.1333333</v>
      </c>
      <c r="AF214" s="106" t="b">
        <f t="shared" si="103"/>
        <v>0</v>
      </c>
      <c r="AG214" s="93" t="b">
        <f t="shared" si="9"/>
        <v>0</v>
      </c>
      <c r="AH214" s="103"/>
      <c r="AI214" s="103"/>
      <c r="AJ214" s="97"/>
      <c r="AK214" s="101" t="str">
        <f t="shared" si="10"/>
        <v>Negative</v>
      </c>
      <c r="AL214" s="98"/>
      <c r="AM214" s="94" t="s">
        <v>397</v>
      </c>
      <c r="AN214" s="94" t="s">
        <v>398</v>
      </c>
      <c r="AO214" s="102" t="str">
        <f>IFERROR(__xludf.DUMMYFUNCTION("IF($AG214, ""DELETED"",TRIM(JOIN("" "",D214:E214)))"),"")</f>
        <v/>
      </c>
      <c r="AP214" s="94" t="str">
        <f t="shared" ref="AP214:AQ214" si="254">IF($AG214, "DELETED", TRIM(CONCATENATE(F214,I214,U214)))</f>
        <v/>
      </c>
      <c r="AQ214" s="94" t="str">
        <f t="shared" si="254"/>
        <v/>
      </c>
      <c r="AR214" s="94" t="str">
        <f>IFERROR(__xludf.DUMMYFUNCTION("IF($AG214, ""DELETED"", TRIM(JOIN("" "",AP214,AQ214)))"),"")</f>
        <v/>
      </c>
      <c r="AS214" s="9"/>
      <c r="AT214" s="93" t="b">
        <f t="shared" si="12"/>
        <v>1</v>
      </c>
      <c r="AU214" s="93" t="str">
        <f t="shared" si="13"/>
        <v/>
      </c>
      <c r="AV214" s="93" t="str">
        <f t="shared" si="14"/>
        <v/>
      </c>
      <c r="AW214" s="93">
        <f t="shared" ref="AW214:AW215" si="257">IF($AG214,IFERROR(0/0,""),IF(ISBLANK(#REF!),IF(ISBLANK(#REF!),IFERROR(0/0,""),2),1))</f>
        <v>1</v>
      </c>
      <c r="AX214" s="107">
        <f t="shared" si="16"/>
        <v>1</v>
      </c>
      <c r="AY214" s="98"/>
      <c r="AZ214" s="108"/>
      <c r="BA214" s="109" t="str">
        <f t="shared" si="17"/>
        <v/>
      </c>
      <c r="BB214" s="98"/>
      <c r="BC214" s="98"/>
      <c r="BD214" s="108"/>
      <c r="BE214" s="134"/>
      <c r="BF214" s="111" t="str">
        <f t="shared" si="18"/>
        <v/>
      </c>
      <c r="BG214" s="112" t="str">
        <f t="shared" si="19"/>
        <v>AH8786__44725_0.201030092592593___Negative_44725_0.412233796296296_</v>
      </c>
      <c r="BH214" s="113" t="str">
        <f t="shared" si="20"/>
        <v/>
      </c>
      <c r="BI214" s="202"/>
      <c r="BJ214" s="114" t="str">
        <f t="shared" si="21"/>
        <v/>
      </c>
      <c r="BK214" s="115" t="b">
        <f t="shared" si="105"/>
        <v>0</v>
      </c>
      <c r="BL214" s="114" t="str">
        <f t="shared" si="23"/>
        <v/>
      </c>
      <c r="BM214" s="108"/>
      <c r="BN214" s="7" t="b">
        <f t="shared" si="24"/>
        <v>1</v>
      </c>
      <c r="BO214" s="7" t="b">
        <f t="shared" si="25"/>
        <v>0</v>
      </c>
      <c r="BP214" s="7" t="b">
        <f t="shared" si="26"/>
        <v>1</v>
      </c>
      <c r="BQ214" s="118"/>
      <c r="BR214" s="119" t="s">
        <v>228</v>
      </c>
      <c r="BS214" s="7" t="b">
        <f t="shared" si="27"/>
        <v>1</v>
      </c>
      <c r="BT214" s="7"/>
      <c r="BU214" s="7"/>
      <c r="BV214" s="7"/>
      <c r="BW214" s="7"/>
    </row>
    <row r="215">
      <c r="A215" s="86" t="s">
        <v>458</v>
      </c>
      <c r="B215" s="87">
        <v>44725.0</v>
      </c>
      <c r="C215" s="88">
        <v>0.20103009259259258</v>
      </c>
      <c r="D215" s="89"/>
      <c r="E215" s="89"/>
      <c r="F215" s="89"/>
      <c r="G215" s="86"/>
      <c r="H215" s="90"/>
      <c r="K215" s="89" t="s">
        <v>228</v>
      </c>
      <c r="L215" s="36">
        <v>44725.0</v>
      </c>
      <c r="M215" s="91">
        <v>0.4122337962962963</v>
      </c>
      <c r="N215" s="3"/>
      <c r="O215" s="142"/>
      <c r="P215" s="93" t="b">
        <f>IFNA(IF(VLOOKUP($A215,'Add from APT'!$AA$2:$AC264,3,FALSE)&gt;0,TRUE,FALSE),"ER - NOT IN APT")</f>
        <v>0</v>
      </c>
      <c r="Q215" s="94" t="str">
        <f>IF(ISLOGICAL(P215),IF(P215,"ER - REPS IN APT", IFNA(VLOOKUP($A215,RAW_APT!$A$3:$M264,7,FALSE),"ER - NOT IN APT")),P215)</f>
        <v>Result</v>
      </c>
      <c r="R215" s="95" t="b">
        <f t="shared" si="102"/>
        <v>0</v>
      </c>
      <c r="S215" s="96">
        <f t="shared" si="3"/>
        <v>4</v>
      </c>
      <c r="T215" s="103">
        <v>2.0</v>
      </c>
      <c r="U215" s="9"/>
      <c r="V215" s="9"/>
      <c r="W215" s="98"/>
      <c r="X215" s="99" t="b">
        <f t="shared" si="255"/>
        <v>1</v>
      </c>
      <c r="Y215" s="100"/>
      <c r="Z215" s="101" t="str">
        <f t="shared" si="5"/>
        <v/>
      </c>
      <c r="AA215" s="102" t="b">
        <f t="shared" si="6"/>
        <v>0</v>
      </c>
      <c r="AB215" s="98"/>
      <c r="AC215" s="103">
        <v>46.0</v>
      </c>
      <c r="AD215" s="104"/>
      <c r="AE215" s="105">
        <f t="shared" si="7"/>
        <v>304.1333333</v>
      </c>
      <c r="AF215" s="106" t="b">
        <f t="shared" si="103"/>
        <v>0</v>
      </c>
      <c r="AG215" s="93" t="b">
        <f t="shared" si="9"/>
        <v>0</v>
      </c>
      <c r="AH215" s="103"/>
      <c r="AI215" s="103"/>
      <c r="AJ215" s="97"/>
      <c r="AK215" s="101" t="str">
        <f t="shared" si="10"/>
        <v>Negative</v>
      </c>
      <c r="AL215" s="98"/>
      <c r="AM215" s="94" t="s">
        <v>397</v>
      </c>
      <c r="AN215" s="94" t="s">
        <v>399</v>
      </c>
      <c r="AO215" s="102" t="str">
        <f>IFERROR(__xludf.DUMMYFUNCTION("IF($AG215, ""DELETED"",TRIM(JOIN("" "",D215:E215)))"),"")</f>
        <v/>
      </c>
      <c r="AP215" s="94" t="str">
        <f t="shared" ref="AP215:AQ215" si="256">IF($AG215, "DELETED", TRIM(CONCATENATE(F215,I215,U215)))</f>
        <v/>
      </c>
      <c r="AQ215" s="94" t="str">
        <f t="shared" si="256"/>
        <v/>
      </c>
      <c r="AR215" s="94" t="str">
        <f>IFERROR(__xludf.DUMMYFUNCTION("IF($AG215, ""DELETED"", TRIM(JOIN("" "",AP215,AQ215)))"),"")</f>
        <v/>
      </c>
      <c r="AS215" s="9"/>
      <c r="AT215" s="93" t="b">
        <f t="shared" si="12"/>
        <v>1</v>
      </c>
      <c r="AU215" s="93" t="str">
        <f t="shared" si="13"/>
        <v/>
      </c>
      <c r="AV215" s="93" t="str">
        <f t="shared" si="14"/>
        <v/>
      </c>
      <c r="AW215" s="93">
        <f t="shared" si="257"/>
        <v>1</v>
      </c>
      <c r="AX215" s="107">
        <f t="shared" si="16"/>
        <v>1</v>
      </c>
      <c r="AY215" s="98"/>
      <c r="AZ215" s="108"/>
      <c r="BA215" s="109" t="str">
        <f t="shared" si="17"/>
        <v/>
      </c>
      <c r="BB215" s="98"/>
      <c r="BC215" s="98"/>
      <c r="BD215" s="108"/>
      <c r="BE215" s="134"/>
      <c r="BF215" s="111" t="str">
        <f t="shared" si="18"/>
        <v/>
      </c>
      <c r="BG215" s="112" t="str">
        <f t="shared" si="19"/>
        <v>AH8786__44725_0.201030092592593___Negative_44725_0.412233796296296_</v>
      </c>
      <c r="BH215" s="113" t="str">
        <f t="shared" si="20"/>
        <v/>
      </c>
      <c r="BI215" s="202"/>
      <c r="BJ215" s="114" t="str">
        <f t="shared" si="21"/>
        <v/>
      </c>
      <c r="BK215" s="115" t="b">
        <f t="shared" si="105"/>
        <v>0</v>
      </c>
      <c r="BL215" s="114" t="str">
        <f t="shared" si="23"/>
        <v/>
      </c>
      <c r="BM215" s="108"/>
      <c r="BN215" s="7" t="b">
        <f t="shared" si="24"/>
        <v>1</v>
      </c>
      <c r="BO215" s="7" t="b">
        <f t="shared" si="25"/>
        <v>0</v>
      </c>
      <c r="BP215" s="7" t="b">
        <f t="shared" si="26"/>
        <v>1</v>
      </c>
      <c r="BQ215" s="118"/>
      <c r="BR215" s="119" t="s">
        <v>228</v>
      </c>
      <c r="BS215" s="7" t="b">
        <f t="shared" si="27"/>
        <v>1</v>
      </c>
      <c r="BT215" s="7"/>
      <c r="BU215" s="7"/>
      <c r="BV215" s="7"/>
      <c r="BW215" s="7"/>
    </row>
    <row r="216">
      <c r="A216" s="86" t="s">
        <v>458</v>
      </c>
      <c r="B216" s="87">
        <v>44725.0</v>
      </c>
      <c r="C216" s="88">
        <v>0.20103009259259258</v>
      </c>
      <c r="D216" s="89"/>
      <c r="E216" s="89"/>
      <c r="F216" s="89"/>
      <c r="G216" s="86"/>
      <c r="H216" s="90"/>
      <c r="I216" s="3"/>
      <c r="J216" s="3"/>
      <c r="K216" s="89" t="s">
        <v>228</v>
      </c>
      <c r="L216" s="36">
        <v>44725.0</v>
      </c>
      <c r="M216" s="91">
        <v>0.4122337962962963</v>
      </c>
      <c r="N216" s="121"/>
      <c r="O216" s="142"/>
      <c r="P216" s="93" t="b">
        <f>IFNA(IF(VLOOKUP($A216,'Add from APT'!$AA$2:$AC264,3,FALSE)&gt;0,TRUE,FALSE),"ER - NOT IN APT")</f>
        <v>0</v>
      </c>
      <c r="Q216" s="94" t="str">
        <f>IF(ISLOGICAL(P216),IF(P216,"ER - REPS IN APT", IFNA(VLOOKUP($A216,RAW_APT!$A$3:$M264,7,FALSE),"ER - NOT IN APT")),P216)</f>
        <v>Result</v>
      </c>
      <c r="R216" s="95" t="b">
        <f t="shared" si="102"/>
        <v>0</v>
      </c>
      <c r="S216" s="96">
        <f t="shared" si="3"/>
        <v>4</v>
      </c>
      <c r="T216" s="103">
        <v>2.0</v>
      </c>
      <c r="U216" s="3"/>
      <c r="V216" s="3"/>
      <c r="W216" s="98"/>
      <c r="X216" s="99" t="b">
        <f t="shared" ref="X216:X264" si="259">IF(ISBLANK($U216),IF(ISBLANK($V216),FALSE,"ER - LAST ONLY"),TRUE)</f>
        <v>0</v>
      </c>
      <c r="Y216" s="100"/>
      <c r="Z216" s="101" t="str">
        <f t="shared" si="5"/>
        <v/>
      </c>
      <c r="AA216" s="102" t="b">
        <f t="shared" si="6"/>
        <v>0</v>
      </c>
      <c r="AB216" s="98"/>
      <c r="AC216" s="103">
        <v>45.0</v>
      </c>
      <c r="AD216" s="104"/>
      <c r="AE216" s="105">
        <f t="shared" si="7"/>
        <v>304.1333333</v>
      </c>
      <c r="AF216" s="106" t="b">
        <f t="shared" si="103"/>
        <v>0</v>
      </c>
      <c r="AG216" s="93" t="b">
        <f t="shared" si="9"/>
        <v>0</v>
      </c>
      <c r="AH216" s="103"/>
      <c r="AI216" s="103"/>
      <c r="AJ216" s="97"/>
      <c r="AK216" s="101" t="str">
        <f t="shared" si="10"/>
        <v>Negative</v>
      </c>
      <c r="AL216" s="98"/>
      <c r="AM216" s="94" t="s">
        <v>397</v>
      </c>
      <c r="AN216" s="94" t="s">
        <v>400</v>
      </c>
      <c r="AO216" s="102" t="str">
        <f>IFERROR(__xludf.DUMMYFUNCTION("IF($AG216, ""DELETED"",TRIM(JOIN("" "",D216:E216)))"),"")</f>
        <v/>
      </c>
      <c r="AP216" s="94" t="str">
        <f t="shared" ref="AP216:AQ216" si="258">IF($AG216, "DELETED", TRIM(CONCATENATE(F216,I216,U216)))</f>
        <v/>
      </c>
      <c r="AQ216" s="94" t="str">
        <f t="shared" si="258"/>
        <v/>
      </c>
      <c r="AR216" s="94" t="str">
        <f>IFERROR(__xludf.DUMMYFUNCTION("IF($AG216, ""DELETED"", TRIM(JOIN("" "",AP216,AQ216)))"),"")</f>
        <v/>
      </c>
      <c r="AS216" s="9"/>
      <c r="AT216" s="93" t="b">
        <f t="shared" si="12"/>
        <v>0</v>
      </c>
      <c r="AU216" s="93" t="str">
        <f t="shared" si="13"/>
        <v/>
      </c>
      <c r="AV216" s="93" t="str">
        <f t="shared" si="14"/>
        <v/>
      </c>
      <c r="AW216" s="93" t="str">
        <f t="shared" ref="AW216:AW264" si="261">IF($AG216,IFERROR(0/0,""),IF(ISBLANK($U216),IF(ISBLANK($V216),IFERROR(0/0,""),2),1))</f>
        <v/>
      </c>
      <c r="AX216" s="107" t="str">
        <f t="shared" si="16"/>
        <v/>
      </c>
      <c r="AY216" s="98"/>
      <c r="AZ216" s="108"/>
      <c r="BA216" s="109" t="str">
        <f t="shared" si="17"/>
        <v/>
      </c>
      <c r="BB216" s="98"/>
      <c r="BC216" s="98"/>
      <c r="BD216" s="108"/>
      <c r="BE216" s="134"/>
      <c r="BF216" s="111" t="str">
        <f t="shared" si="18"/>
        <v/>
      </c>
      <c r="BG216" s="112" t="str">
        <f t="shared" si="19"/>
        <v>AH8786__44725_0.201030092592593___Negative_44725_0.412233796296296_</v>
      </c>
      <c r="BH216" s="113" t="str">
        <f t="shared" si="20"/>
        <v/>
      </c>
      <c r="BI216" s="202"/>
      <c r="BJ216" s="114" t="str">
        <f t="shared" si="21"/>
        <v/>
      </c>
      <c r="BK216" s="115" t="b">
        <f t="shared" si="105"/>
        <v>0</v>
      </c>
      <c r="BL216" s="114" t="str">
        <f t="shared" si="23"/>
        <v/>
      </c>
      <c r="BM216" s="108"/>
      <c r="BN216" s="7" t="b">
        <f t="shared" si="24"/>
        <v>1</v>
      </c>
      <c r="BO216" s="7" t="b">
        <f t="shared" si="25"/>
        <v>0</v>
      </c>
      <c r="BP216" s="7" t="b">
        <f t="shared" si="26"/>
        <v>1</v>
      </c>
      <c r="BQ216" s="118"/>
      <c r="BR216" s="119" t="s">
        <v>228</v>
      </c>
      <c r="BS216" s="7" t="b">
        <f t="shared" si="27"/>
        <v>1</v>
      </c>
      <c r="BT216" s="7"/>
      <c r="BU216" s="7"/>
      <c r="BV216" s="7"/>
      <c r="BW216" s="7"/>
    </row>
    <row r="217">
      <c r="A217" s="86" t="s">
        <v>458</v>
      </c>
      <c r="B217" s="87">
        <v>44725.0</v>
      </c>
      <c r="C217" s="88">
        <v>0.20103009259259258</v>
      </c>
      <c r="D217" s="89"/>
      <c r="E217" s="89"/>
      <c r="F217" s="89"/>
      <c r="G217" s="86"/>
      <c r="H217" s="90"/>
      <c r="I217" s="3"/>
      <c r="J217" s="3"/>
      <c r="K217" s="89" t="s">
        <v>228</v>
      </c>
      <c r="L217" s="36">
        <v>44725.0</v>
      </c>
      <c r="M217" s="91">
        <v>0.4122337962962963</v>
      </c>
      <c r="N217" s="3"/>
      <c r="O217" s="142"/>
      <c r="P217" s="93" t="b">
        <f>IFNA(IF(VLOOKUP($A217,'Add from APT'!$AA$2:$AC264,3,FALSE)&gt;0,TRUE,FALSE),"ER - NOT IN APT")</f>
        <v>0</v>
      </c>
      <c r="Q217" s="94" t="str">
        <f>IF(ISLOGICAL(P217),IF(P217,"ER - REPS IN APT", IFNA(VLOOKUP($A217,RAW_APT!$A$3:$M264,7,FALSE),"ER - NOT IN APT")),P217)</f>
        <v>Result</v>
      </c>
      <c r="R217" s="95" t="b">
        <f t="shared" si="102"/>
        <v>0</v>
      </c>
      <c r="S217" s="96">
        <f t="shared" si="3"/>
        <v>4</v>
      </c>
      <c r="T217" s="130">
        <v>2.0</v>
      </c>
      <c r="U217" s="3"/>
      <c r="V217" s="3"/>
      <c r="W217" s="9"/>
      <c r="X217" s="99" t="b">
        <f t="shared" si="259"/>
        <v>0</v>
      </c>
      <c r="Y217" s="7"/>
      <c r="Z217" s="101" t="str">
        <f t="shared" si="5"/>
        <v/>
      </c>
      <c r="AA217" s="102" t="b">
        <f t="shared" si="6"/>
        <v>0</v>
      </c>
      <c r="AB217" s="131"/>
      <c r="AC217" s="130">
        <v>46.0</v>
      </c>
      <c r="AD217" s="132"/>
      <c r="AE217" s="105">
        <f t="shared" si="7"/>
        <v>304.1333333</v>
      </c>
      <c r="AF217" s="106" t="b">
        <f t="shared" si="103"/>
        <v>0</v>
      </c>
      <c r="AG217" s="93" t="b">
        <f t="shared" si="9"/>
        <v>0</v>
      </c>
      <c r="AH217" s="130"/>
      <c r="AI217" s="13"/>
      <c r="AJ217" s="7"/>
      <c r="AK217" s="101" t="str">
        <f t="shared" si="10"/>
        <v>Negative</v>
      </c>
      <c r="AL217" s="98"/>
      <c r="AM217" s="94" t="s">
        <v>397</v>
      </c>
      <c r="AN217" s="94" t="s">
        <v>401</v>
      </c>
      <c r="AO217" s="102" t="str">
        <f>IFERROR(__xludf.DUMMYFUNCTION("IF($AG217, ""DELETED"",TRIM(JOIN("" "",D217:E217)))"),"")</f>
        <v/>
      </c>
      <c r="AP217" s="94" t="str">
        <f t="shared" ref="AP217:AQ217" si="260">IF($AG217, "DELETED", TRIM(CONCATENATE(F217,I217,U217)))</f>
        <v/>
      </c>
      <c r="AQ217" s="94" t="str">
        <f t="shared" si="260"/>
        <v/>
      </c>
      <c r="AR217" s="94" t="str">
        <f>IFERROR(__xludf.DUMMYFUNCTION("IF($AG217, ""DELETED"", TRIM(JOIN("" "",AP217,AQ217)))"),"")</f>
        <v/>
      </c>
      <c r="AS217" s="9"/>
      <c r="AT217" s="93" t="b">
        <f t="shared" si="12"/>
        <v>0</v>
      </c>
      <c r="AU217" s="93" t="str">
        <f t="shared" si="13"/>
        <v/>
      </c>
      <c r="AV217" s="93" t="str">
        <f t="shared" si="14"/>
        <v/>
      </c>
      <c r="AW217" s="93" t="str">
        <f t="shared" si="261"/>
        <v/>
      </c>
      <c r="AX217" s="107" t="str">
        <f t="shared" si="16"/>
        <v/>
      </c>
      <c r="AY217" s="3"/>
      <c r="AZ217" s="129"/>
      <c r="BA217" s="109" t="str">
        <f t="shared" si="17"/>
        <v/>
      </c>
      <c r="BB217" s="3"/>
      <c r="BC217" s="3"/>
      <c r="BD217" s="108"/>
      <c r="BE217" s="134"/>
      <c r="BF217" s="111" t="str">
        <f t="shared" si="18"/>
        <v/>
      </c>
      <c r="BG217" s="112" t="str">
        <f t="shared" si="19"/>
        <v>AH8786__44725_0.201030092592593___Negative_44725_0.412233796296296_</v>
      </c>
      <c r="BH217" s="113" t="str">
        <f t="shared" si="20"/>
        <v/>
      </c>
      <c r="BI217" s="202"/>
      <c r="BJ217" s="114" t="str">
        <f t="shared" si="21"/>
        <v/>
      </c>
      <c r="BK217" s="115" t="b">
        <f t="shared" si="105"/>
        <v>0</v>
      </c>
      <c r="BL217" s="114" t="str">
        <f t="shared" si="23"/>
        <v/>
      </c>
      <c r="BM217" s="108"/>
      <c r="BN217" s="7" t="b">
        <f t="shared" si="24"/>
        <v>1</v>
      </c>
      <c r="BO217" s="7" t="b">
        <f t="shared" si="25"/>
        <v>0</v>
      </c>
      <c r="BP217" s="7" t="b">
        <f t="shared" si="26"/>
        <v>1</v>
      </c>
      <c r="BQ217" s="118"/>
      <c r="BR217" s="119" t="s">
        <v>228</v>
      </c>
      <c r="BS217" s="7" t="b">
        <f t="shared" si="27"/>
        <v>1</v>
      </c>
      <c r="BT217" s="7"/>
      <c r="BU217" s="7"/>
      <c r="BV217" s="7"/>
      <c r="BW217" s="7"/>
    </row>
    <row r="218">
      <c r="A218" s="86" t="s">
        <v>459</v>
      </c>
      <c r="B218" s="87">
        <v>44725.0</v>
      </c>
      <c r="C218" s="88">
        <v>0.22523148148148148</v>
      </c>
      <c r="D218" s="89"/>
      <c r="E218" s="89"/>
      <c r="F218" s="89"/>
      <c r="G218" s="86"/>
      <c r="H218" s="90"/>
      <c r="I218" s="3"/>
      <c r="J218" s="3"/>
      <c r="K218" s="89" t="s">
        <v>228</v>
      </c>
      <c r="L218" s="36">
        <v>44725.0</v>
      </c>
      <c r="M218" s="91">
        <v>0.41224537037037035</v>
      </c>
      <c r="N218" s="3"/>
      <c r="O218" s="92"/>
      <c r="P218" s="93" t="b">
        <f>IFNA(IF(VLOOKUP($A218,'Add from APT'!$AA$2:$AC264,3,FALSE)&gt;0,TRUE,FALSE),"ER - NOT IN APT")</f>
        <v>0</v>
      </c>
      <c r="Q218" s="94" t="str">
        <f>IF(ISLOGICAL(P218),IF(P218,"ER - REPS IN APT", IFNA(VLOOKUP($A218,RAW_APT!$A$3:$M264,7,FALSE),"ER - NOT IN APT")),P218)</f>
        <v>Result</v>
      </c>
      <c r="R218" s="95" t="b">
        <f t="shared" si="102"/>
        <v>1</v>
      </c>
      <c r="S218" s="96">
        <f t="shared" si="3"/>
        <v>3</v>
      </c>
      <c r="T218" s="97"/>
      <c r="U218" s="3"/>
      <c r="V218" s="3"/>
      <c r="W218" s="98"/>
      <c r="X218" s="99" t="b">
        <f t="shared" si="259"/>
        <v>0</v>
      </c>
      <c r="Y218" s="100"/>
      <c r="Z218" s="101" t="str">
        <f t="shared" si="5"/>
        <v/>
      </c>
      <c r="AA218" s="102" t="b">
        <f t="shared" si="6"/>
        <v>0</v>
      </c>
      <c r="AB218" s="98"/>
      <c r="AC218" s="103">
        <v>49.0</v>
      </c>
      <c r="AD218" s="104"/>
      <c r="AE218" s="105">
        <f t="shared" si="7"/>
        <v>269.3</v>
      </c>
      <c r="AF218" s="106" t="b">
        <f t="shared" si="103"/>
        <v>0</v>
      </c>
      <c r="AG218" s="93" t="b">
        <f t="shared" si="9"/>
        <v>0</v>
      </c>
      <c r="AH218" s="103"/>
      <c r="AI218" s="103"/>
      <c r="AJ218" s="97"/>
      <c r="AK218" s="101" t="str">
        <f t="shared" si="10"/>
        <v>Negative</v>
      </c>
      <c r="AL218" s="98"/>
      <c r="AM218" s="94" t="s">
        <v>406</v>
      </c>
      <c r="AN218" s="94" t="s">
        <v>387</v>
      </c>
      <c r="AO218" s="102" t="str">
        <f>IFERROR(__xludf.DUMMYFUNCTION("IF($AG218, ""DELETED"",TRIM(JOIN("" "",D218:E218)))"),"")</f>
        <v/>
      </c>
      <c r="AP218" s="94" t="str">
        <f t="shared" ref="AP218:AQ218" si="262">IF($AG218, "DELETED", TRIM(CONCATENATE(F218,I218,U218)))</f>
        <v/>
      </c>
      <c r="AQ218" s="94" t="str">
        <f t="shared" si="262"/>
        <v/>
      </c>
      <c r="AR218" s="94" t="str">
        <f>IFERROR(__xludf.DUMMYFUNCTION("IF($AG218, ""DELETED"", TRIM(JOIN("" "",AP218,AQ218)))"),"")</f>
        <v/>
      </c>
      <c r="AS218" s="9"/>
      <c r="AT218" s="93" t="b">
        <f t="shared" si="12"/>
        <v>0</v>
      </c>
      <c r="AU218" s="93" t="str">
        <f t="shared" si="13"/>
        <v/>
      </c>
      <c r="AV218" s="93" t="str">
        <f t="shared" si="14"/>
        <v/>
      </c>
      <c r="AW218" s="93" t="str">
        <f t="shared" si="261"/>
        <v/>
      </c>
      <c r="AX218" s="107" t="str">
        <f t="shared" si="16"/>
        <v/>
      </c>
      <c r="AY218" s="98"/>
      <c r="AZ218" s="108"/>
      <c r="BA218" s="109" t="str">
        <f t="shared" si="17"/>
        <v/>
      </c>
      <c r="BB218" s="98"/>
      <c r="BC218" s="98"/>
      <c r="BD218" s="108"/>
      <c r="BE218" s="134"/>
      <c r="BF218" s="111" t="str">
        <f t="shared" si="18"/>
        <v/>
      </c>
      <c r="BG218" s="112" t="str">
        <f t="shared" si="19"/>
        <v>AG1844__44725_0.225231481481481___Negative_44725_0.41224537037037_</v>
      </c>
      <c r="BH218" s="113" t="str">
        <f t="shared" si="20"/>
        <v/>
      </c>
      <c r="BI218" s="202"/>
      <c r="BJ218" s="114" t="str">
        <f t="shared" si="21"/>
        <v/>
      </c>
      <c r="BK218" s="115" t="b">
        <f t="shared" si="105"/>
        <v>0</v>
      </c>
      <c r="BL218" s="114" t="str">
        <f t="shared" si="23"/>
        <v/>
      </c>
      <c r="BM218" s="108"/>
      <c r="BN218" s="7" t="b">
        <f t="shared" si="24"/>
        <v>1</v>
      </c>
      <c r="BO218" s="7" t="b">
        <f t="shared" si="25"/>
        <v>0</v>
      </c>
      <c r="BP218" s="7" t="b">
        <f t="shared" si="26"/>
        <v>1</v>
      </c>
      <c r="BQ218" s="118"/>
      <c r="BR218" s="119" t="s">
        <v>228</v>
      </c>
      <c r="BS218" s="7" t="b">
        <f t="shared" si="27"/>
        <v>1</v>
      </c>
      <c r="BT218" s="7"/>
      <c r="BU218" s="7"/>
      <c r="BV218" s="7"/>
      <c r="BW218" s="7"/>
    </row>
    <row r="219">
      <c r="A219" s="86" t="s">
        <v>459</v>
      </c>
      <c r="B219" s="87">
        <v>44725.0</v>
      </c>
      <c r="C219" s="88">
        <v>0.22523148148148148</v>
      </c>
      <c r="D219" s="89"/>
      <c r="E219" s="89"/>
      <c r="F219" s="89"/>
      <c r="G219" s="86"/>
      <c r="H219" s="90"/>
      <c r="I219" s="3"/>
      <c r="J219" s="3"/>
      <c r="K219" s="89" t="s">
        <v>228</v>
      </c>
      <c r="L219" s="36">
        <v>44725.0</v>
      </c>
      <c r="M219" s="91">
        <v>0.41224537037037035</v>
      </c>
      <c r="N219" s="3"/>
      <c r="O219" s="92"/>
      <c r="P219" s="93" t="b">
        <f>IFNA(IF(VLOOKUP($A219,'Add from APT'!$AA$2:$AC264,3,FALSE)&gt;0,TRUE,FALSE),"ER - NOT IN APT")</f>
        <v>0</v>
      </c>
      <c r="Q219" s="94" t="str">
        <f>IF(ISLOGICAL(P219),IF(P219,"ER - REPS IN APT", IFNA(VLOOKUP($A219,RAW_APT!$A$3:$M264,7,FALSE),"ER - NOT IN APT")),P219)</f>
        <v>Result</v>
      </c>
      <c r="R219" s="95" t="b">
        <f t="shared" si="102"/>
        <v>0</v>
      </c>
      <c r="S219" s="96">
        <f t="shared" si="3"/>
        <v>3</v>
      </c>
      <c r="T219" s="130"/>
      <c r="U219" s="3"/>
      <c r="V219" s="3"/>
      <c r="W219" s="9"/>
      <c r="X219" s="99" t="b">
        <f t="shared" si="259"/>
        <v>0</v>
      </c>
      <c r="Y219" s="7"/>
      <c r="Z219" s="101" t="str">
        <f t="shared" si="5"/>
        <v/>
      </c>
      <c r="AA219" s="102" t="b">
        <f t="shared" si="6"/>
        <v>0</v>
      </c>
      <c r="AB219" s="131"/>
      <c r="AC219" s="130">
        <v>47.0</v>
      </c>
      <c r="AD219" s="132"/>
      <c r="AE219" s="105">
        <f t="shared" si="7"/>
        <v>269.3</v>
      </c>
      <c r="AF219" s="106" t="b">
        <f t="shared" si="103"/>
        <v>0</v>
      </c>
      <c r="AG219" s="93" t="b">
        <f t="shared" si="9"/>
        <v>0</v>
      </c>
      <c r="AH219" s="130"/>
      <c r="AI219" s="13"/>
      <c r="AJ219" s="7"/>
      <c r="AK219" s="101" t="str">
        <f t="shared" si="10"/>
        <v>Negative</v>
      </c>
      <c r="AL219" s="98"/>
      <c r="AM219" s="94" t="s">
        <v>406</v>
      </c>
      <c r="AN219" s="94" t="s">
        <v>407</v>
      </c>
      <c r="AO219" s="102" t="str">
        <f>IFERROR(__xludf.DUMMYFUNCTION("IF($AG219, ""DELETED"",TRIM(JOIN("" "",D219:E219)))"),"")</f>
        <v/>
      </c>
      <c r="AP219" s="94" t="str">
        <f t="shared" ref="AP219:AQ219" si="263">IF($AG219, "DELETED", TRIM(CONCATENATE(F219,I219,U219)))</f>
        <v/>
      </c>
      <c r="AQ219" s="94" t="str">
        <f t="shared" si="263"/>
        <v/>
      </c>
      <c r="AR219" s="94" t="str">
        <f>IFERROR(__xludf.DUMMYFUNCTION("IF($AG219, ""DELETED"", TRIM(JOIN("" "",AP219,AQ219)))"),"")</f>
        <v/>
      </c>
      <c r="AS219" s="9"/>
      <c r="AT219" s="93" t="b">
        <f t="shared" si="12"/>
        <v>0</v>
      </c>
      <c r="AU219" s="93" t="str">
        <f t="shared" si="13"/>
        <v/>
      </c>
      <c r="AV219" s="93" t="str">
        <f t="shared" si="14"/>
        <v/>
      </c>
      <c r="AW219" s="93" t="str">
        <f t="shared" si="261"/>
        <v/>
      </c>
      <c r="AX219" s="107" t="str">
        <f t="shared" si="16"/>
        <v/>
      </c>
      <c r="AY219" s="3"/>
      <c r="AZ219" s="129"/>
      <c r="BA219" s="109" t="str">
        <f t="shared" si="17"/>
        <v/>
      </c>
      <c r="BB219" s="3"/>
      <c r="BC219" s="3"/>
      <c r="BD219" s="108"/>
      <c r="BE219" s="134"/>
      <c r="BF219" s="111" t="str">
        <f t="shared" si="18"/>
        <v/>
      </c>
      <c r="BG219" s="112" t="str">
        <f t="shared" si="19"/>
        <v>AG1844__44725_0.225231481481481___Negative_44725_0.41224537037037_</v>
      </c>
      <c r="BH219" s="113" t="str">
        <f t="shared" si="20"/>
        <v/>
      </c>
      <c r="BI219" s="202"/>
      <c r="BJ219" s="114" t="str">
        <f t="shared" si="21"/>
        <v/>
      </c>
      <c r="BK219" s="115" t="b">
        <f t="shared" si="105"/>
        <v>0</v>
      </c>
      <c r="BL219" s="114" t="str">
        <f t="shared" si="23"/>
        <v/>
      </c>
      <c r="BM219" s="108"/>
      <c r="BN219" s="7" t="b">
        <f t="shared" si="24"/>
        <v>1</v>
      </c>
      <c r="BO219" s="7" t="b">
        <f t="shared" si="25"/>
        <v>0</v>
      </c>
      <c r="BP219" s="7" t="b">
        <f t="shared" si="26"/>
        <v>1</v>
      </c>
      <c r="BQ219" s="118"/>
      <c r="BR219" s="119" t="s">
        <v>228</v>
      </c>
      <c r="BS219" s="7" t="b">
        <f t="shared" si="27"/>
        <v>1</v>
      </c>
      <c r="BT219" s="7"/>
      <c r="BU219" s="7"/>
      <c r="BV219" s="7"/>
      <c r="BW219" s="7"/>
    </row>
    <row r="220">
      <c r="A220" s="86" t="s">
        <v>459</v>
      </c>
      <c r="B220" s="87">
        <v>44725.0</v>
      </c>
      <c r="C220" s="88">
        <v>0.22523148148148148</v>
      </c>
      <c r="D220" s="89"/>
      <c r="E220" s="89"/>
      <c r="F220" s="3"/>
      <c r="G220" s="120"/>
      <c r="H220" s="121"/>
      <c r="I220" s="89"/>
      <c r="J220" s="89"/>
      <c r="K220" s="89" t="s">
        <v>228</v>
      </c>
      <c r="L220" s="36">
        <v>44725.0</v>
      </c>
      <c r="M220" s="91">
        <v>0.41224537037037035</v>
      </c>
      <c r="N220" s="3"/>
      <c r="O220" s="92"/>
      <c r="P220" s="93" t="b">
        <f>IFNA(IF(VLOOKUP($A220,'Add from APT'!$AA$2:$AC264,3,FALSE)&gt;0,TRUE,FALSE),"ER - NOT IN APT")</f>
        <v>0</v>
      </c>
      <c r="Q220" s="94" t="str">
        <f>IF(ISLOGICAL(P220),IF(P220,"ER - REPS IN APT", IFNA(VLOOKUP($A220,RAW_APT!$A$3:$M264,7,FALSE),"ER - NOT IN APT")),P220)</f>
        <v>Result</v>
      </c>
      <c r="R220" s="95" t="b">
        <f t="shared" si="102"/>
        <v>0</v>
      </c>
      <c r="S220" s="96">
        <f t="shared" si="3"/>
        <v>3</v>
      </c>
      <c r="T220" s="130"/>
      <c r="U220" s="3"/>
      <c r="V220" s="3"/>
      <c r="W220" s="9"/>
      <c r="X220" s="99" t="b">
        <f t="shared" si="259"/>
        <v>0</v>
      </c>
      <c r="Y220" s="7"/>
      <c r="Z220" s="101" t="str">
        <f t="shared" si="5"/>
        <v/>
      </c>
      <c r="AA220" s="102" t="b">
        <f t="shared" si="6"/>
        <v>0</v>
      </c>
      <c r="AB220" s="131"/>
      <c r="AC220" s="130">
        <v>48.0</v>
      </c>
      <c r="AD220" s="132"/>
      <c r="AE220" s="105">
        <f t="shared" si="7"/>
        <v>269.3</v>
      </c>
      <c r="AF220" s="106" t="b">
        <f t="shared" si="103"/>
        <v>0</v>
      </c>
      <c r="AG220" s="93" t="b">
        <f t="shared" si="9"/>
        <v>0</v>
      </c>
      <c r="AH220" s="130"/>
      <c r="AI220" s="13"/>
      <c r="AJ220" s="7"/>
      <c r="AK220" s="101" t="str">
        <f t="shared" si="10"/>
        <v>Negative</v>
      </c>
      <c r="AL220" s="98"/>
      <c r="AM220" s="94" t="s">
        <v>406</v>
      </c>
      <c r="AN220" s="94" t="s">
        <v>386</v>
      </c>
      <c r="AO220" s="102" t="str">
        <f>IFERROR(__xludf.DUMMYFUNCTION("IF($AG220, ""DELETED"",TRIM(JOIN("" "",D220:E220)))"),"")</f>
        <v/>
      </c>
      <c r="AP220" s="94" t="str">
        <f t="shared" ref="AP220:AQ220" si="264">IF($AG220, "DELETED", TRIM(CONCATENATE(F220,I220,U220)))</f>
        <v/>
      </c>
      <c r="AQ220" s="94" t="str">
        <f t="shared" si="264"/>
        <v/>
      </c>
      <c r="AR220" s="94" t="str">
        <f>IFERROR(__xludf.DUMMYFUNCTION("IF($AG220, ""DELETED"", TRIM(JOIN("" "",AP220,AQ220)))"),"")</f>
        <v/>
      </c>
      <c r="AS220" s="9"/>
      <c r="AT220" s="93" t="b">
        <f t="shared" si="12"/>
        <v>0</v>
      </c>
      <c r="AU220" s="93" t="str">
        <f t="shared" si="13"/>
        <v/>
      </c>
      <c r="AV220" s="93" t="str">
        <f t="shared" si="14"/>
        <v/>
      </c>
      <c r="AW220" s="93" t="str">
        <f t="shared" si="261"/>
        <v/>
      </c>
      <c r="AX220" s="107" t="str">
        <f t="shared" si="16"/>
        <v/>
      </c>
      <c r="AY220" s="3"/>
      <c r="AZ220" s="129"/>
      <c r="BA220" s="109" t="str">
        <f t="shared" si="17"/>
        <v/>
      </c>
      <c r="BB220" s="3"/>
      <c r="BC220" s="3"/>
      <c r="BD220" s="108"/>
      <c r="BE220" s="134"/>
      <c r="BF220" s="111" t="str">
        <f t="shared" si="18"/>
        <v/>
      </c>
      <c r="BG220" s="112" t="str">
        <f t="shared" si="19"/>
        <v>AG1844__44725_0.225231481481481___Negative_44725_0.41224537037037_</v>
      </c>
      <c r="BH220" s="113" t="str">
        <f t="shared" si="20"/>
        <v/>
      </c>
      <c r="BI220" s="202"/>
      <c r="BJ220" s="114" t="str">
        <f t="shared" si="21"/>
        <v/>
      </c>
      <c r="BK220" s="115" t="b">
        <f t="shared" si="105"/>
        <v>0</v>
      </c>
      <c r="BL220" s="114" t="str">
        <f t="shared" si="23"/>
        <v/>
      </c>
      <c r="BM220" s="108"/>
      <c r="BN220" s="7" t="b">
        <f t="shared" si="24"/>
        <v>1</v>
      </c>
      <c r="BO220" s="7" t="b">
        <f t="shared" si="25"/>
        <v>0</v>
      </c>
      <c r="BP220" s="7" t="b">
        <f t="shared" si="26"/>
        <v>1</v>
      </c>
      <c r="BQ220" s="118"/>
      <c r="BR220" s="119" t="s">
        <v>228</v>
      </c>
      <c r="BS220" s="7" t="b">
        <f t="shared" si="27"/>
        <v>1</v>
      </c>
      <c r="BT220" s="7"/>
      <c r="BU220" s="7"/>
      <c r="BV220" s="7"/>
      <c r="BW220" s="7"/>
    </row>
    <row r="221">
      <c r="A221" s="86" t="s">
        <v>460</v>
      </c>
      <c r="B221" s="87">
        <v>44725.0</v>
      </c>
      <c r="C221" s="88">
        <v>0.23350694444444445</v>
      </c>
      <c r="D221" s="89"/>
      <c r="E221" s="89"/>
      <c r="F221" s="89"/>
      <c r="G221" s="86"/>
      <c r="H221" s="90"/>
      <c r="I221" s="3"/>
      <c r="J221" s="3"/>
      <c r="K221" s="89" t="s">
        <v>228</v>
      </c>
      <c r="L221" s="36">
        <v>44725.0</v>
      </c>
      <c r="M221" s="91">
        <v>0.41224537037037035</v>
      </c>
      <c r="N221" s="3"/>
      <c r="O221" s="92"/>
      <c r="P221" s="93" t="b">
        <f>IFNA(IF(VLOOKUP($A221,'Add from APT'!$AA$2:$AC264,3,FALSE)&gt;0,TRUE,FALSE),"ER - NOT IN APT")</f>
        <v>0</v>
      </c>
      <c r="Q221" s="94" t="str">
        <f>IF(ISLOGICAL(P221),IF(P221,"ER - REPS IN APT", IFNA(VLOOKUP($A221,RAW_APT!$A$3:$M264,7,FALSE),"ER - NOT IN APT")),P221)</f>
        <v>Result</v>
      </c>
      <c r="R221" s="95" t="b">
        <f t="shared" si="102"/>
        <v>1</v>
      </c>
      <c r="S221" s="96">
        <f t="shared" si="3"/>
        <v>3</v>
      </c>
      <c r="T221" s="97"/>
      <c r="U221" s="3"/>
      <c r="V221" s="3"/>
      <c r="W221" s="9"/>
      <c r="X221" s="99" t="b">
        <f t="shared" si="259"/>
        <v>0</v>
      </c>
      <c r="Y221" s="100"/>
      <c r="Z221" s="101" t="str">
        <f t="shared" si="5"/>
        <v/>
      </c>
      <c r="AA221" s="102" t="b">
        <f t="shared" si="6"/>
        <v>0</v>
      </c>
      <c r="AB221" s="98"/>
      <c r="AC221" s="103">
        <v>52.0</v>
      </c>
      <c r="AD221" s="104"/>
      <c r="AE221" s="105">
        <f t="shared" si="7"/>
        <v>257.3833333</v>
      </c>
      <c r="AF221" s="106" t="b">
        <f t="shared" si="103"/>
        <v>0</v>
      </c>
      <c r="AG221" s="93" t="b">
        <f t="shared" si="9"/>
        <v>0</v>
      </c>
      <c r="AH221" s="103"/>
      <c r="AI221" s="103"/>
      <c r="AJ221" s="97"/>
      <c r="AK221" s="101" t="str">
        <f t="shared" si="10"/>
        <v>Negative</v>
      </c>
      <c r="AL221" s="98"/>
      <c r="AM221" s="94" t="s">
        <v>322</v>
      </c>
      <c r="AN221" s="94" t="s">
        <v>325</v>
      </c>
      <c r="AO221" s="102" t="str">
        <f>IFERROR(__xludf.DUMMYFUNCTION("IF($AG221, ""DELETED"",TRIM(JOIN("" "",D221:E221)))"),"")</f>
        <v/>
      </c>
      <c r="AP221" s="94" t="str">
        <f t="shared" ref="AP221:AQ221" si="265">IF($AG221, "DELETED", TRIM(CONCATENATE(F221,I221,U221)))</f>
        <v/>
      </c>
      <c r="AQ221" s="94" t="str">
        <f t="shared" si="265"/>
        <v/>
      </c>
      <c r="AR221" s="94" t="str">
        <f>IFERROR(__xludf.DUMMYFUNCTION("IF($AG221, ""DELETED"", TRIM(JOIN("" "",AP221,AQ221)))"),"")</f>
        <v/>
      </c>
      <c r="AS221" s="9"/>
      <c r="AT221" s="93" t="b">
        <f t="shared" si="12"/>
        <v>0</v>
      </c>
      <c r="AU221" s="93" t="str">
        <f t="shared" si="13"/>
        <v/>
      </c>
      <c r="AV221" s="93" t="str">
        <f t="shared" si="14"/>
        <v/>
      </c>
      <c r="AW221" s="93" t="str">
        <f t="shared" si="261"/>
        <v/>
      </c>
      <c r="AX221" s="107" t="str">
        <f t="shared" si="16"/>
        <v/>
      </c>
      <c r="AY221" s="98"/>
      <c r="AZ221" s="108"/>
      <c r="BA221" s="109" t="str">
        <f t="shared" si="17"/>
        <v/>
      </c>
      <c r="BB221" s="98"/>
      <c r="BC221" s="98"/>
      <c r="BD221" s="108"/>
      <c r="BE221" s="134"/>
      <c r="BF221" s="111" t="str">
        <f t="shared" si="18"/>
        <v/>
      </c>
      <c r="BG221" s="112" t="str">
        <f t="shared" si="19"/>
        <v>AH9644__44725_0.233506944444444___Negative_44725_0.41224537037037_</v>
      </c>
      <c r="BH221" s="113" t="str">
        <f t="shared" si="20"/>
        <v/>
      </c>
      <c r="BI221" s="202"/>
      <c r="BJ221" s="114" t="str">
        <f t="shared" si="21"/>
        <v/>
      </c>
      <c r="BK221" s="115" t="b">
        <f t="shared" si="105"/>
        <v>0</v>
      </c>
      <c r="BL221" s="114" t="str">
        <f t="shared" si="23"/>
        <v/>
      </c>
      <c r="BM221" s="108"/>
      <c r="BN221" s="7" t="b">
        <f t="shared" si="24"/>
        <v>1</v>
      </c>
      <c r="BO221" s="7" t="b">
        <f t="shared" si="25"/>
        <v>0</v>
      </c>
      <c r="BP221" s="7" t="b">
        <f t="shared" si="26"/>
        <v>1</v>
      </c>
      <c r="BQ221" s="118"/>
      <c r="BR221" s="119" t="s">
        <v>228</v>
      </c>
      <c r="BS221" s="7" t="b">
        <f t="shared" si="27"/>
        <v>1</v>
      </c>
      <c r="BT221" s="7"/>
      <c r="BU221" s="7"/>
      <c r="BV221" s="7"/>
      <c r="BW221" s="7"/>
    </row>
    <row r="222">
      <c r="A222" s="86" t="s">
        <v>460</v>
      </c>
      <c r="B222" s="87">
        <v>44725.0</v>
      </c>
      <c r="C222" s="88">
        <v>0.23350694444444445</v>
      </c>
      <c r="D222" s="89"/>
      <c r="E222" s="89"/>
      <c r="F222" s="89"/>
      <c r="G222" s="86"/>
      <c r="H222" s="89"/>
      <c r="I222" s="121"/>
      <c r="J222" s="3"/>
      <c r="K222" s="89" t="s">
        <v>228</v>
      </c>
      <c r="L222" s="36">
        <v>44725.0</v>
      </c>
      <c r="M222" s="91">
        <v>0.41224537037037035</v>
      </c>
      <c r="N222" s="3"/>
      <c r="O222" s="92"/>
      <c r="P222" s="93" t="b">
        <f>IFNA(IF(VLOOKUP($A222,'Add from APT'!$AA$2:$AC264,3,FALSE)&gt;0,TRUE,FALSE),"ER - NOT IN APT")</f>
        <v>0</v>
      </c>
      <c r="Q222" s="94" t="str">
        <f>IF(ISLOGICAL(P222),IF(P222,"ER - REPS IN APT", IFNA(VLOOKUP($A222,RAW_APT!$A$3:$M264,7,FALSE),"ER - NOT IN APT")),P222)</f>
        <v>Result</v>
      </c>
      <c r="R222" s="95" t="b">
        <f t="shared" si="102"/>
        <v>0</v>
      </c>
      <c r="S222" s="96">
        <f t="shared" si="3"/>
        <v>3</v>
      </c>
      <c r="T222" s="97"/>
      <c r="U222" s="3"/>
      <c r="V222" s="3"/>
      <c r="W222" s="98"/>
      <c r="X222" s="99" t="b">
        <f t="shared" si="259"/>
        <v>0</v>
      </c>
      <c r="Y222" s="100"/>
      <c r="Z222" s="101" t="str">
        <f t="shared" si="5"/>
        <v/>
      </c>
      <c r="AA222" s="102" t="b">
        <f t="shared" si="6"/>
        <v>0</v>
      </c>
      <c r="AB222" s="98"/>
      <c r="AC222" s="103">
        <v>51.0</v>
      </c>
      <c r="AD222" s="104"/>
      <c r="AE222" s="105">
        <f t="shared" si="7"/>
        <v>257.3833333</v>
      </c>
      <c r="AF222" s="106" t="b">
        <f t="shared" si="103"/>
        <v>0</v>
      </c>
      <c r="AG222" s="93" t="b">
        <f t="shared" si="9"/>
        <v>0</v>
      </c>
      <c r="AH222" s="103"/>
      <c r="AI222" s="103"/>
      <c r="AJ222" s="97"/>
      <c r="AK222" s="101" t="str">
        <f t="shared" si="10"/>
        <v>Negative</v>
      </c>
      <c r="AL222" s="98"/>
      <c r="AM222" s="94" t="s">
        <v>322</v>
      </c>
      <c r="AN222" s="94" t="s">
        <v>327</v>
      </c>
      <c r="AO222" s="102" t="str">
        <f>IFERROR(__xludf.DUMMYFUNCTION("IF($AG222, ""DELETED"",TRIM(JOIN("" "",D222:E222)))"),"")</f>
        <v/>
      </c>
      <c r="AP222" s="94" t="str">
        <f t="shared" ref="AP222:AQ222" si="266">IF($AG222, "DELETED", TRIM(CONCATENATE(F222,I222,U222)))</f>
        <v/>
      </c>
      <c r="AQ222" s="94" t="str">
        <f t="shared" si="266"/>
        <v/>
      </c>
      <c r="AR222" s="94" t="str">
        <f>IFERROR(__xludf.DUMMYFUNCTION("IF($AG222, ""DELETED"", TRIM(JOIN("" "",AP222,AQ222)))"),"")</f>
        <v/>
      </c>
      <c r="AS222" s="9"/>
      <c r="AT222" s="93" t="b">
        <f t="shared" si="12"/>
        <v>0</v>
      </c>
      <c r="AU222" s="93" t="str">
        <f t="shared" si="13"/>
        <v/>
      </c>
      <c r="AV222" s="93" t="str">
        <f t="shared" si="14"/>
        <v/>
      </c>
      <c r="AW222" s="93" t="str">
        <f t="shared" si="261"/>
        <v/>
      </c>
      <c r="AX222" s="107" t="str">
        <f t="shared" si="16"/>
        <v/>
      </c>
      <c r="AY222" s="98"/>
      <c r="AZ222" s="108"/>
      <c r="BA222" s="109" t="str">
        <f t="shared" si="17"/>
        <v/>
      </c>
      <c r="BB222" s="98"/>
      <c r="BC222" s="98"/>
      <c r="BD222" s="108"/>
      <c r="BE222" s="143"/>
      <c r="BF222" s="111" t="str">
        <f t="shared" si="18"/>
        <v/>
      </c>
      <c r="BG222" s="112" t="str">
        <f t="shared" si="19"/>
        <v>AH9644__44725_0.233506944444444___Negative_44725_0.41224537037037_</v>
      </c>
      <c r="BH222" s="113" t="str">
        <f t="shared" si="20"/>
        <v/>
      </c>
      <c r="BI222" s="203"/>
      <c r="BJ222" s="114" t="str">
        <f t="shared" si="21"/>
        <v/>
      </c>
      <c r="BK222" s="115" t="b">
        <f t="shared" si="105"/>
        <v>0</v>
      </c>
      <c r="BL222" s="114" t="str">
        <f t="shared" si="23"/>
        <v/>
      </c>
      <c r="BM222" s="108"/>
      <c r="BN222" s="7" t="b">
        <f t="shared" si="24"/>
        <v>1</v>
      </c>
      <c r="BO222" s="7" t="b">
        <f t="shared" si="25"/>
        <v>0</v>
      </c>
      <c r="BP222" s="7" t="b">
        <f t="shared" si="26"/>
        <v>1</v>
      </c>
      <c r="BQ222" s="118"/>
      <c r="BR222" s="119" t="s">
        <v>228</v>
      </c>
      <c r="BS222" s="7" t="b">
        <f t="shared" si="27"/>
        <v>1</v>
      </c>
      <c r="BT222" s="7"/>
      <c r="BU222" s="7"/>
      <c r="BV222" s="7"/>
      <c r="BW222" s="7"/>
    </row>
    <row r="223">
      <c r="A223" s="86" t="s">
        <v>460</v>
      </c>
      <c r="B223" s="87">
        <v>44725.0</v>
      </c>
      <c r="C223" s="88">
        <v>0.23350694444444445</v>
      </c>
      <c r="D223" s="89"/>
      <c r="E223" s="89"/>
      <c r="F223" s="3"/>
      <c r="G223" s="120"/>
      <c r="H223" s="3"/>
      <c r="I223" s="89"/>
      <c r="J223" s="89"/>
      <c r="K223" s="89" t="s">
        <v>228</v>
      </c>
      <c r="L223" s="36">
        <v>44725.0</v>
      </c>
      <c r="M223" s="91">
        <v>0.41224537037037035</v>
      </c>
      <c r="N223" s="3"/>
      <c r="O223" s="92"/>
      <c r="P223" s="93" t="b">
        <f>IFNA(IF(VLOOKUP($A223,'Add from APT'!$AA$2:$AC264,3,FALSE)&gt;0,TRUE,FALSE),"ER - NOT IN APT")</f>
        <v>0</v>
      </c>
      <c r="Q223" s="94" t="str">
        <f>IF(ISLOGICAL(P223),IF(P223,"ER - REPS IN APT", IFNA(VLOOKUP($A223,RAW_APT!$A$3:$M264,7,FALSE),"ER - NOT IN APT")),P223)</f>
        <v>Result</v>
      </c>
      <c r="R223" s="95" t="b">
        <f t="shared" si="102"/>
        <v>0</v>
      </c>
      <c r="S223" s="96">
        <f t="shared" si="3"/>
        <v>3</v>
      </c>
      <c r="T223" s="130"/>
      <c r="U223" s="3"/>
      <c r="V223" s="3"/>
      <c r="W223" s="9"/>
      <c r="X223" s="99" t="b">
        <f t="shared" si="259"/>
        <v>0</v>
      </c>
      <c r="Y223" s="7"/>
      <c r="Z223" s="101" t="str">
        <f t="shared" si="5"/>
        <v/>
      </c>
      <c r="AA223" s="102" t="b">
        <f t="shared" si="6"/>
        <v>0</v>
      </c>
      <c r="AB223" s="131"/>
      <c r="AC223" s="130">
        <v>50.0</v>
      </c>
      <c r="AD223" s="132"/>
      <c r="AE223" s="105">
        <f t="shared" si="7"/>
        <v>257.3833333</v>
      </c>
      <c r="AF223" s="106" t="b">
        <f t="shared" si="103"/>
        <v>0</v>
      </c>
      <c r="AG223" s="93" t="b">
        <f t="shared" si="9"/>
        <v>0</v>
      </c>
      <c r="AH223" s="130"/>
      <c r="AI223" s="13"/>
      <c r="AJ223" s="7"/>
      <c r="AK223" s="101" t="str">
        <f t="shared" si="10"/>
        <v>Negative</v>
      </c>
      <c r="AL223" s="98"/>
      <c r="AM223" s="94" t="s">
        <v>322</v>
      </c>
      <c r="AN223" s="94" t="s">
        <v>329</v>
      </c>
      <c r="AO223" s="102" t="str">
        <f>IFERROR(__xludf.DUMMYFUNCTION("IF($AG223, ""DELETED"",TRIM(JOIN("" "",D223:E223)))"),"")</f>
        <v/>
      </c>
      <c r="AP223" s="94" t="str">
        <f t="shared" ref="AP223:AQ223" si="267">IF($AG223, "DELETED", TRIM(CONCATENATE(F223,I223,U223)))</f>
        <v/>
      </c>
      <c r="AQ223" s="94" t="str">
        <f t="shared" si="267"/>
        <v/>
      </c>
      <c r="AR223" s="94" t="str">
        <f>IFERROR(__xludf.DUMMYFUNCTION("IF($AG223, ""DELETED"", TRIM(JOIN("" "",AP223,AQ223)))"),"")</f>
        <v/>
      </c>
      <c r="AS223" s="9"/>
      <c r="AT223" s="93" t="b">
        <f t="shared" si="12"/>
        <v>0</v>
      </c>
      <c r="AU223" s="93" t="str">
        <f t="shared" si="13"/>
        <v/>
      </c>
      <c r="AV223" s="93" t="str">
        <f t="shared" si="14"/>
        <v/>
      </c>
      <c r="AW223" s="93" t="str">
        <f t="shared" si="261"/>
        <v/>
      </c>
      <c r="AX223" s="107" t="str">
        <f t="shared" si="16"/>
        <v/>
      </c>
      <c r="AY223" s="3"/>
      <c r="AZ223" s="129"/>
      <c r="BA223" s="109" t="str">
        <f t="shared" si="17"/>
        <v/>
      </c>
      <c r="BB223" s="3"/>
      <c r="BC223" s="3"/>
      <c r="BD223" s="108"/>
      <c r="BE223" s="134"/>
      <c r="BF223" s="111" t="str">
        <f t="shared" si="18"/>
        <v/>
      </c>
      <c r="BG223" s="112" t="str">
        <f t="shared" si="19"/>
        <v>AH9644__44725_0.233506944444444___Negative_44725_0.41224537037037_</v>
      </c>
      <c r="BH223" s="113" t="str">
        <f t="shared" si="20"/>
        <v/>
      </c>
      <c r="BI223" s="202"/>
      <c r="BJ223" s="114" t="str">
        <f t="shared" si="21"/>
        <v/>
      </c>
      <c r="BK223" s="115" t="b">
        <f t="shared" si="105"/>
        <v>0</v>
      </c>
      <c r="BL223" s="114" t="str">
        <f t="shared" si="23"/>
        <v/>
      </c>
      <c r="BM223" s="108"/>
      <c r="BN223" s="7" t="b">
        <f t="shared" si="24"/>
        <v>1</v>
      </c>
      <c r="BO223" s="7" t="b">
        <f t="shared" si="25"/>
        <v>0</v>
      </c>
      <c r="BP223" s="7" t="b">
        <f t="shared" si="26"/>
        <v>1</v>
      </c>
      <c r="BQ223" s="118"/>
      <c r="BR223" s="119" t="s">
        <v>228</v>
      </c>
      <c r="BS223" s="7" t="b">
        <f t="shared" si="27"/>
        <v>1</v>
      </c>
      <c r="BT223" s="7"/>
      <c r="BU223" s="7"/>
      <c r="BV223" s="7"/>
      <c r="BW223" s="7"/>
    </row>
    <row r="224">
      <c r="A224" s="86" t="s">
        <v>461</v>
      </c>
      <c r="B224" s="87">
        <v>44725.0</v>
      </c>
      <c r="C224" s="88">
        <v>0.24435185185185185</v>
      </c>
      <c r="D224" s="89"/>
      <c r="E224" s="89"/>
      <c r="F224" s="89"/>
      <c r="G224" s="86"/>
      <c r="H224" s="90"/>
      <c r="I224" s="3"/>
      <c r="J224" s="3"/>
      <c r="K224" s="89" t="s">
        <v>228</v>
      </c>
      <c r="L224" s="36">
        <v>44725.0</v>
      </c>
      <c r="M224" s="91">
        <v>0.41224537037037035</v>
      </c>
      <c r="N224" s="3"/>
      <c r="O224" s="92"/>
      <c r="P224" s="93" t="b">
        <f>IFNA(IF(VLOOKUP($A224,'Add from APT'!$AA$2:$AC264,3,FALSE)&gt;0,TRUE,FALSE),"ER - NOT IN APT")</f>
        <v>0</v>
      </c>
      <c r="Q224" s="94" t="str">
        <f>IF(ISLOGICAL(P224),IF(P224,"ER - REPS IN APT", IFNA(VLOOKUP($A224,RAW_APT!$A$3:$M264,7,FALSE),"ER - NOT IN APT")),P224)</f>
        <v>Result</v>
      </c>
      <c r="R224" s="95" t="b">
        <f t="shared" si="102"/>
        <v>1</v>
      </c>
      <c r="S224" s="96">
        <f t="shared" si="3"/>
        <v>2</v>
      </c>
      <c r="T224" s="130"/>
      <c r="U224" s="3"/>
      <c r="V224" s="3"/>
      <c r="W224" s="3"/>
      <c r="X224" s="99" t="b">
        <f t="shared" si="259"/>
        <v>0</v>
      </c>
      <c r="Y224" s="7"/>
      <c r="Z224" s="101" t="str">
        <f t="shared" si="5"/>
        <v/>
      </c>
      <c r="AA224" s="102" t="b">
        <f t="shared" si="6"/>
        <v>0</v>
      </c>
      <c r="AB224" s="131"/>
      <c r="AC224" s="130">
        <v>54.0</v>
      </c>
      <c r="AD224" s="132"/>
      <c r="AE224" s="105">
        <f t="shared" si="7"/>
        <v>241.7666667</v>
      </c>
      <c r="AF224" s="106" t="b">
        <f t="shared" si="103"/>
        <v>0</v>
      </c>
      <c r="AG224" s="93" t="b">
        <f t="shared" si="9"/>
        <v>0</v>
      </c>
      <c r="AH224" s="130"/>
      <c r="AI224" s="13"/>
      <c r="AJ224" s="7"/>
      <c r="AK224" s="101" t="str">
        <f t="shared" si="10"/>
        <v>Negative</v>
      </c>
      <c r="AL224" s="98"/>
      <c r="AM224" s="94" t="s">
        <v>332</v>
      </c>
      <c r="AN224" s="94" t="s">
        <v>335</v>
      </c>
      <c r="AO224" s="102" t="str">
        <f>IFERROR(__xludf.DUMMYFUNCTION("IF($AG224, ""DELETED"",TRIM(JOIN("" "",D224:E224)))"),"")</f>
        <v/>
      </c>
      <c r="AP224" s="94" t="str">
        <f t="shared" ref="AP224:AQ224" si="268">IF($AG224, "DELETED", TRIM(CONCATENATE(F224,I224,U224)))</f>
        <v/>
      </c>
      <c r="AQ224" s="94" t="str">
        <f t="shared" si="268"/>
        <v/>
      </c>
      <c r="AR224" s="94" t="str">
        <f>IFERROR(__xludf.DUMMYFUNCTION("IF($AG224, ""DELETED"", TRIM(JOIN("" "",AP224,AQ224)))"),"")</f>
        <v/>
      </c>
      <c r="AS224" s="9"/>
      <c r="AT224" s="93" t="b">
        <f t="shared" si="12"/>
        <v>0</v>
      </c>
      <c r="AU224" s="93" t="str">
        <f t="shared" si="13"/>
        <v/>
      </c>
      <c r="AV224" s="93" t="str">
        <f t="shared" si="14"/>
        <v/>
      </c>
      <c r="AW224" s="93" t="str">
        <f t="shared" si="261"/>
        <v/>
      </c>
      <c r="AX224" s="107" t="str">
        <f t="shared" si="16"/>
        <v/>
      </c>
      <c r="AY224" s="3"/>
      <c r="AZ224" s="129"/>
      <c r="BA224" s="109" t="str">
        <f t="shared" si="17"/>
        <v/>
      </c>
      <c r="BB224" s="3"/>
      <c r="BC224" s="3"/>
      <c r="BD224" s="108"/>
      <c r="BE224" s="134"/>
      <c r="BF224" s="111" t="str">
        <f t="shared" si="18"/>
        <v/>
      </c>
      <c r="BG224" s="112" t="str">
        <f t="shared" si="19"/>
        <v>AK6656__44725_0.244351851851852___Negative_44725_0.41224537037037_</v>
      </c>
      <c r="BH224" s="113" t="str">
        <f t="shared" si="20"/>
        <v/>
      </c>
      <c r="BI224" s="202"/>
      <c r="BJ224" s="114" t="str">
        <f t="shared" si="21"/>
        <v/>
      </c>
      <c r="BK224" s="115" t="b">
        <f t="shared" si="105"/>
        <v>0</v>
      </c>
      <c r="BL224" s="114" t="str">
        <f t="shared" si="23"/>
        <v/>
      </c>
      <c r="BM224" s="108"/>
      <c r="BN224" s="7" t="b">
        <f t="shared" si="24"/>
        <v>1</v>
      </c>
      <c r="BO224" s="7" t="b">
        <f t="shared" si="25"/>
        <v>0</v>
      </c>
      <c r="BP224" s="7" t="b">
        <f t="shared" si="26"/>
        <v>1</v>
      </c>
      <c r="BQ224" s="118"/>
      <c r="BR224" s="119" t="s">
        <v>228</v>
      </c>
      <c r="BS224" s="7" t="b">
        <f t="shared" si="27"/>
        <v>1</v>
      </c>
      <c r="BT224" s="7"/>
      <c r="BU224" s="7"/>
      <c r="BV224" s="7"/>
      <c r="BW224" s="7"/>
    </row>
    <row r="225">
      <c r="A225" s="86" t="s">
        <v>461</v>
      </c>
      <c r="B225" s="87">
        <v>44725.0</v>
      </c>
      <c r="C225" s="88">
        <v>0.24435185185185185</v>
      </c>
      <c r="D225" s="89"/>
      <c r="E225" s="89"/>
      <c r="F225" s="89"/>
      <c r="G225" s="86"/>
      <c r="H225" s="90"/>
      <c r="I225" s="3"/>
      <c r="J225" s="3"/>
      <c r="K225" s="89" t="s">
        <v>228</v>
      </c>
      <c r="L225" s="36">
        <v>44725.0</v>
      </c>
      <c r="M225" s="91">
        <v>0.41224537037037035</v>
      </c>
      <c r="N225" s="3"/>
      <c r="O225" s="92"/>
      <c r="P225" s="93" t="b">
        <f>IFNA(IF(VLOOKUP($A225,'Add from APT'!$AA$2:$AC264,3,FALSE)&gt;0,TRUE,FALSE),"ER - NOT IN APT")</f>
        <v>0</v>
      </c>
      <c r="Q225" s="94" t="str">
        <f>IF(ISLOGICAL(P225),IF(P225,"ER - REPS IN APT", IFNA(VLOOKUP($A225,RAW_APT!$A$3:$M264,7,FALSE),"ER - NOT IN APT")),P225)</f>
        <v>Result</v>
      </c>
      <c r="R225" s="95" t="b">
        <f t="shared" si="102"/>
        <v>0</v>
      </c>
      <c r="S225" s="96">
        <f t="shared" si="3"/>
        <v>2</v>
      </c>
      <c r="T225" s="130"/>
      <c r="U225" s="3"/>
      <c r="V225" s="3"/>
      <c r="W225" s="3"/>
      <c r="X225" s="99" t="b">
        <f t="shared" si="259"/>
        <v>0</v>
      </c>
      <c r="Y225" s="7"/>
      <c r="Z225" s="101" t="str">
        <f t="shared" si="5"/>
        <v/>
      </c>
      <c r="AA225" s="102" t="b">
        <f t="shared" si="6"/>
        <v>0</v>
      </c>
      <c r="AB225" s="131"/>
      <c r="AC225" s="130">
        <v>53.0</v>
      </c>
      <c r="AD225" s="132"/>
      <c r="AE225" s="105">
        <f t="shared" si="7"/>
        <v>241.7666667</v>
      </c>
      <c r="AF225" s="106" t="b">
        <f t="shared" si="103"/>
        <v>0</v>
      </c>
      <c r="AG225" s="93" t="b">
        <f t="shared" si="9"/>
        <v>0</v>
      </c>
      <c r="AH225" s="130"/>
      <c r="AI225" s="13"/>
      <c r="AJ225" s="7"/>
      <c r="AK225" s="101" t="str">
        <f t="shared" si="10"/>
        <v>Negative</v>
      </c>
      <c r="AL225" s="98"/>
      <c r="AM225" s="94" t="s">
        <v>332</v>
      </c>
      <c r="AN225" s="94" t="s">
        <v>339</v>
      </c>
      <c r="AO225" s="102" t="str">
        <f>IFERROR(__xludf.DUMMYFUNCTION("IF($AG225, ""DELETED"",TRIM(JOIN("" "",D225:E225)))"),"")</f>
        <v/>
      </c>
      <c r="AP225" s="94" t="str">
        <f t="shared" ref="AP225:AQ225" si="269">IF($AG225, "DELETED", TRIM(CONCATENATE(F225,I225,U225)))</f>
        <v/>
      </c>
      <c r="AQ225" s="94" t="str">
        <f t="shared" si="269"/>
        <v/>
      </c>
      <c r="AR225" s="94" t="str">
        <f>IFERROR(__xludf.DUMMYFUNCTION("IF($AG225, ""DELETED"", TRIM(JOIN("" "",AP225,AQ225)))"),"")</f>
        <v/>
      </c>
      <c r="AS225" s="9"/>
      <c r="AT225" s="93" t="b">
        <f t="shared" si="12"/>
        <v>0</v>
      </c>
      <c r="AU225" s="93" t="str">
        <f t="shared" si="13"/>
        <v/>
      </c>
      <c r="AV225" s="93" t="str">
        <f t="shared" si="14"/>
        <v/>
      </c>
      <c r="AW225" s="93" t="str">
        <f t="shared" si="261"/>
        <v/>
      </c>
      <c r="AX225" s="107" t="str">
        <f t="shared" si="16"/>
        <v/>
      </c>
      <c r="AY225" s="3"/>
      <c r="AZ225" s="129"/>
      <c r="BA225" s="109" t="str">
        <f t="shared" si="17"/>
        <v/>
      </c>
      <c r="BB225" s="3"/>
      <c r="BC225" s="3"/>
      <c r="BD225" s="108"/>
      <c r="BE225" s="143"/>
      <c r="BF225" s="111" t="str">
        <f t="shared" si="18"/>
        <v/>
      </c>
      <c r="BG225" s="112" t="str">
        <f t="shared" si="19"/>
        <v>AK6656__44725_0.244351851851852___Negative_44725_0.41224537037037_</v>
      </c>
      <c r="BH225" s="113" t="str">
        <f t="shared" si="20"/>
        <v/>
      </c>
      <c r="BI225" s="203"/>
      <c r="BJ225" s="114" t="str">
        <f t="shared" si="21"/>
        <v/>
      </c>
      <c r="BK225" s="115" t="b">
        <f t="shared" si="105"/>
        <v>0</v>
      </c>
      <c r="BL225" s="114" t="str">
        <f t="shared" si="23"/>
        <v/>
      </c>
      <c r="BM225" s="108"/>
      <c r="BN225" s="7" t="b">
        <f t="shared" si="24"/>
        <v>1</v>
      </c>
      <c r="BO225" s="7" t="b">
        <f t="shared" si="25"/>
        <v>0</v>
      </c>
      <c r="BP225" s="7" t="b">
        <f t="shared" si="26"/>
        <v>1</v>
      </c>
      <c r="BQ225" s="118"/>
      <c r="BR225" s="119" t="s">
        <v>228</v>
      </c>
      <c r="BS225" s="7" t="b">
        <f t="shared" si="27"/>
        <v>1</v>
      </c>
      <c r="BT225" s="7"/>
      <c r="BU225" s="7"/>
      <c r="BV225" s="7"/>
      <c r="BW225" s="7"/>
    </row>
    <row r="226">
      <c r="A226" s="86" t="s">
        <v>462</v>
      </c>
      <c r="B226" s="87">
        <v>44733.0</v>
      </c>
      <c r="C226" s="88">
        <v>0.21247685185185186</v>
      </c>
      <c r="D226" s="89"/>
      <c r="E226" s="245"/>
      <c r="F226" s="89"/>
      <c r="G226" s="86"/>
      <c r="H226" s="90"/>
      <c r="I226" s="3"/>
      <c r="J226" s="3"/>
      <c r="K226" s="89" t="s">
        <v>228</v>
      </c>
      <c r="L226" s="36">
        <v>44733.0</v>
      </c>
      <c r="M226" s="91">
        <v>0.40434027777777776</v>
      </c>
      <c r="N226" s="121"/>
      <c r="O226" s="92"/>
      <c r="P226" s="93" t="b">
        <f>IFNA(IF(VLOOKUP($A226,'Add from APT'!$AA$2:$AC264,3,FALSE)&gt;0,TRUE,FALSE),"ER - NOT IN APT")</f>
        <v>0</v>
      </c>
      <c r="Q226" s="94" t="str">
        <f>IF(ISLOGICAL(P226),IF(P226,"ER - REPS IN APT", IFNA(VLOOKUP($A226,RAW_APT!$A$3:$M264,7,FALSE),"ER - NOT IN APT")),P226)</f>
        <v>Result</v>
      </c>
      <c r="R226" s="95" t="b">
        <f t="shared" si="102"/>
        <v>1</v>
      </c>
      <c r="S226" s="96">
        <f t="shared" si="3"/>
        <v>3</v>
      </c>
      <c r="T226" s="97"/>
      <c r="U226" s="3"/>
      <c r="V226" s="3"/>
      <c r="W226" s="98"/>
      <c r="X226" s="99" t="b">
        <f t="shared" si="259"/>
        <v>0</v>
      </c>
      <c r="Y226" s="100"/>
      <c r="Z226" s="101" t="str">
        <f t="shared" si="5"/>
        <v/>
      </c>
      <c r="AA226" s="102" t="b">
        <f t="shared" si="6"/>
        <v>0</v>
      </c>
      <c r="AB226" s="98"/>
      <c r="AC226" s="103">
        <v>33.0</v>
      </c>
      <c r="AD226" s="104"/>
      <c r="AE226" s="105">
        <f t="shared" si="7"/>
        <v>276.2833333</v>
      </c>
      <c r="AF226" s="106" t="b">
        <f t="shared" si="103"/>
        <v>0</v>
      </c>
      <c r="AG226" s="93" t="b">
        <f t="shared" si="9"/>
        <v>0</v>
      </c>
      <c r="AH226" s="103"/>
      <c r="AI226" s="103"/>
      <c r="AJ226" s="97"/>
      <c r="AK226" s="101" t="str">
        <f t="shared" si="10"/>
        <v>Negative</v>
      </c>
      <c r="AL226" s="98"/>
      <c r="AM226" s="94" t="s">
        <v>406</v>
      </c>
      <c r="AN226" s="94" t="s">
        <v>387</v>
      </c>
      <c r="AO226" s="102" t="str">
        <f>IFERROR(__xludf.DUMMYFUNCTION("IF($AG226, ""DELETED"",TRIM(JOIN("" "",D226:E226)))"),"")</f>
        <v/>
      </c>
      <c r="AP226" s="94" t="str">
        <f t="shared" ref="AP226:AQ226" si="270">IF($AG226, "DELETED", TRIM(CONCATENATE(F226,I226,U226)))</f>
        <v/>
      </c>
      <c r="AQ226" s="94" t="str">
        <f t="shared" si="270"/>
        <v/>
      </c>
      <c r="AR226" s="94" t="str">
        <f>IFERROR(__xludf.DUMMYFUNCTION("IF($AG226, ""DELETED"", TRIM(JOIN("" "",AP226,AQ226)))"),"")</f>
        <v/>
      </c>
      <c r="AS226" s="9"/>
      <c r="AT226" s="93" t="b">
        <f t="shared" si="12"/>
        <v>0</v>
      </c>
      <c r="AU226" s="93" t="str">
        <f t="shared" si="13"/>
        <v/>
      </c>
      <c r="AV226" s="93" t="str">
        <f t="shared" si="14"/>
        <v/>
      </c>
      <c r="AW226" s="93" t="str">
        <f t="shared" si="261"/>
        <v/>
      </c>
      <c r="AX226" s="107" t="str">
        <f t="shared" si="16"/>
        <v/>
      </c>
      <c r="AY226" s="98"/>
      <c r="AZ226" s="108"/>
      <c r="BA226" s="109" t="str">
        <f t="shared" si="17"/>
        <v/>
      </c>
      <c r="BB226" s="98"/>
      <c r="BC226" s="98"/>
      <c r="BD226" s="108"/>
      <c r="BE226" s="143"/>
      <c r="BF226" s="111" t="str">
        <f t="shared" si="18"/>
        <v/>
      </c>
      <c r="BG226" s="112" t="str">
        <f t="shared" si="19"/>
        <v>AG611__44733_0.212476851851852___Negative_44733_0.404340277777778_</v>
      </c>
      <c r="BH226" s="113" t="str">
        <f t="shared" si="20"/>
        <v/>
      </c>
      <c r="BI226" s="203"/>
      <c r="BJ226" s="114" t="str">
        <f t="shared" si="21"/>
        <v/>
      </c>
      <c r="BK226" s="115" t="b">
        <f t="shared" si="105"/>
        <v>0</v>
      </c>
      <c r="BL226" s="114" t="str">
        <f t="shared" si="23"/>
        <v/>
      </c>
      <c r="BM226" s="108"/>
      <c r="BN226" s="7" t="b">
        <f t="shared" si="24"/>
        <v>1</v>
      </c>
      <c r="BO226" s="7" t="b">
        <f t="shared" si="25"/>
        <v>0</v>
      </c>
      <c r="BP226" s="7" t="b">
        <f t="shared" si="26"/>
        <v>1</v>
      </c>
      <c r="BQ226" s="118"/>
      <c r="BR226" s="119" t="s">
        <v>228</v>
      </c>
      <c r="BS226" s="7" t="b">
        <f t="shared" si="27"/>
        <v>1</v>
      </c>
      <c r="BT226" s="7"/>
      <c r="BU226" s="7"/>
      <c r="BV226" s="7"/>
      <c r="BW226" s="7"/>
    </row>
    <row r="227">
      <c r="A227" s="86" t="s">
        <v>462</v>
      </c>
      <c r="B227" s="87">
        <v>44733.0</v>
      </c>
      <c r="C227" s="88">
        <v>0.21247685185185186</v>
      </c>
      <c r="D227" s="89"/>
      <c r="E227" s="245"/>
      <c r="F227" s="89"/>
      <c r="G227" s="86"/>
      <c r="H227" s="90"/>
      <c r="I227" s="3"/>
      <c r="J227" s="3"/>
      <c r="K227" s="89" t="s">
        <v>228</v>
      </c>
      <c r="L227" s="36">
        <v>44733.0</v>
      </c>
      <c r="M227" s="91">
        <v>0.40434027777777776</v>
      </c>
      <c r="N227" s="121"/>
      <c r="O227" s="92"/>
      <c r="P227" s="93" t="b">
        <f>IFNA(IF(VLOOKUP($A227,'Add from APT'!$AA$2:$AC264,3,FALSE)&gt;0,TRUE,FALSE),"ER - NOT IN APT")</f>
        <v>0</v>
      </c>
      <c r="Q227" s="94" t="str">
        <f>IF(ISLOGICAL(P227),IF(P227,"ER - REPS IN APT", IFNA(VLOOKUP($A227,RAW_APT!$A$3:$M264,7,FALSE),"ER - NOT IN APT")),P227)</f>
        <v>Result</v>
      </c>
      <c r="R227" s="95" t="b">
        <f t="shared" si="102"/>
        <v>0</v>
      </c>
      <c r="S227" s="96">
        <f t="shared" si="3"/>
        <v>3</v>
      </c>
      <c r="T227" s="97"/>
      <c r="U227" s="3"/>
      <c r="V227" s="3"/>
      <c r="W227" s="98"/>
      <c r="X227" s="99" t="b">
        <f t="shared" si="259"/>
        <v>0</v>
      </c>
      <c r="Y227" s="100"/>
      <c r="Z227" s="101" t="str">
        <f t="shared" si="5"/>
        <v/>
      </c>
      <c r="AA227" s="102" t="b">
        <f t="shared" si="6"/>
        <v>0</v>
      </c>
      <c r="AB227" s="98"/>
      <c r="AC227" s="103">
        <v>34.0</v>
      </c>
      <c r="AD227" s="104"/>
      <c r="AE227" s="105">
        <f t="shared" si="7"/>
        <v>276.2833333</v>
      </c>
      <c r="AF227" s="106" t="b">
        <f t="shared" si="103"/>
        <v>0</v>
      </c>
      <c r="AG227" s="93" t="b">
        <f t="shared" si="9"/>
        <v>0</v>
      </c>
      <c r="AH227" s="103"/>
      <c r="AI227" s="103"/>
      <c r="AJ227" s="97"/>
      <c r="AK227" s="101" t="str">
        <f t="shared" si="10"/>
        <v>Negative</v>
      </c>
      <c r="AL227" s="98"/>
      <c r="AM227" s="94" t="s">
        <v>406</v>
      </c>
      <c r="AN227" s="94" t="s">
        <v>407</v>
      </c>
      <c r="AO227" s="102" t="str">
        <f>IFERROR(__xludf.DUMMYFUNCTION("IF($AG227, ""DELETED"",TRIM(JOIN("" "",D227:E227)))"),"")</f>
        <v/>
      </c>
      <c r="AP227" s="94" t="str">
        <f t="shared" ref="AP227:AQ227" si="271">IF($AG227, "DELETED", TRIM(CONCATENATE(F227,I227,U227)))</f>
        <v/>
      </c>
      <c r="AQ227" s="94" t="str">
        <f t="shared" si="271"/>
        <v/>
      </c>
      <c r="AR227" s="94" t="str">
        <f>IFERROR(__xludf.DUMMYFUNCTION("IF($AG227, ""DELETED"", TRIM(JOIN("" "",AP227,AQ227)))"),"")</f>
        <v/>
      </c>
      <c r="AS227" s="9"/>
      <c r="AT227" s="93" t="b">
        <f t="shared" si="12"/>
        <v>0</v>
      </c>
      <c r="AU227" s="93" t="str">
        <f t="shared" si="13"/>
        <v/>
      </c>
      <c r="AV227" s="93" t="str">
        <f t="shared" si="14"/>
        <v/>
      </c>
      <c r="AW227" s="93" t="str">
        <f t="shared" si="261"/>
        <v/>
      </c>
      <c r="AX227" s="107" t="str">
        <f t="shared" si="16"/>
        <v/>
      </c>
      <c r="AY227" s="98"/>
      <c r="AZ227" s="108"/>
      <c r="BA227" s="109" t="str">
        <f t="shared" si="17"/>
        <v/>
      </c>
      <c r="BB227" s="98"/>
      <c r="BC227" s="98"/>
      <c r="BD227" s="108"/>
      <c r="BE227" s="143"/>
      <c r="BF227" s="111" t="str">
        <f t="shared" si="18"/>
        <v/>
      </c>
      <c r="BG227" s="112" t="str">
        <f t="shared" si="19"/>
        <v>AG611__44733_0.212476851851852___Negative_44733_0.404340277777778_</v>
      </c>
      <c r="BH227" s="113" t="str">
        <f t="shared" si="20"/>
        <v/>
      </c>
      <c r="BI227" s="203"/>
      <c r="BJ227" s="114" t="str">
        <f t="shared" si="21"/>
        <v/>
      </c>
      <c r="BK227" s="115" t="b">
        <f t="shared" si="105"/>
        <v>0</v>
      </c>
      <c r="BL227" s="114" t="str">
        <f t="shared" si="23"/>
        <v/>
      </c>
      <c r="BM227" s="108"/>
      <c r="BN227" s="7" t="b">
        <f t="shared" si="24"/>
        <v>1</v>
      </c>
      <c r="BO227" s="7" t="b">
        <f t="shared" si="25"/>
        <v>0</v>
      </c>
      <c r="BP227" s="7" t="b">
        <f t="shared" si="26"/>
        <v>1</v>
      </c>
      <c r="BQ227" s="118"/>
      <c r="BR227" s="119" t="s">
        <v>228</v>
      </c>
      <c r="BS227" s="7" t="b">
        <f t="shared" si="27"/>
        <v>1</v>
      </c>
      <c r="BT227" s="7"/>
      <c r="BU227" s="7"/>
      <c r="BV227" s="7"/>
      <c r="BW227" s="7"/>
    </row>
    <row r="228">
      <c r="A228" s="86" t="s">
        <v>462</v>
      </c>
      <c r="B228" s="87">
        <v>44733.0</v>
      </c>
      <c r="C228" s="88">
        <v>0.21247685185185186</v>
      </c>
      <c r="D228" s="89"/>
      <c r="E228" s="245"/>
      <c r="F228" s="3"/>
      <c r="G228" s="120"/>
      <c r="H228" s="121"/>
      <c r="I228" s="89"/>
      <c r="J228" s="89"/>
      <c r="K228" s="89" t="s">
        <v>228</v>
      </c>
      <c r="L228" s="36">
        <v>44733.0</v>
      </c>
      <c r="M228" s="91">
        <v>0.40434027777777776</v>
      </c>
      <c r="N228" s="121"/>
      <c r="O228" s="92"/>
      <c r="P228" s="93" t="b">
        <f>IFNA(IF(VLOOKUP($A228,'Add from APT'!$AA$2:$AC264,3,FALSE)&gt;0,TRUE,FALSE),"ER - NOT IN APT")</f>
        <v>0</v>
      </c>
      <c r="Q228" s="94" t="str">
        <f>IF(ISLOGICAL(P228),IF(P228,"ER - REPS IN APT", IFNA(VLOOKUP($A228,RAW_APT!$A$3:$M264,7,FALSE),"ER - NOT IN APT")),P228)</f>
        <v>Result</v>
      </c>
      <c r="R228" s="95" t="b">
        <f t="shared" si="102"/>
        <v>0</v>
      </c>
      <c r="S228" s="96">
        <f t="shared" si="3"/>
        <v>3</v>
      </c>
      <c r="T228" s="97"/>
      <c r="U228" s="3"/>
      <c r="V228" s="3"/>
      <c r="W228" s="98"/>
      <c r="X228" s="99" t="b">
        <f t="shared" si="259"/>
        <v>0</v>
      </c>
      <c r="Y228" s="100"/>
      <c r="Z228" s="101" t="str">
        <f t="shared" si="5"/>
        <v/>
      </c>
      <c r="AA228" s="102" t="b">
        <f t="shared" si="6"/>
        <v>0</v>
      </c>
      <c r="AB228" s="98"/>
      <c r="AC228" s="103">
        <v>32.0</v>
      </c>
      <c r="AD228" s="104"/>
      <c r="AE228" s="105">
        <f t="shared" si="7"/>
        <v>276.2833333</v>
      </c>
      <c r="AF228" s="106" t="b">
        <f t="shared" si="103"/>
        <v>0</v>
      </c>
      <c r="AG228" s="93" t="b">
        <f t="shared" si="9"/>
        <v>0</v>
      </c>
      <c r="AH228" s="103"/>
      <c r="AI228" s="103"/>
      <c r="AJ228" s="97"/>
      <c r="AK228" s="101" t="str">
        <f t="shared" si="10"/>
        <v>Negative</v>
      </c>
      <c r="AL228" s="98"/>
      <c r="AM228" s="94" t="s">
        <v>406</v>
      </c>
      <c r="AN228" s="94" t="s">
        <v>386</v>
      </c>
      <c r="AO228" s="102" t="str">
        <f>IFERROR(__xludf.DUMMYFUNCTION("IF($AG228, ""DELETED"",TRIM(JOIN("" "",D228:E228)))"),"")</f>
        <v/>
      </c>
      <c r="AP228" s="94" t="str">
        <f t="shared" ref="AP228:AQ228" si="272">IF($AG228, "DELETED", TRIM(CONCATENATE(F228,I228,U228)))</f>
        <v/>
      </c>
      <c r="AQ228" s="94" t="str">
        <f t="shared" si="272"/>
        <v/>
      </c>
      <c r="AR228" s="94" t="str">
        <f>IFERROR(__xludf.DUMMYFUNCTION("IF($AG228, ""DELETED"", TRIM(JOIN("" "",AP228,AQ228)))"),"")</f>
        <v/>
      </c>
      <c r="AS228" s="9"/>
      <c r="AT228" s="93" t="b">
        <f t="shared" si="12"/>
        <v>0</v>
      </c>
      <c r="AU228" s="93" t="str">
        <f t="shared" si="13"/>
        <v/>
      </c>
      <c r="AV228" s="93" t="str">
        <f t="shared" si="14"/>
        <v/>
      </c>
      <c r="AW228" s="93" t="str">
        <f t="shared" si="261"/>
        <v/>
      </c>
      <c r="AX228" s="107" t="str">
        <f t="shared" si="16"/>
        <v/>
      </c>
      <c r="AY228" s="98"/>
      <c r="AZ228" s="108"/>
      <c r="BA228" s="109" t="str">
        <f t="shared" si="17"/>
        <v/>
      </c>
      <c r="BB228" s="98"/>
      <c r="BC228" s="98"/>
      <c r="BD228" s="108"/>
      <c r="BE228" s="134"/>
      <c r="BF228" s="111" t="str">
        <f t="shared" si="18"/>
        <v/>
      </c>
      <c r="BG228" s="112" t="str">
        <f t="shared" si="19"/>
        <v>AG611__44733_0.212476851851852___Negative_44733_0.404340277777778_</v>
      </c>
      <c r="BH228" s="113" t="str">
        <f t="shared" si="20"/>
        <v/>
      </c>
      <c r="BI228" s="202"/>
      <c r="BJ228" s="114" t="str">
        <f t="shared" si="21"/>
        <v/>
      </c>
      <c r="BK228" s="115" t="b">
        <f t="shared" si="105"/>
        <v>0</v>
      </c>
      <c r="BL228" s="114" t="str">
        <f t="shared" si="23"/>
        <v/>
      </c>
      <c r="BM228" s="108"/>
      <c r="BN228" s="7" t="b">
        <f t="shared" si="24"/>
        <v>1</v>
      </c>
      <c r="BO228" s="7" t="b">
        <f t="shared" si="25"/>
        <v>0</v>
      </c>
      <c r="BP228" s="7" t="b">
        <f t="shared" si="26"/>
        <v>1</v>
      </c>
      <c r="BQ228" s="118"/>
      <c r="BR228" s="119" t="s">
        <v>228</v>
      </c>
      <c r="BS228" s="7" t="b">
        <f t="shared" si="27"/>
        <v>1</v>
      </c>
      <c r="BT228" s="7"/>
      <c r="BU228" s="7"/>
      <c r="BV228" s="7"/>
      <c r="BW228" s="7"/>
    </row>
    <row r="229">
      <c r="A229" s="86" t="s">
        <v>463</v>
      </c>
      <c r="B229" s="87">
        <v>44733.0</v>
      </c>
      <c r="C229" s="88">
        <v>0.3403935185185185</v>
      </c>
      <c r="D229" s="89"/>
      <c r="E229" s="245"/>
      <c r="F229" s="13"/>
      <c r="G229" s="13"/>
      <c r="H229" s="89"/>
      <c r="I229" s="3"/>
      <c r="J229" s="3"/>
      <c r="K229" s="89" t="s">
        <v>228</v>
      </c>
      <c r="L229" s="36">
        <v>44733.0</v>
      </c>
      <c r="M229" s="91">
        <v>0.40434027777777776</v>
      </c>
      <c r="N229" s="3"/>
      <c r="O229" s="142"/>
      <c r="P229" s="93" t="b">
        <f>IFNA(IF(VLOOKUP($A229,'Add from APT'!$AA$2:$AC264,3,FALSE)&gt;0,TRUE,FALSE),"ER - NOT IN APT")</f>
        <v>0</v>
      </c>
      <c r="Q229" s="94" t="str">
        <f>IF(ISLOGICAL(P229),IF(P229,"ER - REPS IN APT", IFNA(VLOOKUP($A229,RAW_APT!$A$3:$M264,7,FALSE),"ER - NOT IN APT")),P229)</f>
        <v>Result</v>
      </c>
      <c r="R229" s="95" t="b">
        <f t="shared" si="102"/>
        <v>1</v>
      </c>
      <c r="S229" s="96">
        <f t="shared" si="3"/>
        <v>1</v>
      </c>
      <c r="T229" s="103">
        <v>0.0</v>
      </c>
      <c r="U229" s="9"/>
      <c r="V229" s="119"/>
      <c r="W229" s="98"/>
      <c r="X229" s="99" t="b">
        <f t="shared" si="259"/>
        <v>0</v>
      </c>
      <c r="Y229" s="100"/>
      <c r="Z229" s="101" t="str">
        <f t="shared" si="5"/>
        <v/>
      </c>
      <c r="AA229" s="102" t="b">
        <f t="shared" si="6"/>
        <v>0</v>
      </c>
      <c r="AB229" s="98"/>
      <c r="AC229" s="103">
        <v>35.0</v>
      </c>
      <c r="AD229" s="104"/>
      <c r="AE229" s="105">
        <f t="shared" si="7"/>
        <v>92.08333333</v>
      </c>
      <c r="AF229" s="106" t="b">
        <f t="shared" si="103"/>
        <v>0</v>
      </c>
      <c r="AG229" s="93" t="b">
        <f t="shared" si="9"/>
        <v>0</v>
      </c>
      <c r="AH229" s="103"/>
      <c r="AI229" s="103"/>
      <c r="AJ229" s="97"/>
      <c r="AK229" s="101" t="str">
        <f t="shared" si="10"/>
        <v>Negative</v>
      </c>
      <c r="AL229" s="98"/>
      <c r="AM229" s="94" t="s">
        <v>365</v>
      </c>
      <c r="AN229" s="94" t="s">
        <v>464</v>
      </c>
      <c r="AO229" s="102" t="str">
        <f>IFERROR(__xludf.DUMMYFUNCTION("IF($AG229, ""DELETED"",TRIM(JOIN("" "",D229:E229)))"),"")</f>
        <v/>
      </c>
      <c r="AP229" s="94" t="str">
        <f t="shared" ref="AP229:AQ229" si="273">IF($AG229, "DELETED", TRIM(CONCATENATE(F229,I229,U229)))</f>
        <v/>
      </c>
      <c r="AQ229" s="94" t="str">
        <f t="shared" si="273"/>
        <v/>
      </c>
      <c r="AR229" s="94" t="str">
        <f>IFERROR(__xludf.DUMMYFUNCTION("IF($AG229, ""DELETED"", TRIM(JOIN("" "",AP229,AQ229)))"),"")</f>
        <v/>
      </c>
      <c r="AS229" s="9"/>
      <c r="AT229" s="93" t="b">
        <f t="shared" si="12"/>
        <v>0</v>
      </c>
      <c r="AU229" s="93" t="str">
        <f t="shared" si="13"/>
        <v/>
      </c>
      <c r="AV229" s="93" t="str">
        <f t="shared" si="14"/>
        <v/>
      </c>
      <c r="AW229" s="93" t="str">
        <f t="shared" si="261"/>
        <v/>
      </c>
      <c r="AX229" s="107" t="str">
        <f t="shared" si="16"/>
        <v/>
      </c>
      <c r="AY229" s="98"/>
      <c r="AZ229" s="108"/>
      <c r="BA229" s="109" t="str">
        <f t="shared" si="17"/>
        <v/>
      </c>
      <c r="BB229" s="98"/>
      <c r="BC229" s="98"/>
      <c r="BD229" s="108"/>
      <c r="BE229" s="134"/>
      <c r="BF229" s="111" t="str">
        <f t="shared" si="18"/>
        <v/>
      </c>
      <c r="BG229" s="112" t="str">
        <f t="shared" si="19"/>
        <v>AG4603__44733_0.340393518518519___Negative_44733_0.404340277777778_</v>
      </c>
      <c r="BH229" s="113" t="str">
        <f t="shared" si="20"/>
        <v/>
      </c>
      <c r="BI229" s="202"/>
      <c r="BJ229" s="114" t="str">
        <f t="shared" si="21"/>
        <v/>
      </c>
      <c r="BK229" s="115" t="b">
        <f t="shared" si="105"/>
        <v>0</v>
      </c>
      <c r="BL229" s="114" t="str">
        <f t="shared" si="23"/>
        <v/>
      </c>
      <c r="BM229" s="108"/>
      <c r="BN229" s="7" t="b">
        <f t="shared" si="24"/>
        <v>1</v>
      </c>
      <c r="BO229" s="7" t="b">
        <f t="shared" si="25"/>
        <v>0</v>
      </c>
      <c r="BP229" s="7" t="b">
        <f t="shared" si="26"/>
        <v>1</v>
      </c>
      <c r="BQ229" s="118"/>
      <c r="BR229" s="119" t="s">
        <v>228</v>
      </c>
      <c r="BS229" s="7" t="b">
        <f t="shared" si="27"/>
        <v>1</v>
      </c>
      <c r="BT229" s="7"/>
      <c r="BU229" s="7"/>
      <c r="BV229" s="7"/>
      <c r="BW229" s="7"/>
    </row>
    <row r="230">
      <c r="A230" s="167" t="s">
        <v>465</v>
      </c>
      <c r="B230" s="168">
        <v>44738.0</v>
      </c>
      <c r="C230" s="169">
        <v>0.767800925925926</v>
      </c>
      <c r="D230" s="170"/>
      <c r="E230" s="240"/>
      <c r="F230" s="170"/>
      <c r="G230" s="167"/>
      <c r="H230" s="171"/>
      <c r="I230" s="172"/>
      <c r="J230" s="172"/>
      <c r="K230" s="170" t="s">
        <v>205</v>
      </c>
      <c r="L230" s="173"/>
      <c r="M230" s="174"/>
      <c r="N230" s="243"/>
      <c r="O230" s="193"/>
      <c r="P230" s="176" t="b">
        <f>IFNA(IF(VLOOKUP($A230,'Add from APT'!$AA$2:$AC264,3,FALSE)&gt;0,TRUE,FALSE),"ER - NOT IN APT")</f>
        <v>0</v>
      </c>
      <c r="Q230" s="172" t="str">
        <f>IF(ISLOGICAL(P230),IF(P230,"ER - REPS IN APT", IFNA(VLOOKUP($A230,RAW_APT!$A$3:$M264,7,FALSE),"ER - NOT IN APT")),P230)</f>
        <v>Collected</v>
      </c>
      <c r="R230" s="177" t="b">
        <f t="shared" si="102"/>
        <v>1</v>
      </c>
      <c r="S230" s="177">
        <f t="shared" si="3"/>
        <v>1</v>
      </c>
      <c r="T230" s="183"/>
      <c r="U230" s="172"/>
      <c r="V230" s="172"/>
      <c r="W230" s="178"/>
      <c r="X230" s="179" t="b">
        <f t="shared" si="259"/>
        <v>0</v>
      </c>
      <c r="Y230" s="180"/>
      <c r="Z230" s="181" t="str">
        <f t="shared" si="5"/>
        <v/>
      </c>
      <c r="AA230" s="178" t="b">
        <f t="shared" si="6"/>
        <v>0</v>
      </c>
      <c r="AB230" s="178"/>
      <c r="AC230" s="177">
        <v>31.0</v>
      </c>
      <c r="AD230" s="181"/>
      <c r="AE230" s="182" t="str">
        <f t="shared" si="7"/>
        <v/>
      </c>
      <c r="AF230" s="176" t="b">
        <f t="shared" si="103"/>
        <v>0</v>
      </c>
      <c r="AG230" s="176" t="b">
        <f t="shared" si="9"/>
        <v>1</v>
      </c>
      <c r="AH230" s="177">
        <v>9.1</v>
      </c>
      <c r="AI230" s="177"/>
      <c r="AJ230" s="183"/>
      <c r="AK230" s="181" t="str">
        <f t="shared" si="10"/>
        <v>DELETED</v>
      </c>
      <c r="AL230" s="178"/>
      <c r="AM230" s="94" t="s">
        <v>206</v>
      </c>
      <c r="AN230" s="94" t="s">
        <v>206</v>
      </c>
      <c r="AO230" s="178" t="str">
        <f>IFERROR(__xludf.DUMMYFUNCTION("IF($AG230, ""DELETED"",TRIM(JOIN("" "",D230:E230)))"),"DELETED")</f>
        <v>DELETED</v>
      </c>
      <c r="AP230" s="172" t="str">
        <f t="shared" ref="AP230:AQ230" si="274">IF($AG230, "DELETED", TRIM(CONCATENATE(F230,I230,U230)))</f>
        <v>DELETED</v>
      </c>
      <c r="AQ230" s="172" t="str">
        <f t="shared" si="274"/>
        <v>DELETED</v>
      </c>
      <c r="AR230" s="172" t="str">
        <f>IFERROR(__xludf.DUMMYFUNCTION("IF($AG230, ""DELETED"", TRIM(JOIN("" "",AP230,AQ230)))"),"DELETED")</f>
        <v>DELETED</v>
      </c>
      <c r="AS230" s="184"/>
      <c r="AT230" s="176" t="b">
        <f t="shared" si="12"/>
        <v>1</v>
      </c>
      <c r="AU230" s="176" t="str">
        <f t="shared" si="13"/>
        <v/>
      </c>
      <c r="AV230" s="176" t="str">
        <f t="shared" si="14"/>
        <v/>
      </c>
      <c r="AW230" s="176" t="str">
        <f t="shared" si="261"/>
        <v/>
      </c>
      <c r="AX230" s="185" t="str">
        <f t="shared" si="16"/>
        <v/>
      </c>
      <c r="AY230" s="178"/>
      <c r="AZ230" s="108"/>
      <c r="BA230" s="181" t="str">
        <f t="shared" si="17"/>
        <v/>
      </c>
      <c r="BB230" s="178"/>
      <c r="BC230" s="178"/>
      <c r="BD230" s="178"/>
      <c r="BE230" s="186"/>
      <c r="BF230" s="187" t="str">
        <f t="shared" si="18"/>
        <v/>
      </c>
      <c r="BG230" s="188" t="str">
        <f t="shared" si="19"/>
        <v/>
      </c>
      <c r="BH230" s="189" t="str">
        <f t="shared" si="20"/>
        <v/>
      </c>
      <c r="BI230" s="241"/>
      <c r="BJ230" s="190" t="str">
        <f t="shared" si="21"/>
        <v/>
      </c>
      <c r="BK230" s="191" t="b">
        <f t="shared" si="105"/>
        <v>0</v>
      </c>
      <c r="BL230" s="190" t="str">
        <f t="shared" si="23"/>
        <v/>
      </c>
      <c r="BM230" s="178"/>
      <c r="BN230" s="176" t="b">
        <f t="shared" si="24"/>
        <v>0</v>
      </c>
      <c r="BO230" s="176" t="b">
        <f t="shared" si="25"/>
        <v>0</v>
      </c>
      <c r="BP230" s="176" t="b">
        <f t="shared" si="26"/>
        <v>0</v>
      </c>
      <c r="BQ230" s="118"/>
      <c r="BR230" s="192" t="s">
        <v>206</v>
      </c>
      <c r="BS230" s="7" t="b">
        <f t="shared" si="27"/>
        <v>1</v>
      </c>
      <c r="BT230" s="176"/>
      <c r="BU230" s="176"/>
      <c r="BV230" s="176"/>
      <c r="BW230" s="176"/>
    </row>
    <row r="231">
      <c r="A231" s="167" t="s">
        <v>466</v>
      </c>
      <c r="B231" s="168">
        <v>44739.0</v>
      </c>
      <c r="C231" s="169">
        <v>0.18888888888888888</v>
      </c>
      <c r="D231" s="170"/>
      <c r="E231" s="170"/>
      <c r="F231" s="170"/>
      <c r="G231" s="167"/>
      <c r="H231" s="171"/>
      <c r="I231" s="172"/>
      <c r="J231" s="172"/>
      <c r="K231" s="170" t="s">
        <v>205</v>
      </c>
      <c r="L231" s="173"/>
      <c r="M231" s="174"/>
      <c r="N231" s="172"/>
      <c r="O231" s="193"/>
      <c r="P231" s="176" t="b">
        <f>IFNA(IF(VLOOKUP($A231,'Add from APT'!$AA$2:$AC264,3,FALSE)&gt;0,TRUE,FALSE),"ER - NOT IN APT")</f>
        <v>0</v>
      </c>
      <c r="Q231" s="172" t="str">
        <f>IF(ISLOGICAL(P231),IF(P231,"ER - REPS IN APT", IFNA(VLOOKUP($A231,RAW_APT!$A$3:$M264,7,FALSE),"ER - NOT IN APT")),P231)</f>
        <v>Collected</v>
      </c>
      <c r="R231" s="177" t="b">
        <f t="shared" si="102"/>
        <v>1</v>
      </c>
      <c r="S231" s="177">
        <f t="shared" si="3"/>
        <v>2</v>
      </c>
      <c r="T231" s="183"/>
      <c r="U231" s="172"/>
      <c r="V231" s="172"/>
      <c r="W231" s="178"/>
      <c r="X231" s="179" t="b">
        <f t="shared" si="259"/>
        <v>0</v>
      </c>
      <c r="Y231" s="180"/>
      <c r="Z231" s="181" t="str">
        <f t="shared" si="5"/>
        <v/>
      </c>
      <c r="AA231" s="178" t="b">
        <f t="shared" si="6"/>
        <v>0</v>
      </c>
      <c r="AB231" s="178"/>
      <c r="AC231" s="177">
        <v>27.0</v>
      </c>
      <c r="AD231" s="181"/>
      <c r="AE231" s="182" t="str">
        <f t="shared" si="7"/>
        <v/>
      </c>
      <c r="AF231" s="176" t="b">
        <f t="shared" si="103"/>
        <v>0</v>
      </c>
      <c r="AG231" s="176" t="b">
        <f t="shared" si="9"/>
        <v>1</v>
      </c>
      <c r="AH231" s="177">
        <v>9.1</v>
      </c>
      <c r="AI231" s="177"/>
      <c r="AJ231" s="183"/>
      <c r="AK231" s="181" t="str">
        <f t="shared" si="10"/>
        <v>DELETED</v>
      </c>
      <c r="AL231" s="178"/>
      <c r="AM231" s="94" t="s">
        <v>206</v>
      </c>
      <c r="AN231" s="94" t="s">
        <v>206</v>
      </c>
      <c r="AO231" s="178" t="str">
        <f>IFERROR(__xludf.DUMMYFUNCTION("IF($AG231, ""DELETED"",TRIM(JOIN("" "",D231:E231)))"),"DELETED")</f>
        <v>DELETED</v>
      </c>
      <c r="AP231" s="172" t="str">
        <f t="shared" ref="AP231:AQ231" si="275">IF($AG231, "DELETED", TRIM(CONCATENATE(F231,I231,U231)))</f>
        <v>DELETED</v>
      </c>
      <c r="AQ231" s="172" t="str">
        <f t="shared" si="275"/>
        <v>DELETED</v>
      </c>
      <c r="AR231" s="172" t="str">
        <f>IFERROR(__xludf.DUMMYFUNCTION("IF($AG231, ""DELETED"", TRIM(JOIN("" "",AP231,AQ231)))"),"DELETED")</f>
        <v>DELETED</v>
      </c>
      <c r="AS231" s="184"/>
      <c r="AT231" s="176" t="b">
        <f t="shared" si="12"/>
        <v>1</v>
      </c>
      <c r="AU231" s="176" t="str">
        <f t="shared" si="13"/>
        <v/>
      </c>
      <c r="AV231" s="176" t="str">
        <f t="shared" si="14"/>
        <v/>
      </c>
      <c r="AW231" s="176" t="str">
        <f t="shared" si="261"/>
        <v/>
      </c>
      <c r="AX231" s="185" t="str">
        <f t="shared" si="16"/>
        <v/>
      </c>
      <c r="AY231" s="178"/>
      <c r="AZ231" s="108"/>
      <c r="BA231" s="181" t="str">
        <f t="shared" si="17"/>
        <v/>
      </c>
      <c r="BB231" s="178"/>
      <c r="BC231" s="178"/>
      <c r="BD231" s="178"/>
      <c r="BE231" s="186"/>
      <c r="BF231" s="187" t="str">
        <f t="shared" si="18"/>
        <v/>
      </c>
      <c r="BG231" s="188" t="str">
        <f t="shared" si="19"/>
        <v/>
      </c>
      <c r="BH231" s="189" t="str">
        <f t="shared" si="20"/>
        <v/>
      </c>
      <c r="BI231" s="241"/>
      <c r="BJ231" s="190" t="str">
        <f t="shared" si="21"/>
        <v/>
      </c>
      <c r="BK231" s="191" t="b">
        <f t="shared" si="105"/>
        <v>0</v>
      </c>
      <c r="BL231" s="190" t="str">
        <f t="shared" si="23"/>
        <v/>
      </c>
      <c r="BM231" s="178"/>
      <c r="BN231" s="176" t="b">
        <f t="shared" si="24"/>
        <v>0</v>
      </c>
      <c r="BO231" s="176" t="b">
        <f t="shared" si="25"/>
        <v>0</v>
      </c>
      <c r="BP231" s="176" t="b">
        <f t="shared" si="26"/>
        <v>0</v>
      </c>
      <c r="BQ231" s="118"/>
      <c r="BR231" s="192" t="s">
        <v>206</v>
      </c>
      <c r="BS231" s="7" t="b">
        <f t="shared" si="27"/>
        <v>1</v>
      </c>
      <c r="BT231" s="176"/>
      <c r="BU231" s="176"/>
      <c r="BV231" s="176"/>
      <c r="BW231" s="176"/>
    </row>
    <row r="232">
      <c r="A232" s="167" t="s">
        <v>466</v>
      </c>
      <c r="B232" s="168">
        <v>44739.0</v>
      </c>
      <c r="C232" s="169">
        <v>0.18888888888888888</v>
      </c>
      <c r="D232" s="170"/>
      <c r="E232" s="170"/>
      <c r="F232" s="172"/>
      <c r="G232" s="242"/>
      <c r="H232" s="172"/>
      <c r="I232" s="170"/>
      <c r="J232" s="170"/>
      <c r="K232" s="170" t="s">
        <v>205</v>
      </c>
      <c r="L232" s="173"/>
      <c r="M232" s="174"/>
      <c r="N232" s="172"/>
      <c r="O232" s="193"/>
      <c r="P232" s="176" t="b">
        <f>IFNA(IF(VLOOKUP($A232,'Add from APT'!$AA$2:$AC264,3,FALSE)&gt;0,TRUE,FALSE),"ER - NOT IN APT")</f>
        <v>0</v>
      </c>
      <c r="Q232" s="172" t="str">
        <f>IF(ISLOGICAL(P232),IF(P232,"ER - REPS IN APT", IFNA(VLOOKUP($A232,RAW_APT!$A$3:$M264,7,FALSE),"ER - NOT IN APT")),P232)</f>
        <v>Collected</v>
      </c>
      <c r="R232" s="177" t="b">
        <f t="shared" si="102"/>
        <v>0</v>
      </c>
      <c r="S232" s="177">
        <f t="shared" si="3"/>
        <v>2</v>
      </c>
      <c r="T232" s="183"/>
      <c r="U232" s="172"/>
      <c r="V232" s="172"/>
      <c r="W232" s="178"/>
      <c r="X232" s="179" t="b">
        <f t="shared" si="259"/>
        <v>0</v>
      </c>
      <c r="Y232" s="180"/>
      <c r="Z232" s="181" t="str">
        <f t="shared" si="5"/>
        <v/>
      </c>
      <c r="AA232" s="178" t="b">
        <f t="shared" si="6"/>
        <v>0</v>
      </c>
      <c r="AB232" s="178"/>
      <c r="AC232" s="177">
        <v>26.0</v>
      </c>
      <c r="AD232" s="181"/>
      <c r="AE232" s="182" t="str">
        <f t="shared" si="7"/>
        <v/>
      </c>
      <c r="AF232" s="176" t="b">
        <f t="shared" si="103"/>
        <v>0</v>
      </c>
      <c r="AG232" s="176" t="b">
        <f t="shared" si="9"/>
        <v>1</v>
      </c>
      <c r="AH232" s="177">
        <v>9.1</v>
      </c>
      <c r="AI232" s="177"/>
      <c r="AJ232" s="183"/>
      <c r="AK232" s="181" t="str">
        <f t="shared" si="10"/>
        <v>DELETED</v>
      </c>
      <c r="AL232" s="178"/>
      <c r="AM232" s="94" t="s">
        <v>206</v>
      </c>
      <c r="AN232" s="94" t="s">
        <v>206</v>
      </c>
      <c r="AO232" s="178" t="str">
        <f>IFERROR(__xludf.DUMMYFUNCTION("IF($AG232, ""DELETED"",TRIM(JOIN("" "",D232:E232)))"),"DELETED")</f>
        <v>DELETED</v>
      </c>
      <c r="AP232" s="172" t="str">
        <f t="shared" ref="AP232:AQ232" si="276">IF($AG232, "DELETED", TRIM(CONCATENATE(F232,I232,U232)))</f>
        <v>DELETED</v>
      </c>
      <c r="AQ232" s="172" t="str">
        <f t="shared" si="276"/>
        <v>DELETED</v>
      </c>
      <c r="AR232" s="172" t="str">
        <f>IFERROR(__xludf.DUMMYFUNCTION("IF($AG232, ""DELETED"", TRIM(JOIN("" "",AP232,AQ232)))"),"DELETED")</f>
        <v>DELETED</v>
      </c>
      <c r="AS232" s="184"/>
      <c r="AT232" s="176" t="b">
        <f t="shared" si="12"/>
        <v>1</v>
      </c>
      <c r="AU232" s="176" t="str">
        <f t="shared" si="13"/>
        <v/>
      </c>
      <c r="AV232" s="176" t="str">
        <f t="shared" si="14"/>
        <v/>
      </c>
      <c r="AW232" s="176" t="str">
        <f t="shared" si="261"/>
        <v/>
      </c>
      <c r="AX232" s="185" t="str">
        <f t="shared" si="16"/>
        <v/>
      </c>
      <c r="AY232" s="178"/>
      <c r="AZ232" s="108"/>
      <c r="BA232" s="181" t="str">
        <f t="shared" si="17"/>
        <v/>
      </c>
      <c r="BB232" s="178"/>
      <c r="BC232" s="178"/>
      <c r="BD232" s="178"/>
      <c r="BE232" s="186"/>
      <c r="BF232" s="187" t="str">
        <f t="shared" si="18"/>
        <v/>
      </c>
      <c r="BG232" s="188" t="str">
        <f t="shared" si="19"/>
        <v/>
      </c>
      <c r="BH232" s="189" t="str">
        <f t="shared" si="20"/>
        <v/>
      </c>
      <c r="BI232" s="241"/>
      <c r="BJ232" s="190" t="str">
        <f t="shared" si="21"/>
        <v/>
      </c>
      <c r="BK232" s="191" t="b">
        <f t="shared" si="105"/>
        <v>0</v>
      </c>
      <c r="BL232" s="190" t="str">
        <f t="shared" si="23"/>
        <v/>
      </c>
      <c r="BM232" s="178"/>
      <c r="BN232" s="176" t="b">
        <f t="shared" si="24"/>
        <v>0</v>
      </c>
      <c r="BO232" s="176" t="b">
        <f t="shared" si="25"/>
        <v>0</v>
      </c>
      <c r="BP232" s="176" t="b">
        <f t="shared" si="26"/>
        <v>0</v>
      </c>
      <c r="BQ232" s="118"/>
      <c r="BR232" s="192" t="s">
        <v>206</v>
      </c>
      <c r="BS232" s="7" t="b">
        <f t="shared" si="27"/>
        <v>1</v>
      </c>
      <c r="BT232" s="176"/>
      <c r="BU232" s="176"/>
      <c r="BV232" s="176"/>
      <c r="BW232" s="176"/>
    </row>
    <row r="233">
      <c r="A233" s="86" t="s">
        <v>467</v>
      </c>
      <c r="B233" s="87">
        <v>44739.0</v>
      </c>
      <c r="C233" s="88">
        <v>0.22328703703703703</v>
      </c>
      <c r="D233" s="89"/>
      <c r="E233" s="89"/>
      <c r="F233" s="89"/>
      <c r="G233" s="86"/>
      <c r="H233" s="90"/>
      <c r="I233" s="3"/>
      <c r="J233" s="3"/>
      <c r="K233" s="89" t="s">
        <v>228</v>
      </c>
      <c r="L233" s="36">
        <v>44739.0</v>
      </c>
      <c r="M233" s="91">
        <v>0.3771875</v>
      </c>
      <c r="N233" s="3"/>
      <c r="O233" s="92"/>
      <c r="P233" s="93" t="b">
        <f>IFNA(IF(VLOOKUP($A233,'Add from APT'!$AA$2:$AC264,3,FALSE)&gt;0,TRUE,FALSE),"ER - NOT IN APT")</f>
        <v>0</v>
      </c>
      <c r="Q233" s="94" t="str">
        <f>IF(ISLOGICAL(P233),IF(P233,"ER - REPS IN APT", IFNA(VLOOKUP($A233,RAW_APT!$A$3:$M264,7,FALSE),"ER - NOT IN APT")),P233)</f>
        <v>Result</v>
      </c>
      <c r="R233" s="95" t="b">
        <f t="shared" si="102"/>
        <v>1</v>
      </c>
      <c r="S233" s="96">
        <f t="shared" si="3"/>
        <v>3</v>
      </c>
      <c r="T233" s="97"/>
      <c r="U233" s="3"/>
      <c r="V233" s="3"/>
      <c r="W233" s="98"/>
      <c r="X233" s="99" t="b">
        <f t="shared" si="259"/>
        <v>0</v>
      </c>
      <c r="Y233" s="100"/>
      <c r="Z233" s="101" t="str">
        <f t="shared" si="5"/>
        <v/>
      </c>
      <c r="AA233" s="102" t="b">
        <f t="shared" si="6"/>
        <v>0</v>
      </c>
      <c r="AB233" s="98"/>
      <c r="AC233" s="103">
        <v>30.0</v>
      </c>
      <c r="AD233" s="104"/>
      <c r="AE233" s="105">
        <f t="shared" si="7"/>
        <v>221.6166667</v>
      </c>
      <c r="AF233" s="106" t="b">
        <f t="shared" si="103"/>
        <v>0</v>
      </c>
      <c r="AG233" s="93" t="b">
        <f t="shared" si="9"/>
        <v>0</v>
      </c>
      <c r="AH233" s="103"/>
      <c r="AI233" s="103"/>
      <c r="AJ233" s="97"/>
      <c r="AK233" s="101" t="str">
        <f t="shared" si="10"/>
        <v>Negative</v>
      </c>
      <c r="AL233" s="98"/>
      <c r="AM233" s="94" t="s">
        <v>406</v>
      </c>
      <c r="AN233" s="94" t="s">
        <v>387</v>
      </c>
      <c r="AO233" s="102" t="str">
        <f>IFERROR(__xludf.DUMMYFUNCTION("IF($AG233, ""DELETED"",TRIM(JOIN("" "",D233:E233)))"),"")</f>
        <v/>
      </c>
      <c r="AP233" s="94" t="str">
        <f t="shared" ref="AP233:AQ233" si="277">IF($AG233, "DELETED", TRIM(CONCATENATE(F233,I233,U233)))</f>
        <v/>
      </c>
      <c r="AQ233" s="94" t="str">
        <f t="shared" si="277"/>
        <v/>
      </c>
      <c r="AR233" s="94" t="str">
        <f>IFERROR(__xludf.DUMMYFUNCTION("IF($AG233, ""DELETED"", TRIM(JOIN("" "",AP233,AQ233)))"),"")</f>
        <v/>
      </c>
      <c r="AS233" s="9"/>
      <c r="AT233" s="93" t="b">
        <f t="shared" si="12"/>
        <v>0</v>
      </c>
      <c r="AU233" s="93" t="str">
        <f t="shared" si="13"/>
        <v/>
      </c>
      <c r="AV233" s="93" t="str">
        <f t="shared" si="14"/>
        <v/>
      </c>
      <c r="AW233" s="93" t="str">
        <f t="shared" si="261"/>
        <v/>
      </c>
      <c r="AX233" s="107" t="str">
        <f t="shared" si="16"/>
        <v/>
      </c>
      <c r="AY233" s="98"/>
      <c r="AZ233" s="108"/>
      <c r="BA233" s="109" t="str">
        <f t="shared" si="17"/>
        <v/>
      </c>
      <c r="BB233" s="98"/>
      <c r="BC233" s="98"/>
      <c r="BD233" s="108"/>
      <c r="BE233" s="134"/>
      <c r="BF233" s="111" t="str">
        <f t="shared" si="18"/>
        <v/>
      </c>
      <c r="BG233" s="112" t="str">
        <f t="shared" si="19"/>
        <v>AH772__44739_0.223287037037037___Negative_44739_0.3771875_</v>
      </c>
      <c r="BH233" s="113" t="str">
        <f t="shared" si="20"/>
        <v/>
      </c>
      <c r="BI233" s="202"/>
      <c r="BJ233" s="114" t="str">
        <f t="shared" si="21"/>
        <v/>
      </c>
      <c r="BK233" s="115" t="b">
        <f t="shared" si="105"/>
        <v>0</v>
      </c>
      <c r="BL233" s="114" t="str">
        <f t="shared" si="23"/>
        <v/>
      </c>
      <c r="BM233" s="108"/>
      <c r="BN233" s="7" t="b">
        <f t="shared" si="24"/>
        <v>1</v>
      </c>
      <c r="BO233" s="7" t="b">
        <f t="shared" si="25"/>
        <v>0</v>
      </c>
      <c r="BP233" s="7" t="b">
        <f t="shared" si="26"/>
        <v>1</v>
      </c>
      <c r="BQ233" s="118"/>
      <c r="BR233" s="119" t="s">
        <v>228</v>
      </c>
      <c r="BS233" s="7" t="b">
        <f t="shared" si="27"/>
        <v>1</v>
      </c>
      <c r="BT233" s="7"/>
      <c r="BU233" s="7"/>
      <c r="BV233" s="7"/>
      <c r="BW233" s="7"/>
    </row>
    <row r="234">
      <c r="A234" s="86" t="s">
        <v>467</v>
      </c>
      <c r="B234" s="87">
        <v>44739.0</v>
      </c>
      <c r="C234" s="88">
        <v>0.22328703703703703</v>
      </c>
      <c r="D234" s="89"/>
      <c r="E234" s="89"/>
      <c r="F234" s="89"/>
      <c r="G234" s="86"/>
      <c r="H234" s="90"/>
      <c r="I234" s="3"/>
      <c r="J234" s="3"/>
      <c r="K234" s="89" t="s">
        <v>228</v>
      </c>
      <c r="L234" s="36">
        <v>44739.0</v>
      </c>
      <c r="M234" s="91">
        <v>0.3771875</v>
      </c>
      <c r="N234" s="121"/>
      <c r="O234" s="92"/>
      <c r="P234" s="93" t="b">
        <f>IFNA(IF(VLOOKUP($A234,'Add from APT'!$AA$2:$AC264,3,FALSE)&gt;0,TRUE,FALSE),"ER - NOT IN APT")</f>
        <v>0</v>
      </c>
      <c r="Q234" s="94" t="str">
        <f>IF(ISLOGICAL(P234),IF(P234,"ER - REPS IN APT", IFNA(VLOOKUP($A234,RAW_APT!$A$3:$M264,7,FALSE),"ER - NOT IN APT")),P234)</f>
        <v>Result</v>
      </c>
      <c r="R234" s="95" t="b">
        <f t="shared" si="102"/>
        <v>0</v>
      </c>
      <c r="S234" s="96">
        <f t="shared" si="3"/>
        <v>3</v>
      </c>
      <c r="T234" s="97"/>
      <c r="U234" s="3"/>
      <c r="V234" s="3"/>
      <c r="W234" s="98"/>
      <c r="X234" s="99" t="b">
        <f t="shared" si="259"/>
        <v>0</v>
      </c>
      <c r="Y234" s="100"/>
      <c r="Z234" s="101" t="str">
        <f t="shared" si="5"/>
        <v/>
      </c>
      <c r="AA234" s="102" t="b">
        <f t="shared" si="6"/>
        <v>0</v>
      </c>
      <c r="AB234" s="98"/>
      <c r="AC234" s="103">
        <v>28.0</v>
      </c>
      <c r="AD234" s="104"/>
      <c r="AE234" s="105">
        <f t="shared" si="7"/>
        <v>221.6166667</v>
      </c>
      <c r="AF234" s="106" t="b">
        <f t="shared" si="103"/>
        <v>0</v>
      </c>
      <c r="AG234" s="93" t="b">
        <f t="shared" si="9"/>
        <v>0</v>
      </c>
      <c r="AH234" s="103"/>
      <c r="AI234" s="103"/>
      <c r="AJ234" s="97"/>
      <c r="AK234" s="101" t="str">
        <f t="shared" si="10"/>
        <v>Negative</v>
      </c>
      <c r="AL234" s="98"/>
      <c r="AM234" s="94" t="s">
        <v>406</v>
      </c>
      <c r="AN234" s="94" t="s">
        <v>407</v>
      </c>
      <c r="AO234" s="102" t="str">
        <f>IFERROR(__xludf.DUMMYFUNCTION("IF($AG234, ""DELETED"",TRIM(JOIN("" "",D234:E234)))"),"")</f>
        <v/>
      </c>
      <c r="AP234" s="94" t="str">
        <f t="shared" ref="AP234:AQ234" si="278">IF($AG234, "DELETED", TRIM(CONCATENATE(F234,I234,U234)))</f>
        <v/>
      </c>
      <c r="AQ234" s="94" t="str">
        <f t="shared" si="278"/>
        <v/>
      </c>
      <c r="AR234" s="94" t="str">
        <f>IFERROR(__xludf.DUMMYFUNCTION("IF($AG234, ""DELETED"", TRIM(JOIN("" "",AP234,AQ234)))"),"")</f>
        <v/>
      </c>
      <c r="AS234" s="9"/>
      <c r="AT234" s="93" t="b">
        <f t="shared" si="12"/>
        <v>0</v>
      </c>
      <c r="AU234" s="93" t="str">
        <f t="shared" si="13"/>
        <v/>
      </c>
      <c r="AV234" s="93" t="str">
        <f t="shared" si="14"/>
        <v/>
      </c>
      <c r="AW234" s="93" t="str">
        <f t="shared" si="261"/>
        <v/>
      </c>
      <c r="AX234" s="107" t="str">
        <f t="shared" si="16"/>
        <v/>
      </c>
      <c r="AY234" s="98"/>
      <c r="AZ234" s="108"/>
      <c r="BA234" s="109" t="str">
        <f t="shared" si="17"/>
        <v/>
      </c>
      <c r="BB234" s="98"/>
      <c r="BC234" s="98"/>
      <c r="BD234" s="108"/>
      <c r="BE234" s="134"/>
      <c r="BF234" s="111" t="str">
        <f t="shared" si="18"/>
        <v/>
      </c>
      <c r="BG234" s="112" t="str">
        <f t="shared" si="19"/>
        <v>AH772__44739_0.223287037037037___Negative_44739_0.3771875_</v>
      </c>
      <c r="BH234" s="113" t="str">
        <f t="shared" si="20"/>
        <v/>
      </c>
      <c r="BI234" s="202"/>
      <c r="BJ234" s="114" t="str">
        <f t="shared" si="21"/>
        <v/>
      </c>
      <c r="BK234" s="115" t="b">
        <f t="shared" si="105"/>
        <v>0</v>
      </c>
      <c r="BL234" s="114" t="str">
        <f t="shared" si="23"/>
        <v/>
      </c>
      <c r="BM234" s="108"/>
      <c r="BN234" s="7" t="b">
        <f t="shared" si="24"/>
        <v>1</v>
      </c>
      <c r="BO234" s="7" t="b">
        <f t="shared" si="25"/>
        <v>0</v>
      </c>
      <c r="BP234" s="7" t="b">
        <f t="shared" si="26"/>
        <v>1</v>
      </c>
      <c r="BQ234" s="118"/>
      <c r="BR234" s="119" t="s">
        <v>228</v>
      </c>
      <c r="BS234" s="7" t="b">
        <f t="shared" si="27"/>
        <v>1</v>
      </c>
      <c r="BT234" s="7"/>
      <c r="BU234" s="7"/>
      <c r="BV234" s="7"/>
      <c r="BW234" s="7"/>
    </row>
    <row r="235">
      <c r="A235" s="86" t="s">
        <v>467</v>
      </c>
      <c r="B235" s="87">
        <v>44739.0</v>
      </c>
      <c r="C235" s="88">
        <v>0.22328703703703703</v>
      </c>
      <c r="D235" s="89"/>
      <c r="E235" s="89"/>
      <c r="F235" s="3"/>
      <c r="G235" s="120"/>
      <c r="H235" s="3"/>
      <c r="I235" s="89"/>
      <c r="J235" s="89"/>
      <c r="K235" s="89" t="s">
        <v>228</v>
      </c>
      <c r="L235" s="36">
        <v>44739.0</v>
      </c>
      <c r="M235" s="91">
        <v>0.3771875</v>
      </c>
      <c r="N235" s="3"/>
      <c r="O235" s="92"/>
      <c r="P235" s="93" t="b">
        <f>IFNA(IF(VLOOKUP($A235,'Add from APT'!$AA$2:$AC264,3,FALSE)&gt;0,TRUE,FALSE),"ER - NOT IN APT")</f>
        <v>0</v>
      </c>
      <c r="Q235" s="94" t="str">
        <f>IF(ISLOGICAL(P235),IF(P235,"ER - REPS IN APT", IFNA(VLOOKUP($A235,RAW_APT!$A$3:$M264,7,FALSE),"ER - NOT IN APT")),P235)</f>
        <v>Result</v>
      </c>
      <c r="R235" s="95" t="b">
        <f t="shared" si="102"/>
        <v>0</v>
      </c>
      <c r="S235" s="96">
        <f t="shared" si="3"/>
        <v>3</v>
      </c>
      <c r="T235" s="97"/>
      <c r="U235" s="3"/>
      <c r="V235" s="3"/>
      <c r="W235" s="98"/>
      <c r="X235" s="99" t="b">
        <f t="shared" si="259"/>
        <v>0</v>
      </c>
      <c r="Y235" s="100"/>
      <c r="Z235" s="101" t="str">
        <f t="shared" si="5"/>
        <v/>
      </c>
      <c r="AA235" s="102" t="b">
        <f t="shared" si="6"/>
        <v>0</v>
      </c>
      <c r="AB235" s="98"/>
      <c r="AC235" s="103">
        <v>29.0</v>
      </c>
      <c r="AD235" s="104"/>
      <c r="AE235" s="105">
        <f t="shared" si="7"/>
        <v>221.6166667</v>
      </c>
      <c r="AF235" s="106" t="b">
        <f t="shared" si="103"/>
        <v>0</v>
      </c>
      <c r="AG235" s="93" t="b">
        <f t="shared" si="9"/>
        <v>0</v>
      </c>
      <c r="AH235" s="103"/>
      <c r="AI235" s="103"/>
      <c r="AJ235" s="97"/>
      <c r="AK235" s="101" t="str">
        <f t="shared" si="10"/>
        <v>Negative</v>
      </c>
      <c r="AL235" s="98"/>
      <c r="AM235" s="94" t="s">
        <v>406</v>
      </c>
      <c r="AN235" s="94" t="s">
        <v>386</v>
      </c>
      <c r="AO235" s="102" t="str">
        <f>IFERROR(__xludf.DUMMYFUNCTION("IF($AG235, ""DELETED"",TRIM(JOIN("" "",D235:E235)))"),"")</f>
        <v/>
      </c>
      <c r="AP235" s="94" t="str">
        <f t="shared" ref="AP235:AQ235" si="279">IF($AG235, "DELETED", TRIM(CONCATENATE(F235,I235,U235)))</f>
        <v/>
      </c>
      <c r="AQ235" s="94" t="str">
        <f t="shared" si="279"/>
        <v/>
      </c>
      <c r="AR235" s="94" t="str">
        <f>IFERROR(__xludf.DUMMYFUNCTION("IF($AG235, ""DELETED"", TRIM(JOIN("" "",AP235,AQ235)))"),"")</f>
        <v/>
      </c>
      <c r="AS235" s="9"/>
      <c r="AT235" s="93" t="b">
        <f t="shared" si="12"/>
        <v>0</v>
      </c>
      <c r="AU235" s="93" t="str">
        <f t="shared" si="13"/>
        <v/>
      </c>
      <c r="AV235" s="93" t="str">
        <f t="shared" si="14"/>
        <v/>
      </c>
      <c r="AW235" s="93" t="str">
        <f t="shared" si="261"/>
        <v/>
      </c>
      <c r="AX235" s="107" t="str">
        <f t="shared" si="16"/>
        <v/>
      </c>
      <c r="AY235" s="98"/>
      <c r="AZ235" s="108"/>
      <c r="BA235" s="109" t="str">
        <f t="shared" si="17"/>
        <v/>
      </c>
      <c r="BB235" s="98"/>
      <c r="BC235" s="98"/>
      <c r="BD235" s="108"/>
      <c r="BE235" s="157"/>
      <c r="BF235" s="111" t="str">
        <f t="shared" si="18"/>
        <v/>
      </c>
      <c r="BG235" s="112" t="str">
        <f t="shared" si="19"/>
        <v>AH772__44739_0.223287037037037___Negative_44739_0.3771875_</v>
      </c>
      <c r="BH235" s="113" t="str">
        <f t="shared" si="20"/>
        <v/>
      </c>
      <c r="BI235" s="204"/>
      <c r="BJ235" s="114" t="str">
        <f t="shared" si="21"/>
        <v/>
      </c>
      <c r="BK235" s="115" t="b">
        <f t="shared" si="105"/>
        <v>0</v>
      </c>
      <c r="BL235" s="114" t="str">
        <f t="shared" si="23"/>
        <v/>
      </c>
      <c r="BM235" s="108"/>
      <c r="BN235" s="7" t="b">
        <f t="shared" si="24"/>
        <v>1</v>
      </c>
      <c r="BO235" s="7" t="b">
        <f t="shared" si="25"/>
        <v>0</v>
      </c>
      <c r="BP235" s="7" t="b">
        <f t="shared" si="26"/>
        <v>1</v>
      </c>
      <c r="BQ235" s="118"/>
      <c r="BR235" s="119" t="s">
        <v>228</v>
      </c>
      <c r="BS235" s="7" t="b">
        <f t="shared" si="27"/>
        <v>1</v>
      </c>
      <c r="BT235" s="7"/>
      <c r="BU235" s="7"/>
      <c r="BV235" s="7"/>
      <c r="BW235" s="7"/>
    </row>
    <row r="236">
      <c r="A236" s="86" t="s">
        <v>468</v>
      </c>
      <c r="B236" s="87">
        <v>44747.0</v>
      </c>
      <c r="C236" s="88">
        <v>0.19898148148148148</v>
      </c>
      <c r="D236" s="89"/>
      <c r="E236" s="89"/>
      <c r="F236" s="89"/>
      <c r="G236" s="86"/>
      <c r="H236" s="90"/>
      <c r="I236" s="3"/>
      <c r="J236" s="3"/>
      <c r="K236" s="89" t="s">
        <v>228</v>
      </c>
      <c r="L236" s="36">
        <v>44753.0</v>
      </c>
      <c r="M236" s="91">
        <v>0.3984027777777778</v>
      </c>
      <c r="N236" s="121"/>
      <c r="O236" s="92"/>
      <c r="P236" s="93" t="b">
        <f>IFNA(IF(VLOOKUP($A236,'Add from APT'!$AA$2:$AC264,3,FALSE)&gt;0,TRUE,FALSE),"ER - NOT IN APT")</f>
        <v>0</v>
      </c>
      <c r="Q236" s="94" t="str">
        <f>IF(ISLOGICAL(P236),IF(P236,"ER - REPS IN APT", IFNA(VLOOKUP($A236,RAW_APT!$A$3:$M264,7,FALSE),"ER - NOT IN APT")),P236)</f>
        <v>Result</v>
      </c>
      <c r="R236" s="95" t="b">
        <f t="shared" si="102"/>
        <v>1</v>
      </c>
      <c r="S236" s="96">
        <f t="shared" si="3"/>
        <v>2</v>
      </c>
      <c r="T236" s="97"/>
      <c r="U236" s="3"/>
      <c r="V236" s="3"/>
      <c r="W236" s="98"/>
      <c r="X236" s="99" t="b">
        <f t="shared" si="259"/>
        <v>0</v>
      </c>
      <c r="Y236" s="100"/>
      <c r="Z236" s="101" t="str">
        <f t="shared" si="5"/>
        <v/>
      </c>
      <c r="AA236" s="102" t="b">
        <f t="shared" si="6"/>
        <v>0</v>
      </c>
      <c r="AB236" s="98"/>
      <c r="AC236" s="103">
        <v>25.0</v>
      </c>
      <c r="AD236" s="104"/>
      <c r="AE236" s="105" t="str">
        <f t="shared" si="7"/>
        <v/>
      </c>
      <c r="AF236" s="106" t="b">
        <f t="shared" si="103"/>
        <v>0</v>
      </c>
      <c r="AG236" s="93" t="b">
        <f t="shared" si="9"/>
        <v>1</v>
      </c>
      <c r="AH236" s="103">
        <v>9.4</v>
      </c>
      <c r="AI236" s="103"/>
      <c r="AJ236" s="97"/>
      <c r="AK236" s="101" t="str">
        <f t="shared" si="10"/>
        <v>DELETED</v>
      </c>
      <c r="AL236" s="104" t="s">
        <v>457</v>
      </c>
      <c r="AM236" s="94" t="s">
        <v>206</v>
      </c>
      <c r="AN236" s="94" t="s">
        <v>206</v>
      </c>
      <c r="AO236" s="102" t="str">
        <f>IFERROR(__xludf.DUMMYFUNCTION("IF($AG236, ""DELETED"",TRIM(JOIN("" "",D236:E236)))"),"DELETED")</f>
        <v>DELETED</v>
      </c>
      <c r="AP236" s="94" t="str">
        <f t="shared" ref="AP236:AQ236" si="280">IF($AG236, "DELETED", TRIM(CONCATENATE(F236,I236,U236)))</f>
        <v>DELETED</v>
      </c>
      <c r="AQ236" s="94" t="str">
        <f t="shared" si="280"/>
        <v>DELETED</v>
      </c>
      <c r="AR236" s="94" t="str">
        <f>IFERROR(__xludf.DUMMYFUNCTION("IF($AG236, ""DELETED"", TRIM(JOIN("" "",AP236,AQ236)))"),"DELETED")</f>
        <v>DELETED</v>
      </c>
      <c r="AS236" s="9"/>
      <c r="AT236" s="93" t="b">
        <f t="shared" si="12"/>
        <v>1</v>
      </c>
      <c r="AU236" s="93" t="str">
        <f t="shared" si="13"/>
        <v/>
      </c>
      <c r="AV236" s="93" t="str">
        <f t="shared" si="14"/>
        <v/>
      </c>
      <c r="AW236" s="93" t="str">
        <f t="shared" si="261"/>
        <v/>
      </c>
      <c r="AX236" s="107" t="str">
        <f t="shared" si="16"/>
        <v/>
      </c>
      <c r="AY236" s="98"/>
      <c r="AZ236" s="108"/>
      <c r="BA236" s="109" t="str">
        <f t="shared" si="17"/>
        <v/>
      </c>
      <c r="BB236" s="98"/>
      <c r="BC236" s="98"/>
      <c r="BD236" s="108"/>
      <c r="BE236" s="157"/>
      <c r="BF236" s="111" t="str">
        <f t="shared" si="18"/>
        <v/>
      </c>
      <c r="BG236" s="112" t="str">
        <f t="shared" si="19"/>
        <v/>
      </c>
      <c r="BH236" s="113" t="str">
        <f t="shared" si="20"/>
        <v/>
      </c>
      <c r="BI236" s="204"/>
      <c r="BJ236" s="114" t="str">
        <f t="shared" si="21"/>
        <v/>
      </c>
      <c r="BK236" s="115" t="b">
        <f t="shared" si="105"/>
        <v>0</v>
      </c>
      <c r="BL236" s="114" t="str">
        <f t="shared" si="23"/>
        <v/>
      </c>
      <c r="BM236" s="108"/>
      <c r="BN236" s="7" t="b">
        <f t="shared" si="24"/>
        <v>0</v>
      </c>
      <c r="BO236" s="7" t="b">
        <f t="shared" si="25"/>
        <v>0</v>
      </c>
      <c r="BP236" s="7" t="b">
        <f t="shared" si="26"/>
        <v>0</v>
      </c>
      <c r="BQ236" s="118"/>
      <c r="BR236" s="119" t="s">
        <v>206</v>
      </c>
      <c r="BS236" s="7" t="b">
        <f t="shared" si="27"/>
        <v>1</v>
      </c>
      <c r="BT236" s="7"/>
      <c r="BU236" s="7"/>
      <c r="BV236" s="7"/>
      <c r="BW236" s="7"/>
    </row>
    <row r="237">
      <c r="A237" s="86" t="s">
        <v>468</v>
      </c>
      <c r="B237" s="87">
        <v>44747.0</v>
      </c>
      <c r="C237" s="88">
        <v>0.19898148148148148</v>
      </c>
      <c r="D237" s="89"/>
      <c r="E237" s="89"/>
      <c r="F237" s="3"/>
      <c r="G237" s="120"/>
      <c r="H237" s="121"/>
      <c r="I237" s="89"/>
      <c r="J237" s="89"/>
      <c r="K237" s="89" t="s">
        <v>228</v>
      </c>
      <c r="L237" s="36">
        <v>44753.0</v>
      </c>
      <c r="M237" s="91">
        <v>0.3984027777777778</v>
      </c>
      <c r="N237" s="3"/>
      <c r="O237" s="92"/>
      <c r="P237" s="93" t="b">
        <f>IFNA(IF(VLOOKUP($A237,'Add from APT'!$AA$2:$AC264,3,FALSE)&gt;0,TRUE,FALSE),"ER - NOT IN APT")</f>
        <v>0</v>
      </c>
      <c r="Q237" s="94" t="str">
        <f>IF(ISLOGICAL(P237),IF(P237,"ER - REPS IN APT", IFNA(VLOOKUP($A237,RAW_APT!$A$3:$M264,7,FALSE),"ER - NOT IN APT")),P237)</f>
        <v>Result</v>
      </c>
      <c r="R237" s="95" t="b">
        <f t="shared" si="102"/>
        <v>0</v>
      </c>
      <c r="S237" s="96">
        <f t="shared" si="3"/>
        <v>2</v>
      </c>
      <c r="T237" s="97"/>
      <c r="U237" s="3"/>
      <c r="V237" s="3"/>
      <c r="W237" s="98"/>
      <c r="X237" s="99" t="b">
        <f t="shared" si="259"/>
        <v>0</v>
      </c>
      <c r="Y237" s="100"/>
      <c r="Z237" s="101" t="str">
        <f t="shared" si="5"/>
        <v/>
      </c>
      <c r="AA237" s="102" t="b">
        <f t="shared" si="6"/>
        <v>0</v>
      </c>
      <c r="AB237" s="98"/>
      <c r="AC237" s="103">
        <v>24.0</v>
      </c>
      <c r="AD237" s="104"/>
      <c r="AE237" s="105" t="str">
        <f t="shared" si="7"/>
        <v/>
      </c>
      <c r="AF237" s="106" t="b">
        <f t="shared" si="103"/>
        <v>0</v>
      </c>
      <c r="AG237" s="93" t="b">
        <f t="shared" si="9"/>
        <v>1</v>
      </c>
      <c r="AH237" s="103">
        <v>9.4</v>
      </c>
      <c r="AI237" s="103"/>
      <c r="AJ237" s="97"/>
      <c r="AK237" s="101" t="str">
        <f t="shared" si="10"/>
        <v>DELETED</v>
      </c>
      <c r="AL237" s="104" t="s">
        <v>457</v>
      </c>
      <c r="AM237" s="94" t="s">
        <v>206</v>
      </c>
      <c r="AN237" s="94" t="s">
        <v>206</v>
      </c>
      <c r="AO237" s="102" t="str">
        <f>IFERROR(__xludf.DUMMYFUNCTION("IF($AG237, ""DELETED"",TRIM(JOIN("" "",D237:E237)))"),"DELETED")</f>
        <v>DELETED</v>
      </c>
      <c r="AP237" s="94" t="str">
        <f t="shared" ref="AP237:AQ237" si="281">IF($AG237, "DELETED", TRIM(CONCATENATE(F237,I237,U237)))</f>
        <v>DELETED</v>
      </c>
      <c r="AQ237" s="94" t="str">
        <f t="shared" si="281"/>
        <v>DELETED</v>
      </c>
      <c r="AR237" s="94" t="str">
        <f>IFERROR(__xludf.DUMMYFUNCTION("IF($AG237, ""DELETED"", TRIM(JOIN("" "",AP237,AQ237)))"),"DELETED")</f>
        <v>DELETED</v>
      </c>
      <c r="AS237" s="9"/>
      <c r="AT237" s="93" t="b">
        <f t="shared" si="12"/>
        <v>1</v>
      </c>
      <c r="AU237" s="93" t="str">
        <f t="shared" si="13"/>
        <v/>
      </c>
      <c r="AV237" s="93" t="str">
        <f t="shared" si="14"/>
        <v/>
      </c>
      <c r="AW237" s="93" t="str">
        <f t="shared" si="261"/>
        <v/>
      </c>
      <c r="AX237" s="107" t="str">
        <f t="shared" si="16"/>
        <v/>
      </c>
      <c r="AY237" s="98"/>
      <c r="AZ237" s="108"/>
      <c r="BA237" s="109" t="str">
        <f t="shared" si="17"/>
        <v/>
      </c>
      <c r="BB237" s="98"/>
      <c r="BC237" s="98"/>
      <c r="BD237" s="108"/>
      <c r="BE237" s="143"/>
      <c r="BF237" s="111" t="str">
        <f t="shared" si="18"/>
        <v/>
      </c>
      <c r="BG237" s="112" t="str">
        <f t="shared" si="19"/>
        <v/>
      </c>
      <c r="BH237" s="113" t="str">
        <f t="shared" si="20"/>
        <v/>
      </c>
      <c r="BI237" s="203"/>
      <c r="BJ237" s="114" t="str">
        <f t="shared" si="21"/>
        <v/>
      </c>
      <c r="BK237" s="115" t="b">
        <f t="shared" si="105"/>
        <v>0</v>
      </c>
      <c r="BL237" s="114" t="str">
        <f t="shared" si="23"/>
        <v/>
      </c>
      <c r="BM237" s="108"/>
      <c r="BN237" s="7" t="b">
        <f t="shared" si="24"/>
        <v>0</v>
      </c>
      <c r="BO237" s="7" t="b">
        <f t="shared" si="25"/>
        <v>0</v>
      </c>
      <c r="BP237" s="7" t="b">
        <f t="shared" si="26"/>
        <v>0</v>
      </c>
      <c r="BQ237" s="118"/>
      <c r="BR237" s="119" t="s">
        <v>206</v>
      </c>
      <c r="BS237" s="7" t="b">
        <f t="shared" si="27"/>
        <v>1</v>
      </c>
      <c r="BT237" s="7"/>
      <c r="BU237" s="7"/>
      <c r="BV237" s="7"/>
      <c r="BW237" s="7"/>
    </row>
    <row r="238">
      <c r="A238" s="86" t="s">
        <v>469</v>
      </c>
      <c r="B238" s="87">
        <v>44753.0</v>
      </c>
      <c r="C238" s="88">
        <v>0.2527199074074074</v>
      </c>
      <c r="D238" s="89"/>
      <c r="E238" s="89"/>
      <c r="F238" s="89"/>
      <c r="G238" s="86"/>
      <c r="H238" s="90"/>
      <c r="I238" s="3"/>
      <c r="J238" s="3"/>
      <c r="K238" s="89" t="s">
        <v>228</v>
      </c>
      <c r="L238" s="36">
        <v>44753.0</v>
      </c>
      <c r="M238" s="91">
        <v>0.3984027777777778</v>
      </c>
      <c r="N238" s="121"/>
      <c r="O238" s="92"/>
      <c r="P238" s="93" t="b">
        <f>IFNA(IF(VLOOKUP($A238,'Add from APT'!$AA$2:$AC264,3,FALSE)&gt;0,TRUE,FALSE),"ER - NOT IN APT")</f>
        <v>0</v>
      </c>
      <c r="Q238" s="94" t="str">
        <f>IF(ISLOGICAL(P238),IF(P238,"ER - REPS IN APT", IFNA(VLOOKUP($A238,RAW_APT!$A$3:$M264,7,FALSE),"ER - NOT IN APT")),P238)</f>
        <v>Result</v>
      </c>
      <c r="R238" s="95" t="b">
        <f t="shared" si="102"/>
        <v>1</v>
      </c>
      <c r="S238" s="96">
        <f t="shared" si="3"/>
        <v>2</v>
      </c>
      <c r="T238" s="97"/>
      <c r="U238" s="3"/>
      <c r="V238" s="3"/>
      <c r="W238" s="98"/>
      <c r="X238" s="99" t="b">
        <f t="shared" si="259"/>
        <v>0</v>
      </c>
      <c r="Y238" s="100"/>
      <c r="Z238" s="101" t="str">
        <f t="shared" si="5"/>
        <v/>
      </c>
      <c r="AA238" s="102" t="b">
        <f t="shared" si="6"/>
        <v>0</v>
      </c>
      <c r="AB238" s="98"/>
      <c r="AC238" s="103">
        <v>22.0</v>
      </c>
      <c r="AD238" s="104"/>
      <c r="AE238" s="105">
        <f t="shared" si="7"/>
        <v>209.7833333</v>
      </c>
      <c r="AF238" s="106" t="b">
        <f t="shared" si="103"/>
        <v>0</v>
      </c>
      <c r="AG238" s="93" t="b">
        <f t="shared" si="9"/>
        <v>0</v>
      </c>
      <c r="AH238" s="103"/>
      <c r="AI238" s="103"/>
      <c r="AJ238" s="97"/>
      <c r="AK238" s="101" t="str">
        <f t="shared" si="10"/>
        <v>Negative</v>
      </c>
      <c r="AL238" s="98"/>
      <c r="AM238" s="94" t="s">
        <v>332</v>
      </c>
      <c r="AN238" s="94" t="s">
        <v>335</v>
      </c>
      <c r="AO238" s="102" t="str">
        <f>IFERROR(__xludf.DUMMYFUNCTION("IF($AG238, ""DELETED"",TRIM(JOIN("" "",D238:E238)))"),"")</f>
        <v/>
      </c>
      <c r="AP238" s="94" t="str">
        <f t="shared" ref="AP238:AQ238" si="282">IF($AG238, "DELETED", TRIM(CONCATENATE(F238,I238,U238)))</f>
        <v/>
      </c>
      <c r="AQ238" s="94" t="str">
        <f t="shared" si="282"/>
        <v/>
      </c>
      <c r="AR238" s="94" t="str">
        <f>IFERROR(__xludf.DUMMYFUNCTION("IF($AG238, ""DELETED"", TRIM(JOIN("" "",AP238,AQ238)))"),"")</f>
        <v/>
      </c>
      <c r="AS238" s="9"/>
      <c r="AT238" s="93" t="b">
        <f t="shared" si="12"/>
        <v>0</v>
      </c>
      <c r="AU238" s="93" t="str">
        <f t="shared" si="13"/>
        <v/>
      </c>
      <c r="AV238" s="93" t="str">
        <f t="shared" si="14"/>
        <v/>
      </c>
      <c r="AW238" s="93" t="str">
        <f t="shared" si="261"/>
        <v/>
      </c>
      <c r="AX238" s="107" t="str">
        <f t="shared" si="16"/>
        <v/>
      </c>
      <c r="AY238" s="98"/>
      <c r="AZ238" s="108"/>
      <c r="BA238" s="109" t="str">
        <f t="shared" si="17"/>
        <v/>
      </c>
      <c r="BB238" s="98"/>
      <c r="BC238" s="98"/>
      <c r="BD238" s="108"/>
      <c r="BE238" s="143"/>
      <c r="BF238" s="111" t="str">
        <f t="shared" si="18"/>
        <v/>
      </c>
      <c r="BG238" s="112" t="str">
        <f t="shared" si="19"/>
        <v>AG1259__44753_0.252719907407407___Negative_44753_0.398402777777778_</v>
      </c>
      <c r="BH238" s="113" t="str">
        <f t="shared" si="20"/>
        <v/>
      </c>
      <c r="BI238" s="203"/>
      <c r="BJ238" s="114" t="str">
        <f t="shared" si="21"/>
        <v/>
      </c>
      <c r="BK238" s="115" t="b">
        <f t="shared" si="105"/>
        <v>0</v>
      </c>
      <c r="BL238" s="114" t="str">
        <f t="shared" si="23"/>
        <v/>
      </c>
      <c r="BM238" s="108"/>
      <c r="BN238" s="7" t="b">
        <f t="shared" si="24"/>
        <v>1</v>
      </c>
      <c r="BO238" s="7" t="b">
        <f t="shared" si="25"/>
        <v>0</v>
      </c>
      <c r="BP238" s="7" t="b">
        <f t="shared" si="26"/>
        <v>1</v>
      </c>
      <c r="BQ238" s="118"/>
      <c r="BR238" s="119" t="s">
        <v>228</v>
      </c>
      <c r="BS238" s="7" t="b">
        <f t="shared" si="27"/>
        <v>1</v>
      </c>
      <c r="BT238" s="7"/>
      <c r="BU238" s="7"/>
      <c r="BV238" s="7"/>
      <c r="BW238" s="7"/>
    </row>
    <row r="239">
      <c r="A239" s="86" t="s">
        <v>469</v>
      </c>
      <c r="B239" s="87">
        <v>44753.0</v>
      </c>
      <c r="C239" s="88">
        <v>0.2527199074074074</v>
      </c>
      <c r="D239" s="89"/>
      <c r="E239" s="89"/>
      <c r="F239" s="89"/>
      <c r="G239" s="86"/>
      <c r="H239" s="89"/>
      <c r="I239" s="3"/>
      <c r="J239" s="3"/>
      <c r="K239" s="89" t="s">
        <v>228</v>
      </c>
      <c r="L239" s="36">
        <v>44753.0</v>
      </c>
      <c r="M239" s="91">
        <v>0.3984027777777778</v>
      </c>
      <c r="N239" s="3"/>
      <c r="O239" s="92"/>
      <c r="P239" s="93" t="b">
        <f>IFNA(IF(VLOOKUP($A239,'Add from APT'!$AA$2:$AC264,3,FALSE)&gt;0,TRUE,FALSE),"ER - NOT IN APT")</f>
        <v>0</v>
      </c>
      <c r="Q239" s="94" t="str">
        <f>IF(ISLOGICAL(P239),IF(P239,"ER - REPS IN APT", IFNA(VLOOKUP($A239,RAW_APT!$A$3:$M264,7,FALSE),"ER - NOT IN APT")),P239)</f>
        <v>Result</v>
      </c>
      <c r="R239" s="95" t="b">
        <f t="shared" si="102"/>
        <v>0</v>
      </c>
      <c r="S239" s="96">
        <f t="shared" si="3"/>
        <v>2</v>
      </c>
      <c r="T239" s="97"/>
      <c r="U239" s="3"/>
      <c r="V239" s="3"/>
      <c r="W239" s="98"/>
      <c r="X239" s="99" t="b">
        <f t="shared" si="259"/>
        <v>0</v>
      </c>
      <c r="Y239" s="100"/>
      <c r="Z239" s="101" t="str">
        <f t="shared" si="5"/>
        <v/>
      </c>
      <c r="AA239" s="102" t="b">
        <f t="shared" si="6"/>
        <v>0</v>
      </c>
      <c r="AB239" s="98"/>
      <c r="AC239" s="103">
        <v>23.0</v>
      </c>
      <c r="AD239" s="104"/>
      <c r="AE239" s="105">
        <f t="shared" si="7"/>
        <v>209.7833333</v>
      </c>
      <c r="AF239" s="106" t="b">
        <f t="shared" si="103"/>
        <v>0</v>
      </c>
      <c r="AG239" s="93" t="b">
        <f t="shared" si="9"/>
        <v>0</v>
      </c>
      <c r="AH239" s="103"/>
      <c r="AI239" s="103"/>
      <c r="AJ239" s="97"/>
      <c r="AK239" s="101" t="str">
        <f t="shared" si="10"/>
        <v>Negative</v>
      </c>
      <c r="AL239" s="98"/>
      <c r="AM239" s="94" t="s">
        <v>332</v>
      </c>
      <c r="AN239" s="94" t="s">
        <v>339</v>
      </c>
      <c r="AO239" s="102" t="str">
        <f>IFERROR(__xludf.DUMMYFUNCTION("IF($AG239, ""DELETED"",TRIM(JOIN("" "",D239:E239)))"),"")</f>
        <v/>
      </c>
      <c r="AP239" s="94" t="str">
        <f t="shared" ref="AP239:AQ239" si="283">IF($AG239, "DELETED", TRIM(CONCATENATE(F239,I239,U239)))</f>
        <v/>
      </c>
      <c r="AQ239" s="94" t="str">
        <f t="shared" si="283"/>
        <v/>
      </c>
      <c r="AR239" s="94" t="str">
        <f>IFERROR(__xludf.DUMMYFUNCTION("IF($AG239, ""DELETED"", TRIM(JOIN("" "",AP239,AQ239)))"),"")</f>
        <v/>
      </c>
      <c r="AS239" s="9"/>
      <c r="AT239" s="93" t="b">
        <f t="shared" si="12"/>
        <v>0</v>
      </c>
      <c r="AU239" s="93" t="str">
        <f t="shared" si="13"/>
        <v/>
      </c>
      <c r="AV239" s="93" t="str">
        <f t="shared" si="14"/>
        <v/>
      </c>
      <c r="AW239" s="93" t="str">
        <f t="shared" si="261"/>
        <v/>
      </c>
      <c r="AX239" s="107" t="str">
        <f t="shared" si="16"/>
        <v/>
      </c>
      <c r="AY239" s="98"/>
      <c r="AZ239" s="108"/>
      <c r="BA239" s="109" t="str">
        <f t="shared" si="17"/>
        <v/>
      </c>
      <c r="BB239" s="98"/>
      <c r="BC239" s="98"/>
      <c r="BD239" s="108"/>
      <c r="BE239" s="143"/>
      <c r="BF239" s="111" t="str">
        <f t="shared" si="18"/>
        <v/>
      </c>
      <c r="BG239" s="112" t="str">
        <f t="shared" si="19"/>
        <v>AG1259__44753_0.252719907407407___Negative_44753_0.398402777777778_</v>
      </c>
      <c r="BH239" s="113" t="str">
        <f t="shared" si="20"/>
        <v/>
      </c>
      <c r="BI239" s="203"/>
      <c r="BJ239" s="114" t="str">
        <f t="shared" si="21"/>
        <v/>
      </c>
      <c r="BK239" s="115" t="b">
        <f t="shared" si="105"/>
        <v>0</v>
      </c>
      <c r="BL239" s="114" t="str">
        <f t="shared" si="23"/>
        <v/>
      </c>
      <c r="BM239" s="108"/>
      <c r="BN239" s="7" t="b">
        <f t="shared" si="24"/>
        <v>1</v>
      </c>
      <c r="BO239" s="7" t="b">
        <f t="shared" si="25"/>
        <v>0</v>
      </c>
      <c r="BP239" s="7" t="b">
        <f t="shared" si="26"/>
        <v>1</v>
      </c>
      <c r="BQ239" s="118"/>
      <c r="BR239" s="119" t="s">
        <v>228</v>
      </c>
      <c r="BS239" s="7" t="b">
        <f t="shared" si="27"/>
        <v>1</v>
      </c>
      <c r="BT239" s="7"/>
      <c r="BU239" s="7"/>
      <c r="BV239" s="7"/>
      <c r="BW239" s="7"/>
    </row>
    <row r="240">
      <c r="A240" s="167" t="s">
        <v>470</v>
      </c>
      <c r="B240" s="168">
        <v>44760.0</v>
      </c>
      <c r="C240" s="169">
        <v>0.21974537037037037</v>
      </c>
      <c r="D240" s="170"/>
      <c r="E240" s="170"/>
      <c r="F240" s="170"/>
      <c r="G240" s="167"/>
      <c r="H240" s="171"/>
      <c r="I240" s="172"/>
      <c r="J240" s="172"/>
      <c r="K240" s="170" t="s">
        <v>205</v>
      </c>
      <c r="L240" s="173"/>
      <c r="M240" s="174"/>
      <c r="N240" s="243"/>
      <c r="O240" s="193"/>
      <c r="P240" s="176" t="b">
        <f>IFNA(IF(VLOOKUP($A240,'Add from APT'!$AA$2:$AC264,3,FALSE)&gt;0,TRUE,FALSE),"ER - NOT IN APT")</f>
        <v>0</v>
      </c>
      <c r="Q240" s="172" t="str">
        <f>IF(ISLOGICAL(P240),IF(P240,"ER - REPS IN APT", IFNA(VLOOKUP($A240,RAW_APT!$A$3:$M264,7,FALSE),"ER - NOT IN APT")),P240)</f>
        <v>Collected</v>
      </c>
      <c r="R240" s="177" t="b">
        <f t="shared" si="102"/>
        <v>1</v>
      </c>
      <c r="S240" s="177">
        <f t="shared" si="3"/>
        <v>3</v>
      </c>
      <c r="T240" s="177"/>
      <c r="U240" s="172"/>
      <c r="V240" s="172"/>
      <c r="W240" s="178"/>
      <c r="X240" s="179" t="b">
        <f t="shared" si="259"/>
        <v>0</v>
      </c>
      <c r="Y240" s="180"/>
      <c r="Z240" s="181" t="str">
        <f t="shared" si="5"/>
        <v/>
      </c>
      <c r="AA240" s="178" t="b">
        <f t="shared" si="6"/>
        <v>0</v>
      </c>
      <c r="AB240" s="178"/>
      <c r="AC240" s="177">
        <v>19.0</v>
      </c>
      <c r="AD240" s="181"/>
      <c r="AE240" s="182" t="str">
        <f t="shared" si="7"/>
        <v/>
      </c>
      <c r="AF240" s="176" t="b">
        <f t="shared" si="103"/>
        <v>0</v>
      </c>
      <c r="AG240" s="176" t="b">
        <f t="shared" si="9"/>
        <v>1</v>
      </c>
      <c r="AH240" s="177">
        <v>9.1</v>
      </c>
      <c r="AI240" s="177"/>
      <c r="AJ240" s="183"/>
      <c r="AK240" s="181" t="str">
        <f t="shared" si="10"/>
        <v>DELETED</v>
      </c>
      <c r="AL240" s="178"/>
      <c r="AM240" s="94" t="s">
        <v>206</v>
      </c>
      <c r="AN240" s="94" t="s">
        <v>206</v>
      </c>
      <c r="AO240" s="178" t="str">
        <f>IFERROR(__xludf.DUMMYFUNCTION("IF($AG240, ""DELETED"",TRIM(JOIN("" "",D240:E240)))"),"DELETED")</f>
        <v>DELETED</v>
      </c>
      <c r="AP240" s="172" t="str">
        <f t="shared" ref="AP240:AQ240" si="284">IF($AG240, "DELETED", TRIM(CONCATENATE(F240,I240,U240)))</f>
        <v>DELETED</v>
      </c>
      <c r="AQ240" s="172" t="str">
        <f t="shared" si="284"/>
        <v>DELETED</v>
      </c>
      <c r="AR240" s="172" t="str">
        <f>IFERROR(__xludf.DUMMYFUNCTION("IF($AG240, ""DELETED"", TRIM(JOIN("" "",AP240,AQ240)))"),"DELETED")</f>
        <v>DELETED</v>
      </c>
      <c r="AS240" s="184"/>
      <c r="AT240" s="176" t="b">
        <f t="shared" si="12"/>
        <v>1</v>
      </c>
      <c r="AU240" s="176" t="str">
        <f t="shared" si="13"/>
        <v/>
      </c>
      <c r="AV240" s="176" t="str">
        <f t="shared" si="14"/>
        <v/>
      </c>
      <c r="AW240" s="176" t="str">
        <f t="shared" si="261"/>
        <v/>
      </c>
      <c r="AX240" s="185" t="str">
        <f t="shared" si="16"/>
        <v/>
      </c>
      <c r="AY240" s="178"/>
      <c r="AZ240" s="108"/>
      <c r="BA240" s="181" t="str">
        <f t="shared" si="17"/>
        <v/>
      </c>
      <c r="BB240" s="178"/>
      <c r="BC240" s="178"/>
      <c r="BD240" s="178"/>
      <c r="BE240" s="186"/>
      <c r="BF240" s="187" t="str">
        <f t="shared" si="18"/>
        <v/>
      </c>
      <c r="BG240" s="188" t="str">
        <f t="shared" si="19"/>
        <v/>
      </c>
      <c r="BH240" s="189" t="str">
        <f t="shared" si="20"/>
        <v/>
      </c>
      <c r="BI240" s="241"/>
      <c r="BJ240" s="190" t="str">
        <f t="shared" si="21"/>
        <v/>
      </c>
      <c r="BK240" s="191" t="b">
        <f t="shared" si="105"/>
        <v>0</v>
      </c>
      <c r="BL240" s="190" t="str">
        <f t="shared" si="23"/>
        <v/>
      </c>
      <c r="BM240" s="178"/>
      <c r="BN240" s="176" t="b">
        <f t="shared" si="24"/>
        <v>0</v>
      </c>
      <c r="BO240" s="176" t="b">
        <f t="shared" si="25"/>
        <v>0</v>
      </c>
      <c r="BP240" s="176" t="b">
        <f t="shared" si="26"/>
        <v>0</v>
      </c>
      <c r="BQ240" s="118"/>
      <c r="BR240" s="192" t="s">
        <v>206</v>
      </c>
      <c r="BS240" s="7" t="b">
        <f t="shared" si="27"/>
        <v>1</v>
      </c>
      <c r="BT240" s="176"/>
      <c r="BU240" s="176"/>
      <c r="BV240" s="176"/>
      <c r="BW240" s="176"/>
    </row>
    <row r="241">
      <c r="A241" s="167" t="s">
        <v>470</v>
      </c>
      <c r="B241" s="168">
        <v>44760.0</v>
      </c>
      <c r="C241" s="169">
        <v>0.21974537037037037</v>
      </c>
      <c r="D241" s="170"/>
      <c r="E241" s="240"/>
      <c r="F241" s="170"/>
      <c r="G241" s="167"/>
      <c r="H241" s="171"/>
      <c r="I241" s="172"/>
      <c r="J241" s="172"/>
      <c r="K241" s="170" t="s">
        <v>205</v>
      </c>
      <c r="L241" s="173"/>
      <c r="M241" s="174"/>
      <c r="N241" s="243"/>
      <c r="O241" s="193"/>
      <c r="P241" s="176" t="b">
        <f>IFNA(IF(VLOOKUP($A241,'Add from APT'!$AA$2:$AC264,3,FALSE)&gt;0,TRUE,FALSE),"ER - NOT IN APT")</f>
        <v>0</v>
      </c>
      <c r="Q241" s="172" t="str">
        <f>IF(ISLOGICAL(P241),IF(P241,"ER - REPS IN APT", IFNA(VLOOKUP($A241,RAW_APT!$A$3:$M264,7,FALSE),"ER - NOT IN APT")),P241)</f>
        <v>Collected</v>
      </c>
      <c r="R241" s="177" t="b">
        <f t="shared" si="102"/>
        <v>0</v>
      </c>
      <c r="S241" s="177">
        <f t="shared" si="3"/>
        <v>3</v>
      </c>
      <c r="T241" s="179"/>
      <c r="U241" s="172"/>
      <c r="V241" s="172"/>
      <c r="W241" s="172"/>
      <c r="X241" s="179" t="b">
        <f t="shared" si="259"/>
        <v>0</v>
      </c>
      <c r="Y241" s="176"/>
      <c r="Z241" s="181" t="str">
        <f t="shared" si="5"/>
        <v/>
      </c>
      <c r="AA241" s="178" t="b">
        <f t="shared" si="6"/>
        <v>0</v>
      </c>
      <c r="AB241" s="195"/>
      <c r="AC241" s="194">
        <v>17.0</v>
      </c>
      <c r="AD241" s="196"/>
      <c r="AE241" s="182" t="str">
        <f t="shared" si="7"/>
        <v/>
      </c>
      <c r="AF241" s="176" t="b">
        <f t="shared" si="103"/>
        <v>0</v>
      </c>
      <c r="AG241" s="176" t="b">
        <f t="shared" si="9"/>
        <v>1</v>
      </c>
      <c r="AH241" s="177">
        <v>9.1</v>
      </c>
      <c r="AI241" s="197"/>
      <c r="AJ241" s="176"/>
      <c r="AK241" s="181" t="str">
        <f t="shared" si="10"/>
        <v>DELETED</v>
      </c>
      <c r="AL241" s="178"/>
      <c r="AM241" s="94" t="s">
        <v>206</v>
      </c>
      <c r="AN241" s="94" t="s">
        <v>206</v>
      </c>
      <c r="AO241" s="178" t="str">
        <f>IFERROR(__xludf.DUMMYFUNCTION("IF($AG241, ""DELETED"",TRIM(JOIN("" "",D241:E241)))"),"DELETED")</f>
        <v>DELETED</v>
      </c>
      <c r="AP241" s="172" t="str">
        <f t="shared" ref="AP241:AQ241" si="285">IF($AG241, "DELETED", TRIM(CONCATENATE(F241,I241,U241)))</f>
        <v>DELETED</v>
      </c>
      <c r="AQ241" s="172" t="str">
        <f t="shared" si="285"/>
        <v>DELETED</v>
      </c>
      <c r="AR241" s="172" t="str">
        <f>IFERROR(__xludf.DUMMYFUNCTION("IF($AG241, ""DELETED"", TRIM(JOIN("" "",AP241,AQ241)))"),"DELETED")</f>
        <v>DELETED</v>
      </c>
      <c r="AS241" s="184"/>
      <c r="AT241" s="176" t="b">
        <f t="shared" si="12"/>
        <v>1</v>
      </c>
      <c r="AU241" s="176" t="str">
        <f t="shared" si="13"/>
        <v/>
      </c>
      <c r="AV241" s="176" t="str">
        <f t="shared" si="14"/>
        <v/>
      </c>
      <c r="AW241" s="176" t="str">
        <f t="shared" si="261"/>
        <v/>
      </c>
      <c r="AX241" s="185" t="str">
        <f t="shared" si="16"/>
        <v/>
      </c>
      <c r="AY241" s="172"/>
      <c r="AZ241" s="129"/>
      <c r="BA241" s="181" t="str">
        <f t="shared" si="17"/>
        <v/>
      </c>
      <c r="BB241" s="172"/>
      <c r="BC241" s="172"/>
      <c r="BD241" s="178"/>
      <c r="BE241" s="186"/>
      <c r="BF241" s="187" t="str">
        <f t="shared" si="18"/>
        <v/>
      </c>
      <c r="BG241" s="188" t="str">
        <f t="shared" si="19"/>
        <v/>
      </c>
      <c r="BH241" s="189" t="str">
        <f t="shared" si="20"/>
        <v/>
      </c>
      <c r="BI241" s="241"/>
      <c r="BJ241" s="190" t="str">
        <f t="shared" si="21"/>
        <v/>
      </c>
      <c r="BK241" s="191" t="b">
        <f t="shared" si="105"/>
        <v>0</v>
      </c>
      <c r="BL241" s="190" t="str">
        <f t="shared" si="23"/>
        <v/>
      </c>
      <c r="BM241" s="178"/>
      <c r="BN241" s="176" t="b">
        <f t="shared" si="24"/>
        <v>0</v>
      </c>
      <c r="BO241" s="176" t="b">
        <f t="shared" si="25"/>
        <v>0</v>
      </c>
      <c r="BP241" s="176" t="b">
        <f t="shared" si="26"/>
        <v>0</v>
      </c>
      <c r="BQ241" s="118"/>
      <c r="BR241" s="192" t="s">
        <v>206</v>
      </c>
      <c r="BS241" s="7" t="b">
        <f t="shared" si="27"/>
        <v>1</v>
      </c>
      <c r="BT241" s="176"/>
      <c r="BU241" s="176"/>
      <c r="BV241" s="176"/>
      <c r="BW241" s="176"/>
    </row>
    <row r="242">
      <c r="A242" s="167" t="s">
        <v>470</v>
      </c>
      <c r="B242" s="168">
        <v>44760.0</v>
      </c>
      <c r="C242" s="169">
        <v>0.21974537037037037</v>
      </c>
      <c r="D242" s="170"/>
      <c r="E242" s="240"/>
      <c r="F242" s="172"/>
      <c r="G242" s="242"/>
      <c r="H242" s="243"/>
      <c r="I242" s="170"/>
      <c r="J242" s="170"/>
      <c r="K242" s="170" t="s">
        <v>205</v>
      </c>
      <c r="L242" s="173"/>
      <c r="M242" s="174"/>
      <c r="N242" s="243"/>
      <c r="O242" s="193"/>
      <c r="P242" s="176" t="b">
        <f>IFNA(IF(VLOOKUP($A242,'Add from APT'!$AA$2:$AC264,3,FALSE)&gt;0,TRUE,FALSE),"ER - NOT IN APT")</f>
        <v>0</v>
      </c>
      <c r="Q242" s="172" t="str">
        <f>IF(ISLOGICAL(P242),IF(P242,"ER - REPS IN APT", IFNA(VLOOKUP($A242,RAW_APT!$A$3:$M264,7,FALSE),"ER - NOT IN APT")),P242)</f>
        <v>Collected</v>
      </c>
      <c r="R242" s="177" t="b">
        <f t="shared" si="102"/>
        <v>0</v>
      </c>
      <c r="S242" s="177">
        <f t="shared" si="3"/>
        <v>3</v>
      </c>
      <c r="T242" s="177"/>
      <c r="U242" s="172"/>
      <c r="V242" s="172"/>
      <c r="W242" s="178"/>
      <c r="X242" s="179" t="b">
        <f t="shared" si="259"/>
        <v>0</v>
      </c>
      <c r="Y242" s="180"/>
      <c r="Z242" s="181" t="str">
        <f t="shared" si="5"/>
        <v/>
      </c>
      <c r="AA242" s="178" t="b">
        <f t="shared" si="6"/>
        <v>0</v>
      </c>
      <c r="AB242" s="178"/>
      <c r="AC242" s="177">
        <v>18.0</v>
      </c>
      <c r="AD242" s="181"/>
      <c r="AE242" s="182" t="str">
        <f t="shared" si="7"/>
        <v/>
      </c>
      <c r="AF242" s="176" t="b">
        <f t="shared" si="103"/>
        <v>0</v>
      </c>
      <c r="AG242" s="176" t="b">
        <f t="shared" si="9"/>
        <v>1</v>
      </c>
      <c r="AH242" s="177">
        <v>9.1</v>
      </c>
      <c r="AI242" s="177"/>
      <c r="AJ242" s="183"/>
      <c r="AK242" s="181" t="str">
        <f t="shared" si="10"/>
        <v>DELETED</v>
      </c>
      <c r="AL242" s="178"/>
      <c r="AM242" s="94" t="s">
        <v>206</v>
      </c>
      <c r="AN242" s="94" t="s">
        <v>206</v>
      </c>
      <c r="AO242" s="178" t="str">
        <f>IFERROR(__xludf.DUMMYFUNCTION("IF($AG242, ""DELETED"",TRIM(JOIN("" "",D242:E242)))"),"DELETED")</f>
        <v>DELETED</v>
      </c>
      <c r="AP242" s="172" t="str">
        <f t="shared" ref="AP242:AQ242" si="286">IF($AG242, "DELETED", TRIM(CONCATENATE(F242,I242,U242)))</f>
        <v>DELETED</v>
      </c>
      <c r="AQ242" s="172" t="str">
        <f t="shared" si="286"/>
        <v>DELETED</v>
      </c>
      <c r="AR242" s="172" t="str">
        <f>IFERROR(__xludf.DUMMYFUNCTION("IF($AG242, ""DELETED"", TRIM(JOIN("" "",AP242,AQ242)))"),"DELETED")</f>
        <v>DELETED</v>
      </c>
      <c r="AS242" s="184"/>
      <c r="AT242" s="176" t="b">
        <f t="shared" si="12"/>
        <v>1</v>
      </c>
      <c r="AU242" s="176" t="str">
        <f t="shared" si="13"/>
        <v/>
      </c>
      <c r="AV242" s="176" t="str">
        <f t="shared" si="14"/>
        <v/>
      </c>
      <c r="AW242" s="176" t="str">
        <f t="shared" si="261"/>
        <v/>
      </c>
      <c r="AX242" s="185" t="str">
        <f t="shared" si="16"/>
        <v/>
      </c>
      <c r="AY242" s="178"/>
      <c r="AZ242" s="108"/>
      <c r="BA242" s="181" t="str">
        <f t="shared" si="17"/>
        <v/>
      </c>
      <c r="BB242" s="178"/>
      <c r="BC242" s="178"/>
      <c r="BD242" s="178"/>
      <c r="BE242" s="186"/>
      <c r="BF242" s="187" t="str">
        <f t="shared" si="18"/>
        <v/>
      </c>
      <c r="BG242" s="188" t="str">
        <f t="shared" si="19"/>
        <v/>
      </c>
      <c r="BH242" s="189" t="str">
        <f t="shared" si="20"/>
        <v/>
      </c>
      <c r="BI242" s="241"/>
      <c r="BJ242" s="190" t="str">
        <f t="shared" si="21"/>
        <v/>
      </c>
      <c r="BK242" s="191" t="b">
        <f t="shared" si="105"/>
        <v>0</v>
      </c>
      <c r="BL242" s="190" t="str">
        <f t="shared" si="23"/>
        <v/>
      </c>
      <c r="BM242" s="178"/>
      <c r="BN242" s="176" t="b">
        <f t="shared" si="24"/>
        <v>0</v>
      </c>
      <c r="BO242" s="176" t="b">
        <f t="shared" si="25"/>
        <v>0</v>
      </c>
      <c r="BP242" s="176" t="b">
        <f t="shared" si="26"/>
        <v>0</v>
      </c>
      <c r="BQ242" s="118"/>
      <c r="BR242" s="192" t="s">
        <v>206</v>
      </c>
      <c r="BS242" s="7" t="b">
        <f t="shared" si="27"/>
        <v>1</v>
      </c>
      <c r="BT242" s="176"/>
      <c r="BU242" s="176"/>
      <c r="BV242" s="176"/>
      <c r="BW242" s="176"/>
    </row>
    <row r="243">
      <c r="A243" s="86" t="s">
        <v>471</v>
      </c>
      <c r="B243" s="87">
        <v>44760.0</v>
      </c>
      <c r="C243" s="88">
        <v>0.3808796296296296</v>
      </c>
      <c r="D243" s="89"/>
      <c r="E243" s="89"/>
      <c r="F243" s="89"/>
      <c r="G243" s="86"/>
      <c r="H243" s="90"/>
      <c r="I243" s="3"/>
      <c r="J243" s="3"/>
      <c r="K243" s="89" t="s">
        <v>228</v>
      </c>
      <c r="L243" s="36">
        <v>44760.0</v>
      </c>
      <c r="M243" s="91">
        <v>0.42091435185185183</v>
      </c>
      <c r="N243" s="3"/>
      <c r="O243" s="92"/>
      <c r="P243" s="93" t="b">
        <f>IFNA(IF(VLOOKUP($A243,'Add from APT'!$AA$2:$AC264,3,FALSE)&gt;0,TRUE,FALSE),"ER - NOT IN APT")</f>
        <v>0</v>
      </c>
      <c r="Q243" s="94" t="str">
        <f>IF(ISLOGICAL(P243),IF(P243,"ER - REPS IN APT", IFNA(VLOOKUP($A243,RAW_APT!$A$3:$M264,7,FALSE),"ER - NOT IN APT")),P243)</f>
        <v>Result</v>
      </c>
      <c r="R243" s="95" t="b">
        <f t="shared" si="102"/>
        <v>1</v>
      </c>
      <c r="S243" s="96">
        <f t="shared" si="3"/>
        <v>2</v>
      </c>
      <c r="T243" s="97"/>
      <c r="U243" s="3"/>
      <c r="V243" s="3"/>
      <c r="W243" s="98"/>
      <c r="X243" s="99" t="b">
        <f t="shared" si="259"/>
        <v>0</v>
      </c>
      <c r="Y243" s="100"/>
      <c r="Z243" s="101" t="str">
        <f t="shared" si="5"/>
        <v/>
      </c>
      <c r="AA243" s="102" t="b">
        <f t="shared" si="6"/>
        <v>0</v>
      </c>
      <c r="AB243" s="98"/>
      <c r="AC243" s="103">
        <v>21.0</v>
      </c>
      <c r="AD243" s="104"/>
      <c r="AE243" s="105">
        <f t="shared" si="7"/>
        <v>57.65</v>
      </c>
      <c r="AF243" s="106" t="b">
        <f t="shared" si="103"/>
        <v>0</v>
      </c>
      <c r="AG243" s="93" t="b">
        <f t="shared" si="9"/>
        <v>0</v>
      </c>
      <c r="AH243" s="103"/>
      <c r="AI243" s="103"/>
      <c r="AJ243" s="97"/>
      <c r="AK243" s="101" t="str">
        <f t="shared" si="10"/>
        <v>Negative</v>
      </c>
      <c r="AL243" s="98"/>
      <c r="AM243" s="94" t="s">
        <v>365</v>
      </c>
      <c r="AN243" s="94" t="s">
        <v>472</v>
      </c>
      <c r="AO243" s="102" t="str">
        <f>IFERROR(__xludf.DUMMYFUNCTION("IF($AG243, ""DELETED"",TRIM(JOIN("" "",D243:E243)))"),"")</f>
        <v/>
      </c>
      <c r="AP243" s="94" t="str">
        <f t="shared" ref="AP243:AQ243" si="287">IF($AG243, "DELETED", TRIM(CONCATENATE(F243,I243,U243)))</f>
        <v/>
      </c>
      <c r="AQ243" s="94" t="str">
        <f t="shared" si="287"/>
        <v/>
      </c>
      <c r="AR243" s="94" t="str">
        <f>IFERROR(__xludf.DUMMYFUNCTION("IF($AG243, ""DELETED"", TRIM(JOIN("" "",AP243,AQ243)))"),"")</f>
        <v/>
      </c>
      <c r="AS243" s="9"/>
      <c r="AT243" s="93" t="b">
        <f t="shared" si="12"/>
        <v>0</v>
      </c>
      <c r="AU243" s="93" t="str">
        <f t="shared" si="13"/>
        <v/>
      </c>
      <c r="AV243" s="93" t="str">
        <f t="shared" si="14"/>
        <v/>
      </c>
      <c r="AW243" s="93" t="str">
        <f t="shared" si="261"/>
        <v/>
      </c>
      <c r="AX243" s="107" t="str">
        <f t="shared" si="16"/>
        <v/>
      </c>
      <c r="AY243" s="98"/>
      <c r="AZ243" s="108"/>
      <c r="BA243" s="109" t="str">
        <f t="shared" si="17"/>
        <v/>
      </c>
      <c r="BB243" s="98"/>
      <c r="BC243" s="98"/>
      <c r="BD243" s="108"/>
      <c r="BE243" s="134"/>
      <c r="BF243" s="111" t="str">
        <f t="shared" si="18"/>
        <v/>
      </c>
      <c r="BG243" s="112" t="str">
        <f t="shared" si="19"/>
        <v>AH7951__44760_0.38087962962963___Negative_44760_0.420914351851852_</v>
      </c>
      <c r="BH243" s="113" t="str">
        <f t="shared" si="20"/>
        <v/>
      </c>
      <c r="BI243" s="202"/>
      <c r="BJ243" s="114" t="str">
        <f t="shared" si="21"/>
        <v/>
      </c>
      <c r="BK243" s="115" t="b">
        <f t="shared" si="105"/>
        <v>0</v>
      </c>
      <c r="BL243" s="114" t="str">
        <f t="shared" si="23"/>
        <v/>
      </c>
      <c r="BM243" s="108"/>
      <c r="BN243" s="7" t="b">
        <f t="shared" si="24"/>
        <v>1</v>
      </c>
      <c r="BO243" s="7" t="b">
        <f t="shared" si="25"/>
        <v>0</v>
      </c>
      <c r="BP243" s="7" t="b">
        <f t="shared" si="26"/>
        <v>1</v>
      </c>
      <c r="BQ243" s="118"/>
      <c r="BR243" s="119" t="s">
        <v>228</v>
      </c>
      <c r="BS243" s="7" t="b">
        <f t="shared" si="27"/>
        <v>1</v>
      </c>
      <c r="BT243" s="7"/>
      <c r="BU243" s="7"/>
      <c r="BV243" s="7"/>
      <c r="BW243" s="7"/>
    </row>
    <row r="244">
      <c r="A244" s="86" t="s">
        <v>471</v>
      </c>
      <c r="B244" s="87">
        <v>44760.0</v>
      </c>
      <c r="C244" s="88">
        <v>0.3808796296296296</v>
      </c>
      <c r="D244" s="89"/>
      <c r="E244" s="89"/>
      <c r="F244" s="89"/>
      <c r="G244" s="86"/>
      <c r="H244" s="89"/>
      <c r="I244" s="3"/>
      <c r="J244" s="3"/>
      <c r="K244" s="89" t="s">
        <v>228</v>
      </c>
      <c r="L244" s="36">
        <v>44760.0</v>
      </c>
      <c r="M244" s="91">
        <v>0.42091435185185183</v>
      </c>
      <c r="N244" s="3"/>
      <c r="O244" s="92"/>
      <c r="P244" s="93" t="b">
        <f>IFNA(IF(VLOOKUP($A244,'Add from APT'!$AA$2:$AC264,3,FALSE)&gt;0,TRUE,FALSE),"ER - NOT IN APT")</f>
        <v>0</v>
      </c>
      <c r="Q244" s="94" t="str">
        <f>IF(ISLOGICAL(P244),IF(P244,"ER - REPS IN APT", IFNA(VLOOKUP($A244,RAW_APT!$A$3:$M264,7,FALSE),"ER - NOT IN APT")),P244)</f>
        <v>Result</v>
      </c>
      <c r="R244" s="95" t="b">
        <f t="shared" si="102"/>
        <v>0</v>
      </c>
      <c r="S244" s="96">
        <f t="shared" si="3"/>
        <v>2</v>
      </c>
      <c r="T244" s="97"/>
      <c r="U244" s="3"/>
      <c r="V244" s="3"/>
      <c r="W244" s="98"/>
      <c r="X244" s="99" t="b">
        <f t="shared" si="259"/>
        <v>0</v>
      </c>
      <c r="Y244" s="100"/>
      <c r="Z244" s="101" t="str">
        <f t="shared" si="5"/>
        <v/>
      </c>
      <c r="AA244" s="102" t="b">
        <f t="shared" si="6"/>
        <v>0</v>
      </c>
      <c r="AB244" s="98"/>
      <c r="AC244" s="103">
        <v>20.0</v>
      </c>
      <c r="AD244" s="104"/>
      <c r="AE244" s="105">
        <f t="shared" si="7"/>
        <v>57.65</v>
      </c>
      <c r="AF244" s="106" t="b">
        <f t="shared" si="103"/>
        <v>0</v>
      </c>
      <c r="AG244" s="93" t="b">
        <f t="shared" si="9"/>
        <v>0</v>
      </c>
      <c r="AH244" s="103"/>
      <c r="AI244" s="103"/>
      <c r="AJ244" s="97"/>
      <c r="AK244" s="101" t="str">
        <f t="shared" si="10"/>
        <v>Negative</v>
      </c>
      <c r="AL244" s="98"/>
      <c r="AM244" s="94" t="s">
        <v>365</v>
      </c>
      <c r="AN244" s="94" t="s">
        <v>473</v>
      </c>
      <c r="AO244" s="102" t="str">
        <f>IFERROR(__xludf.DUMMYFUNCTION("IF($AG244, ""DELETED"",TRIM(JOIN("" "",D244:E244)))"),"")</f>
        <v/>
      </c>
      <c r="AP244" s="94" t="str">
        <f t="shared" ref="AP244:AQ244" si="288">IF($AG244, "DELETED", TRIM(CONCATENATE(F244,I244,U244)))</f>
        <v/>
      </c>
      <c r="AQ244" s="94" t="str">
        <f t="shared" si="288"/>
        <v/>
      </c>
      <c r="AR244" s="94" t="str">
        <f>IFERROR(__xludf.DUMMYFUNCTION("IF($AG244, ""DELETED"", TRIM(JOIN("" "",AP244,AQ244)))"),"")</f>
        <v/>
      </c>
      <c r="AS244" s="9"/>
      <c r="AT244" s="93" t="b">
        <f t="shared" si="12"/>
        <v>0</v>
      </c>
      <c r="AU244" s="93" t="str">
        <f t="shared" si="13"/>
        <v/>
      </c>
      <c r="AV244" s="93" t="str">
        <f t="shared" si="14"/>
        <v/>
      </c>
      <c r="AW244" s="93" t="str">
        <f t="shared" si="261"/>
        <v/>
      </c>
      <c r="AX244" s="107" t="str">
        <f t="shared" si="16"/>
        <v/>
      </c>
      <c r="AY244" s="98"/>
      <c r="AZ244" s="108"/>
      <c r="BA244" s="109" t="str">
        <f t="shared" si="17"/>
        <v/>
      </c>
      <c r="BB244" s="98"/>
      <c r="BC244" s="98"/>
      <c r="BD244" s="108"/>
      <c r="BE244" s="134"/>
      <c r="BF244" s="111" t="str">
        <f t="shared" si="18"/>
        <v/>
      </c>
      <c r="BG244" s="112" t="str">
        <f t="shared" si="19"/>
        <v>AH7951__44760_0.38087962962963___Negative_44760_0.420914351851852_</v>
      </c>
      <c r="BH244" s="113" t="str">
        <f t="shared" si="20"/>
        <v/>
      </c>
      <c r="BI244" s="202"/>
      <c r="BJ244" s="114" t="str">
        <f t="shared" si="21"/>
        <v/>
      </c>
      <c r="BK244" s="115" t="b">
        <f t="shared" si="105"/>
        <v>0</v>
      </c>
      <c r="BL244" s="114" t="str">
        <f t="shared" si="23"/>
        <v/>
      </c>
      <c r="BM244" s="108"/>
      <c r="BN244" s="7" t="b">
        <f t="shared" si="24"/>
        <v>1</v>
      </c>
      <c r="BO244" s="7" t="b">
        <f t="shared" si="25"/>
        <v>0</v>
      </c>
      <c r="BP244" s="7" t="b">
        <f t="shared" si="26"/>
        <v>1</v>
      </c>
      <c r="BQ244" s="118"/>
      <c r="BR244" s="119" t="s">
        <v>228</v>
      </c>
      <c r="BS244" s="7" t="b">
        <f t="shared" si="27"/>
        <v>1</v>
      </c>
      <c r="BT244" s="7"/>
      <c r="BU244" s="7"/>
      <c r="BV244" s="7"/>
      <c r="BW244" s="7"/>
    </row>
    <row r="245">
      <c r="A245" s="86" t="s">
        <v>474</v>
      </c>
      <c r="B245" s="87">
        <v>44767.0</v>
      </c>
      <c r="C245" s="88">
        <v>0.20652777777777778</v>
      </c>
      <c r="D245" s="89"/>
      <c r="E245" s="89"/>
      <c r="F245" s="89"/>
      <c r="G245" s="86"/>
      <c r="H245" s="90"/>
      <c r="I245" s="3"/>
      <c r="J245" s="3"/>
      <c r="K245" s="89" t="s">
        <v>228</v>
      </c>
      <c r="L245" s="36">
        <v>44767.0</v>
      </c>
      <c r="M245" s="91">
        <v>0.43292824074074077</v>
      </c>
      <c r="N245" s="121"/>
      <c r="O245" s="92"/>
      <c r="P245" s="93" t="b">
        <f>IFNA(IF(VLOOKUP($A245,'Add from APT'!$AA$2:$AC264,3,FALSE)&gt;0,TRUE,FALSE),"ER - NOT IN APT")</f>
        <v>0</v>
      </c>
      <c r="Q245" s="94" t="str">
        <f>IF(ISLOGICAL(P245),IF(P245,"ER - REPS IN APT", IFNA(VLOOKUP($A245,RAW_APT!$A$3:$M264,7,FALSE),"ER - NOT IN APT")),P245)</f>
        <v>Result</v>
      </c>
      <c r="R245" s="95" t="b">
        <f t="shared" si="102"/>
        <v>1</v>
      </c>
      <c r="S245" s="96">
        <f t="shared" si="3"/>
        <v>3</v>
      </c>
      <c r="T245" s="97"/>
      <c r="U245" s="3"/>
      <c r="V245" s="3"/>
      <c r="W245" s="98"/>
      <c r="X245" s="99" t="b">
        <f t="shared" si="259"/>
        <v>0</v>
      </c>
      <c r="Y245" s="100"/>
      <c r="Z245" s="101" t="str">
        <f t="shared" si="5"/>
        <v/>
      </c>
      <c r="AA245" s="102" t="b">
        <f t="shared" si="6"/>
        <v>0</v>
      </c>
      <c r="AB245" s="98"/>
      <c r="AC245" s="103">
        <v>12.0</v>
      </c>
      <c r="AD245" s="104"/>
      <c r="AE245" s="105">
        <f t="shared" si="7"/>
        <v>326.0166667</v>
      </c>
      <c r="AF245" s="106" t="b">
        <f t="shared" si="103"/>
        <v>0</v>
      </c>
      <c r="AG245" s="93" t="b">
        <f t="shared" si="9"/>
        <v>0</v>
      </c>
      <c r="AH245" s="103"/>
      <c r="AI245" s="103"/>
      <c r="AJ245" s="97"/>
      <c r="AK245" s="101" t="str">
        <f t="shared" si="10"/>
        <v>Negative</v>
      </c>
      <c r="AL245" s="98"/>
      <c r="AM245" s="94" t="s">
        <v>406</v>
      </c>
      <c r="AN245" s="94" t="s">
        <v>387</v>
      </c>
      <c r="AO245" s="102" t="str">
        <f>IFERROR(__xludf.DUMMYFUNCTION("IF($AG245, ""DELETED"",TRIM(JOIN("" "",D245:E245)))"),"")</f>
        <v/>
      </c>
      <c r="AP245" s="94" t="str">
        <f t="shared" ref="AP245:AQ245" si="289">IF($AG245, "DELETED", TRIM(CONCATENATE(F245,I245,U245)))</f>
        <v/>
      </c>
      <c r="AQ245" s="94" t="str">
        <f t="shared" si="289"/>
        <v/>
      </c>
      <c r="AR245" s="94" t="str">
        <f>IFERROR(__xludf.DUMMYFUNCTION("IF($AG245, ""DELETED"", TRIM(JOIN("" "",AP245,AQ245)))"),"")</f>
        <v/>
      </c>
      <c r="AS245" s="9"/>
      <c r="AT245" s="93" t="b">
        <f t="shared" si="12"/>
        <v>0</v>
      </c>
      <c r="AU245" s="93" t="str">
        <f t="shared" si="13"/>
        <v/>
      </c>
      <c r="AV245" s="93" t="str">
        <f t="shared" si="14"/>
        <v/>
      </c>
      <c r="AW245" s="93" t="str">
        <f t="shared" si="261"/>
        <v/>
      </c>
      <c r="AX245" s="107" t="str">
        <f t="shared" si="16"/>
        <v/>
      </c>
      <c r="AY245" s="98"/>
      <c r="AZ245" s="108"/>
      <c r="BA245" s="109" t="str">
        <f t="shared" si="17"/>
        <v/>
      </c>
      <c r="BB245" s="98"/>
      <c r="BC245" s="98"/>
      <c r="BD245" s="108"/>
      <c r="BE245" s="143"/>
      <c r="BF245" s="111" t="str">
        <f t="shared" si="18"/>
        <v/>
      </c>
      <c r="BG245" s="112" t="str">
        <f t="shared" si="19"/>
        <v>AJ9836__44767_0.206527777777778___Negative_44767_0.432928240740741_</v>
      </c>
      <c r="BH245" s="113" t="str">
        <f t="shared" si="20"/>
        <v/>
      </c>
      <c r="BI245" s="203"/>
      <c r="BJ245" s="114" t="str">
        <f t="shared" si="21"/>
        <v/>
      </c>
      <c r="BK245" s="115" t="b">
        <f t="shared" si="105"/>
        <v>0</v>
      </c>
      <c r="BL245" s="114" t="str">
        <f t="shared" si="23"/>
        <v/>
      </c>
      <c r="BM245" s="108"/>
      <c r="BN245" s="7" t="b">
        <f t="shared" si="24"/>
        <v>1</v>
      </c>
      <c r="BO245" s="7" t="b">
        <f t="shared" si="25"/>
        <v>0</v>
      </c>
      <c r="BP245" s="7" t="b">
        <f t="shared" si="26"/>
        <v>1</v>
      </c>
      <c r="BQ245" s="118"/>
      <c r="BR245" s="119" t="s">
        <v>228</v>
      </c>
      <c r="BS245" s="7" t="b">
        <f t="shared" si="27"/>
        <v>1</v>
      </c>
      <c r="BT245" s="7"/>
      <c r="BU245" s="7"/>
      <c r="BV245" s="7"/>
      <c r="BW245" s="7"/>
    </row>
    <row r="246">
      <c r="A246" s="86" t="s">
        <v>474</v>
      </c>
      <c r="B246" s="87">
        <v>44767.0</v>
      </c>
      <c r="C246" s="88">
        <v>0.20652777777777778</v>
      </c>
      <c r="D246" s="89"/>
      <c r="E246" s="89"/>
      <c r="F246" s="89"/>
      <c r="G246" s="86"/>
      <c r="H246" s="89"/>
      <c r="I246" s="3"/>
      <c r="J246" s="3"/>
      <c r="K246" s="89" t="s">
        <v>228</v>
      </c>
      <c r="L246" s="36">
        <v>44767.0</v>
      </c>
      <c r="M246" s="91">
        <v>0.43292824074074077</v>
      </c>
      <c r="N246" s="3"/>
      <c r="O246" s="92"/>
      <c r="P246" s="93" t="b">
        <f>IFNA(IF(VLOOKUP($A246,'Add from APT'!$AA$2:$AC264,3,FALSE)&gt;0,TRUE,FALSE),"ER - NOT IN APT")</f>
        <v>0</v>
      </c>
      <c r="Q246" s="94" t="str">
        <f>IF(ISLOGICAL(P246),IF(P246,"ER - REPS IN APT", IFNA(VLOOKUP($A246,RAW_APT!$A$3:$M264,7,FALSE),"ER - NOT IN APT")),P246)</f>
        <v>Result</v>
      </c>
      <c r="R246" s="95" t="b">
        <f t="shared" si="102"/>
        <v>0</v>
      </c>
      <c r="S246" s="96">
        <f t="shared" si="3"/>
        <v>3</v>
      </c>
      <c r="T246" s="103"/>
      <c r="U246" s="3"/>
      <c r="V246" s="3"/>
      <c r="W246" s="98"/>
      <c r="X246" s="99" t="b">
        <f t="shared" si="259"/>
        <v>0</v>
      </c>
      <c r="Y246" s="100"/>
      <c r="Z246" s="101" t="str">
        <f t="shared" si="5"/>
        <v/>
      </c>
      <c r="AA246" s="102" t="b">
        <f t="shared" si="6"/>
        <v>0</v>
      </c>
      <c r="AB246" s="98"/>
      <c r="AC246" s="103">
        <v>13.0</v>
      </c>
      <c r="AD246" s="104"/>
      <c r="AE246" s="105">
        <f t="shared" si="7"/>
        <v>326.0166667</v>
      </c>
      <c r="AF246" s="106" t="b">
        <f t="shared" si="103"/>
        <v>0</v>
      </c>
      <c r="AG246" s="93" t="b">
        <f t="shared" si="9"/>
        <v>0</v>
      </c>
      <c r="AH246" s="103"/>
      <c r="AI246" s="103"/>
      <c r="AJ246" s="97"/>
      <c r="AK246" s="101" t="str">
        <f t="shared" si="10"/>
        <v>Negative</v>
      </c>
      <c r="AL246" s="98"/>
      <c r="AM246" s="94" t="s">
        <v>406</v>
      </c>
      <c r="AN246" s="94" t="s">
        <v>407</v>
      </c>
      <c r="AO246" s="102" t="str">
        <f>IFERROR(__xludf.DUMMYFUNCTION("IF($AG246, ""DELETED"",TRIM(JOIN("" "",D246:E246)))"),"")</f>
        <v/>
      </c>
      <c r="AP246" s="94" t="str">
        <f t="shared" ref="AP246:AQ246" si="290">IF($AG246, "DELETED", TRIM(CONCATENATE(F246,I246,U246)))</f>
        <v/>
      </c>
      <c r="AQ246" s="94" t="str">
        <f t="shared" si="290"/>
        <v/>
      </c>
      <c r="AR246" s="94" t="str">
        <f>IFERROR(__xludf.DUMMYFUNCTION("IF($AG246, ""DELETED"", TRIM(JOIN("" "",AP246,AQ246)))"),"")</f>
        <v/>
      </c>
      <c r="AS246" s="9"/>
      <c r="AT246" s="93" t="b">
        <f t="shared" si="12"/>
        <v>0</v>
      </c>
      <c r="AU246" s="93" t="str">
        <f t="shared" si="13"/>
        <v/>
      </c>
      <c r="AV246" s="93" t="str">
        <f t="shared" si="14"/>
        <v/>
      </c>
      <c r="AW246" s="93" t="str">
        <f t="shared" si="261"/>
        <v/>
      </c>
      <c r="AX246" s="107" t="str">
        <f t="shared" si="16"/>
        <v/>
      </c>
      <c r="AY246" s="98"/>
      <c r="AZ246" s="108"/>
      <c r="BA246" s="109" t="str">
        <f t="shared" si="17"/>
        <v/>
      </c>
      <c r="BB246" s="98"/>
      <c r="BC246" s="98"/>
      <c r="BD246" s="108"/>
      <c r="BE246" s="143"/>
      <c r="BF246" s="111" t="str">
        <f t="shared" si="18"/>
        <v/>
      </c>
      <c r="BG246" s="112" t="str">
        <f t="shared" si="19"/>
        <v>AJ9836__44767_0.206527777777778___Negative_44767_0.432928240740741_</v>
      </c>
      <c r="BH246" s="113" t="str">
        <f t="shared" si="20"/>
        <v/>
      </c>
      <c r="BI246" s="203"/>
      <c r="BJ246" s="114" t="str">
        <f t="shared" si="21"/>
        <v/>
      </c>
      <c r="BK246" s="115" t="b">
        <f t="shared" si="105"/>
        <v>0</v>
      </c>
      <c r="BL246" s="114" t="str">
        <f t="shared" si="23"/>
        <v/>
      </c>
      <c r="BM246" s="108"/>
      <c r="BN246" s="7" t="b">
        <f t="shared" si="24"/>
        <v>1</v>
      </c>
      <c r="BO246" s="7" t="b">
        <f t="shared" si="25"/>
        <v>0</v>
      </c>
      <c r="BP246" s="7" t="b">
        <f t="shared" si="26"/>
        <v>1</v>
      </c>
      <c r="BQ246" s="118"/>
      <c r="BR246" s="119" t="s">
        <v>228</v>
      </c>
      <c r="BS246" s="7" t="b">
        <f t="shared" si="27"/>
        <v>1</v>
      </c>
      <c r="BT246" s="7"/>
      <c r="BU246" s="7"/>
      <c r="BV246" s="7"/>
      <c r="BW246" s="7"/>
    </row>
    <row r="247">
      <c r="A247" s="86" t="s">
        <v>474</v>
      </c>
      <c r="B247" s="87">
        <v>44767.0</v>
      </c>
      <c r="C247" s="88">
        <v>0.20652777777777778</v>
      </c>
      <c r="D247" s="89"/>
      <c r="E247" s="245"/>
      <c r="F247" s="3"/>
      <c r="G247" s="120"/>
      <c r="H247" s="121"/>
      <c r="I247" s="89"/>
      <c r="J247" s="89"/>
      <c r="K247" s="89" t="s">
        <v>228</v>
      </c>
      <c r="L247" s="36">
        <v>44767.0</v>
      </c>
      <c r="M247" s="91">
        <v>0.43292824074074077</v>
      </c>
      <c r="N247" s="121"/>
      <c r="O247" s="92"/>
      <c r="P247" s="93" t="b">
        <f>IFNA(IF(VLOOKUP($A247,'Add from APT'!$AA$2:$AC264,3,FALSE)&gt;0,TRUE,FALSE),"ER - NOT IN APT")</f>
        <v>0</v>
      </c>
      <c r="Q247" s="94" t="str">
        <f>IF(ISLOGICAL(P247),IF(P247,"ER - REPS IN APT", IFNA(VLOOKUP($A247,RAW_APT!$A$3:$M264,7,FALSE),"ER - NOT IN APT")),P247)</f>
        <v>Result</v>
      </c>
      <c r="R247" s="95" t="b">
        <f t="shared" si="102"/>
        <v>0</v>
      </c>
      <c r="S247" s="96">
        <f t="shared" si="3"/>
        <v>3</v>
      </c>
      <c r="T247" s="97"/>
      <c r="U247" s="3"/>
      <c r="V247" s="3"/>
      <c r="W247" s="98"/>
      <c r="X247" s="99" t="b">
        <f t="shared" si="259"/>
        <v>0</v>
      </c>
      <c r="Y247" s="100"/>
      <c r="Z247" s="101" t="str">
        <f t="shared" si="5"/>
        <v/>
      </c>
      <c r="AA247" s="102" t="b">
        <f t="shared" si="6"/>
        <v>0</v>
      </c>
      <c r="AB247" s="98"/>
      <c r="AC247" s="103">
        <v>11.0</v>
      </c>
      <c r="AD247" s="104"/>
      <c r="AE247" s="105">
        <f t="shared" si="7"/>
        <v>326.0166667</v>
      </c>
      <c r="AF247" s="106" t="b">
        <f t="shared" si="103"/>
        <v>0</v>
      </c>
      <c r="AG247" s="93" t="b">
        <f t="shared" si="9"/>
        <v>0</v>
      </c>
      <c r="AH247" s="103"/>
      <c r="AI247" s="103"/>
      <c r="AJ247" s="97"/>
      <c r="AK247" s="101" t="str">
        <f t="shared" si="10"/>
        <v>Negative</v>
      </c>
      <c r="AL247" s="98"/>
      <c r="AM247" s="94" t="s">
        <v>406</v>
      </c>
      <c r="AN247" s="94" t="s">
        <v>386</v>
      </c>
      <c r="AO247" s="102" t="str">
        <f>IFERROR(__xludf.DUMMYFUNCTION("IF($AG247, ""DELETED"",TRIM(JOIN("" "",D247:E247)))"),"")</f>
        <v/>
      </c>
      <c r="AP247" s="94" t="str">
        <f t="shared" ref="AP247:AQ247" si="291">IF($AG247, "DELETED", TRIM(CONCATENATE(F247,I247,U247)))</f>
        <v/>
      </c>
      <c r="AQ247" s="94" t="str">
        <f t="shared" si="291"/>
        <v/>
      </c>
      <c r="AR247" s="94" t="str">
        <f>IFERROR(__xludf.DUMMYFUNCTION("IF($AG247, ""DELETED"", TRIM(JOIN("" "",AP247,AQ247)))"),"")</f>
        <v/>
      </c>
      <c r="AS247" s="9"/>
      <c r="AT247" s="93" t="b">
        <f t="shared" si="12"/>
        <v>0</v>
      </c>
      <c r="AU247" s="93" t="str">
        <f t="shared" si="13"/>
        <v/>
      </c>
      <c r="AV247" s="93" t="str">
        <f t="shared" si="14"/>
        <v/>
      </c>
      <c r="AW247" s="93" t="str">
        <f t="shared" si="261"/>
        <v/>
      </c>
      <c r="AX247" s="107" t="str">
        <f t="shared" si="16"/>
        <v/>
      </c>
      <c r="AY247" s="98"/>
      <c r="AZ247" s="108"/>
      <c r="BA247" s="109" t="str">
        <f t="shared" si="17"/>
        <v/>
      </c>
      <c r="BB247" s="98"/>
      <c r="BC247" s="98"/>
      <c r="BD247" s="108"/>
      <c r="BE247" s="143"/>
      <c r="BF247" s="111" t="str">
        <f t="shared" si="18"/>
        <v/>
      </c>
      <c r="BG247" s="112" t="str">
        <f t="shared" si="19"/>
        <v>AJ9836__44767_0.206527777777778___Negative_44767_0.432928240740741_</v>
      </c>
      <c r="BH247" s="113" t="str">
        <f t="shared" si="20"/>
        <v/>
      </c>
      <c r="BI247" s="203"/>
      <c r="BJ247" s="114" t="str">
        <f t="shared" si="21"/>
        <v/>
      </c>
      <c r="BK247" s="115" t="b">
        <f t="shared" si="105"/>
        <v>0</v>
      </c>
      <c r="BL247" s="114" t="str">
        <f t="shared" si="23"/>
        <v/>
      </c>
      <c r="BM247" s="108"/>
      <c r="BN247" s="7" t="b">
        <f t="shared" si="24"/>
        <v>1</v>
      </c>
      <c r="BO247" s="7" t="b">
        <f t="shared" si="25"/>
        <v>0</v>
      </c>
      <c r="BP247" s="7" t="b">
        <f t="shared" si="26"/>
        <v>1</v>
      </c>
      <c r="BQ247" s="118"/>
      <c r="BR247" s="119" t="s">
        <v>228</v>
      </c>
      <c r="BS247" s="7" t="b">
        <f t="shared" si="27"/>
        <v>1</v>
      </c>
      <c r="BT247" s="7"/>
      <c r="BU247" s="7"/>
      <c r="BV247" s="7"/>
      <c r="BW247" s="7"/>
    </row>
    <row r="248">
      <c r="A248" s="86" t="s">
        <v>475</v>
      </c>
      <c r="B248" s="87">
        <v>44767.0</v>
      </c>
      <c r="C248" s="88">
        <v>0.30244212962962963</v>
      </c>
      <c r="D248" s="89"/>
      <c r="E248" s="89"/>
      <c r="F248" s="89"/>
      <c r="G248" s="86"/>
      <c r="H248" s="90"/>
      <c r="I248" s="3"/>
      <c r="J248" s="3"/>
      <c r="K248" s="89" t="s">
        <v>228</v>
      </c>
      <c r="L248" s="36">
        <v>44767.0</v>
      </c>
      <c r="M248" s="91">
        <v>0.43292824074074077</v>
      </c>
      <c r="N248" s="3"/>
      <c r="O248" s="92"/>
      <c r="P248" s="93" t="b">
        <f>IFNA(IF(VLOOKUP($A248,'Add from APT'!$AA$2:$AC264,3,FALSE)&gt;0,TRUE,FALSE),"ER - NOT IN APT")</f>
        <v>0</v>
      </c>
      <c r="Q248" s="94" t="str">
        <f>IF(ISLOGICAL(P248),IF(P248,"ER - REPS IN APT", IFNA(VLOOKUP($A248,RAW_APT!$A$3:$M264,7,FALSE),"ER - NOT IN APT")),P248)</f>
        <v>Result</v>
      </c>
      <c r="R248" s="95" t="b">
        <f t="shared" si="102"/>
        <v>1</v>
      </c>
      <c r="S248" s="96">
        <f t="shared" si="3"/>
        <v>1</v>
      </c>
      <c r="T248" s="97"/>
      <c r="U248" s="3"/>
      <c r="V248" s="3"/>
      <c r="W248" s="98"/>
      <c r="X248" s="99" t="b">
        <f t="shared" si="259"/>
        <v>0</v>
      </c>
      <c r="Y248" s="100"/>
      <c r="Z248" s="101" t="str">
        <f t="shared" si="5"/>
        <v/>
      </c>
      <c r="AA248" s="102" t="b">
        <f t="shared" si="6"/>
        <v>0</v>
      </c>
      <c r="AB248" s="98"/>
      <c r="AC248" s="103">
        <v>14.0</v>
      </c>
      <c r="AD248" s="104"/>
      <c r="AE248" s="105">
        <f t="shared" si="7"/>
        <v>187.9</v>
      </c>
      <c r="AF248" s="106" t="b">
        <f t="shared" si="103"/>
        <v>0</v>
      </c>
      <c r="AG248" s="93" t="b">
        <f t="shared" si="9"/>
        <v>0</v>
      </c>
      <c r="AH248" s="103"/>
      <c r="AI248" s="103"/>
      <c r="AJ248" s="7"/>
      <c r="AK248" s="101" t="str">
        <f t="shared" si="10"/>
        <v>Negative</v>
      </c>
      <c r="AL248" s="98"/>
      <c r="AM248" s="94" t="s">
        <v>322</v>
      </c>
      <c r="AN248" s="94" t="s">
        <v>325</v>
      </c>
      <c r="AO248" s="102" t="str">
        <f>IFERROR(__xludf.DUMMYFUNCTION("IF($AG248, ""DELETED"",TRIM(JOIN("" "",D248:E248)))"),"")</f>
        <v/>
      </c>
      <c r="AP248" s="94" t="str">
        <f t="shared" ref="AP248:AQ248" si="292">IF($AG248, "DELETED", TRIM(CONCATENATE(F248,I248,U248)))</f>
        <v/>
      </c>
      <c r="AQ248" s="94" t="str">
        <f t="shared" si="292"/>
        <v/>
      </c>
      <c r="AR248" s="94" t="str">
        <f>IFERROR(__xludf.DUMMYFUNCTION("IF($AG248, ""DELETED"", TRIM(JOIN("" "",AP248,AQ248)))"),"")</f>
        <v/>
      </c>
      <c r="AS248" s="9"/>
      <c r="AT248" s="93" t="b">
        <f t="shared" si="12"/>
        <v>0</v>
      </c>
      <c r="AU248" s="93" t="str">
        <f t="shared" si="13"/>
        <v/>
      </c>
      <c r="AV248" s="93" t="str">
        <f t="shared" si="14"/>
        <v/>
      </c>
      <c r="AW248" s="93" t="str">
        <f t="shared" si="261"/>
        <v/>
      </c>
      <c r="AX248" s="107" t="str">
        <f t="shared" si="16"/>
        <v/>
      </c>
      <c r="AY248" s="3"/>
      <c r="AZ248" s="129"/>
      <c r="BA248" s="109" t="str">
        <f t="shared" si="17"/>
        <v/>
      </c>
      <c r="BB248" s="3"/>
      <c r="BC248" s="3"/>
      <c r="BD248" s="108"/>
      <c r="BE248" s="134"/>
      <c r="BF248" s="111" t="str">
        <f t="shared" si="18"/>
        <v/>
      </c>
      <c r="BG248" s="112" t="str">
        <f t="shared" si="19"/>
        <v>AH248__44767_0.30244212962963___Negative_44767_0.432928240740741_</v>
      </c>
      <c r="BH248" s="113" t="str">
        <f t="shared" si="20"/>
        <v/>
      </c>
      <c r="BI248" s="202"/>
      <c r="BJ248" s="114" t="str">
        <f t="shared" si="21"/>
        <v/>
      </c>
      <c r="BK248" s="115" t="b">
        <f t="shared" si="105"/>
        <v>0</v>
      </c>
      <c r="BL248" s="114" t="str">
        <f t="shared" si="23"/>
        <v/>
      </c>
      <c r="BM248" s="108"/>
      <c r="BN248" s="7" t="b">
        <f t="shared" si="24"/>
        <v>1</v>
      </c>
      <c r="BO248" s="7" t="b">
        <f t="shared" si="25"/>
        <v>0</v>
      </c>
      <c r="BP248" s="7" t="b">
        <f t="shared" si="26"/>
        <v>1</v>
      </c>
      <c r="BQ248" s="118"/>
      <c r="BR248" s="119" t="s">
        <v>228</v>
      </c>
      <c r="BS248" s="7" t="b">
        <f t="shared" si="27"/>
        <v>1</v>
      </c>
      <c r="BT248" s="7"/>
      <c r="BU248" s="7"/>
      <c r="BV248" s="7"/>
      <c r="BW248" s="7"/>
    </row>
    <row r="249">
      <c r="A249" s="86" t="s">
        <v>476</v>
      </c>
      <c r="B249" s="87">
        <v>44767.0</v>
      </c>
      <c r="C249" s="88">
        <v>0.3788773148148148</v>
      </c>
      <c r="D249" s="89"/>
      <c r="E249" s="245"/>
      <c r="F249" s="89"/>
      <c r="G249" s="86"/>
      <c r="H249" s="90"/>
      <c r="I249" s="3"/>
      <c r="J249" s="3"/>
      <c r="K249" s="89" t="s">
        <v>228</v>
      </c>
      <c r="L249" s="36">
        <v>44767.0</v>
      </c>
      <c r="M249" s="91">
        <v>0.4329398148148148</v>
      </c>
      <c r="N249" s="121"/>
      <c r="O249" s="92"/>
      <c r="P249" s="93" t="b">
        <f>IFNA(IF(VLOOKUP($A249,'Add from APT'!$AA$2:$AC264,3,FALSE)&gt;0,TRUE,FALSE),"ER - NOT IN APT")</f>
        <v>0</v>
      </c>
      <c r="Q249" s="94" t="str">
        <f>IF(ISLOGICAL(P249),IF(P249,"ER - REPS IN APT", IFNA(VLOOKUP($A249,RAW_APT!$A$3:$M264,7,FALSE),"ER - NOT IN APT")),P249)</f>
        <v>Result</v>
      </c>
      <c r="R249" s="95" t="b">
        <f t="shared" si="102"/>
        <v>1</v>
      </c>
      <c r="S249" s="96">
        <f t="shared" si="3"/>
        <v>2</v>
      </c>
      <c r="T249" s="97"/>
      <c r="U249" s="3"/>
      <c r="V249" s="3"/>
      <c r="W249" s="98"/>
      <c r="X249" s="99" t="b">
        <f t="shared" si="259"/>
        <v>0</v>
      </c>
      <c r="Y249" s="100"/>
      <c r="Z249" s="101" t="str">
        <f t="shared" si="5"/>
        <v/>
      </c>
      <c r="AA249" s="102" t="b">
        <f t="shared" si="6"/>
        <v>0</v>
      </c>
      <c r="AB249" s="98"/>
      <c r="AC249" s="103">
        <v>16.0</v>
      </c>
      <c r="AD249" s="104"/>
      <c r="AE249" s="105">
        <f t="shared" si="7"/>
        <v>77.85</v>
      </c>
      <c r="AF249" s="106" t="b">
        <f t="shared" si="103"/>
        <v>0</v>
      </c>
      <c r="AG249" s="93" t="b">
        <f t="shared" si="9"/>
        <v>0</v>
      </c>
      <c r="AH249" s="103"/>
      <c r="AI249" s="103"/>
      <c r="AJ249" s="97"/>
      <c r="AK249" s="101" t="str">
        <f t="shared" si="10"/>
        <v>Negative</v>
      </c>
      <c r="AL249" s="98"/>
      <c r="AM249" s="94" t="s">
        <v>365</v>
      </c>
      <c r="AN249" s="94" t="s">
        <v>472</v>
      </c>
      <c r="AO249" s="102" t="str">
        <f>IFERROR(__xludf.DUMMYFUNCTION("IF($AG249, ""DELETED"",TRIM(JOIN("" "",D249:E249)))"),"")</f>
        <v/>
      </c>
      <c r="AP249" s="94" t="str">
        <f t="shared" ref="AP249:AQ249" si="293">IF($AG249, "DELETED", TRIM(CONCATENATE(F249,I249,U249)))</f>
        <v/>
      </c>
      <c r="AQ249" s="94" t="str">
        <f t="shared" si="293"/>
        <v/>
      </c>
      <c r="AR249" s="94" t="str">
        <f>IFERROR(__xludf.DUMMYFUNCTION("IF($AG249, ""DELETED"", TRIM(JOIN("" "",AP249,AQ249)))"),"")</f>
        <v/>
      </c>
      <c r="AS249" s="9"/>
      <c r="AT249" s="93" t="b">
        <f t="shared" si="12"/>
        <v>0</v>
      </c>
      <c r="AU249" s="93" t="str">
        <f t="shared" si="13"/>
        <v/>
      </c>
      <c r="AV249" s="93" t="str">
        <f t="shared" si="14"/>
        <v/>
      </c>
      <c r="AW249" s="93" t="str">
        <f t="shared" si="261"/>
        <v/>
      </c>
      <c r="AX249" s="107" t="str">
        <f t="shared" si="16"/>
        <v/>
      </c>
      <c r="AY249" s="98"/>
      <c r="AZ249" s="108"/>
      <c r="BA249" s="109" t="str">
        <f t="shared" si="17"/>
        <v/>
      </c>
      <c r="BB249" s="98"/>
      <c r="BC249" s="98"/>
      <c r="BD249" s="108"/>
      <c r="BE249" s="134"/>
      <c r="BF249" s="111" t="str">
        <f t="shared" si="18"/>
        <v/>
      </c>
      <c r="BG249" s="112" t="str">
        <f t="shared" si="19"/>
        <v>AG1224__44767_0.378877314814815___Negative_44767_0.432939814814815_</v>
      </c>
      <c r="BH249" s="113" t="str">
        <f t="shared" si="20"/>
        <v/>
      </c>
      <c r="BI249" s="202"/>
      <c r="BJ249" s="114" t="str">
        <f t="shared" si="21"/>
        <v/>
      </c>
      <c r="BK249" s="115" t="b">
        <f t="shared" si="105"/>
        <v>0</v>
      </c>
      <c r="BL249" s="114" t="str">
        <f t="shared" si="23"/>
        <v/>
      </c>
      <c r="BM249" s="108"/>
      <c r="BN249" s="7" t="b">
        <f t="shared" si="24"/>
        <v>1</v>
      </c>
      <c r="BO249" s="7" t="b">
        <f t="shared" si="25"/>
        <v>0</v>
      </c>
      <c r="BP249" s="7" t="b">
        <f t="shared" si="26"/>
        <v>1</v>
      </c>
      <c r="BQ249" s="118"/>
      <c r="BR249" s="119" t="s">
        <v>228</v>
      </c>
      <c r="BS249" s="7" t="b">
        <f t="shared" si="27"/>
        <v>1</v>
      </c>
      <c r="BT249" s="7"/>
      <c r="BU249" s="7"/>
      <c r="BV249" s="7"/>
      <c r="BW249" s="7"/>
    </row>
    <row r="250">
      <c r="A250" s="86" t="s">
        <v>476</v>
      </c>
      <c r="B250" s="87">
        <v>44767.0</v>
      </c>
      <c r="C250" s="88">
        <v>0.3788773148148148</v>
      </c>
      <c r="D250" s="89"/>
      <c r="E250" s="245"/>
      <c r="F250" s="89"/>
      <c r="G250" s="86"/>
      <c r="H250" s="90"/>
      <c r="I250" s="3"/>
      <c r="J250" s="3"/>
      <c r="K250" s="89" t="s">
        <v>228</v>
      </c>
      <c r="L250" s="36">
        <v>44767.0</v>
      </c>
      <c r="M250" s="91">
        <v>0.4329398148148148</v>
      </c>
      <c r="N250" s="121"/>
      <c r="O250" s="92"/>
      <c r="P250" s="93" t="b">
        <f>IFNA(IF(VLOOKUP($A250,'Add from APT'!$AA$2:$AC264,3,FALSE)&gt;0,TRUE,FALSE),"ER - NOT IN APT")</f>
        <v>0</v>
      </c>
      <c r="Q250" s="94" t="str">
        <f>IF(ISLOGICAL(P250),IF(P250,"ER - REPS IN APT", IFNA(VLOOKUP($A250,RAW_APT!$A$3:$M264,7,FALSE),"ER - NOT IN APT")),P250)</f>
        <v>Result</v>
      </c>
      <c r="R250" s="95" t="b">
        <f t="shared" si="102"/>
        <v>0</v>
      </c>
      <c r="S250" s="96">
        <f t="shared" si="3"/>
        <v>2</v>
      </c>
      <c r="T250" s="103"/>
      <c r="U250" s="3"/>
      <c r="V250" s="3"/>
      <c r="W250" s="98"/>
      <c r="X250" s="99" t="b">
        <f t="shared" si="259"/>
        <v>0</v>
      </c>
      <c r="Y250" s="100"/>
      <c r="Z250" s="101" t="str">
        <f t="shared" si="5"/>
        <v/>
      </c>
      <c r="AA250" s="102" t="b">
        <f t="shared" si="6"/>
        <v>0</v>
      </c>
      <c r="AB250" s="98"/>
      <c r="AC250" s="103">
        <v>15.0</v>
      </c>
      <c r="AD250" s="104"/>
      <c r="AE250" s="105">
        <f t="shared" si="7"/>
        <v>77.85</v>
      </c>
      <c r="AF250" s="106" t="b">
        <f t="shared" si="103"/>
        <v>0</v>
      </c>
      <c r="AG250" s="93" t="b">
        <f t="shared" si="9"/>
        <v>0</v>
      </c>
      <c r="AH250" s="103"/>
      <c r="AI250" s="103"/>
      <c r="AJ250" s="97"/>
      <c r="AK250" s="101" t="str">
        <f t="shared" si="10"/>
        <v>Negative</v>
      </c>
      <c r="AL250" s="98"/>
      <c r="AM250" s="94" t="s">
        <v>365</v>
      </c>
      <c r="AN250" s="94" t="s">
        <v>473</v>
      </c>
      <c r="AO250" s="102" t="str">
        <f>IFERROR(__xludf.DUMMYFUNCTION("IF($AG250, ""DELETED"",TRIM(JOIN("" "",D250:E250)))"),"")</f>
        <v/>
      </c>
      <c r="AP250" s="94" t="str">
        <f t="shared" ref="AP250:AQ250" si="294">IF($AG250, "DELETED", TRIM(CONCATENATE(F250,I250,U250)))</f>
        <v/>
      </c>
      <c r="AQ250" s="94" t="str">
        <f t="shared" si="294"/>
        <v/>
      </c>
      <c r="AR250" s="94" t="str">
        <f>IFERROR(__xludf.DUMMYFUNCTION("IF($AG250, ""DELETED"", TRIM(JOIN("" "",AP250,AQ250)))"),"")</f>
        <v/>
      </c>
      <c r="AS250" s="9"/>
      <c r="AT250" s="93" t="b">
        <f t="shared" si="12"/>
        <v>0</v>
      </c>
      <c r="AU250" s="93" t="str">
        <f t="shared" si="13"/>
        <v/>
      </c>
      <c r="AV250" s="93" t="str">
        <f t="shared" si="14"/>
        <v/>
      </c>
      <c r="AW250" s="93" t="str">
        <f t="shared" si="261"/>
        <v/>
      </c>
      <c r="AX250" s="107" t="str">
        <f t="shared" si="16"/>
        <v/>
      </c>
      <c r="AY250" s="98"/>
      <c r="AZ250" s="108"/>
      <c r="BA250" s="109" t="str">
        <f t="shared" si="17"/>
        <v/>
      </c>
      <c r="BB250" s="98"/>
      <c r="BC250" s="98"/>
      <c r="BD250" s="108"/>
      <c r="BE250" s="134"/>
      <c r="BF250" s="111" t="str">
        <f t="shared" si="18"/>
        <v/>
      </c>
      <c r="BG250" s="112" t="str">
        <f t="shared" si="19"/>
        <v>AG1224__44767_0.378877314814815___Negative_44767_0.432939814814815_</v>
      </c>
      <c r="BH250" s="113" t="str">
        <f t="shared" si="20"/>
        <v/>
      </c>
      <c r="BI250" s="202"/>
      <c r="BJ250" s="114" t="str">
        <f t="shared" si="21"/>
        <v/>
      </c>
      <c r="BK250" s="115" t="b">
        <f t="shared" si="105"/>
        <v>0</v>
      </c>
      <c r="BL250" s="114" t="str">
        <f t="shared" si="23"/>
        <v/>
      </c>
      <c r="BM250" s="108"/>
      <c r="BN250" s="7" t="b">
        <f t="shared" si="24"/>
        <v>1</v>
      </c>
      <c r="BO250" s="7" t="b">
        <f t="shared" si="25"/>
        <v>0</v>
      </c>
      <c r="BP250" s="7" t="b">
        <f t="shared" si="26"/>
        <v>1</v>
      </c>
      <c r="BQ250" s="118"/>
      <c r="BR250" s="119" t="s">
        <v>228</v>
      </c>
      <c r="BS250" s="7" t="b">
        <f t="shared" si="27"/>
        <v>1</v>
      </c>
      <c r="BT250" s="7"/>
      <c r="BU250" s="7"/>
      <c r="BV250" s="7"/>
      <c r="BW250" s="7"/>
    </row>
    <row r="251">
      <c r="A251" s="86" t="s">
        <v>477</v>
      </c>
      <c r="B251" s="87">
        <v>44774.0</v>
      </c>
      <c r="C251" s="88">
        <v>0.21421296296296297</v>
      </c>
      <c r="D251" s="89"/>
      <c r="E251" s="89"/>
      <c r="F251" s="89"/>
      <c r="G251" s="86"/>
      <c r="H251" s="90"/>
      <c r="I251" s="3"/>
      <c r="J251" s="3"/>
      <c r="K251" s="89" t="s">
        <v>228</v>
      </c>
      <c r="L251" s="36">
        <v>44816.0</v>
      </c>
      <c r="M251" s="91">
        <v>0.3939814814814815</v>
      </c>
      <c r="N251" s="121"/>
      <c r="O251" s="92"/>
      <c r="P251" s="93" t="b">
        <f>IFNA(IF(VLOOKUP($A251,'Add from APT'!$AA$2:$AC264,3,FALSE)&gt;0,TRUE,FALSE),"ER - NOT IN APT")</f>
        <v>0</v>
      </c>
      <c r="Q251" s="94" t="str">
        <f>IF(ISLOGICAL(P251),IF(P251,"ER - REPS IN APT", IFNA(VLOOKUP($A251,RAW_APT!$A$3:$M264,7,FALSE),"ER - NOT IN APT")),P251)</f>
        <v>Result</v>
      </c>
      <c r="R251" s="95" t="b">
        <f t="shared" si="102"/>
        <v>1</v>
      </c>
      <c r="S251" s="96">
        <f t="shared" si="3"/>
        <v>3</v>
      </c>
      <c r="T251" s="103"/>
      <c r="U251" s="3"/>
      <c r="V251" s="3"/>
      <c r="W251" s="98"/>
      <c r="X251" s="99" t="b">
        <f t="shared" si="259"/>
        <v>0</v>
      </c>
      <c r="Y251" s="100"/>
      <c r="Z251" s="101" t="str">
        <f t="shared" si="5"/>
        <v/>
      </c>
      <c r="AA251" s="102" t="b">
        <f t="shared" si="6"/>
        <v>0</v>
      </c>
      <c r="AB251" s="98"/>
      <c r="AC251" s="103">
        <v>9.0</v>
      </c>
      <c r="AD251" s="104"/>
      <c r="AE251" s="105" t="str">
        <f t="shared" si="7"/>
        <v/>
      </c>
      <c r="AF251" s="106" t="b">
        <f t="shared" si="103"/>
        <v>0</v>
      </c>
      <c r="AG251" s="93" t="b">
        <f t="shared" si="9"/>
        <v>0</v>
      </c>
      <c r="AH251" s="103"/>
      <c r="AI251" s="103"/>
      <c r="AJ251" s="97"/>
      <c r="AK251" s="101" t="str">
        <f t="shared" si="10"/>
        <v>Negative</v>
      </c>
      <c r="AL251" s="104"/>
      <c r="AM251" s="94" t="s">
        <v>322</v>
      </c>
      <c r="AN251" s="94" t="s">
        <v>325</v>
      </c>
      <c r="AO251" s="102" t="str">
        <f>IFERROR(__xludf.DUMMYFUNCTION("IF($AG251, ""DELETED"",TRIM(JOIN("" "",D251:E251)))"),"")</f>
        <v/>
      </c>
      <c r="AP251" s="94" t="str">
        <f t="shared" ref="AP251:AQ251" si="295">IF($AG251, "DELETED", TRIM(CONCATENATE(F251,I251,U251)))</f>
        <v/>
      </c>
      <c r="AQ251" s="94" t="str">
        <f t="shared" si="295"/>
        <v/>
      </c>
      <c r="AR251" s="94" t="str">
        <f>IFERROR(__xludf.DUMMYFUNCTION("IF($AG251, ""DELETED"", TRIM(JOIN("" "",AP251,AQ251)))"),"")</f>
        <v/>
      </c>
      <c r="AS251" s="9"/>
      <c r="AT251" s="93" t="b">
        <f t="shared" si="12"/>
        <v>0</v>
      </c>
      <c r="AU251" s="93" t="str">
        <f t="shared" si="13"/>
        <v/>
      </c>
      <c r="AV251" s="93" t="str">
        <f t="shared" si="14"/>
        <v/>
      </c>
      <c r="AW251" s="93" t="str">
        <f t="shared" si="261"/>
        <v/>
      </c>
      <c r="AX251" s="107" t="str">
        <f t="shared" si="16"/>
        <v/>
      </c>
      <c r="AY251" s="98"/>
      <c r="AZ251" s="108"/>
      <c r="BA251" s="109" t="str">
        <f t="shared" si="17"/>
        <v/>
      </c>
      <c r="BB251" s="98"/>
      <c r="BC251" s="98"/>
      <c r="BD251" s="108"/>
      <c r="BE251" s="134"/>
      <c r="BF251" s="111" t="str">
        <f t="shared" si="18"/>
        <v/>
      </c>
      <c r="BG251" s="112" t="str">
        <f t="shared" si="19"/>
        <v>AG299__44774_0.214212962962963___Negative_44816_0.393981481481482_</v>
      </c>
      <c r="BH251" s="113" t="str">
        <f t="shared" si="20"/>
        <v/>
      </c>
      <c r="BI251" s="202"/>
      <c r="BJ251" s="114" t="str">
        <f t="shared" si="21"/>
        <v/>
      </c>
      <c r="BK251" s="115" t="b">
        <f t="shared" si="105"/>
        <v>0</v>
      </c>
      <c r="BL251" s="114" t="str">
        <f t="shared" si="23"/>
        <v/>
      </c>
      <c r="BM251" s="108"/>
      <c r="BN251" s="7" t="b">
        <f t="shared" si="24"/>
        <v>1</v>
      </c>
      <c r="BO251" s="7" t="b">
        <f t="shared" si="25"/>
        <v>0</v>
      </c>
      <c r="BP251" s="7" t="b">
        <f t="shared" si="26"/>
        <v>1</v>
      </c>
      <c r="BQ251" s="118"/>
      <c r="BR251" s="119" t="s">
        <v>228</v>
      </c>
      <c r="BS251" s="7" t="b">
        <f t="shared" si="27"/>
        <v>1</v>
      </c>
      <c r="BT251" s="7"/>
      <c r="BU251" s="7"/>
      <c r="BV251" s="7"/>
      <c r="BW251" s="7"/>
    </row>
    <row r="252">
      <c r="A252" s="86" t="s">
        <v>477</v>
      </c>
      <c r="B252" s="87">
        <v>44774.0</v>
      </c>
      <c r="C252" s="88">
        <v>0.21421296296296297</v>
      </c>
      <c r="D252" s="89"/>
      <c r="E252" s="89"/>
      <c r="F252" s="89"/>
      <c r="G252" s="86"/>
      <c r="H252" s="90"/>
      <c r="I252" s="3"/>
      <c r="J252" s="3"/>
      <c r="K252" s="89" t="s">
        <v>228</v>
      </c>
      <c r="L252" s="36">
        <v>44816.0</v>
      </c>
      <c r="M252" s="91">
        <v>0.3939814814814815</v>
      </c>
      <c r="N252" s="121"/>
      <c r="O252" s="92"/>
      <c r="P252" s="93" t="b">
        <f>IFNA(IF(VLOOKUP($A252,'Add from APT'!$AA$2:$AC264,3,FALSE)&gt;0,TRUE,FALSE),"ER - NOT IN APT")</f>
        <v>0</v>
      </c>
      <c r="Q252" s="94" t="str">
        <f>IF(ISLOGICAL(P252),IF(P252,"ER - REPS IN APT", IFNA(VLOOKUP($A252,RAW_APT!$A$3:$M264,7,FALSE),"ER - NOT IN APT")),P252)</f>
        <v>Result</v>
      </c>
      <c r="R252" s="95" t="b">
        <f t="shared" si="102"/>
        <v>0</v>
      </c>
      <c r="S252" s="96">
        <f t="shared" si="3"/>
        <v>3</v>
      </c>
      <c r="T252" s="97"/>
      <c r="U252" s="3"/>
      <c r="V252" s="3"/>
      <c r="W252" s="9"/>
      <c r="X252" s="99" t="b">
        <f t="shared" si="259"/>
        <v>0</v>
      </c>
      <c r="Y252" s="100"/>
      <c r="Z252" s="101" t="str">
        <f t="shared" si="5"/>
        <v/>
      </c>
      <c r="AA252" s="102" t="b">
        <f t="shared" si="6"/>
        <v>0</v>
      </c>
      <c r="AB252" s="98"/>
      <c r="AC252" s="103">
        <v>10.0</v>
      </c>
      <c r="AD252" s="104"/>
      <c r="AE252" s="105" t="str">
        <f t="shared" si="7"/>
        <v/>
      </c>
      <c r="AF252" s="106" t="b">
        <f t="shared" si="103"/>
        <v>0</v>
      </c>
      <c r="AG252" s="93" t="b">
        <f t="shared" si="9"/>
        <v>0</v>
      </c>
      <c r="AH252" s="103"/>
      <c r="AI252" s="103"/>
      <c r="AJ252" s="97"/>
      <c r="AK252" s="101" t="str">
        <f t="shared" si="10"/>
        <v>Negative</v>
      </c>
      <c r="AL252" s="98"/>
      <c r="AM252" s="94" t="s">
        <v>322</v>
      </c>
      <c r="AN252" s="94" t="s">
        <v>327</v>
      </c>
      <c r="AO252" s="102" t="str">
        <f>IFERROR(__xludf.DUMMYFUNCTION("IF($AG252, ""DELETED"",TRIM(JOIN("" "",D252:E252)))"),"")</f>
        <v/>
      </c>
      <c r="AP252" s="94" t="str">
        <f t="shared" ref="AP252:AQ252" si="296">IF($AG252, "DELETED", TRIM(CONCATENATE(F252,I252,U252)))</f>
        <v/>
      </c>
      <c r="AQ252" s="94" t="str">
        <f t="shared" si="296"/>
        <v/>
      </c>
      <c r="AR252" s="94" t="str">
        <f>IFERROR(__xludf.DUMMYFUNCTION("IF($AG252, ""DELETED"", TRIM(JOIN("" "",AP252,AQ252)))"),"")</f>
        <v/>
      </c>
      <c r="AS252" s="9"/>
      <c r="AT252" s="93" t="b">
        <f t="shared" si="12"/>
        <v>0</v>
      </c>
      <c r="AU252" s="93" t="str">
        <f t="shared" si="13"/>
        <v/>
      </c>
      <c r="AV252" s="93" t="str">
        <f t="shared" si="14"/>
        <v/>
      </c>
      <c r="AW252" s="93" t="str">
        <f t="shared" si="261"/>
        <v/>
      </c>
      <c r="AX252" s="107" t="str">
        <f t="shared" si="16"/>
        <v/>
      </c>
      <c r="AY252" s="98"/>
      <c r="AZ252" s="108"/>
      <c r="BA252" s="109" t="str">
        <f t="shared" si="17"/>
        <v/>
      </c>
      <c r="BB252" s="98"/>
      <c r="BC252" s="98"/>
      <c r="BD252" s="108"/>
      <c r="BE252" s="134"/>
      <c r="BF252" s="111" t="str">
        <f t="shared" si="18"/>
        <v/>
      </c>
      <c r="BG252" s="112" t="str">
        <f t="shared" si="19"/>
        <v>AG299__44774_0.214212962962963___Negative_44816_0.393981481481482_</v>
      </c>
      <c r="BH252" s="113" t="str">
        <f t="shared" si="20"/>
        <v/>
      </c>
      <c r="BI252" s="202"/>
      <c r="BJ252" s="114" t="str">
        <f t="shared" si="21"/>
        <v/>
      </c>
      <c r="BK252" s="115" t="b">
        <f t="shared" si="105"/>
        <v>0</v>
      </c>
      <c r="BL252" s="114" t="str">
        <f t="shared" si="23"/>
        <v/>
      </c>
      <c r="BM252" s="108"/>
      <c r="BN252" s="7" t="b">
        <f t="shared" si="24"/>
        <v>1</v>
      </c>
      <c r="BO252" s="7" t="b">
        <f t="shared" si="25"/>
        <v>0</v>
      </c>
      <c r="BP252" s="7" t="b">
        <f t="shared" si="26"/>
        <v>1</v>
      </c>
      <c r="BQ252" s="118"/>
      <c r="BR252" s="119" t="s">
        <v>228</v>
      </c>
      <c r="BS252" s="7" t="b">
        <f t="shared" si="27"/>
        <v>1</v>
      </c>
      <c r="BT252" s="7"/>
      <c r="BU252" s="7"/>
      <c r="BV252" s="7"/>
      <c r="BW252" s="7"/>
    </row>
    <row r="253">
      <c r="A253" s="86" t="s">
        <v>477</v>
      </c>
      <c r="B253" s="87">
        <v>44774.0</v>
      </c>
      <c r="C253" s="88">
        <v>0.21421296296296297</v>
      </c>
      <c r="D253" s="89"/>
      <c r="E253" s="245"/>
      <c r="F253" s="3"/>
      <c r="G253" s="120"/>
      <c r="H253" s="121"/>
      <c r="I253" s="89"/>
      <c r="J253" s="89"/>
      <c r="K253" s="89" t="s">
        <v>228</v>
      </c>
      <c r="L253" s="36">
        <v>44816.0</v>
      </c>
      <c r="M253" s="91">
        <v>0.3939814814814815</v>
      </c>
      <c r="N253" s="3"/>
      <c r="O253" s="92"/>
      <c r="P253" s="93" t="b">
        <f>IFNA(IF(VLOOKUP($A253,'Add from APT'!$AA$2:$AC264,3,FALSE)&gt;0,TRUE,FALSE),"ER - NOT IN APT")</f>
        <v>0</v>
      </c>
      <c r="Q253" s="94" t="str">
        <f>IF(ISLOGICAL(P253),IF(P253,"ER - REPS IN APT", IFNA(VLOOKUP($A253,RAW_APT!$A$3:$M264,7,FALSE),"ER - NOT IN APT")),P253)</f>
        <v>Result</v>
      </c>
      <c r="R253" s="95" t="b">
        <f t="shared" si="102"/>
        <v>0</v>
      </c>
      <c r="S253" s="96">
        <f t="shared" si="3"/>
        <v>3</v>
      </c>
      <c r="T253" s="103"/>
      <c r="U253" s="3"/>
      <c r="V253" s="3"/>
      <c r="W253" s="98"/>
      <c r="X253" s="99" t="b">
        <f t="shared" si="259"/>
        <v>0</v>
      </c>
      <c r="Y253" s="100"/>
      <c r="Z253" s="101" t="str">
        <f t="shared" si="5"/>
        <v/>
      </c>
      <c r="AA253" s="102" t="b">
        <f t="shared" si="6"/>
        <v>0</v>
      </c>
      <c r="AB253" s="98"/>
      <c r="AC253" s="103">
        <v>8.0</v>
      </c>
      <c r="AD253" s="104"/>
      <c r="AE253" s="105" t="str">
        <f t="shared" si="7"/>
        <v/>
      </c>
      <c r="AF253" s="106" t="b">
        <f t="shared" si="103"/>
        <v>0</v>
      </c>
      <c r="AG253" s="93" t="b">
        <f t="shared" si="9"/>
        <v>0</v>
      </c>
      <c r="AH253" s="103"/>
      <c r="AI253" s="103"/>
      <c r="AJ253" s="97"/>
      <c r="AK253" s="101" t="str">
        <f t="shared" si="10"/>
        <v>Negative</v>
      </c>
      <c r="AL253" s="104"/>
      <c r="AM253" s="94" t="s">
        <v>322</v>
      </c>
      <c r="AN253" s="94" t="s">
        <v>329</v>
      </c>
      <c r="AO253" s="102" t="str">
        <f>IFERROR(__xludf.DUMMYFUNCTION("IF($AG253, ""DELETED"",TRIM(JOIN("" "",D253:E253)))"),"")</f>
        <v/>
      </c>
      <c r="AP253" s="94" t="str">
        <f t="shared" ref="AP253:AQ253" si="297">IF($AG253, "DELETED", TRIM(CONCATENATE(F253,I253,U253)))</f>
        <v/>
      </c>
      <c r="AQ253" s="94" t="str">
        <f t="shared" si="297"/>
        <v/>
      </c>
      <c r="AR253" s="94" t="str">
        <f>IFERROR(__xludf.DUMMYFUNCTION("IF($AG253, ""DELETED"", TRIM(JOIN("" "",AP253,AQ253)))"),"")</f>
        <v/>
      </c>
      <c r="AS253" s="9"/>
      <c r="AT253" s="93" t="b">
        <f t="shared" si="12"/>
        <v>0</v>
      </c>
      <c r="AU253" s="93" t="str">
        <f t="shared" si="13"/>
        <v/>
      </c>
      <c r="AV253" s="93" t="str">
        <f t="shared" si="14"/>
        <v/>
      </c>
      <c r="AW253" s="93" t="str">
        <f t="shared" si="261"/>
        <v/>
      </c>
      <c r="AX253" s="107" t="str">
        <f t="shared" si="16"/>
        <v/>
      </c>
      <c r="AY253" s="98"/>
      <c r="AZ253" s="108"/>
      <c r="BA253" s="109" t="str">
        <f t="shared" si="17"/>
        <v/>
      </c>
      <c r="BB253" s="98"/>
      <c r="BC253" s="98"/>
      <c r="BD253" s="108"/>
      <c r="BE253" s="134"/>
      <c r="BF253" s="111" t="str">
        <f t="shared" si="18"/>
        <v/>
      </c>
      <c r="BG253" s="112" t="str">
        <f t="shared" si="19"/>
        <v>AG299__44774_0.214212962962963___Negative_44816_0.393981481481482_</v>
      </c>
      <c r="BH253" s="113" t="str">
        <f t="shared" si="20"/>
        <v/>
      </c>
      <c r="BI253" s="202"/>
      <c r="BJ253" s="114" t="str">
        <f t="shared" si="21"/>
        <v/>
      </c>
      <c r="BK253" s="115" t="b">
        <f t="shared" si="105"/>
        <v>0</v>
      </c>
      <c r="BL253" s="114" t="str">
        <f t="shared" si="23"/>
        <v/>
      </c>
      <c r="BM253" s="108"/>
      <c r="BN253" s="7" t="b">
        <f t="shared" si="24"/>
        <v>1</v>
      </c>
      <c r="BO253" s="7" t="b">
        <f t="shared" si="25"/>
        <v>0</v>
      </c>
      <c r="BP253" s="7" t="b">
        <f t="shared" si="26"/>
        <v>1</v>
      </c>
      <c r="BQ253" s="118"/>
      <c r="BR253" s="119" t="s">
        <v>228</v>
      </c>
      <c r="BS253" s="7" t="b">
        <f t="shared" si="27"/>
        <v>1</v>
      </c>
      <c r="BT253" s="7"/>
      <c r="BU253" s="7"/>
      <c r="BV253" s="7"/>
      <c r="BW253" s="7"/>
    </row>
    <row r="254">
      <c r="A254" s="86" t="s">
        <v>478</v>
      </c>
      <c r="B254" s="87">
        <v>44816.0</v>
      </c>
      <c r="C254" s="88">
        <v>0.1690162037037037</v>
      </c>
      <c r="D254" s="89"/>
      <c r="E254" s="245"/>
      <c r="F254" s="89"/>
      <c r="G254" s="86"/>
      <c r="H254" s="90"/>
      <c r="I254" s="3"/>
      <c r="J254" s="3"/>
      <c r="K254" s="89" t="s">
        <v>228</v>
      </c>
      <c r="L254" s="36">
        <v>44816.0</v>
      </c>
      <c r="M254" s="91">
        <v>0.3939814814814815</v>
      </c>
      <c r="N254" s="3"/>
      <c r="O254" s="92"/>
      <c r="P254" s="93" t="b">
        <f>IFNA(IF(VLOOKUP($A254,'Add from APT'!$AA$2:$AC264,3,FALSE)&gt;0,TRUE,FALSE),"ER - NOT IN APT")</f>
        <v>0</v>
      </c>
      <c r="Q254" s="94" t="str">
        <f>IF(ISLOGICAL(P254),IF(P254,"ER - REPS IN APT", IFNA(VLOOKUP($A254,RAW_APT!$A$3:$M264,7,FALSE),"ER - NOT IN APT")),P254)</f>
        <v>Result</v>
      </c>
      <c r="R254" s="95" t="b">
        <f t="shared" si="102"/>
        <v>1</v>
      </c>
      <c r="S254" s="96">
        <f t="shared" si="3"/>
        <v>4</v>
      </c>
      <c r="T254" s="97"/>
      <c r="U254" s="3"/>
      <c r="V254" s="3"/>
      <c r="W254" s="98"/>
      <c r="X254" s="99" t="b">
        <f t="shared" si="259"/>
        <v>0</v>
      </c>
      <c r="Y254" s="100"/>
      <c r="Z254" s="101" t="str">
        <f t="shared" si="5"/>
        <v/>
      </c>
      <c r="AA254" s="102" t="b">
        <f t="shared" si="6"/>
        <v>0</v>
      </c>
      <c r="AB254" s="98"/>
      <c r="AC254" s="103">
        <v>6.0</v>
      </c>
      <c r="AD254" s="104"/>
      <c r="AE254" s="105">
        <f t="shared" si="7"/>
        <v>323.95</v>
      </c>
      <c r="AF254" s="106" t="b">
        <f t="shared" si="103"/>
        <v>0</v>
      </c>
      <c r="AG254" s="93" t="b">
        <f t="shared" si="9"/>
        <v>0</v>
      </c>
      <c r="AH254" s="103"/>
      <c r="AI254" s="103"/>
      <c r="AJ254" s="97"/>
      <c r="AK254" s="101" t="str">
        <f t="shared" si="10"/>
        <v>Negative</v>
      </c>
      <c r="AL254" s="98"/>
      <c r="AM254" s="94" t="s">
        <v>322</v>
      </c>
      <c r="AN254" s="94" t="s">
        <v>325</v>
      </c>
      <c r="AO254" s="102" t="str">
        <f>IFERROR(__xludf.DUMMYFUNCTION("IF($AG254, ""DELETED"",TRIM(JOIN("" "",D254:E254)))"),"")</f>
        <v/>
      </c>
      <c r="AP254" s="94" t="str">
        <f t="shared" ref="AP254:AQ254" si="298">IF($AG254, "DELETED", TRIM(CONCATENATE(F254,I254,U254)))</f>
        <v/>
      </c>
      <c r="AQ254" s="94" t="str">
        <f t="shared" si="298"/>
        <v/>
      </c>
      <c r="AR254" s="94" t="str">
        <f>IFERROR(__xludf.DUMMYFUNCTION("IF($AG254, ""DELETED"", TRIM(JOIN("" "",AP254,AQ254)))"),"")</f>
        <v/>
      </c>
      <c r="AS254" s="9"/>
      <c r="AT254" s="93" t="b">
        <f t="shared" si="12"/>
        <v>0</v>
      </c>
      <c r="AU254" s="93" t="str">
        <f t="shared" si="13"/>
        <v/>
      </c>
      <c r="AV254" s="93" t="str">
        <f t="shared" si="14"/>
        <v/>
      </c>
      <c r="AW254" s="93" t="str">
        <f t="shared" si="261"/>
        <v/>
      </c>
      <c r="AX254" s="107" t="str">
        <f t="shared" si="16"/>
        <v/>
      </c>
      <c r="AY254" s="98"/>
      <c r="AZ254" s="108"/>
      <c r="BA254" s="109" t="str">
        <f t="shared" si="17"/>
        <v/>
      </c>
      <c r="BB254" s="98"/>
      <c r="BC254" s="98"/>
      <c r="BD254" s="108"/>
      <c r="BE254" s="134"/>
      <c r="BF254" s="111" t="str">
        <f t="shared" si="18"/>
        <v/>
      </c>
      <c r="BG254" s="112" t="str">
        <f t="shared" si="19"/>
        <v>AG1858__44816_0.169016203703704___Negative_44816_0.393981481481482_</v>
      </c>
      <c r="BH254" s="113" t="str">
        <f t="shared" si="20"/>
        <v/>
      </c>
      <c r="BI254" s="202"/>
      <c r="BJ254" s="114" t="str">
        <f t="shared" si="21"/>
        <v/>
      </c>
      <c r="BK254" s="115" t="b">
        <f t="shared" si="105"/>
        <v>0</v>
      </c>
      <c r="BL254" s="114" t="str">
        <f t="shared" si="23"/>
        <v/>
      </c>
      <c r="BM254" s="108"/>
      <c r="BN254" s="7" t="b">
        <f t="shared" si="24"/>
        <v>1</v>
      </c>
      <c r="BO254" s="7" t="b">
        <f t="shared" si="25"/>
        <v>0</v>
      </c>
      <c r="BP254" s="7" t="b">
        <f t="shared" si="26"/>
        <v>1</v>
      </c>
      <c r="BQ254" s="118"/>
      <c r="BR254" s="119" t="s">
        <v>228</v>
      </c>
      <c r="BS254" s="7" t="b">
        <f t="shared" si="27"/>
        <v>1</v>
      </c>
      <c r="BT254" s="7"/>
      <c r="BU254" s="7"/>
      <c r="BV254" s="7"/>
      <c r="BW254" s="7"/>
    </row>
    <row r="255">
      <c r="A255" s="86" t="s">
        <v>478</v>
      </c>
      <c r="B255" s="87">
        <v>44816.0</v>
      </c>
      <c r="C255" s="88">
        <v>0.1690162037037037</v>
      </c>
      <c r="D255" s="89"/>
      <c r="E255" s="245"/>
      <c r="F255" s="89"/>
      <c r="G255" s="86"/>
      <c r="H255" s="90"/>
      <c r="I255" s="3"/>
      <c r="J255" s="3"/>
      <c r="K255" s="89" t="s">
        <v>228</v>
      </c>
      <c r="L255" s="36">
        <v>44816.0</v>
      </c>
      <c r="M255" s="91">
        <v>0.3939814814814815</v>
      </c>
      <c r="N255" s="3"/>
      <c r="O255" s="92"/>
      <c r="P255" s="93" t="b">
        <f>IFNA(IF(VLOOKUP($A255,'Add from APT'!$AA$2:$AC264,3,FALSE)&gt;0,TRUE,FALSE),"ER - NOT IN APT")</f>
        <v>0</v>
      </c>
      <c r="Q255" s="94" t="str">
        <f>IF(ISLOGICAL(P255),IF(P255,"ER - REPS IN APT", IFNA(VLOOKUP($A255,RAW_APT!$A$3:$M264,7,FALSE),"ER - NOT IN APT")),P255)</f>
        <v>Result</v>
      </c>
      <c r="R255" s="95" t="b">
        <f t="shared" si="102"/>
        <v>0</v>
      </c>
      <c r="S255" s="96">
        <f t="shared" si="3"/>
        <v>4</v>
      </c>
      <c r="T255" s="97"/>
      <c r="U255" s="3"/>
      <c r="V255" s="3"/>
      <c r="W255" s="9"/>
      <c r="X255" s="99" t="b">
        <f t="shared" si="259"/>
        <v>0</v>
      </c>
      <c r="Y255" s="100"/>
      <c r="Z255" s="101" t="str">
        <f t="shared" si="5"/>
        <v/>
      </c>
      <c r="AA255" s="102" t="b">
        <f t="shared" si="6"/>
        <v>0</v>
      </c>
      <c r="AB255" s="98"/>
      <c r="AC255" s="103">
        <v>4.0</v>
      </c>
      <c r="AD255" s="104"/>
      <c r="AE255" s="105">
        <f t="shared" si="7"/>
        <v>323.95</v>
      </c>
      <c r="AF255" s="106" t="b">
        <f t="shared" si="103"/>
        <v>0</v>
      </c>
      <c r="AG255" s="93" t="b">
        <f t="shared" si="9"/>
        <v>0</v>
      </c>
      <c r="AH255" s="103"/>
      <c r="AI255" s="103"/>
      <c r="AJ255" s="97"/>
      <c r="AK255" s="101" t="str">
        <f t="shared" si="10"/>
        <v>Negative</v>
      </c>
      <c r="AL255" s="98"/>
      <c r="AM255" s="94" t="s">
        <v>322</v>
      </c>
      <c r="AN255" s="94" t="s">
        <v>327</v>
      </c>
      <c r="AO255" s="102" t="str">
        <f>IFERROR(__xludf.DUMMYFUNCTION("IF($AG255, ""DELETED"",TRIM(JOIN("" "",D255:E255)))"),"")</f>
        <v/>
      </c>
      <c r="AP255" s="94" t="str">
        <f t="shared" ref="AP255:AQ255" si="299">IF($AG255, "DELETED", TRIM(CONCATENATE(F255,I255,U255)))</f>
        <v/>
      </c>
      <c r="AQ255" s="94" t="str">
        <f t="shared" si="299"/>
        <v/>
      </c>
      <c r="AR255" s="94" t="str">
        <f>IFERROR(__xludf.DUMMYFUNCTION("IF($AG255, ""DELETED"", TRIM(JOIN("" "",AP255,AQ255)))"),"")</f>
        <v/>
      </c>
      <c r="AS255" s="9"/>
      <c r="AT255" s="93" t="b">
        <f t="shared" si="12"/>
        <v>0</v>
      </c>
      <c r="AU255" s="93" t="str">
        <f t="shared" si="13"/>
        <v/>
      </c>
      <c r="AV255" s="93" t="str">
        <f t="shared" si="14"/>
        <v/>
      </c>
      <c r="AW255" s="93" t="str">
        <f t="shared" si="261"/>
        <v/>
      </c>
      <c r="AX255" s="107" t="str">
        <f t="shared" si="16"/>
        <v/>
      </c>
      <c r="AY255" s="98"/>
      <c r="AZ255" s="108"/>
      <c r="BA255" s="109" t="str">
        <f t="shared" si="17"/>
        <v/>
      </c>
      <c r="BB255" s="98"/>
      <c r="BC255" s="98"/>
      <c r="BD255" s="108"/>
      <c r="BE255" s="134"/>
      <c r="BF255" s="111" t="str">
        <f t="shared" si="18"/>
        <v/>
      </c>
      <c r="BG255" s="112" t="str">
        <f t="shared" si="19"/>
        <v>AG1858__44816_0.169016203703704___Negative_44816_0.393981481481482_</v>
      </c>
      <c r="BH255" s="113" t="str">
        <f t="shared" si="20"/>
        <v/>
      </c>
      <c r="BI255" s="202"/>
      <c r="BJ255" s="114" t="str">
        <f t="shared" si="21"/>
        <v/>
      </c>
      <c r="BK255" s="115" t="b">
        <f t="shared" si="105"/>
        <v>0</v>
      </c>
      <c r="BL255" s="114" t="str">
        <f t="shared" si="23"/>
        <v/>
      </c>
      <c r="BM255" s="108"/>
      <c r="BN255" s="7" t="b">
        <f t="shared" si="24"/>
        <v>1</v>
      </c>
      <c r="BO255" s="7" t="b">
        <f t="shared" si="25"/>
        <v>0</v>
      </c>
      <c r="BP255" s="7" t="b">
        <f t="shared" si="26"/>
        <v>1</v>
      </c>
      <c r="BQ255" s="118"/>
      <c r="BR255" s="119" t="s">
        <v>228</v>
      </c>
      <c r="BS255" s="7" t="b">
        <f t="shared" si="27"/>
        <v>1</v>
      </c>
      <c r="BT255" s="7"/>
      <c r="BU255" s="7"/>
      <c r="BV255" s="7"/>
      <c r="BW255" s="7"/>
    </row>
    <row r="256">
      <c r="A256" s="86" t="s">
        <v>478</v>
      </c>
      <c r="B256" s="87">
        <v>44816.0</v>
      </c>
      <c r="C256" s="88">
        <v>0.1690162037037037</v>
      </c>
      <c r="D256" s="89"/>
      <c r="E256" s="245"/>
      <c r="F256" s="3"/>
      <c r="G256" s="120"/>
      <c r="H256" s="121"/>
      <c r="I256" s="89"/>
      <c r="J256" s="89"/>
      <c r="K256" s="89" t="s">
        <v>228</v>
      </c>
      <c r="L256" s="36">
        <v>44816.0</v>
      </c>
      <c r="M256" s="91">
        <v>0.3939814814814815</v>
      </c>
      <c r="N256" s="121"/>
      <c r="O256" s="92"/>
      <c r="P256" s="93" t="b">
        <f>IFNA(IF(VLOOKUP($A256,'Add from APT'!$AA$2:$AC264,3,FALSE)&gt;0,TRUE,FALSE),"ER - NOT IN APT")</f>
        <v>0</v>
      </c>
      <c r="Q256" s="94" t="str">
        <f>IF(ISLOGICAL(P256),IF(P256,"ER - REPS IN APT", IFNA(VLOOKUP($A256,RAW_APT!$A$3:$M264,7,FALSE),"ER - NOT IN APT")),P256)</f>
        <v>Result</v>
      </c>
      <c r="R256" s="95" t="b">
        <f t="shared" si="102"/>
        <v>0</v>
      </c>
      <c r="S256" s="96">
        <f t="shared" si="3"/>
        <v>4</v>
      </c>
      <c r="T256" s="97"/>
      <c r="U256" s="3"/>
      <c r="V256" s="3"/>
      <c r="W256" s="9"/>
      <c r="X256" s="99" t="b">
        <f t="shared" si="259"/>
        <v>0</v>
      </c>
      <c r="Y256" s="100"/>
      <c r="Z256" s="101" t="str">
        <f t="shared" si="5"/>
        <v/>
      </c>
      <c r="AA256" s="102" t="b">
        <f t="shared" si="6"/>
        <v>0</v>
      </c>
      <c r="AB256" s="98"/>
      <c r="AC256" s="103">
        <v>5.0</v>
      </c>
      <c r="AD256" s="104"/>
      <c r="AE256" s="105">
        <f t="shared" si="7"/>
        <v>323.95</v>
      </c>
      <c r="AF256" s="106" t="b">
        <f t="shared" si="103"/>
        <v>0</v>
      </c>
      <c r="AG256" s="93" t="b">
        <f t="shared" si="9"/>
        <v>0</v>
      </c>
      <c r="AH256" s="103"/>
      <c r="AI256" s="103"/>
      <c r="AJ256" s="97"/>
      <c r="AK256" s="101" t="str">
        <f t="shared" si="10"/>
        <v>Negative</v>
      </c>
      <c r="AL256" s="98"/>
      <c r="AM256" s="94" t="s">
        <v>322</v>
      </c>
      <c r="AN256" s="94" t="s">
        <v>329</v>
      </c>
      <c r="AO256" s="102" t="str">
        <f>IFERROR(__xludf.DUMMYFUNCTION("IF($AG256, ""DELETED"",TRIM(JOIN("" "",D256:E256)))"),"")</f>
        <v/>
      </c>
      <c r="AP256" s="94" t="str">
        <f t="shared" ref="AP256:AQ256" si="300">IF($AG256, "DELETED", TRIM(CONCATENATE(F256,I256,U256)))</f>
        <v/>
      </c>
      <c r="AQ256" s="94" t="str">
        <f t="shared" si="300"/>
        <v/>
      </c>
      <c r="AR256" s="94" t="str">
        <f>IFERROR(__xludf.DUMMYFUNCTION("IF($AG256, ""DELETED"", TRIM(JOIN("" "",AP256,AQ256)))"),"")</f>
        <v/>
      </c>
      <c r="AS256" s="9"/>
      <c r="AT256" s="93" t="b">
        <f t="shared" si="12"/>
        <v>0</v>
      </c>
      <c r="AU256" s="93" t="str">
        <f t="shared" si="13"/>
        <v/>
      </c>
      <c r="AV256" s="93" t="str">
        <f t="shared" si="14"/>
        <v/>
      </c>
      <c r="AW256" s="93" t="str">
        <f t="shared" si="261"/>
        <v/>
      </c>
      <c r="AX256" s="107" t="str">
        <f t="shared" si="16"/>
        <v/>
      </c>
      <c r="AY256" s="98"/>
      <c r="AZ256" s="108"/>
      <c r="BA256" s="109" t="str">
        <f t="shared" si="17"/>
        <v/>
      </c>
      <c r="BB256" s="98"/>
      <c r="BC256" s="98"/>
      <c r="BD256" s="108"/>
      <c r="BE256" s="134"/>
      <c r="BF256" s="111" t="str">
        <f t="shared" si="18"/>
        <v/>
      </c>
      <c r="BG256" s="112" t="str">
        <f t="shared" si="19"/>
        <v>AG1858__44816_0.169016203703704___Negative_44816_0.393981481481482_</v>
      </c>
      <c r="BH256" s="113" t="str">
        <f t="shared" si="20"/>
        <v/>
      </c>
      <c r="BI256" s="202"/>
      <c r="BJ256" s="114" t="str">
        <f t="shared" si="21"/>
        <v/>
      </c>
      <c r="BK256" s="115" t="b">
        <f t="shared" si="105"/>
        <v>0</v>
      </c>
      <c r="BL256" s="114" t="str">
        <f t="shared" si="23"/>
        <v/>
      </c>
      <c r="BM256" s="108"/>
      <c r="BN256" s="7" t="b">
        <f t="shared" si="24"/>
        <v>1</v>
      </c>
      <c r="BO256" s="7" t="b">
        <f t="shared" si="25"/>
        <v>0</v>
      </c>
      <c r="BP256" s="7" t="b">
        <f t="shared" si="26"/>
        <v>1</v>
      </c>
      <c r="BQ256" s="118"/>
      <c r="BR256" s="119" t="s">
        <v>228</v>
      </c>
      <c r="BS256" s="7" t="b">
        <f t="shared" si="27"/>
        <v>1</v>
      </c>
      <c r="BT256" s="7"/>
      <c r="BU256" s="7"/>
      <c r="BV256" s="7"/>
      <c r="BW256" s="7"/>
    </row>
    <row r="257">
      <c r="A257" s="86" t="s">
        <v>478</v>
      </c>
      <c r="B257" s="87">
        <v>44816.0</v>
      </c>
      <c r="C257" s="88">
        <v>0.1690162037037037</v>
      </c>
      <c r="D257" s="89"/>
      <c r="E257" s="245"/>
      <c r="F257" s="3"/>
      <c r="G257" s="120"/>
      <c r="H257" s="121"/>
      <c r="I257" s="89"/>
      <c r="J257" s="89"/>
      <c r="K257" s="89" t="s">
        <v>228</v>
      </c>
      <c r="L257" s="36">
        <v>44816.0</v>
      </c>
      <c r="M257" s="91">
        <v>0.3939814814814815</v>
      </c>
      <c r="N257" s="121"/>
      <c r="O257" s="92"/>
      <c r="P257" s="93" t="b">
        <f>IFNA(IF(VLOOKUP($A257,'Add from APT'!$AA$2:$AC264,3,FALSE)&gt;0,TRUE,FALSE),"ER - NOT IN APT")</f>
        <v>0</v>
      </c>
      <c r="Q257" s="94" t="str">
        <f>IF(ISLOGICAL(P257),IF(P257,"ER - REPS IN APT", IFNA(VLOOKUP($A257,RAW_APT!$A$3:$M264,7,FALSE),"ER - NOT IN APT")),P257)</f>
        <v>Result</v>
      </c>
      <c r="R257" s="95" t="b">
        <f t="shared" si="102"/>
        <v>0</v>
      </c>
      <c r="S257" s="96">
        <f t="shared" si="3"/>
        <v>4</v>
      </c>
      <c r="T257" s="97"/>
      <c r="U257" s="3"/>
      <c r="V257" s="3"/>
      <c r="W257" s="98"/>
      <c r="X257" s="99" t="b">
        <f t="shared" si="259"/>
        <v>0</v>
      </c>
      <c r="Y257" s="100"/>
      <c r="Z257" s="101" t="str">
        <f t="shared" si="5"/>
        <v/>
      </c>
      <c r="AA257" s="102" t="b">
        <f t="shared" si="6"/>
        <v>0</v>
      </c>
      <c r="AB257" s="98"/>
      <c r="AC257" s="103">
        <v>7.0</v>
      </c>
      <c r="AD257" s="104"/>
      <c r="AE257" s="105">
        <f t="shared" si="7"/>
        <v>323.95</v>
      </c>
      <c r="AF257" s="106" t="b">
        <f t="shared" si="103"/>
        <v>0</v>
      </c>
      <c r="AG257" s="93" t="b">
        <f t="shared" si="9"/>
        <v>0</v>
      </c>
      <c r="AH257" s="103"/>
      <c r="AI257" s="103"/>
      <c r="AJ257" s="97"/>
      <c r="AK257" s="101" t="str">
        <f t="shared" si="10"/>
        <v>Negative</v>
      </c>
      <c r="AL257" s="104"/>
      <c r="AM257" s="94" t="s">
        <v>322</v>
      </c>
      <c r="AN257" s="94" t="s">
        <v>393</v>
      </c>
      <c r="AO257" s="102" t="str">
        <f>IFERROR(__xludf.DUMMYFUNCTION("IF($AG257, ""DELETED"",TRIM(JOIN("" "",D257:E257)))"),"")</f>
        <v/>
      </c>
      <c r="AP257" s="94" t="str">
        <f t="shared" ref="AP257:AQ257" si="301">IF($AG257, "DELETED", TRIM(CONCATENATE(F257,I257,U257)))</f>
        <v/>
      </c>
      <c r="AQ257" s="94" t="str">
        <f t="shared" si="301"/>
        <v/>
      </c>
      <c r="AR257" s="94" t="str">
        <f>IFERROR(__xludf.DUMMYFUNCTION("IF($AG257, ""DELETED"", TRIM(JOIN("" "",AP257,AQ257)))"),"")</f>
        <v/>
      </c>
      <c r="AS257" s="9"/>
      <c r="AT257" s="93" t="b">
        <f t="shared" si="12"/>
        <v>0</v>
      </c>
      <c r="AU257" s="93" t="str">
        <f t="shared" si="13"/>
        <v/>
      </c>
      <c r="AV257" s="93" t="str">
        <f t="shared" si="14"/>
        <v/>
      </c>
      <c r="AW257" s="93" t="str">
        <f t="shared" si="261"/>
        <v/>
      </c>
      <c r="AX257" s="107" t="str">
        <f t="shared" si="16"/>
        <v/>
      </c>
      <c r="AY257" s="98"/>
      <c r="AZ257" s="108"/>
      <c r="BA257" s="109" t="str">
        <f t="shared" si="17"/>
        <v/>
      </c>
      <c r="BB257" s="98"/>
      <c r="BC257" s="98"/>
      <c r="BD257" s="108"/>
      <c r="BE257" s="134"/>
      <c r="BF257" s="111" t="str">
        <f t="shared" si="18"/>
        <v/>
      </c>
      <c r="BG257" s="112" t="str">
        <f t="shared" si="19"/>
        <v>AG1858__44816_0.169016203703704___Negative_44816_0.393981481481482_</v>
      </c>
      <c r="BH257" s="113" t="str">
        <f t="shared" si="20"/>
        <v/>
      </c>
      <c r="BI257" s="202"/>
      <c r="BJ257" s="114" t="str">
        <f t="shared" si="21"/>
        <v/>
      </c>
      <c r="BK257" s="115" t="b">
        <f t="shared" si="105"/>
        <v>0</v>
      </c>
      <c r="BL257" s="114" t="str">
        <f t="shared" si="23"/>
        <v/>
      </c>
      <c r="BM257" s="108"/>
      <c r="BN257" s="7" t="b">
        <f t="shared" si="24"/>
        <v>1</v>
      </c>
      <c r="BO257" s="7" t="b">
        <f t="shared" si="25"/>
        <v>0</v>
      </c>
      <c r="BP257" s="7" t="b">
        <f t="shared" si="26"/>
        <v>1</v>
      </c>
      <c r="BQ257" s="118"/>
      <c r="BR257" s="119" t="s">
        <v>228</v>
      </c>
      <c r="BS257" s="7" t="b">
        <f t="shared" si="27"/>
        <v>1</v>
      </c>
      <c r="BT257" s="7"/>
      <c r="BU257" s="7"/>
      <c r="BV257" s="7"/>
      <c r="BW257" s="7"/>
    </row>
    <row r="258">
      <c r="A258" s="86" t="s">
        <v>479</v>
      </c>
      <c r="B258" s="87">
        <v>44837.0</v>
      </c>
      <c r="C258" s="88">
        <v>0.19859953703703703</v>
      </c>
      <c r="D258" s="89"/>
      <c r="E258" s="245"/>
      <c r="F258" s="89"/>
      <c r="G258" s="86"/>
      <c r="H258" s="90"/>
      <c r="I258" s="3"/>
      <c r="J258" s="3"/>
      <c r="K258" s="89" t="s">
        <v>228</v>
      </c>
      <c r="L258" s="36">
        <v>44837.0</v>
      </c>
      <c r="M258" s="91">
        <v>0.510150462962963</v>
      </c>
      <c r="N258" s="121"/>
      <c r="O258" s="92"/>
      <c r="P258" s="93" t="b">
        <f>IFNA(IF(VLOOKUP($A258,'Add from APT'!$AA$2:$AC264,3,FALSE)&gt;0,TRUE,FALSE),"ER - NOT IN APT")</f>
        <v>0</v>
      </c>
      <c r="Q258" s="94" t="str">
        <f>IF(ISLOGICAL(P258),IF(P258,"ER - REPS IN APT", IFNA(VLOOKUP($A258,RAW_APT!$A$3:$M264,7,FALSE),"ER - NOT IN APT")),P258)</f>
        <v>Result</v>
      </c>
      <c r="R258" s="95" t="b">
        <f t="shared" si="102"/>
        <v>1</v>
      </c>
      <c r="S258" s="96">
        <f t="shared" si="3"/>
        <v>3</v>
      </c>
      <c r="T258" s="97"/>
      <c r="U258" s="3"/>
      <c r="V258" s="3"/>
      <c r="W258" s="98"/>
      <c r="X258" s="99" t="b">
        <f t="shared" si="259"/>
        <v>0</v>
      </c>
      <c r="Y258" s="100"/>
      <c r="Z258" s="101" t="str">
        <f t="shared" si="5"/>
        <v/>
      </c>
      <c r="AA258" s="102" t="b">
        <f t="shared" si="6"/>
        <v>0</v>
      </c>
      <c r="AB258" s="98"/>
      <c r="AC258" s="103">
        <v>2.0</v>
      </c>
      <c r="AD258" s="104"/>
      <c r="AE258" s="105">
        <f t="shared" si="7"/>
        <v>448.6333333</v>
      </c>
      <c r="AF258" s="106" t="b">
        <f t="shared" si="103"/>
        <v>0</v>
      </c>
      <c r="AG258" s="93" t="b">
        <f t="shared" si="9"/>
        <v>0</v>
      </c>
      <c r="AH258" s="103"/>
      <c r="AI258" s="103"/>
      <c r="AJ258" s="97"/>
      <c r="AK258" s="101" t="str">
        <f t="shared" si="10"/>
        <v>Negative</v>
      </c>
      <c r="AL258" s="98"/>
      <c r="AM258" s="94" t="s">
        <v>322</v>
      </c>
      <c r="AN258" s="94" t="s">
        <v>325</v>
      </c>
      <c r="AO258" s="102" t="str">
        <f>IFERROR(__xludf.DUMMYFUNCTION("IF($AG258, ""DELETED"",TRIM(JOIN("" "",D258:E258)))"),"")</f>
        <v/>
      </c>
      <c r="AP258" s="94" t="str">
        <f t="shared" ref="AP258:AQ258" si="302">IF($AG258, "DELETED", TRIM(CONCATENATE(F258,I258,U258)))</f>
        <v/>
      </c>
      <c r="AQ258" s="94" t="str">
        <f t="shared" si="302"/>
        <v/>
      </c>
      <c r="AR258" s="94" t="str">
        <f>IFERROR(__xludf.DUMMYFUNCTION("IF($AG258, ""DELETED"", TRIM(JOIN("" "",AP258,AQ258)))"),"")</f>
        <v/>
      </c>
      <c r="AS258" s="9"/>
      <c r="AT258" s="93" t="b">
        <f t="shared" si="12"/>
        <v>0</v>
      </c>
      <c r="AU258" s="93" t="str">
        <f t="shared" si="13"/>
        <v/>
      </c>
      <c r="AV258" s="93" t="str">
        <f t="shared" si="14"/>
        <v/>
      </c>
      <c r="AW258" s="93" t="str">
        <f t="shared" si="261"/>
        <v/>
      </c>
      <c r="AX258" s="107" t="str">
        <f t="shared" si="16"/>
        <v/>
      </c>
      <c r="AY258" s="98"/>
      <c r="AZ258" s="108"/>
      <c r="BA258" s="109" t="str">
        <f t="shared" si="17"/>
        <v/>
      </c>
      <c r="BB258" s="98"/>
      <c r="BC258" s="98"/>
      <c r="BD258" s="108"/>
      <c r="BE258" s="134"/>
      <c r="BF258" s="111" t="str">
        <f t="shared" si="18"/>
        <v/>
      </c>
      <c r="BG258" s="112" t="str">
        <f t="shared" si="19"/>
        <v>AJ9077__44837_0.198599537037037___Negative_44837_0.510150462962963_</v>
      </c>
      <c r="BH258" s="113" t="str">
        <f t="shared" si="20"/>
        <v/>
      </c>
      <c r="BI258" s="202"/>
      <c r="BJ258" s="114" t="str">
        <f t="shared" si="21"/>
        <v/>
      </c>
      <c r="BK258" s="115" t="b">
        <f t="shared" si="105"/>
        <v>0</v>
      </c>
      <c r="BL258" s="114" t="str">
        <f t="shared" si="23"/>
        <v/>
      </c>
      <c r="BM258" s="108"/>
      <c r="BN258" s="7" t="b">
        <f t="shared" si="24"/>
        <v>1</v>
      </c>
      <c r="BO258" s="7" t="b">
        <f t="shared" si="25"/>
        <v>0</v>
      </c>
      <c r="BP258" s="7" t="b">
        <f t="shared" si="26"/>
        <v>1</v>
      </c>
      <c r="BQ258" s="118"/>
      <c r="BR258" s="119" t="s">
        <v>228</v>
      </c>
      <c r="BS258" s="7" t="b">
        <f t="shared" si="27"/>
        <v>1</v>
      </c>
      <c r="BT258" s="7"/>
      <c r="BU258" s="7"/>
      <c r="BV258" s="7"/>
      <c r="BW258" s="7"/>
    </row>
    <row r="259">
      <c r="A259" s="86" t="s">
        <v>479</v>
      </c>
      <c r="B259" s="87">
        <v>44837.0</v>
      </c>
      <c r="C259" s="88">
        <v>0.19859953703703703</v>
      </c>
      <c r="D259" s="89"/>
      <c r="E259" s="245"/>
      <c r="F259" s="89"/>
      <c r="G259" s="86"/>
      <c r="H259" s="90"/>
      <c r="I259" s="3"/>
      <c r="J259" s="3"/>
      <c r="K259" s="89" t="s">
        <v>228</v>
      </c>
      <c r="L259" s="36">
        <v>44837.0</v>
      </c>
      <c r="M259" s="91">
        <v>0.510150462962963</v>
      </c>
      <c r="N259" s="121"/>
      <c r="O259" s="92"/>
      <c r="P259" s="93" t="b">
        <f>IFNA(IF(VLOOKUP($A259,'Add from APT'!$AA$2:$AC264,3,FALSE)&gt;0,TRUE,FALSE),"ER - NOT IN APT")</f>
        <v>0</v>
      </c>
      <c r="Q259" s="94" t="str">
        <f>IF(ISLOGICAL(P259),IF(P259,"ER - REPS IN APT", IFNA(VLOOKUP($A259,RAW_APT!$A$3:$M264,7,FALSE),"ER - NOT IN APT")),P259)</f>
        <v>Result</v>
      </c>
      <c r="R259" s="95" t="b">
        <f t="shared" si="102"/>
        <v>0</v>
      </c>
      <c r="S259" s="96">
        <f t="shared" si="3"/>
        <v>3</v>
      </c>
      <c r="T259" s="97"/>
      <c r="U259" s="3"/>
      <c r="V259" s="3"/>
      <c r="W259" s="98"/>
      <c r="X259" s="99" t="b">
        <f t="shared" si="259"/>
        <v>0</v>
      </c>
      <c r="Y259" s="100"/>
      <c r="Z259" s="101" t="str">
        <f t="shared" si="5"/>
        <v/>
      </c>
      <c r="AA259" s="102" t="b">
        <f t="shared" si="6"/>
        <v>0</v>
      </c>
      <c r="AB259" s="98"/>
      <c r="AC259" s="103">
        <v>3.0</v>
      </c>
      <c r="AD259" s="104"/>
      <c r="AE259" s="105">
        <f t="shared" si="7"/>
        <v>448.6333333</v>
      </c>
      <c r="AF259" s="106" t="b">
        <f t="shared" si="103"/>
        <v>0</v>
      </c>
      <c r="AG259" s="93" t="b">
        <f t="shared" si="9"/>
        <v>0</v>
      </c>
      <c r="AH259" s="103"/>
      <c r="AI259" s="103"/>
      <c r="AJ259" s="97"/>
      <c r="AK259" s="101" t="str">
        <f t="shared" si="10"/>
        <v>Negative</v>
      </c>
      <c r="AL259" s="98"/>
      <c r="AM259" s="94" t="s">
        <v>322</v>
      </c>
      <c r="AN259" s="94" t="s">
        <v>327</v>
      </c>
      <c r="AO259" s="102" t="str">
        <f>IFERROR(__xludf.DUMMYFUNCTION("IF($AG259, ""DELETED"",TRIM(JOIN("" "",D259:E259)))"),"")</f>
        <v/>
      </c>
      <c r="AP259" s="94" t="str">
        <f t="shared" ref="AP259:AQ259" si="303">IF($AG259, "DELETED", TRIM(CONCATENATE(F259,I259,U259)))</f>
        <v/>
      </c>
      <c r="AQ259" s="94" t="str">
        <f t="shared" si="303"/>
        <v/>
      </c>
      <c r="AR259" s="94" t="str">
        <f>IFERROR(__xludf.DUMMYFUNCTION("IF($AG259, ""DELETED"", TRIM(JOIN("" "",AP259,AQ259)))"),"")</f>
        <v/>
      </c>
      <c r="AS259" s="9"/>
      <c r="AT259" s="93" t="b">
        <f t="shared" si="12"/>
        <v>0</v>
      </c>
      <c r="AU259" s="93" t="str">
        <f t="shared" si="13"/>
        <v/>
      </c>
      <c r="AV259" s="93" t="str">
        <f t="shared" si="14"/>
        <v/>
      </c>
      <c r="AW259" s="93" t="str">
        <f t="shared" si="261"/>
        <v/>
      </c>
      <c r="AX259" s="107" t="str">
        <f t="shared" si="16"/>
        <v/>
      </c>
      <c r="AY259" s="98"/>
      <c r="AZ259" s="108"/>
      <c r="BA259" s="109" t="str">
        <f t="shared" si="17"/>
        <v/>
      </c>
      <c r="BB259" s="98"/>
      <c r="BC259" s="98"/>
      <c r="BD259" s="108"/>
      <c r="BE259" s="143"/>
      <c r="BF259" s="111" t="str">
        <f t="shared" si="18"/>
        <v/>
      </c>
      <c r="BG259" s="112" t="str">
        <f t="shared" si="19"/>
        <v>AJ9077__44837_0.198599537037037___Negative_44837_0.510150462962963_</v>
      </c>
      <c r="BH259" s="113" t="str">
        <f t="shared" si="20"/>
        <v/>
      </c>
      <c r="BI259" s="203"/>
      <c r="BJ259" s="114" t="str">
        <f t="shared" si="21"/>
        <v/>
      </c>
      <c r="BK259" s="115" t="b">
        <f t="shared" si="105"/>
        <v>0</v>
      </c>
      <c r="BL259" s="114" t="str">
        <f t="shared" si="23"/>
        <v/>
      </c>
      <c r="BM259" s="108"/>
      <c r="BN259" s="7" t="b">
        <f t="shared" si="24"/>
        <v>1</v>
      </c>
      <c r="BO259" s="7" t="b">
        <f t="shared" si="25"/>
        <v>0</v>
      </c>
      <c r="BP259" s="7" t="b">
        <f t="shared" si="26"/>
        <v>1</v>
      </c>
      <c r="BQ259" s="118"/>
      <c r="BR259" s="119" t="s">
        <v>228</v>
      </c>
      <c r="BS259" s="7" t="b">
        <f t="shared" si="27"/>
        <v>1</v>
      </c>
      <c r="BT259" s="7"/>
      <c r="BU259" s="7"/>
      <c r="BV259" s="7"/>
      <c r="BW259" s="7"/>
    </row>
    <row r="260">
      <c r="A260" s="86" t="s">
        <v>479</v>
      </c>
      <c r="B260" s="87">
        <v>44837.0</v>
      </c>
      <c r="C260" s="88">
        <v>0.19859953703703703</v>
      </c>
      <c r="D260" s="89"/>
      <c r="E260" s="245"/>
      <c r="F260" s="3"/>
      <c r="G260" s="120"/>
      <c r="H260" s="121"/>
      <c r="I260" s="89"/>
      <c r="J260" s="89"/>
      <c r="K260" s="89" t="s">
        <v>228</v>
      </c>
      <c r="L260" s="36">
        <v>44837.0</v>
      </c>
      <c r="M260" s="91">
        <v>0.510150462962963</v>
      </c>
      <c r="N260" s="121"/>
      <c r="O260" s="92"/>
      <c r="P260" s="93" t="b">
        <f>IFNA(IF(VLOOKUP($A260,'Add from APT'!$AA$2:$AC264,3,FALSE)&gt;0,TRUE,FALSE),"ER - NOT IN APT")</f>
        <v>0</v>
      </c>
      <c r="Q260" s="94" t="str">
        <f>IF(ISLOGICAL(P260),IF(P260,"ER - REPS IN APT", IFNA(VLOOKUP($A260,RAW_APT!$A$3:$M264,7,FALSE),"ER - NOT IN APT")),P260)</f>
        <v>Result</v>
      </c>
      <c r="R260" s="95" t="b">
        <f t="shared" si="102"/>
        <v>0</v>
      </c>
      <c r="S260" s="96">
        <f t="shared" si="3"/>
        <v>3</v>
      </c>
      <c r="T260" s="97"/>
      <c r="U260" s="3"/>
      <c r="V260" s="3"/>
      <c r="W260" s="98"/>
      <c r="X260" s="99" t="b">
        <f t="shared" si="259"/>
        <v>0</v>
      </c>
      <c r="Y260" s="100"/>
      <c r="Z260" s="101" t="str">
        <f t="shared" si="5"/>
        <v/>
      </c>
      <c r="AA260" s="102" t="b">
        <f t="shared" si="6"/>
        <v>0</v>
      </c>
      <c r="AB260" s="98"/>
      <c r="AC260" s="103">
        <v>1.0</v>
      </c>
      <c r="AD260" s="104"/>
      <c r="AE260" s="105">
        <f t="shared" si="7"/>
        <v>448.6333333</v>
      </c>
      <c r="AF260" s="106" t="b">
        <f t="shared" si="103"/>
        <v>0</v>
      </c>
      <c r="AG260" s="93" t="b">
        <f t="shared" si="9"/>
        <v>0</v>
      </c>
      <c r="AH260" s="103"/>
      <c r="AI260" s="103"/>
      <c r="AJ260" s="97"/>
      <c r="AK260" s="101" t="str">
        <f t="shared" si="10"/>
        <v>Negative</v>
      </c>
      <c r="AL260" s="98"/>
      <c r="AM260" s="94" t="s">
        <v>322</v>
      </c>
      <c r="AN260" s="94" t="s">
        <v>329</v>
      </c>
      <c r="AO260" s="102" t="str">
        <f>IFERROR(__xludf.DUMMYFUNCTION("IF($AG260, ""DELETED"",TRIM(JOIN("" "",D260:E260)))"),"")</f>
        <v/>
      </c>
      <c r="AP260" s="94" t="str">
        <f t="shared" ref="AP260:AQ260" si="304">IF($AG260, "DELETED", TRIM(CONCATENATE(F260,I260,U260)))</f>
        <v/>
      </c>
      <c r="AQ260" s="94" t="str">
        <f t="shared" si="304"/>
        <v/>
      </c>
      <c r="AR260" s="94" t="str">
        <f>IFERROR(__xludf.DUMMYFUNCTION("IF($AG260, ""DELETED"", TRIM(JOIN("" "",AP260,AQ260)))"),"")</f>
        <v/>
      </c>
      <c r="AS260" s="9"/>
      <c r="AT260" s="93" t="b">
        <f t="shared" si="12"/>
        <v>0</v>
      </c>
      <c r="AU260" s="93" t="str">
        <f t="shared" si="13"/>
        <v/>
      </c>
      <c r="AV260" s="93" t="str">
        <f t="shared" si="14"/>
        <v/>
      </c>
      <c r="AW260" s="93" t="str">
        <f t="shared" si="261"/>
        <v/>
      </c>
      <c r="AX260" s="107" t="str">
        <f t="shared" si="16"/>
        <v/>
      </c>
      <c r="AY260" s="98"/>
      <c r="AZ260" s="108"/>
      <c r="BA260" s="109" t="str">
        <f t="shared" si="17"/>
        <v/>
      </c>
      <c r="BB260" s="98"/>
      <c r="BC260" s="98"/>
      <c r="BD260" s="108"/>
      <c r="BE260" s="143"/>
      <c r="BF260" s="111" t="str">
        <f t="shared" si="18"/>
        <v/>
      </c>
      <c r="BG260" s="112" t="str">
        <f t="shared" si="19"/>
        <v>AJ9077__44837_0.198599537037037___Negative_44837_0.510150462962963_</v>
      </c>
      <c r="BH260" s="113" t="str">
        <f t="shared" si="20"/>
        <v/>
      </c>
      <c r="BI260" s="203"/>
      <c r="BJ260" s="114" t="str">
        <f t="shared" si="21"/>
        <v/>
      </c>
      <c r="BK260" s="115" t="b">
        <f t="shared" si="105"/>
        <v>0</v>
      </c>
      <c r="BL260" s="114" t="str">
        <f t="shared" si="23"/>
        <v/>
      </c>
      <c r="BM260" s="108"/>
      <c r="BN260" s="7" t="b">
        <f t="shared" si="24"/>
        <v>1</v>
      </c>
      <c r="BO260" s="7" t="b">
        <f t="shared" si="25"/>
        <v>0</v>
      </c>
      <c r="BP260" s="7" t="b">
        <f t="shared" si="26"/>
        <v>1</v>
      </c>
      <c r="BQ260" s="118"/>
      <c r="BR260" s="119" t="s">
        <v>228</v>
      </c>
      <c r="BS260" s="7" t="b">
        <f t="shared" si="27"/>
        <v>1</v>
      </c>
      <c r="BT260" s="7"/>
      <c r="BU260" s="7"/>
      <c r="BV260" s="7"/>
      <c r="BW260" s="7"/>
    </row>
    <row r="261">
      <c r="A261" s="86" t="s">
        <v>480</v>
      </c>
      <c r="B261" s="36"/>
      <c r="C261" s="91"/>
      <c r="D261" s="89"/>
      <c r="E261" s="89"/>
      <c r="F261" s="89"/>
      <c r="G261" s="86"/>
      <c r="H261" s="89"/>
      <c r="I261" s="3"/>
      <c r="J261" s="3"/>
      <c r="K261" s="89" t="s">
        <v>205</v>
      </c>
      <c r="L261" s="36"/>
      <c r="M261" s="91"/>
      <c r="N261" s="3"/>
      <c r="O261" s="92"/>
      <c r="P261" s="93" t="b">
        <f>IFNA(IF(VLOOKUP($A261,'Add from APT'!$AA$2:$AC264,3,FALSE)&gt;0,TRUE,FALSE),"ER - NOT IN APT")</f>
        <v>0</v>
      </c>
      <c r="Q261" s="94" t="str">
        <f>IF(ISLOGICAL(P261),IF(P261,"ER - REPS IN APT", IFNA(VLOOKUP($A261,RAW_APT!$A$3:$M264,7,FALSE),"ER - NOT IN APT")),P261)</f>
        <v>Incomplete</v>
      </c>
      <c r="R261" s="95" t="b">
        <f t="shared" si="102"/>
        <v>1</v>
      </c>
      <c r="S261" s="96">
        <f t="shared" si="3"/>
        <v>4</v>
      </c>
      <c r="T261" s="166"/>
      <c r="U261" s="3"/>
      <c r="V261" s="3"/>
      <c r="W261" s="3"/>
      <c r="X261" s="99" t="b">
        <f t="shared" si="259"/>
        <v>0</v>
      </c>
      <c r="Y261" s="7"/>
      <c r="Z261" s="101" t="str">
        <f t="shared" si="5"/>
        <v/>
      </c>
      <c r="AA261" s="102" t="b">
        <f t="shared" si="6"/>
        <v>0</v>
      </c>
      <c r="AB261" s="131"/>
      <c r="AC261" s="130">
        <v>235.0</v>
      </c>
      <c r="AD261" s="132"/>
      <c r="AE261" s="105" t="str">
        <f t="shared" si="7"/>
        <v/>
      </c>
      <c r="AF261" s="106" t="b">
        <f t="shared" si="103"/>
        <v>0</v>
      </c>
      <c r="AG261" s="93" t="b">
        <f t="shared" si="9"/>
        <v>1</v>
      </c>
      <c r="AH261" s="130">
        <v>9.0</v>
      </c>
      <c r="AI261" s="13"/>
      <c r="AJ261" s="7"/>
      <c r="AK261" s="101" t="str">
        <f t="shared" si="10"/>
        <v>DELETED</v>
      </c>
      <c r="AL261" s="104"/>
      <c r="AM261" s="94" t="s">
        <v>206</v>
      </c>
      <c r="AN261" s="94" t="s">
        <v>206</v>
      </c>
      <c r="AO261" s="102" t="str">
        <f>IFERROR(__xludf.DUMMYFUNCTION("IF($AG261, ""DELETED"",TRIM(JOIN("" "",D261:E261)))"),"DELETED")</f>
        <v>DELETED</v>
      </c>
      <c r="AP261" s="94" t="str">
        <f t="shared" ref="AP261:AQ261" si="305">IF($AG261, "DELETED", TRIM(CONCATENATE(F261,I261,U261)))</f>
        <v>DELETED</v>
      </c>
      <c r="AQ261" s="94" t="str">
        <f t="shared" si="305"/>
        <v>DELETED</v>
      </c>
      <c r="AR261" s="94" t="str">
        <f>IFERROR(__xludf.DUMMYFUNCTION("IF($AG261, ""DELETED"", TRIM(JOIN("" "",AP261,AQ261)))"),"DELETED")</f>
        <v>DELETED</v>
      </c>
      <c r="AS261" s="9"/>
      <c r="AT261" s="93" t="b">
        <f t="shared" si="12"/>
        <v>1</v>
      </c>
      <c r="AU261" s="93" t="str">
        <f t="shared" si="13"/>
        <v/>
      </c>
      <c r="AV261" s="93" t="str">
        <f t="shared" si="14"/>
        <v/>
      </c>
      <c r="AW261" s="93" t="str">
        <f t="shared" si="261"/>
        <v/>
      </c>
      <c r="AX261" s="107" t="str">
        <f t="shared" si="16"/>
        <v/>
      </c>
      <c r="AY261" s="3"/>
      <c r="AZ261" s="129"/>
      <c r="BA261" s="109" t="str">
        <f t="shared" si="17"/>
        <v/>
      </c>
      <c r="BB261" s="3"/>
      <c r="BC261" s="3"/>
      <c r="BD261" s="108"/>
      <c r="BE261" s="143"/>
      <c r="BF261" s="111" t="str">
        <f t="shared" si="18"/>
        <v/>
      </c>
      <c r="BG261" s="112" t="str">
        <f t="shared" si="19"/>
        <v/>
      </c>
      <c r="BH261" s="113" t="str">
        <f t="shared" si="20"/>
        <v/>
      </c>
      <c r="BI261" s="203"/>
      <c r="BJ261" s="114" t="str">
        <f t="shared" si="21"/>
        <v/>
      </c>
      <c r="BK261" s="115" t="b">
        <f t="shared" si="105"/>
        <v>0</v>
      </c>
      <c r="BL261" s="114" t="str">
        <f t="shared" si="23"/>
        <v/>
      </c>
      <c r="BM261" s="108"/>
      <c r="BN261" s="7" t="b">
        <f t="shared" si="24"/>
        <v>0</v>
      </c>
      <c r="BO261" s="7" t="b">
        <f t="shared" si="25"/>
        <v>0</v>
      </c>
      <c r="BP261" s="7" t="b">
        <f t="shared" si="26"/>
        <v>0</v>
      </c>
      <c r="BQ261" s="118"/>
      <c r="BR261" s="119" t="s">
        <v>206</v>
      </c>
      <c r="BS261" s="7" t="b">
        <f t="shared" si="27"/>
        <v>1</v>
      </c>
      <c r="BT261" s="7"/>
      <c r="BU261" s="7"/>
      <c r="BV261" s="7"/>
      <c r="BW261" s="7"/>
    </row>
    <row r="262">
      <c r="A262" s="86" t="s">
        <v>480</v>
      </c>
      <c r="B262" s="36"/>
      <c r="C262" s="91"/>
      <c r="D262" s="89"/>
      <c r="E262" s="89"/>
      <c r="F262" s="89"/>
      <c r="G262" s="86"/>
      <c r="H262" s="90"/>
      <c r="I262" s="3"/>
      <c r="J262" s="3"/>
      <c r="K262" s="89" t="s">
        <v>205</v>
      </c>
      <c r="L262" s="36"/>
      <c r="M262" s="91"/>
      <c r="N262" s="3"/>
      <c r="O262" s="92"/>
      <c r="P262" s="93" t="b">
        <f>IFNA(IF(VLOOKUP($A262,'Add from APT'!$AA$2:$AC264,3,FALSE)&gt;0,TRUE,FALSE),"ER - NOT IN APT")</f>
        <v>0</v>
      </c>
      <c r="Q262" s="94" t="str">
        <f>IF(ISLOGICAL(P262),IF(P262,"ER - REPS IN APT", IFNA(VLOOKUP($A262,RAW_APT!$A$3:$M264,7,FALSE),"ER - NOT IN APT")),P262)</f>
        <v>Incomplete</v>
      </c>
      <c r="R262" s="95" t="b">
        <f t="shared" si="102"/>
        <v>0</v>
      </c>
      <c r="S262" s="96">
        <f t="shared" si="3"/>
        <v>4</v>
      </c>
      <c r="T262" s="130"/>
      <c r="U262" s="3"/>
      <c r="V262" s="3"/>
      <c r="W262" s="3"/>
      <c r="X262" s="99" t="b">
        <f t="shared" si="259"/>
        <v>0</v>
      </c>
      <c r="Y262" s="7"/>
      <c r="Z262" s="101" t="str">
        <f t="shared" si="5"/>
        <v/>
      </c>
      <c r="AA262" s="102" t="b">
        <f t="shared" si="6"/>
        <v>0</v>
      </c>
      <c r="AB262" s="131"/>
      <c r="AC262" s="130">
        <v>232.0</v>
      </c>
      <c r="AD262" s="132"/>
      <c r="AE262" s="105" t="str">
        <f t="shared" si="7"/>
        <v/>
      </c>
      <c r="AF262" s="106" t="b">
        <f t="shared" si="103"/>
        <v>0</v>
      </c>
      <c r="AG262" s="93" t="b">
        <f t="shared" si="9"/>
        <v>1</v>
      </c>
      <c r="AH262" s="130">
        <v>9.0</v>
      </c>
      <c r="AI262" s="13"/>
      <c r="AJ262" s="7"/>
      <c r="AK262" s="101" t="str">
        <f t="shared" si="10"/>
        <v>DELETED</v>
      </c>
      <c r="AL262" s="104"/>
      <c r="AM262" s="94" t="s">
        <v>206</v>
      </c>
      <c r="AN262" s="94" t="s">
        <v>206</v>
      </c>
      <c r="AO262" s="102" t="str">
        <f>IFERROR(__xludf.DUMMYFUNCTION("IF($AG262, ""DELETED"",TRIM(JOIN("" "",D262:E262)))"),"DELETED")</f>
        <v>DELETED</v>
      </c>
      <c r="AP262" s="94" t="str">
        <f t="shared" ref="AP262:AQ262" si="306">IF($AG262, "DELETED", TRIM(CONCATENATE(F262,I262,U262)))</f>
        <v>DELETED</v>
      </c>
      <c r="AQ262" s="94" t="str">
        <f t="shared" si="306"/>
        <v>DELETED</v>
      </c>
      <c r="AR262" s="94" t="str">
        <f>IFERROR(__xludf.DUMMYFUNCTION("IF($AG262, ""DELETED"", TRIM(JOIN("" "",AP262,AQ262)))"),"DELETED")</f>
        <v>DELETED</v>
      </c>
      <c r="AS262" s="9"/>
      <c r="AT262" s="93" t="b">
        <f t="shared" si="12"/>
        <v>1</v>
      </c>
      <c r="AU262" s="93" t="str">
        <f t="shared" si="13"/>
        <v/>
      </c>
      <c r="AV262" s="93" t="str">
        <f t="shared" si="14"/>
        <v/>
      </c>
      <c r="AW262" s="93" t="str">
        <f t="shared" si="261"/>
        <v/>
      </c>
      <c r="AX262" s="107" t="str">
        <f t="shared" si="16"/>
        <v/>
      </c>
      <c r="AY262" s="3"/>
      <c r="AZ262" s="129"/>
      <c r="BA262" s="109" t="str">
        <f t="shared" si="17"/>
        <v/>
      </c>
      <c r="BB262" s="3"/>
      <c r="BC262" s="3"/>
      <c r="BD262" s="108"/>
      <c r="BE262" s="134"/>
      <c r="BF262" s="111" t="str">
        <f t="shared" si="18"/>
        <v/>
      </c>
      <c r="BG262" s="112" t="str">
        <f t="shared" si="19"/>
        <v/>
      </c>
      <c r="BH262" s="113" t="str">
        <f t="shared" si="20"/>
        <v/>
      </c>
      <c r="BI262" s="202"/>
      <c r="BJ262" s="114" t="str">
        <f t="shared" si="21"/>
        <v/>
      </c>
      <c r="BK262" s="115" t="b">
        <f t="shared" si="105"/>
        <v>0</v>
      </c>
      <c r="BL262" s="114" t="str">
        <f t="shared" si="23"/>
        <v/>
      </c>
      <c r="BM262" s="108"/>
      <c r="BN262" s="7" t="b">
        <f t="shared" si="24"/>
        <v>0</v>
      </c>
      <c r="BO262" s="7" t="b">
        <f t="shared" si="25"/>
        <v>0</v>
      </c>
      <c r="BP262" s="7" t="b">
        <f t="shared" si="26"/>
        <v>0</v>
      </c>
      <c r="BQ262" s="118"/>
      <c r="BR262" s="119" t="s">
        <v>206</v>
      </c>
      <c r="BS262" s="7" t="b">
        <f t="shared" si="27"/>
        <v>1</v>
      </c>
      <c r="BT262" s="7"/>
      <c r="BU262" s="7"/>
      <c r="BV262" s="7"/>
      <c r="BW262" s="7"/>
    </row>
    <row r="263">
      <c r="A263" s="86" t="s">
        <v>480</v>
      </c>
      <c r="B263" s="36"/>
      <c r="C263" s="91"/>
      <c r="D263" s="89"/>
      <c r="E263" s="89"/>
      <c r="F263" s="3"/>
      <c r="G263" s="120"/>
      <c r="H263" s="121"/>
      <c r="I263" s="89"/>
      <c r="J263" s="89"/>
      <c r="K263" s="89" t="s">
        <v>205</v>
      </c>
      <c r="L263" s="36"/>
      <c r="M263" s="91"/>
      <c r="N263" s="3"/>
      <c r="O263" s="92"/>
      <c r="P263" s="93" t="b">
        <f>IFNA(IF(VLOOKUP($A263,'Add from APT'!$AA$2:$AC264,3,FALSE)&gt;0,TRUE,FALSE),"ER - NOT IN APT")</f>
        <v>0</v>
      </c>
      <c r="Q263" s="94" t="str">
        <f>IF(ISLOGICAL(P263),IF(P263,"ER - REPS IN APT", IFNA(VLOOKUP($A263,RAW_APT!$A$3:$M264,7,FALSE),"ER - NOT IN APT")),P263)</f>
        <v>Incomplete</v>
      </c>
      <c r="R263" s="95" t="b">
        <f t="shared" si="102"/>
        <v>0</v>
      </c>
      <c r="S263" s="96">
        <f t="shared" si="3"/>
        <v>4</v>
      </c>
      <c r="T263" s="103"/>
      <c r="U263" s="3"/>
      <c r="V263" s="3"/>
      <c r="W263" s="98"/>
      <c r="X263" s="99" t="b">
        <f t="shared" si="259"/>
        <v>0</v>
      </c>
      <c r="Y263" s="100"/>
      <c r="Z263" s="101" t="str">
        <f t="shared" si="5"/>
        <v/>
      </c>
      <c r="AA263" s="102" t="b">
        <f t="shared" si="6"/>
        <v>0</v>
      </c>
      <c r="AB263" s="98"/>
      <c r="AC263" s="103">
        <v>233.0</v>
      </c>
      <c r="AD263" s="104"/>
      <c r="AE263" s="105" t="str">
        <f t="shared" si="7"/>
        <v/>
      </c>
      <c r="AF263" s="106" t="b">
        <f t="shared" si="103"/>
        <v>0</v>
      </c>
      <c r="AG263" s="93" t="b">
        <f t="shared" si="9"/>
        <v>1</v>
      </c>
      <c r="AH263" s="103">
        <v>9.0</v>
      </c>
      <c r="AI263" s="103"/>
      <c r="AJ263" s="97"/>
      <c r="AK263" s="101" t="str">
        <f t="shared" si="10"/>
        <v>DELETED</v>
      </c>
      <c r="AL263" s="104"/>
      <c r="AM263" s="94" t="s">
        <v>206</v>
      </c>
      <c r="AN263" s="94" t="s">
        <v>206</v>
      </c>
      <c r="AO263" s="102" t="str">
        <f>IFERROR(__xludf.DUMMYFUNCTION("IF($AG263, ""DELETED"",TRIM(JOIN("" "",D263:E263)))"),"DELETED")</f>
        <v>DELETED</v>
      </c>
      <c r="AP263" s="94" t="str">
        <f t="shared" ref="AP263:AQ263" si="307">IF($AG263, "DELETED", TRIM(CONCATENATE(F263,I263,U263)))</f>
        <v>DELETED</v>
      </c>
      <c r="AQ263" s="94" t="str">
        <f t="shared" si="307"/>
        <v>DELETED</v>
      </c>
      <c r="AR263" s="94" t="str">
        <f>IFERROR(__xludf.DUMMYFUNCTION("IF($AG263, ""DELETED"", TRIM(JOIN("" "",AP263,AQ263)))"),"DELETED")</f>
        <v>DELETED</v>
      </c>
      <c r="AS263" s="9"/>
      <c r="AT263" s="93" t="b">
        <f t="shared" si="12"/>
        <v>1</v>
      </c>
      <c r="AU263" s="93" t="str">
        <f t="shared" si="13"/>
        <v/>
      </c>
      <c r="AV263" s="93" t="str">
        <f t="shared" si="14"/>
        <v/>
      </c>
      <c r="AW263" s="93" t="str">
        <f t="shared" si="261"/>
        <v/>
      </c>
      <c r="AX263" s="107" t="str">
        <f t="shared" si="16"/>
        <v/>
      </c>
      <c r="AY263" s="98"/>
      <c r="AZ263" s="108"/>
      <c r="BA263" s="109" t="str">
        <f t="shared" si="17"/>
        <v/>
      </c>
      <c r="BB263" s="98"/>
      <c r="BC263" s="98"/>
      <c r="BD263" s="108"/>
      <c r="BE263" s="134"/>
      <c r="BF263" s="111" t="str">
        <f t="shared" si="18"/>
        <v/>
      </c>
      <c r="BG263" s="112" t="str">
        <f t="shared" si="19"/>
        <v/>
      </c>
      <c r="BH263" s="113" t="str">
        <f t="shared" si="20"/>
        <v/>
      </c>
      <c r="BI263" s="202"/>
      <c r="BJ263" s="114" t="str">
        <f t="shared" si="21"/>
        <v/>
      </c>
      <c r="BK263" s="115" t="b">
        <f t="shared" si="105"/>
        <v>0</v>
      </c>
      <c r="BL263" s="114" t="str">
        <f t="shared" si="23"/>
        <v/>
      </c>
      <c r="BM263" s="108"/>
      <c r="BN263" s="7" t="b">
        <f t="shared" si="24"/>
        <v>0</v>
      </c>
      <c r="BO263" s="7" t="b">
        <f t="shared" si="25"/>
        <v>0</v>
      </c>
      <c r="BP263" s="7" t="b">
        <f t="shared" si="26"/>
        <v>0</v>
      </c>
      <c r="BQ263" s="118"/>
      <c r="BR263" s="119" t="s">
        <v>206</v>
      </c>
      <c r="BS263" s="7" t="b">
        <f t="shared" si="27"/>
        <v>1</v>
      </c>
      <c r="BT263" s="7"/>
      <c r="BU263" s="7"/>
      <c r="BV263" s="7"/>
      <c r="BW263" s="7"/>
    </row>
    <row r="264">
      <c r="A264" s="86" t="s">
        <v>480</v>
      </c>
      <c r="B264" s="36"/>
      <c r="C264" s="91"/>
      <c r="D264" s="89"/>
      <c r="E264" s="89"/>
      <c r="F264" s="3"/>
      <c r="G264" s="120"/>
      <c r="H264" s="3"/>
      <c r="I264" s="89"/>
      <c r="J264" s="89"/>
      <c r="K264" s="89" t="s">
        <v>205</v>
      </c>
      <c r="L264" s="36"/>
      <c r="M264" s="91"/>
      <c r="N264" s="3"/>
      <c r="O264" s="92"/>
      <c r="P264" s="93" t="b">
        <f>IFNA(IF(VLOOKUP($A264,'Add from APT'!$AA$2:$AC264,3,FALSE)&gt;0,TRUE,FALSE),"ER - NOT IN APT")</f>
        <v>0</v>
      </c>
      <c r="Q264" s="94" t="str">
        <f>IF(ISLOGICAL(P264),IF(P264,"ER - REPS IN APT", IFNA(VLOOKUP($A264,RAW_APT!$A$3:$M264,7,FALSE),"ER - NOT IN APT")),P264)</f>
        <v>Incomplete</v>
      </c>
      <c r="R264" s="95" t="b">
        <f t="shared" si="102"/>
        <v>0</v>
      </c>
      <c r="S264" s="96">
        <f t="shared" si="3"/>
        <v>4</v>
      </c>
      <c r="T264" s="103"/>
      <c r="U264" s="3"/>
      <c r="V264" s="3"/>
      <c r="W264" s="98"/>
      <c r="X264" s="99" t="b">
        <f t="shared" si="259"/>
        <v>0</v>
      </c>
      <c r="Y264" s="100"/>
      <c r="Z264" s="101" t="str">
        <f t="shared" si="5"/>
        <v/>
      </c>
      <c r="AA264" s="102" t="b">
        <f t="shared" si="6"/>
        <v>0</v>
      </c>
      <c r="AB264" s="98"/>
      <c r="AC264" s="103">
        <v>234.0</v>
      </c>
      <c r="AD264" s="104"/>
      <c r="AE264" s="105" t="str">
        <f t="shared" si="7"/>
        <v/>
      </c>
      <c r="AF264" s="106" t="b">
        <f t="shared" si="103"/>
        <v>0</v>
      </c>
      <c r="AG264" s="93" t="b">
        <f t="shared" si="9"/>
        <v>1</v>
      </c>
      <c r="AH264" s="103">
        <v>9.0</v>
      </c>
      <c r="AI264" s="103"/>
      <c r="AJ264" s="97"/>
      <c r="AK264" s="101" t="str">
        <f t="shared" si="10"/>
        <v>DELETED</v>
      </c>
      <c r="AL264" s="104"/>
      <c r="AM264" s="94" t="s">
        <v>206</v>
      </c>
      <c r="AN264" s="94" t="s">
        <v>206</v>
      </c>
      <c r="AO264" s="102" t="str">
        <f>IFERROR(__xludf.DUMMYFUNCTION("IF($AG264, ""DELETED"",TRIM(JOIN("" "",D264:E264)))"),"DELETED")</f>
        <v>DELETED</v>
      </c>
      <c r="AP264" s="94" t="str">
        <f t="shared" ref="AP264:AQ264" si="308">IF($AG264, "DELETED", TRIM(CONCATENATE(F264,I264,U264)))</f>
        <v>DELETED</v>
      </c>
      <c r="AQ264" s="94" t="str">
        <f t="shared" si="308"/>
        <v>DELETED</v>
      </c>
      <c r="AR264" s="94" t="str">
        <f>IFERROR(__xludf.DUMMYFUNCTION("IF($AG264, ""DELETED"", TRIM(JOIN("" "",AP264,AQ264)))"),"DELETED")</f>
        <v>DELETED</v>
      </c>
      <c r="AS264" s="9"/>
      <c r="AT264" s="93" t="b">
        <f t="shared" si="12"/>
        <v>1</v>
      </c>
      <c r="AU264" s="93" t="str">
        <f t="shared" si="13"/>
        <v/>
      </c>
      <c r="AV264" s="93" t="str">
        <f t="shared" si="14"/>
        <v/>
      </c>
      <c r="AW264" s="93" t="str">
        <f t="shared" si="261"/>
        <v/>
      </c>
      <c r="AX264" s="107" t="str">
        <f t="shared" si="16"/>
        <v/>
      </c>
      <c r="AY264" s="98"/>
      <c r="AZ264" s="108"/>
      <c r="BA264" s="109" t="str">
        <f t="shared" si="17"/>
        <v/>
      </c>
      <c r="BB264" s="98"/>
      <c r="BC264" s="98"/>
      <c r="BD264" s="108"/>
      <c r="BE264" s="143"/>
      <c r="BF264" s="111" t="str">
        <f t="shared" si="18"/>
        <v/>
      </c>
      <c r="BG264" s="112" t="str">
        <f t="shared" si="19"/>
        <v/>
      </c>
      <c r="BH264" s="113" t="str">
        <f t="shared" si="20"/>
        <v/>
      </c>
      <c r="BI264" s="203"/>
      <c r="BJ264" s="114" t="str">
        <f t="shared" si="21"/>
        <v/>
      </c>
      <c r="BK264" s="115" t="b">
        <f t="shared" si="105"/>
        <v>0</v>
      </c>
      <c r="BL264" s="114" t="str">
        <f t="shared" si="23"/>
        <v/>
      </c>
      <c r="BM264" s="108"/>
      <c r="BN264" s="7" t="b">
        <f t="shared" si="24"/>
        <v>0</v>
      </c>
      <c r="BO264" s="7" t="b">
        <f t="shared" si="25"/>
        <v>0</v>
      </c>
      <c r="BP264" s="7" t="b">
        <f t="shared" si="26"/>
        <v>0</v>
      </c>
      <c r="BQ264" s="118"/>
      <c r="BR264" s="119" t="s">
        <v>206</v>
      </c>
      <c r="BS264" s="7" t="b">
        <f t="shared" si="27"/>
        <v>1</v>
      </c>
      <c r="BT264" s="7"/>
      <c r="BU264" s="7"/>
      <c r="BV264" s="7"/>
      <c r="BW264" s="7"/>
    </row>
  </sheetData>
  <autoFilter ref="$AK$1:$AK$264"/>
  <conditionalFormatting sqref="AT2:AT264">
    <cfRule type="cellIs" dxfId="1" priority="1" operator="equal">
      <formula>"FALSE"</formula>
    </cfRule>
  </conditionalFormatting>
  <conditionalFormatting sqref="AU2:AW264">
    <cfRule type="cellIs" dxfId="1" priority="2" operator="greaterThan">
      <formula>1</formula>
    </cfRule>
  </conditionalFormatting>
  <conditionalFormatting sqref="X2:X264">
    <cfRule type="containsText" dxfId="1" priority="3" operator="containsText" text="ER">
      <formula>NOT(ISERROR(SEARCH(("ER"),(X2))))</formula>
    </cfRule>
  </conditionalFormatting>
  <conditionalFormatting sqref="AF2:AF264">
    <cfRule type="cellIs" dxfId="1" priority="4" operator="equal">
      <formula>"TRUE"</formula>
    </cfRule>
  </conditionalFormatting>
  <conditionalFormatting sqref="X1 AF1 AT1">
    <cfRule type="containsText" dxfId="1" priority="5" operator="containsText" text="ERROR">
      <formula>NOT(ISERROR(SEARCH(("ERROR"),(X1))))</formula>
    </cfRule>
  </conditionalFormatting>
  <conditionalFormatting sqref="P2:Q264">
    <cfRule type="containsText" dxfId="1" priority="6" operator="containsText" text="ER">
      <formula>NOT(ISERROR(SEARCH(("ER"),(P2))))</formula>
    </cfRule>
  </conditionalFormatting>
  <conditionalFormatting sqref="P2:P264">
    <cfRule type="cellIs" dxfId="2" priority="7" operator="equal">
      <formula>"TRUE"</formula>
    </cfRule>
  </conditionalFormatting>
  <conditionalFormatting sqref="X1 AF1 AT1">
    <cfRule type="notContainsText" dxfId="0" priority="8" operator="notContains" text="ERROR">
      <formula>ISERROR(SEARCH(("ERROR"),(X1)))</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2"/>
  <cols>
    <col customWidth="1" min="4" max="4" width="14.13" outlineLevel="1"/>
    <col min="5" max="10" width="12.63" outlineLevel="1"/>
    <col customWidth="1" min="11" max="11" width="11.5" outlineLevel="1"/>
    <col customWidth="1" min="12" max="12" width="10.5" outlineLevel="1"/>
    <col customWidth="1" min="13" max="13" width="8.25" outlineLevel="1"/>
    <col customWidth="1" min="14" max="14" width="16.5" outlineLevel="1"/>
    <col customWidth="1" min="15" max="15" width="21.13"/>
    <col customWidth="1" min="16" max="16" width="11.25"/>
    <col customWidth="1" min="17" max="17" width="13.75"/>
    <col customWidth="1" min="18" max="20" width="8.25"/>
    <col customWidth="1" min="21" max="21" width="15.75"/>
    <col customWidth="1" min="22" max="22" width="15.38" outlineLevel="1"/>
    <col customWidth="1" min="23" max="23" width="19.5" outlineLevel="1"/>
    <col customWidth="1" min="24" max="24" width="9.38" outlineLevel="1"/>
    <col customWidth="1" min="25" max="25" width="8.75" outlineLevel="2"/>
    <col customWidth="1" min="26" max="26" width="8.38" outlineLevel="2"/>
    <col customWidth="1" min="27" max="27" width="10.13" outlineLevel="2"/>
    <col customWidth="1" min="28" max="28" width="8.88" outlineLevel="2"/>
    <col customWidth="1" min="29" max="29" width="8.0" outlineLevel="2"/>
    <col customWidth="1" min="30" max="30" width="9.5" outlineLevel="2"/>
    <col customWidth="1" min="31" max="32" width="10.88" outlineLevel="2"/>
    <col customWidth="1" min="33" max="33" width="10.25" outlineLevel="2"/>
    <col customWidth="1" min="34" max="34" width="7.13" outlineLevel="2"/>
    <col customWidth="1" min="35" max="35" width="7.5" outlineLevel="2"/>
    <col customWidth="1" min="36" max="36" width="9.38" outlineLevel="2"/>
    <col customWidth="1" min="37" max="37" width="9.63" outlineLevel="2"/>
    <col customWidth="1" min="38" max="38" width="26.38" outlineLevel="2"/>
    <col customWidth="1" min="39" max="39" width="20.38" outlineLevel="2"/>
    <col customWidth="1" min="40" max="40" width="20.88" outlineLevel="2"/>
    <col customWidth="1" min="41" max="41" width="19.75" outlineLevel="1"/>
    <col customWidth="1" min="42" max="42" width="13.25" outlineLevel="1"/>
    <col customWidth="1" min="43" max="43" width="14.88" outlineLevel="1"/>
    <col customWidth="1" min="44" max="44" width="18.25" outlineLevel="1"/>
    <col customWidth="1" min="45" max="45" width="11.75" outlineLevel="1"/>
    <col customWidth="1" min="46" max="49" width="12.13" outlineLevel="1"/>
    <col customWidth="1" min="50" max="50" width="17.13"/>
    <col customWidth="1" min="51" max="51" width="3.75"/>
    <col customWidth="1" min="52" max="52" width="7.0"/>
    <col customWidth="1" min="53" max="54" width="10.75"/>
    <col customWidth="1" min="55" max="55" width="11.25"/>
    <col customWidth="1" min="56" max="56" width="6.75"/>
    <col customWidth="1" min="57" max="64" width="11.38"/>
    <col customWidth="1" min="65" max="65" width="7.5"/>
    <col customWidth="1" min="66" max="72" width="11.0"/>
  </cols>
  <sheetData>
    <row r="1">
      <c r="A1" s="50" t="str">
        <f>preDEL!A$1</f>
        <v>TUBE ID</v>
      </c>
      <c r="B1" s="50" t="str">
        <f>preDEL!B$1</f>
        <v>COLLECTION DATE</v>
      </c>
      <c r="C1" s="50" t="str">
        <f>preDEL!C$1</f>
        <v>COLLECTION TIME</v>
      </c>
      <c r="D1" s="50" t="str">
        <f>preDEL!D$1</f>
        <v>SPONSOR FIRSTNAME</v>
      </c>
      <c r="E1" s="50" t="str">
        <f>preDEL!E$1</f>
        <v>SPONSOR LASTNAME</v>
      </c>
      <c r="F1" s="50" t="str">
        <f>preDEL!F$1</f>
        <v>PARTICIPANT FIRSTNAME</v>
      </c>
      <c r="G1" s="50" t="str">
        <f>preDEL!G$1</f>
        <v>PARTICIPANT LASTNAME</v>
      </c>
      <c r="H1" s="50" t="str">
        <f>preDEL!H$1</f>
        <v>PARTICIPANT EMAIL</v>
      </c>
      <c r="I1" s="50" t="str">
        <f>preDEL!I$1</f>
        <v>MINOR FIRSTNAME</v>
      </c>
      <c r="J1" s="50" t="str">
        <f>preDEL!J$1</f>
        <v>MINOR LASTNAME</v>
      </c>
      <c r="K1" s="71" t="str">
        <f>preDEL!K$1</f>
        <v>APP
RESULT</v>
      </c>
      <c r="L1" s="50" t="str">
        <f>preDEL!L$1</f>
        <v>RESULT DATE</v>
      </c>
      <c r="M1" s="50" t="str">
        <f>preDEL!M$1</f>
        <v>RESULT TIME</v>
      </c>
      <c r="N1" s="71" t="str">
        <f>preDEL!N$1</f>
        <v>APP
GROUP</v>
      </c>
      <c r="O1" s="50" t="str">
        <f>preDEL!O$1</f>
        <v>NOTE</v>
      </c>
      <c r="P1" s="50" t="str">
        <f>preDEL!P$1</f>
        <v>REPS IN RAW_APT?</v>
      </c>
      <c r="Q1" s="50" t="str">
        <f>preDEL!Q$1</f>
        <v>STATUS</v>
      </c>
      <c r="R1" s="51" t="str">
        <f>preDEL!R$1</f>
        <v>Tube ID First Row?</v>
      </c>
      <c r="S1" s="51" t="str">
        <f>preDEL!S$1</f>
        <v>Num Tube IDs</v>
      </c>
      <c r="T1" s="67" t="str">
        <f>preDEL!T$1</f>
        <v>Add N Names</v>
      </c>
      <c r="U1" s="51" t="str">
        <f>preDEL!U$1</f>
        <v>NOTE FIRSTNAME</v>
      </c>
      <c r="V1" s="51" t="str">
        <f>preDEL!V$1</f>
        <v>NOTE LASTNAME</v>
      </c>
      <c r="W1" s="50" t="str">
        <f>preDEL!W$1</f>
        <v>Names Adjust</v>
      </c>
      <c r="X1" s="67" t="str">
        <f>preDEL!X$1</f>
        <v>Note Name?</v>
      </c>
      <c r="Y1" s="67" t="str">
        <f>preDEL!Y$1</f>
        <v>FRAN</v>
      </c>
      <c r="Z1" s="66" t="str">
        <f>preDEL!Z$1</f>
        <v>&gt;4 Samples</v>
      </c>
      <c r="AA1" s="67" t="str">
        <f>preDEL!AA$1</f>
        <v>Has Note?</v>
      </c>
      <c r="AB1" s="51" t="str">
        <f>preDEL!AB$1</f>
        <v>Preserve Note</v>
      </c>
      <c r="AC1" s="66" t="str">
        <f>preDEL!AC$1</f>
        <v>Initial Order</v>
      </c>
      <c r="AD1" s="66" t="str">
        <f>preDEL!AD$1</f>
        <v>Added from APT?</v>
      </c>
      <c r="AE1" s="51" t="str">
        <f>preDEL!AE$1</f>
        <v>Minutes Col to Result</v>
      </c>
      <c r="AF1" s="246" t="str">
        <f>preDEL!AF$1</f>
        <v>Tube IDs w Diff Times?</v>
      </c>
      <c r="AG1" s="51" t="str">
        <f>preDEL!AG$1</f>
        <v>Delete?</v>
      </c>
      <c r="AH1" s="51" t="str">
        <f>preDEL!AH$1</f>
        <v>Delete Code</v>
      </c>
      <c r="AI1" s="51" t="str">
        <f>preDEL!AI$1</f>
        <v>Basic Correct Code</v>
      </c>
      <c r="AJ1" s="71" t="str">
        <f>preDEL!AJ$1</f>
        <v>Result Correct Code</v>
      </c>
      <c r="AK1" s="71" t="str">
        <f>preDEL!AK$1</f>
        <v>FINAL RESULT</v>
      </c>
      <c r="AL1" s="51" t="str">
        <f>preDEL!AL$1</f>
        <v>Correction Notes</v>
      </c>
      <c r="AM1" s="66" t="str">
        <f>preDEL!AM$1</f>
        <v>Sponsor ID</v>
      </c>
      <c r="AN1" s="66" t="str">
        <f>preDEL!AN$1</f>
        <v>Participant ID</v>
      </c>
      <c r="AO1" s="72" t="str">
        <f>preDEL!AO$1</f>
        <v>Sponsor
FullName</v>
      </c>
      <c r="AP1" s="66" t="str">
        <f>preDEL!AP$1</f>
        <v>Combined Participant Firstname</v>
      </c>
      <c r="AQ1" s="66" t="str">
        <f>preDEL!AQ$1</f>
        <v>Combined Participant Lastname</v>
      </c>
      <c r="AR1" s="66" t="str">
        <f>preDEL!AR$1</f>
        <v>Combined Participant Fullname</v>
      </c>
      <c r="AS1" s="247" t="s">
        <v>192</v>
      </c>
      <c r="AT1" s="14"/>
      <c r="AU1" s="14"/>
      <c r="AV1" s="14"/>
      <c r="AW1" s="14"/>
      <c r="AX1" s="14"/>
      <c r="AY1" s="14"/>
      <c r="AZ1" s="14"/>
      <c r="BA1" s="14"/>
      <c r="BB1" s="14"/>
      <c r="BC1" s="14"/>
      <c r="BD1" s="248"/>
      <c r="BE1" s="248"/>
      <c r="BF1" s="248"/>
      <c r="BG1" s="248"/>
      <c r="BH1" s="248"/>
      <c r="BI1" s="248"/>
      <c r="BJ1" s="248"/>
      <c r="BK1" s="248"/>
      <c r="BL1" s="248"/>
      <c r="BM1" s="248"/>
      <c r="BN1" s="59"/>
      <c r="BO1" s="59"/>
      <c r="BP1" s="59"/>
      <c r="BQ1" s="59"/>
      <c r="BR1" s="59"/>
      <c r="BS1" s="59"/>
      <c r="BT1" s="59"/>
    </row>
    <row r="2">
      <c r="A2" s="249" t="str">
        <f>IF(preDEL!$AG2,IFERROR(0/0,""),preDEL!A2)</f>
        <v/>
      </c>
      <c r="B2" s="250" t="str">
        <f>IF(preDEL!$AG2,IFERROR(0/0,""),preDEL!B2)</f>
        <v/>
      </c>
      <c r="C2" s="251" t="str">
        <f>IF(preDEL!$AG2,IFERROR(0/0,""),preDEL!C2)</f>
        <v/>
      </c>
      <c r="D2" s="249" t="str">
        <f>IF(preDEL!$AG2,IFERROR(0/0,""),preDEL!D2)</f>
        <v/>
      </c>
      <c r="E2" s="249" t="str">
        <f>IF(preDEL!$AG2,IFERROR(0/0,""),preDEL!E2)</f>
        <v/>
      </c>
      <c r="F2" s="94" t="str">
        <f>IF(preDEL!$AG2,IFERROR(0/0,""),preDEL!F2)</f>
        <v/>
      </c>
      <c r="G2" s="94" t="str">
        <f>IF(preDEL!$AG2,IFERROR(0/0,""),preDEL!G2)</f>
        <v/>
      </c>
      <c r="H2" s="94" t="str">
        <f>IF(preDEL!$AG2,IFERROR(0/0,""),preDEL!H2)</f>
        <v/>
      </c>
      <c r="I2" s="249" t="str">
        <f>IF(preDEL!$AG2,IFERROR(0/0,""),preDEL!I2)</f>
        <v/>
      </c>
      <c r="J2" s="249" t="str">
        <f>IF(preDEL!$AG2,IFERROR(0/0,""),preDEL!J2)</f>
        <v/>
      </c>
      <c r="K2" s="249" t="str">
        <f>IF(preDEL!$AG2,IFERROR(0/0,""),preDEL!K2)</f>
        <v/>
      </c>
      <c r="L2" s="250" t="str">
        <f>IF(preDEL!$AG2,IFERROR(0/0,""),preDEL!L2)</f>
        <v/>
      </c>
      <c r="M2" s="251" t="str">
        <f>IF(preDEL!$AG2,IFERROR(0/0,""),preDEL!M2)</f>
        <v/>
      </c>
      <c r="N2" s="94" t="str">
        <f>IF(preDEL!$AG2,IFERROR(0/0,""),preDEL!N2)</f>
        <v/>
      </c>
      <c r="O2" s="94" t="str">
        <f>IF(preDEL!$AG2,IFERROR(0/0,""),preDEL!O2)</f>
        <v/>
      </c>
      <c r="P2" s="93" t="str">
        <f>IF(preDEL!$AG2,IFERROR(0/0,""),preDEL!P2)</f>
        <v/>
      </c>
      <c r="Q2" s="93" t="str">
        <f>IF(preDEL!$AG2,IFERROR(0/0,""),preDEL!Q2)</f>
        <v/>
      </c>
      <c r="R2" s="99" t="str">
        <f>IF(preDEL!$AG2,IFERROR(0/0,""),preDEL!R2)</f>
        <v/>
      </c>
      <c r="S2" s="99" t="str">
        <f>IF(preDEL!$AG2,IFERROR(0/0,""),preDEL!S2)</f>
        <v/>
      </c>
      <c r="T2" s="93" t="str">
        <f>IF(preDEL!$AG2,IFERROR(0/0,""),preDEL!T2)</f>
        <v/>
      </c>
      <c r="U2" s="94" t="str">
        <f>IF(preDEL!$AG2,IFERROR(0/0,""),preDEL!U2)</f>
        <v/>
      </c>
      <c r="V2" s="249" t="str">
        <f>IF(preDEL!$AG2,IFERROR(0/0,""),preDEL!V2)</f>
        <v/>
      </c>
      <c r="W2" s="94" t="str">
        <f>IF(preDEL!$AG2,IFERROR(0/0,""),preDEL!W2)</f>
        <v/>
      </c>
      <c r="X2" s="99" t="str">
        <f>IF(preDEL!$AG2,IFERROR(0/0,""),preDEL!X2)</f>
        <v/>
      </c>
      <c r="Y2" s="93" t="str">
        <f>IF(preDEL!$AG2,IFERROR(0/0,""),preDEL!Y2)</f>
        <v/>
      </c>
      <c r="Z2" s="249" t="str">
        <f>IF(preDEL!$AG2,IFERROR(0/0,""),preDEL!Z2)</f>
        <v/>
      </c>
      <c r="AA2" s="93" t="str">
        <f>IF(preDEL!$AG2,IFERROR(0/0,""),preDEL!AA2)</f>
        <v/>
      </c>
      <c r="AB2" s="93" t="str">
        <f>IF(preDEL!$AG2,IFERROR(0/0,""),preDEL!AB2)</f>
        <v/>
      </c>
      <c r="AC2" s="252" t="str">
        <f>IF(preDEL!$AG2,IFERROR(0/0,""),preDEL!AC2)</f>
        <v/>
      </c>
      <c r="AD2" s="99" t="str">
        <f>IF(preDEL!$AG2,IFERROR(0/0,""),preDEL!AD2)</f>
        <v/>
      </c>
      <c r="AE2" s="253" t="str">
        <f>IF(preDEL!$AG2,IFERROR(0/0,""),preDEL!AE2)</f>
        <v/>
      </c>
      <c r="AF2" s="93" t="str">
        <f>IF(preDEL!$AG2,IFERROR(0/0,""),preDEL!AF2)</f>
        <v/>
      </c>
      <c r="AG2" s="93" t="str">
        <f>IF(preDEL!$AG2,IFERROR(0/0,""),preDEL!AG2)</f>
        <v/>
      </c>
      <c r="AH2" s="99" t="str">
        <f>IF(preDEL!$AG2,IFERROR(0/0,""),preDEL!AH2)</f>
        <v/>
      </c>
      <c r="AI2" s="249" t="str">
        <f>IF(preDEL!$AG2,IFERROR(0/0,""),preDEL!AI2)</f>
        <v/>
      </c>
      <c r="AJ2" s="94" t="str">
        <f>IF(preDEL!$AG2,IFERROR(0/0,""),preDEL!AJ2)</f>
        <v/>
      </c>
      <c r="AK2" s="249" t="str">
        <f>IF(preDEL!$AG2,IFERROR(0/0,""),preDEL!AK2)</f>
        <v/>
      </c>
      <c r="AL2" s="94" t="str">
        <f>IF(preDEL!$AG2,IFERROR(0/0,""),preDEL!AL2)</f>
        <v/>
      </c>
      <c r="AM2" s="94" t="str">
        <f>IF(preDEL!$AG2,IFERROR(0/0,""),preDEL!AM2)</f>
        <v/>
      </c>
      <c r="AN2" s="94" t="str">
        <f>IF(preDEL!$AG2,IFERROR(0/0,""),preDEL!AN2)</f>
        <v/>
      </c>
      <c r="AO2" s="94" t="str">
        <f>IF(preDEL!$AG2,IFERROR(0/0,""),preDEL!AO2)</f>
        <v/>
      </c>
      <c r="AP2" s="94" t="str">
        <f>IF(preDEL!$AG2,IFERROR(0/0,""),preDEL!AP2)</f>
        <v/>
      </c>
      <c r="AQ2" s="94" t="str">
        <f>IF(preDEL!$AG2,IFERROR(0/0,""),preDEL!AQ2)</f>
        <v/>
      </c>
      <c r="AR2" s="94" t="str">
        <f>IF(preDEL!$AG2,IFERROR(0/0,""),preDEL!AR2)</f>
        <v/>
      </c>
      <c r="AS2" s="98"/>
      <c r="BE2" s="254"/>
      <c r="BF2" s="255"/>
      <c r="BG2" s="254"/>
      <c r="BH2" s="255"/>
      <c r="BI2" s="254"/>
      <c r="BJ2" s="254"/>
      <c r="BK2" s="254"/>
      <c r="BL2" s="254"/>
      <c r="BN2" s="7"/>
      <c r="BO2" s="7"/>
      <c r="BP2" s="7"/>
      <c r="BQ2" s="7"/>
      <c r="BR2" s="7"/>
      <c r="BS2" s="7"/>
      <c r="BT2" s="7"/>
    </row>
    <row r="3">
      <c r="A3" s="249" t="str">
        <f>IF(preDEL!$AG3,IFERROR(0/0,""),preDEL!A3)</f>
        <v/>
      </c>
      <c r="B3" s="250" t="str">
        <f>IF(preDEL!$AG3,IFERROR(0/0,""),preDEL!B3)</f>
        <v/>
      </c>
      <c r="C3" s="251" t="str">
        <f>IF(preDEL!$AG3,IFERROR(0/0,""),preDEL!C3)</f>
        <v/>
      </c>
      <c r="D3" s="249" t="str">
        <f>IF(preDEL!$AG3,IFERROR(0/0,""),preDEL!D3)</f>
        <v/>
      </c>
      <c r="E3" s="249" t="str">
        <f>IF(preDEL!$AG3,IFERROR(0/0,""),preDEL!E3)</f>
        <v/>
      </c>
      <c r="F3" s="94" t="str">
        <f>IF(preDEL!$AG3,IFERROR(0/0,""),preDEL!F3)</f>
        <v/>
      </c>
      <c r="G3" s="94" t="str">
        <f>IF(preDEL!$AG3,IFERROR(0/0,""),preDEL!G3)</f>
        <v/>
      </c>
      <c r="H3" s="94" t="str">
        <f>IF(preDEL!$AG3,IFERROR(0/0,""),preDEL!H3)</f>
        <v/>
      </c>
      <c r="I3" s="249" t="str">
        <f>IF(preDEL!$AG3,IFERROR(0/0,""),preDEL!I3)</f>
        <v/>
      </c>
      <c r="J3" s="249" t="str">
        <f>IF(preDEL!$AG3,IFERROR(0/0,""),preDEL!J3)</f>
        <v/>
      </c>
      <c r="K3" s="249" t="str">
        <f>IF(preDEL!$AG3,IFERROR(0/0,""),preDEL!K3)</f>
        <v/>
      </c>
      <c r="L3" s="250" t="str">
        <f>IF(preDEL!$AG3,IFERROR(0/0,""),preDEL!L3)</f>
        <v/>
      </c>
      <c r="M3" s="251" t="str">
        <f>IF(preDEL!$AG3,IFERROR(0/0,""),preDEL!M3)</f>
        <v/>
      </c>
      <c r="N3" s="94" t="str">
        <f>IF(preDEL!$AG3,IFERROR(0/0,""),preDEL!N3)</f>
        <v/>
      </c>
      <c r="O3" s="94" t="str">
        <f>IF(preDEL!$AG3,IFERROR(0/0,""),preDEL!O3)</f>
        <v/>
      </c>
      <c r="P3" s="93" t="str">
        <f>IF(preDEL!$AG3,IFERROR(0/0,""),preDEL!P3)</f>
        <v/>
      </c>
      <c r="Q3" s="93" t="str">
        <f>IF(preDEL!$AG3,IFERROR(0/0,""),preDEL!Q3)</f>
        <v/>
      </c>
      <c r="R3" s="99" t="str">
        <f>IF(preDEL!$AG3,IFERROR(0/0,""),preDEL!R3)</f>
        <v/>
      </c>
      <c r="S3" s="99" t="str">
        <f>IF(preDEL!$AG3,IFERROR(0/0,""),preDEL!S3)</f>
        <v/>
      </c>
      <c r="T3" s="93" t="str">
        <f>IF(preDEL!$AG3,IFERROR(0/0,""),preDEL!T3)</f>
        <v/>
      </c>
      <c r="U3" s="94" t="str">
        <f>IF(preDEL!$AG3,IFERROR(0/0,""),preDEL!U3)</f>
        <v/>
      </c>
      <c r="V3" s="249" t="str">
        <f>IF(preDEL!$AG3,IFERROR(0/0,""),preDEL!V3)</f>
        <v/>
      </c>
      <c r="W3" s="94" t="str">
        <f>IF(preDEL!$AG3,IFERROR(0/0,""),preDEL!W3)</f>
        <v/>
      </c>
      <c r="X3" s="99" t="str">
        <f>IF(preDEL!$AG3,IFERROR(0/0,""),preDEL!X3)</f>
        <v/>
      </c>
      <c r="Y3" s="93" t="str">
        <f>IF(preDEL!$AG3,IFERROR(0/0,""),preDEL!Y3)</f>
        <v/>
      </c>
      <c r="Z3" s="249" t="str">
        <f>IF(preDEL!$AG3,IFERROR(0/0,""),preDEL!Z3)</f>
        <v/>
      </c>
      <c r="AA3" s="93" t="str">
        <f>IF(preDEL!$AG3,IFERROR(0/0,""),preDEL!AA3)</f>
        <v/>
      </c>
      <c r="AB3" s="93" t="str">
        <f>IF(preDEL!$AG3,IFERROR(0/0,""),preDEL!AB3)</f>
        <v/>
      </c>
      <c r="AC3" s="252" t="str">
        <f>IF(preDEL!$AG3,IFERROR(0/0,""),preDEL!AC3)</f>
        <v/>
      </c>
      <c r="AD3" s="99" t="str">
        <f>IF(preDEL!$AG3,IFERROR(0/0,""),preDEL!AD3)</f>
        <v/>
      </c>
      <c r="AE3" s="253" t="str">
        <f>IF(preDEL!$AG3,IFERROR(0/0,""),preDEL!AE3)</f>
        <v/>
      </c>
      <c r="AF3" s="93" t="str">
        <f>IF(preDEL!$AG3,IFERROR(0/0,""),preDEL!AF3)</f>
        <v/>
      </c>
      <c r="AG3" s="93" t="str">
        <f>IF(preDEL!$AG3,IFERROR(0/0,""),preDEL!AG3)</f>
        <v/>
      </c>
      <c r="AH3" s="99" t="str">
        <f>IF(preDEL!$AG3,IFERROR(0/0,""),preDEL!AH3)</f>
        <v/>
      </c>
      <c r="AI3" s="249" t="str">
        <f>IF(preDEL!$AG3,IFERROR(0/0,""),preDEL!AI3)</f>
        <v/>
      </c>
      <c r="AJ3" s="94" t="str">
        <f>IF(preDEL!$AG3,IFERROR(0/0,""),preDEL!AJ3)</f>
        <v/>
      </c>
      <c r="AK3" s="249" t="str">
        <f>IF(preDEL!$AG3,IFERROR(0/0,""),preDEL!AK3)</f>
        <v/>
      </c>
      <c r="AL3" s="94" t="str">
        <f>IF(preDEL!$AG3,IFERROR(0/0,""),preDEL!AL3)</f>
        <v/>
      </c>
      <c r="AM3" s="94" t="str">
        <f>IF(preDEL!$AG3,IFERROR(0/0,""),preDEL!AM3)</f>
        <v/>
      </c>
      <c r="AN3" s="94" t="str">
        <f>IF(preDEL!$AG3,IFERROR(0/0,""),preDEL!AN3)</f>
        <v/>
      </c>
      <c r="AO3" s="94" t="str">
        <f>IF(preDEL!$AG3,IFERROR(0/0,""),preDEL!AO3)</f>
        <v/>
      </c>
      <c r="AP3" s="94" t="str">
        <f>IF(preDEL!$AG3,IFERROR(0/0,""),preDEL!AP3)</f>
        <v/>
      </c>
      <c r="AQ3" s="94" t="str">
        <f>IF(preDEL!$AG3,IFERROR(0/0,""),preDEL!AQ3)</f>
        <v/>
      </c>
      <c r="AR3" s="94" t="str">
        <f>IF(preDEL!$AG3,IFERROR(0/0,""),preDEL!AR3)</f>
        <v/>
      </c>
      <c r="AS3" s="98"/>
      <c r="BE3" s="254"/>
      <c r="BF3" s="255"/>
      <c r="BG3" s="254"/>
      <c r="BH3" s="255"/>
      <c r="BI3" s="254"/>
      <c r="BJ3" s="254"/>
      <c r="BK3" s="254"/>
      <c r="BL3" s="254"/>
      <c r="BN3" s="7"/>
      <c r="BO3" s="7"/>
      <c r="BP3" s="7"/>
      <c r="BQ3" s="7"/>
      <c r="BR3" s="7"/>
      <c r="BS3" s="7"/>
      <c r="BT3" s="7"/>
    </row>
    <row r="4">
      <c r="A4" s="249" t="str">
        <f>IF(preDEL!$AG4,IFERROR(0/0,""),preDEL!A4)</f>
        <v/>
      </c>
      <c r="B4" s="250" t="str">
        <f>IF(preDEL!$AG4,IFERROR(0/0,""),preDEL!B4)</f>
        <v/>
      </c>
      <c r="C4" s="251" t="str">
        <f>IF(preDEL!$AG4,IFERROR(0/0,""),preDEL!C4)</f>
        <v/>
      </c>
      <c r="D4" s="249" t="str">
        <f>IF(preDEL!$AG4,IFERROR(0/0,""),preDEL!D4)</f>
        <v/>
      </c>
      <c r="E4" s="249" t="str">
        <f>IF(preDEL!$AG4,IFERROR(0/0,""),preDEL!E4)</f>
        <v/>
      </c>
      <c r="F4" s="94" t="str">
        <f>IF(preDEL!$AG4,IFERROR(0/0,""),preDEL!F4)</f>
        <v/>
      </c>
      <c r="G4" s="94" t="str">
        <f>IF(preDEL!$AG4,IFERROR(0/0,""),preDEL!G4)</f>
        <v/>
      </c>
      <c r="H4" s="94" t="str">
        <f>IF(preDEL!$AG4,IFERROR(0/0,""),preDEL!H4)</f>
        <v/>
      </c>
      <c r="I4" s="249" t="str">
        <f>IF(preDEL!$AG4,IFERROR(0/0,""),preDEL!I4)</f>
        <v/>
      </c>
      <c r="J4" s="249" t="str">
        <f>IF(preDEL!$AG4,IFERROR(0/0,""),preDEL!J4)</f>
        <v/>
      </c>
      <c r="K4" s="249" t="str">
        <f>IF(preDEL!$AG4,IFERROR(0/0,""),preDEL!K4)</f>
        <v/>
      </c>
      <c r="L4" s="250" t="str">
        <f>IF(preDEL!$AG4,IFERROR(0/0,""),preDEL!L4)</f>
        <v/>
      </c>
      <c r="M4" s="251" t="str">
        <f>IF(preDEL!$AG4,IFERROR(0/0,""),preDEL!M4)</f>
        <v/>
      </c>
      <c r="N4" s="94" t="str">
        <f>IF(preDEL!$AG4,IFERROR(0/0,""),preDEL!N4)</f>
        <v/>
      </c>
      <c r="O4" s="94" t="str">
        <f>IF(preDEL!$AG4,IFERROR(0/0,""),preDEL!O4)</f>
        <v/>
      </c>
      <c r="P4" s="93" t="str">
        <f>IF(preDEL!$AG4,IFERROR(0/0,""),preDEL!P4)</f>
        <v/>
      </c>
      <c r="Q4" s="93" t="str">
        <f>IF(preDEL!$AG4,IFERROR(0/0,""),preDEL!Q4)</f>
        <v/>
      </c>
      <c r="R4" s="99" t="str">
        <f>IF(preDEL!$AG4,IFERROR(0/0,""),preDEL!R4)</f>
        <v/>
      </c>
      <c r="S4" s="99" t="str">
        <f>IF(preDEL!$AG4,IFERROR(0/0,""),preDEL!S4)</f>
        <v/>
      </c>
      <c r="T4" s="93" t="str">
        <f>IF(preDEL!$AG4,IFERROR(0/0,""),preDEL!T4)</f>
        <v/>
      </c>
      <c r="U4" s="94" t="str">
        <f>IF(preDEL!$AG4,IFERROR(0/0,""),preDEL!U4)</f>
        <v/>
      </c>
      <c r="V4" s="249" t="str">
        <f>IF(preDEL!$AG4,IFERROR(0/0,""),preDEL!V4)</f>
        <v/>
      </c>
      <c r="W4" s="94" t="str">
        <f>IF(preDEL!$AG4,IFERROR(0/0,""),preDEL!W4)</f>
        <v/>
      </c>
      <c r="X4" s="99" t="str">
        <f>IF(preDEL!$AG4,IFERROR(0/0,""),preDEL!X4)</f>
        <v/>
      </c>
      <c r="Y4" s="93" t="str">
        <f>IF(preDEL!$AG4,IFERROR(0/0,""),preDEL!Y4)</f>
        <v/>
      </c>
      <c r="Z4" s="249" t="str">
        <f>IF(preDEL!$AG4,IFERROR(0/0,""),preDEL!Z4)</f>
        <v/>
      </c>
      <c r="AA4" s="93" t="str">
        <f>IF(preDEL!$AG4,IFERROR(0/0,""),preDEL!AA4)</f>
        <v/>
      </c>
      <c r="AB4" s="93" t="str">
        <f>IF(preDEL!$AG4,IFERROR(0/0,""),preDEL!AB4)</f>
        <v/>
      </c>
      <c r="AC4" s="252" t="str">
        <f>IF(preDEL!$AG4,IFERROR(0/0,""),preDEL!AC4)</f>
        <v/>
      </c>
      <c r="AD4" s="99" t="str">
        <f>IF(preDEL!$AG4,IFERROR(0/0,""),preDEL!AD4)</f>
        <v/>
      </c>
      <c r="AE4" s="253" t="str">
        <f>IF(preDEL!$AG4,IFERROR(0/0,""),preDEL!AE4)</f>
        <v/>
      </c>
      <c r="AF4" s="93" t="str">
        <f>IF(preDEL!$AG4,IFERROR(0/0,""),preDEL!AF4)</f>
        <v/>
      </c>
      <c r="AG4" s="93" t="str">
        <f>IF(preDEL!$AG4,IFERROR(0/0,""),preDEL!AG4)</f>
        <v/>
      </c>
      <c r="AH4" s="99" t="str">
        <f>IF(preDEL!$AG4,IFERROR(0/0,""),preDEL!AH4)</f>
        <v/>
      </c>
      <c r="AI4" s="249" t="str">
        <f>IF(preDEL!$AG4,IFERROR(0/0,""),preDEL!AI4)</f>
        <v/>
      </c>
      <c r="AJ4" s="94" t="str">
        <f>IF(preDEL!$AG4,IFERROR(0/0,""),preDEL!AJ4)</f>
        <v/>
      </c>
      <c r="AK4" s="249" t="str">
        <f>IF(preDEL!$AG4,IFERROR(0/0,""),preDEL!AK4)</f>
        <v/>
      </c>
      <c r="AL4" s="94" t="str">
        <f>IF(preDEL!$AG4,IFERROR(0/0,""),preDEL!AL4)</f>
        <v/>
      </c>
      <c r="AM4" s="94" t="str">
        <f>IF(preDEL!$AG4,IFERROR(0/0,""),preDEL!AM4)</f>
        <v/>
      </c>
      <c r="AN4" s="94" t="str">
        <f>IF(preDEL!$AG4,IFERROR(0/0,""),preDEL!AN4)</f>
        <v/>
      </c>
      <c r="AO4" s="94" t="str">
        <f>IF(preDEL!$AG4,IFERROR(0/0,""),preDEL!AO4)</f>
        <v/>
      </c>
      <c r="AP4" s="94" t="str">
        <f>IF(preDEL!$AG4,IFERROR(0/0,""),preDEL!AP4)</f>
        <v/>
      </c>
      <c r="AQ4" s="94" t="str">
        <f>IF(preDEL!$AG4,IFERROR(0/0,""),preDEL!AQ4)</f>
        <v/>
      </c>
      <c r="AR4" s="94" t="str">
        <f>IF(preDEL!$AG4,IFERROR(0/0,""),preDEL!AR4)</f>
        <v/>
      </c>
      <c r="AS4" s="98"/>
      <c r="BE4" s="254"/>
      <c r="BF4" s="255"/>
      <c r="BG4" s="254"/>
      <c r="BH4" s="255"/>
      <c r="BI4" s="254"/>
      <c r="BJ4" s="254"/>
      <c r="BK4" s="254"/>
      <c r="BL4" s="254"/>
      <c r="BN4" s="7"/>
      <c r="BO4" s="7"/>
      <c r="BP4" s="7"/>
      <c r="BQ4" s="7"/>
      <c r="BR4" s="7"/>
      <c r="BS4" s="7"/>
      <c r="BT4" s="7"/>
    </row>
    <row r="5">
      <c r="A5" s="249" t="str">
        <f>IF(preDEL!$AG5,IFERROR(0/0,""),preDEL!A5)</f>
        <v/>
      </c>
      <c r="B5" s="250" t="str">
        <f>IF(preDEL!$AG5,IFERROR(0/0,""),preDEL!B5)</f>
        <v/>
      </c>
      <c r="C5" s="251" t="str">
        <f>IF(preDEL!$AG5,IFERROR(0/0,""),preDEL!C5)</f>
        <v/>
      </c>
      <c r="D5" s="249" t="str">
        <f>IF(preDEL!$AG5,IFERROR(0/0,""),preDEL!D5)</f>
        <v/>
      </c>
      <c r="E5" s="249" t="str">
        <f>IF(preDEL!$AG5,IFERROR(0/0,""),preDEL!E5)</f>
        <v/>
      </c>
      <c r="F5" s="94" t="str">
        <f>IF(preDEL!$AG5,IFERROR(0/0,""),preDEL!F5)</f>
        <v/>
      </c>
      <c r="G5" s="94" t="str">
        <f>IF(preDEL!$AG5,IFERROR(0/0,""),preDEL!G5)</f>
        <v/>
      </c>
      <c r="H5" s="94" t="str">
        <f>IF(preDEL!$AG5,IFERROR(0/0,""),preDEL!H5)</f>
        <v/>
      </c>
      <c r="I5" s="249" t="str">
        <f>IF(preDEL!$AG5,IFERROR(0/0,""),preDEL!I5)</f>
        <v/>
      </c>
      <c r="J5" s="249" t="str">
        <f>IF(preDEL!$AG5,IFERROR(0/0,""),preDEL!J5)</f>
        <v/>
      </c>
      <c r="K5" s="249" t="str">
        <f>IF(preDEL!$AG5,IFERROR(0/0,""),preDEL!K5)</f>
        <v/>
      </c>
      <c r="L5" s="250" t="str">
        <f>IF(preDEL!$AG5,IFERROR(0/0,""),preDEL!L5)</f>
        <v/>
      </c>
      <c r="M5" s="251" t="str">
        <f>IF(preDEL!$AG5,IFERROR(0/0,""),preDEL!M5)</f>
        <v/>
      </c>
      <c r="N5" s="94" t="str">
        <f>IF(preDEL!$AG5,IFERROR(0/0,""),preDEL!N5)</f>
        <v/>
      </c>
      <c r="O5" s="94" t="str">
        <f>IF(preDEL!$AG5,IFERROR(0/0,""),preDEL!O5)</f>
        <v/>
      </c>
      <c r="P5" s="93" t="str">
        <f>IF(preDEL!$AG5,IFERROR(0/0,""),preDEL!P5)</f>
        <v/>
      </c>
      <c r="Q5" s="93" t="str">
        <f>IF(preDEL!$AG5,IFERROR(0/0,""),preDEL!Q5)</f>
        <v/>
      </c>
      <c r="R5" s="99" t="str">
        <f>IF(preDEL!$AG5,IFERROR(0/0,""),preDEL!R5)</f>
        <v/>
      </c>
      <c r="S5" s="99" t="str">
        <f>IF(preDEL!$AG5,IFERROR(0/0,""),preDEL!S5)</f>
        <v/>
      </c>
      <c r="T5" s="93" t="str">
        <f>IF(preDEL!$AG5,IFERROR(0/0,""),preDEL!T5)</f>
        <v/>
      </c>
      <c r="U5" s="94" t="str">
        <f>IF(preDEL!$AG5,IFERROR(0/0,""),preDEL!U5)</f>
        <v/>
      </c>
      <c r="V5" s="249" t="str">
        <f>IF(preDEL!$AG5,IFERROR(0/0,""),preDEL!V5)</f>
        <v/>
      </c>
      <c r="W5" s="94" t="str">
        <f>IF(preDEL!$AG5,IFERROR(0/0,""),preDEL!W5)</f>
        <v/>
      </c>
      <c r="X5" s="99" t="str">
        <f>IF(preDEL!$AG5,IFERROR(0/0,""),preDEL!X5)</f>
        <v/>
      </c>
      <c r="Y5" s="93" t="str">
        <f>IF(preDEL!$AG5,IFERROR(0/0,""),preDEL!Y5)</f>
        <v/>
      </c>
      <c r="Z5" s="249" t="str">
        <f>IF(preDEL!$AG5,IFERROR(0/0,""),preDEL!Z5)</f>
        <v/>
      </c>
      <c r="AA5" s="93" t="str">
        <f>IF(preDEL!$AG5,IFERROR(0/0,""),preDEL!AA5)</f>
        <v/>
      </c>
      <c r="AB5" s="93" t="str">
        <f>IF(preDEL!$AG5,IFERROR(0/0,""),preDEL!AB5)</f>
        <v/>
      </c>
      <c r="AC5" s="252" t="str">
        <f>IF(preDEL!$AG5,IFERROR(0/0,""),preDEL!AC5)</f>
        <v/>
      </c>
      <c r="AD5" s="99" t="str">
        <f>IF(preDEL!$AG5,IFERROR(0/0,""),preDEL!AD5)</f>
        <v/>
      </c>
      <c r="AE5" s="253" t="str">
        <f>IF(preDEL!$AG5,IFERROR(0/0,""),preDEL!AE5)</f>
        <v/>
      </c>
      <c r="AF5" s="93" t="str">
        <f>IF(preDEL!$AG5,IFERROR(0/0,""),preDEL!AF5)</f>
        <v/>
      </c>
      <c r="AG5" s="93" t="str">
        <f>IF(preDEL!$AG5,IFERROR(0/0,""),preDEL!AG5)</f>
        <v/>
      </c>
      <c r="AH5" s="99" t="str">
        <f>IF(preDEL!$AG5,IFERROR(0/0,""),preDEL!AH5)</f>
        <v/>
      </c>
      <c r="AI5" s="249" t="str">
        <f>IF(preDEL!$AG5,IFERROR(0/0,""),preDEL!AI5)</f>
        <v/>
      </c>
      <c r="AJ5" s="94" t="str">
        <f>IF(preDEL!$AG5,IFERROR(0/0,""),preDEL!AJ5)</f>
        <v/>
      </c>
      <c r="AK5" s="249" t="str">
        <f>IF(preDEL!$AG5,IFERROR(0/0,""),preDEL!AK5)</f>
        <v/>
      </c>
      <c r="AL5" s="94" t="str">
        <f>IF(preDEL!$AG5,IFERROR(0/0,""),preDEL!AL5)</f>
        <v/>
      </c>
      <c r="AM5" s="94" t="str">
        <f>IF(preDEL!$AG5,IFERROR(0/0,""),preDEL!AM5)</f>
        <v/>
      </c>
      <c r="AN5" s="94" t="str">
        <f>IF(preDEL!$AG5,IFERROR(0/0,""),preDEL!AN5)</f>
        <v/>
      </c>
      <c r="AO5" s="94" t="str">
        <f>IF(preDEL!$AG5,IFERROR(0/0,""),preDEL!AO5)</f>
        <v/>
      </c>
      <c r="AP5" s="94" t="str">
        <f>IF(preDEL!$AG5,IFERROR(0/0,""),preDEL!AP5)</f>
        <v/>
      </c>
      <c r="AQ5" s="94" t="str">
        <f>IF(preDEL!$AG5,IFERROR(0/0,""),preDEL!AQ5)</f>
        <v/>
      </c>
      <c r="AR5" s="94" t="str">
        <f>IF(preDEL!$AG5,IFERROR(0/0,""),preDEL!AR5)</f>
        <v/>
      </c>
      <c r="AS5" s="98"/>
      <c r="BE5" s="254"/>
      <c r="BF5" s="255"/>
      <c r="BG5" s="254"/>
      <c r="BH5" s="255"/>
      <c r="BI5" s="254"/>
      <c r="BJ5" s="254"/>
      <c r="BK5" s="254"/>
      <c r="BL5" s="254"/>
      <c r="BN5" s="7"/>
      <c r="BO5" s="7"/>
      <c r="BP5" s="7"/>
      <c r="BQ5" s="7"/>
      <c r="BR5" s="7"/>
      <c r="BS5" s="7"/>
      <c r="BT5" s="7"/>
    </row>
    <row r="6">
      <c r="A6" s="249" t="str">
        <f>IF(preDEL!$AG6,IFERROR(0/0,""),preDEL!A6)</f>
        <v/>
      </c>
      <c r="B6" s="250" t="str">
        <f>IF(preDEL!$AG6,IFERROR(0/0,""),preDEL!B6)</f>
        <v/>
      </c>
      <c r="C6" s="251" t="str">
        <f>IF(preDEL!$AG6,IFERROR(0/0,""),preDEL!C6)</f>
        <v/>
      </c>
      <c r="D6" s="249" t="str">
        <f>IF(preDEL!$AG6,IFERROR(0/0,""),preDEL!D6)</f>
        <v/>
      </c>
      <c r="E6" s="249" t="str">
        <f>IF(preDEL!$AG6,IFERROR(0/0,""),preDEL!E6)</f>
        <v/>
      </c>
      <c r="F6" s="94" t="str">
        <f>IF(preDEL!$AG6,IFERROR(0/0,""),preDEL!F6)</f>
        <v/>
      </c>
      <c r="G6" s="94" t="str">
        <f>IF(preDEL!$AG6,IFERROR(0/0,""),preDEL!G6)</f>
        <v/>
      </c>
      <c r="H6" s="94" t="str">
        <f>IF(preDEL!$AG6,IFERROR(0/0,""),preDEL!H6)</f>
        <v/>
      </c>
      <c r="I6" s="249" t="str">
        <f>IF(preDEL!$AG6,IFERROR(0/0,""),preDEL!I6)</f>
        <v/>
      </c>
      <c r="J6" s="249" t="str">
        <f>IF(preDEL!$AG6,IFERROR(0/0,""),preDEL!J6)</f>
        <v/>
      </c>
      <c r="K6" s="249" t="str">
        <f>IF(preDEL!$AG6,IFERROR(0/0,""),preDEL!K6)</f>
        <v/>
      </c>
      <c r="L6" s="250" t="str">
        <f>IF(preDEL!$AG6,IFERROR(0/0,""),preDEL!L6)</f>
        <v/>
      </c>
      <c r="M6" s="251" t="str">
        <f>IF(preDEL!$AG6,IFERROR(0/0,""),preDEL!M6)</f>
        <v/>
      </c>
      <c r="N6" s="94" t="str">
        <f>IF(preDEL!$AG6,IFERROR(0/0,""),preDEL!N6)</f>
        <v/>
      </c>
      <c r="O6" s="94" t="str">
        <f>IF(preDEL!$AG6,IFERROR(0/0,""),preDEL!O6)</f>
        <v/>
      </c>
      <c r="P6" s="93" t="str">
        <f>IF(preDEL!$AG6,IFERROR(0/0,""),preDEL!P6)</f>
        <v/>
      </c>
      <c r="Q6" s="93" t="str">
        <f>IF(preDEL!$AG6,IFERROR(0/0,""),preDEL!Q6)</f>
        <v/>
      </c>
      <c r="R6" s="99" t="str">
        <f>IF(preDEL!$AG6,IFERROR(0/0,""),preDEL!R6)</f>
        <v/>
      </c>
      <c r="S6" s="99" t="str">
        <f>IF(preDEL!$AG6,IFERROR(0/0,""),preDEL!S6)</f>
        <v/>
      </c>
      <c r="T6" s="93" t="str">
        <f>IF(preDEL!$AG6,IFERROR(0/0,""),preDEL!T6)</f>
        <v/>
      </c>
      <c r="U6" s="94" t="str">
        <f>IF(preDEL!$AG6,IFERROR(0/0,""),preDEL!U6)</f>
        <v/>
      </c>
      <c r="V6" s="249" t="str">
        <f>IF(preDEL!$AG6,IFERROR(0/0,""),preDEL!V6)</f>
        <v/>
      </c>
      <c r="W6" s="94" t="str">
        <f>IF(preDEL!$AG6,IFERROR(0/0,""),preDEL!W6)</f>
        <v/>
      </c>
      <c r="X6" s="99" t="str">
        <f>IF(preDEL!$AG6,IFERROR(0/0,""),preDEL!X6)</f>
        <v/>
      </c>
      <c r="Y6" s="93" t="str">
        <f>IF(preDEL!$AG6,IFERROR(0/0,""),preDEL!Y6)</f>
        <v/>
      </c>
      <c r="Z6" s="249" t="str">
        <f>IF(preDEL!$AG6,IFERROR(0/0,""),preDEL!Z6)</f>
        <v/>
      </c>
      <c r="AA6" s="93" t="str">
        <f>IF(preDEL!$AG6,IFERROR(0/0,""),preDEL!AA6)</f>
        <v/>
      </c>
      <c r="AB6" s="93" t="str">
        <f>IF(preDEL!$AG6,IFERROR(0/0,""),preDEL!AB6)</f>
        <v/>
      </c>
      <c r="AC6" s="252" t="str">
        <f>IF(preDEL!$AG6,IFERROR(0/0,""),preDEL!AC6)</f>
        <v/>
      </c>
      <c r="AD6" s="99" t="str">
        <f>IF(preDEL!$AG6,IFERROR(0/0,""),preDEL!AD6)</f>
        <v/>
      </c>
      <c r="AE6" s="253" t="str">
        <f>IF(preDEL!$AG6,IFERROR(0/0,""),preDEL!AE6)</f>
        <v/>
      </c>
      <c r="AF6" s="93" t="str">
        <f>IF(preDEL!$AG6,IFERROR(0/0,""),preDEL!AF6)</f>
        <v/>
      </c>
      <c r="AG6" s="93" t="str">
        <f>IF(preDEL!$AG6,IFERROR(0/0,""),preDEL!AG6)</f>
        <v/>
      </c>
      <c r="AH6" s="99" t="str">
        <f>IF(preDEL!$AG6,IFERROR(0/0,""),preDEL!AH6)</f>
        <v/>
      </c>
      <c r="AI6" s="249" t="str">
        <f>IF(preDEL!$AG6,IFERROR(0/0,""),preDEL!AI6)</f>
        <v/>
      </c>
      <c r="AJ6" s="94" t="str">
        <f>IF(preDEL!$AG6,IFERROR(0/0,""),preDEL!AJ6)</f>
        <v/>
      </c>
      <c r="AK6" s="249" t="str">
        <f>IF(preDEL!$AG6,IFERROR(0/0,""),preDEL!AK6)</f>
        <v/>
      </c>
      <c r="AL6" s="94" t="str">
        <f>IF(preDEL!$AG6,IFERROR(0/0,""),preDEL!AL6)</f>
        <v/>
      </c>
      <c r="AM6" s="94" t="str">
        <f>IF(preDEL!$AG6,IFERROR(0/0,""),preDEL!AM6)</f>
        <v/>
      </c>
      <c r="AN6" s="94" t="str">
        <f>IF(preDEL!$AG6,IFERROR(0/0,""),preDEL!AN6)</f>
        <v/>
      </c>
      <c r="AO6" s="94" t="str">
        <f>IF(preDEL!$AG6,IFERROR(0/0,""),preDEL!AO6)</f>
        <v/>
      </c>
      <c r="AP6" s="94" t="str">
        <f>IF(preDEL!$AG6,IFERROR(0/0,""),preDEL!AP6)</f>
        <v/>
      </c>
      <c r="AQ6" s="94" t="str">
        <f>IF(preDEL!$AG6,IFERROR(0/0,""),preDEL!AQ6)</f>
        <v/>
      </c>
      <c r="AR6" s="94" t="str">
        <f>IF(preDEL!$AG6,IFERROR(0/0,""),preDEL!AR6)</f>
        <v/>
      </c>
      <c r="AS6" s="98"/>
      <c r="BE6" s="254"/>
      <c r="BF6" s="255"/>
      <c r="BG6" s="254"/>
      <c r="BH6" s="255"/>
      <c r="BI6" s="254"/>
      <c r="BJ6" s="254"/>
      <c r="BK6" s="254"/>
      <c r="BL6" s="254"/>
      <c r="BN6" s="7"/>
      <c r="BO6" s="7"/>
      <c r="BP6" s="7"/>
      <c r="BQ6" s="7"/>
      <c r="BR6" s="7"/>
      <c r="BS6" s="7"/>
      <c r="BT6" s="7"/>
    </row>
    <row r="7">
      <c r="A7" s="249" t="str">
        <f>IF(preDEL!$AG7,IFERROR(0/0,""),preDEL!A7)</f>
        <v/>
      </c>
      <c r="B7" s="250" t="str">
        <f>IF(preDEL!$AG7,IFERROR(0/0,""),preDEL!B7)</f>
        <v/>
      </c>
      <c r="C7" s="251" t="str">
        <f>IF(preDEL!$AG7,IFERROR(0/0,""),preDEL!C7)</f>
        <v/>
      </c>
      <c r="D7" s="249" t="str">
        <f>IF(preDEL!$AG7,IFERROR(0/0,""),preDEL!D7)</f>
        <v/>
      </c>
      <c r="E7" s="249" t="str">
        <f>IF(preDEL!$AG7,IFERROR(0/0,""),preDEL!E7)</f>
        <v/>
      </c>
      <c r="F7" s="94" t="str">
        <f>IF(preDEL!$AG7,IFERROR(0/0,""),preDEL!F7)</f>
        <v/>
      </c>
      <c r="G7" s="94" t="str">
        <f>IF(preDEL!$AG7,IFERROR(0/0,""),preDEL!G7)</f>
        <v/>
      </c>
      <c r="H7" s="94" t="str">
        <f>IF(preDEL!$AG7,IFERROR(0/0,""),preDEL!H7)</f>
        <v/>
      </c>
      <c r="I7" s="249" t="str">
        <f>IF(preDEL!$AG7,IFERROR(0/0,""),preDEL!I7)</f>
        <v/>
      </c>
      <c r="J7" s="249" t="str">
        <f>IF(preDEL!$AG7,IFERROR(0/0,""),preDEL!J7)</f>
        <v/>
      </c>
      <c r="K7" s="249" t="str">
        <f>IF(preDEL!$AG7,IFERROR(0/0,""),preDEL!K7)</f>
        <v/>
      </c>
      <c r="L7" s="250" t="str">
        <f>IF(preDEL!$AG7,IFERROR(0/0,""),preDEL!L7)</f>
        <v/>
      </c>
      <c r="M7" s="251" t="str">
        <f>IF(preDEL!$AG7,IFERROR(0/0,""),preDEL!M7)</f>
        <v/>
      </c>
      <c r="N7" s="94" t="str">
        <f>IF(preDEL!$AG7,IFERROR(0/0,""),preDEL!N7)</f>
        <v/>
      </c>
      <c r="O7" s="94" t="str">
        <f>IF(preDEL!$AG7,IFERROR(0/0,""),preDEL!O7)</f>
        <v/>
      </c>
      <c r="P7" s="93" t="str">
        <f>IF(preDEL!$AG7,IFERROR(0/0,""),preDEL!P7)</f>
        <v/>
      </c>
      <c r="Q7" s="93" t="str">
        <f>IF(preDEL!$AG7,IFERROR(0/0,""),preDEL!Q7)</f>
        <v/>
      </c>
      <c r="R7" s="99" t="str">
        <f>IF(preDEL!$AG7,IFERROR(0/0,""),preDEL!R7)</f>
        <v/>
      </c>
      <c r="S7" s="99" t="str">
        <f>IF(preDEL!$AG7,IFERROR(0/0,""),preDEL!S7)</f>
        <v/>
      </c>
      <c r="T7" s="93" t="str">
        <f>IF(preDEL!$AG7,IFERROR(0/0,""),preDEL!T7)</f>
        <v/>
      </c>
      <c r="U7" s="94" t="str">
        <f>IF(preDEL!$AG7,IFERROR(0/0,""),preDEL!U7)</f>
        <v/>
      </c>
      <c r="V7" s="249" t="str">
        <f>IF(preDEL!$AG7,IFERROR(0/0,""),preDEL!V7)</f>
        <v/>
      </c>
      <c r="W7" s="94" t="str">
        <f>IF(preDEL!$AG7,IFERROR(0/0,""),preDEL!W7)</f>
        <v/>
      </c>
      <c r="X7" s="99" t="str">
        <f>IF(preDEL!$AG7,IFERROR(0/0,""),preDEL!X7)</f>
        <v/>
      </c>
      <c r="Y7" s="93" t="str">
        <f>IF(preDEL!$AG7,IFERROR(0/0,""),preDEL!Y7)</f>
        <v/>
      </c>
      <c r="Z7" s="249" t="str">
        <f>IF(preDEL!$AG7,IFERROR(0/0,""),preDEL!Z7)</f>
        <v/>
      </c>
      <c r="AA7" s="93" t="str">
        <f>IF(preDEL!$AG7,IFERROR(0/0,""),preDEL!AA7)</f>
        <v/>
      </c>
      <c r="AB7" s="93" t="str">
        <f>IF(preDEL!$AG7,IFERROR(0/0,""),preDEL!AB7)</f>
        <v/>
      </c>
      <c r="AC7" s="252" t="str">
        <f>IF(preDEL!$AG7,IFERROR(0/0,""),preDEL!AC7)</f>
        <v/>
      </c>
      <c r="AD7" s="99" t="str">
        <f>IF(preDEL!$AG7,IFERROR(0/0,""),preDEL!AD7)</f>
        <v/>
      </c>
      <c r="AE7" s="253" t="str">
        <f>IF(preDEL!$AG7,IFERROR(0/0,""),preDEL!AE7)</f>
        <v/>
      </c>
      <c r="AF7" s="93" t="str">
        <f>IF(preDEL!$AG7,IFERROR(0/0,""),preDEL!AF7)</f>
        <v/>
      </c>
      <c r="AG7" s="93" t="str">
        <f>IF(preDEL!$AG7,IFERROR(0/0,""),preDEL!AG7)</f>
        <v/>
      </c>
      <c r="AH7" s="99" t="str">
        <f>IF(preDEL!$AG7,IFERROR(0/0,""),preDEL!AH7)</f>
        <v/>
      </c>
      <c r="AI7" s="249" t="str">
        <f>IF(preDEL!$AG7,IFERROR(0/0,""),preDEL!AI7)</f>
        <v/>
      </c>
      <c r="AJ7" s="94" t="str">
        <f>IF(preDEL!$AG7,IFERROR(0/0,""),preDEL!AJ7)</f>
        <v/>
      </c>
      <c r="AK7" s="249" t="str">
        <f>IF(preDEL!$AG7,IFERROR(0/0,""),preDEL!AK7)</f>
        <v/>
      </c>
      <c r="AL7" s="94" t="str">
        <f>IF(preDEL!$AG7,IFERROR(0/0,""),preDEL!AL7)</f>
        <v/>
      </c>
      <c r="AM7" s="94" t="str">
        <f>IF(preDEL!$AG7,IFERROR(0/0,""),preDEL!AM7)</f>
        <v/>
      </c>
      <c r="AN7" s="94" t="str">
        <f>IF(preDEL!$AG7,IFERROR(0/0,""),preDEL!AN7)</f>
        <v/>
      </c>
      <c r="AO7" s="94" t="str">
        <f>IF(preDEL!$AG7,IFERROR(0/0,""),preDEL!AO7)</f>
        <v/>
      </c>
      <c r="AP7" s="94" t="str">
        <f>IF(preDEL!$AG7,IFERROR(0/0,""),preDEL!AP7)</f>
        <v/>
      </c>
      <c r="AQ7" s="94" t="str">
        <f>IF(preDEL!$AG7,IFERROR(0/0,""),preDEL!AQ7)</f>
        <v/>
      </c>
      <c r="AR7" s="94" t="str">
        <f>IF(preDEL!$AG7,IFERROR(0/0,""),preDEL!AR7)</f>
        <v/>
      </c>
      <c r="AS7" s="98"/>
      <c r="BE7" s="254"/>
      <c r="BF7" s="255"/>
      <c r="BG7" s="254"/>
      <c r="BH7" s="255"/>
      <c r="BI7" s="254"/>
      <c r="BJ7" s="254"/>
      <c r="BK7" s="254"/>
      <c r="BL7" s="254"/>
      <c r="BN7" s="7"/>
      <c r="BO7" s="7"/>
      <c r="BP7" s="7"/>
      <c r="BQ7" s="7"/>
      <c r="BR7" s="7"/>
      <c r="BS7" s="7"/>
      <c r="BT7" s="7"/>
    </row>
    <row r="8">
      <c r="A8" s="249" t="str">
        <f>IF(preDEL!$AG8,IFERROR(0/0,""),preDEL!A8)</f>
        <v/>
      </c>
      <c r="B8" s="250" t="str">
        <f>IF(preDEL!$AG8,IFERROR(0/0,""),preDEL!B8)</f>
        <v/>
      </c>
      <c r="C8" s="251" t="str">
        <f>IF(preDEL!$AG8,IFERROR(0/0,""),preDEL!C8)</f>
        <v/>
      </c>
      <c r="D8" s="249" t="str">
        <f>IF(preDEL!$AG8,IFERROR(0/0,""),preDEL!D8)</f>
        <v/>
      </c>
      <c r="E8" s="249" t="str">
        <f>IF(preDEL!$AG8,IFERROR(0/0,""),preDEL!E8)</f>
        <v/>
      </c>
      <c r="F8" s="94" t="str">
        <f>IF(preDEL!$AG8,IFERROR(0/0,""),preDEL!F8)</f>
        <v/>
      </c>
      <c r="G8" s="94" t="str">
        <f>IF(preDEL!$AG8,IFERROR(0/0,""),preDEL!G8)</f>
        <v/>
      </c>
      <c r="H8" s="94" t="str">
        <f>IF(preDEL!$AG8,IFERROR(0/0,""),preDEL!H8)</f>
        <v/>
      </c>
      <c r="I8" s="249" t="str">
        <f>IF(preDEL!$AG8,IFERROR(0/0,""),preDEL!I8)</f>
        <v/>
      </c>
      <c r="J8" s="249" t="str">
        <f>IF(preDEL!$AG8,IFERROR(0/0,""),preDEL!J8)</f>
        <v/>
      </c>
      <c r="K8" s="249" t="str">
        <f>IF(preDEL!$AG8,IFERROR(0/0,""),preDEL!K8)</f>
        <v/>
      </c>
      <c r="L8" s="250" t="str">
        <f>IF(preDEL!$AG8,IFERROR(0/0,""),preDEL!L8)</f>
        <v/>
      </c>
      <c r="M8" s="251" t="str">
        <f>IF(preDEL!$AG8,IFERROR(0/0,""),preDEL!M8)</f>
        <v/>
      </c>
      <c r="N8" s="94" t="str">
        <f>IF(preDEL!$AG8,IFERROR(0/0,""),preDEL!N8)</f>
        <v/>
      </c>
      <c r="O8" s="94" t="str">
        <f>IF(preDEL!$AG8,IFERROR(0/0,""),preDEL!O8)</f>
        <v/>
      </c>
      <c r="P8" s="93" t="str">
        <f>IF(preDEL!$AG8,IFERROR(0/0,""),preDEL!P8)</f>
        <v/>
      </c>
      <c r="Q8" s="93" t="str">
        <f>IF(preDEL!$AG8,IFERROR(0/0,""),preDEL!Q8)</f>
        <v/>
      </c>
      <c r="R8" s="99" t="str">
        <f>IF(preDEL!$AG8,IFERROR(0/0,""),preDEL!R8)</f>
        <v/>
      </c>
      <c r="S8" s="99" t="str">
        <f>IF(preDEL!$AG8,IFERROR(0/0,""),preDEL!S8)</f>
        <v/>
      </c>
      <c r="T8" s="93" t="str">
        <f>IF(preDEL!$AG8,IFERROR(0/0,""),preDEL!T8)</f>
        <v/>
      </c>
      <c r="U8" s="94" t="str">
        <f>IF(preDEL!$AG8,IFERROR(0/0,""),preDEL!U8)</f>
        <v/>
      </c>
      <c r="V8" s="249" t="str">
        <f>IF(preDEL!$AG8,IFERROR(0/0,""),preDEL!V8)</f>
        <v/>
      </c>
      <c r="W8" s="94" t="str">
        <f>IF(preDEL!$AG8,IFERROR(0/0,""),preDEL!W8)</f>
        <v/>
      </c>
      <c r="X8" s="99" t="str">
        <f>IF(preDEL!$AG8,IFERROR(0/0,""),preDEL!X8)</f>
        <v/>
      </c>
      <c r="Y8" s="93" t="str">
        <f>IF(preDEL!$AG8,IFERROR(0/0,""),preDEL!Y8)</f>
        <v/>
      </c>
      <c r="Z8" s="249" t="str">
        <f>IF(preDEL!$AG8,IFERROR(0/0,""),preDEL!Z8)</f>
        <v/>
      </c>
      <c r="AA8" s="93" t="str">
        <f>IF(preDEL!$AG8,IFERROR(0/0,""),preDEL!AA8)</f>
        <v/>
      </c>
      <c r="AB8" s="93" t="str">
        <f>IF(preDEL!$AG8,IFERROR(0/0,""),preDEL!AB8)</f>
        <v/>
      </c>
      <c r="AC8" s="252" t="str">
        <f>IF(preDEL!$AG8,IFERROR(0/0,""),preDEL!AC8)</f>
        <v/>
      </c>
      <c r="AD8" s="99" t="str">
        <f>IF(preDEL!$AG8,IFERROR(0/0,""),preDEL!AD8)</f>
        <v/>
      </c>
      <c r="AE8" s="253" t="str">
        <f>IF(preDEL!$AG8,IFERROR(0/0,""),preDEL!AE8)</f>
        <v/>
      </c>
      <c r="AF8" s="93" t="str">
        <f>IF(preDEL!$AG8,IFERROR(0/0,""),preDEL!AF8)</f>
        <v/>
      </c>
      <c r="AG8" s="93" t="str">
        <f>IF(preDEL!$AG8,IFERROR(0/0,""),preDEL!AG8)</f>
        <v/>
      </c>
      <c r="AH8" s="99" t="str">
        <f>IF(preDEL!$AG8,IFERROR(0/0,""),preDEL!AH8)</f>
        <v/>
      </c>
      <c r="AI8" s="249" t="str">
        <f>IF(preDEL!$AG8,IFERROR(0/0,""),preDEL!AI8)</f>
        <v/>
      </c>
      <c r="AJ8" s="94" t="str">
        <f>IF(preDEL!$AG8,IFERROR(0/0,""),preDEL!AJ8)</f>
        <v/>
      </c>
      <c r="AK8" s="249" t="str">
        <f>IF(preDEL!$AG8,IFERROR(0/0,""),preDEL!AK8)</f>
        <v/>
      </c>
      <c r="AL8" s="94" t="str">
        <f>IF(preDEL!$AG8,IFERROR(0/0,""),preDEL!AL8)</f>
        <v/>
      </c>
      <c r="AM8" s="94" t="str">
        <f>IF(preDEL!$AG8,IFERROR(0/0,""),preDEL!AM8)</f>
        <v/>
      </c>
      <c r="AN8" s="94" t="str">
        <f>IF(preDEL!$AG8,IFERROR(0/0,""),preDEL!AN8)</f>
        <v/>
      </c>
      <c r="AO8" s="94" t="str">
        <f>IF(preDEL!$AG8,IFERROR(0/0,""),preDEL!AO8)</f>
        <v/>
      </c>
      <c r="AP8" s="94" t="str">
        <f>IF(preDEL!$AG8,IFERROR(0/0,""),preDEL!AP8)</f>
        <v/>
      </c>
      <c r="AQ8" s="94" t="str">
        <f>IF(preDEL!$AG8,IFERROR(0/0,""),preDEL!AQ8)</f>
        <v/>
      </c>
      <c r="AR8" s="94" t="str">
        <f>IF(preDEL!$AG8,IFERROR(0/0,""),preDEL!AR8)</f>
        <v/>
      </c>
      <c r="AS8" s="98"/>
      <c r="BE8" s="254"/>
      <c r="BF8" s="255"/>
      <c r="BG8" s="254"/>
      <c r="BH8" s="255"/>
      <c r="BI8" s="254"/>
      <c r="BJ8" s="254"/>
      <c r="BK8" s="254"/>
      <c r="BL8" s="254"/>
      <c r="BN8" s="7"/>
      <c r="BO8" s="7"/>
      <c r="BP8" s="7"/>
      <c r="BQ8" s="7"/>
      <c r="BR8" s="7"/>
      <c r="BS8" s="7"/>
      <c r="BT8" s="7"/>
    </row>
    <row r="9">
      <c r="A9" s="249" t="str">
        <f>IF(preDEL!$AG9,IFERROR(0/0,""),preDEL!A9)</f>
        <v/>
      </c>
      <c r="B9" s="250" t="str">
        <f>IF(preDEL!$AG9,IFERROR(0/0,""),preDEL!B9)</f>
        <v/>
      </c>
      <c r="C9" s="251" t="str">
        <f>IF(preDEL!$AG9,IFERROR(0/0,""),preDEL!C9)</f>
        <v/>
      </c>
      <c r="D9" s="249" t="str">
        <f>IF(preDEL!$AG9,IFERROR(0/0,""),preDEL!D9)</f>
        <v/>
      </c>
      <c r="E9" s="249" t="str">
        <f>IF(preDEL!$AG9,IFERROR(0/0,""),preDEL!E9)</f>
        <v/>
      </c>
      <c r="F9" s="94" t="str">
        <f>IF(preDEL!$AG9,IFERROR(0/0,""),preDEL!F9)</f>
        <v/>
      </c>
      <c r="G9" s="94" t="str">
        <f>IF(preDEL!$AG9,IFERROR(0/0,""),preDEL!G9)</f>
        <v/>
      </c>
      <c r="H9" s="94" t="str">
        <f>IF(preDEL!$AG9,IFERROR(0/0,""),preDEL!H9)</f>
        <v/>
      </c>
      <c r="I9" s="249" t="str">
        <f>IF(preDEL!$AG9,IFERROR(0/0,""),preDEL!I9)</f>
        <v/>
      </c>
      <c r="J9" s="249" t="str">
        <f>IF(preDEL!$AG9,IFERROR(0/0,""),preDEL!J9)</f>
        <v/>
      </c>
      <c r="K9" s="249" t="str">
        <f>IF(preDEL!$AG9,IFERROR(0/0,""),preDEL!K9)</f>
        <v/>
      </c>
      <c r="L9" s="250" t="str">
        <f>IF(preDEL!$AG9,IFERROR(0/0,""),preDEL!L9)</f>
        <v/>
      </c>
      <c r="M9" s="251" t="str">
        <f>IF(preDEL!$AG9,IFERROR(0/0,""),preDEL!M9)</f>
        <v/>
      </c>
      <c r="N9" s="94" t="str">
        <f>IF(preDEL!$AG9,IFERROR(0/0,""),preDEL!N9)</f>
        <v/>
      </c>
      <c r="O9" s="94" t="str">
        <f>IF(preDEL!$AG9,IFERROR(0/0,""),preDEL!O9)</f>
        <v/>
      </c>
      <c r="P9" s="93" t="str">
        <f>IF(preDEL!$AG9,IFERROR(0/0,""),preDEL!P9)</f>
        <v/>
      </c>
      <c r="Q9" s="93" t="str">
        <f>IF(preDEL!$AG9,IFERROR(0/0,""),preDEL!Q9)</f>
        <v/>
      </c>
      <c r="R9" s="99" t="str">
        <f>IF(preDEL!$AG9,IFERROR(0/0,""),preDEL!R9)</f>
        <v/>
      </c>
      <c r="S9" s="99" t="str">
        <f>IF(preDEL!$AG9,IFERROR(0/0,""),preDEL!S9)</f>
        <v/>
      </c>
      <c r="T9" s="93" t="str">
        <f>IF(preDEL!$AG9,IFERROR(0/0,""),preDEL!T9)</f>
        <v/>
      </c>
      <c r="U9" s="94" t="str">
        <f>IF(preDEL!$AG9,IFERROR(0/0,""),preDEL!U9)</f>
        <v/>
      </c>
      <c r="V9" s="249" t="str">
        <f>IF(preDEL!$AG9,IFERROR(0/0,""),preDEL!V9)</f>
        <v/>
      </c>
      <c r="W9" s="94" t="str">
        <f>IF(preDEL!$AG9,IFERROR(0/0,""),preDEL!W9)</f>
        <v/>
      </c>
      <c r="X9" s="99" t="str">
        <f>IF(preDEL!$AG9,IFERROR(0/0,""),preDEL!X9)</f>
        <v/>
      </c>
      <c r="Y9" s="93" t="str">
        <f>IF(preDEL!$AG9,IFERROR(0/0,""),preDEL!Y9)</f>
        <v/>
      </c>
      <c r="Z9" s="249" t="str">
        <f>IF(preDEL!$AG9,IFERROR(0/0,""),preDEL!Z9)</f>
        <v/>
      </c>
      <c r="AA9" s="93" t="str">
        <f>IF(preDEL!$AG9,IFERROR(0/0,""),preDEL!AA9)</f>
        <v/>
      </c>
      <c r="AB9" s="93" t="str">
        <f>IF(preDEL!$AG9,IFERROR(0/0,""),preDEL!AB9)</f>
        <v/>
      </c>
      <c r="AC9" s="252" t="str">
        <f>IF(preDEL!$AG9,IFERROR(0/0,""),preDEL!AC9)</f>
        <v/>
      </c>
      <c r="AD9" s="99" t="str">
        <f>IF(preDEL!$AG9,IFERROR(0/0,""),preDEL!AD9)</f>
        <v/>
      </c>
      <c r="AE9" s="253" t="str">
        <f>IF(preDEL!$AG9,IFERROR(0/0,""),preDEL!AE9)</f>
        <v/>
      </c>
      <c r="AF9" s="93" t="str">
        <f>IF(preDEL!$AG9,IFERROR(0/0,""),preDEL!AF9)</f>
        <v/>
      </c>
      <c r="AG9" s="93" t="str">
        <f>IF(preDEL!$AG9,IFERROR(0/0,""),preDEL!AG9)</f>
        <v/>
      </c>
      <c r="AH9" s="99" t="str">
        <f>IF(preDEL!$AG9,IFERROR(0/0,""),preDEL!AH9)</f>
        <v/>
      </c>
      <c r="AI9" s="249" t="str">
        <f>IF(preDEL!$AG9,IFERROR(0/0,""),preDEL!AI9)</f>
        <v/>
      </c>
      <c r="AJ9" s="94" t="str">
        <f>IF(preDEL!$AG9,IFERROR(0/0,""),preDEL!AJ9)</f>
        <v/>
      </c>
      <c r="AK9" s="249" t="str">
        <f>IF(preDEL!$AG9,IFERROR(0/0,""),preDEL!AK9)</f>
        <v/>
      </c>
      <c r="AL9" s="94" t="str">
        <f>IF(preDEL!$AG9,IFERROR(0/0,""),preDEL!AL9)</f>
        <v/>
      </c>
      <c r="AM9" s="94" t="str">
        <f>IF(preDEL!$AG9,IFERROR(0/0,""),preDEL!AM9)</f>
        <v/>
      </c>
      <c r="AN9" s="94" t="str">
        <f>IF(preDEL!$AG9,IFERROR(0/0,""),preDEL!AN9)</f>
        <v/>
      </c>
      <c r="AO9" s="94" t="str">
        <f>IF(preDEL!$AG9,IFERROR(0/0,""),preDEL!AO9)</f>
        <v/>
      </c>
      <c r="AP9" s="94" t="str">
        <f>IF(preDEL!$AG9,IFERROR(0/0,""),preDEL!AP9)</f>
        <v/>
      </c>
      <c r="AQ9" s="94" t="str">
        <f>IF(preDEL!$AG9,IFERROR(0/0,""),preDEL!AQ9)</f>
        <v/>
      </c>
      <c r="AR9" s="94" t="str">
        <f>IF(preDEL!$AG9,IFERROR(0/0,""),preDEL!AR9)</f>
        <v/>
      </c>
      <c r="AS9" s="98"/>
      <c r="BE9" s="254"/>
      <c r="BF9" s="255"/>
      <c r="BG9" s="254"/>
      <c r="BH9" s="255"/>
      <c r="BI9" s="254"/>
      <c r="BJ9" s="254"/>
      <c r="BK9" s="254"/>
      <c r="BL9" s="254"/>
      <c r="BN9" s="7"/>
      <c r="BO9" s="7"/>
      <c r="BP9" s="7"/>
      <c r="BQ9" s="7"/>
      <c r="BR9" s="7"/>
      <c r="BS9" s="7"/>
      <c r="BT9" s="7"/>
    </row>
    <row r="10">
      <c r="A10" s="249" t="str">
        <f>IF(preDEL!$AG10,IFERROR(0/0,""),preDEL!A10)</f>
        <v/>
      </c>
      <c r="B10" s="250" t="str">
        <f>IF(preDEL!$AG10,IFERROR(0/0,""),preDEL!B10)</f>
        <v/>
      </c>
      <c r="C10" s="251" t="str">
        <f>IF(preDEL!$AG10,IFERROR(0/0,""),preDEL!C10)</f>
        <v/>
      </c>
      <c r="D10" s="249" t="str">
        <f>IF(preDEL!$AG10,IFERROR(0/0,""),preDEL!D10)</f>
        <v/>
      </c>
      <c r="E10" s="249" t="str">
        <f>IF(preDEL!$AG10,IFERROR(0/0,""),preDEL!E10)</f>
        <v/>
      </c>
      <c r="F10" s="94" t="str">
        <f>IF(preDEL!$AG10,IFERROR(0/0,""),preDEL!F10)</f>
        <v/>
      </c>
      <c r="G10" s="94" t="str">
        <f>IF(preDEL!$AG10,IFERROR(0/0,""),preDEL!G10)</f>
        <v/>
      </c>
      <c r="H10" s="94" t="str">
        <f>IF(preDEL!$AG10,IFERROR(0/0,""),preDEL!H10)</f>
        <v/>
      </c>
      <c r="I10" s="249" t="str">
        <f>IF(preDEL!$AG10,IFERROR(0/0,""),preDEL!I10)</f>
        <v/>
      </c>
      <c r="J10" s="249" t="str">
        <f>IF(preDEL!$AG10,IFERROR(0/0,""),preDEL!J10)</f>
        <v/>
      </c>
      <c r="K10" s="249" t="str">
        <f>IF(preDEL!$AG10,IFERROR(0/0,""),preDEL!K10)</f>
        <v/>
      </c>
      <c r="L10" s="250" t="str">
        <f>IF(preDEL!$AG10,IFERROR(0/0,""),preDEL!L10)</f>
        <v/>
      </c>
      <c r="M10" s="251" t="str">
        <f>IF(preDEL!$AG10,IFERROR(0/0,""),preDEL!M10)</f>
        <v/>
      </c>
      <c r="N10" s="94" t="str">
        <f>IF(preDEL!$AG10,IFERROR(0/0,""),preDEL!N10)</f>
        <v/>
      </c>
      <c r="O10" s="94" t="str">
        <f>IF(preDEL!$AG10,IFERROR(0/0,""),preDEL!O10)</f>
        <v/>
      </c>
      <c r="P10" s="93" t="str">
        <f>IF(preDEL!$AG10,IFERROR(0/0,""),preDEL!P10)</f>
        <v/>
      </c>
      <c r="Q10" s="93" t="str">
        <f>IF(preDEL!$AG10,IFERROR(0/0,""),preDEL!Q10)</f>
        <v/>
      </c>
      <c r="R10" s="99" t="str">
        <f>IF(preDEL!$AG10,IFERROR(0/0,""),preDEL!R10)</f>
        <v/>
      </c>
      <c r="S10" s="99" t="str">
        <f>IF(preDEL!$AG10,IFERROR(0/0,""),preDEL!S10)</f>
        <v/>
      </c>
      <c r="T10" s="93" t="str">
        <f>IF(preDEL!$AG10,IFERROR(0/0,""),preDEL!T10)</f>
        <v/>
      </c>
      <c r="U10" s="94" t="str">
        <f>IF(preDEL!$AG10,IFERROR(0/0,""),preDEL!U10)</f>
        <v/>
      </c>
      <c r="V10" s="249" t="str">
        <f>IF(preDEL!$AG10,IFERROR(0/0,""),preDEL!V10)</f>
        <v/>
      </c>
      <c r="W10" s="94" t="str">
        <f>IF(preDEL!$AG10,IFERROR(0/0,""),preDEL!W10)</f>
        <v/>
      </c>
      <c r="X10" s="99" t="str">
        <f>IF(preDEL!$AG10,IFERROR(0/0,""),preDEL!X10)</f>
        <v/>
      </c>
      <c r="Y10" s="93" t="str">
        <f>IF(preDEL!$AG10,IFERROR(0/0,""),preDEL!Y10)</f>
        <v/>
      </c>
      <c r="Z10" s="249" t="str">
        <f>IF(preDEL!$AG10,IFERROR(0/0,""),preDEL!Z10)</f>
        <v/>
      </c>
      <c r="AA10" s="93" t="str">
        <f>IF(preDEL!$AG10,IFERROR(0/0,""),preDEL!AA10)</f>
        <v/>
      </c>
      <c r="AB10" s="93" t="str">
        <f>IF(preDEL!$AG10,IFERROR(0/0,""),preDEL!AB10)</f>
        <v/>
      </c>
      <c r="AC10" s="252" t="str">
        <f>IF(preDEL!$AG10,IFERROR(0/0,""),preDEL!AC10)</f>
        <v/>
      </c>
      <c r="AD10" s="99" t="str">
        <f>IF(preDEL!$AG10,IFERROR(0/0,""),preDEL!AD10)</f>
        <v/>
      </c>
      <c r="AE10" s="253" t="str">
        <f>IF(preDEL!$AG10,IFERROR(0/0,""),preDEL!AE10)</f>
        <v/>
      </c>
      <c r="AF10" s="93" t="str">
        <f>IF(preDEL!$AG10,IFERROR(0/0,""),preDEL!AF10)</f>
        <v/>
      </c>
      <c r="AG10" s="93" t="str">
        <f>IF(preDEL!$AG10,IFERROR(0/0,""),preDEL!AG10)</f>
        <v/>
      </c>
      <c r="AH10" s="99" t="str">
        <f>IF(preDEL!$AG10,IFERROR(0/0,""),preDEL!AH10)</f>
        <v/>
      </c>
      <c r="AI10" s="249" t="str">
        <f>IF(preDEL!$AG10,IFERROR(0/0,""),preDEL!AI10)</f>
        <v/>
      </c>
      <c r="AJ10" s="94" t="str">
        <f>IF(preDEL!$AG10,IFERROR(0/0,""),preDEL!AJ10)</f>
        <v/>
      </c>
      <c r="AK10" s="249" t="str">
        <f>IF(preDEL!$AG10,IFERROR(0/0,""),preDEL!AK10)</f>
        <v/>
      </c>
      <c r="AL10" s="94" t="str">
        <f>IF(preDEL!$AG10,IFERROR(0/0,""),preDEL!AL10)</f>
        <v/>
      </c>
      <c r="AM10" s="94" t="str">
        <f>IF(preDEL!$AG10,IFERROR(0/0,""),preDEL!AM10)</f>
        <v/>
      </c>
      <c r="AN10" s="94" t="str">
        <f>IF(preDEL!$AG10,IFERROR(0/0,""),preDEL!AN10)</f>
        <v/>
      </c>
      <c r="AO10" s="94" t="str">
        <f>IF(preDEL!$AG10,IFERROR(0/0,""),preDEL!AO10)</f>
        <v/>
      </c>
      <c r="AP10" s="94" t="str">
        <f>IF(preDEL!$AG10,IFERROR(0/0,""),preDEL!AP10)</f>
        <v/>
      </c>
      <c r="AQ10" s="94" t="str">
        <f>IF(preDEL!$AG10,IFERROR(0/0,""),preDEL!AQ10)</f>
        <v/>
      </c>
      <c r="AR10" s="94" t="str">
        <f>IF(preDEL!$AG10,IFERROR(0/0,""),preDEL!AR10)</f>
        <v/>
      </c>
      <c r="AS10" s="98"/>
      <c r="BE10" s="254"/>
      <c r="BF10" s="255"/>
      <c r="BG10" s="254"/>
      <c r="BH10" s="255"/>
      <c r="BI10" s="254"/>
      <c r="BJ10" s="254"/>
      <c r="BK10" s="254"/>
      <c r="BL10" s="254"/>
      <c r="BN10" s="7"/>
      <c r="BO10" s="7"/>
      <c r="BP10" s="7"/>
      <c r="BQ10" s="7"/>
      <c r="BR10" s="7"/>
      <c r="BS10" s="7"/>
      <c r="BT10" s="7"/>
    </row>
    <row r="11">
      <c r="A11" s="249" t="str">
        <f>IF(preDEL!$AG11,IFERROR(0/0,""),preDEL!A11)</f>
        <v/>
      </c>
      <c r="B11" s="250" t="str">
        <f>IF(preDEL!$AG11,IFERROR(0/0,""),preDEL!B11)</f>
        <v/>
      </c>
      <c r="C11" s="251" t="str">
        <f>IF(preDEL!$AG11,IFERROR(0/0,""),preDEL!C11)</f>
        <v/>
      </c>
      <c r="D11" s="249" t="str">
        <f>IF(preDEL!$AG11,IFERROR(0/0,""),preDEL!D11)</f>
        <v/>
      </c>
      <c r="E11" s="249" t="str">
        <f>IF(preDEL!$AG11,IFERROR(0/0,""),preDEL!E11)</f>
        <v/>
      </c>
      <c r="F11" s="94" t="str">
        <f>IF(preDEL!$AG11,IFERROR(0/0,""),preDEL!F11)</f>
        <v/>
      </c>
      <c r="G11" s="94" t="str">
        <f>IF(preDEL!$AG11,IFERROR(0/0,""),preDEL!G11)</f>
        <v/>
      </c>
      <c r="H11" s="94" t="str">
        <f>IF(preDEL!$AG11,IFERROR(0/0,""),preDEL!H11)</f>
        <v/>
      </c>
      <c r="I11" s="249" t="str">
        <f>IF(preDEL!$AG11,IFERROR(0/0,""),preDEL!I11)</f>
        <v/>
      </c>
      <c r="J11" s="249" t="str">
        <f>IF(preDEL!$AG11,IFERROR(0/0,""),preDEL!J11)</f>
        <v/>
      </c>
      <c r="K11" s="249" t="str">
        <f>IF(preDEL!$AG11,IFERROR(0/0,""),preDEL!K11)</f>
        <v/>
      </c>
      <c r="L11" s="250" t="str">
        <f>IF(preDEL!$AG11,IFERROR(0/0,""),preDEL!L11)</f>
        <v/>
      </c>
      <c r="M11" s="251" t="str">
        <f>IF(preDEL!$AG11,IFERROR(0/0,""),preDEL!M11)</f>
        <v/>
      </c>
      <c r="N11" s="94" t="str">
        <f>IF(preDEL!$AG11,IFERROR(0/0,""),preDEL!N11)</f>
        <v/>
      </c>
      <c r="O11" s="94" t="str">
        <f>IF(preDEL!$AG11,IFERROR(0/0,""),preDEL!O11)</f>
        <v/>
      </c>
      <c r="P11" s="93" t="str">
        <f>IF(preDEL!$AG11,IFERROR(0/0,""),preDEL!P11)</f>
        <v/>
      </c>
      <c r="Q11" s="93" t="str">
        <f>IF(preDEL!$AG11,IFERROR(0/0,""),preDEL!Q11)</f>
        <v/>
      </c>
      <c r="R11" s="99" t="str">
        <f>IF(preDEL!$AG11,IFERROR(0/0,""),preDEL!R11)</f>
        <v/>
      </c>
      <c r="S11" s="99" t="str">
        <f>IF(preDEL!$AG11,IFERROR(0/0,""),preDEL!S11)</f>
        <v/>
      </c>
      <c r="T11" s="93" t="str">
        <f>IF(preDEL!$AG11,IFERROR(0/0,""),preDEL!T11)</f>
        <v/>
      </c>
      <c r="U11" s="94" t="str">
        <f>IF(preDEL!$AG11,IFERROR(0/0,""),preDEL!U11)</f>
        <v/>
      </c>
      <c r="V11" s="249" t="str">
        <f>IF(preDEL!$AG11,IFERROR(0/0,""),preDEL!V11)</f>
        <v/>
      </c>
      <c r="W11" s="94" t="str">
        <f>IF(preDEL!$AG11,IFERROR(0/0,""),preDEL!W11)</f>
        <v/>
      </c>
      <c r="X11" s="99" t="str">
        <f>IF(preDEL!$AG11,IFERROR(0/0,""),preDEL!X11)</f>
        <v/>
      </c>
      <c r="Y11" s="93" t="str">
        <f>IF(preDEL!$AG11,IFERROR(0/0,""),preDEL!Y11)</f>
        <v/>
      </c>
      <c r="Z11" s="249" t="str">
        <f>IF(preDEL!$AG11,IFERROR(0/0,""),preDEL!Z11)</f>
        <v/>
      </c>
      <c r="AA11" s="93" t="str">
        <f>IF(preDEL!$AG11,IFERROR(0/0,""),preDEL!AA11)</f>
        <v/>
      </c>
      <c r="AB11" s="93" t="str">
        <f>IF(preDEL!$AG11,IFERROR(0/0,""),preDEL!AB11)</f>
        <v/>
      </c>
      <c r="AC11" s="252" t="str">
        <f>IF(preDEL!$AG11,IFERROR(0/0,""),preDEL!AC11)</f>
        <v/>
      </c>
      <c r="AD11" s="99" t="str">
        <f>IF(preDEL!$AG11,IFERROR(0/0,""),preDEL!AD11)</f>
        <v/>
      </c>
      <c r="AE11" s="253" t="str">
        <f>IF(preDEL!$AG11,IFERROR(0/0,""),preDEL!AE11)</f>
        <v/>
      </c>
      <c r="AF11" s="93" t="str">
        <f>IF(preDEL!$AG11,IFERROR(0/0,""),preDEL!AF11)</f>
        <v/>
      </c>
      <c r="AG11" s="93" t="str">
        <f>IF(preDEL!$AG11,IFERROR(0/0,""),preDEL!AG11)</f>
        <v/>
      </c>
      <c r="AH11" s="99" t="str">
        <f>IF(preDEL!$AG11,IFERROR(0/0,""),preDEL!AH11)</f>
        <v/>
      </c>
      <c r="AI11" s="249" t="str">
        <f>IF(preDEL!$AG11,IFERROR(0/0,""),preDEL!AI11)</f>
        <v/>
      </c>
      <c r="AJ11" s="94" t="str">
        <f>IF(preDEL!$AG11,IFERROR(0/0,""),preDEL!AJ11)</f>
        <v/>
      </c>
      <c r="AK11" s="249" t="str">
        <f>IF(preDEL!$AG11,IFERROR(0/0,""),preDEL!AK11)</f>
        <v/>
      </c>
      <c r="AL11" s="94" t="str">
        <f>IF(preDEL!$AG11,IFERROR(0/0,""),preDEL!AL11)</f>
        <v/>
      </c>
      <c r="AM11" s="94" t="str">
        <f>IF(preDEL!$AG11,IFERROR(0/0,""),preDEL!AM11)</f>
        <v/>
      </c>
      <c r="AN11" s="94" t="str">
        <f>IF(preDEL!$AG11,IFERROR(0/0,""),preDEL!AN11)</f>
        <v/>
      </c>
      <c r="AO11" s="94" t="str">
        <f>IF(preDEL!$AG11,IFERROR(0/0,""),preDEL!AO11)</f>
        <v/>
      </c>
      <c r="AP11" s="94" t="str">
        <f>IF(preDEL!$AG11,IFERROR(0/0,""),preDEL!AP11)</f>
        <v/>
      </c>
      <c r="AQ11" s="94" t="str">
        <f>IF(preDEL!$AG11,IFERROR(0/0,""),preDEL!AQ11)</f>
        <v/>
      </c>
      <c r="AR11" s="94" t="str">
        <f>IF(preDEL!$AG11,IFERROR(0/0,""),preDEL!AR11)</f>
        <v/>
      </c>
      <c r="AS11" s="98"/>
      <c r="BE11" s="254"/>
      <c r="BF11" s="255"/>
      <c r="BG11" s="254"/>
      <c r="BH11" s="255"/>
      <c r="BI11" s="254"/>
      <c r="BJ11" s="254"/>
      <c r="BK11" s="254"/>
      <c r="BL11" s="254"/>
      <c r="BN11" s="7"/>
      <c r="BO11" s="7"/>
      <c r="BP11" s="7"/>
      <c r="BQ11" s="7"/>
      <c r="BR11" s="7"/>
      <c r="BS11" s="7"/>
      <c r="BT11" s="7"/>
    </row>
    <row r="12">
      <c r="A12" s="249" t="str">
        <f>IF(preDEL!$AG12,IFERROR(0/0,""),preDEL!A12)</f>
        <v/>
      </c>
      <c r="B12" s="250" t="str">
        <f>IF(preDEL!$AG12,IFERROR(0/0,""),preDEL!B12)</f>
        <v/>
      </c>
      <c r="C12" s="251" t="str">
        <f>IF(preDEL!$AG12,IFERROR(0/0,""),preDEL!C12)</f>
        <v/>
      </c>
      <c r="D12" s="249" t="str">
        <f>IF(preDEL!$AG12,IFERROR(0/0,""),preDEL!D12)</f>
        <v/>
      </c>
      <c r="E12" s="249" t="str">
        <f>IF(preDEL!$AG12,IFERROR(0/0,""),preDEL!E12)</f>
        <v/>
      </c>
      <c r="F12" s="94" t="str">
        <f>IF(preDEL!$AG12,IFERROR(0/0,""),preDEL!F12)</f>
        <v/>
      </c>
      <c r="G12" s="94" t="str">
        <f>IF(preDEL!$AG12,IFERROR(0/0,""),preDEL!G12)</f>
        <v/>
      </c>
      <c r="H12" s="94" t="str">
        <f>IF(preDEL!$AG12,IFERROR(0/0,""),preDEL!H12)</f>
        <v/>
      </c>
      <c r="I12" s="249" t="str">
        <f>IF(preDEL!$AG12,IFERROR(0/0,""),preDEL!I12)</f>
        <v/>
      </c>
      <c r="J12" s="249" t="str">
        <f>IF(preDEL!$AG12,IFERROR(0/0,""),preDEL!J12)</f>
        <v/>
      </c>
      <c r="K12" s="249" t="str">
        <f>IF(preDEL!$AG12,IFERROR(0/0,""),preDEL!K12)</f>
        <v/>
      </c>
      <c r="L12" s="250" t="str">
        <f>IF(preDEL!$AG12,IFERROR(0/0,""),preDEL!L12)</f>
        <v/>
      </c>
      <c r="M12" s="251" t="str">
        <f>IF(preDEL!$AG12,IFERROR(0/0,""),preDEL!M12)</f>
        <v/>
      </c>
      <c r="N12" s="94" t="str">
        <f>IF(preDEL!$AG12,IFERROR(0/0,""),preDEL!N12)</f>
        <v/>
      </c>
      <c r="O12" s="94" t="str">
        <f>IF(preDEL!$AG12,IFERROR(0/0,""),preDEL!O12)</f>
        <v/>
      </c>
      <c r="P12" s="93" t="str">
        <f>IF(preDEL!$AG12,IFERROR(0/0,""),preDEL!P12)</f>
        <v/>
      </c>
      <c r="Q12" s="93" t="str">
        <f>IF(preDEL!$AG12,IFERROR(0/0,""),preDEL!Q12)</f>
        <v/>
      </c>
      <c r="R12" s="99" t="str">
        <f>IF(preDEL!$AG12,IFERROR(0/0,""),preDEL!R12)</f>
        <v/>
      </c>
      <c r="S12" s="99" t="str">
        <f>IF(preDEL!$AG12,IFERROR(0/0,""),preDEL!S12)</f>
        <v/>
      </c>
      <c r="T12" s="93" t="str">
        <f>IF(preDEL!$AG12,IFERROR(0/0,""),preDEL!T12)</f>
        <v/>
      </c>
      <c r="U12" s="94" t="str">
        <f>IF(preDEL!$AG12,IFERROR(0/0,""),preDEL!U12)</f>
        <v/>
      </c>
      <c r="V12" s="249" t="str">
        <f>IF(preDEL!$AG12,IFERROR(0/0,""),preDEL!V12)</f>
        <v/>
      </c>
      <c r="W12" s="94" t="str">
        <f>IF(preDEL!$AG12,IFERROR(0/0,""),preDEL!W12)</f>
        <v/>
      </c>
      <c r="X12" s="99" t="str">
        <f>IF(preDEL!$AG12,IFERROR(0/0,""),preDEL!X12)</f>
        <v/>
      </c>
      <c r="Y12" s="93" t="str">
        <f>IF(preDEL!$AG12,IFERROR(0/0,""),preDEL!Y12)</f>
        <v/>
      </c>
      <c r="Z12" s="249" t="str">
        <f>IF(preDEL!$AG12,IFERROR(0/0,""),preDEL!Z12)</f>
        <v/>
      </c>
      <c r="AA12" s="93" t="str">
        <f>IF(preDEL!$AG12,IFERROR(0/0,""),preDEL!AA12)</f>
        <v/>
      </c>
      <c r="AB12" s="93" t="str">
        <f>IF(preDEL!$AG12,IFERROR(0/0,""),preDEL!AB12)</f>
        <v/>
      </c>
      <c r="AC12" s="252" t="str">
        <f>IF(preDEL!$AG12,IFERROR(0/0,""),preDEL!AC12)</f>
        <v/>
      </c>
      <c r="AD12" s="99" t="str">
        <f>IF(preDEL!$AG12,IFERROR(0/0,""),preDEL!AD12)</f>
        <v/>
      </c>
      <c r="AE12" s="253" t="str">
        <f>IF(preDEL!$AG12,IFERROR(0/0,""),preDEL!AE12)</f>
        <v/>
      </c>
      <c r="AF12" s="93" t="str">
        <f>IF(preDEL!$AG12,IFERROR(0/0,""),preDEL!AF12)</f>
        <v/>
      </c>
      <c r="AG12" s="93" t="str">
        <f>IF(preDEL!$AG12,IFERROR(0/0,""),preDEL!AG12)</f>
        <v/>
      </c>
      <c r="AH12" s="99" t="str">
        <f>IF(preDEL!$AG12,IFERROR(0/0,""),preDEL!AH12)</f>
        <v/>
      </c>
      <c r="AI12" s="249" t="str">
        <f>IF(preDEL!$AG12,IFERROR(0/0,""),preDEL!AI12)</f>
        <v/>
      </c>
      <c r="AJ12" s="94" t="str">
        <f>IF(preDEL!$AG12,IFERROR(0/0,""),preDEL!AJ12)</f>
        <v/>
      </c>
      <c r="AK12" s="249" t="str">
        <f>IF(preDEL!$AG12,IFERROR(0/0,""),preDEL!AK12)</f>
        <v/>
      </c>
      <c r="AL12" s="94" t="str">
        <f>IF(preDEL!$AG12,IFERROR(0/0,""),preDEL!AL12)</f>
        <v/>
      </c>
      <c r="AM12" s="94" t="str">
        <f>IF(preDEL!$AG12,IFERROR(0/0,""),preDEL!AM12)</f>
        <v/>
      </c>
      <c r="AN12" s="94" t="str">
        <f>IF(preDEL!$AG12,IFERROR(0/0,""),preDEL!AN12)</f>
        <v/>
      </c>
      <c r="AO12" s="94" t="str">
        <f>IF(preDEL!$AG12,IFERROR(0/0,""),preDEL!AO12)</f>
        <v/>
      </c>
      <c r="AP12" s="94" t="str">
        <f>IF(preDEL!$AG12,IFERROR(0/0,""),preDEL!AP12)</f>
        <v/>
      </c>
      <c r="AQ12" s="94" t="str">
        <f>IF(preDEL!$AG12,IFERROR(0/0,""),preDEL!AQ12)</f>
        <v/>
      </c>
      <c r="AR12" s="94" t="str">
        <f>IF(preDEL!$AG12,IFERROR(0/0,""),preDEL!AR12)</f>
        <v/>
      </c>
      <c r="AS12" s="98"/>
      <c r="BE12" s="254"/>
      <c r="BF12" s="255"/>
      <c r="BG12" s="254"/>
      <c r="BH12" s="255"/>
      <c r="BI12" s="254"/>
      <c r="BJ12" s="254"/>
      <c r="BK12" s="254"/>
      <c r="BL12" s="254"/>
      <c r="BN12" s="7"/>
      <c r="BO12" s="7"/>
      <c r="BP12" s="7"/>
      <c r="BQ12" s="7"/>
      <c r="BR12" s="7"/>
      <c r="BS12" s="7"/>
      <c r="BT12" s="7"/>
    </row>
    <row r="13">
      <c r="A13" s="249" t="str">
        <f>IF(preDEL!$AG13,IFERROR(0/0,""),preDEL!A13)</f>
        <v/>
      </c>
      <c r="B13" s="250" t="str">
        <f>IF(preDEL!$AG13,IFERROR(0/0,""),preDEL!B13)</f>
        <v/>
      </c>
      <c r="C13" s="251" t="str">
        <f>IF(preDEL!$AG13,IFERROR(0/0,""),preDEL!C13)</f>
        <v/>
      </c>
      <c r="D13" s="249" t="str">
        <f>IF(preDEL!$AG13,IFERROR(0/0,""),preDEL!D13)</f>
        <v/>
      </c>
      <c r="E13" s="249" t="str">
        <f>IF(preDEL!$AG13,IFERROR(0/0,""),preDEL!E13)</f>
        <v/>
      </c>
      <c r="F13" s="94" t="str">
        <f>IF(preDEL!$AG13,IFERROR(0/0,""),preDEL!F13)</f>
        <v/>
      </c>
      <c r="G13" s="94" t="str">
        <f>IF(preDEL!$AG13,IFERROR(0/0,""),preDEL!G13)</f>
        <v/>
      </c>
      <c r="H13" s="94" t="str">
        <f>IF(preDEL!$AG13,IFERROR(0/0,""),preDEL!H13)</f>
        <v/>
      </c>
      <c r="I13" s="249" t="str">
        <f>IF(preDEL!$AG13,IFERROR(0/0,""),preDEL!I13)</f>
        <v/>
      </c>
      <c r="J13" s="249" t="str">
        <f>IF(preDEL!$AG13,IFERROR(0/0,""),preDEL!J13)</f>
        <v/>
      </c>
      <c r="K13" s="249" t="str">
        <f>IF(preDEL!$AG13,IFERROR(0/0,""),preDEL!K13)</f>
        <v/>
      </c>
      <c r="L13" s="250" t="str">
        <f>IF(preDEL!$AG13,IFERROR(0/0,""),preDEL!L13)</f>
        <v/>
      </c>
      <c r="M13" s="251" t="str">
        <f>IF(preDEL!$AG13,IFERROR(0/0,""),preDEL!M13)</f>
        <v/>
      </c>
      <c r="N13" s="94" t="str">
        <f>IF(preDEL!$AG13,IFERROR(0/0,""),preDEL!N13)</f>
        <v/>
      </c>
      <c r="O13" s="94" t="str">
        <f>IF(preDEL!$AG13,IFERROR(0/0,""),preDEL!O13)</f>
        <v/>
      </c>
      <c r="P13" s="93" t="str">
        <f>IF(preDEL!$AG13,IFERROR(0/0,""),preDEL!P13)</f>
        <v/>
      </c>
      <c r="Q13" s="93" t="str">
        <f>IF(preDEL!$AG13,IFERROR(0/0,""),preDEL!Q13)</f>
        <v/>
      </c>
      <c r="R13" s="99" t="str">
        <f>IF(preDEL!$AG13,IFERROR(0/0,""),preDEL!R13)</f>
        <v/>
      </c>
      <c r="S13" s="99" t="str">
        <f>IF(preDEL!$AG13,IFERROR(0/0,""),preDEL!S13)</f>
        <v/>
      </c>
      <c r="T13" s="93" t="str">
        <f>IF(preDEL!$AG13,IFERROR(0/0,""),preDEL!T13)</f>
        <v/>
      </c>
      <c r="U13" s="94" t="str">
        <f>IF(preDEL!$AG13,IFERROR(0/0,""),preDEL!U13)</f>
        <v/>
      </c>
      <c r="V13" s="249" t="str">
        <f>IF(preDEL!$AG13,IFERROR(0/0,""),preDEL!V13)</f>
        <v/>
      </c>
      <c r="W13" s="94" t="str">
        <f>IF(preDEL!$AG13,IFERROR(0/0,""),preDEL!W13)</f>
        <v/>
      </c>
      <c r="X13" s="99" t="str">
        <f>IF(preDEL!$AG13,IFERROR(0/0,""),preDEL!X13)</f>
        <v/>
      </c>
      <c r="Y13" s="93" t="str">
        <f>IF(preDEL!$AG13,IFERROR(0/0,""),preDEL!Y13)</f>
        <v/>
      </c>
      <c r="Z13" s="249" t="str">
        <f>IF(preDEL!$AG13,IFERROR(0/0,""),preDEL!Z13)</f>
        <v/>
      </c>
      <c r="AA13" s="93" t="str">
        <f>IF(preDEL!$AG13,IFERROR(0/0,""),preDEL!AA13)</f>
        <v/>
      </c>
      <c r="AB13" s="93" t="str">
        <f>IF(preDEL!$AG13,IFERROR(0/0,""),preDEL!AB13)</f>
        <v/>
      </c>
      <c r="AC13" s="252" t="str">
        <f>IF(preDEL!$AG13,IFERROR(0/0,""),preDEL!AC13)</f>
        <v/>
      </c>
      <c r="AD13" s="99" t="str">
        <f>IF(preDEL!$AG13,IFERROR(0/0,""),preDEL!AD13)</f>
        <v/>
      </c>
      <c r="AE13" s="253" t="str">
        <f>IF(preDEL!$AG13,IFERROR(0/0,""),preDEL!AE13)</f>
        <v/>
      </c>
      <c r="AF13" s="93" t="str">
        <f>IF(preDEL!$AG13,IFERROR(0/0,""),preDEL!AF13)</f>
        <v/>
      </c>
      <c r="AG13" s="93" t="str">
        <f>IF(preDEL!$AG13,IFERROR(0/0,""),preDEL!AG13)</f>
        <v/>
      </c>
      <c r="AH13" s="99" t="str">
        <f>IF(preDEL!$AG13,IFERROR(0/0,""),preDEL!AH13)</f>
        <v/>
      </c>
      <c r="AI13" s="249" t="str">
        <f>IF(preDEL!$AG13,IFERROR(0/0,""),preDEL!AI13)</f>
        <v/>
      </c>
      <c r="AJ13" s="94" t="str">
        <f>IF(preDEL!$AG13,IFERROR(0/0,""),preDEL!AJ13)</f>
        <v/>
      </c>
      <c r="AK13" s="249" t="str">
        <f>IF(preDEL!$AG13,IFERROR(0/0,""),preDEL!AK13)</f>
        <v/>
      </c>
      <c r="AL13" s="94" t="str">
        <f>IF(preDEL!$AG13,IFERROR(0/0,""),preDEL!AL13)</f>
        <v/>
      </c>
      <c r="AM13" s="94" t="str">
        <f>IF(preDEL!$AG13,IFERROR(0/0,""),preDEL!AM13)</f>
        <v/>
      </c>
      <c r="AN13" s="94" t="str">
        <f>IF(preDEL!$AG13,IFERROR(0/0,""),preDEL!AN13)</f>
        <v/>
      </c>
      <c r="AO13" s="94" t="str">
        <f>IF(preDEL!$AG13,IFERROR(0/0,""),preDEL!AO13)</f>
        <v/>
      </c>
      <c r="AP13" s="94" t="str">
        <f>IF(preDEL!$AG13,IFERROR(0/0,""),preDEL!AP13)</f>
        <v/>
      </c>
      <c r="AQ13" s="94" t="str">
        <f>IF(preDEL!$AG13,IFERROR(0/0,""),preDEL!AQ13)</f>
        <v/>
      </c>
      <c r="AR13" s="94" t="str">
        <f>IF(preDEL!$AG13,IFERROR(0/0,""),preDEL!AR13)</f>
        <v/>
      </c>
      <c r="AS13" s="98"/>
      <c r="BE13" s="254"/>
      <c r="BF13" s="255"/>
      <c r="BG13" s="254"/>
      <c r="BH13" s="255"/>
      <c r="BI13" s="254"/>
      <c r="BJ13" s="254"/>
      <c r="BK13" s="254"/>
      <c r="BL13" s="254"/>
      <c r="BN13" s="7"/>
      <c r="BO13" s="7"/>
      <c r="BP13" s="7"/>
      <c r="BQ13" s="7"/>
      <c r="BR13" s="7"/>
      <c r="BS13" s="7"/>
      <c r="BT13" s="7"/>
    </row>
    <row r="14">
      <c r="A14" s="249" t="str">
        <f>IF(preDEL!$AG14,IFERROR(0/0,""),preDEL!A14)</f>
        <v/>
      </c>
      <c r="B14" s="250" t="str">
        <f>IF(preDEL!$AG14,IFERROR(0/0,""),preDEL!B14)</f>
        <v/>
      </c>
      <c r="C14" s="251" t="str">
        <f>IF(preDEL!$AG14,IFERROR(0/0,""),preDEL!C14)</f>
        <v/>
      </c>
      <c r="D14" s="249" t="str">
        <f>IF(preDEL!$AG14,IFERROR(0/0,""),preDEL!D14)</f>
        <v/>
      </c>
      <c r="E14" s="249" t="str">
        <f>IF(preDEL!$AG14,IFERROR(0/0,""),preDEL!E14)</f>
        <v/>
      </c>
      <c r="F14" s="94" t="str">
        <f>IF(preDEL!$AG14,IFERROR(0/0,""),preDEL!F14)</f>
        <v/>
      </c>
      <c r="G14" s="94" t="str">
        <f>IF(preDEL!$AG14,IFERROR(0/0,""),preDEL!G14)</f>
        <v/>
      </c>
      <c r="H14" s="94" t="str">
        <f>IF(preDEL!$AG14,IFERROR(0/0,""),preDEL!H14)</f>
        <v/>
      </c>
      <c r="I14" s="249" t="str">
        <f>IF(preDEL!$AG14,IFERROR(0/0,""),preDEL!I14)</f>
        <v/>
      </c>
      <c r="J14" s="249" t="str">
        <f>IF(preDEL!$AG14,IFERROR(0/0,""),preDEL!J14)</f>
        <v/>
      </c>
      <c r="K14" s="249" t="str">
        <f>IF(preDEL!$AG14,IFERROR(0/0,""),preDEL!K14)</f>
        <v/>
      </c>
      <c r="L14" s="250" t="str">
        <f>IF(preDEL!$AG14,IFERROR(0/0,""),preDEL!L14)</f>
        <v/>
      </c>
      <c r="M14" s="251" t="str">
        <f>IF(preDEL!$AG14,IFERROR(0/0,""),preDEL!M14)</f>
        <v/>
      </c>
      <c r="N14" s="94" t="str">
        <f>IF(preDEL!$AG14,IFERROR(0/0,""),preDEL!N14)</f>
        <v/>
      </c>
      <c r="O14" s="94" t="str">
        <f>IF(preDEL!$AG14,IFERROR(0/0,""),preDEL!O14)</f>
        <v/>
      </c>
      <c r="P14" s="93" t="str">
        <f>IF(preDEL!$AG14,IFERROR(0/0,""),preDEL!P14)</f>
        <v/>
      </c>
      <c r="Q14" s="93" t="str">
        <f>IF(preDEL!$AG14,IFERROR(0/0,""),preDEL!Q14)</f>
        <v/>
      </c>
      <c r="R14" s="99" t="str">
        <f>IF(preDEL!$AG14,IFERROR(0/0,""),preDEL!R14)</f>
        <v/>
      </c>
      <c r="S14" s="99" t="str">
        <f>IF(preDEL!$AG14,IFERROR(0/0,""),preDEL!S14)</f>
        <v/>
      </c>
      <c r="T14" s="93" t="str">
        <f>IF(preDEL!$AG14,IFERROR(0/0,""),preDEL!T14)</f>
        <v/>
      </c>
      <c r="U14" s="94" t="str">
        <f>IF(preDEL!$AG14,IFERROR(0/0,""),preDEL!U14)</f>
        <v/>
      </c>
      <c r="V14" s="249" t="str">
        <f>IF(preDEL!$AG14,IFERROR(0/0,""),preDEL!V14)</f>
        <v/>
      </c>
      <c r="W14" s="94" t="str">
        <f>IF(preDEL!$AG14,IFERROR(0/0,""),preDEL!W14)</f>
        <v/>
      </c>
      <c r="X14" s="99" t="str">
        <f>IF(preDEL!$AG14,IFERROR(0/0,""),preDEL!X14)</f>
        <v/>
      </c>
      <c r="Y14" s="93" t="str">
        <f>IF(preDEL!$AG14,IFERROR(0/0,""),preDEL!Y14)</f>
        <v/>
      </c>
      <c r="Z14" s="249" t="str">
        <f>IF(preDEL!$AG14,IFERROR(0/0,""),preDEL!Z14)</f>
        <v/>
      </c>
      <c r="AA14" s="93" t="str">
        <f>IF(preDEL!$AG14,IFERROR(0/0,""),preDEL!AA14)</f>
        <v/>
      </c>
      <c r="AB14" s="93" t="str">
        <f>IF(preDEL!$AG14,IFERROR(0/0,""),preDEL!AB14)</f>
        <v/>
      </c>
      <c r="AC14" s="252" t="str">
        <f>IF(preDEL!$AG14,IFERROR(0/0,""),preDEL!AC14)</f>
        <v/>
      </c>
      <c r="AD14" s="99" t="str">
        <f>IF(preDEL!$AG14,IFERROR(0/0,""),preDEL!AD14)</f>
        <v/>
      </c>
      <c r="AE14" s="253" t="str">
        <f>IF(preDEL!$AG14,IFERROR(0/0,""),preDEL!AE14)</f>
        <v/>
      </c>
      <c r="AF14" s="93" t="str">
        <f>IF(preDEL!$AG14,IFERROR(0/0,""),preDEL!AF14)</f>
        <v/>
      </c>
      <c r="AG14" s="93" t="str">
        <f>IF(preDEL!$AG14,IFERROR(0/0,""),preDEL!AG14)</f>
        <v/>
      </c>
      <c r="AH14" s="99" t="str">
        <f>IF(preDEL!$AG14,IFERROR(0/0,""),preDEL!AH14)</f>
        <v/>
      </c>
      <c r="AI14" s="249" t="str">
        <f>IF(preDEL!$AG14,IFERROR(0/0,""),preDEL!AI14)</f>
        <v/>
      </c>
      <c r="AJ14" s="94" t="str">
        <f>IF(preDEL!$AG14,IFERROR(0/0,""),preDEL!AJ14)</f>
        <v/>
      </c>
      <c r="AK14" s="249" t="str">
        <f>IF(preDEL!$AG14,IFERROR(0/0,""),preDEL!AK14)</f>
        <v/>
      </c>
      <c r="AL14" s="94" t="str">
        <f>IF(preDEL!$AG14,IFERROR(0/0,""),preDEL!AL14)</f>
        <v/>
      </c>
      <c r="AM14" s="94" t="str">
        <f>IF(preDEL!$AG14,IFERROR(0/0,""),preDEL!AM14)</f>
        <v/>
      </c>
      <c r="AN14" s="94" t="str">
        <f>IF(preDEL!$AG14,IFERROR(0/0,""),preDEL!AN14)</f>
        <v/>
      </c>
      <c r="AO14" s="94" t="str">
        <f>IF(preDEL!$AG14,IFERROR(0/0,""),preDEL!AO14)</f>
        <v/>
      </c>
      <c r="AP14" s="94" t="str">
        <f>IF(preDEL!$AG14,IFERROR(0/0,""),preDEL!AP14)</f>
        <v/>
      </c>
      <c r="AQ14" s="94" t="str">
        <f>IF(preDEL!$AG14,IFERROR(0/0,""),preDEL!AQ14)</f>
        <v/>
      </c>
      <c r="AR14" s="94" t="str">
        <f>IF(preDEL!$AG14,IFERROR(0/0,""),preDEL!AR14)</f>
        <v/>
      </c>
      <c r="AS14" s="98"/>
      <c r="BE14" s="254"/>
      <c r="BF14" s="255"/>
      <c r="BG14" s="254"/>
      <c r="BH14" s="255"/>
      <c r="BI14" s="254"/>
      <c r="BJ14" s="254"/>
      <c r="BK14" s="254"/>
      <c r="BL14" s="254"/>
      <c r="BN14" s="7"/>
      <c r="BO14" s="7"/>
      <c r="BP14" s="7"/>
      <c r="BQ14" s="7"/>
      <c r="BR14" s="7"/>
      <c r="BS14" s="7"/>
      <c r="BT14" s="7"/>
    </row>
    <row r="15">
      <c r="A15" s="249" t="str">
        <f>IF(preDEL!$AG15,IFERROR(0/0,""),preDEL!A15)</f>
        <v/>
      </c>
      <c r="B15" s="250" t="str">
        <f>IF(preDEL!$AG15,IFERROR(0/0,""),preDEL!B15)</f>
        <v/>
      </c>
      <c r="C15" s="251" t="str">
        <f>IF(preDEL!$AG15,IFERROR(0/0,""),preDEL!C15)</f>
        <v/>
      </c>
      <c r="D15" s="249" t="str">
        <f>IF(preDEL!$AG15,IFERROR(0/0,""),preDEL!D15)</f>
        <v/>
      </c>
      <c r="E15" s="249" t="str">
        <f>IF(preDEL!$AG15,IFERROR(0/0,""),preDEL!E15)</f>
        <v/>
      </c>
      <c r="F15" s="94" t="str">
        <f>IF(preDEL!$AG15,IFERROR(0/0,""),preDEL!F15)</f>
        <v/>
      </c>
      <c r="G15" s="94" t="str">
        <f>IF(preDEL!$AG15,IFERROR(0/0,""),preDEL!G15)</f>
        <v/>
      </c>
      <c r="H15" s="94" t="str">
        <f>IF(preDEL!$AG15,IFERROR(0/0,""),preDEL!H15)</f>
        <v/>
      </c>
      <c r="I15" s="249" t="str">
        <f>IF(preDEL!$AG15,IFERROR(0/0,""),preDEL!I15)</f>
        <v/>
      </c>
      <c r="J15" s="249" t="str">
        <f>IF(preDEL!$AG15,IFERROR(0/0,""),preDEL!J15)</f>
        <v/>
      </c>
      <c r="K15" s="249" t="str">
        <f>IF(preDEL!$AG15,IFERROR(0/0,""),preDEL!K15)</f>
        <v/>
      </c>
      <c r="L15" s="250" t="str">
        <f>IF(preDEL!$AG15,IFERROR(0/0,""),preDEL!L15)</f>
        <v/>
      </c>
      <c r="M15" s="251" t="str">
        <f>IF(preDEL!$AG15,IFERROR(0/0,""),preDEL!M15)</f>
        <v/>
      </c>
      <c r="N15" s="94" t="str">
        <f>IF(preDEL!$AG15,IFERROR(0/0,""),preDEL!N15)</f>
        <v/>
      </c>
      <c r="O15" s="94" t="str">
        <f>IF(preDEL!$AG15,IFERROR(0/0,""),preDEL!O15)</f>
        <v/>
      </c>
      <c r="P15" s="93" t="str">
        <f>IF(preDEL!$AG15,IFERROR(0/0,""),preDEL!P15)</f>
        <v/>
      </c>
      <c r="Q15" s="93" t="str">
        <f>IF(preDEL!$AG15,IFERROR(0/0,""),preDEL!Q15)</f>
        <v/>
      </c>
      <c r="R15" s="99" t="str">
        <f>IF(preDEL!$AG15,IFERROR(0/0,""),preDEL!R15)</f>
        <v/>
      </c>
      <c r="S15" s="99" t="str">
        <f>IF(preDEL!$AG15,IFERROR(0/0,""),preDEL!S15)</f>
        <v/>
      </c>
      <c r="T15" s="93" t="str">
        <f>IF(preDEL!$AG15,IFERROR(0/0,""),preDEL!T15)</f>
        <v/>
      </c>
      <c r="U15" s="94" t="str">
        <f>IF(preDEL!$AG15,IFERROR(0/0,""),preDEL!U15)</f>
        <v/>
      </c>
      <c r="V15" s="249" t="str">
        <f>IF(preDEL!$AG15,IFERROR(0/0,""),preDEL!V15)</f>
        <v/>
      </c>
      <c r="W15" s="94" t="str">
        <f>IF(preDEL!$AG15,IFERROR(0/0,""),preDEL!W15)</f>
        <v/>
      </c>
      <c r="X15" s="99" t="str">
        <f>IF(preDEL!$AG15,IFERROR(0/0,""),preDEL!X15)</f>
        <v/>
      </c>
      <c r="Y15" s="93" t="str">
        <f>IF(preDEL!$AG15,IFERROR(0/0,""),preDEL!Y15)</f>
        <v/>
      </c>
      <c r="Z15" s="249" t="str">
        <f>IF(preDEL!$AG15,IFERROR(0/0,""),preDEL!Z15)</f>
        <v/>
      </c>
      <c r="AA15" s="93" t="str">
        <f>IF(preDEL!$AG15,IFERROR(0/0,""),preDEL!AA15)</f>
        <v/>
      </c>
      <c r="AB15" s="93" t="str">
        <f>IF(preDEL!$AG15,IFERROR(0/0,""),preDEL!AB15)</f>
        <v/>
      </c>
      <c r="AC15" s="252" t="str">
        <f>IF(preDEL!$AG15,IFERROR(0/0,""),preDEL!AC15)</f>
        <v/>
      </c>
      <c r="AD15" s="99" t="str">
        <f>IF(preDEL!$AG15,IFERROR(0/0,""),preDEL!AD15)</f>
        <v/>
      </c>
      <c r="AE15" s="253" t="str">
        <f>IF(preDEL!$AG15,IFERROR(0/0,""),preDEL!AE15)</f>
        <v/>
      </c>
      <c r="AF15" s="93" t="str">
        <f>IF(preDEL!$AG15,IFERROR(0/0,""),preDEL!AF15)</f>
        <v/>
      </c>
      <c r="AG15" s="93" t="str">
        <f>IF(preDEL!$AG15,IFERROR(0/0,""),preDEL!AG15)</f>
        <v/>
      </c>
      <c r="AH15" s="99" t="str">
        <f>IF(preDEL!$AG15,IFERROR(0/0,""),preDEL!AH15)</f>
        <v/>
      </c>
      <c r="AI15" s="249" t="str">
        <f>IF(preDEL!$AG15,IFERROR(0/0,""),preDEL!AI15)</f>
        <v/>
      </c>
      <c r="AJ15" s="94" t="str">
        <f>IF(preDEL!$AG15,IFERROR(0/0,""),preDEL!AJ15)</f>
        <v/>
      </c>
      <c r="AK15" s="249" t="str">
        <f>IF(preDEL!$AG15,IFERROR(0/0,""),preDEL!AK15)</f>
        <v/>
      </c>
      <c r="AL15" s="94" t="str">
        <f>IF(preDEL!$AG15,IFERROR(0/0,""),preDEL!AL15)</f>
        <v/>
      </c>
      <c r="AM15" s="94" t="str">
        <f>IF(preDEL!$AG15,IFERROR(0/0,""),preDEL!AM15)</f>
        <v/>
      </c>
      <c r="AN15" s="94" t="str">
        <f>IF(preDEL!$AG15,IFERROR(0/0,""),preDEL!AN15)</f>
        <v/>
      </c>
      <c r="AO15" s="94" t="str">
        <f>IF(preDEL!$AG15,IFERROR(0/0,""),preDEL!AO15)</f>
        <v/>
      </c>
      <c r="AP15" s="94" t="str">
        <f>IF(preDEL!$AG15,IFERROR(0/0,""),preDEL!AP15)</f>
        <v/>
      </c>
      <c r="AQ15" s="94" t="str">
        <f>IF(preDEL!$AG15,IFERROR(0/0,""),preDEL!AQ15)</f>
        <v/>
      </c>
      <c r="AR15" s="94" t="str">
        <f>IF(preDEL!$AG15,IFERROR(0/0,""),preDEL!AR15)</f>
        <v/>
      </c>
      <c r="AS15" s="98"/>
      <c r="BE15" s="254"/>
      <c r="BF15" s="255"/>
      <c r="BG15" s="254"/>
      <c r="BH15" s="255"/>
      <c r="BI15" s="254"/>
      <c r="BJ15" s="254"/>
      <c r="BK15" s="254"/>
      <c r="BL15" s="254"/>
      <c r="BN15" s="7"/>
      <c r="BO15" s="7"/>
      <c r="BP15" s="7"/>
      <c r="BQ15" s="7"/>
      <c r="BR15" s="7"/>
      <c r="BS15" s="7"/>
      <c r="BT15" s="7"/>
    </row>
    <row r="16">
      <c r="A16" s="249" t="str">
        <f>IF(preDEL!$AG16,IFERROR(0/0,""),preDEL!A16)</f>
        <v/>
      </c>
      <c r="B16" s="250" t="str">
        <f>IF(preDEL!$AG16,IFERROR(0/0,""),preDEL!B16)</f>
        <v/>
      </c>
      <c r="C16" s="251" t="str">
        <f>IF(preDEL!$AG16,IFERROR(0/0,""),preDEL!C16)</f>
        <v/>
      </c>
      <c r="D16" s="249" t="str">
        <f>IF(preDEL!$AG16,IFERROR(0/0,""),preDEL!D16)</f>
        <v/>
      </c>
      <c r="E16" s="249" t="str">
        <f>IF(preDEL!$AG16,IFERROR(0/0,""),preDEL!E16)</f>
        <v/>
      </c>
      <c r="F16" s="94" t="str">
        <f>IF(preDEL!$AG16,IFERROR(0/0,""),preDEL!F16)</f>
        <v/>
      </c>
      <c r="G16" s="94" t="str">
        <f>IF(preDEL!$AG16,IFERROR(0/0,""),preDEL!G16)</f>
        <v/>
      </c>
      <c r="H16" s="94" t="str">
        <f>IF(preDEL!$AG16,IFERROR(0/0,""),preDEL!H16)</f>
        <v/>
      </c>
      <c r="I16" s="249" t="str">
        <f>IF(preDEL!$AG16,IFERROR(0/0,""),preDEL!I16)</f>
        <v/>
      </c>
      <c r="J16" s="249" t="str">
        <f>IF(preDEL!$AG16,IFERROR(0/0,""),preDEL!J16)</f>
        <v/>
      </c>
      <c r="K16" s="249" t="str">
        <f>IF(preDEL!$AG16,IFERROR(0/0,""),preDEL!K16)</f>
        <v/>
      </c>
      <c r="L16" s="250" t="str">
        <f>IF(preDEL!$AG16,IFERROR(0/0,""),preDEL!L16)</f>
        <v/>
      </c>
      <c r="M16" s="251" t="str">
        <f>IF(preDEL!$AG16,IFERROR(0/0,""),preDEL!M16)</f>
        <v/>
      </c>
      <c r="N16" s="94" t="str">
        <f>IF(preDEL!$AG16,IFERROR(0/0,""),preDEL!N16)</f>
        <v/>
      </c>
      <c r="O16" s="94" t="str">
        <f>IF(preDEL!$AG16,IFERROR(0/0,""),preDEL!O16)</f>
        <v/>
      </c>
      <c r="P16" s="93" t="str">
        <f>IF(preDEL!$AG16,IFERROR(0/0,""),preDEL!P16)</f>
        <v/>
      </c>
      <c r="Q16" s="93" t="str">
        <f>IF(preDEL!$AG16,IFERROR(0/0,""),preDEL!Q16)</f>
        <v/>
      </c>
      <c r="R16" s="99" t="str">
        <f>IF(preDEL!$AG16,IFERROR(0/0,""),preDEL!R16)</f>
        <v/>
      </c>
      <c r="S16" s="99" t="str">
        <f>IF(preDEL!$AG16,IFERROR(0/0,""),preDEL!S16)</f>
        <v/>
      </c>
      <c r="T16" s="93" t="str">
        <f>IF(preDEL!$AG16,IFERROR(0/0,""),preDEL!T16)</f>
        <v/>
      </c>
      <c r="U16" s="94" t="str">
        <f>IF(preDEL!$AG16,IFERROR(0/0,""),preDEL!U16)</f>
        <v/>
      </c>
      <c r="V16" s="249" t="str">
        <f>IF(preDEL!$AG16,IFERROR(0/0,""),preDEL!V16)</f>
        <v/>
      </c>
      <c r="W16" s="94" t="str">
        <f>IF(preDEL!$AG16,IFERROR(0/0,""),preDEL!W16)</f>
        <v/>
      </c>
      <c r="X16" s="99" t="str">
        <f>IF(preDEL!$AG16,IFERROR(0/0,""),preDEL!X16)</f>
        <v/>
      </c>
      <c r="Y16" s="93" t="str">
        <f>IF(preDEL!$AG16,IFERROR(0/0,""),preDEL!Y16)</f>
        <v/>
      </c>
      <c r="Z16" s="249" t="str">
        <f>IF(preDEL!$AG16,IFERROR(0/0,""),preDEL!Z16)</f>
        <v/>
      </c>
      <c r="AA16" s="93" t="str">
        <f>IF(preDEL!$AG16,IFERROR(0/0,""),preDEL!AA16)</f>
        <v/>
      </c>
      <c r="AB16" s="93" t="str">
        <f>IF(preDEL!$AG16,IFERROR(0/0,""),preDEL!AB16)</f>
        <v/>
      </c>
      <c r="AC16" s="252" t="str">
        <f>IF(preDEL!$AG16,IFERROR(0/0,""),preDEL!AC16)</f>
        <v/>
      </c>
      <c r="AD16" s="99" t="str">
        <f>IF(preDEL!$AG16,IFERROR(0/0,""),preDEL!AD16)</f>
        <v/>
      </c>
      <c r="AE16" s="253" t="str">
        <f>IF(preDEL!$AG16,IFERROR(0/0,""),preDEL!AE16)</f>
        <v/>
      </c>
      <c r="AF16" s="93" t="str">
        <f>IF(preDEL!$AG16,IFERROR(0/0,""),preDEL!AF16)</f>
        <v/>
      </c>
      <c r="AG16" s="93" t="str">
        <f>IF(preDEL!$AG16,IFERROR(0/0,""),preDEL!AG16)</f>
        <v/>
      </c>
      <c r="AH16" s="99" t="str">
        <f>IF(preDEL!$AG16,IFERROR(0/0,""),preDEL!AH16)</f>
        <v/>
      </c>
      <c r="AI16" s="249" t="str">
        <f>IF(preDEL!$AG16,IFERROR(0/0,""),preDEL!AI16)</f>
        <v/>
      </c>
      <c r="AJ16" s="94" t="str">
        <f>IF(preDEL!$AG16,IFERROR(0/0,""),preDEL!AJ16)</f>
        <v/>
      </c>
      <c r="AK16" s="249" t="str">
        <f>IF(preDEL!$AG16,IFERROR(0/0,""),preDEL!AK16)</f>
        <v/>
      </c>
      <c r="AL16" s="94" t="str">
        <f>IF(preDEL!$AG16,IFERROR(0/0,""),preDEL!AL16)</f>
        <v/>
      </c>
      <c r="AM16" s="94" t="str">
        <f>IF(preDEL!$AG16,IFERROR(0/0,""),preDEL!AM16)</f>
        <v/>
      </c>
      <c r="AN16" s="94" t="str">
        <f>IF(preDEL!$AG16,IFERROR(0/0,""),preDEL!AN16)</f>
        <v/>
      </c>
      <c r="AO16" s="94" t="str">
        <f>IF(preDEL!$AG16,IFERROR(0/0,""),preDEL!AO16)</f>
        <v/>
      </c>
      <c r="AP16" s="94" t="str">
        <f>IF(preDEL!$AG16,IFERROR(0/0,""),preDEL!AP16)</f>
        <v/>
      </c>
      <c r="AQ16" s="94" t="str">
        <f>IF(preDEL!$AG16,IFERROR(0/0,""),preDEL!AQ16)</f>
        <v/>
      </c>
      <c r="AR16" s="94" t="str">
        <f>IF(preDEL!$AG16,IFERROR(0/0,""),preDEL!AR16)</f>
        <v/>
      </c>
      <c r="AS16" s="98"/>
      <c r="BE16" s="254"/>
      <c r="BF16" s="255"/>
      <c r="BG16" s="254"/>
      <c r="BH16" s="255"/>
      <c r="BI16" s="254"/>
      <c r="BJ16" s="254"/>
      <c r="BK16" s="254"/>
      <c r="BL16" s="254"/>
      <c r="BN16" s="7"/>
      <c r="BO16" s="7"/>
      <c r="BP16" s="7"/>
      <c r="BQ16" s="7"/>
      <c r="BR16" s="7"/>
      <c r="BS16" s="7"/>
      <c r="BT16" s="7"/>
    </row>
    <row r="17">
      <c r="A17" s="249" t="str">
        <f>IF(preDEL!$AG17,IFERROR(0/0,""),preDEL!A17)</f>
        <v/>
      </c>
      <c r="B17" s="250" t="str">
        <f>IF(preDEL!$AG17,IFERROR(0/0,""),preDEL!B17)</f>
        <v/>
      </c>
      <c r="C17" s="251" t="str">
        <f>IF(preDEL!$AG17,IFERROR(0/0,""),preDEL!C17)</f>
        <v/>
      </c>
      <c r="D17" s="249" t="str">
        <f>IF(preDEL!$AG17,IFERROR(0/0,""),preDEL!D17)</f>
        <v/>
      </c>
      <c r="E17" s="249" t="str">
        <f>IF(preDEL!$AG17,IFERROR(0/0,""),preDEL!E17)</f>
        <v/>
      </c>
      <c r="F17" s="94" t="str">
        <f>IF(preDEL!$AG17,IFERROR(0/0,""),preDEL!F17)</f>
        <v/>
      </c>
      <c r="G17" s="94" t="str">
        <f>IF(preDEL!$AG17,IFERROR(0/0,""),preDEL!G17)</f>
        <v/>
      </c>
      <c r="H17" s="94" t="str">
        <f>IF(preDEL!$AG17,IFERROR(0/0,""),preDEL!H17)</f>
        <v/>
      </c>
      <c r="I17" s="249" t="str">
        <f>IF(preDEL!$AG17,IFERROR(0/0,""),preDEL!I17)</f>
        <v/>
      </c>
      <c r="J17" s="249" t="str">
        <f>IF(preDEL!$AG17,IFERROR(0/0,""),preDEL!J17)</f>
        <v/>
      </c>
      <c r="K17" s="249" t="str">
        <f>IF(preDEL!$AG17,IFERROR(0/0,""),preDEL!K17)</f>
        <v/>
      </c>
      <c r="L17" s="250" t="str">
        <f>IF(preDEL!$AG17,IFERROR(0/0,""),preDEL!L17)</f>
        <v/>
      </c>
      <c r="M17" s="251" t="str">
        <f>IF(preDEL!$AG17,IFERROR(0/0,""),preDEL!M17)</f>
        <v/>
      </c>
      <c r="N17" s="94" t="str">
        <f>IF(preDEL!$AG17,IFERROR(0/0,""),preDEL!N17)</f>
        <v/>
      </c>
      <c r="O17" s="94" t="str">
        <f>IF(preDEL!$AG17,IFERROR(0/0,""),preDEL!O17)</f>
        <v/>
      </c>
      <c r="P17" s="93" t="str">
        <f>IF(preDEL!$AG17,IFERROR(0/0,""),preDEL!P17)</f>
        <v/>
      </c>
      <c r="Q17" s="93" t="str">
        <f>IF(preDEL!$AG17,IFERROR(0/0,""),preDEL!Q17)</f>
        <v/>
      </c>
      <c r="R17" s="99" t="str">
        <f>IF(preDEL!$AG17,IFERROR(0/0,""),preDEL!R17)</f>
        <v/>
      </c>
      <c r="S17" s="99" t="str">
        <f>IF(preDEL!$AG17,IFERROR(0/0,""),preDEL!S17)</f>
        <v/>
      </c>
      <c r="T17" s="93" t="str">
        <f>IF(preDEL!$AG17,IFERROR(0/0,""),preDEL!T17)</f>
        <v/>
      </c>
      <c r="U17" s="94" t="str">
        <f>IF(preDEL!$AG17,IFERROR(0/0,""),preDEL!U17)</f>
        <v/>
      </c>
      <c r="V17" s="249" t="str">
        <f>IF(preDEL!$AG17,IFERROR(0/0,""),preDEL!V17)</f>
        <v/>
      </c>
      <c r="W17" s="94" t="str">
        <f>IF(preDEL!$AG17,IFERROR(0/0,""),preDEL!W17)</f>
        <v/>
      </c>
      <c r="X17" s="99" t="str">
        <f>IF(preDEL!$AG17,IFERROR(0/0,""),preDEL!X17)</f>
        <v/>
      </c>
      <c r="Y17" s="93" t="str">
        <f>IF(preDEL!$AG17,IFERROR(0/0,""),preDEL!Y17)</f>
        <v/>
      </c>
      <c r="Z17" s="249" t="str">
        <f>IF(preDEL!$AG17,IFERROR(0/0,""),preDEL!Z17)</f>
        <v/>
      </c>
      <c r="AA17" s="93" t="str">
        <f>IF(preDEL!$AG17,IFERROR(0/0,""),preDEL!AA17)</f>
        <v/>
      </c>
      <c r="AB17" s="93" t="str">
        <f>IF(preDEL!$AG17,IFERROR(0/0,""),preDEL!AB17)</f>
        <v/>
      </c>
      <c r="AC17" s="252" t="str">
        <f>IF(preDEL!$AG17,IFERROR(0/0,""),preDEL!AC17)</f>
        <v/>
      </c>
      <c r="AD17" s="99" t="str">
        <f>IF(preDEL!$AG17,IFERROR(0/0,""),preDEL!AD17)</f>
        <v/>
      </c>
      <c r="AE17" s="253" t="str">
        <f>IF(preDEL!$AG17,IFERROR(0/0,""),preDEL!AE17)</f>
        <v/>
      </c>
      <c r="AF17" s="93" t="str">
        <f>IF(preDEL!$AG17,IFERROR(0/0,""),preDEL!AF17)</f>
        <v/>
      </c>
      <c r="AG17" s="93" t="str">
        <f>IF(preDEL!$AG17,IFERROR(0/0,""),preDEL!AG17)</f>
        <v/>
      </c>
      <c r="AH17" s="99" t="str">
        <f>IF(preDEL!$AG17,IFERROR(0/0,""),preDEL!AH17)</f>
        <v/>
      </c>
      <c r="AI17" s="249" t="str">
        <f>IF(preDEL!$AG17,IFERROR(0/0,""),preDEL!AI17)</f>
        <v/>
      </c>
      <c r="AJ17" s="94" t="str">
        <f>IF(preDEL!$AG17,IFERROR(0/0,""),preDEL!AJ17)</f>
        <v/>
      </c>
      <c r="AK17" s="249" t="str">
        <f>IF(preDEL!$AG17,IFERROR(0/0,""),preDEL!AK17)</f>
        <v/>
      </c>
      <c r="AL17" s="94" t="str">
        <f>IF(preDEL!$AG17,IFERROR(0/0,""),preDEL!AL17)</f>
        <v/>
      </c>
      <c r="AM17" s="94" t="str">
        <f>IF(preDEL!$AG17,IFERROR(0/0,""),preDEL!AM17)</f>
        <v/>
      </c>
      <c r="AN17" s="94" t="str">
        <f>IF(preDEL!$AG17,IFERROR(0/0,""),preDEL!AN17)</f>
        <v/>
      </c>
      <c r="AO17" s="94" t="str">
        <f>IF(preDEL!$AG17,IFERROR(0/0,""),preDEL!AO17)</f>
        <v/>
      </c>
      <c r="AP17" s="94" t="str">
        <f>IF(preDEL!$AG17,IFERROR(0/0,""),preDEL!AP17)</f>
        <v/>
      </c>
      <c r="AQ17" s="94" t="str">
        <f>IF(preDEL!$AG17,IFERROR(0/0,""),preDEL!AQ17)</f>
        <v/>
      </c>
      <c r="AR17" s="94" t="str">
        <f>IF(preDEL!$AG17,IFERROR(0/0,""),preDEL!AR17)</f>
        <v/>
      </c>
      <c r="AS17" s="98"/>
      <c r="BE17" s="254"/>
      <c r="BF17" s="255"/>
      <c r="BG17" s="254"/>
      <c r="BH17" s="255"/>
      <c r="BI17" s="254"/>
      <c r="BJ17" s="254"/>
      <c r="BK17" s="254"/>
      <c r="BL17" s="254"/>
      <c r="BN17" s="7"/>
      <c r="BO17" s="7"/>
      <c r="BP17" s="7"/>
      <c r="BQ17" s="7"/>
      <c r="BR17" s="7"/>
      <c r="BS17" s="7"/>
      <c r="BT17" s="7"/>
    </row>
    <row r="18">
      <c r="A18" s="249" t="str">
        <f>IF(preDEL!$AG18,IFERROR(0/0,""),preDEL!A18)</f>
        <v/>
      </c>
      <c r="B18" s="250" t="str">
        <f>IF(preDEL!$AG18,IFERROR(0/0,""),preDEL!B18)</f>
        <v/>
      </c>
      <c r="C18" s="251" t="str">
        <f>IF(preDEL!$AG18,IFERROR(0/0,""),preDEL!C18)</f>
        <v/>
      </c>
      <c r="D18" s="249" t="str">
        <f>IF(preDEL!$AG18,IFERROR(0/0,""),preDEL!D18)</f>
        <v/>
      </c>
      <c r="E18" s="249" t="str">
        <f>IF(preDEL!$AG18,IFERROR(0/0,""),preDEL!E18)</f>
        <v/>
      </c>
      <c r="F18" s="94" t="str">
        <f>IF(preDEL!$AG18,IFERROR(0/0,""),preDEL!F18)</f>
        <v/>
      </c>
      <c r="G18" s="94" t="str">
        <f>IF(preDEL!$AG18,IFERROR(0/0,""),preDEL!G18)</f>
        <v/>
      </c>
      <c r="H18" s="94" t="str">
        <f>IF(preDEL!$AG18,IFERROR(0/0,""),preDEL!H18)</f>
        <v/>
      </c>
      <c r="I18" s="249" t="str">
        <f>IF(preDEL!$AG18,IFERROR(0/0,""),preDEL!I18)</f>
        <v/>
      </c>
      <c r="J18" s="249" t="str">
        <f>IF(preDEL!$AG18,IFERROR(0/0,""),preDEL!J18)</f>
        <v/>
      </c>
      <c r="K18" s="249" t="str">
        <f>IF(preDEL!$AG18,IFERROR(0/0,""),preDEL!K18)</f>
        <v/>
      </c>
      <c r="L18" s="250" t="str">
        <f>IF(preDEL!$AG18,IFERROR(0/0,""),preDEL!L18)</f>
        <v/>
      </c>
      <c r="M18" s="251" t="str">
        <f>IF(preDEL!$AG18,IFERROR(0/0,""),preDEL!M18)</f>
        <v/>
      </c>
      <c r="N18" s="94" t="str">
        <f>IF(preDEL!$AG18,IFERROR(0/0,""),preDEL!N18)</f>
        <v/>
      </c>
      <c r="O18" s="94" t="str">
        <f>IF(preDEL!$AG18,IFERROR(0/0,""),preDEL!O18)</f>
        <v/>
      </c>
      <c r="P18" s="93" t="str">
        <f>IF(preDEL!$AG18,IFERROR(0/0,""),preDEL!P18)</f>
        <v/>
      </c>
      <c r="Q18" s="93" t="str">
        <f>IF(preDEL!$AG18,IFERROR(0/0,""),preDEL!Q18)</f>
        <v/>
      </c>
      <c r="R18" s="99" t="str">
        <f>IF(preDEL!$AG18,IFERROR(0/0,""),preDEL!R18)</f>
        <v/>
      </c>
      <c r="S18" s="99" t="str">
        <f>IF(preDEL!$AG18,IFERROR(0/0,""),preDEL!S18)</f>
        <v/>
      </c>
      <c r="T18" s="93" t="str">
        <f>IF(preDEL!$AG18,IFERROR(0/0,""),preDEL!T18)</f>
        <v/>
      </c>
      <c r="U18" s="94" t="str">
        <f>IF(preDEL!$AG18,IFERROR(0/0,""),preDEL!U18)</f>
        <v/>
      </c>
      <c r="V18" s="249" t="str">
        <f>IF(preDEL!$AG18,IFERROR(0/0,""),preDEL!V18)</f>
        <v/>
      </c>
      <c r="W18" s="94" t="str">
        <f>IF(preDEL!$AG18,IFERROR(0/0,""),preDEL!W18)</f>
        <v/>
      </c>
      <c r="X18" s="99" t="str">
        <f>IF(preDEL!$AG18,IFERROR(0/0,""),preDEL!X18)</f>
        <v/>
      </c>
      <c r="Y18" s="93" t="str">
        <f>IF(preDEL!$AG18,IFERROR(0/0,""),preDEL!Y18)</f>
        <v/>
      </c>
      <c r="Z18" s="249" t="str">
        <f>IF(preDEL!$AG18,IFERROR(0/0,""),preDEL!Z18)</f>
        <v/>
      </c>
      <c r="AA18" s="93" t="str">
        <f>IF(preDEL!$AG18,IFERROR(0/0,""),preDEL!AA18)</f>
        <v/>
      </c>
      <c r="AB18" s="93" t="str">
        <f>IF(preDEL!$AG18,IFERROR(0/0,""),preDEL!AB18)</f>
        <v/>
      </c>
      <c r="AC18" s="252" t="str">
        <f>IF(preDEL!$AG18,IFERROR(0/0,""),preDEL!AC18)</f>
        <v/>
      </c>
      <c r="AD18" s="99" t="str">
        <f>IF(preDEL!$AG18,IFERROR(0/0,""),preDEL!AD18)</f>
        <v/>
      </c>
      <c r="AE18" s="253" t="str">
        <f>IF(preDEL!$AG18,IFERROR(0/0,""),preDEL!AE18)</f>
        <v/>
      </c>
      <c r="AF18" s="93" t="str">
        <f>IF(preDEL!$AG18,IFERROR(0/0,""),preDEL!AF18)</f>
        <v/>
      </c>
      <c r="AG18" s="93" t="str">
        <f>IF(preDEL!$AG18,IFERROR(0/0,""),preDEL!AG18)</f>
        <v/>
      </c>
      <c r="AH18" s="99" t="str">
        <f>IF(preDEL!$AG18,IFERROR(0/0,""),preDEL!AH18)</f>
        <v/>
      </c>
      <c r="AI18" s="249" t="str">
        <f>IF(preDEL!$AG18,IFERROR(0/0,""),preDEL!AI18)</f>
        <v/>
      </c>
      <c r="AJ18" s="94" t="str">
        <f>IF(preDEL!$AG18,IFERROR(0/0,""),preDEL!AJ18)</f>
        <v/>
      </c>
      <c r="AK18" s="249" t="str">
        <f>IF(preDEL!$AG18,IFERROR(0/0,""),preDEL!AK18)</f>
        <v/>
      </c>
      <c r="AL18" s="94" t="str">
        <f>IF(preDEL!$AG18,IFERROR(0/0,""),preDEL!AL18)</f>
        <v/>
      </c>
      <c r="AM18" s="94" t="str">
        <f>IF(preDEL!$AG18,IFERROR(0/0,""),preDEL!AM18)</f>
        <v/>
      </c>
      <c r="AN18" s="94" t="str">
        <f>IF(preDEL!$AG18,IFERROR(0/0,""),preDEL!AN18)</f>
        <v/>
      </c>
      <c r="AO18" s="94" t="str">
        <f>IF(preDEL!$AG18,IFERROR(0/0,""),preDEL!AO18)</f>
        <v/>
      </c>
      <c r="AP18" s="94" t="str">
        <f>IF(preDEL!$AG18,IFERROR(0/0,""),preDEL!AP18)</f>
        <v/>
      </c>
      <c r="AQ18" s="94" t="str">
        <f>IF(preDEL!$AG18,IFERROR(0/0,""),preDEL!AQ18)</f>
        <v/>
      </c>
      <c r="AR18" s="94" t="str">
        <f>IF(preDEL!$AG18,IFERROR(0/0,""),preDEL!AR18)</f>
        <v/>
      </c>
      <c r="AS18" s="98"/>
      <c r="BE18" s="254"/>
      <c r="BF18" s="255"/>
      <c r="BG18" s="254"/>
      <c r="BH18" s="255"/>
      <c r="BI18" s="254"/>
      <c r="BJ18" s="254"/>
      <c r="BK18" s="254"/>
      <c r="BL18" s="254"/>
      <c r="BN18" s="7"/>
      <c r="BO18" s="7"/>
      <c r="BP18" s="7"/>
      <c r="BQ18" s="7"/>
      <c r="BR18" s="7"/>
      <c r="BS18" s="7"/>
      <c r="BT18" s="7"/>
    </row>
    <row r="19">
      <c r="A19" s="249" t="str">
        <f>IF(preDEL!$AG19,IFERROR(0/0,""),preDEL!A19)</f>
        <v/>
      </c>
      <c r="B19" s="250" t="str">
        <f>IF(preDEL!$AG19,IFERROR(0/0,""),preDEL!B19)</f>
        <v/>
      </c>
      <c r="C19" s="251" t="str">
        <f>IF(preDEL!$AG19,IFERROR(0/0,""),preDEL!C19)</f>
        <v/>
      </c>
      <c r="D19" s="249" t="str">
        <f>IF(preDEL!$AG19,IFERROR(0/0,""),preDEL!D19)</f>
        <v/>
      </c>
      <c r="E19" s="249" t="str">
        <f>IF(preDEL!$AG19,IFERROR(0/0,""),preDEL!E19)</f>
        <v/>
      </c>
      <c r="F19" s="94" t="str">
        <f>IF(preDEL!$AG19,IFERROR(0/0,""),preDEL!F19)</f>
        <v/>
      </c>
      <c r="G19" s="94" t="str">
        <f>IF(preDEL!$AG19,IFERROR(0/0,""),preDEL!G19)</f>
        <v/>
      </c>
      <c r="H19" s="94" t="str">
        <f>IF(preDEL!$AG19,IFERROR(0/0,""),preDEL!H19)</f>
        <v/>
      </c>
      <c r="I19" s="249" t="str">
        <f>IF(preDEL!$AG19,IFERROR(0/0,""),preDEL!I19)</f>
        <v/>
      </c>
      <c r="J19" s="249" t="str">
        <f>IF(preDEL!$AG19,IFERROR(0/0,""),preDEL!J19)</f>
        <v/>
      </c>
      <c r="K19" s="249" t="str">
        <f>IF(preDEL!$AG19,IFERROR(0/0,""),preDEL!K19)</f>
        <v/>
      </c>
      <c r="L19" s="250" t="str">
        <f>IF(preDEL!$AG19,IFERROR(0/0,""),preDEL!L19)</f>
        <v/>
      </c>
      <c r="M19" s="251" t="str">
        <f>IF(preDEL!$AG19,IFERROR(0/0,""),preDEL!M19)</f>
        <v/>
      </c>
      <c r="N19" s="94" t="str">
        <f>IF(preDEL!$AG19,IFERROR(0/0,""),preDEL!N19)</f>
        <v/>
      </c>
      <c r="O19" s="94" t="str">
        <f>IF(preDEL!$AG19,IFERROR(0/0,""),preDEL!O19)</f>
        <v/>
      </c>
      <c r="P19" s="93" t="str">
        <f>IF(preDEL!$AG19,IFERROR(0/0,""),preDEL!P19)</f>
        <v/>
      </c>
      <c r="Q19" s="93" t="str">
        <f>IF(preDEL!$AG19,IFERROR(0/0,""),preDEL!Q19)</f>
        <v/>
      </c>
      <c r="R19" s="99" t="str">
        <f>IF(preDEL!$AG19,IFERROR(0/0,""),preDEL!R19)</f>
        <v/>
      </c>
      <c r="S19" s="99" t="str">
        <f>IF(preDEL!$AG19,IFERROR(0/0,""),preDEL!S19)</f>
        <v/>
      </c>
      <c r="T19" s="93" t="str">
        <f>IF(preDEL!$AG19,IFERROR(0/0,""),preDEL!T19)</f>
        <v/>
      </c>
      <c r="U19" s="94" t="str">
        <f>IF(preDEL!$AG19,IFERROR(0/0,""),preDEL!U19)</f>
        <v/>
      </c>
      <c r="V19" s="249" t="str">
        <f>IF(preDEL!$AG19,IFERROR(0/0,""),preDEL!V19)</f>
        <v/>
      </c>
      <c r="W19" s="94" t="str">
        <f>IF(preDEL!$AG19,IFERROR(0/0,""),preDEL!W19)</f>
        <v/>
      </c>
      <c r="X19" s="99" t="str">
        <f>IF(preDEL!$AG19,IFERROR(0/0,""),preDEL!X19)</f>
        <v/>
      </c>
      <c r="Y19" s="93" t="str">
        <f>IF(preDEL!$AG19,IFERROR(0/0,""),preDEL!Y19)</f>
        <v/>
      </c>
      <c r="Z19" s="249" t="str">
        <f>IF(preDEL!$AG19,IFERROR(0/0,""),preDEL!Z19)</f>
        <v/>
      </c>
      <c r="AA19" s="93" t="str">
        <f>IF(preDEL!$AG19,IFERROR(0/0,""),preDEL!AA19)</f>
        <v/>
      </c>
      <c r="AB19" s="93" t="str">
        <f>IF(preDEL!$AG19,IFERROR(0/0,""),preDEL!AB19)</f>
        <v/>
      </c>
      <c r="AC19" s="252" t="str">
        <f>IF(preDEL!$AG19,IFERROR(0/0,""),preDEL!AC19)</f>
        <v/>
      </c>
      <c r="AD19" s="99" t="str">
        <f>IF(preDEL!$AG19,IFERROR(0/0,""),preDEL!AD19)</f>
        <v/>
      </c>
      <c r="AE19" s="253" t="str">
        <f>IF(preDEL!$AG19,IFERROR(0/0,""),preDEL!AE19)</f>
        <v/>
      </c>
      <c r="AF19" s="93" t="str">
        <f>IF(preDEL!$AG19,IFERROR(0/0,""),preDEL!AF19)</f>
        <v/>
      </c>
      <c r="AG19" s="93" t="str">
        <f>IF(preDEL!$AG19,IFERROR(0/0,""),preDEL!AG19)</f>
        <v/>
      </c>
      <c r="AH19" s="99" t="str">
        <f>IF(preDEL!$AG19,IFERROR(0/0,""),preDEL!AH19)</f>
        <v/>
      </c>
      <c r="AI19" s="249" t="str">
        <f>IF(preDEL!$AG19,IFERROR(0/0,""),preDEL!AI19)</f>
        <v/>
      </c>
      <c r="AJ19" s="94" t="str">
        <f>IF(preDEL!$AG19,IFERROR(0/0,""),preDEL!AJ19)</f>
        <v/>
      </c>
      <c r="AK19" s="249" t="str">
        <f>IF(preDEL!$AG19,IFERROR(0/0,""),preDEL!AK19)</f>
        <v/>
      </c>
      <c r="AL19" s="94" t="str">
        <f>IF(preDEL!$AG19,IFERROR(0/0,""),preDEL!AL19)</f>
        <v/>
      </c>
      <c r="AM19" s="94" t="str">
        <f>IF(preDEL!$AG19,IFERROR(0/0,""),preDEL!AM19)</f>
        <v/>
      </c>
      <c r="AN19" s="94" t="str">
        <f>IF(preDEL!$AG19,IFERROR(0/0,""),preDEL!AN19)</f>
        <v/>
      </c>
      <c r="AO19" s="94" t="str">
        <f>IF(preDEL!$AG19,IFERROR(0/0,""),preDEL!AO19)</f>
        <v/>
      </c>
      <c r="AP19" s="94" t="str">
        <f>IF(preDEL!$AG19,IFERROR(0/0,""),preDEL!AP19)</f>
        <v/>
      </c>
      <c r="AQ19" s="94" t="str">
        <f>IF(preDEL!$AG19,IFERROR(0/0,""),preDEL!AQ19)</f>
        <v/>
      </c>
      <c r="AR19" s="94" t="str">
        <f>IF(preDEL!$AG19,IFERROR(0/0,""),preDEL!AR19)</f>
        <v/>
      </c>
      <c r="AS19" s="98"/>
      <c r="BE19" s="254"/>
      <c r="BF19" s="255"/>
      <c r="BG19" s="254"/>
      <c r="BH19" s="255"/>
      <c r="BI19" s="254"/>
      <c r="BJ19" s="254"/>
      <c r="BK19" s="254"/>
      <c r="BL19" s="254"/>
      <c r="BN19" s="7"/>
      <c r="BO19" s="7"/>
      <c r="BP19" s="7"/>
      <c r="BQ19" s="7"/>
      <c r="BR19" s="7"/>
      <c r="BS19" s="7"/>
      <c r="BT19" s="7"/>
    </row>
    <row r="20">
      <c r="A20" s="249" t="str">
        <f>IF(preDEL!$AG20,IFERROR(0/0,""),preDEL!A20)</f>
        <v/>
      </c>
      <c r="B20" s="250" t="str">
        <f>IF(preDEL!$AG20,IFERROR(0/0,""),preDEL!B20)</f>
        <v/>
      </c>
      <c r="C20" s="251" t="str">
        <f>IF(preDEL!$AG20,IFERROR(0/0,""),preDEL!C20)</f>
        <v/>
      </c>
      <c r="D20" s="249" t="str">
        <f>IF(preDEL!$AG20,IFERROR(0/0,""),preDEL!D20)</f>
        <v/>
      </c>
      <c r="E20" s="249" t="str">
        <f>IF(preDEL!$AG20,IFERROR(0/0,""),preDEL!E20)</f>
        <v/>
      </c>
      <c r="F20" s="94" t="str">
        <f>IF(preDEL!$AG20,IFERROR(0/0,""),preDEL!F20)</f>
        <v/>
      </c>
      <c r="G20" s="94" t="str">
        <f>IF(preDEL!$AG20,IFERROR(0/0,""),preDEL!G20)</f>
        <v/>
      </c>
      <c r="H20" s="94" t="str">
        <f>IF(preDEL!$AG20,IFERROR(0/0,""),preDEL!H20)</f>
        <v/>
      </c>
      <c r="I20" s="249" t="str">
        <f>IF(preDEL!$AG20,IFERROR(0/0,""),preDEL!I20)</f>
        <v/>
      </c>
      <c r="J20" s="249" t="str">
        <f>IF(preDEL!$AG20,IFERROR(0/0,""),preDEL!J20)</f>
        <v/>
      </c>
      <c r="K20" s="249" t="str">
        <f>IF(preDEL!$AG20,IFERROR(0/0,""),preDEL!K20)</f>
        <v/>
      </c>
      <c r="L20" s="250" t="str">
        <f>IF(preDEL!$AG20,IFERROR(0/0,""),preDEL!L20)</f>
        <v/>
      </c>
      <c r="M20" s="251" t="str">
        <f>IF(preDEL!$AG20,IFERROR(0/0,""),preDEL!M20)</f>
        <v/>
      </c>
      <c r="N20" s="94" t="str">
        <f>IF(preDEL!$AG20,IFERROR(0/0,""),preDEL!N20)</f>
        <v/>
      </c>
      <c r="O20" s="94" t="str">
        <f>IF(preDEL!$AG20,IFERROR(0/0,""),preDEL!O20)</f>
        <v/>
      </c>
      <c r="P20" s="93" t="str">
        <f>IF(preDEL!$AG20,IFERROR(0/0,""),preDEL!P20)</f>
        <v/>
      </c>
      <c r="Q20" s="93" t="str">
        <f>IF(preDEL!$AG20,IFERROR(0/0,""),preDEL!Q20)</f>
        <v/>
      </c>
      <c r="R20" s="99" t="str">
        <f>IF(preDEL!$AG20,IFERROR(0/0,""),preDEL!R20)</f>
        <v/>
      </c>
      <c r="S20" s="99" t="str">
        <f>IF(preDEL!$AG20,IFERROR(0/0,""),preDEL!S20)</f>
        <v/>
      </c>
      <c r="T20" s="93" t="str">
        <f>IF(preDEL!$AG20,IFERROR(0/0,""),preDEL!T20)</f>
        <v/>
      </c>
      <c r="U20" s="94" t="str">
        <f>IF(preDEL!$AG20,IFERROR(0/0,""),preDEL!U20)</f>
        <v/>
      </c>
      <c r="V20" s="249" t="str">
        <f>IF(preDEL!$AG20,IFERROR(0/0,""),preDEL!V20)</f>
        <v/>
      </c>
      <c r="W20" s="94" t="str">
        <f>IF(preDEL!$AG20,IFERROR(0/0,""),preDEL!W20)</f>
        <v/>
      </c>
      <c r="X20" s="99" t="str">
        <f>IF(preDEL!$AG20,IFERROR(0/0,""),preDEL!X20)</f>
        <v/>
      </c>
      <c r="Y20" s="93" t="str">
        <f>IF(preDEL!$AG20,IFERROR(0/0,""),preDEL!Y20)</f>
        <v/>
      </c>
      <c r="Z20" s="249" t="str">
        <f>IF(preDEL!$AG20,IFERROR(0/0,""),preDEL!Z20)</f>
        <v/>
      </c>
      <c r="AA20" s="93" t="str">
        <f>IF(preDEL!$AG20,IFERROR(0/0,""),preDEL!AA20)</f>
        <v/>
      </c>
      <c r="AB20" s="93" t="str">
        <f>IF(preDEL!$AG20,IFERROR(0/0,""),preDEL!AB20)</f>
        <v/>
      </c>
      <c r="AC20" s="252" t="str">
        <f>IF(preDEL!$AG20,IFERROR(0/0,""),preDEL!AC20)</f>
        <v/>
      </c>
      <c r="AD20" s="99" t="str">
        <f>IF(preDEL!$AG20,IFERROR(0/0,""),preDEL!AD20)</f>
        <v/>
      </c>
      <c r="AE20" s="253" t="str">
        <f>IF(preDEL!$AG20,IFERROR(0/0,""),preDEL!AE20)</f>
        <v/>
      </c>
      <c r="AF20" s="93" t="str">
        <f>IF(preDEL!$AG20,IFERROR(0/0,""),preDEL!AF20)</f>
        <v/>
      </c>
      <c r="AG20" s="93" t="str">
        <f>IF(preDEL!$AG20,IFERROR(0/0,""),preDEL!AG20)</f>
        <v/>
      </c>
      <c r="AH20" s="99" t="str">
        <f>IF(preDEL!$AG20,IFERROR(0/0,""),preDEL!AH20)</f>
        <v/>
      </c>
      <c r="AI20" s="249" t="str">
        <f>IF(preDEL!$AG20,IFERROR(0/0,""),preDEL!AI20)</f>
        <v/>
      </c>
      <c r="AJ20" s="94" t="str">
        <f>IF(preDEL!$AG20,IFERROR(0/0,""),preDEL!AJ20)</f>
        <v/>
      </c>
      <c r="AK20" s="249" t="str">
        <f>IF(preDEL!$AG20,IFERROR(0/0,""),preDEL!AK20)</f>
        <v/>
      </c>
      <c r="AL20" s="94" t="str">
        <f>IF(preDEL!$AG20,IFERROR(0/0,""),preDEL!AL20)</f>
        <v/>
      </c>
      <c r="AM20" s="94" t="str">
        <f>IF(preDEL!$AG20,IFERROR(0/0,""),preDEL!AM20)</f>
        <v/>
      </c>
      <c r="AN20" s="94" t="str">
        <f>IF(preDEL!$AG20,IFERROR(0/0,""),preDEL!AN20)</f>
        <v/>
      </c>
      <c r="AO20" s="94" t="str">
        <f>IF(preDEL!$AG20,IFERROR(0/0,""),preDEL!AO20)</f>
        <v/>
      </c>
      <c r="AP20" s="94" t="str">
        <f>IF(preDEL!$AG20,IFERROR(0/0,""),preDEL!AP20)</f>
        <v/>
      </c>
      <c r="AQ20" s="94" t="str">
        <f>IF(preDEL!$AG20,IFERROR(0/0,""),preDEL!AQ20)</f>
        <v/>
      </c>
      <c r="AR20" s="94" t="str">
        <f>IF(preDEL!$AG20,IFERROR(0/0,""),preDEL!AR20)</f>
        <v/>
      </c>
      <c r="AS20" s="98"/>
      <c r="BE20" s="254"/>
      <c r="BF20" s="255"/>
      <c r="BG20" s="254"/>
      <c r="BH20" s="255"/>
      <c r="BI20" s="254"/>
      <c r="BJ20" s="254"/>
      <c r="BK20" s="254"/>
      <c r="BL20" s="254"/>
      <c r="BN20" s="7"/>
      <c r="BO20" s="7"/>
      <c r="BP20" s="7"/>
      <c r="BQ20" s="7"/>
      <c r="BR20" s="7"/>
      <c r="BS20" s="7"/>
      <c r="BT20" s="7"/>
    </row>
    <row r="21">
      <c r="A21" s="249" t="str">
        <f>IF(preDEL!$AG21,IFERROR(0/0,""),preDEL!A21)</f>
        <v/>
      </c>
      <c r="B21" s="250" t="str">
        <f>IF(preDEL!$AG21,IFERROR(0/0,""),preDEL!B21)</f>
        <v/>
      </c>
      <c r="C21" s="251" t="str">
        <f>IF(preDEL!$AG21,IFERROR(0/0,""),preDEL!C21)</f>
        <v/>
      </c>
      <c r="D21" s="249" t="str">
        <f>IF(preDEL!$AG21,IFERROR(0/0,""),preDEL!D21)</f>
        <v/>
      </c>
      <c r="E21" s="249" t="str">
        <f>IF(preDEL!$AG21,IFERROR(0/0,""),preDEL!E21)</f>
        <v/>
      </c>
      <c r="F21" s="94" t="str">
        <f>IF(preDEL!$AG21,IFERROR(0/0,""),preDEL!F21)</f>
        <v/>
      </c>
      <c r="G21" s="94" t="str">
        <f>IF(preDEL!$AG21,IFERROR(0/0,""),preDEL!G21)</f>
        <v/>
      </c>
      <c r="H21" s="94" t="str">
        <f>IF(preDEL!$AG21,IFERROR(0/0,""),preDEL!H21)</f>
        <v/>
      </c>
      <c r="I21" s="249" t="str">
        <f>IF(preDEL!$AG21,IFERROR(0/0,""),preDEL!I21)</f>
        <v/>
      </c>
      <c r="J21" s="249" t="str">
        <f>IF(preDEL!$AG21,IFERROR(0/0,""),preDEL!J21)</f>
        <v/>
      </c>
      <c r="K21" s="249" t="str">
        <f>IF(preDEL!$AG21,IFERROR(0/0,""),preDEL!K21)</f>
        <v/>
      </c>
      <c r="L21" s="250" t="str">
        <f>IF(preDEL!$AG21,IFERROR(0/0,""),preDEL!L21)</f>
        <v/>
      </c>
      <c r="M21" s="251" t="str">
        <f>IF(preDEL!$AG21,IFERROR(0/0,""),preDEL!M21)</f>
        <v/>
      </c>
      <c r="N21" s="94" t="str">
        <f>IF(preDEL!$AG21,IFERROR(0/0,""),preDEL!N21)</f>
        <v/>
      </c>
      <c r="O21" s="94" t="str">
        <f>IF(preDEL!$AG21,IFERROR(0/0,""),preDEL!O21)</f>
        <v/>
      </c>
      <c r="P21" s="93" t="str">
        <f>IF(preDEL!$AG21,IFERROR(0/0,""),preDEL!P21)</f>
        <v/>
      </c>
      <c r="Q21" s="93" t="str">
        <f>IF(preDEL!$AG21,IFERROR(0/0,""),preDEL!Q21)</f>
        <v/>
      </c>
      <c r="R21" s="99" t="str">
        <f>IF(preDEL!$AG21,IFERROR(0/0,""),preDEL!R21)</f>
        <v/>
      </c>
      <c r="S21" s="99" t="str">
        <f>IF(preDEL!$AG21,IFERROR(0/0,""),preDEL!S21)</f>
        <v/>
      </c>
      <c r="T21" s="93" t="str">
        <f>IF(preDEL!$AG21,IFERROR(0/0,""),preDEL!T21)</f>
        <v/>
      </c>
      <c r="U21" s="94" t="str">
        <f>IF(preDEL!$AG21,IFERROR(0/0,""),preDEL!U21)</f>
        <v/>
      </c>
      <c r="V21" s="249" t="str">
        <f>IF(preDEL!$AG21,IFERROR(0/0,""),preDEL!V21)</f>
        <v/>
      </c>
      <c r="W21" s="94" t="str">
        <f>IF(preDEL!$AG21,IFERROR(0/0,""),preDEL!W21)</f>
        <v/>
      </c>
      <c r="X21" s="99" t="str">
        <f>IF(preDEL!$AG21,IFERROR(0/0,""),preDEL!X21)</f>
        <v/>
      </c>
      <c r="Y21" s="93" t="str">
        <f>IF(preDEL!$AG21,IFERROR(0/0,""),preDEL!Y21)</f>
        <v/>
      </c>
      <c r="Z21" s="249" t="str">
        <f>IF(preDEL!$AG21,IFERROR(0/0,""),preDEL!Z21)</f>
        <v/>
      </c>
      <c r="AA21" s="93" t="str">
        <f>IF(preDEL!$AG21,IFERROR(0/0,""),preDEL!AA21)</f>
        <v/>
      </c>
      <c r="AB21" s="93" t="str">
        <f>IF(preDEL!$AG21,IFERROR(0/0,""),preDEL!AB21)</f>
        <v/>
      </c>
      <c r="AC21" s="252" t="str">
        <f>IF(preDEL!$AG21,IFERROR(0/0,""),preDEL!AC21)</f>
        <v/>
      </c>
      <c r="AD21" s="99" t="str">
        <f>IF(preDEL!$AG21,IFERROR(0/0,""),preDEL!AD21)</f>
        <v/>
      </c>
      <c r="AE21" s="253" t="str">
        <f>IF(preDEL!$AG21,IFERROR(0/0,""),preDEL!AE21)</f>
        <v/>
      </c>
      <c r="AF21" s="93" t="str">
        <f>IF(preDEL!$AG21,IFERROR(0/0,""),preDEL!AF21)</f>
        <v/>
      </c>
      <c r="AG21" s="93" t="str">
        <f>IF(preDEL!$AG21,IFERROR(0/0,""),preDEL!AG21)</f>
        <v/>
      </c>
      <c r="AH21" s="99" t="str">
        <f>IF(preDEL!$AG21,IFERROR(0/0,""),preDEL!AH21)</f>
        <v/>
      </c>
      <c r="AI21" s="249" t="str">
        <f>IF(preDEL!$AG21,IFERROR(0/0,""),preDEL!AI21)</f>
        <v/>
      </c>
      <c r="AJ21" s="94" t="str">
        <f>IF(preDEL!$AG21,IFERROR(0/0,""),preDEL!AJ21)</f>
        <v/>
      </c>
      <c r="AK21" s="249" t="str">
        <f>IF(preDEL!$AG21,IFERROR(0/0,""),preDEL!AK21)</f>
        <v/>
      </c>
      <c r="AL21" s="94" t="str">
        <f>IF(preDEL!$AG21,IFERROR(0/0,""),preDEL!AL21)</f>
        <v/>
      </c>
      <c r="AM21" s="94" t="str">
        <f>IF(preDEL!$AG21,IFERROR(0/0,""),preDEL!AM21)</f>
        <v/>
      </c>
      <c r="AN21" s="94" t="str">
        <f>IF(preDEL!$AG21,IFERROR(0/0,""),preDEL!AN21)</f>
        <v/>
      </c>
      <c r="AO21" s="94" t="str">
        <f>IF(preDEL!$AG21,IFERROR(0/0,""),preDEL!AO21)</f>
        <v/>
      </c>
      <c r="AP21" s="94" t="str">
        <f>IF(preDEL!$AG21,IFERROR(0/0,""),preDEL!AP21)</f>
        <v/>
      </c>
      <c r="AQ21" s="94" t="str">
        <f>IF(preDEL!$AG21,IFERROR(0/0,""),preDEL!AQ21)</f>
        <v/>
      </c>
      <c r="AR21" s="94" t="str">
        <f>IF(preDEL!$AG21,IFERROR(0/0,""),preDEL!AR21)</f>
        <v/>
      </c>
      <c r="AS21" s="98"/>
      <c r="BE21" s="254"/>
      <c r="BF21" s="255"/>
      <c r="BG21" s="254"/>
      <c r="BH21" s="255"/>
      <c r="BI21" s="254"/>
      <c r="BJ21" s="254"/>
      <c r="BK21" s="254"/>
      <c r="BL21" s="254"/>
      <c r="BN21" s="7"/>
      <c r="BO21" s="7"/>
      <c r="BP21" s="7"/>
      <c r="BQ21" s="7"/>
      <c r="BR21" s="7"/>
      <c r="BS21" s="7"/>
      <c r="BT21" s="7"/>
    </row>
    <row r="22">
      <c r="A22" s="249" t="str">
        <f>IF(preDEL!$AG22,IFERROR(0/0,""),preDEL!A22)</f>
        <v/>
      </c>
      <c r="B22" s="250" t="str">
        <f>IF(preDEL!$AG22,IFERROR(0/0,""),preDEL!B22)</f>
        <v/>
      </c>
      <c r="C22" s="251" t="str">
        <f>IF(preDEL!$AG22,IFERROR(0/0,""),preDEL!C22)</f>
        <v/>
      </c>
      <c r="D22" s="249" t="str">
        <f>IF(preDEL!$AG22,IFERROR(0/0,""),preDEL!D22)</f>
        <v/>
      </c>
      <c r="E22" s="249" t="str">
        <f>IF(preDEL!$AG22,IFERROR(0/0,""),preDEL!E22)</f>
        <v/>
      </c>
      <c r="F22" s="94" t="str">
        <f>IF(preDEL!$AG22,IFERROR(0/0,""),preDEL!F22)</f>
        <v/>
      </c>
      <c r="G22" s="94" t="str">
        <f>IF(preDEL!$AG22,IFERROR(0/0,""),preDEL!G22)</f>
        <v/>
      </c>
      <c r="H22" s="94" t="str">
        <f>IF(preDEL!$AG22,IFERROR(0/0,""),preDEL!H22)</f>
        <v/>
      </c>
      <c r="I22" s="249" t="str">
        <f>IF(preDEL!$AG22,IFERROR(0/0,""),preDEL!I22)</f>
        <v/>
      </c>
      <c r="J22" s="249" t="str">
        <f>IF(preDEL!$AG22,IFERROR(0/0,""),preDEL!J22)</f>
        <v/>
      </c>
      <c r="K22" s="249" t="str">
        <f>IF(preDEL!$AG22,IFERROR(0/0,""),preDEL!K22)</f>
        <v/>
      </c>
      <c r="L22" s="250" t="str">
        <f>IF(preDEL!$AG22,IFERROR(0/0,""),preDEL!L22)</f>
        <v/>
      </c>
      <c r="M22" s="251" t="str">
        <f>IF(preDEL!$AG22,IFERROR(0/0,""),preDEL!M22)</f>
        <v/>
      </c>
      <c r="N22" s="94" t="str">
        <f>IF(preDEL!$AG22,IFERROR(0/0,""),preDEL!N22)</f>
        <v/>
      </c>
      <c r="O22" s="94" t="str">
        <f>IF(preDEL!$AG22,IFERROR(0/0,""),preDEL!O22)</f>
        <v/>
      </c>
      <c r="P22" s="93" t="str">
        <f>IF(preDEL!$AG22,IFERROR(0/0,""),preDEL!P22)</f>
        <v/>
      </c>
      <c r="Q22" s="93" t="str">
        <f>IF(preDEL!$AG22,IFERROR(0/0,""),preDEL!Q22)</f>
        <v/>
      </c>
      <c r="R22" s="99" t="str">
        <f>IF(preDEL!$AG22,IFERROR(0/0,""),preDEL!R22)</f>
        <v/>
      </c>
      <c r="S22" s="99" t="str">
        <f>IF(preDEL!$AG22,IFERROR(0/0,""),preDEL!S22)</f>
        <v/>
      </c>
      <c r="T22" s="93" t="str">
        <f>IF(preDEL!$AG22,IFERROR(0/0,""),preDEL!T22)</f>
        <v/>
      </c>
      <c r="U22" s="94" t="str">
        <f>IF(preDEL!$AG22,IFERROR(0/0,""),preDEL!U22)</f>
        <v/>
      </c>
      <c r="V22" s="249" t="str">
        <f>IF(preDEL!$AG22,IFERROR(0/0,""),preDEL!V22)</f>
        <v/>
      </c>
      <c r="W22" s="94" t="str">
        <f>IF(preDEL!$AG22,IFERROR(0/0,""),preDEL!W22)</f>
        <v/>
      </c>
      <c r="X22" s="99" t="str">
        <f>IF(preDEL!$AG22,IFERROR(0/0,""),preDEL!X22)</f>
        <v/>
      </c>
      <c r="Y22" s="93" t="str">
        <f>IF(preDEL!$AG22,IFERROR(0/0,""),preDEL!Y22)</f>
        <v/>
      </c>
      <c r="Z22" s="249" t="str">
        <f>IF(preDEL!$AG22,IFERROR(0/0,""),preDEL!Z22)</f>
        <v/>
      </c>
      <c r="AA22" s="93" t="str">
        <f>IF(preDEL!$AG22,IFERROR(0/0,""),preDEL!AA22)</f>
        <v/>
      </c>
      <c r="AB22" s="93" t="str">
        <f>IF(preDEL!$AG22,IFERROR(0/0,""),preDEL!AB22)</f>
        <v/>
      </c>
      <c r="AC22" s="252" t="str">
        <f>IF(preDEL!$AG22,IFERROR(0/0,""),preDEL!AC22)</f>
        <v/>
      </c>
      <c r="AD22" s="99" t="str">
        <f>IF(preDEL!$AG22,IFERROR(0/0,""),preDEL!AD22)</f>
        <v/>
      </c>
      <c r="AE22" s="253" t="str">
        <f>IF(preDEL!$AG22,IFERROR(0/0,""),preDEL!AE22)</f>
        <v/>
      </c>
      <c r="AF22" s="93" t="str">
        <f>IF(preDEL!$AG22,IFERROR(0/0,""),preDEL!AF22)</f>
        <v/>
      </c>
      <c r="AG22" s="93" t="str">
        <f>IF(preDEL!$AG22,IFERROR(0/0,""),preDEL!AG22)</f>
        <v/>
      </c>
      <c r="AH22" s="99" t="str">
        <f>IF(preDEL!$AG22,IFERROR(0/0,""),preDEL!AH22)</f>
        <v/>
      </c>
      <c r="AI22" s="249" t="str">
        <f>IF(preDEL!$AG22,IFERROR(0/0,""),preDEL!AI22)</f>
        <v/>
      </c>
      <c r="AJ22" s="94" t="str">
        <f>IF(preDEL!$AG22,IFERROR(0/0,""),preDEL!AJ22)</f>
        <v/>
      </c>
      <c r="AK22" s="249" t="str">
        <f>IF(preDEL!$AG22,IFERROR(0/0,""),preDEL!AK22)</f>
        <v/>
      </c>
      <c r="AL22" s="94" t="str">
        <f>IF(preDEL!$AG22,IFERROR(0/0,""),preDEL!AL22)</f>
        <v/>
      </c>
      <c r="AM22" s="94" t="str">
        <f>IF(preDEL!$AG22,IFERROR(0/0,""),preDEL!AM22)</f>
        <v/>
      </c>
      <c r="AN22" s="94" t="str">
        <f>IF(preDEL!$AG22,IFERROR(0/0,""),preDEL!AN22)</f>
        <v/>
      </c>
      <c r="AO22" s="94" t="str">
        <f>IF(preDEL!$AG22,IFERROR(0/0,""),preDEL!AO22)</f>
        <v/>
      </c>
      <c r="AP22" s="94" t="str">
        <f>IF(preDEL!$AG22,IFERROR(0/0,""),preDEL!AP22)</f>
        <v/>
      </c>
      <c r="AQ22" s="94" t="str">
        <f>IF(preDEL!$AG22,IFERROR(0/0,""),preDEL!AQ22)</f>
        <v/>
      </c>
      <c r="AR22" s="94" t="str">
        <f>IF(preDEL!$AG22,IFERROR(0/0,""),preDEL!AR22)</f>
        <v/>
      </c>
      <c r="AS22" s="98"/>
      <c r="BE22" s="254"/>
      <c r="BF22" s="255"/>
      <c r="BG22" s="254"/>
      <c r="BH22" s="255"/>
      <c r="BI22" s="254"/>
      <c r="BJ22" s="254"/>
      <c r="BK22" s="254"/>
      <c r="BL22" s="254"/>
      <c r="BN22" s="7"/>
      <c r="BO22" s="7"/>
      <c r="BP22" s="7"/>
      <c r="BQ22" s="7"/>
      <c r="BR22" s="7"/>
      <c r="BS22" s="7"/>
      <c r="BT22" s="7"/>
    </row>
    <row r="23">
      <c r="A23" s="249" t="str">
        <f>IF(preDEL!$AG23,IFERROR(0/0,""),preDEL!A23)</f>
        <v/>
      </c>
      <c r="B23" s="250" t="str">
        <f>IF(preDEL!$AG23,IFERROR(0/0,""),preDEL!B23)</f>
        <v/>
      </c>
      <c r="C23" s="251" t="str">
        <f>IF(preDEL!$AG23,IFERROR(0/0,""),preDEL!C23)</f>
        <v/>
      </c>
      <c r="D23" s="249" t="str">
        <f>IF(preDEL!$AG23,IFERROR(0/0,""),preDEL!D23)</f>
        <v/>
      </c>
      <c r="E23" s="249" t="str">
        <f>IF(preDEL!$AG23,IFERROR(0/0,""),preDEL!E23)</f>
        <v/>
      </c>
      <c r="F23" s="94" t="str">
        <f>IF(preDEL!$AG23,IFERROR(0/0,""),preDEL!F23)</f>
        <v/>
      </c>
      <c r="G23" s="94" t="str">
        <f>IF(preDEL!$AG23,IFERROR(0/0,""),preDEL!G23)</f>
        <v/>
      </c>
      <c r="H23" s="94" t="str">
        <f>IF(preDEL!$AG23,IFERROR(0/0,""),preDEL!H23)</f>
        <v/>
      </c>
      <c r="I23" s="249" t="str">
        <f>IF(preDEL!$AG23,IFERROR(0/0,""),preDEL!I23)</f>
        <v/>
      </c>
      <c r="J23" s="249" t="str">
        <f>IF(preDEL!$AG23,IFERROR(0/0,""),preDEL!J23)</f>
        <v/>
      </c>
      <c r="K23" s="249" t="str">
        <f>IF(preDEL!$AG23,IFERROR(0/0,""),preDEL!K23)</f>
        <v/>
      </c>
      <c r="L23" s="250" t="str">
        <f>IF(preDEL!$AG23,IFERROR(0/0,""),preDEL!L23)</f>
        <v/>
      </c>
      <c r="M23" s="251" t="str">
        <f>IF(preDEL!$AG23,IFERROR(0/0,""),preDEL!M23)</f>
        <v/>
      </c>
      <c r="N23" s="94" t="str">
        <f>IF(preDEL!$AG23,IFERROR(0/0,""),preDEL!N23)</f>
        <v/>
      </c>
      <c r="O23" s="94" t="str">
        <f>IF(preDEL!$AG23,IFERROR(0/0,""),preDEL!O23)</f>
        <v/>
      </c>
      <c r="P23" s="93" t="str">
        <f>IF(preDEL!$AG23,IFERROR(0/0,""),preDEL!P23)</f>
        <v/>
      </c>
      <c r="Q23" s="93" t="str">
        <f>IF(preDEL!$AG23,IFERROR(0/0,""),preDEL!Q23)</f>
        <v/>
      </c>
      <c r="R23" s="99" t="str">
        <f>IF(preDEL!$AG23,IFERROR(0/0,""),preDEL!R23)</f>
        <v/>
      </c>
      <c r="S23" s="99" t="str">
        <f>IF(preDEL!$AG23,IFERROR(0/0,""),preDEL!S23)</f>
        <v/>
      </c>
      <c r="T23" s="93" t="str">
        <f>IF(preDEL!$AG23,IFERROR(0/0,""),preDEL!T23)</f>
        <v/>
      </c>
      <c r="U23" s="94" t="str">
        <f>IF(preDEL!$AG23,IFERROR(0/0,""),preDEL!U23)</f>
        <v/>
      </c>
      <c r="V23" s="249" t="str">
        <f>IF(preDEL!$AG23,IFERROR(0/0,""),preDEL!V23)</f>
        <v/>
      </c>
      <c r="W23" s="94" t="str">
        <f>IF(preDEL!$AG23,IFERROR(0/0,""),preDEL!W23)</f>
        <v/>
      </c>
      <c r="X23" s="99" t="str">
        <f>IF(preDEL!$AG23,IFERROR(0/0,""),preDEL!X23)</f>
        <v/>
      </c>
      <c r="Y23" s="93" t="str">
        <f>IF(preDEL!$AG23,IFERROR(0/0,""),preDEL!Y23)</f>
        <v/>
      </c>
      <c r="Z23" s="249" t="str">
        <f>IF(preDEL!$AG23,IFERROR(0/0,""),preDEL!Z23)</f>
        <v/>
      </c>
      <c r="AA23" s="93" t="str">
        <f>IF(preDEL!$AG23,IFERROR(0/0,""),preDEL!AA23)</f>
        <v/>
      </c>
      <c r="AB23" s="93" t="str">
        <f>IF(preDEL!$AG23,IFERROR(0/0,""),preDEL!AB23)</f>
        <v/>
      </c>
      <c r="AC23" s="252" t="str">
        <f>IF(preDEL!$AG23,IFERROR(0/0,""),preDEL!AC23)</f>
        <v/>
      </c>
      <c r="AD23" s="99" t="str">
        <f>IF(preDEL!$AG23,IFERROR(0/0,""),preDEL!AD23)</f>
        <v/>
      </c>
      <c r="AE23" s="253" t="str">
        <f>IF(preDEL!$AG23,IFERROR(0/0,""),preDEL!AE23)</f>
        <v/>
      </c>
      <c r="AF23" s="93" t="str">
        <f>IF(preDEL!$AG23,IFERROR(0/0,""),preDEL!AF23)</f>
        <v/>
      </c>
      <c r="AG23" s="93" t="str">
        <f>IF(preDEL!$AG23,IFERROR(0/0,""),preDEL!AG23)</f>
        <v/>
      </c>
      <c r="AH23" s="99" t="str">
        <f>IF(preDEL!$AG23,IFERROR(0/0,""),preDEL!AH23)</f>
        <v/>
      </c>
      <c r="AI23" s="249" t="str">
        <f>IF(preDEL!$AG23,IFERROR(0/0,""),preDEL!AI23)</f>
        <v/>
      </c>
      <c r="AJ23" s="94" t="str">
        <f>IF(preDEL!$AG23,IFERROR(0/0,""),preDEL!AJ23)</f>
        <v/>
      </c>
      <c r="AK23" s="249" t="str">
        <f>IF(preDEL!$AG23,IFERROR(0/0,""),preDEL!AK23)</f>
        <v/>
      </c>
      <c r="AL23" s="94" t="str">
        <f>IF(preDEL!$AG23,IFERROR(0/0,""),preDEL!AL23)</f>
        <v/>
      </c>
      <c r="AM23" s="94" t="str">
        <f>IF(preDEL!$AG23,IFERROR(0/0,""),preDEL!AM23)</f>
        <v/>
      </c>
      <c r="AN23" s="94" t="str">
        <f>IF(preDEL!$AG23,IFERROR(0/0,""),preDEL!AN23)</f>
        <v/>
      </c>
      <c r="AO23" s="94" t="str">
        <f>IF(preDEL!$AG23,IFERROR(0/0,""),preDEL!AO23)</f>
        <v/>
      </c>
      <c r="AP23" s="94" t="str">
        <f>IF(preDEL!$AG23,IFERROR(0/0,""),preDEL!AP23)</f>
        <v/>
      </c>
      <c r="AQ23" s="94" t="str">
        <f>IF(preDEL!$AG23,IFERROR(0/0,""),preDEL!AQ23)</f>
        <v/>
      </c>
      <c r="AR23" s="94" t="str">
        <f>IF(preDEL!$AG23,IFERROR(0/0,""),preDEL!AR23)</f>
        <v/>
      </c>
      <c r="AS23" s="98"/>
      <c r="BE23" s="254"/>
      <c r="BF23" s="255"/>
      <c r="BG23" s="254"/>
      <c r="BH23" s="255"/>
      <c r="BI23" s="254"/>
      <c r="BJ23" s="254"/>
      <c r="BK23" s="254"/>
      <c r="BL23" s="254"/>
      <c r="BN23" s="7"/>
      <c r="BO23" s="7"/>
      <c r="BP23" s="7"/>
      <c r="BQ23" s="7"/>
      <c r="BR23" s="7"/>
      <c r="BS23" s="7"/>
      <c r="BT23" s="7"/>
    </row>
    <row r="24">
      <c r="A24" s="249" t="str">
        <f>IF(preDEL!$AG24,IFERROR(0/0,""),preDEL!A24)</f>
        <v/>
      </c>
      <c r="B24" s="250" t="str">
        <f>IF(preDEL!$AG24,IFERROR(0/0,""),preDEL!B24)</f>
        <v/>
      </c>
      <c r="C24" s="251" t="str">
        <f>IF(preDEL!$AG24,IFERROR(0/0,""),preDEL!C24)</f>
        <v/>
      </c>
      <c r="D24" s="249" t="str">
        <f>IF(preDEL!$AG24,IFERROR(0/0,""),preDEL!D24)</f>
        <v/>
      </c>
      <c r="E24" s="249" t="str">
        <f>IF(preDEL!$AG24,IFERROR(0/0,""),preDEL!E24)</f>
        <v/>
      </c>
      <c r="F24" s="94" t="str">
        <f>IF(preDEL!$AG24,IFERROR(0/0,""),preDEL!F24)</f>
        <v/>
      </c>
      <c r="G24" s="94" t="str">
        <f>IF(preDEL!$AG24,IFERROR(0/0,""),preDEL!G24)</f>
        <v/>
      </c>
      <c r="H24" s="94" t="str">
        <f>IF(preDEL!$AG24,IFERROR(0/0,""),preDEL!H24)</f>
        <v/>
      </c>
      <c r="I24" s="249" t="str">
        <f>IF(preDEL!$AG24,IFERROR(0/0,""),preDEL!I24)</f>
        <v/>
      </c>
      <c r="J24" s="249" t="str">
        <f>IF(preDEL!$AG24,IFERROR(0/0,""),preDEL!J24)</f>
        <v/>
      </c>
      <c r="K24" s="249" t="str">
        <f>IF(preDEL!$AG24,IFERROR(0/0,""),preDEL!K24)</f>
        <v/>
      </c>
      <c r="L24" s="250" t="str">
        <f>IF(preDEL!$AG24,IFERROR(0/0,""),preDEL!L24)</f>
        <v/>
      </c>
      <c r="M24" s="251" t="str">
        <f>IF(preDEL!$AG24,IFERROR(0/0,""),preDEL!M24)</f>
        <v/>
      </c>
      <c r="N24" s="94" t="str">
        <f>IF(preDEL!$AG24,IFERROR(0/0,""),preDEL!N24)</f>
        <v/>
      </c>
      <c r="O24" s="94" t="str">
        <f>IF(preDEL!$AG24,IFERROR(0/0,""),preDEL!O24)</f>
        <v/>
      </c>
      <c r="P24" s="93" t="str">
        <f>IF(preDEL!$AG24,IFERROR(0/0,""),preDEL!P24)</f>
        <v/>
      </c>
      <c r="Q24" s="93" t="str">
        <f>IF(preDEL!$AG24,IFERROR(0/0,""),preDEL!Q24)</f>
        <v/>
      </c>
      <c r="R24" s="99" t="str">
        <f>IF(preDEL!$AG24,IFERROR(0/0,""),preDEL!R24)</f>
        <v/>
      </c>
      <c r="S24" s="99" t="str">
        <f>IF(preDEL!$AG24,IFERROR(0/0,""),preDEL!S24)</f>
        <v/>
      </c>
      <c r="T24" s="93" t="str">
        <f>IF(preDEL!$AG24,IFERROR(0/0,""),preDEL!T24)</f>
        <v/>
      </c>
      <c r="U24" s="94" t="str">
        <f>IF(preDEL!$AG24,IFERROR(0/0,""),preDEL!U24)</f>
        <v/>
      </c>
      <c r="V24" s="249" t="str">
        <f>IF(preDEL!$AG24,IFERROR(0/0,""),preDEL!V24)</f>
        <v/>
      </c>
      <c r="W24" s="94" t="str">
        <f>IF(preDEL!$AG24,IFERROR(0/0,""),preDEL!W24)</f>
        <v/>
      </c>
      <c r="X24" s="99" t="str">
        <f>IF(preDEL!$AG24,IFERROR(0/0,""),preDEL!X24)</f>
        <v/>
      </c>
      <c r="Y24" s="93" t="str">
        <f>IF(preDEL!$AG24,IFERROR(0/0,""),preDEL!Y24)</f>
        <v/>
      </c>
      <c r="Z24" s="249" t="str">
        <f>IF(preDEL!$AG24,IFERROR(0/0,""),preDEL!Z24)</f>
        <v/>
      </c>
      <c r="AA24" s="93" t="str">
        <f>IF(preDEL!$AG24,IFERROR(0/0,""),preDEL!AA24)</f>
        <v/>
      </c>
      <c r="AB24" s="93" t="str">
        <f>IF(preDEL!$AG24,IFERROR(0/0,""),preDEL!AB24)</f>
        <v/>
      </c>
      <c r="AC24" s="252" t="str">
        <f>IF(preDEL!$AG24,IFERROR(0/0,""),preDEL!AC24)</f>
        <v/>
      </c>
      <c r="AD24" s="99" t="str">
        <f>IF(preDEL!$AG24,IFERROR(0/0,""),preDEL!AD24)</f>
        <v/>
      </c>
      <c r="AE24" s="253" t="str">
        <f>IF(preDEL!$AG24,IFERROR(0/0,""),preDEL!AE24)</f>
        <v/>
      </c>
      <c r="AF24" s="93" t="str">
        <f>IF(preDEL!$AG24,IFERROR(0/0,""),preDEL!AF24)</f>
        <v/>
      </c>
      <c r="AG24" s="93" t="str">
        <f>IF(preDEL!$AG24,IFERROR(0/0,""),preDEL!AG24)</f>
        <v/>
      </c>
      <c r="AH24" s="99" t="str">
        <f>IF(preDEL!$AG24,IFERROR(0/0,""),preDEL!AH24)</f>
        <v/>
      </c>
      <c r="AI24" s="249" t="str">
        <f>IF(preDEL!$AG24,IFERROR(0/0,""),preDEL!AI24)</f>
        <v/>
      </c>
      <c r="AJ24" s="94" t="str">
        <f>IF(preDEL!$AG24,IFERROR(0/0,""),preDEL!AJ24)</f>
        <v/>
      </c>
      <c r="AK24" s="249" t="str">
        <f>IF(preDEL!$AG24,IFERROR(0/0,""),preDEL!AK24)</f>
        <v/>
      </c>
      <c r="AL24" s="94" t="str">
        <f>IF(preDEL!$AG24,IFERROR(0/0,""),preDEL!AL24)</f>
        <v/>
      </c>
      <c r="AM24" s="94" t="str">
        <f>IF(preDEL!$AG24,IFERROR(0/0,""),preDEL!AM24)</f>
        <v/>
      </c>
      <c r="AN24" s="94" t="str">
        <f>IF(preDEL!$AG24,IFERROR(0/0,""),preDEL!AN24)</f>
        <v/>
      </c>
      <c r="AO24" s="94" t="str">
        <f>IF(preDEL!$AG24,IFERROR(0/0,""),preDEL!AO24)</f>
        <v/>
      </c>
      <c r="AP24" s="94" t="str">
        <f>IF(preDEL!$AG24,IFERROR(0/0,""),preDEL!AP24)</f>
        <v/>
      </c>
      <c r="AQ24" s="94" t="str">
        <f>IF(preDEL!$AG24,IFERROR(0/0,""),preDEL!AQ24)</f>
        <v/>
      </c>
      <c r="AR24" s="94" t="str">
        <f>IF(preDEL!$AG24,IFERROR(0/0,""),preDEL!AR24)</f>
        <v/>
      </c>
      <c r="AS24" s="98"/>
      <c r="BE24" s="254"/>
      <c r="BF24" s="255"/>
      <c r="BG24" s="254"/>
      <c r="BH24" s="255"/>
      <c r="BI24" s="254"/>
      <c r="BJ24" s="254"/>
      <c r="BK24" s="254"/>
      <c r="BL24" s="254"/>
      <c r="BN24" s="7"/>
      <c r="BO24" s="7"/>
      <c r="BP24" s="7"/>
      <c r="BQ24" s="7"/>
      <c r="BR24" s="7"/>
      <c r="BS24" s="7"/>
      <c r="BT24" s="7"/>
    </row>
    <row r="25">
      <c r="A25" s="249" t="str">
        <f>IF(preDEL!$AG25,IFERROR(0/0,""),preDEL!A25)</f>
        <v/>
      </c>
      <c r="B25" s="250" t="str">
        <f>IF(preDEL!$AG25,IFERROR(0/0,""),preDEL!B25)</f>
        <v/>
      </c>
      <c r="C25" s="251" t="str">
        <f>IF(preDEL!$AG25,IFERROR(0/0,""),preDEL!C25)</f>
        <v/>
      </c>
      <c r="D25" s="249" t="str">
        <f>IF(preDEL!$AG25,IFERROR(0/0,""),preDEL!D25)</f>
        <v/>
      </c>
      <c r="E25" s="249" t="str">
        <f>IF(preDEL!$AG25,IFERROR(0/0,""),preDEL!E25)</f>
        <v/>
      </c>
      <c r="F25" s="94" t="str">
        <f>IF(preDEL!$AG25,IFERROR(0/0,""),preDEL!F25)</f>
        <v/>
      </c>
      <c r="G25" s="94" t="str">
        <f>IF(preDEL!$AG25,IFERROR(0/0,""),preDEL!G25)</f>
        <v/>
      </c>
      <c r="H25" s="94" t="str">
        <f>IF(preDEL!$AG25,IFERROR(0/0,""),preDEL!H25)</f>
        <v/>
      </c>
      <c r="I25" s="249" t="str">
        <f>IF(preDEL!$AG25,IFERROR(0/0,""),preDEL!I25)</f>
        <v/>
      </c>
      <c r="J25" s="249" t="str">
        <f>IF(preDEL!$AG25,IFERROR(0/0,""),preDEL!J25)</f>
        <v/>
      </c>
      <c r="K25" s="249" t="str">
        <f>IF(preDEL!$AG25,IFERROR(0/0,""),preDEL!K25)</f>
        <v/>
      </c>
      <c r="L25" s="250" t="str">
        <f>IF(preDEL!$AG25,IFERROR(0/0,""),preDEL!L25)</f>
        <v/>
      </c>
      <c r="M25" s="251" t="str">
        <f>IF(preDEL!$AG25,IFERROR(0/0,""),preDEL!M25)</f>
        <v/>
      </c>
      <c r="N25" s="94" t="str">
        <f>IF(preDEL!$AG25,IFERROR(0/0,""),preDEL!N25)</f>
        <v/>
      </c>
      <c r="O25" s="94" t="str">
        <f>IF(preDEL!$AG25,IFERROR(0/0,""),preDEL!O25)</f>
        <v/>
      </c>
      <c r="P25" s="93" t="str">
        <f>IF(preDEL!$AG25,IFERROR(0/0,""),preDEL!P25)</f>
        <v/>
      </c>
      <c r="Q25" s="93" t="str">
        <f>IF(preDEL!$AG25,IFERROR(0/0,""),preDEL!Q25)</f>
        <v/>
      </c>
      <c r="R25" s="99" t="str">
        <f>IF(preDEL!$AG25,IFERROR(0/0,""),preDEL!R25)</f>
        <v/>
      </c>
      <c r="S25" s="99" t="str">
        <f>IF(preDEL!$AG25,IFERROR(0/0,""),preDEL!S25)</f>
        <v/>
      </c>
      <c r="T25" s="93" t="str">
        <f>IF(preDEL!$AG25,IFERROR(0/0,""),preDEL!T25)</f>
        <v/>
      </c>
      <c r="U25" s="94" t="str">
        <f>IF(preDEL!$AG25,IFERROR(0/0,""),preDEL!U25)</f>
        <v/>
      </c>
      <c r="V25" s="249" t="str">
        <f>IF(preDEL!$AG25,IFERROR(0/0,""),preDEL!V25)</f>
        <v/>
      </c>
      <c r="W25" s="94" t="str">
        <f>IF(preDEL!$AG25,IFERROR(0/0,""),preDEL!W25)</f>
        <v/>
      </c>
      <c r="X25" s="99" t="str">
        <f>IF(preDEL!$AG25,IFERROR(0/0,""),preDEL!X25)</f>
        <v/>
      </c>
      <c r="Y25" s="93" t="str">
        <f>IF(preDEL!$AG25,IFERROR(0/0,""),preDEL!Y25)</f>
        <v/>
      </c>
      <c r="Z25" s="249" t="str">
        <f>IF(preDEL!$AG25,IFERROR(0/0,""),preDEL!Z25)</f>
        <v/>
      </c>
      <c r="AA25" s="93" t="str">
        <f>IF(preDEL!$AG25,IFERROR(0/0,""),preDEL!AA25)</f>
        <v/>
      </c>
      <c r="AB25" s="93" t="str">
        <f>IF(preDEL!$AG25,IFERROR(0/0,""),preDEL!AB25)</f>
        <v/>
      </c>
      <c r="AC25" s="252" t="str">
        <f>IF(preDEL!$AG25,IFERROR(0/0,""),preDEL!AC25)</f>
        <v/>
      </c>
      <c r="AD25" s="99" t="str">
        <f>IF(preDEL!$AG25,IFERROR(0/0,""),preDEL!AD25)</f>
        <v/>
      </c>
      <c r="AE25" s="253" t="str">
        <f>IF(preDEL!$AG25,IFERROR(0/0,""),preDEL!AE25)</f>
        <v/>
      </c>
      <c r="AF25" s="93" t="str">
        <f>IF(preDEL!$AG25,IFERROR(0/0,""),preDEL!AF25)</f>
        <v/>
      </c>
      <c r="AG25" s="93" t="str">
        <f>IF(preDEL!$AG25,IFERROR(0/0,""),preDEL!AG25)</f>
        <v/>
      </c>
      <c r="AH25" s="99" t="str">
        <f>IF(preDEL!$AG25,IFERROR(0/0,""),preDEL!AH25)</f>
        <v/>
      </c>
      <c r="AI25" s="249" t="str">
        <f>IF(preDEL!$AG25,IFERROR(0/0,""),preDEL!AI25)</f>
        <v/>
      </c>
      <c r="AJ25" s="94" t="str">
        <f>IF(preDEL!$AG25,IFERROR(0/0,""),preDEL!AJ25)</f>
        <v/>
      </c>
      <c r="AK25" s="249" t="str">
        <f>IF(preDEL!$AG25,IFERROR(0/0,""),preDEL!AK25)</f>
        <v/>
      </c>
      <c r="AL25" s="94" t="str">
        <f>IF(preDEL!$AG25,IFERROR(0/0,""),preDEL!AL25)</f>
        <v/>
      </c>
      <c r="AM25" s="94" t="str">
        <f>IF(preDEL!$AG25,IFERROR(0/0,""),preDEL!AM25)</f>
        <v/>
      </c>
      <c r="AN25" s="94" t="str">
        <f>IF(preDEL!$AG25,IFERROR(0/0,""),preDEL!AN25)</f>
        <v/>
      </c>
      <c r="AO25" s="94" t="str">
        <f>IF(preDEL!$AG25,IFERROR(0/0,""),preDEL!AO25)</f>
        <v/>
      </c>
      <c r="AP25" s="94" t="str">
        <f>IF(preDEL!$AG25,IFERROR(0/0,""),preDEL!AP25)</f>
        <v/>
      </c>
      <c r="AQ25" s="94" t="str">
        <f>IF(preDEL!$AG25,IFERROR(0/0,""),preDEL!AQ25)</f>
        <v/>
      </c>
      <c r="AR25" s="94" t="str">
        <f>IF(preDEL!$AG25,IFERROR(0/0,""),preDEL!AR25)</f>
        <v/>
      </c>
      <c r="AS25" s="98"/>
      <c r="BE25" s="254"/>
      <c r="BF25" s="255"/>
      <c r="BG25" s="254"/>
      <c r="BH25" s="255"/>
      <c r="BI25" s="254"/>
      <c r="BJ25" s="254"/>
      <c r="BK25" s="254"/>
      <c r="BL25" s="254"/>
      <c r="BN25" s="7"/>
      <c r="BO25" s="7"/>
      <c r="BP25" s="7"/>
      <c r="BQ25" s="7"/>
      <c r="BR25" s="7"/>
      <c r="BS25" s="7"/>
      <c r="BT25" s="7"/>
    </row>
    <row r="26">
      <c r="A26" s="249" t="str">
        <f>IF(preDEL!$AG26,IFERROR(0/0,""),preDEL!A26)</f>
        <v/>
      </c>
      <c r="B26" s="250" t="str">
        <f>IF(preDEL!$AG26,IFERROR(0/0,""),preDEL!B26)</f>
        <v/>
      </c>
      <c r="C26" s="251" t="str">
        <f>IF(preDEL!$AG26,IFERROR(0/0,""),preDEL!C26)</f>
        <v/>
      </c>
      <c r="D26" s="249" t="str">
        <f>IF(preDEL!$AG26,IFERROR(0/0,""),preDEL!D26)</f>
        <v/>
      </c>
      <c r="E26" s="249" t="str">
        <f>IF(preDEL!$AG26,IFERROR(0/0,""),preDEL!E26)</f>
        <v/>
      </c>
      <c r="F26" s="94" t="str">
        <f>IF(preDEL!$AG26,IFERROR(0/0,""),preDEL!F26)</f>
        <v/>
      </c>
      <c r="G26" s="94" t="str">
        <f>IF(preDEL!$AG26,IFERROR(0/0,""),preDEL!G26)</f>
        <v/>
      </c>
      <c r="H26" s="94" t="str">
        <f>IF(preDEL!$AG26,IFERROR(0/0,""),preDEL!H26)</f>
        <v/>
      </c>
      <c r="I26" s="249" t="str">
        <f>IF(preDEL!$AG26,IFERROR(0/0,""),preDEL!I26)</f>
        <v/>
      </c>
      <c r="J26" s="249" t="str">
        <f>IF(preDEL!$AG26,IFERROR(0/0,""),preDEL!J26)</f>
        <v/>
      </c>
      <c r="K26" s="249" t="str">
        <f>IF(preDEL!$AG26,IFERROR(0/0,""),preDEL!K26)</f>
        <v/>
      </c>
      <c r="L26" s="250" t="str">
        <f>IF(preDEL!$AG26,IFERROR(0/0,""),preDEL!L26)</f>
        <v/>
      </c>
      <c r="M26" s="251" t="str">
        <f>IF(preDEL!$AG26,IFERROR(0/0,""),preDEL!M26)</f>
        <v/>
      </c>
      <c r="N26" s="94" t="str">
        <f>IF(preDEL!$AG26,IFERROR(0/0,""),preDEL!N26)</f>
        <v/>
      </c>
      <c r="O26" s="94" t="str">
        <f>IF(preDEL!$AG26,IFERROR(0/0,""),preDEL!O26)</f>
        <v/>
      </c>
      <c r="P26" s="93" t="str">
        <f>IF(preDEL!$AG26,IFERROR(0/0,""),preDEL!P26)</f>
        <v/>
      </c>
      <c r="Q26" s="93" t="str">
        <f>IF(preDEL!$AG26,IFERROR(0/0,""),preDEL!Q26)</f>
        <v/>
      </c>
      <c r="R26" s="99" t="str">
        <f>IF(preDEL!$AG26,IFERROR(0/0,""),preDEL!R26)</f>
        <v/>
      </c>
      <c r="S26" s="99" t="str">
        <f>IF(preDEL!$AG26,IFERROR(0/0,""),preDEL!S26)</f>
        <v/>
      </c>
      <c r="T26" s="93" t="str">
        <f>IF(preDEL!$AG26,IFERROR(0/0,""),preDEL!T26)</f>
        <v/>
      </c>
      <c r="U26" s="94" t="str">
        <f>IF(preDEL!$AG26,IFERROR(0/0,""),preDEL!U26)</f>
        <v/>
      </c>
      <c r="V26" s="249" t="str">
        <f>IF(preDEL!$AG26,IFERROR(0/0,""),preDEL!V26)</f>
        <v/>
      </c>
      <c r="W26" s="94" t="str">
        <f>IF(preDEL!$AG26,IFERROR(0/0,""),preDEL!W26)</f>
        <v/>
      </c>
      <c r="X26" s="99" t="str">
        <f>IF(preDEL!$AG26,IFERROR(0/0,""),preDEL!X26)</f>
        <v/>
      </c>
      <c r="Y26" s="93" t="str">
        <f>IF(preDEL!$AG26,IFERROR(0/0,""),preDEL!Y26)</f>
        <v/>
      </c>
      <c r="Z26" s="249" t="str">
        <f>IF(preDEL!$AG26,IFERROR(0/0,""),preDEL!Z26)</f>
        <v/>
      </c>
      <c r="AA26" s="93" t="str">
        <f>IF(preDEL!$AG26,IFERROR(0/0,""),preDEL!AA26)</f>
        <v/>
      </c>
      <c r="AB26" s="93" t="str">
        <f>IF(preDEL!$AG26,IFERROR(0/0,""),preDEL!AB26)</f>
        <v/>
      </c>
      <c r="AC26" s="252" t="str">
        <f>IF(preDEL!$AG26,IFERROR(0/0,""),preDEL!AC26)</f>
        <v/>
      </c>
      <c r="AD26" s="99" t="str">
        <f>IF(preDEL!$AG26,IFERROR(0/0,""),preDEL!AD26)</f>
        <v/>
      </c>
      <c r="AE26" s="253" t="str">
        <f>IF(preDEL!$AG26,IFERROR(0/0,""),preDEL!AE26)</f>
        <v/>
      </c>
      <c r="AF26" s="93" t="str">
        <f>IF(preDEL!$AG26,IFERROR(0/0,""),preDEL!AF26)</f>
        <v/>
      </c>
      <c r="AG26" s="93" t="str">
        <f>IF(preDEL!$AG26,IFERROR(0/0,""),preDEL!AG26)</f>
        <v/>
      </c>
      <c r="AH26" s="99" t="str">
        <f>IF(preDEL!$AG26,IFERROR(0/0,""),preDEL!AH26)</f>
        <v/>
      </c>
      <c r="AI26" s="249" t="str">
        <f>IF(preDEL!$AG26,IFERROR(0/0,""),preDEL!AI26)</f>
        <v/>
      </c>
      <c r="AJ26" s="94" t="str">
        <f>IF(preDEL!$AG26,IFERROR(0/0,""),preDEL!AJ26)</f>
        <v/>
      </c>
      <c r="AK26" s="249" t="str">
        <f>IF(preDEL!$AG26,IFERROR(0/0,""),preDEL!AK26)</f>
        <v/>
      </c>
      <c r="AL26" s="94" t="str">
        <f>IF(preDEL!$AG26,IFERROR(0/0,""),preDEL!AL26)</f>
        <v/>
      </c>
      <c r="AM26" s="94" t="str">
        <f>IF(preDEL!$AG26,IFERROR(0/0,""),preDEL!AM26)</f>
        <v/>
      </c>
      <c r="AN26" s="94" t="str">
        <f>IF(preDEL!$AG26,IFERROR(0/0,""),preDEL!AN26)</f>
        <v/>
      </c>
      <c r="AO26" s="94" t="str">
        <f>IF(preDEL!$AG26,IFERROR(0/0,""),preDEL!AO26)</f>
        <v/>
      </c>
      <c r="AP26" s="94" t="str">
        <f>IF(preDEL!$AG26,IFERROR(0/0,""),preDEL!AP26)</f>
        <v/>
      </c>
      <c r="AQ26" s="94" t="str">
        <f>IF(preDEL!$AG26,IFERROR(0/0,""),preDEL!AQ26)</f>
        <v/>
      </c>
      <c r="AR26" s="94" t="str">
        <f>IF(preDEL!$AG26,IFERROR(0/0,""),preDEL!AR26)</f>
        <v/>
      </c>
      <c r="AS26" s="98"/>
      <c r="BE26" s="254"/>
      <c r="BF26" s="255"/>
      <c r="BG26" s="254"/>
      <c r="BH26" s="255"/>
      <c r="BI26" s="254"/>
      <c r="BJ26" s="254"/>
      <c r="BK26" s="254"/>
      <c r="BL26" s="254"/>
      <c r="BN26" s="7"/>
      <c r="BO26" s="7"/>
      <c r="BP26" s="7"/>
      <c r="BQ26" s="7"/>
      <c r="BR26" s="7"/>
      <c r="BS26" s="7"/>
      <c r="BT26" s="7"/>
    </row>
    <row r="27">
      <c r="A27" s="249" t="str">
        <f>IF(preDEL!$AG27,IFERROR(0/0,""),preDEL!A27)</f>
        <v/>
      </c>
      <c r="B27" s="250" t="str">
        <f>IF(preDEL!$AG27,IFERROR(0/0,""),preDEL!B27)</f>
        <v/>
      </c>
      <c r="C27" s="251" t="str">
        <f>IF(preDEL!$AG27,IFERROR(0/0,""),preDEL!C27)</f>
        <v/>
      </c>
      <c r="D27" s="249" t="str">
        <f>IF(preDEL!$AG27,IFERROR(0/0,""),preDEL!D27)</f>
        <v/>
      </c>
      <c r="E27" s="249" t="str">
        <f>IF(preDEL!$AG27,IFERROR(0/0,""),preDEL!E27)</f>
        <v/>
      </c>
      <c r="F27" s="94" t="str">
        <f>IF(preDEL!$AG27,IFERROR(0/0,""),preDEL!F27)</f>
        <v/>
      </c>
      <c r="G27" s="94" t="str">
        <f>IF(preDEL!$AG27,IFERROR(0/0,""),preDEL!G27)</f>
        <v/>
      </c>
      <c r="H27" s="94" t="str">
        <f>IF(preDEL!$AG27,IFERROR(0/0,""),preDEL!H27)</f>
        <v/>
      </c>
      <c r="I27" s="249" t="str">
        <f>IF(preDEL!$AG27,IFERROR(0/0,""),preDEL!I27)</f>
        <v/>
      </c>
      <c r="J27" s="249" t="str">
        <f>IF(preDEL!$AG27,IFERROR(0/0,""),preDEL!J27)</f>
        <v/>
      </c>
      <c r="K27" s="249" t="str">
        <f>IF(preDEL!$AG27,IFERROR(0/0,""),preDEL!K27)</f>
        <v/>
      </c>
      <c r="L27" s="250" t="str">
        <f>IF(preDEL!$AG27,IFERROR(0/0,""),preDEL!L27)</f>
        <v/>
      </c>
      <c r="M27" s="251" t="str">
        <f>IF(preDEL!$AG27,IFERROR(0/0,""),preDEL!M27)</f>
        <v/>
      </c>
      <c r="N27" s="94" t="str">
        <f>IF(preDEL!$AG27,IFERROR(0/0,""),preDEL!N27)</f>
        <v/>
      </c>
      <c r="O27" s="94" t="str">
        <f>IF(preDEL!$AG27,IFERROR(0/0,""),preDEL!O27)</f>
        <v/>
      </c>
      <c r="P27" s="93" t="str">
        <f>IF(preDEL!$AG27,IFERROR(0/0,""),preDEL!P27)</f>
        <v/>
      </c>
      <c r="Q27" s="93" t="str">
        <f>IF(preDEL!$AG27,IFERROR(0/0,""),preDEL!Q27)</f>
        <v/>
      </c>
      <c r="R27" s="99" t="str">
        <f>IF(preDEL!$AG27,IFERROR(0/0,""),preDEL!R27)</f>
        <v/>
      </c>
      <c r="S27" s="99" t="str">
        <f>IF(preDEL!$AG27,IFERROR(0/0,""),preDEL!S27)</f>
        <v/>
      </c>
      <c r="T27" s="93" t="str">
        <f>IF(preDEL!$AG27,IFERROR(0/0,""),preDEL!T27)</f>
        <v/>
      </c>
      <c r="U27" s="94" t="str">
        <f>IF(preDEL!$AG27,IFERROR(0/0,""),preDEL!U27)</f>
        <v/>
      </c>
      <c r="V27" s="249" t="str">
        <f>IF(preDEL!$AG27,IFERROR(0/0,""),preDEL!V27)</f>
        <v/>
      </c>
      <c r="W27" s="94" t="str">
        <f>IF(preDEL!$AG27,IFERROR(0/0,""),preDEL!W27)</f>
        <v/>
      </c>
      <c r="X27" s="99" t="str">
        <f>IF(preDEL!$AG27,IFERROR(0/0,""),preDEL!X27)</f>
        <v/>
      </c>
      <c r="Y27" s="93" t="str">
        <f>IF(preDEL!$AG27,IFERROR(0/0,""),preDEL!Y27)</f>
        <v/>
      </c>
      <c r="Z27" s="249" t="str">
        <f>IF(preDEL!$AG27,IFERROR(0/0,""),preDEL!Z27)</f>
        <v/>
      </c>
      <c r="AA27" s="93" t="str">
        <f>IF(preDEL!$AG27,IFERROR(0/0,""),preDEL!AA27)</f>
        <v/>
      </c>
      <c r="AB27" s="93" t="str">
        <f>IF(preDEL!$AG27,IFERROR(0/0,""),preDEL!AB27)</f>
        <v/>
      </c>
      <c r="AC27" s="252" t="str">
        <f>IF(preDEL!$AG27,IFERROR(0/0,""),preDEL!AC27)</f>
        <v/>
      </c>
      <c r="AD27" s="99" t="str">
        <f>IF(preDEL!$AG27,IFERROR(0/0,""),preDEL!AD27)</f>
        <v/>
      </c>
      <c r="AE27" s="253" t="str">
        <f>IF(preDEL!$AG27,IFERROR(0/0,""),preDEL!AE27)</f>
        <v/>
      </c>
      <c r="AF27" s="93" t="str">
        <f>IF(preDEL!$AG27,IFERROR(0/0,""),preDEL!AF27)</f>
        <v/>
      </c>
      <c r="AG27" s="93" t="str">
        <f>IF(preDEL!$AG27,IFERROR(0/0,""),preDEL!AG27)</f>
        <v/>
      </c>
      <c r="AH27" s="99" t="str">
        <f>IF(preDEL!$AG27,IFERROR(0/0,""),preDEL!AH27)</f>
        <v/>
      </c>
      <c r="AI27" s="249" t="str">
        <f>IF(preDEL!$AG27,IFERROR(0/0,""),preDEL!AI27)</f>
        <v/>
      </c>
      <c r="AJ27" s="94" t="str">
        <f>IF(preDEL!$AG27,IFERROR(0/0,""),preDEL!AJ27)</f>
        <v/>
      </c>
      <c r="AK27" s="249" t="str">
        <f>IF(preDEL!$AG27,IFERROR(0/0,""),preDEL!AK27)</f>
        <v/>
      </c>
      <c r="AL27" s="94" t="str">
        <f>IF(preDEL!$AG27,IFERROR(0/0,""),preDEL!AL27)</f>
        <v/>
      </c>
      <c r="AM27" s="94" t="str">
        <f>IF(preDEL!$AG27,IFERROR(0/0,""),preDEL!AM27)</f>
        <v/>
      </c>
      <c r="AN27" s="94" t="str">
        <f>IF(preDEL!$AG27,IFERROR(0/0,""),preDEL!AN27)</f>
        <v/>
      </c>
      <c r="AO27" s="94" t="str">
        <f>IF(preDEL!$AG27,IFERROR(0/0,""),preDEL!AO27)</f>
        <v/>
      </c>
      <c r="AP27" s="94" t="str">
        <f>IF(preDEL!$AG27,IFERROR(0/0,""),preDEL!AP27)</f>
        <v/>
      </c>
      <c r="AQ27" s="94" t="str">
        <f>IF(preDEL!$AG27,IFERROR(0/0,""),preDEL!AQ27)</f>
        <v/>
      </c>
      <c r="AR27" s="94" t="str">
        <f>IF(preDEL!$AG27,IFERROR(0/0,""),preDEL!AR27)</f>
        <v/>
      </c>
      <c r="AS27" s="98"/>
      <c r="BE27" s="254"/>
      <c r="BF27" s="255"/>
      <c r="BG27" s="254"/>
      <c r="BH27" s="255"/>
      <c r="BI27" s="254"/>
      <c r="BJ27" s="254"/>
      <c r="BK27" s="254"/>
      <c r="BL27" s="254"/>
      <c r="BN27" s="7"/>
      <c r="BO27" s="7"/>
      <c r="BP27" s="7"/>
      <c r="BQ27" s="7"/>
      <c r="BR27" s="7"/>
      <c r="BS27" s="7"/>
      <c r="BT27" s="7"/>
    </row>
    <row r="28">
      <c r="A28" s="249" t="str">
        <f>IF(preDEL!$AG28,IFERROR(0/0,""),preDEL!A28)</f>
        <v/>
      </c>
      <c r="B28" s="250" t="str">
        <f>IF(preDEL!$AG28,IFERROR(0/0,""),preDEL!B28)</f>
        <v/>
      </c>
      <c r="C28" s="251" t="str">
        <f>IF(preDEL!$AG28,IFERROR(0/0,""),preDEL!C28)</f>
        <v/>
      </c>
      <c r="D28" s="249" t="str">
        <f>IF(preDEL!$AG28,IFERROR(0/0,""),preDEL!D28)</f>
        <v/>
      </c>
      <c r="E28" s="249" t="str">
        <f>IF(preDEL!$AG28,IFERROR(0/0,""),preDEL!E28)</f>
        <v/>
      </c>
      <c r="F28" s="94" t="str">
        <f>IF(preDEL!$AG28,IFERROR(0/0,""),preDEL!F28)</f>
        <v/>
      </c>
      <c r="G28" s="94" t="str">
        <f>IF(preDEL!$AG28,IFERROR(0/0,""),preDEL!G28)</f>
        <v/>
      </c>
      <c r="H28" s="94" t="str">
        <f>IF(preDEL!$AG28,IFERROR(0/0,""),preDEL!H28)</f>
        <v/>
      </c>
      <c r="I28" s="249" t="str">
        <f>IF(preDEL!$AG28,IFERROR(0/0,""),preDEL!I28)</f>
        <v/>
      </c>
      <c r="J28" s="249" t="str">
        <f>IF(preDEL!$AG28,IFERROR(0/0,""),preDEL!J28)</f>
        <v/>
      </c>
      <c r="K28" s="249" t="str">
        <f>IF(preDEL!$AG28,IFERROR(0/0,""),preDEL!K28)</f>
        <v/>
      </c>
      <c r="L28" s="250" t="str">
        <f>IF(preDEL!$AG28,IFERROR(0/0,""),preDEL!L28)</f>
        <v/>
      </c>
      <c r="M28" s="251" t="str">
        <f>IF(preDEL!$AG28,IFERROR(0/0,""),preDEL!M28)</f>
        <v/>
      </c>
      <c r="N28" s="94" t="str">
        <f>IF(preDEL!$AG28,IFERROR(0/0,""),preDEL!N28)</f>
        <v/>
      </c>
      <c r="O28" s="94" t="str">
        <f>IF(preDEL!$AG28,IFERROR(0/0,""),preDEL!O28)</f>
        <v/>
      </c>
      <c r="P28" s="93" t="str">
        <f>IF(preDEL!$AG28,IFERROR(0/0,""),preDEL!P28)</f>
        <v/>
      </c>
      <c r="Q28" s="93" t="str">
        <f>IF(preDEL!$AG28,IFERROR(0/0,""),preDEL!Q28)</f>
        <v/>
      </c>
      <c r="R28" s="99" t="str">
        <f>IF(preDEL!$AG28,IFERROR(0/0,""),preDEL!R28)</f>
        <v/>
      </c>
      <c r="S28" s="99" t="str">
        <f>IF(preDEL!$AG28,IFERROR(0/0,""),preDEL!S28)</f>
        <v/>
      </c>
      <c r="T28" s="93" t="str">
        <f>IF(preDEL!$AG28,IFERROR(0/0,""),preDEL!T28)</f>
        <v/>
      </c>
      <c r="U28" s="94" t="str">
        <f>IF(preDEL!$AG28,IFERROR(0/0,""),preDEL!U28)</f>
        <v/>
      </c>
      <c r="V28" s="249" t="str">
        <f>IF(preDEL!$AG28,IFERROR(0/0,""),preDEL!V28)</f>
        <v/>
      </c>
      <c r="W28" s="94" t="str">
        <f>IF(preDEL!$AG28,IFERROR(0/0,""),preDEL!W28)</f>
        <v/>
      </c>
      <c r="X28" s="99" t="str">
        <f>IF(preDEL!$AG28,IFERROR(0/0,""),preDEL!X28)</f>
        <v/>
      </c>
      <c r="Y28" s="93" t="str">
        <f>IF(preDEL!$AG28,IFERROR(0/0,""),preDEL!Y28)</f>
        <v/>
      </c>
      <c r="Z28" s="249" t="str">
        <f>IF(preDEL!$AG28,IFERROR(0/0,""),preDEL!Z28)</f>
        <v/>
      </c>
      <c r="AA28" s="93" t="str">
        <f>IF(preDEL!$AG28,IFERROR(0/0,""),preDEL!AA28)</f>
        <v/>
      </c>
      <c r="AB28" s="93" t="str">
        <f>IF(preDEL!$AG28,IFERROR(0/0,""),preDEL!AB28)</f>
        <v/>
      </c>
      <c r="AC28" s="252" t="str">
        <f>IF(preDEL!$AG28,IFERROR(0/0,""),preDEL!AC28)</f>
        <v/>
      </c>
      <c r="AD28" s="99" t="str">
        <f>IF(preDEL!$AG28,IFERROR(0/0,""),preDEL!AD28)</f>
        <v/>
      </c>
      <c r="AE28" s="253" t="str">
        <f>IF(preDEL!$AG28,IFERROR(0/0,""),preDEL!AE28)</f>
        <v/>
      </c>
      <c r="AF28" s="93" t="str">
        <f>IF(preDEL!$AG28,IFERROR(0/0,""),preDEL!AF28)</f>
        <v/>
      </c>
      <c r="AG28" s="93" t="str">
        <f>IF(preDEL!$AG28,IFERROR(0/0,""),preDEL!AG28)</f>
        <v/>
      </c>
      <c r="AH28" s="99" t="str">
        <f>IF(preDEL!$AG28,IFERROR(0/0,""),preDEL!AH28)</f>
        <v/>
      </c>
      <c r="AI28" s="249" t="str">
        <f>IF(preDEL!$AG28,IFERROR(0/0,""),preDEL!AI28)</f>
        <v/>
      </c>
      <c r="AJ28" s="94" t="str">
        <f>IF(preDEL!$AG28,IFERROR(0/0,""),preDEL!AJ28)</f>
        <v/>
      </c>
      <c r="AK28" s="249" t="str">
        <f>IF(preDEL!$AG28,IFERROR(0/0,""),preDEL!AK28)</f>
        <v/>
      </c>
      <c r="AL28" s="94" t="str">
        <f>IF(preDEL!$AG28,IFERROR(0/0,""),preDEL!AL28)</f>
        <v/>
      </c>
      <c r="AM28" s="94" t="str">
        <f>IF(preDEL!$AG28,IFERROR(0/0,""),preDEL!AM28)</f>
        <v/>
      </c>
      <c r="AN28" s="94" t="str">
        <f>IF(preDEL!$AG28,IFERROR(0/0,""),preDEL!AN28)</f>
        <v/>
      </c>
      <c r="AO28" s="94" t="str">
        <f>IF(preDEL!$AG28,IFERROR(0/0,""),preDEL!AO28)</f>
        <v/>
      </c>
      <c r="AP28" s="94" t="str">
        <f>IF(preDEL!$AG28,IFERROR(0/0,""),preDEL!AP28)</f>
        <v/>
      </c>
      <c r="AQ28" s="94" t="str">
        <f>IF(preDEL!$AG28,IFERROR(0/0,""),preDEL!AQ28)</f>
        <v/>
      </c>
      <c r="AR28" s="94" t="str">
        <f>IF(preDEL!$AG28,IFERROR(0/0,""),preDEL!AR28)</f>
        <v/>
      </c>
      <c r="AS28" s="98"/>
      <c r="BE28" s="254"/>
      <c r="BF28" s="255"/>
      <c r="BG28" s="254"/>
      <c r="BH28" s="255"/>
      <c r="BI28" s="254"/>
      <c r="BJ28" s="254"/>
      <c r="BK28" s="254"/>
      <c r="BL28" s="254"/>
      <c r="BN28" s="7"/>
      <c r="BO28" s="7"/>
      <c r="BP28" s="7"/>
      <c r="BQ28" s="7"/>
      <c r="BR28" s="7"/>
      <c r="BS28" s="7"/>
      <c r="BT28" s="7"/>
    </row>
    <row r="29">
      <c r="A29" s="249" t="str">
        <f>IF(preDEL!$AG29,IFERROR(0/0,""),preDEL!A29)</f>
        <v/>
      </c>
      <c r="B29" s="250" t="str">
        <f>IF(preDEL!$AG29,IFERROR(0/0,""),preDEL!B29)</f>
        <v/>
      </c>
      <c r="C29" s="251" t="str">
        <f>IF(preDEL!$AG29,IFERROR(0/0,""),preDEL!C29)</f>
        <v/>
      </c>
      <c r="D29" s="249" t="str">
        <f>IF(preDEL!$AG29,IFERROR(0/0,""),preDEL!D29)</f>
        <v/>
      </c>
      <c r="E29" s="249" t="str">
        <f>IF(preDEL!$AG29,IFERROR(0/0,""),preDEL!E29)</f>
        <v/>
      </c>
      <c r="F29" s="94" t="str">
        <f>IF(preDEL!$AG29,IFERROR(0/0,""),preDEL!F29)</f>
        <v/>
      </c>
      <c r="G29" s="94" t="str">
        <f>IF(preDEL!$AG29,IFERROR(0/0,""),preDEL!G29)</f>
        <v/>
      </c>
      <c r="H29" s="94" t="str">
        <f>IF(preDEL!$AG29,IFERROR(0/0,""),preDEL!H29)</f>
        <v/>
      </c>
      <c r="I29" s="249" t="str">
        <f>IF(preDEL!$AG29,IFERROR(0/0,""),preDEL!I29)</f>
        <v/>
      </c>
      <c r="J29" s="249" t="str">
        <f>IF(preDEL!$AG29,IFERROR(0/0,""),preDEL!J29)</f>
        <v/>
      </c>
      <c r="K29" s="249" t="str">
        <f>IF(preDEL!$AG29,IFERROR(0/0,""),preDEL!K29)</f>
        <v/>
      </c>
      <c r="L29" s="250" t="str">
        <f>IF(preDEL!$AG29,IFERROR(0/0,""),preDEL!L29)</f>
        <v/>
      </c>
      <c r="M29" s="251" t="str">
        <f>IF(preDEL!$AG29,IFERROR(0/0,""),preDEL!M29)</f>
        <v/>
      </c>
      <c r="N29" s="94" t="str">
        <f>IF(preDEL!$AG29,IFERROR(0/0,""),preDEL!N29)</f>
        <v/>
      </c>
      <c r="O29" s="94" t="str">
        <f>IF(preDEL!$AG29,IFERROR(0/0,""),preDEL!O29)</f>
        <v/>
      </c>
      <c r="P29" s="93" t="str">
        <f>IF(preDEL!$AG29,IFERROR(0/0,""),preDEL!P29)</f>
        <v/>
      </c>
      <c r="Q29" s="93" t="str">
        <f>IF(preDEL!$AG29,IFERROR(0/0,""),preDEL!Q29)</f>
        <v/>
      </c>
      <c r="R29" s="99" t="str">
        <f>IF(preDEL!$AG29,IFERROR(0/0,""),preDEL!R29)</f>
        <v/>
      </c>
      <c r="S29" s="99" t="str">
        <f>IF(preDEL!$AG29,IFERROR(0/0,""),preDEL!S29)</f>
        <v/>
      </c>
      <c r="T29" s="93" t="str">
        <f>IF(preDEL!$AG29,IFERROR(0/0,""),preDEL!T29)</f>
        <v/>
      </c>
      <c r="U29" s="94" t="str">
        <f>IF(preDEL!$AG29,IFERROR(0/0,""),preDEL!U29)</f>
        <v/>
      </c>
      <c r="V29" s="249" t="str">
        <f>IF(preDEL!$AG29,IFERROR(0/0,""),preDEL!V29)</f>
        <v/>
      </c>
      <c r="W29" s="94" t="str">
        <f>IF(preDEL!$AG29,IFERROR(0/0,""),preDEL!W29)</f>
        <v/>
      </c>
      <c r="X29" s="99" t="str">
        <f>IF(preDEL!$AG29,IFERROR(0/0,""),preDEL!X29)</f>
        <v/>
      </c>
      <c r="Y29" s="93" t="str">
        <f>IF(preDEL!$AG29,IFERROR(0/0,""),preDEL!Y29)</f>
        <v/>
      </c>
      <c r="Z29" s="249" t="str">
        <f>IF(preDEL!$AG29,IFERROR(0/0,""),preDEL!Z29)</f>
        <v/>
      </c>
      <c r="AA29" s="93" t="str">
        <f>IF(preDEL!$AG29,IFERROR(0/0,""),preDEL!AA29)</f>
        <v/>
      </c>
      <c r="AB29" s="93" t="str">
        <f>IF(preDEL!$AG29,IFERROR(0/0,""),preDEL!AB29)</f>
        <v/>
      </c>
      <c r="AC29" s="252" t="str">
        <f>IF(preDEL!$AG29,IFERROR(0/0,""),preDEL!AC29)</f>
        <v/>
      </c>
      <c r="AD29" s="99" t="str">
        <f>IF(preDEL!$AG29,IFERROR(0/0,""),preDEL!AD29)</f>
        <v/>
      </c>
      <c r="AE29" s="253" t="str">
        <f>IF(preDEL!$AG29,IFERROR(0/0,""),preDEL!AE29)</f>
        <v/>
      </c>
      <c r="AF29" s="93" t="str">
        <f>IF(preDEL!$AG29,IFERROR(0/0,""),preDEL!AF29)</f>
        <v/>
      </c>
      <c r="AG29" s="93" t="str">
        <f>IF(preDEL!$AG29,IFERROR(0/0,""),preDEL!AG29)</f>
        <v/>
      </c>
      <c r="AH29" s="99" t="str">
        <f>IF(preDEL!$AG29,IFERROR(0/0,""),preDEL!AH29)</f>
        <v/>
      </c>
      <c r="AI29" s="249" t="str">
        <f>IF(preDEL!$AG29,IFERROR(0/0,""),preDEL!AI29)</f>
        <v/>
      </c>
      <c r="AJ29" s="94" t="str">
        <f>IF(preDEL!$AG29,IFERROR(0/0,""),preDEL!AJ29)</f>
        <v/>
      </c>
      <c r="AK29" s="249" t="str">
        <f>IF(preDEL!$AG29,IFERROR(0/0,""),preDEL!AK29)</f>
        <v/>
      </c>
      <c r="AL29" s="94" t="str">
        <f>IF(preDEL!$AG29,IFERROR(0/0,""),preDEL!AL29)</f>
        <v/>
      </c>
      <c r="AM29" s="94" t="str">
        <f>IF(preDEL!$AG29,IFERROR(0/0,""),preDEL!AM29)</f>
        <v/>
      </c>
      <c r="AN29" s="94" t="str">
        <f>IF(preDEL!$AG29,IFERROR(0/0,""),preDEL!AN29)</f>
        <v/>
      </c>
      <c r="AO29" s="94" t="str">
        <f>IF(preDEL!$AG29,IFERROR(0/0,""),preDEL!AO29)</f>
        <v/>
      </c>
      <c r="AP29" s="94" t="str">
        <f>IF(preDEL!$AG29,IFERROR(0/0,""),preDEL!AP29)</f>
        <v/>
      </c>
      <c r="AQ29" s="94" t="str">
        <f>IF(preDEL!$AG29,IFERROR(0/0,""),preDEL!AQ29)</f>
        <v/>
      </c>
      <c r="AR29" s="94" t="str">
        <f>IF(preDEL!$AG29,IFERROR(0/0,""),preDEL!AR29)</f>
        <v/>
      </c>
      <c r="AS29" s="98"/>
      <c r="BE29" s="254"/>
      <c r="BF29" s="255"/>
      <c r="BG29" s="254"/>
      <c r="BH29" s="255"/>
      <c r="BI29" s="254"/>
      <c r="BJ29" s="254"/>
      <c r="BK29" s="254"/>
      <c r="BL29" s="254"/>
      <c r="BN29" s="7"/>
      <c r="BO29" s="7"/>
      <c r="BP29" s="7"/>
      <c r="BQ29" s="7"/>
      <c r="BR29" s="7"/>
      <c r="BS29" s="7"/>
      <c r="BT29" s="7"/>
    </row>
    <row r="30">
      <c r="A30" s="249" t="str">
        <f>IF(preDEL!$AG30,IFERROR(0/0,""),preDEL!A30)</f>
        <v/>
      </c>
      <c r="B30" s="250" t="str">
        <f>IF(preDEL!$AG30,IFERROR(0/0,""),preDEL!B30)</f>
        <v/>
      </c>
      <c r="C30" s="251" t="str">
        <f>IF(preDEL!$AG30,IFERROR(0/0,""),preDEL!C30)</f>
        <v/>
      </c>
      <c r="D30" s="249" t="str">
        <f>IF(preDEL!$AG30,IFERROR(0/0,""),preDEL!D30)</f>
        <v/>
      </c>
      <c r="E30" s="249" t="str">
        <f>IF(preDEL!$AG30,IFERROR(0/0,""),preDEL!E30)</f>
        <v/>
      </c>
      <c r="F30" s="94" t="str">
        <f>IF(preDEL!$AG30,IFERROR(0/0,""),preDEL!F30)</f>
        <v/>
      </c>
      <c r="G30" s="94" t="str">
        <f>IF(preDEL!$AG30,IFERROR(0/0,""),preDEL!G30)</f>
        <v/>
      </c>
      <c r="H30" s="94" t="str">
        <f>IF(preDEL!$AG30,IFERROR(0/0,""),preDEL!H30)</f>
        <v/>
      </c>
      <c r="I30" s="249" t="str">
        <f>IF(preDEL!$AG30,IFERROR(0/0,""),preDEL!I30)</f>
        <v/>
      </c>
      <c r="J30" s="249" t="str">
        <f>IF(preDEL!$AG30,IFERROR(0/0,""),preDEL!J30)</f>
        <v/>
      </c>
      <c r="K30" s="249" t="str">
        <f>IF(preDEL!$AG30,IFERROR(0/0,""),preDEL!K30)</f>
        <v/>
      </c>
      <c r="L30" s="250" t="str">
        <f>IF(preDEL!$AG30,IFERROR(0/0,""),preDEL!L30)</f>
        <v/>
      </c>
      <c r="M30" s="251" t="str">
        <f>IF(preDEL!$AG30,IFERROR(0/0,""),preDEL!M30)</f>
        <v/>
      </c>
      <c r="N30" s="94" t="str">
        <f>IF(preDEL!$AG30,IFERROR(0/0,""),preDEL!N30)</f>
        <v/>
      </c>
      <c r="O30" s="94" t="str">
        <f>IF(preDEL!$AG30,IFERROR(0/0,""),preDEL!O30)</f>
        <v/>
      </c>
      <c r="P30" s="93" t="str">
        <f>IF(preDEL!$AG30,IFERROR(0/0,""),preDEL!P30)</f>
        <v/>
      </c>
      <c r="Q30" s="93" t="str">
        <f>IF(preDEL!$AG30,IFERROR(0/0,""),preDEL!Q30)</f>
        <v/>
      </c>
      <c r="R30" s="99" t="str">
        <f>IF(preDEL!$AG30,IFERROR(0/0,""),preDEL!R30)</f>
        <v/>
      </c>
      <c r="S30" s="99" t="str">
        <f>IF(preDEL!$AG30,IFERROR(0/0,""),preDEL!S30)</f>
        <v/>
      </c>
      <c r="T30" s="93" t="str">
        <f>IF(preDEL!$AG30,IFERROR(0/0,""),preDEL!T30)</f>
        <v/>
      </c>
      <c r="U30" s="94" t="str">
        <f>IF(preDEL!$AG30,IFERROR(0/0,""),preDEL!U30)</f>
        <v/>
      </c>
      <c r="V30" s="249" t="str">
        <f>IF(preDEL!$AG30,IFERROR(0/0,""),preDEL!V30)</f>
        <v/>
      </c>
      <c r="W30" s="94" t="str">
        <f>IF(preDEL!$AG30,IFERROR(0/0,""),preDEL!W30)</f>
        <v/>
      </c>
      <c r="X30" s="99" t="str">
        <f>IF(preDEL!$AG30,IFERROR(0/0,""),preDEL!X30)</f>
        <v/>
      </c>
      <c r="Y30" s="93" t="str">
        <f>IF(preDEL!$AG30,IFERROR(0/0,""),preDEL!Y30)</f>
        <v/>
      </c>
      <c r="Z30" s="249" t="str">
        <f>IF(preDEL!$AG30,IFERROR(0/0,""),preDEL!Z30)</f>
        <v/>
      </c>
      <c r="AA30" s="93" t="str">
        <f>IF(preDEL!$AG30,IFERROR(0/0,""),preDEL!AA30)</f>
        <v/>
      </c>
      <c r="AB30" s="93" t="str">
        <f>IF(preDEL!$AG30,IFERROR(0/0,""),preDEL!AB30)</f>
        <v/>
      </c>
      <c r="AC30" s="252" t="str">
        <f>IF(preDEL!$AG30,IFERROR(0/0,""),preDEL!AC30)</f>
        <v/>
      </c>
      <c r="AD30" s="99" t="str">
        <f>IF(preDEL!$AG30,IFERROR(0/0,""),preDEL!AD30)</f>
        <v/>
      </c>
      <c r="AE30" s="253" t="str">
        <f>IF(preDEL!$AG30,IFERROR(0/0,""),preDEL!AE30)</f>
        <v/>
      </c>
      <c r="AF30" s="93" t="str">
        <f>IF(preDEL!$AG30,IFERROR(0/0,""),preDEL!AF30)</f>
        <v/>
      </c>
      <c r="AG30" s="93" t="str">
        <f>IF(preDEL!$AG30,IFERROR(0/0,""),preDEL!AG30)</f>
        <v/>
      </c>
      <c r="AH30" s="99" t="str">
        <f>IF(preDEL!$AG30,IFERROR(0/0,""),preDEL!AH30)</f>
        <v/>
      </c>
      <c r="AI30" s="249" t="str">
        <f>IF(preDEL!$AG30,IFERROR(0/0,""),preDEL!AI30)</f>
        <v/>
      </c>
      <c r="AJ30" s="94" t="str">
        <f>IF(preDEL!$AG30,IFERROR(0/0,""),preDEL!AJ30)</f>
        <v/>
      </c>
      <c r="AK30" s="249" t="str">
        <f>IF(preDEL!$AG30,IFERROR(0/0,""),preDEL!AK30)</f>
        <v/>
      </c>
      <c r="AL30" s="94" t="str">
        <f>IF(preDEL!$AG30,IFERROR(0/0,""),preDEL!AL30)</f>
        <v/>
      </c>
      <c r="AM30" s="94" t="str">
        <f>IF(preDEL!$AG30,IFERROR(0/0,""),preDEL!AM30)</f>
        <v/>
      </c>
      <c r="AN30" s="94" t="str">
        <f>IF(preDEL!$AG30,IFERROR(0/0,""),preDEL!AN30)</f>
        <v/>
      </c>
      <c r="AO30" s="94" t="str">
        <f>IF(preDEL!$AG30,IFERROR(0/0,""),preDEL!AO30)</f>
        <v/>
      </c>
      <c r="AP30" s="94" t="str">
        <f>IF(preDEL!$AG30,IFERROR(0/0,""),preDEL!AP30)</f>
        <v/>
      </c>
      <c r="AQ30" s="94" t="str">
        <f>IF(preDEL!$AG30,IFERROR(0/0,""),preDEL!AQ30)</f>
        <v/>
      </c>
      <c r="AR30" s="94" t="str">
        <f>IF(preDEL!$AG30,IFERROR(0/0,""),preDEL!AR30)</f>
        <v/>
      </c>
      <c r="AS30" s="98"/>
      <c r="BE30" s="254"/>
      <c r="BF30" s="255"/>
      <c r="BG30" s="254"/>
      <c r="BH30" s="255"/>
      <c r="BI30" s="254"/>
      <c r="BJ30" s="254"/>
      <c r="BK30" s="254"/>
      <c r="BL30" s="254"/>
      <c r="BN30" s="7"/>
      <c r="BO30" s="7"/>
      <c r="BP30" s="7"/>
      <c r="BQ30" s="7"/>
      <c r="BR30" s="7"/>
      <c r="BS30" s="7"/>
      <c r="BT30" s="7"/>
    </row>
    <row r="31">
      <c r="A31" s="249" t="str">
        <f>IF(preDEL!$AG31,IFERROR(0/0,""),preDEL!A31)</f>
        <v/>
      </c>
      <c r="B31" s="250" t="str">
        <f>IF(preDEL!$AG31,IFERROR(0/0,""),preDEL!B31)</f>
        <v/>
      </c>
      <c r="C31" s="251" t="str">
        <f>IF(preDEL!$AG31,IFERROR(0/0,""),preDEL!C31)</f>
        <v/>
      </c>
      <c r="D31" s="249" t="str">
        <f>IF(preDEL!$AG31,IFERROR(0/0,""),preDEL!D31)</f>
        <v/>
      </c>
      <c r="E31" s="249" t="str">
        <f>IF(preDEL!$AG31,IFERROR(0/0,""),preDEL!E31)</f>
        <v/>
      </c>
      <c r="F31" s="94" t="str">
        <f>IF(preDEL!$AG31,IFERROR(0/0,""),preDEL!F31)</f>
        <v/>
      </c>
      <c r="G31" s="94" t="str">
        <f>IF(preDEL!$AG31,IFERROR(0/0,""),preDEL!G31)</f>
        <v/>
      </c>
      <c r="H31" s="94" t="str">
        <f>IF(preDEL!$AG31,IFERROR(0/0,""),preDEL!H31)</f>
        <v/>
      </c>
      <c r="I31" s="249" t="str">
        <f>IF(preDEL!$AG31,IFERROR(0/0,""),preDEL!I31)</f>
        <v/>
      </c>
      <c r="J31" s="249" t="str">
        <f>IF(preDEL!$AG31,IFERROR(0/0,""),preDEL!J31)</f>
        <v/>
      </c>
      <c r="K31" s="249" t="str">
        <f>IF(preDEL!$AG31,IFERROR(0/0,""),preDEL!K31)</f>
        <v/>
      </c>
      <c r="L31" s="250" t="str">
        <f>IF(preDEL!$AG31,IFERROR(0/0,""),preDEL!L31)</f>
        <v/>
      </c>
      <c r="M31" s="251" t="str">
        <f>IF(preDEL!$AG31,IFERROR(0/0,""),preDEL!M31)</f>
        <v/>
      </c>
      <c r="N31" s="94" t="str">
        <f>IF(preDEL!$AG31,IFERROR(0/0,""),preDEL!N31)</f>
        <v/>
      </c>
      <c r="O31" s="94" t="str">
        <f>IF(preDEL!$AG31,IFERROR(0/0,""),preDEL!O31)</f>
        <v/>
      </c>
      <c r="P31" s="93" t="str">
        <f>IF(preDEL!$AG31,IFERROR(0/0,""),preDEL!P31)</f>
        <v/>
      </c>
      <c r="Q31" s="93" t="str">
        <f>IF(preDEL!$AG31,IFERROR(0/0,""),preDEL!Q31)</f>
        <v/>
      </c>
      <c r="R31" s="99" t="str">
        <f>IF(preDEL!$AG31,IFERROR(0/0,""),preDEL!R31)</f>
        <v/>
      </c>
      <c r="S31" s="99" t="str">
        <f>IF(preDEL!$AG31,IFERROR(0/0,""),preDEL!S31)</f>
        <v/>
      </c>
      <c r="T31" s="93" t="str">
        <f>IF(preDEL!$AG31,IFERROR(0/0,""),preDEL!T31)</f>
        <v/>
      </c>
      <c r="U31" s="94" t="str">
        <f>IF(preDEL!$AG31,IFERROR(0/0,""),preDEL!U31)</f>
        <v/>
      </c>
      <c r="V31" s="249" t="str">
        <f>IF(preDEL!$AG31,IFERROR(0/0,""),preDEL!V31)</f>
        <v/>
      </c>
      <c r="W31" s="94" t="str">
        <f>IF(preDEL!$AG31,IFERROR(0/0,""),preDEL!W31)</f>
        <v/>
      </c>
      <c r="X31" s="99" t="str">
        <f>IF(preDEL!$AG31,IFERROR(0/0,""),preDEL!X31)</f>
        <v/>
      </c>
      <c r="Y31" s="93" t="str">
        <f>IF(preDEL!$AG31,IFERROR(0/0,""),preDEL!Y31)</f>
        <v/>
      </c>
      <c r="Z31" s="249" t="str">
        <f>IF(preDEL!$AG31,IFERROR(0/0,""),preDEL!Z31)</f>
        <v/>
      </c>
      <c r="AA31" s="93" t="str">
        <f>IF(preDEL!$AG31,IFERROR(0/0,""),preDEL!AA31)</f>
        <v/>
      </c>
      <c r="AB31" s="93" t="str">
        <f>IF(preDEL!$AG31,IFERROR(0/0,""),preDEL!AB31)</f>
        <v/>
      </c>
      <c r="AC31" s="252" t="str">
        <f>IF(preDEL!$AG31,IFERROR(0/0,""),preDEL!AC31)</f>
        <v/>
      </c>
      <c r="AD31" s="99" t="str">
        <f>IF(preDEL!$AG31,IFERROR(0/0,""),preDEL!AD31)</f>
        <v/>
      </c>
      <c r="AE31" s="253" t="str">
        <f>IF(preDEL!$AG31,IFERROR(0/0,""),preDEL!AE31)</f>
        <v/>
      </c>
      <c r="AF31" s="93" t="str">
        <f>IF(preDEL!$AG31,IFERROR(0/0,""),preDEL!AF31)</f>
        <v/>
      </c>
      <c r="AG31" s="93" t="str">
        <f>IF(preDEL!$AG31,IFERROR(0/0,""),preDEL!AG31)</f>
        <v/>
      </c>
      <c r="AH31" s="99" t="str">
        <f>IF(preDEL!$AG31,IFERROR(0/0,""),preDEL!AH31)</f>
        <v/>
      </c>
      <c r="AI31" s="249" t="str">
        <f>IF(preDEL!$AG31,IFERROR(0/0,""),preDEL!AI31)</f>
        <v/>
      </c>
      <c r="AJ31" s="94" t="str">
        <f>IF(preDEL!$AG31,IFERROR(0/0,""),preDEL!AJ31)</f>
        <v/>
      </c>
      <c r="AK31" s="249" t="str">
        <f>IF(preDEL!$AG31,IFERROR(0/0,""),preDEL!AK31)</f>
        <v/>
      </c>
      <c r="AL31" s="94" t="str">
        <f>IF(preDEL!$AG31,IFERROR(0/0,""),preDEL!AL31)</f>
        <v/>
      </c>
      <c r="AM31" s="94" t="str">
        <f>IF(preDEL!$AG31,IFERROR(0/0,""),preDEL!AM31)</f>
        <v/>
      </c>
      <c r="AN31" s="94" t="str">
        <f>IF(preDEL!$AG31,IFERROR(0/0,""),preDEL!AN31)</f>
        <v/>
      </c>
      <c r="AO31" s="94" t="str">
        <f>IF(preDEL!$AG31,IFERROR(0/0,""),preDEL!AO31)</f>
        <v/>
      </c>
      <c r="AP31" s="94" t="str">
        <f>IF(preDEL!$AG31,IFERROR(0/0,""),preDEL!AP31)</f>
        <v/>
      </c>
      <c r="AQ31" s="94" t="str">
        <f>IF(preDEL!$AG31,IFERROR(0/0,""),preDEL!AQ31)</f>
        <v/>
      </c>
      <c r="AR31" s="94" t="str">
        <f>IF(preDEL!$AG31,IFERROR(0/0,""),preDEL!AR31)</f>
        <v/>
      </c>
      <c r="AS31" s="98"/>
      <c r="BE31" s="254"/>
      <c r="BF31" s="255"/>
      <c r="BG31" s="254"/>
      <c r="BH31" s="255"/>
      <c r="BI31" s="254"/>
      <c r="BJ31" s="254"/>
      <c r="BK31" s="254"/>
      <c r="BL31" s="254"/>
      <c r="BN31" s="7"/>
      <c r="BO31" s="7"/>
      <c r="BP31" s="7"/>
      <c r="BQ31" s="7"/>
      <c r="BR31" s="7"/>
      <c r="BS31" s="7"/>
      <c r="BT31" s="7"/>
    </row>
    <row r="32">
      <c r="A32" s="249" t="str">
        <f>IF(preDEL!$AG32,IFERROR(0/0,""),preDEL!A32)</f>
        <v/>
      </c>
      <c r="B32" s="250" t="str">
        <f>IF(preDEL!$AG32,IFERROR(0/0,""),preDEL!B32)</f>
        <v/>
      </c>
      <c r="C32" s="251" t="str">
        <f>IF(preDEL!$AG32,IFERROR(0/0,""),preDEL!C32)</f>
        <v/>
      </c>
      <c r="D32" s="249" t="str">
        <f>IF(preDEL!$AG32,IFERROR(0/0,""),preDEL!D32)</f>
        <v/>
      </c>
      <c r="E32" s="249" t="str">
        <f>IF(preDEL!$AG32,IFERROR(0/0,""),preDEL!E32)</f>
        <v/>
      </c>
      <c r="F32" s="94" t="str">
        <f>IF(preDEL!$AG32,IFERROR(0/0,""),preDEL!F32)</f>
        <v/>
      </c>
      <c r="G32" s="94" t="str">
        <f>IF(preDEL!$AG32,IFERROR(0/0,""),preDEL!G32)</f>
        <v/>
      </c>
      <c r="H32" s="94" t="str">
        <f>IF(preDEL!$AG32,IFERROR(0/0,""),preDEL!H32)</f>
        <v/>
      </c>
      <c r="I32" s="249" t="str">
        <f>IF(preDEL!$AG32,IFERROR(0/0,""),preDEL!I32)</f>
        <v/>
      </c>
      <c r="J32" s="249" t="str">
        <f>IF(preDEL!$AG32,IFERROR(0/0,""),preDEL!J32)</f>
        <v/>
      </c>
      <c r="K32" s="249" t="str">
        <f>IF(preDEL!$AG32,IFERROR(0/0,""),preDEL!K32)</f>
        <v/>
      </c>
      <c r="L32" s="250" t="str">
        <f>IF(preDEL!$AG32,IFERROR(0/0,""),preDEL!L32)</f>
        <v/>
      </c>
      <c r="M32" s="251" t="str">
        <f>IF(preDEL!$AG32,IFERROR(0/0,""),preDEL!M32)</f>
        <v/>
      </c>
      <c r="N32" s="94" t="str">
        <f>IF(preDEL!$AG32,IFERROR(0/0,""),preDEL!N32)</f>
        <v/>
      </c>
      <c r="O32" s="94" t="str">
        <f>IF(preDEL!$AG32,IFERROR(0/0,""),preDEL!O32)</f>
        <v/>
      </c>
      <c r="P32" s="93" t="str">
        <f>IF(preDEL!$AG32,IFERROR(0/0,""),preDEL!P32)</f>
        <v/>
      </c>
      <c r="Q32" s="93" t="str">
        <f>IF(preDEL!$AG32,IFERROR(0/0,""),preDEL!Q32)</f>
        <v/>
      </c>
      <c r="R32" s="99" t="str">
        <f>IF(preDEL!$AG32,IFERROR(0/0,""),preDEL!R32)</f>
        <v/>
      </c>
      <c r="S32" s="99" t="str">
        <f>IF(preDEL!$AG32,IFERROR(0/0,""),preDEL!S32)</f>
        <v/>
      </c>
      <c r="T32" s="93" t="str">
        <f>IF(preDEL!$AG32,IFERROR(0/0,""),preDEL!T32)</f>
        <v/>
      </c>
      <c r="U32" s="94" t="str">
        <f>IF(preDEL!$AG32,IFERROR(0/0,""),preDEL!U32)</f>
        <v/>
      </c>
      <c r="V32" s="249" t="str">
        <f>IF(preDEL!$AG32,IFERROR(0/0,""),preDEL!V32)</f>
        <v/>
      </c>
      <c r="W32" s="94" t="str">
        <f>IF(preDEL!$AG32,IFERROR(0/0,""),preDEL!W32)</f>
        <v/>
      </c>
      <c r="X32" s="99" t="str">
        <f>IF(preDEL!$AG32,IFERROR(0/0,""),preDEL!X32)</f>
        <v/>
      </c>
      <c r="Y32" s="93" t="str">
        <f>IF(preDEL!$AG32,IFERROR(0/0,""),preDEL!Y32)</f>
        <v/>
      </c>
      <c r="Z32" s="249" t="str">
        <f>IF(preDEL!$AG32,IFERROR(0/0,""),preDEL!Z32)</f>
        <v/>
      </c>
      <c r="AA32" s="93" t="str">
        <f>IF(preDEL!$AG32,IFERROR(0/0,""),preDEL!AA32)</f>
        <v/>
      </c>
      <c r="AB32" s="93" t="str">
        <f>IF(preDEL!$AG32,IFERROR(0/0,""),preDEL!AB32)</f>
        <v/>
      </c>
      <c r="AC32" s="252" t="str">
        <f>IF(preDEL!$AG32,IFERROR(0/0,""),preDEL!AC32)</f>
        <v/>
      </c>
      <c r="AD32" s="99" t="str">
        <f>IF(preDEL!$AG32,IFERROR(0/0,""),preDEL!AD32)</f>
        <v/>
      </c>
      <c r="AE32" s="253" t="str">
        <f>IF(preDEL!$AG32,IFERROR(0/0,""),preDEL!AE32)</f>
        <v/>
      </c>
      <c r="AF32" s="93" t="str">
        <f>IF(preDEL!$AG32,IFERROR(0/0,""),preDEL!AF32)</f>
        <v/>
      </c>
      <c r="AG32" s="93" t="str">
        <f>IF(preDEL!$AG32,IFERROR(0/0,""),preDEL!AG32)</f>
        <v/>
      </c>
      <c r="AH32" s="99" t="str">
        <f>IF(preDEL!$AG32,IFERROR(0/0,""),preDEL!AH32)</f>
        <v/>
      </c>
      <c r="AI32" s="249" t="str">
        <f>IF(preDEL!$AG32,IFERROR(0/0,""),preDEL!AI32)</f>
        <v/>
      </c>
      <c r="AJ32" s="94" t="str">
        <f>IF(preDEL!$AG32,IFERROR(0/0,""),preDEL!AJ32)</f>
        <v/>
      </c>
      <c r="AK32" s="249" t="str">
        <f>IF(preDEL!$AG32,IFERROR(0/0,""),preDEL!AK32)</f>
        <v/>
      </c>
      <c r="AL32" s="94" t="str">
        <f>IF(preDEL!$AG32,IFERROR(0/0,""),preDEL!AL32)</f>
        <v/>
      </c>
      <c r="AM32" s="94" t="str">
        <f>IF(preDEL!$AG32,IFERROR(0/0,""),preDEL!AM32)</f>
        <v/>
      </c>
      <c r="AN32" s="94" t="str">
        <f>IF(preDEL!$AG32,IFERROR(0/0,""),preDEL!AN32)</f>
        <v/>
      </c>
      <c r="AO32" s="94" t="str">
        <f>IF(preDEL!$AG32,IFERROR(0/0,""),preDEL!AO32)</f>
        <v/>
      </c>
      <c r="AP32" s="94" t="str">
        <f>IF(preDEL!$AG32,IFERROR(0/0,""),preDEL!AP32)</f>
        <v/>
      </c>
      <c r="AQ32" s="94" t="str">
        <f>IF(preDEL!$AG32,IFERROR(0/0,""),preDEL!AQ32)</f>
        <v/>
      </c>
      <c r="AR32" s="94" t="str">
        <f>IF(preDEL!$AG32,IFERROR(0/0,""),preDEL!AR32)</f>
        <v/>
      </c>
      <c r="AS32" s="98"/>
      <c r="BE32" s="254"/>
      <c r="BF32" s="255"/>
      <c r="BG32" s="254"/>
      <c r="BH32" s="255"/>
      <c r="BI32" s="254"/>
      <c r="BJ32" s="254"/>
      <c r="BK32" s="254"/>
      <c r="BL32" s="254"/>
      <c r="BN32" s="7"/>
      <c r="BO32" s="7"/>
      <c r="BP32" s="7"/>
      <c r="BQ32" s="7"/>
      <c r="BR32" s="7"/>
      <c r="BS32" s="7"/>
      <c r="BT32" s="7"/>
    </row>
    <row r="33">
      <c r="A33" s="249" t="str">
        <f>IF(preDEL!$AG33,IFERROR(0/0,""),preDEL!A33)</f>
        <v/>
      </c>
      <c r="B33" s="250" t="str">
        <f>IF(preDEL!$AG33,IFERROR(0/0,""),preDEL!B33)</f>
        <v/>
      </c>
      <c r="C33" s="251" t="str">
        <f>IF(preDEL!$AG33,IFERROR(0/0,""),preDEL!C33)</f>
        <v/>
      </c>
      <c r="D33" s="249" t="str">
        <f>IF(preDEL!$AG33,IFERROR(0/0,""),preDEL!D33)</f>
        <v/>
      </c>
      <c r="E33" s="249" t="str">
        <f>IF(preDEL!$AG33,IFERROR(0/0,""),preDEL!E33)</f>
        <v/>
      </c>
      <c r="F33" s="94" t="str">
        <f>IF(preDEL!$AG33,IFERROR(0/0,""),preDEL!F33)</f>
        <v/>
      </c>
      <c r="G33" s="94" t="str">
        <f>IF(preDEL!$AG33,IFERROR(0/0,""),preDEL!G33)</f>
        <v/>
      </c>
      <c r="H33" s="94" t="str">
        <f>IF(preDEL!$AG33,IFERROR(0/0,""),preDEL!H33)</f>
        <v/>
      </c>
      <c r="I33" s="249" t="str">
        <f>IF(preDEL!$AG33,IFERROR(0/0,""),preDEL!I33)</f>
        <v/>
      </c>
      <c r="J33" s="249" t="str">
        <f>IF(preDEL!$AG33,IFERROR(0/0,""),preDEL!J33)</f>
        <v/>
      </c>
      <c r="K33" s="249" t="str">
        <f>IF(preDEL!$AG33,IFERROR(0/0,""),preDEL!K33)</f>
        <v/>
      </c>
      <c r="L33" s="250" t="str">
        <f>IF(preDEL!$AG33,IFERROR(0/0,""),preDEL!L33)</f>
        <v/>
      </c>
      <c r="M33" s="251" t="str">
        <f>IF(preDEL!$AG33,IFERROR(0/0,""),preDEL!M33)</f>
        <v/>
      </c>
      <c r="N33" s="94" t="str">
        <f>IF(preDEL!$AG33,IFERROR(0/0,""),preDEL!N33)</f>
        <v/>
      </c>
      <c r="O33" s="94" t="str">
        <f>IF(preDEL!$AG33,IFERROR(0/0,""),preDEL!O33)</f>
        <v/>
      </c>
      <c r="P33" s="93" t="str">
        <f>IF(preDEL!$AG33,IFERROR(0/0,""),preDEL!P33)</f>
        <v/>
      </c>
      <c r="Q33" s="93" t="str">
        <f>IF(preDEL!$AG33,IFERROR(0/0,""),preDEL!Q33)</f>
        <v/>
      </c>
      <c r="R33" s="99" t="str">
        <f>IF(preDEL!$AG33,IFERROR(0/0,""),preDEL!R33)</f>
        <v/>
      </c>
      <c r="S33" s="99" t="str">
        <f>IF(preDEL!$AG33,IFERROR(0/0,""),preDEL!S33)</f>
        <v/>
      </c>
      <c r="T33" s="93" t="str">
        <f>IF(preDEL!$AG33,IFERROR(0/0,""),preDEL!T33)</f>
        <v/>
      </c>
      <c r="U33" s="94" t="str">
        <f>IF(preDEL!$AG33,IFERROR(0/0,""),preDEL!U33)</f>
        <v/>
      </c>
      <c r="V33" s="249" t="str">
        <f>IF(preDEL!$AG33,IFERROR(0/0,""),preDEL!V33)</f>
        <v/>
      </c>
      <c r="W33" s="94" t="str">
        <f>IF(preDEL!$AG33,IFERROR(0/0,""),preDEL!W33)</f>
        <v/>
      </c>
      <c r="X33" s="99" t="str">
        <f>IF(preDEL!$AG33,IFERROR(0/0,""),preDEL!X33)</f>
        <v/>
      </c>
      <c r="Y33" s="93" t="str">
        <f>IF(preDEL!$AG33,IFERROR(0/0,""),preDEL!Y33)</f>
        <v/>
      </c>
      <c r="Z33" s="249" t="str">
        <f>IF(preDEL!$AG33,IFERROR(0/0,""),preDEL!Z33)</f>
        <v/>
      </c>
      <c r="AA33" s="93" t="str">
        <f>IF(preDEL!$AG33,IFERROR(0/0,""),preDEL!AA33)</f>
        <v/>
      </c>
      <c r="AB33" s="93" t="str">
        <f>IF(preDEL!$AG33,IFERROR(0/0,""),preDEL!AB33)</f>
        <v/>
      </c>
      <c r="AC33" s="252" t="str">
        <f>IF(preDEL!$AG33,IFERROR(0/0,""),preDEL!AC33)</f>
        <v/>
      </c>
      <c r="AD33" s="99" t="str">
        <f>IF(preDEL!$AG33,IFERROR(0/0,""),preDEL!AD33)</f>
        <v/>
      </c>
      <c r="AE33" s="253" t="str">
        <f>IF(preDEL!$AG33,IFERROR(0/0,""),preDEL!AE33)</f>
        <v/>
      </c>
      <c r="AF33" s="93" t="str">
        <f>IF(preDEL!$AG33,IFERROR(0/0,""),preDEL!AF33)</f>
        <v/>
      </c>
      <c r="AG33" s="93" t="str">
        <f>IF(preDEL!$AG33,IFERROR(0/0,""),preDEL!AG33)</f>
        <v/>
      </c>
      <c r="AH33" s="99" t="str">
        <f>IF(preDEL!$AG33,IFERROR(0/0,""),preDEL!AH33)</f>
        <v/>
      </c>
      <c r="AI33" s="249" t="str">
        <f>IF(preDEL!$AG33,IFERROR(0/0,""),preDEL!AI33)</f>
        <v/>
      </c>
      <c r="AJ33" s="94" t="str">
        <f>IF(preDEL!$AG33,IFERROR(0/0,""),preDEL!AJ33)</f>
        <v/>
      </c>
      <c r="AK33" s="249" t="str">
        <f>IF(preDEL!$AG33,IFERROR(0/0,""),preDEL!AK33)</f>
        <v/>
      </c>
      <c r="AL33" s="94" t="str">
        <f>IF(preDEL!$AG33,IFERROR(0/0,""),preDEL!AL33)</f>
        <v/>
      </c>
      <c r="AM33" s="94" t="str">
        <f>IF(preDEL!$AG33,IFERROR(0/0,""),preDEL!AM33)</f>
        <v/>
      </c>
      <c r="AN33" s="94" t="str">
        <f>IF(preDEL!$AG33,IFERROR(0/0,""),preDEL!AN33)</f>
        <v/>
      </c>
      <c r="AO33" s="94" t="str">
        <f>IF(preDEL!$AG33,IFERROR(0/0,""),preDEL!AO33)</f>
        <v/>
      </c>
      <c r="AP33" s="94" t="str">
        <f>IF(preDEL!$AG33,IFERROR(0/0,""),preDEL!AP33)</f>
        <v/>
      </c>
      <c r="AQ33" s="94" t="str">
        <f>IF(preDEL!$AG33,IFERROR(0/0,""),preDEL!AQ33)</f>
        <v/>
      </c>
      <c r="AR33" s="94" t="str">
        <f>IF(preDEL!$AG33,IFERROR(0/0,""),preDEL!AR33)</f>
        <v/>
      </c>
      <c r="AS33" s="98"/>
      <c r="BE33" s="254"/>
      <c r="BF33" s="255"/>
      <c r="BG33" s="254"/>
      <c r="BH33" s="255"/>
      <c r="BI33" s="254"/>
      <c r="BJ33" s="254"/>
      <c r="BK33" s="254"/>
      <c r="BL33" s="254"/>
      <c r="BN33" s="7"/>
      <c r="BO33" s="7"/>
      <c r="BP33" s="7"/>
      <c r="BQ33" s="7"/>
      <c r="BR33" s="7"/>
      <c r="BS33" s="7"/>
      <c r="BT33" s="7"/>
    </row>
    <row r="34">
      <c r="A34" s="249" t="str">
        <f>IF(preDEL!$AG34,IFERROR(0/0,""),preDEL!A34)</f>
        <v/>
      </c>
      <c r="B34" s="250" t="str">
        <f>IF(preDEL!$AG34,IFERROR(0/0,""),preDEL!B34)</f>
        <v/>
      </c>
      <c r="C34" s="251" t="str">
        <f>IF(preDEL!$AG34,IFERROR(0/0,""),preDEL!C34)</f>
        <v/>
      </c>
      <c r="D34" s="249" t="str">
        <f>IF(preDEL!$AG34,IFERROR(0/0,""),preDEL!D34)</f>
        <v/>
      </c>
      <c r="E34" s="249" t="str">
        <f>IF(preDEL!$AG34,IFERROR(0/0,""),preDEL!E34)</f>
        <v/>
      </c>
      <c r="F34" s="94" t="str">
        <f>IF(preDEL!$AG34,IFERROR(0/0,""),preDEL!F34)</f>
        <v/>
      </c>
      <c r="G34" s="94" t="str">
        <f>IF(preDEL!$AG34,IFERROR(0/0,""),preDEL!G34)</f>
        <v/>
      </c>
      <c r="H34" s="94" t="str">
        <f>IF(preDEL!$AG34,IFERROR(0/0,""),preDEL!H34)</f>
        <v/>
      </c>
      <c r="I34" s="249" t="str">
        <f>IF(preDEL!$AG34,IFERROR(0/0,""),preDEL!I34)</f>
        <v/>
      </c>
      <c r="J34" s="249" t="str">
        <f>IF(preDEL!$AG34,IFERROR(0/0,""),preDEL!J34)</f>
        <v/>
      </c>
      <c r="K34" s="249" t="str">
        <f>IF(preDEL!$AG34,IFERROR(0/0,""),preDEL!K34)</f>
        <v/>
      </c>
      <c r="L34" s="250" t="str">
        <f>IF(preDEL!$AG34,IFERROR(0/0,""),preDEL!L34)</f>
        <v/>
      </c>
      <c r="M34" s="251" t="str">
        <f>IF(preDEL!$AG34,IFERROR(0/0,""),preDEL!M34)</f>
        <v/>
      </c>
      <c r="N34" s="94" t="str">
        <f>IF(preDEL!$AG34,IFERROR(0/0,""),preDEL!N34)</f>
        <v/>
      </c>
      <c r="O34" s="94" t="str">
        <f>IF(preDEL!$AG34,IFERROR(0/0,""),preDEL!O34)</f>
        <v/>
      </c>
      <c r="P34" s="93" t="str">
        <f>IF(preDEL!$AG34,IFERROR(0/0,""),preDEL!P34)</f>
        <v/>
      </c>
      <c r="Q34" s="93" t="str">
        <f>IF(preDEL!$AG34,IFERROR(0/0,""),preDEL!Q34)</f>
        <v/>
      </c>
      <c r="R34" s="99" t="str">
        <f>IF(preDEL!$AG34,IFERROR(0/0,""),preDEL!R34)</f>
        <v/>
      </c>
      <c r="S34" s="99" t="str">
        <f>IF(preDEL!$AG34,IFERROR(0/0,""),preDEL!S34)</f>
        <v/>
      </c>
      <c r="T34" s="93" t="str">
        <f>IF(preDEL!$AG34,IFERROR(0/0,""),preDEL!T34)</f>
        <v/>
      </c>
      <c r="U34" s="94" t="str">
        <f>IF(preDEL!$AG34,IFERROR(0/0,""),preDEL!U34)</f>
        <v/>
      </c>
      <c r="V34" s="249" t="str">
        <f>IF(preDEL!$AG34,IFERROR(0/0,""),preDEL!V34)</f>
        <v/>
      </c>
      <c r="W34" s="94" t="str">
        <f>IF(preDEL!$AG34,IFERROR(0/0,""),preDEL!W34)</f>
        <v/>
      </c>
      <c r="X34" s="99" t="str">
        <f>IF(preDEL!$AG34,IFERROR(0/0,""),preDEL!X34)</f>
        <v/>
      </c>
      <c r="Y34" s="93" t="str">
        <f>IF(preDEL!$AG34,IFERROR(0/0,""),preDEL!Y34)</f>
        <v/>
      </c>
      <c r="Z34" s="249" t="str">
        <f>IF(preDEL!$AG34,IFERROR(0/0,""),preDEL!Z34)</f>
        <v/>
      </c>
      <c r="AA34" s="93" t="str">
        <f>IF(preDEL!$AG34,IFERROR(0/0,""),preDEL!AA34)</f>
        <v/>
      </c>
      <c r="AB34" s="93" t="str">
        <f>IF(preDEL!$AG34,IFERROR(0/0,""),preDEL!AB34)</f>
        <v/>
      </c>
      <c r="AC34" s="252" t="str">
        <f>IF(preDEL!$AG34,IFERROR(0/0,""),preDEL!AC34)</f>
        <v/>
      </c>
      <c r="AD34" s="99" t="str">
        <f>IF(preDEL!$AG34,IFERROR(0/0,""),preDEL!AD34)</f>
        <v/>
      </c>
      <c r="AE34" s="253" t="str">
        <f>IF(preDEL!$AG34,IFERROR(0/0,""),preDEL!AE34)</f>
        <v/>
      </c>
      <c r="AF34" s="93" t="str">
        <f>IF(preDEL!$AG34,IFERROR(0/0,""),preDEL!AF34)</f>
        <v/>
      </c>
      <c r="AG34" s="93" t="str">
        <f>IF(preDEL!$AG34,IFERROR(0/0,""),preDEL!AG34)</f>
        <v/>
      </c>
      <c r="AH34" s="99" t="str">
        <f>IF(preDEL!$AG34,IFERROR(0/0,""),preDEL!AH34)</f>
        <v/>
      </c>
      <c r="AI34" s="249" t="str">
        <f>IF(preDEL!$AG34,IFERROR(0/0,""),preDEL!AI34)</f>
        <v/>
      </c>
      <c r="AJ34" s="94" t="str">
        <f>IF(preDEL!$AG34,IFERROR(0/0,""),preDEL!AJ34)</f>
        <v/>
      </c>
      <c r="AK34" s="249" t="str">
        <f>IF(preDEL!$AG34,IFERROR(0/0,""),preDEL!AK34)</f>
        <v/>
      </c>
      <c r="AL34" s="94" t="str">
        <f>IF(preDEL!$AG34,IFERROR(0/0,""),preDEL!AL34)</f>
        <v/>
      </c>
      <c r="AM34" s="94" t="str">
        <f>IF(preDEL!$AG34,IFERROR(0/0,""),preDEL!AM34)</f>
        <v/>
      </c>
      <c r="AN34" s="94" t="str">
        <f>IF(preDEL!$AG34,IFERROR(0/0,""),preDEL!AN34)</f>
        <v/>
      </c>
      <c r="AO34" s="94" t="str">
        <f>IF(preDEL!$AG34,IFERROR(0/0,""),preDEL!AO34)</f>
        <v/>
      </c>
      <c r="AP34" s="94" t="str">
        <f>IF(preDEL!$AG34,IFERROR(0/0,""),preDEL!AP34)</f>
        <v/>
      </c>
      <c r="AQ34" s="94" t="str">
        <f>IF(preDEL!$AG34,IFERROR(0/0,""),preDEL!AQ34)</f>
        <v/>
      </c>
      <c r="AR34" s="94" t="str">
        <f>IF(preDEL!$AG34,IFERROR(0/0,""),preDEL!AR34)</f>
        <v/>
      </c>
      <c r="AS34" s="98"/>
      <c r="BE34" s="254"/>
      <c r="BF34" s="255"/>
      <c r="BG34" s="254"/>
      <c r="BH34" s="255"/>
      <c r="BI34" s="254"/>
      <c r="BJ34" s="254"/>
      <c r="BK34" s="254"/>
      <c r="BL34" s="254"/>
      <c r="BN34" s="7"/>
      <c r="BO34" s="7"/>
      <c r="BP34" s="7"/>
      <c r="BQ34" s="7"/>
      <c r="BR34" s="7"/>
      <c r="BS34" s="7"/>
      <c r="BT34" s="7"/>
    </row>
    <row r="35">
      <c r="A35" s="249" t="str">
        <f>IF(preDEL!$AG35,IFERROR(0/0,""),preDEL!A35)</f>
        <v/>
      </c>
      <c r="B35" s="250" t="str">
        <f>IF(preDEL!$AG35,IFERROR(0/0,""),preDEL!B35)</f>
        <v/>
      </c>
      <c r="C35" s="251" t="str">
        <f>IF(preDEL!$AG35,IFERROR(0/0,""),preDEL!C35)</f>
        <v/>
      </c>
      <c r="D35" s="249" t="str">
        <f>IF(preDEL!$AG35,IFERROR(0/0,""),preDEL!D35)</f>
        <v/>
      </c>
      <c r="E35" s="249" t="str">
        <f>IF(preDEL!$AG35,IFERROR(0/0,""),preDEL!E35)</f>
        <v/>
      </c>
      <c r="F35" s="94" t="str">
        <f>IF(preDEL!$AG35,IFERROR(0/0,""),preDEL!F35)</f>
        <v/>
      </c>
      <c r="G35" s="94" t="str">
        <f>IF(preDEL!$AG35,IFERROR(0/0,""),preDEL!G35)</f>
        <v/>
      </c>
      <c r="H35" s="94" t="str">
        <f>IF(preDEL!$AG35,IFERROR(0/0,""),preDEL!H35)</f>
        <v/>
      </c>
      <c r="I35" s="249" t="str">
        <f>IF(preDEL!$AG35,IFERROR(0/0,""),preDEL!I35)</f>
        <v/>
      </c>
      <c r="J35" s="249" t="str">
        <f>IF(preDEL!$AG35,IFERROR(0/0,""),preDEL!J35)</f>
        <v/>
      </c>
      <c r="K35" s="249" t="str">
        <f>IF(preDEL!$AG35,IFERROR(0/0,""),preDEL!K35)</f>
        <v/>
      </c>
      <c r="L35" s="250" t="str">
        <f>IF(preDEL!$AG35,IFERROR(0/0,""),preDEL!L35)</f>
        <v/>
      </c>
      <c r="M35" s="251" t="str">
        <f>IF(preDEL!$AG35,IFERROR(0/0,""),preDEL!M35)</f>
        <v/>
      </c>
      <c r="N35" s="94" t="str">
        <f>IF(preDEL!$AG35,IFERROR(0/0,""),preDEL!N35)</f>
        <v/>
      </c>
      <c r="O35" s="94" t="str">
        <f>IF(preDEL!$AG35,IFERROR(0/0,""),preDEL!O35)</f>
        <v/>
      </c>
      <c r="P35" s="93" t="str">
        <f>IF(preDEL!$AG35,IFERROR(0/0,""),preDEL!P35)</f>
        <v/>
      </c>
      <c r="Q35" s="93" t="str">
        <f>IF(preDEL!$AG35,IFERROR(0/0,""),preDEL!Q35)</f>
        <v/>
      </c>
      <c r="R35" s="99" t="str">
        <f>IF(preDEL!$AG35,IFERROR(0/0,""),preDEL!R35)</f>
        <v/>
      </c>
      <c r="S35" s="99" t="str">
        <f>IF(preDEL!$AG35,IFERROR(0/0,""),preDEL!S35)</f>
        <v/>
      </c>
      <c r="T35" s="93" t="str">
        <f>IF(preDEL!$AG35,IFERROR(0/0,""),preDEL!T35)</f>
        <v/>
      </c>
      <c r="U35" s="94" t="str">
        <f>IF(preDEL!$AG35,IFERROR(0/0,""),preDEL!U35)</f>
        <v/>
      </c>
      <c r="V35" s="249" t="str">
        <f>IF(preDEL!$AG35,IFERROR(0/0,""),preDEL!V35)</f>
        <v/>
      </c>
      <c r="W35" s="94" t="str">
        <f>IF(preDEL!$AG35,IFERROR(0/0,""),preDEL!W35)</f>
        <v/>
      </c>
      <c r="X35" s="99" t="str">
        <f>IF(preDEL!$AG35,IFERROR(0/0,""),preDEL!X35)</f>
        <v/>
      </c>
      <c r="Y35" s="93" t="str">
        <f>IF(preDEL!$AG35,IFERROR(0/0,""),preDEL!Y35)</f>
        <v/>
      </c>
      <c r="Z35" s="249" t="str">
        <f>IF(preDEL!$AG35,IFERROR(0/0,""),preDEL!Z35)</f>
        <v/>
      </c>
      <c r="AA35" s="93" t="str">
        <f>IF(preDEL!$AG35,IFERROR(0/0,""),preDEL!AA35)</f>
        <v/>
      </c>
      <c r="AB35" s="93" t="str">
        <f>IF(preDEL!$AG35,IFERROR(0/0,""),preDEL!AB35)</f>
        <v/>
      </c>
      <c r="AC35" s="252" t="str">
        <f>IF(preDEL!$AG35,IFERROR(0/0,""),preDEL!AC35)</f>
        <v/>
      </c>
      <c r="AD35" s="99" t="str">
        <f>IF(preDEL!$AG35,IFERROR(0/0,""),preDEL!AD35)</f>
        <v/>
      </c>
      <c r="AE35" s="253" t="str">
        <f>IF(preDEL!$AG35,IFERROR(0/0,""),preDEL!AE35)</f>
        <v/>
      </c>
      <c r="AF35" s="93" t="str">
        <f>IF(preDEL!$AG35,IFERROR(0/0,""),preDEL!AF35)</f>
        <v/>
      </c>
      <c r="AG35" s="93" t="str">
        <f>IF(preDEL!$AG35,IFERROR(0/0,""),preDEL!AG35)</f>
        <v/>
      </c>
      <c r="AH35" s="99" t="str">
        <f>IF(preDEL!$AG35,IFERROR(0/0,""),preDEL!AH35)</f>
        <v/>
      </c>
      <c r="AI35" s="249" t="str">
        <f>IF(preDEL!$AG35,IFERROR(0/0,""),preDEL!AI35)</f>
        <v/>
      </c>
      <c r="AJ35" s="94" t="str">
        <f>IF(preDEL!$AG35,IFERROR(0/0,""),preDEL!AJ35)</f>
        <v/>
      </c>
      <c r="AK35" s="249" t="str">
        <f>IF(preDEL!$AG35,IFERROR(0/0,""),preDEL!AK35)</f>
        <v/>
      </c>
      <c r="AL35" s="94" t="str">
        <f>IF(preDEL!$AG35,IFERROR(0/0,""),preDEL!AL35)</f>
        <v/>
      </c>
      <c r="AM35" s="94" t="str">
        <f>IF(preDEL!$AG35,IFERROR(0/0,""),preDEL!AM35)</f>
        <v/>
      </c>
      <c r="AN35" s="94" t="str">
        <f>IF(preDEL!$AG35,IFERROR(0/0,""),preDEL!AN35)</f>
        <v/>
      </c>
      <c r="AO35" s="94" t="str">
        <f>IF(preDEL!$AG35,IFERROR(0/0,""),preDEL!AO35)</f>
        <v/>
      </c>
      <c r="AP35" s="94" t="str">
        <f>IF(preDEL!$AG35,IFERROR(0/0,""),preDEL!AP35)</f>
        <v/>
      </c>
      <c r="AQ35" s="94" t="str">
        <f>IF(preDEL!$AG35,IFERROR(0/0,""),preDEL!AQ35)</f>
        <v/>
      </c>
      <c r="AR35" s="94" t="str">
        <f>IF(preDEL!$AG35,IFERROR(0/0,""),preDEL!AR35)</f>
        <v/>
      </c>
      <c r="AS35" s="98"/>
      <c r="BE35" s="254"/>
      <c r="BF35" s="255"/>
      <c r="BG35" s="254"/>
      <c r="BH35" s="255"/>
      <c r="BI35" s="254"/>
      <c r="BJ35" s="254"/>
      <c r="BK35" s="254"/>
      <c r="BL35" s="254"/>
      <c r="BN35" s="7"/>
      <c r="BO35" s="7"/>
      <c r="BP35" s="7"/>
      <c r="BQ35" s="7"/>
      <c r="BR35" s="7"/>
      <c r="BS35" s="7"/>
      <c r="BT35" s="7"/>
    </row>
    <row r="36">
      <c r="A36" s="249" t="str">
        <f>IF(preDEL!$AG36,IFERROR(0/0,""),preDEL!A36)</f>
        <v/>
      </c>
      <c r="B36" s="250" t="str">
        <f>IF(preDEL!$AG36,IFERROR(0/0,""),preDEL!B36)</f>
        <v/>
      </c>
      <c r="C36" s="251" t="str">
        <f>IF(preDEL!$AG36,IFERROR(0/0,""),preDEL!C36)</f>
        <v/>
      </c>
      <c r="D36" s="249" t="str">
        <f>IF(preDEL!$AG36,IFERROR(0/0,""),preDEL!D36)</f>
        <v/>
      </c>
      <c r="E36" s="249" t="str">
        <f>IF(preDEL!$AG36,IFERROR(0/0,""),preDEL!E36)</f>
        <v/>
      </c>
      <c r="F36" s="94" t="str">
        <f>IF(preDEL!$AG36,IFERROR(0/0,""),preDEL!F36)</f>
        <v/>
      </c>
      <c r="G36" s="94" t="str">
        <f>IF(preDEL!$AG36,IFERROR(0/0,""),preDEL!G36)</f>
        <v/>
      </c>
      <c r="H36" s="94" t="str">
        <f>IF(preDEL!$AG36,IFERROR(0/0,""),preDEL!H36)</f>
        <v/>
      </c>
      <c r="I36" s="249" t="str">
        <f>IF(preDEL!$AG36,IFERROR(0/0,""),preDEL!I36)</f>
        <v/>
      </c>
      <c r="J36" s="249" t="str">
        <f>IF(preDEL!$AG36,IFERROR(0/0,""),preDEL!J36)</f>
        <v/>
      </c>
      <c r="K36" s="249" t="str">
        <f>IF(preDEL!$AG36,IFERROR(0/0,""),preDEL!K36)</f>
        <v/>
      </c>
      <c r="L36" s="250" t="str">
        <f>IF(preDEL!$AG36,IFERROR(0/0,""),preDEL!L36)</f>
        <v/>
      </c>
      <c r="M36" s="251" t="str">
        <f>IF(preDEL!$AG36,IFERROR(0/0,""),preDEL!M36)</f>
        <v/>
      </c>
      <c r="N36" s="94" t="str">
        <f>IF(preDEL!$AG36,IFERROR(0/0,""),preDEL!N36)</f>
        <v/>
      </c>
      <c r="O36" s="94" t="str">
        <f>IF(preDEL!$AG36,IFERROR(0/0,""),preDEL!O36)</f>
        <v/>
      </c>
      <c r="P36" s="93" t="str">
        <f>IF(preDEL!$AG36,IFERROR(0/0,""),preDEL!P36)</f>
        <v/>
      </c>
      <c r="Q36" s="93" t="str">
        <f>IF(preDEL!$AG36,IFERROR(0/0,""),preDEL!Q36)</f>
        <v/>
      </c>
      <c r="R36" s="99" t="str">
        <f>IF(preDEL!$AG36,IFERROR(0/0,""),preDEL!R36)</f>
        <v/>
      </c>
      <c r="S36" s="99" t="str">
        <f>IF(preDEL!$AG36,IFERROR(0/0,""),preDEL!S36)</f>
        <v/>
      </c>
      <c r="T36" s="93" t="str">
        <f>IF(preDEL!$AG36,IFERROR(0/0,""),preDEL!T36)</f>
        <v/>
      </c>
      <c r="U36" s="94" t="str">
        <f>IF(preDEL!$AG36,IFERROR(0/0,""),preDEL!U36)</f>
        <v/>
      </c>
      <c r="V36" s="249" t="str">
        <f>IF(preDEL!$AG36,IFERROR(0/0,""),preDEL!V36)</f>
        <v/>
      </c>
      <c r="W36" s="94" t="str">
        <f>IF(preDEL!$AG36,IFERROR(0/0,""),preDEL!W36)</f>
        <v/>
      </c>
      <c r="X36" s="99" t="str">
        <f>IF(preDEL!$AG36,IFERROR(0/0,""),preDEL!X36)</f>
        <v/>
      </c>
      <c r="Y36" s="93" t="str">
        <f>IF(preDEL!$AG36,IFERROR(0/0,""),preDEL!Y36)</f>
        <v/>
      </c>
      <c r="Z36" s="249" t="str">
        <f>IF(preDEL!$AG36,IFERROR(0/0,""),preDEL!Z36)</f>
        <v/>
      </c>
      <c r="AA36" s="93" t="str">
        <f>IF(preDEL!$AG36,IFERROR(0/0,""),preDEL!AA36)</f>
        <v/>
      </c>
      <c r="AB36" s="93" t="str">
        <f>IF(preDEL!$AG36,IFERROR(0/0,""),preDEL!AB36)</f>
        <v/>
      </c>
      <c r="AC36" s="252" t="str">
        <f>IF(preDEL!$AG36,IFERROR(0/0,""),preDEL!AC36)</f>
        <v/>
      </c>
      <c r="AD36" s="99" t="str">
        <f>IF(preDEL!$AG36,IFERROR(0/0,""),preDEL!AD36)</f>
        <v/>
      </c>
      <c r="AE36" s="253" t="str">
        <f>IF(preDEL!$AG36,IFERROR(0/0,""),preDEL!AE36)</f>
        <v/>
      </c>
      <c r="AF36" s="93" t="str">
        <f>IF(preDEL!$AG36,IFERROR(0/0,""),preDEL!AF36)</f>
        <v/>
      </c>
      <c r="AG36" s="93" t="str">
        <f>IF(preDEL!$AG36,IFERROR(0/0,""),preDEL!AG36)</f>
        <v/>
      </c>
      <c r="AH36" s="99" t="str">
        <f>IF(preDEL!$AG36,IFERROR(0/0,""),preDEL!AH36)</f>
        <v/>
      </c>
      <c r="AI36" s="249" t="str">
        <f>IF(preDEL!$AG36,IFERROR(0/0,""),preDEL!AI36)</f>
        <v/>
      </c>
      <c r="AJ36" s="94" t="str">
        <f>IF(preDEL!$AG36,IFERROR(0/0,""),preDEL!AJ36)</f>
        <v/>
      </c>
      <c r="AK36" s="249" t="str">
        <f>IF(preDEL!$AG36,IFERROR(0/0,""),preDEL!AK36)</f>
        <v/>
      </c>
      <c r="AL36" s="94" t="str">
        <f>IF(preDEL!$AG36,IFERROR(0/0,""),preDEL!AL36)</f>
        <v/>
      </c>
      <c r="AM36" s="94" t="str">
        <f>IF(preDEL!$AG36,IFERROR(0/0,""),preDEL!AM36)</f>
        <v/>
      </c>
      <c r="AN36" s="94" t="str">
        <f>IF(preDEL!$AG36,IFERROR(0/0,""),preDEL!AN36)</f>
        <v/>
      </c>
      <c r="AO36" s="94" t="str">
        <f>IF(preDEL!$AG36,IFERROR(0/0,""),preDEL!AO36)</f>
        <v/>
      </c>
      <c r="AP36" s="94" t="str">
        <f>IF(preDEL!$AG36,IFERROR(0/0,""),preDEL!AP36)</f>
        <v/>
      </c>
      <c r="AQ36" s="94" t="str">
        <f>IF(preDEL!$AG36,IFERROR(0/0,""),preDEL!AQ36)</f>
        <v/>
      </c>
      <c r="AR36" s="94" t="str">
        <f>IF(preDEL!$AG36,IFERROR(0/0,""),preDEL!AR36)</f>
        <v/>
      </c>
      <c r="AS36" s="98"/>
      <c r="BE36" s="254"/>
      <c r="BF36" s="255"/>
      <c r="BG36" s="254"/>
      <c r="BH36" s="255"/>
      <c r="BI36" s="254"/>
      <c r="BJ36" s="254"/>
      <c r="BK36" s="254"/>
      <c r="BL36" s="254"/>
      <c r="BN36" s="7"/>
      <c r="BO36" s="7"/>
      <c r="BP36" s="7"/>
      <c r="BQ36" s="7"/>
      <c r="BR36" s="7"/>
      <c r="BS36" s="7"/>
      <c r="BT36" s="7"/>
    </row>
    <row r="37">
      <c r="A37" s="249" t="str">
        <f>IF(preDEL!$AG37,IFERROR(0/0,""),preDEL!A37)</f>
        <v/>
      </c>
      <c r="B37" s="250" t="str">
        <f>IF(preDEL!$AG37,IFERROR(0/0,""),preDEL!B37)</f>
        <v/>
      </c>
      <c r="C37" s="251" t="str">
        <f>IF(preDEL!$AG37,IFERROR(0/0,""),preDEL!C37)</f>
        <v/>
      </c>
      <c r="D37" s="249" t="str">
        <f>IF(preDEL!$AG37,IFERROR(0/0,""),preDEL!D37)</f>
        <v/>
      </c>
      <c r="E37" s="249" t="str">
        <f>IF(preDEL!$AG37,IFERROR(0/0,""),preDEL!E37)</f>
        <v/>
      </c>
      <c r="F37" s="94" t="str">
        <f>IF(preDEL!$AG37,IFERROR(0/0,""),preDEL!F37)</f>
        <v/>
      </c>
      <c r="G37" s="94" t="str">
        <f>IF(preDEL!$AG37,IFERROR(0/0,""),preDEL!G37)</f>
        <v/>
      </c>
      <c r="H37" s="94" t="str">
        <f>IF(preDEL!$AG37,IFERROR(0/0,""),preDEL!H37)</f>
        <v/>
      </c>
      <c r="I37" s="249" t="str">
        <f>IF(preDEL!$AG37,IFERROR(0/0,""),preDEL!I37)</f>
        <v/>
      </c>
      <c r="J37" s="249" t="str">
        <f>IF(preDEL!$AG37,IFERROR(0/0,""),preDEL!J37)</f>
        <v/>
      </c>
      <c r="K37" s="249" t="str">
        <f>IF(preDEL!$AG37,IFERROR(0/0,""),preDEL!K37)</f>
        <v/>
      </c>
      <c r="L37" s="250" t="str">
        <f>IF(preDEL!$AG37,IFERROR(0/0,""),preDEL!L37)</f>
        <v/>
      </c>
      <c r="M37" s="251" t="str">
        <f>IF(preDEL!$AG37,IFERROR(0/0,""),preDEL!M37)</f>
        <v/>
      </c>
      <c r="N37" s="94" t="str">
        <f>IF(preDEL!$AG37,IFERROR(0/0,""),preDEL!N37)</f>
        <v/>
      </c>
      <c r="O37" s="94" t="str">
        <f>IF(preDEL!$AG37,IFERROR(0/0,""),preDEL!O37)</f>
        <v/>
      </c>
      <c r="P37" s="93" t="str">
        <f>IF(preDEL!$AG37,IFERROR(0/0,""),preDEL!P37)</f>
        <v/>
      </c>
      <c r="Q37" s="93" t="str">
        <f>IF(preDEL!$AG37,IFERROR(0/0,""),preDEL!Q37)</f>
        <v/>
      </c>
      <c r="R37" s="99" t="str">
        <f>IF(preDEL!$AG37,IFERROR(0/0,""),preDEL!R37)</f>
        <v/>
      </c>
      <c r="S37" s="99" t="str">
        <f>IF(preDEL!$AG37,IFERROR(0/0,""),preDEL!S37)</f>
        <v/>
      </c>
      <c r="T37" s="93" t="str">
        <f>IF(preDEL!$AG37,IFERROR(0/0,""),preDEL!T37)</f>
        <v/>
      </c>
      <c r="U37" s="94" t="str">
        <f>IF(preDEL!$AG37,IFERROR(0/0,""),preDEL!U37)</f>
        <v/>
      </c>
      <c r="V37" s="249" t="str">
        <f>IF(preDEL!$AG37,IFERROR(0/0,""),preDEL!V37)</f>
        <v/>
      </c>
      <c r="W37" s="94" t="str">
        <f>IF(preDEL!$AG37,IFERROR(0/0,""),preDEL!W37)</f>
        <v/>
      </c>
      <c r="X37" s="99" t="str">
        <f>IF(preDEL!$AG37,IFERROR(0/0,""),preDEL!X37)</f>
        <v/>
      </c>
      <c r="Y37" s="93" t="str">
        <f>IF(preDEL!$AG37,IFERROR(0/0,""),preDEL!Y37)</f>
        <v/>
      </c>
      <c r="Z37" s="249" t="str">
        <f>IF(preDEL!$AG37,IFERROR(0/0,""),preDEL!Z37)</f>
        <v/>
      </c>
      <c r="AA37" s="93" t="str">
        <f>IF(preDEL!$AG37,IFERROR(0/0,""),preDEL!AA37)</f>
        <v/>
      </c>
      <c r="AB37" s="93" t="str">
        <f>IF(preDEL!$AG37,IFERROR(0/0,""),preDEL!AB37)</f>
        <v/>
      </c>
      <c r="AC37" s="252" t="str">
        <f>IF(preDEL!$AG37,IFERROR(0/0,""),preDEL!AC37)</f>
        <v/>
      </c>
      <c r="AD37" s="99" t="str">
        <f>IF(preDEL!$AG37,IFERROR(0/0,""),preDEL!AD37)</f>
        <v/>
      </c>
      <c r="AE37" s="253" t="str">
        <f>IF(preDEL!$AG37,IFERROR(0/0,""),preDEL!AE37)</f>
        <v/>
      </c>
      <c r="AF37" s="93" t="str">
        <f>IF(preDEL!$AG37,IFERROR(0/0,""),preDEL!AF37)</f>
        <v/>
      </c>
      <c r="AG37" s="93" t="str">
        <f>IF(preDEL!$AG37,IFERROR(0/0,""),preDEL!AG37)</f>
        <v/>
      </c>
      <c r="AH37" s="99" t="str">
        <f>IF(preDEL!$AG37,IFERROR(0/0,""),preDEL!AH37)</f>
        <v/>
      </c>
      <c r="AI37" s="249" t="str">
        <f>IF(preDEL!$AG37,IFERROR(0/0,""),preDEL!AI37)</f>
        <v/>
      </c>
      <c r="AJ37" s="94" t="str">
        <f>IF(preDEL!$AG37,IFERROR(0/0,""),preDEL!AJ37)</f>
        <v/>
      </c>
      <c r="AK37" s="249" t="str">
        <f>IF(preDEL!$AG37,IFERROR(0/0,""),preDEL!AK37)</f>
        <v/>
      </c>
      <c r="AL37" s="94" t="str">
        <f>IF(preDEL!$AG37,IFERROR(0/0,""),preDEL!AL37)</f>
        <v/>
      </c>
      <c r="AM37" s="94" t="str">
        <f>IF(preDEL!$AG37,IFERROR(0/0,""),preDEL!AM37)</f>
        <v/>
      </c>
      <c r="AN37" s="94" t="str">
        <f>IF(preDEL!$AG37,IFERROR(0/0,""),preDEL!AN37)</f>
        <v/>
      </c>
      <c r="AO37" s="94" t="str">
        <f>IF(preDEL!$AG37,IFERROR(0/0,""),preDEL!AO37)</f>
        <v/>
      </c>
      <c r="AP37" s="94" t="str">
        <f>IF(preDEL!$AG37,IFERROR(0/0,""),preDEL!AP37)</f>
        <v/>
      </c>
      <c r="AQ37" s="94" t="str">
        <f>IF(preDEL!$AG37,IFERROR(0/0,""),preDEL!AQ37)</f>
        <v/>
      </c>
      <c r="AR37" s="94" t="str">
        <f>IF(preDEL!$AG37,IFERROR(0/0,""),preDEL!AR37)</f>
        <v/>
      </c>
      <c r="AS37" s="98"/>
      <c r="BE37" s="254"/>
      <c r="BF37" s="255"/>
      <c r="BG37" s="254"/>
      <c r="BH37" s="255"/>
      <c r="BI37" s="254"/>
      <c r="BJ37" s="254"/>
      <c r="BK37" s="254"/>
      <c r="BL37" s="254"/>
      <c r="BN37" s="7"/>
      <c r="BO37" s="7"/>
      <c r="BP37" s="7"/>
      <c r="BQ37" s="7"/>
      <c r="BR37" s="7"/>
      <c r="BS37" s="7"/>
      <c r="BT37" s="7"/>
    </row>
    <row r="38">
      <c r="A38" s="249" t="str">
        <f>IF(preDEL!$AG38,IFERROR(0/0,""),preDEL!A38)</f>
        <v/>
      </c>
      <c r="B38" s="250" t="str">
        <f>IF(preDEL!$AG38,IFERROR(0/0,""),preDEL!B38)</f>
        <v/>
      </c>
      <c r="C38" s="251" t="str">
        <f>IF(preDEL!$AG38,IFERROR(0/0,""),preDEL!C38)</f>
        <v/>
      </c>
      <c r="D38" s="249" t="str">
        <f>IF(preDEL!$AG38,IFERROR(0/0,""),preDEL!D38)</f>
        <v/>
      </c>
      <c r="E38" s="249" t="str">
        <f>IF(preDEL!$AG38,IFERROR(0/0,""),preDEL!E38)</f>
        <v/>
      </c>
      <c r="F38" s="94" t="str">
        <f>IF(preDEL!$AG38,IFERROR(0/0,""),preDEL!F38)</f>
        <v/>
      </c>
      <c r="G38" s="94" t="str">
        <f>IF(preDEL!$AG38,IFERROR(0/0,""),preDEL!G38)</f>
        <v/>
      </c>
      <c r="H38" s="94" t="str">
        <f>IF(preDEL!$AG38,IFERROR(0/0,""),preDEL!H38)</f>
        <v/>
      </c>
      <c r="I38" s="249" t="str">
        <f>IF(preDEL!$AG38,IFERROR(0/0,""),preDEL!I38)</f>
        <v/>
      </c>
      <c r="J38" s="249" t="str">
        <f>IF(preDEL!$AG38,IFERROR(0/0,""),preDEL!J38)</f>
        <v/>
      </c>
      <c r="K38" s="249" t="str">
        <f>IF(preDEL!$AG38,IFERROR(0/0,""),preDEL!K38)</f>
        <v/>
      </c>
      <c r="L38" s="250" t="str">
        <f>IF(preDEL!$AG38,IFERROR(0/0,""),preDEL!L38)</f>
        <v/>
      </c>
      <c r="M38" s="251" t="str">
        <f>IF(preDEL!$AG38,IFERROR(0/0,""),preDEL!M38)</f>
        <v/>
      </c>
      <c r="N38" s="94" t="str">
        <f>IF(preDEL!$AG38,IFERROR(0/0,""),preDEL!N38)</f>
        <v/>
      </c>
      <c r="O38" s="94" t="str">
        <f>IF(preDEL!$AG38,IFERROR(0/0,""),preDEL!O38)</f>
        <v/>
      </c>
      <c r="P38" s="93" t="str">
        <f>IF(preDEL!$AG38,IFERROR(0/0,""),preDEL!P38)</f>
        <v/>
      </c>
      <c r="Q38" s="93" t="str">
        <f>IF(preDEL!$AG38,IFERROR(0/0,""),preDEL!Q38)</f>
        <v/>
      </c>
      <c r="R38" s="99" t="str">
        <f>IF(preDEL!$AG38,IFERROR(0/0,""),preDEL!R38)</f>
        <v/>
      </c>
      <c r="S38" s="99" t="str">
        <f>IF(preDEL!$AG38,IFERROR(0/0,""),preDEL!S38)</f>
        <v/>
      </c>
      <c r="T38" s="93" t="str">
        <f>IF(preDEL!$AG38,IFERROR(0/0,""),preDEL!T38)</f>
        <v/>
      </c>
      <c r="U38" s="94" t="str">
        <f>IF(preDEL!$AG38,IFERROR(0/0,""),preDEL!U38)</f>
        <v/>
      </c>
      <c r="V38" s="249" t="str">
        <f>IF(preDEL!$AG38,IFERROR(0/0,""),preDEL!V38)</f>
        <v/>
      </c>
      <c r="W38" s="94" t="str">
        <f>IF(preDEL!$AG38,IFERROR(0/0,""),preDEL!W38)</f>
        <v/>
      </c>
      <c r="X38" s="99" t="str">
        <f>IF(preDEL!$AG38,IFERROR(0/0,""),preDEL!X38)</f>
        <v/>
      </c>
      <c r="Y38" s="93" t="str">
        <f>IF(preDEL!$AG38,IFERROR(0/0,""),preDEL!Y38)</f>
        <v/>
      </c>
      <c r="Z38" s="249" t="str">
        <f>IF(preDEL!$AG38,IFERROR(0/0,""),preDEL!Z38)</f>
        <v/>
      </c>
      <c r="AA38" s="93" t="str">
        <f>IF(preDEL!$AG38,IFERROR(0/0,""),preDEL!AA38)</f>
        <v/>
      </c>
      <c r="AB38" s="93" t="str">
        <f>IF(preDEL!$AG38,IFERROR(0/0,""),preDEL!AB38)</f>
        <v/>
      </c>
      <c r="AC38" s="252" t="str">
        <f>IF(preDEL!$AG38,IFERROR(0/0,""),preDEL!AC38)</f>
        <v/>
      </c>
      <c r="AD38" s="99" t="str">
        <f>IF(preDEL!$AG38,IFERROR(0/0,""),preDEL!AD38)</f>
        <v/>
      </c>
      <c r="AE38" s="253" t="str">
        <f>IF(preDEL!$AG38,IFERROR(0/0,""),preDEL!AE38)</f>
        <v/>
      </c>
      <c r="AF38" s="93" t="str">
        <f>IF(preDEL!$AG38,IFERROR(0/0,""),preDEL!AF38)</f>
        <v/>
      </c>
      <c r="AG38" s="93" t="str">
        <f>IF(preDEL!$AG38,IFERROR(0/0,""),preDEL!AG38)</f>
        <v/>
      </c>
      <c r="AH38" s="99" t="str">
        <f>IF(preDEL!$AG38,IFERROR(0/0,""),preDEL!AH38)</f>
        <v/>
      </c>
      <c r="AI38" s="249" t="str">
        <f>IF(preDEL!$AG38,IFERROR(0/0,""),preDEL!AI38)</f>
        <v/>
      </c>
      <c r="AJ38" s="94" t="str">
        <f>IF(preDEL!$AG38,IFERROR(0/0,""),preDEL!AJ38)</f>
        <v/>
      </c>
      <c r="AK38" s="249" t="str">
        <f>IF(preDEL!$AG38,IFERROR(0/0,""),preDEL!AK38)</f>
        <v/>
      </c>
      <c r="AL38" s="94" t="str">
        <f>IF(preDEL!$AG38,IFERROR(0/0,""),preDEL!AL38)</f>
        <v/>
      </c>
      <c r="AM38" s="94" t="str">
        <f>IF(preDEL!$AG38,IFERROR(0/0,""),preDEL!AM38)</f>
        <v/>
      </c>
      <c r="AN38" s="94" t="str">
        <f>IF(preDEL!$AG38,IFERROR(0/0,""),preDEL!AN38)</f>
        <v/>
      </c>
      <c r="AO38" s="94" t="str">
        <f>IF(preDEL!$AG38,IFERROR(0/0,""),preDEL!AO38)</f>
        <v/>
      </c>
      <c r="AP38" s="94" t="str">
        <f>IF(preDEL!$AG38,IFERROR(0/0,""),preDEL!AP38)</f>
        <v/>
      </c>
      <c r="AQ38" s="94" t="str">
        <f>IF(preDEL!$AG38,IFERROR(0/0,""),preDEL!AQ38)</f>
        <v/>
      </c>
      <c r="AR38" s="94" t="str">
        <f>IF(preDEL!$AG38,IFERROR(0/0,""),preDEL!AR38)</f>
        <v/>
      </c>
      <c r="AS38" s="98"/>
      <c r="BE38" s="254"/>
      <c r="BF38" s="255"/>
      <c r="BG38" s="254"/>
      <c r="BH38" s="255"/>
      <c r="BI38" s="254"/>
      <c r="BJ38" s="254"/>
      <c r="BK38" s="254"/>
      <c r="BL38" s="254"/>
      <c r="BN38" s="7"/>
      <c r="BO38" s="7"/>
      <c r="BP38" s="7"/>
      <c r="BQ38" s="7"/>
      <c r="BR38" s="7"/>
      <c r="BS38" s="7"/>
      <c r="BT38" s="7"/>
    </row>
    <row r="39">
      <c r="A39" s="249" t="str">
        <f>IF(preDEL!$AG39,IFERROR(0/0,""),preDEL!A39)</f>
        <v/>
      </c>
      <c r="B39" s="250" t="str">
        <f>IF(preDEL!$AG39,IFERROR(0/0,""),preDEL!B39)</f>
        <v/>
      </c>
      <c r="C39" s="251" t="str">
        <f>IF(preDEL!$AG39,IFERROR(0/0,""),preDEL!C39)</f>
        <v/>
      </c>
      <c r="D39" s="249" t="str">
        <f>IF(preDEL!$AG39,IFERROR(0/0,""),preDEL!D39)</f>
        <v/>
      </c>
      <c r="E39" s="249" t="str">
        <f>IF(preDEL!$AG39,IFERROR(0/0,""),preDEL!E39)</f>
        <v/>
      </c>
      <c r="F39" s="94" t="str">
        <f>IF(preDEL!$AG39,IFERROR(0/0,""),preDEL!F39)</f>
        <v/>
      </c>
      <c r="G39" s="94" t="str">
        <f>IF(preDEL!$AG39,IFERROR(0/0,""),preDEL!G39)</f>
        <v/>
      </c>
      <c r="H39" s="94" t="str">
        <f>IF(preDEL!$AG39,IFERROR(0/0,""),preDEL!H39)</f>
        <v/>
      </c>
      <c r="I39" s="249" t="str">
        <f>IF(preDEL!$AG39,IFERROR(0/0,""),preDEL!I39)</f>
        <v/>
      </c>
      <c r="J39" s="249" t="str">
        <f>IF(preDEL!$AG39,IFERROR(0/0,""),preDEL!J39)</f>
        <v/>
      </c>
      <c r="K39" s="249" t="str">
        <f>IF(preDEL!$AG39,IFERROR(0/0,""),preDEL!K39)</f>
        <v/>
      </c>
      <c r="L39" s="250" t="str">
        <f>IF(preDEL!$AG39,IFERROR(0/0,""),preDEL!L39)</f>
        <v/>
      </c>
      <c r="M39" s="251" t="str">
        <f>IF(preDEL!$AG39,IFERROR(0/0,""),preDEL!M39)</f>
        <v/>
      </c>
      <c r="N39" s="94" t="str">
        <f>IF(preDEL!$AG39,IFERROR(0/0,""),preDEL!N39)</f>
        <v/>
      </c>
      <c r="O39" s="94" t="str">
        <f>IF(preDEL!$AG39,IFERROR(0/0,""),preDEL!O39)</f>
        <v/>
      </c>
      <c r="P39" s="93" t="str">
        <f>IF(preDEL!$AG39,IFERROR(0/0,""),preDEL!P39)</f>
        <v/>
      </c>
      <c r="Q39" s="93" t="str">
        <f>IF(preDEL!$AG39,IFERROR(0/0,""),preDEL!Q39)</f>
        <v/>
      </c>
      <c r="R39" s="99" t="str">
        <f>IF(preDEL!$AG39,IFERROR(0/0,""),preDEL!R39)</f>
        <v/>
      </c>
      <c r="S39" s="99" t="str">
        <f>IF(preDEL!$AG39,IFERROR(0/0,""),preDEL!S39)</f>
        <v/>
      </c>
      <c r="T39" s="93" t="str">
        <f>IF(preDEL!$AG39,IFERROR(0/0,""),preDEL!T39)</f>
        <v/>
      </c>
      <c r="U39" s="94" t="str">
        <f>IF(preDEL!$AG39,IFERROR(0/0,""),preDEL!U39)</f>
        <v/>
      </c>
      <c r="V39" s="249" t="str">
        <f>IF(preDEL!$AG39,IFERROR(0/0,""),preDEL!V39)</f>
        <v/>
      </c>
      <c r="W39" s="94" t="str">
        <f>IF(preDEL!$AG39,IFERROR(0/0,""),preDEL!W39)</f>
        <v/>
      </c>
      <c r="X39" s="99" t="str">
        <f>IF(preDEL!$AG39,IFERROR(0/0,""),preDEL!X39)</f>
        <v/>
      </c>
      <c r="Y39" s="93" t="str">
        <f>IF(preDEL!$AG39,IFERROR(0/0,""),preDEL!Y39)</f>
        <v/>
      </c>
      <c r="Z39" s="249" t="str">
        <f>IF(preDEL!$AG39,IFERROR(0/0,""),preDEL!Z39)</f>
        <v/>
      </c>
      <c r="AA39" s="93" t="str">
        <f>IF(preDEL!$AG39,IFERROR(0/0,""),preDEL!AA39)</f>
        <v/>
      </c>
      <c r="AB39" s="93" t="str">
        <f>IF(preDEL!$AG39,IFERROR(0/0,""),preDEL!AB39)</f>
        <v/>
      </c>
      <c r="AC39" s="252" t="str">
        <f>IF(preDEL!$AG39,IFERROR(0/0,""),preDEL!AC39)</f>
        <v/>
      </c>
      <c r="AD39" s="99" t="str">
        <f>IF(preDEL!$AG39,IFERROR(0/0,""),preDEL!AD39)</f>
        <v/>
      </c>
      <c r="AE39" s="253" t="str">
        <f>IF(preDEL!$AG39,IFERROR(0/0,""),preDEL!AE39)</f>
        <v/>
      </c>
      <c r="AF39" s="93" t="str">
        <f>IF(preDEL!$AG39,IFERROR(0/0,""),preDEL!AF39)</f>
        <v/>
      </c>
      <c r="AG39" s="93" t="str">
        <f>IF(preDEL!$AG39,IFERROR(0/0,""),preDEL!AG39)</f>
        <v/>
      </c>
      <c r="AH39" s="99" t="str">
        <f>IF(preDEL!$AG39,IFERROR(0/0,""),preDEL!AH39)</f>
        <v/>
      </c>
      <c r="AI39" s="249" t="str">
        <f>IF(preDEL!$AG39,IFERROR(0/0,""),preDEL!AI39)</f>
        <v/>
      </c>
      <c r="AJ39" s="94" t="str">
        <f>IF(preDEL!$AG39,IFERROR(0/0,""),preDEL!AJ39)</f>
        <v/>
      </c>
      <c r="AK39" s="249" t="str">
        <f>IF(preDEL!$AG39,IFERROR(0/0,""),preDEL!AK39)</f>
        <v/>
      </c>
      <c r="AL39" s="94" t="str">
        <f>IF(preDEL!$AG39,IFERROR(0/0,""),preDEL!AL39)</f>
        <v/>
      </c>
      <c r="AM39" s="94" t="str">
        <f>IF(preDEL!$AG39,IFERROR(0/0,""),preDEL!AM39)</f>
        <v/>
      </c>
      <c r="AN39" s="94" t="str">
        <f>IF(preDEL!$AG39,IFERROR(0/0,""),preDEL!AN39)</f>
        <v/>
      </c>
      <c r="AO39" s="94" t="str">
        <f>IF(preDEL!$AG39,IFERROR(0/0,""),preDEL!AO39)</f>
        <v/>
      </c>
      <c r="AP39" s="94" t="str">
        <f>IF(preDEL!$AG39,IFERROR(0/0,""),preDEL!AP39)</f>
        <v/>
      </c>
      <c r="AQ39" s="94" t="str">
        <f>IF(preDEL!$AG39,IFERROR(0/0,""),preDEL!AQ39)</f>
        <v/>
      </c>
      <c r="AR39" s="94" t="str">
        <f>IF(preDEL!$AG39,IFERROR(0/0,""),preDEL!AR39)</f>
        <v/>
      </c>
      <c r="AS39" s="98"/>
      <c r="BE39" s="254"/>
      <c r="BF39" s="255"/>
      <c r="BG39" s="254"/>
      <c r="BH39" s="255"/>
      <c r="BI39" s="254"/>
      <c r="BJ39" s="254"/>
      <c r="BK39" s="254"/>
      <c r="BL39" s="254"/>
      <c r="BN39" s="7"/>
      <c r="BO39" s="7"/>
      <c r="BP39" s="7"/>
      <c r="BQ39" s="7"/>
      <c r="BR39" s="7"/>
      <c r="BS39" s="7"/>
      <c r="BT39" s="7"/>
    </row>
    <row r="40">
      <c r="A40" s="249" t="str">
        <f>IF(preDEL!$AG40,IFERROR(0/0,""),preDEL!A40)</f>
        <v/>
      </c>
      <c r="B40" s="250" t="str">
        <f>IF(preDEL!$AG40,IFERROR(0/0,""),preDEL!B40)</f>
        <v/>
      </c>
      <c r="C40" s="251" t="str">
        <f>IF(preDEL!$AG40,IFERROR(0/0,""),preDEL!C40)</f>
        <v/>
      </c>
      <c r="D40" s="249" t="str">
        <f>IF(preDEL!$AG40,IFERROR(0/0,""),preDEL!D40)</f>
        <v/>
      </c>
      <c r="E40" s="249" t="str">
        <f>IF(preDEL!$AG40,IFERROR(0/0,""),preDEL!E40)</f>
        <v/>
      </c>
      <c r="F40" s="94" t="str">
        <f>IF(preDEL!$AG40,IFERROR(0/0,""),preDEL!F40)</f>
        <v/>
      </c>
      <c r="G40" s="94" t="str">
        <f>IF(preDEL!$AG40,IFERROR(0/0,""),preDEL!G40)</f>
        <v/>
      </c>
      <c r="H40" s="94" t="str">
        <f>IF(preDEL!$AG40,IFERROR(0/0,""),preDEL!H40)</f>
        <v/>
      </c>
      <c r="I40" s="249" t="str">
        <f>IF(preDEL!$AG40,IFERROR(0/0,""),preDEL!I40)</f>
        <v/>
      </c>
      <c r="J40" s="249" t="str">
        <f>IF(preDEL!$AG40,IFERROR(0/0,""),preDEL!J40)</f>
        <v/>
      </c>
      <c r="K40" s="249" t="str">
        <f>IF(preDEL!$AG40,IFERROR(0/0,""),preDEL!K40)</f>
        <v/>
      </c>
      <c r="L40" s="250" t="str">
        <f>IF(preDEL!$AG40,IFERROR(0/0,""),preDEL!L40)</f>
        <v/>
      </c>
      <c r="M40" s="251" t="str">
        <f>IF(preDEL!$AG40,IFERROR(0/0,""),preDEL!M40)</f>
        <v/>
      </c>
      <c r="N40" s="94" t="str">
        <f>IF(preDEL!$AG40,IFERROR(0/0,""),preDEL!N40)</f>
        <v/>
      </c>
      <c r="O40" s="94" t="str">
        <f>IF(preDEL!$AG40,IFERROR(0/0,""),preDEL!O40)</f>
        <v/>
      </c>
      <c r="P40" s="93" t="str">
        <f>IF(preDEL!$AG40,IFERROR(0/0,""),preDEL!P40)</f>
        <v/>
      </c>
      <c r="Q40" s="93" t="str">
        <f>IF(preDEL!$AG40,IFERROR(0/0,""),preDEL!Q40)</f>
        <v/>
      </c>
      <c r="R40" s="99" t="str">
        <f>IF(preDEL!$AG40,IFERROR(0/0,""),preDEL!R40)</f>
        <v/>
      </c>
      <c r="S40" s="99" t="str">
        <f>IF(preDEL!$AG40,IFERROR(0/0,""),preDEL!S40)</f>
        <v/>
      </c>
      <c r="T40" s="93" t="str">
        <f>IF(preDEL!$AG40,IFERROR(0/0,""),preDEL!T40)</f>
        <v/>
      </c>
      <c r="U40" s="94" t="str">
        <f>IF(preDEL!$AG40,IFERROR(0/0,""),preDEL!U40)</f>
        <v/>
      </c>
      <c r="V40" s="249" t="str">
        <f>IF(preDEL!$AG40,IFERROR(0/0,""),preDEL!V40)</f>
        <v/>
      </c>
      <c r="W40" s="94" t="str">
        <f>IF(preDEL!$AG40,IFERROR(0/0,""),preDEL!W40)</f>
        <v/>
      </c>
      <c r="X40" s="99" t="str">
        <f>IF(preDEL!$AG40,IFERROR(0/0,""),preDEL!X40)</f>
        <v/>
      </c>
      <c r="Y40" s="93" t="str">
        <f>IF(preDEL!$AG40,IFERROR(0/0,""),preDEL!Y40)</f>
        <v/>
      </c>
      <c r="Z40" s="249" t="str">
        <f>IF(preDEL!$AG40,IFERROR(0/0,""),preDEL!Z40)</f>
        <v/>
      </c>
      <c r="AA40" s="93" t="str">
        <f>IF(preDEL!$AG40,IFERROR(0/0,""),preDEL!AA40)</f>
        <v/>
      </c>
      <c r="AB40" s="93" t="str">
        <f>IF(preDEL!$AG40,IFERROR(0/0,""),preDEL!AB40)</f>
        <v/>
      </c>
      <c r="AC40" s="252" t="str">
        <f>IF(preDEL!$AG40,IFERROR(0/0,""),preDEL!AC40)</f>
        <v/>
      </c>
      <c r="AD40" s="99" t="str">
        <f>IF(preDEL!$AG40,IFERROR(0/0,""),preDEL!AD40)</f>
        <v/>
      </c>
      <c r="AE40" s="253" t="str">
        <f>IF(preDEL!$AG40,IFERROR(0/0,""),preDEL!AE40)</f>
        <v/>
      </c>
      <c r="AF40" s="93" t="str">
        <f>IF(preDEL!$AG40,IFERROR(0/0,""),preDEL!AF40)</f>
        <v/>
      </c>
      <c r="AG40" s="93" t="str">
        <f>IF(preDEL!$AG40,IFERROR(0/0,""),preDEL!AG40)</f>
        <v/>
      </c>
      <c r="AH40" s="99" t="str">
        <f>IF(preDEL!$AG40,IFERROR(0/0,""),preDEL!AH40)</f>
        <v/>
      </c>
      <c r="AI40" s="249" t="str">
        <f>IF(preDEL!$AG40,IFERROR(0/0,""),preDEL!AI40)</f>
        <v/>
      </c>
      <c r="AJ40" s="94" t="str">
        <f>IF(preDEL!$AG40,IFERROR(0/0,""),preDEL!AJ40)</f>
        <v/>
      </c>
      <c r="AK40" s="249" t="str">
        <f>IF(preDEL!$AG40,IFERROR(0/0,""),preDEL!AK40)</f>
        <v/>
      </c>
      <c r="AL40" s="94" t="str">
        <f>IF(preDEL!$AG40,IFERROR(0/0,""),preDEL!AL40)</f>
        <v/>
      </c>
      <c r="AM40" s="94" t="str">
        <f>IF(preDEL!$AG40,IFERROR(0/0,""),preDEL!AM40)</f>
        <v/>
      </c>
      <c r="AN40" s="94" t="str">
        <f>IF(preDEL!$AG40,IFERROR(0/0,""),preDEL!AN40)</f>
        <v/>
      </c>
      <c r="AO40" s="94" t="str">
        <f>IF(preDEL!$AG40,IFERROR(0/0,""),preDEL!AO40)</f>
        <v/>
      </c>
      <c r="AP40" s="94" t="str">
        <f>IF(preDEL!$AG40,IFERROR(0/0,""),preDEL!AP40)</f>
        <v/>
      </c>
      <c r="AQ40" s="94" t="str">
        <f>IF(preDEL!$AG40,IFERROR(0/0,""),preDEL!AQ40)</f>
        <v/>
      </c>
      <c r="AR40" s="94" t="str">
        <f>IF(preDEL!$AG40,IFERROR(0/0,""),preDEL!AR40)</f>
        <v/>
      </c>
      <c r="AS40" s="98"/>
      <c r="BE40" s="254"/>
      <c r="BF40" s="255"/>
      <c r="BG40" s="254"/>
      <c r="BH40" s="255"/>
      <c r="BI40" s="254"/>
      <c r="BJ40" s="254"/>
      <c r="BK40" s="254"/>
      <c r="BL40" s="254"/>
      <c r="BN40" s="7"/>
      <c r="BO40" s="7"/>
      <c r="BP40" s="7"/>
      <c r="BQ40" s="7"/>
      <c r="BR40" s="7"/>
      <c r="BS40" s="7"/>
      <c r="BT40" s="7"/>
    </row>
    <row r="41">
      <c r="A41" s="249" t="str">
        <f>IF(preDEL!$AG41,IFERROR(0/0,""),preDEL!A41)</f>
        <v/>
      </c>
      <c r="B41" s="250" t="str">
        <f>IF(preDEL!$AG41,IFERROR(0/0,""),preDEL!B41)</f>
        <v/>
      </c>
      <c r="C41" s="251" t="str">
        <f>IF(preDEL!$AG41,IFERROR(0/0,""),preDEL!C41)</f>
        <v/>
      </c>
      <c r="D41" s="249" t="str">
        <f>IF(preDEL!$AG41,IFERROR(0/0,""),preDEL!D41)</f>
        <v/>
      </c>
      <c r="E41" s="249" t="str">
        <f>IF(preDEL!$AG41,IFERROR(0/0,""),preDEL!E41)</f>
        <v/>
      </c>
      <c r="F41" s="94" t="str">
        <f>IF(preDEL!$AG41,IFERROR(0/0,""),preDEL!F41)</f>
        <v/>
      </c>
      <c r="G41" s="94" t="str">
        <f>IF(preDEL!$AG41,IFERROR(0/0,""),preDEL!G41)</f>
        <v/>
      </c>
      <c r="H41" s="94" t="str">
        <f>IF(preDEL!$AG41,IFERROR(0/0,""),preDEL!H41)</f>
        <v/>
      </c>
      <c r="I41" s="249" t="str">
        <f>IF(preDEL!$AG41,IFERROR(0/0,""),preDEL!I41)</f>
        <v/>
      </c>
      <c r="J41" s="249" t="str">
        <f>IF(preDEL!$AG41,IFERROR(0/0,""),preDEL!J41)</f>
        <v/>
      </c>
      <c r="K41" s="249" t="str">
        <f>IF(preDEL!$AG41,IFERROR(0/0,""),preDEL!K41)</f>
        <v/>
      </c>
      <c r="L41" s="250" t="str">
        <f>IF(preDEL!$AG41,IFERROR(0/0,""),preDEL!L41)</f>
        <v/>
      </c>
      <c r="M41" s="251" t="str">
        <f>IF(preDEL!$AG41,IFERROR(0/0,""),preDEL!M41)</f>
        <v/>
      </c>
      <c r="N41" s="94" t="str">
        <f>IF(preDEL!$AG41,IFERROR(0/0,""),preDEL!N41)</f>
        <v/>
      </c>
      <c r="O41" s="94" t="str">
        <f>IF(preDEL!$AG41,IFERROR(0/0,""),preDEL!O41)</f>
        <v/>
      </c>
      <c r="P41" s="93" t="str">
        <f>IF(preDEL!$AG41,IFERROR(0/0,""),preDEL!P41)</f>
        <v/>
      </c>
      <c r="Q41" s="93" t="str">
        <f>IF(preDEL!$AG41,IFERROR(0/0,""),preDEL!Q41)</f>
        <v/>
      </c>
      <c r="R41" s="99" t="str">
        <f>IF(preDEL!$AG41,IFERROR(0/0,""),preDEL!R41)</f>
        <v/>
      </c>
      <c r="S41" s="99" t="str">
        <f>IF(preDEL!$AG41,IFERROR(0/0,""),preDEL!S41)</f>
        <v/>
      </c>
      <c r="T41" s="93" t="str">
        <f>IF(preDEL!$AG41,IFERROR(0/0,""),preDEL!T41)</f>
        <v/>
      </c>
      <c r="U41" s="94" t="str">
        <f>IF(preDEL!$AG41,IFERROR(0/0,""),preDEL!U41)</f>
        <v/>
      </c>
      <c r="V41" s="249" t="str">
        <f>IF(preDEL!$AG41,IFERROR(0/0,""),preDEL!V41)</f>
        <v/>
      </c>
      <c r="W41" s="94" t="str">
        <f>IF(preDEL!$AG41,IFERROR(0/0,""),preDEL!W41)</f>
        <v/>
      </c>
      <c r="X41" s="99" t="str">
        <f>IF(preDEL!$AG41,IFERROR(0/0,""),preDEL!X41)</f>
        <v/>
      </c>
      <c r="Y41" s="93" t="str">
        <f>IF(preDEL!$AG41,IFERROR(0/0,""),preDEL!Y41)</f>
        <v/>
      </c>
      <c r="Z41" s="249" t="str">
        <f>IF(preDEL!$AG41,IFERROR(0/0,""),preDEL!Z41)</f>
        <v/>
      </c>
      <c r="AA41" s="93" t="str">
        <f>IF(preDEL!$AG41,IFERROR(0/0,""),preDEL!AA41)</f>
        <v/>
      </c>
      <c r="AB41" s="93" t="str">
        <f>IF(preDEL!$AG41,IFERROR(0/0,""),preDEL!AB41)</f>
        <v/>
      </c>
      <c r="AC41" s="252" t="str">
        <f>IF(preDEL!$AG41,IFERROR(0/0,""),preDEL!AC41)</f>
        <v/>
      </c>
      <c r="AD41" s="99" t="str">
        <f>IF(preDEL!$AG41,IFERROR(0/0,""),preDEL!AD41)</f>
        <v/>
      </c>
      <c r="AE41" s="253" t="str">
        <f>IF(preDEL!$AG41,IFERROR(0/0,""),preDEL!AE41)</f>
        <v/>
      </c>
      <c r="AF41" s="93" t="str">
        <f>IF(preDEL!$AG41,IFERROR(0/0,""),preDEL!AF41)</f>
        <v/>
      </c>
      <c r="AG41" s="93" t="str">
        <f>IF(preDEL!$AG41,IFERROR(0/0,""),preDEL!AG41)</f>
        <v/>
      </c>
      <c r="AH41" s="99" t="str">
        <f>IF(preDEL!$AG41,IFERROR(0/0,""),preDEL!AH41)</f>
        <v/>
      </c>
      <c r="AI41" s="249" t="str">
        <f>IF(preDEL!$AG41,IFERROR(0/0,""),preDEL!AI41)</f>
        <v/>
      </c>
      <c r="AJ41" s="94" t="str">
        <f>IF(preDEL!$AG41,IFERROR(0/0,""),preDEL!AJ41)</f>
        <v/>
      </c>
      <c r="AK41" s="249" t="str">
        <f>IF(preDEL!$AG41,IFERROR(0/0,""),preDEL!AK41)</f>
        <v/>
      </c>
      <c r="AL41" s="94" t="str">
        <f>IF(preDEL!$AG41,IFERROR(0/0,""),preDEL!AL41)</f>
        <v/>
      </c>
      <c r="AM41" s="94" t="str">
        <f>IF(preDEL!$AG41,IFERROR(0/0,""),preDEL!AM41)</f>
        <v/>
      </c>
      <c r="AN41" s="94" t="str">
        <f>IF(preDEL!$AG41,IFERROR(0/0,""),preDEL!AN41)</f>
        <v/>
      </c>
      <c r="AO41" s="94" t="str">
        <f>IF(preDEL!$AG41,IFERROR(0/0,""),preDEL!AO41)</f>
        <v/>
      </c>
      <c r="AP41" s="94" t="str">
        <f>IF(preDEL!$AG41,IFERROR(0/0,""),preDEL!AP41)</f>
        <v/>
      </c>
      <c r="AQ41" s="94" t="str">
        <f>IF(preDEL!$AG41,IFERROR(0/0,""),preDEL!AQ41)</f>
        <v/>
      </c>
      <c r="AR41" s="94" t="str">
        <f>IF(preDEL!$AG41,IFERROR(0/0,""),preDEL!AR41)</f>
        <v/>
      </c>
      <c r="AS41" s="98"/>
      <c r="BE41" s="254"/>
      <c r="BF41" s="255"/>
      <c r="BG41" s="254"/>
      <c r="BH41" s="255"/>
      <c r="BI41" s="254"/>
      <c r="BJ41" s="254"/>
      <c r="BK41" s="254"/>
      <c r="BL41" s="254"/>
      <c r="BN41" s="7"/>
      <c r="BO41" s="7"/>
      <c r="BP41" s="7"/>
      <c r="BQ41" s="7"/>
      <c r="BR41" s="7"/>
      <c r="BS41" s="7"/>
      <c r="BT41" s="7"/>
    </row>
    <row r="42">
      <c r="A42" s="249" t="str">
        <f>IF(preDEL!$AG42,IFERROR(0/0,""),preDEL!A42)</f>
        <v>AG575</v>
      </c>
      <c r="B42" s="250">
        <f>IF(preDEL!$AG42,IFERROR(0/0,""),preDEL!B42)</f>
        <v>44683</v>
      </c>
      <c r="C42" s="251">
        <f>IF(preDEL!$AG42,IFERROR(0/0,""),preDEL!C42)</f>
        <v>0.1749768519</v>
      </c>
      <c r="D42" s="249" t="str">
        <f>IF(preDEL!$AG42,IFERROR(0/0,""),preDEL!D42)</f>
        <v/>
      </c>
      <c r="E42" s="249" t="str">
        <f>IF(preDEL!$AG42,IFERROR(0/0,""),preDEL!E42)</f>
        <v/>
      </c>
      <c r="F42" s="94" t="str">
        <f>IF(preDEL!$AG42,IFERROR(0/0,""),preDEL!F42)</f>
        <v/>
      </c>
      <c r="G42" s="94" t="str">
        <f>IF(preDEL!$AG42,IFERROR(0/0,""),preDEL!G42)</f>
        <v/>
      </c>
      <c r="H42" s="94" t="str">
        <f>IF(preDEL!$AG42,IFERROR(0/0,""),preDEL!H42)</f>
        <v/>
      </c>
      <c r="I42" s="249" t="str">
        <f>IF(preDEL!$AG42,IFERROR(0/0,""),preDEL!I42)</f>
        <v/>
      </c>
      <c r="J42" s="249" t="str">
        <f>IF(preDEL!$AG42,IFERROR(0/0,""),preDEL!J42)</f>
        <v/>
      </c>
      <c r="K42" s="249" t="str">
        <f>IF(preDEL!$AG42,IFERROR(0/0,""),preDEL!K42)</f>
        <v>Negative</v>
      </c>
      <c r="L42" s="250">
        <f>IF(preDEL!$AG42,IFERROR(0/0,""),preDEL!L42)</f>
        <v>44683</v>
      </c>
      <c r="M42" s="251">
        <f>IF(preDEL!$AG42,IFERROR(0/0,""),preDEL!M42)</f>
        <v>0.3578125</v>
      </c>
      <c r="N42" s="94" t="str">
        <f>IF(preDEL!$AG42,IFERROR(0/0,""),preDEL!N42)</f>
        <v/>
      </c>
      <c r="O42" s="94" t="str">
        <f>IF(preDEL!$AG42,IFERROR(0/0,""),preDEL!O42)</f>
        <v/>
      </c>
      <c r="P42" s="93" t="b">
        <f>IF(preDEL!$AG42,IFERROR(0/0,""),preDEL!P42)</f>
        <v>0</v>
      </c>
      <c r="Q42" s="93" t="str">
        <f>IF(preDEL!$AG42,IFERROR(0/0,""),preDEL!Q42)</f>
        <v>Result</v>
      </c>
      <c r="R42" s="99" t="b">
        <f>IF(preDEL!$AG42,IFERROR(0/0,""),preDEL!R42)</f>
        <v>1</v>
      </c>
      <c r="S42" s="99">
        <f>IF(preDEL!$AG42,IFERROR(0/0,""),preDEL!S42)</f>
        <v>4</v>
      </c>
      <c r="T42" s="93">
        <f>IF(preDEL!$AG42,IFERROR(0/0,""),preDEL!T42)</f>
        <v>2</v>
      </c>
      <c r="U42" s="94" t="str">
        <f>IF(preDEL!$AG42,IFERROR(0/0,""),preDEL!U42)</f>
        <v/>
      </c>
      <c r="V42" s="249" t="str">
        <f>IF(preDEL!$AG42,IFERROR(0/0,""),preDEL!V42)</f>
        <v/>
      </c>
      <c r="W42" s="94" t="str">
        <f>IF(preDEL!$AG42,IFERROR(0/0,""),preDEL!W42)</f>
        <v/>
      </c>
      <c r="X42" s="99" t="b">
        <f>IF(preDEL!$AG42,IFERROR(0/0,""),preDEL!X42)</f>
        <v>0</v>
      </c>
      <c r="Y42" s="93" t="str">
        <f>IF(preDEL!$AG42,IFERROR(0/0,""),preDEL!Y42)</f>
        <v/>
      </c>
      <c r="Z42" s="249" t="str">
        <f>IF(preDEL!$AG42,IFERROR(0/0,""),preDEL!Z42)</f>
        <v/>
      </c>
      <c r="AA42" s="93" t="b">
        <f>IF(preDEL!$AG42,IFERROR(0/0,""),preDEL!AA42)</f>
        <v>0</v>
      </c>
      <c r="AB42" s="93" t="str">
        <f>IF(preDEL!$AG42,IFERROR(0/0,""),preDEL!AB42)</f>
        <v/>
      </c>
      <c r="AC42" s="252">
        <f>IF(preDEL!$AG42,IFERROR(0/0,""),preDEL!AC42)</f>
        <v>167</v>
      </c>
      <c r="AD42" s="99" t="str">
        <f>IF(preDEL!$AG42,IFERROR(0/0,""),preDEL!AD42)</f>
        <v/>
      </c>
      <c r="AE42" s="253">
        <f>IF(preDEL!$AG42,IFERROR(0/0,""),preDEL!AE42)</f>
        <v>263.2833333</v>
      </c>
      <c r="AF42" s="93" t="b">
        <f>IF(preDEL!$AG42,IFERROR(0/0,""),preDEL!AF42)</f>
        <v>0</v>
      </c>
      <c r="AG42" s="93" t="b">
        <f>IF(preDEL!$AG42,IFERROR(0/0,""),preDEL!AG42)</f>
        <v>0</v>
      </c>
      <c r="AH42" s="99" t="str">
        <f>IF(preDEL!$AG42,IFERROR(0/0,""),preDEL!AH42)</f>
        <v/>
      </c>
      <c r="AI42" s="249" t="str">
        <f>IF(preDEL!$AG42,IFERROR(0/0,""),preDEL!AI42)</f>
        <v/>
      </c>
      <c r="AJ42" s="94" t="str">
        <f>IF(preDEL!$AG42,IFERROR(0/0,""),preDEL!AJ42)</f>
        <v/>
      </c>
      <c r="AK42" s="249" t="str">
        <f>IF(preDEL!$AG42,IFERROR(0/0,""),preDEL!AK42)</f>
        <v>Negative</v>
      </c>
      <c r="AL42" s="94" t="str">
        <f>IF(preDEL!$AG42,IFERROR(0/0,""),preDEL!AL42)</f>
        <v/>
      </c>
      <c r="AM42" s="94" t="str">
        <f>IF(preDEL!$AG42,IFERROR(0/0,""),preDEL!AM42)</f>
        <v>SpNDHM955894</v>
      </c>
      <c r="AN42" s="94" t="str">
        <f>IF(preDEL!$AG42,IFERROR(0/0,""),preDEL!AN42)</f>
        <v>NDHM432678</v>
      </c>
      <c r="AO42" s="94" t="str">
        <f>IF(preDEL!$AG42,IFERROR(0/0,""),preDEL!AO42)</f>
        <v/>
      </c>
      <c r="AP42" s="94" t="str">
        <f>IF(preDEL!$AG42,IFERROR(0/0,""),preDEL!AP42)</f>
        <v/>
      </c>
      <c r="AQ42" s="94" t="str">
        <f>IF(preDEL!$AG42,IFERROR(0/0,""),preDEL!AQ42)</f>
        <v/>
      </c>
      <c r="AR42" s="94" t="str">
        <f>IF(preDEL!$AG42,IFERROR(0/0,""),preDEL!AR42)</f>
        <v/>
      </c>
      <c r="AS42" s="98"/>
      <c r="BE42" s="254"/>
      <c r="BF42" s="255"/>
      <c r="BG42" s="254"/>
      <c r="BH42" s="255"/>
      <c r="BI42" s="254"/>
      <c r="BJ42" s="254"/>
      <c r="BK42" s="254"/>
      <c r="BL42" s="254"/>
      <c r="BN42" s="7"/>
      <c r="BO42" s="7"/>
      <c r="BP42" s="7"/>
      <c r="BQ42" s="7"/>
      <c r="BR42" s="7"/>
      <c r="BS42" s="7"/>
      <c r="BT42" s="7"/>
    </row>
    <row r="43">
      <c r="A43" s="249" t="str">
        <f>IF(preDEL!$AG43,IFERROR(0/0,""),preDEL!A43)</f>
        <v>AG575</v>
      </c>
      <c r="B43" s="250">
        <f>IF(preDEL!$AG43,IFERROR(0/0,""),preDEL!B43)</f>
        <v>44683</v>
      </c>
      <c r="C43" s="251">
        <f>IF(preDEL!$AG43,IFERROR(0/0,""),preDEL!C43)</f>
        <v>0.1749768519</v>
      </c>
      <c r="D43" s="249" t="str">
        <f>IF(preDEL!$AG43,IFERROR(0/0,""),preDEL!D43)</f>
        <v/>
      </c>
      <c r="E43" s="249" t="str">
        <f>IF(preDEL!$AG43,IFERROR(0/0,""),preDEL!E43)</f>
        <v/>
      </c>
      <c r="F43" s="94" t="str">
        <f>IF(preDEL!$AG43,IFERROR(0/0,""),preDEL!F43)</f>
        <v/>
      </c>
      <c r="G43" s="94" t="str">
        <f>IF(preDEL!$AG43,IFERROR(0/0,""),preDEL!G43)</f>
        <v/>
      </c>
      <c r="H43" s="94" t="str">
        <f>IF(preDEL!$AG43,IFERROR(0/0,""),preDEL!H43)</f>
        <v/>
      </c>
      <c r="I43" s="249" t="str">
        <f>IF(preDEL!$AG43,IFERROR(0/0,""),preDEL!I43)</f>
        <v/>
      </c>
      <c r="J43" s="249" t="str">
        <f>IF(preDEL!$AG43,IFERROR(0/0,""),preDEL!J43)</f>
        <v/>
      </c>
      <c r="K43" s="249" t="str">
        <f>IF(preDEL!$AG43,IFERROR(0/0,""),preDEL!K43)</f>
        <v>Negative</v>
      </c>
      <c r="L43" s="250">
        <f>IF(preDEL!$AG43,IFERROR(0/0,""),preDEL!L43)</f>
        <v>44683</v>
      </c>
      <c r="M43" s="251">
        <f>IF(preDEL!$AG43,IFERROR(0/0,""),preDEL!M43)</f>
        <v>0.3578125</v>
      </c>
      <c r="N43" s="94" t="str">
        <f>IF(preDEL!$AG43,IFERROR(0/0,""),preDEL!N43)</f>
        <v/>
      </c>
      <c r="O43" s="94" t="str">
        <f>IF(preDEL!$AG43,IFERROR(0/0,""),preDEL!O43)</f>
        <v/>
      </c>
      <c r="P43" s="93" t="b">
        <f>IF(preDEL!$AG43,IFERROR(0/0,""),preDEL!P43)</f>
        <v>0</v>
      </c>
      <c r="Q43" s="93" t="str">
        <f>IF(preDEL!$AG43,IFERROR(0/0,""),preDEL!Q43)</f>
        <v>Result</v>
      </c>
      <c r="R43" s="99" t="b">
        <f>IF(preDEL!$AG43,IFERROR(0/0,""),preDEL!R43)</f>
        <v>0</v>
      </c>
      <c r="S43" s="99">
        <f>IF(preDEL!$AG43,IFERROR(0/0,""),preDEL!S43)</f>
        <v>4</v>
      </c>
      <c r="T43" s="93">
        <f>IF(preDEL!$AG43,IFERROR(0/0,""),preDEL!T43)</f>
        <v>2</v>
      </c>
      <c r="U43" s="94" t="str">
        <f>IF(preDEL!$AG43,IFERROR(0/0,""),preDEL!U43)</f>
        <v/>
      </c>
      <c r="V43" s="249" t="str">
        <f>IF(preDEL!$AG43,IFERROR(0/0,""),preDEL!V43)</f>
        <v/>
      </c>
      <c r="W43" s="94" t="str">
        <f>IF(preDEL!$AG43,IFERROR(0/0,""),preDEL!W43)</f>
        <v/>
      </c>
      <c r="X43" s="99" t="b">
        <f>IF(preDEL!$AG43,IFERROR(0/0,""),preDEL!X43)</f>
        <v>0</v>
      </c>
      <c r="Y43" s="93" t="str">
        <f>IF(preDEL!$AG43,IFERROR(0/0,""),preDEL!Y43)</f>
        <v/>
      </c>
      <c r="Z43" s="249" t="str">
        <f>IF(preDEL!$AG43,IFERROR(0/0,""),preDEL!Z43)</f>
        <v/>
      </c>
      <c r="AA43" s="93" t="b">
        <f>IF(preDEL!$AG43,IFERROR(0/0,""),preDEL!AA43)</f>
        <v>0</v>
      </c>
      <c r="AB43" s="93" t="str">
        <f>IF(preDEL!$AG43,IFERROR(0/0,""),preDEL!AB43)</f>
        <v/>
      </c>
      <c r="AC43" s="252">
        <f>IF(preDEL!$AG43,IFERROR(0/0,""),preDEL!AC43)</f>
        <v>166</v>
      </c>
      <c r="AD43" s="99" t="str">
        <f>IF(preDEL!$AG43,IFERROR(0/0,""),preDEL!AD43)</f>
        <v/>
      </c>
      <c r="AE43" s="253">
        <f>IF(preDEL!$AG43,IFERROR(0/0,""),preDEL!AE43)</f>
        <v>263.2833333</v>
      </c>
      <c r="AF43" s="93" t="b">
        <f>IF(preDEL!$AG43,IFERROR(0/0,""),preDEL!AF43)</f>
        <v>0</v>
      </c>
      <c r="AG43" s="93" t="b">
        <f>IF(preDEL!$AG43,IFERROR(0/0,""),preDEL!AG43)</f>
        <v>0</v>
      </c>
      <c r="AH43" s="99" t="str">
        <f>IF(preDEL!$AG43,IFERROR(0/0,""),preDEL!AH43)</f>
        <v/>
      </c>
      <c r="AI43" s="249" t="str">
        <f>IF(preDEL!$AG43,IFERROR(0/0,""),preDEL!AI43)</f>
        <v/>
      </c>
      <c r="AJ43" s="94" t="str">
        <f>IF(preDEL!$AG43,IFERROR(0/0,""),preDEL!AJ43)</f>
        <v/>
      </c>
      <c r="AK43" s="249" t="str">
        <f>IF(preDEL!$AG43,IFERROR(0/0,""),preDEL!AK43)</f>
        <v>Negative</v>
      </c>
      <c r="AL43" s="94" t="str">
        <f>IF(preDEL!$AG43,IFERROR(0/0,""),preDEL!AL43)</f>
        <v/>
      </c>
      <c r="AM43" s="94" t="str">
        <f>IF(preDEL!$AG43,IFERROR(0/0,""),preDEL!AM43)</f>
        <v>SpNDHM955894</v>
      </c>
      <c r="AN43" s="94" t="str">
        <f>IF(preDEL!$AG43,IFERROR(0/0,""),preDEL!AN43)</f>
        <v>NDHM513495</v>
      </c>
      <c r="AO43" s="94" t="str">
        <f>IF(preDEL!$AG43,IFERROR(0/0,""),preDEL!AO43)</f>
        <v/>
      </c>
      <c r="AP43" s="94" t="str">
        <f>IF(preDEL!$AG43,IFERROR(0/0,""),preDEL!AP43)</f>
        <v/>
      </c>
      <c r="AQ43" s="94" t="str">
        <f>IF(preDEL!$AG43,IFERROR(0/0,""),preDEL!AQ43)</f>
        <v/>
      </c>
      <c r="AR43" s="94" t="str">
        <f>IF(preDEL!$AG43,IFERROR(0/0,""),preDEL!AR43)</f>
        <v/>
      </c>
      <c r="AS43" s="98"/>
      <c r="BE43" s="254"/>
      <c r="BF43" s="255"/>
      <c r="BG43" s="254"/>
      <c r="BH43" s="255"/>
      <c r="BI43" s="254"/>
      <c r="BJ43" s="254"/>
      <c r="BK43" s="254"/>
      <c r="BL43" s="254"/>
      <c r="BN43" s="7"/>
      <c r="BO43" s="7"/>
      <c r="BP43" s="7"/>
      <c r="BQ43" s="7"/>
      <c r="BR43" s="7"/>
      <c r="BS43" s="7"/>
      <c r="BT43" s="7"/>
    </row>
    <row r="44">
      <c r="A44" s="249" t="str">
        <f>IF(preDEL!$AG44,IFERROR(0/0,""),preDEL!A44)</f>
        <v>AG575</v>
      </c>
      <c r="B44" s="250">
        <f>IF(preDEL!$AG44,IFERROR(0/0,""),preDEL!B44)</f>
        <v>44683</v>
      </c>
      <c r="C44" s="251">
        <f>IF(preDEL!$AG44,IFERROR(0/0,""),preDEL!C44)</f>
        <v>0.1749768519</v>
      </c>
      <c r="D44" s="249" t="str">
        <f>IF(preDEL!$AG44,IFERROR(0/0,""),preDEL!D44)</f>
        <v/>
      </c>
      <c r="E44" s="249" t="str">
        <f>IF(preDEL!$AG44,IFERROR(0/0,""),preDEL!E44)</f>
        <v/>
      </c>
      <c r="F44" s="94" t="str">
        <f>IF(preDEL!$AG44,IFERROR(0/0,""),preDEL!F44)</f>
        <v/>
      </c>
      <c r="G44" s="94" t="str">
        <f>IF(preDEL!$AG44,IFERROR(0/0,""),preDEL!G44)</f>
        <v/>
      </c>
      <c r="H44" s="94" t="str">
        <f>IF(preDEL!$AG44,IFERROR(0/0,""),preDEL!H44)</f>
        <v/>
      </c>
      <c r="I44" s="249" t="str">
        <f>IF(preDEL!$AG44,IFERROR(0/0,""),preDEL!I44)</f>
        <v/>
      </c>
      <c r="J44" s="249" t="str">
        <f>IF(preDEL!$AG44,IFERROR(0/0,""),preDEL!J44)</f>
        <v/>
      </c>
      <c r="K44" s="249" t="str">
        <f>IF(preDEL!$AG44,IFERROR(0/0,""),preDEL!K44)</f>
        <v>Negative</v>
      </c>
      <c r="L44" s="250">
        <f>IF(preDEL!$AG44,IFERROR(0/0,""),preDEL!L44)</f>
        <v>44683</v>
      </c>
      <c r="M44" s="251">
        <f>IF(preDEL!$AG44,IFERROR(0/0,""),preDEL!M44)</f>
        <v>0.3578125</v>
      </c>
      <c r="N44" s="94" t="str">
        <f>IF(preDEL!$AG44,IFERROR(0/0,""),preDEL!N44)</f>
        <v/>
      </c>
      <c r="O44" s="94" t="str">
        <f>IF(preDEL!$AG44,IFERROR(0/0,""),preDEL!O44)</f>
        <v/>
      </c>
      <c r="P44" s="93" t="b">
        <f>IF(preDEL!$AG44,IFERROR(0/0,""),preDEL!P44)</f>
        <v>0</v>
      </c>
      <c r="Q44" s="93" t="str">
        <f>IF(preDEL!$AG44,IFERROR(0/0,""),preDEL!Q44)</f>
        <v>Result</v>
      </c>
      <c r="R44" s="99" t="b">
        <f>IF(preDEL!$AG44,IFERROR(0/0,""),preDEL!R44)</f>
        <v>0</v>
      </c>
      <c r="S44" s="99">
        <f>IF(preDEL!$AG44,IFERROR(0/0,""),preDEL!S44)</f>
        <v>4</v>
      </c>
      <c r="T44" s="93">
        <f>IF(preDEL!$AG44,IFERROR(0/0,""),preDEL!T44)</f>
        <v>2</v>
      </c>
      <c r="U44" s="94" t="str">
        <f>IF(preDEL!$AG44,IFERROR(0/0,""),preDEL!U44)</f>
        <v/>
      </c>
      <c r="V44" s="249" t="str">
        <f>IF(preDEL!$AG44,IFERROR(0/0,""),preDEL!V44)</f>
        <v/>
      </c>
      <c r="W44" s="94" t="str">
        <f>IF(preDEL!$AG44,IFERROR(0/0,""),preDEL!W44)</f>
        <v/>
      </c>
      <c r="X44" s="99" t="b">
        <f>IF(preDEL!$AG44,IFERROR(0/0,""),preDEL!X44)</f>
        <v>0</v>
      </c>
      <c r="Y44" s="93" t="str">
        <f>IF(preDEL!$AG44,IFERROR(0/0,""),preDEL!Y44)</f>
        <v/>
      </c>
      <c r="Z44" s="249" t="str">
        <f>IF(preDEL!$AG44,IFERROR(0/0,""),preDEL!Z44)</f>
        <v/>
      </c>
      <c r="AA44" s="93" t="b">
        <f>IF(preDEL!$AG44,IFERROR(0/0,""),preDEL!AA44)</f>
        <v>0</v>
      </c>
      <c r="AB44" s="93" t="str">
        <f>IF(preDEL!$AG44,IFERROR(0/0,""),preDEL!AB44)</f>
        <v/>
      </c>
      <c r="AC44" s="252">
        <f>IF(preDEL!$AG44,IFERROR(0/0,""),preDEL!AC44)</f>
        <v>167</v>
      </c>
      <c r="AD44" s="99" t="str">
        <f>IF(preDEL!$AG44,IFERROR(0/0,""),preDEL!AD44)</f>
        <v/>
      </c>
      <c r="AE44" s="253">
        <f>IF(preDEL!$AG44,IFERROR(0/0,""),preDEL!AE44)</f>
        <v>263.2833333</v>
      </c>
      <c r="AF44" s="93" t="b">
        <f>IF(preDEL!$AG44,IFERROR(0/0,""),preDEL!AF44)</f>
        <v>0</v>
      </c>
      <c r="AG44" s="93" t="b">
        <f>IF(preDEL!$AG44,IFERROR(0/0,""),preDEL!AG44)</f>
        <v>0</v>
      </c>
      <c r="AH44" s="99" t="str">
        <f>IF(preDEL!$AG44,IFERROR(0/0,""),preDEL!AH44)</f>
        <v/>
      </c>
      <c r="AI44" s="249" t="str">
        <f>IF(preDEL!$AG44,IFERROR(0/0,""),preDEL!AI44)</f>
        <v/>
      </c>
      <c r="AJ44" s="94" t="str">
        <f>IF(preDEL!$AG44,IFERROR(0/0,""),preDEL!AJ44)</f>
        <v/>
      </c>
      <c r="AK44" s="249" t="str">
        <f>IF(preDEL!$AG44,IFERROR(0/0,""),preDEL!AK44)</f>
        <v>Negative</v>
      </c>
      <c r="AL44" s="94" t="str">
        <f>IF(preDEL!$AG44,IFERROR(0/0,""),preDEL!AL44)</f>
        <v/>
      </c>
      <c r="AM44" s="94" t="str">
        <f>IF(preDEL!$AG44,IFERROR(0/0,""),preDEL!AM44)</f>
        <v>SpNDHM955894</v>
      </c>
      <c r="AN44" s="94" t="str">
        <f>IF(preDEL!$AG44,IFERROR(0/0,""),preDEL!AN44)</f>
        <v>NDHM107467</v>
      </c>
      <c r="AO44" s="94" t="str">
        <f>IF(preDEL!$AG44,IFERROR(0/0,""),preDEL!AO44)</f>
        <v/>
      </c>
      <c r="AP44" s="94" t="str">
        <f>IF(preDEL!$AG44,IFERROR(0/0,""),preDEL!AP44)</f>
        <v/>
      </c>
      <c r="AQ44" s="94" t="str">
        <f>IF(preDEL!$AG44,IFERROR(0/0,""),preDEL!AQ44)</f>
        <v/>
      </c>
      <c r="AR44" s="94" t="str">
        <f>IF(preDEL!$AG44,IFERROR(0/0,""),preDEL!AR44)</f>
        <v/>
      </c>
      <c r="AS44" s="98"/>
      <c r="BE44" s="254"/>
      <c r="BF44" s="255"/>
      <c r="BG44" s="254"/>
      <c r="BH44" s="255"/>
      <c r="BI44" s="254"/>
      <c r="BJ44" s="254"/>
      <c r="BK44" s="254"/>
      <c r="BL44" s="254"/>
      <c r="BN44" s="7"/>
      <c r="BO44" s="7"/>
      <c r="BP44" s="7"/>
      <c r="BQ44" s="7"/>
      <c r="BR44" s="7"/>
      <c r="BS44" s="7"/>
      <c r="BT44" s="7"/>
    </row>
    <row r="45">
      <c r="A45" s="249" t="str">
        <f>IF(preDEL!$AG45,IFERROR(0/0,""),preDEL!A45)</f>
        <v>AG575</v>
      </c>
      <c r="B45" s="250">
        <f>IF(preDEL!$AG45,IFERROR(0/0,""),preDEL!B45)</f>
        <v>44683</v>
      </c>
      <c r="C45" s="251">
        <f>IF(preDEL!$AG45,IFERROR(0/0,""),preDEL!C45)</f>
        <v>0.1749768519</v>
      </c>
      <c r="D45" s="249" t="str">
        <f>IF(preDEL!$AG45,IFERROR(0/0,""),preDEL!D45)</f>
        <v/>
      </c>
      <c r="E45" s="249" t="str">
        <f>IF(preDEL!$AG45,IFERROR(0/0,""),preDEL!E45)</f>
        <v/>
      </c>
      <c r="F45" s="94" t="str">
        <f>IF(preDEL!$AG45,IFERROR(0/0,""),preDEL!F45)</f>
        <v/>
      </c>
      <c r="G45" s="94" t="str">
        <f>IF(preDEL!$AG45,IFERROR(0/0,""),preDEL!G45)</f>
        <v/>
      </c>
      <c r="H45" s="94" t="str">
        <f>IF(preDEL!$AG45,IFERROR(0/0,""),preDEL!H45)</f>
        <v/>
      </c>
      <c r="I45" s="249" t="str">
        <f>IF(preDEL!$AG45,IFERROR(0/0,""),preDEL!I45)</f>
        <v/>
      </c>
      <c r="J45" s="249" t="str">
        <f>IF(preDEL!$AG45,IFERROR(0/0,""),preDEL!J45)</f>
        <v/>
      </c>
      <c r="K45" s="249" t="str">
        <f>IF(preDEL!$AG45,IFERROR(0/0,""),preDEL!K45)</f>
        <v>Negative</v>
      </c>
      <c r="L45" s="250">
        <f>IF(preDEL!$AG45,IFERROR(0/0,""),preDEL!L45)</f>
        <v>44683</v>
      </c>
      <c r="M45" s="251">
        <f>IF(preDEL!$AG45,IFERROR(0/0,""),preDEL!M45)</f>
        <v>0.3578125</v>
      </c>
      <c r="N45" s="94" t="str">
        <f>IF(preDEL!$AG45,IFERROR(0/0,""),preDEL!N45)</f>
        <v/>
      </c>
      <c r="O45" s="94" t="str">
        <f>IF(preDEL!$AG45,IFERROR(0/0,""),preDEL!O45)</f>
        <v/>
      </c>
      <c r="P45" s="93" t="b">
        <f>IF(preDEL!$AG45,IFERROR(0/0,""),preDEL!P45)</f>
        <v>0</v>
      </c>
      <c r="Q45" s="93" t="str">
        <f>IF(preDEL!$AG45,IFERROR(0/0,""),preDEL!Q45)</f>
        <v>Result</v>
      </c>
      <c r="R45" s="99" t="b">
        <f>IF(preDEL!$AG45,IFERROR(0/0,""),preDEL!R45)</f>
        <v>0</v>
      </c>
      <c r="S45" s="99">
        <f>IF(preDEL!$AG45,IFERROR(0/0,""),preDEL!S45)</f>
        <v>4</v>
      </c>
      <c r="T45" s="93">
        <f>IF(preDEL!$AG45,IFERROR(0/0,""),preDEL!T45)</f>
        <v>2</v>
      </c>
      <c r="U45" s="94" t="str">
        <f>IF(preDEL!$AG45,IFERROR(0/0,""),preDEL!U45)</f>
        <v/>
      </c>
      <c r="V45" s="249" t="str">
        <f>IF(preDEL!$AG45,IFERROR(0/0,""),preDEL!V45)</f>
        <v/>
      </c>
      <c r="W45" s="94" t="str">
        <f>IF(preDEL!$AG45,IFERROR(0/0,""),preDEL!W45)</f>
        <v/>
      </c>
      <c r="X45" s="99" t="b">
        <f>IF(preDEL!$AG45,IFERROR(0/0,""),preDEL!X45)</f>
        <v>0</v>
      </c>
      <c r="Y45" s="93" t="str">
        <f>IF(preDEL!$AG45,IFERROR(0/0,""),preDEL!Y45)</f>
        <v/>
      </c>
      <c r="Z45" s="249" t="str">
        <f>IF(preDEL!$AG45,IFERROR(0/0,""),preDEL!Z45)</f>
        <v/>
      </c>
      <c r="AA45" s="93" t="b">
        <f>IF(preDEL!$AG45,IFERROR(0/0,""),preDEL!AA45)</f>
        <v>0</v>
      </c>
      <c r="AB45" s="93" t="str">
        <f>IF(preDEL!$AG45,IFERROR(0/0,""),preDEL!AB45)</f>
        <v/>
      </c>
      <c r="AC45" s="252">
        <f>IF(preDEL!$AG45,IFERROR(0/0,""),preDEL!AC45)</f>
        <v>166</v>
      </c>
      <c r="AD45" s="99" t="str">
        <f>IF(preDEL!$AG45,IFERROR(0/0,""),preDEL!AD45)</f>
        <v/>
      </c>
      <c r="AE45" s="253">
        <f>IF(preDEL!$AG45,IFERROR(0/0,""),preDEL!AE45)</f>
        <v>263.2833333</v>
      </c>
      <c r="AF45" s="93" t="b">
        <f>IF(preDEL!$AG45,IFERROR(0/0,""),preDEL!AF45)</f>
        <v>0</v>
      </c>
      <c r="AG45" s="93" t="b">
        <f>IF(preDEL!$AG45,IFERROR(0/0,""),preDEL!AG45)</f>
        <v>0</v>
      </c>
      <c r="AH45" s="99" t="str">
        <f>IF(preDEL!$AG45,IFERROR(0/0,""),preDEL!AH45)</f>
        <v/>
      </c>
      <c r="AI45" s="249" t="str">
        <f>IF(preDEL!$AG45,IFERROR(0/0,""),preDEL!AI45)</f>
        <v/>
      </c>
      <c r="AJ45" s="94" t="str">
        <f>IF(preDEL!$AG45,IFERROR(0/0,""),preDEL!AJ45)</f>
        <v/>
      </c>
      <c r="AK45" s="249" t="str">
        <f>IF(preDEL!$AG45,IFERROR(0/0,""),preDEL!AK45)</f>
        <v>Negative</v>
      </c>
      <c r="AL45" s="94" t="str">
        <f>IF(preDEL!$AG45,IFERROR(0/0,""),preDEL!AL45)</f>
        <v/>
      </c>
      <c r="AM45" s="94" t="str">
        <f>IF(preDEL!$AG45,IFERROR(0/0,""),preDEL!AM45)</f>
        <v>SpNDHM955894</v>
      </c>
      <c r="AN45" s="94" t="str">
        <f>IF(preDEL!$AG45,IFERROR(0/0,""),preDEL!AN45)</f>
        <v>NDHM574415</v>
      </c>
      <c r="AO45" s="94" t="str">
        <f>IF(preDEL!$AG45,IFERROR(0/0,""),preDEL!AO45)</f>
        <v/>
      </c>
      <c r="AP45" s="94" t="str">
        <f>IF(preDEL!$AG45,IFERROR(0/0,""),preDEL!AP45)</f>
        <v/>
      </c>
      <c r="AQ45" s="94" t="str">
        <f>IF(preDEL!$AG45,IFERROR(0/0,""),preDEL!AQ45)</f>
        <v/>
      </c>
      <c r="AR45" s="94" t="str">
        <f>IF(preDEL!$AG45,IFERROR(0/0,""),preDEL!AR45)</f>
        <v/>
      </c>
      <c r="AS45" s="98"/>
      <c r="BE45" s="254"/>
      <c r="BF45" s="255"/>
      <c r="BG45" s="254"/>
      <c r="BH45" s="255"/>
      <c r="BI45" s="254"/>
      <c r="BJ45" s="254"/>
      <c r="BK45" s="254"/>
      <c r="BL45" s="254"/>
      <c r="BN45" s="7"/>
      <c r="BO45" s="7"/>
      <c r="BP45" s="7"/>
      <c r="BQ45" s="7"/>
      <c r="BR45" s="7"/>
      <c r="BS45" s="7"/>
      <c r="BT45" s="7"/>
    </row>
    <row r="46">
      <c r="A46" s="249" t="str">
        <f>IF(preDEL!$AG46,IFERROR(0/0,""),preDEL!A46)</f>
        <v>AK7133</v>
      </c>
      <c r="B46" s="250">
        <f>IF(preDEL!$AG46,IFERROR(0/0,""),preDEL!B46)</f>
        <v>44683</v>
      </c>
      <c r="C46" s="251">
        <f>IF(preDEL!$AG46,IFERROR(0/0,""),preDEL!C46)</f>
        <v>0.1772106481</v>
      </c>
      <c r="D46" s="249" t="str">
        <f>IF(preDEL!$AG46,IFERROR(0/0,""),preDEL!D46)</f>
        <v/>
      </c>
      <c r="E46" s="249" t="str">
        <f>IF(preDEL!$AG46,IFERROR(0/0,""),preDEL!E46)</f>
        <v/>
      </c>
      <c r="F46" s="94" t="str">
        <f>IF(preDEL!$AG46,IFERROR(0/0,""),preDEL!F46)</f>
        <v/>
      </c>
      <c r="G46" s="94" t="str">
        <f>IF(preDEL!$AG46,IFERROR(0/0,""),preDEL!G46)</f>
        <v/>
      </c>
      <c r="H46" s="94" t="str">
        <f>IF(preDEL!$AG46,IFERROR(0/0,""),preDEL!H46)</f>
        <v/>
      </c>
      <c r="I46" s="249" t="str">
        <f>IF(preDEL!$AG46,IFERROR(0/0,""),preDEL!I46)</f>
        <v/>
      </c>
      <c r="J46" s="249" t="str">
        <f>IF(preDEL!$AG46,IFERROR(0/0,""),preDEL!J46)</f>
        <v/>
      </c>
      <c r="K46" s="249" t="str">
        <f>IF(preDEL!$AG46,IFERROR(0/0,""),preDEL!K46)</f>
        <v>Negative</v>
      </c>
      <c r="L46" s="250">
        <f>IF(preDEL!$AG46,IFERROR(0/0,""),preDEL!L46)</f>
        <v>44683</v>
      </c>
      <c r="M46" s="251">
        <f>IF(preDEL!$AG46,IFERROR(0/0,""),preDEL!M46)</f>
        <v>0.3578125</v>
      </c>
      <c r="N46" s="94" t="str">
        <f>IF(preDEL!$AG46,IFERROR(0/0,""),preDEL!N46)</f>
        <v/>
      </c>
      <c r="O46" s="94" t="str">
        <f>IF(preDEL!$AG46,IFERROR(0/0,""),preDEL!O46)</f>
        <v/>
      </c>
      <c r="P46" s="93" t="b">
        <f>IF(preDEL!$AG46,IFERROR(0/0,""),preDEL!P46)</f>
        <v>0</v>
      </c>
      <c r="Q46" s="93" t="str">
        <f>IF(preDEL!$AG46,IFERROR(0/0,""),preDEL!Q46)</f>
        <v>Result</v>
      </c>
      <c r="R46" s="99" t="b">
        <f>IF(preDEL!$AG46,IFERROR(0/0,""),preDEL!R46)</f>
        <v>1</v>
      </c>
      <c r="S46" s="99">
        <f>IF(preDEL!$AG46,IFERROR(0/0,""),preDEL!S46)</f>
        <v>2</v>
      </c>
      <c r="T46" s="93">
        <f>IF(preDEL!$AG46,IFERROR(0/0,""),preDEL!T46)</f>
        <v>1</v>
      </c>
      <c r="U46" s="94" t="str">
        <f>IF(preDEL!$AG46,IFERROR(0/0,""),preDEL!U46)</f>
        <v/>
      </c>
      <c r="V46" s="249" t="str">
        <f>IF(preDEL!$AG46,IFERROR(0/0,""),preDEL!V46)</f>
        <v/>
      </c>
      <c r="W46" s="94" t="str">
        <f>IF(preDEL!$AG46,IFERROR(0/0,""),preDEL!W46)</f>
        <v/>
      </c>
      <c r="X46" s="99" t="b">
        <f>IF(preDEL!$AG46,IFERROR(0/0,""),preDEL!X46)</f>
        <v>0</v>
      </c>
      <c r="Y46" s="93" t="str">
        <f>IF(preDEL!$AG46,IFERROR(0/0,""),preDEL!Y46)</f>
        <v/>
      </c>
      <c r="Z46" s="249" t="str">
        <f>IF(preDEL!$AG46,IFERROR(0/0,""),preDEL!Z46)</f>
        <v/>
      </c>
      <c r="AA46" s="93" t="b">
        <f>IF(preDEL!$AG46,IFERROR(0/0,""),preDEL!AA46)</f>
        <v>0</v>
      </c>
      <c r="AB46" s="93" t="str">
        <f>IF(preDEL!$AG46,IFERROR(0/0,""),preDEL!AB46)</f>
        <v/>
      </c>
      <c r="AC46" s="252">
        <f>IF(preDEL!$AG46,IFERROR(0/0,""),preDEL!AC46)</f>
        <v>168</v>
      </c>
      <c r="AD46" s="99" t="str">
        <f>IF(preDEL!$AG46,IFERROR(0/0,""),preDEL!AD46)</f>
        <v/>
      </c>
      <c r="AE46" s="253">
        <f>IF(preDEL!$AG46,IFERROR(0/0,""),preDEL!AE46)</f>
        <v>260.0666667</v>
      </c>
      <c r="AF46" s="93" t="b">
        <f>IF(preDEL!$AG46,IFERROR(0/0,""),preDEL!AF46)</f>
        <v>0</v>
      </c>
      <c r="AG46" s="93" t="b">
        <f>IF(preDEL!$AG46,IFERROR(0/0,""),preDEL!AG46)</f>
        <v>0</v>
      </c>
      <c r="AH46" s="99" t="str">
        <f>IF(preDEL!$AG46,IFERROR(0/0,""),preDEL!AH46)</f>
        <v/>
      </c>
      <c r="AI46" s="249" t="str">
        <f>IF(preDEL!$AG46,IFERROR(0/0,""),preDEL!AI46)</f>
        <v/>
      </c>
      <c r="AJ46" s="94" t="str">
        <f>IF(preDEL!$AG46,IFERROR(0/0,""),preDEL!AJ46)</f>
        <v/>
      </c>
      <c r="AK46" s="249" t="str">
        <f>IF(preDEL!$AG46,IFERROR(0/0,""),preDEL!AK46)</f>
        <v>Negative</v>
      </c>
      <c r="AL46" s="94" t="str">
        <f>IF(preDEL!$AG46,IFERROR(0/0,""),preDEL!AL46)</f>
        <v/>
      </c>
      <c r="AM46" s="94" t="str">
        <f>IF(preDEL!$AG46,IFERROR(0/0,""),preDEL!AM46)</f>
        <v>SpNDHM118014</v>
      </c>
      <c r="AN46" s="94" t="str">
        <f>IF(preDEL!$AG46,IFERROR(0/0,""),preDEL!AN46)</f>
        <v>NDHM586177</v>
      </c>
      <c r="AO46" s="94" t="str">
        <f>IF(preDEL!$AG46,IFERROR(0/0,""),preDEL!AO46)</f>
        <v/>
      </c>
      <c r="AP46" s="94" t="str">
        <f>IF(preDEL!$AG46,IFERROR(0/0,""),preDEL!AP46)</f>
        <v/>
      </c>
      <c r="AQ46" s="94" t="str">
        <f>IF(preDEL!$AG46,IFERROR(0/0,""),preDEL!AQ46)</f>
        <v/>
      </c>
      <c r="AR46" s="94" t="str">
        <f>IF(preDEL!$AG46,IFERROR(0/0,""),preDEL!AR46)</f>
        <v/>
      </c>
      <c r="AS46" s="98"/>
      <c r="BE46" s="254"/>
      <c r="BF46" s="255"/>
      <c r="BG46" s="254"/>
      <c r="BH46" s="255"/>
      <c r="BI46" s="254"/>
      <c r="BJ46" s="254"/>
      <c r="BK46" s="254"/>
      <c r="BL46" s="254"/>
      <c r="BN46" s="7"/>
      <c r="BO46" s="7"/>
      <c r="BP46" s="7"/>
      <c r="BQ46" s="7"/>
      <c r="BR46" s="7"/>
      <c r="BS46" s="7"/>
      <c r="BT46" s="7"/>
    </row>
    <row r="47">
      <c r="A47" s="249" t="str">
        <f>IF(preDEL!$AG47,IFERROR(0/0,""),preDEL!A47)</f>
        <v>AK7133</v>
      </c>
      <c r="B47" s="250">
        <f>IF(preDEL!$AG47,IFERROR(0/0,""),preDEL!B47)</f>
        <v>44683</v>
      </c>
      <c r="C47" s="251">
        <f>IF(preDEL!$AG47,IFERROR(0/0,""),preDEL!C47)</f>
        <v>0.1772106481</v>
      </c>
      <c r="D47" s="249" t="str">
        <f>IF(preDEL!$AG47,IFERROR(0/0,""),preDEL!D47)</f>
        <v/>
      </c>
      <c r="E47" s="249" t="str">
        <f>IF(preDEL!$AG47,IFERROR(0/0,""),preDEL!E47)</f>
        <v/>
      </c>
      <c r="F47" s="94" t="str">
        <f>IF(preDEL!$AG47,IFERROR(0/0,""),preDEL!F47)</f>
        <v/>
      </c>
      <c r="G47" s="94" t="str">
        <f>IF(preDEL!$AG47,IFERROR(0/0,""),preDEL!G47)</f>
        <v/>
      </c>
      <c r="H47" s="94" t="str">
        <f>IF(preDEL!$AG47,IFERROR(0/0,""),preDEL!H47)</f>
        <v/>
      </c>
      <c r="I47" s="249" t="str">
        <f>IF(preDEL!$AG47,IFERROR(0/0,""),preDEL!I47)</f>
        <v/>
      </c>
      <c r="J47" s="249" t="str">
        <f>IF(preDEL!$AG47,IFERROR(0/0,""),preDEL!J47)</f>
        <v/>
      </c>
      <c r="K47" s="249" t="str">
        <f>IF(preDEL!$AG47,IFERROR(0/0,""),preDEL!K47)</f>
        <v>Negative</v>
      </c>
      <c r="L47" s="250">
        <f>IF(preDEL!$AG47,IFERROR(0/0,""),preDEL!L47)</f>
        <v>44683</v>
      </c>
      <c r="M47" s="251">
        <f>IF(preDEL!$AG47,IFERROR(0/0,""),preDEL!M47)</f>
        <v>0.3578125</v>
      </c>
      <c r="N47" s="94" t="str">
        <f>IF(preDEL!$AG47,IFERROR(0/0,""),preDEL!N47)</f>
        <v/>
      </c>
      <c r="O47" s="94" t="str">
        <f>IF(preDEL!$AG47,IFERROR(0/0,""),preDEL!O47)</f>
        <v/>
      </c>
      <c r="P47" s="93" t="b">
        <f>IF(preDEL!$AG47,IFERROR(0/0,""),preDEL!P47)</f>
        <v>0</v>
      </c>
      <c r="Q47" s="93" t="str">
        <f>IF(preDEL!$AG47,IFERROR(0/0,""),preDEL!Q47)</f>
        <v>Result</v>
      </c>
      <c r="R47" s="99" t="b">
        <f>IF(preDEL!$AG47,IFERROR(0/0,""),preDEL!R47)</f>
        <v>0</v>
      </c>
      <c r="S47" s="99">
        <f>IF(preDEL!$AG47,IFERROR(0/0,""),preDEL!S47)</f>
        <v>2</v>
      </c>
      <c r="T47" s="93">
        <f>IF(preDEL!$AG47,IFERROR(0/0,""),preDEL!T47)</f>
        <v>1</v>
      </c>
      <c r="U47" s="94" t="str">
        <f>IF(preDEL!$AG47,IFERROR(0/0,""),preDEL!U47)</f>
        <v/>
      </c>
      <c r="V47" s="249" t="str">
        <f>IF(preDEL!$AG47,IFERROR(0/0,""),preDEL!V47)</f>
        <v/>
      </c>
      <c r="W47" s="94" t="str">
        <f>IF(preDEL!$AG47,IFERROR(0/0,""),preDEL!W47)</f>
        <v/>
      </c>
      <c r="X47" s="99" t="b">
        <f>IF(preDEL!$AG47,IFERROR(0/0,""),preDEL!X47)</f>
        <v>0</v>
      </c>
      <c r="Y47" s="93" t="str">
        <f>IF(preDEL!$AG47,IFERROR(0/0,""),preDEL!Y47)</f>
        <v/>
      </c>
      <c r="Z47" s="249" t="str">
        <f>IF(preDEL!$AG47,IFERROR(0/0,""),preDEL!Z47)</f>
        <v/>
      </c>
      <c r="AA47" s="93" t="b">
        <f>IF(preDEL!$AG47,IFERROR(0/0,""),preDEL!AA47)</f>
        <v>0</v>
      </c>
      <c r="AB47" s="93" t="str">
        <f>IF(preDEL!$AG47,IFERROR(0/0,""),preDEL!AB47)</f>
        <v/>
      </c>
      <c r="AC47" s="252">
        <f>IF(preDEL!$AG47,IFERROR(0/0,""),preDEL!AC47)</f>
        <v>168</v>
      </c>
      <c r="AD47" s="99" t="str">
        <f>IF(preDEL!$AG47,IFERROR(0/0,""),preDEL!AD47)</f>
        <v/>
      </c>
      <c r="AE47" s="253">
        <f>IF(preDEL!$AG47,IFERROR(0/0,""),preDEL!AE47)</f>
        <v>260.0666667</v>
      </c>
      <c r="AF47" s="93" t="b">
        <f>IF(preDEL!$AG47,IFERROR(0/0,""),preDEL!AF47)</f>
        <v>0</v>
      </c>
      <c r="AG47" s="93" t="b">
        <f>IF(preDEL!$AG47,IFERROR(0/0,""),preDEL!AG47)</f>
        <v>0</v>
      </c>
      <c r="AH47" s="99" t="str">
        <f>IF(preDEL!$AG47,IFERROR(0/0,""),preDEL!AH47)</f>
        <v/>
      </c>
      <c r="AI47" s="249" t="str">
        <f>IF(preDEL!$AG47,IFERROR(0/0,""),preDEL!AI47)</f>
        <v/>
      </c>
      <c r="AJ47" s="94" t="str">
        <f>IF(preDEL!$AG47,IFERROR(0/0,""),preDEL!AJ47)</f>
        <v/>
      </c>
      <c r="AK47" s="249" t="str">
        <f>IF(preDEL!$AG47,IFERROR(0/0,""),preDEL!AK47)</f>
        <v>Negative</v>
      </c>
      <c r="AL47" s="94" t="str">
        <f>IF(preDEL!$AG47,IFERROR(0/0,""),preDEL!AL47)</f>
        <v/>
      </c>
      <c r="AM47" s="94" t="str">
        <f>IF(preDEL!$AG47,IFERROR(0/0,""),preDEL!AM47)</f>
        <v>SpNDHM118014</v>
      </c>
      <c r="AN47" s="94" t="str">
        <f>IF(preDEL!$AG47,IFERROR(0/0,""),preDEL!AN47)</f>
        <v>NDHM976885</v>
      </c>
      <c r="AO47" s="94" t="str">
        <f>IF(preDEL!$AG47,IFERROR(0/0,""),preDEL!AO47)</f>
        <v/>
      </c>
      <c r="AP47" s="94" t="str">
        <f>IF(preDEL!$AG47,IFERROR(0/0,""),preDEL!AP47)</f>
        <v/>
      </c>
      <c r="AQ47" s="94" t="str">
        <f>IF(preDEL!$AG47,IFERROR(0/0,""),preDEL!AQ47)</f>
        <v/>
      </c>
      <c r="AR47" s="94" t="str">
        <f>IF(preDEL!$AG47,IFERROR(0/0,""),preDEL!AR47)</f>
        <v/>
      </c>
      <c r="AS47" s="98"/>
      <c r="BE47" s="254"/>
      <c r="BF47" s="255"/>
      <c r="BG47" s="254"/>
      <c r="BH47" s="255"/>
      <c r="BI47" s="254"/>
      <c r="BJ47" s="254"/>
      <c r="BK47" s="254"/>
      <c r="BL47" s="254"/>
      <c r="BN47" s="7"/>
      <c r="BO47" s="7"/>
      <c r="BP47" s="7"/>
      <c r="BQ47" s="7"/>
      <c r="BR47" s="7"/>
      <c r="BS47" s="7"/>
      <c r="BT47" s="7"/>
    </row>
    <row r="48">
      <c r="A48" s="249" t="str">
        <f>IF(preDEL!$AG48,IFERROR(0/0,""),preDEL!A48)</f>
        <v>AG91</v>
      </c>
      <c r="B48" s="250">
        <f>IF(preDEL!$AG48,IFERROR(0/0,""),preDEL!B48)</f>
        <v>44683</v>
      </c>
      <c r="C48" s="251">
        <f>IF(preDEL!$AG48,IFERROR(0/0,""),preDEL!C48)</f>
        <v>0.1777083333</v>
      </c>
      <c r="D48" s="249" t="str">
        <f>IF(preDEL!$AG48,IFERROR(0/0,""),preDEL!D48)</f>
        <v/>
      </c>
      <c r="E48" s="249" t="str">
        <f>IF(preDEL!$AG48,IFERROR(0/0,""),preDEL!E48)</f>
        <v/>
      </c>
      <c r="F48" s="94" t="str">
        <f>IF(preDEL!$AG48,IFERROR(0/0,""),preDEL!F48)</f>
        <v/>
      </c>
      <c r="G48" s="94" t="str">
        <f>IF(preDEL!$AG48,IFERROR(0/0,""),preDEL!G48)</f>
        <v/>
      </c>
      <c r="H48" s="94" t="str">
        <f>IF(preDEL!$AG48,IFERROR(0/0,""),preDEL!H48)</f>
        <v/>
      </c>
      <c r="I48" s="249" t="str">
        <f>IF(preDEL!$AG48,IFERROR(0/0,""),preDEL!I48)</f>
        <v/>
      </c>
      <c r="J48" s="249" t="str">
        <f>IF(preDEL!$AG48,IFERROR(0/0,""),preDEL!J48)</f>
        <v/>
      </c>
      <c r="K48" s="249" t="str">
        <f>IF(preDEL!$AG48,IFERROR(0/0,""),preDEL!K48)</f>
        <v>Negative</v>
      </c>
      <c r="L48" s="250">
        <f>IF(preDEL!$AG48,IFERROR(0/0,""),preDEL!L48)</f>
        <v>44683</v>
      </c>
      <c r="M48" s="251">
        <f>IF(preDEL!$AG48,IFERROR(0/0,""),preDEL!M48)</f>
        <v>0.3578125</v>
      </c>
      <c r="N48" s="94" t="str">
        <f>IF(preDEL!$AG48,IFERROR(0/0,""),preDEL!N48)</f>
        <v/>
      </c>
      <c r="O48" s="94" t="str">
        <f>IF(preDEL!$AG48,IFERROR(0/0,""),preDEL!O48)</f>
        <v/>
      </c>
      <c r="P48" s="93" t="b">
        <f>IF(preDEL!$AG48,IFERROR(0/0,""),preDEL!P48)</f>
        <v>0</v>
      </c>
      <c r="Q48" s="93" t="str">
        <f>IF(preDEL!$AG48,IFERROR(0/0,""),preDEL!Q48)</f>
        <v>Result</v>
      </c>
      <c r="R48" s="99" t="b">
        <f>IF(preDEL!$AG48,IFERROR(0/0,""),preDEL!R48)</f>
        <v>1</v>
      </c>
      <c r="S48" s="99">
        <f>IF(preDEL!$AG48,IFERROR(0/0,""),preDEL!S48)</f>
        <v>2</v>
      </c>
      <c r="T48" s="93">
        <f>IF(preDEL!$AG48,IFERROR(0/0,""),preDEL!T48)</f>
        <v>1</v>
      </c>
      <c r="U48" s="94" t="str">
        <f>IF(preDEL!$AG48,IFERROR(0/0,""),preDEL!U48)</f>
        <v/>
      </c>
      <c r="V48" s="249" t="str">
        <f>IF(preDEL!$AG48,IFERROR(0/0,""),preDEL!V48)</f>
        <v/>
      </c>
      <c r="W48" s="94" t="str">
        <f>IF(preDEL!$AG48,IFERROR(0/0,""),preDEL!W48)</f>
        <v/>
      </c>
      <c r="X48" s="99" t="b">
        <f>IF(preDEL!$AG48,IFERROR(0/0,""),preDEL!X48)</f>
        <v>0</v>
      </c>
      <c r="Y48" s="93" t="str">
        <f>IF(preDEL!$AG48,IFERROR(0/0,""),preDEL!Y48)</f>
        <v/>
      </c>
      <c r="Z48" s="249" t="str">
        <f>IF(preDEL!$AG48,IFERROR(0/0,""),preDEL!Z48)</f>
        <v/>
      </c>
      <c r="AA48" s="93" t="b">
        <f>IF(preDEL!$AG48,IFERROR(0/0,""),preDEL!AA48)</f>
        <v>0</v>
      </c>
      <c r="AB48" s="93" t="str">
        <f>IF(preDEL!$AG48,IFERROR(0/0,""),preDEL!AB48)</f>
        <v/>
      </c>
      <c r="AC48" s="252">
        <f>IF(preDEL!$AG48,IFERROR(0/0,""),preDEL!AC48)</f>
        <v>169</v>
      </c>
      <c r="AD48" s="99" t="str">
        <f>IF(preDEL!$AG48,IFERROR(0/0,""),preDEL!AD48)</f>
        <v/>
      </c>
      <c r="AE48" s="253">
        <f>IF(preDEL!$AG48,IFERROR(0/0,""),preDEL!AE48)</f>
        <v>259.35</v>
      </c>
      <c r="AF48" s="93" t="b">
        <f>IF(preDEL!$AG48,IFERROR(0/0,""),preDEL!AF48)</f>
        <v>0</v>
      </c>
      <c r="AG48" s="93" t="b">
        <f>IF(preDEL!$AG48,IFERROR(0/0,""),preDEL!AG48)</f>
        <v>0</v>
      </c>
      <c r="AH48" s="99" t="str">
        <f>IF(preDEL!$AG48,IFERROR(0/0,""),preDEL!AH48)</f>
        <v/>
      </c>
      <c r="AI48" s="249" t="str">
        <f>IF(preDEL!$AG48,IFERROR(0/0,""),preDEL!AI48)</f>
        <v/>
      </c>
      <c r="AJ48" s="94" t="str">
        <f>IF(preDEL!$AG48,IFERROR(0/0,""),preDEL!AJ48)</f>
        <v/>
      </c>
      <c r="AK48" s="249" t="str">
        <f>IF(preDEL!$AG48,IFERROR(0/0,""),preDEL!AK48)</f>
        <v>Negative</v>
      </c>
      <c r="AL48" s="94" t="str">
        <f>IF(preDEL!$AG48,IFERROR(0/0,""),preDEL!AL48)</f>
        <v/>
      </c>
      <c r="AM48" s="94" t="str">
        <f>IF(preDEL!$AG48,IFERROR(0/0,""),preDEL!AM48)</f>
        <v>SpNDHM118014</v>
      </c>
      <c r="AN48" s="94" t="str">
        <f>IF(preDEL!$AG48,IFERROR(0/0,""),preDEL!AN48)</f>
        <v>NDHM711288</v>
      </c>
      <c r="AO48" s="94" t="str">
        <f>IF(preDEL!$AG48,IFERROR(0/0,""),preDEL!AO48)</f>
        <v/>
      </c>
      <c r="AP48" s="94" t="str">
        <f>IF(preDEL!$AG48,IFERROR(0/0,""),preDEL!AP48)</f>
        <v/>
      </c>
      <c r="AQ48" s="94" t="str">
        <f>IF(preDEL!$AG48,IFERROR(0/0,""),preDEL!AQ48)</f>
        <v/>
      </c>
      <c r="AR48" s="94" t="str">
        <f>IF(preDEL!$AG48,IFERROR(0/0,""),preDEL!AR48)</f>
        <v/>
      </c>
      <c r="AS48" s="98"/>
      <c r="BE48" s="254"/>
      <c r="BF48" s="255"/>
      <c r="BG48" s="254"/>
      <c r="BH48" s="255"/>
      <c r="BI48" s="254"/>
      <c r="BJ48" s="254"/>
      <c r="BK48" s="254"/>
      <c r="BL48" s="254"/>
      <c r="BN48" s="7"/>
      <c r="BO48" s="7"/>
      <c r="BP48" s="7"/>
      <c r="BQ48" s="7"/>
      <c r="BR48" s="7"/>
      <c r="BS48" s="7"/>
      <c r="BT48" s="7"/>
    </row>
    <row r="49">
      <c r="A49" s="249" t="str">
        <f>IF(preDEL!$AG49,IFERROR(0/0,""),preDEL!A49)</f>
        <v>AG91</v>
      </c>
      <c r="B49" s="250">
        <f>IF(preDEL!$AG49,IFERROR(0/0,""),preDEL!B49)</f>
        <v>44683</v>
      </c>
      <c r="C49" s="251">
        <f>IF(preDEL!$AG49,IFERROR(0/0,""),preDEL!C49)</f>
        <v>0.1777083333</v>
      </c>
      <c r="D49" s="249" t="str">
        <f>IF(preDEL!$AG49,IFERROR(0/0,""),preDEL!D49)</f>
        <v/>
      </c>
      <c r="E49" s="249" t="str">
        <f>IF(preDEL!$AG49,IFERROR(0/0,""),preDEL!E49)</f>
        <v/>
      </c>
      <c r="F49" s="94" t="str">
        <f>IF(preDEL!$AG49,IFERROR(0/0,""),preDEL!F49)</f>
        <v/>
      </c>
      <c r="G49" s="94" t="str">
        <f>IF(preDEL!$AG49,IFERROR(0/0,""),preDEL!G49)</f>
        <v/>
      </c>
      <c r="H49" s="94" t="str">
        <f>IF(preDEL!$AG49,IFERROR(0/0,""),preDEL!H49)</f>
        <v/>
      </c>
      <c r="I49" s="249" t="str">
        <f>IF(preDEL!$AG49,IFERROR(0/0,""),preDEL!I49)</f>
        <v/>
      </c>
      <c r="J49" s="249" t="str">
        <f>IF(preDEL!$AG49,IFERROR(0/0,""),preDEL!J49)</f>
        <v/>
      </c>
      <c r="K49" s="249" t="str">
        <f>IF(preDEL!$AG49,IFERROR(0/0,""),preDEL!K49)</f>
        <v>Negative</v>
      </c>
      <c r="L49" s="250">
        <f>IF(preDEL!$AG49,IFERROR(0/0,""),preDEL!L49)</f>
        <v>44683</v>
      </c>
      <c r="M49" s="251">
        <f>IF(preDEL!$AG49,IFERROR(0/0,""),preDEL!M49)</f>
        <v>0.3578125</v>
      </c>
      <c r="N49" s="94" t="str">
        <f>IF(preDEL!$AG49,IFERROR(0/0,""),preDEL!N49)</f>
        <v/>
      </c>
      <c r="O49" s="94" t="str">
        <f>IF(preDEL!$AG49,IFERROR(0/0,""),preDEL!O49)</f>
        <v/>
      </c>
      <c r="P49" s="93" t="b">
        <f>IF(preDEL!$AG49,IFERROR(0/0,""),preDEL!P49)</f>
        <v>0</v>
      </c>
      <c r="Q49" s="93" t="str">
        <f>IF(preDEL!$AG49,IFERROR(0/0,""),preDEL!Q49)</f>
        <v>Result</v>
      </c>
      <c r="R49" s="99" t="b">
        <f>IF(preDEL!$AG49,IFERROR(0/0,""),preDEL!R49)</f>
        <v>0</v>
      </c>
      <c r="S49" s="99">
        <f>IF(preDEL!$AG49,IFERROR(0/0,""),preDEL!S49)</f>
        <v>2</v>
      </c>
      <c r="T49" s="93">
        <f>IF(preDEL!$AG49,IFERROR(0/0,""),preDEL!T49)</f>
        <v>1</v>
      </c>
      <c r="U49" s="94" t="str">
        <f>IF(preDEL!$AG49,IFERROR(0/0,""),preDEL!U49)</f>
        <v/>
      </c>
      <c r="V49" s="249" t="str">
        <f>IF(preDEL!$AG49,IFERROR(0/0,""),preDEL!V49)</f>
        <v/>
      </c>
      <c r="W49" s="94" t="str">
        <f>IF(preDEL!$AG49,IFERROR(0/0,""),preDEL!W49)</f>
        <v/>
      </c>
      <c r="X49" s="99" t="b">
        <f>IF(preDEL!$AG49,IFERROR(0/0,""),preDEL!X49)</f>
        <v>0</v>
      </c>
      <c r="Y49" s="93" t="str">
        <f>IF(preDEL!$AG49,IFERROR(0/0,""),preDEL!Y49)</f>
        <v/>
      </c>
      <c r="Z49" s="249" t="str">
        <f>IF(preDEL!$AG49,IFERROR(0/0,""),preDEL!Z49)</f>
        <v/>
      </c>
      <c r="AA49" s="93" t="b">
        <f>IF(preDEL!$AG49,IFERROR(0/0,""),preDEL!AA49)</f>
        <v>0</v>
      </c>
      <c r="AB49" s="93" t="str">
        <f>IF(preDEL!$AG49,IFERROR(0/0,""),preDEL!AB49)</f>
        <v/>
      </c>
      <c r="AC49" s="252">
        <f>IF(preDEL!$AG49,IFERROR(0/0,""),preDEL!AC49)</f>
        <v>169</v>
      </c>
      <c r="AD49" s="99" t="str">
        <f>IF(preDEL!$AG49,IFERROR(0/0,""),preDEL!AD49)</f>
        <v/>
      </c>
      <c r="AE49" s="253">
        <f>IF(preDEL!$AG49,IFERROR(0/0,""),preDEL!AE49)</f>
        <v>259.35</v>
      </c>
      <c r="AF49" s="93" t="b">
        <f>IF(preDEL!$AG49,IFERROR(0/0,""),preDEL!AF49)</f>
        <v>0</v>
      </c>
      <c r="AG49" s="93" t="b">
        <f>IF(preDEL!$AG49,IFERROR(0/0,""),preDEL!AG49)</f>
        <v>0</v>
      </c>
      <c r="AH49" s="99" t="str">
        <f>IF(preDEL!$AG49,IFERROR(0/0,""),preDEL!AH49)</f>
        <v/>
      </c>
      <c r="AI49" s="249" t="str">
        <f>IF(preDEL!$AG49,IFERROR(0/0,""),preDEL!AI49)</f>
        <v/>
      </c>
      <c r="AJ49" s="94" t="str">
        <f>IF(preDEL!$AG49,IFERROR(0/0,""),preDEL!AJ49)</f>
        <v/>
      </c>
      <c r="AK49" s="249" t="str">
        <f>IF(preDEL!$AG49,IFERROR(0/0,""),preDEL!AK49)</f>
        <v>Negative</v>
      </c>
      <c r="AL49" s="94" t="str">
        <f>IF(preDEL!$AG49,IFERROR(0/0,""),preDEL!AL49)</f>
        <v/>
      </c>
      <c r="AM49" s="94" t="str">
        <f>IF(preDEL!$AG49,IFERROR(0/0,""),preDEL!AM49)</f>
        <v>SpNDHM118014</v>
      </c>
      <c r="AN49" s="94" t="str">
        <f>IF(preDEL!$AG49,IFERROR(0/0,""),preDEL!AN49)</f>
        <v>NDHM976885</v>
      </c>
      <c r="AO49" s="94" t="str">
        <f>IF(preDEL!$AG49,IFERROR(0/0,""),preDEL!AO49)</f>
        <v/>
      </c>
      <c r="AP49" s="94" t="str">
        <f>IF(preDEL!$AG49,IFERROR(0/0,""),preDEL!AP49)</f>
        <v/>
      </c>
      <c r="AQ49" s="94" t="str">
        <f>IF(preDEL!$AG49,IFERROR(0/0,""),preDEL!AQ49)</f>
        <v/>
      </c>
      <c r="AR49" s="94" t="str">
        <f>IF(preDEL!$AG49,IFERROR(0/0,""),preDEL!AR49)</f>
        <v/>
      </c>
      <c r="AS49" s="98"/>
      <c r="BE49" s="254"/>
      <c r="BF49" s="255"/>
      <c r="BG49" s="254"/>
      <c r="BH49" s="255"/>
      <c r="BI49" s="254"/>
      <c r="BJ49" s="254"/>
      <c r="BK49" s="254"/>
      <c r="BL49" s="254"/>
      <c r="BN49" s="7"/>
      <c r="BO49" s="7"/>
      <c r="BP49" s="7"/>
      <c r="BQ49" s="7"/>
      <c r="BR49" s="7"/>
      <c r="BS49" s="7"/>
      <c r="BT49" s="7"/>
    </row>
    <row r="50">
      <c r="A50" s="249" t="str">
        <f>IF(preDEL!$AG50,IFERROR(0/0,""),preDEL!A50)</f>
        <v>AG1419</v>
      </c>
      <c r="B50" s="250">
        <f>IF(preDEL!$AG50,IFERROR(0/0,""),preDEL!B50)</f>
        <v>44683</v>
      </c>
      <c r="C50" s="251">
        <f>IF(preDEL!$AG50,IFERROR(0/0,""),preDEL!C50)</f>
        <v>0.1780671296</v>
      </c>
      <c r="D50" s="249" t="str">
        <f>IF(preDEL!$AG50,IFERROR(0/0,""),preDEL!D50)</f>
        <v/>
      </c>
      <c r="E50" s="249" t="str">
        <f>IF(preDEL!$AG50,IFERROR(0/0,""),preDEL!E50)</f>
        <v/>
      </c>
      <c r="F50" s="94" t="str">
        <f>IF(preDEL!$AG50,IFERROR(0/0,""),preDEL!F50)</f>
        <v/>
      </c>
      <c r="G50" s="94" t="str">
        <f>IF(preDEL!$AG50,IFERROR(0/0,""),preDEL!G50)</f>
        <v/>
      </c>
      <c r="H50" s="94" t="str">
        <f>IF(preDEL!$AG50,IFERROR(0/0,""),preDEL!H50)</f>
        <v/>
      </c>
      <c r="I50" s="249" t="str">
        <f>IF(preDEL!$AG50,IFERROR(0/0,""),preDEL!I50)</f>
        <v/>
      </c>
      <c r="J50" s="249" t="str">
        <f>IF(preDEL!$AG50,IFERROR(0/0,""),preDEL!J50)</f>
        <v/>
      </c>
      <c r="K50" s="249" t="str">
        <f>IF(preDEL!$AG50,IFERROR(0/0,""),preDEL!K50)</f>
        <v>Negative</v>
      </c>
      <c r="L50" s="250">
        <f>IF(preDEL!$AG50,IFERROR(0/0,""),preDEL!L50)</f>
        <v>44683</v>
      </c>
      <c r="M50" s="251">
        <f>IF(preDEL!$AG50,IFERROR(0/0,""),preDEL!M50)</f>
        <v>0.3578125</v>
      </c>
      <c r="N50" s="94" t="str">
        <f>IF(preDEL!$AG50,IFERROR(0/0,""),preDEL!N50)</f>
        <v/>
      </c>
      <c r="O50" s="94" t="str">
        <f>IF(preDEL!$AG50,IFERROR(0/0,""),preDEL!O50)</f>
        <v/>
      </c>
      <c r="P50" s="93" t="b">
        <f>IF(preDEL!$AG50,IFERROR(0/0,""),preDEL!P50)</f>
        <v>0</v>
      </c>
      <c r="Q50" s="93" t="str">
        <f>IF(preDEL!$AG50,IFERROR(0/0,""),preDEL!Q50)</f>
        <v>Result</v>
      </c>
      <c r="R50" s="99" t="b">
        <f>IF(preDEL!$AG50,IFERROR(0/0,""),preDEL!R50)</f>
        <v>1</v>
      </c>
      <c r="S50" s="99">
        <f>IF(preDEL!$AG50,IFERROR(0/0,""),preDEL!S50)</f>
        <v>2</v>
      </c>
      <c r="T50" s="93">
        <f>IF(preDEL!$AG50,IFERROR(0/0,""),preDEL!T50)</f>
        <v>1</v>
      </c>
      <c r="U50" s="94" t="str">
        <f>IF(preDEL!$AG50,IFERROR(0/0,""),preDEL!U50)</f>
        <v/>
      </c>
      <c r="V50" s="249" t="str">
        <f>IF(preDEL!$AG50,IFERROR(0/0,""),preDEL!V50)</f>
        <v/>
      </c>
      <c r="W50" s="94" t="str">
        <f>IF(preDEL!$AG50,IFERROR(0/0,""),preDEL!W50)</f>
        <v/>
      </c>
      <c r="X50" s="99" t="b">
        <f>IF(preDEL!$AG50,IFERROR(0/0,""),preDEL!X50)</f>
        <v>1</v>
      </c>
      <c r="Y50" s="93" t="str">
        <f>IF(preDEL!$AG50,IFERROR(0/0,""),preDEL!Y50)</f>
        <v/>
      </c>
      <c r="Z50" s="249" t="str">
        <f>IF(preDEL!$AG50,IFERROR(0/0,""),preDEL!Z50)</f>
        <v/>
      </c>
      <c r="AA50" s="93" t="b">
        <f>IF(preDEL!$AG50,IFERROR(0/0,""),preDEL!AA50)</f>
        <v>0</v>
      </c>
      <c r="AB50" s="93" t="str">
        <f>IF(preDEL!$AG50,IFERROR(0/0,""),preDEL!AB50)</f>
        <v/>
      </c>
      <c r="AC50" s="252">
        <f>IF(preDEL!$AG50,IFERROR(0/0,""),preDEL!AC50)</f>
        <v>170</v>
      </c>
      <c r="AD50" s="99" t="str">
        <f>IF(preDEL!$AG50,IFERROR(0/0,""),preDEL!AD50)</f>
        <v/>
      </c>
      <c r="AE50" s="253">
        <f>IF(preDEL!$AG50,IFERROR(0/0,""),preDEL!AE50)</f>
        <v>258.8333333</v>
      </c>
      <c r="AF50" s="93" t="b">
        <f>IF(preDEL!$AG50,IFERROR(0/0,""),preDEL!AF50)</f>
        <v>0</v>
      </c>
      <c r="AG50" s="93" t="b">
        <f>IF(preDEL!$AG50,IFERROR(0/0,""),preDEL!AG50)</f>
        <v>0</v>
      </c>
      <c r="AH50" s="99" t="str">
        <f>IF(preDEL!$AG50,IFERROR(0/0,""),preDEL!AH50)</f>
        <v/>
      </c>
      <c r="AI50" s="249" t="str">
        <f>IF(preDEL!$AG50,IFERROR(0/0,""),preDEL!AI50)</f>
        <v/>
      </c>
      <c r="AJ50" s="94" t="str">
        <f>IF(preDEL!$AG50,IFERROR(0/0,""),preDEL!AJ50)</f>
        <v/>
      </c>
      <c r="AK50" s="249" t="str">
        <f>IF(preDEL!$AG50,IFERROR(0/0,""),preDEL!AK50)</f>
        <v>Negative</v>
      </c>
      <c r="AL50" s="94" t="str">
        <f>IF(preDEL!$AG50,IFERROR(0/0,""),preDEL!AL50)</f>
        <v/>
      </c>
      <c r="AM50" s="94" t="str">
        <f>IF(preDEL!$AG50,IFERROR(0/0,""),preDEL!AM50)</f>
        <v>SpNDHM118014</v>
      </c>
      <c r="AN50" s="94" t="str">
        <f>IF(preDEL!$AG50,IFERROR(0/0,""),preDEL!AN50)</f>
        <v>NDHM953531</v>
      </c>
      <c r="AO50" s="94" t="str">
        <f>IF(preDEL!$AG50,IFERROR(0/0,""),preDEL!AO50)</f>
        <v/>
      </c>
      <c r="AP50" s="94" t="str">
        <f>IF(preDEL!$AG50,IFERROR(0/0,""),preDEL!AP50)</f>
        <v/>
      </c>
      <c r="AQ50" s="94" t="str">
        <f>IF(preDEL!$AG50,IFERROR(0/0,""),preDEL!AQ50)</f>
        <v/>
      </c>
      <c r="AR50" s="94" t="str">
        <f>IF(preDEL!$AG50,IFERROR(0/0,""),preDEL!AR50)</f>
        <v/>
      </c>
      <c r="AS50" s="98"/>
      <c r="BE50" s="254"/>
      <c r="BF50" s="255"/>
      <c r="BG50" s="254"/>
      <c r="BH50" s="255"/>
      <c r="BI50" s="254"/>
      <c r="BJ50" s="254"/>
      <c r="BK50" s="254"/>
      <c r="BL50" s="254"/>
      <c r="BN50" s="7"/>
      <c r="BO50" s="7"/>
      <c r="BP50" s="7"/>
      <c r="BQ50" s="7"/>
      <c r="BR50" s="7"/>
      <c r="BS50" s="7"/>
      <c r="BT50" s="7"/>
    </row>
    <row r="51">
      <c r="A51" s="249" t="str">
        <f>IF(preDEL!$AG51,IFERROR(0/0,""),preDEL!A51)</f>
        <v>AG1419</v>
      </c>
      <c r="B51" s="250">
        <f>IF(preDEL!$AG51,IFERROR(0/0,""),preDEL!B51)</f>
        <v>44683</v>
      </c>
      <c r="C51" s="251">
        <f>IF(preDEL!$AG51,IFERROR(0/0,""),preDEL!C51)</f>
        <v>0.1780671296</v>
      </c>
      <c r="D51" s="249" t="str">
        <f>IF(preDEL!$AG51,IFERROR(0/0,""),preDEL!D51)</f>
        <v/>
      </c>
      <c r="E51" s="249" t="str">
        <f>IF(preDEL!$AG51,IFERROR(0/0,""),preDEL!E51)</f>
        <v/>
      </c>
      <c r="F51" s="94" t="str">
        <f>IF(preDEL!$AG51,IFERROR(0/0,""),preDEL!F51)</f>
        <v/>
      </c>
      <c r="G51" s="94" t="str">
        <f>IF(preDEL!$AG51,IFERROR(0/0,""),preDEL!G51)</f>
        <v/>
      </c>
      <c r="H51" s="94" t="str">
        <f>IF(preDEL!$AG51,IFERROR(0/0,""),preDEL!H51)</f>
        <v/>
      </c>
      <c r="I51" s="249" t="str">
        <f>IF(preDEL!$AG51,IFERROR(0/0,""),preDEL!I51)</f>
        <v/>
      </c>
      <c r="J51" s="249" t="str">
        <f>IF(preDEL!$AG51,IFERROR(0/0,""),preDEL!J51)</f>
        <v/>
      </c>
      <c r="K51" s="249" t="str">
        <f>IF(preDEL!$AG51,IFERROR(0/0,""),preDEL!K51)</f>
        <v>Negative</v>
      </c>
      <c r="L51" s="250">
        <f>IF(preDEL!$AG51,IFERROR(0/0,""),preDEL!L51)</f>
        <v>44683</v>
      </c>
      <c r="M51" s="251">
        <f>IF(preDEL!$AG51,IFERROR(0/0,""),preDEL!M51)</f>
        <v>0.3578125</v>
      </c>
      <c r="N51" s="94" t="str">
        <f>IF(preDEL!$AG51,IFERROR(0/0,""),preDEL!N51)</f>
        <v/>
      </c>
      <c r="O51" s="94" t="str">
        <f>IF(preDEL!$AG51,IFERROR(0/0,""),preDEL!O51)</f>
        <v/>
      </c>
      <c r="P51" s="93" t="b">
        <f>IF(preDEL!$AG51,IFERROR(0/0,""),preDEL!P51)</f>
        <v>0</v>
      </c>
      <c r="Q51" s="93" t="str">
        <f>IF(preDEL!$AG51,IFERROR(0/0,""),preDEL!Q51)</f>
        <v>Result</v>
      </c>
      <c r="R51" s="99" t="b">
        <f>IF(preDEL!$AG51,IFERROR(0/0,""),preDEL!R51)</f>
        <v>0</v>
      </c>
      <c r="S51" s="99">
        <f>IF(preDEL!$AG51,IFERROR(0/0,""),preDEL!S51)</f>
        <v>2</v>
      </c>
      <c r="T51" s="93">
        <f>IF(preDEL!$AG51,IFERROR(0/0,""),preDEL!T51)</f>
        <v>1</v>
      </c>
      <c r="U51" s="94" t="str">
        <f>IF(preDEL!$AG51,IFERROR(0/0,""),preDEL!U51)</f>
        <v/>
      </c>
      <c r="V51" s="249" t="str">
        <f>IF(preDEL!$AG51,IFERROR(0/0,""),preDEL!V51)</f>
        <v/>
      </c>
      <c r="W51" s="94" t="str">
        <f>IF(preDEL!$AG51,IFERROR(0/0,""),preDEL!W51)</f>
        <v/>
      </c>
      <c r="X51" s="99" t="b">
        <f>IF(preDEL!$AG51,IFERROR(0/0,""),preDEL!X51)</f>
        <v>0</v>
      </c>
      <c r="Y51" s="93" t="str">
        <f>IF(preDEL!$AG51,IFERROR(0/0,""),preDEL!Y51)</f>
        <v/>
      </c>
      <c r="Z51" s="249" t="str">
        <f>IF(preDEL!$AG51,IFERROR(0/0,""),preDEL!Z51)</f>
        <v/>
      </c>
      <c r="AA51" s="93" t="b">
        <f>IF(preDEL!$AG51,IFERROR(0/0,""),preDEL!AA51)</f>
        <v>0</v>
      </c>
      <c r="AB51" s="93" t="str">
        <f>IF(preDEL!$AG51,IFERROR(0/0,""),preDEL!AB51)</f>
        <v/>
      </c>
      <c r="AC51" s="252">
        <f>IF(preDEL!$AG51,IFERROR(0/0,""),preDEL!AC51)</f>
        <v>170</v>
      </c>
      <c r="AD51" s="99" t="str">
        <f>IF(preDEL!$AG51,IFERROR(0/0,""),preDEL!AD51)</f>
        <v/>
      </c>
      <c r="AE51" s="253">
        <f>IF(preDEL!$AG51,IFERROR(0/0,""),preDEL!AE51)</f>
        <v>258.8333333</v>
      </c>
      <c r="AF51" s="93" t="b">
        <f>IF(preDEL!$AG51,IFERROR(0/0,""),preDEL!AF51)</f>
        <v>0</v>
      </c>
      <c r="AG51" s="93" t="b">
        <f>IF(preDEL!$AG51,IFERROR(0/0,""),preDEL!AG51)</f>
        <v>0</v>
      </c>
      <c r="AH51" s="99" t="str">
        <f>IF(preDEL!$AG51,IFERROR(0/0,""),preDEL!AH51)</f>
        <v/>
      </c>
      <c r="AI51" s="249" t="str">
        <f>IF(preDEL!$AG51,IFERROR(0/0,""),preDEL!AI51)</f>
        <v/>
      </c>
      <c r="AJ51" s="94" t="str">
        <f>IF(preDEL!$AG51,IFERROR(0/0,""),preDEL!AJ51)</f>
        <v/>
      </c>
      <c r="AK51" s="249" t="str">
        <f>IF(preDEL!$AG51,IFERROR(0/0,""),preDEL!AK51)</f>
        <v>Negative</v>
      </c>
      <c r="AL51" s="94" t="str">
        <f>IF(preDEL!$AG51,IFERROR(0/0,""),preDEL!AL51)</f>
        <v/>
      </c>
      <c r="AM51" s="94" t="str">
        <f>IF(preDEL!$AG51,IFERROR(0/0,""),preDEL!AM51)</f>
        <v>SpNDHM118014</v>
      </c>
      <c r="AN51" s="94" t="str">
        <f>IF(preDEL!$AG51,IFERROR(0/0,""),preDEL!AN51)</f>
        <v>NDHM976885</v>
      </c>
      <c r="AO51" s="94" t="str">
        <f>IF(preDEL!$AG51,IFERROR(0/0,""),preDEL!AO51)</f>
        <v/>
      </c>
      <c r="AP51" s="94" t="str">
        <f>IF(preDEL!$AG51,IFERROR(0/0,""),preDEL!AP51)</f>
        <v/>
      </c>
      <c r="AQ51" s="94" t="str">
        <f>IF(preDEL!$AG51,IFERROR(0/0,""),preDEL!AQ51)</f>
        <v/>
      </c>
      <c r="AR51" s="94" t="str">
        <f>IF(preDEL!$AG51,IFERROR(0/0,""),preDEL!AR51)</f>
        <v/>
      </c>
      <c r="AS51" s="98"/>
      <c r="BE51" s="254"/>
      <c r="BF51" s="255"/>
      <c r="BG51" s="254"/>
      <c r="BH51" s="255"/>
      <c r="BI51" s="254"/>
      <c r="BJ51" s="254"/>
      <c r="BK51" s="254"/>
      <c r="BL51" s="254"/>
      <c r="BN51" s="7"/>
      <c r="BO51" s="7"/>
      <c r="BP51" s="7"/>
      <c r="BQ51" s="7"/>
      <c r="BR51" s="7"/>
      <c r="BS51" s="7"/>
      <c r="BT51" s="7"/>
    </row>
    <row r="52">
      <c r="A52" s="249" t="str">
        <f>IF(preDEL!$AG52,IFERROR(0/0,""),preDEL!A52)</f>
        <v>AH7292</v>
      </c>
      <c r="B52" s="250">
        <f>IF(preDEL!$AG52,IFERROR(0/0,""),preDEL!B52)</f>
        <v>44683</v>
      </c>
      <c r="C52" s="251">
        <f>IF(preDEL!$AG52,IFERROR(0/0,""),preDEL!C52)</f>
        <v>0.1783217593</v>
      </c>
      <c r="D52" s="249" t="str">
        <f>IF(preDEL!$AG52,IFERROR(0/0,""),preDEL!D52)</f>
        <v/>
      </c>
      <c r="E52" s="249" t="str">
        <f>IF(preDEL!$AG52,IFERROR(0/0,""),preDEL!E52)</f>
        <v/>
      </c>
      <c r="F52" s="94" t="str">
        <f>IF(preDEL!$AG52,IFERROR(0/0,""),preDEL!F52)</f>
        <v/>
      </c>
      <c r="G52" s="94" t="str">
        <f>IF(preDEL!$AG52,IFERROR(0/0,""),preDEL!G52)</f>
        <v/>
      </c>
      <c r="H52" s="94" t="str">
        <f>IF(preDEL!$AG52,IFERROR(0/0,""),preDEL!H52)</f>
        <v/>
      </c>
      <c r="I52" s="249" t="str">
        <f>IF(preDEL!$AG52,IFERROR(0/0,""),preDEL!I52)</f>
        <v/>
      </c>
      <c r="J52" s="249" t="str">
        <f>IF(preDEL!$AG52,IFERROR(0/0,""),preDEL!J52)</f>
        <v/>
      </c>
      <c r="K52" s="249" t="str">
        <f>IF(preDEL!$AG52,IFERROR(0/0,""),preDEL!K52)</f>
        <v>Negative</v>
      </c>
      <c r="L52" s="250">
        <f>IF(preDEL!$AG52,IFERROR(0/0,""),preDEL!L52)</f>
        <v>44683</v>
      </c>
      <c r="M52" s="251">
        <f>IF(preDEL!$AG52,IFERROR(0/0,""),preDEL!M52)</f>
        <v>0.3578125</v>
      </c>
      <c r="N52" s="94" t="str">
        <f>IF(preDEL!$AG52,IFERROR(0/0,""),preDEL!N52)</f>
        <v/>
      </c>
      <c r="O52" s="94" t="str">
        <f>IF(preDEL!$AG52,IFERROR(0/0,""),preDEL!O52)</f>
        <v/>
      </c>
      <c r="P52" s="93" t="b">
        <f>IF(preDEL!$AG52,IFERROR(0/0,""),preDEL!P52)</f>
        <v>0</v>
      </c>
      <c r="Q52" s="93" t="str">
        <f>IF(preDEL!$AG52,IFERROR(0/0,""),preDEL!Q52)</f>
        <v>Result</v>
      </c>
      <c r="R52" s="99" t="b">
        <f>IF(preDEL!$AG52,IFERROR(0/0,""),preDEL!R52)</f>
        <v>1</v>
      </c>
      <c r="S52" s="99">
        <f>IF(preDEL!$AG52,IFERROR(0/0,""),preDEL!S52)</f>
        <v>1</v>
      </c>
      <c r="T52" s="93" t="str">
        <f>IF(preDEL!$AG52,IFERROR(0/0,""),preDEL!T52)</f>
        <v/>
      </c>
      <c r="U52" s="94" t="str">
        <f>IF(preDEL!$AG52,IFERROR(0/0,""),preDEL!U52)</f>
        <v/>
      </c>
      <c r="V52" s="249" t="str">
        <f>IF(preDEL!$AG52,IFERROR(0/0,""),preDEL!V52)</f>
        <v/>
      </c>
      <c r="W52" s="94" t="str">
        <f>IF(preDEL!$AG52,IFERROR(0/0,""),preDEL!W52)</f>
        <v/>
      </c>
      <c r="X52" s="99" t="b">
        <f>IF(preDEL!$AG52,IFERROR(0/0,""),preDEL!X52)</f>
        <v>0</v>
      </c>
      <c r="Y52" s="93" t="str">
        <f>IF(preDEL!$AG52,IFERROR(0/0,""),preDEL!Y52)</f>
        <v/>
      </c>
      <c r="Z52" s="249" t="str">
        <f>IF(preDEL!$AG52,IFERROR(0/0,""),preDEL!Z52)</f>
        <v/>
      </c>
      <c r="AA52" s="93" t="b">
        <f>IF(preDEL!$AG52,IFERROR(0/0,""),preDEL!AA52)</f>
        <v>0</v>
      </c>
      <c r="AB52" s="93" t="str">
        <f>IF(preDEL!$AG52,IFERROR(0/0,""),preDEL!AB52)</f>
        <v/>
      </c>
      <c r="AC52" s="252">
        <f>IF(preDEL!$AG52,IFERROR(0/0,""),preDEL!AC52)</f>
        <v>171</v>
      </c>
      <c r="AD52" s="99" t="str">
        <f>IF(preDEL!$AG52,IFERROR(0/0,""),preDEL!AD52)</f>
        <v/>
      </c>
      <c r="AE52" s="253">
        <f>IF(preDEL!$AG52,IFERROR(0/0,""),preDEL!AE52)</f>
        <v>258.4666667</v>
      </c>
      <c r="AF52" s="93" t="b">
        <f>IF(preDEL!$AG52,IFERROR(0/0,""),preDEL!AF52)</f>
        <v>0</v>
      </c>
      <c r="AG52" s="93" t="b">
        <f>IF(preDEL!$AG52,IFERROR(0/0,""),preDEL!AG52)</f>
        <v>0</v>
      </c>
      <c r="AH52" s="99" t="str">
        <f>IF(preDEL!$AG52,IFERROR(0/0,""),preDEL!AH52)</f>
        <v/>
      </c>
      <c r="AI52" s="249" t="str">
        <f>IF(preDEL!$AG52,IFERROR(0/0,""),preDEL!AI52)</f>
        <v/>
      </c>
      <c r="AJ52" s="94" t="str">
        <f>IF(preDEL!$AG52,IFERROR(0/0,""),preDEL!AJ52)</f>
        <v/>
      </c>
      <c r="AK52" s="249" t="str">
        <f>IF(preDEL!$AG52,IFERROR(0/0,""),preDEL!AK52)</f>
        <v>Negative</v>
      </c>
      <c r="AL52" s="94" t="str">
        <f>IF(preDEL!$AG52,IFERROR(0/0,""),preDEL!AL52)</f>
        <v/>
      </c>
      <c r="AM52" s="94" t="str">
        <f>IF(preDEL!$AG52,IFERROR(0/0,""),preDEL!AM52)</f>
        <v>SpNDHM118014</v>
      </c>
      <c r="AN52" s="94" t="str">
        <f>IF(preDEL!$AG52,IFERROR(0/0,""),preDEL!AN52)</f>
        <v>NDHM976885</v>
      </c>
      <c r="AO52" s="94" t="str">
        <f>IF(preDEL!$AG52,IFERROR(0/0,""),preDEL!AO52)</f>
        <v/>
      </c>
      <c r="AP52" s="94" t="str">
        <f>IF(preDEL!$AG52,IFERROR(0/0,""),preDEL!AP52)</f>
        <v/>
      </c>
      <c r="AQ52" s="94" t="str">
        <f>IF(preDEL!$AG52,IFERROR(0/0,""),preDEL!AQ52)</f>
        <v/>
      </c>
      <c r="AR52" s="94" t="str">
        <f>IF(preDEL!$AG52,IFERROR(0/0,""),preDEL!AR52)</f>
        <v/>
      </c>
      <c r="AS52" s="98"/>
      <c r="BE52" s="254"/>
      <c r="BF52" s="255"/>
      <c r="BG52" s="254"/>
      <c r="BH52" s="255"/>
      <c r="BI52" s="254"/>
      <c r="BJ52" s="254"/>
      <c r="BK52" s="254"/>
      <c r="BL52" s="254"/>
      <c r="BN52" s="7"/>
      <c r="BO52" s="7"/>
      <c r="BP52" s="7"/>
      <c r="BQ52" s="7"/>
      <c r="BR52" s="7"/>
      <c r="BS52" s="7"/>
      <c r="BT52" s="7"/>
    </row>
    <row r="53">
      <c r="A53" s="249" t="str">
        <f>IF(preDEL!$AG53,IFERROR(0/0,""),preDEL!A53)</f>
        <v>AH7299</v>
      </c>
      <c r="B53" s="250">
        <f>IF(preDEL!$AG53,IFERROR(0/0,""),preDEL!B53)</f>
        <v>44683</v>
      </c>
      <c r="C53" s="251">
        <f>IF(preDEL!$AG53,IFERROR(0/0,""),preDEL!C53)</f>
        <v>0.1799421296</v>
      </c>
      <c r="D53" s="249" t="str">
        <f>IF(preDEL!$AG53,IFERROR(0/0,""),preDEL!D53)</f>
        <v/>
      </c>
      <c r="E53" s="249" t="str">
        <f>IF(preDEL!$AG53,IFERROR(0/0,""),preDEL!E53)</f>
        <v/>
      </c>
      <c r="F53" s="94" t="str">
        <f>IF(preDEL!$AG53,IFERROR(0/0,""),preDEL!F53)</f>
        <v/>
      </c>
      <c r="G53" s="94" t="str">
        <f>IF(preDEL!$AG53,IFERROR(0/0,""),preDEL!G53)</f>
        <v/>
      </c>
      <c r="H53" s="94" t="str">
        <f>IF(preDEL!$AG53,IFERROR(0/0,""),preDEL!H53)</f>
        <v/>
      </c>
      <c r="I53" s="249" t="str">
        <f>IF(preDEL!$AG53,IFERROR(0/0,""),preDEL!I53)</f>
        <v/>
      </c>
      <c r="J53" s="249" t="str">
        <f>IF(preDEL!$AG53,IFERROR(0/0,""),preDEL!J53)</f>
        <v/>
      </c>
      <c r="K53" s="249" t="str">
        <f>IF(preDEL!$AG53,IFERROR(0/0,""),preDEL!K53)</f>
        <v>Negative</v>
      </c>
      <c r="L53" s="250">
        <f>IF(preDEL!$AG53,IFERROR(0/0,""),preDEL!L53)</f>
        <v>44683</v>
      </c>
      <c r="M53" s="251">
        <f>IF(preDEL!$AG53,IFERROR(0/0,""),preDEL!M53)</f>
        <v>0.3578240741</v>
      </c>
      <c r="N53" s="94" t="str">
        <f>IF(preDEL!$AG53,IFERROR(0/0,""),preDEL!N53)</f>
        <v/>
      </c>
      <c r="O53" s="94" t="str">
        <f>IF(preDEL!$AG53,IFERROR(0/0,""),preDEL!O53)</f>
        <v/>
      </c>
      <c r="P53" s="93" t="b">
        <f>IF(preDEL!$AG53,IFERROR(0/0,""),preDEL!P53)</f>
        <v>0</v>
      </c>
      <c r="Q53" s="93" t="str">
        <f>IF(preDEL!$AG53,IFERROR(0/0,""),preDEL!Q53)</f>
        <v>Result</v>
      </c>
      <c r="R53" s="99" t="b">
        <f>IF(preDEL!$AG53,IFERROR(0/0,""),preDEL!R53)</f>
        <v>1</v>
      </c>
      <c r="S53" s="99">
        <f>IF(preDEL!$AG53,IFERROR(0/0,""),preDEL!S53)</f>
        <v>2</v>
      </c>
      <c r="T53" s="93">
        <f>IF(preDEL!$AG53,IFERROR(0/0,""),preDEL!T53)</f>
        <v>1</v>
      </c>
      <c r="U53" s="94" t="str">
        <f>IF(preDEL!$AG53,IFERROR(0/0,""),preDEL!U53)</f>
        <v/>
      </c>
      <c r="V53" s="249" t="str">
        <f>IF(preDEL!$AG53,IFERROR(0/0,""),preDEL!V53)</f>
        <v/>
      </c>
      <c r="W53" s="94" t="str">
        <f>IF(preDEL!$AG53,IFERROR(0/0,""),preDEL!W53)</f>
        <v/>
      </c>
      <c r="X53" s="99" t="b">
        <f>IF(preDEL!$AG53,IFERROR(0/0,""),preDEL!X53)</f>
        <v>0</v>
      </c>
      <c r="Y53" s="93" t="str">
        <f>IF(preDEL!$AG53,IFERROR(0/0,""),preDEL!Y53)</f>
        <v/>
      </c>
      <c r="Z53" s="249" t="str">
        <f>IF(preDEL!$AG53,IFERROR(0/0,""),preDEL!Z53)</f>
        <v/>
      </c>
      <c r="AA53" s="93" t="b">
        <f>IF(preDEL!$AG53,IFERROR(0/0,""),preDEL!AA53)</f>
        <v>0</v>
      </c>
      <c r="AB53" s="93" t="str">
        <f>IF(preDEL!$AG53,IFERROR(0/0,""),preDEL!AB53)</f>
        <v/>
      </c>
      <c r="AC53" s="252">
        <f>IF(preDEL!$AG53,IFERROR(0/0,""),preDEL!AC53)</f>
        <v>172</v>
      </c>
      <c r="AD53" s="99" t="str">
        <f>IF(preDEL!$AG53,IFERROR(0/0,""),preDEL!AD53)</f>
        <v/>
      </c>
      <c r="AE53" s="253">
        <f>IF(preDEL!$AG53,IFERROR(0/0,""),preDEL!AE53)</f>
        <v>256.15</v>
      </c>
      <c r="AF53" s="93" t="b">
        <f>IF(preDEL!$AG53,IFERROR(0/0,""),preDEL!AF53)</f>
        <v>0</v>
      </c>
      <c r="AG53" s="93" t="b">
        <f>IF(preDEL!$AG53,IFERROR(0/0,""),preDEL!AG53)</f>
        <v>0</v>
      </c>
      <c r="AH53" s="99" t="str">
        <f>IF(preDEL!$AG53,IFERROR(0/0,""),preDEL!AH53)</f>
        <v/>
      </c>
      <c r="AI53" s="249" t="str">
        <f>IF(preDEL!$AG53,IFERROR(0/0,""),preDEL!AI53)</f>
        <v/>
      </c>
      <c r="AJ53" s="94" t="str">
        <f>IF(preDEL!$AG53,IFERROR(0/0,""),preDEL!AJ53)</f>
        <v/>
      </c>
      <c r="AK53" s="249" t="str">
        <f>IF(preDEL!$AG53,IFERROR(0/0,""),preDEL!AK53)</f>
        <v>Negative</v>
      </c>
      <c r="AL53" s="94" t="str">
        <f>IF(preDEL!$AG53,IFERROR(0/0,""),preDEL!AL53)</f>
        <v/>
      </c>
      <c r="AM53" s="94" t="str">
        <f>IF(preDEL!$AG53,IFERROR(0/0,""),preDEL!AM53)</f>
        <v>SpNDHM842569</v>
      </c>
      <c r="AN53" s="94" t="str">
        <f>IF(preDEL!$AG53,IFERROR(0/0,""),preDEL!AN53)</f>
        <v>NDHM945507</v>
      </c>
      <c r="AO53" s="94" t="str">
        <f>IF(preDEL!$AG53,IFERROR(0/0,""),preDEL!AO53)</f>
        <v/>
      </c>
      <c r="AP53" s="94" t="str">
        <f>IF(preDEL!$AG53,IFERROR(0/0,""),preDEL!AP53)</f>
        <v/>
      </c>
      <c r="AQ53" s="94" t="str">
        <f>IF(preDEL!$AG53,IFERROR(0/0,""),preDEL!AQ53)</f>
        <v/>
      </c>
      <c r="AR53" s="94" t="str">
        <f>IF(preDEL!$AG53,IFERROR(0/0,""),preDEL!AR53)</f>
        <v/>
      </c>
      <c r="AS53" s="98"/>
      <c r="BE53" s="254"/>
      <c r="BF53" s="255"/>
      <c r="BG53" s="254"/>
      <c r="BH53" s="255"/>
      <c r="BI53" s="254"/>
      <c r="BJ53" s="254"/>
      <c r="BK53" s="254"/>
      <c r="BL53" s="254"/>
      <c r="BN53" s="7"/>
      <c r="BO53" s="7"/>
      <c r="BP53" s="7"/>
      <c r="BQ53" s="7"/>
      <c r="BR53" s="7"/>
      <c r="BS53" s="7"/>
      <c r="BT53" s="7"/>
    </row>
    <row r="54">
      <c r="A54" s="249" t="str">
        <f>IF(preDEL!$AG54,IFERROR(0/0,""),preDEL!A54)</f>
        <v>AH7299</v>
      </c>
      <c r="B54" s="250">
        <f>IF(preDEL!$AG54,IFERROR(0/0,""),preDEL!B54)</f>
        <v>44683</v>
      </c>
      <c r="C54" s="251">
        <f>IF(preDEL!$AG54,IFERROR(0/0,""),preDEL!C54)</f>
        <v>0.1799421296</v>
      </c>
      <c r="D54" s="249" t="str">
        <f>IF(preDEL!$AG54,IFERROR(0/0,""),preDEL!D54)</f>
        <v/>
      </c>
      <c r="E54" s="249" t="str">
        <f>IF(preDEL!$AG54,IFERROR(0/0,""),preDEL!E54)</f>
        <v/>
      </c>
      <c r="F54" s="94" t="str">
        <f>IF(preDEL!$AG54,IFERROR(0/0,""),preDEL!F54)</f>
        <v/>
      </c>
      <c r="G54" s="94" t="str">
        <f>IF(preDEL!$AG54,IFERROR(0/0,""),preDEL!G54)</f>
        <v/>
      </c>
      <c r="H54" s="94" t="str">
        <f>IF(preDEL!$AG54,IFERROR(0/0,""),preDEL!H54)</f>
        <v/>
      </c>
      <c r="I54" s="249" t="str">
        <f>IF(preDEL!$AG54,IFERROR(0/0,""),preDEL!I54)</f>
        <v/>
      </c>
      <c r="J54" s="249" t="str">
        <f>IF(preDEL!$AG54,IFERROR(0/0,""),preDEL!J54)</f>
        <v/>
      </c>
      <c r="K54" s="249" t="str">
        <f>IF(preDEL!$AG54,IFERROR(0/0,""),preDEL!K54)</f>
        <v>Negative</v>
      </c>
      <c r="L54" s="250">
        <f>IF(preDEL!$AG54,IFERROR(0/0,""),preDEL!L54)</f>
        <v>44683</v>
      </c>
      <c r="M54" s="251">
        <f>IF(preDEL!$AG54,IFERROR(0/0,""),preDEL!M54)</f>
        <v>0.3578240741</v>
      </c>
      <c r="N54" s="94" t="str">
        <f>IF(preDEL!$AG54,IFERROR(0/0,""),preDEL!N54)</f>
        <v/>
      </c>
      <c r="O54" s="94" t="str">
        <f>IF(preDEL!$AG54,IFERROR(0/0,""),preDEL!O54)</f>
        <v/>
      </c>
      <c r="P54" s="93" t="b">
        <f>IF(preDEL!$AG54,IFERROR(0/0,""),preDEL!P54)</f>
        <v>0</v>
      </c>
      <c r="Q54" s="93" t="str">
        <f>IF(preDEL!$AG54,IFERROR(0/0,""),preDEL!Q54)</f>
        <v>Result</v>
      </c>
      <c r="R54" s="99" t="b">
        <f>IF(preDEL!$AG54,IFERROR(0/0,""),preDEL!R54)</f>
        <v>0</v>
      </c>
      <c r="S54" s="99">
        <f>IF(preDEL!$AG54,IFERROR(0/0,""),preDEL!S54)</f>
        <v>2</v>
      </c>
      <c r="T54" s="93">
        <f>IF(preDEL!$AG54,IFERROR(0/0,""),preDEL!T54)</f>
        <v>1</v>
      </c>
      <c r="U54" s="94" t="str">
        <f>IF(preDEL!$AG54,IFERROR(0/0,""),preDEL!U54)</f>
        <v/>
      </c>
      <c r="V54" s="249" t="str">
        <f>IF(preDEL!$AG54,IFERROR(0/0,""),preDEL!V54)</f>
        <v/>
      </c>
      <c r="W54" s="94" t="str">
        <f>IF(preDEL!$AG54,IFERROR(0/0,""),preDEL!W54)</f>
        <v/>
      </c>
      <c r="X54" s="99" t="b">
        <f>IF(preDEL!$AG54,IFERROR(0/0,""),preDEL!X54)</f>
        <v>0</v>
      </c>
      <c r="Y54" s="93" t="str">
        <f>IF(preDEL!$AG54,IFERROR(0/0,""),preDEL!Y54)</f>
        <v/>
      </c>
      <c r="Z54" s="249" t="str">
        <f>IF(preDEL!$AG54,IFERROR(0/0,""),preDEL!Z54)</f>
        <v/>
      </c>
      <c r="AA54" s="93" t="b">
        <f>IF(preDEL!$AG54,IFERROR(0/0,""),preDEL!AA54)</f>
        <v>0</v>
      </c>
      <c r="AB54" s="93" t="str">
        <f>IF(preDEL!$AG54,IFERROR(0/0,""),preDEL!AB54)</f>
        <v/>
      </c>
      <c r="AC54" s="252">
        <f>IF(preDEL!$AG54,IFERROR(0/0,""),preDEL!AC54)</f>
        <v>172</v>
      </c>
      <c r="AD54" s="99" t="str">
        <f>IF(preDEL!$AG54,IFERROR(0/0,""),preDEL!AD54)</f>
        <v/>
      </c>
      <c r="AE54" s="253">
        <f>IF(preDEL!$AG54,IFERROR(0/0,""),preDEL!AE54)</f>
        <v>256.15</v>
      </c>
      <c r="AF54" s="93" t="b">
        <f>IF(preDEL!$AG54,IFERROR(0/0,""),preDEL!AF54)</f>
        <v>0</v>
      </c>
      <c r="AG54" s="93" t="b">
        <f>IF(preDEL!$AG54,IFERROR(0/0,""),preDEL!AG54)</f>
        <v>0</v>
      </c>
      <c r="AH54" s="99" t="str">
        <f>IF(preDEL!$AG54,IFERROR(0/0,""),preDEL!AH54)</f>
        <v/>
      </c>
      <c r="AI54" s="249" t="str">
        <f>IF(preDEL!$AG54,IFERROR(0/0,""),preDEL!AI54)</f>
        <v/>
      </c>
      <c r="AJ54" s="94" t="str">
        <f>IF(preDEL!$AG54,IFERROR(0/0,""),preDEL!AJ54)</f>
        <v/>
      </c>
      <c r="AK54" s="249" t="str">
        <f>IF(preDEL!$AG54,IFERROR(0/0,""),preDEL!AK54)</f>
        <v>Negative</v>
      </c>
      <c r="AL54" s="94" t="str">
        <f>IF(preDEL!$AG54,IFERROR(0/0,""),preDEL!AL54)</f>
        <v/>
      </c>
      <c r="AM54" s="94" t="str">
        <f>IF(preDEL!$AG54,IFERROR(0/0,""),preDEL!AM54)</f>
        <v>SpNDHM842569</v>
      </c>
      <c r="AN54" s="94" t="str">
        <f>IF(preDEL!$AG54,IFERROR(0/0,""),preDEL!AN54)</f>
        <v>NDHM304341</v>
      </c>
      <c r="AO54" s="94" t="str">
        <f>IF(preDEL!$AG54,IFERROR(0/0,""),preDEL!AO54)</f>
        <v/>
      </c>
      <c r="AP54" s="94" t="str">
        <f>IF(preDEL!$AG54,IFERROR(0/0,""),preDEL!AP54)</f>
        <v/>
      </c>
      <c r="AQ54" s="94" t="str">
        <f>IF(preDEL!$AG54,IFERROR(0/0,""),preDEL!AQ54)</f>
        <v/>
      </c>
      <c r="AR54" s="94" t="str">
        <f>IF(preDEL!$AG54,IFERROR(0/0,""),preDEL!AR54)</f>
        <v/>
      </c>
      <c r="AS54" s="98"/>
      <c r="BE54" s="254"/>
      <c r="BF54" s="255"/>
      <c r="BG54" s="254"/>
      <c r="BH54" s="255"/>
      <c r="BI54" s="254"/>
      <c r="BJ54" s="254"/>
      <c r="BK54" s="254"/>
      <c r="BL54" s="254"/>
      <c r="BN54" s="7"/>
      <c r="BO54" s="7"/>
      <c r="BP54" s="7"/>
      <c r="BQ54" s="7"/>
      <c r="BR54" s="7"/>
      <c r="BS54" s="7"/>
      <c r="BT54" s="7"/>
    </row>
    <row r="55">
      <c r="A55" s="249" t="str">
        <f>IF(preDEL!$AG55,IFERROR(0/0,""),preDEL!A55)</f>
        <v>AJ9453</v>
      </c>
      <c r="B55" s="250">
        <f>IF(preDEL!$AG55,IFERROR(0/0,""),preDEL!B55)</f>
        <v>44683</v>
      </c>
      <c r="C55" s="251">
        <f>IF(preDEL!$AG55,IFERROR(0/0,""),preDEL!C55)</f>
        <v>0.197025463</v>
      </c>
      <c r="D55" s="249" t="str">
        <f>IF(preDEL!$AG55,IFERROR(0/0,""),preDEL!D55)</f>
        <v/>
      </c>
      <c r="E55" s="249" t="str">
        <f>IF(preDEL!$AG55,IFERROR(0/0,""),preDEL!E55)</f>
        <v/>
      </c>
      <c r="F55" s="94" t="str">
        <f>IF(preDEL!$AG55,IFERROR(0/0,""),preDEL!F55)</f>
        <v/>
      </c>
      <c r="G55" s="94" t="str">
        <f>IF(preDEL!$AG55,IFERROR(0/0,""),preDEL!G55)</f>
        <v/>
      </c>
      <c r="H55" s="94" t="str">
        <f>IF(preDEL!$AG55,IFERROR(0/0,""),preDEL!H55)</f>
        <v/>
      </c>
      <c r="I55" s="249" t="str">
        <f>IF(preDEL!$AG55,IFERROR(0/0,""),preDEL!I55)</f>
        <v/>
      </c>
      <c r="J55" s="249" t="str">
        <f>IF(preDEL!$AG55,IFERROR(0/0,""),preDEL!J55)</f>
        <v/>
      </c>
      <c r="K55" s="249" t="str">
        <f>IF(preDEL!$AG55,IFERROR(0/0,""),preDEL!K55)</f>
        <v>Negative</v>
      </c>
      <c r="L55" s="250">
        <f>IF(preDEL!$AG55,IFERROR(0/0,""),preDEL!L55)</f>
        <v>44690</v>
      </c>
      <c r="M55" s="251">
        <f>IF(preDEL!$AG55,IFERROR(0/0,""),preDEL!M55)</f>
        <v>0.3232291667</v>
      </c>
      <c r="N55" s="94" t="str">
        <f>IF(preDEL!$AG55,IFERROR(0/0,""),preDEL!N55)</f>
        <v/>
      </c>
      <c r="O55" s="94" t="str">
        <f>IF(preDEL!$AG55,IFERROR(0/0,""),preDEL!O55)</f>
        <v/>
      </c>
      <c r="P55" s="93" t="b">
        <f>IF(preDEL!$AG55,IFERROR(0/0,""),preDEL!P55)</f>
        <v>0</v>
      </c>
      <c r="Q55" s="93" t="str">
        <f>IF(preDEL!$AG55,IFERROR(0/0,""),preDEL!Q55)</f>
        <v>Result</v>
      </c>
      <c r="R55" s="99" t="b">
        <f>IF(preDEL!$AG55,IFERROR(0/0,""),preDEL!R55)</f>
        <v>1</v>
      </c>
      <c r="S55" s="99">
        <f>IF(preDEL!$AG55,IFERROR(0/0,""),preDEL!S55)</f>
        <v>4</v>
      </c>
      <c r="T55" s="93">
        <f>IF(preDEL!$AG55,IFERROR(0/0,""),preDEL!T55)</f>
        <v>3</v>
      </c>
      <c r="U55" s="94" t="str">
        <f>IF(preDEL!$AG55,IFERROR(0/0,""),preDEL!U55)</f>
        <v/>
      </c>
      <c r="V55" s="249" t="str">
        <f>IF(preDEL!$AG55,IFERROR(0/0,""),preDEL!V55)</f>
        <v/>
      </c>
      <c r="W55" s="94" t="str">
        <f>IF(preDEL!$AG55,IFERROR(0/0,""),preDEL!W55)</f>
        <v/>
      </c>
      <c r="X55" s="99" t="b">
        <f>IF(preDEL!$AG55,IFERROR(0/0,""),preDEL!X55)</f>
        <v>0</v>
      </c>
      <c r="Y55" s="93" t="str">
        <f>IF(preDEL!$AG55,IFERROR(0/0,""),preDEL!Y55)</f>
        <v/>
      </c>
      <c r="Z55" s="249" t="str">
        <f>IF(preDEL!$AG55,IFERROR(0/0,""),preDEL!Z55)</f>
        <v/>
      </c>
      <c r="AA55" s="93" t="b">
        <f>IF(preDEL!$AG55,IFERROR(0/0,""),preDEL!AA55)</f>
        <v>0</v>
      </c>
      <c r="AB55" s="93" t="str">
        <f>IF(preDEL!$AG55,IFERROR(0/0,""),preDEL!AB55)</f>
        <v/>
      </c>
      <c r="AC55" s="252">
        <f>IF(preDEL!$AG55,IFERROR(0/0,""),preDEL!AC55)</f>
        <v>173</v>
      </c>
      <c r="AD55" s="99" t="str">
        <f>IF(preDEL!$AG55,IFERROR(0/0,""),preDEL!AD55)</f>
        <v/>
      </c>
      <c r="AE55" s="253" t="str">
        <f>IF(preDEL!$AG55,IFERROR(0/0,""),preDEL!AE55)</f>
        <v/>
      </c>
      <c r="AF55" s="93" t="b">
        <f>IF(preDEL!$AG55,IFERROR(0/0,""),preDEL!AF55)</f>
        <v>0</v>
      </c>
      <c r="AG55" s="93" t="b">
        <f>IF(preDEL!$AG55,IFERROR(0/0,""),preDEL!AG55)</f>
        <v>0</v>
      </c>
      <c r="AH55" s="99" t="str">
        <f>IF(preDEL!$AG55,IFERROR(0/0,""),preDEL!AH55)</f>
        <v/>
      </c>
      <c r="AI55" s="249" t="str">
        <f>IF(preDEL!$AG55,IFERROR(0/0,""),preDEL!AI55)</f>
        <v/>
      </c>
      <c r="AJ55" s="94" t="str">
        <f>IF(preDEL!$AG55,IFERROR(0/0,""),preDEL!AJ55)</f>
        <v/>
      </c>
      <c r="AK55" s="249" t="str">
        <f>IF(preDEL!$AG55,IFERROR(0/0,""),preDEL!AK55)</f>
        <v>Negative</v>
      </c>
      <c r="AL55" s="94" t="str">
        <f>IF(preDEL!$AG55,IFERROR(0/0,""),preDEL!AL55)</f>
        <v/>
      </c>
      <c r="AM55" s="94" t="str">
        <f>IF(preDEL!$AG55,IFERROR(0/0,""),preDEL!AM55)</f>
        <v>SpNDHM394507</v>
      </c>
      <c r="AN55" s="94" t="str">
        <f>IF(preDEL!$AG55,IFERROR(0/0,""),preDEL!AN55)</f>
        <v>NDHM872984</v>
      </c>
      <c r="AO55" s="94" t="str">
        <f>IF(preDEL!$AG55,IFERROR(0/0,""),preDEL!AO55)</f>
        <v/>
      </c>
      <c r="AP55" s="94" t="str">
        <f>IF(preDEL!$AG55,IFERROR(0/0,""),preDEL!AP55)</f>
        <v/>
      </c>
      <c r="AQ55" s="94" t="str">
        <f>IF(preDEL!$AG55,IFERROR(0/0,""),preDEL!AQ55)</f>
        <v/>
      </c>
      <c r="AR55" s="94" t="str">
        <f>IF(preDEL!$AG55,IFERROR(0/0,""),preDEL!AR55)</f>
        <v/>
      </c>
      <c r="AS55" s="98"/>
      <c r="BE55" s="254"/>
      <c r="BF55" s="255"/>
      <c r="BG55" s="254"/>
      <c r="BH55" s="255"/>
      <c r="BI55" s="254"/>
      <c r="BJ55" s="254"/>
      <c r="BK55" s="254"/>
      <c r="BL55" s="254"/>
      <c r="BN55" s="7"/>
      <c r="BO55" s="7"/>
      <c r="BP55" s="7"/>
      <c r="BQ55" s="7"/>
      <c r="BR55" s="7"/>
      <c r="BS55" s="7"/>
      <c r="BT55" s="7"/>
    </row>
    <row r="56">
      <c r="A56" s="249" t="str">
        <f>IF(preDEL!$AG56,IFERROR(0/0,""),preDEL!A56)</f>
        <v>AJ9453</v>
      </c>
      <c r="B56" s="250">
        <f>IF(preDEL!$AG56,IFERROR(0/0,""),preDEL!B56)</f>
        <v>44683</v>
      </c>
      <c r="C56" s="251">
        <f>IF(preDEL!$AG56,IFERROR(0/0,""),preDEL!C56)</f>
        <v>0.197025463</v>
      </c>
      <c r="D56" s="249" t="str">
        <f>IF(preDEL!$AG56,IFERROR(0/0,""),preDEL!D56)</f>
        <v/>
      </c>
      <c r="E56" s="249" t="str">
        <f>IF(preDEL!$AG56,IFERROR(0/0,""),preDEL!E56)</f>
        <v/>
      </c>
      <c r="F56" s="94" t="str">
        <f>IF(preDEL!$AG56,IFERROR(0/0,""),preDEL!F56)</f>
        <v/>
      </c>
      <c r="G56" s="94" t="str">
        <f>IF(preDEL!$AG56,IFERROR(0/0,""),preDEL!G56)</f>
        <v/>
      </c>
      <c r="H56" s="94" t="str">
        <f>IF(preDEL!$AG56,IFERROR(0/0,""),preDEL!H56)</f>
        <v/>
      </c>
      <c r="I56" s="249" t="str">
        <f>IF(preDEL!$AG56,IFERROR(0/0,""),preDEL!I56)</f>
        <v/>
      </c>
      <c r="J56" s="249" t="str">
        <f>IF(preDEL!$AG56,IFERROR(0/0,""),preDEL!J56)</f>
        <v/>
      </c>
      <c r="K56" s="249" t="str">
        <f>IF(preDEL!$AG56,IFERROR(0/0,""),preDEL!K56)</f>
        <v>Negative</v>
      </c>
      <c r="L56" s="250">
        <f>IF(preDEL!$AG56,IFERROR(0/0,""),preDEL!L56)</f>
        <v>44690</v>
      </c>
      <c r="M56" s="251">
        <f>IF(preDEL!$AG56,IFERROR(0/0,""),preDEL!M56)</f>
        <v>0.3232291667</v>
      </c>
      <c r="N56" s="94" t="str">
        <f>IF(preDEL!$AG56,IFERROR(0/0,""),preDEL!N56)</f>
        <v/>
      </c>
      <c r="O56" s="94" t="str">
        <f>IF(preDEL!$AG56,IFERROR(0/0,""),preDEL!O56)</f>
        <v/>
      </c>
      <c r="P56" s="93" t="b">
        <f>IF(preDEL!$AG56,IFERROR(0/0,""),preDEL!P56)</f>
        <v>0</v>
      </c>
      <c r="Q56" s="93" t="str">
        <f>IF(preDEL!$AG56,IFERROR(0/0,""),preDEL!Q56)</f>
        <v>Result</v>
      </c>
      <c r="R56" s="99" t="b">
        <f>IF(preDEL!$AG56,IFERROR(0/0,""),preDEL!R56)</f>
        <v>0</v>
      </c>
      <c r="S56" s="99">
        <f>IF(preDEL!$AG56,IFERROR(0/0,""),preDEL!S56)</f>
        <v>4</v>
      </c>
      <c r="T56" s="93">
        <f>IF(preDEL!$AG56,IFERROR(0/0,""),preDEL!T56)</f>
        <v>3</v>
      </c>
      <c r="U56" s="94" t="str">
        <f>IF(preDEL!$AG56,IFERROR(0/0,""),preDEL!U56)</f>
        <v/>
      </c>
      <c r="V56" s="249" t="str">
        <f>IF(preDEL!$AG56,IFERROR(0/0,""),preDEL!V56)</f>
        <v/>
      </c>
      <c r="W56" s="94" t="str">
        <f>IF(preDEL!$AG56,IFERROR(0/0,""),preDEL!W56)</f>
        <v/>
      </c>
      <c r="X56" s="99" t="b">
        <f>IF(preDEL!$AG56,IFERROR(0/0,""),preDEL!X56)</f>
        <v>0</v>
      </c>
      <c r="Y56" s="93" t="str">
        <f>IF(preDEL!$AG56,IFERROR(0/0,""),preDEL!Y56)</f>
        <v/>
      </c>
      <c r="Z56" s="249" t="str">
        <f>IF(preDEL!$AG56,IFERROR(0/0,""),preDEL!Z56)</f>
        <v/>
      </c>
      <c r="AA56" s="93" t="b">
        <f>IF(preDEL!$AG56,IFERROR(0/0,""),preDEL!AA56)</f>
        <v>0</v>
      </c>
      <c r="AB56" s="93" t="str">
        <f>IF(preDEL!$AG56,IFERROR(0/0,""),preDEL!AB56)</f>
        <v/>
      </c>
      <c r="AC56" s="252">
        <f>IF(preDEL!$AG56,IFERROR(0/0,""),preDEL!AC56)</f>
        <v>173</v>
      </c>
      <c r="AD56" s="99" t="str">
        <f>IF(preDEL!$AG56,IFERROR(0/0,""),preDEL!AD56)</f>
        <v/>
      </c>
      <c r="AE56" s="253" t="str">
        <f>IF(preDEL!$AG56,IFERROR(0/0,""),preDEL!AE56)</f>
        <v/>
      </c>
      <c r="AF56" s="93" t="b">
        <f>IF(preDEL!$AG56,IFERROR(0/0,""),preDEL!AF56)</f>
        <v>0</v>
      </c>
      <c r="AG56" s="93" t="b">
        <f>IF(preDEL!$AG56,IFERROR(0/0,""),preDEL!AG56)</f>
        <v>0</v>
      </c>
      <c r="AH56" s="99" t="str">
        <f>IF(preDEL!$AG56,IFERROR(0/0,""),preDEL!AH56)</f>
        <v/>
      </c>
      <c r="AI56" s="249" t="str">
        <f>IF(preDEL!$AG56,IFERROR(0/0,""),preDEL!AI56)</f>
        <v/>
      </c>
      <c r="AJ56" s="94" t="str">
        <f>IF(preDEL!$AG56,IFERROR(0/0,""),preDEL!AJ56)</f>
        <v/>
      </c>
      <c r="AK56" s="249" t="str">
        <f>IF(preDEL!$AG56,IFERROR(0/0,""),preDEL!AK56)</f>
        <v>Negative</v>
      </c>
      <c r="AL56" s="94" t="str">
        <f>IF(preDEL!$AG56,IFERROR(0/0,""),preDEL!AL56)</f>
        <v/>
      </c>
      <c r="AM56" s="94" t="str">
        <f>IF(preDEL!$AG56,IFERROR(0/0,""),preDEL!AM56)</f>
        <v>SpNDHM394507</v>
      </c>
      <c r="AN56" s="94" t="str">
        <f>IF(preDEL!$AG56,IFERROR(0/0,""),preDEL!AN56)</f>
        <v>NDHM746624</v>
      </c>
      <c r="AO56" s="94" t="str">
        <f>IF(preDEL!$AG56,IFERROR(0/0,""),preDEL!AO56)</f>
        <v/>
      </c>
      <c r="AP56" s="94" t="str">
        <f>IF(preDEL!$AG56,IFERROR(0/0,""),preDEL!AP56)</f>
        <v/>
      </c>
      <c r="AQ56" s="94" t="str">
        <f>IF(preDEL!$AG56,IFERROR(0/0,""),preDEL!AQ56)</f>
        <v/>
      </c>
      <c r="AR56" s="94" t="str">
        <f>IF(preDEL!$AG56,IFERROR(0/0,""),preDEL!AR56)</f>
        <v/>
      </c>
      <c r="AS56" s="98"/>
      <c r="BE56" s="254"/>
      <c r="BF56" s="255"/>
      <c r="BG56" s="254"/>
      <c r="BH56" s="255"/>
      <c r="BI56" s="254"/>
      <c r="BJ56" s="254"/>
      <c r="BK56" s="254"/>
      <c r="BL56" s="254"/>
      <c r="BN56" s="7"/>
      <c r="BO56" s="7"/>
      <c r="BP56" s="7"/>
      <c r="BQ56" s="7"/>
      <c r="BR56" s="7"/>
      <c r="BS56" s="7"/>
      <c r="BT56" s="7"/>
    </row>
    <row r="57">
      <c r="A57" s="249" t="str">
        <f>IF(preDEL!$AG57,IFERROR(0/0,""),preDEL!A57)</f>
        <v>AJ9453</v>
      </c>
      <c r="B57" s="250">
        <f>IF(preDEL!$AG57,IFERROR(0/0,""),preDEL!B57)</f>
        <v>44683</v>
      </c>
      <c r="C57" s="251">
        <f>IF(preDEL!$AG57,IFERROR(0/0,""),preDEL!C57)</f>
        <v>0.197025463</v>
      </c>
      <c r="D57" s="249" t="str">
        <f>IF(preDEL!$AG57,IFERROR(0/0,""),preDEL!D57)</f>
        <v/>
      </c>
      <c r="E57" s="249" t="str">
        <f>IF(preDEL!$AG57,IFERROR(0/0,""),preDEL!E57)</f>
        <v/>
      </c>
      <c r="F57" s="94" t="str">
        <f>IF(preDEL!$AG57,IFERROR(0/0,""),preDEL!F57)</f>
        <v/>
      </c>
      <c r="G57" s="94" t="str">
        <f>IF(preDEL!$AG57,IFERROR(0/0,""),preDEL!G57)</f>
        <v/>
      </c>
      <c r="H57" s="94" t="str">
        <f>IF(preDEL!$AG57,IFERROR(0/0,""),preDEL!H57)</f>
        <v/>
      </c>
      <c r="I57" s="249" t="str">
        <f>IF(preDEL!$AG57,IFERROR(0/0,""),preDEL!I57)</f>
        <v/>
      </c>
      <c r="J57" s="249" t="str">
        <f>IF(preDEL!$AG57,IFERROR(0/0,""),preDEL!J57)</f>
        <v/>
      </c>
      <c r="K57" s="249" t="str">
        <f>IF(preDEL!$AG57,IFERROR(0/0,""),preDEL!K57)</f>
        <v>Negative</v>
      </c>
      <c r="L57" s="250">
        <f>IF(preDEL!$AG57,IFERROR(0/0,""),preDEL!L57)</f>
        <v>44690</v>
      </c>
      <c r="M57" s="251">
        <f>IF(preDEL!$AG57,IFERROR(0/0,""),preDEL!M57)</f>
        <v>0.3232291667</v>
      </c>
      <c r="N57" s="94" t="str">
        <f>IF(preDEL!$AG57,IFERROR(0/0,""),preDEL!N57)</f>
        <v/>
      </c>
      <c r="O57" s="94" t="str">
        <f>IF(preDEL!$AG57,IFERROR(0/0,""),preDEL!O57)</f>
        <v/>
      </c>
      <c r="P57" s="93" t="b">
        <f>IF(preDEL!$AG57,IFERROR(0/0,""),preDEL!P57)</f>
        <v>0</v>
      </c>
      <c r="Q57" s="93" t="str">
        <f>IF(preDEL!$AG57,IFERROR(0/0,""),preDEL!Q57)</f>
        <v>Result</v>
      </c>
      <c r="R57" s="99" t="b">
        <f>IF(preDEL!$AG57,IFERROR(0/0,""),preDEL!R57)</f>
        <v>0</v>
      </c>
      <c r="S57" s="99">
        <f>IF(preDEL!$AG57,IFERROR(0/0,""),preDEL!S57)</f>
        <v>4</v>
      </c>
      <c r="T57" s="93">
        <f>IF(preDEL!$AG57,IFERROR(0/0,""),preDEL!T57)</f>
        <v>3</v>
      </c>
      <c r="U57" s="94" t="str">
        <f>IF(preDEL!$AG57,IFERROR(0/0,""),preDEL!U57)</f>
        <v/>
      </c>
      <c r="V57" s="249" t="str">
        <f>IF(preDEL!$AG57,IFERROR(0/0,""),preDEL!V57)</f>
        <v/>
      </c>
      <c r="W57" s="94" t="str">
        <f>IF(preDEL!$AG57,IFERROR(0/0,""),preDEL!W57)</f>
        <v/>
      </c>
      <c r="X57" s="99" t="b">
        <f>IF(preDEL!$AG57,IFERROR(0/0,""),preDEL!X57)</f>
        <v>0</v>
      </c>
      <c r="Y57" s="93" t="str">
        <f>IF(preDEL!$AG57,IFERROR(0/0,""),preDEL!Y57)</f>
        <v/>
      </c>
      <c r="Z57" s="249" t="str">
        <f>IF(preDEL!$AG57,IFERROR(0/0,""),preDEL!Z57)</f>
        <v/>
      </c>
      <c r="AA57" s="93" t="b">
        <f>IF(preDEL!$AG57,IFERROR(0/0,""),preDEL!AA57)</f>
        <v>0</v>
      </c>
      <c r="AB57" s="93" t="str">
        <f>IF(preDEL!$AG57,IFERROR(0/0,""),preDEL!AB57)</f>
        <v/>
      </c>
      <c r="AC57" s="252">
        <f>IF(preDEL!$AG57,IFERROR(0/0,""),preDEL!AC57)</f>
        <v>173</v>
      </c>
      <c r="AD57" s="99" t="str">
        <f>IF(preDEL!$AG57,IFERROR(0/0,""),preDEL!AD57)</f>
        <v/>
      </c>
      <c r="AE57" s="253" t="str">
        <f>IF(preDEL!$AG57,IFERROR(0/0,""),preDEL!AE57)</f>
        <v/>
      </c>
      <c r="AF57" s="93" t="b">
        <f>IF(preDEL!$AG57,IFERROR(0/0,""),preDEL!AF57)</f>
        <v>0</v>
      </c>
      <c r="AG57" s="93" t="b">
        <f>IF(preDEL!$AG57,IFERROR(0/0,""),preDEL!AG57)</f>
        <v>0</v>
      </c>
      <c r="AH57" s="99" t="str">
        <f>IF(preDEL!$AG57,IFERROR(0/0,""),preDEL!AH57)</f>
        <v/>
      </c>
      <c r="AI57" s="249" t="str">
        <f>IF(preDEL!$AG57,IFERROR(0/0,""),preDEL!AI57)</f>
        <v/>
      </c>
      <c r="AJ57" s="94" t="str">
        <f>IF(preDEL!$AG57,IFERROR(0/0,""),preDEL!AJ57)</f>
        <v/>
      </c>
      <c r="AK57" s="249" t="str">
        <f>IF(preDEL!$AG57,IFERROR(0/0,""),preDEL!AK57)</f>
        <v>Negative</v>
      </c>
      <c r="AL57" s="94" t="str">
        <f>IF(preDEL!$AG57,IFERROR(0/0,""),preDEL!AL57)</f>
        <v/>
      </c>
      <c r="AM57" s="94" t="str">
        <f>IF(preDEL!$AG57,IFERROR(0/0,""),preDEL!AM57)</f>
        <v>SpNDHM394507</v>
      </c>
      <c r="AN57" s="94" t="str">
        <f>IF(preDEL!$AG57,IFERROR(0/0,""),preDEL!AN57)</f>
        <v>NDHM612412</v>
      </c>
      <c r="AO57" s="94" t="str">
        <f>IF(preDEL!$AG57,IFERROR(0/0,""),preDEL!AO57)</f>
        <v/>
      </c>
      <c r="AP57" s="94" t="str">
        <f>IF(preDEL!$AG57,IFERROR(0/0,""),preDEL!AP57)</f>
        <v/>
      </c>
      <c r="AQ57" s="94" t="str">
        <f>IF(preDEL!$AG57,IFERROR(0/0,""),preDEL!AQ57)</f>
        <v/>
      </c>
      <c r="AR57" s="94" t="str">
        <f>IF(preDEL!$AG57,IFERROR(0/0,""),preDEL!AR57)</f>
        <v/>
      </c>
      <c r="AS57" s="98"/>
      <c r="BE57" s="254"/>
      <c r="BF57" s="255"/>
      <c r="BG57" s="254"/>
      <c r="BH57" s="255"/>
      <c r="BI57" s="254"/>
      <c r="BJ57" s="254"/>
      <c r="BK57" s="254"/>
      <c r="BL57" s="254"/>
      <c r="BN57" s="7"/>
      <c r="BO57" s="7"/>
      <c r="BP57" s="7"/>
      <c r="BQ57" s="7"/>
      <c r="BR57" s="7"/>
      <c r="BS57" s="7"/>
      <c r="BT57" s="7"/>
    </row>
    <row r="58">
      <c r="A58" s="249" t="str">
        <f>IF(preDEL!$AG58,IFERROR(0/0,""),preDEL!A58)</f>
        <v>AJ9453</v>
      </c>
      <c r="B58" s="250">
        <f>IF(preDEL!$AG58,IFERROR(0/0,""),preDEL!B58)</f>
        <v>44683</v>
      </c>
      <c r="C58" s="251">
        <f>IF(preDEL!$AG58,IFERROR(0/0,""),preDEL!C58)</f>
        <v>0.197025463</v>
      </c>
      <c r="D58" s="249" t="str">
        <f>IF(preDEL!$AG58,IFERROR(0/0,""),preDEL!D58)</f>
        <v/>
      </c>
      <c r="E58" s="249" t="str">
        <f>IF(preDEL!$AG58,IFERROR(0/0,""),preDEL!E58)</f>
        <v/>
      </c>
      <c r="F58" s="94" t="str">
        <f>IF(preDEL!$AG58,IFERROR(0/0,""),preDEL!F58)</f>
        <v/>
      </c>
      <c r="G58" s="94" t="str">
        <f>IF(preDEL!$AG58,IFERROR(0/0,""),preDEL!G58)</f>
        <v/>
      </c>
      <c r="H58" s="94" t="str">
        <f>IF(preDEL!$AG58,IFERROR(0/0,""),preDEL!H58)</f>
        <v/>
      </c>
      <c r="I58" s="249" t="str">
        <f>IF(preDEL!$AG58,IFERROR(0/0,""),preDEL!I58)</f>
        <v/>
      </c>
      <c r="J58" s="249" t="str">
        <f>IF(preDEL!$AG58,IFERROR(0/0,""),preDEL!J58)</f>
        <v/>
      </c>
      <c r="K58" s="249" t="str">
        <f>IF(preDEL!$AG58,IFERROR(0/0,""),preDEL!K58)</f>
        <v>Negative</v>
      </c>
      <c r="L58" s="250">
        <f>IF(preDEL!$AG58,IFERROR(0/0,""),preDEL!L58)</f>
        <v>44690</v>
      </c>
      <c r="M58" s="251">
        <f>IF(preDEL!$AG58,IFERROR(0/0,""),preDEL!M58)</f>
        <v>0.3232291667</v>
      </c>
      <c r="N58" s="94" t="str">
        <f>IF(preDEL!$AG58,IFERROR(0/0,""),preDEL!N58)</f>
        <v/>
      </c>
      <c r="O58" s="94" t="str">
        <f>IF(preDEL!$AG58,IFERROR(0/0,""),preDEL!O58)</f>
        <v/>
      </c>
      <c r="P58" s="93" t="b">
        <f>IF(preDEL!$AG58,IFERROR(0/0,""),preDEL!P58)</f>
        <v>0</v>
      </c>
      <c r="Q58" s="93" t="str">
        <f>IF(preDEL!$AG58,IFERROR(0/0,""),preDEL!Q58)</f>
        <v>Result</v>
      </c>
      <c r="R58" s="99" t="b">
        <f>IF(preDEL!$AG58,IFERROR(0/0,""),preDEL!R58)</f>
        <v>0</v>
      </c>
      <c r="S58" s="99">
        <f>IF(preDEL!$AG58,IFERROR(0/0,""),preDEL!S58)</f>
        <v>4</v>
      </c>
      <c r="T58" s="93">
        <f>IF(preDEL!$AG58,IFERROR(0/0,""),preDEL!T58)</f>
        <v>3</v>
      </c>
      <c r="U58" s="94" t="str">
        <f>IF(preDEL!$AG58,IFERROR(0/0,""),preDEL!U58)</f>
        <v/>
      </c>
      <c r="V58" s="249" t="str">
        <f>IF(preDEL!$AG58,IFERROR(0/0,""),preDEL!V58)</f>
        <v/>
      </c>
      <c r="W58" s="94" t="str">
        <f>IF(preDEL!$AG58,IFERROR(0/0,""),preDEL!W58)</f>
        <v/>
      </c>
      <c r="X58" s="99" t="b">
        <f>IF(preDEL!$AG58,IFERROR(0/0,""),preDEL!X58)</f>
        <v>0</v>
      </c>
      <c r="Y58" s="93" t="str">
        <f>IF(preDEL!$AG58,IFERROR(0/0,""),preDEL!Y58)</f>
        <v/>
      </c>
      <c r="Z58" s="249" t="str">
        <f>IF(preDEL!$AG58,IFERROR(0/0,""),preDEL!Z58)</f>
        <v/>
      </c>
      <c r="AA58" s="93" t="b">
        <f>IF(preDEL!$AG58,IFERROR(0/0,""),preDEL!AA58)</f>
        <v>0</v>
      </c>
      <c r="AB58" s="93" t="str">
        <f>IF(preDEL!$AG58,IFERROR(0/0,""),preDEL!AB58)</f>
        <v/>
      </c>
      <c r="AC58" s="252">
        <f>IF(preDEL!$AG58,IFERROR(0/0,""),preDEL!AC58)</f>
        <v>173</v>
      </c>
      <c r="AD58" s="99" t="str">
        <f>IF(preDEL!$AG58,IFERROR(0/0,""),preDEL!AD58)</f>
        <v/>
      </c>
      <c r="AE58" s="253" t="str">
        <f>IF(preDEL!$AG58,IFERROR(0/0,""),preDEL!AE58)</f>
        <v/>
      </c>
      <c r="AF58" s="93" t="b">
        <f>IF(preDEL!$AG58,IFERROR(0/0,""),preDEL!AF58)</f>
        <v>0</v>
      </c>
      <c r="AG58" s="93" t="b">
        <f>IF(preDEL!$AG58,IFERROR(0/0,""),preDEL!AG58)</f>
        <v>0</v>
      </c>
      <c r="AH58" s="99" t="str">
        <f>IF(preDEL!$AG58,IFERROR(0/0,""),preDEL!AH58)</f>
        <v/>
      </c>
      <c r="AI58" s="249" t="str">
        <f>IF(preDEL!$AG58,IFERROR(0/0,""),preDEL!AI58)</f>
        <v/>
      </c>
      <c r="AJ58" s="94" t="str">
        <f>IF(preDEL!$AG58,IFERROR(0/0,""),preDEL!AJ58)</f>
        <v/>
      </c>
      <c r="AK58" s="249" t="str">
        <f>IF(preDEL!$AG58,IFERROR(0/0,""),preDEL!AK58)</f>
        <v>Negative</v>
      </c>
      <c r="AL58" s="94" t="str">
        <f>IF(preDEL!$AG58,IFERROR(0/0,""),preDEL!AL58)</f>
        <v/>
      </c>
      <c r="AM58" s="94" t="str">
        <f>IF(preDEL!$AG58,IFERROR(0/0,""),preDEL!AM58)</f>
        <v>SpNDHM394507</v>
      </c>
      <c r="AN58" s="94" t="str">
        <f>IF(preDEL!$AG58,IFERROR(0/0,""),preDEL!AN58)</f>
        <v>NDHM422663</v>
      </c>
      <c r="AO58" s="94" t="str">
        <f>IF(preDEL!$AG58,IFERROR(0/0,""),preDEL!AO58)</f>
        <v/>
      </c>
      <c r="AP58" s="94" t="str">
        <f>IF(preDEL!$AG58,IFERROR(0/0,""),preDEL!AP58)</f>
        <v/>
      </c>
      <c r="AQ58" s="94" t="str">
        <f>IF(preDEL!$AG58,IFERROR(0/0,""),preDEL!AQ58)</f>
        <v/>
      </c>
      <c r="AR58" s="94" t="str">
        <f>IF(preDEL!$AG58,IFERROR(0/0,""),preDEL!AR58)</f>
        <v/>
      </c>
      <c r="AS58" s="98"/>
      <c r="BE58" s="254"/>
      <c r="BF58" s="255"/>
      <c r="BG58" s="254"/>
      <c r="BH58" s="255"/>
      <c r="BI58" s="254"/>
      <c r="BJ58" s="254"/>
      <c r="BK58" s="254"/>
      <c r="BL58" s="254"/>
      <c r="BN58" s="7"/>
      <c r="BO58" s="7"/>
      <c r="BP58" s="7"/>
      <c r="BQ58" s="7"/>
      <c r="BR58" s="7"/>
      <c r="BS58" s="7"/>
      <c r="BT58" s="7"/>
    </row>
    <row r="59">
      <c r="A59" s="249" t="str">
        <f>IF(preDEL!$AG59,IFERROR(0/0,""),preDEL!A59)</f>
        <v>AJ8392</v>
      </c>
      <c r="B59" s="250">
        <f>IF(preDEL!$AG59,IFERROR(0/0,""),preDEL!B59)</f>
        <v>44683</v>
      </c>
      <c r="C59" s="251">
        <f>IF(preDEL!$AG59,IFERROR(0/0,""),preDEL!C59)</f>
        <v>0.2021875</v>
      </c>
      <c r="D59" s="249" t="str">
        <f>IF(preDEL!$AG59,IFERROR(0/0,""),preDEL!D59)</f>
        <v/>
      </c>
      <c r="E59" s="249" t="str">
        <f>IF(preDEL!$AG59,IFERROR(0/0,""),preDEL!E59)</f>
        <v/>
      </c>
      <c r="F59" s="94" t="str">
        <f>IF(preDEL!$AG59,IFERROR(0/0,""),preDEL!F59)</f>
        <v/>
      </c>
      <c r="G59" s="94" t="str">
        <f>IF(preDEL!$AG59,IFERROR(0/0,""),preDEL!G59)</f>
        <v/>
      </c>
      <c r="H59" s="94" t="str">
        <f>IF(preDEL!$AG59,IFERROR(0/0,""),preDEL!H59)</f>
        <v/>
      </c>
      <c r="I59" s="249" t="str">
        <f>IF(preDEL!$AG59,IFERROR(0/0,""),preDEL!I59)</f>
        <v/>
      </c>
      <c r="J59" s="249" t="str">
        <f>IF(preDEL!$AG59,IFERROR(0/0,""),preDEL!J59)</f>
        <v/>
      </c>
      <c r="K59" s="249" t="str">
        <f>IF(preDEL!$AG59,IFERROR(0/0,""),preDEL!K59)</f>
        <v>Negative</v>
      </c>
      <c r="L59" s="250">
        <f>IF(preDEL!$AG59,IFERROR(0/0,""),preDEL!L59)</f>
        <v>44683</v>
      </c>
      <c r="M59" s="251">
        <f>IF(preDEL!$AG59,IFERROR(0/0,""),preDEL!M59)</f>
        <v>0.3578240741</v>
      </c>
      <c r="N59" s="94" t="str">
        <f>IF(preDEL!$AG59,IFERROR(0/0,""),preDEL!N59)</f>
        <v/>
      </c>
      <c r="O59" s="94" t="str">
        <f>IF(preDEL!$AG59,IFERROR(0/0,""),preDEL!O59)</f>
        <v/>
      </c>
      <c r="P59" s="93" t="b">
        <f>IF(preDEL!$AG59,IFERROR(0/0,""),preDEL!P59)</f>
        <v>0</v>
      </c>
      <c r="Q59" s="93" t="str">
        <f>IF(preDEL!$AG59,IFERROR(0/0,""),preDEL!Q59)</f>
        <v>Result</v>
      </c>
      <c r="R59" s="99" t="b">
        <f>IF(preDEL!$AG59,IFERROR(0/0,""),preDEL!R59)</f>
        <v>1</v>
      </c>
      <c r="S59" s="99">
        <f>IF(preDEL!$AG59,IFERROR(0/0,""),preDEL!S59)</f>
        <v>2</v>
      </c>
      <c r="T59" s="93" t="str">
        <f>IF(preDEL!$AG59,IFERROR(0/0,""),preDEL!T59)</f>
        <v/>
      </c>
      <c r="U59" s="94" t="str">
        <f>IF(preDEL!$AG59,IFERROR(0/0,""),preDEL!U59)</f>
        <v/>
      </c>
      <c r="V59" s="249" t="str">
        <f>IF(preDEL!$AG59,IFERROR(0/0,""),preDEL!V59)</f>
        <v/>
      </c>
      <c r="W59" s="94" t="str">
        <f>IF(preDEL!$AG59,IFERROR(0/0,""),preDEL!W59)</f>
        <v/>
      </c>
      <c r="X59" s="99" t="b">
        <f>IF(preDEL!$AG59,IFERROR(0/0,""),preDEL!X59)</f>
        <v>0</v>
      </c>
      <c r="Y59" s="93" t="str">
        <f>IF(preDEL!$AG59,IFERROR(0/0,""),preDEL!Y59)</f>
        <v/>
      </c>
      <c r="Z59" s="249" t="str">
        <f>IF(preDEL!$AG59,IFERROR(0/0,""),preDEL!Z59)</f>
        <v/>
      </c>
      <c r="AA59" s="93" t="b">
        <f>IF(preDEL!$AG59,IFERROR(0/0,""),preDEL!AA59)</f>
        <v>0</v>
      </c>
      <c r="AB59" s="93" t="str">
        <f>IF(preDEL!$AG59,IFERROR(0/0,""),preDEL!AB59)</f>
        <v/>
      </c>
      <c r="AC59" s="252">
        <f>IF(preDEL!$AG59,IFERROR(0/0,""),preDEL!AC59)</f>
        <v>174</v>
      </c>
      <c r="AD59" s="99" t="str">
        <f>IF(preDEL!$AG59,IFERROR(0/0,""),preDEL!AD59)</f>
        <v/>
      </c>
      <c r="AE59" s="253">
        <f>IF(preDEL!$AG59,IFERROR(0/0,""),preDEL!AE59)</f>
        <v>224.1166667</v>
      </c>
      <c r="AF59" s="93" t="b">
        <f>IF(preDEL!$AG59,IFERROR(0/0,""),preDEL!AF59)</f>
        <v>0</v>
      </c>
      <c r="AG59" s="93" t="b">
        <f>IF(preDEL!$AG59,IFERROR(0/0,""),preDEL!AG59)</f>
        <v>0</v>
      </c>
      <c r="AH59" s="99" t="str">
        <f>IF(preDEL!$AG59,IFERROR(0/0,""),preDEL!AH59)</f>
        <v/>
      </c>
      <c r="AI59" s="249" t="str">
        <f>IF(preDEL!$AG59,IFERROR(0/0,""),preDEL!AI59)</f>
        <v/>
      </c>
      <c r="AJ59" s="94" t="str">
        <f>IF(preDEL!$AG59,IFERROR(0/0,""),preDEL!AJ59)</f>
        <v/>
      </c>
      <c r="AK59" s="249" t="str">
        <f>IF(preDEL!$AG59,IFERROR(0/0,""),preDEL!AK59)</f>
        <v>Negative</v>
      </c>
      <c r="AL59" s="94" t="str">
        <f>IF(preDEL!$AG59,IFERROR(0/0,""),preDEL!AL59)</f>
        <v/>
      </c>
      <c r="AM59" s="94" t="str">
        <f>IF(preDEL!$AG59,IFERROR(0/0,""),preDEL!AM59)</f>
        <v>SpNDHM645491</v>
      </c>
      <c r="AN59" s="94" t="str">
        <f>IF(preDEL!$AG59,IFERROR(0/0,""),preDEL!AN59)</f>
        <v>NDHM291495</v>
      </c>
      <c r="AO59" s="94" t="str">
        <f>IF(preDEL!$AG59,IFERROR(0/0,""),preDEL!AO59)</f>
        <v/>
      </c>
      <c r="AP59" s="94" t="str">
        <f>IF(preDEL!$AG59,IFERROR(0/0,""),preDEL!AP59)</f>
        <v/>
      </c>
      <c r="AQ59" s="94" t="str">
        <f>IF(preDEL!$AG59,IFERROR(0/0,""),preDEL!AQ59)</f>
        <v/>
      </c>
      <c r="AR59" s="94" t="str">
        <f>IF(preDEL!$AG59,IFERROR(0/0,""),preDEL!AR59)</f>
        <v/>
      </c>
      <c r="AS59" s="98"/>
      <c r="BE59" s="254"/>
      <c r="BF59" s="255"/>
      <c r="BG59" s="254"/>
      <c r="BH59" s="255"/>
      <c r="BI59" s="254"/>
      <c r="BJ59" s="254"/>
      <c r="BK59" s="254"/>
      <c r="BL59" s="254"/>
      <c r="BN59" s="7"/>
      <c r="BO59" s="7"/>
      <c r="BP59" s="7"/>
      <c r="BQ59" s="7"/>
      <c r="BR59" s="7"/>
      <c r="BS59" s="7"/>
      <c r="BT59" s="7"/>
    </row>
    <row r="60">
      <c r="A60" s="249" t="str">
        <f>IF(preDEL!$AG60,IFERROR(0/0,""),preDEL!A60)</f>
        <v>AJ8392</v>
      </c>
      <c r="B60" s="250">
        <f>IF(preDEL!$AG60,IFERROR(0/0,""),preDEL!B60)</f>
        <v>44683</v>
      </c>
      <c r="C60" s="251">
        <f>IF(preDEL!$AG60,IFERROR(0/0,""),preDEL!C60)</f>
        <v>0.2021875</v>
      </c>
      <c r="D60" s="249" t="str">
        <f>IF(preDEL!$AG60,IFERROR(0/0,""),preDEL!D60)</f>
        <v/>
      </c>
      <c r="E60" s="249" t="str">
        <f>IF(preDEL!$AG60,IFERROR(0/0,""),preDEL!E60)</f>
        <v/>
      </c>
      <c r="F60" s="94" t="str">
        <f>IF(preDEL!$AG60,IFERROR(0/0,""),preDEL!F60)</f>
        <v/>
      </c>
      <c r="G60" s="94" t="str">
        <f>IF(preDEL!$AG60,IFERROR(0/0,""),preDEL!G60)</f>
        <v/>
      </c>
      <c r="H60" s="94" t="str">
        <f>IF(preDEL!$AG60,IFERROR(0/0,""),preDEL!H60)</f>
        <v/>
      </c>
      <c r="I60" s="249" t="str">
        <f>IF(preDEL!$AG60,IFERROR(0/0,""),preDEL!I60)</f>
        <v/>
      </c>
      <c r="J60" s="249" t="str">
        <f>IF(preDEL!$AG60,IFERROR(0/0,""),preDEL!J60)</f>
        <v/>
      </c>
      <c r="K60" s="249" t="str">
        <f>IF(preDEL!$AG60,IFERROR(0/0,""),preDEL!K60)</f>
        <v>Negative</v>
      </c>
      <c r="L60" s="250">
        <f>IF(preDEL!$AG60,IFERROR(0/0,""),preDEL!L60)</f>
        <v>44683</v>
      </c>
      <c r="M60" s="251">
        <f>IF(preDEL!$AG60,IFERROR(0/0,""),preDEL!M60)</f>
        <v>0.3578240741</v>
      </c>
      <c r="N60" s="94" t="str">
        <f>IF(preDEL!$AG60,IFERROR(0/0,""),preDEL!N60)</f>
        <v/>
      </c>
      <c r="O60" s="94" t="str">
        <f>IF(preDEL!$AG60,IFERROR(0/0,""),preDEL!O60)</f>
        <v/>
      </c>
      <c r="P60" s="93" t="b">
        <f>IF(preDEL!$AG60,IFERROR(0/0,""),preDEL!P60)</f>
        <v>0</v>
      </c>
      <c r="Q60" s="93" t="str">
        <f>IF(preDEL!$AG60,IFERROR(0/0,""),preDEL!Q60)</f>
        <v>Result</v>
      </c>
      <c r="R60" s="99" t="b">
        <f>IF(preDEL!$AG60,IFERROR(0/0,""),preDEL!R60)</f>
        <v>0</v>
      </c>
      <c r="S60" s="99">
        <f>IF(preDEL!$AG60,IFERROR(0/0,""),preDEL!S60)</f>
        <v>2</v>
      </c>
      <c r="T60" s="93" t="str">
        <f>IF(preDEL!$AG60,IFERROR(0/0,""),preDEL!T60)</f>
        <v/>
      </c>
      <c r="U60" s="94" t="str">
        <f>IF(preDEL!$AG60,IFERROR(0/0,""),preDEL!U60)</f>
        <v/>
      </c>
      <c r="V60" s="249" t="str">
        <f>IF(preDEL!$AG60,IFERROR(0/0,""),preDEL!V60)</f>
        <v/>
      </c>
      <c r="W60" s="94" t="str">
        <f>IF(preDEL!$AG60,IFERROR(0/0,""),preDEL!W60)</f>
        <v/>
      </c>
      <c r="X60" s="99" t="b">
        <f>IF(preDEL!$AG60,IFERROR(0/0,""),preDEL!X60)</f>
        <v>0</v>
      </c>
      <c r="Y60" s="93" t="str">
        <f>IF(preDEL!$AG60,IFERROR(0/0,""),preDEL!Y60)</f>
        <v/>
      </c>
      <c r="Z60" s="249" t="str">
        <f>IF(preDEL!$AG60,IFERROR(0/0,""),preDEL!Z60)</f>
        <v/>
      </c>
      <c r="AA60" s="93" t="b">
        <f>IF(preDEL!$AG60,IFERROR(0/0,""),preDEL!AA60)</f>
        <v>0</v>
      </c>
      <c r="AB60" s="93" t="str">
        <f>IF(preDEL!$AG60,IFERROR(0/0,""),preDEL!AB60)</f>
        <v/>
      </c>
      <c r="AC60" s="252">
        <f>IF(preDEL!$AG60,IFERROR(0/0,""),preDEL!AC60)</f>
        <v>175</v>
      </c>
      <c r="AD60" s="99" t="str">
        <f>IF(preDEL!$AG60,IFERROR(0/0,""),preDEL!AD60)</f>
        <v/>
      </c>
      <c r="AE60" s="253">
        <f>IF(preDEL!$AG60,IFERROR(0/0,""),preDEL!AE60)</f>
        <v>224.1166667</v>
      </c>
      <c r="AF60" s="93" t="b">
        <f>IF(preDEL!$AG60,IFERROR(0/0,""),preDEL!AF60)</f>
        <v>0</v>
      </c>
      <c r="AG60" s="93" t="b">
        <f>IF(preDEL!$AG60,IFERROR(0/0,""),preDEL!AG60)</f>
        <v>0</v>
      </c>
      <c r="AH60" s="99" t="str">
        <f>IF(preDEL!$AG60,IFERROR(0/0,""),preDEL!AH60)</f>
        <v/>
      </c>
      <c r="AI60" s="249" t="str">
        <f>IF(preDEL!$AG60,IFERROR(0/0,""),preDEL!AI60)</f>
        <v/>
      </c>
      <c r="AJ60" s="94" t="str">
        <f>IF(preDEL!$AG60,IFERROR(0/0,""),preDEL!AJ60)</f>
        <v/>
      </c>
      <c r="AK60" s="249" t="str">
        <f>IF(preDEL!$AG60,IFERROR(0/0,""),preDEL!AK60)</f>
        <v>Negative</v>
      </c>
      <c r="AL60" s="94" t="str">
        <f>IF(preDEL!$AG60,IFERROR(0/0,""),preDEL!AL60)</f>
        <v/>
      </c>
      <c r="AM60" s="94" t="str">
        <f>IF(preDEL!$AG60,IFERROR(0/0,""),preDEL!AM60)</f>
        <v>SpNDHM645491</v>
      </c>
      <c r="AN60" s="94" t="str">
        <f>IF(preDEL!$AG60,IFERROR(0/0,""),preDEL!AN60)</f>
        <v>NDHM101082</v>
      </c>
      <c r="AO60" s="94" t="str">
        <f>IF(preDEL!$AG60,IFERROR(0/0,""),preDEL!AO60)</f>
        <v/>
      </c>
      <c r="AP60" s="94" t="str">
        <f>IF(preDEL!$AG60,IFERROR(0/0,""),preDEL!AP60)</f>
        <v/>
      </c>
      <c r="AQ60" s="94" t="str">
        <f>IF(preDEL!$AG60,IFERROR(0/0,""),preDEL!AQ60)</f>
        <v/>
      </c>
      <c r="AR60" s="94" t="str">
        <f>IF(preDEL!$AG60,IFERROR(0/0,""),preDEL!AR60)</f>
        <v/>
      </c>
      <c r="AS60" s="98"/>
      <c r="BE60" s="254"/>
      <c r="BF60" s="255"/>
      <c r="BG60" s="254"/>
      <c r="BH60" s="255"/>
      <c r="BI60" s="254"/>
      <c r="BJ60" s="254"/>
      <c r="BK60" s="254"/>
      <c r="BL60" s="254"/>
      <c r="BN60" s="7"/>
      <c r="BO60" s="7"/>
      <c r="BP60" s="7"/>
      <c r="BQ60" s="7"/>
      <c r="BR60" s="7"/>
      <c r="BS60" s="7"/>
      <c r="BT60" s="7"/>
    </row>
    <row r="61">
      <c r="A61" s="249" t="str">
        <f>IF(preDEL!$AG61,IFERROR(0/0,""),preDEL!A61)</f>
        <v>AJ9417</v>
      </c>
      <c r="B61" s="250">
        <f>IF(preDEL!$AG61,IFERROR(0/0,""),preDEL!B61)</f>
        <v>44683</v>
      </c>
      <c r="C61" s="251">
        <f>IF(preDEL!$AG61,IFERROR(0/0,""),preDEL!C61)</f>
        <v>0.2090393519</v>
      </c>
      <c r="D61" s="249" t="str">
        <f>IF(preDEL!$AG61,IFERROR(0/0,""),preDEL!D61)</f>
        <v/>
      </c>
      <c r="E61" s="249" t="str">
        <f>IF(preDEL!$AG61,IFERROR(0/0,""),preDEL!E61)</f>
        <v/>
      </c>
      <c r="F61" s="94" t="str">
        <f>IF(preDEL!$AG61,IFERROR(0/0,""),preDEL!F61)</f>
        <v/>
      </c>
      <c r="G61" s="94" t="str">
        <f>IF(preDEL!$AG61,IFERROR(0/0,""),preDEL!G61)</f>
        <v/>
      </c>
      <c r="H61" s="94" t="str">
        <f>IF(preDEL!$AG61,IFERROR(0/0,""),preDEL!H61)</f>
        <v/>
      </c>
      <c r="I61" s="249" t="str">
        <f>IF(preDEL!$AG61,IFERROR(0/0,""),preDEL!I61)</f>
        <v/>
      </c>
      <c r="J61" s="249" t="str">
        <f>IF(preDEL!$AG61,IFERROR(0/0,""),preDEL!J61)</f>
        <v/>
      </c>
      <c r="K61" s="249" t="str">
        <f>IF(preDEL!$AG61,IFERROR(0/0,""),preDEL!K61)</f>
        <v>Negative</v>
      </c>
      <c r="L61" s="250">
        <f>IF(preDEL!$AG61,IFERROR(0/0,""),preDEL!L61)</f>
        <v>44683</v>
      </c>
      <c r="M61" s="251">
        <f>IF(preDEL!$AG61,IFERROR(0/0,""),preDEL!M61)</f>
        <v>0.3578240741</v>
      </c>
      <c r="N61" s="94" t="str">
        <f>IF(preDEL!$AG61,IFERROR(0/0,""),preDEL!N61)</f>
        <v/>
      </c>
      <c r="O61" s="94" t="str">
        <f>IF(preDEL!$AG61,IFERROR(0/0,""),preDEL!O61)</f>
        <v/>
      </c>
      <c r="P61" s="93" t="b">
        <f>IF(preDEL!$AG61,IFERROR(0/0,""),preDEL!P61)</f>
        <v>0</v>
      </c>
      <c r="Q61" s="93" t="str">
        <f>IF(preDEL!$AG61,IFERROR(0/0,""),preDEL!Q61)</f>
        <v>Result</v>
      </c>
      <c r="R61" s="99" t="b">
        <f>IF(preDEL!$AG61,IFERROR(0/0,""),preDEL!R61)</f>
        <v>1</v>
      </c>
      <c r="S61" s="99">
        <f>IF(preDEL!$AG61,IFERROR(0/0,""),preDEL!S61)</f>
        <v>4</v>
      </c>
      <c r="T61" s="93" t="str">
        <f>IF(preDEL!$AG61,IFERROR(0/0,""),preDEL!T61)</f>
        <v/>
      </c>
      <c r="U61" s="94" t="str">
        <f>IF(preDEL!$AG61,IFERROR(0/0,""),preDEL!U61)</f>
        <v/>
      </c>
      <c r="V61" s="249" t="str">
        <f>IF(preDEL!$AG61,IFERROR(0/0,""),preDEL!V61)</f>
        <v/>
      </c>
      <c r="W61" s="94" t="str">
        <f>IF(preDEL!$AG61,IFERROR(0/0,""),preDEL!W61)</f>
        <v/>
      </c>
      <c r="X61" s="99" t="b">
        <f>IF(preDEL!$AG61,IFERROR(0/0,""),preDEL!X61)</f>
        <v>0</v>
      </c>
      <c r="Y61" s="93" t="str">
        <f>IF(preDEL!$AG61,IFERROR(0/0,""),preDEL!Y61)</f>
        <v/>
      </c>
      <c r="Z61" s="249" t="str">
        <f>IF(preDEL!$AG61,IFERROR(0/0,""),preDEL!Z61)</f>
        <v/>
      </c>
      <c r="AA61" s="93" t="b">
        <f>IF(preDEL!$AG61,IFERROR(0/0,""),preDEL!AA61)</f>
        <v>0</v>
      </c>
      <c r="AB61" s="93" t="str">
        <f>IF(preDEL!$AG61,IFERROR(0/0,""),preDEL!AB61)</f>
        <v/>
      </c>
      <c r="AC61" s="252">
        <f>IF(preDEL!$AG61,IFERROR(0/0,""),preDEL!AC61)</f>
        <v>176</v>
      </c>
      <c r="AD61" s="99" t="str">
        <f>IF(preDEL!$AG61,IFERROR(0/0,""),preDEL!AD61)</f>
        <v/>
      </c>
      <c r="AE61" s="253">
        <f>IF(preDEL!$AG61,IFERROR(0/0,""),preDEL!AE61)</f>
        <v>214.25</v>
      </c>
      <c r="AF61" s="93" t="b">
        <f>IF(preDEL!$AG61,IFERROR(0/0,""),preDEL!AF61)</f>
        <v>0</v>
      </c>
      <c r="AG61" s="93" t="b">
        <f>IF(preDEL!$AG61,IFERROR(0/0,""),preDEL!AG61)</f>
        <v>0</v>
      </c>
      <c r="AH61" s="99" t="str">
        <f>IF(preDEL!$AG61,IFERROR(0/0,""),preDEL!AH61)</f>
        <v/>
      </c>
      <c r="AI61" s="249" t="str">
        <f>IF(preDEL!$AG61,IFERROR(0/0,""),preDEL!AI61)</f>
        <v/>
      </c>
      <c r="AJ61" s="94" t="str">
        <f>IF(preDEL!$AG61,IFERROR(0/0,""),preDEL!AJ61)</f>
        <v/>
      </c>
      <c r="AK61" s="249" t="str">
        <f>IF(preDEL!$AG61,IFERROR(0/0,""),preDEL!AK61)</f>
        <v>Negative</v>
      </c>
      <c r="AL61" s="94" t="str">
        <f>IF(preDEL!$AG61,IFERROR(0/0,""),preDEL!AL61)</f>
        <v/>
      </c>
      <c r="AM61" s="94" t="str">
        <f>IF(preDEL!$AG61,IFERROR(0/0,""),preDEL!AM61)</f>
        <v>SpNDHM189649</v>
      </c>
      <c r="AN61" s="94" t="str">
        <f>IF(preDEL!$AG61,IFERROR(0/0,""),preDEL!AN61)</f>
        <v>NDHM436958</v>
      </c>
      <c r="AO61" s="94" t="str">
        <f>IF(preDEL!$AG61,IFERROR(0/0,""),preDEL!AO61)</f>
        <v/>
      </c>
      <c r="AP61" s="94" t="str">
        <f>IF(preDEL!$AG61,IFERROR(0/0,""),preDEL!AP61)</f>
        <v/>
      </c>
      <c r="AQ61" s="94" t="str">
        <f>IF(preDEL!$AG61,IFERROR(0/0,""),preDEL!AQ61)</f>
        <v/>
      </c>
      <c r="AR61" s="94" t="str">
        <f>IF(preDEL!$AG61,IFERROR(0/0,""),preDEL!AR61)</f>
        <v/>
      </c>
      <c r="AS61" s="98"/>
      <c r="BE61" s="254"/>
      <c r="BF61" s="255"/>
      <c r="BG61" s="254"/>
      <c r="BH61" s="255"/>
      <c r="BI61" s="254"/>
      <c r="BJ61" s="254"/>
      <c r="BK61" s="254"/>
      <c r="BL61" s="254"/>
      <c r="BN61" s="7"/>
      <c r="BO61" s="7"/>
      <c r="BP61" s="7"/>
      <c r="BQ61" s="7"/>
      <c r="BR61" s="7"/>
      <c r="BS61" s="7"/>
      <c r="BT61" s="7"/>
    </row>
    <row r="62">
      <c r="A62" s="249" t="str">
        <f>IF(preDEL!$AG62,IFERROR(0/0,""),preDEL!A62)</f>
        <v>AJ9417</v>
      </c>
      <c r="B62" s="250">
        <f>IF(preDEL!$AG62,IFERROR(0/0,""),preDEL!B62)</f>
        <v>44683</v>
      </c>
      <c r="C62" s="251">
        <f>IF(preDEL!$AG62,IFERROR(0/0,""),preDEL!C62)</f>
        <v>0.2090393519</v>
      </c>
      <c r="D62" s="249" t="str">
        <f>IF(preDEL!$AG62,IFERROR(0/0,""),preDEL!D62)</f>
        <v/>
      </c>
      <c r="E62" s="249" t="str">
        <f>IF(preDEL!$AG62,IFERROR(0/0,""),preDEL!E62)</f>
        <v/>
      </c>
      <c r="F62" s="94" t="str">
        <f>IF(preDEL!$AG62,IFERROR(0/0,""),preDEL!F62)</f>
        <v/>
      </c>
      <c r="G62" s="94" t="str">
        <f>IF(preDEL!$AG62,IFERROR(0/0,""),preDEL!G62)</f>
        <v/>
      </c>
      <c r="H62" s="94" t="str">
        <f>IF(preDEL!$AG62,IFERROR(0/0,""),preDEL!H62)</f>
        <v/>
      </c>
      <c r="I62" s="249" t="str">
        <f>IF(preDEL!$AG62,IFERROR(0/0,""),preDEL!I62)</f>
        <v/>
      </c>
      <c r="J62" s="249" t="str">
        <f>IF(preDEL!$AG62,IFERROR(0/0,""),preDEL!J62)</f>
        <v/>
      </c>
      <c r="K62" s="249" t="str">
        <f>IF(preDEL!$AG62,IFERROR(0/0,""),preDEL!K62)</f>
        <v>Negative</v>
      </c>
      <c r="L62" s="250">
        <f>IF(preDEL!$AG62,IFERROR(0/0,""),preDEL!L62)</f>
        <v>44683</v>
      </c>
      <c r="M62" s="251">
        <f>IF(preDEL!$AG62,IFERROR(0/0,""),preDEL!M62)</f>
        <v>0.3578240741</v>
      </c>
      <c r="N62" s="94" t="str">
        <f>IF(preDEL!$AG62,IFERROR(0/0,""),preDEL!N62)</f>
        <v/>
      </c>
      <c r="O62" s="94" t="str">
        <f>IF(preDEL!$AG62,IFERROR(0/0,""),preDEL!O62)</f>
        <v/>
      </c>
      <c r="P62" s="93" t="b">
        <f>IF(preDEL!$AG62,IFERROR(0/0,""),preDEL!P62)</f>
        <v>0</v>
      </c>
      <c r="Q62" s="93" t="str">
        <f>IF(preDEL!$AG62,IFERROR(0/0,""),preDEL!Q62)</f>
        <v>Result</v>
      </c>
      <c r="R62" s="99" t="b">
        <f>IF(preDEL!$AG62,IFERROR(0/0,""),preDEL!R62)</f>
        <v>0</v>
      </c>
      <c r="S62" s="99">
        <f>IF(preDEL!$AG62,IFERROR(0/0,""),preDEL!S62)</f>
        <v>4</v>
      </c>
      <c r="T62" s="93" t="str">
        <f>IF(preDEL!$AG62,IFERROR(0/0,""),preDEL!T62)</f>
        <v/>
      </c>
      <c r="U62" s="94" t="str">
        <f>IF(preDEL!$AG62,IFERROR(0/0,""),preDEL!U62)</f>
        <v/>
      </c>
      <c r="V62" s="249" t="str">
        <f>IF(preDEL!$AG62,IFERROR(0/0,""),preDEL!V62)</f>
        <v/>
      </c>
      <c r="W62" s="94" t="str">
        <f>IF(preDEL!$AG62,IFERROR(0/0,""),preDEL!W62)</f>
        <v/>
      </c>
      <c r="X62" s="99" t="b">
        <f>IF(preDEL!$AG62,IFERROR(0/0,""),preDEL!X62)</f>
        <v>0</v>
      </c>
      <c r="Y62" s="93" t="str">
        <f>IF(preDEL!$AG62,IFERROR(0/0,""),preDEL!Y62)</f>
        <v/>
      </c>
      <c r="Z62" s="249" t="str">
        <f>IF(preDEL!$AG62,IFERROR(0/0,""),preDEL!Z62)</f>
        <v/>
      </c>
      <c r="AA62" s="93" t="b">
        <f>IF(preDEL!$AG62,IFERROR(0/0,""),preDEL!AA62)</f>
        <v>0</v>
      </c>
      <c r="AB62" s="93" t="str">
        <f>IF(preDEL!$AG62,IFERROR(0/0,""),preDEL!AB62)</f>
        <v/>
      </c>
      <c r="AC62" s="252">
        <f>IF(preDEL!$AG62,IFERROR(0/0,""),preDEL!AC62)</f>
        <v>179</v>
      </c>
      <c r="AD62" s="99" t="str">
        <f>IF(preDEL!$AG62,IFERROR(0/0,""),preDEL!AD62)</f>
        <v/>
      </c>
      <c r="AE62" s="253">
        <f>IF(preDEL!$AG62,IFERROR(0/0,""),preDEL!AE62)</f>
        <v>214.25</v>
      </c>
      <c r="AF62" s="93" t="b">
        <f>IF(preDEL!$AG62,IFERROR(0/0,""),preDEL!AF62)</f>
        <v>0</v>
      </c>
      <c r="AG62" s="93" t="b">
        <f>IF(preDEL!$AG62,IFERROR(0/0,""),preDEL!AG62)</f>
        <v>0</v>
      </c>
      <c r="AH62" s="99" t="str">
        <f>IF(preDEL!$AG62,IFERROR(0/0,""),preDEL!AH62)</f>
        <v/>
      </c>
      <c r="AI62" s="249" t="str">
        <f>IF(preDEL!$AG62,IFERROR(0/0,""),preDEL!AI62)</f>
        <v/>
      </c>
      <c r="AJ62" s="94" t="str">
        <f>IF(preDEL!$AG62,IFERROR(0/0,""),preDEL!AJ62)</f>
        <v/>
      </c>
      <c r="AK62" s="249" t="str">
        <f>IF(preDEL!$AG62,IFERROR(0/0,""),preDEL!AK62)</f>
        <v>Negative</v>
      </c>
      <c r="AL62" s="94" t="str">
        <f>IF(preDEL!$AG62,IFERROR(0/0,""),preDEL!AL62)</f>
        <v/>
      </c>
      <c r="AM62" s="94" t="str">
        <f>IF(preDEL!$AG62,IFERROR(0/0,""),preDEL!AM62)</f>
        <v>SpNDHM189649</v>
      </c>
      <c r="AN62" s="94" t="str">
        <f>IF(preDEL!$AG62,IFERROR(0/0,""),preDEL!AN62)</f>
        <v>NDHM872314</v>
      </c>
      <c r="AO62" s="94" t="str">
        <f>IF(preDEL!$AG62,IFERROR(0/0,""),preDEL!AO62)</f>
        <v/>
      </c>
      <c r="AP62" s="94" t="str">
        <f>IF(preDEL!$AG62,IFERROR(0/0,""),preDEL!AP62)</f>
        <v/>
      </c>
      <c r="AQ62" s="94" t="str">
        <f>IF(preDEL!$AG62,IFERROR(0/0,""),preDEL!AQ62)</f>
        <v/>
      </c>
      <c r="AR62" s="94" t="str">
        <f>IF(preDEL!$AG62,IFERROR(0/0,""),preDEL!AR62)</f>
        <v/>
      </c>
      <c r="AS62" s="98"/>
      <c r="BE62" s="254"/>
      <c r="BF62" s="255"/>
      <c r="BG62" s="254"/>
      <c r="BH62" s="255"/>
      <c r="BI62" s="254"/>
      <c r="BJ62" s="254"/>
      <c r="BK62" s="254"/>
      <c r="BL62" s="254"/>
      <c r="BN62" s="7"/>
      <c r="BO62" s="7"/>
      <c r="BP62" s="7"/>
      <c r="BQ62" s="7"/>
      <c r="BR62" s="7"/>
      <c r="BS62" s="7"/>
      <c r="BT62" s="7"/>
    </row>
    <row r="63">
      <c r="A63" s="249" t="str">
        <f>IF(preDEL!$AG63,IFERROR(0/0,""),preDEL!A63)</f>
        <v>AJ9417</v>
      </c>
      <c r="B63" s="250">
        <f>IF(preDEL!$AG63,IFERROR(0/0,""),preDEL!B63)</f>
        <v>44683</v>
      </c>
      <c r="C63" s="251">
        <f>IF(preDEL!$AG63,IFERROR(0/0,""),preDEL!C63)</f>
        <v>0.2090393519</v>
      </c>
      <c r="D63" s="249" t="str">
        <f>IF(preDEL!$AG63,IFERROR(0/0,""),preDEL!D63)</f>
        <v/>
      </c>
      <c r="E63" s="249" t="str">
        <f>IF(preDEL!$AG63,IFERROR(0/0,""),preDEL!E63)</f>
        <v/>
      </c>
      <c r="F63" s="94" t="str">
        <f>IF(preDEL!$AG63,IFERROR(0/0,""),preDEL!F63)</f>
        <v/>
      </c>
      <c r="G63" s="94" t="str">
        <f>IF(preDEL!$AG63,IFERROR(0/0,""),preDEL!G63)</f>
        <v/>
      </c>
      <c r="H63" s="94" t="str">
        <f>IF(preDEL!$AG63,IFERROR(0/0,""),preDEL!H63)</f>
        <v/>
      </c>
      <c r="I63" s="249" t="str">
        <f>IF(preDEL!$AG63,IFERROR(0/0,""),preDEL!I63)</f>
        <v/>
      </c>
      <c r="J63" s="249" t="str">
        <f>IF(preDEL!$AG63,IFERROR(0/0,""),preDEL!J63)</f>
        <v/>
      </c>
      <c r="K63" s="249" t="str">
        <f>IF(preDEL!$AG63,IFERROR(0/0,""),preDEL!K63)</f>
        <v>Negative</v>
      </c>
      <c r="L63" s="250">
        <f>IF(preDEL!$AG63,IFERROR(0/0,""),preDEL!L63)</f>
        <v>44683</v>
      </c>
      <c r="M63" s="251">
        <f>IF(preDEL!$AG63,IFERROR(0/0,""),preDEL!M63)</f>
        <v>0.3578240741</v>
      </c>
      <c r="N63" s="94" t="str">
        <f>IF(preDEL!$AG63,IFERROR(0/0,""),preDEL!N63)</f>
        <v/>
      </c>
      <c r="O63" s="94" t="str">
        <f>IF(preDEL!$AG63,IFERROR(0/0,""),preDEL!O63)</f>
        <v/>
      </c>
      <c r="P63" s="93" t="b">
        <f>IF(preDEL!$AG63,IFERROR(0/0,""),preDEL!P63)</f>
        <v>0</v>
      </c>
      <c r="Q63" s="93" t="str">
        <f>IF(preDEL!$AG63,IFERROR(0/0,""),preDEL!Q63)</f>
        <v>Result</v>
      </c>
      <c r="R63" s="99" t="b">
        <f>IF(preDEL!$AG63,IFERROR(0/0,""),preDEL!R63)</f>
        <v>0</v>
      </c>
      <c r="S63" s="99">
        <f>IF(preDEL!$AG63,IFERROR(0/0,""),preDEL!S63)</f>
        <v>4</v>
      </c>
      <c r="T63" s="93" t="str">
        <f>IF(preDEL!$AG63,IFERROR(0/0,""),preDEL!T63)</f>
        <v/>
      </c>
      <c r="U63" s="94" t="str">
        <f>IF(preDEL!$AG63,IFERROR(0/0,""),preDEL!U63)</f>
        <v/>
      </c>
      <c r="V63" s="249" t="str">
        <f>IF(preDEL!$AG63,IFERROR(0/0,""),preDEL!V63)</f>
        <v/>
      </c>
      <c r="W63" s="94" t="str">
        <f>IF(preDEL!$AG63,IFERROR(0/0,""),preDEL!W63)</f>
        <v/>
      </c>
      <c r="X63" s="99" t="b">
        <f>IF(preDEL!$AG63,IFERROR(0/0,""),preDEL!X63)</f>
        <v>0</v>
      </c>
      <c r="Y63" s="93" t="str">
        <f>IF(preDEL!$AG63,IFERROR(0/0,""),preDEL!Y63)</f>
        <v/>
      </c>
      <c r="Z63" s="249" t="str">
        <f>IF(preDEL!$AG63,IFERROR(0/0,""),preDEL!Z63)</f>
        <v/>
      </c>
      <c r="AA63" s="93" t="b">
        <f>IF(preDEL!$AG63,IFERROR(0/0,""),preDEL!AA63)</f>
        <v>0</v>
      </c>
      <c r="AB63" s="93" t="str">
        <f>IF(preDEL!$AG63,IFERROR(0/0,""),preDEL!AB63)</f>
        <v/>
      </c>
      <c r="AC63" s="252">
        <f>IF(preDEL!$AG63,IFERROR(0/0,""),preDEL!AC63)</f>
        <v>178</v>
      </c>
      <c r="AD63" s="99" t="str">
        <f>IF(preDEL!$AG63,IFERROR(0/0,""),preDEL!AD63)</f>
        <v/>
      </c>
      <c r="AE63" s="253">
        <f>IF(preDEL!$AG63,IFERROR(0/0,""),preDEL!AE63)</f>
        <v>214.25</v>
      </c>
      <c r="AF63" s="93" t="b">
        <f>IF(preDEL!$AG63,IFERROR(0/0,""),preDEL!AF63)</f>
        <v>0</v>
      </c>
      <c r="AG63" s="93" t="b">
        <f>IF(preDEL!$AG63,IFERROR(0/0,""),preDEL!AG63)</f>
        <v>0</v>
      </c>
      <c r="AH63" s="99" t="str">
        <f>IF(preDEL!$AG63,IFERROR(0/0,""),preDEL!AH63)</f>
        <v/>
      </c>
      <c r="AI63" s="249" t="str">
        <f>IF(preDEL!$AG63,IFERROR(0/0,""),preDEL!AI63)</f>
        <v/>
      </c>
      <c r="AJ63" s="94" t="str">
        <f>IF(preDEL!$AG63,IFERROR(0/0,""),preDEL!AJ63)</f>
        <v/>
      </c>
      <c r="AK63" s="249" t="str">
        <f>IF(preDEL!$AG63,IFERROR(0/0,""),preDEL!AK63)</f>
        <v>Negative</v>
      </c>
      <c r="AL63" s="94" t="str">
        <f>IF(preDEL!$AG63,IFERROR(0/0,""),preDEL!AL63)</f>
        <v/>
      </c>
      <c r="AM63" s="94" t="str">
        <f>IF(preDEL!$AG63,IFERROR(0/0,""),preDEL!AM63)</f>
        <v>SpNDHM189649</v>
      </c>
      <c r="AN63" s="94" t="str">
        <f>IF(preDEL!$AG63,IFERROR(0/0,""),preDEL!AN63)</f>
        <v>NDHM577067</v>
      </c>
      <c r="AO63" s="94" t="str">
        <f>IF(preDEL!$AG63,IFERROR(0/0,""),preDEL!AO63)</f>
        <v/>
      </c>
      <c r="AP63" s="94" t="str">
        <f>IF(preDEL!$AG63,IFERROR(0/0,""),preDEL!AP63)</f>
        <v/>
      </c>
      <c r="AQ63" s="94" t="str">
        <f>IF(preDEL!$AG63,IFERROR(0/0,""),preDEL!AQ63)</f>
        <v/>
      </c>
      <c r="AR63" s="94" t="str">
        <f>IF(preDEL!$AG63,IFERROR(0/0,""),preDEL!AR63)</f>
        <v/>
      </c>
      <c r="AS63" s="98"/>
      <c r="BE63" s="254"/>
      <c r="BF63" s="255"/>
      <c r="BG63" s="254"/>
      <c r="BH63" s="255"/>
      <c r="BI63" s="254"/>
      <c r="BJ63" s="254"/>
      <c r="BK63" s="254"/>
      <c r="BL63" s="254"/>
      <c r="BN63" s="7"/>
      <c r="BO63" s="7"/>
      <c r="BP63" s="7"/>
      <c r="BQ63" s="7"/>
      <c r="BR63" s="7"/>
      <c r="BS63" s="7"/>
      <c r="BT63" s="7"/>
    </row>
    <row r="64">
      <c r="A64" s="249" t="str">
        <f>IF(preDEL!$AG64,IFERROR(0/0,""),preDEL!A64)</f>
        <v>AJ9417</v>
      </c>
      <c r="B64" s="250">
        <f>IF(preDEL!$AG64,IFERROR(0/0,""),preDEL!B64)</f>
        <v>44683</v>
      </c>
      <c r="C64" s="251">
        <f>IF(preDEL!$AG64,IFERROR(0/0,""),preDEL!C64)</f>
        <v>0.2090393519</v>
      </c>
      <c r="D64" s="249" t="str">
        <f>IF(preDEL!$AG64,IFERROR(0/0,""),preDEL!D64)</f>
        <v/>
      </c>
      <c r="E64" s="249" t="str">
        <f>IF(preDEL!$AG64,IFERROR(0/0,""),preDEL!E64)</f>
        <v/>
      </c>
      <c r="F64" s="94" t="str">
        <f>IF(preDEL!$AG64,IFERROR(0/0,""),preDEL!F64)</f>
        <v/>
      </c>
      <c r="G64" s="94" t="str">
        <f>IF(preDEL!$AG64,IFERROR(0/0,""),preDEL!G64)</f>
        <v/>
      </c>
      <c r="H64" s="94" t="str">
        <f>IF(preDEL!$AG64,IFERROR(0/0,""),preDEL!H64)</f>
        <v/>
      </c>
      <c r="I64" s="249" t="str">
        <f>IF(preDEL!$AG64,IFERROR(0/0,""),preDEL!I64)</f>
        <v/>
      </c>
      <c r="J64" s="249" t="str">
        <f>IF(preDEL!$AG64,IFERROR(0/0,""),preDEL!J64)</f>
        <v/>
      </c>
      <c r="K64" s="249" t="str">
        <f>IF(preDEL!$AG64,IFERROR(0/0,""),preDEL!K64)</f>
        <v>Negative</v>
      </c>
      <c r="L64" s="250">
        <f>IF(preDEL!$AG64,IFERROR(0/0,""),preDEL!L64)</f>
        <v>44683</v>
      </c>
      <c r="M64" s="251">
        <f>IF(preDEL!$AG64,IFERROR(0/0,""),preDEL!M64)</f>
        <v>0.3578240741</v>
      </c>
      <c r="N64" s="94" t="str">
        <f>IF(preDEL!$AG64,IFERROR(0/0,""),preDEL!N64)</f>
        <v/>
      </c>
      <c r="O64" s="94" t="str">
        <f>IF(preDEL!$AG64,IFERROR(0/0,""),preDEL!O64)</f>
        <v/>
      </c>
      <c r="P64" s="93" t="b">
        <f>IF(preDEL!$AG64,IFERROR(0/0,""),preDEL!P64)</f>
        <v>0</v>
      </c>
      <c r="Q64" s="93" t="str">
        <f>IF(preDEL!$AG64,IFERROR(0/0,""),preDEL!Q64)</f>
        <v>Result</v>
      </c>
      <c r="R64" s="99" t="b">
        <f>IF(preDEL!$AG64,IFERROR(0/0,""),preDEL!R64)</f>
        <v>0</v>
      </c>
      <c r="S64" s="99">
        <f>IF(preDEL!$AG64,IFERROR(0/0,""),preDEL!S64)</f>
        <v>4</v>
      </c>
      <c r="T64" s="93" t="str">
        <f>IF(preDEL!$AG64,IFERROR(0/0,""),preDEL!T64)</f>
        <v/>
      </c>
      <c r="U64" s="94" t="str">
        <f>IF(preDEL!$AG64,IFERROR(0/0,""),preDEL!U64)</f>
        <v/>
      </c>
      <c r="V64" s="249" t="str">
        <f>IF(preDEL!$AG64,IFERROR(0/0,""),preDEL!V64)</f>
        <v/>
      </c>
      <c r="W64" s="94" t="str">
        <f>IF(preDEL!$AG64,IFERROR(0/0,""),preDEL!W64)</f>
        <v/>
      </c>
      <c r="X64" s="99" t="b">
        <f>IF(preDEL!$AG64,IFERROR(0/0,""),preDEL!X64)</f>
        <v>0</v>
      </c>
      <c r="Y64" s="93" t="str">
        <f>IF(preDEL!$AG64,IFERROR(0/0,""),preDEL!Y64)</f>
        <v/>
      </c>
      <c r="Z64" s="249" t="str">
        <f>IF(preDEL!$AG64,IFERROR(0/0,""),preDEL!Z64)</f>
        <v/>
      </c>
      <c r="AA64" s="93" t="b">
        <f>IF(preDEL!$AG64,IFERROR(0/0,""),preDEL!AA64)</f>
        <v>0</v>
      </c>
      <c r="AB64" s="93" t="str">
        <f>IF(preDEL!$AG64,IFERROR(0/0,""),preDEL!AB64)</f>
        <v/>
      </c>
      <c r="AC64" s="252">
        <f>IF(preDEL!$AG64,IFERROR(0/0,""),preDEL!AC64)</f>
        <v>177</v>
      </c>
      <c r="AD64" s="99" t="str">
        <f>IF(preDEL!$AG64,IFERROR(0/0,""),preDEL!AD64)</f>
        <v/>
      </c>
      <c r="AE64" s="253">
        <f>IF(preDEL!$AG64,IFERROR(0/0,""),preDEL!AE64)</f>
        <v>214.25</v>
      </c>
      <c r="AF64" s="93" t="b">
        <f>IF(preDEL!$AG64,IFERROR(0/0,""),preDEL!AF64)</f>
        <v>0</v>
      </c>
      <c r="AG64" s="93" t="b">
        <f>IF(preDEL!$AG64,IFERROR(0/0,""),preDEL!AG64)</f>
        <v>0</v>
      </c>
      <c r="AH64" s="99" t="str">
        <f>IF(preDEL!$AG64,IFERROR(0/0,""),preDEL!AH64)</f>
        <v/>
      </c>
      <c r="AI64" s="249" t="str">
        <f>IF(preDEL!$AG64,IFERROR(0/0,""),preDEL!AI64)</f>
        <v/>
      </c>
      <c r="AJ64" s="94" t="str">
        <f>IF(preDEL!$AG64,IFERROR(0/0,""),preDEL!AJ64)</f>
        <v/>
      </c>
      <c r="AK64" s="249" t="str">
        <f>IF(preDEL!$AG64,IFERROR(0/0,""),preDEL!AK64)</f>
        <v>Negative</v>
      </c>
      <c r="AL64" s="94" t="str">
        <f>IF(preDEL!$AG64,IFERROR(0/0,""),preDEL!AL64)</f>
        <v/>
      </c>
      <c r="AM64" s="94" t="str">
        <f>IF(preDEL!$AG64,IFERROR(0/0,""),preDEL!AM64)</f>
        <v>SpNDHM189649</v>
      </c>
      <c r="AN64" s="94" t="str">
        <f>IF(preDEL!$AG64,IFERROR(0/0,""),preDEL!AN64)</f>
        <v>NDHM406316</v>
      </c>
      <c r="AO64" s="94" t="str">
        <f>IF(preDEL!$AG64,IFERROR(0/0,""),preDEL!AO64)</f>
        <v/>
      </c>
      <c r="AP64" s="94" t="str">
        <f>IF(preDEL!$AG64,IFERROR(0/0,""),preDEL!AP64)</f>
        <v/>
      </c>
      <c r="AQ64" s="94" t="str">
        <f>IF(preDEL!$AG64,IFERROR(0/0,""),preDEL!AQ64)</f>
        <v/>
      </c>
      <c r="AR64" s="94" t="str">
        <f>IF(preDEL!$AG64,IFERROR(0/0,""),preDEL!AR64)</f>
        <v/>
      </c>
      <c r="AS64" s="98"/>
      <c r="BE64" s="254"/>
      <c r="BF64" s="255"/>
      <c r="BG64" s="254"/>
      <c r="BH64" s="255"/>
      <c r="BI64" s="254"/>
      <c r="BJ64" s="254"/>
      <c r="BK64" s="254"/>
      <c r="BL64" s="254"/>
      <c r="BN64" s="7"/>
      <c r="BO64" s="7"/>
      <c r="BP64" s="7"/>
      <c r="BQ64" s="7"/>
      <c r="BR64" s="7"/>
      <c r="BS64" s="7"/>
      <c r="BT64" s="7"/>
    </row>
    <row r="65">
      <c r="A65" s="249" t="str">
        <f>IF(preDEL!$AG65,IFERROR(0/0,""),preDEL!A65)</f>
        <v>AG1713</v>
      </c>
      <c r="B65" s="250">
        <f>IF(preDEL!$AG65,IFERROR(0/0,""),preDEL!B65)</f>
        <v>44683</v>
      </c>
      <c r="C65" s="251">
        <f>IF(preDEL!$AG65,IFERROR(0/0,""),preDEL!C65)</f>
        <v>0.2125694444</v>
      </c>
      <c r="D65" s="249" t="str">
        <f>IF(preDEL!$AG65,IFERROR(0/0,""),preDEL!D65)</f>
        <v/>
      </c>
      <c r="E65" s="249" t="str">
        <f>IF(preDEL!$AG65,IFERROR(0/0,""),preDEL!E65)</f>
        <v/>
      </c>
      <c r="F65" s="94" t="str">
        <f>IF(preDEL!$AG65,IFERROR(0/0,""),preDEL!F65)</f>
        <v/>
      </c>
      <c r="G65" s="94" t="str">
        <f>IF(preDEL!$AG65,IFERROR(0/0,""),preDEL!G65)</f>
        <v/>
      </c>
      <c r="H65" s="94" t="str">
        <f>IF(preDEL!$AG65,IFERROR(0/0,""),preDEL!H65)</f>
        <v/>
      </c>
      <c r="I65" s="249" t="str">
        <f>IF(preDEL!$AG65,IFERROR(0/0,""),preDEL!I65)</f>
        <v/>
      </c>
      <c r="J65" s="249" t="str">
        <f>IF(preDEL!$AG65,IFERROR(0/0,""),preDEL!J65)</f>
        <v/>
      </c>
      <c r="K65" s="249" t="str">
        <f>IF(preDEL!$AG65,IFERROR(0/0,""),preDEL!K65)</f>
        <v>Negative</v>
      </c>
      <c r="L65" s="250">
        <f>IF(preDEL!$AG65,IFERROR(0/0,""),preDEL!L65)</f>
        <v>44683</v>
      </c>
      <c r="M65" s="251">
        <f>IF(preDEL!$AG65,IFERROR(0/0,""),preDEL!M65)</f>
        <v>0.3578240741</v>
      </c>
      <c r="N65" s="94" t="str">
        <f>IF(preDEL!$AG65,IFERROR(0/0,""),preDEL!N65)</f>
        <v/>
      </c>
      <c r="O65" s="94" t="str">
        <f>IF(preDEL!$AG65,IFERROR(0/0,""),preDEL!O65)</f>
        <v/>
      </c>
      <c r="P65" s="93" t="b">
        <f>IF(preDEL!$AG65,IFERROR(0/0,""),preDEL!P65)</f>
        <v>0</v>
      </c>
      <c r="Q65" s="93" t="str">
        <f>IF(preDEL!$AG65,IFERROR(0/0,""),preDEL!Q65)</f>
        <v>Result</v>
      </c>
      <c r="R65" s="99" t="b">
        <f>IF(preDEL!$AG65,IFERROR(0/0,""),preDEL!R65)</f>
        <v>1</v>
      </c>
      <c r="S65" s="99">
        <f>IF(preDEL!$AG65,IFERROR(0/0,""),preDEL!S65)</f>
        <v>4</v>
      </c>
      <c r="T65" s="93">
        <f>IF(preDEL!$AG65,IFERROR(0/0,""),preDEL!T65)</f>
        <v>2</v>
      </c>
      <c r="U65" s="94" t="str">
        <f>IF(preDEL!$AG65,IFERROR(0/0,""),preDEL!U65)</f>
        <v/>
      </c>
      <c r="V65" s="249" t="str">
        <f>IF(preDEL!$AG65,IFERROR(0/0,""),preDEL!V65)</f>
        <v/>
      </c>
      <c r="W65" s="94" t="str">
        <f>IF(preDEL!$AG65,IFERROR(0/0,""),preDEL!W65)</f>
        <v/>
      </c>
      <c r="X65" s="99" t="b">
        <f>IF(preDEL!$AG65,IFERROR(0/0,""),preDEL!X65)</f>
        <v>1</v>
      </c>
      <c r="Y65" s="93" t="str">
        <f>IF(preDEL!$AG65,IFERROR(0/0,""),preDEL!Y65)</f>
        <v/>
      </c>
      <c r="Z65" s="249" t="str">
        <f>IF(preDEL!$AG65,IFERROR(0/0,""),preDEL!Z65)</f>
        <v/>
      </c>
      <c r="AA65" s="93" t="b">
        <f>IF(preDEL!$AG65,IFERROR(0/0,""),preDEL!AA65)</f>
        <v>0</v>
      </c>
      <c r="AB65" s="93" t="str">
        <f>IF(preDEL!$AG65,IFERROR(0/0,""),preDEL!AB65)</f>
        <v/>
      </c>
      <c r="AC65" s="252">
        <f>IF(preDEL!$AG65,IFERROR(0/0,""),preDEL!AC65)</f>
        <v>180</v>
      </c>
      <c r="AD65" s="99" t="str">
        <f>IF(preDEL!$AG65,IFERROR(0/0,""),preDEL!AD65)</f>
        <v/>
      </c>
      <c r="AE65" s="253">
        <f>IF(preDEL!$AG65,IFERROR(0/0,""),preDEL!AE65)</f>
        <v>209.1666667</v>
      </c>
      <c r="AF65" s="93" t="b">
        <f>IF(preDEL!$AG65,IFERROR(0/0,""),preDEL!AF65)</f>
        <v>0</v>
      </c>
      <c r="AG65" s="93" t="b">
        <f>IF(preDEL!$AG65,IFERROR(0/0,""),preDEL!AG65)</f>
        <v>0</v>
      </c>
      <c r="AH65" s="99" t="str">
        <f>IF(preDEL!$AG65,IFERROR(0/0,""),preDEL!AH65)</f>
        <v/>
      </c>
      <c r="AI65" s="249" t="str">
        <f>IF(preDEL!$AG65,IFERROR(0/0,""),preDEL!AI65)</f>
        <v/>
      </c>
      <c r="AJ65" s="94" t="str">
        <f>IF(preDEL!$AG65,IFERROR(0/0,""),preDEL!AJ65)</f>
        <v/>
      </c>
      <c r="AK65" s="249" t="str">
        <f>IF(preDEL!$AG65,IFERROR(0/0,""),preDEL!AK65)</f>
        <v>Negative</v>
      </c>
      <c r="AL65" s="94" t="str">
        <f>IF(preDEL!$AG65,IFERROR(0/0,""),preDEL!AL65)</f>
        <v/>
      </c>
      <c r="AM65" s="94" t="str">
        <f>IF(preDEL!$AG65,IFERROR(0/0,""),preDEL!AM65)</f>
        <v>SpNDHM966349</v>
      </c>
      <c r="AN65" s="94" t="str">
        <f>IF(preDEL!$AG65,IFERROR(0/0,""),preDEL!AN65)</f>
        <v>NDHM580463</v>
      </c>
      <c r="AO65" s="94" t="str">
        <f>IF(preDEL!$AG65,IFERROR(0/0,""),preDEL!AO65)</f>
        <v/>
      </c>
      <c r="AP65" s="94" t="str">
        <f>IF(preDEL!$AG65,IFERROR(0/0,""),preDEL!AP65)</f>
        <v/>
      </c>
      <c r="AQ65" s="94" t="str">
        <f>IF(preDEL!$AG65,IFERROR(0/0,""),preDEL!AQ65)</f>
        <v/>
      </c>
      <c r="AR65" s="94" t="str">
        <f>IF(preDEL!$AG65,IFERROR(0/0,""),preDEL!AR65)</f>
        <v/>
      </c>
      <c r="AS65" s="98"/>
      <c r="BE65" s="254"/>
      <c r="BF65" s="255"/>
      <c r="BG65" s="254"/>
      <c r="BH65" s="255"/>
      <c r="BI65" s="254"/>
      <c r="BJ65" s="254"/>
      <c r="BK65" s="254"/>
      <c r="BL65" s="254"/>
      <c r="BN65" s="7"/>
      <c r="BO65" s="7"/>
      <c r="BP65" s="7"/>
      <c r="BQ65" s="7"/>
      <c r="BR65" s="7"/>
      <c r="BS65" s="7"/>
      <c r="BT65" s="7"/>
    </row>
    <row r="66">
      <c r="A66" s="249" t="str">
        <f>IF(preDEL!$AG66,IFERROR(0/0,""),preDEL!A66)</f>
        <v>AG1713</v>
      </c>
      <c r="B66" s="250">
        <f>IF(preDEL!$AG66,IFERROR(0/0,""),preDEL!B66)</f>
        <v>44683</v>
      </c>
      <c r="C66" s="251">
        <f>IF(preDEL!$AG66,IFERROR(0/0,""),preDEL!C66)</f>
        <v>0.2125694444</v>
      </c>
      <c r="D66" s="249" t="str">
        <f>IF(preDEL!$AG66,IFERROR(0/0,""),preDEL!D66)</f>
        <v/>
      </c>
      <c r="E66" s="249" t="str">
        <f>IF(preDEL!$AG66,IFERROR(0/0,""),preDEL!E66)</f>
        <v/>
      </c>
      <c r="F66" s="94" t="str">
        <f>IF(preDEL!$AG66,IFERROR(0/0,""),preDEL!F66)</f>
        <v/>
      </c>
      <c r="G66" s="94" t="str">
        <f>IF(preDEL!$AG66,IFERROR(0/0,""),preDEL!G66)</f>
        <v/>
      </c>
      <c r="H66" s="94" t="str">
        <f>IF(preDEL!$AG66,IFERROR(0/0,""),preDEL!H66)</f>
        <v/>
      </c>
      <c r="I66" s="249" t="str">
        <f>IF(preDEL!$AG66,IFERROR(0/0,""),preDEL!I66)</f>
        <v/>
      </c>
      <c r="J66" s="249" t="str">
        <f>IF(preDEL!$AG66,IFERROR(0/0,""),preDEL!J66)</f>
        <v/>
      </c>
      <c r="K66" s="249" t="str">
        <f>IF(preDEL!$AG66,IFERROR(0/0,""),preDEL!K66)</f>
        <v>Negative</v>
      </c>
      <c r="L66" s="250">
        <f>IF(preDEL!$AG66,IFERROR(0/0,""),preDEL!L66)</f>
        <v>44683</v>
      </c>
      <c r="M66" s="251">
        <f>IF(preDEL!$AG66,IFERROR(0/0,""),preDEL!M66)</f>
        <v>0.3578240741</v>
      </c>
      <c r="N66" s="94" t="str">
        <f>IF(preDEL!$AG66,IFERROR(0/0,""),preDEL!N66)</f>
        <v/>
      </c>
      <c r="O66" s="94" t="str">
        <f>IF(preDEL!$AG66,IFERROR(0/0,""),preDEL!O66)</f>
        <v/>
      </c>
      <c r="P66" s="93" t="b">
        <f>IF(preDEL!$AG66,IFERROR(0/0,""),preDEL!P66)</f>
        <v>0</v>
      </c>
      <c r="Q66" s="93" t="str">
        <f>IF(preDEL!$AG66,IFERROR(0/0,""),preDEL!Q66)</f>
        <v>Result</v>
      </c>
      <c r="R66" s="99" t="b">
        <f>IF(preDEL!$AG66,IFERROR(0/0,""),preDEL!R66)</f>
        <v>0</v>
      </c>
      <c r="S66" s="99">
        <f>IF(preDEL!$AG66,IFERROR(0/0,""),preDEL!S66)</f>
        <v>4</v>
      </c>
      <c r="T66" s="93">
        <f>IF(preDEL!$AG66,IFERROR(0/0,""),preDEL!T66)</f>
        <v>2</v>
      </c>
      <c r="U66" s="94" t="str">
        <f>IF(preDEL!$AG66,IFERROR(0/0,""),preDEL!U66)</f>
        <v/>
      </c>
      <c r="V66" s="249" t="str">
        <f>IF(preDEL!$AG66,IFERROR(0/0,""),preDEL!V66)</f>
        <v/>
      </c>
      <c r="W66" s="94" t="str">
        <f>IF(preDEL!$AG66,IFERROR(0/0,""),preDEL!W66)</f>
        <v/>
      </c>
      <c r="X66" s="99" t="b">
        <f>IF(preDEL!$AG66,IFERROR(0/0,""),preDEL!X66)</f>
        <v>1</v>
      </c>
      <c r="Y66" s="93" t="str">
        <f>IF(preDEL!$AG66,IFERROR(0/0,""),preDEL!Y66)</f>
        <v/>
      </c>
      <c r="Z66" s="249" t="str">
        <f>IF(preDEL!$AG66,IFERROR(0/0,""),preDEL!Z66)</f>
        <v/>
      </c>
      <c r="AA66" s="93" t="b">
        <f>IF(preDEL!$AG66,IFERROR(0/0,""),preDEL!AA66)</f>
        <v>0</v>
      </c>
      <c r="AB66" s="93" t="str">
        <f>IF(preDEL!$AG66,IFERROR(0/0,""),preDEL!AB66)</f>
        <v/>
      </c>
      <c r="AC66" s="252">
        <f>IF(preDEL!$AG66,IFERROR(0/0,""),preDEL!AC66)</f>
        <v>181</v>
      </c>
      <c r="AD66" s="99" t="str">
        <f>IF(preDEL!$AG66,IFERROR(0/0,""),preDEL!AD66)</f>
        <v/>
      </c>
      <c r="AE66" s="253">
        <f>IF(preDEL!$AG66,IFERROR(0/0,""),preDEL!AE66)</f>
        <v>209.1666667</v>
      </c>
      <c r="AF66" s="93" t="b">
        <f>IF(preDEL!$AG66,IFERROR(0/0,""),preDEL!AF66)</f>
        <v>0</v>
      </c>
      <c r="AG66" s="93" t="b">
        <f>IF(preDEL!$AG66,IFERROR(0/0,""),preDEL!AG66)</f>
        <v>0</v>
      </c>
      <c r="AH66" s="99" t="str">
        <f>IF(preDEL!$AG66,IFERROR(0/0,""),preDEL!AH66)</f>
        <v/>
      </c>
      <c r="AI66" s="249" t="str">
        <f>IF(preDEL!$AG66,IFERROR(0/0,""),preDEL!AI66)</f>
        <v/>
      </c>
      <c r="AJ66" s="94" t="str">
        <f>IF(preDEL!$AG66,IFERROR(0/0,""),preDEL!AJ66)</f>
        <v/>
      </c>
      <c r="AK66" s="249" t="str">
        <f>IF(preDEL!$AG66,IFERROR(0/0,""),preDEL!AK66)</f>
        <v>Negative</v>
      </c>
      <c r="AL66" s="94" t="str">
        <f>IF(preDEL!$AG66,IFERROR(0/0,""),preDEL!AL66)</f>
        <v/>
      </c>
      <c r="AM66" s="94" t="str">
        <f>IF(preDEL!$AG66,IFERROR(0/0,""),preDEL!AM66)</f>
        <v>SpNDHM966349</v>
      </c>
      <c r="AN66" s="94" t="str">
        <f>IF(preDEL!$AG66,IFERROR(0/0,""),preDEL!AN66)</f>
        <v>NDHM806069</v>
      </c>
      <c r="AO66" s="94" t="str">
        <f>IF(preDEL!$AG66,IFERROR(0/0,""),preDEL!AO66)</f>
        <v/>
      </c>
      <c r="AP66" s="94" t="str">
        <f>IF(preDEL!$AG66,IFERROR(0/0,""),preDEL!AP66)</f>
        <v/>
      </c>
      <c r="AQ66" s="94" t="str">
        <f>IF(preDEL!$AG66,IFERROR(0/0,""),preDEL!AQ66)</f>
        <v/>
      </c>
      <c r="AR66" s="94" t="str">
        <f>IF(preDEL!$AG66,IFERROR(0/0,""),preDEL!AR66)</f>
        <v/>
      </c>
      <c r="AS66" s="98"/>
      <c r="BE66" s="254"/>
      <c r="BF66" s="255"/>
      <c r="BG66" s="254"/>
      <c r="BH66" s="255"/>
      <c r="BI66" s="254"/>
      <c r="BJ66" s="254"/>
      <c r="BK66" s="254"/>
      <c r="BL66" s="254"/>
      <c r="BN66" s="7"/>
      <c r="BO66" s="7"/>
      <c r="BP66" s="7"/>
      <c r="BQ66" s="7"/>
      <c r="BR66" s="7"/>
      <c r="BS66" s="7"/>
      <c r="BT66" s="7"/>
    </row>
    <row r="67">
      <c r="A67" s="249" t="str">
        <f>IF(preDEL!$AG67,IFERROR(0/0,""),preDEL!A67)</f>
        <v>AG1713</v>
      </c>
      <c r="B67" s="250">
        <f>IF(preDEL!$AG67,IFERROR(0/0,""),preDEL!B67)</f>
        <v>44683</v>
      </c>
      <c r="C67" s="251">
        <f>IF(preDEL!$AG67,IFERROR(0/0,""),preDEL!C67)</f>
        <v>0.2125694444</v>
      </c>
      <c r="D67" s="249" t="str">
        <f>IF(preDEL!$AG67,IFERROR(0/0,""),preDEL!D67)</f>
        <v/>
      </c>
      <c r="E67" s="249" t="str">
        <f>IF(preDEL!$AG67,IFERROR(0/0,""),preDEL!E67)</f>
        <v/>
      </c>
      <c r="F67" s="94" t="str">
        <f>IF(preDEL!$AG67,IFERROR(0/0,""),preDEL!F67)</f>
        <v/>
      </c>
      <c r="G67" s="94" t="str">
        <f>IF(preDEL!$AG67,IFERROR(0/0,""),preDEL!G67)</f>
        <v/>
      </c>
      <c r="H67" s="94" t="str">
        <f>IF(preDEL!$AG67,IFERROR(0/0,""),preDEL!H67)</f>
        <v/>
      </c>
      <c r="I67" s="249" t="str">
        <f>IF(preDEL!$AG67,IFERROR(0/0,""),preDEL!I67)</f>
        <v/>
      </c>
      <c r="J67" s="249" t="str">
        <f>IF(preDEL!$AG67,IFERROR(0/0,""),preDEL!J67)</f>
        <v/>
      </c>
      <c r="K67" s="249" t="str">
        <f>IF(preDEL!$AG67,IFERROR(0/0,""),preDEL!K67)</f>
        <v>Negative</v>
      </c>
      <c r="L67" s="250">
        <f>IF(preDEL!$AG67,IFERROR(0/0,""),preDEL!L67)</f>
        <v>44683</v>
      </c>
      <c r="M67" s="251">
        <f>IF(preDEL!$AG67,IFERROR(0/0,""),preDEL!M67)</f>
        <v>0.3578240741</v>
      </c>
      <c r="N67" s="94" t="str">
        <f>IF(preDEL!$AG67,IFERROR(0/0,""),preDEL!N67)</f>
        <v/>
      </c>
      <c r="O67" s="94" t="str">
        <f>IF(preDEL!$AG67,IFERROR(0/0,""),preDEL!O67)</f>
        <v/>
      </c>
      <c r="P67" s="93" t="b">
        <f>IF(preDEL!$AG67,IFERROR(0/0,""),preDEL!P67)</f>
        <v>0</v>
      </c>
      <c r="Q67" s="93" t="str">
        <f>IF(preDEL!$AG67,IFERROR(0/0,""),preDEL!Q67)</f>
        <v>Result</v>
      </c>
      <c r="R67" s="99" t="b">
        <f>IF(preDEL!$AG67,IFERROR(0/0,""),preDEL!R67)</f>
        <v>0</v>
      </c>
      <c r="S67" s="99">
        <f>IF(preDEL!$AG67,IFERROR(0/0,""),preDEL!S67)</f>
        <v>4</v>
      </c>
      <c r="T67" s="93">
        <f>IF(preDEL!$AG67,IFERROR(0/0,""),preDEL!T67)</f>
        <v>2</v>
      </c>
      <c r="U67" s="94" t="str">
        <f>IF(preDEL!$AG67,IFERROR(0/0,""),preDEL!U67)</f>
        <v/>
      </c>
      <c r="V67" s="249" t="str">
        <f>IF(preDEL!$AG67,IFERROR(0/0,""),preDEL!V67)</f>
        <v/>
      </c>
      <c r="W67" s="94" t="str">
        <f>IF(preDEL!$AG67,IFERROR(0/0,""),preDEL!W67)</f>
        <v/>
      </c>
      <c r="X67" s="99" t="b">
        <f>IF(preDEL!$AG67,IFERROR(0/0,""),preDEL!X67)</f>
        <v>0</v>
      </c>
      <c r="Y67" s="93" t="str">
        <f>IF(preDEL!$AG67,IFERROR(0/0,""),preDEL!Y67)</f>
        <v/>
      </c>
      <c r="Z67" s="249" t="str">
        <f>IF(preDEL!$AG67,IFERROR(0/0,""),preDEL!Z67)</f>
        <v/>
      </c>
      <c r="AA67" s="93" t="b">
        <f>IF(preDEL!$AG67,IFERROR(0/0,""),preDEL!AA67)</f>
        <v>0</v>
      </c>
      <c r="AB67" s="93" t="str">
        <f>IF(preDEL!$AG67,IFERROR(0/0,""),preDEL!AB67)</f>
        <v/>
      </c>
      <c r="AC67" s="252">
        <f>IF(preDEL!$AG67,IFERROR(0/0,""),preDEL!AC67)</f>
        <v>181</v>
      </c>
      <c r="AD67" s="99" t="str">
        <f>IF(preDEL!$AG67,IFERROR(0/0,""),preDEL!AD67)</f>
        <v/>
      </c>
      <c r="AE67" s="253">
        <f>IF(preDEL!$AG67,IFERROR(0/0,""),preDEL!AE67)</f>
        <v>209.1666667</v>
      </c>
      <c r="AF67" s="93" t="b">
        <f>IF(preDEL!$AG67,IFERROR(0/0,""),preDEL!AF67)</f>
        <v>0</v>
      </c>
      <c r="AG67" s="93" t="b">
        <f>IF(preDEL!$AG67,IFERROR(0/0,""),preDEL!AG67)</f>
        <v>0</v>
      </c>
      <c r="AH67" s="99" t="str">
        <f>IF(preDEL!$AG67,IFERROR(0/0,""),preDEL!AH67)</f>
        <v/>
      </c>
      <c r="AI67" s="249" t="str">
        <f>IF(preDEL!$AG67,IFERROR(0/0,""),preDEL!AI67)</f>
        <v/>
      </c>
      <c r="AJ67" s="94" t="str">
        <f>IF(preDEL!$AG67,IFERROR(0/0,""),preDEL!AJ67)</f>
        <v/>
      </c>
      <c r="AK67" s="249" t="str">
        <f>IF(preDEL!$AG67,IFERROR(0/0,""),preDEL!AK67)</f>
        <v>Negative</v>
      </c>
      <c r="AL67" s="94" t="str">
        <f>IF(preDEL!$AG67,IFERROR(0/0,""),preDEL!AL67)</f>
        <v/>
      </c>
      <c r="AM67" s="94" t="str">
        <f>IF(preDEL!$AG67,IFERROR(0/0,""),preDEL!AM67)</f>
        <v>SpNDHM966349</v>
      </c>
      <c r="AN67" s="94" t="str">
        <f>IF(preDEL!$AG67,IFERROR(0/0,""),preDEL!AN67)</f>
        <v>NDHM514003</v>
      </c>
      <c r="AO67" s="94" t="str">
        <f>IF(preDEL!$AG67,IFERROR(0/0,""),preDEL!AO67)</f>
        <v/>
      </c>
      <c r="AP67" s="94" t="str">
        <f>IF(preDEL!$AG67,IFERROR(0/0,""),preDEL!AP67)</f>
        <v/>
      </c>
      <c r="AQ67" s="94" t="str">
        <f>IF(preDEL!$AG67,IFERROR(0/0,""),preDEL!AQ67)</f>
        <v/>
      </c>
      <c r="AR67" s="94" t="str">
        <f>IF(preDEL!$AG67,IFERROR(0/0,""),preDEL!AR67)</f>
        <v/>
      </c>
      <c r="AS67" s="98"/>
      <c r="BE67" s="254"/>
      <c r="BF67" s="255"/>
      <c r="BG67" s="254"/>
      <c r="BH67" s="255"/>
      <c r="BI67" s="254"/>
      <c r="BJ67" s="254"/>
      <c r="BK67" s="254"/>
      <c r="BL67" s="254"/>
      <c r="BN67" s="7"/>
      <c r="BO67" s="7"/>
      <c r="BP67" s="7"/>
      <c r="BQ67" s="7"/>
      <c r="BR67" s="7"/>
      <c r="BS67" s="7"/>
      <c r="BT67" s="7"/>
    </row>
    <row r="68">
      <c r="A68" s="249" t="str">
        <f>IF(preDEL!$AG68,IFERROR(0/0,""),preDEL!A68)</f>
        <v>AG1713</v>
      </c>
      <c r="B68" s="250">
        <f>IF(preDEL!$AG68,IFERROR(0/0,""),preDEL!B68)</f>
        <v>44683</v>
      </c>
      <c r="C68" s="251">
        <f>IF(preDEL!$AG68,IFERROR(0/0,""),preDEL!C68)</f>
        <v>0.2125694444</v>
      </c>
      <c r="D68" s="249" t="str">
        <f>IF(preDEL!$AG68,IFERROR(0/0,""),preDEL!D68)</f>
        <v/>
      </c>
      <c r="E68" s="249" t="str">
        <f>IF(preDEL!$AG68,IFERROR(0/0,""),preDEL!E68)</f>
        <v/>
      </c>
      <c r="F68" s="94" t="str">
        <f>IF(preDEL!$AG68,IFERROR(0/0,""),preDEL!F68)</f>
        <v/>
      </c>
      <c r="G68" s="94" t="str">
        <f>IF(preDEL!$AG68,IFERROR(0/0,""),preDEL!G68)</f>
        <v/>
      </c>
      <c r="H68" s="94" t="str">
        <f>IF(preDEL!$AG68,IFERROR(0/0,""),preDEL!H68)</f>
        <v/>
      </c>
      <c r="I68" s="249" t="str">
        <f>IF(preDEL!$AG68,IFERROR(0/0,""),preDEL!I68)</f>
        <v/>
      </c>
      <c r="J68" s="249" t="str">
        <f>IF(preDEL!$AG68,IFERROR(0/0,""),preDEL!J68)</f>
        <v/>
      </c>
      <c r="K68" s="249" t="str">
        <f>IF(preDEL!$AG68,IFERROR(0/0,""),preDEL!K68)</f>
        <v>Negative</v>
      </c>
      <c r="L68" s="250">
        <f>IF(preDEL!$AG68,IFERROR(0/0,""),preDEL!L68)</f>
        <v>44683</v>
      </c>
      <c r="M68" s="251">
        <f>IF(preDEL!$AG68,IFERROR(0/0,""),preDEL!M68)</f>
        <v>0.3578240741</v>
      </c>
      <c r="N68" s="94" t="str">
        <f>IF(preDEL!$AG68,IFERROR(0/0,""),preDEL!N68)</f>
        <v/>
      </c>
      <c r="O68" s="94" t="str">
        <f>IF(preDEL!$AG68,IFERROR(0/0,""),preDEL!O68)</f>
        <v/>
      </c>
      <c r="P68" s="93" t="b">
        <f>IF(preDEL!$AG68,IFERROR(0/0,""),preDEL!P68)</f>
        <v>0</v>
      </c>
      <c r="Q68" s="93" t="str">
        <f>IF(preDEL!$AG68,IFERROR(0/0,""),preDEL!Q68)</f>
        <v>Result</v>
      </c>
      <c r="R68" s="99" t="b">
        <f>IF(preDEL!$AG68,IFERROR(0/0,""),preDEL!R68)</f>
        <v>0</v>
      </c>
      <c r="S68" s="99">
        <f>IF(preDEL!$AG68,IFERROR(0/0,""),preDEL!S68)</f>
        <v>4</v>
      </c>
      <c r="T68" s="93">
        <f>IF(preDEL!$AG68,IFERROR(0/0,""),preDEL!T68)</f>
        <v>2</v>
      </c>
      <c r="U68" s="94" t="str">
        <f>IF(preDEL!$AG68,IFERROR(0/0,""),preDEL!U68)</f>
        <v/>
      </c>
      <c r="V68" s="249" t="str">
        <f>IF(preDEL!$AG68,IFERROR(0/0,""),preDEL!V68)</f>
        <v/>
      </c>
      <c r="W68" s="94" t="str">
        <f>IF(preDEL!$AG68,IFERROR(0/0,""),preDEL!W68)</f>
        <v/>
      </c>
      <c r="X68" s="99" t="b">
        <f>IF(preDEL!$AG68,IFERROR(0/0,""),preDEL!X68)</f>
        <v>0</v>
      </c>
      <c r="Y68" s="93" t="str">
        <f>IF(preDEL!$AG68,IFERROR(0/0,""),preDEL!Y68)</f>
        <v/>
      </c>
      <c r="Z68" s="249" t="str">
        <f>IF(preDEL!$AG68,IFERROR(0/0,""),preDEL!Z68)</f>
        <v/>
      </c>
      <c r="AA68" s="93" t="b">
        <f>IF(preDEL!$AG68,IFERROR(0/0,""),preDEL!AA68)</f>
        <v>0</v>
      </c>
      <c r="AB68" s="93" t="str">
        <f>IF(preDEL!$AG68,IFERROR(0/0,""),preDEL!AB68)</f>
        <v/>
      </c>
      <c r="AC68" s="252">
        <f>IF(preDEL!$AG68,IFERROR(0/0,""),preDEL!AC68)</f>
        <v>180</v>
      </c>
      <c r="AD68" s="99" t="str">
        <f>IF(preDEL!$AG68,IFERROR(0/0,""),preDEL!AD68)</f>
        <v/>
      </c>
      <c r="AE68" s="253">
        <f>IF(preDEL!$AG68,IFERROR(0/0,""),preDEL!AE68)</f>
        <v>209.1666667</v>
      </c>
      <c r="AF68" s="93" t="str">
        <f>IF(preDEL!$AG68,IFERROR(0/0,""),preDEL!AF68)</f>
        <v>#REF!</v>
      </c>
      <c r="AG68" s="93" t="b">
        <f>IF(preDEL!$AG68,IFERROR(0/0,""),preDEL!AG68)</f>
        <v>0</v>
      </c>
      <c r="AH68" s="99" t="str">
        <f>IF(preDEL!$AG68,IFERROR(0/0,""),preDEL!AH68)</f>
        <v/>
      </c>
      <c r="AI68" s="249" t="str">
        <f>IF(preDEL!$AG68,IFERROR(0/0,""),preDEL!AI68)</f>
        <v/>
      </c>
      <c r="AJ68" s="94" t="str">
        <f>IF(preDEL!$AG68,IFERROR(0/0,""),preDEL!AJ68)</f>
        <v/>
      </c>
      <c r="AK68" s="249" t="str">
        <f>IF(preDEL!$AG68,IFERROR(0/0,""),preDEL!AK68)</f>
        <v>Negative</v>
      </c>
      <c r="AL68" s="94" t="str">
        <f>IF(preDEL!$AG68,IFERROR(0/0,""),preDEL!AL68)</f>
        <v/>
      </c>
      <c r="AM68" s="94" t="str">
        <f>IF(preDEL!$AG68,IFERROR(0/0,""),preDEL!AM68)</f>
        <v>SpNDHM966349</v>
      </c>
      <c r="AN68" s="94" t="str">
        <f>IF(preDEL!$AG68,IFERROR(0/0,""),preDEL!AN68)</f>
        <v>NDHM584295</v>
      </c>
      <c r="AO68" s="94" t="str">
        <f>IF(preDEL!$AG68,IFERROR(0/0,""),preDEL!AO68)</f>
        <v/>
      </c>
      <c r="AP68" s="94" t="str">
        <f>IF(preDEL!$AG68,IFERROR(0/0,""),preDEL!AP68)</f>
        <v/>
      </c>
      <c r="AQ68" s="94" t="str">
        <f>IF(preDEL!$AG68,IFERROR(0/0,""),preDEL!AQ68)</f>
        <v/>
      </c>
      <c r="AR68" s="94" t="str">
        <f>IF(preDEL!$AG68,IFERROR(0/0,""),preDEL!AR68)</f>
        <v/>
      </c>
      <c r="AS68" s="98"/>
      <c r="BE68" s="254"/>
      <c r="BF68" s="255"/>
      <c r="BG68" s="254"/>
      <c r="BH68" s="255"/>
      <c r="BI68" s="254"/>
      <c r="BJ68" s="254"/>
      <c r="BK68" s="254"/>
      <c r="BL68" s="254"/>
      <c r="BN68" s="7"/>
      <c r="BO68" s="7"/>
      <c r="BP68" s="7"/>
      <c r="BQ68" s="7"/>
      <c r="BR68" s="7"/>
      <c r="BS68" s="7"/>
      <c r="BT68" s="7"/>
    </row>
    <row r="69">
      <c r="A69" s="249" t="str">
        <f>IF(preDEL!$AG69,IFERROR(0/0,""),preDEL!A69)</f>
        <v/>
      </c>
      <c r="B69" s="250" t="str">
        <f>IF(preDEL!$AG69,IFERROR(0/0,""),preDEL!B69)</f>
        <v/>
      </c>
      <c r="C69" s="251" t="str">
        <f>IF(preDEL!$AG69,IFERROR(0/0,""),preDEL!C69)</f>
        <v/>
      </c>
      <c r="D69" s="249" t="str">
        <f>IF(preDEL!$AG69,IFERROR(0/0,""),preDEL!D69)</f>
        <v/>
      </c>
      <c r="E69" s="249" t="str">
        <f>IF(preDEL!$AG69,IFERROR(0/0,""),preDEL!E69)</f>
        <v/>
      </c>
      <c r="F69" s="94" t="str">
        <f>IF(preDEL!$AG69,IFERROR(0/0,""),preDEL!F69)</f>
        <v/>
      </c>
      <c r="G69" s="94" t="str">
        <f>IF(preDEL!$AG69,IFERROR(0/0,""),preDEL!G69)</f>
        <v/>
      </c>
      <c r="H69" s="94" t="str">
        <f>IF(preDEL!$AG69,IFERROR(0/0,""),preDEL!H69)</f>
        <v/>
      </c>
      <c r="I69" s="249" t="str">
        <f>IF(preDEL!$AG69,IFERROR(0/0,""),preDEL!I69)</f>
        <v/>
      </c>
      <c r="J69" s="249" t="str">
        <f>IF(preDEL!$AG69,IFERROR(0/0,""),preDEL!J69)</f>
        <v/>
      </c>
      <c r="K69" s="249" t="str">
        <f>IF(preDEL!$AG69,IFERROR(0/0,""),preDEL!K69)</f>
        <v/>
      </c>
      <c r="L69" s="250" t="str">
        <f>IF(preDEL!$AG69,IFERROR(0/0,""),preDEL!L69)</f>
        <v/>
      </c>
      <c r="M69" s="251" t="str">
        <f>IF(preDEL!$AG69,IFERROR(0/0,""),preDEL!M69)</f>
        <v/>
      </c>
      <c r="N69" s="94" t="str">
        <f>IF(preDEL!$AG69,IFERROR(0/0,""),preDEL!N69)</f>
        <v/>
      </c>
      <c r="O69" s="94" t="str">
        <f>IF(preDEL!$AG69,IFERROR(0/0,""),preDEL!O69)</f>
        <v/>
      </c>
      <c r="P69" s="93" t="str">
        <f>IF(preDEL!$AG69,IFERROR(0/0,""),preDEL!P69)</f>
        <v/>
      </c>
      <c r="Q69" s="93" t="str">
        <f>IF(preDEL!$AG69,IFERROR(0/0,""),preDEL!Q69)</f>
        <v/>
      </c>
      <c r="R69" s="99" t="str">
        <f>IF(preDEL!$AG69,IFERROR(0/0,""),preDEL!R69)</f>
        <v/>
      </c>
      <c r="S69" s="99" t="str">
        <f>IF(preDEL!$AG69,IFERROR(0/0,""),preDEL!S69)</f>
        <v/>
      </c>
      <c r="T69" s="93" t="str">
        <f>IF(preDEL!$AG69,IFERROR(0/0,""),preDEL!T69)</f>
        <v/>
      </c>
      <c r="U69" s="94" t="str">
        <f>IF(preDEL!$AG69,IFERROR(0/0,""),preDEL!U69)</f>
        <v/>
      </c>
      <c r="V69" s="249" t="str">
        <f>IF(preDEL!$AG69,IFERROR(0/0,""),preDEL!V69)</f>
        <v/>
      </c>
      <c r="W69" s="94" t="str">
        <f>IF(preDEL!$AG69,IFERROR(0/0,""),preDEL!W69)</f>
        <v/>
      </c>
      <c r="X69" s="99" t="str">
        <f>IF(preDEL!$AG69,IFERROR(0/0,""),preDEL!X69)</f>
        <v/>
      </c>
      <c r="Y69" s="93" t="str">
        <f>IF(preDEL!$AG69,IFERROR(0/0,""),preDEL!Y69)</f>
        <v/>
      </c>
      <c r="Z69" s="249" t="str">
        <f>IF(preDEL!$AG69,IFERROR(0/0,""),preDEL!Z69)</f>
        <v/>
      </c>
      <c r="AA69" s="93" t="str">
        <f>IF(preDEL!$AG69,IFERROR(0/0,""),preDEL!AA69)</f>
        <v/>
      </c>
      <c r="AB69" s="93" t="str">
        <f>IF(preDEL!$AG69,IFERROR(0/0,""),preDEL!AB69)</f>
        <v/>
      </c>
      <c r="AC69" s="252" t="str">
        <f>IF(preDEL!$AG69,IFERROR(0/0,""),preDEL!AC69)</f>
        <v/>
      </c>
      <c r="AD69" s="99" t="str">
        <f>IF(preDEL!$AG69,IFERROR(0/0,""),preDEL!AD69)</f>
        <v/>
      </c>
      <c r="AE69" s="253" t="str">
        <f>IF(preDEL!$AG69,IFERROR(0/0,""),preDEL!AE69)</f>
        <v/>
      </c>
      <c r="AF69" s="93" t="str">
        <f>IF(preDEL!$AG69,IFERROR(0/0,""),preDEL!AF69)</f>
        <v/>
      </c>
      <c r="AG69" s="93" t="str">
        <f>IF(preDEL!$AG69,IFERROR(0/0,""),preDEL!AG69)</f>
        <v/>
      </c>
      <c r="AH69" s="99" t="str">
        <f>IF(preDEL!$AG69,IFERROR(0/0,""),preDEL!AH69)</f>
        <v/>
      </c>
      <c r="AI69" s="249" t="str">
        <f>IF(preDEL!$AG69,IFERROR(0/0,""),preDEL!AI69)</f>
        <v/>
      </c>
      <c r="AJ69" s="94" t="str">
        <f>IF(preDEL!$AG69,IFERROR(0/0,""),preDEL!AJ69)</f>
        <v/>
      </c>
      <c r="AK69" s="249" t="str">
        <f>IF(preDEL!$AG69,IFERROR(0/0,""),preDEL!AK69)</f>
        <v/>
      </c>
      <c r="AL69" s="94" t="str">
        <f>IF(preDEL!$AG69,IFERROR(0/0,""),preDEL!AL69)</f>
        <v/>
      </c>
      <c r="AM69" s="94" t="str">
        <f>IF(preDEL!$AG69,IFERROR(0/0,""),preDEL!AM69)</f>
        <v/>
      </c>
      <c r="AN69" s="94" t="str">
        <f>IF(preDEL!$AG69,IFERROR(0/0,""),preDEL!AN69)</f>
        <v/>
      </c>
      <c r="AO69" s="94" t="str">
        <f>IF(preDEL!$AG69,IFERROR(0/0,""),preDEL!AO69)</f>
        <v/>
      </c>
      <c r="AP69" s="94" t="str">
        <f>IF(preDEL!$AG69,IFERROR(0/0,""),preDEL!AP69)</f>
        <v/>
      </c>
      <c r="AQ69" s="94" t="str">
        <f>IF(preDEL!$AG69,IFERROR(0/0,""),preDEL!AQ69)</f>
        <v/>
      </c>
      <c r="AR69" s="94" t="str">
        <f>IF(preDEL!$AG69,IFERROR(0/0,""),preDEL!AR69)</f>
        <v/>
      </c>
      <c r="AS69" s="98"/>
      <c r="BE69" s="254"/>
      <c r="BF69" s="255"/>
      <c r="BG69" s="254"/>
      <c r="BH69" s="255"/>
      <c r="BI69" s="254"/>
      <c r="BJ69" s="254"/>
      <c r="BK69" s="254"/>
      <c r="BL69" s="254"/>
      <c r="BN69" s="7"/>
      <c r="BO69" s="7"/>
      <c r="BP69" s="7"/>
      <c r="BQ69" s="7"/>
      <c r="BR69" s="7"/>
      <c r="BS69" s="7"/>
      <c r="BT69" s="7"/>
    </row>
    <row r="70">
      <c r="A70" s="249" t="str">
        <f>IF(preDEL!$AG70,IFERROR(0/0,""),preDEL!A70)</f>
        <v>AJ9703</v>
      </c>
      <c r="B70" s="250">
        <f>IF(preDEL!$AG70,IFERROR(0/0,""),preDEL!B70)</f>
        <v>44683</v>
      </c>
      <c r="C70" s="251">
        <f>IF(preDEL!$AG70,IFERROR(0/0,""),preDEL!C70)</f>
        <v>0.2363541667</v>
      </c>
      <c r="D70" s="249" t="str">
        <f>IF(preDEL!$AG70,IFERROR(0/0,""),preDEL!D70)</f>
        <v/>
      </c>
      <c r="E70" s="249" t="str">
        <f>IF(preDEL!$AG70,IFERROR(0/0,""),preDEL!E70)</f>
        <v/>
      </c>
      <c r="F70" s="94" t="str">
        <f>IF(preDEL!$AG70,IFERROR(0/0,""),preDEL!F70)</f>
        <v/>
      </c>
      <c r="G70" s="94" t="str">
        <f>IF(preDEL!$AG70,IFERROR(0/0,""),preDEL!G70)</f>
        <v/>
      </c>
      <c r="H70" s="94" t="str">
        <f>IF(preDEL!$AG70,IFERROR(0/0,""),preDEL!H70)</f>
        <v/>
      </c>
      <c r="I70" s="249" t="str">
        <f>IF(preDEL!$AG70,IFERROR(0/0,""),preDEL!I70)</f>
        <v/>
      </c>
      <c r="J70" s="249" t="str">
        <f>IF(preDEL!$AG70,IFERROR(0/0,""),preDEL!J70)</f>
        <v/>
      </c>
      <c r="K70" s="249" t="str">
        <f>IF(preDEL!$AG70,IFERROR(0/0,""),preDEL!K70)</f>
        <v>Negative</v>
      </c>
      <c r="L70" s="250">
        <f>IF(preDEL!$AG70,IFERROR(0/0,""),preDEL!L70)</f>
        <v>44683</v>
      </c>
      <c r="M70" s="251">
        <f>IF(preDEL!$AG70,IFERROR(0/0,""),preDEL!M70)</f>
        <v>0.3578240741</v>
      </c>
      <c r="N70" s="94" t="str">
        <f>IF(preDEL!$AG70,IFERROR(0/0,""),preDEL!N70)</f>
        <v/>
      </c>
      <c r="O70" s="94" t="str">
        <f>IF(preDEL!$AG70,IFERROR(0/0,""),preDEL!O70)</f>
        <v/>
      </c>
      <c r="P70" s="93" t="b">
        <f>IF(preDEL!$AG70,IFERROR(0/0,""),preDEL!P70)</f>
        <v>0</v>
      </c>
      <c r="Q70" s="93" t="str">
        <f>IF(preDEL!$AG70,IFERROR(0/0,""),preDEL!Q70)</f>
        <v>Result</v>
      </c>
      <c r="R70" s="99" t="b">
        <f>IF(preDEL!$AG70,IFERROR(0/0,""),preDEL!R70)</f>
        <v>0</v>
      </c>
      <c r="S70" s="99">
        <f>IF(preDEL!$AG70,IFERROR(0/0,""),preDEL!S70)</f>
        <v>2</v>
      </c>
      <c r="T70" s="93">
        <f>IF(preDEL!$AG70,IFERROR(0/0,""),preDEL!T70)</f>
        <v>0.1</v>
      </c>
      <c r="U70" s="94" t="str">
        <f>IF(preDEL!$AG70,IFERROR(0/0,""),preDEL!U70)</f>
        <v/>
      </c>
      <c r="V70" s="249" t="str">
        <f>IF(preDEL!$AG70,IFERROR(0/0,""),preDEL!V70)</f>
        <v/>
      </c>
      <c r="W70" s="94" t="str">
        <f>IF(preDEL!$AG70,IFERROR(0/0,""),preDEL!W70)</f>
        <v/>
      </c>
      <c r="X70" s="99" t="b">
        <f>IF(preDEL!$AG70,IFERROR(0/0,""),preDEL!X70)</f>
        <v>0</v>
      </c>
      <c r="Y70" s="93" t="str">
        <f>IF(preDEL!$AG70,IFERROR(0/0,""),preDEL!Y70)</f>
        <v/>
      </c>
      <c r="Z70" s="249" t="str">
        <f>IF(preDEL!$AG70,IFERROR(0/0,""),preDEL!Z70)</f>
        <v/>
      </c>
      <c r="AA70" s="93" t="b">
        <f>IF(preDEL!$AG70,IFERROR(0/0,""),preDEL!AA70)</f>
        <v>0</v>
      </c>
      <c r="AB70" s="93" t="str">
        <f>IF(preDEL!$AG70,IFERROR(0/0,""),preDEL!AB70)</f>
        <v/>
      </c>
      <c r="AC70" s="252">
        <f>IF(preDEL!$AG70,IFERROR(0/0,""),preDEL!AC70)</f>
        <v>182</v>
      </c>
      <c r="AD70" s="99" t="str">
        <f>IF(preDEL!$AG70,IFERROR(0/0,""),preDEL!AD70)</f>
        <v/>
      </c>
      <c r="AE70" s="253">
        <f>IF(preDEL!$AG70,IFERROR(0/0,""),preDEL!AE70)</f>
        <v>174.9166667</v>
      </c>
      <c r="AF70" s="93" t="b">
        <f>IF(preDEL!$AG70,IFERROR(0/0,""),preDEL!AF70)</f>
        <v>0</v>
      </c>
      <c r="AG70" s="93" t="b">
        <f>IF(preDEL!$AG70,IFERROR(0/0,""),preDEL!AG70)</f>
        <v>0</v>
      </c>
      <c r="AH70" s="99" t="str">
        <f>IF(preDEL!$AG70,IFERROR(0/0,""),preDEL!AH70)</f>
        <v/>
      </c>
      <c r="AI70" s="249" t="str">
        <f>IF(preDEL!$AG70,IFERROR(0/0,""),preDEL!AI70)</f>
        <v/>
      </c>
      <c r="AJ70" s="94" t="str">
        <f>IF(preDEL!$AG70,IFERROR(0/0,""),preDEL!AJ70)</f>
        <v/>
      </c>
      <c r="AK70" s="249" t="str">
        <f>IF(preDEL!$AG70,IFERROR(0/0,""),preDEL!AK70)</f>
        <v>Negative</v>
      </c>
      <c r="AL70" s="94" t="str">
        <f>IF(preDEL!$AG70,IFERROR(0/0,""),preDEL!AL70)</f>
        <v/>
      </c>
      <c r="AM70" s="94" t="str">
        <f>IF(preDEL!$AG70,IFERROR(0/0,""),preDEL!AM70)</f>
        <v>SpNDHM241897</v>
      </c>
      <c r="AN70" s="94" t="str">
        <f>IF(preDEL!$AG70,IFERROR(0/0,""),preDEL!AN70)</f>
        <v>NDHM665021</v>
      </c>
      <c r="AO70" s="94" t="str">
        <f>IF(preDEL!$AG70,IFERROR(0/0,""),preDEL!AO70)</f>
        <v/>
      </c>
      <c r="AP70" s="94" t="str">
        <f>IF(preDEL!$AG70,IFERROR(0/0,""),preDEL!AP70)</f>
        <v/>
      </c>
      <c r="AQ70" s="94" t="str">
        <f>IF(preDEL!$AG70,IFERROR(0/0,""),preDEL!AQ70)</f>
        <v/>
      </c>
      <c r="AR70" s="94" t="str">
        <f>IF(preDEL!$AG70,IFERROR(0/0,""),preDEL!AR70)</f>
        <v/>
      </c>
      <c r="AS70" s="98"/>
      <c r="BE70" s="254"/>
      <c r="BF70" s="255"/>
      <c r="BG70" s="254"/>
      <c r="BH70" s="255"/>
      <c r="BI70" s="254"/>
      <c r="BJ70" s="254"/>
      <c r="BK70" s="254"/>
      <c r="BL70" s="254"/>
      <c r="BN70" s="7"/>
      <c r="BO70" s="7"/>
      <c r="BP70" s="7"/>
      <c r="BQ70" s="7"/>
      <c r="BR70" s="7"/>
      <c r="BS70" s="7"/>
      <c r="BT70" s="7"/>
    </row>
    <row r="71">
      <c r="A71" s="249" t="str">
        <f>IF(preDEL!$AG71,IFERROR(0/0,""),preDEL!A71)</f>
        <v/>
      </c>
      <c r="B71" s="250" t="str">
        <f>IF(preDEL!$AG71,IFERROR(0/0,""),preDEL!B71)</f>
        <v/>
      </c>
      <c r="C71" s="251" t="str">
        <f>IF(preDEL!$AG71,IFERROR(0/0,""),preDEL!C71)</f>
        <v/>
      </c>
      <c r="D71" s="249" t="str">
        <f>IF(preDEL!$AG71,IFERROR(0/0,""),preDEL!D71)</f>
        <v/>
      </c>
      <c r="E71" s="249" t="str">
        <f>IF(preDEL!$AG71,IFERROR(0/0,""),preDEL!E71)</f>
        <v/>
      </c>
      <c r="F71" s="94" t="str">
        <f>IF(preDEL!$AG71,IFERROR(0/0,""),preDEL!F71)</f>
        <v/>
      </c>
      <c r="G71" s="94" t="str">
        <f>IF(preDEL!$AG71,IFERROR(0/0,""),preDEL!G71)</f>
        <v/>
      </c>
      <c r="H71" s="94" t="str">
        <f>IF(preDEL!$AG71,IFERROR(0/0,""),preDEL!H71)</f>
        <v/>
      </c>
      <c r="I71" s="249" t="str">
        <f>IF(preDEL!$AG71,IFERROR(0/0,""),preDEL!I71)</f>
        <v/>
      </c>
      <c r="J71" s="249" t="str">
        <f>IF(preDEL!$AG71,IFERROR(0/0,""),preDEL!J71)</f>
        <v/>
      </c>
      <c r="K71" s="249" t="str">
        <f>IF(preDEL!$AG71,IFERROR(0/0,""),preDEL!K71)</f>
        <v/>
      </c>
      <c r="L71" s="250" t="str">
        <f>IF(preDEL!$AG71,IFERROR(0/0,""),preDEL!L71)</f>
        <v/>
      </c>
      <c r="M71" s="251" t="str">
        <f>IF(preDEL!$AG71,IFERROR(0/0,""),preDEL!M71)</f>
        <v/>
      </c>
      <c r="N71" s="94" t="str">
        <f>IF(preDEL!$AG71,IFERROR(0/0,""),preDEL!N71)</f>
        <v/>
      </c>
      <c r="O71" s="94" t="str">
        <f>IF(preDEL!$AG71,IFERROR(0/0,""),preDEL!O71)</f>
        <v/>
      </c>
      <c r="P71" s="93" t="str">
        <f>IF(preDEL!$AG71,IFERROR(0/0,""),preDEL!P71)</f>
        <v/>
      </c>
      <c r="Q71" s="93" t="str">
        <f>IF(preDEL!$AG71,IFERROR(0/0,""),preDEL!Q71)</f>
        <v/>
      </c>
      <c r="R71" s="99" t="str">
        <f>IF(preDEL!$AG71,IFERROR(0/0,""),preDEL!R71)</f>
        <v/>
      </c>
      <c r="S71" s="99" t="str">
        <f>IF(preDEL!$AG71,IFERROR(0/0,""),preDEL!S71)</f>
        <v/>
      </c>
      <c r="T71" s="93" t="str">
        <f>IF(preDEL!$AG71,IFERROR(0/0,""),preDEL!T71)</f>
        <v/>
      </c>
      <c r="U71" s="94" t="str">
        <f>IF(preDEL!$AG71,IFERROR(0/0,""),preDEL!U71)</f>
        <v/>
      </c>
      <c r="V71" s="249" t="str">
        <f>IF(preDEL!$AG71,IFERROR(0/0,""),preDEL!V71)</f>
        <v/>
      </c>
      <c r="W71" s="94" t="str">
        <f>IF(preDEL!$AG71,IFERROR(0/0,""),preDEL!W71)</f>
        <v/>
      </c>
      <c r="X71" s="99" t="str">
        <f>IF(preDEL!$AG71,IFERROR(0/0,""),preDEL!X71)</f>
        <v/>
      </c>
      <c r="Y71" s="93" t="str">
        <f>IF(preDEL!$AG71,IFERROR(0/0,""),preDEL!Y71)</f>
        <v/>
      </c>
      <c r="Z71" s="249" t="str">
        <f>IF(preDEL!$AG71,IFERROR(0/0,""),preDEL!Z71)</f>
        <v/>
      </c>
      <c r="AA71" s="93" t="str">
        <f>IF(preDEL!$AG71,IFERROR(0/0,""),preDEL!AA71)</f>
        <v/>
      </c>
      <c r="AB71" s="93" t="str">
        <f>IF(preDEL!$AG71,IFERROR(0/0,""),preDEL!AB71)</f>
        <v/>
      </c>
      <c r="AC71" s="252" t="str">
        <f>IF(preDEL!$AG71,IFERROR(0/0,""),preDEL!AC71)</f>
        <v/>
      </c>
      <c r="AD71" s="99" t="str">
        <f>IF(preDEL!$AG71,IFERROR(0/0,""),preDEL!AD71)</f>
        <v/>
      </c>
      <c r="AE71" s="253" t="str">
        <f>IF(preDEL!$AG71,IFERROR(0/0,""),preDEL!AE71)</f>
        <v/>
      </c>
      <c r="AF71" s="93" t="str">
        <f>IF(preDEL!$AG71,IFERROR(0/0,""),preDEL!AF71)</f>
        <v/>
      </c>
      <c r="AG71" s="93" t="str">
        <f>IF(preDEL!$AG71,IFERROR(0/0,""),preDEL!AG71)</f>
        <v/>
      </c>
      <c r="AH71" s="99" t="str">
        <f>IF(preDEL!$AG71,IFERROR(0/0,""),preDEL!AH71)</f>
        <v/>
      </c>
      <c r="AI71" s="249" t="str">
        <f>IF(preDEL!$AG71,IFERROR(0/0,""),preDEL!AI71)</f>
        <v/>
      </c>
      <c r="AJ71" s="94" t="str">
        <f>IF(preDEL!$AG71,IFERROR(0/0,""),preDEL!AJ71)</f>
        <v/>
      </c>
      <c r="AK71" s="249" t="str">
        <f>IF(preDEL!$AG71,IFERROR(0/0,""),preDEL!AK71)</f>
        <v/>
      </c>
      <c r="AL71" s="94" t="str">
        <f>IF(preDEL!$AG71,IFERROR(0/0,""),preDEL!AL71)</f>
        <v/>
      </c>
      <c r="AM71" s="94" t="str">
        <f>IF(preDEL!$AG71,IFERROR(0/0,""),preDEL!AM71)</f>
        <v/>
      </c>
      <c r="AN71" s="94" t="str">
        <f>IF(preDEL!$AG71,IFERROR(0/0,""),preDEL!AN71)</f>
        <v/>
      </c>
      <c r="AO71" s="94" t="str">
        <f>IF(preDEL!$AG71,IFERROR(0/0,""),preDEL!AO71)</f>
        <v/>
      </c>
      <c r="AP71" s="94" t="str">
        <f>IF(preDEL!$AG71,IFERROR(0/0,""),preDEL!AP71)</f>
        <v/>
      </c>
      <c r="AQ71" s="94" t="str">
        <f>IF(preDEL!$AG71,IFERROR(0/0,""),preDEL!AQ71)</f>
        <v/>
      </c>
      <c r="AR71" s="94" t="str">
        <f>IF(preDEL!$AG71,IFERROR(0/0,""),preDEL!AR71)</f>
        <v/>
      </c>
      <c r="AS71" s="98"/>
      <c r="BE71" s="254"/>
      <c r="BF71" s="255"/>
      <c r="BG71" s="254"/>
      <c r="BH71" s="255"/>
      <c r="BI71" s="254"/>
      <c r="BJ71" s="254"/>
      <c r="BK71" s="254"/>
      <c r="BL71" s="254"/>
      <c r="BN71" s="7"/>
      <c r="BO71" s="7"/>
      <c r="BP71" s="7"/>
      <c r="BQ71" s="7"/>
      <c r="BR71" s="7"/>
      <c r="BS71" s="7"/>
      <c r="BT71" s="7"/>
    </row>
    <row r="72">
      <c r="A72" s="249" t="str">
        <f>IF(preDEL!$AG72,IFERROR(0/0,""),preDEL!A72)</f>
        <v>AG213</v>
      </c>
      <c r="B72" s="250">
        <f>IF(preDEL!$AG72,IFERROR(0/0,""),preDEL!B72)</f>
        <v>44683</v>
      </c>
      <c r="C72" s="251">
        <f>IF(preDEL!$AG72,IFERROR(0/0,""),preDEL!C72)</f>
        <v>0.2382638889</v>
      </c>
      <c r="D72" s="249" t="str">
        <f>IF(preDEL!$AG72,IFERROR(0/0,""),preDEL!D72)</f>
        <v/>
      </c>
      <c r="E72" s="249" t="str">
        <f>IF(preDEL!$AG72,IFERROR(0/0,""),preDEL!E72)</f>
        <v/>
      </c>
      <c r="F72" s="94" t="str">
        <f>IF(preDEL!$AG72,IFERROR(0/0,""),preDEL!F72)</f>
        <v/>
      </c>
      <c r="G72" s="94" t="str">
        <f>IF(preDEL!$AG72,IFERROR(0/0,""),preDEL!G72)</f>
        <v/>
      </c>
      <c r="H72" s="94" t="str">
        <f>IF(preDEL!$AG72,IFERROR(0/0,""),preDEL!H72)</f>
        <v/>
      </c>
      <c r="I72" s="249" t="str">
        <f>IF(preDEL!$AG72,IFERROR(0/0,""),preDEL!I72)</f>
        <v/>
      </c>
      <c r="J72" s="249" t="str">
        <f>IF(preDEL!$AG72,IFERROR(0/0,""),preDEL!J72)</f>
        <v/>
      </c>
      <c r="K72" s="249" t="str">
        <f>IF(preDEL!$AG72,IFERROR(0/0,""),preDEL!K72)</f>
        <v>Negative</v>
      </c>
      <c r="L72" s="250">
        <f>IF(preDEL!$AG72,IFERROR(0/0,""),preDEL!L72)</f>
        <v>44683</v>
      </c>
      <c r="M72" s="251">
        <f>IF(preDEL!$AG72,IFERROR(0/0,""),preDEL!M72)</f>
        <v>0.3578240741</v>
      </c>
      <c r="N72" s="94" t="str">
        <f>IF(preDEL!$AG72,IFERROR(0/0,""),preDEL!N72)</f>
        <v/>
      </c>
      <c r="O72" s="94" t="str">
        <f>IF(preDEL!$AG72,IFERROR(0/0,""),preDEL!O72)</f>
        <v/>
      </c>
      <c r="P72" s="93" t="b">
        <f>IF(preDEL!$AG72,IFERROR(0/0,""),preDEL!P72)</f>
        <v>0</v>
      </c>
      <c r="Q72" s="93" t="str">
        <f>IF(preDEL!$AG72,IFERROR(0/0,""),preDEL!Q72)</f>
        <v>Result</v>
      </c>
      <c r="R72" s="99" t="b">
        <f>IF(preDEL!$AG72,IFERROR(0/0,""),preDEL!R72)</f>
        <v>0</v>
      </c>
      <c r="S72" s="99">
        <f>IF(preDEL!$AG72,IFERROR(0/0,""),preDEL!S72)</f>
        <v>2</v>
      </c>
      <c r="T72" s="93" t="str">
        <f>IF(preDEL!$AG72,IFERROR(0/0,""),preDEL!T72)</f>
        <v/>
      </c>
      <c r="U72" s="94" t="str">
        <f>IF(preDEL!$AG72,IFERROR(0/0,""),preDEL!U72)</f>
        <v/>
      </c>
      <c r="V72" s="249" t="str">
        <f>IF(preDEL!$AG72,IFERROR(0/0,""),preDEL!V72)</f>
        <v/>
      </c>
      <c r="W72" s="94" t="str">
        <f>IF(preDEL!$AG72,IFERROR(0/0,""),preDEL!W72)</f>
        <v/>
      </c>
      <c r="X72" s="99" t="b">
        <f>IF(preDEL!$AG72,IFERROR(0/0,""),preDEL!X72)</f>
        <v>0</v>
      </c>
      <c r="Y72" s="93" t="str">
        <f>IF(preDEL!$AG72,IFERROR(0/0,""),preDEL!Y72)</f>
        <v/>
      </c>
      <c r="Z72" s="249" t="str">
        <f>IF(preDEL!$AG72,IFERROR(0/0,""),preDEL!Z72)</f>
        <v/>
      </c>
      <c r="AA72" s="93" t="b">
        <f>IF(preDEL!$AG72,IFERROR(0/0,""),preDEL!AA72)</f>
        <v>0</v>
      </c>
      <c r="AB72" s="93" t="str">
        <f>IF(preDEL!$AG72,IFERROR(0/0,""),preDEL!AB72)</f>
        <v/>
      </c>
      <c r="AC72" s="252">
        <f>IF(preDEL!$AG72,IFERROR(0/0,""),preDEL!AC72)</f>
        <v>184</v>
      </c>
      <c r="AD72" s="99" t="str">
        <f>IF(preDEL!$AG72,IFERROR(0/0,""),preDEL!AD72)</f>
        <v/>
      </c>
      <c r="AE72" s="253">
        <f>IF(preDEL!$AG72,IFERROR(0/0,""),preDEL!AE72)</f>
        <v>172.1666667</v>
      </c>
      <c r="AF72" s="93" t="b">
        <f>IF(preDEL!$AG72,IFERROR(0/0,""),preDEL!AF72)</f>
        <v>0</v>
      </c>
      <c r="AG72" s="93" t="b">
        <f>IF(preDEL!$AG72,IFERROR(0/0,""),preDEL!AG72)</f>
        <v>0</v>
      </c>
      <c r="AH72" s="99" t="str">
        <f>IF(preDEL!$AG72,IFERROR(0/0,""),preDEL!AH72)</f>
        <v/>
      </c>
      <c r="AI72" s="249" t="str">
        <f>IF(preDEL!$AG72,IFERROR(0/0,""),preDEL!AI72)</f>
        <v/>
      </c>
      <c r="AJ72" s="94" t="str">
        <f>IF(preDEL!$AG72,IFERROR(0/0,""),preDEL!AJ72)</f>
        <v/>
      </c>
      <c r="AK72" s="249" t="str">
        <f>IF(preDEL!$AG72,IFERROR(0/0,""),preDEL!AK72)</f>
        <v>Negative</v>
      </c>
      <c r="AL72" s="94" t="str">
        <f>IF(preDEL!$AG72,IFERROR(0/0,""),preDEL!AL72)</f>
        <v/>
      </c>
      <c r="AM72" s="94" t="str">
        <f>IF(preDEL!$AG72,IFERROR(0/0,""),preDEL!AM72)</f>
        <v>SpNDHM241897</v>
      </c>
      <c r="AN72" s="94" t="str">
        <f>IF(preDEL!$AG72,IFERROR(0/0,""),preDEL!AN72)</f>
        <v>NDHM872246</v>
      </c>
      <c r="AO72" s="94" t="str">
        <f>IF(preDEL!$AG72,IFERROR(0/0,""),preDEL!AO72)</f>
        <v/>
      </c>
      <c r="AP72" s="94" t="str">
        <f>IF(preDEL!$AG72,IFERROR(0/0,""),preDEL!AP72)</f>
        <v/>
      </c>
      <c r="AQ72" s="94" t="str">
        <f>IF(preDEL!$AG72,IFERROR(0/0,""),preDEL!AQ72)</f>
        <v/>
      </c>
      <c r="AR72" s="94" t="str">
        <f>IF(preDEL!$AG72,IFERROR(0/0,""),preDEL!AR72)</f>
        <v/>
      </c>
      <c r="AS72" s="98"/>
      <c r="BE72" s="254"/>
      <c r="BF72" s="255"/>
      <c r="BG72" s="254"/>
      <c r="BH72" s="255"/>
      <c r="BI72" s="254"/>
      <c r="BJ72" s="254"/>
      <c r="BK72" s="254"/>
      <c r="BL72" s="254"/>
      <c r="BN72" s="7"/>
      <c r="BO72" s="7"/>
      <c r="BP72" s="7"/>
      <c r="BQ72" s="7"/>
      <c r="BR72" s="7"/>
      <c r="BS72" s="7"/>
      <c r="BT72" s="7"/>
    </row>
    <row r="73">
      <c r="A73" s="249" t="str">
        <f>IF(preDEL!$AG73,IFERROR(0/0,""),preDEL!A73)</f>
        <v>AG252</v>
      </c>
      <c r="B73" s="250">
        <f>IF(preDEL!$AG73,IFERROR(0/0,""),preDEL!B73)</f>
        <v>44683</v>
      </c>
      <c r="C73" s="251">
        <f>IF(preDEL!$AG73,IFERROR(0/0,""),preDEL!C73)</f>
        <v>0.2399074074</v>
      </c>
      <c r="D73" s="249" t="str">
        <f>IF(preDEL!$AG73,IFERROR(0/0,""),preDEL!D73)</f>
        <v/>
      </c>
      <c r="E73" s="249" t="str">
        <f>IF(preDEL!$AG73,IFERROR(0/0,""),preDEL!E73)</f>
        <v/>
      </c>
      <c r="F73" s="94" t="str">
        <f>IF(preDEL!$AG73,IFERROR(0/0,""),preDEL!F73)</f>
        <v/>
      </c>
      <c r="G73" s="94" t="str">
        <f>IF(preDEL!$AG73,IFERROR(0/0,""),preDEL!G73)</f>
        <v/>
      </c>
      <c r="H73" s="94" t="str">
        <f>IF(preDEL!$AG73,IFERROR(0/0,""),preDEL!H73)</f>
        <v/>
      </c>
      <c r="I73" s="249" t="str">
        <f>IF(preDEL!$AG73,IFERROR(0/0,""),preDEL!I73)</f>
        <v/>
      </c>
      <c r="J73" s="249" t="str">
        <f>IF(preDEL!$AG73,IFERROR(0/0,""),preDEL!J73)</f>
        <v/>
      </c>
      <c r="K73" s="249" t="str">
        <f>IF(preDEL!$AG73,IFERROR(0/0,""),preDEL!K73)</f>
        <v>Negative</v>
      </c>
      <c r="L73" s="250">
        <f>IF(preDEL!$AG73,IFERROR(0/0,""),preDEL!L73)</f>
        <v>44683</v>
      </c>
      <c r="M73" s="251">
        <f>IF(preDEL!$AG73,IFERROR(0/0,""),preDEL!M73)</f>
        <v>0.3578240741</v>
      </c>
      <c r="N73" s="94" t="str">
        <f>IF(preDEL!$AG73,IFERROR(0/0,""),preDEL!N73)</f>
        <v/>
      </c>
      <c r="O73" s="94" t="str">
        <f>IF(preDEL!$AG73,IFERROR(0/0,""),preDEL!O73)</f>
        <v/>
      </c>
      <c r="P73" s="93" t="b">
        <f>IF(preDEL!$AG73,IFERROR(0/0,""),preDEL!P73)</f>
        <v>0</v>
      </c>
      <c r="Q73" s="93" t="str">
        <f>IF(preDEL!$AG73,IFERROR(0/0,""),preDEL!Q73)</f>
        <v>Result</v>
      </c>
      <c r="R73" s="99" t="b">
        <f>IF(preDEL!$AG73,IFERROR(0/0,""),preDEL!R73)</f>
        <v>1</v>
      </c>
      <c r="S73" s="99">
        <f>IF(preDEL!$AG73,IFERROR(0/0,""),preDEL!S73)</f>
        <v>2</v>
      </c>
      <c r="T73" s="93" t="str">
        <f>IF(preDEL!$AG73,IFERROR(0/0,""),preDEL!T73)</f>
        <v/>
      </c>
      <c r="U73" s="94" t="str">
        <f>IF(preDEL!$AG73,IFERROR(0/0,""),preDEL!U73)</f>
        <v/>
      </c>
      <c r="V73" s="249" t="str">
        <f>IF(preDEL!$AG73,IFERROR(0/0,""),preDEL!V73)</f>
        <v/>
      </c>
      <c r="W73" s="94" t="str">
        <f>IF(preDEL!$AG73,IFERROR(0/0,""),preDEL!W73)</f>
        <v/>
      </c>
      <c r="X73" s="99" t="b">
        <f>IF(preDEL!$AG73,IFERROR(0/0,""),preDEL!X73)</f>
        <v>0</v>
      </c>
      <c r="Y73" s="93" t="str">
        <f>IF(preDEL!$AG73,IFERROR(0/0,""),preDEL!Y73)</f>
        <v/>
      </c>
      <c r="Z73" s="249" t="str">
        <f>IF(preDEL!$AG73,IFERROR(0/0,""),preDEL!Z73)</f>
        <v/>
      </c>
      <c r="AA73" s="93" t="b">
        <f>IF(preDEL!$AG73,IFERROR(0/0,""),preDEL!AA73)</f>
        <v>0</v>
      </c>
      <c r="AB73" s="93" t="b">
        <f>IF(preDEL!$AG73,IFERROR(0/0,""),preDEL!AB73)</f>
        <v>0</v>
      </c>
      <c r="AC73" s="252">
        <f>IF(preDEL!$AG73,IFERROR(0/0,""),preDEL!AC73)</f>
        <v>186</v>
      </c>
      <c r="AD73" s="99" t="b">
        <f>IF(preDEL!$AG73,IFERROR(0/0,""),preDEL!AD73)</f>
        <v>0</v>
      </c>
      <c r="AE73" s="253">
        <f>IF(preDEL!$AG73,IFERROR(0/0,""),preDEL!AE73)</f>
        <v>169.8</v>
      </c>
      <c r="AF73" s="93" t="b">
        <f>IF(preDEL!$AG73,IFERROR(0/0,""),preDEL!AF73)</f>
        <v>0</v>
      </c>
      <c r="AG73" s="93" t="b">
        <f>IF(preDEL!$AG73,IFERROR(0/0,""),preDEL!AG73)</f>
        <v>0</v>
      </c>
      <c r="AH73" s="99" t="str">
        <f>IF(preDEL!$AG73,IFERROR(0/0,""),preDEL!AH73)</f>
        <v/>
      </c>
      <c r="AI73" s="249" t="str">
        <f>IF(preDEL!$AG73,IFERROR(0/0,""),preDEL!AI73)</f>
        <v/>
      </c>
      <c r="AJ73" s="94" t="str">
        <f>IF(preDEL!$AG73,IFERROR(0/0,""),preDEL!AJ73)</f>
        <v/>
      </c>
      <c r="AK73" s="249" t="str">
        <f>IF(preDEL!$AG73,IFERROR(0/0,""),preDEL!AK73)</f>
        <v>Negative</v>
      </c>
      <c r="AL73" s="94" t="str">
        <f>IF(preDEL!$AG73,IFERROR(0/0,""),preDEL!AL73)</f>
        <v>Even though in reality they collected individually, for all individual tubes, they've accidentally recorded all participants in each tube. So I'm removing previously added ad note names.</v>
      </c>
      <c r="AM73" s="94" t="str">
        <f>IF(preDEL!$AG73,IFERROR(0/0,""),preDEL!AM73)</f>
        <v>SpNDHM241897</v>
      </c>
      <c r="AN73" s="94" t="str">
        <f>IF(preDEL!$AG73,IFERROR(0/0,""),preDEL!AN73)</f>
        <v>NDHM133624</v>
      </c>
      <c r="AO73" s="94" t="str">
        <f>IF(preDEL!$AG73,IFERROR(0/0,""),preDEL!AO73)</f>
        <v/>
      </c>
      <c r="AP73" s="94" t="str">
        <f>IF(preDEL!$AG73,IFERROR(0/0,""),preDEL!AP73)</f>
        <v/>
      </c>
      <c r="AQ73" s="94" t="str">
        <f>IF(preDEL!$AG73,IFERROR(0/0,""),preDEL!AQ73)</f>
        <v/>
      </c>
      <c r="AR73" s="94" t="str">
        <f>IF(preDEL!$AG73,IFERROR(0/0,""),preDEL!AR73)</f>
        <v/>
      </c>
      <c r="AS73" s="98"/>
      <c r="BE73" s="254"/>
      <c r="BF73" s="255"/>
      <c r="BG73" s="254"/>
      <c r="BH73" s="255"/>
      <c r="BI73" s="254"/>
      <c r="BJ73" s="254"/>
      <c r="BK73" s="254"/>
      <c r="BL73" s="254"/>
      <c r="BN73" s="7"/>
      <c r="BO73" s="7"/>
      <c r="BP73" s="7"/>
      <c r="BQ73" s="7"/>
      <c r="BR73" s="7"/>
      <c r="BS73" s="7"/>
      <c r="BT73" s="7"/>
    </row>
    <row r="74">
      <c r="A74" s="249" t="str">
        <f>IF(preDEL!$AG74,IFERROR(0/0,""),preDEL!A74)</f>
        <v/>
      </c>
      <c r="B74" s="250" t="str">
        <f>IF(preDEL!$AG74,IFERROR(0/0,""),preDEL!B74)</f>
        <v/>
      </c>
      <c r="C74" s="251" t="str">
        <f>IF(preDEL!$AG74,IFERROR(0/0,""),preDEL!C74)</f>
        <v/>
      </c>
      <c r="D74" s="249" t="str">
        <f>IF(preDEL!$AG74,IFERROR(0/0,""),preDEL!D74)</f>
        <v/>
      </c>
      <c r="E74" s="249" t="str">
        <f>IF(preDEL!$AG74,IFERROR(0/0,""),preDEL!E74)</f>
        <v/>
      </c>
      <c r="F74" s="94" t="str">
        <f>IF(preDEL!$AG74,IFERROR(0/0,""),preDEL!F74)</f>
        <v/>
      </c>
      <c r="G74" s="94" t="str">
        <f>IF(preDEL!$AG74,IFERROR(0/0,""),preDEL!G74)</f>
        <v/>
      </c>
      <c r="H74" s="94" t="str">
        <f>IF(preDEL!$AG74,IFERROR(0/0,""),preDEL!H74)</f>
        <v/>
      </c>
      <c r="I74" s="249" t="str">
        <f>IF(preDEL!$AG74,IFERROR(0/0,""),preDEL!I74)</f>
        <v/>
      </c>
      <c r="J74" s="249" t="str">
        <f>IF(preDEL!$AG74,IFERROR(0/0,""),preDEL!J74)</f>
        <v/>
      </c>
      <c r="K74" s="249" t="str">
        <f>IF(preDEL!$AG74,IFERROR(0/0,""),preDEL!K74)</f>
        <v/>
      </c>
      <c r="L74" s="250" t="str">
        <f>IF(preDEL!$AG74,IFERROR(0/0,""),preDEL!L74)</f>
        <v/>
      </c>
      <c r="M74" s="251" t="str">
        <f>IF(preDEL!$AG74,IFERROR(0/0,""),preDEL!M74)</f>
        <v/>
      </c>
      <c r="N74" s="94" t="str">
        <f>IF(preDEL!$AG74,IFERROR(0/0,""),preDEL!N74)</f>
        <v/>
      </c>
      <c r="O74" s="94" t="str">
        <f>IF(preDEL!$AG74,IFERROR(0/0,""),preDEL!O74)</f>
        <v/>
      </c>
      <c r="P74" s="93" t="str">
        <f>IF(preDEL!$AG74,IFERROR(0/0,""),preDEL!P74)</f>
        <v/>
      </c>
      <c r="Q74" s="93" t="str">
        <f>IF(preDEL!$AG74,IFERROR(0/0,""),preDEL!Q74)</f>
        <v/>
      </c>
      <c r="R74" s="99" t="str">
        <f>IF(preDEL!$AG74,IFERROR(0/0,""),preDEL!R74)</f>
        <v/>
      </c>
      <c r="S74" s="99" t="str">
        <f>IF(preDEL!$AG74,IFERROR(0/0,""),preDEL!S74)</f>
        <v/>
      </c>
      <c r="T74" s="93" t="str">
        <f>IF(preDEL!$AG74,IFERROR(0/0,""),preDEL!T74)</f>
        <v/>
      </c>
      <c r="U74" s="94" t="str">
        <f>IF(preDEL!$AG74,IFERROR(0/0,""),preDEL!U74)</f>
        <v/>
      </c>
      <c r="V74" s="249" t="str">
        <f>IF(preDEL!$AG74,IFERROR(0/0,""),preDEL!V74)</f>
        <v/>
      </c>
      <c r="W74" s="94" t="str">
        <f>IF(preDEL!$AG74,IFERROR(0/0,""),preDEL!W74)</f>
        <v/>
      </c>
      <c r="X74" s="99" t="str">
        <f>IF(preDEL!$AG74,IFERROR(0/0,""),preDEL!X74)</f>
        <v/>
      </c>
      <c r="Y74" s="93" t="str">
        <f>IF(preDEL!$AG74,IFERROR(0/0,""),preDEL!Y74)</f>
        <v/>
      </c>
      <c r="Z74" s="249" t="str">
        <f>IF(preDEL!$AG74,IFERROR(0/0,""),preDEL!Z74)</f>
        <v/>
      </c>
      <c r="AA74" s="93" t="str">
        <f>IF(preDEL!$AG74,IFERROR(0/0,""),preDEL!AA74)</f>
        <v/>
      </c>
      <c r="AB74" s="93" t="str">
        <f>IF(preDEL!$AG74,IFERROR(0/0,""),preDEL!AB74)</f>
        <v/>
      </c>
      <c r="AC74" s="252" t="str">
        <f>IF(preDEL!$AG74,IFERROR(0/0,""),preDEL!AC74)</f>
        <v/>
      </c>
      <c r="AD74" s="99" t="str">
        <f>IF(preDEL!$AG74,IFERROR(0/0,""),preDEL!AD74)</f>
        <v/>
      </c>
      <c r="AE74" s="253" t="str">
        <f>IF(preDEL!$AG74,IFERROR(0/0,""),preDEL!AE74)</f>
        <v/>
      </c>
      <c r="AF74" s="93" t="str">
        <f>IF(preDEL!$AG74,IFERROR(0/0,""),preDEL!AF74)</f>
        <v/>
      </c>
      <c r="AG74" s="93" t="str">
        <f>IF(preDEL!$AG74,IFERROR(0/0,""),preDEL!AG74)</f>
        <v/>
      </c>
      <c r="AH74" s="99" t="str">
        <f>IF(preDEL!$AG74,IFERROR(0/0,""),preDEL!AH74)</f>
        <v/>
      </c>
      <c r="AI74" s="249" t="str">
        <f>IF(preDEL!$AG74,IFERROR(0/0,""),preDEL!AI74)</f>
        <v/>
      </c>
      <c r="AJ74" s="94" t="str">
        <f>IF(preDEL!$AG74,IFERROR(0/0,""),preDEL!AJ74)</f>
        <v/>
      </c>
      <c r="AK74" s="249" t="str">
        <f>IF(preDEL!$AG74,IFERROR(0/0,""),preDEL!AK74)</f>
        <v/>
      </c>
      <c r="AL74" s="94" t="str">
        <f>IF(preDEL!$AG74,IFERROR(0/0,""),preDEL!AL74)</f>
        <v/>
      </c>
      <c r="AM74" s="94" t="str">
        <f>IF(preDEL!$AG74,IFERROR(0/0,""),preDEL!AM74)</f>
        <v/>
      </c>
      <c r="AN74" s="94" t="str">
        <f>IF(preDEL!$AG74,IFERROR(0/0,""),preDEL!AN74)</f>
        <v/>
      </c>
      <c r="AO74" s="94" t="str">
        <f>IF(preDEL!$AG74,IFERROR(0/0,""),preDEL!AO74)</f>
        <v/>
      </c>
      <c r="AP74" s="94" t="str">
        <f>IF(preDEL!$AG74,IFERROR(0/0,""),preDEL!AP74)</f>
        <v/>
      </c>
      <c r="AQ74" s="94" t="str">
        <f>IF(preDEL!$AG74,IFERROR(0/0,""),preDEL!AQ74)</f>
        <v/>
      </c>
      <c r="AR74" s="94" t="str">
        <f>IF(preDEL!$AG74,IFERROR(0/0,""),preDEL!AR74)</f>
        <v/>
      </c>
      <c r="AS74" s="98"/>
      <c r="BE74" s="254"/>
      <c r="BF74" s="255"/>
      <c r="BG74" s="254"/>
      <c r="BH74" s="255"/>
      <c r="BI74" s="254"/>
      <c r="BJ74" s="254"/>
      <c r="BK74" s="254"/>
      <c r="BL74" s="254"/>
      <c r="BN74" s="7"/>
      <c r="BO74" s="7"/>
      <c r="BP74" s="7"/>
      <c r="BQ74" s="7"/>
      <c r="BR74" s="7"/>
      <c r="BS74" s="7"/>
      <c r="BT74" s="7"/>
    </row>
    <row r="75">
      <c r="A75" s="249" t="str">
        <f>IF(preDEL!$AG75,IFERROR(0/0,""),preDEL!A75)</f>
        <v>AG2164</v>
      </c>
      <c r="B75" s="250">
        <f>IF(preDEL!$AG75,IFERROR(0/0,""),preDEL!B75)</f>
        <v>44683</v>
      </c>
      <c r="C75" s="251">
        <f>IF(preDEL!$AG75,IFERROR(0/0,""),preDEL!C75)</f>
        <v>0.2581712963</v>
      </c>
      <c r="D75" s="249" t="str">
        <f>IF(preDEL!$AG75,IFERROR(0/0,""),preDEL!D75)</f>
        <v/>
      </c>
      <c r="E75" s="249" t="str">
        <f>IF(preDEL!$AG75,IFERROR(0/0,""),preDEL!E75)</f>
        <v/>
      </c>
      <c r="F75" s="94" t="str">
        <f>IF(preDEL!$AG75,IFERROR(0/0,""),preDEL!F75)</f>
        <v/>
      </c>
      <c r="G75" s="94" t="str">
        <f>IF(preDEL!$AG75,IFERROR(0/0,""),preDEL!G75)</f>
        <v/>
      </c>
      <c r="H75" s="94" t="str">
        <f>IF(preDEL!$AG75,IFERROR(0/0,""),preDEL!H75)</f>
        <v/>
      </c>
      <c r="I75" s="249" t="str">
        <f>IF(preDEL!$AG75,IFERROR(0/0,""),preDEL!I75)</f>
        <v/>
      </c>
      <c r="J75" s="249" t="str">
        <f>IF(preDEL!$AG75,IFERROR(0/0,""),preDEL!J75)</f>
        <v/>
      </c>
      <c r="K75" s="249" t="str">
        <f>IF(preDEL!$AG75,IFERROR(0/0,""),preDEL!K75)</f>
        <v>Negative</v>
      </c>
      <c r="L75" s="250">
        <f>IF(preDEL!$AG75,IFERROR(0/0,""),preDEL!L75)</f>
        <v>44683</v>
      </c>
      <c r="M75" s="251">
        <f>IF(preDEL!$AG75,IFERROR(0/0,""),preDEL!M75)</f>
        <v>0.3578240741</v>
      </c>
      <c r="N75" s="94" t="str">
        <f>IF(preDEL!$AG75,IFERROR(0/0,""),preDEL!N75)</f>
        <v/>
      </c>
      <c r="O75" s="94" t="str">
        <f>IF(preDEL!$AG75,IFERROR(0/0,""),preDEL!O75)</f>
        <v/>
      </c>
      <c r="P75" s="93" t="b">
        <f>IF(preDEL!$AG75,IFERROR(0/0,""),preDEL!P75)</f>
        <v>0</v>
      </c>
      <c r="Q75" s="93" t="str">
        <f>IF(preDEL!$AG75,IFERROR(0/0,""),preDEL!Q75)</f>
        <v>Result</v>
      </c>
      <c r="R75" s="99" t="b">
        <f>IF(preDEL!$AG75,IFERROR(0/0,""),preDEL!R75)</f>
        <v>1</v>
      </c>
      <c r="S75" s="99">
        <f>IF(preDEL!$AG75,IFERROR(0/0,""),preDEL!S75)</f>
        <v>1</v>
      </c>
      <c r="T75" s="93" t="str">
        <f>IF(preDEL!$AG75,IFERROR(0/0,""),preDEL!T75)</f>
        <v/>
      </c>
      <c r="U75" s="94" t="str">
        <f>IF(preDEL!$AG75,IFERROR(0/0,""),preDEL!U75)</f>
        <v/>
      </c>
      <c r="V75" s="249" t="str">
        <f>IF(preDEL!$AG75,IFERROR(0/0,""),preDEL!V75)</f>
        <v/>
      </c>
      <c r="W75" s="94" t="str">
        <f>IF(preDEL!$AG75,IFERROR(0/0,""),preDEL!W75)</f>
        <v/>
      </c>
      <c r="X75" s="99" t="b">
        <f>IF(preDEL!$AG75,IFERROR(0/0,""),preDEL!X75)</f>
        <v>0</v>
      </c>
      <c r="Y75" s="93" t="str">
        <f>IF(preDEL!$AG75,IFERROR(0/0,""),preDEL!Y75)</f>
        <v/>
      </c>
      <c r="Z75" s="249" t="str">
        <f>IF(preDEL!$AG75,IFERROR(0/0,""),preDEL!Z75)</f>
        <v/>
      </c>
      <c r="AA75" s="93" t="b">
        <f>IF(preDEL!$AG75,IFERROR(0/0,""),preDEL!AA75)</f>
        <v>0</v>
      </c>
      <c r="AB75" s="93" t="str">
        <f>IF(preDEL!$AG75,IFERROR(0/0,""),preDEL!AB75)</f>
        <v/>
      </c>
      <c r="AC75" s="252">
        <f>IF(preDEL!$AG75,IFERROR(0/0,""),preDEL!AC75)</f>
        <v>188</v>
      </c>
      <c r="AD75" s="99" t="str">
        <f>IF(preDEL!$AG75,IFERROR(0/0,""),preDEL!AD75)</f>
        <v/>
      </c>
      <c r="AE75" s="253">
        <f>IF(preDEL!$AG75,IFERROR(0/0,""),preDEL!AE75)</f>
        <v>143.5</v>
      </c>
      <c r="AF75" s="93" t="b">
        <f>IF(preDEL!$AG75,IFERROR(0/0,""),preDEL!AF75)</f>
        <v>0</v>
      </c>
      <c r="AG75" s="93" t="b">
        <f>IF(preDEL!$AG75,IFERROR(0/0,""),preDEL!AG75)</f>
        <v>0</v>
      </c>
      <c r="AH75" s="99" t="str">
        <f>IF(preDEL!$AG75,IFERROR(0/0,""),preDEL!AH75)</f>
        <v/>
      </c>
      <c r="AI75" s="249" t="str">
        <f>IF(preDEL!$AG75,IFERROR(0/0,""),preDEL!AI75)</f>
        <v/>
      </c>
      <c r="AJ75" s="94" t="str">
        <f>IF(preDEL!$AG75,IFERROR(0/0,""),preDEL!AJ75)</f>
        <v/>
      </c>
      <c r="AK75" s="249" t="str">
        <f>IF(preDEL!$AG75,IFERROR(0/0,""),preDEL!AK75)</f>
        <v>Negative</v>
      </c>
      <c r="AL75" s="94" t="str">
        <f>IF(preDEL!$AG75,IFERROR(0/0,""),preDEL!AL75)</f>
        <v/>
      </c>
      <c r="AM75" s="94" t="str">
        <f>IF(preDEL!$AG75,IFERROR(0/0,""),preDEL!AM75)</f>
        <v>SpNDHM463607</v>
      </c>
      <c r="AN75" s="94" t="str">
        <f>IF(preDEL!$AG75,IFERROR(0/0,""),preDEL!AN75)</f>
        <v>NDHM145349</v>
      </c>
      <c r="AO75" s="94" t="str">
        <f>IF(preDEL!$AG75,IFERROR(0/0,""),preDEL!AO75)</f>
        <v/>
      </c>
      <c r="AP75" s="94" t="str">
        <f>IF(preDEL!$AG75,IFERROR(0/0,""),preDEL!AP75)</f>
        <v/>
      </c>
      <c r="AQ75" s="94" t="str">
        <f>IF(preDEL!$AG75,IFERROR(0/0,""),preDEL!AQ75)</f>
        <v/>
      </c>
      <c r="AR75" s="94" t="str">
        <f>IF(preDEL!$AG75,IFERROR(0/0,""),preDEL!AR75)</f>
        <v/>
      </c>
      <c r="AS75" s="98"/>
      <c r="BE75" s="254"/>
      <c r="BF75" s="255"/>
      <c r="BG75" s="254"/>
      <c r="BH75" s="255"/>
      <c r="BI75" s="254"/>
      <c r="BJ75" s="254"/>
      <c r="BK75" s="254"/>
      <c r="BL75" s="254"/>
      <c r="BN75" s="7"/>
      <c r="BO75" s="7"/>
      <c r="BP75" s="7"/>
      <c r="BQ75" s="7"/>
      <c r="BR75" s="7"/>
      <c r="BS75" s="7"/>
      <c r="BT75" s="7"/>
    </row>
    <row r="76">
      <c r="A76" s="249" t="str">
        <f>IF(preDEL!$AG76,IFERROR(0/0,""),preDEL!A76)</f>
        <v>AK7529</v>
      </c>
      <c r="B76" s="250">
        <f>IF(preDEL!$AG76,IFERROR(0/0,""),preDEL!B76)</f>
        <v>44683</v>
      </c>
      <c r="C76" s="251">
        <f>IF(preDEL!$AG76,IFERROR(0/0,""),preDEL!C76)</f>
        <v>0.2757638889</v>
      </c>
      <c r="D76" s="249" t="str">
        <f>IF(preDEL!$AG76,IFERROR(0/0,""),preDEL!D76)</f>
        <v/>
      </c>
      <c r="E76" s="249" t="str">
        <f>IF(preDEL!$AG76,IFERROR(0/0,""),preDEL!E76)</f>
        <v/>
      </c>
      <c r="F76" s="94" t="str">
        <f>IF(preDEL!$AG76,IFERROR(0/0,""),preDEL!F76)</f>
        <v/>
      </c>
      <c r="G76" s="94" t="str">
        <f>IF(preDEL!$AG76,IFERROR(0/0,""),preDEL!G76)</f>
        <v/>
      </c>
      <c r="H76" s="94" t="str">
        <f>IF(preDEL!$AG76,IFERROR(0/0,""),preDEL!H76)</f>
        <v/>
      </c>
      <c r="I76" s="249" t="str">
        <f>IF(preDEL!$AG76,IFERROR(0/0,""),preDEL!I76)</f>
        <v/>
      </c>
      <c r="J76" s="249" t="str">
        <f>IF(preDEL!$AG76,IFERROR(0/0,""),preDEL!J76)</f>
        <v/>
      </c>
      <c r="K76" s="249" t="str">
        <f>IF(preDEL!$AG76,IFERROR(0/0,""),preDEL!K76)</f>
        <v>Negative</v>
      </c>
      <c r="L76" s="250">
        <f>IF(preDEL!$AG76,IFERROR(0/0,""),preDEL!L76)</f>
        <v>44683</v>
      </c>
      <c r="M76" s="251">
        <f>IF(preDEL!$AG76,IFERROR(0/0,""),preDEL!M76)</f>
        <v>0.3578356481</v>
      </c>
      <c r="N76" s="94" t="str">
        <f>IF(preDEL!$AG76,IFERROR(0/0,""),preDEL!N76)</f>
        <v/>
      </c>
      <c r="O76" s="94" t="str">
        <f>IF(preDEL!$AG76,IFERROR(0/0,""),preDEL!O76)</f>
        <v/>
      </c>
      <c r="P76" s="93" t="b">
        <f>IF(preDEL!$AG76,IFERROR(0/0,""),preDEL!P76)</f>
        <v>0</v>
      </c>
      <c r="Q76" s="93" t="str">
        <f>IF(preDEL!$AG76,IFERROR(0/0,""),preDEL!Q76)</f>
        <v>Result</v>
      </c>
      <c r="R76" s="99" t="b">
        <f>IF(preDEL!$AG76,IFERROR(0/0,""),preDEL!R76)</f>
        <v>1</v>
      </c>
      <c r="S76" s="99">
        <f>IF(preDEL!$AG76,IFERROR(0/0,""),preDEL!S76)</f>
        <v>1</v>
      </c>
      <c r="T76" s="93" t="str">
        <f>IF(preDEL!$AG76,IFERROR(0/0,""),preDEL!T76)</f>
        <v/>
      </c>
      <c r="U76" s="94" t="str">
        <f>IF(preDEL!$AG76,IFERROR(0/0,""),preDEL!U76)</f>
        <v/>
      </c>
      <c r="V76" s="249" t="str">
        <f>IF(preDEL!$AG76,IFERROR(0/0,""),preDEL!V76)</f>
        <v/>
      </c>
      <c r="W76" s="94" t="str">
        <f>IF(preDEL!$AG76,IFERROR(0/0,""),preDEL!W76)</f>
        <v/>
      </c>
      <c r="X76" s="99" t="b">
        <f>IF(preDEL!$AG76,IFERROR(0/0,""),preDEL!X76)</f>
        <v>0</v>
      </c>
      <c r="Y76" s="93" t="str">
        <f>IF(preDEL!$AG76,IFERROR(0/0,""),preDEL!Y76)</f>
        <v/>
      </c>
      <c r="Z76" s="249" t="str">
        <f>IF(preDEL!$AG76,IFERROR(0/0,""),preDEL!Z76)</f>
        <v/>
      </c>
      <c r="AA76" s="93" t="b">
        <f>IF(preDEL!$AG76,IFERROR(0/0,""),preDEL!AA76)</f>
        <v>0</v>
      </c>
      <c r="AB76" s="93" t="str">
        <f>IF(preDEL!$AG76,IFERROR(0/0,""),preDEL!AB76)</f>
        <v/>
      </c>
      <c r="AC76" s="252">
        <f>IF(preDEL!$AG76,IFERROR(0/0,""),preDEL!AC76)</f>
        <v>189</v>
      </c>
      <c r="AD76" s="99" t="str">
        <f>IF(preDEL!$AG76,IFERROR(0/0,""),preDEL!AD76)</f>
        <v/>
      </c>
      <c r="AE76" s="253">
        <f>IF(preDEL!$AG76,IFERROR(0/0,""),preDEL!AE76)</f>
        <v>118.1833333</v>
      </c>
      <c r="AF76" s="93" t="b">
        <f>IF(preDEL!$AG76,IFERROR(0/0,""),preDEL!AF76)</f>
        <v>0</v>
      </c>
      <c r="AG76" s="93" t="b">
        <f>IF(preDEL!$AG76,IFERROR(0/0,""),preDEL!AG76)</f>
        <v>0</v>
      </c>
      <c r="AH76" s="99" t="str">
        <f>IF(preDEL!$AG76,IFERROR(0/0,""),preDEL!AH76)</f>
        <v/>
      </c>
      <c r="AI76" s="249" t="str">
        <f>IF(preDEL!$AG76,IFERROR(0/0,""),preDEL!AI76)</f>
        <v/>
      </c>
      <c r="AJ76" s="94" t="str">
        <f>IF(preDEL!$AG76,IFERROR(0/0,""),preDEL!AJ76)</f>
        <v/>
      </c>
      <c r="AK76" s="249" t="str">
        <f>IF(preDEL!$AG76,IFERROR(0/0,""),preDEL!AK76)</f>
        <v>Negative</v>
      </c>
      <c r="AL76" s="94" t="str">
        <f>IF(preDEL!$AG76,IFERROR(0/0,""),preDEL!AL76)</f>
        <v/>
      </c>
      <c r="AM76" s="94" t="str">
        <f>IF(preDEL!$AG76,IFERROR(0/0,""),preDEL!AM76)</f>
        <v>SpNDHM672043</v>
      </c>
      <c r="AN76" s="94" t="str">
        <f>IF(preDEL!$AG76,IFERROR(0/0,""),preDEL!AN76)</f>
        <v>NDHM360307</v>
      </c>
      <c r="AO76" s="94" t="str">
        <f>IF(preDEL!$AG76,IFERROR(0/0,""),preDEL!AO76)</f>
        <v/>
      </c>
      <c r="AP76" s="94" t="str">
        <f>IF(preDEL!$AG76,IFERROR(0/0,""),preDEL!AP76)</f>
        <v/>
      </c>
      <c r="AQ76" s="94" t="str">
        <f>IF(preDEL!$AG76,IFERROR(0/0,""),preDEL!AQ76)</f>
        <v/>
      </c>
      <c r="AR76" s="94" t="str">
        <f>IF(preDEL!$AG76,IFERROR(0/0,""),preDEL!AR76)</f>
        <v/>
      </c>
      <c r="AS76" s="98"/>
      <c r="BE76" s="254"/>
      <c r="BF76" s="255"/>
      <c r="BG76" s="254"/>
      <c r="BH76" s="255"/>
      <c r="BI76" s="254"/>
      <c r="BJ76" s="254"/>
      <c r="BK76" s="254"/>
      <c r="BL76" s="254"/>
      <c r="BN76" s="7"/>
      <c r="BO76" s="7"/>
      <c r="BP76" s="7"/>
      <c r="BQ76" s="7"/>
      <c r="BR76" s="7"/>
      <c r="BS76" s="7"/>
      <c r="BT76" s="7"/>
    </row>
    <row r="77">
      <c r="A77" s="249" t="str">
        <f>IF(preDEL!$AG77,IFERROR(0/0,""),preDEL!A77)</f>
        <v>AH9504</v>
      </c>
      <c r="B77" s="250">
        <f>IF(preDEL!$AG77,IFERROR(0/0,""),preDEL!B77)</f>
        <v>44683</v>
      </c>
      <c r="C77" s="251">
        <f>IF(preDEL!$AG77,IFERROR(0/0,""),preDEL!C77)</f>
        <v>0.2781018519</v>
      </c>
      <c r="D77" s="249" t="str">
        <f>IF(preDEL!$AG77,IFERROR(0/0,""),preDEL!D77)</f>
        <v/>
      </c>
      <c r="E77" s="249" t="str">
        <f>IF(preDEL!$AG77,IFERROR(0/0,""),preDEL!E77)</f>
        <v/>
      </c>
      <c r="F77" s="94" t="str">
        <f>IF(preDEL!$AG77,IFERROR(0/0,""),preDEL!F77)</f>
        <v/>
      </c>
      <c r="G77" s="94" t="str">
        <f>IF(preDEL!$AG77,IFERROR(0/0,""),preDEL!G77)</f>
        <v/>
      </c>
      <c r="H77" s="94" t="str">
        <f>IF(preDEL!$AG77,IFERROR(0/0,""),preDEL!H77)</f>
        <v/>
      </c>
      <c r="I77" s="249" t="str">
        <f>IF(preDEL!$AG77,IFERROR(0/0,""),preDEL!I77)</f>
        <v/>
      </c>
      <c r="J77" s="249" t="str">
        <f>IF(preDEL!$AG77,IFERROR(0/0,""),preDEL!J77)</f>
        <v/>
      </c>
      <c r="K77" s="249" t="str">
        <f>IF(preDEL!$AG77,IFERROR(0/0,""),preDEL!K77)</f>
        <v>Negative</v>
      </c>
      <c r="L77" s="250">
        <f>IF(preDEL!$AG77,IFERROR(0/0,""),preDEL!L77)</f>
        <v>44683</v>
      </c>
      <c r="M77" s="251">
        <f>IF(preDEL!$AG77,IFERROR(0/0,""),preDEL!M77)</f>
        <v>0.3578125</v>
      </c>
      <c r="N77" s="94" t="str">
        <f>IF(preDEL!$AG77,IFERROR(0/0,""),preDEL!N77)</f>
        <v/>
      </c>
      <c r="O77" s="94" t="str">
        <f>IF(preDEL!$AG77,IFERROR(0/0,""),preDEL!O77)</f>
        <v/>
      </c>
      <c r="P77" s="93" t="b">
        <f>IF(preDEL!$AG77,IFERROR(0/0,""),preDEL!P77)</f>
        <v>0</v>
      </c>
      <c r="Q77" s="93" t="str">
        <f>IF(preDEL!$AG77,IFERROR(0/0,""),preDEL!Q77)</f>
        <v>Result</v>
      </c>
      <c r="R77" s="99" t="b">
        <f>IF(preDEL!$AG77,IFERROR(0/0,""),preDEL!R77)</f>
        <v>1</v>
      </c>
      <c r="S77" s="99">
        <f>IF(preDEL!$AG77,IFERROR(0/0,""),preDEL!S77)</f>
        <v>1</v>
      </c>
      <c r="T77" s="93" t="str">
        <f>IF(preDEL!$AG77,IFERROR(0/0,""),preDEL!T77)</f>
        <v/>
      </c>
      <c r="U77" s="94" t="str">
        <f>IF(preDEL!$AG77,IFERROR(0/0,""),preDEL!U77)</f>
        <v/>
      </c>
      <c r="V77" s="249" t="str">
        <f>IF(preDEL!$AG77,IFERROR(0/0,""),preDEL!V77)</f>
        <v/>
      </c>
      <c r="W77" s="94" t="str">
        <f>IF(preDEL!$AG77,IFERROR(0/0,""),preDEL!W77)</f>
        <v/>
      </c>
      <c r="X77" s="99" t="b">
        <f>IF(preDEL!$AG77,IFERROR(0/0,""),preDEL!X77)</f>
        <v>0</v>
      </c>
      <c r="Y77" s="93" t="str">
        <f>IF(preDEL!$AG77,IFERROR(0/0,""),preDEL!Y77)</f>
        <v/>
      </c>
      <c r="Z77" s="249" t="str">
        <f>IF(preDEL!$AG77,IFERROR(0/0,""),preDEL!Z77)</f>
        <v/>
      </c>
      <c r="AA77" s="93" t="b">
        <f>IF(preDEL!$AG77,IFERROR(0/0,""),preDEL!AA77)</f>
        <v>0</v>
      </c>
      <c r="AB77" s="93" t="str">
        <f>IF(preDEL!$AG77,IFERROR(0/0,""),preDEL!AB77)</f>
        <v/>
      </c>
      <c r="AC77" s="252">
        <f>IF(preDEL!$AG77,IFERROR(0/0,""),preDEL!AC77)</f>
        <v>190</v>
      </c>
      <c r="AD77" s="99" t="str">
        <f>IF(preDEL!$AG77,IFERROR(0/0,""),preDEL!AD77)</f>
        <v/>
      </c>
      <c r="AE77" s="253">
        <f>IF(preDEL!$AG77,IFERROR(0/0,""),preDEL!AE77)</f>
        <v>114.7833333</v>
      </c>
      <c r="AF77" s="93" t="b">
        <f>IF(preDEL!$AG77,IFERROR(0/0,""),preDEL!AF77)</f>
        <v>0</v>
      </c>
      <c r="AG77" s="93" t="b">
        <f>IF(preDEL!$AG77,IFERROR(0/0,""),preDEL!AG77)</f>
        <v>0</v>
      </c>
      <c r="AH77" s="99" t="str">
        <f>IF(preDEL!$AG77,IFERROR(0/0,""),preDEL!AH77)</f>
        <v/>
      </c>
      <c r="AI77" s="249" t="str">
        <f>IF(preDEL!$AG77,IFERROR(0/0,""),preDEL!AI77)</f>
        <v/>
      </c>
      <c r="AJ77" s="94" t="str">
        <f>IF(preDEL!$AG77,IFERROR(0/0,""),preDEL!AJ77)</f>
        <v/>
      </c>
      <c r="AK77" s="249" t="str">
        <f>IF(preDEL!$AG77,IFERROR(0/0,""),preDEL!AK77)</f>
        <v>Negative</v>
      </c>
      <c r="AL77" s="94" t="str">
        <f>IF(preDEL!$AG77,IFERROR(0/0,""),preDEL!AL77)</f>
        <v/>
      </c>
      <c r="AM77" s="94" t="str">
        <f>IF(preDEL!$AG77,IFERROR(0/0,""),preDEL!AM77)</f>
        <v>SpNDHM122532</v>
      </c>
      <c r="AN77" s="94" t="str">
        <f>IF(preDEL!$AG77,IFERROR(0/0,""),preDEL!AN77)</f>
        <v>NDHM584295</v>
      </c>
      <c r="AO77" s="94" t="str">
        <f>IF(preDEL!$AG77,IFERROR(0/0,""),preDEL!AO77)</f>
        <v/>
      </c>
      <c r="AP77" s="94" t="str">
        <f>IF(preDEL!$AG77,IFERROR(0/0,""),preDEL!AP77)</f>
        <v/>
      </c>
      <c r="AQ77" s="94" t="str">
        <f>IF(preDEL!$AG77,IFERROR(0/0,""),preDEL!AQ77)</f>
        <v/>
      </c>
      <c r="AR77" s="94" t="str">
        <f>IF(preDEL!$AG77,IFERROR(0/0,""),preDEL!AR77)</f>
        <v/>
      </c>
      <c r="AS77" s="98"/>
      <c r="BE77" s="254"/>
      <c r="BF77" s="255"/>
      <c r="BG77" s="254"/>
      <c r="BH77" s="255"/>
      <c r="BI77" s="254"/>
      <c r="BJ77" s="254"/>
      <c r="BK77" s="254"/>
      <c r="BL77" s="254"/>
      <c r="BN77" s="7"/>
      <c r="BO77" s="7"/>
      <c r="BP77" s="7"/>
      <c r="BQ77" s="7"/>
      <c r="BR77" s="7"/>
      <c r="BS77" s="7"/>
      <c r="BT77" s="7"/>
    </row>
    <row r="78">
      <c r="A78" s="249" t="str">
        <f>IF(preDEL!$AG78,IFERROR(0/0,""),preDEL!A78)</f>
        <v>AG1866</v>
      </c>
      <c r="B78" s="250">
        <f>IF(preDEL!$AG78,IFERROR(0/0,""),preDEL!B78)</f>
        <v>44683</v>
      </c>
      <c r="C78" s="251">
        <f>IF(preDEL!$AG78,IFERROR(0/0,""),preDEL!C78)</f>
        <v>0.3842013889</v>
      </c>
      <c r="D78" s="249" t="str">
        <f>IF(preDEL!$AG78,IFERROR(0/0,""),preDEL!D78)</f>
        <v/>
      </c>
      <c r="E78" s="249" t="str">
        <f>IF(preDEL!$AG78,IFERROR(0/0,""),preDEL!E78)</f>
        <v/>
      </c>
      <c r="F78" s="94" t="str">
        <f>IF(preDEL!$AG78,IFERROR(0/0,""),preDEL!F78)</f>
        <v/>
      </c>
      <c r="G78" s="94" t="str">
        <f>IF(preDEL!$AG78,IFERROR(0/0,""),preDEL!G78)</f>
        <v/>
      </c>
      <c r="H78" s="94" t="str">
        <f>IF(preDEL!$AG78,IFERROR(0/0,""),preDEL!H78)</f>
        <v/>
      </c>
      <c r="I78" s="249" t="str">
        <f>IF(preDEL!$AG78,IFERROR(0/0,""),preDEL!I78)</f>
        <v/>
      </c>
      <c r="J78" s="249" t="str">
        <f>IF(preDEL!$AG78,IFERROR(0/0,""),preDEL!J78)</f>
        <v/>
      </c>
      <c r="K78" s="249" t="str">
        <f>IF(preDEL!$AG78,IFERROR(0/0,""),preDEL!K78)</f>
        <v>Negative</v>
      </c>
      <c r="L78" s="250">
        <f>IF(preDEL!$AG78,IFERROR(0/0,""),preDEL!L78)</f>
        <v>44683</v>
      </c>
      <c r="M78" s="251">
        <f>IF(preDEL!$AG78,IFERROR(0/0,""),preDEL!M78)</f>
        <v>0.6373958333</v>
      </c>
      <c r="N78" s="94" t="str">
        <f>IF(preDEL!$AG78,IFERROR(0/0,""),preDEL!N78)</f>
        <v/>
      </c>
      <c r="O78" s="94" t="str">
        <f>IF(preDEL!$AG78,IFERROR(0/0,""),preDEL!O78)</f>
        <v/>
      </c>
      <c r="P78" s="93" t="b">
        <f>IF(preDEL!$AG78,IFERROR(0/0,""),preDEL!P78)</f>
        <v>0</v>
      </c>
      <c r="Q78" s="93" t="str">
        <f>IF(preDEL!$AG78,IFERROR(0/0,""),preDEL!Q78)</f>
        <v>Result</v>
      </c>
      <c r="R78" s="99" t="b">
        <f>IF(preDEL!$AG78,IFERROR(0/0,""),preDEL!R78)</f>
        <v>1</v>
      </c>
      <c r="S78" s="99">
        <f>IF(preDEL!$AG78,IFERROR(0/0,""),preDEL!S78)</f>
        <v>1</v>
      </c>
      <c r="T78" s="93" t="str">
        <f>IF(preDEL!$AG78,IFERROR(0/0,""),preDEL!T78)</f>
        <v/>
      </c>
      <c r="U78" s="94" t="str">
        <f>IF(preDEL!$AG78,IFERROR(0/0,""),preDEL!U78)</f>
        <v/>
      </c>
      <c r="V78" s="249" t="str">
        <f>IF(preDEL!$AG78,IFERROR(0/0,""),preDEL!V78)</f>
        <v/>
      </c>
      <c r="W78" s="94" t="str">
        <f>IF(preDEL!$AG78,IFERROR(0/0,""),preDEL!W78)</f>
        <v/>
      </c>
      <c r="X78" s="99" t="b">
        <f>IF(preDEL!$AG78,IFERROR(0/0,""),preDEL!X78)</f>
        <v>0</v>
      </c>
      <c r="Y78" s="93" t="str">
        <f>IF(preDEL!$AG78,IFERROR(0/0,""),preDEL!Y78)</f>
        <v/>
      </c>
      <c r="Z78" s="249" t="str">
        <f>IF(preDEL!$AG78,IFERROR(0/0,""),preDEL!Z78)</f>
        <v/>
      </c>
      <c r="AA78" s="93" t="b">
        <f>IF(preDEL!$AG78,IFERROR(0/0,""),preDEL!AA78)</f>
        <v>0</v>
      </c>
      <c r="AB78" s="93" t="str">
        <f>IF(preDEL!$AG78,IFERROR(0/0,""),preDEL!AB78)</f>
        <v/>
      </c>
      <c r="AC78" s="252">
        <f>IF(preDEL!$AG78,IFERROR(0/0,""),preDEL!AC78)</f>
        <v>191</v>
      </c>
      <c r="AD78" s="99" t="str">
        <f>IF(preDEL!$AG78,IFERROR(0/0,""),preDEL!AD78)</f>
        <v/>
      </c>
      <c r="AE78" s="253">
        <f>IF(preDEL!$AG78,IFERROR(0/0,""),preDEL!AE78)</f>
        <v>364.6</v>
      </c>
      <c r="AF78" s="93" t="b">
        <f>IF(preDEL!$AG78,IFERROR(0/0,""),preDEL!AF78)</f>
        <v>0</v>
      </c>
      <c r="AG78" s="93" t="b">
        <f>IF(preDEL!$AG78,IFERROR(0/0,""),preDEL!AG78)</f>
        <v>0</v>
      </c>
      <c r="AH78" s="99" t="str">
        <f>IF(preDEL!$AG78,IFERROR(0/0,""),preDEL!AH78)</f>
        <v/>
      </c>
      <c r="AI78" s="249" t="str">
        <f>IF(preDEL!$AG78,IFERROR(0/0,""),preDEL!AI78)</f>
        <v/>
      </c>
      <c r="AJ78" s="94" t="str">
        <f>IF(preDEL!$AG78,IFERROR(0/0,""),preDEL!AJ78)</f>
        <v/>
      </c>
      <c r="AK78" s="249" t="str">
        <f>IF(preDEL!$AG78,IFERROR(0/0,""),preDEL!AK78)</f>
        <v>Negative</v>
      </c>
      <c r="AL78" s="94" t="str">
        <f>IF(preDEL!$AG78,IFERROR(0/0,""),preDEL!AL78)</f>
        <v/>
      </c>
      <c r="AM78" s="94" t="str">
        <f>IF(preDEL!$AG78,IFERROR(0/0,""),preDEL!AM78)</f>
        <v>SpNDHM500119</v>
      </c>
      <c r="AN78" s="94" t="str">
        <f>IF(preDEL!$AG78,IFERROR(0/0,""),preDEL!AN78)</f>
        <v>NDHM885679</v>
      </c>
      <c r="AO78" s="94" t="str">
        <f>IF(preDEL!$AG78,IFERROR(0/0,""),preDEL!AO78)</f>
        <v/>
      </c>
      <c r="AP78" s="94" t="str">
        <f>IF(preDEL!$AG78,IFERROR(0/0,""),preDEL!AP78)</f>
        <v/>
      </c>
      <c r="AQ78" s="94" t="str">
        <f>IF(preDEL!$AG78,IFERROR(0/0,""),preDEL!AQ78)</f>
        <v/>
      </c>
      <c r="AR78" s="94" t="str">
        <f>IF(preDEL!$AG78,IFERROR(0/0,""),preDEL!AR78)</f>
        <v/>
      </c>
      <c r="AS78" s="98"/>
      <c r="BE78" s="254"/>
      <c r="BF78" s="255"/>
      <c r="BG78" s="254"/>
      <c r="BH78" s="255"/>
      <c r="BI78" s="254"/>
      <c r="BJ78" s="254"/>
      <c r="BK78" s="254"/>
      <c r="BL78" s="254"/>
      <c r="BN78" s="7"/>
      <c r="BO78" s="7"/>
      <c r="BP78" s="7"/>
      <c r="BQ78" s="7"/>
      <c r="BR78" s="7"/>
      <c r="BS78" s="7"/>
      <c r="BT78" s="7"/>
    </row>
    <row r="79">
      <c r="A79" s="249" t="str">
        <f>IF(preDEL!$AG79,IFERROR(0/0,""),preDEL!A79)</f>
        <v>AK5211</v>
      </c>
      <c r="B79" s="250">
        <f>IF(preDEL!$AG79,IFERROR(0/0,""),preDEL!B79)</f>
        <v>44689</v>
      </c>
      <c r="C79" s="251">
        <f>IF(preDEL!$AG79,IFERROR(0/0,""),preDEL!C79)</f>
        <v>0.8260300926</v>
      </c>
      <c r="D79" s="249" t="str">
        <f>IF(preDEL!$AG79,IFERROR(0/0,""),preDEL!D79)</f>
        <v/>
      </c>
      <c r="E79" s="249" t="str">
        <f>IF(preDEL!$AG79,IFERROR(0/0,""),preDEL!E79)</f>
        <v/>
      </c>
      <c r="F79" s="94" t="str">
        <f>IF(preDEL!$AG79,IFERROR(0/0,""),preDEL!F79)</f>
        <v/>
      </c>
      <c r="G79" s="94" t="str">
        <f>IF(preDEL!$AG79,IFERROR(0/0,""),preDEL!G79)</f>
        <v/>
      </c>
      <c r="H79" s="94" t="str">
        <f>IF(preDEL!$AG79,IFERROR(0/0,""),preDEL!H79)</f>
        <v/>
      </c>
      <c r="I79" s="249" t="str">
        <f>IF(preDEL!$AG79,IFERROR(0/0,""),preDEL!I79)</f>
        <v/>
      </c>
      <c r="J79" s="249" t="str">
        <f>IF(preDEL!$AG79,IFERROR(0/0,""),preDEL!J79)</f>
        <v/>
      </c>
      <c r="K79" s="249" t="str">
        <f>IF(preDEL!$AG79,IFERROR(0/0,""),preDEL!K79)</f>
        <v>Negative</v>
      </c>
      <c r="L79" s="250">
        <f>IF(preDEL!$AG79,IFERROR(0/0,""),preDEL!L79)</f>
        <v>44690</v>
      </c>
      <c r="M79" s="251">
        <f>IF(preDEL!$AG79,IFERROR(0/0,""),preDEL!M79)</f>
        <v>0.3232291667</v>
      </c>
      <c r="N79" s="94" t="str">
        <f>IF(preDEL!$AG79,IFERROR(0/0,""),preDEL!N79)</f>
        <v/>
      </c>
      <c r="O79" s="94" t="str">
        <f>IF(preDEL!$AG79,IFERROR(0/0,""),preDEL!O79)</f>
        <v/>
      </c>
      <c r="P79" s="93" t="b">
        <f>IF(preDEL!$AG79,IFERROR(0/0,""),preDEL!P79)</f>
        <v>0</v>
      </c>
      <c r="Q79" s="93" t="str">
        <f>IF(preDEL!$AG79,IFERROR(0/0,""),preDEL!Q79)</f>
        <v>Result</v>
      </c>
      <c r="R79" s="99" t="b">
        <f>IF(preDEL!$AG79,IFERROR(0/0,""),preDEL!R79)</f>
        <v>1</v>
      </c>
      <c r="S79" s="99">
        <f>IF(preDEL!$AG79,IFERROR(0/0,""),preDEL!S79)</f>
        <v>4</v>
      </c>
      <c r="T79" s="93" t="str">
        <f>IF(preDEL!$AG79,IFERROR(0/0,""),preDEL!T79)</f>
        <v/>
      </c>
      <c r="U79" s="94" t="str">
        <f>IF(preDEL!$AG79,IFERROR(0/0,""),preDEL!U79)</f>
        <v/>
      </c>
      <c r="V79" s="249" t="str">
        <f>IF(preDEL!$AG79,IFERROR(0/0,""),preDEL!V79)</f>
        <v/>
      </c>
      <c r="W79" s="94" t="str">
        <f>IF(preDEL!$AG79,IFERROR(0/0,""),preDEL!W79)</f>
        <v/>
      </c>
      <c r="X79" s="99" t="b">
        <f>IF(preDEL!$AG79,IFERROR(0/0,""),preDEL!X79)</f>
        <v>0</v>
      </c>
      <c r="Y79" s="93" t="str">
        <f>IF(preDEL!$AG79,IFERROR(0/0,""),preDEL!Y79)</f>
        <v/>
      </c>
      <c r="Z79" s="249" t="str">
        <f>IF(preDEL!$AG79,IFERROR(0/0,""),preDEL!Z79)</f>
        <v/>
      </c>
      <c r="AA79" s="93" t="b">
        <f>IF(preDEL!$AG79,IFERROR(0/0,""),preDEL!AA79)</f>
        <v>0</v>
      </c>
      <c r="AB79" s="93" t="str">
        <f>IF(preDEL!$AG79,IFERROR(0/0,""),preDEL!AB79)</f>
        <v/>
      </c>
      <c r="AC79" s="252">
        <f>IF(preDEL!$AG79,IFERROR(0/0,""),preDEL!AC79)</f>
        <v>163</v>
      </c>
      <c r="AD79" s="99" t="str">
        <f>IF(preDEL!$AG79,IFERROR(0/0,""),preDEL!AD79)</f>
        <v/>
      </c>
      <c r="AE79" s="253" t="str">
        <f>IF(preDEL!$AG79,IFERROR(0/0,""),preDEL!AE79)</f>
        <v/>
      </c>
      <c r="AF79" s="93" t="b">
        <f>IF(preDEL!$AG79,IFERROR(0/0,""),preDEL!AF79)</f>
        <v>0</v>
      </c>
      <c r="AG79" s="93" t="b">
        <f>IF(preDEL!$AG79,IFERROR(0/0,""),preDEL!AG79)</f>
        <v>0</v>
      </c>
      <c r="AH79" s="99" t="str">
        <f>IF(preDEL!$AG79,IFERROR(0/0,""),preDEL!AH79)</f>
        <v/>
      </c>
      <c r="AI79" s="249" t="str">
        <f>IF(preDEL!$AG79,IFERROR(0/0,""),preDEL!AI79)</f>
        <v/>
      </c>
      <c r="AJ79" s="94" t="str">
        <f>IF(preDEL!$AG79,IFERROR(0/0,""),preDEL!AJ79)</f>
        <v/>
      </c>
      <c r="AK79" s="249" t="str">
        <f>IF(preDEL!$AG79,IFERROR(0/0,""),preDEL!AK79)</f>
        <v>Negative</v>
      </c>
      <c r="AL79" s="94" t="str">
        <f>IF(preDEL!$AG79,IFERROR(0/0,""),preDEL!AL79)</f>
        <v/>
      </c>
      <c r="AM79" s="94" t="str">
        <f>IF(preDEL!$AG79,IFERROR(0/0,""),preDEL!AM79)</f>
        <v>SpNDHM435885</v>
      </c>
      <c r="AN79" s="94" t="str">
        <f>IF(preDEL!$AG79,IFERROR(0/0,""),preDEL!AN79)</f>
        <v>NDHM831690</v>
      </c>
      <c r="AO79" s="94" t="str">
        <f>IF(preDEL!$AG79,IFERROR(0/0,""),preDEL!AO79)</f>
        <v/>
      </c>
      <c r="AP79" s="94" t="str">
        <f>IF(preDEL!$AG79,IFERROR(0/0,""),preDEL!AP79)</f>
        <v/>
      </c>
      <c r="AQ79" s="94" t="str">
        <f>IF(preDEL!$AG79,IFERROR(0/0,""),preDEL!AQ79)</f>
        <v/>
      </c>
      <c r="AR79" s="94" t="str">
        <f>IF(preDEL!$AG79,IFERROR(0/0,""),preDEL!AR79)</f>
        <v/>
      </c>
      <c r="AS79" s="98"/>
      <c r="BE79" s="254"/>
      <c r="BF79" s="255"/>
      <c r="BG79" s="254"/>
      <c r="BH79" s="255"/>
      <c r="BI79" s="254"/>
      <c r="BJ79" s="254"/>
      <c r="BK79" s="254"/>
      <c r="BL79" s="254"/>
      <c r="BN79" s="7"/>
      <c r="BO79" s="7"/>
      <c r="BP79" s="7"/>
      <c r="BQ79" s="7"/>
      <c r="BR79" s="7"/>
      <c r="BS79" s="7"/>
      <c r="BT79" s="7"/>
    </row>
    <row r="80">
      <c r="A80" s="249" t="str">
        <f>IF(preDEL!$AG80,IFERROR(0/0,""),preDEL!A80)</f>
        <v>AK5211</v>
      </c>
      <c r="B80" s="250">
        <f>IF(preDEL!$AG80,IFERROR(0/0,""),preDEL!B80)</f>
        <v>44689</v>
      </c>
      <c r="C80" s="251">
        <f>IF(preDEL!$AG80,IFERROR(0/0,""),preDEL!C80)</f>
        <v>0.8260300926</v>
      </c>
      <c r="D80" s="249" t="str">
        <f>IF(preDEL!$AG80,IFERROR(0/0,""),preDEL!D80)</f>
        <v/>
      </c>
      <c r="E80" s="249" t="str">
        <f>IF(preDEL!$AG80,IFERROR(0/0,""),preDEL!E80)</f>
        <v/>
      </c>
      <c r="F80" s="94" t="str">
        <f>IF(preDEL!$AG80,IFERROR(0/0,""),preDEL!F80)</f>
        <v/>
      </c>
      <c r="G80" s="94" t="str">
        <f>IF(preDEL!$AG80,IFERROR(0/0,""),preDEL!G80)</f>
        <v/>
      </c>
      <c r="H80" s="94" t="str">
        <f>IF(preDEL!$AG80,IFERROR(0/0,""),preDEL!H80)</f>
        <v/>
      </c>
      <c r="I80" s="249" t="str">
        <f>IF(preDEL!$AG80,IFERROR(0/0,""),preDEL!I80)</f>
        <v/>
      </c>
      <c r="J80" s="249" t="str">
        <f>IF(preDEL!$AG80,IFERROR(0/0,""),preDEL!J80)</f>
        <v/>
      </c>
      <c r="K80" s="249" t="str">
        <f>IF(preDEL!$AG80,IFERROR(0/0,""),preDEL!K80)</f>
        <v>Negative</v>
      </c>
      <c r="L80" s="250">
        <f>IF(preDEL!$AG80,IFERROR(0/0,""),preDEL!L80)</f>
        <v>44690</v>
      </c>
      <c r="M80" s="251">
        <f>IF(preDEL!$AG80,IFERROR(0/0,""),preDEL!M80)</f>
        <v>0.3232291667</v>
      </c>
      <c r="N80" s="94" t="str">
        <f>IF(preDEL!$AG80,IFERROR(0/0,""),preDEL!N80)</f>
        <v/>
      </c>
      <c r="O80" s="94" t="str">
        <f>IF(preDEL!$AG80,IFERROR(0/0,""),preDEL!O80)</f>
        <v/>
      </c>
      <c r="P80" s="93" t="b">
        <f>IF(preDEL!$AG80,IFERROR(0/0,""),preDEL!P80)</f>
        <v>0</v>
      </c>
      <c r="Q80" s="93" t="str">
        <f>IF(preDEL!$AG80,IFERROR(0/0,""),preDEL!Q80)</f>
        <v>Result</v>
      </c>
      <c r="R80" s="99" t="b">
        <f>IF(preDEL!$AG80,IFERROR(0/0,""),preDEL!R80)</f>
        <v>0</v>
      </c>
      <c r="S80" s="99">
        <f>IF(preDEL!$AG80,IFERROR(0/0,""),preDEL!S80)</f>
        <v>4</v>
      </c>
      <c r="T80" s="93" t="str">
        <f>IF(preDEL!$AG80,IFERROR(0/0,""),preDEL!T80)</f>
        <v/>
      </c>
      <c r="U80" s="94" t="str">
        <f>IF(preDEL!$AG80,IFERROR(0/0,""),preDEL!U80)</f>
        <v/>
      </c>
      <c r="V80" s="249" t="str">
        <f>IF(preDEL!$AG80,IFERROR(0/0,""),preDEL!V80)</f>
        <v/>
      </c>
      <c r="W80" s="94" t="str">
        <f>IF(preDEL!$AG80,IFERROR(0/0,""),preDEL!W80)</f>
        <v/>
      </c>
      <c r="X80" s="99" t="b">
        <f>IF(preDEL!$AG80,IFERROR(0/0,""),preDEL!X80)</f>
        <v>0</v>
      </c>
      <c r="Y80" s="93" t="str">
        <f>IF(preDEL!$AG80,IFERROR(0/0,""),preDEL!Y80)</f>
        <v/>
      </c>
      <c r="Z80" s="249" t="str">
        <f>IF(preDEL!$AG80,IFERROR(0/0,""),preDEL!Z80)</f>
        <v/>
      </c>
      <c r="AA80" s="93" t="b">
        <f>IF(preDEL!$AG80,IFERROR(0/0,""),preDEL!AA80)</f>
        <v>0</v>
      </c>
      <c r="AB80" s="93" t="str">
        <f>IF(preDEL!$AG80,IFERROR(0/0,""),preDEL!AB80)</f>
        <v/>
      </c>
      <c r="AC80" s="252">
        <f>IF(preDEL!$AG80,IFERROR(0/0,""),preDEL!AC80)</f>
        <v>164</v>
      </c>
      <c r="AD80" s="99" t="str">
        <f>IF(preDEL!$AG80,IFERROR(0/0,""),preDEL!AD80)</f>
        <v/>
      </c>
      <c r="AE80" s="253" t="str">
        <f>IF(preDEL!$AG80,IFERROR(0/0,""),preDEL!AE80)</f>
        <v/>
      </c>
      <c r="AF80" s="93" t="b">
        <f>IF(preDEL!$AG80,IFERROR(0/0,""),preDEL!AF80)</f>
        <v>0</v>
      </c>
      <c r="AG80" s="93" t="b">
        <f>IF(preDEL!$AG80,IFERROR(0/0,""),preDEL!AG80)</f>
        <v>0</v>
      </c>
      <c r="AH80" s="99" t="str">
        <f>IF(preDEL!$AG80,IFERROR(0/0,""),preDEL!AH80)</f>
        <v/>
      </c>
      <c r="AI80" s="249" t="str">
        <f>IF(preDEL!$AG80,IFERROR(0/0,""),preDEL!AI80)</f>
        <v/>
      </c>
      <c r="AJ80" s="94" t="str">
        <f>IF(preDEL!$AG80,IFERROR(0/0,""),preDEL!AJ80)</f>
        <v/>
      </c>
      <c r="AK80" s="249" t="str">
        <f>IF(preDEL!$AG80,IFERROR(0/0,""),preDEL!AK80)</f>
        <v>Negative</v>
      </c>
      <c r="AL80" s="94" t="str">
        <f>IF(preDEL!$AG80,IFERROR(0/0,""),preDEL!AL80)</f>
        <v/>
      </c>
      <c r="AM80" s="94" t="str">
        <f>IF(preDEL!$AG80,IFERROR(0/0,""),preDEL!AM80)</f>
        <v>SpNDHM435885</v>
      </c>
      <c r="AN80" s="94" t="str">
        <f>IF(preDEL!$AG80,IFERROR(0/0,""),preDEL!AN80)</f>
        <v>NDHM144279</v>
      </c>
      <c r="AO80" s="94" t="str">
        <f>IF(preDEL!$AG80,IFERROR(0/0,""),preDEL!AO80)</f>
        <v/>
      </c>
      <c r="AP80" s="94" t="str">
        <f>IF(preDEL!$AG80,IFERROR(0/0,""),preDEL!AP80)</f>
        <v/>
      </c>
      <c r="AQ80" s="94" t="str">
        <f>IF(preDEL!$AG80,IFERROR(0/0,""),preDEL!AQ80)</f>
        <v/>
      </c>
      <c r="AR80" s="94" t="str">
        <f>IF(preDEL!$AG80,IFERROR(0/0,""),preDEL!AR80)</f>
        <v/>
      </c>
      <c r="AS80" s="98"/>
      <c r="BE80" s="254"/>
      <c r="BF80" s="255"/>
      <c r="BG80" s="254"/>
      <c r="BH80" s="255"/>
      <c r="BI80" s="254"/>
      <c r="BJ80" s="254"/>
      <c r="BK80" s="254"/>
      <c r="BL80" s="254"/>
      <c r="BN80" s="7"/>
      <c r="BO80" s="7"/>
      <c r="BP80" s="7"/>
      <c r="BQ80" s="7"/>
      <c r="BR80" s="7"/>
      <c r="BS80" s="7"/>
      <c r="BT80" s="7"/>
    </row>
    <row r="81">
      <c r="A81" s="249" t="str">
        <f>IF(preDEL!$AG81,IFERROR(0/0,""),preDEL!A81)</f>
        <v>AK5211</v>
      </c>
      <c r="B81" s="250">
        <f>IF(preDEL!$AG81,IFERROR(0/0,""),preDEL!B81)</f>
        <v>44689</v>
      </c>
      <c r="C81" s="251">
        <f>IF(preDEL!$AG81,IFERROR(0/0,""),preDEL!C81)</f>
        <v>0.8260300926</v>
      </c>
      <c r="D81" s="249" t="str">
        <f>IF(preDEL!$AG81,IFERROR(0/0,""),preDEL!D81)</f>
        <v/>
      </c>
      <c r="E81" s="249" t="str">
        <f>IF(preDEL!$AG81,IFERROR(0/0,""),preDEL!E81)</f>
        <v/>
      </c>
      <c r="F81" s="94" t="str">
        <f>IF(preDEL!$AG81,IFERROR(0/0,""),preDEL!F81)</f>
        <v/>
      </c>
      <c r="G81" s="94" t="str">
        <f>IF(preDEL!$AG81,IFERROR(0/0,""),preDEL!G81)</f>
        <v/>
      </c>
      <c r="H81" s="94" t="str">
        <f>IF(preDEL!$AG81,IFERROR(0/0,""),preDEL!H81)</f>
        <v/>
      </c>
      <c r="I81" s="249" t="str">
        <f>IF(preDEL!$AG81,IFERROR(0/0,""),preDEL!I81)</f>
        <v/>
      </c>
      <c r="J81" s="249" t="str">
        <f>IF(preDEL!$AG81,IFERROR(0/0,""),preDEL!J81)</f>
        <v/>
      </c>
      <c r="K81" s="249" t="str">
        <f>IF(preDEL!$AG81,IFERROR(0/0,""),preDEL!K81)</f>
        <v>Negative</v>
      </c>
      <c r="L81" s="250">
        <f>IF(preDEL!$AG81,IFERROR(0/0,""),preDEL!L81)</f>
        <v>44690</v>
      </c>
      <c r="M81" s="251">
        <f>IF(preDEL!$AG81,IFERROR(0/0,""),preDEL!M81)</f>
        <v>0.3232291667</v>
      </c>
      <c r="N81" s="94" t="str">
        <f>IF(preDEL!$AG81,IFERROR(0/0,""),preDEL!N81)</f>
        <v/>
      </c>
      <c r="O81" s="94" t="str">
        <f>IF(preDEL!$AG81,IFERROR(0/0,""),preDEL!O81)</f>
        <v/>
      </c>
      <c r="P81" s="93" t="b">
        <f>IF(preDEL!$AG81,IFERROR(0/0,""),preDEL!P81)</f>
        <v>0</v>
      </c>
      <c r="Q81" s="93" t="str">
        <f>IF(preDEL!$AG81,IFERROR(0/0,""),preDEL!Q81)</f>
        <v>Result</v>
      </c>
      <c r="R81" s="99" t="b">
        <f>IF(preDEL!$AG81,IFERROR(0/0,""),preDEL!R81)</f>
        <v>0</v>
      </c>
      <c r="S81" s="99">
        <f>IF(preDEL!$AG81,IFERROR(0/0,""),preDEL!S81)</f>
        <v>4</v>
      </c>
      <c r="T81" s="93" t="str">
        <f>IF(preDEL!$AG81,IFERROR(0/0,""),preDEL!T81)</f>
        <v/>
      </c>
      <c r="U81" s="94" t="str">
        <f>IF(preDEL!$AG81,IFERROR(0/0,""),preDEL!U81)</f>
        <v/>
      </c>
      <c r="V81" s="249" t="str">
        <f>IF(preDEL!$AG81,IFERROR(0/0,""),preDEL!V81)</f>
        <v/>
      </c>
      <c r="W81" s="94" t="str">
        <f>IF(preDEL!$AG81,IFERROR(0/0,""),preDEL!W81)</f>
        <v/>
      </c>
      <c r="X81" s="99" t="b">
        <f>IF(preDEL!$AG81,IFERROR(0/0,""),preDEL!X81)</f>
        <v>0</v>
      </c>
      <c r="Y81" s="93" t="str">
        <f>IF(preDEL!$AG81,IFERROR(0/0,""),preDEL!Y81)</f>
        <v/>
      </c>
      <c r="Z81" s="249" t="str">
        <f>IF(preDEL!$AG81,IFERROR(0/0,""),preDEL!Z81)</f>
        <v/>
      </c>
      <c r="AA81" s="93" t="b">
        <f>IF(preDEL!$AG81,IFERROR(0/0,""),preDEL!AA81)</f>
        <v>0</v>
      </c>
      <c r="AB81" s="93" t="str">
        <f>IF(preDEL!$AG81,IFERROR(0/0,""),preDEL!AB81)</f>
        <v/>
      </c>
      <c r="AC81" s="252">
        <f>IF(preDEL!$AG81,IFERROR(0/0,""),preDEL!AC81)</f>
        <v>162</v>
      </c>
      <c r="AD81" s="99" t="str">
        <f>IF(preDEL!$AG81,IFERROR(0/0,""),preDEL!AD81)</f>
        <v/>
      </c>
      <c r="AE81" s="253" t="str">
        <f>IF(preDEL!$AG81,IFERROR(0/0,""),preDEL!AE81)</f>
        <v/>
      </c>
      <c r="AF81" s="93" t="b">
        <f>IF(preDEL!$AG81,IFERROR(0/0,""),preDEL!AF81)</f>
        <v>0</v>
      </c>
      <c r="AG81" s="93" t="b">
        <f>IF(preDEL!$AG81,IFERROR(0/0,""),preDEL!AG81)</f>
        <v>0</v>
      </c>
      <c r="AH81" s="99" t="str">
        <f>IF(preDEL!$AG81,IFERROR(0/0,""),preDEL!AH81)</f>
        <v/>
      </c>
      <c r="AI81" s="249" t="str">
        <f>IF(preDEL!$AG81,IFERROR(0/0,""),preDEL!AI81)</f>
        <v/>
      </c>
      <c r="AJ81" s="94" t="str">
        <f>IF(preDEL!$AG81,IFERROR(0/0,""),preDEL!AJ81)</f>
        <v/>
      </c>
      <c r="AK81" s="249" t="str">
        <f>IF(preDEL!$AG81,IFERROR(0/0,""),preDEL!AK81)</f>
        <v>Negative</v>
      </c>
      <c r="AL81" s="94" t="str">
        <f>IF(preDEL!$AG81,IFERROR(0/0,""),preDEL!AL81)</f>
        <v/>
      </c>
      <c r="AM81" s="94" t="str">
        <f>IF(preDEL!$AG81,IFERROR(0/0,""),preDEL!AM81)</f>
        <v>SpNDHM435885</v>
      </c>
      <c r="AN81" s="94" t="str">
        <f>IF(preDEL!$AG81,IFERROR(0/0,""),preDEL!AN81)</f>
        <v>NDHM572644</v>
      </c>
      <c r="AO81" s="94" t="str">
        <f>IF(preDEL!$AG81,IFERROR(0/0,""),preDEL!AO81)</f>
        <v/>
      </c>
      <c r="AP81" s="94" t="str">
        <f>IF(preDEL!$AG81,IFERROR(0/0,""),preDEL!AP81)</f>
        <v/>
      </c>
      <c r="AQ81" s="94" t="str">
        <f>IF(preDEL!$AG81,IFERROR(0/0,""),preDEL!AQ81)</f>
        <v/>
      </c>
      <c r="AR81" s="94" t="str">
        <f>IF(preDEL!$AG81,IFERROR(0/0,""),preDEL!AR81)</f>
        <v/>
      </c>
      <c r="AS81" s="98"/>
      <c r="BE81" s="254"/>
      <c r="BF81" s="255"/>
      <c r="BG81" s="254"/>
      <c r="BH81" s="255"/>
      <c r="BI81" s="254"/>
      <c r="BJ81" s="254"/>
      <c r="BK81" s="254"/>
      <c r="BL81" s="254"/>
      <c r="BN81" s="7"/>
      <c r="BO81" s="7"/>
      <c r="BP81" s="7"/>
      <c r="BQ81" s="7"/>
      <c r="BR81" s="7"/>
      <c r="BS81" s="7"/>
      <c r="BT81" s="7"/>
    </row>
    <row r="82">
      <c r="A82" s="249" t="str">
        <f>IF(preDEL!$AG82,IFERROR(0/0,""),preDEL!A82)</f>
        <v>AK5211</v>
      </c>
      <c r="B82" s="250">
        <f>IF(preDEL!$AG82,IFERROR(0/0,""),preDEL!B82)</f>
        <v>44689</v>
      </c>
      <c r="C82" s="251">
        <f>IF(preDEL!$AG82,IFERROR(0/0,""),preDEL!C82)</f>
        <v>0.8260300926</v>
      </c>
      <c r="D82" s="249" t="str">
        <f>IF(preDEL!$AG82,IFERROR(0/0,""),preDEL!D82)</f>
        <v/>
      </c>
      <c r="E82" s="249" t="str">
        <f>IF(preDEL!$AG82,IFERROR(0/0,""),preDEL!E82)</f>
        <v/>
      </c>
      <c r="F82" s="94" t="str">
        <f>IF(preDEL!$AG82,IFERROR(0/0,""),preDEL!F82)</f>
        <v/>
      </c>
      <c r="G82" s="94" t="str">
        <f>IF(preDEL!$AG82,IFERROR(0/0,""),preDEL!G82)</f>
        <v/>
      </c>
      <c r="H82" s="94" t="str">
        <f>IF(preDEL!$AG82,IFERROR(0/0,""),preDEL!H82)</f>
        <v/>
      </c>
      <c r="I82" s="249" t="str">
        <f>IF(preDEL!$AG82,IFERROR(0/0,""),preDEL!I82)</f>
        <v/>
      </c>
      <c r="J82" s="249" t="str">
        <f>IF(preDEL!$AG82,IFERROR(0/0,""),preDEL!J82)</f>
        <v/>
      </c>
      <c r="K82" s="249" t="str">
        <f>IF(preDEL!$AG82,IFERROR(0/0,""),preDEL!K82)</f>
        <v>Negative</v>
      </c>
      <c r="L82" s="250">
        <f>IF(preDEL!$AG82,IFERROR(0/0,""),preDEL!L82)</f>
        <v>44690</v>
      </c>
      <c r="M82" s="251">
        <f>IF(preDEL!$AG82,IFERROR(0/0,""),preDEL!M82)</f>
        <v>0.3232291667</v>
      </c>
      <c r="N82" s="94" t="str">
        <f>IF(preDEL!$AG82,IFERROR(0/0,""),preDEL!N82)</f>
        <v/>
      </c>
      <c r="O82" s="94" t="str">
        <f>IF(preDEL!$AG82,IFERROR(0/0,""),preDEL!O82)</f>
        <v/>
      </c>
      <c r="P82" s="93" t="b">
        <f>IF(preDEL!$AG82,IFERROR(0/0,""),preDEL!P82)</f>
        <v>0</v>
      </c>
      <c r="Q82" s="93" t="str">
        <f>IF(preDEL!$AG82,IFERROR(0/0,""),preDEL!Q82)</f>
        <v>Result</v>
      </c>
      <c r="R82" s="99" t="b">
        <f>IF(preDEL!$AG82,IFERROR(0/0,""),preDEL!R82)</f>
        <v>0</v>
      </c>
      <c r="S82" s="99">
        <f>IF(preDEL!$AG82,IFERROR(0/0,""),preDEL!S82)</f>
        <v>4</v>
      </c>
      <c r="T82" s="93" t="str">
        <f>IF(preDEL!$AG82,IFERROR(0/0,""),preDEL!T82)</f>
        <v/>
      </c>
      <c r="U82" s="94" t="str">
        <f>IF(preDEL!$AG82,IFERROR(0/0,""),preDEL!U82)</f>
        <v/>
      </c>
      <c r="V82" s="249" t="str">
        <f>IF(preDEL!$AG82,IFERROR(0/0,""),preDEL!V82)</f>
        <v/>
      </c>
      <c r="W82" s="94" t="str">
        <f>IF(preDEL!$AG82,IFERROR(0/0,""),preDEL!W82)</f>
        <v/>
      </c>
      <c r="X82" s="99" t="b">
        <f>IF(preDEL!$AG82,IFERROR(0/0,""),preDEL!X82)</f>
        <v>0</v>
      </c>
      <c r="Y82" s="93" t="str">
        <f>IF(preDEL!$AG82,IFERROR(0/0,""),preDEL!Y82)</f>
        <v/>
      </c>
      <c r="Z82" s="249" t="str">
        <f>IF(preDEL!$AG82,IFERROR(0/0,""),preDEL!Z82)</f>
        <v/>
      </c>
      <c r="AA82" s="93" t="b">
        <f>IF(preDEL!$AG82,IFERROR(0/0,""),preDEL!AA82)</f>
        <v>0</v>
      </c>
      <c r="AB82" s="93" t="str">
        <f>IF(preDEL!$AG82,IFERROR(0/0,""),preDEL!AB82)</f>
        <v/>
      </c>
      <c r="AC82" s="252">
        <f>IF(preDEL!$AG82,IFERROR(0/0,""),preDEL!AC82)</f>
        <v>165</v>
      </c>
      <c r="AD82" s="99" t="str">
        <f>IF(preDEL!$AG82,IFERROR(0/0,""),preDEL!AD82)</f>
        <v/>
      </c>
      <c r="AE82" s="253" t="str">
        <f>IF(preDEL!$AG82,IFERROR(0/0,""),preDEL!AE82)</f>
        <v/>
      </c>
      <c r="AF82" s="93" t="b">
        <f>IF(preDEL!$AG82,IFERROR(0/0,""),preDEL!AF82)</f>
        <v>0</v>
      </c>
      <c r="AG82" s="93" t="b">
        <f>IF(preDEL!$AG82,IFERROR(0/0,""),preDEL!AG82)</f>
        <v>0</v>
      </c>
      <c r="AH82" s="99" t="str">
        <f>IF(preDEL!$AG82,IFERROR(0/0,""),preDEL!AH82)</f>
        <v/>
      </c>
      <c r="AI82" s="249" t="str">
        <f>IF(preDEL!$AG82,IFERROR(0/0,""),preDEL!AI82)</f>
        <v/>
      </c>
      <c r="AJ82" s="94" t="str">
        <f>IF(preDEL!$AG82,IFERROR(0/0,""),preDEL!AJ82)</f>
        <v/>
      </c>
      <c r="AK82" s="249" t="str">
        <f>IF(preDEL!$AG82,IFERROR(0/0,""),preDEL!AK82)</f>
        <v>Negative</v>
      </c>
      <c r="AL82" s="94" t="str">
        <f>IF(preDEL!$AG82,IFERROR(0/0,""),preDEL!AL82)</f>
        <v/>
      </c>
      <c r="AM82" s="94" t="str">
        <f>IF(preDEL!$AG82,IFERROR(0/0,""),preDEL!AM82)</f>
        <v>SpNDHM435885</v>
      </c>
      <c r="AN82" s="94" t="str">
        <f>IF(preDEL!$AG82,IFERROR(0/0,""),preDEL!AN82)</f>
        <v>NDHM193086</v>
      </c>
      <c r="AO82" s="94" t="str">
        <f>IF(preDEL!$AG82,IFERROR(0/0,""),preDEL!AO82)</f>
        <v/>
      </c>
      <c r="AP82" s="94" t="str">
        <f>IF(preDEL!$AG82,IFERROR(0/0,""),preDEL!AP82)</f>
        <v/>
      </c>
      <c r="AQ82" s="94" t="str">
        <f>IF(preDEL!$AG82,IFERROR(0/0,""),preDEL!AQ82)</f>
        <v/>
      </c>
      <c r="AR82" s="94" t="str">
        <f>IF(preDEL!$AG82,IFERROR(0/0,""),preDEL!AR82)</f>
        <v/>
      </c>
      <c r="AS82" s="98"/>
      <c r="BE82" s="254"/>
      <c r="BF82" s="255"/>
      <c r="BG82" s="254"/>
      <c r="BH82" s="255"/>
      <c r="BI82" s="254"/>
      <c r="BJ82" s="254"/>
      <c r="BK82" s="254"/>
      <c r="BL82" s="254"/>
      <c r="BN82" s="7"/>
      <c r="BO82" s="7"/>
      <c r="BP82" s="7"/>
      <c r="BQ82" s="7"/>
      <c r="BR82" s="7"/>
      <c r="BS82" s="7"/>
      <c r="BT82" s="7"/>
    </row>
    <row r="83">
      <c r="A83" s="249" t="str">
        <f>IF(preDEL!$AG83,IFERROR(0/0,""),preDEL!A83)</f>
        <v>AG469</v>
      </c>
      <c r="B83" s="250">
        <f>IF(preDEL!$AG83,IFERROR(0/0,""),preDEL!B83)</f>
        <v>44690</v>
      </c>
      <c r="C83" s="251">
        <f>IF(preDEL!$AG83,IFERROR(0/0,""),preDEL!C83)</f>
        <v>0.1700231481</v>
      </c>
      <c r="D83" s="249" t="str">
        <f>IF(preDEL!$AG83,IFERROR(0/0,""),preDEL!D83)</f>
        <v/>
      </c>
      <c r="E83" s="249" t="str">
        <f>IF(preDEL!$AG83,IFERROR(0/0,""),preDEL!E83)</f>
        <v/>
      </c>
      <c r="F83" s="94" t="str">
        <f>IF(preDEL!$AG83,IFERROR(0/0,""),preDEL!F83)</f>
        <v/>
      </c>
      <c r="G83" s="94" t="str">
        <f>IF(preDEL!$AG83,IFERROR(0/0,""),preDEL!G83)</f>
        <v/>
      </c>
      <c r="H83" s="94" t="str">
        <f>IF(preDEL!$AG83,IFERROR(0/0,""),preDEL!H83)</f>
        <v/>
      </c>
      <c r="I83" s="249" t="str">
        <f>IF(preDEL!$AG83,IFERROR(0/0,""),preDEL!I83)</f>
        <v/>
      </c>
      <c r="J83" s="249" t="str">
        <f>IF(preDEL!$AG83,IFERROR(0/0,""),preDEL!J83)</f>
        <v/>
      </c>
      <c r="K83" s="249" t="str">
        <f>IF(preDEL!$AG83,IFERROR(0/0,""),preDEL!K83)</f>
        <v>Negative</v>
      </c>
      <c r="L83" s="250">
        <f>IF(preDEL!$AG83,IFERROR(0/0,""),preDEL!L83)</f>
        <v>44690</v>
      </c>
      <c r="M83" s="251">
        <f>IF(preDEL!$AG83,IFERROR(0/0,""),preDEL!M83)</f>
        <v>0.3232291667</v>
      </c>
      <c r="N83" s="94" t="str">
        <f>IF(preDEL!$AG83,IFERROR(0/0,""),preDEL!N83)</f>
        <v/>
      </c>
      <c r="O83" s="94" t="str">
        <f>IF(preDEL!$AG83,IFERROR(0/0,""),preDEL!O83)</f>
        <v/>
      </c>
      <c r="P83" s="93" t="b">
        <f>IF(preDEL!$AG83,IFERROR(0/0,""),preDEL!P83)</f>
        <v>0</v>
      </c>
      <c r="Q83" s="93" t="str">
        <f>IF(preDEL!$AG83,IFERROR(0/0,""),preDEL!Q83)</f>
        <v>Result</v>
      </c>
      <c r="R83" s="99" t="b">
        <f>IF(preDEL!$AG83,IFERROR(0/0,""),preDEL!R83)</f>
        <v>1</v>
      </c>
      <c r="S83" s="99">
        <f>IF(preDEL!$AG83,IFERROR(0/0,""),preDEL!S83)</f>
        <v>4</v>
      </c>
      <c r="T83" s="93" t="str">
        <f>IF(preDEL!$AG83,IFERROR(0/0,""),preDEL!T83)</f>
        <v/>
      </c>
      <c r="U83" s="94" t="str">
        <f>IF(preDEL!$AG83,IFERROR(0/0,""),preDEL!U83)</f>
        <v/>
      </c>
      <c r="V83" s="249" t="str">
        <f>IF(preDEL!$AG83,IFERROR(0/0,""),preDEL!V83)</f>
        <v/>
      </c>
      <c r="W83" s="94" t="str">
        <f>IF(preDEL!$AG83,IFERROR(0/0,""),preDEL!W83)</f>
        <v/>
      </c>
      <c r="X83" s="99" t="b">
        <f>IF(preDEL!$AG83,IFERROR(0/0,""),preDEL!X83)</f>
        <v>0</v>
      </c>
      <c r="Y83" s="93" t="str">
        <f>IF(preDEL!$AG83,IFERROR(0/0,""),preDEL!Y83)</f>
        <v/>
      </c>
      <c r="Z83" s="249" t="str">
        <f>IF(preDEL!$AG83,IFERROR(0/0,""),preDEL!Z83)</f>
        <v/>
      </c>
      <c r="AA83" s="93" t="b">
        <f>IF(preDEL!$AG83,IFERROR(0/0,""),preDEL!AA83)</f>
        <v>0</v>
      </c>
      <c r="AB83" s="93" t="str">
        <f>IF(preDEL!$AG83,IFERROR(0/0,""),preDEL!AB83)</f>
        <v/>
      </c>
      <c r="AC83" s="252">
        <f>IF(preDEL!$AG83,IFERROR(0/0,""),preDEL!AC83)</f>
        <v>149</v>
      </c>
      <c r="AD83" s="99" t="str">
        <f>IF(preDEL!$AG83,IFERROR(0/0,""),preDEL!AD83)</f>
        <v/>
      </c>
      <c r="AE83" s="253">
        <f>IF(preDEL!$AG83,IFERROR(0/0,""),preDEL!AE83)</f>
        <v>220.6166667</v>
      </c>
      <c r="AF83" s="93" t="b">
        <f>IF(preDEL!$AG83,IFERROR(0/0,""),preDEL!AF83)</f>
        <v>0</v>
      </c>
      <c r="AG83" s="93" t="b">
        <f>IF(preDEL!$AG83,IFERROR(0/0,""),preDEL!AG83)</f>
        <v>0</v>
      </c>
      <c r="AH83" s="99" t="str">
        <f>IF(preDEL!$AG83,IFERROR(0/0,""),preDEL!AH83)</f>
        <v/>
      </c>
      <c r="AI83" s="249" t="str">
        <f>IF(preDEL!$AG83,IFERROR(0/0,""),preDEL!AI83)</f>
        <v/>
      </c>
      <c r="AJ83" s="94" t="str">
        <f>IF(preDEL!$AG83,IFERROR(0/0,""),preDEL!AJ83)</f>
        <v/>
      </c>
      <c r="AK83" s="249" t="str">
        <f>IF(preDEL!$AG83,IFERROR(0/0,""),preDEL!AK83)</f>
        <v>Negative</v>
      </c>
      <c r="AL83" s="94" t="str">
        <f>IF(preDEL!$AG83,IFERROR(0/0,""),preDEL!AL83)</f>
        <v/>
      </c>
      <c r="AM83" s="94" t="str">
        <f>IF(preDEL!$AG83,IFERROR(0/0,""),preDEL!AM83)</f>
        <v>SpNDHM955894</v>
      </c>
      <c r="AN83" s="94" t="str">
        <f>IF(preDEL!$AG83,IFERROR(0/0,""),preDEL!AN83)</f>
        <v>NDHM107467</v>
      </c>
      <c r="AO83" s="94" t="str">
        <f>IF(preDEL!$AG83,IFERROR(0/0,""),preDEL!AO83)</f>
        <v/>
      </c>
      <c r="AP83" s="94" t="str">
        <f>IF(preDEL!$AG83,IFERROR(0/0,""),preDEL!AP83)</f>
        <v/>
      </c>
      <c r="AQ83" s="94" t="str">
        <f>IF(preDEL!$AG83,IFERROR(0/0,""),preDEL!AQ83)</f>
        <v/>
      </c>
      <c r="AR83" s="94" t="str">
        <f>IF(preDEL!$AG83,IFERROR(0/0,""),preDEL!AR83)</f>
        <v/>
      </c>
      <c r="AS83" s="98"/>
      <c r="BE83" s="254"/>
      <c r="BF83" s="255"/>
      <c r="BG83" s="254"/>
      <c r="BH83" s="255"/>
      <c r="BI83" s="254"/>
      <c r="BJ83" s="254"/>
      <c r="BK83" s="254"/>
      <c r="BL83" s="254"/>
      <c r="BN83" s="7"/>
      <c r="BO83" s="7"/>
      <c r="BP83" s="7"/>
      <c r="BQ83" s="7"/>
      <c r="BR83" s="7"/>
      <c r="BS83" s="7"/>
      <c r="BT83" s="7"/>
    </row>
    <row r="84">
      <c r="A84" s="249" t="str">
        <f>IF(preDEL!$AG84,IFERROR(0/0,""),preDEL!A84)</f>
        <v>AG469</v>
      </c>
      <c r="B84" s="250">
        <f>IF(preDEL!$AG84,IFERROR(0/0,""),preDEL!B84)</f>
        <v>44690</v>
      </c>
      <c r="C84" s="251">
        <f>IF(preDEL!$AG84,IFERROR(0/0,""),preDEL!C84)</f>
        <v>0.1700231481</v>
      </c>
      <c r="D84" s="249" t="str">
        <f>IF(preDEL!$AG84,IFERROR(0/0,""),preDEL!D84)</f>
        <v/>
      </c>
      <c r="E84" s="249" t="str">
        <f>IF(preDEL!$AG84,IFERROR(0/0,""),preDEL!E84)</f>
        <v/>
      </c>
      <c r="F84" s="94" t="str">
        <f>IF(preDEL!$AG84,IFERROR(0/0,""),preDEL!F84)</f>
        <v/>
      </c>
      <c r="G84" s="94" t="str">
        <f>IF(preDEL!$AG84,IFERROR(0/0,""),preDEL!G84)</f>
        <v/>
      </c>
      <c r="H84" s="94" t="str">
        <f>IF(preDEL!$AG84,IFERROR(0/0,""),preDEL!H84)</f>
        <v/>
      </c>
      <c r="I84" s="249" t="str">
        <f>IF(preDEL!$AG84,IFERROR(0/0,""),preDEL!I84)</f>
        <v/>
      </c>
      <c r="J84" s="249" t="str">
        <f>IF(preDEL!$AG84,IFERROR(0/0,""),preDEL!J84)</f>
        <v/>
      </c>
      <c r="K84" s="249" t="str">
        <f>IF(preDEL!$AG84,IFERROR(0/0,""),preDEL!K84)</f>
        <v>Negative</v>
      </c>
      <c r="L84" s="250">
        <f>IF(preDEL!$AG84,IFERROR(0/0,""),preDEL!L84)</f>
        <v>44690</v>
      </c>
      <c r="M84" s="251">
        <f>IF(preDEL!$AG84,IFERROR(0/0,""),preDEL!M84)</f>
        <v>0.3232291667</v>
      </c>
      <c r="N84" s="94" t="str">
        <f>IF(preDEL!$AG84,IFERROR(0/0,""),preDEL!N84)</f>
        <v/>
      </c>
      <c r="O84" s="94" t="str">
        <f>IF(preDEL!$AG84,IFERROR(0/0,""),preDEL!O84)</f>
        <v/>
      </c>
      <c r="P84" s="93" t="b">
        <f>IF(preDEL!$AG84,IFERROR(0/0,""),preDEL!P84)</f>
        <v>0</v>
      </c>
      <c r="Q84" s="93" t="str">
        <f>IF(preDEL!$AG84,IFERROR(0/0,""),preDEL!Q84)</f>
        <v>Result</v>
      </c>
      <c r="R84" s="99" t="b">
        <f>IF(preDEL!$AG84,IFERROR(0/0,""),preDEL!R84)</f>
        <v>0</v>
      </c>
      <c r="S84" s="99">
        <f>IF(preDEL!$AG84,IFERROR(0/0,""),preDEL!S84)</f>
        <v>4</v>
      </c>
      <c r="T84" s="93" t="str">
        <f>IF(preDEL!$AG84,IFERROR(0/0,""),preDEL!T84)</f>
        <v/>
      </c>
      <c r="U84" s="94" t="str">
        <f>IF(preDEL!$AG84,IFERROR(0/0,""),preDEL!U84)</f>
        <v/>
      </c>
      <c r="V84" s="249" t="str">
        <f>IF(preDEL!$AG84,IFERROR(0/0,""),preDEL!V84)</f>
        <v/>
      </c>
      <c r="W84" s="94" t="str">
        <f>IF(preDEL!$AG84,IFERROR(0/0,""),preDEL!W84)</f>
        <v/>
      </c>
      <c r="X84" s="99" t="b">
        <f>IF(preDEL!$AG84,IFERROR(0/0,""),preDEL!X84)</f>
        <v>0</v>
      </c>
      <c r="Y84" s="93" t="str">
        <f>IF(preDEL!$AG84,IFERROR(0/0,""),preDEL!Y84)</f>
        <v/>
      </c>
      <c r="Z84" s="249" t="str">
        <f>IF(preDEL!$AG84,IFERROR(0/0,""),preDEL!Z84)</f>
        <v/>
      </c>
      <c r="AA84" s="93" t="b">
        <f>IF(preDEL!$AG84,IFERROR(0/0,""),preDEL!AA84)</f>
        <v>0</v>
      </c>
      <c r="AB84" s="93" t="str">
        <f>IF(preDEL!$AG84,IFERROR(0/0,""),preDEL!AB84)</f>
        <v/>
      </c>
      <c r="AC84" s="252">
        <f>IF(preDEL!$AG84,IFERROR(0/0,""),preDEL!AC84)</f>
        <v>151</v>
      </c>
      <c r="AD84" s="99" t="str">
        <f>IF(preDEL!$AG84,IFERROR(0/0,""),preDEL!AD84)</f>
        <v/>
      </c>
      <c r="AE84" s="253">
        <f>IF(preDEL!$AG84,IFERROR(0/0,""),preDEL!AE84)</f>
        <v>220.6166667</v>
      </c>
      <c r="AF84" s="93" t="b">
        <f>IF(preDEL!$AG84,IFERROR(0/0,""),preDEL!AF84)</f>
        <v>0</v>
      </c>
      <c r="AG84" s="93" t="b">
        <f>IF(preDEL!$AG84,IFERROR(0/0,""),preDEL!AG84)</f>
        <v>0</v>
      </c>
      <c r="AH84" s="99" t="str">
        <f>IF(preDEL!$AG84,IFERROR(0/0,""),preDEL!AH84)</f>
        <v/>
      </c>
      <c r="AI84" s="249" t="str">
        <f>IF(preDEL!$AG84,IFERROR(0/0,""),preDEL!AI84)</f>
        <v/>
      </c>
      <c r="AJ84" s="94" t="str">
        <f>IF(preDEL!$AG84,IFERROR(0/0,""),preDEL!AJ84)</f>
        <v/>
      </c>
      <c r="AK84" s="249" t="str">
        <f>IF(preDEL!$AG84,IFERROR(0/0,""),preDEL!AK84)</f>
        <v>Negative</v>
      </c>
      <c r="AL84" s="94" t="str">
        <f>IF(preDEL!$AG84,IFERROR(0/0,""),preDEL!AL84)</f>
        <v/>
      </c>
      <c r="AM84" s="94" t="str">
        <f>IF(preDEL!$AG84,IFERROR(0/0,""),preDEL!AM84)</f>
        <v>SpNDHM955894</v>
      </c>
      <c r="AN84" s="94" t="str">
        <f>IF(preDEL!$AG84,IFERROR(0/0,""),preDEL!AN84)</f>
        <v>NDHM574415</v>
      </c>
      <c r="AO84" s="94" t="str">
        <f>IF(preDEL!$AG84,IFERROR(0/0,""),preDEL!AO84)</f>
        <v/>
      </c>
      <c r="AP84" s="94" t="str">
        <f>IF(preDEL!$AG84,IFERROR(0/0,""),preDEL!AP84)</f>
        <v/>
      </c>
      <c r="AQ84" s="94" t="str">
        <f>IF(preDEL!$AG84,IFERROR(0/0,""),preDEL!AQ84)</f>
        <v/>
      </c>
      <c r="AR84" s="94" t="str">
        <f>IF(preDEL!$AG84,IFERROR(0/0,""),preDEL!AR84)</f>
        <v/>
      </c>
      <c r="AS84" s="98"/>
      <c r="BE84" s="254"/>
      <c r="BF84" s="255"/>
      <c r="BG84" s="254"/>
      <c r="BH84" s="255"/>
      <c r="BI84" s="254"/>
      <c r="BJ84" s="254"/>
      <c r="BK84" s="254"/>
      <c r="BL84" s="254"/>
      <c r="BN84" s="7"/>
      <c r="BO84" s="7"/>
      <c r="BP84" s="7"/>
      <c r="BQ84" s="7"/>
      <c r="BR84" s="7"/>
      <c r="BS84" s="7"/>
      <c r="BT84" s="7"/>
    </row>
    <row r="85">
      <c r="A85" s="249" t="str">
        <f>IF(preDEL!$AG85,IFERROR(0/0,""),preDEL!A85)</f>
        <v>AG469</v>
      </c>
      <c r="B85" s="250">
        <f>IF(preDEL!$AG85,IFERROR(0/0,""),preDEL!B85)</f>
        <v>44690</v>
      </c>
      <c r="C85" s="251">
        <f>IF(preDEL!$AG85,IFERROR(0/0,""),preDEL!C85)</f>
        <v>0.1700231481</v>
      </c>
      <c r="D85" s="249" t="str">
        <f>IF(preDEL!$AG85,IFERROR(0/0,""),preDEL!D85)</f>
        <v/>
      </c>
      <c r="E85" s="249" t="str">
        <f>IF(preDEL!$AG85,IFERROR(0/0,""),preDEL!E85)</f>
        <v/>
      </c>
      <c r="F85" s="94" t="str">
        <f>IF(preDEL!$AG85,IFERROR(0/0,""),preDEL!F85)</f>
        <v/>
      </c>
      <c r="G85" s="94" t="str">
        <f>IF(preDEL!$AG85,IFERROR(0/0,""),preDEL!G85)</f>
        <v/>
      </c>
      <c r="H85" s="94" t="str">
        <f>IF(preDEL!$AG85,IFERROR(0/0,""),preDEL!H85)</f>
        <v/>
      </c>
      <c r="I85" s="249" t="str">
        <f>IF(preDEL!$AG85,IFERROR(0/0,""),preDEL!I85)</f>
        <v/>
      </c>
      <c r="J85" s="249" t="str">
        <f>IF(preDEL!$AG85,IFERROR(0/0,""),preDEL!J85)</f>
        <v/>
      </c>
      <c r="K85" s="249" t="str">
        <f>IF(preDEL!$AG85,IFERROR(0/0,""),preDEL!K85)</f>
        <v>Negative</v>
      </c>
      <c r="L85" s="250">
        <f>IF(preDEL!$AG85,IFERROR(0/0,""),preDEL!L85)</f>
        <v>44690</v>
      </c>
      <c r="M85" s="251">
        <f>IF(preDEL!$AG85,IFERROR(0/0,""),preDEL!M85)</f>
        <v>0.3232291667</v>
      </c>
      <c r="N85" s="94" t="str">
        <f>IF(preDEL!$AG85,IFERROR(0/0,""),preDEL!N85)</f>
        <v/>
      </c>
      <c r="O85" s="94" t="str">
        <f>IF(preDEL!$AG85,IFERROR(0/0,""),preDEL!O85)</f>
        <v/>
      </c>
      <c r="P85" s="93" t="b">
        <f>IF(preDEL!$AG85,IFERROR(0/0,""),preDEL!P85)</f>
        <v>0</v>
      </c>
      <c r="Q85" s="93" t="str">
        <f>IF(preDEL!$AG85,IFERROR(0/0,""),preDEL!Q85)</f>
        <v>Result</v>
      </c>
      <c r="R85" s="99" t="b">
        <f>IF(preDEL!$AG85,IFERROR(0/0,""),preDEL!R85)</f>
        <v>0</v>
      </c>
      <c r="S85" s="99">
        <f>IF(preDEL!$AG85,IFERROR(0/0,""),preDEL!S85)</f>
        <v>4</v>
      </c>
      <c r="T85" s="93" t="str">
        <f>IF(preDEL!$AG85,IFERROR(0/0,""),preDEL!T85)</f>
        <v/>
      </c>
      <c r="U85" s="94" t="str">
        <f>IF(preDEL!$AG85,IFERROR(0/0,""),preDEL!U85)</f>
        <v/>
      </c>
      <c r="V85" s="249" t="str">
        <f>IF(preDEL!$AG85,IFERROR(0/0,""),preDEL!V85)</f>
        <v/>
      </c>
      <c r="W85" s="94" t="str">
        <f>IF(preDEL!$AG85,IFERROR(0/0,""),preDEL!W85)</f>
        <v/>
      </c>
      <c r="X85" s="99" t="b">
        <f>IF(preDEL!$AG85,IFERROR(0/0,""),preDEL!X85)</f>
        <v>0</v>
      </c>
      <c r="Y85" s="93" t="str">
        <f>IF(preDEL!$AG85,IFERROR(0/0,""),preDEL!Y85)</f>
        <v/>
      </c>
      <c r="Z85" s="249" t="str">
        <f>IF(preDEL!$AG85,IFERROR(0/0,""),preDEL!Z85)</f>
        <v/>
      </c>
      <c r="AA85" s="93" t="b">
        <f>IF(preDEL!$AG85,IFERROR(0/0,""),preDEL!AA85)</f>
        <v>0</v>
      </c>
      <c r="AB85" s="93" t="str">
        <f>IF(preDEL!$AG85,IFERROR(0/0,""),preDEL!AB85)</f>
        <v/>
      </c>
      <c r="AC85" s="252">
        <f>IF(preDEL!$AG85,IFERROR(0/0,""),preDEL!AC85)</f>
        <v>148</v>
      </c>
      <c r="AD85" s="99" t="str">
        <f>IF(preDEL!$AG85,IFERROR(0/0,""),preDEL!AD85)</f>
        <v/>
      </c>
      <c r="AE85" s="253">
        <f>IF(preDEL!$AG85,IFERROR(0/0,""),preDEL!AE85)</f>
        <v>220.6166667</v>
      </c>
      <c r="AF85" s="93" t="b">
        <f>IF(preDEL!$AG85,IFERROR(0/0,""),preDEL!AF85)</f>
        <v>0</v>
      </c>
      <c r="AG85" s="93" t="b">
        <f>IF(preDEL!$AG85,IFERROR(0/0,""),preDEL!AG85)</f>
        <v>0</v>
      </c>
      <c r="AH85" s="99" t="str">
        <f>IF(preDEL!$AG85,IFERROR(0/0,""),preDEL!AH85)</f>
        <v/>
      </c>
      <c r="AI85" s="249" t="str">
        <f>IF(preDEL!$AG85,IFERROR(0/0,""),preDEL!AI85)</f>
        <v/>
      </c>
      <c r="AJ85" s="94" t="str">
        <f>IF(preDEL!$AG85,IFERROR(0/0,""),preDEL!AJ85)</f>
        <v/>
      </c>
      <c r="AK85" s="249" t="str">
        <f>IF(preDEL!$AG85,IFERROR(0/0,""),preDEL!AK85)</f>
        <v>Negative</v>
      </c>
      <c r="AL85" s="94" t="str">
        <f>IF(preDEL!$AG85,IFERROR(0/0,""),preDEL!AL85)</f>
        <v/>
      </c>
      <c r="AM85" s="94" t="str">
        <f>IF(preDEL!$AG85,IFERROR(0/0,""),preDEL!AM85)</f>
        <v>SpNDHM955894</v>
      </c>
      <c r="AN85" s="94" t="str">
        <f>IF(preDEL!$AG85,IFERROR(0/0,""),preDEL!AN85)</f>
        <v>NDHM432678</v>
      </c>
      <c r="AO85" s="94" t="str">
        <f>IF(preDEL!$AG85,IFERROR(0/0,""),preDEL!AO85)</f>
        <v/>
      </c>
      <c r="AP85" s="94" t="str">
        <f>IF(preDEL!$AG85,IFERROR(0/0,""),preDEL!AP85)</f>
        <v/>
      </c>
      <c r="AQ85" s="94" t="str">
        <f>IF(preDEL!$AG85,IFERROR(0/0,""),preDEL!AQ85)</f>
        <v/>
      </c>
      <c r="AR85" s="94" t="str">
        <f>IF(preDEL!$AG85,IFERROR(0/0,""),preDEL!AR85)</f>
        <v/>
      </c>
      <c r="AS85" s="98"/>
      <c r="BE85" s="254"/>
      <c r="BF85" s="255"/>
      <c r="BG85" s="254"/>
      <c r="BH85" s="255"/>
      <c r="BI85" s="254"/>
      <c r="BJ85" s="254"/>
      <c r="BK85" s="254"/>
      <c r="BL85" s="254"/>
      <c r="BN85" s="7"/>
      <c r="BO85" s="7"/>
      <c r="BP85" s="7"/>
      <c r="BQ85" s="7"/>
      <c r="BR85" s="7"/>
      <c r="BS85" s="7"/>
      <c r="BT85" s="7"/>
    </row>
    <row r="86">
      <c r="A86" s="249" t="str">
        <f>IF(preDEL!$AG86,IFERROR(0/0,""),preDEL!A86)</f>
        <v>AG469</v>
      </c>
      <c r="B86" s="250">
        <f>IF(preDEL!$AG86,IFERROR(0/0,""),preDEL!B86)</f>
        <v>44690</v>
      </c>
      <c r="C86" s="251">
        <f>IF(preDEL!$AG86,IFERROR(0/0,""),preDEL!C86)</f>
        <v>0.1700231481</v>
      </c>
      <c r="D86" s="249" t="str">
        <f>IF(preDEL!$AG86,IFERROR(0/0,""),preDEL!D86)</f>
        <v/>
      </c>
      <c r="E86" s="249" t="str">
        <f>IF(preDEL!$AG86,IFERROR(0/0,""),preDEL!E86)</f>
        <v/>
      </c>
      <c r="F86" s="94" t="str">
        <f>IF(preDEL!$AG86,IFERROR(0/0,""),preDEL!F86)</f>
        <v/>
      </c>
      <c r="G86" s="94" t="str">
        <f>IF(preDEL!$AG86,IFERROR(0/0,""),preDEL!G86)</f>
        <v/>
      </c>
      <c r="H86" s="94" t="str">
        <f>IF(preDEL!$AG86,IFERROR(0/0,""),preDEL!H86)</f>
        <v/>
      </c>
      <c r="I86" s="249" t="str">
        <f>IF(preDEL!$AG86,IFERROR(0/0,""),preDEL!I86)</f>
        <v/>
      </c>
      <c r="J86" s="249" t="str">
        <f>IF(preDEL!$AG86,IFERROR(0/0,""),preDEL!J86)</f>
        <v/>
      </c>
      <c r="K86" s="249" t="str">
        <f>IF(preDEL!$AG86,IFERROR(0/0,""),preDEL!K86)</f>
        <v>Negative</v>
      </c>
      <c r="L86" s="250">
        <f>IF(preDEL!$AG86,IFERROR(0/0,""),preDEL!L86)</f>
        <v>44690</v>
      </c>
      <c r="M86" s="251">
        <f>IF(preDEL!$AG86,IFERROR(0/0,""),preDEL!M86)</f>
        <v>0.3232291667</v>
      </c>
      <c r="N86" s="94" t="str">
        <f>IF(preDEL!$AG86,IFERROR(0/0,""),preDEL!N86)</f>
        <v/>
      </c>
      <c r="O86" s="94" t="str">
        <f>IF(preDEL!$AG86,IFERROR(0/0,""),preDEL!O86)</f>
        <v/>
      </c>
      <c r="P86" s="93" t="b">
        <f>IF(preDEL!$AG86,IFERROR(0/0,""),preDEL!P86)</f>
        <v>0</v>
      </c>
      <c r="Q86" s="93" t="str">
        <f>IF(preDEL!$AG86,IFERROR(0/0,""),preDEL!Q86)</f>
        <v>Result</v>
      </c>
      <c r="R86" s="99" t="b">
        <f>IF(preDEL!$AG86,IFERROR(0/0,""),preDEL!R86)</f>
        <v>0</v>
      </c>
      <c r="S86" s="99">
        <f>IF(preDEL!$AG86,IFERROR(0/0,""),preDEL!S86)</f>
        <v>4</v>
      </c>
      <c r="T86" s="93" t="str">
        <f>IF(preDEL!$AG86,IFERROR(0/0,""),preDEL!T86)</f>
        <v/>
      </c>
      <c r="U86" s="94" t="str">
        <f>IF(preDEL!$AG86,IFERROR(0/0,""),preDEL!U86)</f>
        <v/>
      </c>
      <c r="V86" s="249" t="str">
        <f>IF(preDEL!$AG86,IFERROR(0/0,""),preDEL!V86)</f>
        <v/>
      </c>
      <c r="W86" s="94" t="str">
        <f>IF(preDEL!$AG86,IFERROR(0/0,""),preDEL!W86)</f>
        <v/>
      </c>
      <c r="X86" s="99" t="b">
        <f>IF(preDEL!$AG86,IFERROR(0/0,""),preDEL!X86)</f>
        <v>0</v>
      </c>
      <c r="Y86" s="93" t="str">
        <f>IF(preDEL!$AG86,IFERROR(0/0,""),preDEL!Y86)</f>
        <v/>
      </c>
      <c r="Z86" s="249" t="str">
        <f>IF(preDEL!$AG86,IFERROR(0/0,""),preDEL!Z86)</f>
        <v/>
      </c>
      <c r="AA86" s="93" t="b">
        <f>IF(preDEL!$AG86,IFERROR(0/0,""),preDEL!AA86)</f>
        <v>0</v>
      </c>
      <c r="AB86" s="93" t="str">
        <f>IF(preDEL!$AG86,IFERROR(0/0,""),preDEL!AB86)</f>
        <v/>
      </c>
      <c r="AC86" s="252">
        <f>IF(preDEL!$AG86,IFERROR(0/0,""),preDEL!AC86)</f>
        <v>150</v>
      </c>
      <c r="AD86" s="99" t="str">
        <f>IF(preDEL!$AG86,IFERROR(0/0,""),preDEL!AD86)</f>
        <v/>
      </c>
      <c r="AE86" s="253">
        <f>IF(preDEL!$AG86,IFERROR(0/0,""),preDEL!AE86)</f>
        <v>220.6166667</v>
      </c>
      <c r="AF86" s="93" t="b">
        <f>IF(preDEL!$AG86,IFERROR(0/0,""),preDEL!AF86)</f>
        <v>0</v>
      </c>
      <c r="AG86" s="93" t="b">
        <f>IF(preDEL!$AG86,IFERROR(0/0,""),preDEL!AG86)</f>
        <v>0</v>
      </c>
      <c r="AH86" s="99" t="str">
        <f>IF(preDEL!$AG86,IFERROR(0/0,""),preDEL!AH86)</f>
        <v/>
      </c>
      <c r="AI86" s="249" t="str">
        <f>IF(preDEL!$AG86,IFERROR(0/0,""),preDEL!AI86)</f>
        <v/>
      </c>
      <c r="AJ86" s="94" t="str">
        <f>IF(preDEL!$AG86,IFERROR(0/0,""),preDEL!AJ86)</f>
        <v/>
      </c>
      <c r="AK86" s="249" t="str">
        <f>IF(preDEL!$AG86,IFERROR(0/0,""),preDEL!AK86)</f>
        <v>Negative</v>
      </c>
      <c r="AL86" s="94" t="str">
        <f>IF(preDEL!$AG86,IFERROR(0/0,""),preDEL!AL86)</f>
        <v/>
      </c>
      <c r="AM86" s="94" t="str">
        <f>IF(preDEL!$AG86,IFERROR(0/0,""),preDEL!AM86)</f>
        <v>SpNDHM955894</v>
      </c>
      <c r="AN86" s="94" t="str">
        <f>IF(preDEL!$AG86,IFERROR(0/0,""),preDEL!AN86)</f>
        <v>NDHM513495</v>
      </c>
      <c r="AO86" s="94" t="str">
        <f>IF(preDEL!$AG86,IFERROR(0/0,""),preDEL!AO86)</f>
        <v/>
      </c>
      <c r="AP86" s="94" t="str">
        <f>IF(preDEL!$AG86,IFERROR(0/0,""),preDEL!AP86)</f>
        <v/>
      </c>
      <c r="AQ86" s="94" t="str">
        <f>IF(preDEL!$AG86,IFERROR(0/0,""),preDEL!AQ86)</f>
        <v/>
      </c>
      <c r="AR86" s="94" t="str">
        <f>IF(preDEL!$AG86,IFERROR(0/0,""),preDEL!AR86)</f>
        <v/>
      </c>
      <c r="AS86" s="98"/>
      <c r="BE86" s="254"/>
      <c r="BF86" s="255"/>
      <c r="BG86" s="254"/>
      <c r="BH86" s="255"/>
      <c r="BI86" s="254"/>
      <c r="BJ86" s="254"/>
      <c r="BK86" s="254"/>
      <c r="BL86" s="254"/>
      <c r="BN86" s="7"/>
      <c r="BO86" s="7"/>
      <c r="BP86" s="7"/>
      <c r="BQ86" s="7"/>
      <c r="BR86" s="7"/>
      <c r="BS86" s="7"/>
      <c r="BT86" s="7"/>
    </row>
    <row r="87">
      <c r="A87" s="249" t="str">
        <f>IF(preDEL!$AG87,IFERROR(0/0,""),preDEL!A87)</f>
        <v>AH7931</v>
      </c>
      <c r="B87" s="250">
        <f>IF(preDEL!$AG87,IFERROR(0/0,""),preDEL!B87)</f>
        <v>44690</v>
      </c>
      <c r="C87" s="251">
        <f>IF(preDEL!$AG87,IFERROR(0/0,""),preDEL!C87)</f>
        <v>0.1787037037</v>
      </c>
      <c r="D87" s="249" t="str">
        <f>IF(preDEL!$AG87,IFERROR(0/0,""),preDEL!D87)</f>
        <v/>
      </c>
      <c r="E87" s="249" t="str">
        <f>IF(preDEL!$AG87,IFERROR(0/0,""),preDEL!E87)</f>
        <v/>
      </c>
      <c r="F87" s="94" t="str">
        <f>IF(preDEL!$AG87,IFERROR(0/0,""),preDEL!F87)</f>
        <v/>
      </c>
      <c r="G87" s="94" t="str">
        <f>IF(preDEL!$AG87,IFERROR(0/0,""),preDEL!G87)</f>
        <v/>
      </c>
      <c r="H87" s="94" t="str">
        <f>IF(preDEL!$AG87,IFERROR(0/0,""),preDEL!H87)</f>
        <v/>
      </c>
      <c r="I87" s="249" t="str">
        <f>IF(preDEL!$AG87,IFERROR(0/0,""),preDEL!I87)</f>
        <v/>
      </c>
      <c r="J87" s="249" t="str">
        <f>IF(preDEL!$AG87,IFERROR(0/0,""),preDEL!J87)</f>
        <v/>
      </c>
      <c r="K87" s="249" t="str">
        <f>IF(preDEL!$AG87,IFERROR(0/0,""),preDEL!K87)</f>
        <v>Negative</v>
      </c>
      <c r="L87" s="250">
        <f>IF(preDEL!$AG87,IFERROR(0/0,""),preDEL!L87)</f>
        <v>44690</v>
      </c>
      <c r="M87" s="251">
        <f>IF(preDEL!$AG87,IFERROR(0/0,""),preDEL!M87)</f>
        <v>0.3232407407</v>
      </c>
      <c r="N87" s="94" t="str">
        <f>IF(preDEL!$AG87,IFERROR(0/0,""),preDEL!N87)</f>
        <v/>
      </c>
      <c r="O87" s="94" t="str">
        <f>IF(preDEL!$AG87,IFERROR(0/0,""),preDEL!O87)</f>
        <v/>
      </c>
      <c r="P87" s="93" t="b">
        <f>IF(preDEL!$AG87,IFERROR(0/0,""),preDEL!P87)</f>
        <v>0</v>
      </c>
      <c r="Q87" s="93" t="str">
        <f>IF(preDEL!$AG87,IFERROR(0/0,""),preDEL!Q87)</f>
        <v>Result</v>
      </c>
      <c r="R87" s="99" t="b">
        <f>IF(preDEL!$AG87,IFERROR(0/0,""),preDEL!R87)</f>
        <v>1</v>
      </c>
      <c r="S87" s="99">
        <f>IF(preDEL!$AG87,IFERROR(0/0,""),preDEL!S87)</f>
        <v>3</v>
      </c>
      <c r="T87" s="93" t="str">
        <f>IF(preDEL!$AG87,IFERROR(0/0,""),preDEL!T87)</f>
        <v/>
      </c>
      <c r="U87" s="94" t="str">
        <f>IF(preDEL!$AG87,IFERROR(0/0,""),preDEL!U87)</f>
        <v/>
      </c>
      <c r="V87" s="249" t="str">
        <f>IF(preDEL!$AG87,IFERROR(0/0,""),preDEL!V87)</f>
        <v/>
      </c>
      <c r="W87" s="94" t="str">
        <f>IF(preDEL!$AG87,IFERROR(0/0,""),preDEL!W87)</f>
        <v/>
      </c>
      <c r="X87" s="99" t="b">
        <f>IF(preDEL!$AG87,IFERROR(0/0,""),preDEL!X87)</f>
        <v>0</v>
      </c>
      <c r="Y87" s="93" t="str">
        <f>IF(preDEL!$AG87,IFERROR(0/0,""),preDEL!Y87)</f>
        <v/>
      </c>
      <c r="Z87" s="249" t="str">
        <f>IF(preDEL!$AG87,IFERROR(0/0,""),preDEL!Z87)</f>
        <v/>
      </c>
      <c r="AA87" s="93" t="b">
        <f>IF(preDEL!$AG87,IFERROR(0/0,""),preDEL!AA87)</f>
        <v>0</v>
      </c>
      <c r="AB87" s="93" t="str">
        <f>IF(preDEL!$AG87,IFERROR(0/0,""),preDEL!AB87)</f>
        <v/>
      </c>
      <c r="AC87" s="252">
        <f>IF(preDEL!$AG87,IFERROR(0/0,""),preDEL!AC87)</f>
        <v>153</v>
      </c>
      <c r="AD87" s="99" t="str">
        <f>IF(preDEL!$AG87,IFERROR(0/0,""),preDEL!AD87)</f>
        <v/>
      </c>
      <c r="AE87" s="253">
        <f>IF(preDEL!$AG87,IFERROR(0/0,""),preDEL!AE87)</f>
        <v>208.1333333</v>
      </c>
      <c r="AF87" s="93" t="b">
        <f>IF(preDEL!$AG87,IFERROR(0/0,""),preDEL!AF87)</f>
        <v>0</v>
      </c>
      <c r="AG87" s="93" t="b">
        <f>IF(preDEL!$AG87,IFERROR(0/0,""),preDEL!AG87)</f>
        <v>0</v>
      </c>
      <c r="AH87" s="99" t="str">
        <f>IF(preDEL!$AG87,IFERROR(0/0,""),preDEL!AH87)</f>
        <v/>
      </c>
      <c r="AI87" s="249" t="str">
        <f>IF(preDEL!$AG87,IFERROR(0/0,""),preDEL!AI87)</f>
        <v/>
      </c>
      <c r="AJ87" s="94" t="str">
        <f>IF(preDEL!$AG87,IFERROR(0/0,""),preDEL!AJ87)</f>
        <v/>
      </c>
      <c r="AK87" s="249" t="str">
        <f>IF(preDEL!$AG87,IFERROR(0/0,""),preDEL!AK87)</f>
        <v>Negative</v>
      </c>
      <c r="AL87" s="94" t="str">
        <f>IF(preDEL!$AG87,IFERROR(0/0,""),preDEL!AL87)</f>
        <v/>
      </c>
      <c r="AM87" s="94" t="str">
        <f>IF(preDEL!$AG87,IFERROR(0/0,""),preDEL!AM87)</f>
        <v>SpNDHM966349</v>
      </c>
      <c r="AN87" s="94" t="str">
        <f>IF(preDEL!$AG87,IFERROR(0/0,""),preDEL!AN87)</f>
        <v>NDHM514003</v>
      </c>
      <c r="AO87" s="94" t="str">
        <f>IF(preDEL!$AG87,IFERROR(0/0,""),preDEL!AO87)</f>
        <v/>
      </c>
      <c r="AP87" s="94" t="str">
        <f>IF(preDEL!$AG87,IFERROR(0/0,""),preDEL!AP87)</f>
        <v/>
      </c>
      <c r="AQ87" s="94" t="str">
        <f>IF(preDEL!$AG87,IFERROR(0/0,""),preDEL!AQ87)</f>
        <v/>
      </c>
      <c r="AR87" s="94" t="str">
        <f>IF(preDEL!$AG87,IFERROR(0/0,""),preDEL!AR87)</f>
        <v/>
      </c>
      <c r="AS87" s="98"/>
      <c r="BE87" s="254"/>
      <c r="BF87" s="255"/>
      <c r="BG87" s="254"/>
      <c r="BH87" s="255"/>
      <c r="BI87" s="254"/>
      <c r="BJ87" s="254"/>
      <c r="BK87" s="254"/>
      <c r="BL87" s="254"/>
      <c r="BN87" s="7"/>
      <c r="BO87" s="7"/>
      <c r="BP87" s="7"/>
      <c r="BQ87" s="7"/>
      <c r="BR87" s="7"/>
      <c r="BS87" s="7"/>
      <c r="BT87" s="7"/>
    </row>
    <row r="88">
      <c r="A88" s="249" t="str">
        <f>IF(preDEL!$AG88,IFERROR(0/0,""),preDEL!A88)</f>
        <v>AH7931</v>
      </c>
      <c r="B88" s="250">
        <f>IF(preDEL!$AG88,IFERROR(0/0,""),preDEL!B88)</f>
        <v>44690</v>
      </c>
      <c r="C88" s="251">
        <f>IF(preDEL!$AG88,IFERROR(0/0,""),preDEL!C88)</f>
        <v>0.1787037037</v>
      </c>
      <c r="D88" s="249" t="str">
        <f>IF(preDEL!$AG88,IFERROR(0/0,""),preDEL!D88)</f>
        <v/>
      </c>
      <c r="E88" s="249" t="str">
        <f>IF(preDEL!$AG88,IFERROR(0/0,""),preDEL!E88)</f>
        <v/>
      </c>
      <c r="F88" s="94" t="str">
        <f>IF(preDEL!$AG88,IFERROR(0/0,""),preDEL!F88)</f>
        <v/>
      </c>
      <c r="G88" s="94" t="str">
        <f>IF(preDEL!$AG88,IFERROR(0/0,""),preDEL!G88)</f>
        <v/>
      </c>
      <c r="H88" s="94" t="str">
        <f>IF(preDEL!$AG88,IFERROR(0/0,""),preDEL!H88)</f>
        <v/>
      </c>
      <c r="I88" s="249" t="str">
        <f>IF(preDEL!$AG88,IFERROR(0/0,""),preDEL!I88)</f>
        <v/>
      </c>
      <c r="J88" s="249" t="str">
        <f>IF(preDEL!$AG88,IFERROR(0/0,""),preDEL!J88)</f>
        <v/>
      </c>
      <c r="K88" s="249" t="str">
        <f>IF(preDEL!$AG88,IFERROR(0/0,""),preDEL!K88)</f>
        <v>Negative</v>
      </c>
      <c r="L88" s="250">
        <f>IF(preDEL!$AG88,IFERROR(0/0,""),preDEL!L88)</f>
        <v>44690</v>
      </c>
      <c r="M88" s="251">
        <f>IF(preDEL!$AG88,IFERROR(0/0,""),preDEL!M88)</f>
        <v>0.3232407407</v>
      </c>
      <c r="N88" s="94" t="str">
        <f>IF(preDEL!$AG88,IFERROR(0/0,""),preDEL!N88)</f>
        <v/>
      </c>
      <c r="O88" s="94" t="str">
        <f>IF(preDEL!$AG88,IFERROR(0/0,""),preDEL!O88)</f>
        <v/>
      </c>
      <c r="P88" s="93" t="b">
        <f>IF(preDEL!$AG88,IFERROR(0/0,""),preDEL!P88)</f>
        <v>0</v>
      </c>
      <c r="Q88" s="93" t="str">
        <f>IF(preDEL!$AG88,IFERROR(0/0,""),preDEL!Q88)</f>
        <v>Result</v>
      </c>
      <c r="R88" s="99" t="b">
        <f>IF(preDEL!$AG88,IFERROR(0/0,""),preDEL!R88)</f>
        <v>0</v>
      </c>
      <c r="S88" s="99">
        <f>IF(preDEL!$AG88,IFERROR(0/0,""),preDEL!S88)</f>
        <v>3</v>
      </c>
      <c r="T88" s="93" t="str">
        <f>IF(preDEL!$AG88,IFERROR(0/0,""),preDEL!T88)</f>
        <v/>
      </c>
      <c r="U88" s="94" t="str">
        <f>IF(preDEL!$AG88,IFERROR(0/0,""),preDEL!U88)</f>
        <v/>
      </c>
      <c r="V88" s="249" t="str">
        <f>IF(preDEL!$AG88,IFERROR(0/0,""),preDEL!V88)</f>
        <v/>
      </c>
      <c r="W88" s="94" t="str">
        <f>IF(preDEL!$AG88,IFERROR(0/0,""),preDEL!W88)</f>
        <v/>
      </c>
      <c r="X88" s="99" t="b">
        <f>IF(preDEL!$AG88,IFERROR(0/0,""),preDEL!X88)</f>
        <v>0</v>
      </c>
      <c r="Y88" s="93" t="str">
        <f>IF(preDEL!$AG88,IFERROR(0/0,""),preDEL!Y88)</f>
        <v/>
      </c>
      <c r="Z88" s="249" t="str">
        <f>IF(preDEL!$AG88,IFERROR(0/0,""),preDEL!Z88)</f>
        <v/>
      </c>
      <c r="AA88" s="93" t="b">
        <f>IF(preDEL!$AG88,IFERROR(0/0,""),preDEL!AA88)</f>
        <v>0</v>
      </c>
      <c r="AB88" s="93" t="str">
        <f>IF(preDEL!$AG88,IFERROR(0/0,""),preDEL!AB88)</f>
        <v/>
      </c>
      <c r="AC88" s="252">
        <f>IF(preDEL!$AG88,IFERROR(0/0,""),preDEL!AC88)</f>
        <v>154</v>
      </c>
      <c r="AD88" s="99" t="str">
        <f>IF(preDEL!$AG88,IFERROR(0/0,""),preDEL!AD88)</f>
        <v/>
      </c>
      <c r="AE88" s="253">
        <f>IF(preDEL!$AG88,IFERROR(0/0,""),preDEL!AE88)</f>
        <v>208.1333333</v>
      </c>
      <c r="AF88" s="93" t="b">
        <f>IF(preDEL!$AG88,IFERROR(0/0,""),preDEL!AF88)</f>
        <v>0</v>
      </c>
      <c r="AG88" s="93" t="b">
        <f>IF(preDEL!$AG88,IFERROR(0/0,""),preDEL!AG88)</f>
        <v>0</v>
      </c>
      <c r="AH88" s="99" t="str">
        <f>IF(preDEL!$AG88,IFERROR(0/0,""),preDEL!AH88)</f>
        <v/>
      </c>
      <c r="AI88" s="249" t="str">
        <f>IF(preDEL!$AG88,IFERROR(0/0,""),preDEL!AI88)</f>
        <v/>
      </c>
      <c r="AJ88" s="94" t="str">
        <f>IF(preDEL!$AG88,IFERROR(0/0,""),preDEL!AJ88)</f>
        <v/>
      </c>
      <c r="AK88" s="249" t="str">
        <f>IF(preDEL!$AG88,IFERROR(0/0,""),preDEL!AK88)</f>
        <v>Negative</v>
      </c>
      <c r="AL88" s="94" t="str">
        <f>IF(preDEL!$AG88,IFERROR(0/0,""),preDEL!AL88)</f>
        <v/>
      </c>
      <c r="AM88" s="94" t="str">
        <f>IF(preDEL!$AG88,IFERROR(0/0,""),preDEL!AM88)</f>
        <v>SpNDHM966349</v>
      </c>
      <c r="AN88" s="94" t="str">
        <f>IF(preDEL!$AG88,IFERROR(0/0,""),preDEL!AN88)</f>
        <v>NDHM806069</v>
      </c>
      <c r="AO88" s="94" t="str">
        <f>IF(preDEL!$AG88,IFERROR(0/0,""),preDEL!AO88)</f>
        <v/>
      </c>
      <c r="AP88" s="94" t="str">
        <f>IF(preDEL!$AG88,IFERROR(0/0,""),preDEL!AP88)</f>
        <v/>
      </c>
      <c r="AQ88" s="94" t="str">
        <f>IF(preDEL!$AG88,IFERROR(0/0,""),preDEL!AQ88)</f>
        <v/>
      </c>
      <c r="AR88" s="94" t="str">
        <f>IF(preDEL!$AG88,IFERROR(0/0,""),preDEL!AR88)</f>
        <v/>
      </c>
      <c r="AS88" s="98"/>
      <c r="BE88" s="254"/>
      <c r="BF88" s="255"/>
      <c r="BG88" s="254"/>
      <c r="BH88" s="255"/>
      <c r="BI88" s="254"/>
      <c r="BJ88" s="254"/>
      <c r="BK88" s="254"/>
      <c r="BL88" s="254"/>
      <c r="BN88" s="7"/>
      <c r="BO88" s="7"/>
      <c r="BP88" s="7"/>
      <c r="BQ88" s="7"/>
      <c r="BR88" s="7"/>
      <c r="BS88" s="7"/>
      <c r="BT88" s="7"/>
    </row>
    <row r="89">
      <c r="A89" s="249" t="str">
        <f>IF(preDEL!$AG89,IFERROR(0/0,""),preDEL!A89)</f>
        <v>AH7931</v>
      </c>
      <c r="B89" s="250">
        <f>IF(preDEL!$AG89,IFERROR(0/0,""),preDEL!B89)</f>
        <v>44690</v>
      </c>
      <c r="C89" s="251">
        <f>IF(preDEL!$AG89,IFERROR(0/0,""),preDEL!C89)</f>
        <v>0.1787037037</v>
      </c>
      <c r="D89" s="249" t="str">
        <f>IF(preDEL!$AG89,IFERROR(0/0,""),preDEL!D89)</f>
        <v/>
      </c>
      <c r="E89" s="249" t="str">
        <f>IF(preDEL!$AG89,IFERROR(0/0,""),preDEL!E89)</f>
        <v/>
      </c>
      <c r="F89" s="94" t="str">
        <f>IF(preDEL!$AG89,IFERROR(0/0,""),preDEL!F89)</f>
        <v/>
      </c>
      <c r="G89" s="94" t="str">
        <f>IF(preDEL!$AG89,IFERROR(0/0,""),preDEL!G89)</f>
        <v/>
      </c>
      <c r="H89" s="94" t="str">
        <f>IF(preDEL!$AG89,IFERROR(0/0,""),preDEL!H89)</f>
        <v/>
      </c>
      <c r="I89" s="249" t="str">
        <f>IF(preDEL!$AG89,IFERROR(0/0,""),preDEL!I89)</f>
        <v/>
      </c>
      <c r="J89" s="249" t="str">
        <f>IF(preDEL!$AG89,IFERROR(0/0,""),preDEL!J89)</f>
        <v/>
      </c>
      <c r="K89" s="249" t="str">
        <f>IF(preDEL!$AG89,IFERROR(0/0,""),preDEL!K89)</f>
        <v>Negative</v>
      </c>
      <c r="L89" s="250">
        <f>IF(preDEL!$AG89,IFERROR(0/0,""),preDEL!L89)</f>
        <v>44690</v>
      </c>
      <c r="M89" s="251">
        <f>IF(preDEL!$AG89,IFERROR(0/0,""),preDEL!M89)</f>
        <v>0.3232407407</v>
      </c>
      <c r="N89" s="94" t="str">
        <f>IF(preDEL!$AG89,IFERROR(0/0,""),preDEL!N89)</f>
        <v/>
      </c>
      <c r="O89" s="94" t="str">
        <f>IF(preDEL!$AG89,IFERROR(0/0,""),preDEL!O89)</f>
        <v/>
      </c>
      <c r="P89" s="93" t="b">
        <f>IF(preDEL!$AG89,IFERROR(0/0,""),preDEL!P89)</f>
        <v>0</v>
      </c>
      <c r="Q89" s="93" t="str">
        <f>IF(preDEL!$AG89,IFERROR(0/0,""),preDEL!Q89)</f>
        <v>Result</v>
      </c>
      <c r="R89" s="99" t="b">
        <f>IF(preDEL!$AG89,IFERROR(0/0,""),preDEL!R89)</f>
        <v>0</v>
      </c>
      <c r="S89" s="99">
        <f>IF(preDEL!$AG89,IFERROR(0/0,""),preDEL!S89)</f>
        <v>3</v>
      </c>
      <c r="T89" s="93" t="str">
        <f>IF(preDEL!$AG89,IFERROR(0/0,""),preDEL!T89)</f>
        <v/>
      </c>
      <c r="U89" s="94" t="str">
        <f>IF(preDEL!$AG89,IFERROR(0/0,""),preDEL!U89)</f>
        <v/>
      </c>
      <c r="V89" s="249" t="str">
        <f>IF(preDEL!$AG89,IFERROR(0/0,""),preDEL!V89)</f>
        <v/>
      </c>
      <c r="W89" s="94" t="str">
        <f>IF(preDEL!$AG89,IFERROR(0/0,""),preDEL!W89)</f>
        <v/>
      </c>
      <c r="X89" s="99" t="b">
        <f>IF(preDEL!$AG89,IFERROR(0/0,""),preDEL!X89)</f>
        <v>0</v>
      </c>
      <c r="Y89" s="93" t="str">
        <f>IF(preDEL!$AG89,IFERROR(0/0,""),preDEL!Y89)</f>
        <v/>
      </c>
      <c r="Z89" s="249" t="str">
        <f>IF(preDEL!$AG89,IFERROR(0/0,""),preDEL!Z89)</f>
        <v/>
      </c>
      <c r="AA89" s="93" t="b">
        <f>IF(preDEL!$AG89,IFERROR(0/0,""),preDEL!AA89)</f>
        <v>0</v>
      </c>
      <c r="AB89" s="93" t="str">
        <f>IF(preDEL!$AG89,IFERROR(0/0,""),preDEL!AB89)</f>
        <v/>
      </c>
      <c r="AC89" s="252">
        <f>IF(preDEL!$AG89,IFERROR(0/0,""),preDEL!AC89)</f>
        <v>152</v>
      </c>
      <c r="AD89" s="99" t="str">
        <f>IF(preDEL!$AG89,IFERROR(0/0,""),preDEL!AD89)</f>
        <v/>
      </c>
      <c r="AE89" s="253">
        <f>IF(preDEL!$AG89,IFERROR(0/0,""),preDEL!AE89)</f>
        <v>208.1333333</v>
      </c>
      <c r="AF89" s="93" t="b">
        <f>IF(preDEL!$AG89,IFERROR(0/0,""),preDEL!AF89)</f>
        <v>0</v>
      </c>
      <c r="AG89" s="93" t="b">
        <f>IF(preDEL!$AG89,IFERROR(0/0,""),preDEL!AG89)</f>
        <v>0</v>
      </c>
      <c r="AH89" s="99" t="str">
        <f>IF(preDEL!$AG89,IFERROR(0/0,""),preDEL!AH89)</f>
        <v/>
      </c>
      <c r="AI89" s="249" t="str">
        <f>IF(preDEL!$AG89,IFERROR(0/0,""),preDEL!AI89)</f>
        <v/>
      </c>
      <c r="AJ89" s="94" t="str">
        <f>IF(preDEL!$AG89,IFERROR(0/0,""),preDEL!AJ89)</f>
        <v/>
      </c>
      <c r="AK89" s="249" t="str">
        <f>IF(preDEL!$AG89,IFERROR(0/0,""),preDEL!AK89)</f>
        <v>Negative</v>
      </c>
      <c r="AL89" s="94" t="str">
        <f>IF(preDEL!$AG89,IFERROR(0/0,""),preDEL!AL89)</f>
        <v/>
      </c>
      <c r="AM89" s="94" t="str">
        <f>IF(preDEL!$AG89,IFERROR(0/0,""),preDEL!AM89)</f>
        <v>SpNDHM966349</v>
      </c>
      <c r="AN89" s="94" t="str">
        <f>IF(preDEL!$AG89,IFERROR(0/0,""),preDEL!AN89)</f>
        <v>NDHM584295</v>
      </c>
      <c r="AO89" s="94" t="str">
        <f>IF(preDEL!$AG89,IFERROR(0/0,""),preDEL!AO89)</f>
        <v/>
      </c>
      <c r="AP89" s="94" t="str">
        <f>IF(preDEL!$AG89,IFERROR(0/0,""),preDEL!AP89)</f>
        <v/>
      </c>
      <c r="AQ89" s="94" t="str">
        <f>IF(preDEL!$AG89,IFERROR(0/0,""),preDEL!AQ89)</f>
        <v/>
      </c>
      <c r="AR89" s="94" t="str">
        <f>IF(preDEL!$AG89,IFERROR(0/0,""),preDEL!AR89)</f>
        <v/>
      </c>
      <c r="AS89" s="98"/>
      <c r="BE89" s="254"/>
      <c r="BF89" s="255"/>
      <c r="BG89" s="254"/>
      <c r="BH89" s="255"/>
      <c r="BI89" s="254"/>
      <c r="BJ89" s="254"/>
      <c r="BK89" s="254"/>
      <c r="BL89" s="254"/>
      <c r="BN89" s="7"/>
      <c r="BO89" s="7"/>
      <c r="BP89" s="7"/>
      <c r="BQ89" s="7"/>
      <c r="BR89" s="7"/>
      <c r="BS89" s="7"/>
      <c r="BT89" s="7"/>
    </row>
    <row r="90">
      <c r="A90" s="249" t="str">
        <f>IF(preDEL!$AG90,IFERROR(0/0,""),preDEL!A90)</f>
        <v>AH1039</v>
      </c>
      <c r="B90" s="250">
        <f>IF(preDEL!$AG90,IFERROR(0/0,""),preDEL!B90)</f>
        <v>44690</v>
      </c>
      <c r="C90" s="251">
        <f>IF(preDEL!$AG90,IFERROR(0/0,""),preDEL!C90)</f>
        <v>0.2029050926</v>
      </c>
      <c r="D90" s="249" t="str">
        <f>IF(preDEL!$AG90,IFERROR(0/0,""),preDEL!D90)</f>
        <v/>
      </c>
      <c r="E90" s="249" t="str">
        <f>IF(preDEL!$AG90,IFERROR(0/0,""),preDEL!E90)</f>
        <v/>
      </c>
      <c r="F90" s="94" t="str">
        <f>IF(preDEL!$AG90,IFERROR(0/0,""),preDEL!F90)</f>
        <v/>
      </c>
      <c r="G90" s="94" t="str">
        <f>IF(preDEL!$AG90,IFERROR(0/0,""),preDEL!G90)</f>
        <v/>
      </c>
      <c r="H90" s="94" t="str">
        <f>IF(preDEL!$AG90,IFERROR(0/0,""),preDEL!H90)</f>
        <v/>
      </c>
      <c r="I90" s="249" t="str">
        <f>IF(preDEL!$AG90,IFERROR(0/0,""),preDEL!I90)</f>
        <v/>
      </c>
      <c r="J90" s="249" t="str">
        <f>IF(preDEL!$AG90,IFERROR(0/0,""),preDEL!J90)</f>
        <v/>
      </c>
      <c r="K90" s="249" t="str">
        <f>IF(preDEL!$AG90,IFERROR(0/0,""),preDEL!K90)</f>
        <v>Negative</v>
      </c>
      <c r="L90" s="250">
        <f>IF(preDEL!$AG90,IFERROR(0/0,""),preDEL!L90)</f>
        <v>44690</v>
      </c>
      <c r="M90" s="251">
        <f>IF(preDEL!$AG90,IFERROR(0/0,""),preDEL!M90)</f>
        <v>0.3232407407</v>
      </c>
      <c r="N90" s="94" t="str">
        <f>IF(preDEL!$AG90,IFERROR(0/0,""),preDEL!N90)</f>
        <v/>
      </c>
      <c r="O90" s="94" t="str">
        <f>IF(preDEL!$AG90,IFERROR(0/0,""),preDEL!O90)</f>
        <v/>
      </c>
      <c r="P90" s="93" t="b">
        <f>IF(preDEL!$AG90,IFERROR(0/0,""),preDEL!P90)</f>
        <v>0</v>
      </c>
      <c r="Q90" s="93" t="str">
        <f>IF(preDEL!$AG90,IFERROR(0/0,""),preDEL!Q90)</f>
        <v>Result</v>
      </c>
      <c r="R90" s="99" t="b">
        <f>IF(preDEL!$AG90,IFERROR(0/0,""),preDEL!R90)</f>
        <v>1</v>
      </c>
      <c r="S90" s="99">
        <f>IF(preDEL!$AG90,IFERROR(0/0,""),preDEL!S90)</f>
        <v>3</v>
      </c>
      <c r="T90" s="93" t="str">
        <f>IF(preDEL!$AG90,IFERROR(0/0,""),preDEL!T90)</f>
        <v/>
      </c>
      <c r="U90" s="94" t="str">
        <f>IF(preDEL!$AG90,IFERROR(0/0,""),preDEL!U90)</f>
        <v/>
      </c>
      <c r="V90" s="249" t="str">
        <f>IF(preDEL!$AG90,IFERROR(0/0,""),preDEL!V90)</f>
        <v/>
      </c>
      <c r="W90" s="94" t="str">
        <f>IF(preDEL!$AG90,IFERROR(0/0,""),preDEL!W90)</f>
        <v/>
      </c>
      <c r="X90" s="99" t="b">
        <f>IF(preDEL!$AG90,IFERROR(0/0,""),preDEL!X90)</f>
        <v>0</v>
      </c>
      <c r="Y90" s="93" t="str">
        <f>IF(preDEL!$AG90,IFERROR(0/0,""),preDEL!Y90)</f>
        <v/>
      </c>
      <c r="Z90" s="249" t="str">
        <f>IF(preDEL!$AG90,IFERROR(0/0,""),preDEL!Z90)</f>
        <v/>
      </c>
      <c r="AA90" s="93" t="b">
        <f>IF(preDEL!$AG90,IFERROR(0/0,""),preDEL!AA90)</f>
        <v>0</v>
      </c>
      <c r="AB90" s="93" t="str">
        <f>IF(preDEL!$AG90,IFERROR(0/0,""),preDEL!AB90)</f>
        <v/>
      </c>
      <c r="AC90" s="252">
        <f>IF(preDEL!$AG90,IFERROR(0/0,""),preDEL!AC90)</f>
        <v>155</v>
      </c>
      <c r="AD90" s="99" t="str">
        <f>IF(preDEL!$AG90,IFERROR(0/0,""),preDEL!AD90)</f>
        <v/>
      </c>
      <c r="AE90" s="253">
        <f>IF(preDEL!$AG90,IFERROR(0/0,""),preDEL!AE90)</f>
        <v>173.2833333</v>
      </c>
      <c r="AF90" s="93" t="b">
        <f>IF(preDEL!$AG90,IFERROR(0/0,""),preDEL!AF90)</f>
        <v>0</v>
      </c>
      <c r="AG90" s="93" t="b">
        <f>IF(preDEL!$AG90,IFERROR(0/0,""),preDEL!AG90)</f>
        <v>0</v>
      </c>
      <c r="AH90" s="99" t="str">
        <f>IF(preDEL!$AG90,IFERROR(0/0,""),preDEL!AH90)</f>
        <v/>
      </c>
      <c r="AI90" s="249" t="str">
        <f>IF(preDEL!$AG90,IFERROR(0/0,""),preDEL!AI90)</f>
        <v/>
      </c>
      <c r="AJ90" s="94" t="str">
        <f>IF(preDEL!$AG90,IFERROR(0/0,""),preDEL!AJ90)</f>
        <v/>
      </c>
      <c r="AK90" s="249" t="str">
        <f>IF(preDEL!$AG90,IFERROR(0/0,""),preDEL!AK90)</f>
        <v>Negative</v>
      </c>
      <c r="AL90" s="94" t="str">
        <f>IF(preDEL!$AG90,IFERROR(0/0,""),preDEL!AL90)</f>
        <v/>
      </c>
      <c r="AM90" s="94" t="str">
        <f>IF(preDEL!$AG90,IFERROR(0/0,""),preDEL!AM90)</f>
        <v>SpNDHM189649</v>
      </c>
      <c r="AN90" s="94" t="str">
        <f>IF(preDEL!$AG90,IFERROR(0/0,""),preDEL!AN90)</f>
        <v>NDHM436958</v>
      </c>
      <c r="AO90" s="94" t="str">
        <f>IF(preDEL!$AG90,IFERROR(0/0,""),preDEL!AO90)</f>
        <v/>
      </c>
      <c r="AP90" s="94" t="str">
        <f>IF(preDEL!$AG90,IFERROR(0/0,""),preDEL!AP90)</f>
        <v/>
      </c>
      <c r="AQ90" s="94" t="str">
        <f>IF(preDEL!$AG90,IFERROR(0/0,""),preDEL!AQ90)</f>
        <v/>
      </c>
      <c r="AR90" s="94" t="str">
        <f>IF(preDEL!$AG90,IFERROR(0/0,""),preDEL!AR90)</f>
        <v/>
      </c>
      <c r="AS90" s="98"/>
      <c r="BE90" s="254"/>
      <c r="BF90" s="255"/>
      <c r="BG90" s="254"/>
      <c r="BH90" s="255"/>
      <c r="BI90" s="254"/>
      <c r="BJ90" s="254"/>
      <c r="BK90" s="254"/>
      <c r="BL90" s="254"/>
      <c r="BN90" s="7"/>
      <c r="BO90" s="7"/>
      <c r="BP90" s="7"/>
      <c r="BQ90" s="7"/>
      <c r="BR90" s="7"/>
      <c r="BS90" s="7"/>
      <c r="BT90" s="7"/>
    </row>
    <row r="91">
      <c r="A91" s="249" t="str">
        <f>IF(preDEL!$AG91,IFERROR(0/0,""),preDEL!A91)</f>
        <v>AH1039</v>
      </c>
      <c r="B91" s="250">
        <f>IF(preDEL!$AG91,IFERROR(0/0,""),preDEL!B91)</f>
        <v>44690</v>
      </c>
      <c r="C91" s="251">
        <f>IF(preDEL!$AG91,IFERROR(0/0,""),preDEL!C91)</f>
        <v>0.2029050926</v>
      </c>
      <c r="D91" s="249" t="str">
        <f>IF(preDEL!$AG91,IFERROR(0/0,""),preDEL!D91)</f>
        <v/>
      </c>
      <c r="E91" s="249" t="str">
        <f>IF(preDEL!$AG91,IFERROR(0/0,""),preDEL!E91)</f>
        <v/>
      </c>
      <c r="F91" s="94" t="str">
        <f>IF(preDEL!$AG91,IFERROR(0/0,""),preDEL!F91)</f>
        <v/>
      </c>
      <c r="G91" s="94" t="str">
        <f>IF(preDEL!$AG91,IFERROR(0/0,""),preDEL!G91)</f>
        <v/>
      </c>
      <c r="H91" s="94" t="str">
        <f>IF(preDEL!$AG91,IFERROR(0/0,""),preDEL!H91)</f>
        <v/>
      </c>
      <c r="I91" s="249" t="str">
        <f>IF(preDEL!$AG91,IFERROR(0/0,""),preDEL!I91)</f>
        <v/>
      </c>
      <c r="J91" s="249" t="str">
        <f>IF(preDEL!$AG91,IFERROR(0/0,""),preDEL!J91)</f>
        <v/>
      </c>
      <c r="K91" s="249" t="str">
        <f>IF(preDEL!$AG91,IFERROR(0/0,""),preDEL!K91)</f>
        <v>Negative</v>
      </c>
      <c r="L91" s="250">
        <f>IF(preDEL!$AG91,IFERROR(0/0,""),preDEL!L91)</f>
        <v>44690</v>
      </c>
      <c r="M91" s="251">
        <f>IF(preDEL!$AG91,IFERROR(0/0,""),preDEL!M91)</f>
        <v>0.3232407407</v>
      </c>
      <c r="N91" s="94" t="str">
        <f>IF(preDEL!$AG91,IFERROR(0/0,""),preDEL!N91)</f>
        <v/>
      </c>
      <c r="O91" s="94" t="str">
        <f>IF(preDEL!$AG91,IFERROR(0/0,""),preDEL!O91)</f>
        <v/>
      </c>
      <c r="P91" s="93" t="b">
        <f>IF(preDEL!$AG91,IFERROR(0/0,""),preDEL!P91)</f>
        <v>0</v>
      </c>
      <c r="Q91" s="93" t="str">
        <f>IF(preDEL!$AG91,IFERROR(0/0,""),preDEL!Q91)</f>
        <v>Result</v>
      </c>
      <c r="R91" s="99" t="b">
        <f>IF(preDEL!$AG91,IFERROR(0/0,""),preDEL!R91)</f>
        <v>0</v>
      </c>
      <c r="S91" s="99">
        <f>IF(preDEL!$AG91,IFERROR(0/0,""),preDEL!S91)</f>
        <v>3</v>
      </c>
      <c r="T91" s="93" t="str">
        <f>IF(preDEL!$AG91,IFERROR(0/0,""),preDEL!T91)</f>
        <v/>
      </c>
      <c r="U91" s="94" t="str">
        <f>IF(preDEL!$AG91,IFERROR(0/0,""),preDEL!U91)</f>
        <v/>
      </c>
      <c r="V91" s="249" t="str">
        <f>IF(preDEL!$AG91,IFERROR(0/0,""),preDEL!V91)</f>
        <v/>
      </c>
      <c r="W91" s="94" t="str">
        <f>IF(preDEL!$AG91,IFERROR(0/0,""),preDEL!W91)</f>
        <v/>
      </c>
      <c r="X91" s="99" t="b">
        <f>IF(preDEL!$AG91,IFERROR(0/0,""),preDEL!X91)</f>
        <v>0</v>
      </c>
      <c r="Y91" s="93" t="str">
        <f>IF(preDEL!$AG91,IFERROR(0/0,""),preDEL!Y91)</f>
        <v/>
      </c>
      <c r="Z91" s="249" t="str">
        <f>IF(preDEL!$AG91,IFERROR(0/0,""),preDEL!Z91)</f>
        <v/>
      </c>
      <c r="AA91" s="93" t="b">
        <f>IF(preDEL!$AG91,IFERROR(0/0,""),preDEL!AA91)</f>
        <v>0</v>
      </c>
      <c r="AB91" s="93" t="str">
        <f>IF(preDEL!$AG91,IFERROR(0/0,""),preDEL!AB91)</f>
        <v/>
      </c>
      <c r="AC91" s="252">
        <f>IF(preDEL!$AG91,IFERROR(0/0,""),preDEL!AC91)</f>
        <v>156</v>
      </c>
      <c r="AD91" s="99" t="str">
        <f>IF(preDEL!$AG91,IFERROR(0/0,""),preDEL!AD91)</f>
        <v/>
      </c>
      <c r="AE91" s="253">
        <f>IF(preDEL!$AG91,IFERROR(0/0,""),preDEL!AE91)</f>
        <v>173.2833333</v>
      </c>
      <c r="AF91" s="93" t="b">
        <f>IF(preDEL!$AG91,IFERROR(0/0,""),preDEL!AF91)</f>
        <v>0</v>
      </c>
      <c r="AG91" s="93" t="b">
        <f>IF(preDEL!$AG91,IFERROR(0/0,""),preDEL!AG91)</f>
        <v>0</v>
      </c>
      <c r="AH91" s="99" t="str">
        <f>IF(preDEL!$AG91,IFERROR(0/0,""),preDEL!AH91)</f>
        <v/>
      </c>
      <c r="AI91" s="249" t="str">
        <f>IF(preDEL!$AG91,IFERROR(0/0,""),preDEL!AI91)</f>
        <v/>
      </c>
      <c r="AJ91" s="94" t="str">
        <f>IF(preDEL!$AG91,IFERROR(0/0,""),preDEL!AJ91)</f>
        <v/>
      </c>
      <c r="AK91" s="249" t="str">
        <f>IF(preDEL!$AG91,IFERROR(0/0,""),preDEL!AK91)</f>
        <v>Negative</v>
      </c>
      <c r="AL91" s="94" t="str">
        <f>IF(preDEL!$AG91,IFERROR(0/0,""),preDEL!AL91)</f>
        <v/>
      </c>
      <c r="AM91" s="94" t="str">
        <f>IF(preDEL!$AG91,IFERROR(0/0,""),preDEL!AM91)</f>
        <v>SpNDHM189649</v>
      </c>
      <c r="AN91" s="94" t="str">
        <f>IF(preDEL!$AG91,IFERROR(0/0,""),preDEL!AN91)</f>
        <v>NDHM872314</v>
      </c>
      <c r="AO91" s="94" t="str">
        <f>IF(preDEL!$AG91,IFERROR(0/0,""),preDEL!AO91)</f>
        <v/>
      </c>
      <c r="AP91" s="94" t="str">
        <f>IF(preDEL!$AG91,IFERROR(0/0,""),preDEL!AP91)</f>
        <v/>
      </c>
      <c r="AQ91" s="94" t="str">
        <f>IF(preDEL!$AG91,IFERROR(0/0,""),preDEL!AQ91)</f>
        <v/>
      </c>
      <c r="AR91" s="94" t="str">
        <f>IF(preDEL!$AG91,IFERROR(0/0,""),preDEL!AR91)</f>
        <v/>
      </c>
      <c r="AS91" s="98"/>
      <c r="BE91" s="254"/>
      <c r="BF91" s="255"/>
      <c r="BG91" s="254"/>
      <c r="BH91" s="255"/>
      <c r="BI91" s="254"/>
      <c r="BJ91" s="254"/>
      <c r="BK91" s="254"/>
      <c r="BL91" s="254"/>
      <c r="BN91" s="7"/>
      <c r="BO91" s="7"/>
      <c r="BP91" s="7"/>
      <c r="BQ91" s="7"/>
      <c r="BR91" s="7"/>
      <c r="BS91" s="7"/>
      <c r="BT91" s="7"/>
    </row>
    <row r="92">
      <c r="A92" s="249" t="str">
        <f>IF(preDEL!$AG92,IFERROR(0/0,""),preDEL!A92)</f>
        <v>AH1039</v>
      </c>
      <c r="B92" s="250">
        <f>IF(preDEL!$AG92,IFERROR(0/0,""),preDEL!B92)</f>
        <v>44690</v>
      </c>
      <c r="C92" s="251">
        <f>IF(preDEL!$AG92,IFERROR(0/0,""),preDEL!C92)</f>
        <v>0.2029050926</v>
      </c>
      <c r="D92" s="249" t="str">
        <f>IF(preDEL!$AG92,IFERROR(0/0,""),preDEL!D92)</f>
        <v/>
      </c>
      <c r="E92" s="249" t="str">
        <f>IF(preDEL!$AG92,IFERROR(0/0,""),preDEL!E92)</f>
        <v/>
      </c>
      <c r="F92" s="94" t="str">
        <f>IF(preDEL!$AG92,IFERROR(0/0,""),preDEL!F92)</f>
        <v/>
      </c>
      <c r="G92" s="94" t="str">
        <f>IF(preDEL!$AG92,IFERROR(0/0,""),preDEL!G92)</f>
        <v/>
      </c>
      <c r="H92" s="94" t="str">
        <f>IF(preDEL!$AG92,IFERROR(0/0,""),preDEL!H92)</f>
        <v/>
      </c>
      <c r="I92" s="249" t="str">
        <f>IF(preDEL!$AG92,IFERROR(0/0,""),preDEL!I92)</f>
        <v/>
      </c>
      <c r="J92" s="249" t="str">
        <f>IF(preDEL!$AG92,IFERROR(0/0,""),preDEL!J92)</f>
        <v/>
      </c>
      <c r="K92" s="249" t="str">
        <f>IF(preDEL!$AG92,IFERROR(0/0,""),preDEL!K92)</f>
        <v>Negative</v>
      </c>
      <c r="L92" s="250">
        <f>IF(preDEL!$AG92,IFERROR(0/0,""),preDEL!L92)</f>
        <v>44690</v>
      </c>
      <c r="M92" s="251">
        <f>IF(preDEL!$AG92,IFERROR(0/0,""),preDEL!M92)</f>
        <v>0.3232407407</v>
      </c>
      <c r="N92" s="94" t="str">
        <f>IF(preDEL!$AG92,IFERROR(0/0,""),preDEL!N92)</f>
        <v/>
      </c>
      <c r="O92" s="94" t="str">
        <f>IF(preDEL!$AG92,IFERROR(0/0,""),preDEL!O92)</f>
        <v/>
      </c>
      <c r="P92" s="93" t="b">
        <f>IF(preDEL!$AG92,IFERROR(0/0,""),preDEL!P92)</f>
        <v>0</v>
      </c>
      <c r="Q92" s="93" t="str">
        <f>IF(preDEL!$AG92,IFERROR(0/0,""),preDEL!Q92)</f>
        <v>Result</v>
      </c>
      <c r="R92" s="99" t="b">
        <f>IF(preDEL!$AG92,IFERROR(0/0,""),preDEL!R92)</f>
        <v>0</v>
      </c>
      <c r="S92" s="99">
        <f>IF(preDEL!$AG92,IFERROR(0/0,""),preDEL!S92)</f>
        <v>3</v>
      </c>
      <c r="T92" s="93" t="str">
        <f>IF(preDEL!$AG92,IFERROR(0/0,""),preDEL!T92)</f>
        <v/>
      </c>
      <c r="U92" s="94" t="str">
        <f>IF(preDEL!$AG92,IFERROR(0/0,""),preDEL!U92)</f>
        <v/>
      </c>
      <c r="V92" s="249" t="str">
        <f>IF(preDEL!$AG92,IFERROR(0/0,""),preDEL!V92)</f>
        <v/>
      </c>
      <c r="W92" s="94" t="str">
        <f>IF(preDEL!$AG92,IFERROR(0/0,""),preDEL!W92)</f>
        <v/>
      </c>
      <c r="X92" s="99" t="b">
        <f>IF(preDEL!$AG92,IFERROR(0/0,""),preDEL!X92)</f>
        <v>0</v>
      </c>
      <c r="Y92" s="93" t="str">
        <f>IF(preDEL!$AG92,IFERROR(0/0,""),preDEL!Y92)</f>
        <v/>
      </c>
      <c r="Z92" s="249" t="str">
        <f>IF(preDEL!$AG92,IFERROR(0/0,""),preDEL!Z92)</f>
        <v/>
      </c>
      <c r="AA92" s="93" t="b">
        <f>IF(preDEL!$AG92,IFERROR(0/0,""),preDEL!AA92)</f>
        <v>0</v>
      </c>
      <c r="AB92" s="93" t="str">
        <f>IF(preDEL!$AG92,IFERROR(0/0,""),preDEL!AB92)</f>
        <v/>
      </c>
      <c r="AC92" s="252">
        <f>IF(preDEL!$AG92,IFERROR(0/0,""),preDEL!AC92)</f>
        <v>157</v>
      </c>
      <c r="AD92" s="99" t="str">
        <f>IF(preDEL!$AG92,IFERROR(0/0,""),preDEL!AD92)</f>
        <v/>
      </c>
      <c r="AE92" s="253">
        <f>IF(preDEL!$AG92,IFERROR(0/0,""),preDEL!AE92)</f>
        <v>173.2833333</v>
      </c>
      <c r="AF92" s="93" t="b">
        <f>IF(preDEL!$AG92,IFERROR(0/0,""),preDEL!AF92)</f>
        <v>0</v>
      </c>
      <c r="AG92" s="93" t="b">
        <f>IF(preDEL!$AG92,IFERROR(0/0,""),preDEL!AG92)</f>
        <v>0</v>
      </c>
      <c r="AH92" s="99" t="str">
        <f>IF(preDEL!$AG92,IFERROR(0/0,""),preDEL!AH92)</f>
        <v/>
      </c>
      <c r="AI92" s="249" t="str">
        <f>IF(preDEL!$AG92,IFERROR(0/0,""),preDEL!AI92)</f>
        <v/>
      </c>
      <c r="AJ92" s="94" t="str">
        <f>IF(preDEL!$AG92,IFERROR(0/0,""),preDEL!AJ92)</f>
        <v/>
      </c>
      <c r="AK92" s="249" t="str">
        <f>IF(preDEL!$AG92,IFERROR(0/0,""),preDEL!AK92)</f>
        <v>Negative</v>
      </c>
      <c r="AL92" s="94" t="str">
        <f>IF(preDEL!$AG92,IFERROR(0/0,""),preDEL!AL92)</f>
        <v/>
      </c>
      <c r="AM92" s="94" t="str">
        <f>IF(preDEL!$AG92,IFERROR(0/0,""),preDEL!AM92)</f>
        <v>SpNDHM189649</v>
      </c>
      <c r="AN92" s="94" t="str">
        <f>IF(preDEL!$AG92,IFERROR(0/0,""),preDEL!AN92)</f>
        <v>NDHM406316</v>
      </c>
      <c r="AO92" s="94" t="str">
        <f>IF(preDEL!$AG92,IFERROR(0/0,""),preDEL!AO92)</f>
        <v/>
      </c>
      <c r="AP92" s="94" t="str">
        <f>IF(preDEL!$AG92,IFERROR(0/0,""),preDEL!AP92)</f>
        <v/>
      </c>
      <c r="AQ92" s="94" t="str">
        <f>IF(preDEL!$AG92,IFERROR(0/0,""),preDEL!AQ92)</f>
        <v/>
      </c>
      <c r="AR92" s="94" t="str">
        <f>IF(preDEL!$AG92,IFERROR(0/0,""),preDEL!AR92)</f>
        <v/>
      </c>
      <c r="AS92" s="98"/>
      <c r="BE92" s="254"/>
      <c r="BF92" s="255"/>
      <c r="BG92" s="254"/>
      <c r="BH92" s="255"/>
      <c r="BI92" s="254"/>
      <c r="BJ92" s="254"/>
      <c r="BK92" s="254"/>
      <c r="BL92" s="254"/>
      <c r="BN92" s="7"/>
      <c r="BO92" s="7"/>
      <c r="BP92" s="7"/>
      <c r="BQ92" s="7"/>
      <c r="BR92" s="7"/>
      <c r="BS92" s="7"/>
      <c r="BT92" s="7"/>
    </row>
    <row r="93">
      <c r="A93" s="249" t="str">
        <f>IF(preDEL!$AG93,IFERROR(0/0,""),preDEL!A93)</f>
        <v>AJ8556</v>
      </c>
      <c r="B93" s="250">
        <f>IF(preDEL!$AG93,IFERROR(0/0,""),preDEL!B93)</f>
        <v>44690</v>
      </c>
      <c r="C93" s="251">
        <f>IF(preDEL!$AG93,IFERROR(0/0,""),preDEL!C93)</f>
        <v>0.2135300926</v>
      </c>
      <c r="D93" s="249" t="str">
        <f>IF(preDEL!$AG93,IFERROR(0/0,""),preDEL!D93)</f>
        <v/>
      </c>
      <c r="E93" s="249" t="str">
        <f>IF(preDEL!$AG93,IFERROR(0/0,""),preDEL!E93)</f>
        <v/>
      </c>
      <c r="F93" s="94" t="str">
        <f>IF(preDEL!$AG93,IFERROR(0/0,""),preDEL!F93)</f>
        <v/>
      </c>
      <c r="G93" s="94" t="str">
        <f>IF(preDEL!$AG93,IFERROR(0/0,""),preDEL!G93)</f>
        <v/>
      </c>
      <c r="H93" s="94" t="str">
        <f>IF(preDEL!$AG93,IFERROR(0/0,""),preDEL!H93)</f>
        <v/>
      </c>
      <c r="I93" s="249" t="str">
        <f>IF(preDEL!$AG93,IFERROR(0/0,""),preDEL!I93)</f>
        <v/>
      </c>
      <c r="J93" s="249" t="str">
        <f>IF(preDEL!$AG93,IFERROR(0/0,""),preDEL!J93)</f>
        <v/>
      </c>
      <c r="K93" s="249" t="str">
        <f>IF(preDEL!$AG93,IFERROR(0/0,""),preDEL!K93)</f>
        <v>Negative</v>
      </c>
      <c r="L93" s="250">
        <f>IF(preDEL!$AG93,IFERROR(0/0,""),preDEL!L93)</f>
        <v>44690</v>
      </c>
      <c r="M93" s="251">
        <f>IF(preDEL!$AG93,IFERROR(0/0,""),preDEL!M93)</f>
        <v>0.3232407407</v>
      </c>
      <c r="N93" s="94" t="str">
        <f>IF(preDEL!$AG93,IFERROR(0/0,""),preDEL!N93)</f>
        <v/>
      </c>
      <c r="O93" s="94" t="str">
        <f>IF(preDEL!$AG93,IFERROR(0/0,""),preDEL!O93)</f>
        <v/>
      </c>
      <c r="P93" s="93" t="b">
        <f>IF(preDEL!$AG93,IFERROR(0/0,""),preDEL!P93)</f>
        <v>0</v>
      </c>
      <c r="Q93" s="93" t="str">
        <f>IF(preDEL!$AG93,IFERROR(0/0,""),preDEL!Q93)</f>
        <v>Result</v>
      </c>
      <c r="R93" s="99" t="b">
        <f>IF(preDEL!$AG93,IFERROR(0/0,""),preDEL!R93)</f>
        <v>1</v>
      </c>
      <c r="S93" s="99">
        <f>IF(preDEL!$AG93,IFERROR(0/0,""),preDEL!S93)</f>
        <v>4</v>
      </c>
      <c r="T93" s="93">
        <f>IF(preDEL!$AG93,IFERROR(0/0,""),preDEL!T93)</f>
        <v>3</v>
      </c>
      <c r="U93" s="94" t="str">
        <f>IF(preDEL!$AG93,IFERROR(0/0,""),preDEL!U93)</f>
        <v/>
      </c>
      <c r="V93" s="249" t="str">
        <f>IF(preDEL!$AG93,IFERROR(0/0,""),preDEL!V93)</f>
        <v/>
      </c>
      <c r="W93" s="94" t="str">
        <f>IF(preDEL!$AG93,IFERROR(0/0,""),preDEL!W93)</f>
        <v/>
      </c>
      <c r="X93" s="99" t="b">
        <f>IF(preDEL!$AG93,IFERROR(0/0,""),preDEL!X93)</f>
        <v>0</v>
      </c>
      <c r="Y93" s="93" t="str">
        <f>IF(preDEL!$AG93,IFERROR(0/0,""),preDEL!Y93)</f>
        <v/>
      </c>
      <c r="Z93" s="249" t="str">
        <f>IF(preDEL!$AG93,IFERROR(0/0,""),preDEL!Z93)</f>
        <v/>
      </c>
      <c r="AA93" s="93" t="b">
        <f>IF(preDEL!$AG93,IFERROR(0/0,""),preDEL!AA93)</f>
        <v>0</v>
      </c>
      <c r="AB93" s="93" t="str">
        <f>IF(preDEL!$AG93,IFERROR(0/0,""),preDEL!AB93)</f>
        <v/>
      </c>
      <c r="AC93" s="252">
        <f>IF(preDEL!$AG93,IFERROR(0/0,""),preDEL!AC93)</f>
        <v>158</v>
      </c>
      <c r="AD93" s="99" t="str">
        <f>IF(preDEL!$AG93,IFERROR(0/0,""),preDEL!AD93)</f>
        <v/>
      </c>
      <c r="AE93" s="253">
        <f>IF(preDEL!$AG93,IFERROR(0/0,""),preDEL!AE93)</f>
        <v>157.9833333</v>
      </c>
      <c r="AF93" s="93" t="b">
        <f>IF(preDEL!$AG93,IFERROR(0/0,""),preDEL!AF93)</f>
        <v>0</v>
      </c>
      <c r="AG93" s="93" t="b">
        <f>IF(preDEL!$AG93,IFERROR(0/0,""),preDEL!AG93)</f>
        <v>0</v>
      </c>
      <c r="AH93" s="99" t="str">
        <f>IF(preDEL!$AG93,IFERROR(0/0,""),preDEL!AH93)</f>
        <v/>
      </c>
      <c r="AI93" s="249" t="str">
        <f>IF(preDEL!$AG93,IFERROR(0/0,""),preDEL!AI93)</f>
        <v/>
      </c>
      <c r="AJ93" s="94" t="str">
        <f>IF(preDEL!$AG93,IFERROR(0/0,""),preDEL!AJ93)</f>
        <v/>
      </c>
      <c r="AK93" s="249" t="str">
        <f>IF(preDEL!$AG93,IFERROR(0/0,""),preDEL!AK93)</f>
        <v>Negative</v>
      </c>
      <c r="AL93" s="94" t="str">
        <f>IF(preDEL!$AG93,IFERROR(0/0,""),preDEL!AL93)</f>
        <v/>
      </c>
      <c r="AM93" s="94" t="str">
        <f>IF(preDEL!$AG93,IFERROR(0/0,""),preDEL!AM93)</f>
        <v>SpNDHM118014</v>
      </c>
      <c r="AN93" s="94" t="str">
        <f>IF(preDEL!$AG93,IFERROR(0/0,""),preDEL!AN93)</f>
        <v>NDHM711288</v>
      </c>
      <c r="AO93" s="94" t="str">
        <f>IF(preDEL!$AG93,IFERROR(0/0,""),preDEL!AO93)</f>
        <v/>
      </c>
      <c r="AP93" s="94" t="str">
        <f>IF(preDEL!$AG93,IFERROR(0/0,""),preDEL!AP93)</f>
        <v/>
      </c>
      <c r="AQ93" s="94" t="str">
        <f>IF(preDEL!$AG93,IFERROR(0/0,""),preDEL!AQ93)</f>
        <v/>
      </c>
      <c r="AR93" s="94" t="str">
        <f>IF(preDEL!$AG93,IFERROR(0/0,""),preDEL!AR93)</f>
        <v/>
      </c>
      <c r="AS93" s="98"/>
      <c r="BE93" s="254"/>
      <c r="BF93" s="255"/>
      <c r="BG93" s="254"/>
      <c r="BH93" s="255"/>
      <c r="BI93" s="254"/>
      <c r="BJ93" s="254"/>
      <c r="BK93" s="254"/>
      <c r="BL93" s="254"/>
      <c r="BN93" s="7"/>
      <c r="BO93" s="7"/>
      <c r="BP93" s="7"/>
      <c r="BQ93" s="7"/>
      <c r="BR93" s="7"/>
      <c r="BS93" s="7"/>
      <c r="BT93" s="7"/>
    </row>
    <row r="94">
      <c r="A94" s="249" t="str">
        <f>IF(preDEL!$AG94,IFERROR(0/0,""),preDEL!A94)</f>
        <v>AJ8556</v>
      </c>
      <c r="B94" s="250">
        <f>IF(preDEL!$AG94,IFERROR(0/0,""),preDEL!B94)</f>
        <v>44690</v>
      </c>
      <c r="C94" s="251">
        <f>IF(preDEL!$AG94,IFERROR(0/0,""),preDEL!C94)</f>
        <v>0.2135300926</v>
      </c>
      <c r="D94" s="249" t="str">
        <f>IF(preDEL!$AG94,IFERROR(0/0,""),preDEL!D94)</f>
        <v/>
      </c>
      <c r="E94" s="249" t="str">
        <f>IF(preDEL!$AG94,IFERROR(0/0,""),preDEL!E94)</f>
        <v/>
      </c>
      <c r="F94" s="94" t="str">
        <f>IF(preDEL!$AG94,IFERROR(0/0,""),preDEL!F94)</f>
        <v/>
      </c>
      <c r="G94" s="94" t="str">
        <f>IF(preDEL!$AG94,IFERROR(0/0,""),preDEL!G94)</f>
        <v/>
      </c>
      <c r="H94" s="94" t="str">
        <f>IF(preDEL!$AG94,IFERROR(0/0,""),preDEL!H94)</f>
        <v/>
      </c>
      <c r="I94" s="249" t="str">
        <f>IF(preDEL!$AG94,IFERROR(0/0,""),preDEL!I94)</f>
        <v/>
      </c>
      <c r="J94" s="249" t="str">
        <f>IF(preDEL!$AG94,IFERROR(0/0,""),preDEL!J94)</f>
        <v/>
      </c>
      <c r="K94" s="249" t="str">
        <f>IF(preDEL!$AG94,IFERROR(0/0,""),preDEL!K94)</f>
        <v>Negative</v>
      </c>
      <c r="L94" s="250">
        <f>IF(preDEL!$AG94,IFERROR(0/0,""),preDEL!L94)</f>
        <v>44690</v>
      </c>
      <c r="M94" s="251">
        <f>IF(preDEL!$AG94,IFERROR(0/0,""),preDEL!M94)</f>
        <v>0.3232407407</v>
      </c>
      <c r="N94" s="94" t="str">
        <f>IF(preDEL!$AG94,IFERROR(0/0,""),preDEL!N94)</f>
        <v/>
      </c>
      <c r="O94" s="94" t="str">
        <f>IF(preDEL!$AG94,IFERROR(0/0,""),preDEL!O94)</f>
        <v/>
      </c>
      <c r="P94" s="93" t="b">
        <f>IF(preDEL!$AG94,IFERROR(0/0,""),preDEL!P94)</f>
        <v>0</v>
      </c>
      <c r="Q94" s="93" t="str">
        <f>IF(preDEL!$AG94,IFERROR(0/0,""),preDEL!Q94)</f>
        <v>Result</v>
      </c>
      <c r="R94" s="99" t="b">
        <f>IF(preDEL!$AG94,IFERROR(0/0,""),preDEL!R94)</f>
        <v>0</v>
      </c>
      <c r="S94" s="99">
        <f>IF(preDEL!$AG94,IFERROR(0/0,""),preDEL!S94)</f>
        <v>4</v>
      </c>
      <c r="T94" s="93">
        <f>IF(preDEL!$AG94,IFERROR(0/0,""),preDEL!T94)</f>
        <v>3</v>
      </c>
      <c r="U94" s="94" t="str">
        <f>IF(preDEL!$AG94,IFERROR(0/0,""),preDEL!U94)</f>
        <v/>
      </c>
      <c r="V94" s="249" t="str">
        <f>IF(preDEL!$AG94,IFERROR(0/0,""),preDEL!V94)</f>
        <v/>
      </c>
      <c r="W94" s="94" t="str">
        <f>IF(preDEL!$AG94,IFERROR(0/0,""),preDEL!W94)</f>
        <v/>
      </c>
      <c r="X94" s="99" t="b">
        <f>IF(preDEL!$AG94,IFERROR(0/0,""),preDEL!X94)</f>
        <v>0</v>
      </c>
      <c r="Y94" s="93" t="str">
        <f>IF(preDEL!$AG94,IFERROR(0/0,""),preDEL!Y94)</f>
        <v/>
      </c>
      <c r="Z94" s="249" t="str">
        <f>IF(preDEL!$AG94,IFERROR(0/0,""),preDEL!Z94)</f>
        <v/>
      </c>
      <c r="AA94" s="93" t="b">
        <f>IF(preDEL!$AG94,IFERROR(0/0,""),preDEL!AA94)</f>
        <v>0</v>
      </c>
      <c r="AB94" s="93" t="str">
        <f>IF(preDEL!$AG94,IFERROR(0/0,""),preDEL!AB94)</f>
        <v/>
      </c>
      <c r="AC94" s="252">
        <f>IF(preDEL!$AG94,IFERROR(0/0,""),preDEL!AC94)</f>
        <v>158</v>
      </c>
      <c r="AD94" s="99" t="str">
        <f>IF(preDEL!$AG94,IFERROR(0/0,""),preDEL!AD94)</f>
        <v/>
      </c>
      <c r="AE94" s="253">
        <f>IF(preDEL!$AG94,IFERROR(0/0,""),preDEL!AE94)</f>
        <v>157.9833333</v>
      </c>
      <c r="AF94" s="93" t="b">
        <f>IF(preDEL!$AG94,IFERROR(0/0,""),preDEL!AF94)</f>
        <v>0</v>
      </c>
      <c r="AG94" s="93" t="b">
        <f>IF(preDEL!$AG94,IFERROR(0/0,""),preDEL!AG94)</f>
        <v>0</v>
      </c>
      <c r="AH94" s="99" t="str">
        <f>IF(preDEL!$AG94,IFERROR(0/0,""),preDEL!AH94)</f>
        <v/>
      </c>
      <c r="AI94" s="249" t="str">
        <f>IF(preDEL!$AG94,IFERROR(0/0,""),preDEL!AI94)</f>
        <v/>
      </c>
      <c r="AJ94" s="94" t="str">
        <f>IF(preDEL!$AG94,IFERROR(0/0,""),preDEL!AJ94)</f>
        <v/>
      </c>
      <c r="AK94" s="249" t="str">
        <f>IF(preDEL!$AG94,IFERROR(0/0,""),preDEL!AK94)</f>
        <v>Negative</v>
      </c>
      <c r="AL94" s="94" t="str">
        <f>IF(preDEL!$AG94,IFERROR(0/0,""),preDEL!AL94)</f>
        <v/>
      </c>
      <c r="AM94" s="94" t="str">
        <f>IF(preDEL!$AG94,IFERROR(0/0,""),preDEL!AM94)</f>
        <v>SpNDHM118014</v>
      </c>
      <c r="AN94" s="94" t="str">
        <f>IF(preDEL!$AG94,IFERROR(0/0,""),preDEL!AN94)</f>
        <v>NDHM586177</v>
      </c>
      <c r="AO94" s="94" t="str">
        <f>IF(preDEL!$AG94,IFERROR(0/0,""),preDEL!AO94)</f>
        <v/>
      </c>
      <c r="AP94" s="94" t="str">
        <f>IF(preDEL!$AG94,IFERROR(0/0,""),preDEL!AP94)</f>
        <v/>
      </c>
      <c r="AQ94" s="94" t="str">
        <f>IF(preDEL!$AG94,IFERROR(0/0,""),preDEL!AQ94)</f>
        <v/>
      </c>
      <c r="AR94" s="94" t="str">
        <f>IF(preDEL!$AG94,IFERROR(0/0,""),preDEL!AR94)</f>
        <v/>
      </c>
      <c r="AS94" s="98"/>
      <c r="BE94" s="254"/>
      <c r="BF94" s="255"/>
      <c r="BG94" s="254"/>
      <c r="BH94" s="255"/>
      <c r="BI94" s="254"/>
      <c r="BJ94" s="254"/>
      <c r="BK94" s="254"/>
      <c r="BL94" s="254"/>
      <c r="BN94" s="7"/>
      <c r="BO94" s="7"/>
      <c r="BP94" s="7"/>
      <c r="BQ94" s="7"/>
      <c r="BR94" s="7"/>
      <c r="BS94" s="7"/>
      <c r="BT94" s="7"/>
    </row>
    <row r="95">
      <c r="A95" s="249" t="str">
        <f>IF(preDEL!$AG95,IFERROR(0/0,""),preDEL!A95)</f>
        <v>AJ8556</v>
      </c>
      <c r="B95" s="250">
        <f>IF(preDEL!$AG95,IFERROR(0/0,""),preDEL!B95)</f>
        <v>44690</v>
      </c>
      <c r="C95" s="251">
        <f>IF(preDEL!$AG95,IFERROR(0/0,""),preDEL!C95)</f>
        <v>0.2135300926</v>
      </c>
      <c r="D95" s="249" t="str">
        <f>IF(preDEL!$AG95,IFERROR(0/0,""),preDEL!D95)</f>
        <v/>
      </c>
      <c r="E95" s="249" t="str">
        <f>IF(preDEL!$AG95,IFERROR(0/0,""),preDEL!E95)</f>
        <v/>
      </c>
      <c r="F95" s="94" t="str">
        <f>IF(preDEL!$AG95,IFERROR(0/0,""),preDEL!F95)</f>
        <v/>
      </c>
      <c r="G95" s="94" t="str">
        <f>IF(preDEL!$AG95,IFERROR(0/0,""),preDEL!G95)</f>
        <v/>
      </c>
      <c r="H95" s="94" t="str">
        <f>IF(preDEL!$AG95,IFERROR(0/0,""),preDEL!H95)</f>
        <v/>
      </c>
      <c r="I95" s="249" t="str">
        <f>IF(preDEL!$AG95,IFERROR(0/0,""),preDEL!I95)</f>
        <v/>
      </c>
      <c r="J95" s="249" t="str">
        <f>IF(preDEL!$AG95,IFERROR(0/0,""),preDEL!J95)</f>
        <v/>
      </c>
      <c r="K95" s="249" t="str">
        <f>IF(preDEL!$AG95,IFERROR(0/0,""),preDEL!K95)</f>
        <v>Negative</v>
      </c>
      <c r="L95" s="250">
        <f>IF(preDEL!$AG95,IFERROR(0/0,""),preDEL!L95)</f>
        <v>44690</v>
      </c>
      <c r="M95" s="251">
        <f>IF(preDEL!$AG95,IFERROR(0/0,""),preDEL!M95)</f>
        <v>0.3232407407</v>
      </c>
      <c r="N95" s="94" t="str">
        <f>IF(preDEL!$AG95,IFERROR(0/0,""),preDEL!N95)</f>
        <v/>
      </c>
      <c r="O95" s="94" t="str">
        <f>IF(preDEL!$AG95,IFERROR(0/0,""),preDEL!O95)</f>
        <v/>
      </c>
      <c r="P95" s="93" t="b">
        <f>IF(preDEL!$AG95,IFERROR(0/0,""),preDEL!P95)</f>
        <v>0</v>
      </c>
      <c r="Q95" s="93" t="str">
        <f>IF(preDEL!$AG95,IFERROR(0/0,""),preDEL!Q95)</f>
        <v>Result</v>
      </c>
      <c r="R95" s="99" t="b">
        <f>IF(preDEL!$AG95,IFERROR(0/0,""),preDEL!R95)</f>
        <v>0</v>
      </c>
      <c r="S95" s="99">
        <f>IF(preDEL!$AG95,IFERROR(0/0,""),preDEL!S95)</f>
        <v>4</v>
      </c>
      <c r="T95" s="93">
        <f>IF(preDEL!$AG95,IFERROR(0/0,""),preDEL!T95)</f>
        <v>3</v>
      </c>
      <c r="U95" s="94" t="str">
        <f>IF(preDEL!$AG95,IFERROR(0/0,""),preDEL!U95)</f>
        <v/>
      </c>
      <c r="V95" s="249" t="str">
        <f>IF(preDEL!$AG95,IFERROR(0/0,""),preDEL!V95)</f>
        <v/>
      </c>
      <c r="W95" s="94" t="str">
        <f>IF(preDEL!$AG95,IFERROR(0/0,""),preDEL!W95)</f>
        <v/>
      </c>
      <c r="X95" s="99" t="b">
        <f>IF(preDEL!$AG95,IFERROR(0/0,""),preDEL!X95)</f>
        <v>0</v>
      </c>
      <c r="Y95" s="93" t="str">
        <f>IF(preDEL!$AG95,IFERROR(0/0,""),preDEL!Y95)</f>
        <v/>
      </c>
      <c r="Z95" s="249" t="str">
        <f>IF(preDEL!$AG95,IFERROR(0/0,""),preDEL!Z95)</f>
        <v/>
      </c>
      <c r="AA95" s="93" t="b">
        <f>IF(preDEL!$AG95,IFERROR(0/0,""),preDEL!AA95)</f>
        <v>0</v>
      </c>
      <c r="AB95" s="93" t="str">
        <f>IF(preDEL!$AG95,IFERROR(0/0,""),preDEL!AB95)</f>
        <v/>
      </c>
      <c r="AC95" s="252">
        <f>IF(preDEL!$AG95,IFERROR(0/0,""),preDEL!AC95)</f>
        <v>158</v>
      </c>
      <c r="AD95" s="99" t="str">
        <f>IF(preDEL!$AG95,IFERROR(0/0,""),preDEL!AD95)</f>
        <v/>
      </c>
      <c r="AE95" s="253">
        <f>IF(preDEL!$AG95,IFERROR(0/0,""),preDEL!AE95)</f>
        <v>157.9833333</v>
      </c>
      <c r="AF95" s="93" t="b">
        <f>IF(preDEL!$AG95,IFERROR(0/0,""),preDEL!AF95)</f>
        <v>0</v>
      </c>
      <c r="AG95" s="93" t="b">
        <f>IF(preDEL!$AG95,IFERROR(0/0,""),preDEL!AG95)</f>
        <v>0</v>
      </c>
      <c r="AH95" s="99" t="str">
        <f>IF(preDEL!$AG95,IFERROR(0/0,""),preDEL!AH95)</f>
        <v/>
      </c>
      <c r="AI95" s="249" t="str">
        <f>IF(preDEL!$AG95,IFERROR(0/0,""),preDEL!AI95)</f>
        <v/>
      </c>
      <c r="AJ95" s="94" t="str">
        <f>IF(preDEL!$AG95,IFERROR(0/0,""),preDEL!AJ95)</f>
        <v/>
      </c>
      <c r="AK95" s="249" t="str">
        <f>IF(preDEL!$AG95,IFERROR(0/0,""),preDEL!AK95)</f>
        <v>Negative</v>
      </c>
      <c r="AL95" s="94" t="str">
        <f>IF(preDEL!$AG95,IFERROR(0/0,""),preDEL!AL95)</f>
        <v/>
      </c>
      <c r="AM95" s="94" t="str">
        <f>IF(preDEL!$AG95,IFERROR(0/0,""),preDEL!AM95)</f>
        <v>SpNDHM118014</v>
      </c>
      <c r="AN95" s="94" t="str">
        <f>IF(preDEL!$AG95,IFERROR(0/0,""),preDEL!AN95)</f>
        <v>NDHM953531</v>
      </c>
      <c r="AO95" s="94" t="str">
        <f>IF(preDEL!$AG95,IFERROR(0/0,""),preDEL!AO95)</f>
        <v/>
      </c>
      <c r="AP95" s="94" t="str">
        <f>IF(preDEL!$AG95,IFERROR(0/0,""),preDEL!AP95)</f>
        <v/>
      </c>
      <c r="AQ95" s="94" t="str">
        <f>IF(preDEL!$AG95,IFERROR(0/0,""),preDEL!AQ95)</f>
        <v/>
      </c>
      <c r="AR95" s="94" t="str">
        <f>IF(preDEL!$AG95,IFERROR(0/0,""),preDEL!AR95)</f>
        <v/>
      </c>
      <c r="AS95" s="98"/>
      <c r="BE95" s="254"/>
      <c r="BF95" s="255"/>
      <c r="BG95" s="254"/>
      <c r="BH95" s="255"/>
      <c r="BI95" s="254"/>
      <c r="BJ95" s="254"/>
      <c r="BK95" s="254"/>
      <c r="BL95" s="254"/>
      <c r="BN95" s="7"/>
      <c r="BO95" s="7"/>
      <c r="BP95" s="7"/>
      <c r="BQ95" s="7"/>
      <c r="BR95" s="7"/>
      <c r="BS95" s="7"/>
      <c r="BT95" s="7"/>
    </row>
    <row r="96">
      <c r="A96" s="249" t="str">
        <f>IF(preDEL!$AG96,IFERROR(0/0,""),preDEL!A96)</f>
        <v>AJ8556</v>
      </c>
      <c r="B96" s="250">
        <f>IF(preDEL!$AG96,IFERROR(0/0,""),preDEL!B96)</f>
        <v>44690</v>
      </c>
      <c r="C96" s="251">
        <f>IF(preDEL!$AG96,IFERROR(0/0,""),preDEL!C96)</f>
        <v>0.2135300926</v>
      </c>
      <c r="D96" s="249" t="str">
        <f>IF(preDEL!$AG96,IFERROR(0/0,""),preDEL!D96)</f>
        <v/>
      </c>
      <c r="E96" s="249" t="str">
        <f>IF(preDEL!$AG96,IFERROR(0/0,""),preDEL!E96)</f>
        <v/>
      </c>
      <c r="F96" s="94" t="str">
        <f>IF(preDEL!$AG96,IFERROR(0/0,""),preDEL!F96)</f>
        <v/>
      </c>
      <c r="G96" s="94" t="str">
        <f>IF(preDEL!$AG96,IFERROR(0/0,""),preDEL!G96)</f>
        <v/>
      </c>
      <c r="H96" s="94" t="str">
        <f>IF(preDEL!$AG96,IFERROR(0/0,""),preDEL!H96)</f>
        <v/>
      </c>
      <c r="I96" s="249" t="str">
        <f>IF(preDEL!$AG96,IFERROR(0/0,""),preDEL!I96)</f>
        <v/>
      </c>
      <c r="J96" s="249" t="str">
        <f>IF(preDEL!$AG96,IFERROR(0/0,""),preDEL!J96)</f>
        <v/>
      </c>
      <c r="K96" s="249" t="str">
        <f>IF(preDEL!$AG96,IFERROR(0/0,""),preDEL!K96)</f>
        <v>Negative</v>
      </c>
      <c r="L96" s="250">
        <f>IF(preDEL!$AG96,IFERROR(0/0,""),preDEL!L96)</f>
        <v>44690</v>
      </c>
      <c r="M96" s="251">
        <f>IF(preDEL!$AG96,IFERROR(0/0,""),preDEL!M96)</f>
        <v>0.3232407407</v>
      </c>
      <c r="N96" s="94" t="str">
        <f>IF(preDEL!$AG96,IFERROR(0/0,""),preDEL!N96)</f>
        <v/>
      </c>
      <c r="O96" s="94" t="str">
        <f>IF(preDEL!$AG96,IFERROR(0/0,""),preDEL!O96)</f>
        <v/>
      </c>
      <c r="P96" s="93" t="b">
        <f>IF(preDEL!$AG96,IFERROR(0/0,""),preDEL!P96)</f>
        <v>0</v>
      </c>
      <c r="Q96" s="93" t="str">
        <f>IF(preDEL!$AG96,IFERROR(0/0,""),preDEL!Q96)</f>
        <v>Result</v>
      </c>
      <c r="R96" s="99" t="b">
        <f>IF(preDEL!$AG96,IFERROR(0/0,""),preDEL!R96)</f>
        <v>0</v>
      </c>
      <c r="S96" s="99">
        <f>IF(preDEL!$AG96,IFERROR(0/0,""),preDEL!S96)</f>
        <v>4</v>
      </c>
      <c r="T96" s="93">
        <f>IF(preDEL!$AG96,IFERROR(0/0,""),preDEL!T96)</f>
        <v>3</v>
      </c>
      <c r="U96" s="94" t="str">
        <f>IF(preDEL!$AG96,IFERROR(0/0,""),preDEL!U96)</f>
        <v/>
      </c>
      <c r="V96" s="249" t="str">
        <f>IF(preDEL!$AG96,IFERROR(0/0,""),preDEL!V96)</f>
        <v/>
      </c>
      <c r="W96" s="94" t="str">
        <f>IF(preDEL!$AG96,IFERROR(0/0,""),preDEL!W96)</f>
        <v/>
      </c>
      <c r="X96" s="99" t="b">
        <f>IF(preDEL!$AG96,IFERROR(0/0,""),preDEL!X96)</f>
        <v>0</v>
      </c>
      <c r="Y96" s="93" t="str">
        <f>IF(preDEL!$AG96,IFERROR(0/0,""),preDEL!Y96)</f>
        <v/>
      </c>
      <c r="Z96" s="249" t="str">
        <f>IF(preDEL!$AG96,IFERROR(0/0,""),preDEL!Z96)</f>
        <v/>
      </c>
      <c r="AA96" s="93" t="b">
        <f>IF(preDEL!$AG96,IFERROR(0/0,""),preDEL!AA96)</f>
        <v>0</v>
      </c>
      <c r="AB96" s="93" t="str">
        <f>IF(preDEL!$AG96,IFERROR(0/0,""),preDEL!AB96)</f>
        <v/>
      </c>
      <c r="AC96" s="252">
        <f>IF(preDEL!$AG96,IFERROR(0/0,""),preDEL!AC96)</f>
        <v>158</v>
      </c>
      <c r="AD96" s="99" t="str">
        <f>IF(preDEL!$AG96,IFERROR(0/0,""),preDEL!AD96)</f>
        <v/>
      </c>
      <c r="AE96" s="253">
        <f>IF(preDEL!$AG96,IFERROR(0/0,""),preDEL!AE96)</f>
        <v>157.9833333</v>
      </c>
      <c r="AF96" s="93" t="b">
        <f>IF(preDEL!$AG96,IFERROR(0/0,""),preDEL!AF96)</f>
        <v>0</v>
      </c>
      <c r="AG96" s="93" t="b">
        <f>IF(preDEL!$AG96,IFERROR(0/0,""),preDEL!AG96)</f>
        <v>0</v>
      </c>
      <c r="AH96" s="99" t="str">
        <f>IF(preDEL!$AG96,IFERROR(0/0,""),preDEL!AH96)</f>
        <v/>
      </c>
      <c r="AI96" s="249" t="str">
        <f>IF(preDEL!$AG96,IFERROR(0/0,""),preDEL!AI96)</f>
        <v/>
      </c>
      <c r="AJ96" s="94" t="str">
        <f>IF(preDEL!$AG96,IFERROR(0/0,""),preDEL!AJ96)</f>
        <v/>
      </c>
      <c r="AK96" s="249" t="str">
        <f>IF(preDEL!$AG96,IFERROR(0/0,""),preDEL!AK96)</f>
        <v>Negative</v>
      </c>
      <c r="AL96" s="94" t="str">
        <f>IF(preDEL!$AG96,IFERROR(0/0,""),preDEL!AL96)</f>
        <v/>
      </c>
      <c r="AM96" s="94" t="str">
        <f>IF(preDEL!$AG96,IFERROR(0/0,""),preDEL!AM96)</f>
        <v>SpNDHM118014</v>
      </c>
      <c r="AN96" s="94" t="str">
        <f>IF(preDEL!$AG96,IFERROR(0/0,""),preDEL!AN96)</f>
        <v>NDHM976885</v>
      </c>
      <c r="AO96" s="94" t="str">
        <f>IF(preDEL!$AG96,IFERROR(0/0,""),preDEL!AO96)</f>
        <v/>
      </c>
      <c r="AP96" s="94" t="str">
        <f>IF(preDEL!$AG96,IFERROR(0/0,""),preDEL!AP96)</f>
        <v/>
      </c>
      <c r="AQ96" s="94" t="str">
        <f>IF(preDEL!$AG96,IFERROR(0/0,""),preDEL!AQ96)</f>
        <v/>
      </c>
      <c r="AR96" s="94" t="str">
        <f>IF(preDEL!$AG96,IFERROR(0/0,""),preDEL!AR96)</f>
        <v/>
      </c>
      <c r="AS96" s="98"/>
      <c r="BE96" s="254"/>
      <c r="BF96" s="255"/>
      <c r="BG96" s="254"/>
      <c r="BH96" s="255"/>
      <c r="BI96" s="254"/>
      <c r="BJ96" s="254"/>
      <c r="BK96" s="254"/>
      <c r="BL96" s="254"/>
      <c r="BN96" s="7"/>
      <c r="BO96" s="7"/>
      <c r="BP96" s="7"/>
      <c r="BQ96" s="7"/>
      <c r="BR96" s="7"/>
      <c r="BS96" s="7"/>
      <c r="BT96" s="7"/>
    </row>
    <row r="97">
      <c r="A97" s="249" t="str">
        <f>IF(preDEL!$AG97,IFERROR(0/0,""),preDEL!A97)</f>
        <v>AG815</v>
      </c>
      <c r="B97" s="250">
        <f>IF(preDEL!$AG97,IFERROR(0/0,""),preDEL!B97)</f>
        <v>44690</v>
      </c>
      <c r="C97" s="251">
        <f>IF(preDEL!$AG97,IFERROR(0/0,""),preDEL!C97)</f>
        <v>0.2437037037</v>
      </c>
      <c r="D97" s="249" t="str">
        <f>IF(preDEL!$AG97,IFERROR(0/0,""),preDEL!D97)</f>
        <v/>
      </c>
      <c r="E97" s="249" t="str">
        <f>IF(preDEL!$AG97,IFERROR(0/0,""),preDEL!E97)</f>
        <v/>
      </c>
      <c r="F97" s="94" t="str">
        <f>IF(preDEL!$AG97,IFERROR(0/0,""),preDEL!F97)</f>
        <v/>
      </c>
      <c r="G97" s="94" t="str">
        <f>IF(preDEL!$AG97,IFERROR(0/0,""),preDEL!G97)</f>
        <v/>
      </c>
      <c r="H97" s="94" t="str">
        <f>IF(preDEL!$AG97,IFERROR(0/0,""),preDEL!H97)</f>
        <v/>
      </c>
      <c r="I97" s="249" t="str">
        <f>IF(preDEL!$AG97,IFERROR(0/0,""),preDEL!I97)</f>
        <v/>
      </c>
      <c r="J97" s="249" t="str">
        <f>IF(preDEL!$AG97,IFERROR(0/0,""),preDEL!J97)</f>
        <v/>
      </c>
      <c r="K97" s="249" t="str">
        <f>IF(preDEL!$AG97,IFERROR(0/0,""),preDEL!K97)</f>
        <v>Negative</v>
      </c>
      <c r="L97" s="250">
        <f>IF(preDEL!$AG97,IFERROR(0/0,""),preDEL!L97)</f>
        <v>44690</v>
      </c>
      <c r="M97" s="251">
        <f>IF(preDEL!$AG97,IFERROR(0/0,""),preDEL!M97)</f>
        <v>0.3232523148</v>
      </c>
      <c r="N97" s="94" t="str">
        <f>IF(preDEL!$AG97,IFERROR(0/0,""),preDEL!N97)</f>
        <v/>
      </c>
      <c r="O97" s="94" t="str">
        <f>IF(preDEL!$AG97,IFERROR(0/0,""),preDEL!O97)</f>
        <v/>
      </c>
      <c r="P97" s="93" t="b">
        <f>IF(preDEL!$AG97,IFERROR(0/0,""),preDEL!P97)</f>
        <v>0</v>
      </c>
      <c r="Q97" s="93" t="str">
        <f>IF(preDEL!$AG97,IFERROR(0/0,""),preDEL!Q97)</f>
        <v>Result</v>
      </c>
      <c r="R97" s="99" t="b">
        <f>IF(preDEL!$AG97,IFERROR(0/0,""),preDEL!R97)</f>
        <v>1</v>
      </c>
      <c r="S97" s="99">
        <f>IF(preDEL!$AG97,IFERROR(0/0,""),preDEL!S97)</f>
        <v>1</v>
      </c>
      <c r="T97" s="93" t="str">
        <f>IF(preDEL!$AG97,IFERROR(0/0,""),preDEL!T97)</f>
        <v/>
      </c>
      <c r="U97" s="94" t="str">
        <f>IF(preDEL!$AG97,IFERROR(0/0,""),preDEL!U97)</f>
        <v/>
      </c>
      <c r="V97" s="249" t="str">
        <f>IF(preDEL!$AG97,IFERROR(0/0,""),preDEL!V97)</f>
        <v/>
      </c>
      <c r="W97" s="94" t="str">
        <f>IF(preDEL!$AG97,IFERROR(0/0,""),preDEL!W97)</f>
        <v/>
      </c>
      <c r="X97" s="99" t="b">
        <f>IF(preDEL!$AG97,IFERROR(0/0,""),preDEL!X97)</f>
        <v>0</v>
      </c>
      <c r="Y97" s="93" t="str">
        <f>IF(preDEL!$AG97,IFERROR(0/0,""),preDEL!Y97)</f>
        <v/>
      </c>
      <c r="Z97" s="249" t="str">
        <f>IF(preDEL!$AG97,IFERROR(0/0,""),preDEL!Z97)</f>
        <v/>
      </c>
      <c r="AA97" s="93" t="b">
        <f>IF(preDEL!$AG97,IFERROR(0/0,""),preDEL!AA97)</f>
        <v>0</v>
      </c>
      <c r="AB97" s="93" t="str">
        <f>IF(preDEL!$AG97,IFERROR(0/0,""),preDEL!AB97)</f>
        <v/>
      </c>
      <c r="AC97" s="252">
        <f>IF(preDEL!$AG97,IFERROR(0/0,""),preDEL!AC97)</f>
        <v>159</v>
      </c>
      <c r="AD97" s="99" t="str">
        <f>IF(preDEL!$AG97,IFERROR(0/0,""),preDEL!AD97)</f>
        <v/>
      </c>
      <c r="AE97" s="253">
        <f>IF(preDEL!$AG97,IFERROR(0/0,""),preDEL!AE97)</f>
        <v>114.55</v>
      </c>
      <c r="AF97" s="93" t="b">
        <f>IF(preDEL!$AG97,IFERROR(0/0,""),preDEL!AF97)</f>
        <v>0</v>
      </c>
      <c r="AG97" s="93" t="b">
        <f>IF(preDEL!$AG97,IFERROR(0/0,""),preDEL!AG97)</f>
        <v>0</v>
      </c>
      <c r="AH97" s="99" t="str">
        <f>IF(preDEL!$AG97,IFERROR(0/0,""),preDEL!AH97)</f>
        <v/>
      </c>
      <c r="AI97" s="249" t="str">
        <f>IF(preDEL!$AG97,IFERROR(0/0,""),preDEL!AI97)</f>
        <v/>
      </c>
      <c r="AJ97" s="94" t="str">
        <f>IF(preDEL!$AG97,IFERROR(0/0,""),preDEL!AJ97)</f>
        <v/>
      </c>
      <c r="AK97" s="249" t="str">
        <f>IF(preDEL!$AG97,IFERROR(0/0,""),preDEL!AK97)</f>
        <v>Negative</v>
      </c>
      <c r="AL97" s="94" t="str">
        <f>IF(preDEL!$AG97,IFERROR(0/0,""),preDEL!AL97)</f>
        <v/>
      </c>
      <c r="AM97" s="94" t="str">
        <f>IF(preDEL!$AG97,IFERROR(0/0,""),preDEL!AM97)</f>
        <v>SpNDHM122532</v>
      </c>
      <c r="AN97" s="94" t="str">
        <f>IF(preDEL!$AG97,IFERROR(0/0,""),preDEL!AN97)</f>
        <v>NDHM359812</v>
      </c>
      <c r="AO97" s="94" t="str">
        <f>IF(preDEL!$AG97,IFERROR(0/0,""),preDEL!AO97)</f>
        <v/>
      </c>
      <c r="AP97" s="94" t="str">
        <f>IF(preDEL!$AG97,IFERROR(0/0,""),preDEL!AP97)</f>
        <v/>
      </c>
      <c r="AQ97" s="94" t="str">
        <f>IF(preDEL!$AG97,IFERROR(0/0,""),preDEL!AQ97)</f>
        <v/>
      </c>
      <c r="AR97" s="94" t="str">
        <f>IF(preDEL!$AG97,IFERROR(0/0,""),preDEL!AR97)</f>
        <v/>
      </c>
      <c r="AS97" s="98"/>
      <c r="BE97" s="254"/>
      <c r="BF97" s="255"/>
      <c r="BG97" s="254"/>
      <c r="BH97" s="255"/>
      <c r="BI97" s="254"/>
      <c r="BJ97" s="254"/>
      <c r="BK97" s="254"/>
      <c r="BL97" s="254"/>
      <c r="BN97" s="7"/>
      <c r="BO97" s="7"/>
      <c r="BP97" s="7"/>
      <c r="BQ97" s="7"/>
      <c r="BR97" s="7"/>
      <c r="BS97" s="7"/>
      <c r="BT97" s="7"/>
    </row>
    <row r="98">
      <c r="A98" s="249" t="str">
        <f>IF(preDEL!$AG98,IFERROR(0/0,""),preDEL!A98)</f>
        <v>AG1523</v>
      </c>
      <c r="B98" s="250">
        <f>IF(preDEL!$AG98,IFERROR(0/0,""),preDEL!B98)</f>
        <v>44690</v>
      </c>
      <c r="C98" s="251">
        <f>IF(preDEL!$AG98,IFERROR(0/0,""),preDEL!C98)</f>
        <v>0.2795138889</v>
      </c>
      <c r="D98" s="249" t="str">
        <f>IF(preDEL!$AG98,IFERROR(0/0,""),preDEL!D98)</f>
        <v/>
      </c>
      <c r="E98" s="249" t="str">
        <f>IF(preDEL!$AG98,IFERROR(0/0,""),preDEL!E98)</f>
        <v/>
      </c>
      <c r="F98" s="94" t="str">
        <f>IF(preDEL!$AG98,IFERROR(0/0,""),preDEL!F98)</f>
        <v/>
      </c>
      <c r="G98" s="94" t="str">
        <f>IF(preDEL!$AG98,IFERROR(0/0,""),preDEL!G98)</f>
        <v/>
      </c>
      <c r="H98" s="94" t="str">
        <f>IF(preDEL!$AG98,IFERROR(0/0,""),preDEL!H98)</f>
        <v/>
      </c>
      <c r="I98" s="249" t="str">
        <f>IF(preDEL!$AG98,IFERROR(0/0,""),preDEL!I98)</f>
        <v/>
      </c>
      <c r="J98" s="249" t="str">
        <f>IF(preDEL!$AG98,IFERROR(0/0,""),preDEL!J98)</f>
        <v/>
      </c>
      <c r="K98" s="249" t="str">
        <f>IF(preDEL!$AG98,IFERROR(0/0,""),preDEL!K98)</f>
        <v>Negative</v>
      </c>
      <c r="L98" s="250">
        <f>IF(preDEL!$AG98,IFERROR(0/0,""),preDEL!L98)</f>
        <v>44690</v>
      </c>
      <c r="M98" s="251">
        <f>IF(preDEL!$AG98,IFERROR(0/0,""),preDEL!M98)</f>
        <v>0.3232523148</v>
      </c>
      <c r="N98" s="94" t="str">
        <f>IF(preDEL!$AG98,IFERROR(0/0,""),preDEL!N98)</f>
        <v/>
      </c>
      <c r="O98" s="94" t="str">
        <f>IF(preDEL!$AG98,IFERROR(0/0,""),preDEL!O98)</f>
        <v/>
      </c>
      <c r="P98" s="93" t="b">
        <f>IF(preDEL!$AG98,IFERROR(0/0,""),preDEL!P98)</f>
        <v>0</v>
      </c>
      <c r="Q98" s="93" t="str">
        <f>IF(preDEL!$AG98,IFERROR(0/0,""),preDEL!Q98)</f>
        <v>Result</v>
      </c>
      <c r="R98" s="99" t="b">
        <f>IF(preDEL!$AG98,IFERROR(0/0,""),preDEL!R98)</f>
        <v>1</v>
      </c>
      <c r="S98" s="99">
        <f>IF(preDEL!$AG98,IFERROR(0/0,""),preDEL!S98)</f>
        <v>1</v>
      </c>
      <c r="T98" s="93" t="str">
        <f>IF(preDEL!$AG98,IFERROR(0/0,""),preDEL!T98)</f>
        <v/>
      </c>
      <c r="U98" s="94" t="str">
        <f>IF(preDEL!$AG98,IFERROR(0/0,""),preDEL!U98)</f>
        <v/>
      </c>
      <c r="V98" s="249" t="str">
        <f>IF(preDEL!$AG98,IFERROR(0/0,""),preDEL!V98)</f>
        <v/>
      </c>
      <c r="W98" s="94" t="str">
        <f>IF(preDEL!$AG98,IFERROR(0/0,""),preDEL!W98)</f>
        <v/>
      </c>
      <c r="X98" s="99" t="b">
        <f>IF(preDEL!$AG98,IFERROR(0/0,""),preDEL!X98)</f>
        <v>0</v>
      </c>
      <c r="Y98" s="93" t="str">
        <f>IF(preDEL!$AG98,IFERROR(0/0,""),preDEL!Y98)</f>
        <v/>
      </c>
      <c r="Z98" s="249" t="str">
        <f>IF(preDEL!$AG98,IFERROR(0/0,""),preDEL!Z98)</f>
        <v/>
      </c>
      <c r="AA98" s="93" t="b">
        <f>IF(preDEL!$AG98,IFERROR(0/0,""),preDEL!AA98)</f>
        <v>0</v>
      </c>
      <c r="AB98" s="93" t="str">
        <f>IF(preDEL!$AG98,IFERROR(0/0,""),preDEL!AB98)</f>
        <v/>
      </c>
      <c r="AC98" s="252">
        <f>IF(preDEL!$AG98,IFERROR(0/0,""),preDEL!AC98)</f>
        <v>160</v>
      </c>
      <c r="AD98" s="99" t="str">
        <f>IF(preDEL!$AG98,IFERROR(0/0,""),preDEL!AD98)</f>
        <v/>
      </c>
      <c r="AE98" s="253">
        <f>IF(preDEL!$AG98,IFERROR(0/0,""),preDEL!AE98)</f>
        <v>62.98333333</v>
      </c>
      <c r="AF98" s="93" t="b">
        <f>IF(preDEL!$AG98,IFERROR(0/0,""),preDEL!AF98)</f>
        <v>0</v>
      </c>
      <c r="AG98" s="93" t="b">
        <f>IF(preDEL!$AG98,IFERROR(0/0,""),preDEL!AG98)</f>
        <v>0</v>
      </c>
      <c r="AH98" s="99" t="str">
        <f>IF(preDEL!$AG98,IFERROR(0/0,""),preDEL!AH98)</f>
        <v/>
      </c>
      <c r="AI98" s="249" t="str">
        <f>IF(preDEL!$AG98,IFERROR(0/0,""),preDEL!AI98)</f>
        <v/>
      </c>
      <c r="AJ98" s="94" t="str">
        <f>IF(preDEL!$AG98,IFERROR(0/0,""),preDEL!AJ98)</f>
        <v/>
      </c>
      <c r="AK98" s="249" t="str">
        <f>IF(preDEL!$AG98,IFERROR(0/0,""),preDEL!AK98)</f>
        <v>Negative</v>
      </c>
      <c r="AL98" s="94" t="str">
        <f>IF(preDEL!$AG98,IFERROR(0/0,""),preDEL!AL98)</f>
        <v/>
      </c>
      <c r="AM98" s="94" t="str">
        <f>IF(preDEL!$AG98,IFERROR(0/0,""),preDEL!AM98)</f>
        <v>SpNDHM122532</v>
      </c>
      <c r="AN98" s="94" t="str">
        <f>IF(preDEL!$AG98,IFERROR(0/0,""),preDEL!AN98)</f>
        <v>NDHM133624</v>
      </c>
      <c r="AO98" s="94" t="str">
        <f>IF(preDEL!$AG98,IFERROR(0/0,""),preDEL!AO98)</f>
        <v/>
      </c>
      <c r="AP98" s="94" t="str">
        <f>IF(preDEL!$AG98,IFERROR(0/0,""),preDEL!AP98)</f>
        <v/>
      </c>
      <c r="AQ98" s="94" t="str">
        <f>IF(preDEL!$AG98,IFERROR(0/0,""),preDEL!AQ98)</f>
        <v/>
      </c>
      <c r="AR98" s="94" t="str">
        <f>IF(preDEL!$AG98,IFERROR(0/0,""),preDEL!AR98)</f>
        <v/>
      </c>
      <c r="AS98" s="98"/>
      <c r="BE98" s="254"/>
      <c r="BF98" s="255"/>
      <c r="BG98" s="254"/>
      <c r="BH98" s="255"/>
      <c r="BI98" s="254"/>
      <c r="BJ98" s="254"/>
      <c r="BK98" s="254"/>
      <c r="BL98" s="254"/>
      <c r="BN98" s="7"/>
      <c r="BO98" s="7"/>
      <c r="BP98" s="7"/>
      <c r="BQ98" s="7"/>
      <c r="BR98" s="7"/>
      <c r="BS98" s="7"/>
      <c r="BT98" s="7"/>
    </row>
    <row r="99">
      <c r="A99" s="249" t="str">
        <f>IF(preDEL!$AG99,IFERROR(0/0,""),preDEL!A99)</f>
        <v>AH266</v>
      </c>
      <c r="B99" s="250">
        <f>IF(preDEL!$AG99,IFERROR(0/0,""),preDEL!B99)</f>
        <v>44690</v>
      </c>
      <c r="C99" s="251">
        <f>IF(preDEL!$AG99,IFERROR(0/0,""),preDEL!C99)</f>
        <v>0.280162037</v>
      </c>
      <c r="D99" s="249" t="str">
        <f>IF(preDEL!$AG99,IFERROR(0/0,""),preDEL!D99)</f>
        <v/>
      </c>
      <c r="E99" s="249" t="str">
        <f>IF(preDEL!$AG99,IFERROR(0/0,""),preDEL!E99)</f>
        <v/>
      </c>
      <c r="F99" s="94" t="str">
        <f>IF(preDEL!$AG99,IFERROR(0/0,""),preDEL!F99)</f>
        <v/>
      </c>
      <c r="G99" s="94" t="str">
        <f>IF(preDEL!$AG99,IFERROR(0/0,""),preDEL!G99)</f>
        <v/>
      </c>
      <c r="H99" s="94" t="str">
        <f>IF(preDEL!$AG99,IFERROR(0/0,""),preDEL!H99)</f>
        <v/>
      </c>
      <c r="I99" s="249" t="str">
        <f>IF(preDEL!$AG99,IFERROR(0/0,""),preDEL!I99)</f>
        <v/>
      </c>
      <c r="J99" s="249" t="str">
        <f>IF(preDEL!$AG99,IFERROR(0/0,""),preDEL!J99)</f>
        <v/>
      </c>
      <c r="K99" s="249" t="str">
        <f>IF(preDEL!$AG99,IFERROR(0/0,""),preDEL!K99)</f>
        <v>Negative</v>
      </c>
      <c r="L99" s="250">
        <f>IF(preDEL!$AG99,IFERROR(0/0,""),preDEL!L99)</f>
        <v>44690</v>
      </c>
      <c r="M99" s="251">
        <f>IF(preDEL!$AG99,IFERROR(0/0,""),preDEL!M99)</f>
        <v>0.3232523148</v>
      </c>
      <c r="N99" s="94" t="str">
        <f>IF(preDEL!$AG99,IFERROR(0/0,""),preDEL!N99)</f>
        <v/>
      </c>
      <c r="O99" s="94" t="str">
        <f>IF(preDEL!$AG99,IFERROR(0/0,""),preDEL!O99)</f>
        <v/>
      </c>
      <c r="P99" s="93" t="b">
        <f>IF(preDEL!$AG99,IFERROR(0/0,""),preDEL!P99)</f>
        <v>0</v>
      </c>
      <c r="Q99" s="93" t="str">
        <f>IF(preDEL!$AG99,IFERROR(0/0,""),preDEL!Q99)</f>
        <v>Result</v>
      </c>
      <c r="R99" s="99" t="b">
        <f>IF(preDEL!$AG99,IFERROR(0/0,""),preDEL!R99)</f>
        <v>1</v>
      </c>
      <c r="S99" s="99">
        <f>IF(preDEL!$AG99,IFERROR(0/0,""),preDEL!S99)</f>
        <v>2</v>
      </c>
      <c r="T99" s="93">
        <f>IF(preDEL!$AG99,IFERROR(0/0,""),preDEL!T99)</f>
        <v>1</v>
      </c>
      <c r="U99" s="94" t="str">
        <f>IF(preDEL!$AG99,IFERROR(0/0,""),preDEL!U99)</f>
        <v/>
      </c>
      <c r="V99" s="249" t="str">
        <f>IF(preDEL!$AG99,IFERROR(0/0,""),preDEL!V99)</f>
        <v/>
      </c>
      <c r="W99" s="94" t="str">
        <f>IF(preDEL!$AG99,IFERROR(0/0,""),preDEL!W99)</f>
        <v/>
      </c>
      <c r="X99" s="99" t="b">
        <f>IF(preDEL!$AG99,IFERROR(0/0,""),preDEL!X99)</f>
        <v>0</v>
      </c>
      <c r="Y99" s="93" t="str">
        <f>IF(preDEL!$AG99,IFERROR(0/0,""),preDEL!Y99)</f>
        <v/>
      </c>
      <c r="Z99" s="249" t="str">
        <f>IF(preDEL!$AG99,IFERROR(0/0,""),preDEL!Z99)</f>
        <v/>
      </c>
      <c r="AA99" s="93" t="b">
        <f>IF(preDEL!$AG99,IFERROR(0/0,""),preDEL!AA99)</f>
        <v>0</v>
      </c>
      <c r="AB99" s="93" t="str">
        <f>IF(preDEL!$AG99,IFERROR(0/0,""),preDEL!AB99)</f>
        <v/>
      </c>
      <c r="AC99" s="252">
        <f>IF(preDEL!$AG99,IFERROR(0/0,""),preDEL!AC99)</f>
        <v>161</v>
      </c>
      <c r="AD99" s="99" t="str">
        <f>IF(preDEL!$AG99,IFERROR(0/0,""),preDEL!AD99)</f>
        <v/>
      </c>
      <c r="AE99" s="253">
        <f>IF(preDEL!$AG99,IFERROR(0/0,""),preDEL!AE99)</f>
        <v>62.05</v>
      </c>
      <c r="AF99" s="93" t="b">
        <f>IF(preDEL!$AG99,IFERROR(0/0,""),preDEL!AF99)</f>
        <v>0</v>
      </c>
      <c r="AG99" s="93" t="b">
        <f>IF(preDEL!$AG99,IFERROR(0/0,""),preDEL!AG99)</f>
        <v>0</v>
      </c>
      <c r="AH99" s="99" t="str">
        <f>IF(preDEL!$AG99,IFERROR(0/0,""),preDEL!AH99)</f>
        <v/>
      </c>
      <c r="AI99" s="249" t="str">
        <f>IF(preDEL!$AG99,IFERROR(0/0,""),preDEL!AI99)</f>
        <v/>
      </c>
      <c r="AJ99" s="94" t="str">
        <f>IF(preDEL!$AG99,IFERROR(0/0,""),preDEL!AJ99)</f>
        <v/>
      </c>
      <c r="AK99" s="249" t="str">
        <f>IF(preDEL!$AG99,IFERROR(0/0,""),preDEL!AK99)</f>
        <v>Negative</v>
      </c>
      <c r="AL99" s="94" t="str">
        <f>IF(preDEL!$AG99,IFERROR(0/0,""),preDEL!AL99)</f>
        <v/>
      </c>
      <c r="AM99" s="94" t="str">
        <f>IF(preDEL!$AG99,IFERROR(0/0,""),preDEL!AM99)</f>
        <v>SpNDHM122532</v>
      </c>
      <c r="AN99" s="94" t="str">
        <f>IF(preDEL!$AG99,IFERROR(0/0,""),preDEL!AN99)</f>
        <v>NDHM804847</v>
      </c>
      <c r="AO99" s="94" t="str">
        <f>IF(preDEL!$AG99,IFERROR(0/0,""),preDEL!AO99)</f>
        <v/>
      </c>
      <c r="AP99" s="94" t="str">
        <f>IF(preDEL!$AG99,IFERROR(0/0,""),preDEL!AP99)</f>
        <v/>
      </c>
      <c r="AQ99" s="94" t="str">
        <f>IF(preDEL!$AG99,IFERROR(0/0,""),preDEL!AQ99)</f>
        <v/>
      </c>
      <c r="AR99" s="94" t="str">
        <f>IF(preDEL!$AG99,IFERROR(0/0,""),preDEL!AR99)</f>
        <v/>
      </c>
      <c r="AS99" s="98"/>
      <c r="BE99" s="254"/>
      <c r="BF99" s="255"/>
      <c r="BG99" s="254"/>
      <c r="BH99" s="255"/>
      <c r="BI99" s="254"/>
      <c r="BJ99" s="254"/>
      <c r="BK99" s="254"/>
      <c r="BL99" s="254"/>
      <c r="BN99" s="7"/>
      <c r="BO99" s="7"/>
      <c r="BP99" s="7"/>
      <c r="BQ99" s="7"/>
      <c r="BR99" s="7"/>
      <c r="BS99" s="7"/>
      <c r="BT99" s="7"/>
    </row>
    <row r="100">
      <c r="A100" s="249" t="str">
        <f>IF(preDEL!$AG100,IFERROR(0/0,""),preDEL!A100)</f>
        <v>AH266</v>
      </c>
      <c r="B100" s="250">
        <f>IF(preDEL!$AG100,IFERROR(0/0,""),preDEL!B100)</f>
        <v>44690</v>
      </c>
      <c r="C100" s="251">
        <f>IF(preDEL!$AG100,IFERROR(0/0,""),preDEL!C100)</f>
        <v>0.280162037</v>
      </c>
      <c r="D100" s="249" t="str">
        <f>IF(preDEL!$AG100,IFERROR(0/0,""),preDEL!D100)</f>
        <v/>
      </c>
      <c r="E100" s="249" t="str">
        <f>IF(preDEL!$AG100,IFERROR(0/0,""),preDEL!E100)</f>
        <v/>
      </c>
      <c r="F100" s="94" t="str">
        <f>IF(preDEL!$AG100,IFERROR(0/0,""),preDEL!F100)</f>
        <v/>
      </c>
      <c r="G100" s="94" t="str">
        <f>IF(preDEL!$AG100,IFERROR(0/0,""),preDEL!G100)</f>
        <v/>
      </c>
      <c r="H100" s="94" t="str">
        <f>IF(preDEL!$AG100,IFERROR(0/0,""),preDEL!H100)</f>
        <v/>
      </c>
      <c r="I100" s="249" t="str">
        <f>IF(preDEL!$AG100,IFERROR(0/0,""),preDEL!I100)</f>
        <v/>
      </c>
      <c r="J100" s="249" t="str">
        <f>IF(preDEL!$AG100,IFERROR(0/0,""),preDEL!J100)</f>
        <v/>
      </c>
      <c r="K100" s="249" t="str">
        <f>IF(preDEL!$AG100,IFERROR(0/0,""),preDEL!K100)</f>
        <v>Negative</v>
      </c>
      <c r="L100" s="250">
        <f>IF(preDEL!$AG100,IFERROR(0/0,""),preDEL!L100)</f>
        <v>44690</v>
      </c>
      <c r="M100" s="251">
        <f>IF(preDEL!$AG100,IFERROR(0/0,""),preDEL!M100)</f>
        <v>0.3232523148</v>
      </c>
      <c r="N100" s="94" t="str">
        <f>IF(preDEL!$AG100,IFERROR(0/0,""),preDEL!N100)</f>
        <v/>
      </c>
      <c r="O100" s="94" t="str">
        <f>IF(preDEL!$AG100,IFERROR(0/0,""),preDEL!O100)</f>
        <v/>
      </c>
      <c r="P100" s="93" t="b">
        <f>IF(preDEL!$AG100,IFERROR(0/0,""),preDEL!P100)</f>
        <v>0</v>
      </c>
      <c r="Q100" s="93" t="str">
        <f>IF(preDEL!$AG100,IFERROR(0/0,""),preDEL!Q100)</f>
        <v>Result</v>
      </c>
      <c r="R100" s="99" t="b">
        <f>IF(preDEL!$AG100,IFERROR(0/0,""),preDEL!R100)</f>
        <v>0</v>
      </c>
      <c r="S100" s="99">
        <f>IF(preDEL!$AG100,IFERROR(0/0,""),preDEL!S100)</f>
        <v>2</v>
      </c>
      <c r="T100" s="93">
        <f>IF(preDEL!$AG100,IFERROR(0/0,""),preDEL!T100)</f>
        <v>1</v>
      </c>
      <c r="U100" s="94" t="str">
        <f>IF(preDEL!$AG100,IFERROR(0/0,""),preDEL!U100)</f>
        <v/>
      </c>
      <c r="V100" s="249" t="str">
        <f>IF(preDEL!$AG100,IFERROR(0/0,""),preDEL!V100)</f>
        <v/>
      </c>
      <c r="W100" s="94" t="str">
        <f>IF(preDEL!$AG100,IFERROR(0/0,""),preDEL!W100)</f>
        <v/>
      </c>
      <c r="X100" s="99" t="b">
        <f>IF(preDEL!$AG100,IFERROR(0/0,""),preDEL!X100)</f>
        <v>0</v>
      </c>
      <c r="Y100" s="93" t="str">
        <f>IF(preDEL!$AG100,IFERROR(0/0,""),preDEL!Y100)</f>
        <v/>
      </c>
      <c r="Z100" s="249" t="str">
        <f>IF(preDEL!$AG100,IFERROR(0/0,""),preDEL!Z100)</f>
        <v/>
      </c>
      <c r="AA100" s="93" t="b">
        <f>IF(preDEL!$AG100,IFERROR(0/0,""),preDEL!AA100)</f>
        <v>0</v>
      </c>
      <c r="AB100" s="93" t="str">
        <f>IF(preDEL!$AG100,IFERROR(0/0,""),preDEL!AB100)</f>
        <v/>
      </c>
      <c r="AC100" s="252">
        <f>IF(preDEL!$AG100,IFERROR(0/0,""),preDEL!AC100)</f>
        <v>161</v>
      </c>
      <c r="AD100" s="99" t="str">
        <f>IF(preDEL!$AG100,IFERROR(0/0,""),preDEL!AD100)</f>
        <v/>
      </c>
      <c r="AE100" s="253">
        <f>IF(preDEL!$AG100,IFERROR(0/0,""),preDEL!AE100)</f>
        <v>62.05</v>
      </c>
      <c r="AF100" s="93" t="b">
        <f>IF(preDEL!$AG100,IFERROR(0/0,""),preDEL!AF100)</f>
        <v>0</v>
      </c>
      <c r="AG100" s="93" t="b">
        <f>IF(preDEL!$AG100,IFERROR(0/0,""),preDEL!AG100)</f>
        <v>0</v>
      </c>
      <c r="AH100" s="99" t="str">
        <f>IF(preDEL!$AG100,IFERROR(0/0,""),preDEL!AH100)</f>
        <v/>
      </c>
      <c r="AI100" s="249" t="str">
        <f>IF(preDEL!$AG100,IFERROR(0/0,""),preDEL!AI100)</f>
        <v/>
      </c>
      <c r="AJ100" s="94" t="str">
        <f>IF(preDEL!$AG100,IFERROR(0/0,""),preDEL!AJ100)</f>
        <v/>
      </c>
      <c r="AK100" s="249" t="str">
        <f>IF(preDEL!$AG100,IFERROR(0/0,""),preDEL!AK100)</f>
        <v>Negative</v>
      </c>
      <c r="AL100" s="94" t="str">
        <f>IF(preDEL!$AG100,IFERROR(0/0,""),preDEL!AL100)</f>
        <v/>
      </c>
      <c r="AM100" s="94" t="str">
        <f>IF(preDEL!$AG100,IFERROR(0/0,""),preDEL!AM100)</f>
        <v>SpNDHM122532</v>
      </c>
      <c r="AN100" s="94" t="str">
        <f>IF(preDEL!$AG100,IFERROR(0/0,""),preDEL!AN100)</f>
        <v>NDHM784418</v>
      </c>
      <c r="AO100" s="94" t="str">
        <f>IF(preDEL!$AG100,IFERROR(0/0,""),preDEL!AO100)</f>
        <v/>
      </c>
      <c r="AP100" s="94" t="str">
        <f>IF(preDEL!$AG100,IFERROR(0/0,""),preDEL!AP100)</f>
        <v/>
      </c>
      <c r="AQ100" s="94" t="str">
        <f>IF(preDEL!$AG100,IFERROR(0/0,""),preDEL!AQ100)</f>
        <v/>
      </c>
      <c r="AR100" s="94" t="str">
        <f>IF(preDEL!$AG100,IFERROR(0/0,""),preDEL!AR100)</f>
        <v/>
      </c>
      <c r="AS100" s="98"/>
      <c r="BE100" s="254"/>
      <c r="BF100" s="255"/>
      <c r="BG100" s="254"/>
      <c r="BH100" s="255"/>
      <c r="BI100" s="254"/>
      <c r="BJ100" s="254"/>
      <c r="BK100" s="254"/>
      <c r="BL100" s="254"/>
      <c r="BN100" s="7"/>
      <c r="BO100" s="7"/>
      <c r="BP100" s="7"/>
      <c r="BQ100" s="7"/>
      <c r="BR100" s="7"/>
      <c r="BS100" s="7"/>
      <c r="BT100" s="7"/>
    </row>
    <row r="101">
      <c r="A101" s="249" t="str">
        <f>IF(preDEL!$AG101,IFERROR(0/0,""),preDEL!A101)</f>
        <v>AJ8574</v>
      </c>
      <c r="B101" s="250">
        <f>IF(preDEL!$AG101,IFERROR(0/0,""),preDEL!B101)</f>
        <v>44696</v>
      </c>
      <c r="C101" s="251">
        <f>IF(preDEL!$AG101,IFERROR(0/0,""),preDEL!C101)</f>
        <v>0.7482523148</v>
      </c>
      <c r="D101" s="249" t="str">
        <f>IF(preDEL!$AG101,IFERROR(0/0,""),preDEL!D101)</f>
        <v/>
      </c>
      <c r="E101" s="249" t="str">
        <f>IF(preDEL!$AG101,IFERROR(0/0,""),preDEL!E101)</f>
        <v/>
      </c>
      <c r="F101" s="94" t="str">
        <f>IF(preDEL!$AG101,IFERROR(0/0,""),preDEL!F101)</f>
        <v/>
      </c>
      <c r="G101" s="94" t="str">
        <f>IF(preDEL!$AG101,IFERROR(0/0,""),preDEL!G101)</f>
        <v/>
      </c>
      <c r="H101" s="94" t="str">
        <f>IF(preDEL!$AG101,IFERROR(0/0,""),preDEL!H101)</f>
        <v/>
      </c>
      <c r="I101" s="249" t="str">
        <f>IF(preDEL!$AG101,IFERROR(0/0,""),preDEL!I101)</f>
        <v/>
      </c>
      <c r="J101" s="249" t="str">
        <f>IF(preDEL!$AG101,IFERROR(0/0,""),preDEL!J101)</f>
        <v/>
      </c>
      <c r="K101" s="249" t="str">
        <f>IF(preDEL!$AG101,IFERROR(0/0,""),preDEL!K101)</f>
        <v>Negative</v>
      </c>
      <c r="L101" s="250">
        <f>IF(preDEL!$AG101,IFERROR(0/0,""),preDEL!L101)</f>
        <v>44697</v>
      </c>
      <c r="M101" s="251">
        <f>IF(preDEL!$AG101,IFERROR(0/0,""),preDEL!M101)</f>
        <v>0.361099537</v>
      </c>
      <c r="N101" s="94" t="str">
        <f>IF(preDEL!$AG101,IFERROR(0/0,""),preDEL!N101)</f>
        <v/>
      </c>
      <c r="O101" s="94" t="str">
        <f>IF(preDEL!$AG101,IFERROR(0/0,""),preDEL!O101)</f>
        <v/>
      </c>
      <c r="P101" s="93" t="b">
        <f>IF(preDEL!$AG101,IFERROR(0/0,""),preDEL!P101)</f>
        <v>0</v>
      </c>
      <c r="Q101" s="93" t="str">
        <f>IF(preDEL!$AG101,IFERROR(0/0,""),preDEL!Q101)</f>
        <v>Result</v>
      </c>
      <c r="R101" s="99" t="b">
        <f>IF(preDEL!$AG101,IFERROR(0/0,""),preDEL!R101)</f>
        <v>1</v>
      </c>
      <c r="S101" s="99">
        <f>IF(preDEL!$AG101,IFERROR(0/0,""),preDEL!S101)</f>
        <v>2</v>
      </c>
      <c r="T101" s="93" t="str">
        <f>IF(preDEL!$AG101,IFERROR(0/0,""),preDEL!T101)</f>
        <v/>
      </c>
      <c r="U101" s="94" t="str">
        <f>IF(preDEL!$AG101,IFERROR(0/0,""),preDEL!U101)</f>
        <v/>
      </c>
      <c r="V101" s="249" t="str">
        <f>IF(preDEL!$AG101,IFERROR(0/0,""),preDEL!V101)</f>
        <v/>
      </c>
      <c r="W101" s="94" t="str">
        <f>IF(preDEL!$AG101,IFERROR(0/0,""),preDEL!W101)</f>
        <v/>
      </c>
      <c r="X101" s="99" t="b">
        <f>IF(preDEL!$AG101,IFERROR(0/0,""),preDEL!X101)</f>
        <v>0</v>
      </c>
      <c r="Y101" s="93" t="str">
        <f>IF(preDEL!$AG101,IFERROR(0/0,""),preDEL!Y101)</f>
        <v/>
      </c>
      <c r="Z101" s="249" t="str">
        <f>IF(preDEL!$AG101,IFERROR(0/0,""),preDEL!Z101)</f>
        <v/>
      </c>
      <c r="AA101" s="93" t="b">
        <f>IF(preDEL!$AG101,IFERROR(0/0,""),preDEL!AA101)</f>
        <v>0</v>
      </c>
      <c r="AB101" s="93" t="str">
        <f>IF(preDEL!$AG101,IFERROR(0/0,""),preDEL!AB101)</f>
        <v/>
      </c>
      <c r="AC101" s="252">
        <f>IF(preDEL!$AG101,IFERROR(0/0,""),preDEL!AC101)</f>
        <v>146</v>
      </c>
      <c r="AD101" s="99" t="str">
        <f>IF(preDEL!$AG101,IFERROR(0/0,""),preDEL!AD101)</f>
        <v/>
      </c>
      <c r="AE101" s="253" t="str">
        <f>IF(preDEL!$AG101,IFERROR(0/0,""),preDEL!AE101)</f>
        <v/>
      </c>
      <c r="AF101" s="93" t="b">
        <f>IF(preDEL!$AG101,IFERROR(0/0,""),preDEL!AF101)</f>
        <v>0</v>
      </c>
      <c r="AG101" s="93" t="b">
        <f>IF(preDEL!$AG101,IFERROR(0/0,""),preDEL!AG101)</f>
        <v>0</v>
      </c>
      <c r="AH101" s="99" t="str">
        <f>IF(preDEL!$AG101,IFERROR(0/0,""),preDEL!AH101)</f>
        <v/>
      </c>
      <c r="AI101" s="249" t="str">
        <f>IF(preDEL!$AG101,IFERROR(0/0,""),preDEL!AI101)</f>
        <v/>
      </c>
      <c r="AJ101" s="94" t="str">
        <f>IF(preDEL!$AG101,IFERROR(0/0,""),preDEL!AJ101)</f>
        <v/>
      </c>
      <c r="AK101" s="249" t="str">
        <f>IF(preDEL!$AG101,IFERROR(0/0,""),preDEL!AK101)</f>
        <v>Negative</v>
      </c>
      <c r="AL101" s="94" t="str">
        <f>IF(preDEL!$AG101,IFERROR(0/0,""),preDEL!AL101)</f>
        <v/>
      </c>
      <c r="AM101" s="94" t="str">
        <f>IF(preDEL!$AG101,IFERROR(0/0,""),preDEL!AM101)</f>
        <v>SpNDHM768644</v>
      </c>
      <c r="AN101" s="94" t="str">
        <f>IF(preDEL!$AG101,IFERROR(0/0,""),preDEL!AN101)</f>
        <v>NDHM144279</v>
      </c>
      <c r="AO101" s="94" t="str">
        <f>IF(preDEL!$AG101,IFERROR(0/0,""),preDEL!AO101)</f>
        <v/>
      </c>
      <c r="AP101" s="94" t="str">
        <f>IF(preDEL!$AG101,IFERROR(0/0,""),preDEL!AP101)</f>
        <v/>
      </c>
      <c r="AQ101" s="94" t="str">
        <f>IF(preDEL!$AG101,IFERROR(0/0,""),preDEL!AQ101)</f>
        <v/>
      </c>
      <c r="AR101" s="94" t="str">
        <f>IF(preDEL!$AG101,IFERROR(0/0,""),preDEL!AR101)</f>
        <v/>
      </c>
      <c r="AS101" s="98"/>
      <c r="BE101" s="254"/>
      <c r="BF101" s="255"/>
      <c r="BG101" s="254"/>
      <c r="BH101" s="255"/>
      <c r="BI101" s="254"/>
      <c r="BJ101" s="254"/>
      <c r="BK101" s="254"/>
      <c r="BL101" s="254"/>
      <c r="BN101" s="7"/>
      <c r="BO101" s="7"/>
      <c r="BP101" s="7"/>
      <c r="BQ101" s="7"/>
      <c r="BR101" s="7"/>
      <c r="BS101" s="7"/>
      <c r="BT101" s="7"/>
    </row>
    <row r="102">
      <c r="A102" s="249" t="str">
        <f>IF(preDEL!$AG102,IFERROR(0/0,""),preDEL!A102)</f>
        <v>AJ8574</v>
      </c>
      <c r="B102" s="250">
        <f>IF(preDEL!$AG102,IFERROR(0/0,""),preDEL!B102)</f>
        <v>44696</v>
      </c>
      <c r="C102" s="251">
        <f>IF(preDEL!$AG102,IFERROR(0/0,""),preDEL!C102)</f>
        <v>0.7482523148</v>
      </c>
      <c r="D102" s="249" t="str">
        <f>IF(preDEL!$AG102,IFERROR(0/0,""),preDEL!D102)</f>
        <v/>
      </c>
      <c r="E102" s="249" t="str">
        <f>IF(preDEL!$AG102,IFERROR(0/0,""),preDEL!E102)</f>
        <v/>
      </c>
      <c r="F102" s="94" t="str">
        <f>IF(preDEL!$AG102,IFERROR(0/0,""),preDEL!F102)</f>
        <v/>
      </c>
      <c r="G102" s="94" t="str">
        <f>IF(preDEL!$AG102,IFERROR(0/0,""),preDEL!G102)</f>
        <v/>
      </c>
      <c r="H102" s="94" t="str">
        <f>IF(preDEL!$AG102,IFERROR(0/0,""),preDEL!H102)</f>
        <v/>
      </c>
      <c r="I102" s="249" t="str">
        <f>IF(preDEL!$AG102,IFERROR(0/0,""),preDEL!I102)</f>
        <v/>
      </c>
      <c r="J102" s="249" t="str">
        <f>IF(preDEL!$AG102,IFERROR(0/0,""),preDEL!J102)</f>
        <v/>
      </c>
      <c r="K102" s="249" t="str">
        <f>IF(preDEL!$AG102,IFERROR(0/0,""),preDEL!K102)</f>
        <v>Negative</v>
      </c>
      <c r="L102" s="250">
        <f>IF(preDEL!$AG102,IFERROR(0/0,""),preDEL!L102)</f>
        <v>44697</v>
      </c>
      <c r="M102" s="251">
        <f>IF(preDEL!$AG102,IFERROR(0/0,""),preDEL!M102)</f>
        <v>0.361099537</v>
      </c>
      <c r="N102" s="94" t="str">
        <f>IF(preDEL!$AG102,IFERROR(0/0,""),preDEL!N102)</f>
        <v/>
      </c>
      <c r="O102" s="94" t="str">
        <f>IF(preDEL!$AG102,IFERROR(0/0,""),preDEL!O102)</f>
        <v/>
      </c>
      <c r="P102" s="93" t="b">
        <f>IF(preDEL!$AG102,IFERROR(0/0,""),preDEL!P102)</f>
        <v>0</v>
      </c>
      <c r="Q102" s="93" t="str">
        <f>IF(preDEL!$AG102,IFERROR(0/0,""),preDEL!Q102)</f>
        <v>Result</v>
      </c>
      <c r="R102" s="99" t="b">
        <f>IF(preDEL!$AG102,IFERROR(0/0,""),preDEL!R102)</f>
        <v>0</v>
      </c>
      <c r="S102" s="99">
        <f>IF(preDEL!$AG102,IFERROR(0/0,""),preDEL!S102)</f>
        <v>2</v>
      </c>
      <c r="T102" s="93" t="str">
        <f>IF(preDEL!$AG102,IFERROR(0/0,""),preDEL!T102)</f>
        <v/>
      </c>
      <c r="U102" s="94" t="str">
        <f>IF(preDEL!$AG102,IFERROR(0/0,""),preDEL!U102)</f>
        <v/>
      </c>
      <c r="V102" s="249" t="str">
        <f>IF(preDEL!$AG102,IFERROR(0/0,""),preDEL!V102)</f>
        <v/>
      </c>
      <c r="W102" s="94" t="str">
        <f>IF(preDEL!$AG102,IFERROR(0/0,""),preDEL!W102)</f>
        <v/>
      </c>
      <c r="X102" s="99" t="b">
        <f>IF(preDEL!$AG102,IFERROR(0/0,""),preDEL!X102)</f>
        <v>0</v>
      </c>
      <c r="Y102" s="93" t="str">
        <f>IF(preDEL!$AG102,IFERROR(0/0,""),preDEL!Y102)</f>
        <v/>
      </c>
      <c r="Z102" s="249" t="str">
        <f>IF(preDEL!$AG102,IFERROR(0/0,""),preDEL!Z102)</f>
        <v/>
      </c>
      <c r="AA102" s="93" t="b">
        <f>IF(preDEL!$AG102,IFERROR(0/0,""),preDEL!AA102)</f>
        <v>0</v>
      </c>
      <c r="AB102" s="93" t="str">
        <f>IF(preDEL!$AG102,IFERROR(0/0,""),preDEL!AB102)</f>
        <v/>
      </c>
      <c r="AC102" s="252">
        <f>IF(preDEL!$AG102,IFERROR(0/0,""),preDEL!AC102)</f>
        <v>147</v>
      </c>
      <c r="AD102" s="99" t="str">
        <f>IF(preDEL!$AG102,IFERROR(0/0,""),preDEL!AD102)</f>
        <v/>
      </c>
      <c r="AE102" s="253" t="str">
        <f>IF(preDEL!$AG102,IFERROR(0/0,""),preDEL!AE102)</f>
        <v/>
      </c>
      <c r="AF102" s="93" t="b">
        <f>IF(preDEL!$AG102,IFERROR(0/0,""),preDEL!AF102)</f>
        <v>0</v>
      </c>
      <c r="AG102" s="93" t="b">
        <f>IF(preDEL!$AG102,IFERROR(0/0,""),preDEL!AG102)</f>
        <v>0</v>
      </c>
      <c r="AH102" s="99" t="str">
        <f>IF(preDEL!$AG102,IFERROR(0/0,""),preDEL!AH102)</f>
        <v/>
      </c>
      <c r="AI102" s="249" t="str">
        <f>IF(preDEL!$AG102,IFERROR(0/0,""),preDEL!AI102)</f>
        <v/>
      </c>
      <c r="AJ102" s="94" t="str">
        <f>IF(preDEL!$AG102,IFERROR(0/0,""),preDEL!AJ102)</f>
        <v/>
      </c>
      <c r="AK102" s="249" t="str">
        <f>IF(preDEL!$AG102,IFERROR(0/0,""),preDEL!AK102)</f>
        <v>Negative</v>
      </c>
      <c r="AL102" s="94" t="str">
        <f>IF(preDEL!$AG102,IFERROR(0/0,""),preDEL!AL102)</f>
        <v/>
      </c>
      <c r="AM102" s="94" t="str">
        <f>IF(preDEL!$AG102,IFERROR(0/0,""),preDEL!AM102)</f>
        <v>SpNDHM768644</v>
      </c>
      <c r="AN102" s="94" t="str">
        <f>IF(preDEL!$AG102,IFERROR(0/0,""),preDEL!AN102)</f>
        <v>NDHM193086</v>
      </c>
      <c r="AO102" s="94" t="str">
        <f>IF(preDEL!$AG102,IFERROR(0/0,""),preDEL!AO102)</f>
        <v/>
      </c>
      <c r="AP102" s="94" t="str">
        <f>IF(preDEL!$AG102,IFERROR(0/0,""),preDEL!AP102)</f>
        <v/>
      </c>
      <c r="AQ102" s="94" t="str">
        <f>IF(preDEL!$AG102,IFERROR(0/0,""),preDEL!AQ102)</f>
        <v/>
      </c>
      <c r="AR102" s="94" t="str">
        <f>IF(preDEL!$AG102,IFERROR(0/0,""),preDEL!AR102)</f>
        <v/>
      </c>
      <c r="AS102" s="98"/>
      <c r="BE102" s="254"/>
      <c r="BF102" s="255"/>
      <c r="BG102" s="254"/>
      <c r="BH102" s="255"/>
      <c r="BI102" s="254"/>
      <c r="BJ102" s="254"/>
      <c r="BK102" s="254"/>
      <c r="BL102" s="254"/>
      <c r="BN102" s="7"/>
      <c r="BO102" s="7"/>
      <c r="BP102" s="7"/>
      <c r="BQ102" s="7"/>
      <c r="BR102" s="7"/>
      <c r="BS102" s="7"/>
      <c r="BT102" s="7"/>
    </row>
    <row r="103">
      <c r="A103" s="249" t="str">
        <f>IF(preDEL!$AG103,IFERROR(0/0,""),preDEL!A103)</f>
        <v>AH7225</v>
      </c>
      <c r="B103" s="250">
        <f>IF(preDEL!$AG103,IFERROR(0/0,""),preDEL!B103)</f>
        <v>44697</v>
      </c>
      <c r="C103" s="251">
        <f>IF(preDEL!$AG103,IFERROR(0/0,""),preDEL!C103)</f>
        <v>0.1536111111</v>
      </c>
      <c r="D103" s="249" t="str">
        <f>IF(preDEL!$AG103,IFERROR(0/0,""),preDEL!D103)</f>
        <v/>
      </c>
      <c r="E103" s="249" t="str">
        <f>IF(preDEL!$AG103,IFERROR(0/0,""),preDEL!E103)</f>
        <v/>
      </c>
      <c r="F103" s="94" t="str">
        <f>IF(preDEL!$AG103,IFERROR(0/0,""),preDEL!F103)</f>
        <v/>
      </c>
      <c r="G103" s="94" t="str">
        <f>IF(preDEL!$AG103,IFERROR(0/0,""),preDEL!G103)</f>
        <v/>
      </c>
      <c r="H103" s="94" t="str">
        <f>IF(preDEL!$AG103,IFERROR(0/0,""),preDEL!H103)</f>
        <v/>
      </c>
      <c r="I103" s="249" t="str">
        <f>IF(preDEL!$AG103,IFERROR(0/0,""),preDEL!I103)</f>
        <v/>
      </c>
      <c r="J103" s="249" t="str">
        <f>IF(preDEL!$AG103,IFERROR(0/0,""),preDEL!J103)</f>
        <v/>
      </c>
      <c r="K103" s="249" t="str">
        <f>IF(preDEL!$AG103,IFERROR(0/0,""),preDEL!K103)</f>
        <v>Negative</v>
      </c>
      <c r="L103" s="250">
        <f>IF(preDEL!$AG103,IFERROR(0/0,""),preDEL!L103)</f>
        <v>44697</v>
      </c>
      <c r="M103" s="251">
        <f>IF(preDEL!$AG103,IFERROR(0/0,""),preDEL!M103)</f>
        <v>0.361099537</v>
      </c>
      <c r="N103" s="94" t="str">
        <f>IF(preDEL!$AG103,IFERROR(0/0,""),preDEL!N103)</f>
        <v/>
      </c>
      <c r="O103" s="94" t="str">
        <f>IF(preDEL!$AG103,IFERROR(0/0,""),preDEL!O103)</f>
        <v/>
      </c>
      <c r="P103" s="93" t="b">
        <f>IF(preDEL!$AG103,IFERROR(0/0,""),preDEL!P103)</f>
        <v>0</v>
      </c>
      <c r="Q103" s="93" t="str">
        <f>IF(preDEL!$AG103,IFERROR(0/0,""),preDEL!Q103)</f>
        <v>Result</v>
      </c>
      <c r="R103" s="99" t="b">
        <f>IF(preDEL!$AG103,IFERROR(0/0,""),preDEL!R103)</f>
        <v>1</v>
      </c>
      <c r="S103" s="99">
        <f>IF(preDEL!$AG103,IFERROR(0/0,""),preDEL!S103)</f>
        <v>2</v>
      </c>
      <c r="T103" s="93" t="str">
        <f>IF(preDEL!$AG103,IFERROR(0/0,""),preDEL!T103)</f>
        <v/>
      </c>
      <c r="U103" s="94" t="str">
        <f>IF(preDEL!$AG103,IFERROR(0/0,""),preDEL!U103)</f>
        <v/>
      </c>
      <c r="V103" s="249" t="str">
        <f>IF(preDEL!$AG103,IFERROR(0/0,""),preDEL!V103)</f>
        <v/>
      </c>
      <c r="W103" s="94" t="str">
        <f>IF(preDEL!$AG103,IFERROR(0/0,""),preDEL!W103)</f>
        <v/>
      </c>
      <c r="X103" s="99" t="b">
        <f>IF(preDEL!$AG103,IFERROR(0/0,""),preDEL!X103)</f>
        <v>0</v>
      </c>
      <c r="Y103" s="93" t="str">
        <f>IF(preDEL!$AG103,IFERROR(0/0,""),preDEL!Y103)</f>
        <v/>
      </c>
      <c r="Z103" s="249" t="str">
        <f>IF(preDEL!$AG103,IFERROR(0/0,""),preDEL!Z103)</f>
        <v/>
      </c>
      <c r="AA103" s="93" t="b">
        <f>IF(preDEL!$AG103,IFERROR(0/0,""),preDEL!AA103)</f>
        <v>0</v>
      </c>
      <c r="AB103" s="93" t="str">
        <f>IF(preDEL!$AG103,IFERROR(0/0,""),preDEL!AB103)</f>
        <v/>
      </c>
      <c r="AC103" s="252">
        <f>IF(preDEL!$AG103,IFERROR(0/0,""),preDEL!AC103)</f>
        <v>125</v>
      </c>
      <c r="AD103" s="99" t="str">
        <f>IF(preDEL!$AG103,IFERROR(0/0,""),preDEL!AD103)</f>
        <v/>
      </c>
      <c r="AE103" s="253">
        <f>IF(preDEL!$AG103,IFERROR(0/0,""),preDEL!AE103)</f>
        <v>298.7833333</v>
      </c>
      <c r="AF103" s="93" t="b">
        <f>IF(preDEL!$AG103,IFERROR(0/0,""),preDEL!AF103)</f>
        <v>0</v>
      </c>
      <c r="AG103" s="93" t="b">
        <f>IF(preDEL!$AG103,IFERROR(0/0,""),preDEL!AG103)</f>
        <v>0</v>
      </c>
      <c r="AH103" s="99" t="str">
        <f>IF(preDEL!$AG103,IFERROR(0/0,""),preDEL!AH103)</f>
        <v/>
      </c>
      <c r="AI103" s="249" t="str">
        <f>IF(preDEL!$AG103,IFERROR(0/0,""),preDEL!AI103)</f>
        <v/>
      </c>
      <c r="AJ103" s="94" t="str">
        <f>IF(preDEL!$AG103,IFERROR(0/0,""),preDEL!AJ103)</f>
        <v/>
      </c>
      <c r="AK103" s="249" t="str">
        <f>IF(preDEL!$AG103,IFERROR(0/0,""),preDEL!AK103)</f>
        <v>Negative</v>
      </c>
      <c r="AL103" s="94" t="str">
        <f>IF(preDEL!$AG103,IFERROR(0/0,""),preDEL!AL103)</f>
        <v/>
      </c>
      <c r="AM103" s="94" t="str">
        <f>IF(preDEL!$AG103,IFERROR(0/0,""),preDEL!AM103)</f>
        <v>SpNDHM842569</v>
      </c>
      <c r="AN103" s="94" t="str">
        <f>IF(preDEL!$AG103,IFERROR(0/0,""),preDEL!AN103)</f>
        <v>NDHM304341</v>
      </c>
      <c r="AO103" s="94" t="str">
        <f>IF(preDEL!$AG103,IFERROR(0/0,""),preDEL!AO103)</f>
        <v/>
      </c>
      <c r="AP103" s="94" t="str">
        <f>IF(preDEL!$AG103,IFERROR(0/0,""),preDEL!AP103)</f>
        <v/>
      </c>
      <c r="AQ103" s="94" t="str">
        <f>IF(preDEL!$AG103,IFERROR(0/0,""),preDEL!AQ103)</f>
        <v/>
      </c>
      <c r="AR103" s="94" t="str">
        <f>IF(preDEL!$AG103,IFERROR(0/0,""),preDEL!AR103)</f>
        <v/>
      </c>
      <c r="AS103" s="98"/>
      <c r="BE103" s="254"/>
      <c r="BF103" s="255"/>
      <c r="BG103" s="254"/>
      <c r="BH103" s="255"/>
      <c r="BI103" s="254"/>
      <c r="BJ103" s="254"/>
      <c r="BK103" s="254"/>
      <c r="BL103" s="254"/>
      <c r="BN103" s="7"/>
      <c r="BO103" s="7"/>
      <c r="BP103" s="7"/>
      <c r="BQ103" s="7"/>
      <c r="BR103" s="7"/>
      <c r="BS103" s="7"/>
      <c r="BT103" s="7"/>
    </row>
    <row r="104">
      <c r="A104" s="249" t="str">
        <f>IF(preDEL!$AG104,IFERROR(0/0,""),preDEL!A104)</f>
        <v>AH7225</v>
      </c>
      <c r="B104" s="250">
        <f>IF(preDEL!$AG104,IFERROR(0/0,""),preDEL!B104)</f>
        <v>44697</v>
      </c>
      <c r="C104" s="251">
        <f>IF(preDEL!$AG104,IFERROR(0/0,""),preDEL!C104)</f>
        <v>0.1536111111</v>
      </c>
      <c r="D104" s="249" t="str">
        <f>IF(preDEL!$AG104,IFERROR(0/0,""),preDEL!D104)</f>
        <v/>
      </c>
      <c r="E104" s="249" t="str">
        <f>IF(preDEL!$AG104,IFERROR(0/0,""),preDEL!E104)</f>
        <v/>
      </c>
      <c r="F104" s="94" t="str">
        <f>IF(preDEL!$AG104,IFERROR(0/0,""),preDEL!F104)</f>
        <v/>
      </c>
      <c r="G104" s="94" t="str">
        <f>IF(preDEL!$AG104,IFERROR(0/0,""),preDEL!G104)</f>
        <v/>
      </c>
      <c r="H104" s="94" t="str">
        <f>IF(preDEL!$AG104,IFERROR(0/0,""),preDEL!H104)</f>
        <v/>
      </c>
      <c r="I104" s="249" t="str">
        <f>IF(preDEL!$AG104,IFERROR(0/0,""),preDEL!I104)</f>
        <v/>
      </c>
      <c r="J104" s="249" t="str">
        <f>IF(preDEL!$AG104,IFERROR(0/0,""),preDEL!J104)</f>
        <v/>
      </c>
      <c r="K104" s="249" t="str">
        <f>IF(preDEL!$AG104,IFERROR(0/0,""),preDEL!K104)</f>
        <v>Negative</v>
      </c>
      <c r="L104" s="250">
        <f>IF(preDEL!$AG104,IFERROR(0/0,""),preDEL!L104)</f>
        <v>44697</v>
      </c>
      <c r="M104" s="251">
        <f>IF(preDEL!$AG104,IFERROR(0/0,""),preDEL!M104)</f>
        <v>0.361099537</v>
      </c>
      <c r="N104" s="94" t="str">
        <f>IF(preDEL!$AG104,IFERROR(0/0,""),preDEL!N104)</f>
        <v/>
      </c>
      <c r="O104" s="94" t="str">
        <f>IF(preDEL!$AG104,IFERROR(0/0,""),preDEL!O104)</f>
        <v/>
      </c>
      <c r="P104" s="93" t="b">
        <f>IF(preDEL!$AG104,IFERROR(0/0,""),preDEL!P104)</f>
        <v>0</v>
      </c>
      <c r="Q104" s="93" t="str">
        <f>IF(preDEL!$AG104,IFERROR(0/0,""),preDEL!Q104)</f>
        <v>Result</v>
      </c>
      <c r="R104" s="99" t="b">
        <f>IF(preDEL!$AG104,IFERROR(0/0,""),preDEL!R104)</f>
        <v>0</v>
      </c>
      <c r="S104" s="99">
        <f>IF(preDEL!$AG104,IFERROR(0/0,""),preDEL!S104)</f>
        <v>2</v>
      </c>
      <c r="T104" s="93" t="str">
        <f>IF(preDEL!$AG104,IFERROR(0/0,""),preDEL!T104)</f>
        <v/>
      </c>
      <c r="U104" s="94" t="str">
        <f>IF(preDEL!$AG104,IFERROR(0/0,""),preDEL!U104)</f>
        <v/>
      </c>
      <c r="V104" s="249" t="str">
        <f>IF(preDEL!$AG104,IFERROR(0/0,""),preDEL!V104)</f>
        <v/>
      </c>
      <c r="W104" s="94" t="str">
        <f>IF(preDEL!$AG104,IFERROR(0/0,""),preDEL!W104)</f>
        <v/>
      </c>
      <c r="X104" s="99" t="b">
        <f>IF(preDEL!$AG104,IFERROR(0/0,""),preDEL!X104)</f>
        <v>0</v>
      </c>
      <c r="Y104" s="93" t="str">
        <f>IF(preDEL!$AG104,IFERROR(0/0,""),preDEL!Y104)</f>
        <v/>
      </c>
      <c r="Z104" s="249" t="str">
        <f>IF(preDEL!$AG104,IFERROR(0/0,""),preDEL!Z104)</f>
        <v/>
      </c>
      <c r="AA104" s="93" t="b">
        <f>IF(preDEL!$AG104,IFERROR(0/0,""),preDEL!AA104)</f>
        <v>0</v>
      </c>
      <c r="AB104" s="93" t="str">
        <f>IF(preDEL!$AG104,IFERROR(0/0,""),preDEL!AB104)</f>
        <v/>
      </c>
      <c r="AC104" s="252">
        <f>IF(preDEL!$AG104,IFERROR(0/0,""),preDEL!AC104)</f>
        <v>126</v>
      </c>
      <c r="AD104" s="99" t="str">
        <f>IF(preDEL!$AG104,IFERROR(0/0,""),preDEL!AD104)</f>
        <v/>
      </c>
      <c r="AE104" s="253">
        <f>IF(preDEL!$AG104,IFERROR(0/0,""),preDEL!AE104)</f>
        <v>298.7833333</v>
      </c>
      <c r="AF104" s="93" t="b">
        <f>IF(preDEL!$AG104,IFERROR(0/0,""),preDEL!AF104)</f>
        <v>0</v>
      </c>
      <c r="AG104" s="93" t="b">
        <f>IF(preDEL!$AG104,IFERROR(0/0,""),preDEL!AG104)</f>
        <v>0</v>
      </c>
      <c r="AH104" s="99" t="str">
        <f>IF(preDEL!$AG104,IFERROR(0/0,""),preDEL!AH104)</f>
        <v/>
      </c>
      <c r="AI104" s="249" t="str">
        <f>IF(preDEL!$AG104,IFERROR(0/0,""),preDEL!AI104)</f>
        <v/>
      </c>
      <c r="AJ104" s="94" t="str">
        <f>IF(preDEL!$AG104,IFERROR(0/0,""),preDEL!AJ104)</f>
        <v/>
      </c>
      <c r="AK104" s="249" t="str">
        <f>IF(preDEL!$AG104,IFERROR(0/0,""),preDEL!AK104)</f>
        <v>Negative</v>
      </c>
      <c r="AL104" s="94" t="str">
        <f>IF(preDEL!$AG104,IFERROR(0/0,""),preDEL!AL104)</f>
        <v/>
      </c>
      <c r="AM104" s="94" t="str">
        <f>IF(preDEL!$AG104,IFERROR(0/0,""),preDEL!AM104)</f>
        <v>SpNDHM842569</v>
      </c>
      <c r="AN104" s="94" t="str">
        <f>IF(preDEL!$AG104,IFERROR(0/0,""),preDEL!AN104)</f>
        <v>NDHM945507</v>
      </c>
      <c r="AO104" s="94" t="str">
        <f>IF(preDEL!$AG104,IFERROR(0/0,""),preDEL!AO104)</f>
        <v/>
      </c>
      <c r="AP104" s="94" t="str">
        <f>IF(preDEL!$AG104,IFERROR(0/0,""),preDEL!AP104)</f>
        <v/>
      </c>
      <c r="AQ104" s="94" t="str">
        <f>IF(preDEL!$AG104,IFERROR(0/0,""),preDEL!AQ104)</f>
        <v/>
      </c>
      <c r="AR104" s="94" t="str">
        <f>IF(preDEL!$AG104,IFERROR(0/0,""),preDEL!AR104)</f>
        <v/>
      </c>
      <c r="AS104" s="98"/>
      <c r="BE104" s="254"/>
      <c r="BF104" s="255"/>
      <c r="BG104" s="254"/>
      <c r="BH104" s="255"/>
      <c r="BI104" s="254"/>
      <c r="BJ104" s="254"/>
      <c r="BK104" s="254"/>
      <c r="BL104" s="254"/>
      <c r="BN104" s="7"/>
      <c r="BO104" s="7"/>
      <c r="BP104" s="7"/>
      <c r="BQ104" s="7"/>
      <c r="BR104" s="7"/>
      <c r="BS104" s="7"/>
      <c r="BT104" s="7"/>
    </row>
    <row r="105">
      <c r="A105" s="249" t="str">
        <f>IF(preDEL!$AG105,IFERROR(0/0,""),preDEL!A105)</f>
        <v>AG1637</v>
      </c>
      <c r="B105" s="250">
        <f>IF(preDEL!$AG105,IFERROR(0/0,""),preDEL!B105)</f>
        <v>44697</v>
      </c>
      <c r="C105" s="251">
        <f>IF(preDEL!$AG105,IFERROR(0/0,""),preDEL!C105)</f>
        <v>0.1767592593</v>
      </c>
      <c r="D105" s="249" t="str">
        <f>IF(preDEL!$AG105,IFERROR(0/0,""),preDEL!D105)</f>
        <v/>
      </c>
      <c r="E105" s="249" t="str">
        <f>IF(preDEL!$AG105,IFERROR(0/0,""),preDEL!E105)</f>
        <v/>
      </c>
      <c r="F105" s="94" t="str">
        <f>IF(preDEL!$AG105,IFERROR(0/0,""),preDEL!F105)</f>
        <v/>
      </c>
      <c r="G105" s="94" t="str">
        <f>IF(preDEL!$AG105,IFERROR(0/0,""),preDEL!G105)</f>
        <v/>
      </c>
      <c r="H105" s="94" t="str">
        <f>IF(preDEL!$AG105,IFERROR(0/0,""),preDEL!H105)</f>
        <v/>
      </c>
      <c r="I105" s="249" t="str">
        <f>IF(preDEL!$AG105,IFERROR(0/0,""),preDEL!I105)</f>
        <v/>
      </c>
      <c r="J105" s="249" t="str">
        <f>IF(preDEL!$AG105,IFERROR(0/0,""),preDEL!J105)</f>
        <v/>
      </c>
      <c r="K105" s="249" t="str">
        <f>IF(preDEL!$AG105,IFERROR(0/0,""),preDEL!K105)</f>
        <v>Negative</v>
      </c>
      <c r="L105" s="250">
        <f>IF(preDEL!$AG105,IFERROR(0/0,""),preDEL!L105)</f>
        <v>44697</v>
      </c>
      <c r="M105" s="251">
        <f>IF(preDEL!$AG105,IFERROR(0/0,""),preDEL!M105)</f>
        <v>0.361099537</v>
      </c>
      <c r="N105" s="94" t="str">
        <f>IF(preDEL!$AG105,IFERROR(0/0,""),preDEL!N105)</f>
        <v/>
      </c>
      <c r="O105" s="94" t="str">
        <f>IF(preDEL!$AG105,IFERROR(0/0,""),preDEL!O105)</f>
        <v/>
      </c>
      <c r="P105" s="93" t="b">
        <f>IF(preDEL!$AG105,IFERROR(0/0,""),preDEL!P105)</f>
        <v>0</v>
      </c>
      <c r="Q105" s="93" t="str">
        <f>IF(preDEL!$AG105,IFERROR(0/0,""),preDEL!Q105)</f>
        <v>Result</v>
      </c>
      <c r="R105" s="99" t="b">
        <f>IF(preDEL!$AG105,IFERROR(0/0,""),preDEL!R105)</f>
        <v>1</v>
      </c>
      <c r="S105" s="99">
        <f>IF(preDEL!$AG105,IFERROR(0/0,""),preDEL!S105)</f>
        <v>4</v>
      </c>
      <c r="T105" s="93" t="str">
        <f>IF(preDEL!$AG105,IFERROR(0/0,""),preDEL!T105)</f>
        <v/>
      </c>
      <c r="U105" s="94" t="str">
        <f>IF(preDEL!$AG105,IFERROR(0/0,""),preDEL!U105)</f>
        <v/>
      </c>
      <c r="V105" s="249" t="str">
        <f>IF(preDEL!$AG105,IFERROR(0/0,""),preDEL!V105)</f>
        <v/>
      </c>
      <c r="W105" s="94" t="str">
        <f>IF(preDEL!$AG105,IFERROR(0/0,""),preDEL!W105)</f>
        <v/>
      </c>
      <c r="X105" s="99" t="b">
        <f>IF(preDEL!$AG105,IFERROR(0/0,""),preDEL!X105)</f>
        <v>0</v>
      </c>
      <c r="Y105" s="93" t="str">
        <f>IF(preDEL!$AG105,IFERROR(0/0,""),preDEL!Y105)</f>
        <v/>
      </c>
      <c r="Z105" s="249" t="str">
        <f>IF(preDEL!$AG105,IFERROR(0/0,""),preDEL!Z105)</f>
        <v/>
      </c>
      <c r="AA105" s="93" t="b">
        <f>IF(preDEL!$AG105,IFERROR(0/0,""),preDEL!AA105)</f>
        <v>0</v>
      </c>
      <c r="AB105" s="93" t="str">
        <f>IF(preDEL!$AG105,IFERROR(0/0,""),preDEL!AB105)</f>
        <v/>
      </c>
      <c r="AC105" s="252">
        <f>IF(preDEL!$AG105,IFERROR(0/0,""),preDEL!AC105)</f>
        <v>130</v>
      </c>
      <c r="AD105" s="99" t="str">
        <f>IF(preDEL!$AG105,IFERROR(0/0,""),preDEL!AD105)</f>
        <v/>
      </c>
      <c r="AE105" s="253">
        <f>IF(preDEL!$AG105,IFERROR(0/0,""),preDEL!AE105)</f>
        <v>265.45</v>
      </c>
      <c r="AF105" s="93" t="b">
        <f>IF(preDEL!$AG105,IFERROR(0/0,""),preDEL!AF105)</f>
        <v>0</v>
      </c>
      <c r="AG105" s="93" t="b">
        <f>IF(preDEL!$AG105,IFERROR(0/0,""),preDEL!AG105)</f>
        <v>0</v>
      </c>
      <c r="AH105" s="99" t="str">
        <f>IF(preDEL!$AG105,IFERROR(0/0,""),preDEL!AH105)</f>
        <v/>
      </c>
      <c r="AI105" s="249" t="str">
        <f>IF(preDEL!$AG105,IFERROR(0/0,""),preDEL!AI105)</f>
        <v/>
      </c>
      <c r="AJ105" s="94" t="str">
        <f>IF(preDEL!$AG105,IFERROR(0/0,""),preDEL!AJ105)</f>
        <v/>
      </c>
      <c r="AK105" s="249" t="str">
        <f>IF(preDEL!$AG105,IFERROR(0/0,""),preDEL!AK105)</f>
        <v>Negative</v>
      </c>
      <c r="AL105" s="94" t="str">
        <f>IF(preDEL!$AG105,IFERROR(0/0,""),preDEL!AL105)</f>
        <v/>
      </c>
      <c r="AM105" s="94" t="str">
        <f>IF(preDEL!$AG105,IFERROR(0/0,""),preDEL!AM105)</f>
        <v>SpNDHM955894</v>
      </c>
      <c r="AN105" s="94" t="str">
        <f>IF(preDEL!$AG105,IFERROR(0/0,""),preDEL!AN105)</f>
        <v>NDHM107467</v>
      </c>
      <c r="AO105" s="94" t="str">
        <f>IF(preDEL!$AG105,IFERROR(0/0,""),preDEL!AO105)</f>
        <v/>
      </c>
      <c r="AP105" s="94" t="str">
        <f>IF(preDEL!$AG105,IFERROR(0/0,""),preDEL!AP105)</f>
        <v/>
      </c>
      <c r="AQ105" s="94" t="str">
        <f>IF(preDEL!$AG105,IFERROR(0/0,""),preDEL!AQ105)</f>
        <v/>
      </c>
      <c r="AR105" s="94" t="str">
        <f>IF(preDEL!$AG105,IFERROR(0/0,""),preDEL!AR105)</f>
        <v/>
      </c>
      <c r="AS105" s="98"/>
      <c r="BE105" s="254"/>
      <c r="BF105" s="255"/>
      <c r="BG105" s="254"/>
      <c r="BH105" s="255"/>
      <c r="BI105" s="254"/>
      <c r="BJ105" s="254"/>
      <c r="BK105" s="254"/>
      <c r="BL105" s="254"/>
      <c r="BN105" s="7"/>
      <c r="BO105" s="7"/>
      <c r="BP105" s="7"/>
      <c r="BQ105" s="7"/>
      <c r="BR105" s="7"/>
      <c r="BS105" s="7"/>
      <c r="BT105" s="7"/>
    </row>
    <row r="106">
      <c r="A106" s="249" t="str">
        <f>IF(preDEL!$AG106,IFERROR(0/0,""),preDEL!A106)</f>
        <v>AG1637</v>
      </c>
      <c r="B106" s="250">
        <f>IF(preDEL!$AG106,IFERROR(0/0,""),preDEL!B106)</f>
        <v>44697</v>
      </c>
      <c r="C106" s="251">
        <f>IF(preDEL!$AG106,IFERROR(0/0,""),preDEL!C106)</f>
        <v>0.1767592593</v>
      </c>
      <c r="D106" s="249" t="str">
        <f>IF(preDEL!$AG106,IFERROR(0/0,""),preDEL!D106)</f>
        <v/>
      </c>
      <c r="E106" s="249" t="str">
        <f>IF(preDEL!$AG106,IFERROR(0/0,""),preDEL!E106)</f>
        <v/>
      </c>
      <c r="F106" s="94" t="str">
        <f>IF(preDEL!$AG106,IFERROR(0/0,""),preDEL!F106)</f>
        <v/>
      </c>
      <c r="G106" s="94" t="str">
        <f>IF(preDEL!$AG106,IFERROR(0/0,""),preDEL!G106)</f>
        <v/>
      </c>
      <c r="H106" s="94" t="str">
        <f>IF(preDEL!$AG106,IFERROR(0/0,""),preDEL!H106)</f>
        <v/>
      </c>
      <c r="I106" s="249" t="str">
        <f>IF(preDEL!$AG106,IFERROR(0/0,""),preDEL!I106)</f>
        <v/>
      </c>
      <c r="J106" s="249" t="str">
        <f>IF(preDEL!$AG106,IFERROR(0/0,""),preDEL!J106)</f>
        <v/>
      </c>
      <c r="K106" s="249" t="str">
        <f>IF(preDEL!$AG106,IFERROR(0/0,""),preDEL!K106)</f>
        <v>Negative</v>
      </c>
      <c r="L106" s="250">
        <f>IF(preDEL!$AG106,IFERROR(0/0,""),preDEL!L106)</f>
        <v>44697</v>
      </c>
      <c r="M106" s="251">
        <f>IF(preDEL!$AG106,IFERROR(0/0,""),preDEL!M106)</f>
        <v>0.361099537</v>
      </c>
      <c r="N106" s="94" t="str">
        <f>IF(preDEL!$AG106,IFERROR(0/0,""),preDEL!N106)</f>
        <v/>
      </c>
      <c r="O106" s="94" t="str">
        <f>IF(preDEL!$AG106,IFERROR(0/0,""),preDEL!O106)</f>
        <v/>
      </c>
      <c r="P106" s="93" t="b">
        <f>IF(preDEL!$AG106,IFERROR(0/0,""),preDEL!P106)</f>
        <v>0</v>
      </c>
      <c r="Q106" s="93" t="str">
        <f>IF(preDEL!$AG106,IFERROR(0/0,""),preDEL!Q106)</f>
        <v>Result</v>
      </c>
      <c r="R106" s="99" t="b">
        <f>IF(preDEL!$AG106,IFERROR(0/0,""),preDEL!R106)</f>
        <v>0</v>
      </c>
      <c r="S106" s="99">
        <f>IF(preDEL!$AG106,IFERROR(0/0,""),preDEL!S106)</f>
        <v>4</v>
      </c>
      <c r="T106" s="93" t="str">
        <f>IF(preDEL!$AG106,IFERROR(0/0,""),preDEL!T106)</f>
        <v/>
      </c>
      <c r="U106" s="94" t="str">
        <f>IF(preDEL!$AG106,IFERROR(0/0,""),preDEL!U106)</f>
        <v/>
      </c>
      <c r="V106" s="249" t="str">
        <f>IF(preDEL!$AG106,IFERROR(0/0,""),preDEL!V106)</f>
        <v/>
      </c>
      <c r="W106" s="94" t="str">
        <f>IF(preDEL!$AG106,IFERROR(0/0,""),preDEL!W106)</f>
        <v/>
      </c>
      <c r="X106" s="99" t="b">
        <f>IF(preDEL!$AG106,IFERROR(0/0,""),preDEL!X106)</f>
        <v>0</v>
      </c>
      <c r="Y106" s="93" t="str">
        <f>IF(preDEL!$AG106,IFERROR(0/0,""),preDEL!Y106)</f>
        <v/>
      </c>
      <c r="Z106" s="249" t="str">
        <f>IF(preDEL!$AG106,IFERROR(0/0,""),preDEL!Z106)</f>
        <v/>
      </c>
      <c r="AA106" s="93" t="b">
        <f>IF(preDEL!$AG106,IFERROR(0/0,""),preDEL!AA106)</f>
        <v>0</v>
      </c>
      <c r="AB106" s="93" t="str">
        <f>IF(preDEL!$AG106,IFERROR(0/0,""),preDEL!AB106)</f>
        <v/>
      </c>
      <c r="AC106" s="252">
        <f>IF(preDEL!$AG106,IFERROR(0/0,""),preDEL!AC106)</f>
        <v>128</v>
      </c>
      <c r="AD106" s="99" t="str">
        <f>IF(preDEL!$AG106,IFERROR(0/0,""),preDEL!AD106)</f>
        <v/>
      </c>
      <c r="AE106" s="253">
        <f>IF(preDEL!$AG106,IFERROR(0/0,""),preDEL!AE106)</f>
        <v>265.45</v>
      </c>
      <c r="AF106" s="93" t="b">
        <f>IF(preDEL!$AG106,IFERROR(0/0,""),preDEL!AF106)</f>
        <v>0</v>
      </c>
      <c r="AG106" s="93" t="b">
        <f>IF(preDEL!$AG106,IFERROR(0/0,""),preDEL!AG106)</f>
        <v>0</v>
      </c>
      <c r="AH106" s="99" t="str">
        <f>IF(preDEL!$AG106,IFERROR(0/0,""),preDEL!AH106)</f>
        <v/>
      </c>
      <c r="AI106" s="249" t="str">
        <f>IF(preDEL!$AG106,IFERROR(0/0,""),preDEL!AI106)</f>
        <v/>
      </c>
      <c r="AJ106" s="94" t="str">
        <f>IF(preDEL!$AG106,IFERROR(0/0,""),preDEL!AJ106)</f>
        <v/>
      </c>
      <c r="AK106" s="249" t="str">
        <f>IF(preDEL!$AG106,IFERROR(0/0,""),preDEL!AK106)</f>
        <v>Negative</v>
      </c>
      <c r="AL106" s="94" t="str">
        <f>IF(preDEL!$AG106,IFERROR(0/0,""),preDEL!AL106)</f>
        <v/>
      </c>
      <c r="AM106" s="94" t="str">
        <f>IF(preDEL!$AG106,IFERROR(0/0,""),preDEL!AM106)</f>
        <v>SpNDHM955894</v>
      </c>
      <c r="AN106" s="94" t="str">
        <f>IF(preDEL!$AG106,IFERROR(0/0,""),preDEL!AN106)</f>
        <v>NDHM574415</v>
      </c>
      <c r="AO106" s="94" t="str">
        <f>IF(preDEL!$AG106,IFERROR(0/0,""),preDEL!AO106)</f>
        <v/>
      </c>
      <c r="AP106" s="94" t="str">
        <f>IF(preDEL!$AG106,IFERROR(0/0,""),preDEL!AP106)</f>
        <v/>
      </c>
      <c r="AQ106" s="94" t="str">
        <f>IF(preDEL!$AG106,IFERROR(0/0,""),preDEL!AQ106)</f>
        <v/>
      </c>
      <c r="AR106" s="94" t="str">
        <f>IF(preDEL!$AG106,IFERROR(0/0,""),preDEL!AR106)</f>
        <v/>
      </c>
      <c r="AS106" s="98"/>
      <c r="BE106" s="254"/>
      <c r="BF106" s="255"/>
      <c r="BG106" s="254"/>
      <c r="BH106" s="255"/>
      <c r="BI106" s="254"/>
      <c r="BJ106" s="254"/>
      <c r="BK106" s="254"/>
      <c r="BL106" s="254"/>
      <c r="BN106" s="7"/>
      <c r="BO106" s="7"/>
      <c r="BP106" s="7"/>
      <c r="BQ106" s="7"/>
      <c r="BR106" s="7"/>
      <c r="BS106" s="7"/>
      <c r="BT106" s="7"/>
    </row>
    <row r="107">
      <c r="A107" s="249" t="str">
        <f>IF(preDEL!$AG107,IFERROR(0/0,""),preDEL!A107)</f>
        <v>AG1637</v>
      </c>
      <c r="B107" s="250">
        <f>IF(preDEL!$AG107,IFERROR(0/0,""),preDEL!B107)</f>
        <v>44697</v>
      </c>
      <c r="C107" s="251">
        <f>IF(preDEL!$AG107,IFERROR(0/0,""),preDEL!C107)</f>
        <v>0.1767592593</v>
      </c>
      <c r="D107" s="249" t="str">
        <f>IF(preDEL!$AG107,IFERROR(0/0,""),preDEL!D107)</f>
        <v/>
      </c>
      <c r="E107" s="249" t="str">
        <f>IF(preDEL!$AG107,IFERROR(0/0,""),preDEL!E107)</f>
        <v/>
      </c>
      <c r="F107" s="94" t="str">
        <f>IF(preDEL!$AG107,IFERROR(0/0,""),preDEL!F107)</f>
        <v/>
      </c>
      <c r="G107" s="94" t="str">
        <f>IF(preDEL!$AG107,IFERROR(0/0,""),preDEL!G107)</f>
        <v/>
      </c>
      <c r="H107" s="94" t="str">
        <f>IF(preDEL!$AG107,IFERROR(0/0,""),preDEL!H107)</f>
        <v/>
      </c>
      <c r="I107" s="249" t="str">
        <f>IF(preDEL!$AG107,IFERROR(0/0,""),preDEL!I107)</f>
        <v/>
      </c>
      <c r="J107" s="249" t="str">
        <f>IF(preDEL!$AG107,IFERROR(0/0,""),preDEL!J107)</f>
        <v/>
      </c>
      <c r="K107" s="249" t="str">
        <f>IF(preDEL!$AG107,IFERROR(0/0,""),preDEL!K107)</f>
        <v>Negative</v>
      </c>
      <c r="L107" s="250">
        <f>IF(preDEL!$AG107,IFERROR(0/0,""),preDEL!L107)</f>
        <v>44697</v>
      </c>
      <c r="M107" s="251">
        <f>IF(preDEL!$AG107,IFERROR(0/0,""),preDEL!M107)</f>
        <v>0.361099537</v>
      </c>
      <c r="N107" s="94" t="str">
        <f>IF(preDEL!$AG107,IFERROR(0/0,""),preDEL!N107)</f>
        <v/>
      </c>
      <c r="O107" s="94" t="str">
        <f>IF(preDEL!$AG107,IFERROR(0/0,""),preDEL!O107)</f>
        <v/>
      </c>
      <c r="P107" s="93" t="b">
        <f>IF(preDEL!$AG107,IFERROR(0/0,""),preDEL!P107)</f>
        <v>0</v>
      </c>
      <c r="Q107" s="93" t="str">
        <f>IF(preDEL!$AG107,IFERROR(0/0,""),preDEL!Q107)</f>
        <v>Result</v>
      </c>
      <c r="R107" s="99" t="b">
        <f>IF(preDEL!$AG107,IFERROR(0/0,""),preDEL!R107)</f>
        <v>0</v>
      </c>
      <c r="S107" s="99">
        <f>IF(preDEL!$AG107,IFERROR(0/0,""),preDEL!S107)</f>
        <v>4</v>
      </c>
      <c r="T107" s="93" t="str">
        <f>IF(preDEL!$AG107,IFERROR(0/0,""),preDEL!T107)</f>
        <v/>
      </c>
      <c r="U107" s="94" t="str">
        <f>IF(preDEL!$AG107,IFERROR(0/0,""),preDEL!U107)</f>
        <v/>
      </c>
      <c r="V107" s="249" t="str">
        <f>IF(preDEL!$AG107,IFERROR(0/0,""),preDEL!V107)</f>
        <v/>
      </c>
      <c r="W107" s="94" t="str">
        <f>IF(preDEL!$AG107,IFERROR(0/0,""),preDEL!W107)</f>
        <v/>
      </c>
      <c r="X107" s="99" t="b">
        <f>IF(preDEL!$AG107,IFERROR(0/0,""),preDEL!X107)</f>
        <v>0</v>
      </c>
      <c r="Y107" s="93" t="str">
        <f>IF(preDEL!$AG107,IFERROR(0/0,""),preDEL!Y107)</f>
        <v/>
      </c>
      <c r="Z107" s="249" t="str">
        <f>IF(preDEL!$AG107,IFERROR(0/0,""),preDEL!Z107)</f>
        <v/>
      </c>
      <c r="AA107" s="93" t="b">
        <f>IF(preDEL!$AG107,IFERROR(0/0,""),preDEL!AA107)</f>
        <v>0</v>
      </c>
      <c r="AB107" s="93" t="str">
        <f>IF(preDEL!$AG107,IFERROR(0/0,""),preDEL!AB107)</f>
        <v/>
      </c>
      <c r="AC107" s="252">
        <f>IF(preDEL!$AG107,IFERROR(0/0,""),preDEL!AC107)</f>
        <v>127</v>
      </c>
      <c r="AD107" s="99" t="str">
        <f>IF(preDEL!$AG107,IFERROR(0/0,""),preDEL!AD107)</f>
        <v/>
      </c>
      <c r="AE107" s="253">
        <f>IF(preDEL!$AG107,IFERROR(0/0,""),preDEL!AE107)</f>
        <v>265.45</v>
      </c>
      <c r="AF107" s="93" t="b">
        <f>IF(preDEL!$AG107,IFERROR(0/0,""),preDEL!AF107)</f>
        <v>0</v>
      </c>
      <c r="AG107" s="93" t="b">
        <f>IF(preDEL!$AG107,IFERROR(0/0,""),preDEL!AG107)</f>
        <v>0</v>
      </c>
      <c r="AH107" s="99" t="str">
        <f>IF(preDEL!$AG107,IFERROR(0/0,""),preDEL!AH107)</f>
        <v/>
      </c>
      <c r="AI107" s="249" t="str">
        <f>IF(preDEL!$AG107,IFERROR(0/0,""),preDEL!AI107)</f>
        <v/>
      </c>
      <c r="AJ107" s="94" t="str">
        <f>IF(preDEL!$AG107,IFERROR(0/0,""),preDEL!AJ107)</f>
        <v/>
      </c>
      <c r="AK107" s="249" t="str">
        <f>IF(preDEL!$AG107,IFERROR(0/0,""),preDEL!AK107)</f>
        <v>Negative</v>
      </c>
      <c r="AL107" s="94" t="str">
        <f>IF(preDEL!$AG107,IFERROR(0/0,""),preDEL!AL107)</f>
        <v/>
      </c>
      <c r="AM107" s="94" t="str">
        <f>IF(preDEL!$AG107,IFERROR(0/0,""),preDEL!AM107)</f>
        <v>SpNDHM955894</v>
      </c>
      <c r="AN107" s="94" t="str">
        <f>IF(preDEL!$AG107,IFERROR(0/0,""),preDEL!AN107)</f>
        <v>NDHM513495</v>
      </c>
      <c r="AO107" s="94" t="str">
        <f>IF(preDEL!$AG107,IFERROR(0/0,""),preDEL!AO107)</f>
        <v/>
      </c>
      <c r="AP107" s="94" t="str">
        <f>IF(preDEL!$AG107,IFERROR(0/0,""),preDEL!AP107)</f>
        <v/>
      </c>
      <c r="AQ107" s="94" t="str">
        <f>IF(preDEL!$AG107,IFERROR(0/0,""),preDEL!AQ107)</f>
        <v/>
      </c>
      <c r="AR107" s="94" t="str">
        <f>IF(preDEL!$AG107,IFERROR(0/0,""),preDEL!AR107)</f>
        <v/>
      </c>
      <c r="AS107" s="98"/>
      <c r="BE107" s="254"/>
      <c r="BF107" s="255"/>
      <c r="BG107" s="254"/>
      <c r="BH107" s="255"/>
      <c r="BI107" s="254"/>
      <c r="BJ107" s="254"/>
      <c r="BK107" s="254"/>
      <c r="BL107" s="254"/>
      <c r="BN107" s="7"/>
      <c r="BO107" s="7"/>
      <c r="BP107" s="7"/>
      <c r="BQ107" s="7"/>
      <c r="BR107" s="7"/>
      <c r="BS107" s="7"/>
      <c r="BT107" s="7"/>
    </row>
    <row r="108">
      <c r="A108" s="249" t="str">
        <f>IF(preDEL!$AG108,IFERROR(0/0,""),preDEL!A108)</f>
        <v>AG1637</v>
      </c>
      <c r="B108" s="250">
        <f>IF(preDEL!$AG108,IFERROR(0/0,""),preDEL!B108)</f>
        <v>44697</v>
      </c>
      <c r="C108" s="251">
        <f>IF(preDEL!$AG108,IFERROR(0/0,""),preDEL!C108)</f>
        <v>0.1767592593</v>
      </c>
      <c r="D108" s="249" t="str">
        <f>IF(preDEL!$AG108,IFERROR(0/0,""),preDEL!D108)</f>
        <v/>
      </c>
      <c r="E108" s="249" t="str">
        <f>IF(preDEL!$AG108,IFERROR(0/0,""),preDEL!E108)</f>
        <v/>
      </c>
      <c r="F108" s="94" t="str">
        <f>IF(preDEL!$AG108,IFERROR(0/0,""),preDEL!F108)</f>
        <v/>
      </c>
      <c r="G108" s="94" t="str">
        <f>IF(preDEL!$AG108,IFERROR(0/0,""),preDEL!G108)</f>
        <v/>
      </c>
      <c r="H108" s="94" t="str">
        <f>IF(preDEL!$AG108,IFERROR(0/0,""),preDEL!H108)</f>
        <v/>
      </c>
      <c r="I108" s="249" t="str">
        <f>IF(preDEL!$AG108,IFERROR(0/0,""),preDEL!I108)</f>
        <v/>
      </c>
      <c r="J108" s="249" t="str">
        <f>IF(preDEL!$AG108,IFERROR(0/0,""),preDEL!J108)</f>
        <v/>
      </c>
      <c r="K108" s="249" t="str">
        <f>IF(preDEL!$AG108,IFERROR(0/0,""),preDEL!K108)</f>
        <v>Negative</v>
      </c>
      <c r="L108" s="250">
        <f>IF(preDEL!$AG108,IFERROR(0/0,""),preDEL!L108)</f>
        <v>44697</v>
      </c>
      <c r="M108" s="251">
        <f>IF(preDEL!$AG108,IFERROR(0/0,""),preDEL!M108)</f>
        <v>0.361099537</v>
      </c>
      <c r="N108" s="94" t="str">
        <f>IF(preDEL!$AG108,IFERROR(0/0,""),preDEL!N108)</f>
        <v/>
      </c>
      <c r="O108" s="94" t="str">
        <f>IF(preDEL!$AG108,IFERROR(0/0,""),preDEL!O108)</f>
        <v/>
      </c>
      <c r="P108" s="93" t="b">
        <f>IF(preDEL!$AG108,IFERROR(0/0,""),preDEL!P108)</f>
        <v>0</v>
      </c>
      <c r="Q108" s="93" t="str">
        <f>IF(preDEL!$AG108,IFERROR(0/0,""),preDEL!Q108)</f>
        <v>Result</v>
      </c>
      <c r="R108" s="99" t="b">
        <f>IF(preDEL!$AG108,IFERROR(0/0,""),preDEL!R108)</f>
        <v>0</v>
      </c>
      <c r="S108" s="99">
        <f>IF(preDEL!$AG108,IFERROR(0/0,""),preDEL!S108)</f>
        <v>4</v>
      </c>
      <c r="T108" s="93" t="str">
        <f>IF(preDEL!$AG108,IFERROR(0/0,""),preDEL!T108)</f>
        <v/>
      </c>
      <c r="U108" s="94" t="str">
        <f>IF(preDEL!$AG108,IFERROR(0/0,""),preDEL!U108)</f>
        <v/>
      </c>
      <c r="V108" s="249" t="str">
        <f>IF(preDEL!$AG108,IFERROR(0/0,""),preDEL!V108)</f>
        <v/>
      </c>
      <c r="W108" s="94" t="str">
        <f>IF(preDEL!$AG108,IFERROR(0/0,""),preDEL!W108)</f>
        <v/>
      </c>
      <c r="X108" s="99" t="b">
        <f>IF(preDEL!$AG108,IFERROR(0/0,""),preDEL!X108)</f>
        <v>0</v>
      </c>
      <c r="Y108" s="93" t="str">
        <f>IF(preDEL!$AG108,IFERROR(0/0,""),preDEL!Y108)</f>
        <v/>
      </c>
      <c r="Z108" s="249" t="str">
        <f>IF(preDEL!$AG108,IFERROR(0/0,""),preDEL!Z108)</f>
        <v/>
      </c>
      <c r="AA108" s="93" t="b">
        <f>IF(preDEL!$AG108,IFERROR(0/0,""),preDEL!AA108)</f>
        <v>0</v>
      </c>
      <c r="AB108" s="93" t="str">
        <f>IF(preDEL!$AG108,IFERROR(0/0,""),preDEL!AB108)</f>
        <v/>
      </c>
      <c r="AC108" s="252">
        <f>IF(preDEL!$AG108,IFERROR(0/0,""),preDEL!AC108)</f>
        <v>129</v>
      </c>
      <c r="AD108" s="99" t="str">
        <f>IF(preDEL!$AG108,IFERROR(0/0,""),preDEL!AD108)</f>
        <v/>
      </c>
      <c r="AE108" s="253">
        <f>IF(preDEL!$AG108,IFERROR(0/0,""),preDEL!AE108)</f>
        <v>265.45</v>
      </c>
      <c r="AF108" s="93" t="b">
        <f>IF(preDEL!$AG108,IFERROR(0/0,""),preDEL!AF108)</f>
        <v>0</v>
      </c>
      <c r="AG108" s="93" t="b">
        <f>IF(preDEL!$AG108,IFERROR(0/0,""),preDEL!AG108)</f>
        <v>0</v>
      </c>
      <c r="AH108" s="99" t="str">
        <f>IF(preDEL!$AG108,IFERROR(0/0,""),preDEL!AH108)</f>
        <v/>
      </c>
      <c r="AI108" s="249" t="str">
        <f>IF(preDEL!$AG108,IFERROR(0/0,""),preDEL!AI108)</f>
        <v/>
      </c>
      <c r="AJ108" s="94" t="str">
        <f>IF(preDEL!$AG108,IFERROR(0/0,""),preDEL!AJ108)</f>
        <v/>
      </c>
      <c r="AK108" s="249" t="str">
        <f>IF(preDEL!$AG108,IFERROR(0/0,""),preDEL!AK108)</f>
        <v>Negative</v>
      </c>
      <c r="AL108" s="94" t="str">
        <f>IF(preDEL!$AG108,IFERROR(0/0,""),preDEL!AL108)</f>
        <v/>
      </c>
      <c r="AM108" s="94" t="str">
        <f>IF(preDEL!$AG108,IFERROR(0/0,""),preDEL!AM108)</f>
        <v>SpNDHM955894</v>
      </c>
      <c r="AN108" s="94" t="str">
        <f>IF(preDEL!$AG108,IFERROR(0/0,""),preDEL!AN108)</f>
        <v>NDHM432678</v>
      </c>
      <c r="AO108" s="94" t="str">
        <f>IF(preDEL!$AG108,IFERROR(0/0,""),preDEL!AO108)</f>
        <v/>
      </c>
      <c r="AP108" s="94" t="str">
        <f>IF(preDEL!$AG108,IFERROR(0/0,""),preDEL!AP108)</f>
        <v/>
      </c>
      <c r="AQ108" s="94" t="str">
        <f>IF(preDEL!$AG108,IFERROR(0/0,""),preDEL!AQ108)</f>
        <v/>
      </c>
      <c r="AR108" s="94" t="str">
        <f>IF(preDEL!$AG108,IFERROR(0/0,""),preDEL!AR108)</f>
        <v/>
      </c>
      <c r="AS108" s="98"/>
      <c r="BE108" s="254"/>
      <c r="BF108" s="255"/>
      <c r="BG108" s="254"/>
      <c r="BH108" s="255"/>
      <c r="BI108" s="254"/>
      <c r="BJ108" s="254"/>
      <c r="BK108" s="254"/>
      <c r="BL108" s="254"/>
      <c r="BN108" s="7"/>
      <c r="BO108" s="7"/>
      <c r="BP108" s="7"/>
      <c r="BQ108" s="7"/>
      <c r="BR108" s="7"/>
      <c r="BS108" s="7"/>
      <c r="BT108" s="7"/>
    </row>
    <row r="109">
      <c r="A109" s="249" t="str">
        <f>IF(preDEL!$AG109,IFERROR(0/0,""),preDEL!A109)</f>
        <v>AG1103</v>
      </c>
      <c r="B109" s="250">
        <f>IF(preDEL!$AG109,IFERROR(0/0,""),preDEL!B109)</f>
        <v>44697</v>
      </c>
      <c r="C109" s="251">
        <f>IF(preDEL!$AG109,IFERROR(0/0,""),preDEL!C109)</f>
        <v>0.1903009259</v>
      </c>
      <c r="D109" s="249" t="str">
        <f>IF(preDEL!$AG109,IFERROR(0/0,""),preDEL!D109)</f>
        <v/>
      </c>
      <c r="E109" s="249" t="str">
        <f>IF(preDEL!$AG109,IFERROR(0/0,""),preDEL!E109)</f>
        <v/>
      </c>
      <c r="F109" s="94" t="str">
        <f>IF(preDEL!$AG109,IFERROR(0/0,""),preDEL!F109)</f>
        <v/>
      </c>
      <c r="G109" s="94" t="str">
        <f>IF(preDEL!$AG109,IFERROR(0/0,""),preDEL!G109)</f>
        <v/>
      </c>
      <c r="H109" s="94" t="str">
        <f>IF(preDEL!$AG109,IFERROR(0/0,""),preDEL!H109)</f>
        <v/>
      </c>
      <c r="I109" s="249" t="str">
        <f>IF(preDEL!$AG109,IFERROR(0/0,""),preDEL!I109)</f>
        <v/>
      </c>
      <c r="J109" s="249" t="str">
        <f>IF(preDEL!$AG109,IFERROR(0/0,""),preDEL!J109)</f>
        <v/>
      </c>
      <c r="K109" s="249" t="str">
        <f>IF(preDEL!$AG109,IFERROR(0/0,""),preDEL!K109)</f>
        <v>Negative</v>
      </c>
      <c r="L109" s="250">
        <f>IF(preDEL!$AG109,IFERROR(0/0,""),preDEL!L109)</f>
        <v>44697</v>
      </c>
      <c r="M109" s="251">
        <f>IF(preDEL!$AG109,IFERROR(0/0,""),preDEL!M109)</f>
        <v>0.361099537</v>
      </c>
      <c r="N109" s="94" t="str">
        <f>IF(preDEL!$AG109,IFERROR(0/0,""),preDEL!N109)</f>
        <v/>
      </c>
      <c r="O109" s="94" t="str">
        <f>IF(preDEL!$AG109,IFERROR(0/0,""),preDEL!O109)</f>
        <v/>
      </c>
      <c r="P109" s="93" t="b">
        <f>IF(preDEL!$AG109,IFERROR(0/0,""),preDEL!P109)</f>
        <v>0</v>
      </c>
      <c r="Q109" s="93" t="str">
        <f>IF(preDEL!$AG109,IFERROR(0/0,""),preDEL!Q109)</f>
        <v>Result</v>
      </c>
      <c r="R109" s="99" t="b">
        <f>IF(preDEL!$AG109,IFERROR(0/0,""),preDEL!R109)</f>
        <v>1</v>
      </c>
      <c r="S109" s="99">
        <f>IF(preDEL!$AG109,IFERROR(0/0,""),preDEL!S109)</f>
        <v>4</v>
      </c>
      <c r="T109" s="93" t="str">
        <f>IF(preDEL!$AG109,IFERROR(0/0,""),preDEL!T109)</f>
        <v/>
      </c>
      <c r="U109" s="94" t="str">
        <f>IF(preDEL!$AG109,IFERROR(0/0,""),preDEL!U109)</f>
        <v/>
      </c>
      <c r="V109" s="249" t="str">
        <f>IF(preDEL!$AG109,IFERROR(0/0,""),preDEL!V109)</f>
        <v/>
      </c>
      <c r="W109" s="94" t="str">
        <f>IF(preDEL!$AG109,IFERROR(0/0,""),preDEL!W109)</f>
        <v/>
      </c>
      <c r="X109" s="99" t="b">
        <f>IF(preDEL!$AG109,IFERROR(0/0,""),preDEL!X109)</f>
        <v>0</v>
      </c>
      <c r="Y109" s="93" t="str">
        <f>IF(preDEL!$AG109,IFERROR(0/0,""),preDEL!Y109)</f>
        <v/>
      </c>
      <c r="Z109" s="249" t="str">
        <f>IF(preDEL!$AG109,IFERROR(0/0,""),preDEL!Z109)</f>
        <v/>
      </c>
      <c r="AA109" s="93" t="b">
        <f>IF(preDEL!$AG109,IFERROR(0/0,""),preDEL!AA109)</f>
        <v>0</v>
      </c>
      <c r="AB109" s="93" t="str">
        <f>IF(preDEL!$AG109,IFERROR(0/0,""),preDEL!AB109)</f>
        <v/>
      </c>
      <c r="AC109" s="252">
        <f>IF(preDEL!$AG109,IFERROR(0/0,""),preDEL!AC109)</f>
        <v>132</v>
      </c>
      <c r="AD109" s="99" t="str">
        <f>IF(preDEL!$AG109,IFERROR(0/0,""),preDEL!AD109)</f>
        <v/>
      </c>
      <c r="AE109" s="253">
        <f>IF(preDEL!$AG109,IFERROR(0/0,""),preDEL!AE109)</f>
        <v>245.95</v>
      </c>
      <c r="AF109" s="93" t="b">
        <f>IF(preDEL!$AG109,IFERROR(0/0,""),preDEL!AF109)</f>
        <v>0</v>
      </c>
      <c r="AG109" s="93" t="b">
        <f>IF(preDEL!$AG109,IFERROR(0/0,""),preDEL!AG109)</f>
        <v>0</v>
      </c>
      <c r="AH109" s="99" t="str">
        <f>IF(preDEL!$AG109,IFERROR(0/0,""),preDEL!AH109)</f>
        <v/>
      </c>
      <c r="AI109" s="249" t="str">
        <f>IF(preDEL!$AG109,IFERROR(0/0,""),preDEL!AI109)</f>
        <v/>
      </c>
      <c r="AJ109" s="94" t="str">
        <f>IF(preDEL!$AG109,IFERROR(0/0,""),preDEL!AJ109)</f>
        <v/>
      </c>
      <c r="AK109" s="249" t="str">
        <f>IF(preDEL!$AG109,IFERROR(0/0,""),preDEL!AK109)</f>
        <v>Negative</v>
      </c>
      <c r="AL109" s="94" t="str">
        <f>IF(preDEL!$AG109,IFERROR(0/0,""),preDEL!AL109)</f>
        <v/>
      </c>
      <c r="AM109" s="94" t="str">
        <f>IF(preDEL!$AG109,IFERROR(0/0,""),preDEL!AM109)</f>
        <v>SpNDHM189649</v>
      </c>
      <c r="AN109" s="94" t="str">
        <f>IF(preDEL!$AG109,IFERROR(0/0,""),preDEL!AN109)</f>
        <v>NDHM872314</v>
      </c>
      <c r="AO109" s="94" t="str">
        <f>IF(preDEL!$AG109,IFERROR(0/0,""),preDEL!AO109)</f>
        <v/>
      </c>
      <c r="AP109" s="94" t="str">
        <f>IF(preDEL!$AG109,IFERROR(0/0,""),preDEL!AP109)</f>
        <v/>
      </c>
      <c r="AQ109" s="94" t="str">
        <f>IF(preDEL!$AG109,IFERROR(0/0,""),preDEL!AQ109)</f>
        <v/>
      </c>
      <c r="AR109" s="94" t="str">
        <f>IF(preDEL!$AG109,IFERROR(0/0,""),preDEL!AR109)</f>
        <v/>
      </c>
      <c r="AS109" s="98"/>
      <c r="BE109" s="254"/>
      <c r="BF109" s="255"/>
      <c r="BG109" s="254"/>
      <c r="BH109" s="255"/>
      <c r="BI109" s="254"/>
      <c r="BJ109" s="254"/>
      <c r="BK109" s="254"/>
      <c r="BL109" s="254"/>
      <c r="BN109" s="7"/>
      <c r="BO109" s="7"/>
      <c r="BP109" s="7"/>
      <c r="BQ109" s="7"/>
      <c r="BR109" s="7"/>
      <c r="BS109" s="7"/>
      <c r="BT109" s="7"/>
    </row>
    <row r="110">
      <c r="A110" s="249" t="str">
        <f>IF(preDEL!$AG110,IFERROR(0/0,""),preDEL!A110)</f>
        <v>AG1103</v>
      </c>
      <c r="B110" s="250">
        <f>IF(preDEL!$AG110,IFERROR(0/0,""),preDEL!B110)</f>
        <v>44697</v>
      </c>
      <c r="C110" s="251">
        <f>IF(preDEL!$AG110,IFERROR(0/0,""),preDEL!C110)</f>
        <v>0.1903009259</v>
      </c>
      <c r="D110" s="249" t="str">
        <f>IF(preDEL!$AG110,IFERROR(0/0,""),preDEL!D110)</f>
        <v/>
      </c>
      <c r="E110" s="249" t="str">
        <f>IF(preDEL!$AG110,IFERROR(0/0,""),preDEL!E110)</f>
        <v/>
      </c>
      <c r="F110" s="94" t="str">
        <f>IF(preDEL!$AG110,IFERROR(0/0,""),preDEL!F110)</f>
        <v/>
      </c>
      <c r="G110" s="94" t="str">
        <f>IF(preDEL!$AG110,IFERROR(0/0,""),preDEL!G110)</f>
        <v/>
      </c>
      <c r="H110" s="94" t="str">
        <f>IF(preDEL!$AG110,IFERROR(0/0,""),preDEL!H110)</f>
        <v/>
      </c>
      <c r="I110" s="249" t="str">
        <f>IF(preDEL!$AG110,IFERROR(0/0,""),preDEL!I110)</f>
        <v/>
      </c>
      <c r="J110" s="249" t="str">
        <f>IF(preDEL!$AG110,IFERROR(0/0,""),preDEL!J110)</f>
        <v/>
      </c>
      <c r="K110" s="249" t="str">
        <f>IF(preDEL!$AG110,IFERROR(0/0,""),preDEL!K110)</f>
        <v>Negative</v>
      </c>
      <c r="L110" s="250">
        <f>IF(preDEL!$AG110,IFERROR(0/0,""),preDEL!L110)</f>
        <v>44697</v>
      </c>
      <c r="M110" s="251">
        <f>IF(preDEL!$AG110,IFERROR(0/0,""),preDEL!M110)</f>
        <v>0.361099537</v>
      </c>
      <c r="N110" s="94" t="str">
        <f>IF(preDEL!$AG110,IFERROR(0/0,""),preDEL!N110)</f>
        <v/>
      </c>
      <c r="O110" s="94" t="str">
        <f>IF(preDEL!$AG110,IFERROR(0/0,""),preDEL!O110)</f>
        <v/>
      </c>
      <c r="P110" s="93" t="b">
        <f>IF(preDEL!$AG110,IFERROR(0/0,""),preDEL!P110)</f>
        <v>0</v>
      </c>
      <c r="Q110" s="93" t="str">
        <f>IF(preDEL!$AG110,IFERROR(0/0,""),preDEL!Q110)</f>
        <v>Result</v>
      </c>
      <c r="R110" s="99" t="b">
        <f>IF(preDEL!$AG110,IFERROR(0/0,""),preDEL!R110)</f>
        <v>0</v>
      </c>
      <c r="S110" s="99">
        <f>IF(preDEL!$AG110,IFERROR(0/0,""),preDEL!S110)</f>
        <v>4</v>
      </c>
      <c r="T110" s="93" t="str">
        <f>IF(preDEL!$AG110,IFERROR(0/0,""),preDEL!T110)</f>
        <v/>
      </c>
      <c r="U110" s="94" t="str">
        <f>IF(preDEL!$AG110,IFERROR(0/0,""),preDEL!U110)</f>
        <v/>
      </c>
      <c r="V110" s="249" t="str">
        <f>IF(preDEL!$AG110,IFERROR(0/0,""),preDEL!V110)</f>
        <v/>
      </c>
      <c r="W110" s="94" t="str">
        <f>IF(preDEL!$AG110,IFERROR(0/0,""),preDEL!W110)</f>
        <v/>
      </c>
      <c r="X110" s="99" t="b">
        <f>IF(preDEL!$AG110,IFERROR(0/0,""),preDEL!X110)</f>
        <v>0</v>
      </c>
      <c r="Y110" s="93" t="str">
        <f>IF(preDEL!$AG110,IFERROR(0/0,""),preDEL!Y110)</f>
        <v/>
      </c>
      <c r="Z110" s="249" t="str">
        <f>IF(preDEL!$AG110,IFERROR(0/0,""),preDEL!Z110)</f>
        <v/>
      </c>
      <c r="AA110" s="93" t="b">
        <f>IF(preDEL!$AG110,IFERROR(0/0,""),preDEL!AA110)</f>
        <v>0</v>
      </c>
      <c r="AB110" s="93" t="str">
        <f>IF(preDEL!$AG110,IFERROR(0/0,""),preDEL!AB110)</f>
        <v/>
      </c>
      <c r="AC110" s="252">
        <f>IF(preDEL!$AG110,IFERROR(0/0,""),preDEL!AC110)</f>
        <v>131</v>
      </c>
      <c r="AD110" s="99" t="str">
        <f>IF(preDEL!$AG110,IFERROR(0/0,""),preDEL!AD110)</f>
        <v/>
      </c>
      <c r="AE110" s="253">
        <f>IF(preDEL!$AG110,IFERROR(0/0,""),preDEL!AE110)</f>
        <v>245.95</v>
      </c>
      <c r="AF110" s="93" t="b">
        <f>IF(preDEL!$AG110,IFERROR(0/0,""),preDEL!AF110)</f>
        <v>0</v>
      </c>
      <c r="AG110" s="93" t="b">
        <f>IF(preDEL!$AG110,IFERROR(0/0,""),preDEL!AG110)</f>
        <v>0</v>
      </c>
      <c r="AH110" s="99" t="str">
        <f>IF(preDEL!$AG110,IFERROR(0/0,""),preDEL!AH110)</f>
        <v/>
      </c>
      <c r="AI110" s="249" t="str">
        <f>IF(preDEL!$AG110,IFERROR(0/0,""),preDEL!AI110)</f>
        <v/>
      </c>
      <c r="AJ110" s="94" t="str">
        <f>IF(preDEL!$AG110,IFERROR(0/0,""),preDEL!AJ110)</f>
        <v/>
      </c>
      <c r="AK110" s="249" t="str">
        <f>IF(preDEL!$AG110,IFERROR(0/0,""),preDEL!AK110)</f>
        <v>Negative</v>
      </c>
      <c r="AL110" s="94" t="str">
        <f>IF(preDEL!$AG110,IFERROR(0/0,""),preDEL!AL110)</f>
        <v/>
      </c>
      <c r="AM110" s="94" t="str">
        <f>IF(preDEL!$AG110,IFERROR(0/0,""),preDEL!AM110)</f>
        <v>SpNDHM189649</v>
      </c>
      <c r="AN110" s="94" t="str">
        <f>IF(preDEL!$AG110,IFERROR(0/0,""),preDEL!AN110)</f>
        <v>NDHM577067</v>
      </c>
      <c r="AO110" s="94" t="str">
        <f>IF(preDEL!$AG110,IFERROR(0/0,""),preDEL!AO110)</f>
        <v/>
      </c>
      <c r="AP110" s="94" t="str">
        <f>IF(preDEL!$AG110,IFERROR(0/0,""),preDEL!AP110)</f>
        <v/>
      </c>
      <c r="AQ110" s="94" t="str">
        <f>IF(preDEL!$AG110,IFERROR(0/0,""),preDEL!AQ110)</f>
        <v/>
      </c>
      <c r="AR110" s="94" t="str">
        <f>IF(preDEL!$AG110,IFERROR(0/0,""),preDEL!AR110)</f>
        <v/>
      </c>
      <c r="AS110" s="98"/>
      <c r="BE110" s="254"/>
      <c r="BF110" s="255"/>
      <c r="BG110" s="254"/>
      <c r="BH110" s="255"/>
      <c r="BI110" s="254"/>
      <c r="BJ110" s="254"/>
      <c r="BK110" s="254"/>
      <c r="BL110" s="254"/>
      <c r="BN110" s="7"/>
      <c r="BO110" s="7"/>
      <c r="BP110" s="7"/>
      <c r="BQ110" s="7"/>
      <c r="BR110" s="7"/>
      <c r="BS110" s="7"/>
      <c r="BT110" s="7"/>
    </row>
    <row r="111">
      <c r="A111" s="249" t="str">
        <f>IF(preDEL!$AG111,IFERROR(0/0,""),preDEL!A111)</f>
        <v>AG1103</v>
      </c>
      <c r="B111" s="250">
        <f>IF(preDEL!$AG111,IFERROR(0/0,""),preDEL!B111)</f>
        <v>44697</v>
      </c>
      <c r="C111" s="251">
        <f>IF(preDEL!$AG111,IFERROR(0/0,""),preDEL!C111)</f>
        <v>0.1903009259</v>
      </c>
      <c r="D111" s="249" t="str">
        <f>IF(preDEL!$AG111,IFERROR(0/0,""),preDEL!D111)</f>
        <v/>
      </c>
      <c r="E111" s="249" t="str">
        <f>IF(preDEL!$AG111,IFERROR(0/0,""),preDEL!E111)</f>
        <v/>
      </c>
      <c r="F111" s="94" t="str">
        <f>IF(preDEL!$AG111,IFERROR(0/0,""),preDEL!F111)</f>
        <v/>
      </c>
      <c r="G111" s="94" t="str">
        <f>IF(preDEL!$AG111,IFERROR(0/0,""),preDEL!G111)</f>
        <v/>
      </c>
      <c r="H111" s="94" t="str">
        <f>IF(preDEL!$AG111,IFERROR(0/0,""),preDEL!H111)</f>
        <v/>
      </c>
      <c r="I111" s="249" t="str">
        <f>IF(preDEL!$AG111,IFERROR(0/0,""),preDEL!I111)</f>
        <v/>
      </c>
      <c r="J111" s="249" t="str">
        <f>IF(preDEL!$AG111,IFERROR(0/0,""),preDEL!J111)</f>
        <v/>
      </c>
      <c r="K111" s="249" t="str">
        <f>IF(preDEL!$AG111,IFERROR(0/0,""),preDEL!K111)</f>
        <v>Negative</v>
      </c>
      <c r="L111" s="250">
        <f>IF(preDEL!$AG111,IFERROR(0/0,""),preDEL!L111)</f>
        <v>44697</v>
      </c>
      <c r="M111" s="251">
        <f>IF(preDEL!$AG111,IFERROR(0/0,""),preDEL!M111)</f>
        <v>0.361099537</v>
      </c>
      <c r="N111" s="94" t="str">
        <f>IF(preDEL!$AG111,IFERROR(0/0,""),preDEL!N111)</f>
        <v/>
      </c>
      <c r="O111" s="94" t="str">
        <f>IF(preDEL!$AG111,IFERROR(0/0,""),preDEL!O111)</f>
        <v/>
      </c>
      <c r="P111" s="93" t="b">
        <f>IF(preDEL!$AG111,IFERROR(0/0,""),preDEL!P111)</f>
        <v>0</v>
      </c>
      <c r="Q111" s="93" t="str">
        <f>IF(preDEL!$AG111,IFERROR(0/0,""),preDEL!Q111)</f>
        <v>Result</v>
      </c>
      <c r="R111" s="99" t="b">
        <f>IF(preDEL!$AG111,IFERROR(0/0,""),preDEL!R111)</f>
        <v>0</v>
      </c>
      <c r="S111" s="99">
        <f>IF(preDEL!$AG111,IFERROR(0/0,""),preDEL!S111)</f>
        <v>4</v>
      </c>
      <c r="T111" s="93" t="str">
        <f>IF(preDEL!$AG111,IFERROR(0/0,""),preDEL!T111)</f>
        <v/>
      </c>
      <c r="U111" s="94" t="str">
        <f>IF(preDEL!$AG111,IFERROR(0/0,""),preDEL!U111)</f>
        <v/>
      </c>
      <c r="V111" s="249" t="str">
        <f>IF(preDEL!$AG111,IFERROR(0/0,""),preDEL!V111)</f>
        <v/>
      </c>
      <c r="W111" s="94" t="str">
        <f>IF(preDEL!$AG111,IFERROR(0/0,""),preDEL!W111)</f>
        <v/>
      </c>
      <c r="X111" s="99" t="b">
        <f>IF(preDEL!$AG111,IFERROR(0/0,""),preDEL!X111)</f>
        <v>0</v>
      </c>
      <c r="Y111" s="93" t="str">
        <f>IF(preDEL!$AG111,IFERROR(0/0,""),preDEL!Y111)</f>
        <v/>
      </c>
      <c r="Z111" s="249" t="str">
        <f>IF(preDEL!$AG111,IFERROR(0/0,""),preDEL!Z111)</f>
        <v/>
      </c>
      <c r="AA111" s="93" t="b">
        <f>IF(preDEL!$AG111,IFERROR(0/0,""),preDEL!AA111)</f>
        <v>0</v>
      </c>
      <c r="AB111" s="93" t="str">
        <f>IF(preDEL!$AG111,IFERROR(0/0,""),preDEL!AB111)</f>
        <v/>
      </c>
      <c r="AC111" s="252">
        <f>IF(preDEL!$AG111,IFERROR(0/0,""),preDEL!AC111)</f>
        <v>133</v>
      </c>
      <c r="AD111" s="99" t="str">
        <f>IF(preDEL!$AG111,IFERROR(0/0,""),preDEL!AD111)</f>
        <v/>
      </c>
      <c r="AE111" s="253">
        <f>IF(preDEL!$AG111,IFERROR(0/0,""),preDEL!AE111)</f>
        <v>245.95</v>
      </c>
      <c r="AF111" s="93" t="b">
        <f>IF(preDEL!$AG111,IFERROR(0/0,""),preDEL!AF111)</f>
        <v>0</v>
      </c>
      <c r="AG111" s="93" t="b">
        <f>IF(preDEL!$AG111,IFERROR(0/0,""),preDEL!AG111)</f>
        <v>0</v>
      </c>
      <c r="AH111" s="99" t="str">
        <f>IF(preDEL!$AG111,IFERROR(0/0,""),preDEL!AH111)</f>
        <v/>
      </c>
      <c r="AI111" s="249" t="str">
        <f>IF(preDEL!$AG111,IFERROR(0/0,""),preDEL!AI111)</f>
        <v/>
      </c>
      <c r="AJ111" s="94" t="str">
        <f>IF(preDEL!$AG111,IFERROR(0/0,""),preDEL!AJ111)</f>
        <v/>
      </c>
      <c r="AK111" s="249" t="str">
        <f>IF(preDEL!$AG111,IFERROR(0/0,""),preDEL!AK111)</f>
        <v>Negative</v>
      </c>
      <c r="AL111" s="94" t="str">
        <f>IF(preDEL!$AG111,IFERROR(0/0,""),preDEL!AL111)</f>
        <v/>
      </c>
      <c r="AM111" s="94" t="str">
        <f>IF(preDEL!$AG111,IFERROR(0/0,""),preDEL!AM111)</f>
        <v>SpNDHM189649</v>
      </c>
      <c r="AN111" s="94" t="str">
        <f>IF(preDEL!$AG111,IFERROR(0/0,""),preDEL!AN111)</f>
        <v>NDHM404468</v>
      </c>
      <c r="AO111" s="94" t="str">
        <f>IF(preDEL!$AG111,IFERROR(0/0,""),preDEL!AO111)</f>
        <v/>
      </c>
      <c r="AP111" s="94" t="str">
        <f>IF(preDEL!$AG111,IFERROR(0/0,""),preDEL!AP111)</f>
        <v/>
      </c>
      <c r="AQ111" s="94" t="str">
        <f>IF(preDEL!$AG111,IFERROR(0/0,""),preDEL!AQ111)</f>
        <v/>
      </c>
      <c r="AR111" s="94" t="str">
        <f>IF(preDEL!$AG111,IFERROR(0/0,""),preDEL!AR111)</f>
        <v/>
      </c>
      <c r="AS111" s="98"/>
      <c r="BE111" s="254"/>
      <c r="BF111" s="255"/>
      <c r="BG111" s="254"/>
      <c r="BH111" s="255"/>
      <c r="BI111" s="254"/>
      <c r="BJ111" s="254"/>
      <c r="BK111" s="254"/>
      <c r="BL111" s="254"/>
      <c r="BN111" s="7"/>
      <c r="BO111" s="7"/>
      <c r="BP111" s="7"/>
      <c r="BQ111" s="7"/>
      <c r="BR111" s="7"/>
      <c r="BS111" s="7"/>
      <c r="BT111" s="7"/>
    </row>
    <row r="112">
      <c r="A112" s="249" t="str">
        <f>IF(preDEL!$AG112,IFERROR(0/0,""),preDEL!A112)</f>
        <v>AG1103</v>
      </c>
      <c r="B112" s="250">
        <f>IF(preDEL!$AG112,IFERROR(0/0,""),preDEL!B112)</f>
        <v>44697</v>
      </c>
      <c r="C112" s="251">
        <f>IF(preDEL!$AG112,IFERROR(0/0,""),preDEL!C112)</f>
        <v>0.1903009259</v>
      </c>
      <c r="D112" s="249" t="str">
        <f>IF(preDEL!$AG112,IFERROR(0/0,""),preDEL!D112)</f>
        <v/>
      </c>
      <c r="E112" s="249" t="str">
        <f>IF(preDEL!$AG112,IFERROR(0/0,""),preDEL!E112)</f>
        <v/>
      </c>
      <c r="F112" s="94" t="str">
        <f>IF(preDEL!$AG112,IFERROR(0/0,""),preDEL!F112)</f>
        <v/>
      </c>
      <c r="G112" s="94" t="str">
        <f>IF(preDEL!$AG112,IFERROR(0/0,""),preDEL!G112)</f>
        <v/>
      </c>
      <c r="H112" s="94" t="str">
        <f>IF(preDEL!$AG112,IFERROR(0/0,""),preDEL!H112)</f>
        <v/>
      </c>
      <c r="I112" s="249" t="str">
        <f>IF(preDEL!$AG112,IFERROR(0/0,""),preDEL!I112)</f>
        <v/>
      </c>
      <c r="J112" s="249" t="str">
        <f>IF(preDEL!$AG112,IFERROR(0/0,""),preDEL!J112)</f>
        <v/>
      </c>
      <c r="K112" s="249" t="str">
        <f>IF(preDEL!$AG112,IFERROR(0/0,""),preDEL!K112)</f>
        <v>Negative</v>
      </c>
      <c r="L112" s="250">
        <f>IF(preDEL!$AG112,IFERROR(0/0,""),preDEL!L112)</f>
        <v>44697</v>
      </c>
      <c r="M112" s="251">
        <f>IF(preDEL!$AG112,IFERROR(0/0,""),preDEL!M112)</f>
        <v>0.361099537</v>
      </c>
      <c r="N112" s="94" t="str">
        <f>IF(preDEL!$AG112,IFERROR(0/0,""),preDEL!N112)</f>
        <v/>
      </c>
      <c r="O112" s="94" t="str">
        <f>IF(preDEL!$AG112,IFERROR(0/0,""),preDEL!O112)</f>
        <v/>
      </c>
      <c r="P112" s="93" t="b">
        <f>IF(preDEL!$AG112,IFERROR(0/0,""),preDEL!P112)</f>
        <v>0</v>
      </c>
      <c r="Q112" s="93" t="str">
        <f>IF(preDEL!$AG112,IFERROR(0/0,""),preDEL!Q112)</f>
        <v>Result</v>
      </c>
      <c r="R112" s="99" t="b">
        <f>IF(preDEL!$AG112,IFERROR(0/0,""),preDEL!R112)</f>
        <v>0</v>
      </c>
      <c r="S112" s="99">
        <f>IF(preDEL!$AG112,IFERROR(0/0,""),preDEL!S112)</f>
        <v>4</v>
      </c>
      <c r="T112" s="93" t="str">
        <f>IF(preDEL!$AG112,IFERROR(0/0,""),preDEL!T112)</f>
        <v/>
      </c>
      <c r="U112" s="94" t="str">
        <f>IF(preDEL!$AG112,IFERROR(0/0,""),preDEL!U112)</f>
        <v/>
      </c>
      <c r="V112" s="249" t="str">
        <f>IF(preDEL!$AG112,IFERROR(0/0,""),preDEL!V112)</f>
        <v/>
      </c>
      <c r="W112" s="94" t="str">
        <f>IF(preDEL!$AG112,IFERROR(0/0,""),preDEL!W112)</f>
        <v/>
      </c>
      <c r="X112" s="99" t="b">
        <f>IF(preDEL!$AG112,IFERROR(0/0,""),preDEL!X112)</f>
        <v>0</v>
      </c>
      <c r="Y112" s="93" t="str">
        <f>IF(preDEL!$AG112,IFERROR(0/0,""),preDEL!Y112)</f>
        <v/>
      </c>
      <c r="Z112" s="249" t="str">
        <f>IF(preDEL!$AG112,IFERROR(0/0,""),preDEL!Z112)</f>
        <v/>
      </c>
      <c r="AA112" s="93" t="b">
        <f>IF(preDEL!$AG112,IFERROR(0/0,""),preDEL!AA112)</f>
        <v>0</v>
      </c>
      <c r="AB112" s="93" t="str">
        <f>IF(preDEL!$AG112,IFERROR(0/0,""),preDEL!AB112)</f>
        <v/>
      </c>
      <c r="AC112" s="252">
        <f>IF(preDEL!$AG112,IFERROR(0/0,""),preDEL!AC112)</f>
        <v>134</v>
      </c>
      <c r="AD112" s="99" t="str">
        <f>IF(preDEL!$AG112,IFERROR(0/0,""),preDEL!AD112)</f>
        <v/>
      </c>
      <c r="AE112" s="253">
        <f>IF(preDEL!$AG112,IFERROR(0/0,""),preDEL!AE112)</f>
        <v>245.95</v>
      </c>
      <c r="AF112" s="93" t="b">
        <f>IF(preDEL!$AG112,IFERROR(0/0,""),preDEL!AF112)</f>
        <v>0</v>
      </c>
      <c r="AG112" s="93" t="b">
        <f>IF(preDEL!$AG112,IFERROR(0/0,""),preDEL!AG112)</f>
        <v>0</v>
      </c>
      <c r="AH112" s="99" t="str">
        <f>IF(preDEL!$AG112,IFERROR(0/0,""),preDEL!AH112)</f>
        <v/>
      </c>
      <c r="AI112" s="249" t="str">
        <f>IF(preDEL!$AG112,IFERROR(0/0,""),preDEL!AI112)</f>
        <v/>
      </c>
      <c r="AJ112" s="94" t="str">
        <f>IF(preDEL!$AG112,IFERROR(0/0,""),preDEL!AJ112)</f>
        <v/>
      </c>
      <c r="AK112" s="249" t="str">
        <f>IF(preDEL!$AG112,IFERROR(0/0,""),preDEL!AK112)</f>
        <v>Negative</v>
      </c>
      <c r="AL112" s="94" t="str">
        <f>IF(preDEL!$AG112,IFERROR(0/0,""),preDEL!AL112)</f>
        <v/>
      </c>
      <c r="AM112" s="94" t="str">
        <f>IF(preDEL!$AG112,IFERROR(0/0,""),preDEL!AM112)</f>
        <v>SpNDHM189649</v>
      </c>
      <c r="AN112" s="94" t="str">
        <f>IF(preDEL!$AG112,IFERROR(0/0,""),preDEL!AN112)</f>
        <v>NDHM406316</v>
      </c>
      <c r="AO112" s="94" t="str">
        <f>IF(preDEL!$AG112,IFERROR(0/0,""),preDEL!AO112)</f>
        <v/>
      </c>
      <c r="AP112" s="94" t="str">
        <f>IF(preDEL!$AG112,IFERROR(0/0,""),preDEL!AP112)</f>
        <v/>
      </c>
      <c r="AQ112" s="94" t="str">
        <f>IF(preDEL!$AG112,IFERROR(0/0,""),preDEL!AQ112)</f>
        <v/>
      </c>
      <c r="AR112" s="94" t="str">
        <f>IF(preDEL!$AG112,IFERROR(0/0,""),preDEL!AR112)</f>
        <v/>
      </c>
      <c r="AS112" s="98"/>
      <c r="BE112" s="254"/>
      <c r="BF112" s="255"/>
      <c r="BG112" s="254"/>
      <c r="BH112" s="255"/>
      <c r="BI112" s="254"/>
      <c r="BJ112" s="254"/>
      <c r="BK112" s="254"/>
      <c r="BL112" s="254"/>
      <c r="BN112" s="7"/>
      <c r="BO112" s="7"/>
      <c r="BP112" s="7"/>
      <c r="BQ112" s="7"/>
      <c r="BR112" s="7"/>
      <c r="BS112" s="7"/>
      <c r="BT112" s="7"/>
    </row>
    <row r="113">
      <c r="A113" s="249" t="str">
        <f>IF(preDEL!$AG113,IFERROR(0/0,""),preDEL!A113)</f>
        <v>AJ7985</v>
      </c>
      <c r="B113" s="250">
        <f>IF(preDEL!$AG113,IFERROR(0/0,""),preDEL!B113)</f>
        <v>44697</v>
      </c>
      <c r="C113" s="251">
        <f>IF(preDEL!$AG113,IFERROR(0/0,""),preDEL!C113)</f>
        <v>0.2023611111</v>
      </c>
      <c r="D113" s="249" t="str">
        <f>IF(preDEL!$AG113,IFERROR(0/0,""),preDEL!D113)</f>
        <v/>
      </c>
      <c r="E113" s="249" t="str">
        <f>IF(preDEL!$AG113,IFERROR(0/0,""),preDEL!E113)</f>
        <v/>
      </c>
      <c r="F113" s="94" t="str">
        <f>IF(preDEL!$AG113,IFERROR(0/0,""),preDEL!F113)</f>
        <v/>
      </c>
      <c r="G113" s="94" t="str">
        <f>IF(preDEL!$AG113,IFERROR(0/0,""),preDEL!G113)</f>
        <v/>
      </c>
      <c r="H113" s="94" t="str">
        <f>IF(preDEL!$AG113,IFERROR(0/0,""),preDEL!H113)</f>
        <v/>
      </c>
      <c r="I113" s="249" t="str">
        <f>IF(preDEL!$AG113,IFERROR(0/0,""),preDEL!I113)</f>
        <v/>
      </c>
      <c r="J113" s="249" t="str">
        <f>IF(preDEL!$AG113,IFERROR(0/0,""),preDEL!J113)</f>
        <v/>
      </c>
      <c r="K113" s="249" t="str">
        <f>IF(preDEL!$AG113,IFERROR(0/0,""),preDEL!K113)</f>
        <v>Negative</v>
      </c>
      <c r="L113" s="250">
        <f>IF(preDEL!$AG113,IFERROR(0/0,""),preDEL!L113)</f>
        <v>44697</v>
      </c>
      <c r="M113" s="251">
        <f>IF(preDEL!$AG113,IFERROR(0/0,""),preDEL!M113)</f>
        <v>0.3611111111</v>
      </c>
      <c r="N113" s="94" t="str">
        <f>IF(preDEL!$AG113,IFERROR(0/0,""),preDEL!N113)</f>
        <v/>
      </c>
      <c r="O113" s="94" t="str">
        <f>IF(preDEL!$AG113,IFERROR(0/0,""),preDEL!O113)</f>
        <v/>
      </c>
      <c r="P113" s="93" t="b">
        <f>IF(preDEL!$AG113,IFERROR(0/0,""),preDEL!P113)</f>
        <v>0</v>
      </c>
      <c r="Q113" s="93" t="str">
        <f>IF(preDEL!$AG113,IFERROR(0/0,""),preDEL!Q113)</f>
        <v>Result</v>
      </c>
      <c r="R113" s="99" t="b">
        <f>IF(preDEL!$AG113,IFERROR(0/0,""),preDEL!R113)</f>
        <v>1</v>
      </c>
      <c r="S113" s="99">
        <f>IF(preDEL!$AG113,IFERROR(0/0,""),preDEL!S113)</f>
        <v>3</v>
      </c>
      <c r="T113" s="93">
        <f>IF(preDEL!$AG113,IFERROR(0/0,""),preDEL!T113)</f>
        <v>1</v>
      </c>
      <c r="U113" s="94" t="str">
        <f>IF(preDEL!$AG113,IFERROR(0/0,""),preDEL!U113)</f>
        <v/>
      </c>
      <c r="V113" s="249" t="str">
        <f>IF(preDEL!$AG113,IFERROR(0/0,""),preDEL!V113)</f>
        <v/>
      </c>
      <c r="W113" s="94" t="str">
        <f>IF(preDEL!$AG113,IFERROR(0/0,""),preDEL!W113)</f>
        <v/>
      </c>
      <c r="X113" s="99" t="b">
        <f>IF(preDEL!$AG113,IFERROR(0/0,""),preDEL!X113)</f>
        <v>1</v>
      </c>
      <c r="Y113" s="93" t="str">
        <f>IF(preDEL!$AG113,IFERROR(0/0,""),preDEL!Y113)</f>
        <v/>
      </c>
      <c r="Z113" s="249" t="str">
        <f>IF(preDEL!$AG113,IFERROR(0/0,""),preDEL!Z113)</f>
        <v/>
      </c>
      <c r="AA113" s="93" t="b">
        <f>IF(preDEL!$AG113,IFERROR(0/0,""),preDEL!AA113)</f>
        <v>0</v>
      </c>
      <c r="AB113" s="93" t="str">
        <f>IF(preDEL!$AG113,IFERROR(0/0,""),preDEL!AB113)</f>
        <v/>
      </c>
      <c r="AC113" s="252">
        <f>IF(preDEL!$AG113,IFERROR(0/0,""),preDEL!AC113)</f>
        <v>135</v>
      </c>
      <c r="AD113" s="99" t="str">
        <f>IF(preDEL!$AG113,IFERROR(0/0,""),preDEL!AD113)</f>
        <v/>
      </c>
      <c r="AE113" s="253">
        <f>IF(preDEL!$AG113,IFERROR(0/0,""),preDEL!AE113)</f>
        <v>228.6</v>
      </c>
      <c r="AF113" s="93" t="b">
        <f>IF(preDEL!$AG113,IFERROR(0/0,""),preDEL!AF113)</f>
        <v>0</v>
      </c>
      <c r="AG113" s="93" t="b">
        <f>IF(preDEL!$AG113,IFERROR(0/0,""),preDEL!AG113)</f>
        <v>0</v>
      </c>
      <c r="AH113" s="99" t="str">
        <f>IF(preDEL!$AG113,IFERROR(0/0,""),preDEL!AH113)</f>
        <v/>
      </c>
      <c r="AI113" s="249" t="str">
        <f>IF(preDEL!$AG113,IFERROR(0/0,""),preDEL!AI113)</f>
        <v/>
      </c>
      <c r="AJ113" s="94" t="str">
        <f>IF(preDEL!$AG113,IFERROR(0/0,""),preDEL!AJ113)</f>
        <v/>
      </c>
      <c r="AK113" s="249" t="str">
        <f>IF(preDEL!$AG113,IFERROR(0/0,""),preDEL!AK113)</f>
        <v>Negative</v>
      </c>
      <c r="AL113" s="94" t="str">
        <f>IF(preDEL!$AG113,IFERROR(0/0,""),preDEL!AL113)</f>
        <v/>
      </c>
      <c r="AM113" s="94" t="str">
        <f>IF(preDEL!$AG113,IFERROR(0/0,""),preDEL!AM113)</f>
        <v>SpNDHM966349</v>
      </c>
      <c r="AN113" s="94" t="str">
        <f>IF(preDEL!$AG113,IFERROR(0/0,""),preDEL!AN113)</f>
        <v>NDHM580463</v>
      </c>
      <c r="AO113" s="94" t="str">
        <f>IF(preDEL!$AG113,IFERROR(0/0,""),preDEL!AO113)</f>
        <v/>
      </c>
      <c r="AP113" s="94" t="str">
        <f>IF(preDEL!$AG113,IFERROR(0/0,""),preDEL!AP113)</f>
        <v/>
      </c>
      <c r="AQ113" s="94" t="str">
        <f>IF(preDEL!$AG113,IFERROR(0/0,""),preDEL!AQ113)</f>
        <v/>
      </c>
      <c r="AR113" s="94" t="str">
        <f>IF(preDEL!$AG113,IFERROR(0/0,""),preDEL!AR113)</f>
        <v/>
      </c>
      <c r="AS113" s="98"/>
      <c r="BE113" s="254"/>
      <c r="BF113" s="255"/>
      <c r="BG113" s="254"/>
      <c r="BH113" s="255"/>
      <c r="BI113" s="254"/>
      <c r="BJ113" s="254"/>
      <c r="BK113" s="254"/>
      <c r="BL113" s="254"/>
      <c r="BN113" s="7"/>
      <c r="BO113" s="7"/>
      <c r="BP113" s="7"/>
      <c r="BQ113" s="7"/>
      <c r="BR113" s="7"/>
      <c r="BS113" s="7"/>
      <c r="BT113" s="7"/>
    </row>
    <row r="114">
      <c r="A114" s="249" t="str">
        <f>IF(preDEL!$AG114,IFERROR(0/0,""),preDEL!A114)</f>
        <v>AJ7985</v>
      </c>
      <c r="B114" s="250">
        <f>IF(preDEL!$AG114,IFERROR(0/0,""),preDEL!B114)</f>
        <v>44697</v>
      </c>
      <c r="C114" s="251">
        <f>IF(preDEL!$AG114,IFERROR(0/0,""),preDEL!C114)</f>
        <v>0.2023611111</v>
      </c>
      <c r="D114" s="249" t="str">
        <f>IF(preDEL!$AG114,IFERROR(0/0,""),preDEL!D114)</f>
        <v/>
      </c>
      <c r="E114" s="249" t="str">
        <f>IF(preDEL!$AG114,IFERROR(0/0,""),preDEL!E114)</f>
        <v/>
      </c>
      <c r="F114" s="94" t="str">
        <f>IF(preDEL!$AG114,IFERROR(0/0,""),preDEL!F114)</f>
        <v/>
      </c>
      <c r="G114" s="94" t="str">
        <f>IF(preDEL!$AG114,IFERROR(0/0,""),preDEL!G114)</f>
        <v/>
      </c>
      <c r="H114" s="94" t="str">
        <f>IF(preDEL!$AG114,IFERROR(0/0,""),preDEL!H114)</f>
        <v/>
      </c>
      <c r="I114" s="249" t="str">
        <f>IF(preDEL!$AG114,IFERROR(0/0,""),preDEL!I114)</f>
        <v/>
      </c>
      <c r="J114" s="249" t="str">
        <f>IF(preDEL!$AG114,IFERROR(0/0,""),preDEL!J114)</f>
        <v/>
      </c>
      <c r="K114" s="249" t="str">
        <f>IF(preDEL!$AG114,IFERROR(0/0,""),preDEL!K114)</f>
        <v>Negative</v>
      </c>
      <c r="L114" s="250">
        <f>IF(preDEL!$AG114,IFERROR(0/0,""),preDEL!L114)</f>
        <v>44697</v>
      </c>
      <c r="M114" s="251">
        <f>IF(preDEL!$AG114,IFERROR(0/0,""),preDEL!M114)</f>
        <v>0.3611111111</v>
      </c>
      <c r="N114" s="94" t="str">
        <f>IF(preDEL!$AG114,IFERROR(0/0,""),preDEL!N114)</f>
        <v/>
      </c>
      <c r="O114" s="94" t="str">
        <f>IF(preDEL!$AG114,IFERROR(0/0,""),preDEL!O114)</f>
        <v/>
      </c>
      <c r="P114" s="93" t="b">
        <f>IF(preDEL!$AG114,IFERROR(0/0,""),preDEL!P114)</f>
        <v>0</v>
      </c>
      <c r="Q114" s="93" t="str">
        <f>IF(preDEL!$AG114,IFERROR(0/0,""),preDEL!Q114)</f>
        <v>Result</v>
      </c>
      <c r="R114" s="99" t="b">
        <f>IF(preDEL!$AG114,IFERROR(0/0,""),preDEL!R114)</f>
        <v>0</v>
      </c>
      <c r="S114" s="99">
        <f>IF(preDEL!$AG114,IFERROR(0/0,""),preDEL!S114)</f>
        <v>3</v>
      </c>
      <c r="T114" s="93">
        <f>IF(preDEL!$AG114,IFERROR(0/0,""),preDEL!T114)</f>
        <v>1</v>
      </c>
      <c r="U114" s="94" t="str">
        <f>IF(preDEL!$AG114,IFERROR(0/0,""),preDEL!U114)</f>
        <v/>
      </c>
      <c r="V114" s="249" t="str">
        <f>IF(preDEL!$AG114,IFERROR(0/0,""),preDEL!V114)</f>
        <v/>
      </c>
      <c r="W114" s="94" t="str">
        <f>IF(preDEL!$AG114,IFERROR(0/0,""),preDEL!W114)</f>
        <v/>
      </c>
      <c r="X114" s="99" t="b">
        <f>IF(preDEL!$AG114,IFERROR(0/0,""),preDEL!X114)</f>
        <v>0</v>
      </c>
      <c r="Y114" s="93" t="str">
        <f>IF(preDEL!$AG114,IFERROR(0/0,""),preDEL!Y114)</f>
        <v/>
      </c>
      <c r="Z114" s="249" t="str">
        <f>IF(preDEL!$AG114,IFERROR(0/0,""),preDEL!Z114)</f>
        <v/>
      </c>
      <c r="AA114" s="93" t="b">
        <f>IF(preDEL!$AG114,IFERROR(0/0,""),preDEL!AA114)</f>
        <v>0</v>
      </c>
      <c r="AB114" s="93" t="str">
        <f>IF(preDEL!$AG114,IFERROR(0/0,""),preDEL!AB114)</f>
        <v/>
      </c>
      <c r="AC114" s="252">
        <f>IF(preDEL!$AG114,IFERROR(0/0,""),preDEL!AC114)</f>
        <v>136</v>
      </c>
      <c r="AD114" s="99" t="str">
        <f>IF(preDEL!$AG114,IFERROR(0/0,""),preDEL!AD114)</f>
        <v/>
      </c>
      <c r="AE114" s="253">
        <f>IF(preDEL!$AG114,IFERROR(0/0,""),preDEL!AE114)</f>
        <v>228.6</v>
      </c>
      <c r="AF114" s="93" t="b">
        <f>IF(preDEL!$AG114,IFERROR(0/0,""),preDEL!AF114)</f>
        <v>0</v>
      </c>
      <c r="AG114" s="93" t="b">
        <f>IF(preDEL!$AG114,IFERROR(0/0,""),preDEL!AG114)</f>
        <v>0</v>
      </c>
      <c r="AH114" s="99" t="str">
        <f>IF(preDEL!$AG114,IFERROR(0/0,""),preDEL!AH114)</f>
        <v/>
      </c>
      <c r="AI114" s="249" t="str">
        <f>IF(preDEL!$AG114,IFERROR(0/0,""),preDEL!AI114)</f>
        <v/>
      </c>
      <c r="AJ114" s="94" t="str">
        <f>IF(preDEL!$AG114,IFERROR(0/0,""),preDEL!AJ114)</f>
        <v/>
      </c>
      <c r="AK114" s="249" t="str">
        <f>IF(preDEL!$AG114,IFERROR(0/0,""),preDEL!AK114)</f>
        <v>Negative</v>
      </c>
      <c r="AL114" s="94" t="str">
        <f>IF(preDEL!$AG114,IFERROR(0/0,""),preDEL!AL114)</f>
        <v/>
      </c>
      <c r="AM114" s="94" t="str">
        <f>IF(preDEL!$AG114,IFERROR(0/0,""),preDEL!AM114)</f>
        <v>SpNDHM966349</v>
      </c>
      <c r="AN114" s="94" t="str">
        <f>IF(preDEL!$AG114,IFERROR(0/0,""),preDEL!AN114)</f>
        <v>NDHM806069</v>
      </c>
      <c r="AO114" s="94" t="str">
        <f>IF(preDEL!$AG114,IFERROR(0/0,""),preDEL!AO114)</f>
        <v/>
      </c>
      <c r="AP114" s="94" t="str">
        <f>IF(preDEL!$AG114,IFERROR(0/0,""),preDEL!AP114)</f>
        <v/>
      </c>
      <c r="AQ114" s="94" t="str">
        <f>IF(preDEL!$AG114,IFERROR(0/0,""),preDEL!AQ114)</f>
        <v/>
      </c>
      <c r="AR114" s="94" t="str">
        <f>IF(preDEL!$AG114,IFERROR(0/0,""),preDEL!AR114)</f>
        <v/>
      </c>
      <c r="AS114" s="98"/>
      <c r="BE114" s="254"/>
      <c r="BF114" s="255"/>
      <c r="BG114" s="254"/>
      <c r="BH114" s="255"/>
      <c r="BI114" s="254"/>
      <c r="BJ114" s="254"/>
      <c r="BK114" s="254"/>
      <c r="BL114" s="254"/>
      <c r="BN114" s="7"/>
      <c r="BO114" s="7"/>
      <c r="BP114" s="7"/>
      <c r="BQ114" s="7"/>
      <c r="BR114" s="7"/>
      <c r="BS114" s="7"/>
      <c r="BT114" s="7"/>
    </row>
    <row r="115">
      <c r="A115" s="249" t="str">
        <f>IF(preDEL!$AG115,IFERROR(0/0,""),preDEL!A115)</f>
        <v>AJ7985</v>
      </c>
      <c r="B115" s="250">
        <f>IF(preDEL!$AG115,IFERROR(0/0,""),preDEL!B115)</f>
        <v>44697</v>
      </c>
      <c r="C115" s="251">
        <f>IF(preDEL!$AG115,IFERROR(0/0,""),preDEL!C115)</f>
        <v>0.2023611111</v>
      </c>
      <c r="D115" s="249" t="str">
        <f>IF(preDEL!$AG115,IFERROR(0/0,""),preDEL!D115)</f>
        <v/>
      </c>
      <c r="E115" s="249" t="str">
        <f>IF(preDEL!$AG115,IFERROR(0/0,""),preDEL!E115)</f>
        <v/>
      </c>
      <c r="F115" s="94" t="str">
        <f>IF(preDEL!$AG115,IFERROR(0/0,""),preDEL!F115)</f>
        <v/>
      </c>
      <c r="G115" s="94" t="str">
        <f>IF(preDEL!$AG115,IFERROR(0/0,""),preDEL!G115)</f>
        <v/>
      </c>
      <c r="H115" s="94" t="str">
        <f>IF(preDEL!$AG115,IFERROR(0/0,""),preDEL!H115)</f>
        <v/>
      </c>
      <c r="I115" s="249" t="str">
        <f>IF(preDEL!$AG115,IFERROR(0/0,""),preDEL!I115)</f>
        <v/>
      </c>
      <c r="J115" s="249" t="str">
        <f>IF(preDEL!$AG115,IFERROR(0/0,""),preDEL!J115)</f>
        <v/>
      </c>
      <c r="K115" s="249" t="str">
        <f>IF(preDEL!$AG115,IFERROR(0/0,""),preDEL!K115)</f>
        <v>Negative</v>
      </c>
      <c r="L115" s="250">
        <f>IF(preDEL!$AG115,IFERROR(0/0,""),preDEL!L115)</f>
        <v>44697</v>
      </c>
      <c r="M115" s="251">
        <f>IF(preDEL!$AG115,IFERROR(0/0,""),preDEL!M115)</f>
        <v>0.3611111111</v>
      </c>
      <c r="N115" s="94" t="str">
        <f>IF(preDEL!$AG115,IFERROR(0/0,""),preDEL!N115)</f>
        <v/>
      </c>
      <c r="O115" s="94" t="str">
        <f>IF(preDEL!$AG115,IFERROR(0/0,""),preDEL!O115)</f>
        <v/>
      </c>
      <c r="P115" s="93" t="b">
        <f>IF(preDEL!$AG115,IFERROR(0/0,""),preDEL!P115)</f>
        <v>0</v>
      </c>
      <c r="Q115" s="93" t="str">
        <f>IF(preDEL!$AG115,IFERROR(0/0,""),preDEL!Q115)</f>
        <v>Result</v>
      </c>
      <c r="R115" s="99" t="b">
        <f>IF(preDEL!$AG115,IFERROR(0/0,""),preDEL!R115)</f>
        <v>0</v>
      </c>
      <c r="S115" s="99">
        <f>IF(preDEL!$AG115,IFERROR(0/0,""),preDEL!S115)</f>
        <v>3</v>
      </c>
      <c r="T115" s="93">
        <f>IF(preDEL!$AG115,IFERROR(0/0,""),preDEL!T115)</f>
        <v>1</v>
      </c>
      <c r="U115" s="94" t="str">
        <f>IF(preDEL!$AG115,IFERROR(0/0,""),preDEL!U115)</f>
        <v/>
      </c>
      <c r="V115" s="249" t="str">
        <f>IF(preDEL!$AG115,IFERROR(0/0,""),preDEL!V115)</f>
        <v/>
      </c>
      <c r="W115" s="94" t="str">
        <f>IF(preDEL!$AG115,IFERROR(0/0,""),preDEL!W115)</f>
        <v/>
      </c>
      <c r="X115" s="99" t="b">
        <f>IF(preDEL!$AG115,IFERROR(0/0,""),preDEL!X115)</f>
        <v>0</v>
      </c>
      <c r="Y115" s="93" t="str">
        <f>IF(preDEL!$AG115,IFERROR(0/0,""),preDEL!Y115)</f>
        <v/>
      </c>
      <c r="Z115" s="249" t="str">
        <f>IF(preDEL!$AG115,IFERROR(0/0,""),preDEL!Z115)</f>
        <v/>
      </c>
      <c r="AA115" s="93" t="b">
        <f>IF(preDEL!$AG115,IFERROR(0/0,""),preDEL!AA115)</f>
        <v>0</v>
      </c>
      <c r="AB115" s="93" t="str">
        <f>IF(preDEL!$AG115,IFERROR(0/0,""),preDEL!AB115)</f>
        <v/>
      </c>
      <c r="AC115" s="252">
        <f>IF(preDEL!$AG115,IFERROR(0/0,""),preDEL!AC115)</f>
        <v>135</v>
      </c>
      <c r="AD115" s="99" t="str">
        <f>IF(preDEL!$AG115,IFERROR(0/0,""),preDEL!AD115)</f>
        <v/>
      </c>
      <c r="AE115" s="253">
        <f>IF(preDEL!$AG115,IFERROR(0/0,""),preDEL!AE115)</f>
        <v>228.6</v>
      </c>
      <c r="AF115" s="93" t="b">
        <f>IF(preDEL!$AG115,IFERROR(0/0,""),preDEL!AF115)</f>
        <v>0</v>
      </c>
      <c r="AG115" s="93" t="b">
        <f>IF(preDEL!$AG115,IFERROR(0/0,""),preDEL!AG115)</f>
        <v>0</v>
      </c>
      <c r="AH115" s="99" t="str">
        <f>IF(preDEL!$AG115,IFERROR(0/0,""),preDEL!AH115)</f>
        <v/>
      </c>
      <c r="AI115" s="249" t="str">
        <f>IF(preDEL!$AG115,IFERROR(0/0,""),preDEL!AI115)</f>
        <v/>
      </c>
      <c r="AJ115" s="94" t="str">
        <f>IF(preDEL!$AG115,IFERROR(0/0,""),preDEL!AJ115)</f>
        <v/>
      </c>
      <c r="AK115" s="249" t="str">
        <f>IF(preDEL!$AG115,IFERROR(0/0,""),preDEL!AK115)</f>
        <v>Negative</v>
      </c>
      <c r="AL115" s="94" t="str">
        <f>IF(preDEL!$AG115,IFERROR(0/0,""),preDEL!AL115)</f>
        <v/>
      </c>
      <c r="AM115" s="94" t="str">
        <f>IF(preDEL!$AG115,IFERROR(0/0,""),preDEL!AM115)</f>
        <v>SpNDHM966349</v>
      </c>
      <c r="AN115" s="94" t="str">
        <f>IF(preDEL!$AG115,IFERROR(0/0,""),preDEL!AN115)</f>
        <v>NDHM584295</v>
      </c>
      <c r="AO115" s="94" t="str">
        <f>IF(preDEL!$AG115,IFERROR(0/0,""),preDEL!AO115)</f>
        <v/>
      </c>
      <c r="AP115" s="94" t="str">
        <f>IF(preDEL!$AG115,IFERROR(0/0,""),preDEL!AP115)</f>
        <v/>
      </c>
      <c r="AQ115" s="94" t="str">
        <f>IF(preDEL!$AG115,IFERROR(0/0,""),preDEL!AQ115)</f>
        <v/>
      </c>
      <c r="AR115" s="94" t="str">
        <f>IF(preDEL!$AG115,IFERROR(0/0,""),preDEL!AR115)</f>
        <v/>
      </c>
      <c r="AS115" s="98"/>
      <c r="BE115" s="254"/>
      <c r="BF115" s="255"/>
      <c r="BG115" s="254"/>
      <c r="BH115" s="255"/>
      <c r="BI115" s="254"/>
      <c r="BJ115" s="254"/>
      <c r="BK115" s="254"/>
      <c r="BL115" s="254"/>
      <c r="BN115" s="7"/>
      <c r="BO115" s="7"/>
      <c r="BP115" s="7"/>
      <c r="BQ115" s="7"/>
      <c r="BR115" s="7"/>
      <c r="BS115" s="7"/>
      <c r="BT115" s="7"/>
    </row>
    <row r="116">
      <c r="A116" s="249" t="str">
        <f>IF(preDEL!$AG116,IFERROR(0/0,""),preDEL!A116)</f>
        <v>AH9668</v>
      </c>
      <c r="B116" s="250">
        <f>IF(preDEL!$AG116,IFERROR(0/0,""),preDEL!B116)</f>
        <v>44697</v>
      </c>
      <c r="C116" s="251">
        <f>IF(preDEL!$AG116,IFERROR(0/0,""),preDEL!C116)</f>
        <v>0.2068402778</v>
      </c>
      <c r="D116" s="249" t="str">
        <f>IF(preDEL!$AG116,IFERROR(0/0,""),preDEL!D116)</f>
        <v/>
      </c>
      <c r="E116" s="249" t="str">
        <f>IF(preDEL!$AG116,IFERROR(0/0,""),preDEL!E116)</f>
        <v/>
      </c>
      <c r="F116" s="94" t="str">
        <f>IF(preDEL!$AG116,IFERROR(0/0,""),preDEL!F116)</f>
        <v/>
      </c>
      <c r="G116" s="94" t="str">
        <f>IF(preDEL!$AG116,IFERROR(0/0,""),preDEL!G116)</f>
        <v/>
      </c>
      <c r="H116" s="94" t="str">
        <f>IF(preDEL!$AG116,IFERROR(0/0,""),preDEL!H116)</f>
        <v/>
      </c>
      <c r="I116" s="249" t="str">
        <f>IF(preDEL!$AG116,IFERROR(0/0,""),preDEL!I116)</f>
        <v/>
      </c>
      <c r="J116" s="249" t="str">
        <f>IF(preDEL!$AG116,IFERROR(0/0,""),preDEL!J116)</f>
        <v/>
      </c>
      <c r="K116" s="249" t="str">
        <f>IF(preDEL!$AG116,IFERROR(0/0,""),preDEL!K116)</f>
        <v>Negative</v>
      </c>
      <c r="L116" s="250">
        <f>IF(preDEL!$AG116,IFERROR(0/0,""),preDEL!L116)</f>
        <v>44697</v>
      </c>
      <c r="M116" s="251">
        <f>IF(preDEL!$AG116,IFERROR(0/0,""),preDEL!M116)</f>
        <v>0.3611111111</v>
      </c>
      <c r="N116" s="94" t="str">
        <f>IF(preDEL!$AG116,IFERROR(0/0,""),preDEL!N116)</f>
        <v/>
      </c>
      <c r="O116" s="94" t="str">
        <f>IF(preDEL!$AG116,IFERROR(0/0,""),preDEL!O116)</f>
        <v/>
      </c>
      <c r="P116" s="93" t="b">
        <f>IF(preDEL!$AG116,IFERROR(0/0,""),preDEL!P116)</f>
        <v>0</v>
      </c>
      <c r="Q116" s="93" t="str">
        <f>IF(preDEL!$AG116,IFERROR(0/0,""),preDEL!Q116)</f>
        <v>Result</v>
      </c>
      <c r="R116" s="99" t="b">
        <f>IF(preDEL!$AG116,IFERROR(0/0,""),preDEL!R116)</f>
        <v>1</v>
      </c>
      <c r="S116" s="99">
        <f>IF(preDEL!$AG116,IFERROR(0/0,""),preDEL!S116)</f>
        <v>2</v>
      </c>
      <c r="T116" s="93" t="str">
        <f>IF(preDEL!$AG116,IFERROR(0/0,""),preDEL!T116)</f>
        <v/>
      </c>
      <c r="U116" s="94" t="str">
        <f>IF(preDEL!$AG116,IFERROR(0/0,""),preDEL!U116)</f>
        <v/>
      </c>
      <c r="V116" s="249" t="str">
        <f>IF(preDEL!$AG116,IFERROR(0/0,""),preDEL!V116)</f>
        <v/>
      </c>
      <c r="W116" s="94" t="str">
        <f>IF(preDEL!$AG116,IFERROR(0/0,""),preDEL!W116)</f>
        <v/>
      </c>
      <c r="X116" s="99" t="b">
        <f>IF(preDEL!$AG116,IFERROR(0/0,""),preDEL!X116)</f>
        <v>0</v>
      </c>
      <c r="Y116" s="93" t="str">
        <f>IF(preDEL!$AG116,IFERROR(0/0,""),preDEL!Y116)</f>
        <v/>
      </c>
      <c r="Z116" s="249" t="str">
        <f>IF(preDEL!$AG116,IFERROR(0/0,""),preDEL!Z116)</f>
        <v/>
      </c>
      <c r="AA116" s="93" t="b">
        <f>IF(preDEL!$AG116,IFERROR(0/0,""),preDEL!AA116)</f>
        <v>0</v>
      </c>
      <c r="AB116" s="93" t="str">
        <f>IF(preDEL!$AG116,IFERROR(0/0,""),preDEL!AB116)</f>
        <v/>
      </c>
      <c r="AC116" s="252">
        <f>IF(preDEL!$AG116,IFERROR(0/0,""),preDEL!AC116)</f>
        <v>138</v>
      </c>
      <c r="AD116" s="99" t="str">
        <f>IF(preDEL!$AG116,IFERROR(0/0,""),preDEL!AD116)</f>
        <v/>
      </c>
      <c r="AE116" s="253">
        <f>IF(preDEL!$AG116,IFERROR(0/0,""),preDEL!AE116)</f>
        <v>222.15</v>
      </c>
      <c r="AF116" s="93" t="b">
        <f>IF(preDEL!$AG116,IFERROR(0/0,""),preDEL!AF116)</f>
        <v>0</v>
      </c>
      <c r="AG116" s="93" t="b">
        <f>IF(preDEL!$AG116,IFERROR(0/0,""),preDEL!AG116)</f>
        <v>0</v>
      </c>
      <c r="AH116" s="99" t="str">
        <f>IF(preDEL!$AG116,IFERROR(0/0,""),preDEL!AH116)</f>
        <v/>
      </c>
      <c r="AI116" s="249" t="str">
        <f>IF(preDEL!$AG116,IFERROR(0/0,""),preDEL!AI116)</f>
        <v/>
      </c>
      <c r="AJ116" s="94" t="str">
        <f>IF(preDEL!$AG116,IFERROR(0/0,""),preDEL!AJ116)</f>
        <v/>
      </c>
      <c r="AK116" s="249" t="str">
        <f>IF(preDEL!$AG116,IFERROR(0/0,""),preDEL!AK116)</f>
        <v>Negative</v>
      </c>
      <c r="AL116" s="94" t="str">
        <f>IF(preDEL!$AG116,IFERROR(0/0,""),preDEL!AL116)</f>
        <v/>
      </c>
      <c r="AM116" s="94" t="str">
        <f>IF(preDEL!$AG116,IFERROR(0/0,""),preDEL!AM116)</f>
        <v>SpNDHM645491</v>
      </c>
      <c r="AN116" s="94" t="str">
        <f>IF(preDEL!$AG116,IFERROR(0/0,""),preDEL!AN116)</f>
        <v>NDHM291495</v>
      </c>
      <c r="AO116" s="94" t="str">
        <f>IF(preDEL!$AG116,IFERROR(0/0,""),preDEL!AO116)</f>
        <v/>
      </c>
      <c r="AP116" s="94" t="str">
        <f>IF(preDEL!$AG116,IFERROR(0/0,""),preDEL!AP116)</f>
        <v/>
      </c>
      <c r="AQ116" s="94" t="str">
        <f>IF(preDEL!$AG116,IFERROR(0/0,""),preDEL!AQ116)</f>
        <v/>
      </c>
      <c r="AR116" s="94" t="str">
        <f>IF(preDEL!$AG116,IFERROR(0/0,""),preDEL!AR116)</f>
        <v/>
      </c>
      <c r="AS116" s="98"/>
      <c r="BE116" s="254"/>
      <c r="BF116" s="255"/>
      <c r="BG116" s="254"/>
      <c r="BH116" s="255"/>
      <c r="BI116" s="254"/>
      <c r="BJ116" s="254"/>
      <c r="BK116" s="254"/>
      <c r="BL116" s="254"/>
      <c r="BN116" s="7"/>
      <c r="BO116" s="7"/>
      <c r="BP116" s="7"/>
      <c r="BQ116" s="7"/>
      <c r="BR116" s="7"/>
      <c r="BS116" s="7"/>
      <c r="BT116" s="7"/>
    </row>
    <row r="117">
      <c r="A117" s="249" t="str">
        <f>IF(preDEL!$AG117,IFERROR(0/0,""),preDEL!A117)</f>
        <v>AH9668</v>
      </c>
      <c r="B117" s="250">
        <f>IF(preDEL!$AG117,IFERROR(0/0,""),preDEL!B117)</f>
        <v>44697</v>
      </c>
      <c r="C117" s="251">
        <f>IF(preDEL!$AG117,IFERROR(0/0,""),preDEL!C117)</f>
        <v>0.2068402778</v>
      </c>
      <c r="D117" s="249" t="str">
        <f>IF(preDEL!$AG117,IFERROR(0/0,""),preDEL!D117)</f>
        <v/>
      </c>
      <c r="E117" s="249" t="str">
        <f>IF(preDEL!$AG117,IFERROR(0/0,""),preDEL!E117)</f>
        <v/>
      </c>
      <c r="F117" s="94" t="str">
        <f>IF(preDEL!$AG117,IFERROR(0/0,""),preDEL!F117)</f>
        <v/>
      </c>
      <c r="G117" s="94" t="str">
        <f>IF(preDEL!$AG117,IFERROR(0/0,""),preDEL!G117)</f>
        <v/>
      </c>
      <c r="H117" s="94" t="str">
        <f>IF(preDEL!$AG117,IFERROR(0/0,""),preDEL!H117)</f>
        <v/>
      </c>
      <c r="I117" s="249" t="str">
        <f>IF(preDEL!$AG117,IFERROR(0/0,""),preDEL!I117)</f>
        <v/>
      </c>
      <c r="J117" s="249" t="str">
        <f>IF(preDEL!$AG117,IFERROR(0/0,""),preDEL!J117)</f>
        <v/>
      </c>
      <c r="K117" s="249" t="str">
        <f>IF(preDEL!$AG117,IFERROR(0/0,""),preDEL!K117)</f>
        <v>Negative</v>
      </c>
      <c r="L117" s="250">
        <f>IF(preDEL!$AG117,IFERROR(0/0,""),preDEL!L117)</f>
        <v>44697</v>
      </c>
      <c r="M117" s="251">
        <f>IF(preDEL!$AG117,IFERROR(0/0,""),preDEL!M117)</f>
        <v>0.3611111111</v>
      </c>
      <c r="N117" s="94" t="str">
        <f>IF(preDEL!$AG117,IFERROR(0/0,""),preDEL!N117)</f>
        <v/>
      </c>
      <c r="O117" s="94" t="str">
        <f>IF(preDEL!$AG117,IFERROR(0/0,""),preDEL!O117)</f>
        <v/>
      </c>
      <c r="P117" s="93" t="b">
        <f>IF(preDEL!$AG117,IFERROR(0/0,""),preDEL!P117)</f>
        <v>0</v>
      </c>
      <c r="Q117" s="93" t="str">
        <f>IF(preDEL!$AG117,IFERROR(0/0,""),preDEL!Q117)</f>
        <v>Result</v>
      </c>
      <c r="R117" s="99" t="b">
        <f>IF(preDEL!$AG117,IFERROR(0/0,""),preDEL!R117)</f>
        <v>0</v>
      </c>
      <c r="S117" s="99">
        <f>IF(preDEL!$AG117,IFERROR(0/0,""),preDEL!S117)</f>
        <v>2</v>
      </c>
      <c r="T117" s="93" t="str">
        <f>IF(preDEL!$AG117,IFERROR(0/0,""),preDEL!T117)</f>
        <v/>
      </c>
      <c r="U117" s="94" t="str">
        <f>IF(preDEL!$AG117,IFERROR(0/0,""),preDEL!U117)</f>
        <v/>
      </c>
      <c r="V117" s="249" t="str">
        <f>IF(preDEL!$AG117,IFERROR(0/0,""),preDEL!V117)</f>
        <v/>
      </c>
      <c r="W117" s="94" t="str">
        <f>IF(preDEL!$AG117,IFERROR(0/0,""),preDEL!W117)</f>
        <v/>
      </c>
      <c r="X117" s="99" t="b">
        <f>IF(preDEL!$AG117,IFERROR(0/0,""),preDEL!X117)</f>
        <v>0</v>
      </c>
      <c r="Y117" s="93" t="str">
        <f>IF(preDEL!$AG117,IFERROR(0/0,""),preDEL!Y117)</f>
        <v/>
      </c>
      <c r="Z117" s="249" t="str">
        <f>IF(preDEL!$AG117,IFERROR(0/0,""),preDEL!Z117)</f>
        <v/>
      </c>
      <c r="AA117" s="93" t="b">
        <f>IF(preDEL!$AG117,IFERROR(0/0,""),preDEL!AA117)</f>
        <v>0</v>
      </c>
      <c r="AB117" s="93" t="str">
        <f>IF(preDEL!$AG117,IFERROR(0/0,""),preDEL!AB117)</f>
        <v/>
      </c>
      <c r="AC117" s="252">
        <f>IF(preDEL!$AG117,IFERROR(0/0,""),preDEL!AC117)</f>
        <v>137</v>
      </c>
      <c r="AD117" s="99" t="str">
        <f>IF(preDEL!$AG117,IFERROR(0/0,""),preDEL!AD117)</f>
        <v/>
      </c>
      <c r="AE117" s="253">
        <f>IF(preDEL!$AG117,IFERROR(0/0,""),preDEL!AE117)</f>
        <v>222.15</v>
      </c>
      <c r="AF117" s="93" t="b">
        <f>IF(preDEL!$AG117,IFERROR(0/0,""),preDEL!AF117)</f>
        <v>0</v>
      </c>
      <c r="AG117" s="93" t="b">
        <f>IF(preDEL!$AG117,IFERROR(0/0,""),preDEL!AG117)</f>
        <v>0</v>
      </c>
      <c r="AH117" s="99" t="str">
        <f>IF(preDEL!$AG117,IFERROR(0/0,""),preDEL!AH117)</f>
        <v/>
      </c>
      <c r="AI117" s="249" t="str">
        <f>IF(preDEL!$AG117,IFERROR(0/0,""),preDEL!AI117)</f>
        <v/>
      </c>
      <c r="AJ117" s="94" t="str">
        <f>IF(preDEL!$AG117,IFERROR(0/0,""),preDEL!AJ117)</f>
        <v/>
      </c>
      <c r="AK117" s="249" t="str">
        <f>IF(preDEL!$AG117,IFERROR(0/0,""),preDEL!AK117)</f>
        <v>Negative</v>
      </c>
      <c r="AL117" s="94" t="str">
        <f>IF(preDEL!$AG117,IFERROR(0/0,""),preDEL!AL117)</f>
        <v/>
      </c>
      <c r="AM117" s="94" t="str">
        <f>IF(preDEL!$AG117,IFERROR(0/0,""),preDEL!AM117)</f>
        <v>SpNDHM645491</v>
      </c>
      <c r="AN117" s="94" t="str">
        <f>IF(preDEL!$AG117,IFERROR(0/0,""),preDEL!AN117)</f>
        <v>NDHM101082</v>
      </c>
      <c r="AO117" s="94" t="str">
        <f>IF(preDEL!$AG117,IFERROR(0/0,""),preDEL!AO117)</f>
        <v/>
      </c>
      <c r="AP117" s="94" t="str">
        <f>IF(preDEL!$AG117,IFERROR(0/0,""),preDEL!AP117)</f>
        <v/>
      </c>
      <c r="AQ117" s="94" t="str">
        <f>IF(preDEL!$AG117,IFERROR(0/0,""),preDEL!AQ117)</f>
        <v/>
      </c>
      <c r="AR117" s="94" t="str">
        <f>IF(preDEL!$AG117,IFERROR(0/0,""),preDEL!AR117)</f>
        <v/>
      </c>
      <c r="AS117" s="98"/>
      <c r="BE117" s="254"/>
      <c r="BF117" s="255"/>
      <c r="BG117" s="254"/>
      <c r="BH117" s="255"/>
      <c r="BI117" s="254"/>
      <c r="BJ117" s="254"/>
      <c r="BK117" s="254"/>
      <c r="BL117" s="254"/>
      <c r="BN117" s="7"/>
      <c r="BO117" s="7"/>
      <c r="BP117" s="7"/>
      <c r="BQ117" s="7"/>
      <c r="BR117" s="7"/>
      <c r="BS117" s="7"/>
      <c r="BT117" s="7"/>
    </row>
    <row r="118">
      <c r="A118" s="249" t="str">
        <f>IF(preDEL!$AG118,IFERROR(0/0,""),preDEL!A118)</f>
        <v>AJ8977</v>
      </c>
      <c r="B118" s="250">
        <f>IF(preDEL!$AG118,IFERROR(0/0,""),preDEL!B118)</f>
        <v>44697</v>
      </c>
      <c r="C118" s="251">
        <f>IF(preDEL!$AG118,IFERROR(0/0,""),preDEL!C118)</f>
        <v>0.2090393519</v>
      </c>
      <c r="D118" s="249" t="str">
        <f>IF(preDEL!$AG118,IFERROR(0/0,""),preDEL!D118)</f>
        <v/>
      </c>
      <c r="E118" s="249" t="str">
        <f>IF(preDEL!$AG118,IFERROR(0/0,""),preDEL!E118)</f>
        <v/>
      </c>
      <c r="F118" s="94" t="str">
        <f>IF(preDEL!$AG118,IFERROR(0/0,""),preDEL!F118)</f>
        <v/>
      </c>
      <c r="G118" s="94" t="str">
        <f>IF(preDEL!$AG118,IFERROR(0/0,""),preDEL!G118)</f>
        <v/>
      </c>
      <c r="H118" s="94" t="str">
        <f>IF(preDEL!$AG118,IFERROR(0/0,""),preDEL!H118)</f>
        <v/>
      </c>
      <c r="I118" s="249" t="str">
        <f>IF(preDEL!$AG118,IFERROR(0/0,""),preDEL!I118)</f>
        <v/>
      </c>
      <c r="J118" s="249" t="str">
        <f>IF(preDEL!$AG118,IFERROR(0/0,""),preDEL!J118)</f>
        <v/>
      </c>
      <c r="K118" s="249" t="str">
        <f>IF(preDEL!$AG118,IFERROR(0/0,""),preDEL!K118)</f>
        <v>Negative</v>
      </c>
      <c r="L118" s="250">
        <f>IF(preDEL!$AG118,IFERROR(0/0,""),preDEL!L118)</f>
        <v>44697</v>
      </c>
      <c r="M118" s="251">
        <f>IF(preDEL!$AG118,IFERROR(0/0,""),preDEL!M118)</f>
        <v>0.3611111111</v>
      </c>
      <c r="N118" s="94" t="str">
        <f>IF(preDEL!$AG118,IFERROR(0/0,""),preDEL!N118)</f>
        <v/>
      </c>
      <c r="O118" s="94" t="str">
        <f>IF(preDEL!$AG118,IFERROR(0/0,""),preDEL!O118)</f>
        <v/>
      </c>
      <c r="P118" s="93" t="b">
        <f>IF(preDEL!$AG118,IFERROR(0/0,""),preDEL!P118)</f>
        <v>0</v>
      </c>
      <c r="Q118" s="93" t="str">
        <f>IF(preDEL!$AG118,IFERROR(0/0,""),preDEL!Q118)</f>
        <v>Result</v>
      </c>
      <c r="R118" s="99" t="b">
        <f>IF(preDEL!$AG118,IFERROR(0/0,""),preDEL!R118)</f>
        <v>1</v>
      </c>
      <c r="S118" s="99">
        <f>IF(preDEL!$AG118,IFERROR(0/0,""),preDEL!S118)</f>
        <v>4</v>
      </c>
      <c r="T118" s="93">
        <f>IF(preDEL!$AG118,IFERROR(0/0,""),preDEL!T118)</f>
        <v>2</v>
      </c>
      <c r="U118" s="94" t="str">
        <f>IF(preDEL!$AG118,IFERROR(0/0,""),preDEL!U118)</f>
        <v/>
      </c>
      <c r="V118" s="249" t="str">
        <f>IF(preDEL!$AG118,IFERROR(0/0,""),preDEL!V118)</f>
        <v/>
      </c>
      <c r="W118" s="94" t="str">
        <f>IF(preDEL!$AG118,IFERROR(0/0,""),preDEL!W118)</f>
        <v/>
      </c>
      <c r="X118" s="99" t="b">
        <f>IF(preDEL!$AG118,IFERROR(0/0,""),preDEL!X118)</f>
        <v>0</v>
      </c>
      <c r="Y118" s="93" t="str">
        <f>IF(preDEL!$AG118,IFERROR(0/0,""),preDEL!Y118)</f>
        <v/>
      </c>
      <c r="Z118" s="249" t="str">
        <f>IF(preDEL!$AG118,IFERROR(0/0,""),preDEL!Z118)</f>
        <v/>
      </c>
      <c r="AA118" s="93" t="b">
        <f>IF(preDEL!$AG118,IFERROR(0/0,""),preDEL!AA118)</f>
        <v>0</v>
      </c>
      <c r="AB118" s="93" t="str">
        <f>IF(preDEL!$AG118,IFERROR(0/0,""),preDEL!AB118)</f>
        <v/>
      </c>
      <c r="AC118" s="252">
        <f>IF(preDEL!$AG118,IFERROR(0/0,""),preDEL!AC118)</f>
        <v>139</v>
      </c>
      <c r="AD118" s="99" t="str">
        <f>IF(preDEL!$AG118,IFERROR(0/0,""),preDEL!AD118)</f>
        <v/>
      </c>
      <c r="AE118" s="253">
        <f>IF(preDEL!$AG118,IFERROR(0/0,""),preDEL!AE118)</f>
        <v>218.9833333</v>
      </c>
      <c r="AF118" s="93" t="b">
        <f>IF(preDEL!$AG118,IFERROR(0/0,""),preDEL!AF118)</f>
        <v>0</v>
      </c>
      <c r="AG118" s="93" t="b">
        <f>IF(preDEL!$AG118,IFERROR(0/0,""),preDEL!AG118)</f>
        <v>0</v>
      </c>
      <c r="AH118" s="99" t="str">
        <f>IF(preDEL!$AG118,IFERROR(0/0,""),preDEL!AH118)</f>
        <v/>
      </c>
      <c r="AI118" s="249" t="str">
        <f>IF(preDEL!$AG118,IFERROR(0/0,""),preDEL!AI118)</f>
        <v/>
      </c>
      <c r="AJ118" s="94" t="str">
        <f>IF(preDEL!$AG118,IFERROR(0/0,""),preDEL!AJ118)</f>
        <v/>
      </c>
      <c r="AK118" s="249" t="str">
        <f>IF(preDEL!$AG118,IFERROR(0/0,""),preDEL!AK118)</f>
        <v>Negative</v>
      </c>
      <c r="AL118" s="94" t="str">
        <f>IF(preDEL!$AG118,IFERROR(0/0,""),preDEL!AL118)</f>
        <v/>
      </c>
      <c r="AM118" s="94" t="str">
        <f>IF(preDEL!$AG118,IFERROR(0/0,""),preDEL!AM118)</f>
        <v>SpNDHM284552</v>
      </c>
      <c r="AN118" s="94" t="str">
        <f>IF(preDEL!$AG118,IFERROR(0/0,""),preDEL!AN118)</f>
        <v>NDHM108068</v>
      </c>
      <c r="AO118" s="94" t="str">
        <f>IF(preDEL!$AG118,IFERROR(0/0,""),preDEL!AO118)</f>
        <v/>
      </c>
      <c r="AP118" s="94" t="str">
        <f>IF(preDEL!$AG118,IFERROR(0/0,""),preDEL!AP118)</f>
        <v/>
      </c>
      <c r="AQ118" s="94" t="str">
        <f>IF(preDEL!$AG118,IFERROR(0/0,""),preDEL!AQ118)</f>
        <v/>
      </c>
      <c r="AR118" s="94" t="str">
        <f>IF(preDEL!$AG118,IFERROR(0/0,""),preDEL!AR118)</f>
        <v/>
      </c>
      <c r="AS118" s="98"/>
      <c r="BE118" s="254"/>
      <c r="BF118" s="255"/>
      <c r="BG118" s="254"/>
      <c r="BH118" s="255"/>
      <c r="BI118" s="254"/>
      <c r="BJ118" s="254"/>
      <c r="BK118" s="254"/>
      <c r="BL118" s="254"/>
      <c r="BN118" s="7"/>
      <c r="BO118" s="7"/>
      <c r="BP118" s="7"/>
      <c r="BQ118" s="7"/>
      <c r="BR118" s="7"/>
      <c r="BS118" s="7"/>
      <c r="BT118" s="7"/>
    </row>
    <row r="119">
      <c r="A119" s="249" t="str">
        <f>IF(preDEL!$AG119,IFERROR(0/0,""),preDEL!A119)</f>
        <v>AJ8977</v>
      </c>
      <c r="B119" s="250">
        <f>IF(preDEL!$AG119,IFERROR(0/0,""),preDEL!B119)</f>
        <v>44697</v>
      </c>
      <c r="C119" s="251">
        <f>IF(preDEL!$AG119,IFERROR(0/0,""),preDEL!C119)</f>
        <v>0.2090393519</v>
      </c>
      <c r="D119" s="249" t="str">
        <f>IF(preDEL!$AG119,IFERROR(0/0,""),preDEL!D119)</f>
        <v/>
      </c>
      <c r="E119" s="249" t="str">
        <f>IF(preDEL!$AG119,IFERROR(0/0,""),preDEL!E119)</f>
        <v/>
      </c>
      <c r="F119" s="94" t="str">
        <f>IF(preDEL!$AG119,IFERROR(0/0,""),preDEL!F119)</f>
        <v/>
      </c>
      <c r="G119" s="94" t="str">
        <f>IF(preDEL!$AG119,IFERROR(0/0,""),preDEL!G119)</f>
        <v/>
      </c>
      <c r="H119" s="94" t="str">
        <f>IF(preDEL!$AG119,IFERROR(0/0,""),preDEL!H119)</f>
        <v/>
      </c>
      <c r="I119" s="249" t="str">
        <f>IF(preDEL!$AG119,IFERROR(0/0,""),preDEL!I119)</f>
        <v/>
      </c>
      <c r="J119" s="249" t="str">
        <f>IF(preDEL!$AG119,IFERROR(0/0,""),preDEL!J119)</f>
        <v/>
      </c>
      <c r="K119" s="249" t="str">
        <f>IF(preDEL!$AG119,IFERROR(0/0,""),preDEL!K119)</f>
        <v>Negative</v>
      </c>
      <c r="L119" s="250">
        <f>IF(preDEL!$AG119,IFERROR(0/0,""),preDEL!L119)</f>
        <v>44697</v>
      </c>
      <c r="M119" s="251">
        <f>IF(preDEL!$AG119,IFERROR(0/0,""),preDEL!M119)</f>
        <v>0.3611111111</v>
      </c>
      <c r="N119" s="94" t="str">
        <f>IF(preDEL!$AG119,IFERROR(0/0,""),preDEL!N119)</f>
        <v/>
      </c>
      <c r="O119" s="94" t="str">
        <f>IF(preDEL!$AG119,IFERROR(0/0,""),preDEL!O119)</f>
        <v/>
      </c>
      <c r="P119" s="93" t="b">
        <f>IF(preDEL!$AG119,IFERROR(0/0,""),preDEL!P119)</f>
        <v>0</v>
      </c>
      <c r="Q119" s="93" t="str">
        <f>IF(preDEL!$AG119,IFERROR(0/0,""),preDEL!Q119)</f>
        <v>Result</v>
      </c>
      <c r="R119" s="99" t="b">
        <f>IF(preDEL!$AG119,IFERROR(0/0,""),preDEL!R119)</f>
        <v>0</v>
      </c>
      <c r="S119" s="99">
        <f>IF(preDEL!$AG119,IFERROR(0/0,""),preDEL!S119)</f>
        <v>4</v>
      </c>
      <c r="T119" s="93">
        <f>IF(preDEL!$AG119,IFERROR(0/0,""),preDEL!T119)</f>
        <v>2</v>
      </c>
      <c r="U119" s="94" t="str">
        <f>IF(preDEL!$AG119,IFERROR(0/0,""),preDEL!U119)</f>
        <v/>
      </c>
      <c r="V119" s="249" t="str">
        <f>IF(preDEL!$AG119,IFERROR(0/0,""),preDEL!V119)</f>
        <v/>
      </c>
      <c r="W119" s="94" t="str">
        <f>IF(preDEL!$AG119,IFERROR(0/0,""),preDEL!W119)</f>
        <v/>
      </c>
      <c r="X119" s="99" t="b">
        <f>IF(preDEL!$AG119,IFERROR(0/0,""),preDEL!X119)</f>
        <v>0</v>
      </c>
      <c r="Y119" s="93" t="str">
        <f>IF(preDEL!$AG119,IFERROR(0/0,""),preDEL!Y119)</f>
        <v/>
      </c>
      <c r="Z119" s="249" t="str">
        <f>IF(preDEL!$AG119,IFERROR(0/0,""),preDEL!Z119)</f>
        <v/>
      </c>
      <c r="AA119" s="93" t="b">
        <f>IF(preDEL!$AG119,IFERROR(0/0,""),preDEL!AA119)</f>
        <v>0</v>
      </c>
      <c r="AB119" s="93" t="str">
        <f>IF(preDEL!$AG119,IFERROR(0/0,""),preDEL!AB119)</f>
        <v/>
      </c>
      <c r="AC119" s="252">
        <f>IF(preDEL!$AG119,IFERROR(0/0,""),preDEL!AC119)</f>
        <v>140</v>
      </c>
      <c r="AD119" s="99" t="str">
        <f>IF(preDEL!$AG119,IFERROR(0/0,""),preDEL!AD119)</f>
        <v/>
      </c>
      <c r="AE119" s="253">
        <f>IF(preDEL!$AG119,IFERROR(0/0,""),preDEL!AE119)</f>
        <v>218.9833333</v>
      </c>
      <c r="AF119" s="93" t="b">
        <f>IF(preDEL!$AG119,IFERROR(0/0,""),preDEL!AF119)</f>
        <v>0</v>
      </c>
      <c r="AG119" s="93" t="b">
        <f>IF(preDEL!$AG119,IFERROR(0/0,""),preDEL!AG119)</f>
        <v>0</v>
      </c>
      <c r="AH119" s="99" t="str">
        <f>IF(preDEL!$AG119,IFERROR(0/0,""),preDEL!AH119)</f>
        <v/>
      </c>
      <c r="AI119" s="249" t="str">
        <f>IF(preDEL!$AG119,IFERROR(0/0,""),preDEL!AI119)</f>
        <v/>
      </c>
      <c r="AJ119" s="94" t="str">
        <f>IF(preDEL!$AG119,IFERROR(0/0,""),preDEL!AJ119)</f>
        <v/>
      </c>
      <c r="AK119" s="249" t="str">
        <f>IF(preDEL!$AG119,IFERROR(0/0,""),preDEL!AK119)</f>
        <v>Negative</v>
      </c>
      <c r="AL119" s="94" t="str">
        <f>IF(preDEL!$AG119,IFERROR(0/0,""),preDEL!AL119)</f>
        <v/>
      </c>
      <c r="AM119" s="94" t="str">
        <f>IF(preDEL!$AG119,IFERROR(0/0,""),preDEL!AM119)</f>
        <v>SpNDHM284552</v>
      </c>
      <c r="AN119" s="94" t="str">
        <f>IF(preDEL!$AG119,IFERROR(0/0,""),preDEL!AN119)</f>
        <v>NDHM114675</v>
      </c>
      <c r="AO119" s="94" t="str">
        <f>IF(preDEL!$AG119,IFERROR(0/0,""),preDEL!AO119)</f>
        <v/>
      </c>
      <c r="AP119" s="94" t="str">
        <f>IF(preDEL!$AG119,IFERROR(0/0,""),preDEL!AP119)</f>
        <v/>
      </c>
      <c r="AQ119" s="94" t="str">
        <f>IF(preDEL!$AG119,IFERROR(0/0,""),preDEL!AQ119)</f>
        <v/>
      </c>
      <c r="AR119" s="94" t="str">
        <f>IF(preDEL!$AG119,IFERROR(0/0,""),preDEL!AR119)</f>
        <v/>
      </c>
      <c r="AS119" s="98"/>
      <c r="BE119" s="254"/>
      <c r="BF119" s="255"/>
      <c r="BG119" s="254"/>
      <c r="BH119" s="255"/>
      <c r="BI119" s="254"/>
      <c r="BJ119" s="254"/>
      <c r="BK119" s="254"/>
      <c r="BL119" s="254"/>
      <c r="BN119" s="7"/>
      <c r="BO119" s="7"/>
      <c r="BP119" s="7"/>
      <c r="BQ119" s="7"/>
      <c r="BR119" s="7"/>
      <c r="BS119" s="7"/>
      <c r="BT119" s="7"/>
    </row>
    <row r="120">
      <c r="A120" s="249" t="str">
        <f>IF(preDEL!$AG120,IFERROR(0/0,""),preDEL!A120)</f>
        <v>AJ8977</v>
      </c>
      <c r="B120" s="250">
        <f>IF(preDEL!$AG120,IFERROR(0/0,""),preDEL!B120)</f>
        <v>44697</v>
      </c>
      <c r="C120" s="251">
        <f>IF(preDEL!$AG120,IFERROR(0/0,""),preDEL!C120)</f>
        <v>0.2090393519</v>
      </c>
      <c r="D120" s="249" t="str">
        <f>IF(preDEL!$AG120,IFERROR(0/0,""),preDEL!D120)</f>
        <v/>
      </c>
      <c r="E120" s="249" t="str">
        <f>IF(preDEL!$AG120,IFERROR(0/0,""),preDEL!E120)</f>
        <v/>
      </c>
      <c r="F120" s="94" t="str">
        <f>IF(preDEL!$AG120,IFERROR(0/0,""),preDEL!F120)</f>
        <v/>
      </c>
      <c r="G120" s="94" t="str">
        <f>IF(preDEL!$AG120,IFERROR(0/0,""),preDEL!G120)</f>
        <v/>
      </c>
      <c r="H120" s="94" t="str">
        <f>IF(preDEL!$AG120,IFERROR(0/0,""),preDEL!H120)</f>
        <v/>
      </c>
      <c r="I120" s="249" t="str">
        <f>IF(preDEL!$AG120,IFERROR(0/0,""),preDEL!I120)</f>
        <v/>
      </c>
      <c r="J120" s="249" t="str">
        <f>IF(preDEL!$AG120,IFERROR(0/0,""),preDEL!J120)</f>
        <v/>
      </c>
      <c r="K120" s="249" t="str">
        <f>IF(preDEL!$AG120,IFERROR(0/0,""),preDEL!K120)</f>
        <v>Negative</v>
      </c>
      <c r="L120" s="250">
        <f>IF(preDEL!$AG120,IFERROR(0/0,""),preDEL!L120)</f>
        <v>44697</v>
      </c>
      <c r="M120" s="251">
        <f>IF(preDEL!$AG120,IFERROR(0/0,""),preDEL!M120)</f>
        <v>0.3611111111</v>
      </c>
      <c r="N120" s="94" t="str">
        <f>IF(preDEL!$AG120,IFERROR(0/0,""),preDEL!N120)</f>
        <v/>
      </c>
      <c r="O120" s="94" t="str">
        <f>IF(preDEL!$AG120,IFERROR(0/0,""),preDEL!O120)</f>
        <v/>
      </c>
      <c r="P120" s="93" t="b">
        <f>IF(preDEL!$AG120,IFERROR(0/0,""),preDEL!P120)</f>
        <v>0</v>
      </c>
      <c r="Q120" s="93" t="str">
        <f>IF(preDEL!$AG120,IFERROR(0/0,""),preDEL!Q120)</f>
        <v>Result</v>
      </c>
      <c r="R120" s="99" t="b">
        <f>IF(preDEL!$AG120,IFERROR(0/0,""),preDEL!R120)</f>
        <v>0</v>
      </c>
      <c r="S120" s="99">
        <f>IF(preDEL!$AG120,IFERROR(0/0,""),preDEL!S120)</f>
        <v>4</v>
      </c>
      <c r="T120" s="93">
        <f>IF(preDEL!$AG120,IFERROR(0/0,""),preDEL!T120)</f>
        <v>2</v>
      </c>
      <c r="U120" s="94" t="str">
        <f>IF(preDEL!$AG120,IFERROR(0/0,""),preDEL!U120)</f>
        <v/>
      </c>
      <c r="V120" s="249" t="str">
        <f>IF(preDEL!$AG120,IFERROR(0/0,""),preDEL!V120)</f>
        <v/>
      </c>
      <c r="W120" s="94" t="str">
        <f>IF(preDEL!$AG120,IFERROR(0/0,""),preDEL!W120)</f>
        <v/>
      </c>
      <c r="X120" s="99" t="b">
        <f>IF(preDEL!$AG120,IFERROR(0/0,""),preDEL!X120)</f>
        <v>0</v>
      </c>
      <c r="Y120" s="93" t="str">
        <f>IF(preDEL!$AG120,IFERROR(0/0,""),preDEL!Y120)</f>
        <v/>
      </c>
      <c r="Z120" s="249" t="str">
        <f>IF(preDEL!$AG120,IFERROR(0/0,""),preDEL!Z120)</f>
        <v/>
      </c>
      <c r="AA120" s="93" t="b">
        <f>IF(preDEL!$AG120,IFERROR(0/0,""),preDEL!AA120)</f>
        <v>0</v>
      </c>
      <c r="AB120" s="93" t="str">
        <f>IF(preDEL!$AG120,IFERROR(0/0,""),preDEL!AB120)</f>
        <v/>
      </c>
      <c r="AC120" s="252">
        <f>IF(preDEL!$AG120,IFERROR(0/0,""),preDEL!AC120)</f>
        <v>139</v>
      </c>
      <c r="AD120" s="99" t="str">
        <f>IF(preDEL!$AG120,IFERROR(0/0,""),preDEL!AD120)</f>
        <v/>
      </c>
      <c r="AE120" s="253">
        <f>IF(preDEL!$AG120,IFERROR(0/0,""),preDEL!AE120)</f>
        <v>218.9833333</v>
      </c>
      <c r="AF120" s="93" t="b">
        <f>IF(preDEL!$AG120,IFERROR(0/0,""),preDEL!AF120)</f>
        <v>0</v>
      </c>
      <c r="AG120" s="93" t="b">
        <f>IF(preDEL!$AG120,IFERROR(0/0,""),preDEL!AG120)</f>
        <v>0</v>
      </c>
      <c r="AH120" s="99" t="str">
        <f>IF(preDEL!$AG120,IFERROR(0/0,""),preDEL!AH120)</f>
        <v/>
      </c>
      <c r="AI120" s="249" t="str">
        <f>IF(preDEL!$AG120,IFERROR(0/0,""),preDEL!AI120)</f>
        <v/>
      </c>
      <c r="AJ120" s="94" t="str">
        <f>IF(preDEL!$AG120,IFERROR(0/0,""),preDEL!AJ120)</f>
        <v/>
      </c>
      <c r="AK120" s="249" t="str">
        <f>IF(preDEL!$AG120,IFERROR(0/0,""),preDEL!AK120)</f>
        <v>Negative</v>
      </c>
      <c r="AL120" s="94" t="str">
        <f>IF(preDEL!$AG120,IFERROR(0/0,""),preDEL!AL120)</f>
        <v/>
      </c>
      <c r="AM120" s="94" t="str">
        <f>IF(preDEL!$AG120,IFERROR(0/0,""),preDEL!AM120)</f>
        <v>SpNDHM284552</v>
      </c>
      <c r="AN120" s="94" t="str">
        <f>IF(preDEL!$AG120,IFERROR(0/0,""),preDEL!AN120)</f>
        <v>NDHM894346</v>
      </c>
      <c r="AO120" s="94" t="str">
        <f>IF(preDEL!$AG120,IFERROR(0/0,""),preDEL!AO120)</f>
        <v/>
      </c>
      <c r="AP120" s="94" t="str">
        <f>IF(preDEL!$AG120,IFERROR(0/0,""),preDEL!AP120)</f>
        <v/>
      </c>
      <c r="AQ120" s="94" t="str">
        <f>IF(preDEL!$AG120,IFERROR(0/0,""),preDEL!AQ120)</f>
        <v/>
      </c>
      <c r="AR120" s="94" t="str">
        <f>IF(preDEL!$AG120,IFERROR(0/0,""),preDEL!AR120)</f>
        <v/>
      </c>
      <c r="AS120" s="98"/>
      <c r="BE120" s="254"/>
      <c r="BF120" s="255"/>
      <c r="BG120" s="254"/>
      <c r="BH120" s="255"/>
      <c r="BI120" s="254"/>
      <c r="BJ120" s="254"/>
      <c r="BK120" s="254"/>
      <c r="BL120" s="254"/>
      <c r="BN120" s="7"/>
      <c r="BO120" s="7"/>
      <c r="BP120" s="7"/>
      <c r="BQ120" s="7"/>
      <c r="BR120" s="7"/>
      <c r="BS120" s="7"/>
      <c r="BT120" s="7"/>
    </row>
    <row r="121">
      <c r="A121" s="249" t="str">
        <f>IF(preDEL!$AG121,IFERROR(0/0,""),preDEL!A121)</f>
        <v>AJ8977</v>
      </c>
      <c r="B121" s="250">
        <f>IF(preDEL!$AG121,IFERROR(0/0,""),preDEL!B121)</f>
        <v>44697</v>
      </c>
      <c r="C121" s="251">
        <f>IF(preDEL!$AG121,IFERROR(0/0,""),preDEL!C121)</f>
        <v>0.2090393519</v>
      </c>
      <c r="D121" s="249" t="str">
        <f>IF(preDEL!$AG121,IFERROR(0/0,""),preDEL!D121)</f>
        <v/>
      </c>
      <c r="E121" s="249" t="str">
        <f>IF(preDEL!$AG121,IFERROR(0/0,""),preDEL!E121)</f>
        <v/>
      </c>
      <c r="F121" s="94" t="str">
        <f>IF(preDEL!$AG121,IFERROR(0/0,""),preDEL!F121)</f>
        <v/>
      </c>
      <c r="G121" s="94" t="str">
        <f>IF(preDEL!$AG121,IFERROR(0/0,""),preDEL!G121)</f>
        <v/>
      </c>
      <c r="H121" s="94" t="str">
        <f>IF(preDEL!$AG121,IFERROR(0/0,""),preDEL!H121)</f>
        <v/>
      </c>
      <c r="I121" s="249" t="str">
        <f>IF(preDEL!$AG121,IFERROR(0/0,""),preDEL!I121)</f>
        <v/>
      </c>
      <c r="J121" s="249" t="str">
        <f>IF(preDEL!$AG121,IFERROR(0/0,""),preDEL!J121)</f>
        <v/>
      </c>
      <c r="K121" s="249" t="str">
        <f>IF(preDEL!$AG121,IFERROR(0/0,""),preDEL!K121)</f>
        <v>Negative</v>
      </c>
      <c r="L121" s="250">
        <f>IF(preDEL!$AG121,IFERROR(0/0,""),preDEL!L121)</f>
        <v>44697</v>
      </c>
      <c r="M121" s="251">
        <f>IF(preDEL!$AG121,IFERROR(0/0,""),preDEL!M121)</f>
        <v>0.3611111111</v>
      </c>
      <c r="N121" s="94" t="str">
        <f>IF(preDEL!$AG121,IFERROR(0/0,""),preDEL!N121)</f>
        <v/>
      </c>
      <c r="O121" s="94" t="str">
        <f>IF(preDEL!$AG121,IFERROR(0/0,""),preDEL!O121)</f>
        <v/>
      </c>
      <c r="P121" s="93" t="b">
        <f>IF(preDEL!$AG121,IFERROR(0/0,""),preDEL!P121)</f>
        <v>0</v>
      </c>
      <c r="Q121" s="93" t="str">
        <f>IF(preDEL!$AG121,IFERROR(0/0,""),preDEL!Q121)</f>
        <v>Result</v>
      </c>
      <c r="R121" s="99" t="b">
        <f>IF(preDEL!$AG121,IFERROR(0/0,""),preDEL!R121)</f>
        <v>0</v>
      </c>
      <c r="S121" s="99">
        <f>IF(preDEL!$AG121,IFERROR(0/0,""),preDEL!S121)</f>
        <v>4</v>
      </c>
      <c r="T121" s="93">
        <f>IF(preDEL!$AG121,IFERROR(0/0,""),preDEL!T121)</f>
        <v>2</v>
      </c>
      <c r="U121" s="94" t="str">
        <f>IF(preDEL!$AG121,IFERROR(0/0,""),preDEL!U121)</f>
        <v/>
      </c>
      <c r="V121" s="249" t="str">
        <f>IF(preDEL!$AG121,IFERROR(0/0,""),preDEL!V121)</f>
        <v/>
      </c>
      <c r="W121" s="94" t="str">
        <f>IF(preDEL!$AG121,IFERROR(0/0,""),preDEL!W121)</f>
        <v/>
      </c>
      <c r="X121" s="99" t="b">
        <f>IF(preDEL!$AG121,IFERROR(0/0,""),preDEL!X121)</f>
        <v>0</v>
      </c>
      <c r="Y121" s="93" t="str">
        <f>IF(preDEL!$AG121,IFERROR(0/0,""),preDEL!Y121)</f>
        <v/>
      </c>
      <c r="Z121" s="249" t="str">
        <f>IF(preDEL!$AG121,IFERROR(0/0,""),preDEL!Z121)</f>
        <v/>
      </c>
      <c r="AA121" s="93" t="b">
        <f>IF(preDEL!$AG121,IFERROR(0/0,""),preDEL!AA121)</f>
        <v>0</v>
      </c>
      <c r="AB121" s="93" t="str">
        <f>IF(preDEL!$AG121,IFERROR(0/0,""),preDEL!AB121)</f>
        <v/>
      </c>
      <c r="AC121" s="252">
        <f>IF(preDEL!$AG121,IFERROR(0/0,""),preDEL!AC121)</f>
        <v>140</v>
      </c>
      <c r="AD121" s="99" t="str">
        <f>IF(preDEL!$AG121,IFERROR(0/0,""),preDEL!AD121)</f>
        <v/>
      </c>
      <c r="AE121" s="253">
        <f>IF(preDEL!$AG121,IFERROR(0/0,""),preDEL!AE121)</f>
        <v>218.9833333</v>
      </c>
      <c r="AF121" s="93" t="b">
        <f>IF(preDEL!$AG121,IFERROR(0/0,""),preDEL!AF121)</f>
        <v>0</v>
      </c>
      <c r="AG121" s="93" t="b">
        <f>IF(preDEL!$AG121,IFERROR(0/0,""),preDEL!AG121)</f>
        <v>0</v>
      </c>
      <c r="AH121" s="99" t="str">
        <f>IF(preDEL!$AG121,IFERROR(0/0,""),preDEL!AH121)</f>
        <v/>
      </c>
      <c r="AI121" s="249" t="str">
        <f>IF(preDEL!$AG121,IFERROR(0/0,""),preDEL!AI121)</f>
        <v/>
      </c>
      <c r="AJ121" s="94" t="str">
        <f>IF(preDEL!$AG121,IFERROR(0/0,""),preDEL!AJ121)</f>
        <v/>
      </c>
      <c r="AK121" s="249" t="str">
        <f>IF(preDEL!$AG121,IFERROR(0/0,""),preDEL!AK121)</f>
        <v>Negative</v>
      </c>
      <c r="AL121" s="94" t="str">
        <f>IF(preDEL!$AG121,IFERROR(0/0,""),preDEL!AL121)</f>
        <v/>
      </c>
      <c r="AM121" s="94" t="str">
        <f>IF(preDEL!$AG121,IFERROR(0/0,""),preDEL!AM121)</f>
        <v>SpNDHM284552</v>
      </c>
      <c r="AN121" s="94" t="str">
        <f>IF(preDEL!$AG121,IFERROR(0/0,""),preDEL!AN121)</f>
        <v>NDHM142305</v>
      </c>
      <c r="AO121" s="94" t="str">
        <f>IF(preDEL!$AG121,IFERROR(0/0,""),preDEL!AO121)</f>
        <v/>
      </c>
      <c r="AP121" s="94" t="str">
        <f>IF(preDEL!$AG121,IFERROR(0/0,""),preDEL!AP121)</f>
        <v/>
      </c>
      <c r="AQ121" s="94" t="str">
        <f>IF(preDEL!$AG121,IFERROR(0/0,""),preDEL!AQ121)</f>
        <v/>
      </c>
      <c r="AR121" s="94" t="str">
        <f>IF(preDEL!$AG121,IFERROR(0/0,""),preDEL!AR121)</f>
        <v/>
      </c>
      <c r="AS121" s="98"/>
      <c r="BE121" s="254"/>
      <c r="BF121" s="255"/>
      <c r="BG121" s="254"/>
      <c r="BH121" s="255"/>
      <c r="BI121" s="254"/>
      <c r="BJ121" s="254"/>
      <c r="BK121" s="254"/>
      <c r="BL121" s="254"/>
      <c r="BN121" s="7"/>
      <c r="BO121" s="7"/>
      <c r="BP121" s="7"/>
      <c r="BQ121" s="7"/>
      <c r="BR121" s="7"/>
      <c r="BS121" s="7"/>
      <c r="BT121" s="7"/>
    </row>
    <row r="122">
      <c r="A122" s="249" t="str">
        <f>IF(preDEL!$AG122,IFERROR(0/0,""),preDEL!A122)</f>
        <v>AG570</v>
      </c>
      <c r="B122" s="250">
        <f>IF(preDEL!$AG122,IFERROR(0/0,""),preDEL!B122)</f>
        <v>44697</v>
      </c>
      <c r="C122" s="251">
        <f>IF(preDEL!$AG122,IFERROR(0/0,""),preDEL!C122)</f>
        <v>0.2689351852</v>
      </c>
      <c r="D122" s="249" t="str">
        <f>IF(preDEL!$AG122,IFERROR(0/0,""),preDEL!D122)</f>
        <v/>
      </c>
      <c r="E122" s="249" t="str">
        <f>IF(preDEL!$AG122,IFERROR(0/0,""),preDEL!E122)</f>
        <v/>
      </c>
      <c r="F122" s="94" t="str">
        <f>IF(preDEL!$AG122,IFERROR(0/0,""),preDEL!F122)</f>
        <v/>
      </c>
      <c r="G122" s="94" t="str">
        <f>IF(preDEL!$AG122,IFERROR(0/0,""),preDEL!G122)</f>
        <v/>
      </c>
      <c r="H122" s="94" t="str">
        <f>IF(preDEL!$AG122,IFERROR(0/0,""),preDEL!H122)</f>
        <v/>
      </c>
      <c r="I122" s="249" t="str">
        <f>IF(preDEL!$AG122,IFERROR(0/0,""),preDEL!I122)</f>
        <v/>
      </c>
      <c r="J122" s="249" t="str">
        <f>IF(preDEL!$AG122,IFERROR(0/0,""),preDEL!J122)</f>
        <v/>
      </c>
      <c r="K122" s="249" t="str">
        <f>IF(preDEL!$AG122,IFERROR(0/0,""),preDEL!K122)</f>
        <v>Negative</v>
      </c>
      <c r="L122" s="250">
        <f>IF(preDEL!$AG122,IFERROR(0/0,""),preDEL!L122)</f>
        <v>44697</v>
      </c>
      <c r="M122" s="251">
        <f>IF(preDEL!$AG122,IFERROR(0/0,""),preDEL!M122)</f>
        <v>0.3611111111</v>
      </c>
      <c r="N122" s="94" t="str">
        <f>IF(preDEL!$AG122,IFERROR(0/0,""),preDEL!N122)</f>
        <v/>
      </c>
      <c r="O122" s="94" t="str">
        <f>IF(preDEL!$AG122,IFERROR(0/0,""),preDEL!O122)</f>
        <v/>
      </c>
      <c r="P122" s="93" t="b">
        <f>IF(preDEL!$AG122,IFERROR(0/0,""),preDEL!P122)</f>
        <v>0</v>
      </c>
      <c r="Q122" s="93" t="str">
        <f>IF(preDEL!$AG122,IFERROR(0/0,""),preDEL!Q122)</f>
        <v>Result</v>
      </c>
      <c r="R122" s="99" t="b">
        <f>IF(preDEL!$AG122,IFERROR(0/0,""),preDEL!R122)</f>
        <v>1</v>
      </c>
      <c r="S122" s="99">
        <f>IF(preDEL!$AG122,IFERROR(0/0,""),preDEL!S122)</f>
        <v>1</v>
      </c>
      <c r="T122" s="93" t="str">
        <f>IF(preDEL!$AG122,IFERROR(0/0,""),preDEL!T122)</f>
        <v/>
      </c>
      <c r="U122" s="94" t="str">
        <f>IF(preDEL!$AG122,IFERROR(0/0,""),preDEL!U122)</f>
        <v/>
      </c>
      <c r="V122" s="249" t="str">
        <f>IF(preDEL!$AG122,IFERROR(0/0,""),preDEL!V122)</f>
        <v/>
      </c>
      <c r="W122" s="94" t="str">
        <f>IF(preDEL!$AG122,IFERROR(0/0,""),preDEL!W122)</f>
        <v/>
      </c>
      <c r="X122" s="99" t="b">
        <f>IF(preDEL!$AG122,IFERROR(0/0,""),preDEL!X122)</f>
        <v>0</v>
      </c>
      <c r="Y122" s="93" t="str">
        <f>IF(preDEL!$AG122,IFERROR(0/0,""),preDEL!Y122)</f>
        <v/>
      </c>
      <c r="Z122" s="249" t="str">
        <f>IF(preDEL!$AG122,IFERROR(0/0,""),preDEL!Z122)</f>
        <v/>
      </c>
      <c r="AA122" s="93" t="b">
        <f>IF(preDEL!$AG122,IFERROR(0/0,""),preDEL!AA122)</f>
        <v>0</v>
      </c>
      <c r="AB122" s="93" t="str">
        <f>IF(preDEL!$AG122,IFERROR(0/0,""),preDEL!AB122)</f>
        <v/>
      </c>
      <c r="AC122" s="252">
        <f>IF(preDEL!$AG122,IFERROR(0/0,""),preDEL!AC122)</f>
        <v>141</v>
      </c>
      <c r="AD122" s="99" t="str">
        <f>IF(preDEL!$AG122,IFERROR(0/0,""),preDEL!AD122)</f>
        <v/>
      </c>
      <c r="AE122" s="253">
        <f>IF(preDEL!$AG122,IFERROR(0/0,""),preDEL!AE122)</f>
        <v>132.7333333</v>
      </c>
      <c r="AF122" s="93" t="b">
        <f>IF(preDEL!$AG122,IFERROR(0/0,""),preDEL!AF122)</f>
        <v>0</v>
      </c>
      <c r="AG122" s="93" t="b">
        <f>IF(preDEL!$AG122,IFERROR(0/0,""),preDEL!AG122)</f>
        <v>0</v>
      </c>
      <c r="AH122" s="99" t="str">
        <f>IF(preDEL!$AG122,IFERROR(0/0,""),preDEL!AH122)</f>
        <v/>
      </c>
      <c r="AI122" s="249" t="str">
        <f>IF(preDEL!$AG122,IFERROR(0/0,""),preDEL!AI122)</f>
        <v/>
      </c>
      <c r="AJ122" s="94" t="str">
        <f>IF(preDEL!$AG122,IFERROR(0/0,""),preDEL!AJ122)</f>
        <v/>
      </c>
      <c r="AK122" s="249" t="str">
        <f>IF(preDEL!$AG122,IFERROR(0/0,""),preDEL!AK122)</f>
        <v>Negative</v>
      </c>
      <c r="AL122" s="94" t="str">
        <f>IF(preDEL!$AG122,IFERROR(0/0,""),preDEL!AL122)</f>
        <v/>
      </c>
      <c r="AM122" s="94" t="str">
        <f>IF(preDEL!$AG122,IFERROR(0/0,""),preDEL!AM122)</f>
        <v>SpNDHM672043</v>
      </c>
      <c r="AN122" s="94" t="str">
        <f>IF(preDEL!$AG122,IFERROR(0/0,""),preDEL!AN122)</f>
        <v>NDHM360307</v>
      </c>
      <c r="AO122" s="94" t="str">
        <f>IF(preDEL!$AG122,IFERROR(0/0,""),preDEL!AO122)</f>
        <v/>
      </c>
      <c r="AP122" s="94" t="str">
        <f>IF(preDEL!$AG122,IFERROR(0/0,""),preDEL!AP122)</f>
        <v/>
      </c>
      <c r="AQ122" s="94" t="str">
        <f>IF(preDEL!$AG122,IFERROR(0/0,""),preDEL!AQ122)</f>
        <v/>
      </c>
      <c r="AR122" s="94" t="str">
        <f>IF(preDEL!$AG122,IFERROR(0/0,""),preDEL!AR122)</f>
        <v/>
      </c>
      <c r="AS122" s="98"/>
      <c r="BE122" s="254"/>
      <c r="BF122" s="255"/>
      <c r="BG122" s="254"/>
      <c r="BH122" s="255"/>
      <c r="BI122" s="254"/>
      <c r="BJ122" s="254"/>
      <c r="BK122" s="254"/>
      <c r="BL122" s="254"/>
      <c r="BN122" s="7"/>
      <c r="BO122" s="7"/>
      <c r="BP122" s="7"/>
      <c r="BQ122" s="7"/>
      <c r="BR122" s="7"/>
      <c r="BS122" s="7"/>
      <c r="BT122" s="7"/>
    </row>
    <row r="123">
      <c r="A123" s="249" t="str">
        <f>IF(preDEL!$AG123,IFERROR(0/0,""),preDEL!A123)</f>
        <v>AH63</v>
      </c>
      <c r="B123" s="250">
        <f>IF(preDEL!$AG123,IFERROR(0/0,""),preDEL!B123)</f>
        <v>44697</v>
      </c>
      <c r="C123" s="251">
        <f>IF(preDEL!$AG123,IFERROR(0/0,""),preDEL!C123)</f>
        <v>0.3187152778</v>
      </c>
      <c r="D123" s="249" t="str">
        <f>IF(preDEL!$AG123,IFERROR(0/0,""),preDEL!D123)</f>
        <v/>
      </c>
      <c r="E123" s="249" t="str">
        <f>IF(preDEL!$AG123,IFERROR(0/0,""),preDEL!E123)</f>
        <v/>
      </c>
      <c r="F123" s="94" t="str">
        <f>IF(preDEL!$AG123,IFERROR(0/0,""),preDEL!F123)</f>
        <v/>
      </c>
      <c r="G123" s="94" t="str">
        <f>IF(preDEL!$AG123,IFERROR(0/0,""),preDEL!G123)</f>
        <v/>
      </c>
      <c r="H123" s="94" t="str">
        <f>IF(preDEL!$AG123,IFERROR(0/0,""),preDEL!H123)</f>
        <v/>
      </c>
      <c r="I123" s="249" t="str">
        <f>IF(preDEL!$AG123,IFERROR(0/0,""),preDEL!I123)</f>
        <v/>
      </c>
      <c r="J123" s="249" t="str">
        <f>IF(preDEL!$AG123,IFERROR(0/0,""),preDEL!J123)</f>
        <v/>
      </c>
      <c r="K123" s="249" t="str">
        <f>IF(preDEL!$AG123,IFERROR(0/0,""),preDEL!K123)</f>
        <v>Negative</v>
      </c>
      <c r="L123" s="250">
        <f>IF(preDEL!$AG123,IFERROR(0/0,""),preDEL!L123)</f>
        <v>44697</v>
      </c>
      <c r="M123" s="251">
        <f>IF(preDEL!$AG123,IFERROR(0/0,""),preDEL!M123)</f>
        <v>0.3611111111</v>
      </c>
      <c r="N123" s="94" t="str">
        <f>IF(preDEL!$AG123,IFERROR(0/0,""),preDEL!N123)</f>
        <v/>
      </c>
      <c r="O123" s="94" t="str">
        <f>IF(preDEL!$AG123,IFERROR(0/0,""),preDEL!O123)</f>
        <v/>
      </c>
      <c r="P123" s="93" t="b">
        <f>IF(preDEL!$AG123,IFERROR(0/0,""),preDEL!P123)</f>
        <v>0</v>
      </c>
      <c r="Q123" s="93" t="str">
        <f>IF(preDEL!$AG123,IFERROR(0/0,""),preDEL!Q123)</f>
        <v>Result</v>
      </c>
      <c r="R123" s="99" t="b">
        <f>IF(preDEL!$AG123,IFERROR(0/0,""),preDEL!R123)</f>
        <v>1</v>
      </c>
      <c r="S123" s="99">
        <f>IF(preDEL!$AG123,IFERROR(0/0,""),preDEL!S123)</f>
        <v>1</v>
      </c>
      <c r="T123" s="93">
        <f>IF(preDEL!$AG123,IFERROR(0/0,""),preDEL!T123)</f>
        <v>1</v>
      </c>
      <c r="U123" s="94" t="str">
        <f>IF(preDEL!$AG123,IFERROR(0/0,""),preDEL!U123)</f>
        <v/>
      </c>
      <c r="V123" s="249" t="str">
        <f>IF(preDEL!$AG123,IFERROR(0/0,""),preDEL!V123)</f>
        <v/>
      </c>
      <c r="W123" s="94" t="str">
        <f>IF(preDEL!$AG123,IFERROR(0/0,""),preDEL!W123)</f>
        <v/>
      </c>
      <c r="X123" s="99" t="b">
        <f>IF(preDEL!$AG123,IFERROR(0/0,""),preDEL!X123)</f>
        <v>1</v>
      </c>
      <c r="Y123" s="93" t="str">
        <f>IF(preDEL!$AG123,IFERROR(0/0,""),preDEL!Y123)</f>
        <v/>
      </c>
      <c r="Z123" s="249" t="str">
        <f>IF(preDEL!$AG123,IFERROR(0/0,""),preDEL!Z123)</f>
        <v/>
      </c>
      <c r="AA123" s="93" t="b">
        <f>IF(preDEL!$AG123,IFERROR(0/0,""),preDEL!AA123)</f>
        <v>0</v>
      </c>
      <c r="AB123" s="93" t="str">
        <f>IF(preDEL!$AG123,IFERROR(0/0,""),preDEL!AB123)</f>
        <v/>
      </c>
      <c r="AC123" s="252">
        <f>IF(preDEL!$AG123,IFERROR(0/0,""),preDEL!AC123)</f>
        <v>142</v>
      </c>
      <c r="AD123" s="99" t="str">
        <f>IF(preDEL!$AG123,IFERROR(0/0,""),preDEL!AD123)</f>
        <v/>
      </c>
      <c r="AE123" s="253">
        <f>IF(preDEL!$AG123,IFERROR(0/0,""),preDEL!AE123)</f>
        <v>61.05</v>
      </c>
      <c r="AF123" s="93" t="b">
        <f>IF(preDEL!$AG123,IFERROR(0/0,""),preDEL!AF123)</f>
        <v>0</v>
      </c>
      <c r="AG123" s="93" t="b">
        <f>IF(preDEL!$AG123,IFERROR(0/0,""),preDEL!AG123)</f>
        <v>0</v>
      </c>
      <c r="AH123" s="99" t="str">
        <f>IF(preDEL!$AG123,IFERROR(0/0,""),preDEL!AH123)</f>
        <v/>
      </c>
      <c r="AI123" s="249" t="str">
        <f>IF(preDEL!$AG123,IFERROR(0/0,""),preDEL!AI123)</f>
        <v/>
      </c>
      <c r="AJ123" s="94" t="str">
        <f>IF(preDEL!$AG123,IFERROR(0/0,""),preDEL!AJ123)</f>
        <v/>
      </c>
      <c r="AK123" s="249" t="str">
        <f>IF(preDEL!$AG123,IFERROR(0/0,""),preDEL!AK123)</f>
        <v>Negative</v>
      </c>
      <c r="AL123" s="94" t="str">
        <f>IF(preDEL!$AG123,IFERROR(0/0,""),preDEL!AL123)</f>
        <v/>
      </c>
      <c r="AM123" s="94" t="str">
        <f>IF(preDEL!$AG123,IFERROR(0/0,""),preDEL!AM123)</f>
        <v>SpNDHM122532</v>
      </c>
      <c r="AN123" s="94" t="str">
        <f>IF(preDEL!$AG123,IFERROR(0/0,""),preDEL!AN123)</f>
        <v>NDHM638263</v>
      </c>
      <c r="AO123" s="94" t="str">
        <f>IF(preDEL!$AG123,IFERROR(0/0,""),preDEL!AO123)</f>
        <v/>
      </c>
      <c r="AP123" s="94" t="str">
        <f>IF(preDEL!$AG123,IFERROR(0/0,""),preDEL!AP123)</f>
        <v/>
      </c>
      <c r="AQ123" s="94" t="str">
        <f>IF(preDEL!$AG123,IFERROR(0/0,""),preDEL!AQ123)</f>
        <v/>
      </c>
      <c r="AR123" s="94" t="str">
        <f>IF(preDEL!$AG123,IFERROR(0/0,""),preDEL!AR123)</f>
        <v/>
      </c>
      <c r="AS123" s="98"/>
      <c r="BE123" s="254"/>
      <c r="BF123" s="255"/>
      <c r="BG123" s="254"/>
      <c r="BH123" s="255"/>
      <c r="BI123" s="254"/>
      <c r="BJ123" s="254"/>
      <c r="BK123" s="254"/>
      <c r="BL123" s="254"/>
      <c r="BN123" s="7"/>
      <c r="BO123" s="7"/>
      <c r="BP123" s="7"/>
      <c r="BQ123" s="7"/>
      <c r="BR123" s="7"/>
      <c r="BS123" s="7"/>
      <c r="BT123" s="7"/>
    </row>
    <row r="124">
      <c r="A124" s="249" t="str">
        <f>IF(preDEL!$AG124,IFERROR(0/0,""),preDEL!A124)</f>
        <v>AG2159</v>
      </c>
      <c r="B124" s="250">
        <f>IF(preDEL!$AG124,IFERROR(0/0,""),preDEL!B124)</f>
        <v>44697</v>
      </c>
      <c r="C124" s="251">
        <f>IF(preDEL!$AG124,IFERROR(0/0,""),preDEL!C124)</f>
        <v>0.3221527778</v>
      </c>
      <c r="D124" s="249" t="str">
        <f>IF(preDEL!$AG124,IFERROR(0/0,""),preDEL!D124)</f>
        <v/>
      </c>
      <c r="E124" s="249" t="str">
        <f>IF(preDEL!$AG124,IFERROR(0/0,""),preDEL!E124)</f>
        <v/>
      </c>
      <c r="F124" s="94" t="str">
        <f>IF(preDEL!$AG124,IFERROR(0/0,""),preDEL!F124)</f>
        <v/>
      </c>
      <c r="G124" s="94" t="str">
        <f>IF(preDEL!$AG124,IFERROR(0/0,""),preDEL!G124)</f>
        <v/>
      </c>
      <c r="H124" s="94" t="str">
        <f>IF(preDEL!$AG124,IFERROR(0/0,""),preDEL!H124)</f>
        <v/>
      </c>
      <c r="I124" s="249" t="str">
        <f>IF(preDEL!$AG124,IFERROR(0/0,""),preDEL!I124)</f>
        <v/>
      </c>
      <c r="J124" s="249" t="str">
        <f>IF(preDEL!$AG124,IFERROR(0/0,""),preDEL!J124)</f>
        <v/>
      </c>
      <c r="K124" s="249" t="str">
        <f>IF(preDEL!$AG124,IFERROR(0/0,""),preDEL!K124)</f>
        <v>Negative</v>
      </c>
      <c r="L124" s="250">
        <f>IF(preDEL!$AG124,IFERROR(0/0,""),preDEL!L124)</f>
        <v>44697</v>
      </c>
      <c r="M124" s="251">
        <f>IF(preDEL!$AG124,IFERROR(0/0,""),preDEL!M124)</f>
        <v>0.3611226852</v>
      </c>
      <c r="N124" s="94" t="str">
        <f>IF(preDEL!$AG124,IFERROR(0/0,""),preDEL!N124)</f>
        <v/>
      </c>
      <c r="O124" s="94" t="str">
        <f>IF(preDEL!$AG124,IFERROR(0/0,""),preDEL!O124)</f>
        <v/>
      </c>
      <c r="P124" s="93" t="b">
        <f>IF(preDEL!$AG124,IFERROR(0/0,""),preDEL!P124)</f>
        <v>0</v>
      </c>
      <c r="Q124" s="93" t="str">
        <f>IF(preDEL!$AG124,IFERROR(0/0,""),preDEL!Q124)</f>
        <v>Result</v>
      </c>
      <c r="R124" s="99" t="b">
        <f>IF(preDEL!$AG124,IFERROR(0/0,""),preDEL!R124)</f>
        <v>1</v>
      </c>
      <c r="S124" s="99">
        <f>IF(preDEL!$AG124,IFERROR(0/0,""),preDEL!S124)</f>
        <v>3</v>
      </c>
      <c r="T124" s="93" t="str">
        <f>IF(preDEL!$AG124,IFERROR(0/0,""),preDEL!T124)</f>
        <v/>
      </c>
      <c r="U124" s="94" t="str">
        <f>IF(preDEL!$AG124,IFERROR(0/0,""),preDEL!U124)</f>
        <v/>
      </c>
      <c r="V124" s="249" t="str">
        <f>IF(preDEL!$AG124,IFERROR(0/0,""),preDEL!V124)</f>
        <v/>
      </c>
      <c r="W124" s="94" t="str">
        <f>IF(preDEL!$AG124,IFERROR(0/0,""),preDEL!W124)</f>
        <v/>
      </c>
      <c r="X124" s="99" t="b">
        <f>IF(preDEL!$AG124,IFERROR(0/0,""),preDEL!X124)</f>
        <v>0</v>
      </c>
      <c r="Y124" s="93" t="str">
        <f>IF(preDEL!$AG124,IFERROR(0/0,""),preDEL!Y124)</f>
        <v/>
      </c>
      <c r="Z124" s="249" t="str">
        <f>IF(preDEL!$AG124,IFERROR(0/0,""),preDEL!Z124)</f>
        <v/>
      </c>
      <c r="AA124" s="93" t="b">
        <f>IF(preDEL!$AG124,IFERROR(0/0,""),preDEL!AA124)</f>
        <v>0</v>
      </c>
      <c r="AB124" s="93" t="str">
        <f>IF(preDEL!$AG124,IFERROR(0/0,""),preDEL!AB124)</f>
        <v/>
      </c>
      <c r="AC124" s="252">
        <f>IF(preDEL!$AG124,IFERROR(0/0,""),preDEL!AC124)</f>
        <v>144</v>
      </c>
      <c r="AD124" s="99" t="str">
        <f>IF(preDEL!$AG124,IFERROR(0/0,""),preDEL!AD124)</f>
        <v/>
      </c>
      <c r="AE124" s="253">
        <f>IF(preDEL!$AG124,IFERROR(0/0,""),preDEL!AE124)</f>
        <v>56.11666667</v>
      </c>
      <c r="AF124" s="93" t="b">
        <f>IF(preDEL!$AG124,IFERROR(0/0,""),preDEL!AF124)</f>
        <v>0</v>
      </c>
      <c r="AG124" s="93" t="b">
        <f>IF(preDEL!$AG124,IFERROR(0/0,""),preDEL!AG124)</f>
        <v>0</v>
      </c>
      <c r="AH124" s="99" t="str">
        <f>IF(preDEL!$AG124,IFERROR(0/0,""),preDEL!AH124)</f>
        <v/>
      </c>
      <c r="AI124" s="249" t="str">
        <f>IF(preDEL!$AG124,IFERROR(0/0,""),preDEL!AI124)</f>
        <v/>
      </c>
      <c r="AJ124" s="94" t="str">
        <f>IF(preDEL!$AG124,IFERROR(0/0,""),preDEL!AJ124)</f>
        <v/>
      </c>
      <c r="AK124" s="249" t="str">
        <f>IF(preDEL!$AG124,IFERROR(0/0,""),preDEL!AK124)</f>
        <v>Negative</v>
      </c>
      <c r="AL124" s="94" t="str">
        <f>IF(preDEL!$AG124,IFERROR(0/0,""),preDEL!AL124)</f>
        <v/>
      </c>
      <c r="AM124" s="94" t="str">
        <f>IF(preDEL!$AG124,IFERROR(0/0,""),preDEL!AM124)</f>
        <v>SpNDHM957722</v>
      </c>
      <c r="AN124" s="94" t="str">
        <f>IF(preDEL!$AG124,IFERROR(0/0,""),preDEL!AN124)</f>
        <v>NDHM436958</v>
      </c>
      <c r="AO124" s="94" t="str">
        <f>IF(preDEL!$AG124,IFERROR(0/0,""),preDEL!AO124)</f>
        <v/>
      </c>
      <c r="AP124" s="94" t="str">
        <f>IF(preDEL!$AG124,IFERROR(0/0,""),preDEL!AP124)</f>
        <v/>
      </c>
      <c r="AQ124" s="94" t="str">
        <f>IF(preDEL!$AG124,IFERROR(0/0,""),preDEL!AQ124)</f>
        <v/>
      </c>
      <c r="AR124" s="94" t="str">
        <f>IF(preDEL!$AG124,IFERROR(0/0,""),preDEL!AR124)</f>
        <v/>
      </c>
      <c r="AS124" s="98"/>
      <c r="BE124" s="254"/>
      <c r="BF124" s="255"/>
      <c r="BG124" s="254"/>
      <c r="BH124" s="255"/>
      <c r="BI124" s="254"/>
      <c r="BJ124" s="254"/>
      <c r="BK124" s="254"/>
      <c r="BL124" s="254"/>
      <c r="BN124" s="7"/>
      <c r="BO124" s="7"/>
      <c r="BP124" s="7"/>
      <c r="BQ124" s="7"/>
      <c r="BR124" s="7"/>
      <c r="BS124" s="7"/>
      <c r="BT124" s="7"/>
    </row>
    <row r="125">
      <c r="A125" s="249" t="str">
        <f>IF(preDEL!$AG125,IFERROR(0/0,""),preDEL!A125)</f>
        <v>AG2159</v>
      </c>
      <c r="B125" s="250">
        <f>IF(preDEL!$AG125,IFERROR(0/0,""),preDEL!B125)</f>
        <v>44697</v>
      </c>
      <c r="C125" s="251">
        <f>IF(preDEL!$AG125,IFERROR(0/0,""),preDEL!C125)</f>
        <v>0.3221527778</v>
      </c>
      <c r="D125" s="249" t="str">
        <f>IF(preDEL!$AG125,IFERROR(0/0,""),preDEL!D125)</f>
        <v/>
      </c>
      <c r="E125" s="249" t="str">
        <f>IF(preDEL!$AG125,IFERROR(0/0,""),preDEL!E125)</f>
        <v/>
      </c>
      <c r="F125" s="94" t="str">
        <f>IF(preDEL!$AG125,IFERROR(0/0,""),preDEL!F125)</f>
        <v/>
      </c>
      <c r="G125" s="94" t="str">
        <f>IF(preDEL!$AG125,IFERROR(0/0,""),preDEL!G125)</f>
        <v/>
      </c>
      <c r="H125" s="94" t="str">
        <f>IF(preDEL!$AG125,IFERROR(0/0,""),preDEL!H125)</f>
        <v/>
      </c>
      <c r="I125" s="249" t="str">
        <f>IF(preDEL!$AG125,IFERROR(0/0,""),preDEL!I125)</f>
        <v/>
      </c>
      <c r="J125" s="249" t="str">
        <f>IF(preDEL!$AG125,IFERROR(0/0,""),preDEL!J125)</f>
        <v/>
      </c>
      <c r="K125" s="249" t="str">
        <f>IF(preDEL!$AG125,IFERROR(0/0,""),preDEL!K125)</f>
        <v>Negative</v>
      </c>
      <c r="L125" s="250">
        <f>IF(preDEL!$AG125,IFERROR(0/0,""),preDEL!L125)</f>
        <v>44697</v>
      </c>
      <c r="M125" s="251">
        <f>IF(preDEL!$AG125,IFERROR(0/0,""),preDEL!M125)</f>
        <v>0.3611226852</v>
      </c>
      <c r="N125" s="94" t="str">
        <f>IF(preDEL!$AG125,IFERROR(0/0,""),preDEL!N125)</f>
        <v/>
      </c>
      <c r="O125" s="94" t="str">
        <f>IF(preDEL!$AG125,IFERROR(0/0,""),preDEL!O125)</f>
        <v/>
      </c>
      <c r="P125" s="93" t="b">
        <f>IF(preDEL!$AG125,IFERROR(0/0,""),preDEL!P125)</f>
        <v>0</v>
      </c>
      <c r="Q125" s="93" t="str">
        <f>IF(preDEL!$AG125,IFERROR(0/0,""),preDEL!Q125)</f>
        <v>Result</v>
      </c>
      <c r="R125" s="99" t="b">
        <f>IF(preDEL!$AG125,IFERROR(0/0,""),preDEL!R125)</f>
        <v>0</v>
      </c>
      <c r="S125" s="99">
        <f>IF(preDEL!$AG125,IFERROR(0/0,""),preDEL!S125)</f>
        <v>3</v>
      </c>
      <c r="T125" s="93" t="str">
        <f>IF(preDEL!$AG125,IFERROR(0/0,""),preDEL!T125)</f>
        <v/>
      </c>
      <c r="U125" s="94" t="str">
        <f>IF(preDEL!$AG125,IFERROR(0/0,""),preDEL!U125)</f>
        <v/>
      </c>
      <c r="V125" s="249" t="str">
        <f>IF(preDEL!$AG125,IFERROR(0/0,""),preDEL!V125)</f>
        <v/>
      </c>
      <c r="W125" s="94" t="str">
        <f>IF(preDEL!$AG125,IFERROR(0/0,""),preDEL!W125)</f>
        <v/>
      </c>
      <c r="X125" s="99" t="b">
        <f>IF(preDEL!$AG125,IFERROR(0/0,""),preDEL!X125)</f>
        <v>0</v>
      </c>
      <c r="Y125" s="93" t="str">
        <f>IF(preDEL!$AG125,IFERROR(0/0,""),preDEL!Y125)</f>
        <v/>
      </c>
      <c r="Z125" s="249" t="str">
        <f>IF(preDEL!$AG125,IFERROR(0/0,""),preDEL!Z125)</f>
        <v/>
      </c>
      <c r="AA125" s="93" t="b">
        <f>IF(preDEL!$AG125,IFERROR(0/0,""),preDEL!AA125)</f>
        <v>0</v>
      </c>
      <c r="AB125" s="93" t="str">
        <f>IF(preDEL!$AG125,IFERROR(0/0,""),preDEL!AB125)</f>
        <v/>
      </c>
      <c r="AC125" s="252">
        <f>IF(preDEL!$AG125,IFERROR(0/0,""),preDEL!AC125)</f>
        <v>145</v>
      </c>
      <c r="AD125" s="99" t="str">
        <f>IF(preDEL!$AG125,IFERROR(0/0,""),preDEL!AD125)</f>
        <v/>
      </c>
      <c r="AE125" s="253">
        <f>IF(preDEL!$AG125,IFERROR(0/0,""),preDEL!AE125)</f>
        <v>56.11666667</v>
      </c>
      <c r="AF125" s="93" t="b">
        <f>IF(preDEL!$AG125,IFERROR(0/0,""),preDEL!AF125)</f>
        <v>0</v>
      </c>
      <c r="AG125" s="93" t="b">
        <f>IF(preDEL!$AG125,IFERROR(0/0,""),preDEL!AG125)</f>
        <v>0</v>
      </c>
      <c r="AH125" s="99" t="str">
        <f>IF(preDEL!$AG125,IFERROR(0/0,""),preDEL!AH125)</f>
        <v/>
      </c>
      <c r="AI125" s="249" t="str">
        <f>IF(preDEL!$AG125,IFERROR(0/0,""),preDEL!AI125)</f>
        <v/>
      </c>
      <c r="AJ125" s="94" t="str">
        <f>IF(preDEL!$AG125,IFERROR(0/0,""),preDEL!AJ125)</f>
        <v/>
      </c>
      <c r="AK125" s="249" t="str">
        <f>IF(preDEL!$AG125,IFERROR(0/0,""),preDEL!AK125)</f>
        <v>Negative</v>
      </c>
      <c r="AL125" s="94" t="str">
        <f>IF(preDEL!$AG125,IFERROR(0/0,""),preDEL!AL125)</f>
        <v/>
      </c>
      <c r="AM125" s="94" t="str">
        <f>IF(preDEL!$AG125,IFERROR(0/0,""),preDEL!AM125)</f>
        <v>SpNDHM957722</v>
      </c>
      <c r="AN125" s="94" t="str">
        <f>IF(preDEL!$AG125,IFERROR(0/0,""),preDEL!AN125)</f>
        <v>NDHM784418</v>
      </c>
      <c r="AO125" s="94" t="str">
        <f>IF(preDEL!$AG125,IFERROR(0/0,""),preDEL!AO125)</f>
        <v/>
      </c>
      <c r="AP125" s="94" t="str">
        <f>IF(preDEL!$AG125,IFERROR(0/0,""),preDEL!AP125)</f>
        <v/>
      </c>
      <c r="AQ125" s="94" t="str">
        <f>IF(preDEL!$AG125,IFERROR(0/0,""),preDEL!AQ125)</f>
        <v/>
      </c>
      <c r="AR125" s="94" t="str">
        <f>IF(preDEL!$AG125,IFERROR(0/0,""),preDEL!AR125)</f>
        <v/>
      </c>
      <c r="AS125" s="98"/>
      <c r="BE125" s="254"/>
      <c r="BF125" s="255"/>
      <c r="BG125" s="254"/>
      <c r="BH125" s="255"/>
      <c r="BI125" s="254"/>
      <c r="BJ125" s="254"/>
      <c r="BK125" s="254"/>
      <c r="BL125" s="254"/>
      <c r="BN125" s="7"/>
      <c r="BO125" s="7"/>
      <c r="BP125" s="7"/>
      <c r="BQ125" s="7"/>
      <c r="BR125" s="7"/>
      <c r="BS125" s="7"/>
      <c r="BT125" s="7"/>
    </row>
    <row r="126">
      <c r="A126" s="249" t="str">
        <f>IF(preDEL!$AG126,IFERROR(0/0,""),preDEL!A126)</f>
        <v>AG2159</v>
      </c>
      <c r="B126" s="250">
        <f>IF(preDEL!$AG126,IFERROR(0/0,""),preDEL!B126)</f>
        <v>44697</v>
      </c>
      <c r="C126" s="251">
        <f>IF(preDEL!$AG126,IFERROR(0/0,""),preDEL!C126)</f>
        <v>0.3221527778</v>
      </c>
      <c r="D126" s="249" t="str">
        <f>IF(preDEL!$AG126,IFERROR(0/0,""),preDEL!D126)</f>
        <v/>
      </c>
      <c r="E126" s="249" t="str">
        <f>IF(preDEL!$AG126,IFERROR(0/0,""),preDEL!E126)</f>
        <v/>
      </c>
      <c r="F126" s="94" t="str">
        <f>IF(preDEL!$AG126,IFERROR(0/0,""),preDEL!F126)</f>
        <v/>
      </c>
      <c r="G126" s="94" t="str">
        <f>IF(preDEL!$AG126,IFERROR(0/0,""),preDEL!G126)</f>
        <v/>
      </c>
      <c r="H126" s="94" t="str">
        <f>IF(preDEL!$AG126,IFERROR(0/0,""),preDEL!H126)</f>
        <v/>
      </c>
      <c r="I126" s="249" t="str">
        <f>IF(preDEL!$AG126,IFERROR(0/0,""),preDEL!I126)</f>
        <v/>
      </c>
      <c r="J126" s="249" t="str">
        <f>IF(preDEL!$AG126,IFERROR(0/0,""),preDEL!J126)</f>
        <v/>
      </c>
      <c r="K126" s="249" t="str">
        <f>IF(preDEL!$AG126,IFERROR(0/0,""),preDEL!K126)</f>
        <v>Negative</v>
      </c>
      <c r="L126" s="250">
        <f>IF(preDEL!$AG126,IFERROR(0/0,""),preDEL!L126)</f>
        <v>44697</v>
      </c>
      <c r="M126" s="251">
        <f>IF(preDEL!$AG126,IFERROR(0/0,""),preDEL!M126)</f>
        <v>0.3611226852</v>
      </c>
      <c r="N126" s="94" t="str">
        <f>IF(preDEL!$AG126,IFERROR(0/0,""),preDEL!N126)</f>
        <v/>
      </c>
      <c r="O126" s="94" t="str">
        <f>IF(preDEL!$AG126,IFERROR(0/0,""),preDEL!O126)</f>
        <v/>
      </c>
      <c r="P126" s="93" t="b">
        <f>IF(preDEL!$AG126,IFERROR(0/0,""),preDEL!P126)</f>
        <v>0</v>
      </c>
      <c r="Q126" s="93" t="str">
        <f>IF(preDEL!$AG126,IFERROR(0/0,""),preDEL!Q126)</f>
        <v>Result</v>
      </c>
      <c r="R126" s="99" t="b">
        <f>IF(preDEL!$AG126,IFERROR(0/0,""),preDEL!R126)</f>
        <v>0</v>
      </c>
      <c r="S126" s="99">
        <f>IF(preDEL!$AG126,IFERROR(0/0,""),preDEL!S126)</f>
        <v>3</v>
      </c>
      <c r="T126" s="93" t="str">
        <f>IF(preDEL!$AG126,IFERROR(0/0,""),preDEL!T126)</f>
        <v/>
      </c>
      <c r="U126" s="94" t="str">
        <f>IF(preDEL!$AG126,IFERROR(0/0,""),preDEL!U126)</f>
        <v/>
      </c>
      <c r="V126" s="249" t="str">
        <f>IF(preDEL!$AG126,IFERROR(0/0,""),preDEL!V126)</f>
        <v/>
      </c>
      <c r="W126" s="94" t="str">
        <f>IF(preDEL!$AG126,IFERROR(0/0,""),preDEL!W126)</f>
        <v/>
      </c>
      <c r="X126" s="99" t="b">
        <f>IF(preDEL!$AG126,IFERROR(0/0,""),preDEL!X126)</f>
        <v>0</v>
      </c>
      <c r="Y126" s="93" t="str">
        <f>IF(preDEL!$AG126,IFERROR(0/0,""),preDEL!Y126)</f>
        <v/>
      </c>
      <c r="Z126" s="249" t="str">
        <f>IF(preDEL!$AG126,IFERROR(0/0,""),preDEL!Z126)</f>
        <v/>
      </c>
      <c r="AA126" s="93" t="b">
        <f>IF(preDEL!$AG126,IFERROR(0/0,""),preDEL!AA126)</f>
        <v>0</v>
      </c>
      <c r="AB126" s="93" t="str">
        <f>IF(preDEL!$AG126,IFERROR(0/0,""),preDEL!AB126)</f>
        <v/>
      </c>
      <c r="AC126" s="252">
        <f>IF(preDEL!$AG126,IFERROR(0/0,""),preDEL!AC126)</f>
        <v>143</v>
      </c>
      <c r="AD126" s="99" t="str">
        <f>IF(preDEL!$AG126,IFERROR(0/0,""),preDEL!AD126)</f>
        <v/>
      </c>
      <c r="AE126" s="253">
        <f>IF(preDEL!$AG126,IFERROR(0/0,""),preDEL!AE126)</f>
        <v>56.11666667</v>
      </c>
      <c r="AF126" s="93" t="b">
        <f>IF(preDEL!$AG126,IFERROR(0/0,""),preDEL!AF126)</f>
        <v>0</v>
      </c>
      <c r="AG126" s="93" t="b">
        <f>IF(preDEL!$AG126,IFERROR(0/0,""),preDEL!AG126)</f>
        <v>0</v>
      </c>
      <c r="AH126" s="99" t="str">
        <f>IF(preDEL!$AG126,IFERROR(0/0,""),preDEL!AH126)</f>
        <v/>
      </c>
      <c r="AI126" s="249" t="str">
        <f>IF(preDEL!$AG126,IFERROR(0/0,""),preDEL!AI126)</f>
        <v/>
      </c>
      <c r="AJ126" s="94" t="str">
        <f>IF(preDEL!$AG126,IFERROR(0/0,""),preDEL!AJ126)</f>
        <v/>
      </c>
      <c r="AK126" s="249" t="str">
        <f>IF(preDEL!$AG126,IFERROR(0/0,""),preDEL!AK126)</f>
        <v>Negative</v>
      </c>
      <c r="AL126" s="94" t="str">
        <f>IF(preDEL!$AG126,IFERROR(0/0,""),preDEL!AL126)</f>
        <v/>
      </c>
      <c r="AM126" s="94" t="str">
        <f>IF(preDEL!$AG126,IFERROR(0/0,""),preDEL!AM126)</f>
        <v>SpNDHM957722</v>
      </c>
      <c r="AN126" s="94" t="str">
        <f>IF(preDEL!$AG126,IFERROR(0/0,""),preDEL!AN126)</f>
        <v>NDHM730614</v>
      </c>
      <c r="AO126" s="94" t="str">
        <f>IF(preDEL!$AG126,IFERROR(0/0,""),preDEL!AO126)</f>
        <v/>
      </c>
      <c r="AP126" s="94" t="str">
        <f>IF(preDEL!$AG126,IFERROR(0/0,""),preDEL!AP126)</f>
        <v/>
      </c>
      <c r="AQ126" s="94" t="str">
        <f>IF(preDEL!$AG126,IFERROR(0/0,""),preDEL!AQ126)</f>
        <v/>
      </c>
      <c r="AR126" s="94" t="str">
        <f>IF(preDEL!$AG126,IFERROR(0/0,""),preDEL!AR126)</f>
        <v/>
      </c>
      <c r="AS126" s="98"/>
      <c r="BE126" s="254"/>
      <c r="BF126" s="255"/>
      <c r="BG126" s="254"/>
      <c r="BH126" s="255"/>
      <c r="BI126" s="254"/>
      <c r="BJ126" s="254"/>
      <c r="BK126" s="254"/>
      <c r="BL126" s="254"/>
      <c r="BN126" s="7"/>
      <c r="BO126" s="7"/>
      <c r="BP126" s="7"/>
      <c r="BQ126" s="7"/>
      <c r="BR126" s="7"/>
      <c r="BS126" s="7"/>
      <c r="BT126" s="7"/>
    </row>
    <row r="127">
      <c r="A127" s="249" t="str">
        <f>IF(preDEL!$AG127,IFERROR(0/0,""),preDEL!A127)</f>
        <v/>
      </c>
      <c r="B127" s="250" t="str">
        <f>IF(preDEL!$AG127,IFERROR(0/0,""),preDEL!B127)</f>
        <v/>
      </c>
      <c r="C127" s="251" t="str">
        <f>IF(preDEL!$AG127,IFERROR(0/0,""),preDEL!C127)</f>
        <v/>
      </c>
      <c r="D127" s="249" t="str">
        <f>IF(preDEL!$AG127,IFERROR(0/0,""),preDEL!D127)</f>
        <v/>
      </c>
      <c r="E127" s="249" t="str">
        <f>IF(preDEL!$AG127,IFERROR(0/0,""),preDEL!E127)</f>
        <v/>
      </c>
      <c r="F127" s="94" t="str">
        <f>IF(preDEL!$AG127,IFERROR(0/0,""),preDEL!F127)</f>
        <v/>
      </c>
      <c r="G127" s="94" t="str">
        <f>IF(preDEL!$AG127,IFERROR(0/0,""),preDEL!G127)</f>
        <v/>
      </c>
      <c r="H127" s="94" t="str">
        <f>IF(preDEL!$AG127,IFERROR(0/0,""),preDEL!H127)</f>
        <v/>
      </c>
      <c r="I127" s="249" t="str">
        <f>IF(preDEL!$AG127,IFERROR(0/0,""),preDEL!I127)</f>
        <v/>
      </c>
      <c r="J127" s="249" t="str">
        <f>IF(preDEL!$AG127,IFERROR(0/0,""),preDEL!J127)</f>
        <v/>
      </c>
      <c r="K127" s="249" t="str">
        <f>IF(preDEL!$AG127,IFERROR(0/0,""),preDEL!K127)</f>
        <v/>
      </c>
      <c r="L127" s="250" t="str">
        <f>IF(preDEL!$AG127,IFERROR(0/0,""),preDEL!L127)</f>
        <v/>
      </c>
      <c r="M127" s="251" t="str">
        <f>IF(preDEL!$AG127,IFERROR(0/0,""),preDEL!M127)</f>
        <v/>
      </c>
      <c r="N127" s="94" t="str">
        <f>IF(preDEL!$AG127,IFERROR(0/0,""),preDEL!N127)</f>
        <v/>
      </c>
      <c r="O127" s="94" t="str">
        <f>IF(preDEL!$AG127,IFERROR(0/0,""),preDEL!O127)</f>
        <v/>
      </c>
      <c r="P127" s="93" t="str">
        <f>IF(preDEL!$AG127,IFERROR(0/0,""),preDEL!P127)</f>
        <v/>
      </c>
      <c r="Q127" s="93" t="str">
        <f>IF(preDEL!$AG127,IFERROR(0/0,""),preDEL!Q127)</f>
        <v/>
      </c>
      <c r="R127" s="99" t="str">
        <f>IF(preDEL!$AG127,IFERROR(0/0,""),preDEL!R127)</f>
        <v/>
      </c>
      <c r="S127" s="99" t="str">
        <f>IF(preDEL!$AG127,IFERROR(0/0,""),preDEL!S127)</f>
        <v/>
      </c>
      <c r="T127" s="93" t="str">
        <f>IF(preDEL!$AG127,IFERROR(0/0,""),preDEL!T127)</f>
        <v/>
      </c>
      <c r="U127" s="94" t="str">
        <f>IF(preDEL!$AG127,IFERROR(0/0,""),preDEL!U127)</f>
        <v/>
      </c>
      <c r="V127" s="249" t="str">
        <f>IF(preDEL!$AG127,IFERROR(0/0,""),preDEL!V127)</f>
        <v/>
      </c>
      <c r="W127" s="94" t="str">
        <f>IF(preDEL!$AG127,IFERROR(0/0,""),preDEL!W127)</f>
        <v/>
      </c>
      <c r="X127" s="99" t="str">
        <f>IF(preDEL!$AG127,IFERROR(0/0,""),preDEL!X127)</f>
        <v/>
      </c>
      <c r="Y127" s="93" t="str">
        <f>IF(preDEL!$AG127,IFERROR(0/0,""),preDEL!Y127)</f>
        <v/>
      </c>
      <c r="Z127" s="249" t="str">
        <f>IF(preDEL!$AG127,IFERROR(0/0,""),preDEL!Z127)</f>
        <v/>
      </c>
      <c r="AA127" s="93" t="str">
        <f>IF(preDEL!$AG127,IFERROR(0/0,""),preDEL!AA127)</f>
        <v/>
      </c>
      <c r="AB127" s="93" t="str">
        <f>IF(preDEL!$AG127,IFERROR(0/0,""),preDEL!AB127)</f>
        <v/>
      </c>
      <c r="AC127" s="252" t="str">
        <f>IF(preDEL!$AG127,IFERROR(0/0,""),preDEL!AC127)</f>
        <v/>
      </c>
      <c r="AD127" s="99" t="str">
        <f>IF(preDEL!$AG127,IFERROR(0/0,""),preDEL!AD127)</f>
        <v/>
      </c>
      <c r="AE127" s="253" t="str">
        <f>IF(preDEL!$AG127,IFERROR(0/0,""),preDEL!AE127)</f>
        <v/>
      </c>
      <c r="AF127" s="93" t="str">
        <f>IF(preDEL!$AG127,IFERROR(0/0,""),preDEL!AF127)</f>
        <v/>
      </c>
      <c r="AG127" s="93" t="str">
        <f>IF(preDEL!$AG127,IFERROR(0/0,""),preDEL!AG127)</f>
        <v/>
      </c>
      <c r="AH127" s="99" t="str">
        <f>IF(preDEL!$AG127,IFERROR(0/0,""),preDEL!AH127)</f>
        <v/>
      </c>
      <c r="AI127" s="249" t="str">
        <f>IF(preDEL!$AG127,IFERROR(0/0,""),preDEL!AI127)</f>
        <v/>
      </c>
      <c r="AJ127" s="94" t="str">
        <f>IF(preDEL!$AG127,IFERROR(0/0,""),preDEL!AJ127)</f>
        <v/>
      </c>
      <c r="AK127" s="249" t="str">
        <f>IF(preDEL!$AG127,IFERROR(0/0,""),preDEL!AK127)</f>
        <v/>
      </c>
      <c r="AL127" s="94" t="str">
        <f>IF(preDEL!$AG127,IFERROR(0/0,""),preDEL!AL127)</f>
        <v/>
      </c>
      <c r="AM127" s="94" t="str">
        <f>IF(preDEL!$AG127,IFERROR(0/0,""),preDEL!AM127)</f>
        <v/>
      </c>
      <c r="AN127" s="94" t="str">
        <f>IF(preDEL!$AG127,IFERROR(0/0,""),preDEL!AN127)</f>
        <v/>
      </c>
      <c r="AO127" s="94" t="str">
        <f>IF(preDEL!$AG127,IFERROR(0/0,""),preDEL!AO127)</f>
        <v/>
      </c>
      <c r="AP127" s="94" t="str">
        <f>IF(preDEL!$AG127,IFERROR(0/0,""),preDEL!AP127)</f>
        <v/>
      </c>
      <c r="AQ127" s="94" t="str">
        <f>IF(preDEL!$AG127,IFERROR(0/0,""),preDEL!AQ127)</f>
        <v/>
      </c>
      <c r="AR127" s="94" t="str">
        <f>IF(preDEL!$AG127,IFERROR(0/0,""),preDEL!AR127)</f>
        <v/>
      </c>
      <c r="AS127" s="98"/>
      <c r="BE127" s="254"/>
      <c r="BF127" s="255"/>
      <c r="BG127" s="254"/>
      <c r="BH127" s="255"/>
      <c r="BI127" s="254"/>
      <c r="BJ127" s="254"/>
      <c r="BK127" s="254"/>
      <c r="BL127" s="254"/>
      <c r="BN127" s="7"/>
      <c r="BO127" s="7"/>
      <c r="BP127" s="7"/>
      <c r="BQ127" s="7"/>
      <c r="BR127" s="7"/>
      <c r="BS127" s="7"/>
      <c r="BT127" s="7"/>
    </row>
    <row r="128">
      <c r="A128" s="249" t="str">
        <f>IF(preDEL!$AG128,IFERROR(0/0,""),preDEL!A128)</f>
        <v/>
      </c>
      <c r="B128" s="250" t="str">
        <f>IF(preDEL!$AG128,IFERROR(0/0,""),preDEL!B128)</f>
        <v/>
      </c>
      <c r="C128" s="251" t="str">
        <f>IF(preDEL!$AG128,IFERROR(0/0,""),preDEL!C128)</f>
        <v/>
      </c>
      <c r="D128" s="249" t="str">
        <f>IF(preDEL!$AG128,IFERROR(0/0,""),preDEL!D128)</f>
        <v/>
      </c>
      <c r="E128" s="249" t="str">
        <f>IF(preDEL!$AG128,IFERROR(0/0,""),preDEL!E128)</f>
        <v/>
      </c>
      <c r="F128" s="94" t="str">
        <f>IF(preDEL!$AG128,IFERROR(0/0,""),preDEL!F128)</f>
        <v/>
      </c>
      <c r="G128" s="94" t="str">
        <f>IF(preDEL!$AG128,IFERROR(0/0,""),preDEL!G128)</f>
        <v/>
      </c>
      <c r="H128" s="94" t="str">
        <f>IF(preDEL!$AG128,IFERROR(0/0,""),preDEL!H128)</f>
        <v/>
      </c>
      <c r="I128" s="249" t="str">
        <f>IF(preDEL!$AG128,IFERROR(0/0,""),preDEL!I128)</f>
        <v/>
      </c>
      <c r="J128" s="249" t="str">
        <f>IF(preDEL!$AG128,IFERROR(0/0,""),preDEL!J128)</f>
        <v/>
      </c>
      <c r="K128" s="249" t="str">
        <f>IF(preDEL!$AG128,IFERROR(0/0,""),preDEL!K128)</f>
        <v/>
      </c>
      <c r="L128" s="250" t="str">
        <f>IF(preDEL!$AG128,IFERROR(0/0,""),preDEL!L128)</f>
        <v/>
      </c>
      <c r="M128" s="251" t="str">
        <f>IF(preDEL!$AG128,IFERROR(0/0,""),preDEL!M128)</f>
        <v/>
      </c>
      <c r="N128" s="94" t="str">
        <f>IF(preDEL!$AG128,IFERROR(0/0,""),preDEL!N128)</f>
        <v/>
      </c>
      <c r="O128" s="94" t="str">
        <f>IF(preDEL!$AG128,IFERROR(0/0,""),preDEL!O128)</f>
        <v/>
      </c>
      <c r="P128" s="93" t="str">
        <f>IF(preDEL!$AG128,IFERROR(0/0,""),preDEL!P128)</f>
        <v/>
      </c>
      <c r="Q128" s="93" t="str">
        <f>IF(preDEL!$AG128,IFERROR(0/0,""),preDEL!Q128)</f>
        <v/>
      </c>
      <c r="R128" s="99" t="str">
        <f>IF(preDEL!$AG128,IFERROR(0/0,""),preDEL!R128)</f>
        <v/>
      </c>
      <c r="S128" s="99" t="str">
        <f>IF(preDEL!$AG128,IFERROR(0/0,""),preDEL!S128)</f>
        <v/>
      </c>
      <c r="T128" s="93" t="str">
        <f>IF(preDEL!$AG128,IFERROR(0/0,""),preDEL!T128)</f>
        <v/>
      </c>
      <c r="U128" s="94" t="str">
        <f>IF(preDEL!$AG128,IFERROR(0/0,""),preDEL!U128)</f>
        <v/>
      </c>
      <c r="V128" s="249" t="str">
        <f>IF(preDEL!$AG128,IFERROR(0/0,""),preDEL!V128)</f>
        <v/>
      </c>
      <c r="W128" s="94" t="str">
        <f>IF(preDEL!$AG128,IFERROR(0/0,""),preDEL!W128)</f>
        <v/>
      </c>
      <c r="X128" s="99" t="str">
        <f>IF(preDEL!$AG128,IFERROR(0/0,""),preDEL!X128)</f>
        <v/>
      </c>
      <c r="Y128" s="93" t="str">
        <f>IF(preDEL!$AG128,IFERROR(0/0,""),preDEL!Y128)</f>
        <v/>
      </c>
      <c r="Z128" s="249" t="str">
        <f>IF(preDEL!$AG128,IFERROR(0/0,""),preDEL!Z128)</f>
        <v/>
      </c>
      <c r="AA128" s="93" t="str">
        <f>IF(preDEL!$AG128,IFERROR(0/0,""),preDEL!AA128)</f>
        <v/>
      </c>
      <c r="AB128" s="93" t="str">
        <f>IF(preDEL!$AG128,IFERROR(0/0,""),preDEL!AB128)</f>
        <v/>
      </c>
      <c r="AC128" s="252" t="str">
        <f>IF(preDEL!$AG128,IFERROR(0/0,""),preDEL!AC128)</f>
        <v/>
      </c>
      <c r="AD128" s="99" t="str">
        <f>IF(preDEL!$AG128,IFERROR(0/0,""),preDEL!AD128)</f>
        <v/>
      </c>
      <c r="AE128" s="253" t="str">
        <f>IF(preDEL!$AG128,IFERROR(0/0,""),preDEL!AE128)</f>
        <v/>
      </c>
      <c r="AF128" s="93" t="str">
        <f>IF(preDEL!$AG128,IFERROR(0/0,""),preDEL!AF128)</f>
        <v/>
      </c>
      <c r="AG128" s="93" t="str">
        <f>IF(preDEL!$AG128,IFERROR(0/0,""),preDEL!AG128)</f>
        <v/>
      </c>
      <c r="AH128" s="99" t="str">
        <f>IF(preDEL!$AG128,IFERROR(0/0,""),preDEL!AH128)</f>
        <v/>
      </c>
      <c r="AI128" s="249" t="str">
        <f>IF(preDEL!$AG128,IFERROR(0/0,""),preDEL!AI128)</f>
        <v/>
      </c>
      <c r="AJ128" s="94" t="str">
        <f>IF(preDEL!$AG128,IFERROR(0/0,""),preDEL!AJ128)</f>
        <v/>
      </c>
      <c r="AK128" s="249" t="str">
        <f>IF(preDEL!$AG128,IFERROR(0/0,""),preDEL!AK128)</f>
        <v/>
      </c>
      <c r="AL128" s="94" t="str">
        <f>IF(preDEL!$AG128,IFERROR(0/0,""),preDEL!AL128)</f>
        <v/>
      </c>
      <c r="AM128" s="94" t="str">
        <f>IF(preDEL!$AG128,IFERROR(0/0,""),preDEL!AM128)</f>
        <v/>
      </c>
      <c r="AN128" s="94" t="str">
        <f>IF(preDEL!$AG128,IFERROR(0/0,""),preDEL!AN128)</f>
        <v/>
      </c>
      <c r="AO128" s="94" t="str">
        <f>IF(preDEL!$AG128,IFERROR(0/0,""),preDEL!AO128)</f>
        <v/>
      </c>
      <c r="AP128" s="94" t="str">
        <f>IF(preDEL!$AG128,IFERROR(0/0,""),preDEL!AP128)</f>
        <v/>
      </c>
      <c r="AQ128" s="94" t="str">
        <f>IF(preDEL!$AG128,IFERROR(0/0,""),preDEL!AQ128)</f>
        <v/>
      </c>
      <c r="AR128" s="94" t="str">
        <f>IF(preDEL!$AG128,IFERROR(0/0,""),preDEL!AR128)</f>
        <v/>
      </c>
      <c r="AS128" s="98"/>
      <c r="BE128" s="254"/>
      <c r="BF128" s="255"/>
      <c r="BG128" s="254"/>
      <c r="BH128" s="255"/>
      <c r="BI128" s="254"/>
      <c r="BJ128" s="254"/>
      <c r="BK128" s="254"/>
      <c r="BL128" s="254"/>
      <c r="BN128" s="7"/>
      <c r="BO128" s="7"/>
      <c r="BP128" s="7"/>
      <c r="BQ128" s="7"/>
      <c r="BR128" s="7"/>
      <c r="BS128" s="7"/>
      <c r="BT128" s="7"/>
    </row>
    <row r="129">
      <c r="A129" s="249" t="str">
        <f>IF(preDEL!$AG129,IFERROR(0/0,""),preDEL!A129)</f>
        <v/>
      </c>
      <c r="B129" s="250" t="str">
        <f>IF(preDEL!$AG129,IFERROR(0/0,""),preDEL!B129)</f>
        <v/>
      </c>
      <c r="C129" s="251" t="str">
        <f>IF(preDEL!$AG129,IFERROR(0/0,""),preDEL!C129)</f>
        <v/>
      </c>
      <c r="D129" s="249" t="str">
        <f>IF(preDEL!$AG129,IFERROR(0/0,""),preDEL!D129)</f>
        <v/>
      </c>
      <c r="E129" s="249" t="str">
        <f>IF(preDEL!$AG129,IFERROR(0/0,""),preDEL!E129)</f>
        <v/>
      </c>
      <c r="F129" s="94" t="str">
        <f>IF(preDEL!$AG129,IFERROR(0/0,""),preDEL!F129)</f>
        <v/>
      </c>
      <c r="G129" s="94" t="str">
        <f>IF(preDEL!$AG129,IFERROR(0/0,""),preDEL!G129)</f>
        <v/>
      </c>
      <c r="H129" s="94" t="str">
        <f>IF(preDEL!$AG129,IFERROR(0/0,""),preDEL!H129)</f>
        <v/>
      </c>
      <c r="I129" s="249" t="str">
        <f>IF(preDEL!$AG129,IFERROR(0/0,""),preDEL!I129)</f>
        <v/>
      </c>
      <c r="J129" s="249" t="str">
        <f>IF(preDEL!$AG129,IFERROR(0/0,""),preDEL!J129)</f>
        <v/>
      </c>
      <c r="K129" s="249" t="str">
        <f>IF(preDEL!$AG129,IFERROR(0/0,""),preDEL!K129)</f>
        <v/>
      </c>
      <c r="L129" s="250" t="str">
        <f>IF(preDEL!$AG129,IFERROR(0/0,""),preDEL!L129)</f>
        <v/>
      </c>
      <c r="M129" s="251" t="str">
        <f>IF(preDEL!$AG129,IFERROR(0/0,""),preDEL!M129)</f>
        <v/>
      </c>
      <c r="N129" s="94" t="str">
        <f>IF(preDEL!$AG129,IFERROR(0/0,""),preDEL!N129)</f>
        <v/>
      </c>
      <c r="O129" s="94" t="str">
        <f>IF(preDEL!$AG129,IFERROR(0/0,""),preDEL!O129)</f>
        <v/>
      </c>
      <c r="P129" s="93" t="str">
        <f>IF(preDEL!$AG129,IFERROR(0/0,""),preDEL!P129)</f>
        <v/>
      </c>
      <c r="Q129" s="93" t="str">
        <f>IF(preDEL!$AG129,IFERROR(0/0,""),preDEL!Q129)</f>
        <v/>
      </c>
      <c r="R129" s="99" t="str">
        <f>IF(preDEL!$AG129,IFERROR(0/0,""),preDEL!R129)</f>
        <v/>
      </c>
      <c r="S129" s="99" t="str">
        <f>IF(preDEL!$AG129,IFERROR(0/0,""),preDEL!S129)</f>
        <v/>
      </c>
      <c r="T129" s="93" t="str">
        <f>IF(preDEL!$AG129,IFERROR(0/0,""),preDEL!T129)</f>
        <v/>
      </c>
      <c r="U129" s="94" t="str">
        <f>IF(preDEL!$AG129,IFERROR(0/0,""),preDEL!U129)</f>
        <v/>
      </c>
      <c r="V129" s="249" t="str">
        <f>IF(preDEL!$AG129,IFERROR(0/0,""),preDEL!V129)</f>
        <v/>
      </c>
      <c r="W129" s="94" t="str">
        <f>IF(preDEL!$AG129,IFERROR(0/0,""),preDEL!W129)</f>
        <v/>
      </c>
      <c r="X129" s="99" t="str">
        <f>IF(preDEL!$AG129,IFERROR(0/0,""),preDEL!X129)</f>
        <v/>
      </c>
      <c r="Y129" s="93" t="str">
        <f>IF(preDEL!$AG129,IFERROR(0/0,""),preDEL!Y129)</f>
        <v/>
      </c>
      <c r="Z129" s="249" t="str">
        <f>IF(preDEL!$AG129,IFERROR(0/0,""),preDEL!Z129)</f>
        <v/>
      </c>
      <c r="AA129" s="93" t="str">
        <f>IF(preDEL!$AG129,IFERROR(0/0,""),preDEL!AA129)</f>
        <v/>
      </c>
      <c r="AB129" s="93" t="str">
        <f>IF(preDEL!$AG129,IFERROR(0/0,""),preDEL!AB129)</f>
        <v/>
      </c>
      <c r="AC129" s="252" t="str">
        <f>IF(preDEL!$AG129,IFERROR(0/0,""),preDEL!AC129)</f>
        <v/>
      </c>
      <c r="AD129" s="99" t="str">
        <f>IF(preDEL!$AG129,IFERROR(0/0,""),preDEL!AD129)</f>
        <v/>
      </c>
      <c r="AE129" s="253" t="str">
        <f>IF(preDEL!$AG129,IFERROR(0/0,""),preDEL!AE129)</f>
        <v/>
      </c>
      <c r="AF129" s="93" t="str">
        <f>IF(preDEL!$AG129,IFERROR(0/0,""),preDEL!AF129)</f>
        <v/>
      </c>
      <c r="AG129" s="93" t="str">
        <f>IF(preDEL!$AG129,IFERROR(0/0,""),preDEL!AG129)</f>
        <v/>
      </c>
      <c r="AH129" s="99" t="str">
        <f>IF(preDEL!$AG129,IFERROR(0/0,""),preDEL!AH129)</f>
        <v/>
      </c>
      <c r="AI129" s="249" t="str">
        <f>IF(preDEL!$AG129,IFERROR(0/0,""),preDEL!AI129)</f>
        <v/>
      </c>
      <c r="AJ129" s="94" t="str">
        <f>IF(preDEL!$AG129,IFERROR(0/0,""),preDEL!AJ129)</f>
        <v/>
      </c>
      <c r="AK129" s="249" t="str">
        <f>IF(preDEL!$AG129,IFERROR(0/0,""),preDEL!AK129)</f>
        <v/>
      </c>
      <c r="AL129" s="94" t="str">
        <f>IF(preDEL!$AG129,IFERROR(0/0,""),preDEL!AL129)</f>
        <v/>
      </c>
      <c r="AM129" s="94" t="str">
        <f>IF(preDEL!$AG129,IFERROR(0/0,""),preDEL!AM129)</f>
        <v/>
      </c>
      <c r="AN129" s="94" t="str">
        <f>IF(preDEL!$AG129,IFERROR(0/0,""),preDEL!AN129)</f>
        <v/>
      </c>
      <c r="AO129" s="94" t="str">
        <f>IF(preDEL!$AG129,IFERROR(0/0,""),preDEL!AO129)</f>
        <v/>
      </c>
      <c r="AP129" s="94" t="str">
        <f>IF(preDEL!$AG129,IFERROR(0/0,""),preDEL!AP129)</f>
        <v/>
      </c>
      <c r="AQ129" s="94" t="str">
        <f>IF(preDEL!$AG129,IFERROR(0/0,""),preDEL!AQ129)</f>
        <v/>
      </c>
      <c r="AR129" s="94" t="str">
        <f>IF(preDEL!$AG129,IFERROR(0/0,""),preDEL!AR129)</f>
        <v/>
      </c>
      <c r="AS129" s="98"/>
      <c r="BE129" s="254"/>
      <c r="BF129" s="255"/>
      <c r="BG129" s="254"/>
      <c r="BH129" s="255"/>
      <c r="BI129" s="254"/>
      <c r="BJ129" s="254"/>
      <c r="BK129" s="254"/>
      <c r="BL129" s="254"/>
      <c r="BN129" s="7"/>
      <c r="BO129" s="7"/>
      <c r="BP129" s="7"/>
      <c r="BQ129" s="7"/>
      <c r="BR129" s="7"/>
      <c r="BS129" s="7"/>
      <c r="BT129" s="7"/>
    </row>
    <row r="130">
      <c r="A130" s="249" t="str">
        <f>IF(preDEL!$AG130,IFERROR(0/0,""),preDEL!A130)</f>
        <v/>
      </c>
      <c r="B130" s="250" t="str">
        <f>IF(preDEL!$AG130,IFERROR(0/0,""),preDEL!B130)</f>
        <v/>
      </c>
      <c r="C130" s="251" t="str">
        <f>IF(preDEL!$AG130,IFERROR(0/0,""),preDEL!C130)</f>
        <v/>
      </c>
      <c r="D130" s="249" t="str">
        <f>IF(preDEL!$AG130,IFERROR(0/0,""),preDEL!D130)</f>
        <v/>
      </c>
      <c r="E130" s="249" t="str">
        <f>IF(preDEL!$AG130,IFERROR(0/0,""),preDEL!E130)</f>
        <v/>
      </c>
      <c r="F130" s="94" t="str">
        <f>IF(preDEL!$AG130,IFERROR(0/0,""),preDEL!F130)</f>
        <v/>
      </c>
      <c r="G130" s="94" t="str">
        <f>IF(preDEL!$AG130,IFERROR(0/0,""),preDEL!G130)</f>
        <v/>
      </c>
      <c r="H130" s="94" t="str">
        <f>IF(preDEL!$AG130,IFERROR(0/0,""),preDEL!H130)</f>
        <v/>
      </c>
      <c r="I130" s="249" t="str">
        <f>IF(preDEL!$AG130,IFERROR(0/0,""),preDEL!I130)</f>
        <v/>
      </c>
      <c r="J130" s="249" t="str">
        <f>IF(preDEL!$AG130,IFERROR(0/0,""),preDEL!J130)</f>
        <v/>
      </c>
      <c r="K130" s="249" t="str">
        <f>IF(preDEL!$AG130,IFERROR(0/0,""),preDEL!K130)</f>
        <v/>
      </c>
      <c r="L130" s="250" t="str">
        <f>IF(preDEL!$AG130,IFERROR(0/0,""),preDEL!L130)</f>
        <v/>
      </c>
      <c r="M130" s="251" t="str">
        <f>IF(preDEL!$AG130,IFERROR(0/0,""),preDEL!M130)</f>
        <v/>
      </c>
      <c r="N130" s="94" t="str">
        <f>IF(preDEL!$AG130,IFERROR(0/0,""),preDEL!N130)</f>
        <v/>
      </c>
      <c r="O130" s="94" t="str">
        <f>IF(preDEL!$AG130,IFERROR(0/0,""),preDEL!O130)</f>
        <v/>
      </c>
      <c r="P130" s="93" t="str">
        <f>IF(preDEL!$AG130,IFERROR(0/0,""),preDEL!P130)</f>
        <v/>
      </c>
      <c r="Q130" s="93" t="str">
        <f>IF(preDEL!$AG130,IFERROR(0/0,""),preDEL!Q130)</f>
        <v/>
      </c>
      <c r="R130" s="99" t="str">
        <f>IF(preDEL!$AG130,IFERROR(0/0,""),preDEL!R130)</f>
        <v/>
      </c>
      <c r="S130" s="99" t="str">
        <f>IF(preDEL!$AG130,IFERROR(0/0,""),preDEL!S130)</f>
        <v/>
      </c>
      <c r="T130" s="93" t="str">
        <f>IF(preDEL!$AG130,IFERROR(0/0,""),preDEL!T130)</f>
        <v/>
      </c>
      <c r="U130" s="94" t="str">
        <f>IF(preDEL!$AG130,IFERROR(0/0,""),preDEL!U130)</f>
        <v/>
      </c>
      <c r="V130" s="249" t="str">
        <f>IF(preDEL!$AG130,IFERROR(0/0,""),preDEL!V130)</f>
        <v/>
      </c>
      <c r="W130" s="94" t="str">
        <f>IF(preDEL!$AG130,IFERROR(0/0,""),preDEL!W130)</f>
        <v/>
      </c>
      <c r="X130" s="99" t="str">
        <f>IF(preDEL!$AG130,IFERROR(0/0,""),preDEL!X130)</f>
        <v/>
      </c>
      <c r="Y130" s="93" t="str">
        <f>IF(preDEL!$AG130,IFERROR(0/0,""),preDEL!Y130)</f>
        <v/>
      </c>
      <c r="Z130" s="249" t="str">
        <f>IF(preDEL!$AG130,IFERROR(0/0,""),preDEL!Z130)</f>
        <v/>
      </c>
      <c r="AA130" s="93" t="str">
        <f>IF(preDEL!$AG130,IFERROR(0/0,""),preDEL!AA130)</f>
        <v/>
      </c>
      <c r="AB130" s="93" t="str">
        <f>IF(preDEL!$AG130,IFERROR(0/0,""),preDEL!AB130)</f>
        <v/>
      </c>
      <c r="AC130" s="252" t="str">
        <f>IF(preDEL!$AG130,IFERROR(0/0,""),preDEL!AC130)</f>
        <v/>
      </c>
      <c r="AD130" s="99" t="str">
        <f>IF(preDEL!$AG130,IFERROR(0/0,""),preDEL!AD130)</f>
        <v/>
      </c>
      <c r="AE130" s="253" t="str">
        <f>IF(preDEL!$AG130,IFERROR(0/0,""),preDEL!AE130)</f>
        <v/>
      </c>
      <c r="AF130" s="93" t="str">
        <f>IF(preDEL!$AG130,IFERROR(0/0,""),preDEL!AF130)</f>
        <v/>
      </c>
      <c r="AG130" s="93" t="str">
        <f>IF(preDEL!$AG130,IFERROR(0/0,""),preDEL!AG130)</f>
        <v/>
      </c>
      <c r="AH130" s="99" t="str">
        <f>IF(preDEL!$AG130,IFERROR(0/0,""),preDEL!AH130)</f>
        <v/>
      </c>
      <c r="AI130" s="249" t="str">
        <f>IF(preDEL!$AG130,IFERROR(0/0,""),preDEL!AI130)</f>
        <v/>
      </c>
      <c r="AJ130" s="94" t="str">
        <f>IF(preDEL!$AG130,IFERROR(0/0,""),preDEL!AJ130)</f>
        <v/>
      </c>
      <c r="AK130" s="249" t="str">
        <f>IF(preDEL!$AG130,IFERROR(0/0,""),preDEL!AK130)</f>
        <v/>
      </c>
      <c r="AL130" s="94" t="str">
        <f>IF(preDEL!$AG130,IFERROR(0/0,""),preDEL!AL130)</f>
        <v/>
      </c>
      <c r="AM130" s="94" t="str">
        <f>IF(preDEL!$AG130,IFERROR(0/0,""),preDEL!AM130)</f>
        <v/>
      </c>
      <c r="AN130" s="94" t="str">
        <f>IF(preDEL!$AG130,IFERROR(0/0,""),preDEL!AN130)</f>
        <v/>
      </c>
      <c r="AO130" s="94" t="str">
        <f>IF(preDEL!$AG130,IFERROR(0/0,""),preDEL!AO130)</f>
        <v/>
      </c>
      <c r="AP130" s="94" t="str">
        <f>IF(preDEL!$AG130,IFERROR(0/0,""),preDEL!AP130)</f>
        <v/>
      </c>
      <c r="AQ130" s="94" t="str">
        <f>IF(preDEL!$AG130,IFERROR(0/0,""),preDEL!AQ130)</f>
        <v/>
      </c>
      <c r="AR130" s="94" t="str">
        <f>IF(preDEL!$AG130,IFERROR(0/0,""),preDEL!AR130)</f>
        <v/>
      </c>
      <c r="AS130" s="98"/>
      <c r="BE130" s="254"/>
      <c r="BF130" s="255"/>
      <c r="BG130" s="254"/>
      <c r="BH130" s="255"/>
      <c r="BI130" s="254"/>
      <c r="BJ130" s="254"/>
      <c r="BK130" s="254"/>
      <c r="BL130" s="254"/>
      <c r="BN130" s="7"/>
      <c r="BO130" s="7"/>
      <c r="BP130" s="7"/>
      <c r="BQ130" s="7"/>
      <c r="BR130" s="7"/>
      <c r="BS130" s="7"/>
      <c r="BT130" s="7"/>
    </row>
    <row r="131">
      <c r="A131" s="249" t="str">
        <f>IF(preDEL!$AG131,IFERROR(0/0,""),preDEL!A131)</f>
        <v>AJ5950</v>
      </c>
      <c r="B131" s="250">
        <f>IF(preDEL!$AG131,IFERROR(0/0,""),preDEL!B131)</f>
        <v>44704</v>
      </c>
      <c r="C131" s="251">
        <f>IF(preDEL!$AG131,IFERROR(0/0,""),preDEL!C131)</f>
        <v>0.1565393519</v>
      </c>
      <c r="D131" s="249" t="str">
        <f>IF(preDEL!$AG131,IFERROR(0/0,""),preDEL!D131)</f>
        <v/>
      </c>
      <c r="E131" s="249" t="str">
        <f>IF(preDEL!$AG131,IFERROR(0/0,""),preDEL!E131)</f>
        <v/>
      </c>
      <c r="F131" s="94" t="str">
        <f>IF(preDEL!$AG131,IFERROR(0/0,""),preDEL!F131)</f>
        <v/>
      </c>
      <c r="G131" s="94" t="str">
        <f>IF(preDEL!$AG131,IFERROR(0/0,""),preDEL!G131)</f>
        <v/>
      </c>
      <c r="H131" s="94" t="str">
        <f>IF(preDEL!$AG131,IFERROR(0/0,""),preDEL!H131)</f>
        <v/>
      </c>
      <c r="I131" s="249" t="str">
        <f>IF(preDEL!$AG131,IFERROR(0/0,""),preDEL!I131)</f>
        <v/>
      </c>
      <c r="J131" s="249" t="str">
        <f>IF(preDEL!$AG131,IFERROR(0/0,""),preDEL!J131)</f>
        <v/>
      </c>
      <c r="K131" s="249" t="str">
        <f>IF(preDEL!$AG131,IFERROR(0/0,""),preDEL!K131)</f>
        <v>Negative</v>
      </c>
      <c r="L131" s="250">
        <f>IF(preDEL!$AG131,IFERROR(0/0,""),preDEL!L131)</f>
        <v>44704</v>
      </c>
      <c r="M131" s="251">
        <f>IF(preDEL!$AG131,IFERROR(0/0,""),preDEL!M131)</f>
        <v>0.3948958333</v>
      </c>
      <c r="N131" s="94" t="str">
        <f>IF(preDEL!$AG131,IFERROR(0/0,""),preDEL!N131)</f>
        <v/>
      </c>
      <c r="O131" s="94" t="str">
        <f>IF(preDEL!$AG131,IFERROR(0/0,""),preDEL!O131)</f>
        <v/>
      </c>
      <c r="P131" s="93" t="b">
        <f>IF(preDEL!$AG131,IFERROR(0/0,""),preDEL!P131)</f>
        <v>0</v>
      </c>
      <c r="Q131" s="93" t="str">
        <f>IF(preDEL!$AG131,IFERROR(0/0,""),preDEL!Q131)</f>
        <v>Result</v>
      </c>
      <c r="R131" s="99" t="b">
        <f>IF(preDEL!$AG131,IFERROR(0/0,""),preDEL!R131)</f>
        <v>1</v>
      </c>
      <c r="S131" s="99">
        <f>IF(preDEL!$AG131,IFERROR(0/0,""),preDEL!S131)</f>
        <v>4</v>
      </c>
      <c r="T131" s="93" t="str">
        <f>IF(preDEL!$AG131,IFERROR(0/0,""),preDEL!T131)</f>
        <v/>
      </c>
      <c r="U131" s="94" t="str">
        <f>IF(preDEL!$AG131,IFERROR(0/0,""),preDEL!U131)</f>
        <v/>
      </c>
      <c r="V131" s="249" t="str">
        <f>IF(preDEL!$AG131,IFERROR(0/0,""),preDEL!V131)</f>
        <v/>
      </c>
      <c r="W131" s="94" t="str">
        <f>IF(preDEL!$AG131,IFERROR(0/0,""),preDEL!W131)</f>
        <v/>
      </c>
      <c r="X131" s="99" t="b">
        <f>IF(preDEL!$AG131,IFERROR(0/0,""),preDEL!X131)</f>
        <v>0</v>
      </c>
      <c r="Y131" s="93" t="str">
        <f>IF(preDEL!$AG131,IFERROR(0/0,""),preDEL!Y131)</f>
        <v/>
      </c>
      <c r="Z131" s="249" t="str">
        <f>IF(preDEL!$AG131,IFERROR(0/0,""),preDEL!Z131)</f>
        <v/>
      </c>
      <c r="AA131" s="93" t="b">
        <f>IF(preDEL!$AG131,IFERROR(0/0,""),preDEL!AA131)</f>
        <v>0</v>
      </c>
      <c r="AB131" s="93" t="str">
        <f>IF(preDEL!$AG131,IFERROR(0/0,""),preDEL!AB131)</f>
        <v/>
      </c>
      <c r="AC131" s="252">
        <f>IF(preDEL!$AG131,IFERROR(0/0,""),preDEL!AC131)</f>
        <v>106</v>
      </c>
      <c r="AD131" s="99" t="str">
        <f>IF(preDEL!$AG131,IFERROR(0/0,""),preDEL!AD131)</f>
        <v/>
      </c>
      <c r="AE131" s="253">
        <f>IF(preDEL!$AG131,IFERROR(0/0,""),preDEL!AE131)</f>
        <v>343.2333333</v>
      </c>
      <c r="AF131" s="93" t="b">
        <f>IF(preDEL!$AG131,IFERROR(0/0,""),preDEL!AF131)</f>
        <v>0</v>
      </c>
      <c r="AG131" s="93" t="b">
        <f>IF(preDEL!$AG131,IFERROR(0/0,""),preDEL!AG131)</f>
        <v>0</v>
      </c>
      <c r="AH131" s="99" t="str">
        <f>IF(preDEL!$AG131,IFERROR(0/0,""),preDEL!AH131)</f>
        <v/>
      </c>
      <c r="AI131" s="249" t="str">
        <f>IF(preDEL!$AG131,IFERROR(0/0,""),preDEL!AI131)</f>
        <v/>
      </c>
      <c r="AJ131" s="94" t="str">
        <f>IF(preDEL!$AG131,IFERROR(0/0,""),preDEL!AJ131)</f>
        <v/>
      </c>
      <c r="AK131" s="249" t="str">
        <f>IF(preDEL!$AG131,IFERROR(0/0,""),preDEL!AK131)</f>
        <v>Negative</v>
      </c>
      <c r="AL131" s="94" t="str">
        <f>IF(preDEL!$AG131,IFERROR(0/0,""),preDEL!AL131)</f>
        <v/>
      </c>
      <c r="AM131" s="94" t="str">
        <f>IF(preDEL!$AG131,IFERROR(0/0,""),preDEL!AM131)</f>
        <v>SpNDHM955894</v>
      </c>
      <c r="AN131" s="94" t="str">
        <f>IF(preDEL!$AG131,IFERROR(0/0,""),preDEL!AN131)</f>
        <v>NDHM107467</v>
      </c>
      <c r="AO131" s="94" t="str">
        <f>IF(preDEL!$AG131,IFERROR(0/0,""),preDEL!AO131)</f>
        <v/>
      </c>
      <c r="AP131" s="94" t="str">
        <f>IF(preDEL!$AG131,IFERROR(0/0,""),preDEL!AP131)</f>
        <v/>
      </c>
      <c r="AQ131" s="94" t="str">
        <f>IF(preDEL!$AG131,IFERROR(0/0,""),preDEL!AQ131)</f>
        <v/>
      </c>
      <c r="AR131" s="94" t="str">
        <f>IF(preDEL!$AG131,IFERROR(0/0,""),preDEL!AR131)</f>
        <v/>
      </c>
      <c r="AS131" s="98"/>
      <c r="BE131" s="254"/>
      <c r="BF131" s="255"/>
      <c r="BG131" s="254"/>
      <c r="BH131" s="255"/>
      <c r="BI131" s="254"/>
      <c r="BJ131" s="254"/>
      <c r="BK131" s="254"/>
      <c r="BL131" s="254"/>
      <c r="BN131" s="7"/>
      <c r="BO131" s="7"/>
      <c r="BP131" s="7"/>
      <c r="BQ131" s="7"/>
      <c r="BR131" s="7"/>
      <c r="BS131" s="7"/>
      <c r="BT131" s="7"/>
    </row>
    <row r="132">
      <c r="A132" s="249" t="str">
        <f>IF(preDEL!$AG132,IFERROR(0/0,""),preDEL!A132)</f>
        <v>AJ5950</v>
      </c>
      <c r="B132" s="250">
        <f>IF(preDEL!$AG132,IFERROR(0/0,""),preDEL!B132)</f>
        <v>44704</v>
      </c>
      <c r="C132" s="251">
        <f>IF(preDEL!$AG132,IFERROR(0/0,""),preDEL!C132)</f>
        <v>0.1565393519</v>
      </c>
      <c r="D132" s="249" t="str">
        <f>IF(preDEL!$AG132,IFERROR(0/0,""),preDEL!D132)</f>
        <v/>
      </c>
      <c r="E132" s="249" t="str">
        <f>IF(preDEL!$AG132,IFERROR(0/0,""),preDEL!E132)</f>
        <v/>
      </c>
      <c r="F132" s="94" t="str">
        <f>IF(preDEL!$AG132,IFERROR(0/0,""),preDEL!F132)</f>
        <v/>
      </c>
      <c r="G132" s="94" t="str">
        <f>IF(preDEL!$AG132,IFERROR(0/0,""),preDEL!G132)</f>
        <v/>
      </c>
      <c r="H132" s="94" t="str">
        <f>IF(preDEL!$AG132,IFERROR(0/0,""),preDEL!H132)</f>
        <v/>
      </c>
      <c r="I132" s="249" t="str">
        <f>IF(preDEL!$AG132,IFERROR(0/0,""),preDEL!I132)</f>
        <v/>
      </c>
      <c r="J132" s="249" t="str">
        <f>IF(preDEL!$AG132,IFERROR(0/0,""),preDEL!J132)</f>
        <v/>
      </c>
      <c r="K132" s="249" t="str">
        <f>IF(preDEL!$AG132,IFERROR(0/0,""),preDEL!K132)</f>
        <v>Negative</v>
      </c>
      <c r="L132" s="250">
        <f>IF(preDEL!$AG132,IFERROR(0/0,""),preDEL!L132)</f>
        <v>44704</v>
      </c>
      <c r="M132" s="251">
        <f>IF(preDEL!$AG132,IFERROR(0/0,""),preDEL!M132)</f>
        <v>0.3948958333</v>
      </c>
      <c r="N132" s="94" t="str">
        <f>IF(preDEL!$AG132,IFERROR(0/0,""),preDEL!N132)</f>
        <v/>
      </c>
      <c r="O132" s="94" t="str">
        <f>IF(preDEL!$AG132,IFERROR(0/0,""),preDEL!O132)</f>
        <v/>
      </c>
      <c r="P132" s="93" t="b">
        <f>IF(preDEL!$AG132,IFERROR(0/0,""),preDEL!P132)</f>
        <v>0</v>
      </c>
      <c r="Q132" s="93" t="str">
        <f>IF(preDEL!$AG132,IFERROR(0/0,""),preDEL!Q132)</f>
        <v>Result</v>
      </c>
      <c r="R132" s="99" t="b">
        <f>IF(preDEL!$AG132,IFERROR(0/0,""),preDEL!R132)</f>
        <v>0</v>
      </c>
      <c r="S132" s="99">
        <f>IF(preDEL!$AG132,IFERROR(0/0,""),preDEL!S132)</f>
        <v>4</v>
      </c>
      <c r="T132" s="93" t="str">
        <f>IF(preDEL!$AG132,IFERROR(0/0,""),preDEL!T132)</f>
        <v/>
      </c>
      <c r="U132" s="94" t="str">
        <f>IF(preDEL!$AG132,IFERROR(0/0,""),preDEL!U132)</f>
        <v/>
      </c>
      <c r="V132" s="249" t="str">
        <f>IF(preDEL!$AG132,IFERROR(0/0,""),preDEL!V132)</f>
        <v/>
      </c>
      <c r="W132" s="94" t="str">
        <f>IF(preDEL!$AG132,IFERROR(0/0,""),preDEL!W132)</f>
        <v/>
      </c>
      <c r="X132" s="99" t="b">
        <f>IF(preDEL!$AG132,IFERROR(0/0,""),preDEL!X132)</f>
        <v>0</v>
      </c>
      <c r="Y132" s="93" t="str">
        <f>IF(preDEL!$AG132,IFERROR(0/0,""),preDEL!Y132)</f>
        <v/>
      </c>
      <c r="Z132" s="249" t="str">
        <f>IF(preDEL!$AG132,IFERROR(0/0,""),preDEL!Z132)</f>
        <v/>
      </c>
      <c r="AA132" s="93" t="b">
        <f>IF(preDEL!$AG132,IFERROR(0/0,""),preDEL!AA132)</f>
        <v>0</v>
      </c>
      <c r="AB132" s="93" t="str">
        <f>IF(preDEL!$AG132,IFERROR(0/0,""),preDEL!AB132)</f>
        <v/>
      </c>
      <c r="AC132" s="252">
        <f>IF(preDEL!$AG132,IFERROR(0/0,""),preDEL!AC132)</f>
        <v>103</v>
      </c>
      <c r="AD132" s="99" t="str">
        <f>IF(preDEL!$AG132,IFERROR(0/0,""),preDEL!AD132)</f>
        <v/>
      </c>
      <c r="AE132" s="253">
        <f>IF(preDEL!$AG132,IFERROR(0/0,""),preDEL!AE132)</f>
        <v>343.2333333</v>
      </c>
      <c r="AF132" s="93" t="b">
        <f>IF(preDEL!$AG132,IFERROR(0/0,""),preDEL!AF132)</f>
        <v>0</v>
      </c>
      <c r="AG132" s="93" t="b">
        <f>IF(preDEL!$AG132,IFERROR(0/0,""),preDEL!AG132)</f>
        <v>0</v>
      </c>
      <c r="AH132" s="99" t="str">
        <f>IF(preDEL!$AG132,IFERROR(0/0,""),preDEL!AH132)</f>
        <v/>
      </c>
      <c r="AI132" s="249" t="str">
        <f>IF(preDEL!$AG132,IFERROR(0/0,""),preDEL!AI132)</f>
        <v/>
      </c>
      <c r="AJ132" s="94" t="str">
        <f>IF(preDEL!$AG132,IFERROR(0/0,""),preDEL!AJ132)</f>
        <v/>
      </c>
      <c r="AK132" s="249" t="str">
        <f>IF(preDEL!$AG132,IFERROR(0/0,""),preDEL!AK132)</f>
        <v>Negative</v>
      </c>
      <c r="AL132" s="94" t="str">
        <f>IF(preDEL!$AG132,IFERROR(0/0,""),preDEL!AL132)</f>
        <v/>
      </c>
      <c r="AM132" s="94" t="str">
        <f>IF(preDEL!$AG132,IFERROR(0/0,""),preDEL!AM132)</f>
        <v>SpNDHM955894</v>
      </c>
      <c r="AN132" s="94" t="str">
        <f>IF(preDEL!$AG132,IFERROR(0/0,""),preDEL!AN132)</f>
        <v>NDHM574415</v>
      </c>
      <c r="AO132" s="94" t="str">
        <f>IF(preDEL!$AG132,IFERROR(0/0,""),preDEL!AO132)</f>
        <v/>
      </c>
      <c r="AP132" s="94" t="str">
        <f>IF(preDEL!$AG132,IFERROR(0/0,""),preDEL!AP132)</f>
        <v/>
      </c>
      <c r="AQ132" s="94" t="str">
        <f>IF(preDEL!$AG132,IFERROR(0/0,""),preDEL!AQ132)</f>
        <v/>
      </c>
      <c r="AR132" s="94" t="str">
        <f>IF(preDEL!$AG132,IFERROR(0/0,""),preDEL!AR132)</f>
        <v/>
      </c>
      <c r="AS132" s="98"/>
      <c r="BE132" s="254"/>
      <c r="BF132" s="255"/>
      <c r="BG132" s="254"/>
      <c r="BH132" s="255"/>
      <c r="BI132" s="254"/>
      <c r="BJ132" s="254"/>
      <c r="BK132" s="254"/>
      <c r="BL132" s="254"/>
      <c r="BN132" s="7"/>
      <c r="BO132" s="7"/>
      <c r="BP132" s="7"/>
      <c r="BQ132" s="7"/>
      <c r="BR132" s="7"/>
      <c r="BS132" s="7"/>
      <c r="BT132" s="7"/>
    </row>
    <row r="133">
      <c r="A133" s="249" t="str">
        <f>IF(preDEL!$AG133,IFERROR(0/0,""),preDEL!A133)</f>
        <v>AJ5950</v>
      </c>
      <c r="B133" s="250">
        <f>IF(preDEL!$AG133,IFERROR(0/0,""),preDEL!B133)</f>
        <v>44704</v>
      </c>
      <c r="C133" s="251">
        <f>IF(preDEL!$AG133,IFERROR(0/0,""),preDEL!C133)</f>
        <v>0.1565393519</v>
      </c>
      <c r="D133" s="249" t="str">
        <f>IF(preDEL!$AG133,IFERROR(0/0,""),preDEL!D133)</f>
        <v/>
      </c>
      <c r="E133" s="249" t="str">
        <f>IF(preDEL!$AG133,IFERROR(0/0,""),preDEL!E133)</f>
        <v/>
      </c>
      <c r="F133" s="94" t="str">
        <f>IF(preDEL!$AG133,IFERROR(0/0,""),preDEL!F133)</f>
        <v/>
      </c>
      <c r="G133" s="94" t="str">
        <f>IF(preDEL!$AG133,IFERROR(0/0,""),preDEL!G133)</f>
        <v/>
      </c>
      <c r="H133" s="94" t="str">
        <f>IF(preDEL!$AG133,IFERROR(0/0,""),preDEL!H133)</f>
        <v/>
      </c>
      <c r="I133" s="249" t="str">
        <f>IF(preDEL!$AG133,IFERROR(0/0,""),preDEL!I133)</f>
        <v/>
      </c>
      <c r="J133" s="249" t="str">
        <f>IF(preDEL!$AG133,IFERROR(0/0,""),preDEL!J133)</f>
        <v/>
      </c>
      <c r="K133" s="249" t="str">
        <f>IF(preDEL!$AG133,IFERROR(0/0,""),preDEL!K133)</f>
        <v>Negative</v>
      </c>
      <c r="L133" s="250">
        <f>IF(preDEL!$AG133,IFERROR(0/0,""),preDEL!L133)</f>
        <v>44704</v>
      </c>
      <c r="M133" s="251">
        <f>IF(preDEL!$AG133,IFERROR(0/0,""),preDEL!M133)</f>
        <v>0.3948958333</v>
      </c>
      <c r="N133" s="94" t="str">
        <f>IF(preDEL!$AG133,IFERROR(0/0,""),preDEL!N133)</f>
        <v/>
      </c>
      <c r="O133" s="94" t="str">
        <f>IF(preDEL!$AG133,IFERROR(0/0,""),preDEL!O133)</f>
        <v/>
      </c>
      <c r="P133" s="93" t="b">
        <f>IF(preDEL!$AG133,IFERROR(0/0,""),preDEL!P133)</f>
        <v>0</v>
      </c>
      <c r="Q133" s="93" t="str">
        <f>IF(preDEL!$AG133,IFERROR(0/0,""),preDEL!Q133)</f>
        <v>Result</v>
      </c>
      <c r="R133" s="99" t="b">
        <f>IF(preDEL!$AG133,IFERROR(0/0,""),preDEL!R133)</f>
        <v>0</v>
      </c>
      <c r="S133" s="99">
        <f>IF(preDEL!$AG133,IFERROR(0/0,""),preDEL!S133)</f>
        <v>4</v>
      </c>
      <c r="T133" s="93" t="str">
        <f>IF(preDEL!$AG133,IFERROR(0/0,""),preDEL!T133)</f>
        <v/>
      </c>
      <c r="U133" s="94" t="str">
        <f>IF(preDEL!$AG133,IFERROR(0/0,""),preDEL!U133)</f>
        <v/>
      </c>
      <c r="V133" s="249" t="str">
        <f>IF(preDEL!$AG133,IFERROR(0/0,""),preDEL!V133)</f>
        <v/>
      </c>
      <c r="W133" s="94" t="str">
        <f>IF(preDEL!$AG133,IFERROR(0/0,""),preDEL!W133)</f>
        <v/>
      </c>
      <c r="X133" s="99" t="b">
        <f>IF(preDEL!$AG133,IFERROR(0/0,""),preDEL!X133)</f>
        <v>0</v>
      </c>
      <c r="Y133" s="93" t="str">
        <f>IF(preDEL!$AG133,IFERROR(0/0,""),preDEL!Y133)</f>
        <v/>
      </c>
      <c r="Z133" s="249" t="str">
        <f>IF(preDEL!$AG133,IFERROR(0/0,""),preDEL!Z133)</f>
        <v/>
      </c>
      <c r="AA133" s="93" t="b">
        <f>IF(preDEL!$AG133,IFERROR(0/0,""),preDEL!AA133)</f>
        <v>0</v>
      </c>
      <c r="AB133" s="93" t="str">
        <f>IF(preDEL!$AG133,IFERROR(0/0,""),preDEL!AB133)</f>
        <v/>
      </c>
      <c r="AC133" s="252">
        <f>IF(preDEL!$AG133,IFERROR(0/0,""),preDEL!AC133)</f>
        <v>104</v>
      </c>
      <c r="AD133" s="99" t="str">
        <f>IF(preDEL!$AG133,IFERROR(0/0,""),preDEL!AD133)</f>
        <v/>
      </c>
      <c r="AE133" s="253">
        <f>IF(preDEL!$AG133,IFERROR(0/0,""),preDEL!AE133)</f>
        <v>343.2333333</v>
      </c>
      <c r="AF133" s="93" t="b">
        <f>IF(preDEL!$AG133,IFERROR(0/0,""),preDEL!AF133)</f>
        <v>0</v>
      </c>
      <c r="AG133" s="93" t="b">
        <f>IF(preDEL!$AG133,IFERROR(0/0,""),preDEL!AG133)</f>
        <v>0</v>
      </c>
      <c r="AH133" s="99" t="str">
        <f>IF(preDEL!$AG133,IFERROR(0/0,""),preDEL!AH133)</f>
        <v/>
      </c>
      <c r="AI133" s="249" t="str">
        <f>IF(preDEL!$AG133,IFERROR(0/0,""),preDEL!AI133)</f>
        <v/>
      </c>
      <c r="AJ133" s="94" t="str">
        <f>IF(preDEL!$AG133,IFERROR(0/0,""),preDEL!AJ133)</f>
        <v/>
      </c>
      <c r="AK133" s="249" t="str">
        <f>IF(preDEL!$AG133,IFERROR(0/0,""),preDEL!AK133)</f>
        <v>Negative</v>
      </c>
      <c r="AL133" s="94" t="str">
        <f>IF(preDEL!$AG133,IFERROR(0/0,""),preDEL!AL133)</f>
        <v/>
      </c>
      <c r="AM133" s="94" t="str">
        <f>IF(preDEL!$AG133,IFERROR(0/0,""),preDEL!AM133)</f>
        <v>SpNDHM955894</v>
      </c>
      <c r="AN133" s="94" t="str">
        <f>IF(preDEL!$AG133,IFERROR(0/0,""),preDEL!AN133)</f>
        <v>NDHM513495</v>
      </c>
      <c r="AO133" s="94" t="str">
        <f>IF(preDEL!$AG133,IFERROR(0/0,""),preDEL!AO133)</f>
        <v/>
      </c>
      <c r="AP133" s="94" t="str">
        <f>IF(preDEL!$AG133,IFERROR(0/0,""),preDEL!AP133)</f>
        <v/>
      </c>
      <c r="AQ133" s="94" t="str">
        <f>IF(preDEL!$AG133,IFERROR(0/0,""),preDEL!AQ133)</f>
        <v/>
      </c>
      <c r="AR133" s="94" t="str">
        <f>IF(preDEL!$AG133,IFERROR(0/0,""),preDEL!AR133)</f>
        <v/>
      </c>
      <c r="AS133" s="98"/>
      <c r="BE133" s="254"/>
      <c r="BF133" s="255"/>
      <c r="BG133" s="254"/>
      <c r="BH133" s="255"/>
      <c r="BI133" s="254"/>
      <c r="BJ133" s="254"/>
      <c r="BK133" s="254"/>
      <c r="BL133" s="254"/>
      <c r="BN133" s="7"/>
      <c r="BO133" s="7"/>
      <c r="BP133" s="7"/>
      <c r="BQ133" s="7"/>
      <c r="BR133" s="7"/>
      <c r="BS133" s="7"/>
      <c r="BT133" s="7"/>
    </row>
    <row r="134">
      <c r="A134" s="249" t="str">
        <f>IF(preDEL!$AG134,IFERROR(0/0,""),preDEL!A134)</f>
        <v>AJ5950</v>
      </c>
      <c r="B134" s="250">
        <f>IF(preDEL!$AG134,IFERROR(0/0,""),preDEL!B134)</f>
        <v>44704</v>
      </c>
      <c r="C134" s="251">
        <f>IF(preDEL!$AG134,IFERROR(0/0,""),preDEL!C134)</f>
        <v>0.1565393519</v>
      </c>
      <c r="D134" s="249" t="str">
        <f>IF(preDEL!$AG134,IFERROR(0/0,""),preDEL!D134)</f>
        <v/>
      </c>
      <c r="E134" s="249" t="str">
        <f>IF(preDEL!$AG134,IFERROR(0/0,""),preDEL!E134)</f>
        <v/>
      </c>
      <c r="F134" s="94" t="str">
        <f>IF(preDEL!$AG134,IFERROR(0/0,""),preDEL!F134)</f>
        <v/>
      </c>
      <c r="G134" s="94" t="str">
        <f>IF(preDEL!$AG134,IFERROR(0/0,""),preDEL!G134)</f>
        <v/>
      </c>
      <c r="H134" s="94" t="str">
        <f>IF(preDEL!$AG134,IFERROR(0/0,""),preDEL!H134)</f>
        <v/>
      </c>
      <c r="I134" s="249" t="str">
        <f>IF(preDEL!$AG134,IFERROR(0/0,""),preDEL!I134)</f>
        <v/>
      </c>
      <c r="J134" s="249" t="str">
        <f>IF(preDEL!$AG134,IFERROR(0/0,""),preDEL!J134)</f>
        <v/>
      </c>
      <c r="K134" s="249" t="str">
        <f>IF(preDEL!$AG134,IFERROR(0/0,""),preDEL!K134)</f>
        <v>Negative</v>
      </c>
      <c r="L134" s="250">
        <f>IF(preDEL!$AG134,IFERROR(0/0,""),preDEL!L134)</f>
        <v>44704</v>
      </c>
      <c r="M134" s="251">
        <f>IF(preDEL!$AG134,IFERROR(0/0,""),preDEL!M134)</f>
        <v>0.3948958333</v>
      </c>
      <c r="N134" s="94" t="str">
        <f>IF(preDEL!$AG134,IFERROR(0/0,""),preDEL!N134)</f>
        <v/>
      </c>
      <c r="O134" s="94" t="str">
        <f>IF(preDEL!$AG134,IFERROR(0/0,""),preDEL!O134)</f>
        <v/>
      </c>
      <c r="P134" s="93" t="b">
        <f>IF(preDEL!$AG134,IFERROR(0/0,""),preDEL!P134)</f>
        <v>0</v>
      </c>
      <c r="Q134" s="93" t="str">
        <f>IF(preDEL!$AG134,IFERROR(0/0,""),preDEL!Q134)</f>
        <v>Result</v>
      </c>
      <c r="R134" s="99" t="b">
        <f>IF(preDEL!$AG134,IFERROR(0/0,""),preDEL!R134)</f>
        <v>0</v>
      </c>
      <c r="S134" s="99">
        <f>IF(preDEL!$AG134,IFERROR(0/0,""),preDEL!S134)</f>
        <v>4</v>
      </c>
      <c r="T134" s="93" t="str">
        <f>IF(preDEL!$AG134,IFERROR(0/0,""),preDEL!T134)</f>
        <v/>
      </c>
      <c r="U134" s="94" t="str">
        <f>IF(preDEL!$AG134,IFERROR(0/0,""),preDEL!U134)</f>
        <v/>
      </c>
      <c r="V134" s="249" t="str">
        <f>IF(preDEL!$AG134,IFERROR(0/0,""),preDEL!V134)</f>
        <v/>
      </c>
      <c r="W134" s="94" t="str">
        <f>IF(preDEL!$AG134,IFERROR(0/0,""),preDEL!W134)</f>
        <v/>
      </c>
      <c r="X134" s="99" t="b">
        <f>IF(preDEL!$AG134,IFERROR(0/0,""),preDEL!X134)</f>
        <v>0</v>
      </c>
      <c r="Y134" s="93" t="str">
        <f>IF(preDEL!$AG134,IFERROR(0/0,""),preDEL!Y134)</f>
        <v/>
      </c>
      <c r="Z134" s="249" t="str">
        <f>IF(preDEL!$AG134,IFERROR(0/0,""),preDEL!Z134)</f>
        <v/>
      </c>
      <c r="AA134" s="93" t="b">
        <f>IF(preDEL!$AG134,IFERROR(0/0,""),preDEL!AA134)</f>
        <v>0</v>
      </c>
      <c r="AB134" s="93" t="str">
        <f>IF(preDEL!$AG134,IFERROR(0/0,""),preDEL!AB134)</f>
        <v/>
      </c>
      <c r="AC134" s="252">
        <f>IF(preDEL!$AG134,IFERROR(0/0,""),preDEL!AC134)</f>
        <v>105</v>
      </c>
      <c r="AD134" s="99" t="str">
        <f>IF(preDEL!$AG134,IFERROR(0/0,""),preDEL!AD134)</f>
        <v/>
      </c>
      <c r="AE134" s="253">
        <f>IF(preDEL!$AG134,IFERROR(0/0,""),preDEL!AE134)</f>
        <v>343.2333333</v>
      </c>
      <c r="AF134" s="93" t="b">
        <f>IF(preDEL!$AG134,IFERROR(0/0,""),preDEL!AF134)</f>
        <v>0</v>
      </c>
      <c r="AG134" s="93" t="b">
        <f>IF(preDEL!$AG134,IFERROR(0/0,""),preDEL!AG134)</f>
        <v>0</v>
      </c>
      <c r="AH134" s="99" t="str">
        <f>IF(preDEL!$AG134,IFERROR(0/0,""),preDEL!AH134)</f>
        <v/>
      </c>
      <c r="AI134" s="249" t="str">
        <f>IF(preDEL!$AG134,IFERROR(0/0,""),preDEL!AI134)</f>
        <v/>
      </c>
      <c r="AJ134" s="94" t="str">
        <f>IF(preDEL!$AG134,IFERROR(0/0,""),preDEL!AJ134)</f>
        <v/>
      </c>
      <c r="AK134" s="249" t="str">
        <f>IF(preDEL!$AG134,IFERROR(0/0,""),preDEL!AK134)</f>
        <v>Negative</v>
      </c>
      <c r="AL134" s="94" t="str">
        <f>IF(preDEL!$AG134,IFERROR(0/0,""),preDEL!AL134)</f>
        <v/>
      </c>
      <c r="AM134" s="94" t="str">
        <f>IF(preDEL!$AG134,IFERROR(0/0,""),preDEL!AM134)</f>
        <v>SpNDHM955894</v>
      </c>
      <c r="AN134" s="94" t="str">
        <f>IF(preDEL!$AG134,IFERROR(0/0,""),preDEL!AN134)</f>
        <v>NDHM432678</v>
      </c>
      <c r="AO134" s="94" t="str">
        <f>IF(preDEL!$AG134,IFERROR(0/0,""),preDEL!AO134)</f>
        <v/>
      </c>
      <c r="AP134" s="94" t="str">
        <f>IF(preDEL!$AG134,IFERROR(0/0,""),preDEL!AP134)</f>
        <v/>
      </c>
      <c r="AQ134" s="94" t="str">
        <f>IF(preDEL!$AG134,IFERROR(0/0,""),preDEL!AQ134)</f>
        <v/>
      </c>
      <c r="AR134" s="94" t="str">
        <f>IF(preDEL!$AG134,IFERROR(0/0,""),preDEL!AR134)</f>
        <v/>
      </c>
      <c r="AS134" s="98"/>
      <c r="BE134" s="254"/>
      <c r="BF134" s="255"/>
      <c r="BG134" s="254"/>
      <c r="BH134" s="255"/>
      <c r="BI134" s="254"/>
      <c r="BJ134" s="254"/>
      <c r="BK134" s="254"/>
      <c r="BL134" s="254"/>
      <c r="BN134" s="7"/>
      <c r="BO134" s="7"/>
      <c r="BP134" s="7"/>
      <c r="BQ134" s="7"/>
      <c r="BR134" s="7"/>
      <c r="BS134" s="7"/>
      <c r="BT134" s="7"/>
    </row>
    <row r="135">
      <c r="A135" s="249" t="str">
        <f>IF(preDEL!$AG135,IFERROR(0/0,""),preDEL!A135)</f>
        <v>AH7211</v>
      </c>
      <c r="B135" s="250">
        <f>IF(preDEL!$AG135,IFERROR(0/0,""),preDEL!B135)</f>
        <v>44704</v>
      </c>
      <c r="C135" s="251">
        <f>IF(preDEL!$AG135,IFERROR(0/0,""),preDEL!C135)</f>
        <v>0.1784606481</v>
      </c>
      <c r="D135" s="249" t="str">
        <f>IF(preDEL!$AG135,IFERROR(0/0,""),preDEL!D135)</f>
        <v/>
      </c>
      <c r="E135" s="249" t="str">
        <f>IF(preDEL!$AG135,IFERROR(0/0,""),preDEL!E135)</f>
        <v/>
      </c>
      <c r="F135" s="94" t="str">
        <f>IF(preDEL!$AG135,IFERROR(0/0,""),preDEL!F135)</f>
        <v/>
      </c>
      <c r="G135" s="94" t="str">
        <f>IF(preDEL!$AG135,IFERROR(0/0,""),preDEL!G135)</f>
        <v/>
      </c>
      <c r="H135" s="94" t="str">
        <f>IF(preDEL!$AG135,IFERROR(0/0,""),preDEL!H135)</f>
        <v/>
      </c>
      <c r="I135" s="249" t="str">
        <f>IF(preDEL!$AG135,IFERROR(0/0,""),preDEL!I135)</f>
        <v/>
      </c>
      <c r="J135" s="249" t="str">
        <f>IF(preDEL!$AG135,IFERROR(0/0,""),preDEL!J135)</f>
        <v/>
      </c>
      <c r="K135" s="249" t="str">
        <f>IF(preDEL!$AG135,IFERROR(0/0,""),preDEL!K135)</f>
        <v>Negative</v>
      </c>
      <c r="L135" s="250">
        <f>IF(preDEL!$AG135,IFERROR(0/0,""),preDEL!L135)</f>
        <v>44704</v>
      </c>
      <c r="M135" s="251">
        <f>IF(preDEL!$AG135,IFERROR(0/0,""),preDEL!M135)</f>
        <v>0.3949074074</v>
      </c>
      <c r="N135" s="94" t="str">
        <f>IF(preDEL!$AG135,IFERROR(0/0,""),preDEL!N135)</f>
        <v/>
      </c>
      <c r="O135" s="94" t="str">
        <f>IF(preDEL!$AG135,IFERROR(0/0,""),preDEL!O135)</f>
        <v/>
      </c>
      <c r="P135" s="93" t="b">
        <f>IF(preDEL!$AG135,IFERROR(0/0,""),preDEL!P135)</f>
        <v>0</v>
      </c>
      <c r="Q135" s="93" t="str">
        <f>IF(preDEL!$AG135,IFERROR(0/0,""),preDEL!Q135)</f>
        <v>Result</v>
      </c>
      <c r="R135" s="99" t="b">
        <f>IF(preDEL!$AG135,IFERROR(0/0,""),preDEL!R135)</f>
        <v>1</v>
      </c>
      <c r="S135" s="99">
        <f>IF(preDEL!$AG135,IFERROR(0/0,""),preDEL!S135)</f>
        <v>4</v>
      </c>
      <c r="T135" s="93">
        <f>IF(preDEL!$AG135,IFERROR(0/0,""),preDEL!T135)</f>
        <v>3</v>
      </c>
      <c r="U135" s="94" t="str">
        <f>IF(preDEL!$AG135,IFERROR(0/0,""),preDEL!U135)</f>
        <v/>
      </c>
      <c r="V135" s="249" t="str">
        <f>IF(preDEL!$AG135,IFERROR(0/0,""),preDEL!V135)</f>
        <v/>
      </c>
      <c r="W135" s="94" t="str">
        <f>IF(preDEL!$AG135,IFERROR(0/0,""),preDEL!W135)</f>
        <v/>
      </c>
      <c r="X135" s="99" t="b">
        <f>IF(preDEL!$AG135,IFERROR(0/0,""),preDEL!X135)</f>
        <v>0</v>
      </c>
      <c r="Y135" s="93" t="str">
        <f>IF(preDEL!$AG135,IFERROR(0/0,""),preDEL!Y135)</f>
        <v/>
      </c>
      <c r="Z135" s="249" t="str">
        <f>IF(preDEL!$AG135,IFERROR(0/0,""),preDEL!Z135)</f>
        <v/>
      </c>
      <c r="AA135" s="93" t="b">
        <f>IF(preDEL!$AG135,IFERROR(0/0,""),preDEL!AA135)</f>
        <v>0</v>
      </c>
      <c r="AB135" s="93" t="str">
        <f>IF(preDEL!$AG135,IFERROR(0/0,""),preDEL!AB135)</f>
        <v/>
      </c>
      <c r="AC135" s="252">
        <f>IF(preDEL!$AG135,IFERROR(0/0,""),preDEL!AC135)</f>
        <v>107</v>
      </c>
      <c r="AD135" s="99" t="str">
        <f>IF(preDEL!$AG135,IFERROR(0/0,""),preDEL!AD135)</f>
        <v/>
      </c>
      <c r="AE135" s="253">
        <f>IF(preDEL!$AG135,IFERROR(0/0,""),preDEL!AE135)</f>
        <v>311.6833333</v>
      </c>
      <c r="AF135" s="93" t="b">
        <f>IF(preDEL!$AG135,IFERROR(0/0,""),preDEL!AF135)</f>
        <v>0</v>
      </c>
      <c r="AG135" s="93" t="b">
        <f>IF(preDEL!$AG135,IFERROR(0/0,""),preDEL!AG135)</f>
        <v>0</v>
      </c>
      <c r="AH135" s="99" t="str">
        <f>IF(preDEL!$AG135,IFERROR(0/0,""),preDEL!AH135)</f>
        <v/>
      </c>
      <c r="AI135" s="249" t="str">
        <f>IF(preDEL!$AG135,IFERROR(0/0,""),preDEL!AI135)</f>
        <v/>
      </c>
      <c r="AJ135" s="94" t="str">
        <f>IF(preDEL!$AG135,IFERROR(0/0,""),preDEL!AJ135)</f>
        <v/>
      </c>
      <c r="AK135" s="249" t="str">
        <f>IF(preDEL!$AG135,IFERROR(0/0,""),preDEL!AK135)</f>
        <v>Negative</v>
      </c>
      <c r="AL135" s="94" t="str">
        <f>IF(preDEL!$AG135,IFERROR(0/0,""),preDEL!AL135)</f>
        <v/>
      </c>
      <c r="AM135" s="94" t="str">
        <f>IF(preDEL!$AG135,IFERROR(0/0,""),preDEL!AM135)</f>
        <v>SpNDHM118014</v>
      </c>
      <c r="AN135" s="94" t="str">
        <f>IF(preDEL!$AG135,IFERROR(0/0,""),preDEL!AN135)</f>
        <v>NDHM711288</v>
      </c>
      <c r="AO135" s="94" t="str">
        <f>IF(preDEL!$AG135,IFERROR(0/0,""),preDEL!AO135)</f>
        <v/>
      </c>
      <c r="AP135" s="94" t="str">
        <f>IF(preDEL!$AG135,IFERROR(0/0,""),preDEL!AP135)</f>
        <v/>
      </c>
      <c r="AQ135" s="94" t="str">
        <f>IF(preDEL!$AG135,IFERROR(0/0,""),preDEL!AQ135)</f>
        <v/>
      </c>
      <c r="AR135" s="94" t="str">
        <f>IF(preDEL!$AG135,IFERROR(0/0,""),preDEL!AR135)</f>
        <v/>
      </c>
      <c r="AS135" s="98"/>
      <c r="BE135" s="254"/>
      <c r="BF135" s="255"/>
      <c r="BG135" s="254"/>
      <c r="BH135" s="255"/>
      <c r="BI135" s="254"/>
      <c r="BJ135" s="254"/>
      <c r="BK135" s="254"/>
      <c r="BL135" s="254"/>
      <c r="BN135" s="7"/>
      <c r="BO135" s="7"/>
      <c r="BP135" s="7"/>
      <c r="BQ135" s="7"/>
      <c r="BR135" s="7"/>
      <c r="BS135" s="7"/>
      <c r="BT135" s="7"/>
    </row>
    <row r="136">
      <c r="A136" s="249" t="str">
        <f>IF(preDEL!$AG136,IFERROR(0/0,""),preDEL!A136)</f>
        <v>AH7211</v>
      </c>
      <c r="B136" s="250">
        <f>IF(preDEL!$AG136,IFERROR(0/0,""),preDEL!B136)</f>
        <v>44704</v>
      </c>
      <c r="C136" s="251">
        <f>IF(preDEL!$AG136,IFERROR(0/0,""),preDEL!C136)</f>
        <v>0.1784606481</v>
      </c>
      <c r="D136" s="249" t="str">
        <f>IF(preDEL!$AG136,IFERROR(0/0,""),preDEL!D136)</f>
        <v/>
      </c>
      <c r="E136" s="249" t="str">
        <f>IF(preDEL!$AG136,IFERROR(0/0,""),preDEL!E136)</f>
        <v/>
      </c>
      <c r="F136" s="94" t="str">
        <f>IF(preDEL!$AG136,IFERROR(0/0,""),preDEL!F136)</f>
        <v/>
      </c>
      <c r="G136" s="94" t="str">
        <f>IF(preDEL!$AG136,IFERROR(0/0,""),preDEL!G136)</f>
        <v/>
      </c>
      <c r="H136" s="94" t="str">
        <f>IF(preDEL!$AG136,IFERROR(0/0,""),preDEL!H136)</f>
        <v/>
      </c>
      <c r="I136" s="249" t="str">
        <f>IF(preDEL!$AG136,IFERROR(0/0,""),preDEL!I136)</f>
        <v/>
      </c>
      <c r="J136" s="249" t="str">
        <f>IF(preDEL!$AG136,IFERROR(0/0,""),preDEL!J136)</f>
        <v/>
      </c>
      <c r="K136" s="249" t="str">
        <f>IF(preDEL!$AG136,IFERROR(0/0,""),preDEL!K136)</f>
        <v>Negative</v>
      </c>
      <c r="L136" s="250">
        <f>IF(preDEL!$AG136,IFERROR(0/0,""),preDEL!L136)</f>
        <v>44704</v>
      </c>
      <c r="M136" s="251">
        <f>IF(preDEL!$AG136,IFERROR(0/0,""),preDEL!M136)</f>
        <v>0.3949074074</v>
      </c>
      <c r="N136" s="94" t="str">
        <f>IF(preDEL!$AG136,IFERROR(0/0,""),preDEL!N136)</f>
        <v/>
      </c>
      <c r="O136" s="94" t="str">
        <f>IF(preDEL!$AG136,IFERROR(0/0,""),preDEL!O136)</f>
        <v/>
      </c>
      <c r="P136" s="93" t="b">
        <f>IF(preDEL!$AG136,IFERROR(0/0,""),preDEL!P136)</f>
        <v>0</v>
      </c>
      <c r="Q136" s="93" t="str">
        <f>IF(preDEL!$AG136,IFERROR(0/0,""),preDEL!Q136)</f>
        <v>Result</v>
      </c>
      <c r="R136" s="99" t="b">
        <f>IF(preDEL!$AG136,IFERROR(0/0,""),preDEL!R136)</f>
        <v>0</v>
      </c>
      <c r="S136" s="99">
        <f>IF(preDEL!$AG136,IFERROR(0/0,""),preDEL!S136)</f>
        <v>4</v>
      </c>
      <c r="T136" s="93">
        <f>IF(preDEL!$AG136,IFERROR(0/0,""),preDEL!T136)</f>
        <v>3</v>
      </c>
      <c r="U136" s="94" t="str">
        <f>IF(preDEL!$AG136,IFERROR(0/0,""),preDEL!U136)</f>
        <v/>
      </c>
      <c r="V136" s="249" t="str">
        <f>IF(preDEL!$AG136,IFERROR(0/0,""),preDEL!V136)</f>
        <v/>
      </c>
      <c r="W136" s="94" t="str">
        <f>IF(preDEL!$AG136,IFERROR(0/0,""),preDEL!W136)</f>
        <v/>
      </c>
      <c r="X136" s="99" t="b">
        <f>IF(preDEL!$AG136,IFERROR(0/0,""),preDEL!X136)</f>
        <v>0</v>
      </c>
      <c r="Y136" s="93" t="str">
        <f>IF(preDEL!$AG136,IFERROR(0/0,""),preDEL!Y136)</f>
        <v/>
      </c>
      <c r="Z136" s="249" t="str">
        <f>IF(preDEL!$AG136,IFERROR(0/0,""),preDEL!Z136)</f>
        <v/>
      </c>
      <c r="AA136" s="93" t="b">
        <f>IF(preDEL!$AG136,IFERROR(0/0,""),preDEL!AA136)</f>
        <v>0</v>
      </c>
      <c r="AB136" s="93" t="str">
        <f>IF(preDEL!$AG136,IFERROR(0/0,""),preDEL!AB136)</f>
        <v/>
      </c>
      <c r="AC136" s="252">
        <f>IF(preDEL!$AG136,IFERROR(0/0,""),preDEL!AC136)</f>
        <v>107</v>
      </c>
      <c r="AD136" s="99" t="str">
        <f>IF(preDEL!$AG136,IFERROR(0/0,""),preDEL!AD136)</f>
        <v/>
      </c>
      <c r="AE136" s="253">
        <f>IF(preDEL!$AG136,IFERROR(0/0,""),preDEL!AE136)</f>
        <v>311.6833333</v>
      </c>
      <c r="AF136" s="93" t="b">
        <f>IF(preDEL!$AG136,IFERROR(0/0,""),preDEL!AF136)</f>
        <v>0</v>
      </c>
      <c r="AG136" s="93" t="b">
        <f>IF(preDEL!$AG136,IFERROR(0/0,""),preDEL!AG136)</f>
        <v>0</v>
      </c>
      <c r="AH136" s="99" t="str">
        <f>IF(preDEL!$AG136,IFERROR(0/0,""),preDEL!AH136)</f>
        <v/>
      </c>
      <c r="AI136" s="249" t="str">
        <f>IF(preDEL!$AG136,IFERROR(0/0,""),preDEL!AI136)</f>
        <v/>
      </c>
      <c r="AJ136" s="94" t="str">
        <f>IF(preDEL!$AG136,IFERROR(0/0,""),preDEL!AJ136)</f>
        <v/>
      </c>
      <c r="AK136" s="249" t="str">
        <f>IF(preDEL!$AG136,IFERROR(0/0,""),preDEL!AK136)</f>
        <v>Negative</v>
      </c>
      <c r="AL136" s="94" t="str">
        <f>IF(preDEL!$AG136,IFERROR(0/0,""),preDEL!AL136)</f>
        <v/>
      </c>
      <c r="AM136" s="94" t="str">
        <f>IF(preDEL!$AG136,IFERROR(0/0,""),preDEL!AM136)</f>
        <v>SpNDHM118014</v>
      </c>
      <c r="AN136" s="94" t="str">
        <f>IF(preDEL!$AG136,IFERROR(0/0,""),preDEL!AN136)</f>
        <v>NDHM586177</v>
      </c>
      <c r="AO136" s="94" t="str">
        <f>IF(preDEL!$AG136,IFERROR(0/0,""),preDEL!AO136)</f>
        <v/>
      </c>
      <c r="AP136" s="94" t="str">
        <f>IF(preDEL!$AG136,IFERROR(0/0,""),preDEL!AP136)</f>
        <v/>
      </c>
      <c r="AQ136" s="94" t="str">
        <f>IF(preDEL!$AG136,IFERROR(0/0,""),preDEL!AQ136)</f>
        <v/>
      </c>
      <c r="AR136" s="94" t="str">
        <f>IF(preDEL!$AG136,IFERROR(0/0,""),preDEL!AR136)</f>
        <v/>
      </c>
      <c r="AS136" s="98"/>
      <c r="BE136" s="254"/>
      <c r="BF136" s="255"/>
      <c r="BG136" s="254"/>
      <c r="BH136" s="255"/>
      <c r="BI136" s="254"/>
      <c r="BJ136" s="254"/>
      <c r="BK136" s="254"/>
      <c r="BL136" s="254"/>
      <c r="BN136" s="7"/>
      <c r="BO136" s="7"/>
      <c r="BP136" s="7"/>
      <c r="BQ136" s="7"/>
      <c r="BR136" s="7"/>
      <c r="BS136" s="7"/>
      <c r="BT136" s="7"/>
    </row>
    <row r="137">
      <c r="A137" s="249" t="str">
        <f>IF(preDEL!$AG137,IFERROR(0/0,""),preDEL!A137)</f>
        <v>AH7211</v>
      </c>
      <c r="B137" s="250">
        <f>IF(preDEL!$AG137,IFERROR(0/0,""),preDEL!B137)</f>
        <v>44704</v>
      </c>
      <c r="C137" s="251">
        <f>IF(preDEL!$AG137,IFERROR(0/0,""),preDEL!C137)</f>
        <v>0.1784606481</v>
      </c>
      <c r="D137" s="249" t="str">
        <f>IF(preDEL!$AG137,IFERROR(0/0,""),preDEL!D137)</f>
        <v/>
      </c>
      <c r="E137" s="249" t="str">
        <f>IF(preDEL!$AG137,IFERROR(0/0,""),preDEL!E137)</f>
        <v/>
      </c>
      <c r="F137" s="94" t="str">
        <f>IF(preDEL!$AG137,IFERROR(0/0,""),preDEL!F137)</f>
        <v/>
      </c>
      <c r="G137" s="94" t="str">
        <f>IF(preDEL!$AG137,IFERROR(0/0,""),preDEL!G137)</f>
        <v/>
      </c>
      <c r="H137" s="94" t="str">
        <f>IF(preDEL!$AG137,IFERROR(0/0,""),preDEL!H137)</f>
        <v/>
      </c>
      <c r="I137" s="249" t="str">
        <f>IF(preDEL!$AG137,IFERROR(0/0,""),preDEL!I137)</f>
        <v/>
      </c>
      <c r="J137" s="249" t="str">
        <f>IF(preDEL!$AG137,IFERROR(0/0,""),preDEL!J137)</f>
        <v/>
      </c>
      <c r="K137" s="249" t="str">
        <f>IF(preDEL!$AG137,IFERROR(0/0,""),preDEL!K137)</f>
        <v>Negative</v>
      </c>
      <c r="L137" s="250">
        <f>IF(preDEL!$AG137,IFERROR(0/0,""),preDEL!L137)</f>
        <v>44704</v>
      </c>
      <c r="M137" s="251">
        <f>IF(preDEL!$AG137,IFERROR(0/0,""),preDEL!M137)</f>
        <v>0.3949074074</v>
      </c>
      <c r="N137" s="94" t="str">
        <f>IF(preDEL!$AG137,IFERROR(0/0,""),preDEL!N137)</f>
        <v/>
      </c>
      <c r="O137" s="94" t="str">
        <f>IF(preDEL!$AG137,IFERROR(0/0,""),preDEL!O137)</f>
        <v/>
      </c>
      <c r="P137" s="93" t="b">
        <f>IF(preDEL!$AG137,IFERROR(0/0,""),preDEL!P137)</f>
        <v>0</v>
      </c>
      <c r="Q137" s="93" t="str">
        <f>IF(preDEL!$AG137,IFERROR(0/0,""),preDEL!Q137)</f>
        <v>Result</v>
      </c>
      <c r="R137" s="99" t="b">
        <f>IF(preDEL!$AG137,IFERROR(0/0,""),preDEL!R137)</f>
        <v>0</v>
      </c>
      <c r="S137" s="99">
        <f>IF(preDEL!$AG137,IFERROR(0/0,""),preDEL!S137)</f>
        <v>4</v>
      </c>
      <c r="T137" s="93">
        <f>IF(preDEL!$AG137,IFERROR(0/0,""),preDEL!T137)</f>
        <v>3</v>
      </c>
      <c r="U137" s="94" t="str">
        <f>IF(preDEL!$AG137,IFERROR(0/0,""),preDEL!U137)</f>
        <v/>
      </c>
      <c r="V137" s="249" t="str">
        <f>IF(preDEL!$AG137,IFERROR(0/0,""),preDEL!V137)</f>
        <v/>
      </c>
      <c r="W137" s="94" t="str">
        <f>IF(preDEL!$AG137,IFERROR(0/0,""),preDEL!W137)</f>
        <v/>
      </c>
      <c r="X137" s="99" t="b">
        <f>IF(preDEL!$AG137,IFERROR(0/0,""),preDEL!X137)</f>
        <v>0</v>
      </c>
      <c r="Y137" s="93" t="str">
        <f>IF(preDEL!$AG137,IFERROR(0/0,""),preDEL!Y137)</f>
        <v/>
      </c>
      <c r="Z137" s="249" t="str">
        <f>IF(preDEL!$AG137,IFERROR(0/0,""),preDEL!Z137)</f>
        <v/>
      </c>
      <c r="AA137" s="93" t="b">
        <f>IF(preDEL!$AG137,IFERROR(0/0,""),preDEL!AA137)</f>
        <v>0</v>
      </c>
      <c r="AB137" s="93" t="str">
        <f>IF(preDEL!$AG137,IFERROR(0/0,""),preDEL!AB137)</f>
        <v/>
      </c>
      <c r="AC137" s="252">
        <f>IF(preDEL!$AG137,IFERROR(0/0,""),preDEL!AC137)</f>
        <v>107</v>
      </c>
      <c r="AD137" s="99" t="str">
        <f>IF(preDEL!$AG137,IFERROR(0/0,""),preDEL!AD137)</f>
        <v/>
      </c>
      <c r="AE137" s="253">
        <f>IF(preDEL!$AG137,IFERROR(0/0,""),preDEL!AE137)</f>
        <v>311.6833333</v>
      </c>
      <c r="AF137" s="93" t="b">
        <f>IF(preDEL!$AG137,IFERROR(0/0,""),preDEL!AF137)</f>
        <v>0</v>
      </c>
      <c r="AG137" s="93" t="b">
        <f>IF(preDEL!$AG137,IFERROR(0/0,""),preDEL!AG137)</f>
        <v>0</v>
      </c>
      <c r="AH137" s="99" t="str">
        <f>IF(preDEL!$AG137,IFERROR(0/0,""),preDEL!AH137)</f>
        <v/>
      </c>
      <c r="AI137" s="249" t="str">
        <f>IF(preDEL!$AG137,IFERROR(0/0,""),preDEL!AI137)</f>
        <v/>
      </c>
      <c r="AJ137" s="94" t="str">
        <f>IF(preDEL!$AG137,IFERROR(0/0,""),preDEL!AJ137)</f>
        <v/>
      </c>
      <c r="AK137" s="249" t="str">
        <f>IF(preDEL!$AG137,IFERROR(0/0,""),preDEL!AK137)</f>
        <v>Negative</v>
      </c>
      <c r="AL137" s="94" t="str">
        <f>IF(preDEL!$AG137,IFERROR(0/0,""),preDEL!AL137)</f>
        <v/>
      </c>
      <c r="AM137" s="94" t="str">
        <f>IF(preDEL!$AG137,IFERROR(0/0,""),preDEL!AM137)</f>
        <v>SpNDHM118014</v>
      </c>
      <c r="AN137" s="94" t="str">
        <f>IF(preDEL!$AG137,IFERROR(0/0,""),preDEL!AN137)</f>
        <v>NDHM953531</v>
      </c>
      <c r="AO137" s="94" t="str">
        <f>IF(preDEL!$AG137,IFERROR(0/0,""),preDEL!AO137)</f>
        <v/>
      </c>
      <c r="AP137" s="94" t="str">
        <f>IF(preDEL!$AG137,IFERROR(0/0,""),preDEL!AP137)</f>
        <v/>
      </c>
      <c r="AQ137" s="94" t="str">
        <f>IF(preDEL!$AG137,IFERROR(0/0,""),preDEL!AQ137)</f>
        <v/>
      </c>
      <c r="AR137" s="94" t="str">
        <f>IF(preDEL!$AG137,IFERROR(0/0,""),preDEL!AR137)</f>
        <v/>
      </c>
      <c r="AS137" s="98"/>
      <c r="BE137" s="254"/>
      <c r="BF137" s="255"/>
      <c r="BG137" s="254"/>
      <c r="BH137" s="255"/>
      <c r="BI137" s="254"/>
      <c r="BJ137" s="254"/>
      <c r="BK137" s="254"/>
      <c r="BL137" s="254"/>
      <c r="BN137" s="7"/>
      <c r="BO137" s="7"/>
      <c r="BP137" s="7"/>
      <c r="BQ137" s="7"/>
      <c r="BR137" s="7"/>
      <c r="BS137" s="7"/>
      <c r="BT137" s="7"/>
    </row>
    <row r="138">
      <c r="A138" s="249" t="str">
        <f>IF(preDEL!$AG138,IFERROR(0/0,""),preDEL!A138)</f>
        <v>AH7211</v>
      </c>
      <c r="B138" s="250">
        <f>IF(preDEL!$AG138,IFERROR(0/0,""),preDEL!B138)</f>
        <v>44704</v>
      </c>
      <c r="C138" s="251">
        <f>IF(preDEL!$AG138,IFERROR(0/0,""),preDEL!C138)</f>
        <v>0.1784606481</v>
      </c>
      <c r="D138" s="249" t="str">
        <f>IF(preDEL!$AG138,IFERROR(0/0,""),preDEL!D138)</f>
        <v/>
      </c>
      <c r="E138" s="249" t="str">
        <f>IF(preDEL!$AG138,IFERROR(0/0,""),preDEL!E138)</f>
        <v/>
      </c>
      <c r="F138" s="94" t="str">
        <f>IF(preDEL!$AG138,IFERROR(0/0,""),preDEL!F138)</f>
        <v/>
      </c>
      <c r="G138" s="94" t="str">
        <f>IF(preDEL!$AG138,IFERROR(0/0,""),preDEL!G138)</f>
        <v/>
      </c>
      <c r="H138" s="94" t="str">
        <f>IF(preDEL!$AG138,IFERROR(0/0,""),preDEL!H138)</f>
        <v/>
      </c>
      <c r="I138" s="249" t="str">
        <f>IF(preDEL!$AG138,IFERROR(0/0,""),preDEL!I138)</f>
        <v/>
      </c>
      <c r="J138" s="249" t="str">
        <f>IF(preDEL!$AG138,IFERROR(0/0,""),preDEL!J138)</f>
        <v/>
      </c>
      <c r="K138" s="249" t="str">
        <f>IF(preDEL!$AG138,IFERROR(0/0,""),preDEL!K138)</f>
        <v>Negative</v>
      </c>
      <c r="L138" s="250">
        <f>IF(preDEL!$AG138,IFERROR(0/0,""),preDEL!L138)</f>
        <v>44704</v>
      </c>
      <c r="M138" s="251">
        <f>IF(preDEL!$AG138,IFERROR(0/0,""),preDEL!M138)</f>
        <v>0.3949074074</v>
      </c>
      <c r="N138" s="94" t="str">
        <f>IF(preDEL!$AG138,IFERROR(0/0,""),preDEL!N138)</f>
        <v/>
      </c>
      <c r="O138" s="94" t="str">
        <f>IF(preDEL!$AG138,IFERROR(0/0,""),preDEL!O138)</f>
        <v/>
      </c>
      <c r="P138" s="93" t="b">
        <f>IF(preDEL!$AG138,IFERROR(0/0,""),preDEL!P138)</f>
        <v>0</v>
      </c>
      <c r="Q138" s="93" t="str">
        <f>IF(preDEL!$AG138,IFERROR(0/0,""),preDEL!Q138)</f>
        <v>Result</v>
      </c>
      <c r="R138" s="99" t="b">
        <f>IF(preDEL!$AG138,IFERROR(0/0,""),preDEL!R138)</f>
        <v>0</v>
      </c>
      <c r="S138" s="99">
        <f>IF(preDEL!$AG138,IFERROR(0/0,""),preDEL!S138)</f>
        <v>4</v>
      </c>
      <c r="T138" s="93">
        <f>IF(preDEL!$AG138,IFERROR(0/0,""),preDEL!T138)</f>
        <v>3</v>
      </c>
      <c r="U138" s="94" t="str">
        <f>IF(preDEL!$AG138,IFERROR(0/0,""),preDEL!U138)</f>
        <v/>
      </c>
      <c r="V138" s="249" t="str">
        <f>IF(preDEL!$AG138,IFERROR(0/0,""),preDEL!V138)</f>
        <v/>
      </c>
      <c r="W138" s="94" t="str">
        <f>IF(preDEL!$AG138,IFERROR(0/0,""),preDEL!W138)</f>
        <v/>
      </c>
      <c r="X138" s="99" t="b">
        <f>IF(preDEL!$AG138,IFERROR(0/0,""),preDEL!X138)</f>
        <v>0</v>
      </c>
      <c r="Y138" s="93" t="str">
        <f>IF(preDEL!$AG138,IFERROR(0/0,""),preDEL!Y138)</f>
        <v/>
      </c>
      <c r="Z138" s="249" t="str">
        <f>IF(preDEL!$AG138,IFERROR(0/0,""),preDEL!Z138)</f>
        <v/>
      </c>
      <c r="AA138" s="93" t="b">
        <f>IF(preDEL!$AG138,IFERROR(0/0,""),preDEL!AA138)</f>
        <v>0</v>
      </c>
      <c r="AB138" s="93" t="str">
        <f>IF(preDEL!$AG138,IFERROR(0/0,""),preDEL!AB138)</f>
        <v/>
      </c>
      <c r="AC138" s="252">
        <f>IF(preDEL!$AG138,IFERROR(0/0,""),preDEL!AC138)</f>
        <v>107</v>
      </c>
      <c r="AD138" s="99" t="str">
        <f>IF(preDEL!$AG138,IFERROR(0/0,""),preDEL!AD138)</f>
        <v/>
      </c>
      <c r="AE138" s="253">
        <f>IF(preDEL!$AG138,IFERROR(0/0,""),preDEL!AE138)</f>
        <v>311.6833333</v>
      </c>
      <c r="AF138" s="93" t="b">
        <f>IF(preDEL!$AG138,IFERROR(0/0,""),preDEL!AF138)</f>
        <v>0</v>
      </c>
      <c r="AG138" s="93" t="b">
        <f>IF(preDEL!$AG138,IFERROR(0/0,""),preDEL!AG138)</f>
        <v>0</v>
      </c>
      <c r="AH138" s="99" t="str">
        <f>IF(preDEL!$AG138,IFERROR(0/0,""),preDEL!AH138)</f>
        <v/>
      </c>
      <c r="AI138" s="249" t="str">
        <f>IF(preDEL!$AG138,IFERROR(0/0,""),preDEL!AI138)</f>
        <v/>
      </c>
      <c r="AJ138" s="94" t="str">
        <f>IF(preDEL!$AG138,IFERROR(0/0,""),preDEL!AJ138)</f>
        <v/>
      </c>
      <c r="AK138" s="249" t="str">
        <f>IF(preDEL!$AG138,IFERROR(0/0,""),preDEL!AK138)</f>
        <v>Negative</v>
      </c>
      <c r="AL138" s="94" t="str">
        <f>IF(preDEL!$AG138,IFERROR(0/0,""),preDEL!AL138)</f>
        <v/>
      </c>
      <c r="AM138" s="94" t="str">
        <f>IF(preDEL!$AG138,IFERROR(0/0,""),preDEL!AM138)</f>
        <v>SpNDHM118014</v>
      </c>
      <c r="AN138" s="94" t="str">
        <f>IF(preDEL!$AG138,IFERROR(0/0,""),preDEL!AN138)</f>
        <v>NDHM976885</v>
      </c>
      <c r="AO138" s="94" t="str">
        <f>IF(preDEL!$AG138,IFERROR(0/0,""),preDEL!AO138)</f>
        <v/>
      </c>
      <c r="AP138" s="94" t="str">
        <f>IF(preDEL!$AG138,IFERROR(0/0,""),preDEL!AP138)</f>
        <v/>
      </c>
      <c r="AQ138" s="94" t="str">
        <f>IF(preDEL!$AG138,IFERROR(0/0,""),preDEL!AQ138)</f>
        <v/>
      </c>
      <c r="AR138" s="94" t="str">
        <f>IF(preDEL!$AG138,IFERROR(0/0,""),preDEL!AR138)</f>
        <v/>
      </c>
      <c r="AS138" s="98"/>
      <c r="BE138" s="254"/>
      <c r="BF138" s="255"/>
      <c r="BG138" s="254"/>
      <c r="BH138" s="255"/>
      <c r="BI138" s="254"/>
      <c r="BJ138" s="254"/>
      <c r="BK138" s="254"/>
      <c r="BL138" s="254"/>
      <c r="BN138" s="7"/>
      <c r="BO138" s="7"/>
      <c r="BP138" s="7"/>
      <c r="BQ138" s="7"/>
      <c r="BR138" s="7"/>
      <c r="BS138" s="7"/>
      <c r="BT138" s="7"/>
    </row>
    <row r="139">
      <c r="A139" s="249" t="str">
        <f>IF(preDEL!$AG139,IFERROR(0/0,""),preDEL!A139)</f>
        <v>AH330</v>
      </c>
      <c r="B139" s="250">
        <f>IF(preDEL!$AG139,IFERROR(0/0,""),preDEL!B139)</f>
        <v>44704</v>
      </c>
      <c r="C139" s="251">
        <f>IF(preDEL!$AG139,IFERROR(0/0,""),preDEL!C139)</f>
        <v>0.1878240741</v>
      </c>
      <c r="D139" s="249" t="str">
        <f>IF(preDEL!$AG139,IFERROR(0/0,""),preDEL!D139)</f>
        <v/>
      </c>
      <c r="E139" s="249" t="str">
        <f>IF(preDEL!$AG139,IFERROR(0/0,""),preDEL!E139)</f>
        <v/>
      </c>
      <c r="F139" s="94" t="str">
        <f>IF(preDEL!$AG139,IFERROR(0/0,""),preDEL!F139)</f>
        <v/>
      </c>
      <c r="G139" s="94" t="str">
        <f>IF(preDEL!$AG139,IFERROR(0/0,""),preDEL!G139)</f>
        <v/>
      </c>
      <c r="H139" s="94" t="str">
        <f>IF(preDEL!$AG139,IFERROR(0/0,""),preDEL!H139)</f>
        <v/>
      </c>
      <c r="I139" s="249" t="str">
        <f>IF(preDEL!$AG139,IFERROR(0/0,""),preDEL!I139)</f>
        <v/>
      </c>
      <c r="J139" s="249" t="str">
        <f>IF(preDEL!$AG139,IFERROR(0/0,""),preDEL!J139)</f>
        <v/>
      </c>
      <c r="K139" s="249" t="str">
        <f>IF(preDEL!$AG139,IFERROR(0/0,""),preDEL!K139)</f>
        <v>Negative</v>
      </c>
      <c r="L139" s="250">
        <f>IF(preDEL!$AG139,IFERROR(0/0,""),preDEL!L139)</f>
        <v>44704</v>
      </c>
      <c r="M139" s="251">
        <f>IF(preDEL!$AG139,IFERROR(0/0,""),preDEL!M139)</f>
        <v>0.3949074074</v>
      </c>
      <c r="N139" s="94" t="str">
        <f>IF(preDEL!$AG139,IFERROR(0/0,""),preDEL!N139)</f>
        <v/>
      </c>
      <c r="O139" s="94" t="str">
        <f>IF(preDEL!$AG139,IFERROR(0/0,""),preDEL!O139)</f>
        <v/>
      </c>
      <c r="P139" s="93" t="b">
        <f>IF(preDEL!$AG139,IFERROR(0/0,""),preDEL!P139)</f>
        <v>0</v>
      </c>
      <c r="Q139" s="93" t="str">
        <f>IF(preDEL!$AG139,IFERROR(0/0,""),preDEL!Q139)</f>
        <v>Result</v>
      </c>
      <c r="R139" s="99" t="b">
        <f>IF(preDEL!$AG139,IFERROR(0/0,""),preDEL!R139)</f>
        <v>1</v>
      </c>
      <c r="S139" s="99">
        <f>IF(preDEL!$AG139,IFERROR(0/0,""),preDEL!S139)</f>
        <v>4</v>
      </c>
      <c r="T139" s="93" t="str">
        <f>IF(preDEL!$AG139,IFERROR(0/0,""),preDEL!T139)</f>
        <v/>
      </c>
      <c r="U139" s="94" t="str">
        <f>IF(preDEL!$AG139,IFERROR(0/0,""),preDEL!U139)</f>
        <v/>
      </c>
      <c r="V139" s="249" t="str">
        <f>IF(preDEL!$AG139,IFERROR(0/0,""),preDEL!V139)</f>
        <v/>
      </c>
      <c r="W139" s="94" t="str">
        <f>IF(preDEL!$AG139,IFERROR(0/0,""),preDEL!W139)</f>
        <v/>
      </c>
      <c r="X139" s="99" t="b">
        <f>IF(preDEL!$AG139,IFERROR(0/0,""),preDEL!X139)</f>
        <v>0</v>
      </c>
      <c r="Y139" s="93" t="str">
        <f>IF(preDEL!$AG139,IFERROR(0/0,""),preDEL!Y139)</f>
        <v/>
      </c>
      <c r="Z139" s="249" t="str">
        <f>IF(preDEL!$AG139,IFERROR(0/0,""),preDEL!Z139)</f>
        <v/>
      </c>
      <c r="AA139" s="93" t="b">
        <f>IF(preDEL!$AG139,IFERROR(0/0,""),preDEL!AA139)</f>
        <v>0</v>
      </c>
      <c r="AB139" s="93" t="str">
        <f>IF(preDEL!$AG139,IFERROR(0/0,""),preDEL!AB139)</f>
        <v/>
      </c>
      <c r="AC139" s="252">
        <f>IF(preDEL!$AG139,IFERROR(0/0,""),preDEL!AC139)</f>
        <v>111</v>
      </c>
      <c r="AD139" s="99" t="str">
        <f>IF(preDEL!$AG139,IFERROR(0/0,""),preDEL!AD139)</f>
        <v/>
      </c>
      <c r="AE139" s="253">
        <f>IF(preDEL!$AG139,IFERROR(0/0,""),preDEL!AE139)</f>
        <v>298.2</v>
      </c>
      <c r="AF139" s="93" t="b">
        <f>IF(preDEL!$AG139,IFERROR(0/0,""),preDEL!AF139)</f>
        <v>0</v>
      </c>
      <c r="AG139" s="93" t="b">
        <f>IF(preDEL!$AG139,IFERROR(0/0,""),preDEL!AG139)</f>
        <v>0</v>
      </c>
      <c r="AH139" s="99" t="str">
        <f>IF(preDEL!$AG139,IFERROR(0/0,""),preDEL!AH139)</f>
        <v/>
      </c>
      <c r="AI139" s="249" t="str">
        <f>IF(preDEL!$AG139,IFERROR(0/0,""),preDEL!AI139)</f>
        <v/>
      </c>
      <c r="AJ139" s="94" t="str">
        <f>IF(preDEL!$AG139,IFERROR(0/0,""),preDEL!AJ139)</f>
        <v/>
      </c>
      <c r="AK139" s="249" t="str">
        <f>IF(preDEL!$AG139,IFERROR(0/0,""),preDEL!AK139)</f>
        <v>Negative</v>
      </c>
      <c r="AL139" s="94" t="str">
        <f>IF(preDEL!$AG139,IFERROR(0/0,""),preDEL!AL139)</f>
        <v/>
      </c>
      <c r="AM139" s="94" t="str">
        <f>IF(preDEL!$AG139,IFERROR(0/0,""),preDEL!AM139)</f>
        <v>SpNDHM189649</v>
      </c>
      <c r="AN139" s="94" t="str">
        <f>IF(preDEL!$AG139,IFERROR(0/0,""),preDEL!AN139)</f>
        <v>NDHM872314</v>
      </c>
      <c r="AO139" s="94" t="str">
        <f>IF(preDEL!$AG139,IFERROR(0/0,""),preDEL!AO139)</f>
        <v/>
      </c>
      <c r="AP139" s="94" t="str">
        <f>IF(preDEL!$AG139,IFERROR(0/0,""),preDEL!AP139)</f>
        <v/>
      </c>
      <c r="AQ139" s="94" t="str">
        <f>IF(preDEL!$AG139,IFERROR(0/0,""),preDEL!AQ139)</f>
        <v/>
      </c>
      <c r="AR139" s="94" t="str">
        <f>IF(preDEL!$AG139,IFERROR(0/0,""),preDEL!AR139)</f>
        <v/>
      </c>
      <c r="AS139" s="98"/>
      <c r="BE139" s="254"/>
      <c r="BF139" s="255"/>
      <c r="BG139" s="254"/>
      <c r="BH139" s="255"/>
      <c r="BI139" s="254"/>
      <c r="BJ139" s="254"/>
      <c r="BK139" s="254"/>
      <c r="BL139" s="254"/>
      <c r="BN139" s="7"/>
      <c r="BO139" s="7"/>
      <c r="BP139" s="7"/>
      <c r="BQ139" s="7"/>
      <c r="BR139" s="7"/>
      <c r="BS139" s="7"/>
      <c r="BT139" s="7"/>
    </row>
    <row r="140">
      <c r="A140" s="249" t="str">
        <f>IF(preDEL!$AG140,IFERROR(0/0,""),preDEL!A140)</f>
        <v>AH330</v>
      </c>
      <c r="B140" s="250">
        <f>IF(preDEL!$AG140,IFERROR(0/0,""),preDEL!B140)</f>
        <v>44704</v>
      </c>
      <c r="C140" s="251">
        <f>IF(preDEL!$AG140,IFERROR(0/0,""),preDEL!C140)</f>
        <v>0.1878240741</v>
      </c>
      <c r="D140" s="249" t="str">
        <f>IF(preDEL!$AG140,IFERROR(0/0,""),preDEL!D140)</f>
        <v/>
      </c>
      <c r="E140" s="249" t="str">
        <f>IF(preDEL!$AG140,IFERROR(0/0,""),preDEL!E140)</f>
        <v/>
      </c>
      <c r="F140" s="94" t="str">
        <f>IF(preDEL!$AG140,IFERROR(0/0,""),preDEL!F140)</f>
        <v/>
      </c>
      <c r="G140" s="94" t="str">
        <f>IF(preDEL!$AG140,IFERROR(0/0,""),preDEL!G140)</f>
        <v/>
      </c>
      <c r="H140" s="94" t="str">
        <f>IF(preDEL!$AG140,IFERROR(0/0,""),preDEL!H140)</f>
        <v/>
      </c>
      <c r="I140" s="249" t="str">
        <f>IF(preDEL!$AG140,IFERROR(0/0,""),preDEL!I140)</f>
        <v/>
      </c>
      <c r="J140" s="249" t="str">
        <f>IF(preDEL!$AG140,IFERROR(0/0,""),preDEL!J140)</f>
        <v/>
      </c>
      <c r="K140" s="249" t="str">
        <f>IF(preDEL!$AG140,IFERROR(0/0,""),preDEL!K140)</f>
        <v>Negative</v>
      </c>
      <c r="L140" s="250">
        <f>IF(preDEL!$AG140,IFERROR(0/0,""),preDEL!L140)</f>
        <v>44704</v>
      </c>
      <c r="M140" s="251">
        <f>IF(preDEL!$AG140,IFERROR(0/0,""),preDEL!M140)</f>
        <v>0.3949074074</v>
      </c>
      <c r="N140" s="94" t="str">
        <f>IF(preDEL!$AG140,IFERROR(0/0,""),preDEL!N140)</f>
        <v/>
      </c>
      <c r="O140" s="94" t="str">
        <f>IF(preDEL!$AG140,IFERROR(0/0,""),preDEL!O140)</f>
        <v/>
      </c>
      <c r="P140" s="93" t="b">
        <f>IF(preDEL!$AG140,IFERROR(0/0,""),preDEL!P140)</f>
        <v>0</v>
      </c>
      <c r="Q140" s="93" t="str">
        <f>IF(preDEL!$AG140,IFERROR(0/0,""),preDEL!Q140)</f>
        <v>Result</v>
      </c>
      <c r="R140" s="99" t="b">
        <f>IF(preDEL!$AG140,IFERROR(0/0,""),preDEL!R140)</f>
        <v>0</v>
      </c>
      <c r="S140" s="99">
        <f>IF(preDEL!$AG140,IFERROR(0/0,""),preDEL!S140)</f>
        <v>4</v>
      </c>
      <c r="T140" s="93" t="str">
        <f>IF(preDEL!$AG140,IFERROR(0/0,""),preDEL!T140)</f>
        <v/>
      </c>
      <c r="U140" s="94" t="str">
        <f>IF(preDEL!$AG140,IFERROR(0/0,""),preDEL!U140)</f>
        <v/>
      </c>
      <c r="V140" s="249" t="str">
        <f>IF(preDEL!$AG140,IFERROR(0/0,""),preDEL!V140)</f>
        <v/>
      </c>
      <c r="W140" s="94" t="str">
        <f>IF(preDEL!$AG140,IFERROR(0/0,""),preDEL!W140)</f>
        <v/>
      </c>
      <c r="X140" s="99" t="b">
        <f>IF(preDEL!$AG140,IFERROR(0/0,""),preDEL!X140)</f>
        <v>0</v>
      </c>
      <c r="Y140" s="93" t="str">
        <f>IF(preDEL!$AG140,IFERROR(0/0,""),preDEL!Y140)</f>
        <v/>
      </c>
      <c r="Z140" s="249" t="str">
        <f>IF(preDEL!$AG140,IFERROR(0/0,""),preDEL!Z140)</f>
        <v/>
      </c>
      <c r="AA140" s="93" t="b">
        <f>IF(preDEL!$AG140,IFERROR(0/0,""),preDEL!AA140)</f>
        <v>0</v>
      </c>
      <c r="AB140" s="93" t="str">
        <f>IF(preDEL!$AG140,IFERROR(0/0,""),preDEL!AB140)</f>
        <v/>
      </c>
      <c r="AC140" s="252">
        <f>IF(preDEL!$AG140,IFERROR(0/0,""),preDEL!AC140)</f>
        <v>110</v>
      </c>
      <c r="AD140" s="99" t="str">
        <f>IF(preDEL!$AG140,IFERROR(0/0,""),preDEL!AD140)</f>
        <v/>
      </c>
      <c r="AE140" s="253">
        <f>IF(preDEL!$AG140,IFERROR(0/0,""),preDEL!AE140)</f>
        <v>298.2</v>
      </c>
      <c r="AF140" s="93" t="b">
        <f>IF(preDEL!$AG140,IFERROR(0/0,""),preDEL!AF140)</f>
        <v>0</v>
      </c>
      <c r="AG140" s="93" t="b">
        <f>IF(preDEL!$AG140,IFERROR(0/0,""),preDEL!AG140)</f>
        <v>0</v>
      </c>
      <c r="AH140" s="99" t="str">
        <f>IF(preDEL!$AG140,IFERROR(0/0,""),preDEL!AH140)</f>
        <v/>
      </c>
      <c r="AI140" s="249" t="str">
        <f>IF(preDEL!$AG140,IFERROR(0/0,""),preDEL!AI140)</f>
        <v/>
      </c>
      <c r="AJ140" s="94" t="str">
        <f>IF(preDEL!$AG140,IFERROR(0/0,""),preDEL!AJ140)</f>
        <v/>
      </c>
      <c r="AK140" s="249" t="str">
        <f>IF(preDEL!$AG140,IFERROR(0/0,""),preDEL!AK140)</f>
        <v>Negative</v>
      </c>
      <c r="AL140" s="94" t="str">
        <f>IF(preDEL!$AG140,IFERROR(0/0,""),preDEL!AL140)</f>
        <v/>
      </c>
      <c r="AM140" s="94" t="str">
        <f>IF(preDEL!$AG140,IFERROR(0/0,""),preDEL!AM140)</f>
        <v>SpNDHM189649</v>
      </c>
      <c r="AN140" s="94" t="str">
        <f>IF(preDEL!$AG140,IFERROR(0/0,""),preDEL!AN140)</f>
        <v>NDHM577067</v>
      </c>
      <c r="AO140" s="94" t="str">
        <f>IF(preDEL!$AG140,IFERROR(0/0,""),preDEL!AO140)</f>
        <v/>
      </c>
      <c r="AP140" s="94" t="str">
        <f>IF(preDEL!$AG140,IFERROR(0/0,""),preDEL!AP140)</f>
        <v/>
      </c>
      <c r="AQ140" s="94" t="str">
        <f>IF(preDEL!$AG140,IFERROR(0/0,""),preDEL!AQ140)</f>
        <v/>
      </c>
      <c r="AR140" s="94" t="str">
        <f>IF(preDEL!$AG140,IFERROR(0/0,""),preDEL!AR140)</f>
        <v/>
      </c>
      <c r="AS140" s="98"/>
      <c r="BE140" s="254"/>
      <c r="BF140" s="255"/>
      <c r="BG140" s="254"/>
      <c r="BH140" s="255"/>
      <c r="BI140" s="254"/>
      <c r="BJ140" s="254"/>
      <c r="BK140" s="254"/>
      <c r="BL140" s="254"/>
      <c r="BN140" s="7"/>
      <c r="BO140" s="7"/>
      <c r="BP140" s="7"/>
      <c r="BQ140" s="7"/>
      <c r="BR140" s="7"/>
      <c r="BS140" s="7"/>
      <c r="BT140" s="7"/>
    </row>
    <row r="141">
      <c r="A141" s="249" t="str">
        <f>IF(preDEL!$AG141,IFERROR(0/0,""),preDEL!A141)</f>
        <v>AH330</v>
      </c>
      <c r="B141" s="250">
        <f>IF(preDEL!$AG141,IFERROR(0/0,""),preDEL!B141)</f>
        <v>44704</v>
      </c>
      <c r="C141" s="251">
        <f>IF(preDEL!$AG141,IFERROR(0/0,""),preDEL!C141)</f>
        <v>0.1878240741</v>
      </c>
      <c r="D141" s="249" t="str">
        <f>IF(preDEL!$AG141,IFERROR(0/0,""),preDEL!D141)</f>
        <v/>
      </c>
      <c r="E141" s="249" t="str">
        <f>IF(preDEL!$AG141,IFERROR(0/0,""),preDEL!E141)</f>
        <v/>
      </c>
      <c r="F141" s="94" t="str">
        <f>IF(preDEL!$AG141,IFERROR(0/0,""),preDEL!F141)</f>
        <v/>
      </c>
      <c r="G141" s="94" t="str">
        <f>IF(preDEL!$AG141,IFERROR(0/0,""),preDEL!G141)</f>
        <v/>
      </c>
      <c r="H141" s="94" t="str">
        <f>IF(preDEL!$AG141,IFERROR(0/0,""),preDEL!H141)</f>
        <v/>
      </c>
      <c r="I141" s="249" t="str">
        <f>IF(preDEL!$AG141,IFERROR(0/0,""),preDEL!I141)</f>
        <v/>
      </c>
      <c r="J141" s="249" t="str">
        <f>IF(preDEL!$AG141,IFERROR(0/0,""),preDEL!J141)</f>
        <v/>
      </c>
      <c r="K141" s="249" t="str">
        <f>IF(preDEL!$AG141,IFERROR(0/0,""),preDEL!K141)</f>
        <v>Negative</v>
      </c>
      <c r="L141" s="250">
        <f>IF(preDEL!$AG141,IFERROR(0/0,""),preDEL!L141)</f>
        <v>44704</v>
      </c>
      <c r="M141" s="251">
        <f>IF(preDEL!$AG141,IFERROR(0/0,""),preDEL!M141)</f>
        <v>0.3949074074</v>
      </c>
      <c r="N141" s="94" t="str">
        <f>IF(preDEL!$AG141,IFERROR(0/0,""),preDEL!N141)</f>
        <v/>
      </c>
      <c r="O141" s="94" t="str">
        <f>IF(preDEL!$AG141,IFERROR(0/0,""),preDEL!O141)</f>
        <v/>
      </c>
      <c r="P141" s="93" t="b">
        <f>IF(preDEL!$AG141,IFERROR(0/0,""),preDEL!P141)</f>
        <v>0</v>
      </c>
      <c r="Q141" s="93" t="str">
        <f>IF(preDEL!$AG141,IFERROR(0/0,""),preDEL!Q141)</f>
        <v>Result</v>
      </c>
      <c r="R141" s="99" t="b">
        <f>IF(preDEL!$AG141,IFERROR(0/0,""),preDEL!R141)</f>
        <v>0</v>
      </c>
      <c r="S141" s="99">
        <f>IF(preDEL!$AG141,IFERROR(0/0,""),preDEL!S141)</f>
        <v>4</v>
      </c>
      <c r="T141" s="93" t="str">
        <f>IF(preDEL!$AG141,IFERROR(0/0,""),preDEL!T141)</f>
        <v/>
      </c>
      <c r="U141" s="94" t="str">
        <f>IF(preDEL!$AG141,IFERROR(0/0,""),preDEL!U141)</f>
        <v/>
      </c>
      <c r="V141" s="249" t="str">
        <f>IF(preDEL!$AG141,IFERROR(0/0,""),preDEL!V141)</f>
        <v/>
      </c>
      <c r="W141" s="94" t="str">
        <f>IF(preDEL!$AG141,IFERROR(0/0,""),preDEL!W141)</f>
        <v/>
      </c>
      <c r="X141" s="99" t="b">
        <f>IF(preDEL!$AG141,IFERROR(0/0,""),preDEL!X141)</f>
        <v>0</v>
      </c>
      <c r="Y141" s="93" t="str">
        <f>IF(preDEL!$AG141,IFERROR(0/0,""),preDEL!Y141)</f>
        <v/>
      </c>
      <c r="Z141" s="249" t="str">
        <f>IF(preDEL!$AG141,IFERROR(0/0,""),preDEL!Z141)</f>
        <v/>
      </c>
      <c r="AA141" s="93" t="b">
        <f>IF(preDEL!$AG141,IFERROR(0/0,""),preDEL!AA141)</f>
        <v>0</v>
      </c>
      <c r="AB141" s="93" t="str">
        <f>IF(preDEL!$AG141,IFERROR(0/0,""),preDEL!AB141)</f>
        <v/>
      </c>
      <c r="AC141" s="252">
        <f>IF(preDEL!$AG141,IFERROR(0/0,""),preDEL!AC141)</f>
        <v>108</v>
      </c>
      <c r="AD141" s="99" t="str">
        <f>IF(preDEL!$AG141,IFERROR(0/0,""),preDEL!AD141)</f>
        <v/>
      </c>
      <c r="AE141" s="253">
        <f>IF(preDEL!$AG141,IFERROR(0/0,""),preDEL!AE141)</f>
        <v>298.2</v>
      </c>
      <c r="AF141" s="93" t="b">
        <f>IF(preDEL!$AG141,IFERROR(0/0,""),preDEL!AF141)</f>
        <v>0</v>
      </c>
      <c r="AG141" s="93" t="b">
        <f>IF(preDEL!$AG141,IFERROR(0/0,""),preDEL!AG141)</f>
        <v>0</v>
      </c>
      <c r="AH141" s="99" t="str">
        <f>IF(preDEL!$AG141,IFERROR(0/0,""),preDEL!AH141)</f>
        <v/>
      </c>
      <c r="AI141" s="249" t="str">
        <f>IF(preDEL!$AG141,IFERROR(0/0,""),preDEL!AI141)</f>
        <v/>
      </c>
      <c r="AJ141" s="94" t="str">
        <f>IF(preDEL!$AG141,IFERROR(0/0,""),preDEL!AJ141)</f>
        <v/>
      </c>
      <c r="AK141" s="249" t="str">
        <f>IF(preDEL!$AG141,IFERROR(0/0,""),preDEL!AK141)</f>
        <v>Negative</v>
      </c>
      <c r="AL141" s="94" t="str">
        <f>IF(preDEL!$AG141,IFERROR(0/0,""),preDEL!AL141)</f>
        <v/>
      </c>
      <c r="AM141" s="94" t="str">
        <f>IF(preDEL!$AG141,IFERROR(0/0,""),preDEL!AM141)</f>
        <v>SpNDHM189649</v>
      </c>
      <c r="AN141" s="94" t="str">
        <f>IF(preDEL!$AG141,IFERROR(0/0,""),preDEL!AN141)</f>
        <v>NDHM404468</v>
      </c>
      <c r="AO141" s="94" t="str">
        <f>IF(preDEL!$AG141,IFERROR(0/0,""),preDEL!AO141)</f>
        <v/>
      </c>
      <c r="AP141" s="94" t="str">
        <f>IF(preDEL!$AG141,IFERROR(0/0,""),preDEL!AP141)</f>
        <v/>
      </c>
      <c r="AQ141" s="94" t="str">
        <f>IF(preDEL!$AG141,IFERROR(0/0,""),preDEL!AQ141)</f>
        <v/>
      </c>
      <c r="AR141" s="94" t="str">
        <f>IF(preDEL!$AG141,IFERROR(0/0,""),preDEL!AR141)</f>
        <v/>
      </c>
      <c r="AS141" s="98"/>
      <c r="BE141" s="254"/>
      <c r="BF141" s="255"/>
      <c r="BG141" s="254"/>
      <c r="BH141" s="255"/>
      <c r="BI141" s="254"/>
      <c r="BJ141" s="254"/>
      <c r="BK141" s="254"/>
      <c r="BL141" s="254"/>
      <c r="BN141" s="7"/>
      <c r="BO141" s="7"/>
      <c r="BP141" s="7"/>
      <c r="BQ141" s="7"/>
      <c r="BR141" s="7"/>
      <c r="BS141" s="7"/>
      <c r="BT141" s="7"/>
    </row>
    <row r="142">
      <c r="A142" s="249" t="str">
        <f>IF(preDEL!$AG142,IFERROR(0/0,""),preDEL!A142)</f>
        <v>AH330</v>
      </c>
      <c r="B142" s="250">
        <f>IF(preDEL!$AG142,IFERROR(0/0,""),preDEL!B142)</f>
        <v>44704</v>
      </c>
      <c r="C142" s="251">
        <f>IF(preDEL!$AG142,IFERROR(0/0,""),preDEL!C142)</f>
        <v>0.1878240741</v>
      </c>
      <c r="D142" s="249" t="str">
        <f>IF(preDEL!$AG142,IFERROR(0/0,""),preDEL!D142)</f>
        <v/>
      </c>
      <c r="E142" s="249" t="str">
        <f>IF(preDEL!$AG142,IFERROR(0/0,""),preDEL!E142)</f>
        <v/>
      </c>
      <c r="F142" s="94" t="str">
        <f>IF(preDEL!$AG142,IFERROR(0/0,""),preDEL!F142)</f>
        <v/>
      </c>
      <c r="G142" s="94" t="str">
        <f>IF(preDEL!$AG142,IFERROR(0/0,""),preDEL!G142)</f>
        <v/>
      </c>
      <c r="H142" s="94" t="str">
        <f>IF(preDEL!$AG142,IFERROR(0/0,""),preDEL!H142)</f>
        <v/>
      </c>
      <c r="I142" s="249" t="str">
        <f>IF(preDEL!$AG142,IFERROR(0/0,""),preDEL!I142)</f>
        <v/>
      </c>
      <c r="J142" s="249" t="str">
        <f>IF(preDEL!$AG142,IFERROR(0/0,""),preDEL!J142)</f>
        <v/>
      </c>
      <c r="K142" s="249" t="str">
        <f>IF(preDEL!$AG142,IFERROR(0/0,""),preDEL!K142)</f>
        <v>Negative</v>
      </c>
      <c r="L142" s="250">
        <f>IF(preDEL!$AG142,IFERROR(0/0,""),preDEL!L142)</f>
        <v>44704</v>
      </c>
      <c r="M142" s="251">
        <f>IF(preDEL!$AG142,IFERROR(0/0,""),preDEL!M142)</f>
        <v>0.3949074074</v>
      </c>
      <c r="N142" s="94" t="str">
        <f>IF(preDEL!$AG142,IFERROR(0/0,""),preDEL!N142)</f>
        <v/>
      </c>
      <c r="O142" s="94" t="str">
        <f>IF(preDEL!$AG142,IFERROR(0/0,""),preDEL!O142)</f>
        <v/>
      </c>
      <c r="P142" s="93" t="b">
        <f>IF(preDEL!$AG142,IFERROR(0/0,""),preDEL!P142)</f>
        <v>0</v>
      </c>
      <c r="Q142" s="93" t="str">
        <f>IF(preDEL!$AG142,IFERROR(0/0,""),preDEL!Q142)</f>
        <v>Result</v>
      </c>
      <c r="R142" s="99" t="b">
        <f>IF(preDEL!$AG142,IFERROR(0/0,""),preDEL!R142)</f>
        <v>0</v>
      </c>
      <c r="S142" s="99">
        <f>IF(preDEL!$AG142,IFERROR(0/0,""),preDEL!S142)</f>
        <v>4</v>
      </c>
      <c r="T142" s="93" t="str">
        <f>IF(preDEL!$AG142,IFERROR(0/0,""),preDEL!T142)</f>
        <v/>
      </c>
      <c r="U142" s="94" t="str">
        <f>IF(preDEL!$AG142,IFERROR(0/0,""),preDEL!U142)</f>
        <v/>
      </c>
      <c r="V142" s="249" t="str">
        <f>IF(preDEL!$AG142,IFERROR(0/0,""),preDEL!V142)</f>
        <v/>
      </c>
      <c r="W142" s="94" t="str">
        <f>IF(preDEL!$AG142,IFERROR(0/0,""),preDEL!W142)</f>
        <v/>
      </c>
      <c r="X142" s="99" t="b">
        <f>IF(preDEL!$AG142,IFERROR(0/0,""),preDEL!X142)</f>
        <v>0</v>
      </c>
      <c r="Y142" s="93" t="str">
        <f>IF(preDEL!$AG142,IFERROR(0/0,""),preDEL!Y142)</f>
        <v/>
      </c>
      <c r="Z142" s="249" t="str">
        <f>IF(preDEL!$AG142,IFERROR(0/0,""),preDEL!Z142)</f>
        <v/>
      </c>
      <c r="AA142" s="93" t="b">
        <f>IF(preDEL!$AG142,IFERROR(0/0,""),preDEL!AA142)</f>
        <v>0</v>
      </c>
      <c r="AB142" s="93" t="str">
        <f>IF(preDEL!$AG142,IFERROR(0/0,""),preDEL!AB142)</f>
        <v/>
      </c>
      <c r="AC142" s="252">
        <f>IF(preDEL!$AG142,IFERROR(0/0,""),preDEL!AC142)</f>
        <v>109</v>
      </c>
      <c r="AD142" s="99" t="str">
        <f>IF(preDEL!$AG142,IFERROR(0/0,""),preDEL!AD142)</f>
        <v/>
      </c>
      <c r="AE142" s="253">
        <f>IF(preDEL!$AG142,IFERROR(0/0,""),preDEL!AE142)</f>
        <v>298.2</v>
      </c>
      <c r="AF142" s="93" t="b">
        <f>IF(preDEL!$AG142,IFERROR(0/0,""),preDEL!AF142)</f>
        <v>0</v>
      </c>
      <c r="AG142" s="93" t="b">
        <f>IF(preDEL!$AG142,IFERROR(0/0,""),preDEL!AG142)</f>
        <v>0</v>
      </c>
      <c r="AH142" s="99" t="str">
        <f>IF(preDEL!$AG142,IFERROR(0/0,""),preDEL!AH142)</f>
        <v/>
      </c>
      <c r="AI142" s="249" t="str">
        <f>IF(preDEL!$AG142,IFERROR(0/0,""),preDEL!AI142)</f>
        <v/>
      </c>
      <c r="AJ142" s="94" t="str">
        <f>IF(preDEL!$AG142,IFERROR(0/0,""),preDEL!AJ142)</f>
        <v/>
      </c>
      <c r="AK142" s="249" t="str">
        <f>IF(preDEL!$AG142,IFERROR(0/0,""),preDEL!AK142)</f>
        <v>Negative</v>
      </c>
      <c r="AL142" s="94" t="str">
        <f>IF(preDEL!$AG142,IFERROR(0/0,""),preDEL!AL142)</f>
        <v/>
      </c>
      <c r="AM142" s="94" t="str">
        <f>IF(preDEL!$AG142,IFERROR(0/0,""),preDEL!AM142)</f>
        <v>SpNDHM189649</v>
      </c>
      <c r="AN142" s="94" t="str">
        <f>IF(preDEL!$AG142,IFERROR(0/0,""),preDEL!AN142)</f>
        <v>NDHM406316</v>
      </c>
      <c r="AO142" s="94" t="str">
        <f>IF(preDEL!$AG142,IFERROR(0/0,""),preDEL!AO142)</f>
        <v/>
      </c>
      <c r="AP142" s="94" t="str">
        <f>IF(preDEL!$AG142,IFERROR(0/0,""),preDEL!AP142)</f>
        <v/>
      </c>
      <c r="AQ142" s="94" t="str">
        <f>IF(preDEL!$AG142,IFERROR(0/0,""),preDEL!AQ142)</f>
        <v/>
      </c>
      <c r="AR142" s="94" t="str">
        <f>IF(preDEL!$AG142,IFERROR(0/0,""),preDEL!AR142)</f>
        <v/>
      </c>
      <c r="AS142" s="98"/>
      <c r="BE142" s="254"/>
      <c r="BF142" s="255"/>
      <c r="BG142" s="254"/>
      <c r="BH142" s="255"/>
      <c r="BI142" s="254"/>
      <c r="BJ142" s="254"/>
      <c r="BK142" s="254"/>
      <c r="BL142" s="254"/>
      <c r="BN142" s="7"/>
      <c r="BO142" s="7"/>
      <c r="BP142" s="7"/>
      <c r="BQ142" s="7"/>
      <c r="BR142" s="7"/>
      <c r="BS142" s="7"/>
      <c r="BT142" s="7"/>
    </row>
    <row r="143">
      <c r="A143" s="249" t="str">
        <f>IF(preDEL!$AG143,IFERROR(0/0,""),preDEL!A143)</f>
        <v>AG1640</v>
      </c>
      <c r="B143" s="250">
        <f>IF(preDEL!$AG143,IFERROR(0/0,""),preDEL!B143)</f>
        <v>44704</v>
      </c>
      <c r="C143" s="251">
        <f>IF(preDEL!$AG143,IFERROR(0/0,""),preDEL!C143)</f>
        <v>0.1905439815</v>
      </c>
      <c r="D143" s="249" t="str">
        <f>IF(preDEL!$AG143,IFERROR(0/0,""),preDEL!D143)</f>
        <v/>
      </c>
      <c r="E143" s="249" t="str">
        <f>IF(preDEL!$AG143,IFERROR(0/0,""),preDEL!E143)</f>
        <v/>
      </c>
      <c r="F143" s="94" t="str">
        <f>IF(preDEL!$AG143,IFERROR(0/0,""),preDEL!F143)</f>
        <v/>
      </c>
      <c r="G143" s="94" t="str">
        <f>IF(preDEL!$AG143,IFERROR(0/0,""),preDEL!G143)</f>
        <v/>
      </c>
      <c r="H143" s="94" t="str">
        <f>IF(preDEL!$AG143,IFERROR(0/0,""),preDEL!H143)</f>
        <v/>
      </c>
      <c r="I143" s="249" t="str">
        <f>IF(preDEL!$AG143,IFERROR(0/0,""),preDEL!I143)</f>
        <v/>
      </c>
      <c r="J143" s="249" t="str">
        <f>IF(preDEL!$AG143,IFERROR(0/0,""),preDEL!J143)</f>
        <v/>
      </c>
      <c r="K143" s="249" t="str">
        <f>IF(preDEL!$AG143,IFERROR(0/0,""),preDEL!K143)</f>
        <v>Negative</v>
      </c>
      <c r="L143" s="250">
        <f>IF(preDEL!$AG143,IFERROR(0/0,""),preDEL!L143)</f>
        <v>44704</v>
      </c>
      <c r="M143" s="251">
        <f>IF(preDEL!$AG143,IFERROR(0/0,""),preDEL!M143)</f>
        <v>0.3949074074</v>
      </c>
      <c r="N143" s="94" t="str">
        <f>IF(preDEL!$AG143,IFERROR(0/0,""),preDEL!N143)</f>
        <v/>
      </c>
      <c r="O143" s="94" t="str">
        <f>IF(preDEL!$AG143,IFERROR(0/0,""),preDEL!O143)</f>
        <v/>
      </c>
      <c r="P143" s="93" t="b">
        <f>IF(preDEL!$AG143,IFERROR(0/0,""),preDEL!P143)</f>
        <v>0</v>
      </c>
      <c r="Q143" s="93" t="str">
        <f>IF(preDEL!$AG143,IFERROR(0/0,""),preDEL!Q143)</f>
        <v>Result</v>
      </c>
      <c r="R143" s="99" t="b">
        <f>IF(preDEL!$AG143,IFERROR(0/0,""),preDEL!R143)</f>
        <v>1</v>
      </c>
      <c r="S143" s="99">
        <f>IF(preDEL!$AG143,IFERROR(0/0,""),preDEL!S143)</f>
        <v>2</v>
      </c>
      <c r="T143" s="93" t="str">
        <f>IF(preDEL!$AG143,IFERROR(0/0,""),preDEL!T143)</f>
        <v/>
      </c>
      <c r="U143" s="94" t="str">
        <f>IF(preDEL!$AG143,IFERROR(0/0,""),preDEL!U143)</f>
        <v/>
      </c>
      <c r="V143" s="249" t="str">
        <f>IF(preDEL!$AG143,IFERROR(0/0,""),preDEL!V143)</f>
        <v/>
      </c>
      <c r="W143" s="94" t="str">
        <f>IF(preDEL!$AG143,IFERROR(0/0,""),preDEL!W143)</f>
        <v/>
      </c>
      <c r="X143" s="99" t="b">
        <f>IF(preDEL!$AG143,IFERROR(0/0,""),preDEL!X143)</f>
        <v>0</v>
      </c>
      <c r="Y143" s="93" t="str">
        <f>IF(preDEL!$AG143,IFERROR(0/0,""),preDEL!Y143)</f>
        <v/>
      </c>
      <c r="Z143" s="249" t="str">
        <f>IF(preDEL!$AG143,IFERROR(0/0,""),preDEL!Z143)</f>
        <v/>
      </c>
      <c r="AA143" s="93" t="b">
        <f>IF(preDEL!$AG143,IFERROR(0/0,""),preDEL!AA143)</f>
        <v>0</v>
      </c>
      <c r="AB143" s="93" t="str">
        <f>IF(preDEL!$AG143,IFERROR(0/0,""),preDEL!AB143)</f>
        <v/>
      </c>
      <c r="AC143" s="252">
        <f>IF(preDEL!$AG143,IFERROR(0/0,""),preDEL!AC143)</f>
        <v>113</v>
      </c>
      <c r="AD143" s="99" t="str">
        <f>IF(preDEL!$AG143,IFERROR(0/0,""),preDEL!AD143)</f>
        <v/>
      </c>
      <c r="AE143" s="253">
        <f>IF(preDEL!$AG143,IFERROR(0/0,""),preDEL!AE143)</f>
        <v>294.2833333</v>
      </c>
      <c r="AF143" s="93" t="b">
        <f>IF(preDEL!$AG143,IFERROR(0/0,""),preDEL!AF143)</f>
        <v>0</v>
      </c>
      <c r="AG143" s="93" t="b">
        <f>IF(preDEL!$AG143,IFERROR(0/0,""),preDEL!AG143)</f>
        <v>0</v>
      </c>
      <c r="AH143" s="99" t="str">
        <f>IF(preDEL!$AG143,IFERROR(0/0,""),preDEL!AH143)</f>
        <v/>
      </c>
      <c r="AI143" s="249" t="str">
        <f>IF(preDEL!$AG143,IFERROR(0/0,""),preDEL!AI143)</f>
        <v/>
      </c>
      <c r="AJ143" s="94" t="str">
        <f>IF(preDEL!$AG143,IFERROR(0/0,""),preDEL!AJ143)</f>
        <v/>
      </c>
      <c r="AK143" s="249" t="str">
        <f>IF(preDEL!$AG143,IFERROR(0/0,""),preDEL!AK143)</f>
        <v>Negative</v>
      </c>
      <c r="AL143" s="94" t="str">
        <f>IF(preDEL!$AG143,IFERROR(0/0,""),preDEL!AL143)</f>
        <v/>
      </c>
      <c r="AM143" s="94" t="str">
        <f>IF(preDEL!$AG143,IFERROR(0/0,""),preDEL!AM143)</f>
        <v>SpNDHM645491</v>
      </c>
      <c r="AN143" s="94" t="str">
        <f>IF(preDEL!$AG143,IFERROR(0/0,""),preDEL!AN143)</f>
        <v>NDHM291495</v>
      </c>
      <c r="AO143" s="94" t="str">
        <f>IF(preDEL!$AG143,IFERROR(0/0,""),preDEL!AO143)</f>
        <v/>
      </c>
      <c r="AP143" s="94" t="str">
        <f>IF(preDEL!$AG143,IFERROR(0/0,""),preDEL!AP143)</f>
        <v/>
      </c>
      <c r="AQ143" s="94" t="str">
        <f>IF(preDEL!$AG143,IFERROR(0/0,""),preDEL!AQ143)</f>
        <v/>
      </c>
      <c r="AR143" s="94" t="str">
        <f>IF(preDEL!$AG143,IFERROR(0/0,""),preDEL!AR143)</f>
        <v/>
      </c>
      <c r="AS143" s="98"/>
      <c r="BE143" s="254"/>
      <c r="BF143" s="255"/>
      <c r="BG143" s="254"/>
      <c r="BH143" s="255"/>
      <c r="BI143" s="254"/>
      <c r="BJ143" s="254"/>
      <c r="BK143" s="254"/>
      <c r="BL143" s="254"/>
      <c r="BN143" s="7"/>
      <c r="BO143" s="7"/>
      <c r="BP143" s="7"/>
      <c r="BQ143" s="7"/>
      <c r="BR143" s="7"/>
      <c r="BS143" s="7"/>
      <c r="BT143" s="7"/>
    </row>
    <row r="144">
      <c r="A144" s="249" t="str">
        <f>IF(preDEL!$AG144,IFERROR(0/0,""),preDEL!A144)</f>
        <v>AG1640</v>
      </c>
      <c r="B144" s="250">
        <f>IF(preDEL!$AG144,IFERROR(0/0,""),preDEL!B144)</f>
        <v>44704</v>
      </c>
      <c r="C144" s="251">
        <f>IF(preDEL!$AG144,IFERROR(0/0,""),preDEL!C144)</f>
        <v>0.1905439815</v>
      </c>
      <c r="D144" s="249" t="str">
        <f>IF(preDEL!$AG144,IFERROR(0/0,""),preDEL!D144)</f>
        <v/>
      </c>
      <c r="E144" s="249" t="str">
        <f>IF(preDEL!$AG144,IFERROR(0/0,""),preDEL!E144)</f>
        <v/>
      </c>
      <c r="F144" s="94" t="str">
        <f>IF(preDEL!$AG144,IFERROR(0/0,""),preDEL!F144)</f>
        <v/>
      </c>
      <c r="G144" s="94" t="str">
        <f>IF(preDEL!$AG144,IFERROR(0/0,""),preDEL!G144)</f>
        <v/>
      </c>
      <c r="H144" s="94" t="str">
        <f>IF(preDEL!$AG144,IFERROR(0/0,""),preDEL!H144)</f>
        <v/>
      </c>
      <c r="I144" s="249" t="str">
        <f>IF(preDEL!$AG144,IFERROR(0/0,""),preDEL!I144)</f>
        <v/>
      </c>
      <c r="J144" s="249" t="str">
        <f>IF(preDEL!$AG144,IFERROR(0/0,""),preDEL!J144)</f>
        <v/>
      </c>
      <c r="K144" s="249" t="str">
        <f>IF(preDEL!$AG144,IFERROR(0/0,""),preDEL!K144)</f>
        <v>Negative</v>
      </c>
      <c r="L144" s="250">
        <f>IF(preDEL!$AG144,IFERROR(0/0,""),preDEL!L144)</f>
        <v>44704</v>
      </c>
      <c r="M144" s="251">
        <f>IF(preDEL!$AG144,IFERROR(0/0,""),preDEL!M144)</f>
        <v>0.3949074074</v>
      </c>
      <c r="N144" s="94" t="str">
        <f>IF(preDEL!$AG144,IFERROR(0/0,""),preDEL!N144)</f>
        <v/>
      </c>
      <c r="O144" s="94" t="str">
        <f>IF(preDEL!$AG144,IFERROR(0/0,""),preDEL!O144)</f>
        <v/>
      </c>
      <c r="P144" s="93" t="b">
        <f>IF(preDEL!$AG144,IFERROR(0/0,""),preDEL!P144)</f>
        <v>0</v>
      </c>
      <c r="Q144" s="93" t="str">
        <f>IF(preDEL!$AG144,IFERROR(0/0,""),preDEL!Q144)</f>
        <v>Result</v>
      </c>
      <c r="R144" s="99" t="b">
        <f>IF(preDEL!$AG144,IFERROR(0/0,""),preDEL!R144)</f>
        <v>0</v>
      </c>
      <c r="S144" s="99">
        <f>IF(preDEL!$AG144,IFERROR(0/0,""),preDEL!S144)</f>
        <v>2</v>
      </c>
      <c r="T144" s="93" t="str">
        <f>IF(preDEL!$AG144,IFERROR(0/0,""),preDEL!T144)</f>
        <v/>
      </c>
      <c r="U144" s="94" t="str">
        <f>IF(preDEL!$AG144,IFERROR(0/0,""),preDEL!U144)</f>
        <v/>
      </c>
      <c r="V144" s="249" t="str">
        <f>IF(preDEL!$AG144,IFERROR(0/0,""),preDEL!V144)</f>
        <v/>
      </c>
      <c r="W144" s="94" t="str">
        <f>IF(preDEL!$AG144,IFERROR(0/0,""),preDEL!W144)</f>
        <v/>
      </c>
      <c r="X144" s="99" t="b">
        <f>IF(preDEL!$AG144,IFERROR(0/0,""),preDEL!X144)</f>
        <v>0</v>
      </c>
      <c r="Y144" s="93" t="str">
        <f>IF(preDEL!$AG144,IFERROR(0/0,""),preDEL!Y144)</f>
        <v/>
      </c>
      <c r="Z144" s="249" t="str">
        <f>IF(preDEL!$AG144,IFERROR(0/0,""),preDEL!Z144)</f>
        <v/>
      </c>
      <c r="AA144" s="93" t="b">
        <f>IF(preDEL!$AG144,IFERROR(0/0,""),preDEL!AA144)</f>
        <v>0</v>
      </c>
      <c r="AB144" s="93" t="str">
        <f>IF(preDEL!$AG144,IFERROR(0/0,""),preDEL!AB144)</f>
        <v/>
      </c>
      <c r="AC144" s="252">
        <f>IF(preDEL!$AG144,IFERROR(0/0,""),preDEL!AC144)</f>
        <v>112</v>
      </c>
      <c r="AD144" s="99" t="str">
        <f>IF(preDEL!$AG144,IFERROR(0/0,""),preDEL!AD144)</f>
        <v/>
      </c>
      <c r="AE144" s="253">
        <f>IF(preDEL!$AG144,IFERROR(0/0,""),preDEL!AE144)</f>
        <v>294.2833333</v>
      </c>
      <c r="AF144" s="93" t="b">
        <f>IF(preDEL!$AG144,IFERROR(0/0,""),preDEL!AF144)</f>
        <v>0</v>
      </c>
      <c r="AG144" s="93" t="b">
        <f>IF(preDEL!$AG144,IFERROR(0/0,""),preDEL!AG144)</f>
        <v>0</v>
      </c>
      <c r="AH144" s="99" t="str">
        <f>IF(preDEL!$AG144,IFERROR(0/0,""),preDEL!AH144)</f>
        <v/>
      </c>
      <c r="AI144" s="249" t="str">
        <f>IF(preDEL!$AG144,IFERROR(0/0,""),preDEL!AI144)</f>
        <v/>
      </c>
      <c r="AJ144" s="94" t="str">
        <f>IF(preDEL!$AG144,IFERROR(0/0,""),preDEL!AJ144)</f>
        <v/>
      </c>
      <c r="AK144" s="249" t="str">
        <f>IF(preDEL!$AG144,IFERROR(0/0,""),preDEL!AK144)</f>
        <v>Negative</v>
      </c>
      <c r="AL144" s="94" t="str">
        <f>IF(preDEL!$AG144,IFERROR(0/0,""),preDEL!AL144)</f>
        <v/>
      </c>
      <c r="AM144" s="94" t="str">
        <f>IF(preDEL!$AG144,IFERROR(0/0,""),preDEL!AM144)</f>
        <v>SpNDHM645491</v>
      </c>
      <c r="AN144" s="94" t="str">
        <f>IF(preDEL!$AG144,IFERROR(0/0,""),preDEL!AN144)</f>
        <v>NDHM101082</v>
      </c>
      <c r="AO144" s="94" t="str">
        <f>IF(preDEL!$AG144,IFERROR(0/0,""),preDEL!AO144)</f>
        <v/>
      </c>
      <c r="AP144" s="94" t="str">
        <f>IF(preDEL!$AG144,IFERROR(0/0,""),preDEL!AP144)</f>
        <v/>
      </c>
      <c r="AQ144" s="94" t="str">
        <f>IF(preDEL!$AG144,IFERROR(0/0,""),preDEL!AQ144)</f>
        <v/>
      </c>
      <c r="AR144" s="94" t="str">
        <f>IF(preDEL!$AG144,IFERROR(0/0,""),preDEL!AR144)</f>
        <v/>
      </c>
      <c r="AS144" s="98"/>
      <c r="BE144" s="254"/>
      <c r="BF144" s="255"/>
      <c r="BG144" s="254"/>
      <c r="BH144" s="255"/>
      <c r="BI144" s="254"/>
      <c r="BJ144" s="254"/>
      <c r="BK144" s="254"/>
      <c r="BL144" s="254"/>
      <c r="BN144" s="7"/>
      <c r="BO144" s="7"/>
      <c r="BP144" s="7"/>
      <c r="BQ144" s="7"/>
      <c r="BR144" s="7"/>
      <c r="BS144" s="7"/>
      <c r="BT144" s="7"/>
    </row>
    <row r="145">
      <c r="A145" s="249" t="str">
        <f>IF(preDEL!$AG145,IFERROR(0/0,""),preDEL!A145)</f>
        <v>AJ9479</v>
      </c>
      <c r="B145" s="250">
        <f>IF(preDEL!$AG145,IFERROR(0/0,""),preDEL!B145)</f>
        <v>44704</v>
      </c>
      <c r="C145" s="251">
        <f>IF(preDEL!$AG145,IFERROR(0/0,""),preDEL!C145)</f>
        <v>0.2182638889</v>
      </c>
      <c r="D145" s="249" t="str">
        <f>IF(preDEL!$AG145,IFERROR(0/0,""),preDEL!D145)</f>
        <v/>
      </c>
      <c r="E145" s="249" t="str">
        <f>IF(preDEL!$AG145,IFERROR(0/0,""),preDEL!E145)</f>
        <v/>
      </c>
      <c r="F145" s="94" t="str">
        <f>IF(preDEL!$AG145,IFERROR(0/0,""),preDEL!F145)</f>
        <v/>
      </c>
      <c r="G145" s="94" t="str">
        <f>IF(preDEL!$AG145,IFERROR(0/0,""),preDEL!G145)</f>
        <v/>
      </c>
      <c r="H145" s="94" t="str">
        <f>IF(preDEL!$AG145,IFERROR(0/0,""),preDEL!H145)</f>
        <v/>
      </c>
      <c r="I145" s="249" t="str">
        <f>IF(preDEL!$AG145,IFERROR(0/0,""),preDEL!I145)</f>
        <v/>
      </c>
      <c r="J145" s="249" t="str">
        <f>IF(preDEL!$AG145,IFERROR(0/0,""),preDEL!J145)</f>
        <v/>
      </c>
      <c r="K145" s="249" t="str">
        <f>IF(preDEL!$AG145,IFERROR(0/0,""),preDEL!K145)</f>
        <v>Negative</v>
      </c>
      <c r="L145" s="250">
        <f>IF(preDEL!$AG145,IFERROR(0/0,""),preDEL!L145)</f>
        <v>44704</v>
      </c>
      <c r="M145" s="251">
        <f>IF(preDEL!$AG145,IFERROR(0/0,""),preDEL!M145)</f>
        <v>0.3949074074</v>
      </c>
      <c r="N145" s="94" t="str">
        <f>IF(preDEL!$AG145,IFERROR(0/0,""),preDEL!N145)</f>
        <v/>
      </c>
      <c r="O145" s="94" t="str">
        <f>IF(preDEL!$AG145,IFERROR(0/0,""),preDEL!O145)</f>
        <v/>
      </c>
      <c r="P145" s="93" t="b">
        <f>IF(preDEL!$AG145,IFERROR(0/0,""),preDEL!P145)</f>
        <v>0</v>
      </c>
      <c r="Q145" s="93" t="str">
        <f>IF(preDEL!$AG145,IFERROR(0/0,""),preDEL!Q145)</f>
        <v>Result</v>
      </c>
      <c r="R145" s="99" t="b">
        <f>IF(preDEL!$AG145,IFERROR(0/0,""),preDEL!R145)</f>
        <v>1</v>
      </c>
      <c r="S145" s="99">
        <f>IF(preDEL!$AG145,IFERROR(0/0,""),preDEL!S145)</f>
        <v>2</v>
      </c>
      <c r="T145" s="93">
        <f>IF(preDEL!$AG145,IFERROR(0/0,""),preDEL!T145)</f>
        <v>1</v>
      </c>
      <c r="U145" s="94" t="str">
        <f>IF(preDEL!$AG145,IFERROR(0/0,""),preDEL!U145)</f>
        <v/>
      </c>
      <c r="V145" s="249" t="str">
        <f>IF(preDEL!$AG145,IFERROR(0/0,""),preDEL!V145)</f>
        <v/>
      </c>
      <c r="W145" s="94" t="str">
        <f>IF(preDEL!$AG145,IFERROR(0/0,""),preDEL!W145)</f>
        <v/>
      </c>
      <c r="X145" s="99" t="b">
        <f>IF(preDEL!$AG145,IFERROR(0/0,""),preDEL!X145)</f>
        <v>1</v>
      </c>
      <c r="Y145" s="93" t="str">
        <f>IF(preDEL!$AG145,IFERROR(0/0,""),preDEL!Y145)</f>
        <v/>
      </c>
      <c r="Z145" s="249" t="str">
        <f>IF(preDEL!$AG145,IFERROR(0/0,""),preDEL!Z145)</f>
        <v/>
      </c>
      <c r="AA145" s="93" t="b">
        <f>IF(preDEL!$AG145,IFERROR(0/0,""),preDEL!AA145)</f>
        <v>0</v>
      </c>
      <c r="AB145" s="93" t="str">
        <f>IF(preDEL!$AG145,IFERROR(0/0,""),preDEL!AB145)</f>
        <v/>
      </c>
      <c r="AC145" s="252">
        <f>IF(preDEL!$AG145,IFERROR(0/0,""),preDEL!AC145)</f>
        <v>114</v>
      </c>
      <c r="AD145" s="99" t="str">
        <f>IF(preDEL!$AG145,IFERROR(0/0,""),preDEL!AD145)</f>
        <v/>
      </c>
      <c r="AE145" s="253">
        <f>IF(preDEL!$AG145,IFERROR(0/0,""),preDEL!AE145)</f>
        <v>254.3666667</v>
      </c>
      <c r="AF145" s="93" t="b">
        <f>IF(preDEL!$AG145,IFERROR(0/0,""),preDEL!AF145)</f>
        <v>0</v>
      </c>
      <c r="AG145" s="93" t="b">
        <f>IF(preDEL!$AG145,IFERROR(0/0,""),preDEL!AG145)</f>
        <v>0</v>
      </c>
      <c r="AH145" s="99" t="str">
        <f>IF(preDEL!$AG145,IFERROR(0/0,""),preDEL!AH145)</f>
        <v/>
      </c>
      <c r="AI145" s="249" t="str">
        <f>IF(preDEL!$AG145,IFERROR(0/0,""),preDEL!AI145)</f>
        <v/>
      </c>
      <c r="AJ145" s="94" t="str">
        <f>IF(preDEL!$AG145,IFERROR(0/0,""),preDEL!AJ145)</f>
        <v/>
      </c>
      <c r="AK145" s="249" t="str">
        <f>IF(preDEL!$AG145,IFERROR(0/0,""),preDEL!AK145)</f>
        <v>Negative</v>
      </c>
      <c r="AL145" s="94" t="str">
        <f>IF(preDEL!$AG145,IFERROR(0/0,""),preDEL!AL145)</f>
        <v/>
      </c>
      <c r="AM145" s="94" t="str">
        <f>IF(preDEL!$AG145,IFERROR(0/0,""),preDEL!AM145)</f>
        <v>SpNDHM109523</v>
      </c>
      <c r="AN145" s="94" t="str">
        <f>IF(preDEL!$AG145,IFERROR(0/0,""),preDEL!AN145)</f>
        <v>NDHM244255</v>
      </c>
      <c r="AO145" s="94" t="str">
        <f>IF(preDEL!$AG145,IFERROR(0/0,""),preDEL!AO145)</f>
        <v/>
      </c>
      <c r="AP145" s="94" t="str">
        <f>IF(preDEL!$AG145,IFERROR(0/0,""),preDEL!AP145)</f>
        <v/>
      </c>
      <c r="AQ145" s="94" t="str">
        <f>IF(preDEL!$AG145,IFERROR(0/0,""),preDEL!AQ145)</f>
        <v/>
      </c>
      <c r="AR145" s="94" t="str">
        <f>IF(preDEL!$AG145,IFERROR(0/0,""),preDEL!AR145)</f>
        <v/>
      </c>
      <c r="AS145" s="98"/>
      <c r="BE145" s="254"/>
      <c r="BF145" s="255"/>
      <c r="BG145" s="254"/>
      <c r="BH145" s="255"/>
      <c r="BI145" s="254"/>
      <c r="BJ145" s="254"/>
      <c r="BK145" s="254"/>
      <c r="BL145" s="254"/>
      <c r="BN145" s="7"/>
      <c r="BO145" s="7"/>
      <c r="BP145" s="7"/>
      <c r="BQ145" s="7"/>
      <c r="BR145" s="7"/>
      <c r="BS145" s="7"/>
      <c r="BT145" s="7"/>
    </row>
    <row r="146">
      <c r="A146" s="249" t="str">
        <f>IF(preDEL!$AG146,IFERROR(0/0,""),preDEL!A146)</f>
        <v>AJ9479</v>
      </c>
      <c r="B146" s="250">
        <f>IF(preDEL!$AG146,IFERROR(0/0,""),preDEL!B146)</f>
        <v>44704</v>
      </c>
      <c r="C146" s="251">
        <f>IF(preDEL!$AG146,IFERROR(0/0,""),preDEL!C146)</f>
        <v>0.2182638889</v>
      </c>
      <c r="D146" s="249" t="str">
        <f>IF(preDEL!$AG146,IFERROR(0/0,""),preDEL!D146)</f>
        <v/>
      </c>
      <c r="E146" s="249" t="str">
        <f>IF(preDEL!$AG146,IFERROR(0/0,""),preDEL!E146)</f>
        <v/>
      </c>
      <c r="F146" s="94" t="str">
        <f>IF(preDEL!$AG146,IFERROR(0/0,""),preDEL!F146)</f>
        <v/>
      </c>
      <c r="G146" s="94" t="str">
        <f>IF(preDEL!$AG146,IFERROR(0/0,""),preDEL!G146)</f>
        <v/>
      </c>
      <c r="H146" s="94" t="str">
        <f>IF(preDEL!$AG146,IFERROR(0/0,""),preDEL!H146)</f>
        <v/>
      </c>
      <c r="I146" s="249" t="str">
        <f>IF(preDEL!$AG146,IFERROR(0/0,""),preDEL!I146)</f>
        <v/>
      </c>
      <c r="J146" s="249" t="str">
        <f>IF(preDEL!$AG146,IFERROR(0/0,""),preDEL!J146)</f>
        <v/>
      </c>
      <c r="K146" s="249" t="str">
        <f>IF(preDEL!$AG146,IFERROR(0/0,""),preDEL!K146)</f>
        <v>Negative</v>
      </c>
      <c r="L146" s="250">
        <f>IF(preDEL!$AG146,IFERROR(0/0,""),preDEL!L146)</f>
        <v>44704</v>
      </c>
      <c r="M146" s="251">
        <f>IF(preDEL!$AG146,IFERROR(0/0,""),preDEL!M146)</f>
        <v>0.3949074074</v>
      </c>
      <c r="N146" s="94" t="str">
        <f>IF(preDEL!$AG146,IFERROR(0/0,""),preDEL!N146)</f>
        <v/>
      </c>
      <c r="O146" s="94" t="str">
        <f>IF(preDEL!$AG146,IFERROR(0/0,""),preDEL!O146)</f>
        <v/>
      </c>
      <c r="P146" s="93" t="b">
        <f>IF(preDEL!$AG146,IFERROR(0/0,""),preDEL!P146)</f>
        <v>0</v>
      </c>
      <c r="Q146" s="93" t="str">
        <f>IF(preDEL!$AG146,IFERROR(0/0,""),preDEL!Q146)</f>
        <v>Result</v>
      </c>
      <c r="R146" s="99" t="b">
        <f>IF(preDEL!$AG146,IFERROR(0/0,""),preDEL!R146)</f>
        <v>0</v>
      </c>
      <c r="S146" s="99">
        <f>IF(preDEL!$AG146,IFERROR(0/0,""),preDEL!S146)</f>
        <v>2</v>
      </c>
      <c r="T146" s="93">
        <f>IF(preDEL!$AG146,IFERROR(0/0,""),preDEL!T146)</f>
        <v>1</v>
      </c>
      <c r="U146" s="94" t="str">
        <f>IF(preDEL!$AG146,IFERROR(0/0,""),preDEL!U146)</f>
        <v/>
      </c>
      <c r="V146" s="249" t="str">
        <f>IF(preDEL!$AG146,IFERROR(0/0,""),preDEL!V146)</f>
        <v/>
      </c>
      <c r="W146" s="94" t="str">
        <f>IF(preDEL!$AG146,IFERROR(0/0,""),preDEL!W146)</f>
        <v/>
      </c>
      <c r="X146" s="99" t="b">
        <f>IF(preDEL!$AG146,IFERROR(0/0,""),preDEL!X146)</f>
        <v>0</v>
      </c>
      <c r="Y146" s="93" t="str">
        <f>IF(preDEL!$AG146,IFERROR(0/0,""),preDEL!Y146)</f>
        <v/>
      </c>
      <c r="Z146" s="249" t="str">
        <f>IF(preDEL!$AG146,IFERROR(0/0,""),preDEL!Z146)</f>
        <v/>
      </c>
      <c r="AA146" s="93" t="b">
        <f>IF(preDEL!$AG146,IFERROR(0/0,""),preDEL!AA146)</f>
        <v>0</v>
      </c>
      <c r="AB146" s="93" t="str">
        <f>IF(preDEL!$AG146,IFERROR(0/0,""),preDEL!AB146)</f>
        <v/>
      </c>
      <c r="AC146" s="252">
        <f>IF(preDEL!$AG146,IFERROR(0/0,""),preDEL!AC146)</f>
        <v>114</v>
      </c>
      <c r="AD146" s="99" t="str">
        <f>IF(preDEL!$AG146,IFERROR(0/0,""),preDEL!AD146)</f>
        <v/>
      </c>
      <c r="AE146" s="253">
        <f>IF(preDEL!$AG146,IFERROR(0/0,""),preDEL!AE146)</f>
        <v>254.3666667</v>
      </c>
      <c r="AF146" s="93" t="b">
        <f>IF(preDEL!$AG146,IFERROR(0/0,""),preDEL!AF146)</f>
        <v>0</v>
      </c>
      <c r="AG146" s="93" t="b">
        <f>IF(preDEL!$AG146,IFERROR(0/0,""),preDEL!AG146)</f>
        <v>0</v>
      </c>
      <c r="AH146" s="99" t="str">
        <f>IF(preDEL!$AG146,IFERROR(0/0,""),preDEL!AH146)</f>
        <v/>
      </c>
      <c r="AI146" s="249" t="str">
        <f>IF(preDEL!$AG146,IFERROR(0/0,""),preDEL!AI146)</f>
        <v/>
      </c>
      <c r="AJ146" s="94" t="str">
        <f>IF(preDEL!$AG146,IFERROR(0/0,""),preDEL!AJ146)</f>
        <v/>
      </c>
      <c r="AK146" s="249" t="str">
        <f>IF(preDEL!$AG146,IFERROR(0/0,""),preDEL!AK146)</f>
        <v>Negative</v>
      </c>
      <c r="AL146" s="94" t="str">
        <f>IF(preDEL!$AG146,IFERROR(0/0,""),preDEL!AL146)</f>
        <v/>
      </c>
      <c r="AM146" s="94" t="str">
        <f>IF(preDEL!$AG146,IFERROR(0/0,""),preDEL!AM146)</f>
        <v>SpNDHM109523</v>
      </c>
      <c r="AN146" s="94" t="str">
        <f>IF(preDEL!$AG146,IFERROR(0/0,""),preDEL!AN146)</f>
        <v>NDHM297665</v>
      </c>
      <c r="AO146" s="94" t="str">
        <f>IF(preDEL!$AG146,IFERROR(0/0,""),preDEL!AO146)</f>
        <v/>
      </c>
      <c r="AP146" s="94" t="str">
        <f>IF(preDEL!$AG146,IFERROR(0/0,""),preDEL!AP146)</f>
        <v/>
      </c>
      <c r="AQ146" s="94" t="str">
        <f>IF(preDEL!$AG146,IFERROR(0/0,""),preDEL!AQ146)</f>
        <v/>
      </c>
      <c r="AR146" s="94" t="str">
        <f>IF(preDEL!$AG146,IFERROR(0/0,""),preDEL!AR146)</f>
        <v/>
      </c>
      <c r="AS146" s="98"/>
      <c r="BE146" s="254"/>
      <c r="BF146" s="255"/>
      <c r="BG146" s="254"/>
      <c r="BH146" s="255"/>
      <c r="BI146" s="254"/>
      <c r="BJ146" s="254"/>
      <c r="BK146" s="254"/>
      <c r="BL146" s="254"/>
      <c r="BN146" s="7"/>
      <c r="BO146" s="7"/>
      <c r="BP146" s="7"/>
      <c r="BQ146" s="7"/>
      <c r="BR146" s="7"/>
      <c r="BS146" s="7"/>
      <c r="BT146" s="7"/>
    </row>
    <row r="147">
      <c r="A147" s="249" t="str">
        <f>IF(preDEL!$AG147,IFERROR(0/0,""),preDEL!A147)</f>
        <v>AH7289</v>
      </c>
      <c r="B147" s="250">
        <f>IF(preDEL!$AG147,IFERROR(0/0,""),preDEL!B147)</f>
        <v>44704</v>
      </c>
      <c r="C147" s="251">
        <f>IF(preDEL!$AG147,IFERROR(0/0,""),preDEL!C147)</f>
        <v>0.2188425926</v>
      </c>
      <c r="D147" s="249" t="str">
        <f>IF(preDEL!$AG147,IFERROR(0/0,""),preDEL!D147)</f>
        <v/>
      </c>
      <c r="E147" s="249" t="str">
        <f>IF(preDEL!$AG147,IFERROR(0/0,""),preDEL!E147)</f>
        <v/>
      </c>
      <c r="F147" s="94" t="str">
        <f>IF(preDEL!$AG147,IFERROR(0/0,""),preDEL!F147)</f>
        <v/>
      </c>
      <c r="G147" s="94" t="str">
        <f>IF(preDEL!$AG147,IFERROR(0/0,""),preDEL!G147)</f>
        <v/>
      </c>
      <c r="H147" s="94" t="str">
        <f>IF(preDEL!$AG147,IFERROR(0/0,""),preDEL!H147)</f>
        <v/>
      </c>
      <c r="I147" s="249" t="str">
        <f>IF(preDEL!$AG147,IFERROR(0/0,""),preDEL!I147)</f>
        <v/>
      </c>
      <c r="J147" s="249" t="str">
        <f>IF(preDEL!$AG147,IFERROR(0/0,""),preDEL!J147)</f>
        <v/>
      </c>
      <c r="K147" s="249" t="str">
        <f>IF(preDEL!$AG147,IFERROR(0/0,""),preDEL!K147)</f>
        <v>Negative</v>
      </c>
      <c r="L147" s="250">
        <f>IF(preDEL!$AG147,IFERROR(0/0,""),preDEL!L147)</f>
        <v>44704</v>
      </c>
      <c r="M147" s="251">
        <f>IF(preDEL!$AG147,IFERROR(0/0,""),preDEL!M147)</f>
        <v>0.3949074074</v>
      </c>
      <c r="N147" s="94" t="str">
        <f>IF(preDEL!$AG147,IFERROR(0/0,""),preDEL!N147)</f>
        <v/>
      </c>
      <c r="O147" s="94" t="str">
        <f>IF(preDEL!$AG147,IFERROR(0/0,""),preDEL!O147)</f>
        <v/>
      </c>
      <c r="P147" s="93" t="b">
        <f>IF(preDEL!$AG147,IFERROR(0/0,""),preDEL!P147)</f>
        <v>0</v>
      </c>
      <c r="Q147" s="93" t="str">
        <f>IF(preDEL!$AG147,IFERROR(0/0,""),preDEL!Q147)</f>
        <v>Result</v>
      </c>
      <c r="R147" s="99" t="b">
        <f>IF(preDEL!$AG147,IFERROR(0/0,""),preDEL!R147)</f>
        <v>1</v>
      </c>
      <c r="S147" s="99">
        <f>IF(preDEL!$AG147,IFERROR(0/0,""),preDEL!S147)</f>
        <v>3</v>
      </c>
      <c r="T147" s="93" t="str">
        <f>IF(preDEL!$AG147,IFERROR(0/0,""),preDEL!T147)</f>
        <v/>
      </c>
      <c r="U147" s="94" t="str">
        <f>IF(preDEL!$AG147,IFERROR(0/0,""),preDEL!U147)</f>
        <v/>
      </c>
      <c r="V147" s="249" t="str">
        <f>IF(preDEL!$AG147,IFERROR(0/0,""),preDEL!V147)</f>
        <v/>
      </c>
      <c r="W147" s="94" t="str">
        <f>IF(preDEL!$AG147,IFERROR(0/0,""),preDEL!W147)</f>
        <v/>
      </c>
      <c r="X147" s="99" t="b">
        <f>IF(preDEL!$AG147,IFERROR(0/0,""),preDEL!X147)</f>
        <v>0</v>
      </c>
      <c r="Y147" s="93" t="str">
        <f>IF(preDEL!$AG147,IFERROR(0/0,""),preDEL!Y147)</f>
        <v/>
      </c>
      <c r="Z147" s="249" t="str">
        <f>IF(preDEL!$AG147,IFERROR(0/0,""),preDEL!Z147)</f>
        <v/>
      </c>
      <c r="AA147" s="93" t="b">
        <f>IF(preDEL!$AG147,IFERROR(0/0,""),preDEL!AA147)</f>
        <v>0</v>
      </c>
      <c r="AB147" s="93" t="str">
        <f>IF(preDEL!$AG147,IFERROR(0/0,""),preDEL!AB147)</f>
        <v/>
      </c>
      <c r="AC147" s="252">
        <f>IF(preDEL!$AG147,IFERROR(0/0,""),preDEL!AC147)</f>
        <v>117</v>
      </c>
      <c r="AD147" s="99" t="str">
        <f>IF(preDEL!$AG147,IFERROR(0/0,""),preDEL!AD147)</f>
        <v/>
      </c>
      <c r="AE147" s="253">
        <f>IF(preDEL!$AG147,IFERROR(0/0,""),preDEL!AE147)</f>
        <v>253.5333333</v>
      </c>
      <c r="AF147" s="93" t="b">
        <f>IF(preDEL!$AG147,IFERROR(0/0,""),preDEL!AF147)</f>
        <v>0</v>
      </c>
      <c r="AG147" s="93" t="b">
        <f>IF(preDEL!$AG147,IFERROR(0/0,""),preDEL!AG147)</f>
        <v>0</v>
      </c>
      <c r="AH147" s="99" t="str">
        <f>IF(preDEL!$AG147,IFERROR(0/0,""),preDEL!AH147)</f>
        <v/>
      </c>
      <c r="AI147" s="249" t="str">
        <f>IF(preDEL!$AG147,IFERROR(0/0,""),preDEL!AI147)</f>
        <v/>
      </c>
      <c r="AJ147" s="94" t="str">
        <f>IF(preDEL!$AG147,IFERROR(0/0,""),preDEL!AJ147)</f>
        <v/>
      </c>
      <c r="AK147" s="249" t="str">
        <f>IF(preDEL!$AG147,IFERROR(0/0,""),preDEL!AK147)</f>
        <v>Negative</v>
      </c>
      <c r="AL147" s="94" t="str">
        <f>IF(preDEL!$AG147,IFERROR(0/0,""),preDEL!AL147)</f>
        <v/>
      </c>
      <c r="AM147" s="94" t="str">
        <f>IF(preDEL!$AG147,IFERROR(0/0,""),preDEL!AM147)</f>
        <v>SpNDHM957722</v>
      </c>
      <c r="AN147" s="94" t="str">
        <f>IF(preDEL!$AG147,IFERROR(0/0,""),preDEL!AN147)</f>
        <v>NDHM784418</v>
      </c>
      <c r="AO147" s="94" t="str">
        <f>IF(preDEL!$AG147,IFERROR(0/0,""),preDEL!AO147)</f>
        <v/>
      </c>
      <c r="AP147" s="94" t="str">
        <f>IF(preDEL!$AG147,IFERROR(0/0,""),preDEL!AP147)</f>
        <v/>
      </c>
      <c r="AQ147" s="94" t="str">
        <f>IF(preDEL!$AG147,IFERROR(0/0,""),preDEL!AQ147)</f>
        <v/>
      </c>
      <c r="AR147" s="94" t="str">
        <f>IF(preDEL!$AG147,IFERROR(0/0,""),preDEL!AR147)</f>
        <v/>
      </c>
      <c r="AS147" s="98"/>
      <c r="BE147" s="254"/>
      <c r="BF147" s="255"/>
      <c r="BG147" s="254"/>
      <c r="BH147" s="255"/>
      <c r="BI147" s="254"/>
      <c r="BJ147" s="254"/>
      <c r="BK147" s="254"/>
      <c r="BL147" s="254"/>
      <c r="BN147" s="7"/>
      <c r="BO147" s="7"/>
      <c r="BP147" s="7"/>
      <c r="BQ147" s="7"/>
      <c r="BR147" s="7"/>
      <c r="BS147" s="7"/>
      <c r="BT147" s="7"/>
    </row>
    <row r="148">
      <c r="A148" s="249" t="str">
        <f>IF(preDEL!$AG148,IFERROR(0/0,""),preDEL!A148)</f>
        <v>AH7289</v>
      </c>
      <c r="B148" s="250">
        <f>IF(preDEL!$AG148,IFERROR(0/0,""),preDEL!B148)</f>
        <v>44704</v>
      </c>
      <c r="C148" s="251">
        <f>IF(preDEL!$AG148,IFERROR(0/0,""),preDEL!C148)</f>
        <v>0.2188425926</v>
      </c>
      <c r="D148" s="249" t="str">
        <f>IF(preDEL!$AG148,IFERROR(0/0,""),preDEL!D148)</f>
        <v/>
      </c>
      <c r="E148" s="249" t="str">
        <f>IF(preDEL!$AG148,IFERROR(0/0,""),preDEL!E148)</f>
        <v/>
      </c>
      <c r="F148" s="94" t="str">
        <f>IF(preDEL!$AG148,IFERROR(0/0,""),preDEL!F148)</f>
        <v/>
      </c>
      <c r="G148" s="94" t="str">
        <f>IF(preDEL!$AG148,IFERROR(0/0,""),preDEL!G148)</f>
        <v/>
      </c>
      <c r="H148" s="94" t="str">
        <f>IF(preDEL!$AG148,IFERROR(0/0,""),preDEL!H148)</f>
        <v/>
      </c>
      <c r="I148" s="249" t="str">
        <f>IF(preDEL!$AG148,IFERROR(0/0,""),preDEL!I148)</f>
        <v/>
      </c>
      <c r="J148" s="249" t="str">
        <f>IF(preDEL!$AG148,IFERROR(0/0,""),preDEL!J148)</f>
        <v/>
      </c>
      <c r="K148" s="249" t="str">
        <f>IF(preDEL!$AG148,IFERROR(0/0,""),preDEL!K148)</f>
        <v>Negative</v>
      </c>
      <c r="L148" s="250">
        <f>IF(preDEL!$AG148,IFERROR(0/0,""),preDEL!L148)</f>
        <v>44704</v>
      </c>
      <c r="M148" s="251">
        <f>IF(preDEL!$AG148,IFERROR(0/0,""),preDEL!M148)</f>
        <v>0.3949074074</v>
      </c>
      <c r="N148" s="94" t="str">
        <f>IF(preDEL!$AG148,IFERROR(0/0,""),preDEL!N148)</f>
        <v/>
      </c>
      <c r="O148" s="94" t="str">
        <f>IF(preDEL!$AG148,IFERROR(0/0,""),preDEL!O148)</f>
        <v/>
      </c>
      <c r="P148" s="93" t="b">
        <f>IF(preDEL!$AG148,IFERROR(0/0,""),preDEL!P148)</f>
        <v>0</v>
      </c>
      <c r="Q148" s="93" t="str">
        <f>IF(preDEL!$AG148,IFERROR(0/0,""),preDEL!Q148)</f>
        <v>Result</v>
      </c>
      <c r="R148" s="99" t="b">
        <f>IF(preDEL!$AG148,IFERROR(0/0,""),preDEL!R148)</f>
        <v>0</v>
      </c>
      <c r="S148" s="99">
        <f>IF(preDEL!$AG148,IFERROR(0/0,""),preDEL!S148)</f>
        <v>3</v>
      </c>
      <c r="T148" s="93" t="str">
        <f>IF(preDEL!$AG148,IFERROR(0/0,""),preDEL!T148)</f>
        <v/>
      </c>
      <c r="U148" s="94" t="str">
        <f>IF(preDEL!$AG148,IFERROR(0/0,""),preDEL!U148)</f>
        <v/>
      </c>
      <c r="V148" s="249" t="str">
        <f>IF(preDEL!$AG148,IFERROR(0/0,""),preDEL!V148)</f>
        <v/>
      </c>
      <c r="W148" s="94" t="str">
        <f>IF(preDEL!$AG148,IFERROR(0/0,""),preDEL!W148)</f>
        <v/>
      </c>
      <c r="X148" s="99" t="b">
        <f>IF(preDEL!$AG148,IFERROR(0/0,""),preDEL!X148)</f>
        <v>0</v>
      </c>
      <c r="Y148" s="93" t="str">
        <f>IF(preDEL!$AG148,IFERROR(0/0,""),preDEL!Y148)</f>
        <v/>
      </c>
      <c r="Z148" s="249" t="str">
        <f>IF(preDEL!$AG148,IFERROR(0/0,""),preDEL!Z148)</f>
        <v/>
      </c>
      <c r="AA148" s="93" t="b">
        <f>IF(preDEL!$AG148,IFERROR(0/0,""),preDEL!AA148)</f>
        <v>0</v>
      </c>
      <c r="AB148" s="93" t="str">
        <f>IF(preDEL!$AG148,IFERROR(0/0,""),preDEL!AB148)</f>
        <v/>
      </c>
      <c r="AC148" s="252">
        <f>IF(preDEL!$AG148,IFERROR(0/0,""),preDEL!AC148)</f>
        <v>115</v>
      </c>
      <c r="AD148" s="99" t="str">
        <f>IF(preDEL!$AG148,IFERROR(0/0,""),preDEL!AD148)</f>
        <v/>
      </c>
      <c r="AE148" s="253">
        <f>IF(preDEL!$AG148,IFERROR(0/0,""),preDEL!AE148)</f>
        <v>253.5333333</v>
      </c>
      <c r="AF148" s="93" t="b">
        <f>IF(preDEL!$AG148,IFERROR(0/0,""),preDEL!AF148)</f>
        <v>0</v>
      </c>
      <c r="AG148" s="93" t="b">
        <f>IF(preDEL!$AG148,IFERROR(0/0,""),preDEL!AG148)</f>
        <v>0</v>
      </c>
      <c r="AH148" s="99" t="str">
        <f>IF(preDEL!$AG148,IFERROR(0/0,""),preDEL!AH148)</f>
        <v/>
      </c>
      <c r="AI148" s="249" t="str">
        <f>IF(preDEL!$AG148,IFERROR(0/0,""),preDEL!AI148)</f>
        <v/>
      </c>
      <c r="AJ148" s="94" t="str">
        <f>IF(preDEL!$AG148,IFERROR(0/0,""),preDEL!AJ148)</f>
        <v/>
      </c>
      <c r="AK148" s="249" t="str">
        <f>IF(preDEL!$AG148,IFERROR(0/0,""),preDEL!AK148)</f>
        <v>Negative</v>
      </c>
      <c r="AL148" s="94" t="str">
        <f>IF(preDEL!$AG148,IFERROR(0/0,""),preDEL!AL148)</f>
        <v/>
      </c>
      <c r="AM148" s="94" t="str">
        <f>IF(preDEL!$AG148,IFERROR(0/0,""),preDEL!AM148)</f>
        <v>SpNDHM957722</v>
      </c>
      <c r="AN148" s="94" t="str">
        <f>IF(preDEL!$AG148,IFERROR(0/0,""),preDEL!AN148)</f>
        <v>NDHM730614</v>
      </c>
      <c r="AO148" s="94" t="str">
        <f>IF(preDEL!$AG148,IFERROR(0/0,""),preDEL!AO148)</f>
        <v/>
      </c>
      <c r="AP148" s="94" t="str">
        <f>IF(preDEL!$AG148,IFERROR(0/0,""),preDEL!AP148)</f>
        <v/>
      </c>
      <c r="AQ148" s="94" t="str">
        <f>IF(preDEL!$AG148,IFERROR(0/0,""),preDEL!AQ148)</f>
        <v/>
      </c>
      <c r="AR148" s="94" t="str">
        <f>IF(preDEL!$AG148,IFERROR(0/0,""),preDEL!AR148)</f>
        <v/>
      </c>
      <c r="AS148" s="98"/>
      <c r="BE148" s="254"/>
      <c r="BF148" s="255"/>
      <c r="BG148" s="254"/>
      <c r="BH148" s="255"/>
      <c r="BI148" s="254"/>
      <c r="BJ148" s="254"/>
      <c r="BK148" s="254"/>
      <c r="BL148" s="254"/>
      <c r="BN148" s="7"/>
      <c r="BO148" s="7"/>
      <c r="BP148" s="7"/>
      <c r="BQ148" s="7"/>
      <c r="BR148" s="7"/>
      <c r="BS148" s="7"/>
      <c r="BT148" s="7"/>
    </row>
    <row r="149">
      <c r="A149" s="249" t="str">
        <f>IF(preDEL!$AG149,IFERROR(0/0,""),preDEL!A149)</f>
        <v>AH7289</v>
      </c>
      <c r="B149" s="250">
        <f>IF(preDEL!$AG149,IFERROR(0/0,""),preDEL!B149)</f>
        <v>44704</v>
      </c>
      <c r="C149" s="251">
        <f>IF(preDEL!$AG149,IFERROR(0/0,""),preDEL!C149)</f>
        <v>0.2188425926</v>
      </c>
      <c r="D149" s="249" t="str">
        <f>IF(preDEL!$AG149,IFERROR(0/0,""),preDEL!D149)</f>
        <v/>
      </c>
      <c r="E149" s="249" t="str">
        <f>IF(preDEL!$AG149,IFERROR(0/0,""),preDEL!E149)</f>
        <v/>
      </c>
      <c r="F149" s="94" t="str">
        <f>IF(preDEL!$AG149,IFERROR(0/0,""),preDEL!F149)</f>
        <v/>
      </c>
      <c r="G149" s="94" t="str">
        <f>IF(preDEL!$AG149,IFERROR(0/0,""),preDEL!G149)</f>
        <v/>
      </c>
      <c r="H149" s="94" t="str">
        <f>IF(preDEL!$AG149,IFERROR(0/0,""),preDEL!H149)</f>
        <v/>
      </c>
      <c r="I149" s="249" t="str">
        <f>IF(preDEL!$AG149,IFERROR(0/0,""),preDEL!I149)</f>
        <v/>
      </c>
      <c r="J149" s="249" t="str">
        <f>IF(preDEL!$AG149,IFERROR(0/0,""),preDEL!J149)</f>
        <v/>
      </c>
      <c r="K149" s="249" t="str">
        <f>IF(preDEL!$AG149,IFERROR(0/0,""),preDEL!K149)</f>
        <v>Negative</v>
      </c>
      <c r="L149" s="250">
        <f>IF(preDEL!$AG149,IFERROR(0/0,""),preDEL!L149)</f>
        <v>44704</v>
      </c>
      <c r="M149" s="251">
        <f>IF(preDEL!$AG149,IFERROR(0/0,""),preDEL!M149)</f>
        <v>0.3949074074</v>
      </c>
      <c r="N149" s="94" t="str">
        <f>IF(preDEL!$AG149,IFERROR(0/0,""),preDEL!N149)</f>
        <v/>
      </c>
      <c r="O149" s="94" t="str">
        <f>IF(preDEL!$AG149,IFERROR(0/0,""),preDEL!O149)</f>
        <v/>
      </c>
      <c r="P149" s="93" t="b">
        <f>IF(preDEL!$AG149,IFERROR(0/0,""),preDEL!P149)</f>
        <v>0</v>
      </c>
      <c r="Q149" s="93" t="str">
        <f>IF(preDEL!$AG149,IFERROR(0/0,""),preDEL!Q149)</f>
        <v>Result</v>
      </c>
      <c r="R149" s="99" t="b">
        <f>IF(preDEL!$AG149,IFERROR(0/0,""),preDEL!R149)</f>
        <v>0</v>
      </c>
      <c r="S149" s="99">
        <f>IF(preDEL!$AG149,IFERROR(0/0,""),preDEL!S149)</f>
        <v>3</v>
      </c>
      <c r="T149" s="93" t="str">
        <f>IF(preDEL!$AG149,IFERROR(0/0,""),preDEL!T149)</f>
        <v/>
      </c>
      <c r="U149" s="94" t="str">
        <f>IF(preDEL!$AG149,IFERROR(0/0,""),preDEL!U149)</f>
        <v/>
      </c>
      <c r="V149" s="249" t="str">
        <f>IF(preDEL!$AG149,IFERROR(0/0,""),preDEL!V149)</f>
        <v/>
      </c>
      <c r="W149" s="94" t="str">
        <f>IF(preDEL!$AG149,IFERROR(0/0,""),preDEL!W149)</f>
        <v/>
      </c>
      <c r="X149" s="99" t="b">
        <f>IF(preDEL!$AG149,IFERROR(0/0,""),preDEL!X149)</f>
        <v>0</v>
      </c>
      <c r="Y149" s="93" t="str">
        <f>IF(preDEL!$AG149,IFERROR(0/0,""),preDEL!Y149)</f>
        <v/>
      </c>
      <c r="Z149" s="249" t="str">
        <f>IF(preDEL!$AG149,IFERROR(0/0,""),preDEL!Z149)</f>
        <v/>
      </c>
      <c r="AA149" s="93" t="b">
        <f>IF(preDEL!$AG149,IFERROR(0/0,""),preDEL!AA149)</f>
        <v>0</v>
      </c>
      <c r="AB149" s="93" t="str">
        <f>IF(preDEL!$AG149,IFERROR(0/0,""),preDEL!AB149)</f>
        <v/>
      </c>
      <c r="AC149" s="252">
        <f>IF(preDEL!$AG149,IFERROR(0/0,""),preDEL!AC149)</f>
        <v>116</v>
      </c>
      <c r="AD149" s="99" t="str">
        <f>IF(preDEL!$AG149,IFERROR(0/0,""),preDEL!AD149)</f>
        <v/>
      </c>
      <c r="AE149" s="253">
        <f>IF(preDEL!$AG149,IFERROR(0/0,""),preDEL!AE149)</f>
        <v>253.5333333</v>
      </c>
      <c r="AF149" s="93" t="b">
        <f>IF(preDEL!$AG149,IFERROR(0/0,""),preDEL!AF149)</f>
        <v>0</v>
      </c>
      <c r="AG149" s="93" t="b">
        <f>IF(preDEL!$AG149,IFERROR(0/0,""),preDEL!AG149)</f>
        <v>0</v>
      </c>
      <c r="AH149" s="99" t="str">
        <f>IF(preDEL!$AG149,IFERROR(0/0,""),preDEL!AH149)</f>
        <v/>
      </c>
      <c r="AI149" s="249" t="str">
        <f>IF(preDEL!$AG149,IFERROR(0/0,""),preDEL!AI149)</f>
        <v/>
      </c>
      <c r="AJ149" s="94" t="str">
        <f>IF(preDEL!$AG149,IFERROR(0/0,""),preDEL!AJ149)</f>
        <v/>
      </c>
      <c r="AK149" s="249" t="str">
        <f>IF(preDEL!$AG149,IFERROR(0/0,""),preDEL!AK149)</f>
        <v>Negative</v>
      </c>
      <c r="AL149" s="94" t="str">
        <f>IF(preDEL!$AG149,IFERROR(0/0,""),preDEL!AL149)</f>
        <v/>
      </c>
      <c r="AM149" s="94" t="str">
        <f>IF(preDEL!$AG149,IFERROR(0/0,""),preDEL!AM149)</f>
        <v>SpNDHM957722</v>
      </c>
      <c r="AN149" s="94" t="str">
        <f>IF(preDEL!$AG149,IFERROR(0/0,""),preDEL!AN149)</f>
        <v>NDHM804847</v>
      </c>
      <c r="AO149" s="94" t="str">
        <f>IF(preDEL!$AG149,IFERROR(0/0,""),preDEL!AO149)</f>
        <v/>
      </c>
      <c r="AP149" s="94" t="str">
        <f>IF(preDEL!$AG149,IFERROR(0/0,""),preDEL!AP149)</f>
        <v/>
      </c>
      <c r="AQ149" s="94" t="str">
        <f>IF(preDEL!$AG149,IFERROR(0/0,""),preDEL!AQ149)</f>
        <v/>
      </c>
      <c r="AR149" s="94" t="str">
        <f>IF(preDEL!$AG149,IFERROR(0/0,""),preDEL!AR149)</f>
        <v/>
      </c>
      <c r="AS149" s="98"/>
      <c r="BE149" s="254"/>
      <c r="BF149" s="255"/>
      <c r="BG149" s="254"/>
      <c r="BH149" s="255"/>
      <c r="BI149" s="254"/>
      <c r="BJ149" s="254"/>
      <c r="BK149" s="254"/>
      <c r="BL149" s="254"/>
      <c r="BN149" s="7"/>
      <c r="BO149" s="7"/>
      <c r="BP149" s="7"/>
      <c r="BQ149" s="7"/>
      <c r="BR149" s="7"/>
      <c r="BS149" s="7"/>
      <c r="BT149" s="7"/>
    </row>
    <row r="150">
      <c r="A150" s="249" t="str">
        <f>IF(preDEL!$AG150,IFERROR(0/0,""),preDEL!A150)</f>
        <v>AG1828</v>
      </c>
      <c r="B150" s="250">
        <f>IF(preDEL!$AG150,IFERROR(0/0,""),preDEL!B150)</f>
        <v>44704</v>
      </c>
      <c r="C150" s="251">
        <f>IF(preDEL!$AG150,IFERROR(0/0,""),preDEL!C150)</f>
        <v>0.2244675926</v>
      </c>
      <c r="D150" s="249" t="str">
        <f>IF(preDEL!$AG150,IFERROR(0/0,""),preDEL!D150)</f>
        <v/>
      </c>
      <c r="E150" s="249" t="str">
        <f>IF(preDEL!$AG150,IFERROR(0/0,""),preDEL!E150)</f>
        <v/>
      </c>
      <c r="F150" s="94" t="str">
        <f>IF(preDEL!$AG150,IFERROR(0/0,""),preDEL!F150)</f>
        <v/>
      </c>
      <c r="G150" s="94" t="str">
        <f>IF(preDEL!$AG150,IFERROR(0/0,""),preDEL!G150)</f>
        <v/>
      </c>
      <c r="H150" s="94" t="str">
        <f>IF(preDEL!$AG150,IFERROR(0/0,""),preDEL!H150)</f>
        <v/>
      </c>
      <c r="I150" s="249" t="str">
        <f>IF(preDEL!$AG150,IFERROR(0/0,""),preDEL!I150)</f>
        <v/>
      </c>
      <c r="J150" s="249" t="str">
        <f>IF(preDEL!$AG150,IFERROR(0/0,""),preDEL!J150)</f>
        <v/>
      </c>
      <c r="K150" s="249" t="str">
        <f>IF(preDEL!$AG150,IFERROR(0/0,""),preDEL!K150)</f>
        <v>Negative</v>
      </c>
      <c r="L150" s="250">
        <f>IF(preDEL!$AG150,IFERROR(0/0,""),preDEL!L150)</f>
        <v>44704</v>
      </c>
      <c r="M150" s="251">
        <f>IF(preDEL!$AG150,IFERROR(0/0,""),preDEL!M150)</f>
        <v>0.3949189815</v>
      </c>
      <c r="N150" s="94" t="str">
        <f>IF(preDEL!$AG150,IFERROR(0/0,""),preDEL!N150)</f>
        <v/>
      </c>
      <c r="O150" s="94" t="str">
        <f>IF(preDEL!$AG150,IFERROR(0/0,""),preDEL!O150)</f>
        <v/>
      </c>
      <c r="P150" s="93" t="b">
        <f>IF(preDEL!$AG150,IFERROR(0/0,""),preDEL!P150)</f>
        <v>0</v>
      </c>
      <c r="Q150" s="93" t="str">
        <f>IF(preDEL!$AG150,IFERROR(0/0,""),preDEL!Q150)</f>
        <v>Result</v>
      </c>
      <c r="R150" s="99" t="b">
        <f>IF(preDEL!$AG150,IFERROR(0/0,""),preDEL!R150)</f>
        <v>1</v>
      </c>
      <c r="S150" s="99">
        <f>IF(preDEL!$AG150,IFERROR(0/0,""),preDEL!S150)</f>
        <v>2</v>
      </c>
      <c r="T150" s="93" t="str">
        <f>IF(preDEL!$AG150,IFERROR(0/0,""),preDEL!T150)</f>
        <v/>
      </c>
      <c r="U150" s="94" t="str">
        <f>IF(preDEL!$AG150,IFERROR(0/0,""),preDEL!U150)</f>
        <v/>
      </c>
      <c r="V150" s="249" t="str">
        <f>IF(preDEL!$AG150,IFERROR(0/0,""),preDEL!V150)</f>
        <v/>
      </c>
      <c r="W150" s="94" t="str">
        <f>IF(preDEL!$AG150,IFERROR(0/0,""),preDEL!W150)</f>
        <v/>
      </c>
      <c r="X150" s="99" t="b">
        <f>IF(preDEL!$AG150,IFERROR(0/0,""),preDEL!X150)</f>
        <v>0</v>
      </c>
      <c r="Y150" s="93" t="str">
        <f>IF(preDEL!$AG150,IFERROR(0/0,""),preDEL!Y150)</f>
        <v/>
      </c>
      <c r="Z150" s="249" t="str">
        <f>IF(preDEL!$AG150,IFERROR(0/0,""),preDEL!Z150)</f>
        <v/>
      </c>
      <c r="AA150" s="93" t="b">
        <f>IF(preDEL!$AG150,IFERROR(0/0,""),preDEL!AA150)</f>
        <v>0</v>
      </c>
      <c r="AB150" s="93" t="str">
        <f>IF(preDEL!$AG150,IFERROR(0/0,""),preDEL!AB150)</f>
        <v/>
      </c>
      <c r="AC150" s="252">
        <f>IF(preDEL!$AG150,IFERROR(0/0,""),preDEL!AC150)</f>
        <v>119</v>
      </c>
      <c r="AD150" s="99" t="str">
        <f>IF(preDEL!$AG150,IFERROR(0/0,""),preDEL!AD150)</f>
        <v/>
      </c>
      <c r="AE150" s="253">
        <f>IF(preDEL!$AG150,IFERROR(0/0,""),preDEL!AE150)</f>
        <v>245.45</v>
      </c>
      <c r="AF150" s="93" t="b">
        <f>IF(preDEL!$AG150,IFERROR(0/0,""),preDEL!AF150)</f>
        <v>0</v>
      </c>
      <c r="AG150" s="93" t="b">
        <f>IF(preDEL!$AG150,IFERROR(0/0,""),preDEL!AG150)</f>
        <v>0</v>
      </c>
      <c r="AH150" s="99" t="str">
        <f>IF(preDEL!$AG150,IFERROR(0/0,""),preDEL!AH150)</f>
        <v/>
      </c>
      <c r="AI150" s="249" t="str">
        <f>IF(preDEL!$AG150,IFERROR(0/0,""),preDEL!AI150)</f>
        <v/>
      </c>
      <c r="AJ150" s="94" t="str">
        <f>IF(preDEL!$AG150,IFERROR(0/0,""),preDEL!AJ150)</f>
        <v/>
      </c>
      <c r="AK150" s="249" t="str">
        <f>IF(preDEL!$AG150,IFERROR(0/0,""),preDEL!AK150)</f>
        <v>Negative</v>
      </c>
      <c r="AL150" s="94" t="str">
        <f>IF(preDEL!$AG150,IFERROR(0/0,""),preDEL!AL150)</f>
        <v/>
      </c>
      <c r="AM150" s="94" t="str">
        <f>IF(preDEL!$AG150,IFERROR(0/0,""),preDEL!AM150)</f>
        <v>SpNDHM284552</v>
      </c>
      <c r="AN150" s="94" t="str">
        <f>IF(preDEL!$AG150,IFERROR(0/0,""),preDEL!AN150)</f>
        <v>NDHM894346</v>
      </c>
      <c r="AO150" s="94" t="str">
        <f>IF(preDEL!$AG150,IFERROR(0/0,""),preDEL!AO150)</f>
        <v/>
      </c>
      <c r="AP150" s="94" t="str">
        <f>IF(preDEL!$AG150,IFERROR(0/0,""),preDEL!AP150)</f>
        <v/>
      </c>
      <c r="AQ150" s="94" t="str">
        <f>IF(preDEL!$AG150,IFERROR(0/0,""),preDEL!AQ150)</f>
        <v/>
      </c>
      <c r="AR150" s="94" t="str">
        <f>IF(preDEL!$AG150,IFERROR(0/0,""),preDEL!AR150)</f>
        <v/>
      </c>
      <c r="AS150" s="98"/>
      <c r="BE150" s="254"/>
      <c r="BF150" s="255"/>
      <c r="BG150" s="254"/>
      <c r="BH150" s="255"/>
      <c r="BI150" s="254"/>
      <c r="BJ150" s="254"/>
      <c r="BK150" s="254"/>
      <c r="BL150" s="254"/>
      <c r="BN150" s="7"/>
      <c r="BO150" s="7"/>
      <c r="BP150" s="7"/>
      <c r="BQ150" s="7"/>
      <c r="BR150" s="7"/>
      <c r="BS150" s="7"/>
      <c r="BT150" s="7"/>
    </row>
    <row r="151">
      <c r="A151" s="249" t="str">
        <f>IF(preDEL!$AG151,IFERROR(0/0,""),preDEL!A151)</f>
        <v>AG1828</v>
      </c>
      <c r="B151" s="250">
        <f>IF(preDEL!$AG151,IFERROR(0/0,""),preDEL!B151)</f>
        <v>44704</v>
      </c>
      <c r="C151" s="251">
        <f>IF(preDEL!$AG151,IFERROR(0/0,""),preDEL!C151)</f>
        <v>0.2244675926</v>
      </c>
      <c r="D151" s="249" t="str">
        <f>IF(preDEL!$AG151,IFERROR(0/0,""),preDEL!D151)</f>
        <v/>
      </c>
      <c r="E151" s="249" t="str">
        <f>IF(preDEL!$AG151,IFERROR(0/0,""),preDEL!E151)</f>
        <v/>
      </c>
      <c r="F151" s="94" t="str">
        <f>IF(preDEL!$AG151,IFERROR(0/0,""),preDEL!F151)</f>
        <v/>
      </c>
      <c r="G151" s="94" t="str">
        <f>IF(preDEL!$AG151,IFERROR(0/0,""),preDEL!G151)</f>
        <v/>
      </c>
      <c r="H151" s="94" t="str">
        <f>IF(preDEL!$AG151,IFERROR(0/0,""),preDEL!H151)</f>
        <v/>
      </c>
      <c r="I151" s="249" t="str">
        <f>IF(preDEL!$AG151,IFERROR(0/0,""),preDEL!I151)</f>
        <v/>
      </c>
      <c r="J151" s="249" t="str">
        <f>IF(preDEL!$AG151,IFERROR(0/0,""),preDEL!J151)</f>
        <v/>
      </c>
      <c r="K151" s="249" t="str">
        <f>IF(preDEL!$AG151,IFERROR(0/0,""),preDEL!K151)</f>
        <v>Negative</v>
      </c>
      <c r="L151" s="250">
        <f>IF(preDEL!$AG151,IFERROR(0/0,""),preDEL!L151)</f>
        <v>44704</v>
      </c>
      <c r="M151" s="251">
        <f>IF(preDEL!$AG151,IFERROR(0/0,""),preDEL!M151)</f>
        <v>0.3949189815</v>
      </c>
      <c r="N151" s="94" t="str">
        <f>IF(preDEL!$AG151,IFERROR(0/0,""),preDEL!N151)</f>
        <v/>
      </c>
      <c r="O151" s="94" t="str">
        <f>IF(preDEL!$AG151,IFERROR(0/0,""),preDEL!O151)</f>
        <v/>
      </c>
      <c r="P151" s="93" t="b">
        <f>IF(preDEL!$AG151,IFERROR(0/0,""),preDEL!P151)</f>
        <v>0</v>
      </c>
      <c r="Q151" s="93" t="str">
        <f>IF(preDEL!$AG151,IFERROR(0/0,""),preDEL!Q151)</f>
        <v>Result</v>
      </c>
      <c r="R151" s="99" t="b">
        <f>IF(preDEL!$AG151,IFERROR(0/0,""),preDEL!R151)</f>
        <v>0</v>
      </c>
      <c r="S151" s="99">
        <f>IF(preDEL!$AG151,IFERROR(0/0,""),preDEL!S151)</f>
        <v>2</v>
      </c>
      <c r="T151" s="93" t="str">
        <f>IF(preDEL!$AG151,IFERROR(0/0,""),preDEL!T151)</f>
        <v/>
      </c>
      <c r="U151" s="94" t="str">
        <f>IF(preDEL!$AG151,IFERROR(0/0,""),preDEL!U151)</f>
        <v/>
      </c>
      <c r="V151" s="249" t="str">
        <f>IF(preDEL!$AG151,IFERROR(0/0,""),preDEL!V151)</f>
        <v/>
      </c>
      <c r="W151" s="94" t="str">
        <f>IF(preDEL!$AG151,IFERROR(0/0,""),preDEL!W151)</f>
        <v/>
      </c>
      <c r="X151" s="99" t="b">
        <f>IF(preDEL!$AG151,IFERROR(0/0,""),preDEL!X151)</f>
        <v>0</v>
      </c>
      <c r="Y151" s="93" t="str">
        <f>IF(preDEL!$AG151,IFERROR(0/0,""),preDEL!Y151)</f>
        <v/>
      </c>
      <c r="Z151" s="249" t="str">
        <f>IF(preDEL!$AG151,IFERROR(0/0,""),preDEL!Z151)</f>
        <v/>
      </c>
      <c r="AA151" s="93" t="b">
        <f>IF(preDEL!$AG151,IFERROR(0/0,""),preDEL!AA151)</f>
        <v>0</v>
      </c>
      <c r="AB151" s="93" t="str">
        <f>IF(preDEL!$AG151,IFERROR(0/0,""),preDEL!AB151)</f>
        <v/>
      </c>
      <c r="AC151" s="252">
        <f>IF(preDEL!$AG151,IFERROR(0/0,""),preDEL!AC151)</f>
        <v>118</v>
      </c>
      <c r="AD151" s="99" t="str">
        <f>IF(preDEL!$AG151,IFERROR(0/0,""),preDEL!AD151)</f>
        <v/>
      </c>
      <c r="AE151" s="253">
        <f>IF(preDEL!$AG151,IFERROR(0/0,""),preDEL!AE151)</f>
        <v>245.45</v>
      </c>
      <c r="AF151" s="93" t="b">
        <f>IF(preDEL!$AG151,IFERROR(0/0,""),preDEL!AF151)</f>
        <v>0</v>
      </c>
      <c r="AG151" s="93" t="b">
        <f>IF(preDEL!$AG151,IFERROR(0/0,""),preDEL!AG151)</f>
        <v>0</v>
      </c>
      <c r="AH151" s="99" t="str">
        <f>IF(preDEL!$AG151,IFERROR(0/0,""),preDEL!AH151)</f>
        <v/>
      </c>
      <c r="AI151" s="249" t="str">
        <f>IF(preDEL!$AG151,IFERROR(0/0,""),preDEL!AI151)</f>
        <v/>
      </c>
      <c r="AJ151" s="94" t="str">
        <f>IF(preDEL!$AG151,IFERROR(0/0,""),preDEL!AJ151)</f>
        <v/>
      </c>
      <c r="AK151" s="249" t="str">
        <f>IF(preDEL!$AG151,IFERROR(0/0,""),preDEL!AK151)</f>
        <v>Negative</v>
      </c>
      <c r="AL151" s="94" t="str">
        <f>IF(preDEL!$AG151,IFERROR(0/0,""),preDEL!AL151)</f>
        <v/>
      </c>
      <c r="AM151" s="94" t="str">
        <f>IF(preDEL!$AG151,IFERROR(0/0,""),preDEL!AM151)</f>
        <v>SpNDHM284552</v>
      </c>
      <c r="AN151" s="94" t="str">
        <f>IF(preDEL!$AG151,IFERROR(0/0,""),preDEL!AN151)</f>
        <v>NDHM142305</v>
      </c>
      <c r="AO151" s="94" t="str">
        <f>IF(preDEL!$AG151,IFERROR(0/0,""),preDEL!AO151)</f>
        <v/>
      </c>
      <c r="AP151" s="94" t="str">
        <f>IF(preDEL!$AG151,IFERROR(0/0,""),preDEL!AP151)</f>
        <v/>
      </c>
      <c r="AQ151" s="94" t="str">
        <f>IF(preDEL!$AG151,IFERROR(0/0,""),preDEL!AQ151)</f>
        <v/>
      </c>
      <c r="AR151" s="94" t="str">
        <f>IF(preDEL!$AG151,IFERROR(0/0,""),preDEL!AR151)</f>
        <v/>
      </c>
      <c r="AS151" s="98"/>
      <c r="BE151" s="254"/>
      <c r="BF151" s="255"/>
      <c r="BG151" s="254"/>
      <c r="BH151" s="255"/>
      <c r="BI151" s="254"/>
      <c r="BJ151" s="254"/>
      <c r="BK151" s="254"/>
      <c r="BL151" s="254"/>
      <c r="BN151" s="7"/>
      <c r="BO151" s="7"/>
      <c r="BP151" s="7"/>
      <c r="BQ151" s="7"/>
      <c r="BR151" s="7"/>
      <c r="BS151" s="7"/>
      <c r="BT151" s="7"/>
    </row>
    <row r="152">
      <c r="A152" s="249" t="str">
        <f>IF(preDEL!$AG152,IFERROR(0/0,""),preDEL!A152)</f>
        <v>AH6802</v>
      </c>
      <c r="B152" s="250">
        <f>IF(preDEL!$AG152,IFERROR(0/0,""),preDEL!B152)</f>
        <v>44704</v>
      </c>
      <c r="C152" s="251">
        <f>IF(preDEL!$AG152,IFERROR(0/0,""),preDEL!C152)</f>
        <v>0.3195138889</v>
      </c>
      <c r="D152" s="249" t="str">
        <f>IF(preDEL!$AG152,IFERROR(0/0,""),preDEL!D152)</f>
        <v/>
      </c>
      <c r="E152" s="249" t="str">
        <f>IF(preDEL!$AG152,IFERROR(0/0,""),preDEL!E152)</f>
        <v/>
      </c>
      <c r="F152" s="94" t="str">
        <f>IF(preDEL!$AG152,IFERROR(0/0,""),preDEL!F152)</f>
        <v/>
      </c>
      <c r="G152" s="94" t="str">
        <f>IF(preDEL!$AG152,IFERROR(0/0,""),preDEL!G152)</f>
        <v/>
      </c>
      <c r="H152" s="94" t="str">
        <f>IF(preDEL!$AG152,IFERROR(0/0,""),preDEL!H152)</f>
        <v/>
      </c>
      <c r="I152" s="249" t="str">
        <f>IF(preDEL!$AG152,IFERROR(0/0,""),preDEL!I152)</f>
        <v/>
      </c>
      <c r="J152" s="249" t="str">
        <f>IF(preDEL!$AG152,IFERROR(0/0,""),preDEL!J152)</f>
        <v/>
      </c>
      <c r="K152" s="249" t="str">
        <f>IF(preDEL!$AG152,IFERROR(0/0,""),preDEL!K152)</f>
        <v>Negative</v>
      </c>
      <c r="L152" s="250">
        <f>IF(preDEL!$AG152,IFERROR(0/0,""),preDEL!L152)</f>
        <v>44704</v>
      </c>
      <c r="M152" s="251">
        <f>IF(preDEL!$AG152,IFERROR(0/0,""),preDEL!M152)</f>
        <v>0.3949189815</v>
      </c>
      <c r="N152" s="94" t="str">
        <f>IF(preDEL!$AG152,IFERROR(0/0,""),preDEL!N152)</f>
        <v/>
      </c>
      <c r="O152" s="94" t="str">
        <f>IF(preDEL!$AG152,IFERROR(0/0,""),preDEL!O152)</f>
        <v/>
      </c>
      <c r="P152" s="93" t="b">
        <f>IF(preDEL!$AG152,IFERROR(0/0,""),preDEL!P152)</f>
        <v>0</v>
      </c>
      <c r="Q152" s="93" t="str">
        <f>IF(preDEL!$AG152,IFERROR(0/0,""),preDEL!Q152)</f>
        <v>Result</v>
      </c>
      <c r="R152" s="99" t="b">
        <f>IF(preDEL!$AG152,IFERROR(0/0,""),preDEL!R152)</f>
        <v>1</v>
      </c>
      <c r="S152" s="99">
        <f>IF(preDEL!$AG152,IFERROR(0/0,""),preDEL!S152)</f>
        <v>1</v>
      </c>
      <c r="T152" s="93">
        <f>IF(preDEL!$AG152,IFERROR(0/0,""),preDEL!T152)</f>
        <v>0</v>
      </c>
      <c r="U152" s="94" t="str">
        <f>IF(preDEL!$AG152,IFERROR(0/0,""),preDEL!U152)</f>
        <v/>
      </c>
      <c r="V152" s="249" t="str">
        <f>IF(preDEL!$AG152,IFERROR(0/0,""),preDEL!V152)</f>
        <v/>
      </c>
      <c r="W152" s="94" t="str">
        <f>IF(preDEL!$AG152,IFERROR(0/0,""),preDEL!W152)</f>
        <v/>
      </c>
      <c r="X152" s="99" t="b">
        <f>IF(preDEL!$AG152,IFERROR(0/0,""),preDEL!X152)</f>
        <v>0</v>
      </c>
      <c r="Y152" s="93" t="str">
        <f>IF(preDEL!$AG152,IFERROR(0/0,""),preDEL!Y152)</f>
        <v/>
      </c>
      <c r="Z152" s="249" t="str">
        <f>IF(preDEL!$AG152,IFERROR(0/0,""),preDEL!Z152)</f>
        <v/>
      </c>
      <c r="AA152" s="93" t="b">
        <f>IF(preDEL!$AG152,IFERROR(0/0,""),preDEL!AA152)</f>
        <v>0</v>
      </c>
      <c r="AB152" s="93" t="str">
        <f>IF(preDEL!$AG152,IFERROR(0/0,""),preDEL!AB152)</f>
        <v/>
      </c>
      <c r="AC152" s="252">
        <f>IF(preDEL!$AG152,IFERROR(0/0,""),preDEL!AC152)</f>
        <v>120</v>
      </c>
      <c r="AD152" s="99" t="str">
        <f>IF(preDEL!$AG152,IFERROR(0/0,""),preDEL!AD152)</f>
        <v/>
      </c>
      <c r="AE152" s="253">
        <f>IF(preDEL!$AG152,IFERROR(0/0,""),preDEL!AE152)</f>
        <v>108.5833333</v>
      </c>
      <c r="AF152" s="93" t="b">
        <f>IF(preDEL!$AG152,IFERROR(0/0,""),preDEL!AF152)</f>
        <v>0</v>
      </c>
      <c r="AG152" s="93" t="b">
        <f>IF(preDEL!$AG152,IFERROR(0/0,""),preDEL!AG152)</f>
        <v>0</v>
      </c>
      <c r="AH152" s="99" t="str">
        <f>IF(preDEL!$AG152,IFERROR(0/0,""),preDEL!AH152)</f>
        <v/>
      </c>
      <c r="AI152" s="249" t="str">
        <f>IF(preDEL!$AG152,IFERROR(0/0,""),preDEL!AI152)</f>
        <v/>
      </c>
      <c r="AJ152" s="94" t="str">
        <f>IF(preDEL!$AG152,IFERROR(0/0,""),preDEL!AJ152)</f>
        <v/>
      </c>
      <c r="AK152" s="249" t="str">
        <f>IF(preDEL!$AG152,IFERROR(0/0,""),preDEL!AK152)</f>
        <v>Negative</v>
      </c>
      <c r="AL152" s="94" t="str">
        <f>IF(preDEL!$AG152,IFERROR(0/0,""),preDEL!AL152)</f>
        <v/>
      </c>
      <c r="AM152" s="94" t="str">
        <f>IF(preDEL!$AG152,IFERROR(0/0,""),preDEL!AM152)</f>
        <v>SpNDHM122532</v>
      </c>
      <c r="AN152" s="94" t="str">
        <f>IF(preDEL!$AG152,IFERROR(0/0,""),preDEL!AN152)</f>
        <v>NDHM133624</v>
      </c>
      <c r="AO152" s="94" t="str">
        <f>IF(preDEL!$AG152,IFERROR(0/0,""),preDEL!AO152)</f>
        <v/>
      </c>
      <c r="AP152" s="94" t="str">
        <f>IF(preDEL!$AG152,IFERROR(0/0,""),preDEL!AP152)</f>
        <v/>
      </c>
      <c r="AQ152" s="94" t="str">
        <f>IF(preDEL!$AG152,IFERROR(0/0,""),preDEL!AQ152)</f>
        <v/>
      </c>
      <c r="AR152" s="94" t="str">
        <f>IF(preDEL!$AG152,IFERROR(0/0,""),preDEL!AR152)</f>
        <v/>
      </c>
      <c r="AS152" s="98"/>
      <c r="BE152" s="254"/>
      <c r="BF152" s="255"/>
      <c r="BG152" s="254"/>
      <c r="BH152" s="255"/>
      <c r="BI152" s="254"/>
      <c r="BJ152" s="254"/>
      <c r="BK152" s="254"/>
      <c r="BL152" s="254"/>
      <c r="BN152" s="7"/>
      <c r="BO152" s="7"/>
      <c r="BP152" s="7"/>
      <c r="BQ152" s="7"/>
      <c r="BR152" s="7"/>
      <c r="BS152" s="7"/>
      <c r="BT152" s="7"/>
    </row>
    <row r="153">
      <c r="A153" s="249" t="str">
        <f>IF(preDEL!$AG153,IFERROR(0/0,""),preDEL!A153)</f>
        <v>AG663</v>
      </c>
      <c r="B153" s="250">
        <f>IF(preDEL!$AG153,IFERROR(0/0,""),preDEL!B153)</f>
        <v>44712</v>
      </c>
      <c r="C153" s="251">
        <f>IF(preDEL!$AG153,IFERROR(0/0,""),preDEL!C153)</f>
        <v>0.1867592593</v>
      </c>
      <c r="D153" s="249" t="str">
        <f>IF(preDEL!$AG153,IFERROR(0/0,""),preDEL!D153)</f>
        <v/>
      </c>
      <c r="E153" s="249" t="str">
        <f>IF(preDEL!$AG153,IFERROR(0/0,""),preDEL!E153)</f>
        <v/>
      </c>
      <c r="F153" s="94" t="str">
        <f>IF(preDEL!$AG153,IFERROR(0/0,""),preDEL!F153)</f>
        <v/>
      </c>
      <c r="G153" s="94" t="str">
        <f>IF(preDEL!$AG153,IFERROR(0/0,""),preDEL!G153)</f>
        <v/>
      </c>
      <c r="H153" s="94" t="str">
        <f>IF(preDEL!$AG153,IFERROR(0/0,""),preDEL!H153)</f>
        <v/>
      </c>
      <c r="I153" s="249" t="str">
        <f>IF(preDEL!$AG153,IFERROR(0/0,""),preDEL!I153)</f>
        <v/>
      </c>
      <c r="J153" s="249" t="str">
        <f>IF(preDEL!$AG153,IFERROR(0/0,""),preDEL!J153)</f>
        <v/>
      </c>
      <c r="K153" s="249" t="str">
        <f>IF(preDEL!$AG153,IFERROR(0/0,""),preDEL!K153)</f>
        <v>Negative</v>
      </c>
      <c r="L153" s="250">
        <f>IF(preDEL!$AG153,IFERROR(0/0,""),preDEL!L153)</f>
        <v>44713</v>
      </c>
      <c r="M153" s="251">
        <f>IF(preDEL!$AG153,IFERROR(0/0,""),preDEL!M153)</f>
        <v>0.3414814815</v>
      </c>
      <c r="N153" s="94" t="str">
        <f>IF(preDEL!$AG153,IFERROR(0/0,""),preDEL!N153)</f>
        <v/>
      </c>
      <c r="O153" s="94" t="str">
        <f>IF(preDEL!$AG153,IFERROR(0/0,""),preDEL!O153)</f>
        <v/>
      </c>
      <c r="P153" s="93" t="b">
        <f>IF(preDEL!$AG153,IFERROR(0/0,""),preDEL!P153)</f>
        <v>0</v>
      </c>
      <c r="Q153" s="93" t="str">
        <f>IF(preDEL!$AG153,IFERROR(0/0,""),preDEL!Q153)</f>
        <v>Result</v>
      </c>
      <c r="R153" s="99" t="b">
        <f>IF(preDEL!$AG153,IFERROR(0/0,""),preDEL!R153)</f>
        <v>1</v>
      </c>
      <c r="S153" s="99">
        <f>IF(preDEL!$AG153,IFERROR(0/0,""),preDEL!S153)</f>
        <v>1</v>
      </c>
      <c r="T153" s="93" t="str">
        <f>IF(preDEL!$AG153,IFERROR(0/0,""),preDEL!T153)</f>
        <v/>
      </c>
      <c r="U153" s="94" t="str">
        <f>IF(preDEL!$AG153,IFERROR(0/0,""),preDEL!U153)</f>
        <v/>
      </c>
      <c r="V153" s="249" t="str">
        <f>IF(preDEL!$AG153,IFERROR(0/0,""),preDEL!V153)</f>
        <v/>
      </c>
      <c r="W153" s="94" t="str">
        <f>IF(preDEL!$AG153,IFERROR(0/0,""),preDEL!W153)</f>
        <v/>
      </c>
      <c r="X153" s="99" t="b">
        <f>IF(preDEL!$AG153,IFERROR(0/0,""),preDEL!X153)</f>
        <v>0</v>
      </c>
      <c r="Y153" s="93" t="str">
        <f>IF(preDEL!$AG153,IFERROR(0/0,""),preDEL!Y153)</f>
        <v/>
      </c>
      <c r="Z153" s="249" t="str">
        <f>IF(preDEL!$AG153,IFERROR(0/0,""),preDEL!Z153)</f>
        <v/>
      </c>
      <c r="AA153" s="93" t="b">
        <f>IF(preDEL!$AG153,IFERROR(0/0,""),preDEL!AA153)</f>
        <v>0</v>
      </c>
      <c r="AB153" s="93" t="str">
        <f>IF(preDEL!$AG153,IFERROR(0/0,""),preDEL!AB153)</f>
        <v/>
      </c>
      <c r="AC153" s="252">
        <f>IF(preDEL!$AG153,IFERROR(0/0,""),preDEL!AC153)</f>
        <v>97</v>
      </c>
      <c r="AD153" s="99" t="str">
        <f>IF(preDEL!$AG153,IFERROR(0/0,""),preDEL!AD153)</f>
        <v/>
      </c>
      <c r="AE153" s="253" t="str">
        <f>IF(preDEL!$AG153,IFERROR(0/0,""),preDEL!AE153)</f>
        <v/>
      </c>
      <c r="AF153" s="93" t="b">
        <f>IF(preDEL!$AG153,IFERROR(0/0,""),preDEL!AF153)</f>
        <v>0</v>
      </c>
      <c r="AG153" s="93" t="b">
        <f>IF(preDEL!$AG153,IFERROR(0/0,""),preDEL!AG153)</f>
        <v>0</v>
      </c>
      <c r="AH153" s="99" t="str">
        <f>IF(preDEL!$AG153,IFERROR(0/0,""),preDEL!AH153)</f>
        <v/>
      </c>
      <c r="AI153" s="249" t="str">
        <f>IF(preDEL!$AG153,IFERROR(0/0,""),preDEL!AI153)</f>
        <v/>
      </c>
      <c r="AJ153" s="94" t="str">
        <f>IF(preDEL!$AG153,IFERROR(0/0,""),preDEL!AJ153)</f>
        <v/>
      </c>
      <c r="AK153" s="249" t="str">
        <f>IF(preDEL!$AG153,IFERROR(0/0,""),preDEL!AK153)</f>
        <v>Negative</v>
      </c>
      <c r="AL153" s="94" t="str">
        <f>IF(preDEL!$AG153,IFERROR(0/0,""),preDEL!AL153)</f>
        <v/>
      </c>
      <c r="AM153" s="94" t="str">
        <f>IF(preDEL!$AG153,IFERROR(0/0,""),preDEL!AM153)</f>
        <v>SpNDHM109523</v>
      </c>
      <c r="AN153" s="94" t="str">
        <f>IF(preDEL!$AG153,IFERROR(0/0,""),preDEL!AN153)</f>
        <v>NDHM297665</v>
      </c>
      <c r="AO153" s="94" t="str">
        <f>IF(preDEL!$AG153,IFERROR(0/0,""),preDEL!AO153)</f>
        <v/>
      </c>
      <c r="AP153" s="94" t="str">
        <f>IF(preDEL!$AG153,IFERROR(0/0,""),preDEL!AP153)</f>
        <v/>
      </c>
      <c r="AQ153" s="94" t="str">
        <f>IF(preDEL!$AG153,IFERROR(0/0,""),preDEL!AQ153)</f>
        <v/>
      </c>
      <c r="AR153" s="94" t="str">
        <f>IF(preDEL!$AG153,IFERROR(0/0,""),preDEL!AR153)</f>
        <v/>
      </c>
      <c r="AS153" s="98"/>
      <c r="BE153" s="254"/>
      <c r="BF153" s="255"/>
      <c r="BG153" s="254"/>
      <c r="BH153" s="255"/>
      <c r="BI153" s="254"/>
      <c r="BJ153" s="254"/>
      <c r="BK153" s="254"/>
      <c r="BL153" s="254"/>
      <c r="BN153" s="7"/>
      <c r="BO153" s="7"/>
      <c r="BP153" s="7"/>
      <c r="BQ153" s="7"/>
      <c r="BR153" s="7"/>
      <c r="BS153" s="7"/>
      <c r="BT153" s="7"/>
    </row>
    <row r="154">
      <c r="A154" s="249" t="str">
        <f>IF(preDEL!$AG154,IFERROR(0/0,""),preDEL!A154)</f>
        <v>AH9070</v>
      </c>
      <c r="B154" s="250">
        <f>IF(preDEL!$AG154,IFERROR(0/0,""),preDEL!B154)</f>
        <v>44712</v>
      </c>
      <c r="C154" s="251">
        <f>IF(preDEL!$AG154,IFERROR(0/0,""),preDEL!C154)</f>
        <v>0.192650463</v>
      </c>
      <c r="D154" s="249" t="str">
        <f>IF(preDEL!$AG154,IFERROR(0/0,""),preDEL!D154)</f>
        <v/>
      </c>
      <c r="E154" s="249" t="str">
        <f>IF(preDEL!$AG154,IFERROR(0/0,""),preDEL!E154)</f>
        <v/>
      </c>
      <c r="F154" s="94" t="str">
        <f>IF(preDEL!$AG154,IFERROR(0/0,""),preDEL!F154)</f>
        <v/>
      </c>
      <c r="G154" s="94" t="str">
        <f>IF(preDEL!$AG154,IFERROR(0/0,""),preDEL!G154)</f>
        <v/>
      </c>
      <c r="H154" s="94" t="str">
        <f>IF(preDEL!$AG154,IFERROR(0/0,""),preDEL!H154)</f>
        <v/>
      </c>
      <c r="I154" s="249" t="str">
        <f>IF(preDEL!$AG154,IFERROR(0/0,""),preDEL!I154)</f>
        <v/>
      </c>
      <c r="J154" s="249" t="str">
        <f>IF(preDEL!$AG154,IFERROR(0/0,""),preDEL!J154)</f>
        <v/>
      </c>
      <c r="K154" s="249" t="str">
        <f>IF(preDEL!$AG154,IFERROR(0/0,""),preDEL!K154)</f>
        <v>Negative</v>
      </c>
      <c r="L154" s="250">
        <f>IF(preDEL!$AG154,IFERROR(0/0,""),preDEL!L154)</f>
        <v>44713</v>
      </c>
      <c r="M154" s="251">
        <f>IF(preDEL!$AG154,IFERROR(0/0,""),preDEL!M154)</f>
        <v>0.3414814815</v>
      </c>
      <c r="N154" s="94" t="str">
        <f>IF(preDEL!$AG154,IFERROR(0/0,""),preDEL!N154)</f>
        <v/>
      </c>
      <c r="O154" s="94" t="str">
        <f>IF(preDEL!$AG154,IFERROR(0/0,""),preDEL!O154)</f>
        <v/>
      </c>
      <c r="P154" s="93" t="b">
        <f>IF(preDEL!$AG154,IFERROR(0/0,""),preDEL!P154)</f>
        <v>0</v>
      </c>
      <c r="Q154" s="93" t="str">
        <f>IF(preDEL!$AG154,IFERROR(0/0,""),preDEL!Q154)</f>
        <v>Result</v>
      </c>
      <c r="R154" s="99" t="b">
        <f>IF(preDEL!$AG154,IFERROR(0/0,""),preDEL!R154)</f>
        <v>1</v>
      </c>
      <c r="S154" s="99">
        <f>IF(preDEL!$AG154,IFERROR(0/0,""),preDEL!S154)</f>
        <v>4</v>
      </c>
      <c r="T154" s="93" t="str">
        <f>IF(preDEL!$AG154,IFERROR(0/0,""),preDEL!T154)</f>
        <v/>
      </c>
      <c r="U154" s="94" t="str">
        <f>IF(preDEL!$AG154,IFERROR(0/0,""),preDEL!U154)</f>
        <v/>
      </c>
      <c r="V154" s="249" t="str">
        <f>IF(preDEL!$AG154,IFERROR(0/0,""),preDEL!V154)</f>
        <v/>
      </c>
      <c r="W154" s="94" t="str">
        <f>IF(preDEL!$AG154,IFERROR(0/0,""),preDEL!W154)</f>
        <v/>
      </c>
      <c r="X154" s="99" t="b">
        <f>IF(preDEL!$AG154,IFERROR(0/0,""),preDEL!X154)</f>
        <v>0</v>
      </c>
      <c r="Y154" s="93" t="str">
        <f>IF(preDEL!$AG154,IFERROR(0/0,""),preDEL!Y154)</f>
        <v/>
      </c>
      <c r="Z154" s="249" t="str">
        <f>IF(preDEL!$AG154,IFERROR(0/0,""),preDEL!Z154)</f>
        <v/>
      </c>
      <c r="AA154" s="93" t="b">
        <f>IF(preDEL!$AG154,IFERROR(0/0,""),preDEL!AA154)</f>
        <v>0</v>
      </c>
      <c r="AB154" s="93" t="str">
        <f>IF(preDEL!$AG154,IFERROR(0/0,""),preDEL!AB154)</f>
        <v/>
      </c>
      <c r="AC154" s="252">
        <f>IF(preDEL!$AG154,IFERROR(0/0,""),preDEL!AC154)</f>
        <v>100</v>
      </c>
      <c r="AD154" s="99" t="str">
        <f>IF(preDEL!$AG154,IFERROR(0/0,""),preDEL!AD154)</f>
        <v/>
      </c>
      <c r="AE154" s="253" t="str">
        <f>IF(preDEL!$AG154,IFERROR(0/0,""),preDEL!AE154)</f>
        <v/>
      </c>
      <c r="AF154" s="93" t="b">
        <f>IF(preDEL!$AG154,IFERROR(0/0,""),preDEL!AF154)</f>
        <v>0</v>
      </c>
      <c r="AG154" s="93" t="b">
        <f>IF(preDEL!$AG154,IFERROR(0/0,""),preDEL!AG154)</f>
        <v>0</v>
      </c>
      <c r="AH154" s="99" t="str">
        <f>IF(preDEL!$AG154,IFERROR(0/0,""),preDEL!AH154)</f>
        <v/>
      </c>
      <c r="AI154" s="249" t="str">
        <f>IF(preDEL!$AG154,IFERROR(0/0,""),preDEL!AI154)</f>
        <v/>
      </c>
      <c r="AJ154" s="94" t="str">
        <f>IF(preDEL!$AG154,IFERROR(0/0,""),preDEL!AJ154)</f>
        <v/>
      </c>
      <c r="AK154" s="249" t="str">
        <f>IF(preDEL!$AG154,IFERROR(0/0,""),preDEL!AK154)</f>
        <v>Negative</v>
      </c>
      <c r="AL154" s="94" t="str">
        <f>IF(preDEL!$AG154,IFERROR(0/0,""),preDEL!AL154)</f>
        <v/>
      </c>
      <c r="AM154" s="94" t="str">
        <f>IF(preDEL!$AG154,IFERROR(0/0,""),preDEL!AM154)</f>
        <v>SpNDHM400541</v>
      </c>
      <c r="AN154" s="94" t="str">
        <f>IF(preDEL!$AG154,IFERROR(0/0,""),preDEL!AN154)</f>
        <v>NDHM111229</v>
      </c>
      <c r="AO154" s="94" t="str">
        <f>IF(preDEL!$AG154,IFERROR(0/0,""),preDEL!AO154)</f>
        <v/>
      </c>
      <c r="AP154" s="94" t="str">
        <f>IF(preDEL!$AG154,IFERROR(0/0,""),preDEL!AP154)</f>
        <v/>
      </c>
      <c r="AQ154" s="94" t="str">
        <f>IF(preDEL!$AG154,IFERROR(0/0,""),preDEL!AQ154)</f>
        <v/>
      </c>
      <c r="AR154" s="94" t="str">
        <f>IF(preDEL!$AG154,IFERROR(0/0,""),preDEL!AR154)</f>
        <v/>
      </c>
      <c r="AS154" s="98"/>
      <c r="BE154" s="254"/>
      <c r="BF154" s="255"/>
      <c r="BG154" s="254"/>
      <c r="BH154" s="255"/>
      <c r="BI154" s="254"/>
      <c r="BJ154" s="254"/>
      <c r="BK154" s="254"/>
      <c r="BL154" s="254"/>
      <c r="BN154" s="7"/>
      <c r="BO154" s="7"/>
      <c r="BP154" s="7"/>
      <c r="BQ154" s="7"/>
      <c r="BR154" s="7"/>
      <c r="BS154" s="7"/>
      <c r="BT154" s="7"/>
    </row>
    <row r="155">
      <c r="A155" s="249" t="str">
        <f>IF(preDEL!$AG155,IFERROR(0/0,""),preDEL!A155)</f>
        <v>AH9070</v>
      </c>
      <c r="B155" s="250">
        <f>IF(preDEL!$AG155,IFERROR(0/0,""),preDEL!B155)</f>
        <v>44712</v>
      </c>
      <c r="C155" s="251">
        <f>IF(preDEL!$AG155,IFERROR(0/0,""),preDEL!C155)</f>
        <v>0.192650463</v>
      </c>
      <c r="D155" s="249" t="str">
        <f>IF(preDEL!$AG155,IFERROR(0/0,""),preDEL!D155)</f>
        <v/>
      </c>
      <c r="E155" s="249" t="str">
        <f>IF(preDEL!$AG155,IFERROR(0/0,""),preDEL!E155)</f>
        <v/>
      </c>
      <c r="F155" s="94" t="str">
        <f>IF(preDEL!$AG155,IFERROR(0/0,""),preDEL!F155)</f>
        <v/>
      </c>
      <c r="G155" s="94" t="str">
        <f>IF(preDEL!$AG155,IFERROR(0/0,""),preDEL!G155)</f>
        <v/>
      </c>
      <c r="H155" s="94" t="str">
        <f>IF(preDEL!$AG155,IFERROR(0/0,""),preDEL!H155)</f>
        <v/>
      </c>
      <c r="I155" s="249" t="str">
        <f>IF(preDEL!$AG155,IFERROR(0/0,""),preDEL!I155)</f>
        <v/>
      </c>
      <c r="J155" s="249" t="str">
        <f>IF(preDEL!$AG155,IFERROR(0/0,""),preDEL!J155)</f>
        <v/>
      </c>
      <c r="K155" s="249" t="str">
        <f>IF(preDEL!$AG155,IFERROR(0/0,""),preDEL!K155)</f>
        <v>Negative</v>
      </c>
      <c r="L155" s="250">
        <f>IF(preDEL!$AG155,IFERROR(0/0,""),preDEL!L155)</f>
        <v>44713</v>
      </c>
      <c r="M155" s="251">
        <f>IF(preDEL!$AG155,IFERROR(0/0,""),preDEL!M155)</f>
        <v>0.3414814815</v>
      </c>
      <c r="N155" s="94" t="str">
        <f>IF(preDEL!$AG155,IFERROR(0/0,""),preDEL!N155)</f>
        <v/>
      </c>
      <c r="O155" s="94" t="str">
        <f>IF(preDEL!$AG155,IFERROR(0/0,""),preDEL!O155)</f>
        <v/>
      </c>
      <c r="P155" s="93" t="b">
        <f>IF(preDEL!$AG155,IFERROR(0/0,""),preDEL!P155)</f>
        <v>0</v>
      </c>
      <c r="Q155" s="93" t="str">
        <f>IF(preDEL!$AG155,IFERROR(0/0,""),preDEL!Q155)</f>
        <v>Result</v>
      </c>
      <c r="R155" s="99" t="b">
        <f>IF(preDEL!$AG155,IFERROR(0/0,""),preDEL!R155)</f>
        <v>0</v>
      </c>
      <c r="S155" s="99">
        <f>IF(preDEL!$AG155,IFERROR(0/0,""),preDEL!S155)</f>
        <v>4</v>
      </c>
      <c r="T155" s="93" t="str">
        <f>IF(preDEL!$AG155,IFERROR(0/0,""),preDEL!T155)</f>
        <v/>
      </c>
      <c r="U155" s="94" t="str">
        <f>IF(preDEL!$AG155,IFERROR(0/0,""),preDEL!U155)</f>
        <v/>
      </c>
      <c r="V155" s="249" t="str">
        <f>IF(preDEL!$AG155,IFERROR(0/0,""),preDEL!V155)</f>
        <v/>
      </c>
      <c r="W155" s="94" t="str">
        <f>IF(preDEL!$AG155,IFERROR(0/0,""),preDEL!W155)</f>
        <v/>
      </c>
      <c r="X155" s="99" t="b">
        <f>IF(preDEL!$AG155,IFERROR(0/0,""),preDEL!X155)</f>
        <v>0</v>
      </c>
      <c r="Y155" s="93" t="str">
        <f>IF(preDEL!$AG155,IFERROR(0/0,""),preDEL!Y155)</f>
        <v/>
      </c>
      <c r="Z155" s="249" t="str">
        <f>IF(preDEL!$AG155,IFERROR(0/0,""),preDEL!Z155)</f>
        <v/>
      </c>
      <c r="AA155" s="93" t="b">
        <f>IF(preDEL!$AG155,IFERROR(0/0,""),preDEL!AA155)</f>
        <v>0</v>
      </c>
      <c r="AB155" s="93" t="str">
        <f>IF(preDEL!$AG155,IFERROR(0/0,""),preDEL!AB155)</f>
        <v/>
      </c>
      <c r="AC155" s="252">
        <f>IF(preDEL!$AG155,IFERROR(0/0,""),preDEL!AC155)</f>
        <v>99</v>
      </c>
      <c r="AD155" s="99" t="str">
        <f>IF(preDEL!$AG155,IFERROR(0/0,""),preDEL!AD155)</f>
        <v/>
      </c>
      <c r="AE155" s="253" t="str">
        <f>IF(preDEL!$AG155,IFERROR(0/0,""),preDEL!AE155)</f>
        <v/>
      </c>
      <c r="AF155" s="93" t="b">
        <f>IF(preDEL!$AG155,IFERROR(0/0,""),preDEL!AF155)</f>
        <v>0</v>
      </c>
      <c r="AG155" s="93" t="b">
        <f>IF(preDEL!$AG155,IFERROR(0/0,""),preDEL!AG155)</f>
        <v>0</v>
      </c>
      <c r="AH155" s="99" t="str">
        <f>IF(preDEL!$AG155,IFERROR(0/0,""),preDEL!AH155)</f>
        <v/>
      </c>
      <c r="AI155" s="249" t="str">
        <f>IF(preDEL!$AG155,IFERROR(0/0,""),preDEL!AI155)</f>
        <v/>
      </c>
      <c r="AJ155" s="94" t="str">
        <f>IF(preDEL!$AG155,IFERROR(0/0,""),preDEL!AJ155)</f>
        <v/>
      </c>
      <c r="AK155" s="249" t="str">
        <f>IF(preDEL!$AG155,IFERROR(0/0,""),preDEL!AK155)</f>
        <v>Negative</v>
      </c>
      <c r="AL155" s="94" t="str">
        <f>IF(preDEL!$AG155,IFERROR(0/0,""),preDEL!AL155)</f>
        <v/>
      </c>
      <c r="AM155" s="94" t="str">
        <f>IF(preDEL!$AG155,IFERROR(0/0,""),preDEL!AM155)</f>
        <v>SpNDHM400541</v>
      </c>
      <c r="AN155" s="94" t="str">
        <f>IF(preDEL!$AG155,IFERROR(0/0,""),preDEL!AN155)</f>
        <v>NDHM269277</v>
      </c>
      <c r="AO155" s="94" t="str">
        <f>IF(preDEL!$AG155,IFERROR(0/0,""),preDEL!AO155)</f>
        <v/>
      </c>
      <c r="AP155" s="94" t="str">
        <f>IF(preDEL!$AG155,IFERROR(0/0,""),preDEL!AP155)</f>
        <v/>
      </c>
      <c r="AQ155" s="94" t="str">
        <f>IF(preDEL!$AG155,IFERROR(0/0,""),preDEL!AQ155)</f>
        <v/>
      </c>
      <c r="AR155" s="94" t="str">
        <f>IF(preDEL!$AG155,IFERROR(0/0,""),preDEL!AR155)</f>
        <v/>
      </c>
      <c r="AS155" s="98"/>
      <c r="BE155" s="254"/>
      <c r="BF155" s="255"/>
      <c r="BG155" s="254"/>
      <c r="BH155" s="255"/>
      <c r="BI155" s="254"/>
      <c r="BJ155" s="254"/>
      <c r="BK155" s="254"/>
      <c r="BL155" s="254"/>
      <c r="BN155" s="7"/>
      <c r="BO155" s="7"/>
      <c r="BP155" s="7"/>
      <c r="BQ155" s="7"/>
      <c r="BR155" s="7"/>
      <c r="BS155" s="7"/>
      <c r="BT155" s="7"/>
    </row>
    <row r="156">
      <c r="A156" s="249" t="str">
        <f>IF(preDEL!$AG156,IFERROR(0/0,""),preDEL!A156)</f>
        <v>AH9070</v>
      </c>
      <c r="B156" s="250">
        <f>IF(preDEL!$AG156,IFERROR(0/0,""),preDEL!B156)</f>
        <v>44712</v>
      </c>
      <c r="C156" s="251">
        <f>IF(preDEL!$AG156,IFERROR(0/0,""),preDEL!C156)</f>
        <v>0.192650463</v>
      </c>
      <c r="D156" s="249" t="str">
        <f>IF(preDEL!$AG156,IFERROR(0/0,""),preDEL!D156)</f>
        <v/>
      </c>
      <c r="E156" s="249" t="str">
        <f>IF(preDEL!$AG156,IFERROR(0/0,""),preDEL!E156)</f>
        <v/>
      </c>
      <c r="F156" s="94" t="str">
        <f>IF(preDEL!$AG156,IFERROR(0/0,""),preDEL!F156)</f>
        <v/>
      </c>
      <c r="G156" s="94" t="str">
        <f>IF(preDEL!$AG156,IFERROR(0/0,""),preDEL!G156)</f>
        <v/>
      </c>
      <c r="H156" s="94" t="str">
        <f>IF(preDEL!$AG156,IFERROR(0/0,""),preDEL!H156)</f>
        <v/>
      </c>
      <c r="I156" s="249" t="str">
        <f>IF(preDEL!$AG156,IFERROR(0/0,""),preDEL!I156)</f>
        <v/>
      </c>
      <c r="J156" s="249" t="str">
        <f>IF(preDEL!$AG156,IFERROR(0/0,""),preDEL!J156)</f>
        <v/>
      </c>
      <c r="K156" s="249" t="str">
        <f>IF(preDEL!$AG156,IFERROR(0/0,""),preDEL!K156)</f>
        <v>Negative</v>
      </c>
      <c r="L156" s="250">
        <f>IF(preDEL!$AG156,IFERROR(0/0,""),preDEL!L156)</f>
        <v>44713</v>
      </c>
      <c r="M156" s="251">
        <f>IF(preDEL!$AG156,IFERROR(0/0,""),preDEL!M156)</f>
        <v>0.3414814815</v>
      </c>
      <c r="N156" s="94" t="str">
        <f>IF(preDEL!$AG156,IFERROR(0/0,""),preDEL!N156)</f>
        <v/>
      </c>
      <c r="O156" s="94" t="str">
        <f>IF(preDEL!$AG156,IFERROR(0/0,""),preDEL!O156)</f>
        <v/>
      </c>
      <c r="P156" s="93" t="b">
        <f>IF(preDEL!$AG156,IFERROR(0/0,""),preDEL!P156)</f>
        <v>0</v>
      </c>
      <c r="Q156" s="93" t="str">
        <f>IF(preDEL!$AG156,IFERROR(0/0,""),preDEL!Q156)</f>
        <v>Result</v>
      </c>
      <c r="R156" s="99" t="b">
        <f>IF(preDEL!$AG156,IFERROR(0/0,""),preDEL!R156)</f>
        <v>0</v>
      </c>
      <c r="S156" s="99">
        <f>IF(preDEL!$AG156,IFERROR(0/0,""),preDEL!S156)</f>
        <v>4</v>
      </c>
      <c r="T156" s="93" t="str">
        <f>IF(preDEL!$AG156,IFERROR(0/0,""),preDEL!T156)</f>
        <v/>
      </c>
      <c r="U156" s="94" t="str">
        <f>IF(preDEL!$AG156,IFERROR(0/0,""),preDEL!U156)</f>
        <v/>
      </c>
      <c r="V156" s="249" t="str">
        <f>IF(preDEL!$AG156,IFERROR(0/0,""),preDEL!V156)</f>
        <v/>
      </c>
      <c r="W156" s="94" t="str">
        <f>IF(preDEL!$AG156,IFERROR(0/0,""),preDEL!W156)</f>
        <v/>
      </c>
      <c r="X156" s="99" t="b">
        <f>IF(preDEL!$AG156,IFERROR(0/0,""),preDEL!X156)</f>
        <v>0</v>
      </c>
      <c r="Y156" s="93" t="str">
        <f>IF(preDEL!$AG156,IFERROR(0/0,""),preDEL!Y156)</f>
        <v/>
      </c>
      <c r="Z156" s="249" t="str">
        <f>IF(preDEL!$AG156,IFERROR(0/0,""),preDEL!Z156)</f>
        <v/>
      </c>
      <c r="AA156" s="93" t="b">
        <f>IF(preDEL!$AG156,IFERROR(0/0,""),preDEL!AA156)</f>
        <v>0</v>
      </c>
      <c r="AB156" s="93" t="str">
        <f>IF(preDEL!$AG156,IFERROR(0/0,""),preDEL!AB156)</f>
        <v/>
      </c>
      <c r="AC156" s="252">
        <f>IF(preDEL!$AG156,IFERROR(0/0,""),preDEL!AC156)</f>
        <v>98</v>
      </c>
      <c r="AD156" s="99" t="str">
        <f>IF(preDEL!$AG156,IFERROR(0/0,""),preDEL!AD156)</f>
        <v/>
      </c>
      <c r="AE156" s="253" t="str">
        <f>IF(preDEL!$AG156,IFERROR(0/0,""),preDEL!AE156)</f>
        <v/>
      </c>
      <c r="AF156" s="93" t="b">
        <f>IF(preDEL!$AG156,IFERROR(0/0,""),preDEL!AF156)</f>
        <v>0</v>
      </c>
      <c r="AG156" s="93" t="b">
        <f>IF(preDEL!$AG156,IFERROR(0/0,""),preDEL!AG156)</f>
        <v>0</v>
      </c>
      <c r="AH156" s="99" t="str">
        <f>IF(preDEL!$AG156,IFERROR(0/0,""),preDEL!AH156)</f>
        <v/>
      </c>
      <c r="AI156" s="249" t="str">
        <f>IF(preDEL!$AG156,IFERROR(0/0,""),preDEL!AI156)</f>
        <v/>
      </c>
      <c r="AJ156" s="94" t="str">
        <f>IF(preDEL!$AG156,IFERROR(0/0,""),preDEL!AJ156)</f>
        <v/>
      </c>
      <c r="AK156" s="249" t="str">
        <f>IF(preDEL!$AG156,IFERROR(0/0,""),preDEL!AK156)</f>
        <v>Negative</v>
      </c>
      <c r="AL156" s="94" t="str">
        <f>IF(preDEL!$AG156,IFERROR(0/0,""),preDEL!AL156)</f>
        <v/>
      </c>
      <c r="AM156" s="94" t="str">
        <f>IF(preDEL!$AG156,IFERROR(0/0,""),preDEL!AM156)</f>
        <v>SpNDHM400541</v>
      </c>
      <c r="AN156" s="94" t="str">
        <f>IF(preDEL!$AG156,IFERROR(0/0,""),preDEL!AN156)</f>
        <v>NDHM175150</v>
      </c>
      <c r="AO156" s="94" t="str">
        <f>IF(preDEL!$AG156,IFERROR(0/0,""),preDEL!AO156)</f>
        <v/>
      </c>
      <c r="AP156" s="94" t="str">
        <f>IF(preDEL!$AG156,IFERROR(0/0,""),preDEL!AP156)</f>
        <v/>
      </c>
      <c r="AQ156" s="94" t="str">
        <f>IF(preDEL!$AG156,IFERROR(0/0,""),preDEL!AQ156)</f>
        <v/>
      </c>
      <c r="AR156" s="94" t="str">
        <f>IF(preDEL!$AG156,IFERROR(0/0,""),preDEL!AR156)</f>
        <v/>
      </c>
      <c r="AS156" s="98"/>
      <c r="BE156" s="254"/>
      <c r="BF156" s="255"/>
      <c r="BG156" s="254"/>
      <c r="BH156" s="255"/>
      <c r="BI156" s="254"/>
      <c r="BJ156" s="254"/>
      <c r="BK156" s="254"/>
      <c r="BL156" s="254"/>
      <c r="BN156" s="7"/>
      <c r="BO156" s="7"/>
      <c r="BP156" s="7"/>
      <c r="BQ156" s="7"/>
      <c r="BR156" s="7"/>
      <c r="BS156" s="7"/>
      <c r="BT156" s="7"/>
    </row>
    <row r="157">
      <c r="A157" s="249" t="str">
        <f>IF(preDEL!$AG157,IFERROR(0/0,""),preDEL!A157)</f>
        <v>AH9070</v>
      </c>
      <c r="B157" s="250">
        <f>IF(preDEL!$AG157,IFERROR(0/0,""),preDEL!B157)</f>
        <v>44712</v>
      </c>
      <c r="C157" s="251">
        <f>IF(preDEL!$AG157,IFERROR(0/0,""),preDEL!C157)</f>
        <v>0.192650463</v>
      </c>
      <c r="D157" s="249" t="str">
        <f>IF(preDEL!$AG157,IFERROR(0/0,""),preDEL!D157)</f>
        <v/>
      </c>
      <c r="E157" s="249" t="str">
        <f>IF(preDEL!$AG157,IFERROR(0/0,""),preDEL!E157)</f>
        <v/>
      </c>
      <c r="F157" s="94" t="str">
        <f>IF(preDEL!$AG157,IFERROR(0/0,""),preDEL!F157)</f>
        <v/>
      </c>
      <c r="G157" s="94" t="str">
        <f>IF(preDEL!$AG157,IFERROR(0/0,""),preDEL!G157)</f>
        <v/>
      </c>
      <c r="H157" s="94" t="str">
        <f>IF(preDEL!$AG157,IFERROR(0/0,""),preDEL!H157)</f>
        <v/>
      </c>
      <c r="I157" s="249" t="str">
        <f>IF(preDEL!$AG157,IFERROR(0/0,""),preDEL!I157)</f>
        <v/>
      </c>
      <c r="J157" s="249" t="str">
        <f>IF(preDEL!$AG157,IFERROR(0/0,""),preDEL!J157)</f>
        <v/>
      </c>
      <c r="K157" s="249" t="str">
        <f>IF(preDEL!$AG157,IFERROR(0/0,""),preDEL!K157)</f>
        <v>Negative</v>
      </c>
      <c r="L157" s="250">
        <f>IF(preDEL!$AG157,IFERROR(0/0,""),preDEL!L157)</f>
        <v>44713</v>
      </c>
      <c r="M157" s="251">
        <f>IF(preDEL!$AG157,IFERROR(0/0,""),preDEL!M157)</f>
        <v>0.3414814815</v>
      </c>
      <c r="N157" s="94" t="str">
        <f>IF(preDEL!$AG157,IFERROR(0/0,""),preDEL!N157)</f>
        <v/>
      </c>
      <c r="O157" s="94" t="str">
        <f>IF(preDEL!$AG157,IFERROR(0/0,""),preDEL!O157)</f>
        <v/>
      </c>
      <c r="P157" s="93" t="b">
        <f>IF(preDEL!$AG157,IFERROR(0/0,""),preDEL!P157)</f>
        <v>0</v>
      </c>
      <c r="Q157" s="93" t="str">
        <f>IF(preDEL!$AG157,IFERROR(0/0,""),preDEL!Q157)</f>
        <v>Result</v>
      </c>
      <c r="R157" s="99" t="b">
        <f>IF(preDEL!$AG157,IFERROR(0/0,""),preDEL!R157)</f>
        <v>0</v>
      </c>
      <c r="S157" s="99">
        <f>IF(preDEL!$AG157,IFERROR(0/0,""),preDEL!S157)</f>
        <v>4</v>
      </c>
      <c r="T157" s="93" t="str">
        <f>IF(preDEL!$AG157,IFERROR(0/0,""),preDEL!T157)</f>
        <v/>
      </c>
      <c r="U157" s="94" t="str">
        <f>IF(preDEL!$AG157,IFERROR(0/0,""),preDEL!U157)</f>
        <v/>
      </c>
      <c r="V157" s="249" t="str">
        <f>IF(preDEL!$AG157,IFERROR(0/0,""),preDEL!V157)</f>
        <v/>
      </c>
      <c r="W157" s="94" t="str">
        <f>IF(preDEL!$AG157,IFERROR(0/0,""),preDEL!W157)</f>
        <v/>
      </c>
      <c r="X157" s="99" t="b">
        <f>IF(preDEL!$AG157,IFERROR(0/0,""),preDEL!X157)</f>
        <v>0</v>
      </c>
      <c r="Y157" s="93" t="str">
        <f>IF(preDEL!$AG157,IFERROR(0/0,""),preDEL!Y157)</f>
        <v/>
      </c>
      <c r="Z157" s="249" t="str">
        <f>IF(preDEL!$AG157,IFERROR(0/0,""),preDEL!Z157)</f>
        <v/>
      </c>
      <c r="AA157" s="93" t="b">
        <f>IF(preDEL!$AG157,IFERROR(0/0,""),preDEL!AA157)</f>
        <v>0</v>
      </c>
      <c r="AB157" s="93" t="str">
        <f>IF(preDEL!$AG157,IFERROR(0/0,""),preDEL!AB157)</f>
        <v/>
      </c>
      <c r="AC157" s="252">
        <f>IF(preDEL!$AG157,IFERROR(0/0,""),preDEL!AC157)</f>
        <v>101</v>
      </c>
      <c r="AD157" s="99" t="str">
        <f>IF(preDEL!$AG157,IFERROR(0/0,""),preDEL!AD157)</f>
        <v/>
      </c>
      <c r="AE157" s="253" t="str">
        <f>IF(preDEL!$AG157,IFERROR(0/0,""),preDEL!AE157)</f>
        <v/>
      </c>
      <c r="AF157" s="93" t="b">
        <f>IF(preDEL!$AG157,IFERROR(0/0,""),preDEL!AF157)</f>
        <v>0</v>
      </c>
      <c r="AG157" s="93" t="b">
        <f>IF(preDEL!$AG157,IFERROR(0/0,""),preDEL!AG157)</f>
        <v>0</v>
      </c>
      <c r="AH157" s="99" t="str">
        <f>IF(preDEL!$AG157,IFERROR(0/0,""),preDEL!AH157)</f>
        <v/>
      </c>
      <c r="AI157" s="249" t="str">
        <f>IF(preDEL!$AG157,IFERROR(0/0,""),preDEL!AI157)</f>
        <v/>
      </c>
      <c r="AJ157" s="94" t="str">
        <f>IF(preDEL!$AG157,IFERROR(0/0,""),preDEL!AJ157)</f>
        <v/>
      </c>
      <c r="AK157" s="249" t="str">
        <f>IF(preDEL!$AG157,IFERROR(0/0,""),preDEL!AK157)</f>
        <v>Negative</v>
      </c>
      <c r="AL157" s="94" t="str">
        <f>IF(preDEL!$AG157,IFERROR(0/0,""),preDEL!AL157)</f>
        <v/>
      </c>
      <c r="AM157" s="94" t="str">
        <f>IF(preDEL!$AG157,IFERROR(0/0,""),preDEL!AM157)</f>
        <v>SpNDHM400541</v>
      </c>
      <c r="AN157" s="94" t="str">
        <f>IF(preDEL!$AG157,IFERROR(0/0,""),preDEL!AN157)</f>
        <v>NDHM226149</v>
      </c>
      <c r="AO157" s="94" t="str">
        <f>IF(preDEL!$AG157,IFERROR(0/0,""),preDEL!AO157)</f>
        <v/>
      </c>
      <c r="AP157" s="94" t="str">
        <f>IF(preDEL!$AG157,IFERROR(0/0,""),preDEL!AP157)</f>
        <v/>
      </c>
      <c r="AQ157" s="94" t="str">
        <f>IF(preDEL!$AG157,IFERROR(0/0,""),preDEL!AQ157)</f>
        <v/>
      </c>
      <c r="AR157" s="94" t="str">
        <f>IF(preDEL!$AG157,IFERROR(0/0,""),preDEL!AR157)</f>
        <v/>
      </c>
      <c r="AS157" s="98"/>
      <c r="BE157" s="254"/>
      <c r="BF157" s="255"/>
      <c r="BG157" s="254"/>
      <c r="BH157" s="255"/>
      <c r="BI157" s="254"/>
      <c r="BJ157" s="254"/>
      <c r="BK157" s="254"/>
      <c r="BL157" s="254"/>
      <c r="BN157" s="7"/>
      <c r="BO157" s="7"/>
      <c r="BP157" s="7"/>
      <c r="BQ157" s="7"/>
      <c r="BR157" s="7"/>
      <c r="BS157" s="7"/>
      <c r="BT157" s="7"/>
    </row>
    <row r="158">
      <c r="A158" s="249" t="str">
        <f>IF(preDEL!$AG158,IFERROR(0/0,""),preDEL!A158)</f>
        <v>AH258</v>
      </c>
      <c r="B158" s="250">
        <f>IF(preDEL!$AG158,IFERROR(0/0,""),preDEL!B158)</f>
        <v>44712</v>
      </c>
      <c r="C158" s="251">
        <f>IF(preDEL!$AG158,IFERROR(0/0,""),preDEL!C158)</f>
        <v>0.7929166667</v>
      </c>
      <c r="D158" s="249" t="str">
        <f>IF(preDEL!$AG158,IFERROR(0/0,""),preDEL!D158)</f>
        <v/>
      </c>
      <c r="E158" s="249" t="str">
        <f>IF(preDEL!$AG158,IFERROR(0/0,""),preDEL!E158)</f>
        <v/>
      </c>
      <c r="F158" s="94" t="str">
        <f>IF(preDEL!$AG158,IFERROR(0/0,""),preDEL!F158)</f>
        <v/>
      </c>
      <c r="G158" s="94" t="str">
        <f>IF(preDEL!$AG158,IFERROR(0/0,""),preDEL!G158)</f>
        <v/>
      </c>
      <c r="H158" s="94" t="str">
        <f>IF(preDEL!$AG158,IFERROR(0/0,""),preDEL!H158)</f>
        <v/>
      </c>
      <c r="I158" s="249" t="str">
        <f>IF(preDEL!$AG158,IFERROR(0/0,""),preDEL!I158)</f>
        <v/>
      </c>
      <c r="J158" s="249" t="str">
        <f>IF(preDEL!$AG158,IFERROR(0/0,""),preDEL!J158)</f>
        <v/>
      </c>
      <c r="K158" s="249" t="str">
        <f>IF(preDEL!$AG158,IFERROR(0/0,""),preDEL!K158)</f>
        <v>Negative</v>
      </c>
      <c r="L158" s="250">
        <f>IF(preDEL!$AG158,IFERROR(0/0,""),preDEL!L158)</f>
        <v>44713</v>
      </c>
      <c r="M158" s="251">
        <f>IF(preDEL!$AG158,IFERROR(0/0,""),preDEL!M158)</f>
        <v>0.3414814815</v>
      </c>
      <c r="N158" s="94" t="str">
        <f>IF(preDEL!$AG158,IFERROR(0/0,""),preDEL!N158)</f>
        <v/>
      </c>
      <c r="O158" s="94" t="str">
        <f>IF(preDEL!$AG158,IFERROR(0/0,""),preDEL!O158)</f>
        <v/>
      </c>
      <c r="P158" s="93" t="b">
        <f>IF(preDEL!$AG158,IFERROR(0/0,""),preDEL!P158)</f>
        <v>0</v>
      </c>
      <c r="Q158" s="93" t="str">
        <f>IF(preDEL!$AG158,IFERROR(0/0,""),preDEL!Q158)</f>
        <v>Result</v>
      </c>
      <c r="R158" s="99" t="b">
        <f>IF(preDEL!$AG158,IFERROR(0/0,""),preDEL!R158)</f>
        <v>1</v>
      </c>
      <c r="S158" s="99">
        <f>IF(preDEL!$AG158,IFERROR(0/0,""),preDEL!S158)</f>
        <v>2</v>
      </c>
      <c r="T158" s="93">
        <f>IF(preDEL!$AG158,IFERROR(0/0,""),preDEL!T158)</f>
        <v>1</v>
      </c>
      <c r="U158" s="94" t="str">
        <f>IF(preDEL!$AG158,IFERROR(0/0,""),preDEL!U158)</f>
        <v/>
      </c>
      <c r="V158" s="249" t="str">
        <f>IF(preDEL!$AG158,IFERROR(0/0,""),preDEL!V158)</f>
        <v/>
      </c>
      <c r="W158" s="94" t="str">
        <f>IF(preDEL!$AG158,IFERROR(0/0,""),preDEL!W158)</f>
        <v/>
      </c>
      <c r="X158" s="99" t="b">
        <f>IF(preDEL!$AG158,IFERROR(0/0,""),preDEL!X158)</f>
        <v>0</v>
      </c>
      <c r="Y158" s="93" t="str">
        <f>IF(preDEL!$AG158,IFERROR(0/0,""),preDEL!Y158)</f>
        <v/>
      </c>
      <c r="Z158" s="249" t="str">
        <f>IF(preDEL!$AG158,IFERROR(0/0,""),preDEL!Z158)</f>
        <v/>
      </c>
      <c r="AA158" s="93" t="b">
        <f>IF(preDEL!$AG158,IFERROR(0/0,""),preDEL!AA158)</f>
        <v>0</v>
      </c>
      <c r="AB158" s="93" t="str">
        <f>IF(preDEL!$AG158,IFERROR(0/0,""),preDEL!AB158)</f>
        <v/>
      </c>
      <c r="AC158" s="252">
        <f>IF(preDEL!$AG158,IFERROR(0/0,""),preDEL!AC158)</f>
        <v>102</v>
      </c>
      <c r="AD158" s="99" t="str">
        <f>IF(preDEL!$AG158,IFERROR(0/0,""),preDEL!AD158)</f>
        <v/>
      </c>
      <c r="AE158" s="253" t="str">
        <f>IF(preDEL!$AG158,IFERROR(0/0,""),preDEL!AE158)</f>
        <v/>
      </c>
      <c r="AF158" s="93" t="b">
        <f>IF(preDEL!$AG158,IFERROR(0/0,""),preDEL!AF158)</f>
        <v>0</v>
      </c>
      <c r="AG158" s="93" t="b">
        <f>IF(preDEL!$AG158,IFERROR(0/0,""),preDEL!AG158)</f>
        <v>0</v>
      </c>
      <c r="AH158" s="99" t="str">
        <f>IF(preDEL!$AG158,IFERROR(0/0,""),preDEL!AH158)</f>
        <v/>
      </c>
      <c r="AI158" s="249" t="str">
        <f>IF(preDEL!$AG158,IFERROR(0/0,""),preDEL!AI158)</f>
        <v/>
      </c>
      <c r="AJ158" s="94" t="str">
        <f>IF(preDEL!$AG158,IFERROR(0/0,""),preDEL!AJ158)</f>
        <v/>
      </c>
      <c r="AK158" s="249" t="str">
        <f>IF(preDEL!$AG158,IFERROR(0/0,""),preDEL!AK158)</f>
        <v>Negative</v>
      </c>
      <c r="AL158" s="94" t="str">
        <f>IF(preDEL!$AG158,IFERROR(0/0,""),preDEL!AL158)</f>
        <v/>
      </c>
      <c r="AM158" s="94" t="str">
        <f>IF(preDEL!$AG158,IFERROR(0/0,""),preDEL!AM158)</f>
        <v>SpNDHM122532</v>
      </c>
      <c r="AN158" s="94" t="str">
        <f>IF(preDEL!$AG158,IFERROR(0/0,""),preDEL!AN158)</f>
        <v>NDHM222279</v>
      </c>
      <c r="AO158" s="94" t="str">
        <f>IF(preDEL!$AG158,IFERROR(0/0,""),preDEL!AO158)</f>
        <v/>
      </c>
      <c r="AP158" s="94" t="str">
        <f>IF(preDEL!$AG158,IFERROR(0/0,""),preDEL!AP158)</f>
        <v/>
      </c>
      <c r="AQ158" s="94" t="str">
        <f>IF(preDEL!$AG158,IFERROR(0/0,""),preDEL!AQ158)</f>
        <v/>
      </c>
      <c r="AR158" s="94" t="str">
        <f>IF(preDEL!$AG158,IFERROR(0/0,""),preDEL!AR158)</f>
        <v/>
      </c>
      <c r="AS158" s="98"/>
      <c r="BE158" s="254"/>
      <c r="BF158" s="255"/>
      <c r="BG158" s="254"/>
      <c r="BH158" s="255"/>
      <c r="BI158" s="254"/>
      <c r="BJ158" s="254"/>
      <c r="BK158" s="254"/>
      <c r="BL158" s="254"/>
      <c r="BN158" s="7"/>
      <c r="BO158" s="7"/>
      <c r="BP158" s="7"/>
      <c r="BQ158" s="7"/>
      <c r="BR158" s="7"/>
      <c r="BS158" s="7"/>
      <c r="BT158" s="7"/>
    </row>
    <row r="159">
      <c r="A159" s="249" t="str">
        <f>IF(preDEL!$AG159,IFERROR(0/0,""),preDEL!A159)</f>
        <v>AH258</v>
      </c>
      <c r="B159" s="250">
        <f>IF(preDEL!$AG159,IFERROR(0/0,""),preDEL!B159)</f>
        <v>44712</v>
      </c>
      <c r="C159" s="251">
        <f>IF(preDEL!$AG159,IFERROR(0/0,""),preDEL!C159)</f>
        <v>0.7929166667</v>
      </c>
      <c r="D159" s="249" t="str">
        <f>IF(preDEL!$AG159,IFERROR(0/0,""),preDEL!D159)</f>
        <v/>
      </c>
      <c r="E159" s="249" t="str">
        <f>IF(preDEL!$AG159,IFERROR(0/0,""),preDEL!E159)</f>
        <v/>
      </c>
      <c r="F159" s="94" t="str">
        <f>IF(preDEL!$AG159,IFERROR(0/0,""),preDEL!F159)</f>
        <v/>
      </c>
      <c r="G159" s="94" t="str">
        <f>IF(preDEL!$AG159,IFERROR(0/0,""),preDEL!G159)</f>
        <v/>
      </c>
      <c r="H159" s="94" t="str">
        <f>IF(preDEL!$AG159,IFERROR(0/0,""),preDEL!H159)</f>
        <v/>
      </c>
      <c r="I159" s="249" t="str">
        <f>IF(preDEL!$AG159,IFERROR(0/0,""),preDEL!I159)</f>
        <v/>
      </c>
      <c r="J159" s="249" t="str">
        <f>IF(preDEL!$AG159,IFERROR(0/0,""),preDEL!J159)</f>
        <v/>
      </c>
      <c r="K159" s="249" t="str">
        <f>IF(preDEL!$AG159,IFERROR(0/0,""),preDEL!K159)</f>
        <v>Negative</v>
      </c>
      <c r="L159" s="250">
        <f>IF(preDEL!$AG159,IFERROR(0/0,""),preDEL!L159)</f>
        <v>44713</v>
      </c>
      <c r="M159" s="251">
        <f>IF(preDEL!$AG159,IFERROR(0/0,""),preDEL!M159)</f>
        <v>0.3414814815</v>
      </c>
      <c r="N159" s="94" t="str">
        <f>IF(preDEL!$AG159,IFERROR(0/0,""),preDEL!N159)</f>
        <v/>
      </c>
      <c r="O159" s="94" t="str">
        <f>IF(preDEL!$AG159,IFERROR(0/0,""),preDEL!O159)</f>
        <v/>
      </c>
      <c r="P159" s="93" t="b">
        <f>IF(preDEL!$AG159,IFERROR(0/0,""),preDEL!P159)</f>
        <v>0</v>
      </c>
      <c r="Q159" s="93" t="str">
        <f>IF(preDEL!$AG159,IFERROR(0/0,""),preDEL!Q159)</f>
        <v>Result</v>
      </c>
      <c r="R159" s="99" t="b">
        <f>IF(preDEL!$AG159,IFERROR(0/0,""),preDEL!R159)</f>
        <v>0</v>
      </c>
      <c r="S159" s="99">
        <f>IF(preDEL!$AG159,IFERROR(0/0,""),preDEL!S159)</f>
        <v>2</v>
      </c>
      <c r="T159" s="93">
        <f>IF(preDEL!$AG159,IFERROR(0/0,""),preDEL!T159)</f>
        <v>1</v>
      </c>
      <c r="U159" s="94" t="str">
        <f>IF(preDEL!$AG159,IFERROR(0/0,""),preDEL!U159)</f>
        <v/>
      </c>
      <c r="V159" s="249" t="str">
        <f>IF(preDEL!$AG159,IFERROR(0/0,""),preDEL!V159)</f>
        <v/>
      </c>
      <c r="W159" s="94" t="str">
        <f>IF(preDEL!$AG159,IFERROR(0/0,""),preDEL!W159)</f>
        <v/>
      </c>
      <c r="X159" s="99" t="b">
        <f>IF(preDEL!$AG159,IFERROR(0/0,""),preDEL!X159)</f>
        <v>0</v>
      </c>
      <c r="Y159" s="93" t="str">
        <f>IF(preDEL!$AG159,IFERROR(0/0,""),preDEL!Y159)</f>
        <v/>
      </c>
      <c r="Z159" s="249" t="str">
        <f>IF(preDEL!$AG159,IFERROR(0/0,""),preDEL!Z159)</f>
        <v/>
      </c>
      <c r="AA159" s="93" t="b">
        <f>IF(preDEL!$AG159,IFERROR(0/0,""),preDEL!AA159)</f>
        <v>0</v>
      </c>
      <c r="AB159" s="93" t="str">
        <f>IF(preDEL!$AG159,IFERROR(0/0,""),preDEL!AB159)</f>
        <v/>
      </c>
      <c r="AC159" s="252">
        <f>IF(preDEL!$AG159,IFERROR(0/0,""),preDEL!AC159)</f>
        <v>102</v>
      </c>
      <c r="AD159" s="99" t="str">
        <f>IF(preDEL!$AG159,IFERROR(0/0,""),preDEL!AD159)</f>
        <v/>
      </c>
      <c r="AE159" s="253" t="str">
        <f>IF(preDEL!$AG159,IFERROR(0/0,""),preDEL!AE159)</f>
        <v/>
      </c>
      <c r="AF159" s="93" t="b">
        <f>IF(preDEL!$AG159,IFERROR(0/0,""),preDEL!AF159)</f>
        <v>0</v>
      </c>
      <c r="AG159" s="93" t="b">
        <f>IF(preDEL!$AG159,IFERROR(0/0,""),preDEL!AG159)</f>
        <v>0</v>
      </c>
      <c r="AH159" s="99" t="str">
        <f>IF(preDEL!$AG159,IFERROR(0/0,""),preDEL!AH159)</f>
        <v/>
      </c>
      <c r="AI159" s="249" t="str">
        <f>IF(preDEL!$AG159,IFERROR(0/0,""),preDEL!AI159)</f>
        <v/>
      </c>
      <c r="AJ159" s="94" t="str">
        <f>IF(preDEL!$AG159,IFERROR(0/0,""),preDEL!AJ159)</f>
        <v/>
      </c>
      <c r="AK159" s="249" t="str">
        <f>IF(preDEL!$AG159,IFERROR(0/0,""),preDEL!AK159)</f>
        <v>Negative</v>
      </c>
      <c r="AL159" s="94" t="str">
        <f>IF(preDEL!$AG159,IFERROR(0/0,""),preDEL!AL159)</f>
        <v/>
      </c>
      <c r="AM159" s="94" t="str">
        <f>IF(preDEL!$AG159,IFERROR(0/0,""),preDEL!AM159)</f>
        <v>SpNDHM122532</v>
      </c>
      <c r="AN159" s="94" t="str">
        <f>IF(preDEL!$AG159,IFERROR(0/0,""),preDEL!AN159)</f>
        <v>NDHM359812</v>
      </c>
      <c r="AO159" s="94" t="str">
        <f>IF(preDEL!$AG159,IFERROR(0/0,""),preDEL!AO159)</f>
        <v/>
      </c>
      <c r="AP159" s="94" t="str">
        <f>IF(preDEL!$AG159,IFERROR(0/0,""),preDEL!AP159)</f>
        <v/>
      </c>
      <c r="AQ159" s="94" t="str">
        <f>IF(preDEL!$AG159,IFERROR(0/0,""),preDEL!AQ159)</f>
        <v/>
      </c>
      <c r="AR159" s="94" t="str">
        <f>IF(preDEL!$AG159,IFERROR(0/0,""),preDEL!AR159)</f>
        <v/>
      </c>
      <c r="AS159" s="98"/>
      <c r="BE159" s="254"/>
      <c r="BF159" s="255"/>
      <c r="BG159" s="254"/>
      <c r="BH159" s="255"/>
      <c r="BI159" s="254"/>
      <c r="BJ159" s="254"/>
      <c r="BK159" s="254"/>
      <c r="BL159" s="254"/>
      <c r="BN159" s="7"/>
      <c r="BO159" s="7"/>
      <c r="BP159" s="7"/>
      <c r="BQ159" s="7"/>
      <c r="BR159" s="7"/>
      <c r="BS159" s="7"/>
      <c r="BT159" s="7"/>
    </row>
    <row r="160">
      <c r="A160" s="249" t="str">
        <f>IF(preDEL!$AG160,IFERROR(0/0,""),preDEL!A160)</f>
        <v>AG718</v>
      </c>
      <c r="B160" s="250">
        <f>IF(preDEL!$AG160,IFERROR(0/0,""),preDEL!B160)</f>
        <v>44713</v>
      </c>
      <c r="C160" s="251">
        <f>IF(preDEL!$AG160,IFERROR(0/0,""),preDEL!C160)</f>
        <v>0.1792592593</v>
      </c>
      <c r="D160" s="249" t="str">
        <f>IF(preDEL!$AG160,IFERROR(0/0,""),preDEL!D160)</f>
        <v/>
      </c>
      <c r="E160" s="249" t="str">
        <f>IF(preDEL!$AG160,IFERROR(0/0,""),preDEL!E160)</f>
        <v/>
      </c>
      <c r="F160" s="94" t="str">
        <f>IF(preDEL!$AG160,IFERROR(0/0,""),preDEL!F160)</f>
        <v/>
      </c>
      <c r="G160" s="94" t="str">
        <f>IF(preDEL!$AG160,IFERROR(0/0,""),preDEL!G160)</f>
        <v/>
      </c>
      <c r="H160" s="94" t="str">
        <f>IF(preDEL!$AG160,IFERROR(0/0,""),preDEL!H160)</f>
        <v/>
      </c>
      <c r="I160" s="249" t="str">
        <f>IF(preDEL!$AG160,IFERROR(0/0,""),preDEL!I160)</f>
        <v/>
      </c>
      <c r="J160" s="249" t="str">
        <f>IF(preDEL!$AG160,IFERROR(0/0,""),preDEL!J160)</f>
        <v/>
      </c>
      <c r="K160" s="249" t="str">
        <f>IF(preDEL!$AG160,IFERROR(0/0,""),preDEL!K160)</f>
        <v>Negative</v>
      </c>
      <c r="L160" s="250">
        <f>IF(preDEL!$AG160,IFERROR(0/0,""),preDEL!L160)</f>
        <v>44713</v>
      </c>
      <c r="M160" s="251">
        <f>IF(preDEL!$AG160,IFERROR(0/0,""),preDEL!M160)</f>
        <v>0.3414814815</v>
      </c>
      <c r="N160" s="94" t="str">
        <f>IF(preDEL!$AG160,IFERROR(0/0,""),preDEL!N160)</f>
        <v/>
      </c>
      <c r="O160" s="94" t="str">
        <f>IF(preDEL!$AG160,IFERROR(0/0,""),preDEL!O160)</f>
        <v/>
      </c>
      <c r="P160" s="93" t="b">
        <f>IF(preDEL!$AG160,IFERROR(0/0,""),preDEL!P160)</f>
        <v>0</v>
      </c>
      <c r="Q160" s="93" t="str">
        <f>IF(preDEL!$AG160,IFERROR(0/0,""),preDEL!Q160)</f>
        <v>Result</v>
      </c>
      <c r="R160" s="99" t="b">
        <f>IF(preDEL!$AG160,IFERROR(0/0,""),preDEL!R160)</f>
        <v>1</v>
      </c>
      <c r="S160" s="99">
        <f>IF(preDEL!$AG160,IFERROR(0/0,""),preDEL!S160)</f>
        <v>1</v>
      </c>
      <c r="T160" s="93" t="str">
        <f>IF(preDEL!$AG160,IFERROR(0/0,""),preDEL!T160)</f>
        <v/>
      </c>
      <c r="U160" s="94" t="str">
        <f>IF(preDEL!$AG160,IFERROR(0/0,""),preDEL!U160)</f>
        <v/>
      </c>
      <c r="V160" s="249" t="str">
        <f>IF(preDEL!$AG160,IFERROR(0/0,""),preDEL!V160)</f>
        <v/>
      </c>
      <c r="W160" s="94" t="str">
        <f>IF(preDEL!$AG160,IFERROR(0/0,""),preDEL!W160)</f>
        <v/>
      </c>
      <c r="X160" s="99" t="b">
        <f>IF(preDEL!$AG160,IFERROR(0/0,""),preDEL!X160)</f>
        <v>0</v>
      </c>
      <c r="Y160" s="93" t="str">
        <f>IF(preDEL!$AG160,IFERROR(0/0,""),preDEL!Y160)</f>
        <v/>
      </c>
      <c r="Z160" s="249" t="str">
        <f>IF(preDEL!$AG160,IFERROR(0/0,""),preDEL!Z160)</f>
        <v/>
      </c>
      <c r="AA160" s="93" t="b">
        <f>IF(preDEL!$AG160,IFERROR(0/0,""),preDEL!AA160)</f>
        <v>0</v>
      </c>
      <c r="AB160" s="93" t="str">
        <f>IF(preDEL!$AG160,IFERROR(0/0,""),preDEL!AB160)</f>
        <v/>
      </c>
      <c r="AC160" s="252">
        <f>IF(preDEL!$AG160,IFERROR(0/0,""),preDEL!AC160)</f>
        <v>76</v>
      </c>
      <c r="AD160" s="99" t="str">
        <f>IF(preDEL!$AG160,IFERROR(0/0,""),preDEL!AD160)</f>
        <v/>
      </c>
      <c r="AE160" s="253">
        <f>IF(preDEL!$AG160,IFERROR(0/0,""),preDEL!AE160)</f>
        <v>233.6</v>
      </c>
      <c r="AF160" s="93" t="b">
        <f>IF(preDEL!$AG160,IFERROR(0/0,""),preDEL!AF160)</f>
        <v>0</v>
      </c>
      <c r="AG160" s="93" t="b">
        <f>IF(preDEL!$AG160,IFERROR(0/0,""),preDEL!AG160)</f>
        <v>0</v>
      </c>
      <c r="AH160" s="99" t="str">
        <f>IF(preDEL!$AG160,IFERROR(0/0,""),preDEL!AH160)</f>
        <v/>
      </c>
      <c r="AI160" s="249" t="str">
        <f>IF(preDEL!$AG160,IFERROR(0/0,""),preDEL!AI160)</f>
        <v/>
      </c>
      <c r="AJ160" s="94" t="str">
        <f>IF(preDEL!$AG160,IFERROR(0/0,""),preDEL!AJ160)</f>
        <v/>
      </c>
      <c r="AK160" s="249" t="str">
        <f>IF(preDEL!$AG160,IFERROR(0/0,""),preDEL!AK160)</f>
        <v>Negative</v>
      </c>
      <c r="AL160" s="94" t="str">
        <f>IF(preDEL!$AG160,IFERROR(0/0,""),preDEL!AL160)</f>
        <v/>
      </c>
      <c r="AM160" s="94" t="str">
        <f>IF(preDEL!$AG160,IFERROR(0/0,""),preDEL!AM160)</f>
        <v>SpNDHM762063</v>
      </c>
      <c r="AN160" s="94" t="str">
        <f>IF(preDEL!$AG160,IFERROR(0/0,""),preDEL!AN160)</f>
        <v>NDHM336777</v>
      </c>
      <c r="AO160" s="94" t="str">
        <f>IF(preDEL!$AG160,IFERROR(0/0,""),preDEL!AO160)</f>
        <v/>
      </c>
      <c r="AP160" s="94" t="str">
        <f>IF(preDEL!$AG160,IFERROR(0/0,""),preDEL!AP160)</f>
        <v/>
      </c>
      <c r="AQ160" s="94" t="str">
        <f>IF(preDEL!$AG160,IFERROR(0/0,""),preDEL!AQ160)</f>
        <v/>
      </c>
      <c r="AR160" s="94" t="str">
        <f>IF(preDEL!$AG160,IFERROR(0/0,""),preDEL!AR160)</f>
        <v/>
      </c>
      <c r="AS160" s="98"/>
      <c r="BE160" s="254"/>
      <c r="BF160" s="255"/>
      <c r="BG160" s="254"/>
      <c r="BH160" s="255"/>
      <c r="BI160" s="254"/>
      <c r="BJ160" s="254"/>
      <c r="BK160" s="254"/>
      <c r="BL160" s="254"/>
      <c r="BN160" s="7"/>
      <c r="BO160" s="7"/>
      <c r="BP160" s="7"/>
      <c r="BQ160" s="7"/>
      <c r="BR160" s="7"/>
      <c r="BS160" s="7"/>
      <c r="BT160" s="7"/>
    </row>
    <row r="161">
      <c r="A161" s="249" t="str">
        <f>IF(preDEL!$AG161,IFERROR(0/0,""),preDEL!A161)</f>
        <v>AH1486</v>
      </c>
      <c r="B161" s="250">
        <f>IF(preDEL!$AG161,IFERROR(0/0,""),preDEL!B161)</f>
        <v>44713</v>
      </c>
      <c r="C161" s="251">
        <f>IF(preDEL!$AG161,IFERROR(0/0,""),preDEL!C161)</f>
        <v>0.1832175926</v>
      </c>
      <c r="D161" s="249" t="str">
        <f>IF(preDEL!$AG161,IFERROR(0/0,""),preDEL!D161)</f>
        <v/>
      </c>
      <c r="E161" s="249" t="str">
        <f>IF(preDEL!$AG161,IFERROR(0/0,""),preDEL!E161)</f>
        <v/>
      </c>
      <c r="F161" s="94" t="str">
        <f>IF(preDEL!$AG161,IFERROR(0/0,""),preDEL!F161)</f>
        <v/>
      </c>
      <c r="G161" s="94" t="str">
        <f>IF(preDEL!$AG161,IFERROR(0/0,""),preDEL!G161)</f>
        <v/>
      </c>
      <c r="H161" s="94" t="str">
        <f>IF(preDEL!$AG161,IFERROR(0/0,""),preDEL!H161)</f>
        <v/>
      </c>
      <c r="I161" s="249" t="str">
        <f>IF(preDEL!$AG161,IFERROR(0/0,""),preDEL!I161)</f>
        <v/>
      </c>
      <c r="J161" s="249" t="str">
        <f>IF(preDEL!$AG161,IFERROR(0/0,""),preDEL!J161)</f>
        <v/>
      </c>
      <c r="K161" s="249" t="str">
        <f>IF(preDEL!$AG161,IFERROR(0/0,""),preDEL!K161)</f>
        <v>Negative</v>
      </c>
      <c r="L161" s="250">
        <f>IF(preDEL!$AG161,IFERROR(0/0,""),preDEL!L161)</f>
        <v>44713</v>
      </c>
      <c r="M161" s="251">
        <f>IF(preDEL!$AG161,IFERROR(0/0,""),preDEL!M161)</f>
        <v>0.3414814815</v>
      </c>
      <c r="N161" s="94" t="str">
        <f>IF(preDEL!$AG161,IFERROR(0/0,""),preDEL!N161)</f>
        <v/>
      </c>
      <c r="O161" s="94" t="str">
        <f>IF(preDEL!$AG161,IFERROR(0/0,""),preDEL!O161)</f>
        <v/>
      </c>
      <c r="P161" s="93" t="b">
        <f>IF(preDEL!$AG161,IFERROR(0/0,""),preDEL!P161)</f>
        <v>0</v>
      </c>
      <c r="Q161" s="93" t="str">
        <f>IF(preDEL!$AG161,IFERROR(0/0,""),preDEL!Q161)</f>
        <v>Result</v>
      </c>
      <c r="R161" s="99" t="b">
        <f>IF(preDEL!$AG161,IFERROR(0/0,""),preDEL!R161)</f>
        <v>1</v>
      </c>
      <c r="S161" s="99">
        <f>IF(preDEL!$AG161,IFERROR(0/0,""),preDEL!S161)</f>
        <v>1</v>
      </c>
      <c r="T161" s="93" t="str">
        <f>IF(preDEL!$AG161,IFERROR(0/0,""),preDEL!T161)</f>
        <v/>
      </c>
      <c r="U161" s="94" t="str">
        <f>IF(preDEL!$AG161,IFERROR(0/0,""),preDEL!U161)</f>
        <v/>
      </c>
      <c r="V161" s="249" t="str">
        <f>IF(preDEL!$AG161,IFERROR(0/0,""),preDEL!V161)</f>
        <v/>
      </c>
      <c r="W161" s="94" t="str">
        <f>IF(preDEL!$AG161,IFERROR(0/0,""),preDEL!W161)</f>
        <v/>
      </c>
      <c r="X161" s="99" t="b">
        <f>IF(preDEL!$AG161,IFERROR(0/0,""),preDEL!X161)</f>
        <v>0</v>
      </c>
      <c r="Y161" s="93" t="str">
        <f>IF(preDEL!$AG161,IFERROR(0/0,""),preDEL!Y161)</f>
        <v/>
      </c>
      <c r="Z161" s="249" t="str">
        <f>IF(preDEL!$AG161,IFERROR(0/0,""),preDEL!Z161)</f>
        <v/>
      </c>
      <c r="AA161" s="93" t="b">
        <f>IF(preDEL!$AG161,IFERROR(0/0,""),preDEL!AA161)</f>
        <v>0</v>
      </c>
      <c r="AB161" s="93" t="str">
        <f>IF(preDEL!$AG161,IFERROR(0/0,""),preDEL!AB161)</f>
        <v/>
      </c>
      <c r="AC161" s="252">
        <f>IF(preDEL!$AG161,IFERROR(0/0,""),preDEL!AC161)</f>
        <v>77</v>
      </c>
      <c r="AD161" s="99" t="str">
        <f>IF(preDEL!$AG161,IFERROR(0/0,""),preDEL!AD161)</f>
        <v/>
      </c>
      <c r="AE161" s="253">
        <f>IF(preDEL!$AG161,IFERROR(0/0,""),preDEL!AE161)</f>
        <v>227.9</v>
      </c>
      <c r="AF161" s="93" t="b">
        <f>IF(preDEL!$AG161,IFERROR(0/0,""),preDEL!AF161)</f>
        <v>0</v>
      </c>
      <c r="AG161" s="93" t="b">
        <f>IF(preDEL!$AG161,IFERROR(0/0,""),preDEL!AG161)</f>
        <v>0</v>
      </c>
      <c r="AH161" s="99" t="str">
        <f>IF(preDEL!$AG161,IFERROR(0/0,""),preDEL!AH161)</f>
        <v/>
      </c>
      <c r="AI161" s="249" t="str">
        <f>IF(preDEL!$AG161,IFERROR(0/0,""),preDEL!AI161)</f>
        <v/>
      </c>
      <c r="AJ161" s="94" t="str">
        <f>IF(preDEL!$AG161,IFERROR(0/0,""),preDEL!AJ161)</f>
        <v/>
      </c>
      <c r="AK161" s="249" t="str">
        <f>IF(preDEL!$AG161,IFERROR(0/0,""),preDEL!AK161)</f>
        <v>Negative</v>
      </c>
      <c r="AL161" s="94" t="str">
        <f>IF(preDEL!$AG161,IFERROR(0/0,""),preDEL!AL161)</f>
        <v/>
      </c>
      <c r="AM161" s="94" t="str">
        <f>IF(preDEL!$AG161,IFERROR(0/0,""),preDEL!AM161)</f>
        <v>SpNDHM109523</v>
      </c>
      <c r="AN161" s="94" t="str">
        <f>IF(preDEL!$AG161,IFERROR(0/0,""),preDEL!AN161)</f>
        <v>NDHM244255</v>
      </c>
      <c r="AO161" s="94" t="str">
        <f>IF(preDEL!$AG161,IFERROR(0/0,""),preDEL!AO161)</f>
        <v/>
      </c>
      <c r="AP161" s="94" t="str">
        <f>IF(preDEL!$AG161,IFERROR(0/0,""),preDEL!AP161)</f>
        <v/>
      </c>
      <c r="AQ161" s="94" t="str">
        <f>IF(preDEL!$AG161,IFERROR(0/0,""),preDEL!AQ161)</f>
        <v/>
      </c>
      <c r="AR161" s="94" t="str">
        <f>IF(preDEL!$AG161,IFERROR(0/0,""),preDEL!AR161)</f>
        <v/>
      </c>
      <c r="AS161" s="98"/>
      <c r="BE161" s="254"/>
      <c r="BF161" s="255"/>
      <c r="BG161" s="254"/>
      <c r="BH161" s="255"/>
      <c r="BI161" s="254"/>
      <c r="BJ161" s="254"/>
      <c r="BK161" s="254"/>
      <c r="BL161" s="254"/>
      <c r="BN161" s="7"/>
      <c r="BO161" s="7"/>
      <c r="BP161" s="7"/>
      <c r="BQ161" s="7"/>
      <c r="BR161" s="7"/>
      <c r="BS161" s="7"/>
      <c r="BT161" s="7"/>
    </row>
    <row r="162">
      <c r="A162" s="249" t="str">
        <f>IF(preDEL!$AG162,IFERROR(0/0,""),preDEL!A162)</f>
        <v>AH7650</v>
      </c>
      <c r="B162" s="250">
        <f>IF(preDEL!$AG162,IFERROR(0/0,""),preDEL!B162)</f>
        <v>44713</v>
      </c>
      <c r="C162" s="251">
        <f>IF(preDEL!$AG162,IFERROR(0/0,""),preDEL!C162)</f>
        <v>0.1966666667</v>
      </c>
      <c r="D162" s="249" t="str">
        <f>IF(preDEL!$AG162,IFERROR(0/0,""),preDEL!D162)</f>
        <v/>
      </c>
      <c r="E162" s="249" t="str">
        <f>IF(preDEL!$AG162,IFERROR(0/0,""),preDEL!E162)</f>
        <v/>
      </c>
      <c r="F162" s="94" t="str">
        <f>IF(preDEL!$AG162,IFERROR(0/0,""),preDEL!F162)</f>
        <v/>
      </c>
      <c r="G162" s="94" t="str">
        <f>IF(preDEL!$AG162,IFERROR(0/0,""),preDEL!G162)</f>
        <v/>
      </c>
      <c r="H162" s="94" t="str">
        <f>IF(preDEL!$AG162,IFERROR(0/0,""),preDEL!H162)</f>
        <v/>
      </c>
      <c r="I162" s="249" t="str">
        <f>IF(preDEL!$AG162,IFERROR(0/0,""),preDEL!I162)</f>
        <v/>
      </c>
      <c r="J162" s="249" t="str">
        <f>IF(preDEL!$AG162,IFERROR(0/0,""),preDEL!J162)</f>
        <v/>
      </c>
      <c r="K162" s="249" t="str">
        <f>IF(preDEL!$AG162,IFERROR(0/0,""),preDEL!K162)</f>
        <v>Negative</v>
      </c>
      <c r="L162" s="250">
        <f>IF(preDEL!$AG162,IFERROR(0/0,""),preDEL!L162)</f>
        <v>44713</v>
      </c>
      <c r="M162" s="251">
        <f>IF(preDEL!$AG162,IFERROR(0/0,""),preDEL!M162)</f>
        <v>0.3414930556</v>
      </c>
      <c r="N162" s="94" t="str">
        <f>IF(preDEL!$AG162,IFERROR(0/0,""),preDEL!N162)</f>
        <v/>
      </c>
      <c r="O162" s="94" t="str">
        <f>IF(preDEL!$AG162,IFERROR(0/0,""),preDEL!O162)</f>
        <v/>
      </c>
      <c r="P162" s="93" t="b">
        <f>IF(preDEL!$AG162,IFERROR(0/0,""),preDEL!P162)</f>
        <v>0</v>
      </c>
      <c r="Q162" s="93" t="str">
        <f>IF(preDEL!$AG162,IFERROR(0/0,""),preDEL!Q162)</f>
        <v>Result</v>
      </c>
      <c r="R162" s="99" t="b">
        <f>IF(preDEL!$AG162,IFERROR(0/0,""),preDEL!R162)</f>
        <v>1</v>
      </c>
      <c r="S162" s="99">
        <f>IF(preDEL!$AG162,IFERROR(0/0,""),preDEL!S162)</f>
        <v>2</v>
      </c>
      <c r="T162" s="93" t="str">
        <f>IF(preDEL!$AG162,IFERROR(0/0,""),preDEL!T162)</f>
        <v/>
      </c>
      <c r="U162" s="94" t="str">
        <f>IF(preDEL!$AG162,IFERROR(0/0,""),preDEL!U162)</f>
        <v/>
      </c>
      <c r="V162" s="249" t="str">
        <f>IF(preDEL!$AG162,IFERROR(0/0,""),preDEL!V162)</f>
        <v/>
      </c>
      <c r="W162" s="94" t="str">
        <f>IF(preDEL!$AG162,IFERROR(0/0,""),preDEL!W162)</f>
        <v/>
      </c>
      <c r="X162" s="99" t="b">
        <f>IF(preDEL!$AG162,IFERROR(0/0,""),preDEL!X162)</f>
        <v>0</v>
      </c>
      <c r="Y162" s="93" t="str">
        <f>IF(preDEL!$AG162,IFERROR(0/0,""),preDEL!Y162)</f>
        <v/>
      </c>
      <c r="Z162" s="249" t="str">
        <f>IF(preDEL!$AG162,IFERROR(0/0,""),preDEL!Z162)</f>
        <v/>
      </c>
      <c r="AA162" s="93" t="b">
        <f>IF(preDEL!$AG162,IFERROR(0/0,""),preDEL!AA162)</f>
        <v>0</v>
      </c>
      <c r="AB162" s="93" t="str">
        <f>IF(preDEL!$AG162,IFERROR(0/0,""),preDEL!AB162)</f>
        <v/>
      </c>
      <c r="AC162" s="252">
        <f>IF(preDEL!$AG162,IFERROR(0/0,""),preDEL!AC162)</f>
        <v>79</v>
      </c>
      <c r="AD162" s="99" t="str">
        <f>IF(preDEL!$AG162,IFERROR(0/0,""),preDEL!AD162)</f>
        <v/>
      </c>
      <c r="AE162" s="253">
        <f>IF(preDEL!$AG162,IFERROR(0/0,""),preDEL!AE162)</f>
        <v>208.55</v>
      </c>
      <c r="AF162" s="93" t="b">
        <f>IF(preDEL!$AG162,IFERROR(0/0,""),preDEL!AF162)</f>
        <v>0</v>
      </c>
      <c r="AG162" s="93" t="b">
        <f>IF(preDEL!$AG162,IFERROR(0/0,""),preDEL!AG162)</f>
        <v>0</v>
      </c>
      <c r="AH162" s="99" t="str">
        <f>IF(preDEL!$AG162,IFERROR(0/0,""),preDEL!AH162)</f>
        <v/>
      </c>
      <c r="AI162" s="249" t="str">
        <f>IF(preDEL!$AG162,IFERROR(0/0,""),preDEL!AI162)</f>
        <v/>
      </c>
      <c r="AJ162" s="94" t="str">
        <f>IF(preDEL!$AG162,IFERROR(0/0,""),preDEL!AJ162)</f>
        <v/>
      </c>
      <c r="AK162" s="249" t="str">
        <f>IF(preDEL!$AG162,IFERROR(0/0,""),preDEL!AK162)</f>
        <v>Negative</v>
      </c>
      <c r="AL162" s="94" t="str">
        <f>IF(preDEL!$AG162,IFERROR(0/0,""),preDEL!AL162)</f>
        <v/>
      </c>
      <c r="AM162" s="94" t="str">
        <f>IF(preDEL!$AG162,IFERROR(0/0,""),preDEL!AM162)</f>
        <v>SpNDHM966349</v>
      </c>
      <c r="AN162" s="94" t="str">
        <f>IF(preDEL!$AG162,IFERROR(0/0,""),preDEL!AN162)</f>
        <v>NDHM806069</v>
      </c>
      <c r="AO162" s="94" t="str">
        <f>IF(preDEL!$AG162,IFERROR(0/0,""),preDEL!AO162)</f>
        <v/>
      </c>
      <c r="AP162" s="94" t="str">
        <f>IF(preDEL!$AG162,IFERROR(0/0,""),preDEL!AP162)</f>
        <v/>
      </c>
      <c r="AQ162" s="94" t="str">
        <f>IF(preDEL!$AG162,IFERROR(0/0,""),preDEL!AQ162)</f>
        <v/>
      </c>
      <c r="AR162" s="94" t="str">
        <f>IF(preDEL!$AG162,IFERROR(0/0,""),preDEL!AR162)</f>
        <v/>
      </c>
      <c r="AS162" s="98"/>
      <c r="BE162" s="254"/>
      <c r="BF162" s="255"/>
      <c r="BG162" s="254"/>
      <c r="BH162" s="255"/>
      <c r="BI162" s="254"/>
      <c r="BJ162" s="254"/>
      <c r="BK162" s="254"/>
      <c r="BL162" s="254"/>
      <c r="BN162" s="7"/>
      <c r="BO162" s="7"/>
      <c r="BP162" s="7"/>
      <c r="BQ162" s="7"/>
      <c r="BR162" s="7"/>
      <c r="BS162" s="7"/>
      <c r="BT162" s="7"/>
    </row>
    <row r="163">
      <c r="A163" s="249" t="str">
        <f>IF(preDEL!$AG163,IFERROR(0/0,""),preDEL!A163)</f>
        <v>AH7650</v>
      </c>
      <c r="B163" s="250">
        <f>IF(preDEL!$AG163,IFERROR(0/0,""),preDEL!B163)</f>
        <v>44713</v>
      </c>
      <c r="C163" s="251">
        <f>IF(preDEL!$AG163,IFERROR(0/0,""),preDEL!C163)</f>
        <v>0.1966666667</v>
      </c>
      <c r="D163" s="249" t="str">
        <f>IF(preDEL!$AG163,IFERROR(0/0,""),preDEL!D163)</f>
        <v/>
      </c>
      <c r="E163" s="249" t="str">
        <f>IF(preDEL!$AG163,IFERROR(0/0,""),preDEL!E163)</f>
        <v/>
      </c>
      <c r="F163" s="94" t="str">
        <f>IF(preDEL!$AG163,IFERROR(0/0,""),preDEL!F163)</f>
        <v/>
      </c>
      <c r="G163" s="94" t="str">
        <f>IF(preDEL!$AG163,IFERROR(0/0,""),preDEL!G163)</f>
        <v/>
      </c>
      <c r="H163" s="94" t="str">
        <f>IF(preDEL!$AG163,IFERROR(0/0,""),preDEL!H163)</f>
        <v/>
      </c>
      <c r="I163" s="249" t="str">
        <f>IF(preDEL!$AG163,IFERROR(0/0,""),preDEL!I163)</f>
        <v/>
      </c>
      <c r="J163" s="249" t="str">
        <f>IF(preDEL!$AG163,IFERROR(0/0,""),preDEL!J163)</f>
        <v/>
      </c>
      <c r="K163" s="249" t="str">
        <f>IF(preDEL!$AG163,IFERROR(0/0,""),preDEL!K163)</f>
        <v>Negative</v>
      </c>
      <c r="L163" s="250">
        <f>IF(preDEL!$AG163,IFERROR(0/0,""),preDEL!L163)</f>
        <v>44713</v>
      </c>
      <c r="M163" s="251">
        <f>IF(preDEL!$AG163,IFERROR(0/0,""),preDEL!M163)</f>
        <v>0.3414930556</v>
      </c>
      <c r="N163" s="94" t="str">
        <f>IF(preDEL!$AG163,IFERROR(0/0,""),preDEL!N163)</f>
        <v/>
      </c>
      <c r="O163" s="94" t="str">
        <f>IF(preDEL!$AG163,IFERROR(0/0,""),preDEL!O163)</f>
        <v/>
      </c>
      <c r="P163" s="93" t="b">
        <f>IF(preDEL!$AG163,IFERROR(0/0,""),preDEL!P163)</f>
        <v>0</v>
      </c>
      <c r="Q163" s="93" t="str">
        <f>IF(preDEL!$AG163,IFERROR(0/0,""),preDEL!Q163)</f>
        <v>Result</v>
      </c>
      <c r="R163" s="99" t="b">
        <f>IF(preDEL!$AG163,IFERROR(0/0,""),preDEL!R163)</f>
        <v>0</v>
      </c>
      <c r="S163" s="99">
        <f>IF(preDEL!$AG163,IFERROR(0/0,""),preDEL!S163)</f>
        <v>2</v>
      </c>
      <c r="T163" s="93" t="str">
        <f>IF(preDEL!$AG163,IFERROR(0/0,""),preDEL!T163)</f>
        <v/>
      </c>
      <c r="U163" s="94" t="str">
        <f>IF(preDEL!$AG163,IFERROR(0/0,""),preDEL!U163)</f>
        <v/>
      </c>
      <c r="V163" s="249" t="str">
        <f>IF(preDEL!$AG163,IFERROR(0/0,""),preDEL!V163)</f>
        <v/>
      </c>
      <c r="W163" s="94" t="str">
        <f>IF(preDEL!$AG163,IFERROR(0/0,""),preDEL!W163)</f>
        <v/>
      </c>
      <c r="X163" s="99" t="b">
        <f>IF(preDEL!$AG163,IFERROR(0/0,""),preDEL!X163)</f>
        <v>0</v>
      </c>
      <c r="Y163" s="93" t="str">
        <f>IF(preDEL!$AG163,IFERROR(0/0,""),preDEL!Y163)</f>
        <v/>
      </c>
      <c r="Z163" s="249" t="str">
        <f>IF(preDEL!$AG163,IFERROR(0/0,""),preDEL!Z163)</f>
        <v/>
      </c>
      <c r="AA163" s="93" t="b">
        <f>IF(preDEL!$AG163,IFERROR(0/0,""),preDEL!AA163)</f>
        <v>0</v>
      </c>
      <c r="AB163" s="93" t="str">
        <f>IF(preDEL!$AG163,IFERROR(0/0,""),preDEL!AB163)</f>
        <v/>
      </c>
      <c r="AC163" s="252">
        <f>IF(preDEL!$AG163,IFERROR(0/0,""),preDEL!AC163)</f>
        <v>78</v>
      </c>
      <c r="AD163" s="99" t="str">
        <f>IF(preDEL!$AG163,IFERROR(0/0,""),preDEL!AD163)</f>
        <v/>
      </c>
      <c r="AE163" s="253">
        <f>IF(preDEL!$AG163,IFERROR(0/0,""),preDEL!AE163)</f>
        <v>208.55</v>
      </c>
      <c r="AF163" s="93" t="b">
        <f>IF(preDEL!$AG163,IFERROR(0/0,""),preDEL!AF163)</f>
        <v>0</v>
      </c>
      <c r="AG163" s="93" t="b">
        <f>IF(preDEL!$AG163,IFERROR(0/0,""),preDEL!AG163)</f>
        <v>0</v>
      </c>
      <c r="AH163" s="99" t="str">
        <f>IF(preDEL!$AG163,IFERROR(0/0,""),preDEL!AH163)</f>
        <v/>
      </c>
      <c r="AI163" s="249" t="str">
        <f>IF(preDEL!$AG163,IFERROR(0/0,""),preDEL!AI163)</f>
        <v/>
      </c>
      <c r="AJ163" s="94" t="str">
        <f>IF(preDEL!$AG163,IFERROR(0/0,""),preDEL!AJ163)</f>
        <v/>
      </c>
      <c r="AK163" s="249" t="str">
        <f>IF(preDEL!$AG163,IFERROR(0/0,""),preDEL!AK163)</f>
        <v>Negative</v>
      </c>
      <c r="AL163" s="94" t="str">
        <f>IF(preDEL!$AG163,IFERROR(0/0,""),preDEL!AL163)</f>
        <v/>
      </c>
      <c r="AM163" s="94" t="str">
        <f>IF(preDEL!$AG163,IFERROR(0/0,""),preDEL!AM163)</f>
        <v>SpNDHM966349</v>
      </c>
      <c r="AN163" s="94" t="str">
        <f>IF(preDEL!$AG163,IFERROR(0/0,""),preDEL!AN163)</f>
        <v>NDHM584295</v>
      </c>
      <c r="AO163" s="94" t="str">
        <f>IF(preDEL!$AG163,IFERROR(0/0,""),preDEL!AO163)</f>
        <v/>
      </c>
      <c r="AP163" s="94" t="str">
        <f>IF(preDEL!$AG163,IFERROR(0/0,""),preDEL!AP163)</f>
        <v/>
      </c>
      <c r="AQ163" s="94" t="str">
        <f>IF(preDEL!$AG163,IFERROR(0/0,""),preDEL!AQ163)</f>
        <v/>
      </c>
      <c r="AR163" s="94" t="str">
        <f>IF(preDEL!$AG163,IFERROR(0/0,""),preDEL!AR163)</f>
        <v/>
      </c>
      <c r="AS163" s="98"/>
      <c r="BE163" s="254"/>
      <c r="BF163" s="255"/>
      <c r="BG163" s="254"/>
      <c r="BH163" s="255"/>
      <c r="BI163" s="254"/>
      <c r="BJ163" s="254"/>
      <c r="BK163" s="254"/>
      <c r="BL163" s="254"/>
      <c r="BN163" s="7"/>
      <c r="BO163" s="7"/>
      <c r="BP163" s="7"/>
      <c r="BQ163" s="7"/>
      <c r="BR163" s="7"/>
      <c r="BS163" s="7"/>
      <c r="BT163" s="7"/>
    </row>
    <row r="164">
      <c r="A164" s="249" t="str">
        <f>IF(preDEL!$AG164,IFERROR(0/0,""),preDEL!A164)</f>
        <v>AK6972</v>
      </c>
      <c r="B164" s="250">
        <f>IF(preDEL!$AG164,IFERROR(0/0,""),preDEL!B164)</f>
        <v>44713</v>
      </c>
      <c r="C164" s="251">
        <f>IF(preDEL!$AG164,IFERROR(0/0,""),preDEL!C164)</f>
        <v>0.1976388889</v>
      </c>
      <c r="D164" s="249" t="str">
        <f>IF(preDEL!$AG164,IFERROR(0/0,""),preDEL!D164)</f>
        <v/>
      </c>
      <c r="E164" s="249" t="str">
        <f>IF(preDEL!$AG164,IFERROR(0/0,""),preDEL!E164)</f>
        <v/>
      </c>
      <c r="F164" s="94" t="str">
        <f>IF(preDEL!$AG164,IFERROR(0/0,""),preDEL!F164)</f>
        <v/>
      </c>
      <c r="G164" s="94" t="str">
        <f>IF(preDEL!$AG164,IFERROR(0/0,""),preDEL!G164)</f>
        <v/>
      </c>
      <c r="H164" s="94" t="str">
        <f>IF(preDEL!$AG164,IFERROR(0/0,""),preDEL!H164)</f>
        <v/>
      </c>
      <c r="I164" s="249" t="str">
        <f>IF(preDEL!$AG164,IFERROR(0/0,""),preDEL!I164)</f>
        <v/>
      </c>
      <c r="J164" s="249" t="str">
        <f>IF(preDEL!$AG164,IFERROR(0/0,""),preDEL!J164)</f>
        <v/>
      </c>
      <c r="K164" s="249" t="str">
        <f>IF(preDEL!$AG164,IFERROR(0/0,""),preDEL!K164)</f>
        <v>Negative</v>
      </c>
      <c r="L164" s="250">
        <f>IF(preDEL!$AG164,IFERROR(0/0,""),preDEL!L164)</f>
        <v>44713</v>
      </c>
      <c r="M164" s="251">
        <f>IF(preDEL!$AG164,IFERROR(0/0,""),preDEL!M164)</f>
        <v>0.3414930556</v>
      </c>
      <c r="N164" s="94" t="str">
        <f>IF(preDEL!$AG164,IFERROR(0/0,""),preDEL!N164)</f>
        <v/>
      </c>
      <c r="O164" s="94" t="str">
        <f>IF(preDEL!$AG164,IFERROR(0/0,""),preDEL!O164)</f>
        <v/>
      </c>
      <c r="P164" s="93" t="b">
        <f>IF(preDEL!$AG164,IFERROR(0/0,""),preDEL!P164)</f>
        <v>0</v>
      </c>
      <c r="Q164" s="93" t="str">
        <f>IF(preDEL!$AG164,IFERROR(0/0,""),preDEL!Q164)</f>
        <v>Result</v>
      </c>
      <c r="R164" s="99" t="b">
        <f>IF(preDEL!$AG164,IFERROR(0/0,""),preDEL!R164)</f>
        <v>1</v>
      </c>
      <c r="S164" s="99">
        <f>IF(preDEL!$AG164,IFERROR(0/0,""),preDEL!S164)</f>
        <v>4</v>
      </c>
      <c r="T164" s="93" t="str">
        <f>IF(preDEL!$AG164,IFERROR(0/0,""),preDEL!T164)</f>
        <v/>
      </c>
      <c r="U164" s="94" t="str">
        <f>IF(preDEL!$AG164,IFERROR(0/0,""),preDEL!U164)</f>
        <v/>
      </c>
      <c r="V164" s="249" t="str">
        <f>IF(preDEL!$AG164,IFERROR(0/0,""),preDEL!V164)</f>
        <v/>
      </c>
      <c r="W164" s="94" t="str">
        <f>IF(preDEL!$AG164,IFERROR(0/0,""),preDEL!W164)</f>
        <v/>
      </c>
      <c r="X164" s="99" t="b">
        <f>IF(preDEL!$AG164,IFERROR(0/0,""),preDEL!X164)</f>
        <v>0</v>
      </c>
      <c r="Y164" s="93" t="str">
        <f>IF(preDEL!$AG164,IFERROR(0/0,""),preDEL!Y164)</f>
        <v/>
      </c>
      <c r="Z164" s="249" t="str">
        <f>IF(preDEL!$AG164,IFERROR(0/0,""),preDEL!Z164)</f>
        <v/>
      </c>
      <c r="AA164" s="93" t="b">
        <f>IF(preDEL!$AG164,IFERROR(0/0,""),preDEL!AA164)</f>
        <v>0</v>
      </c>
      <c r="AB164" s="93" t="str">
        <f>IF(preDEL!$AG164,IFERROR(0/0,""),preDEL!AB164)</f>
        <v/>
      </c>
      <c r="AC164" s="252">
        <f>IF(preDEL!$AG164,IFERROR(0/0,""),preDEL!AC164)</f>
        <v>81</v>
      </c>
      <c r="AD164" s="99" t="str">
        <f>IF(preDEL!$AG164,IFERROR(0/0,""),preDEL!AD164)</f>
        <v/>
      </c>
      <c r="AE164" s="253">
        <f>IF(preDEL!$AG164,IFERROR(0/0,""),preDEL!AE164)</f>
        <v>207.15</v>
      </c>
      <c r="AF164" s="93" t="b">
        <f>IF(preDEL!$AG164,IFERROR(0/0,""),preDEL!AF164)</f>
        <v>0</v>
      </c>
      <c r="AG164" s="93" t="b">
        <f>IF(preDEL!$AG164,IFERROR(0/0,""),preDEL!AG164)</f>
        <v>0</v>
      </c>
      <c r="AH164" s="99" t="str">
        <f>IF(preDEL!$AG164,IFERROR(0/0,""),preDEL!AH164)</f>
        <v/>
      </c>
      <c r="AI164" s="249" t="str">
        <f>IF(preDEL!$AG164,IFERROR(0/0,""),preDEL!AI164)</f>
        <v/>
      </c>
      <c r="AJ164" s="94" t="str">
        <f>IF(preDEL!$AG164,IFERROR(0/0,""),preDEL!AJ164)</f>
        <v/>
      </c>
      <c r="AK164" s="249" t="str">
        <f>IF(preDEL!$AG164,IFERROR(0/0,""),preDEL!AK164)</f>
        <v>Negative</v>
      </c>
      <c r="AL164" s="94" t="str">
        <f>IF(preDEL!$AG164,IFERROR(0/0,""),preDEL!AL164)</f>
        <v/>
      </c>
      <c r="AM164" s="94" t="str">
        <f>IF(preDEL!$AG164,IFERROR(0/0,""),preDEL!AM164)</f>
        <v>SpNDHM189649</v>
      </c>
      <c r="AN164" s="94" t="str">
        <f>IF(preDEL!$AG164,IFERROR(0/0,""),preDEL!AN164)</f>
        <v>NDHM872314</v>
      </c>
      <c r="AO164" s="94" t="str">
        <f>IF(preDEL!$AG164,IFERROR(0/0,""),preDEL!AO164)</f>
        <v/>
      </c>
      <c r="AP164" s="94" t="str">
        <f>IF(preDEL!$AG164,IFERROR(0/0,""),preDEL!AP164)</f>
        <v/>
      </c>
      <c r="AQ164" s="94" t="str">
        <f>IF(preDEL!$AG164,IFERROR(0/0,""),preDEL!AQ164)</f>
        <v/>
      </c>
      <c r="AR164" s="94" t="str">
        <f>IF(preDEL!$AG164,IFERROR(0/0,""),preDEL!AR164)</f>
        <v/>
      </c>
      <c r="AS164" s="98"/>
      <c r="BE164" s="254"/>
      <c r="BF164" s="255"/>
      <c r="BG164" s="254"/>
      <c r="BH164" s="255"/>
      <c r="BI164" s="254"/>
      <c r="BJ164" s="254"/>
      <c r="BK164" s="254"/>
      <c r="BL164" s="254"/>
      <c r="BN164" s="7"/>
      <c r="BO164" s="7"/>
      <c r="BP164" s="7"/>
      <c r="BQ164" s="7"/>
      <c r="BR164" s="7"/>
      <c r="BS164" s="7"/>
      <c r="BT164" s="7"/>
    </row>
    <row r="165">
      <c r="A165" s="249" t="str">
        <f>IF(preDEL!$AG165,IFERROR(0/0,""),preDEL!A165)</f>
        <v>AK6972</v>
      </c>
      <c r="B165" s="250">
        <f>IF(preDEL!$AG165,IFERROR(0/0,""),preDEL!B165)</f>
        <v>44713</v>
      </c>
      <c r="C165" s="251">
        <f>IF(preDEL!$AG165,IFERROR(0/0,""),preDEL!C165)</f>
        <v>0.1976388889</v>
      </c>
      <c r="D165" s="249" t="str">
        <f>IF(preDEL!$AG165,IFERROR(0/0,""),preDEL!D165)</f>
        <v/>
      </c>
      <c r="E165" s="249" t="str">
        <f>IF(preDEL!$AG165,IFERROR(0/0,""),preDEL!E165)</f>
        <v/>
      </c>
      <c r="F165" s="94" t="str">
        <f>IF(preDEL!$AG165,IFERROR(0/0,""),preDEL!F165)</f>
        <v/>
      </c>
      <c r="G165" s="94" t="str">
        <f>IF(preDEL!$AG165,IFERROR(0/0,""),preDEL!G165)</f>
        <v/>
      </c>
      <c r="H165" s="94" t="str">
        <f>IF(preDEL!$AG165,IFERROR(0/0,""),preDEL!H165)</f>
        <v/>
      </c>
      <c r="I165" s="249" t="str">
        <f>IF(preDEL!$AG165,IFERROR(0/0,""),preDEL!I165)</f>
        <v/>
      </c>
      <c r="J165" s="249" t="str">
        <f>IF(preDEL!$AG165,IFERROR(0/0,""),preDEL!J165)</f>
        <v/>
      </c>
      <c r="K165" s="249" t="str">
        <f>IF(preDEL!$AG165,IFERROR(0/0,""),preDEL!K165)</f>
        <v>Negative</v>
      </c>
      <c r="L165" s="250">
        <f>IF(preDEL!$AG165,IFERROR(0/0,""),preDEL!L165)</f>
        <v>44713</v>
      </c>
      <c r="M165" s="251">
        <f>IF(preDEL!$AG165,IFERROR(0/0,""),preDEL!M165)</f>
        <v>0.3414930556</v>
      </c>
      <c r="N165" s="94" t="str">
        <f>IF(preDEL!$AG165,IFERROR(0/0,""),preDEL!N165)</f>
        <v/>
      </c>
      <c r="O165" s="94" t="str">
        <f>IF(preDEL!$AG165,IFERROR(0/0,""),preDEL!O165)</f>
        <v/>
      </c>
      <c r="P165" s="93" t="b">
        <f>IF(preDEL!$AG165,IFERROR(0/0,""),preDEL!P165)</f>
        <v>0</v>
      </c>
      <c r="Q165" s="93" t="str">
        <f>IF(preDEL!$AG165,IFERROR(0/0,""),preDEL!Q165)</f>
        <v>Result</v>
      </c>
      <c r="R165" s="99" t="b">
        <f>IF(preDEL!$AG165,IFERROR(0/0,""),preDEL!R165)</f>
        <v>0</v>
      </c>
      <c r="S165" s="99">
        <f>IF(preDEL!$AG165,IFERROR(0/0,""),preDEL!S165)</f>
        <v>4</v>
      </c>
      <c r="T165" s="93" t="str">
        <f>IF(preDEL!$AG165,IFERROR(0/0,""),preDEL!T165)</f>
        <v/>
      </c>
      <c r="U165" s="94" t="str">
        <f>IF(preDEL!$AG165,IFERROR(0/0,""),preDEL!U165)</f>
        <v/>
      </c>
      <c r="V165" s="249" t="str">
        <f>IF(preDEL!$AG165,IFERROR(0/0,""),preDEL!V165)</f>
        <v/>
      </c>
      <c r="W165" s="94" t="str">
        <f>IF(preDEL!$AG165,IFERROR(0/0,""),preDEL!W165)</f>
        <v/>
      </c>
      <c r="X165" s="99" t="b">
        <f>IF(preDEL!$AG165,IFERROR(0/0,""),preDEL!X165)</f>
        <v>0</v>
      </c>
      <c r="Y165" s="93" t="str">
        <f>IF(preDEL!$AG165,IFERROR(0/0,""),preDEL!Y165)</f>
        <v/>
      </c>
      <c r="Z165" s="249" t="str">
        <f>IF(preDEL!$AG165,IFERROR(0/0,""),preDEL!Z165)</f>
        <v/>
      </c>
      <c r="AA165" s="93" t="b">
        <f>IF(preDEL!$AG165,IFERROR(0/0,""),preDEL!AA165)</f>
        <v>0</v>
      </c>
      <c r="AB165" s="93" t="str">
        <f>IF(preDEL!$AG165,IFERROR(0/0,""),preDEL!AB165)</f>
        <v/>
      </c>
      <c r="AC165" s="252">
        <f>IF(preDEL!$AG165,IFERROR(0/0,""),preDEL!AC165)</f>
        <v>80</v>
      </c>
      <c r="AD165" s="99" t="str">
        <f>IF(preDEL!$AG165,IFERROR(0/0,""),preDEL!AD165)</f>
        <v/>
      </c>
      <c r="AE165" s="253">
        <f>IF(preDEL!$AG165,IFERROR(0/0,""),preDEL!AE165)</f>
        <v>207.15</v>
      </c>
      <c r="AF165" s="93" t="b">
        <f>IF(preDEL!$AG165,IFERROR(0/0,""),preDEL!AF165)</f>
        <v>0</v>
      </c>
      <c r="AG165" s="93" t="b">
        <f>IF(preDEL!$AG165,IFERROR(0/0,""),preDEL!AG165)</f>
        <v>0</v>
      </c>
      <c r="AH165" s="99" t="str">
        <f>IF(preDEL!$AG165,IFERROR(0/0,""),preDEL!AH165)</f>
        <v/>
      </c>
      <c r="AI165" s="249" t="str">
        <f>IF(preDEL!$AG165,IFERROR(0/0,""),preDEL!AI165)</f>
        <v/>
      </c>
      <c r="AJ165" s="94" t="str">
        <f>IF(preDEL!$AG165,IFERROR(0/0,""),preDEL!AJ165)</f>
        <v/>
      </c>
      <c r="AK165" s="249" t="str">
        <f>IF(preDEL!$AG165,IFERROR(0/0,""),preDEL!AK165)</f>
        <v>Negative</v>
      </c>
      <c r="AL165" s="94" t="str">
        <f>IF(preDEL!$AG165,IFERROR(0/0,""),preDEL!AL165)</f>
        <v/>
      </c>
      <c r="AM165" s="94" t="str">
        <f>IF(preDEL!$AG165,IFERROR(0/0,""),preDEL!AM165)</f>
        <v>SpNDHM189649</v>
      </c>
      <c r="AN165" s="94" t="str">
        <f>IF(preDEL!$AG165,IFERROR(0/0,""),preDEL!AN165)</f>
        <v>NDHM577067</v>
      </c>
      <c r="AO165" s="94" t="str">
        <f>IF(preDEL!$AG165,IFERROR(0/0,""),preDEL!AO165)</f>
        <v/>
      </c>
      <c r="AP165" s="94" t="str">
        <f>IF(preDEL!$AG165,IFERROR(0/0,""),preDEL!AP165)</f>
        <v/>
      </c>
      <c r="AQ165" s="94" t="str">
        <f>IF(preDEL!$AG165,IFERROR(0/0,""),preDEL!AQ165)</f>
        <v/>
      </c>
      <c r="AR165" s="94" t="str">
        <f>IF(preDEL!$AG165,IFERROR(0/0,""),preDEL!AR165)</f>
        <v/>
      </c>
      <c r="AS165" s="98"/>
      <c r="BE165" s="254"/>
      <c r="BF165" s="255"/>
      <c r="BG165" s="254"/>
      <c r="BH165" s="255"/>
      <c r="BI165" s="254"/>
      <c r="BJ165" s="254"/>
      <c r="BK165" s="254"/>
      <c r="BL165" s="254"/>
      <c r="BN165" s="7"/>
      <c r="BO165" s="7"/>
      <c r="BP165" s="7"/>
      <c r="BQ165" s="7"/>
      <c r="BR165" s="7"/>
      <c r="BS165" s="7"/>
      <c r="BT165" s="7"/>
    </row>
    <row r="166">
      <c r="A166" s="249" t="str">
        <f>IF(preDEL!$AG166,IFERROR(0/0,""),preDEL!A166)</f>
        <v>AK6972</v>
      </c>
      <c r="B166" s="250">
        <f>IF(preDEL!$AG166,IFERROR(0/0,""),preDEL!B166)</f>
        <v>44713</v>
      </c>
      <c r="C166" s="251">
        <f>IF(preDEL!$AG166,IFERROR(0/0,""),preDEL!C166)</f>
        <v>0.1976388889</v>
      </c>
      <c r="D166" s="249" t="str">
        <f>IF(preDEL!$AG166,IFERROR(0/0,""),preDEL!D166)</f>
        <v/>
      </c>
      <c r="E166" s="249" t="str">
        <f>IF(preDEL!$AG166,IFERROR(0/0,""),preDEL!E166)</f>
        <v/>
      </c>
      <c r="F166" s="94" t="str">
        <f>IF(preDEL!$AG166,IFERROR(0/0,""),preDEL!F166)</f>
        <v/>
      </c>
      <c r="G166" s="94" t="str">
        <f>IF(preDEL!$AG166,IFERROR(0/0,""),preDEL!G166)</f>
        <v/>
      </c>
      <c r="H166" s="94" t="str">
        <f>IF(preDEL!$AG166,IFERROR(0/0,""),preDEL!H166)</f>
        <v/>
      </c>
      <c r="I166" s="249" t="str">
        <f>IF(preDEL!$AG166,IFERROR(0/0,""),preDEL!I166)</f>
        <v/>
      </c>
      <c r="J166" s="249" t="str">
        <f>IF(preDEL!$AG166,IFERROR(0/0,""),preDEL!J166)</f>
        <v/>
      </c>
      <c r="K166" s="249" t="str">
        <f>IF(preDEL!$AG166,IFERROR(0/0,""),preDEL!K166)</f>
        <v>Negative</v>
      </c>
      <c r="L166" s="250">
        <f>IF(preDEL!$AG166,IFERROR(0/0,""),preDEL!L166)</f>
        <v>44713</v>
      </c>
      <c r="M166" s="251">
        <f>IF(preDEL!$AG166,IFERROR(0/0,""),preDEL!M166)</f>
        <v>0.3414930556</v>
      </c>
      <c r="N166" s="94" t="str">
        <f>IF(preDEL!$AG166,IFERROR(0/0,""),preDEL!N166)</f>
        <v/>
      </c>
      <c r="O166" s="94" t="str">
        <f>IF(preDEL!$AG166,IFERROR(0/0,""),preDEL!O166)</f>
        <v/>
      </c>
      <c r="P166" s="93" t="b">
        <f>IF(preDEL!$AG166,IFERROR(0/0,""),preDEL!P166)</f>
        <v>0</v>
      </c>
      <c r="Q166" s="93" t="str">
        <f>IF(preDEL!$AG166,IFERROR(0/0,""),preDEL!Q166)</f>
        <v>Result</v>
      </c>
      <c r="R166" s="99" t="b">
        <f>IF(preDEL!$AG166,IFERROR(0/0,""),preDEL!R166)</f>
        <v>0</v>
      </c>
      <c r="S166" s="99">
        <f>IF(preDEL!$AG166,IFERROR(0/0,""),preDEL!S166)</f>
        <v>4</v>
      </c>
      <c r="T166" s="93" t="str">
        <f>IF(preDEL!$AG166,IFERROR(0/0,""),preDEL!T166)</f>
        <v/>
      </c>
      <c r="U166" s="94" t="str">
        <f>IF(preDEL!$AG166,IFERROR(0/0,""),preDEL!U166)</f>
        <v/>
      </c>
      <c r="V166" s="249" t="str">
        <f>IF(preDEL!$AG166,IFERROR(0/0,""),preDEL!V166)</f>
        <v/>
      </c>
      <c r="W166" s="94" t="str">
        <f>IF(preDEL!$AG166,IFERROR(0/0,""),preDEL!W166)</f>
        <v/>
      </c>
      <c r="X166" s="99" t="b">
        <f>IF(preDEL!$AG166,IFERROR(0/0,""),preDEL!X166)</f>
        <v>0</v>
      </c>
      <c r="Y166" s="93" t="str">
        <f>IF(preDEL!$AG166,IFERROR(0/0,""),preDEL!Y166)</f>
        <v/>
      </c>
      <c r="Z166" s="249" t="str">
        <f>IF(preDEL!$AG166,IFERROR(0/0,""),preDEL!Z166)</f>
        <v/>
      </c>
      <c r="AA166" s="93" t="b">
        <f>IF(preDEL!$AG166,IFERROR(0/0,""),preDEL!AA166)</f>
        <v>0</v>
      </c>
      <c r="AB166" s="93" t="str">
        <f>IF(preDEL!$AG166,IFERROR(0/0,""),preDEL!AB166)</f>
        <v/>
      </c>
      <c r="AC166" s="252">
        <f>IF(preDEL!$AG166,IFERROR(0/0,""),preDEL!AC166)</f>
        <v>82</v>
      </c>
      <c r="AD166" s="99" t="str">
        <f>IF(preDEL!$AG166,IFERROR(0/0,""),preDEL!AD166)</f>
        <v/>
      </c>
      <c r="AE166" s="253">
        <f>IF(preDEL!$AG166,IFERROR(0/0,""),preDEL!AE166)</f>
        <v>207.15</v>
      </c>
      <c r="AF166" s="93" t="b">
        <f>IF(preDEL!$AG166,IFERROR(0/0,""),preDEL!AF166)</f>
        <v>0</v>
      </c>
      <c r="AG166" s="93" t="b">
        <f>IF(preDEL!$AG166,IFERROR(0/0,""),preDEL!AG166)</f>
        <v>0</v>
      </c>
      <c r="AH166" s="99" t="str">
        <f>IF(preDEL!$AG166,IFERROR(0/0,""),preDEL!AH166)</f>
        <v/>
      </c>
      <c r="AI166" s="249" t="str">
        <f>IF(preDEL!$AG166,IFERROR(0/0,""),preDEL!AI166)</f>
        <v/>
      </c>
      <c r="AJ166" s="94" t="str">
        <f>IF(preDEL!$AG166,IFERROR(0/0,""),preDEL!AJ166)</f>
        <v/>
      </c>
      <c r="AK166" s="249" t="str">
        <f>IF(preDEL!$AG166,IFERROR(0/0,""),preDEL!AK166)</f>
        <v>Negative</v>
      </c>
      <c r="AL166" s="94" t="str">
        <f>IF(preDEL!$AG166,IFERROR(0/0,""),preDEL!AL166)</f>
        <v/>
      </c>
      <c r="AM166" s="94" t="str">
        <f>IF(preDEL!$AG166,IFERROR(0/0,""),preDEL!AM166)</f>
        <v>SpNDHM189649</v>
      </c>
      <c r="AN166" s="94" t="str">
        <f>IF(preDEL!$AG166,IFERROR(0/0,""),preDEL!AN166)</f>
        <v>NDHM404468</v>
      </c>
      <c r="AO166" s="94" t="str">
        <f>IF(preDEL!$AG166,IFERROR(0/0,""),preDEL!AO166)</f>
        <v/>
      </c>
      <c r="AP166" s="94" t="str">
        <f>IF(preDEL!$AG166,IFERROR(0/0,""),preDEL!AP166)</f>
        <v/>
      </c>
      <c r="AQ166" s="94" t="str">
        <f>IF(preDEL!$AG166,IFERROR(0/0,""),preDEL!AQ166)</f>
        <v/>
      </c>
      <c r="AR166" s="94" t="str">
        <f>IF(preDEL!$AG166,IFERROR(0/0,""),preDEL!AR166)</f>
        <v/>
      </c>
      <c r="AS166" s="98"/>
      <c r="BE166" s="254"/>
      <c r="BF166" s="255"/>
      <c r="BG166" s="254"/>
      <c r="BH166" s="255"/>
      <c r="BI166" s="254"/>
      <c r="BJ166" s="254"/>
      <c r="BK166" s="254"/>
      <c r="BL166" s="254"/>
      <c r="BN166" s="7"/>
      <c r="BO166" s="7"/>
      <c r="BP166" s="7"/>
      <c r="BQ166" s="7"/>
      <c r="BR166" s="7"/>
      <c r="BS166" s="7"/>
      <c r="BT166" s="7"/>
    </row>
    <row r="167">
      <c r="A167" s="249" t="str">
        <f>IF(preDEL!$AG167,IFERROR(0/0,""),preDEL!A167)</f>
        <v>AK6972</v>
      </c>
      <c r="B167" s="250">
        <f>IF(preDEL!$AG167,IFERROR(0/0,""),preDEL!B167)</f>
        <v>44713</v>
      </c>
      <c r="C167" s="251">
        <f>IF(preDEL!$AG167,IFERROR(0/0,""),preDEL!C167)</f>
        <v>0.1976388889</v>
      </c>
      <c r="D167" s="249" t="str">
        <f>IF(preDEL!$AG167,IFERROR(0/0,""),preDEL!D167)</f>
        <v/>
      </c>
      <c r="E167" s="249" t="str">
        <f>IF(preDEL!$AG167,IFERROR(0/0,""),preDEL!E167)</f>
        <v/>
      </c>
      <c r="F167" s="94" t="str">
        <f>IF(preDEL!$AG167,IFERROR(0/0,""),preDEL!F167)</f>
        <v/>
      </c>
      <c r="G167" s="94" t="str">
        <f>IF(preDEL!$AG167,IFERROR(0/0,""),preDEL!G167)</f>
        <v/>
      </c>
      <c r="H167" s="94" t="str">
        <f>IF(preDEL!$AG167,IFERROR(0/0,""),preDEL!H167)</f>
        <v/>
      </c>
      <c r="I167" s="249" t="str">
        <f>IF(preDEL!$AG167,IFERROR(0/0,""),preDEL!I167)</f>
        <v/>
      </c>
      <c r="J167" s="249" t="str">
        <f>IF(preDEL!$AG167,IFERROR(0/0,""),preDEL!J167)</f>
        <v/>
      </c>
      <c r="K167" s="249" t="str">
        <f>IF(preDEL!$AG167,IFERROR(0/0,""),preDEL!K167)</f>
        <v>Negative</v>
      </c>
      <c r="L167" s="250">
        <f>IF(preDEL!$AG167,IFERROR(0/0,""),preDEL!L167)</f>
        <v>44713</v>
      </c>
      <c r="M167" s="251">
        <f>IF(preDEL!$AG167,IFERROR(0/0,""),preDEL!M167)</f>
        <v>0.3414930556</v>
      </c>
      <c r="N167" s="94" t="str">
        <f>IF(preDEL!$AG167,IFERROR(0/0,""),preDEL!N167)</f>
        <v/>
      </c>
      <c r="O167" s="94" t="str">
        <f>IF(preDEL!$AG167,IFERROR(0/0,""),preDEL!O167)</f>
        <v/>
      </c>
      <c r="P167" s="93" t="b">
        <f>IF(preDEL!$AG167,IFERROR(0/0,""),preDEL!P167)</f>
        <v>0</v>
      </c>
      <c r="Q167" s="93" t="str">
        <f>IF(preDEL!$AG167,IFERROR(0/0,""),preDEL!Q167)</f>
        <v>Result</v>
      </c>
      <c r="R167" s="99" t="b">
        <f>IF(preDEL!$AG167,IFERROR(0/0,""),preDEL!R167)</f>
        <v>0</v>
      </c>
      <c r="S167" s="99">
        <f>IF(preDEL!$AG167,IFERROR(0/0,""),preDEL!S167)</f>
        <v>4</v>
      </c>
      <c r="T167" s="93" t="str">
        <f>IF(preDEL!$AG167,IFERROR(0/0,""),preDEL!T167)</f>
        <v/>
      </c>
      <c r="U167" s="94" t="str">
        <f>IF(preDEL!$AG167,IFERROR(0/0,""),preDEL!U167)</f>
        <v/>
      </c>
      <c r="V167" s="249" t="str">
        <f>IF(preDEL!$AG167,IFERROR(0/0,""),preDEL!V167)</f>
        <v/>
      </c>
      <c r="W167" s="94" t="str">
        <f>IF(preDEL!$AG167,IFERROR(0/0,""),preDEL!W167)</f>
        <v/>
      </c>
      <c r="X167" s="99" t="b">
        <f>IF(preDEL!$AG167,IFERROR(0/0,""),preDEL!X167)</f>
        <v>0</v>
      </c>
      <c r="Y167" s="93" t="str">
        <f>IF(preDEL!$AG167,IFERROR(0/0,""),preDEL!Y167)</f>
        <v/>
      </c>
      <c r="Z167" s="249" t="str">
        <f>IF(preDEL!$AG167,IFERROR(0/0,""),preDEL!Z167)</f>
        <v/>
      </c>
      <c r="AA167" s="93" t="b">
        <f>IF(preDEL!$AG167,IFERROR(0/0,""),preDEL!AA167)</f>
        <v>0</v>
      </c>
      <c r="AB167" s="93" t="str">
        <f>IF(preDEL!$AG167,IFERROR(0/0,""),preDEL!AB167)</f>
        <v/>
      </c>
      <c r="AC167" s="252">
        <f>IF(preDEL!$AG167,IFERROR(0/0,""),preDEL!AC167)</f>
        <v>83</v>
      </c>
      <c r="AD167" s="99" t="str">
        <f>IF(preDEL!$AG167,IFERROR(0/0,""),preDEL!AD167)</f>
        <v/>
      </c>
      <c r="AE167" s="253">
        <f>IF(preDEL!$AG167,IFERROR(0/0,""),preDEL!AE167)</f>
        <v>207.15</v>
      </c>
      <c r="AF167" s="93" t="b">
        <f>IF(preDEL!$AG167,IFERROR(0/0,""),preDEL!AF167)</f>
        <v>0</v>
      </c>
      <c r="AG167" s="93" t="b">
        <f>IF(preDEL!$AG167,IFERROR(0/0,""),preDEL!AG167)</f>
        <v>0</v>
      </c>
      <c r="AH167" s="99" t="str">
        <f>IF(preDEL!$AG167,IFERROR(0/0,""),preDEL!AH167)</f>
        <v/>
      </c>
      <c r="AI167" s="249" t="str">
        <f>IF(preDEL!$AG167,IFERROR(0/0,""),preDEL!AI167)</f>
        <v/>
      </c>
      <c r="AJ167" s="94" t="str">
        <f>IF(preDEL!$AG167,IFERROR(0/0,""),preDEL!AJ167)</f>
        <v/>
      </c>
      <c r="AK167" s="249" t="str">
        <f>IF(preDEL!$AG167,IFERROR(0/0,""),preDEL!AK167)</f>
        <v>Negative</v>
      </c>
      <c r="AL167" s="94" t="str">
        <f>IF(preDEL!$AG167,IFERROR(0/0,""),preDEL!AL167)</f>
        <v/>
      </c>
      <c r="AM167" s="94" t="str">
        <f>IF(preDEL!$AG167,IFERROR(0/0,""),preDEL!AM167)</f>
        <v>SpNDHM189649</v>
      </c>
      <c r="AN167" s="94" t="str">
        <f>IF(preDEL!$AG167,IFERROR(0/0,""),preDEL!AN167)</f>
        <v>NDHM406316</v>
      </c>
      <c r="AO167" s="94" t="str">
        <f>IF(preDEL!$AG167,IFERROR(0/0,""),preDEL!AO167)</f>
        <v/>
      </c>
      <c r="AP167" s="94" t="str">
        <f>IF(preDEL!$AG167,IFERROR(0/0,""),preDEL!AP167)</f>
        <v/>
      </c>
      <c r="AQ167" s="94" t="str">
        <f>IF(preDEL!$AG167,IFERROR(0/0,""),preDEL!AQ167)</f>
        <v/>
      </c>
      <c r="AR167" s="94" t="str">
        <f>IF(preDEL!$AG167,IFERROR(0/0,""),preDEL!AR167)</f>
        <v/>
      </c>
      <c r="AS167" s="98"/>
      <c r="BE167" s="254"/>
      <c r="BF167" s="255"/>
      <c r="BG167" s="254"/>
      <c r="BH167" s="255"/>
      <c r="BI167" s="254"/>
      <c r="BJ167" s="254"/>
      <c r="BK167" s="254"/>
      <c r="BL167" s="254"/>
      <c r="BN167" s="7"/>
      <c r="BO167" s="7"/>
      <c r="BP167" s="7"/>
      <c r="BQ167" s="7"/>
      <c r="BR167" s="7"/>
      <c r="BS167" s="7"/>
      <c r="BT167" s="7"/>
    </row>
    <row r="168">
      <c r="A168" s="249" t="str">
        <f>IF(preDEL!$AG168,IFERROR(0/0,""),preDEL!A168)</f>
        <v>AG1821</v>
      </c>
      <c r="B168" s="250">
        <f>IF(preDEL!$AG168,IFERROR(0/0,""),preDEL!B168)</f>
        <v>44713</v>
      </c>
      <c r="C168" s="251">
        <f>IF(preDEL!$AG168,IFERROR(0/0,""),preDEL!C168)</f>
        <v>0.2007638889</v>
      </c>
      <c r="D168" s="249" t="str">
        <f>IF(preDEL!$AG168,IFERROR(0/0,""),preDEL!D168)</f>
        <v/>
      </c>
      <c r="E168" s="249" t="str">
        <f>IF(preDEL!$AG168,IFERROR(0/0,""),preDEL!E168)</f>
        <v/>
      </c>
      <c r="F168" s="94" t="str">
        <f>IF(preDEL!$AG168,IFERROR(0/0,""),preDEL!F168)</f>
        <v/>
      </c>
      <c r="G168" s="94" t="str">
        <f>IF(preDEL!$AG168,IFERROR(0/0,""),preDEL!G168)</f>
        <v/>
      </c>
      <c r="H168" s="94" t="str">
        <f>IF(preDEL!$AG168,IFERROR(0/0,""),preDEL!H168)</f>
        <v/>
      </c>
      <c r="I168" s="249" t="str">
        <f>IF(preDEL!$AG168,IFERROR(0/0,""),preDEL!I168)</f>
        <v/>
      </c>
      <c r="J168" s="249" t="str">
        <f>IF(preDEL!$AG168,IFERROR(0/0,""),preDEL!J168)</f>
        <v/>
      </c>
      <c r="K168" s="249" t="str">
        <f>IF(preDEL!$AG168,IFERROR(0/0,""),preDEL!K168)</f>
        <v>Negative</v>
      </c>
      <c r="L168" s="250">
        <f>IF(preDEL!$AG168,IFERROR(0/0,""),preDEL!L168)</f>
        <v>44713</v>
      </c>
      <c r="M168" s="251">
        <f>IF(preDEL!$AG168,IFERROR(0/0,""),preDEL!M168)</f>
        <v>0.3414930556</v>
      </c>
      <c r="N168" s="94" t="str">
        <f>IF(preDEL!$AG168,IFERROR(0/0,""),preDEL!N168)</f>
        <v/>
      </c>
      <c r="O168" s="94" t="str">
        <f>IF(preDEL!$AG168,IFERROR(0/0,""),preDEL!O168)</f>
        <v/>
      </c>
      <c r="P168" s="93" t="b">
        <f>IF(preDEL!$AG168,IFERROR(0/0,""),preDEL!P168)</f>
        <v>0</v>
      </c>
      <c r="Q168" s="93" t="str">
        <f>IF(preDEL!$AG168,IFERROR(0/0,""),preDEL!Q168)</f>
        <v>Result</v>
      </c>
      <c r="R168" s="99" t="b">
        <f>IF(preDEL!$AG168,IFERROR(0/0,""),preDEL!R168)</f>
        <v>1</v>
      </c>
      <c r="S168" s="99">
        <f>IF(preDEL!$AG168,IFERROR(0/0,""),preDEL!S168)</f>
        <v>2</v>
      </c>
      <c r="T168" s="93">
        <f>IF(preDEL!$AG168,IFERROR(0/0,""),preDEL!T168)</f>
        <v>1</v>
      </c>
      <c r="U168" s="94" t="str">
        <f>IF(preDEL!$AG168,IFERROR(0/0,""),preDEL!U168)</f>
        <v/>
      </c>
      <c r="V168" s="249" t="str">
        <f>IF(preDEL!$AG168,IFERROR(0/0,""),preDEL!V168)</f>
        <v/>
      </c>
      <c r="W168" s="94" t="str">
        <f>IF(preDEL!$AG168,IFERROR(0/0,""),preDEL!W168)</f>
        <v/>
      </c>
      <c r="X168" s="99" t="b">
        <f>IF(preDEL!$AG168,IFERROR(0/0,""),preDEL!X168)</f>
        <v>0</v>
      </c>
      <c r="Y168" s="93" t="str">
        <f>IF(preDEL!$AG168,IFERROR(0/0,""),preDEL!Y168)</f>
        <v/>
      </c>
      <c r="Z168" s="249" t="str">
        <f>IF(preDEL!$AG168,IFERROR(0/0,""),preDEL!Z168)</f>
        <v/>
      </c>
      <c r="AA168" s="93" t="b">
        <f>IF(preDEL!$AG168,IFERROR(0/0,""),preDEL!AA168)</f>
        <v>0</v>
      </c>
      <c r="AB168" s="93" t="str">
        <f>IF(preDEL!$AG168,IFERROR(0/0,""),preDEL!AB168)</f>
        <v/>
      </c>
      <c r="AC168" s="252">
        <f>IF(preDEL!$AG168,IFERROR(0/0,""),preDEL!AC168)</f>
        <v>84</v>
      </c>
      <c r="AD168" s="99" t="str">
        <f>IF(preDEL!$AG168,IFERROR(0/0,""),preDEL!AD168)</f>
        <v/>
      </c>
      <c r="AE168" s="253">
        <f>IF(preDEL!$AG168,IFERROR(0/0,""),preDEL!AE168)</f>
        <v>202.65</v>
      </c>
      <c r="AF168" s="93" t="b">
        <f>IF(preDEL!$AG168,IFERROR(0/0,""),preDEL!AF168)</f>
        <v>0</v>
      </c>
      <c r="AG168" s="93" t="b">
        <f>IF(preDEL!$AG168,IFERROR(0/0,""),preDEL!AG168)</f>
        <v>0</v>
      </c>
      <c r="AH168" s="99" t="str">
        <f>IF(preDEL!$AG168,IFERROR(0/0,""),preDEL!AH168)</f>
        <v/>
      </c>
      <c r="AI168" s="249" t="str">
        <f>IF(preDEL!$AG168,IFERROR(0/0,""),preDEL!AI168)</f>
        <v/>
      </c>
      <c r="AJ168" s="94" t="str">
        <f>IF(preDEL!$AG168,IFERROR(0/0,""),preDEL!AJ168)</f>
        <v/>
      </c>
      <c r="AK168" s="249" t="str">
        <f>IF(preDEL!$AG168,IFERROR(0/0,""),preDEL!AK168)</f>
        <v>Negative</v>
      </c>
      <c r="AL168" s="94" t="str">
        <f>IF(preDEL!$AG168,IFERROR(0/0,""),preDEL!AL168)</f>
        <v/>
      </c>
      <c r="AM168" s="94" t="str">
        <f>IF(preDEL!$AG168,IFERROR(0/0,""),preDEL!AM168)</f>
        <v>SpNDHM118014</v>
      </c>
      <c r="AN168" s="94" t="str">
        <f>IF(preDEL!$AG168,IFERROR(0/0,""),preDEL!AN168)</f>
        <v>NDHM711288</v>
      </c>
      <c r="AO168" s="94" t="str">
        <f>IF(preDEL!$AG168,IFERROR(0/0,""),preDEL!AO168)</f>
        <v/>
      </c>
      <c r="AP168" s="94" t="str">
        <f>IF(preDEL!$AG168,IFERROR(0/0,""),preDEL!AP168)</f>
        <v/>
      </c>
      <c r="AQ168" s="94" t="str">
        <f>IF(preDEL!$AG168,IFERROR(0/0,""),preDEL!AQ168)</f>
        <v/>
      </c>
      <c r="AR168" s="94" t="str">
        <f>IF(preDEL!$AG168,IFERROR(0/0,""),preDEL!AR168)</f>
        <v/>
      </c>
      <c r="AS168" s="98"/>
      <c r="BE168" s="254"/>
      <c r="BF168" s="255"/>
      <c r="BG168" s="254"/>
      <c r="BH168" s="255"/>
      <c r="BI168" s="254"/>
      <c r="BJ168" s="254"/>
      <c r="BK168" s="254"/>
      <c r="BL168" s="254"/>
      <c r="BN168" s="7"/>
      <c r="BO168" s="7"/>
      <c r="BP168" s="7"/>
      <c r="BQ168" s="7"/>
      <c r="BR168" s="7"/>
      <c r="BS168" s="7"/>
      <c r="BT168" s="7"/>
    </row>
    <row r="169">
      <c r="A169" s="249" t="str">
        <f>IF(preDEL!$AG169,IFERROR(0/0,""),preDEL!A169)</f>
        <v>AG1821</v>
      </c>
      <c r="B169" s="250">
        <f>IF(preDEL!$AG169,IFERROR(0/0,""),preDEL!B169)</f>
        <v>44713</v>
      </c>
      <c r="C169" s="251">
        <f>IF(preDEL!$AG169,IFERROR(0/0,""),preDEL!C169)</f>
        <v>0.2007638889</v>
      </c>
      <c r="D169" s="249" t="str">
        <f>IF(preDEL!$AG169,IFERROR(0/0,""),preDEL!D169)</f>
        <v/>
      </c>
      <c r="E169" s="249" t="str">
        <f>IF(preDEL!$AG169,IFERROR(0/0,""),preDEL!E169)</f>
        <v/>
      </c>
      <c r="F169" s="94" t="str">
        <f>IF(preDEL!$AG169,IFERROR(0/0,""),preDEL!F169)</f>
        <v/>
      </c>
      <c r="G169" s="94" t="str">
        <f>IF(preDEL!$AG169,IFERROR(0/0,""),preDEL!G169)</f>
        <v/>
      </c>
      <c r="H169" s="94" t="str">
        <f>IF(preDEL!$AG169,IFERROR(0/0,""),preDEL!H169)</f>
        <v/>
      </c>
      <c r="I169" s="249" t="str">
        <f>IF(preDEL!$AG169,IFERROR(0/0,""),preDEL!I169)</f>
        <v/>
      </c>
      <c r="J169" s="249" t="str">
        <f>IF(preDEL!$AG169,IFERROR(0/0,""),preDEL!J169)</f>
        <v/>
      </c>
      <c r="K169" s="249" t="str">
        <f>IF(preDEL!$AG169,IFERROR(0/0,""),preDEL!K169)</f>
        <v>Negative</v>
      </c>
      <c r="L169" s="250">
        <f>IF(preDEL!$AG169,IFERROR(0/0,""),preDEL!L169)</f>
        <v>44713</v>
      </c>
      <c r="M169" s="251">
        <f>IF(preDEL!$AG169,IFERROR(0/0,""),preDEL!M169)</f>
        <v>0.3414930556</v>
      </c>
      <c r="N169" s="94" t="str">
        <f>IF(preDEL!$AG169,IFERROR(0/0,""),preDEL!N169)</f>
        <v/>
      </c>
      <c r="O169" s="94" t="str">
        <f>IF(preDEL!$AG169,IFERROR(0/0,""),preDEL!O169)</f>
        <v/>
      </c>
      <c r="P169" s="93" t="b">
        <f>IF(preDEL!$AG169,IFERROR(0/0,""),preDEL!P169)</f>
        <v>0</v>
      </c>
      <c r="Q169" s="93" t="str">
        <f>IF(preDEL!$AG169,IFERROR(0/0,""),preDEL!Q169)</f>
        <v>Result</v>
      </c>
      <c r="R169" s="99" t="b">
        <f>IF(preDEL!$AG169,IFERROR(0/0,""),preDEL!R169)</f>
        <v>0</v>
      </c>
      <c r="S169" s="99">
        <f>IF(preDEL!$AG169,IFERROR(0/0,""),preDEL!S169)</f>
        <v>2</v>
      </c>
      <c r="T169" s="93">
        <f>IF(preDEL!$AG169,IFERROR(0/0,""),preDEL!T169)</f>
        <v>1</v>
      </c>
      <c r="U169" s="94" t="str">
        <f>IF(preDEL!$AG169,IFERROR(0/0,""),preDEL!U169)</f>
        <v/>
      </c>
      <c r="V169" s="249" t="str">
        <f>IF(preDEL!$AG169,IFERROR(0/0,""),preDEL!V169)</f>
        <v/>
      </c>
      <c r="W169" s="94" t="str">
        <f>IF(preDEL!$AG169,IFERROR(0/0,""),preDEL!W169)</f>
        <v/>
      </c>
      <c r="X169" s="99" t="b">
        <f>IF(preDEL!$AG169,IFERROR(0/0,""),preDEL!X169)</f>
        <v>0</v>
      </c>
      <c r="Y169" s="93" t="str">
        <f>IF(preDEL!$AG169,IFERROR(0/0,""),preDEL!Y169)</f>
        <v/>
      </c>
      <c r="Z169" s="249" t="str">
        <f>IF(preDEL!$AG169,IFERROR(0/0,""),preDEL!Z169)</f>
        <v/>
      </c>
      <c r="AA169" s="93" t="b">
        <f>IF(preDEL!$AG169,IFERROR(0/0,""),preDEL!AA169)</f>
        <v>0</v>
      </c>
      <c r="AB169" s="93" t="str">
        <f>IF(preDEL!$AG169,IFERROR(0/0,""),preDEL!AB169)</f>
        <v/>
      </c>
      <c r="AC169" s="252">
        <f>IF(preDEL!$AG169,IFERROR(0/0,""),preDEL!AC169)</f>
        <v>84</v>
      </c>
      <c r="AD169" s="99" t="str">
        <f>IF(preDEL!$AG169,IFERROR(0/0,""),preDEL!AD169)</f>
        <v/>
      </c>
      <c r="AE169" s="253">
        <f>IF(preDEL!$AG169,IFERROR(0/0,""),preDEL!AE169)</f>
        <v>202.65</v>
      </c>
      <c r="AF169" s="93" t="b">
        <f>IF(preDEL!$AG169,IFERROR(0/0,""),preDEL!AF169)</f>
        <v>0</v>
      </c>
      <c r="AG169" s="93" t="b">
        <f>IF(preDEL!$AG169,IFERROR(0/0,""),preDEL!AG169)</f>
        <v>0</v>
      </c>
      <c r="AH169" s="99" t="str">
        <f>IF(preDEL!$AG169,IFERROR(0/0,""),preDEL!AH169)</f>
        <v/>
      </c>
      <c r="AI169" s="249" t="str">
        <f>IF(preDEL!$AG169,IFERROR(0/0,""),preDEL!AI169)</f>
        <v/>
      </c>
      <c r="AJ169" s="94" t="str">
        <f>IF(preDEL!$AG169,IFERROR(0/0,""),preDEL!AJ169)</f>
        <v/>
      </c>
      <c r="AK169" s="249" t="str">
        <f>IF(preDEL!$AG169,IFERROR(0/0,""),preDEL!AK169)</f>
        <v>Negative</v>
      </c>
      <c r="AL169" s="94" t="str">
        <f>IF(preDEL!$AG169,IFERROR(0/0,""),preDEL!AL169)</f>
        <v/>
      </c>
      <c r="AM169" s="94" t="str">
        <f>IF(preDEL!$AG169,IFERROR(0/0,""),preDEL!AM169)</f>
        <v>SpNDHM118014</v>
      </c>
      <c r="AN169" s="94" t="str">
        <f>IF(preDEL!$AG169,IFERROR(0/0,""),preDEL!AN169)</f>
        <v>NDHM976885</v>
      </c>
      <c r="AO169" s="94" t="str">
        <f>IF(preDEL!$AG169,IFERROR(0/0,""),preDEL!AO169)</f>
        <v/>
      </c>
      <c r="AP169" s="94" t="str">
        <f>IF(preDEL!$AG169,IFERROR(0/0,""),preDEL!AP169)</f>
        <v/>
      </c>
      <c r="AQ169" s="94" t="str">
        <f>IF(preDEL!$AG169,IFERROR(0/0,""),preDEL!AQ169)</f>
        <v/>
      </c>
      <c r="AR169" s="94" t="str">
        <f>IF(preDEL!$AG169,IFERROR(0/0,""),preDEL!AR169)</f>
        <v/>
      </c>
      <c r="AS169" s="98"/>
      <c r="BE169" s="254"/>
      <c r="BF169" s="255"/>
      <c r="BG169" s="254"/>
      <c r="BH169" s="255"/>
      <c r="BI169" s="254"/>
      <c r="BJ169" s="254"/>
      <c r="BK169" s="254"/>
      <c r="BL169" s="254"/>
      <c r="BN169" s="7"/>
      <c r="BO169" s="7"/>
      <c r="BP169" s="7"/>
      <c r="BQ169" s="7"/>
      <c r="BR169" s="7"/>
      <c r="BS169" s="7"/>
      <c r="BT169" s="7"/>
    </row>
    <row r="170">
      <c r="A170" s="249" t="str">
        <f>IF(preDEL!$AG170,IFERROR(0/0,""),preDEL!A170)</f>
        <v>AH6875</v>
      </c>
      <c r="B170" s="250">
        <f>IF(preDEL!$AG170,IFERROR(0/0,""),preDEL!B170)</f>
        <v>44713</v>
      </c>
      <c r="C170" s="251">
        <f>IF(preDEL!$AG170,IFERROR(0/0,""),preDEL!C170)</f>
        <v>0.2039699074</v>
      </c>
      <c r="D170" s="249" t="str">
        <f>IF(preDEL!$AG170,IFERROR(0/0,""),preDEL!D170)</f>
        <v/>
      </c>
      <c r="E170" s="249" t="str">
        <f>IF(preDEL!$AG170,IFERROR(0/0,""),preDEL!E170)</f>
        <v/>
      </c>
      <c r="F170" s="94" t="str">
        <f>IF(preDEL!$AG170,IFERROR(0/0,""),preDEL!F170)</f>
        <v/>
      </c>
      <c r="G170" s="94" t="str">
        <f>IF(preDEL!$AG170,IFERROR(0/0,""),preDEL!G170)</f>
        <v/>
      </c>
      <c r="H170" s="94" t="str">
        <f>IF(preDEL!$AG170,IFERROR(0/0,""),preDEL!H170)</f>
        <v/>
      </c>
      <c r="I170" s="249" t="str">
        <f>IF(preDEL!$AG170,IFERROR(0/0,""),preDEL!I170)</f>
        <v/>
      </c>
      <c r="J170" s="249" t="str">
        <f>IF(preDEL!$AG170,IFERROR(0/0,""),preDEL!J170)</f>
        <v/>
      </c>
      <c r="K170" s="249" t="str">
        <f>IF(preDEL!$AG170,IFERROR(0/0,""),preDEL!K170)</f>
        <v>Negative</v>
      </c>
      <c r="L170" s="250">
        <f>IF(preDEL!$AG170,IFERROR(0/0,""),preDEL!L170)</f>
        <v>44713</v>
      </c>
      <c r="M170" s="251">
        <f>IF(preDEL!$AG170,IFERROR(0/0,""),preDEL!M170)</f>
        <v>0.3414930556</v>
      </c>
      <c r="N170" s="94" t="str">
        <f>IF(preDEL!$AG170,IFERROR(0/0,""),preDEL!N170)</f>
        <v/>
      </c>
      <c r="O170" s="94" t="str">
        <f>IF(preDEL!$AG170,IFERROR(0/0,""),preDEL!O170)</f>
        <v/>
      </c>
      <c r="P170" s="93" t="b">
        <f>IF(preDEL!$AG170,IFERROR(0/0,""),preDEL!P170)</f>
        <v>0</v>
      </c>
      <c r="Q170" s="93" t="str">
        <f>IF(preDEL!$AG170,IFERROR(0/0,""),preDEL!Q170)</f>
        <v>Result</v>
      </c>
      <c r="R170" s="99" t="b">
        <f>IF(preDEL!$AG170,IFERROR(0/0,""),preDEL!R170)</f>
        <v>1</v>
      </c>
      <c r="S170" s="99">
        <f>IF(preDEL!$AG170,IFERROR(0/0,""),preDEL!S170)</f>
        <v>2</v>
      </c>
      <c r="T170" s="93" t="str">
        <f>IF(preDEL!$AG170,IFERROR(0/0,""),preDEL!T170)</f>
        <v/>
      </c>
      <c r="U170" s="94" t="str">
        <f>IF(preDEL!$AG170,IFERROR(0/0,""),preDEL!U170)</f>
        <v/>
      </c>
      <c r="V170" s="249" t="str">
        <f>IF(preDEL!$AG170,IFERROR(0/0,""),preDEL!V170)</f>
        <v/>
      </c>
      <c r="W170" s="94" t="str">
        <f>IF(preDEL!$AG170,IFERROR(0/0,""),preDEL!W170)</f>
        <v/>
      </c>
      <c r="X170" s="99" t="b">
        <f>IF(preDEL!$AG170,IFERROR(0/0,""),preDEL!X170)</f>
        <v>0</v>
      </c>
      <c r="Y170" s="93" t="str">
        <f>IF(preDEL!$AG170,IFERROR(0/0,""),preDEL!Y170)</f>
        <v/>
      </c>
      <c r="Z170" s="249" t="str">
        <f>IF(preDEL!$AG170,IFERROR(0/0,""),preDEL!Z170)</f>
        <v/>
      </c>
      <c r="AA170" s="93" t="b">
        <f>IF(preDEL!$AG170,IFERROR(0/0,""),preDEL!AA170)</f>
        <v>0</v>
      </c>
      <c r="AB170" s="93" t="str">
        <f>IF(preDEL!$AG170,IFERROR(0/0,""),preDEL!AB170)</f>
        <v/>
      </c>
      <c r="AC170" s="252">
        <f>IF(preDEL!$AG170,IFERROR(0/0,""),preDEL!AC170)</f>
        <v>86</v>
      </c>
      <c r="AD170" s="99" t="str">
        <f>IF(preDEL!$AG170,IFERROR(0/0,""),preDEL!AD170)</f>
        <v/>
      </c>
      <c r="AE170" s="253">
        <f>IF(preDEL!$AG170,IFERROR(0/0,""),preDEL!AE170)</f>
        <v>198.0333333</v>
      </c>
      <c r="AF170" s="93" t="b">
        <f>IF(preDEL!$AG170,IFERROR(0/0,""),preDEL!AF170)</f>
        <v>0</v>
      </c>
      <c r="AG170" s="93" t="b">
        <f>IF(preDEL!$AG170,IFERROR(0/0,""),preDEL!AG170)</f>
        <v>0</v>
      </c>
      <c r="AH170" s="99" t="str">
        <f>IF(preDEL!$AG170,IFERROR(0/0,""),preDEL!AH170)</f>
        <v/>
      </c>
      <c r="AI170" s="249" t="str">
        <f>IF(preDEL!$AG170,IFERROR(0/0,""),preDEL!AI170)</f>
        <v/>
      </c>
      <c r="AJ170" s="94" t="str">
        <f>IF(preDEL!$AG170,IFERROR(0/0,""),preDEL!AJ170)</f>
        <v/>
      </c>
      <c r="AK170" s="249" t="str">
        <f>IF(preDEL!$AG170,IFERROR(0/0,""),preDEL!AK170)</f>
        <v>Negative</v>
      </c>
      <c r="AL170" s="94" t="str">
        <f>IF(preDEL!$AG170,IFERROR(0/0,""),preDEL!AL170)</f>
        <v/>
      </c>
      <c r="AM170" s="94" t="str">
        <f>IF(preDEL!$AG170,IFERROR(0/0,""),preDEL!AM170)</f>
        <v>SpNDHM842569</v>
      </c>
      <c r="AN170" s="94" t="str">
        <f>IF(preDEL!$AG170,IFERROR(0/0,""),preDEL!AN170)</f>
        <v>NDHM304341</v>
      </c>
      <c r="AO170" s="94" t="str">
        <f>IF(preDEL!$AG170,IFERROR(0/0,""),preDEL!AO170)</f>
        <v/>
      </c>
      <c r="AP170" s="94" t="str">
        <f>IF(preDEL!$AG170,IFERROR(0/0,""),preDEL!AP170)</f>
        <v/>
      </c>
      <c r="AQ170" s="94" t="str">
        <f>IF(preDEL!$AG170,IFERROR(0/0,""),preDEL!AQ170)</f>
        <v/>
      </c>
      <c r="AR170" s="94" t="str">
        <f>IF(preDEL!$AG170,IFERROR(0/0,""),preDEL!AR170)</f>
        <v/>
      </c>
      <c r="AS170" s="98"/>
      <c r="BE170" s="254"/>
      <c r="BF170" s="255"/>
      <c r="BG170" s="254"/>
      <c r="BH170" s="255"/>
      <c r="BI170" s="254"/>
      <c r="BJ170" s="254"/>
      <c r="BK170" s="254"/>
      <c r="BL170" s="254"/>
      <c r="BN170" s="7"/>
      <c r="BO170" s="7"/>
      <c r="BP170" s="7"/>
      <c r="BQ170" s="7"/>
      <c r="BR170" s="7"/>
      <c r="BS170" s="7"/>
      <c r="BT170" s="7"/>
    </row>
    <row r="171">
      <c r="A171" s="249" t="str">
        <f>IF(preDEL!$AG171,IFERROR(0/0,""),preDEL!A171)</f>
        <v>AH6875</v>
      </c>
      <c r="B171" s="250">
        <f>IF(preDEL!$AG171,IFERROR(0/0,""),preDEL!B171)</f>
        <v>44713</v>
      </c>
      <c r="C171" s="251">
        <f>IF(preDEL!$AG171,IFERROR(0/0,""),preDEL!C171)</f>
        <v>0.2039699074</v>
      </c>
      <c r="D171" s="249" t="str">
        <f>IF(preDEL!$AG171,IFERROR(0/0,""),preDEL!D171)</f>
        <v/>
      </c>
      <c r="E171" s="249" t="str">
        <f>IF(preDEL!$AG171,IFERROR(0/0,""),preDEL!E171)</f>
        <v/>
      </c>
      <c r="F171" s="94" t="str">
        <f>IF(preDEL!$AG171,IFERROR(0/0,""),preDEL!F171)</f>
        <v/>
      </c>
      <c r="G171" s="94" t="str">
        <f>IF(preDEL!$AG171,IFERROR(0/0,""),preDEL!G171)</f>
        <v/>
      </c>
      <c r="H171" s="94" t="str">
        <f>IF(preDEL!$AG171,IFERROR(0/0,""),preDEL!H171)</f>
        <v/>
      </c>
      <c r="I171" s="249" t="str">
        <f>IF(preDEL!$AG171,IFERROR(0/0,""),preDEL!I171)</f>
        <v/>
      </c>
      <c r="J171" s="249" t="str">
        <f>IF(preDEL!$AG171,IFERROR(0/0,""),preDEL!J171)</f>
        <v/>
      </c>
      <c r="K171" s="249" t="str">
        <f>IF(preDEL!$AG171,IFERROR(0/0,""),preDEL!K171)</f>
        <v>Negative</v>
      </c>
      <c r="L171" s="250">
        <f>IF(preDEL!$AG171,IFERROR(0/0,""),preDEL!L171)</f>
        <v>44713</v>
      </c>
      <c r="M171" s="251">
        <f>IF(preDEL!$AG171,IFERROR(0/0,""),preDEL!M171)</f>
        <v>0.3414930556</v>
      </c>
      <c r="N171" s="94" t="str">
        <f>IF(preDEL!$AG171,IFERROR(0/0,""),preDEL!N171)</f>
        <v/>
      </c>
      <c r="O171" s="94" t="str">
        <f>IF(preDEL!$AG171,IFERROR(0/0,""),preDEL!O171)</f>
        <v/>
      </c>
      <c r="P171" s="93" t="b">
        <f>IF(preDEL!$AG171,IFERROR(0/0,""),preDEL!P171)</f>
        <v>0</v>
      </c>
      <c r="Q171" s="93" t="str">
        <f>IF(preDEL!$AG171,IFERROR(0/0,""),preDEL!Q171)</f>
        <v>Result</v>
      </c>
      <c r="R171" s="99" t="b">
        <f>IF(preDEL!$AG171,IFERROR(0/0,""),preDEL!R171)</f>
        <v>0</v>
      </c>
      <c r="S171" s="99">
        <f>IF(preDEL!$AG171,IFERROR(0/0,""),preDEL!S171)</f>
        <v>2</v>
      </c>
      <c r="T171" s="93" t="str">
        <f>IF(preDEL!$AG171,IFERROR(0/0,""),preDEL!T171)</f>
        <v/>
      </c>
      <c r="U171" s="94" t="str">
        <f>IF(preDEL!$AG171,IFERROR(0/0,""),preDEL!U171)</f>
        <v/>
      </c>
      <c r="V171" s="249" t="str">
        <f>IF(preDEL!$AG171,IFERROR(0/0,""),preDEL!V171)</f>
        <v/>
      </c>
      <c r="W171" s="94" t="str">
        <f>IF(preDEL!$AG171,IFERROR(0/0,""),preDEL!W171)</f>
        <v/>
      </c>
      <c r="X171" s="99" t="b">
        <f>IF(preDEL!$AG171,IFERROR(0/0,""),preDEL!X171)</f>
        <v>0</v>
      </c>
      <c r="Y171" s="93" t="str">
        <f>IF(preDEL!$AG171,IFERROR(0/0,""),preDEL!Y171)</f>
        <v/>
      </c>
      <c r="Z171" s="249" t="str">
        <f>IF(preDEL!$AG171,IFERROR(0/0,""),preDEL!Z171)</f>
        <v/>
      </c>
      <c r="AA171" s="93" t="b">
        <f>IF(preDEL!$AG171,IFERROR(0/0,""),preDEL!AA171)</f>
        <v>0</v>
      </c>
      <c r="AB171" s="93" t="str">
        <f>IF(preDEL!$AG171,IFERROR(0/0,""),preDEL!AB171)</f>
        <v/>
      </c>
      <c r="AC171" s="252">
        <f>IF(preDEL!$AG171,IFERROR(0/0,""),preDEL!AC171)</f>
        <v>85</v>
      </c>
      <c r="AD171" s="99" t="str">
        <f>IF(preDEL!$AG171,IFERROR(0/0,""),preDEL!AD171)</f>
        <v/>
      </c>
      <c r="AE171" s="253">
        <f>IF(preDEL!$AG171,IFERROR(0/0,""),preDEL!AE171)</f>
        <v>198.0333333</v>
      </c>
      <c r="AF171" s="93" t="b">
        <f>IF(preDEL!$AG171,IFERROR(0/0,""),preDEL!AF171)</f>
        <v>0</v>
      </c>
      <c r="AG171" s="93" t="b">
        <f>IF(preDEL!$AG171,IFERROR(0/0,""),preDEL!AG171)</f>
        <v>0</v>
      </c>
      <c r="AH171" s="99" t="str">
        <f>IF(preDEL!$AG171,IFERROR(0/0,""),preDEL!AH171)</f>
        <v/>
      </c>
      <c r="AI171" s="249" t="str">
        <f>IF(preDEL!$AG171,IFERROR(0/0,""),preDEL!AI171)</f>
        <v/>
      </c>
      <c r="AJ171" s="94" t="str">
        <f>IF(preDEL!$AG171,IFERROR(0/0,""),preDEL!AJ171)</f>
        <v/>
      </c>
      <c r="AK171" s="249" t="str">
        <f>IF(preDEL!$AG171,IFERROR(0/0,""),preDEL!AK171)</f>
        <v>Negative</v>
      </c>
      <c r="AL171" s="94" t="str">
        <f>IF(preDEL!$AG171,IFERROR(0/0,""),preDEL!AL171)</f>
        <v/>
      </c>
      <c r="AM171" s="94" t="str">
        <f>IF(preDEL!$AG171,IFERROR(0/0,""),preDEL!AM171)</f>
        <v>SpNDHM842569</v>
      </c>
      <c r="AN171" s="94" t="str">
        <f>IF(preDEL!$AG171,IFERROR(0/0,""),preDEL!AN171)</f>
        <v>NDHM945507</v>
      </c>
      <c r="AO171" s="94" t="str">
        <f>IF(preDEL!$AG171,IFERROR(0/0,""),preDEL!AO171)</f>
        <v/>
      </c>
      <c r="AP171" s="94" t="str">
        <f>IF(preDEL!$AG171,IFERROR(0/0,""),preDEL!AP171)</f>
        <v/>
      </c>
      <c r="AQ171" s="94" t="str">
        <f>IF(preDEL!$AG171,IFERROR(0/0,""),preDEL!AQ171)</f>
        <v/>
      </c>
      <c r="AR171" s="94" t="str">
        <f>IF(preDEL!$AG171,IFERROR(0/0,""),preDEL!AR171)</f>
        <v/>
      </c>
      <c r="AS171" s="98"/>
      <c r="BE171" s="254"/>
      <c r="BF171" s="255"/>
      <c r="BG171" s="254"/>
      <c r="BH171" s="255"/>
      <c r="BI171" s="254"/>
      <c r="BJ171" s="254"/>
      <c r="BK171" s="254"/>
      <c r="BL171" s="254"/>
      <c r="BN171" s="7"/>
      <c r="BO171" s="7"/>
      <c r="BP171" s="7"/>
      <c r="BQ171" s="7"/>
      <c r="BR171" s="7"/>
      <c r="BS171" s="7"/>
      <c r="BT171" s="7"/>
    </row>
    <row r="172">
      <c r="A172" s="249" t="str">
        <f>IF(preDEL!$AG172,IFERROR(0/0,""),preDEL!A172)</f>
        <v>AH8860</v>
      </c>
      <c r="B172" s="250">
        <f>IF(preDEL!$AG172,IFERROR(0/0,""),preDEL!B172)</f>
        <v>44713</v>
      </c>
      <c r="C172" s="251">
        <f>IF(preDEL!$AG172,IFERROR(0/0,""),preDEL!C172)</f>
        <v>0.2053125</v>
      </c>
      <c r="D172" s="249" t="str">
        <f>IF(preDEL!$AG172,IFERROR(0/0,""),preDEL!D172)</f>
        <v/>
      </c>
      <c r="E172" s="249" t="str">
        <f>IF(preDEL!$AG172,IFERROR(0/0,""),preDEL!E172)</f>
        <v/>
      </c>
      <c r="F172" s="94" t="str">
        <f>IF(preDEL!$AG172,IFERROR(0/0,""),preDEL!F172)</f>
        <v/>
      </c>
      <c r="G172" s="94" t="str">
        <f>IF(preDEL!$AG172,IFERROR(0/0,""),preDEL!G172)</f>
        <v/>
      </c>
      <c r="H172" s="94" t="str">
        <f>IF(preDEL!$AG172,IFERROR(0/0,""),preDEL!H172)</f>
        <v/>
      </c>
      <c r="I172" s="249" t="str">
        <f>IF(preDEL!$AG172,IFERROR(0/0,""),preDEL!I172)</f>
        <v/>
      </c>
      <c r="J172" s="249" t="str">
        <f>IF(preDEL!$AG172,IFERROR(0/0,""),preDEL!J172)</f>
        <v/>
      </c>
      <c r="K172" s="249" t="str">
        <f>IF(preDEL!$AG172,IFERROR(0/0,""),preDEL!K172)</f>
        <v>Negative</v>
      </c>
      <c r="L172" s="250">
        <f>IF(preDEL!$AG172,IFERROR(0/0,""),preDEL!L172)</f>
        <v>44713</v>
      </c>
      <c r="M172" s="251">
        <f>IF(preDEL!$AG172,IFERROR(0/0,""),preDEL!M172)</f>
        <v>0.3415046296</v>
      </c>
      <c r="N172" s="94" t="str">
        <f>IF(preDEL!$AG172,IFERROR(0/0,""),preDEL!N172)</f>
        <v/>
      </c>
      <c r="O172" s="94" t="str">
        <f>IF(preDEL!$AG172,IFERROR(0/0,""),preDEL!O172)</f>
        <v/>
      </c>
      <c r="P172" s="93" t="b">
        <f>IF(preDEL!$AG172,IFERROR(0/0,""),preDEL!P172)</f>
        <v>0</v>
      </c>
      <c r="Q172" s="93" t="str">
        <f>IF(preDEL!$AG172,IFERROR(0/0,""),preDEL!Q172)</f>
        <v>Result</v>
      </c>
      <c r="R172" s="99" t="b">
        <f>IF(preDEL!$AG172,IFERROR(0/0,""),preDEL!R172)</f>
        <v>1</v>
      </c>
      <c r="S172" s="99">
        <f>IF(preDEL!$AG172,IFERROR(0/0,""),preDEL!S172)</f>
        <v>4</v>
      </c>
      <c r="T172" s="93">
        <f>IF(preDEL!$AG172,IFERROR(0/0,""),preDEL!T172)</f>
        <v>2</v>
      </c>
      <c r="U172" s="94" t="str">
        <f>IF(preDEL!$AG172,IFERROR(0/0,""),preDEL!U172)</f>
        <v/>
      </c>
      <c r="V172" s="249" t="str">
        <f>IF(preDEL!$AG172,IFERROR(0/0,""),preDEL!V172)</f>
        <v/>
      </c>
      <c r="W172" s="94" t="str">
        <f>IF(preDEL!$AG172,IFERROR(0/0,""),preDEL!W172)</f>
        <v/>
      </c>
      <c r="X172" s="99" t="b">
        <f>IF(preDEL!$AG172,IFERROR(0/0,""),preDEL!X172)</f>
        <v>0</v>
      </c>
      <c r="Y172" s="93" t="str">
        <f>IF(preDEL!$AG172,IFERROR(0/0,""),preDEL!Y172)</f>
        <v/>
      </c>
      <c r="Z172" s="249" t="str">
        <f>IF(preDEL!$AG172,IFERROR(0/0,""),preDEL!Z172)</f>
        <v/>
      </c>
      <c r="AA172" s="93" t="b">
        <f>IF(preDEL!$AG172,IFERROR(0/0,""),preDEL!AA172)</f>
        <v>0</v>
      </c>
      <c r="AB172" s="93" t="str">
        <f>IF(preDEL!$AG172,IFERROR(0/0,""),preDEL!AB172)</f>
        <v/>
      </c>
      <c r="AC172" s="252">
        <f>IF(preDEL!$AG172,IFERROR(0/0,""),preDEL!AC172)</f>
        <v>87</v>
      </c>
      <c r="AD172" s="99" t="str">
        <f>IF(preDEL!$AG172,IFERROR(0/0,""),preDEL!AD172)</f>
        <v/>
      </c>
      <c r="AE172" s="253">
        <f>IF(preDEL!$AG172,IFERROR(0/0,""),preDEL!AE172)</f>
        <v>196.1166667</v>
      </c>
      <c r="AF172" s="93" t="b">
        <f>IF(preDEL!$AG172,IFERROR(0/0,""),preDEL!AF172)</f>
        <v>0</v>
      </c>
      <c r="AG172" s="93" t="b">
        <f>IF(preDEL!$AG172,IFERROR(0/0,""),preDEL!AG172)</f>
        <v>0</v>
      </c>
      <c r="AH172" s="99" t="str">
        <f>IF(preDEL!$AG172,IFERROR(0/0,""),preDEL!AH172)</f>
        <v/>
      </c>
      <c r="AI172" s="249" t="str">
        <f>IF(preDEL!$AG172,IFERROR(0/0,""),preDEL!AI172)</f>
        <v/>
      </c>
      <c r="AJ172" s="94" t="str">
        <f>IF(preDEL!$AG172,IFERROR(0/0,""),preDEL!AJ172)</f>
        <v/>
      </c>
      <c r="AK172" s="249" t="str">
        <f>IF(preDEL!$AG172,IFERROR(0/0,""),preDEL!AK172)</f>
        <v>Negative</v>
      </c>
      <c r="AL172" s="94" t="str">
        <f>IF(preDEL!$AG172,IFERROR(0/0,""),preDEL!AL172)</f>
        <v/>
      </c>
      <c r="AM172" s="94" t="str">
        <f>IF(preDEL!$AG172,IFERROR(0/0,""),preDEL!AM172)</f>
        <v>SpNDHM284552</v>
      </c>
      <c r="AN172" s="94" t="str">
        <f>IF(preDEL!$AG172,IFERROR(0/0,""),preDEL!AN172)</f>
        <v>NDHM108068</v>
      </c>
      <c r="AO172" s="94" t="str">
        <f>IF(preDEL!$AG172,IFERROR(0/0,""),preDEL!AO172)</f>
        <v/>
      </c>
      <c r="AP172" s="94" t="str">
        <f>IF(preDEL!$AG172,IFERROR(0/0,""),preDEL!AP172)</f>
        <v/>
      </c>
      <c r="AQ172" s="94" t="str">
        <f>IF(preDEL!$AG172,IFERROR(0/0,""),preDEL!AQ172)</f>
        <v/>
      </c>
      <c r="AR172" s="94" t="str">
        <f>IF(preDEL!$AG172,IFERROR(0/0,""),preDEL!AR172)</f>
        <v/>
      </c>
      <c r="AS172" s="98"/>
      <c r="BE172" s="254"/>
      <c r="BF172" s="255"/>
      <c r="BG172" s="254"/>
      <c r="BH172" s="255"/>
      <c r="BI172" s="254"/>
      <c r="BJ172" s="254"/>
      <c r="BK172" s="254"/>
      <c r="BL172" s="254"/>
      <c r="BN172" s="7"/>
      <c r="BO172" s="7"/>
      <c r="BP172" s="7"/>
      <c r="BQ172" s="7"/>
      <c r="BR172" s="7"/>
      <c r="BS172" s="7"/>
      <c r="BT172" s="7"/>
    </row>
    <row r="173">
      <c r="A173" s="249" t="str">
        <f>IF(preDEL!$AG173,IFERROR(0/0,""),preDEL!A173)</f>
        <v>AH8860</v>
      </c>
      <c r="B173" s="250">
        <f>IF(preDEL!$AG173,IFERROR(0/0,""),preDEL!B173)</f>
        <v>44713</v>
      </c>
      <c r="C173" s="251">
        <f>IF(preDEL!$AG173,IFERROR(0/0,""),preDEL!C173)</f>
        <v>0.2053125</v>
      </c>
      <c r="D173" s="249" t="str">
        <f>IF(preDEL!$AG173,IFERROR(0/0,""),preDEL!D173)</f>
        <v/>
      </c>
      <c r="E173" s="249" t="str">
        <f>IF(preDEL!$AG173,IFERROR(0/0,""),preDEL!E173)</f>
        <v/>
      </c>
      <c r="F173" s="94" t="str">
        <f>IF(preDEL!$AG173,IFERROR(0/0,""),preDEL!F173)</f>
        <v/>
      </c>
      <c r="G173" s="94" t="str">
        <f>IF(preDEL!$AG173,IFERROR(0/0,""),preDEL!G173)</f>
        <v/>
      </c>
      <c r="H173" s="94" t="str">
        <f>IF(preDEL!$AG173,IFERROR(0/0,""),preDEL!H173)</f>
        <v/>
      </c>
      <c r="I173" s="249" t="str">
        <f>IF(preDEL!$AG173,IFERROR(0/0,""),preDEL!I173)</f>
        <v/>
      </c>
      <c r="J173" s="249" t="str">
        <f>IF(preDEL!$AG173,IFERROR(0/0,""),preDEL!J173)</f>
        <v/>
      </c>
      <c r="K173" s="249" t="str">
        <f>IF(preDEL!$AG173,IFERROR(0/0,""),preDEL!K173)</f>
        <v>Negative</v>
      </c>
      <c r="L173" s="250">
        <f>IF(preDEL!$AG173,IFERROR(0/0,""),preDEL!L173)</f>
        <v>44713</v>
      </c>
      <c r="M173" s="251">
        <f>IF(preDEL!$AG173,IFERROR(0/0,""),preDEL!M173)</f>
        <v>0.3415046296</v>
      </c>
      <c r="N173" s="94" t="str">
        <f>IF(preDEL!$AG173,IFERROR(0/0,""),preDEL!N173)</f>
        <v/>
      </c>
      <c r="O173" s="94" t="str">
        <f>IF(preDEL!$AG173,IFERROR(0/0,""),preDEL!O173)</f>
        <v/>
      </c>
      <c r="P173" s="93" t="b">
        <f>IF(preDEL!$AG173,IFERROR(0/0,""),preDEL!P173)</f>
        <v>0</v>
      </c>
      <c r="Q173" s="93" t="str">
        <f>IF(preDEL!$AG173,IFERROR(0/0,""),preDEL!Q173)</f>
        <v>Result</v>
      </c>
      <c r="R173" s="99" t="b">
        <f>IF(preDEL!$AG173,IFERROR(0/0,""),preDEL!R173)</f>
        <v>0</v>
      </c>
      <c r="S173" s="99">
        <f>IF(preDEL!$AG173,IFERROR(0/0,""),preDEL!S173)</f>
        <v>4</v>
      </c>
      <c r="T173" s="93">
        <f>IF(preDEL!$AG173,IFERROR(0/0,""),preDEL!T173)</f>
        <v>2</v>
      </c>
      <c r="U173" s="94" t="str">
        <f>IF(preDEL!$AG173,IFERROR(0/0,""),preDEL!U173)</f>
        <v/>
      </c>
      <c r="V173" s="249" t="str">
        <f>IF(preDEL!$AG173,IFERROR(0/0,""),preDEL!V173)</f>
        <v/>
      </c>
      <c r="W173" s="94" t="str">
        <f>IF(preDEL!$AG173,IFERROR(0/0,""),preDEL!W173)</f>
        <v/>
      </c>
      <c r="X173" s="99" t="b">
        <f>IF(preDEL!$AG173,IFERROR(0/0,""),preDEL!X173)</f>
        <v>0</v>
      </c>
      <c r="Y173" s="93" t="str">
        <f>IF(preDEL!$AG173,IFERROR(0/0,""),preDEL!Y173)</f>
        <v/>
      </c>
      <c r="Z173" s="249" t="str">
        <f>IF(preDEL!$AG173,IFERROR(0/0,""),preDEL!Z173)</f>
        <v/>
      </c>
      <c r="AA173" s="93" t="b">
        <f>IF(preDEL!$AG173,IFERROR(0/0,""),preDEL!AA173)</f>
        <v>0</v>
      </c>
      <c r="AB173" s="93" t="str">
        <f>IF(preDEL!$AG173,IFERROR(0/0,""),preDEL!AB173)</f>
        <v/>
      </c>
      <c r="AC173" s="252">
        <f>IF(preDEL!$AG173,IFERROR(0/0,""),preDEL!AC173)</f>
        <v>88</v>
      </c>
      <c r="AD173" s="99" t="str">
        <f>IF(preDEL!$AG173,IFERROR(0/0,""),preDEL!AD173)</f>
        <v/>
      </c>
      <c r="AE173" s="253">
        <f>IF(preDEL!$AG173,IFERROR(0/0,""),preDEL!AE173)</f>
        <v>196.1166667</v>
      </c>
      <c r="AF173" s="93" t="b">
        <f>IF(preDEL!$AG173,IFERROR(0/0,""),preDEL!AF173)</f>
        <v>0</v>
      </c>
      <c r="AG173" s="93" t="b">
        <f>IF(preDEL!$AG173,IFERROR(0/0,""),preDEL!AG173)</f>
        <v>0</v>
      </c>
      <c r="AH173" s="99" t="str">
        <f>IF(preDEL!$AG173,IFERROR(0/0,""),preDEL!AH173)</f>
        <v/>
      </c>
      <c r="AI173" s="249" t="str">
        <f>IF(preDEL!$AG173,IFERROR(0/0,""),preDEL!AI173)</f>
        <v/>
      </c>
      <c r="AJ173" s="94" t="str">
        <f>IF(preDEL!$AG173,IFERROR(0/0,""),preDEL!AJ173)</f>
        <v/>
      </c>
      <c r="AK173" s="249" t="str">
        <f>IF(preDEL!$AG173,IFERROR(0/0,""),preDEL!AK173)</f>
        <v>Negative</v>
      </c>
      <c r="AL173" s="94" t="str">
        <f>IF(preDEL!$AG173,IFERROR(0/0,""),preDEL!AL173)</f>
        <v/>
      </c>
      <c r="AM173" s="94" t="str">
        <f>IF(preDEL!$AG173,IFERROR(0/0,""),preDEL!AM173)</f>
        <v>SpNDHM284552</v>
      </c>
      <c r="AN173" s="94" t="str">
        <f>IF(preDEL!$AG173,IFERROR(0/0,""),preDEL!AN173)</f>
        <v>NDHM114675</v>
      </c>
      <c r="AO173" s="94" t="str">
        <f>IF(preDEL!$AG173,IFERROR(0/0,""),preDEL!AO173)</f>
        <v/>
      </c>
      <c r="AP173" s="94" t="str">
        <f>IF(preDEL!$AG173,IFERROR(0/0,""),preDEL!AP173)</f>
        <v/>
      </c>
      <c r="AQ173" s="94" t="str">
        <f>IF(preDEL!$AG173,IFERROR(0/0,""),preDEL!AQ173)</f>
        <v/>
      </c>
      <c r="AR173" s="94" t="str">
        <f>IF(preDEL!$AG173,IFERROR(0/0,""),preDEL!AR173)</f>
        <v/>
      </c>
      <c r="AS173" s="98"/>
      <c r="BE173" s="254"/>
      <c r="BF173" s="255"/>
      <c r="BG173" s="254"/>
      <c r="BH173" s="255"/>
      <c r="BI173" s="254"/>
      <c r="BJ173" s="254"/>
      <c r="BK173" s="254"/>
      <c r="BL173" s="254"/>
      <c r="BN173" s="7"/>
      <c r="BO173" s="7"/>
      <c r="BP173" s="7"/>
      <c r="BQ173" s="7"/>
      <c r="BR173" s="7"/>
      <c r="BS173" s="7"/>
      <c r="BT173" s="7"/>
    </row>
    <row r="174">
      <c r="A174" s="249" t="str">
        <f>IF(preDEL!$AG174,IFERROR(0/0,""),preDEL!A174)</f>
        <v>AH8860</v>
      </c>
      <c r="B174" s="250">
        <f>IF(preDEL!$AG174,IFERROR(0/0,""),preDEL!B174)</f>
        <v>44713</v>
      </c>
      <c r="C174" s="251">
        <f>IF(preDEL!$AG174,IFERROR(0/0,""),preDEL!C174)</f>
        <v>0.2053125</v>
      </c>
      <c r="D174" s="249" t="str">
        <f>IF(preDEL!$AG174,IFERROR(0/0,""),preDEL!D174)</f>
        <v/>
      </c>
      <c r="E174" s="249" t="str">
        <f>IF(preDEL!$AG174,IFERROR(0/0,""),preDEL!E174)</f>
        <v/>
      </c>
      <c r="F174" s="94" t="str">
        <f>IF(preDEL!$AG174,IFERROR(0/0,""),preDEL!F174)</f>
        <v/>
      </c>
      <c r="G174" s="94" t="str">
        <f>IF(preDEL!$AG174,IFERROR(0/0,""),preDEL!G174)</f>
        <v/>
      </c>
      <c r="H174" s="94" t="str">
        <f>IF(preDEL!$AG174,IFERROR(0/0,""),preDEL!H174)</f>
        <v/>
      </c>
      <c r="I174" s="249" t="str">
        <f>IF(preDEL!$AG174,IFERROR(0/0,""),preDEL!I174)</f>
        <v/>
      </c>
      <c r="J174" s="249" t="str">
        <f>IF(preDEL!$AG174,IFERROR(0/0,""),preDEL!J174)</f>
        <v/>
      </c>
      <c r="K174" s="249" t="str">
        <f>IF(preDEL!$AG174,IFERROR(0/0,""),preDEL!K174)</f>
        <v>Negative</v>
      </c>
      <c r="L174" s="250">
        <f>IF(preDEL!$AG174,IFERROR(0/0,""),preDEL!L174)</f>
        <v>44713</v>
      </c>
      <c r="M174" s="251">
        <f>IF(preDEL!$AG174,IFERROR(0/0,""),preDEL!M174)</f>
        <v>0.3415046296</v>
      </c>
      <c r="N174" s="94" t="str">
        <f>IF(preDEL!$AG174,IFERROR(0/0,""),preDEL!N174)</f>
        <v/>
      </c>
      <c r="O174" s="94" t="str">
        <f>IF(preDEL!$AG174,IFERROR(0/0,""),preDEL!O174)</f>
        <v/>
      </c>
      <c r="P174" s="93" t="b">
        <f>IF(preDEL!$AG174,IFERROR(0/0,""),preDEL!P174)</f>
        <v>0</v>
      </c>
      <c r="Q174" s="93" t="str">
        <f>IF(preDEL!$AG174,IFERROR(0/0,""),preDEL!Q174)</f>
        <v>Result</v>
      </c>
      <c r="R174" s="99" t="b">
        <f>IF(preDEL!$AG174,IFERROR(0/0,""),preDEL!R174)</f>
        <v>0</v>
      </c>
      <c r="S174" s="99">
        <f>IF(preDEL!$AG174,IFERROR(0/0,""),preDEL!S174)</f>
        <v>4</v>
      </c>
      <c r="T174" s="93">
        <f>IF(preDEL!$AG174,IFERROR(0/0,""),preDEL!T174)</f>
        <v>2</v>
      </c>
      <c r="U174" s="94" t="str">
        <f>IF(preDEL!$AG174,IFERROR(0/0,""),preDEL!U174)</f>
        <v/>
      </c>
      <c r="V174" s="249" t="str">
        <f>IF(preDEL!$AG174,IFERROR(0/0,""),preDEL!V174)</f>
        <v/>
      </c>
      <c r="W174" s="94" t="str">
        <f>IF(preDEL!$AG174,IFERROR(0/0,""),preDEL!W174)</f>
        <v/>
      </c>
      <c r="X174" s="99" t="b">
        <f>IF(preDEL!$AG174,IFERROR(0/0,""),preDEL!X174)</f>
        <v>0</v>
      </c>
      <c r="Y174" s="93" t="str">
        <f>IF(preDEL!$AG174,IFERROR(0/0,""),preDEL!Y174)</f>
        <v/>
      </c>
      <c r="Z174" s="249" t="str">
        <f>IF(preDEL!$AG174,IFERROR(0/0,""),preDEL!Z174)</f>
        <v/>
      </c>
      <c r="AA174" s="93" t="b">
        <f>IF(preDEL!$AG174,IFERROR(0/0,""),preDEL!AA174)</f>
        <v>0</v>
      </c>
      <c r="AB174" s="93" t="str">
        <f>IF(preDEL!$AG174,IFERROR(0/0,""),preDEL!AB174)</f>
        <v/>
      </c>
      <c r="AC174" s="252">
        <f>IF(preDEL!$AG174,IFERROR(0/0,""),preDEL!AC174)</f>
        <v>87</v>
      </c>
      <c r="AD174" s="99" t="str">
        <f>IF(preDEL!$AG174,IFERROR(0/0,""),preDEL!AD174)</f>
        <v/>
      </c>
      <c r="AE174" s="253">
        <f>IF(preDEL!$AG174,IFERROR(0/0,""),preDEL!AE174)</f>
        <v>196.1166667</v>
      </c>
      <c r="AF174" s="93" t="b">
        <f>IF(preDEL!$AG174,IFERROR(0/0,""),preDEL!AF174)</f>
        <v>0</v>
      </c>
      <c r="AG174" s="93" t="b">
        <f>IF(preDEL!$AG174,IFERROR(0/0,""),preDEL!AG174)</f>
        <v>0</v>
      </c>
      <c r="AH174" s="99" t="str">
        <f>IF(preDEL!$AG174,IFERROR(0/0,""),preDEL!AH174)</f>
        <v/>
      </c>
      <c r="AI174" s="249" t="str">
        <f>IF(preDEL!$AG174,IFERROR(0/0,""),preDEL!AI174)</f>
        <v/>
      </c>
      <c r="AJ174" s="94" t="str">
        <f>IF(preDEL!$AG174,IFERROR(0/0,""),preDEL!AJ174)</f>
        <v/>
      </c>
      <c r="AK174" s="249" t="str">
        <f>IF(preDEL!$AG174,IFERROR(0/0,""),preDEL!AK174)</f>
        <v>Negative</v>
      </c>
      <c r="AL174" s="94" t="str">
        <f>IF(preDEL!$AG174,IFERROR(0/0,""),preDEL!AL174)</f>
        <v/>
      </c>
      <c r="AM174" s="94" t="str">
        <f>IF(preDEL!$AG174,IFERROR(0/0,""),preDEL!AM174)</f>
        <v>SpNDHM284552</v>
      </c>
      <c r="AN174" s="94" t="str">
        <f>IF(preDEL!$AG174,IFERROR(0/0,""),preDEL!AN174)</f>
        <v>NDHM894346</v>
      </c>
      <c r="AO174" s="94" t="str">
        <f>IF(preDEL!$AG174,IFERROR(0/0,""),preDEL!AO174)</f>
        <v/>
      </c>
      <c r="AP174" s="94" t="str">
        <f>IF(preDEL!$AG174,IFERROR(0/0,""),preDEL!AP174)</f>
        <v/>
      </c>
      <c r="AQ174" s="94" t="str">
        <f>IF(preDEL!$AG174,IFERROR(0/0,""),preDEL!AQ174)</f>
        <v/>
      </c>
      <c r="AR174" s="94" t="str">
        <f>IF(preDEL!$AG174,IFERROR(0/0,""),preDEL!AR174)</f>
        <v/>
      </c>
      <c r="AS174" s="98"/>
      <c r="BE174" s="254"/>
      <c r="BF174" s="255"/>
      <c r="BG174" s="254"/>
      <c r="BH174" s="255"/>
      <c r="BI174" s="254"/>
      <c r="BJ174" s="254"/>
      <c r="BK174" s="254"/>
      <c r="BL174" s="254"/>
      <c r="BN174" s="7"/>
      <c r="BO174" s="7"/>
      <c r="BP174" s="7"/>
      <c r="BQ174" s="7"/>
      <c r="BR174" s="7"/>
      <c r="BS174" s="7"/>
      <c r="BT174" s="7"/>
    </row>
    <row r="175">
      <c r="A175" s="249" t="str">
        <f>IF(preDEL!$AG175,IFERROR(0/0,""),preDEL!A175)</f>
        <v>AH8860</v>
      </c>
      <c r="B175" s="250">
        <f>IF(preDEL!$AG175,IFERROR(0/0,""),preDEL!B175)</f>
        <v>44713</v>
      </c>
      <c r="C175" s="251">
        <f>IF(preDEL!$AG175,IFERROR(0/0,""),preDEL!C175)</f>
        <v>0.2053125</v>
      </c>
      <c r="D175" s="249" t="str">
        <f>IF(preDEL!$AG175,IFERROR(0/0,""),preDEL!D175)</f>
        <v/>
      </c>
      <c r="E175" s="249" t="str">
        <f>IF(preDEL!$AG175,IFERROR(0/0,""),preDEL!E175)</f>
        <v/>
      </c>
      <c r="F175" s="94" t="str">
        <f>IF(preDEL!$AG175,IFERROR(0/0,""),preDEL!F175)</f>
        <v/>
      </c>
      <c r="G175" s="94" t="str">
        <f>IF(preDEL!$AG175,IFERROR(0/0,""),preDEL!G175)</f>
        <v/>
      </c>
      <c r="H175" s="94" t="str">
        <f>IF(preDEL!$AG175,IFERROR(0/0,""),preDEL!H175)</f>
        <v/>
      </c>
      <c r="I175" s="249" t="str">
        <f>IF(preDEL!$AG175,IFERROR(0/0,""),preDEL!I175)</f>
        <v/>
      </c>
      <c r="J175" s="249" t="str">
        <f>IF(preDEL!$AG175,IFERROR(0/0,""),preDEL!J175)</f>
        <v/>
      </c>
      <c r="K175" s="249" t="str">
        <f>IF(preDEL!$AG175,IFERROR(0/0,""),preDEL!K175)</f>
        <v>Negative</v>
      </c>
      <c r="L175" s="250">
        <f>IF(preDEL!$AG175,IFERROR(0/0,""),preDEL!L175)</f>
        <v>44713</v>
      </c>
      <c r="M175" s="251">
        <f>IF(preDEL!$AG175,IFERROR(0/0,""),preDEL!M175)</f>
        <v>0.3415046296</v>
      </c>
      <c r="N175" s="94" t="str">
        <f>IF(preDEL!$AG175,IFERROR(0/0,""),preDEL!N175)</f>
        <v/>
      </c>
      <c r="O175" s="94" t="str">
        <f>IF(preDEL!$AG175,IFERROR(0/0,""),preDEL!O175)</f>
        <v/>
      </c>
      <c r="P175" s="93" t="b">
        <f>IF(preDEL!$AG175,IFERROR(0/0,""),preDEL!P175)</f>
        <v>0</v>
      </c>
      <c r="Q175" s="93" t="str">
        <f>IF(preDEL!$AG175,IFERROR(0/0,""),preDEL!Q175)</f>
        <v>Result</v>
      </c>
      <c r="R175" s="99" t="b">
        <f>IF(preDEL!$AG175,IFERROR(0/0,""),preDEL!R175)</f>
        <v>0</v>
      </c>
      <c r="S175" s="99">
        <f>IF(preDEL!$AG175,IFERROR(0/0,""),preDEL!S175)</f>
        <v>4</v>
      </c>
      <c r="T175" s="93">
        <f>IF(preDEL!$AG175,IFERROR(0/0,""),preDEL!T175)</f>
        <v>2</v>
      </c>
      <c r="U175" s="94" t="str">
        <f>IF(preDEL!$AG175,IFERROR(0/0,""),preDEL!U175)</f>
        <v/>
      </c>
      <c r="V175" s="249" t="str">
        <f>IF(preDEL!$AG175,IFERROR(0/0,""),preDEL!V175)</f>
        <v/>
      </c>
      <c r="W175" s="94" t="str">
        <f>IF(preDEL!$AG175,IFERROR(0/0,""),preDEL!W175)</f>
        <v/>
      </c>
      <c r="X175" s="99" t="b">
        <f>IF(preDEL!$AG175,IFERROR(0/0,""),preDEL!X175)</f>
        <v>0</v>
      </c>
      <c r="Y175" s="93" t="str">
        <f>IF(preDEL!$AG175,IFERROR(0/0,""),preDEL!Y175)</f>
        <v/>
      </c>
      <c r="Z175" s="249" t="str">
        <f>IF(preDEL!$AG175,IFERROR(0/0,""),preDEL!Z175)</f>
        <v/>
      </c>
      <c r="AA175" s="93" t="b">
        <f>IF(preDEL!$AG175,IFERROR(0/0,""),preDEL!AA175)</f>
        <v>0</v>
      </c>
      <c r="AB175" s="93" t="str">
        <f>IF(preDEL!$AG175,IFERROR(0/0,""),preDEL!AB175)</f>
        <v/>
      </c>
      <c r="AC175" s="252">
        <f>IF(preDEL!$AG175,IFERROR(0/0,""),preDEL!AC175)</f>
        <v>88</v>
      </c>
      <c r="AD175" s="99" t="str">
        <f>IF(preDEL!$AG175,IFERROR(0/0,""),preDEL!AD175)</f>
        <v/>
      </c>
      <c r="AE175" s="253">
        <f>IF(preDEL!$AG175,IFERROR(0/0,""),preDEL!AE175)</f>
        <v>196.1166667</v>
      </c>
      <c r="AF175" s="93" t="b">
        <f>IF(preDEL!$AG175,IFERROR(0/0,""),preDEL!AF175)</f>
        <v>0</v>
      </c>
      <c r="AG175" s="93" t="b">
        <f>IF(preDEL!$AG175,IFERROR(0/0,""),preDEL!AG175)</f>
        <v>0</v>
      </c>
      <c r="AH175" s="99" t="str">
        <f>IF(preDEL!$AG175,IFERROR(0/0,""),preDEL!AH175)</f>
        <v/>
      </c>
      <c r="AI175" s="249" t="str">
        <f>IF(preDEL!$AG175,IFERROR(0/0,""),preDEL!AI175)</f>
        <v/>
      </c>
      <c r="AJ175" s="94" t="str">
        <f>IF(preDEL!$AG175,IFERROR(0/0,""),preDEL!AJ175)</f>
        <v/>
      </c>
      <c r="AK175" s="249" t="str">
        <f>IF(preDEL!$AG175,IFERROR(0/0,""),preDEL!AK175)</f>
        <v>Negative</v>
      </c>
      <c r="AL175" s="94" t="str">
        <f>IF(preDEL!$AG175,IFERROR(0/0,""),preDEL!AL175)</f>
        <v/>
      </c>
      <c r="AM175" s="94" t="str">
        <f>IF(preDEL!$AG175,IFERROR(0/0,""),preDEL!AM175)</f>
        <v>SpNDHM284552</v>
      </c>
      <c r="AN175" s="94" t="str">
        <f>IF(preDEL!$AG175,IFERROR(0/0,""),preDEL!AN175)</f>
        <v>NDHM142305</v>
      </c>
      <c r="AO175" s="94" t="str">
        <f>IF(preDEL!$AG175,IFERROR(0/0,""),preDEL!AO175)</f>
        <v/>
      </c>
      <c r="AP175" s="94" t="str">
        <f>IF(preDEL!$AG175,IFERROR(0/0,""),preDEL!AP175)</f>
        <v/>
      </c>
      <c r="AQ175" s="94" t="str">
        <f>IF(preDEL!$AG175,IFERROR(0/0,""),preDEL!AQ175)</f>
        <v/>
      </c>
      <c r="AR175" s="94" t="str">
        <f>IF(preDEL!$AG175,IFERROR(0/0,""),preDEL!AR175)</f>
        <v/>
      </c>
      <c r="AS175" s="98"/>
      <c r="BE175" s="254"/>
      <c r="BF175" s="255"/>
      <c r="BG175" s="254"/>
      <c r="BH175" s="255"/>
      <c r="BI175" s="254"/>
      <c r="BJ175" s="254"/>
      <c r="BK175" s="254"/>
      <c r="BL175" s="254"/>
      <c r="BN175" s="7"/>
      <c r="BO175" s="7"/>
      <c r="BP175" s="7"/>
      <c r="BQ175" s="7"/>
      <c r="BR175" s="7"/>
      <c r="BS175" s="7"/>
      <c r="BT175" s="7"/>
    </row>
    <row r="176">
      <c r="A176" s="249" t="str">
        <f>IF(preDEL!$AG176,IFERROR(0/0,""),preDEL!A176)</f>
        <v>AG2246</v>
      </c>
      <c r="B176" s="250">
        <f>IF(preDEL!$AG176,IFERROR(0/0,""),preDEL!B176)</f>
        <v>44713</v>
      </c>
      <c r="C176" s="251">
        <f>IF(preDEL!$AG176,IFERROR(0/0,""),preDEL!C176)</f>
        <v>0.208599537</v>
      </c>
      <c r="D176" s="249" t="str">
        <f>IF(preDEL!$AG176,IFERROR(0/0,""),preDEL!D176)</f>
        <v/>
      </c>
      <c r="E176" s="249" t="str">
        <f>IF(preDEL!$AG176,IFERROR(0/0,""),preDEL!E176)</f>
        <v/>
      </c>
      <c r="F176" s="94" t="str">
        <f>IF(preDEL!$AG176,IFERROR(0/0,""),preDEL!F176)</f>
        <v/>
      </c>
      <c r="G176" s="94" t="str">
        <f>IF(preDEL!$AG176,IFERROR(0/0,""),preDEL!G176)</f>
        <v/>
      </c>
      <c r="H176" s="94" t="str">
        <f>IF(preDEL!$AG176,IFERROR(0/0,""),preDEL!H176)</f>
        <v/>
      </c>
      <c r="I176" s="249" t="str">
        <f>IF(preDEL!$AG176,IFERROR(0/0,""),preDEL!I176)</f>
        <v/>
      </c>
      <c r="J176" s="249" t="str">
        <f>IF(preDEL!$AG176,IFERROR(0/0,""),preDEL!J176)</f>
        <v/>
      </c>
      <c r="K176" s="249" t="str">
        <f>IF(preDEL!$AG176,IFERROR(0/0,""),preDEL!K176)</f>
        <v>Negative</v>
      </c>
      <c r="L176" s="250">
        <f>IF(preDEL!$AG176,IFERROR(0/0,""),preDEL!L176)</f>
        <v>44713</v>
      </c>
      <c r="M176" s="251">
        <f>IF(preDEL!$AG176,IFERROR(0/0,""),preDEL!M176)</f>
        <v>0.3415046296</v>
      </c>
      <c r="N176" s="94" t="str">
        <f>IF(preDEL!$AG176,IFERROR(0/0,""),preDEL!N176)</f>
        <v/>
      </c>
      <c r="O176" s="94" t="str">
        <f>IF(preDEL!$AG176,IFERROR(0/0,""),preDEL!O176)</f>
        <v/>
      </c>
      <c r="P176" s="93" t="b">
        <f>IF(preDEL!$AG176,IFERROR(0/0,""),preDEL!P176)</f>
        <v>0</v>
      </c>
      <c r="Q176" s="93" t="str">
        <f>IF(preDEL!$AG176,IFERROR(0/0,""),preDEL!Q176)</f>
        <v>Result</v>
      </c>
      <c r="R176" s="99" t="b">
        <f>IF(preDEL!$AG176,IFERROR(0/0,""),preDEL!R176)</f>
        <v>1</v>
      </c>
      <c r="S176" s="99">
        <f>IF(preDEL!$AG176,IFERROR(0/0,""),preDEL!S176)</f>
        <v>3</v>
      </c>
      <c r="T176" s="93" t="str">
        <f>IF(preDEL!$AG176,IFERROR(0/0,""),preDEL!T176)</f>
        <v/>
      </c>
      <c r="U176" s="94" t="str">
        <f>IF(preDEL!$AG176,IFERROR(0/0,""),preDEL!U176)</f>
        <v/>
      </c>
      <c r="V176" s="249" t="str">
        <f>IF(preDEL!$AG176,IFERROR(0/0,""),preDEL!V176)</f>
        <v/>
      </c>
      <c r="W176" s="94" t="str">
        <f>IF(preDEL!$AG176,IFERROR(0/0,""),preDEL!W176)</f>
        <v/>
      </c>
      <c r="X176" s="99" t="b">
        <f>IF(preDEL!$AG176,IFERROR(0/0,""),preDEL!X176)</f>
        <v>0</v>
      </c>
      <c r="Y176" s="93" t="str">
        <f>IF(preDEL!$AG176,IFERROR(0/0,""),preDEL!Y176)</f>
        <v/>
      </c>
      <c r="Z176" s="249" t="str">
        <f>IF(preDEL!$AG176,IFERROR(0/0,""),preDEL!Z176)</f>
        <v/>
      </c>
      <c r="AA176" s="93" t="b">
        <f>IF(preDEL!$AG176,IFERROR(0/0,""),preDEL!AA176)</f>
        <v>0</v>
      </c>
      <c r="AB176" s="93" t="str">
        <f>IF(preDEL!$AG176,IFERROR(0/0,""),preDEL!AB176)</f>
        <v/>
      </c>
      <c r="AC176" s="252">
        <f>IF(preDEL!$AG176,IFERROR(0/0,""),preDEL!AC176)</f>
        <v>90</v>
      </c>
      <c r="AD176" s="99" t="str">
        <f>IF(preDEL!$AG176,IFERROR(0/0,""),preDEL!AD176)</f>
        <v/>
      </c>
      <c r="AE176" s="253">
        <f>IF(preDEL!$AG176,IFERROR(0/0,""),preDEL!AE176)</f>
        <v>191.3833333</v>
      </c>
      <c r="AF176" s="93" t="b">
        <f>IF(preDEL!$AG176,IFERROR(0/0,""),preDEL!AF176)</f>
        <v>0</v>
      </c>
      <c r="AG176" s="93" t="b">
        <f>IF(preDEL!$AG176,IFERROR(0/0,""),preDEL!AG176)</f>
        <v>0</v>
      </c>
      <c r="AH176" s="99" t="str">
        <f>IF(preDEL!$AG176,IFERROR(0/0,""),preDEL!AH176)</f>
        <v/>
      </c>
      <c r="AI176" s="249" t="str">
        <f>IF(preDEL!$AG176,IFERROR(0/0,""),preDEL!AI176)</f>
        <v/>
      </c>
      <c r="AJ176" s="94" t="str">
        <f>IF(preDEL!$AG176,IFERROR(0/0,""),preDEL!AJ176)</f>
        <v/>
      </c>
      <c r="AK176" s="249" t="str">
        <f>IF(preDEL!$AG176,IFERROR(0/0,""),preDEL!AK176)</f>
        <v>Negative</v>
      </c>
      <c r="AL176" s="94" t="str">
        <f>IF(preDEL!$AG176,IFERROR(0/0,""),preDEL!AL176)</f>
        <v/>
      </c>
      <c r="AM176" s="94" t="str">
        <f>IF(preDEL!$AG176,IFERROR(0/0,""),preDEL!AM176)</f>
        <v>SpNDHM957722</v>
      </c>
      <c r="AN176" s="94" t="str">
        <f>IF(preDEL!$AG176,IFERROR(0/0,""),preDEL!AN176)</f>
        <v>NDHM784418</v>
      </c>
      <c r="AO176" s="94" t="str">
        <f>IF(preDEL!$AG176,IFERROR(0/0,""),preDEL!AO176)</f>
        <v/>
      </c>
      <c r="AP176" s="94" t="str">
        <f>IF(preDEL!$AG176,IFERROR(0/0,""),preDEL!AP176)</f>
        <v/>
      </c>
      <c r="AQ176" s="94" t="str">
        <f>IF(preDEL!$AG176,IFERROR(0/0,""),preDEL!AQ176)</f>
        <v/>
      </c>
      <c r="AR176" s="94" t="str">
        <f>IF(preDEL!$AG176,IFERROR(0/0,""),preDEL!AR176)</f>
        <v/>
      </c>
      <c r="AS176" s="98"/>
      <c r="BE176" s="254"/>
      <c r="BF176" s="255"/>
      <c r="BG176" s="254"/>
      <c r="BH176" s="255"/>
      <c r="BI176" s="254"/>
      <c r="BJ176" s="254"/>
      <c r="BK176" s="254"/>
      <c r="BL176" s="254"/>
      <c r="BN176" s="7"/>
      <c r="BO176" s="7"/>
      <c r="BP176" s="7"/>
      <c r="BQ176" s="7"/>
      <c r="BR176" s="7"/>
      <c r="BS176" s="7"/>
      <c r="BT176" s="7"/>
    </row>
    <row r="177">
      <c r="A177" s="249" t="str">
        <f>IF(preDEL!$AG177,IFERROR(0/0,""),preDEL!A177)</f>
        <v>AG2246</v>
      </c>
      <c r="B177" s="250">
        <f>IF(preDEL!$AG177,IFERROR(0/0,""),preDEL!B177)</f>
        <v>44713</v>
      </c>
      <c r="C177" s="251">
        <f>IF(preDEL!$AG177,IFERROR(0/0,""),preDEL!C177)</f>
        <v>0.208599537</v>
      </c>
      <c r="D177" s="249" t="str">
        <f>IF(preDEL!$AG177,IFERROR(0/0,""),preDEL!D177)</f>
        <v/>
      </c>
      <c r="E177" s="249" t="str">
        <f>IF(preDEL!$AG177,IFERROR(0/0,""),preDEL!E177)</f>
        <v/>
      </c>
      <c r="F177" s="94" t="str">
        <f>IF(preDEL!$AG177,IFERROR(0/0,""),preDEL!F177)</f>
        <v/>
      </c>
      <c r="G177" s="94" t="str">
        <f>IF(preDEL!$AG177,IFERROR(0/0,""),preDEL!G177)</f>
        <v/>
      </c>
      <c r="H177" s="94" t="str">
        <f>IF(preDEL!$AG177,IFERROR(0/0,""),preDEL!H177)</f>
        <v/>
      </c>
      <c r="I177" s="249" t="str">
        <f>IF(preDEL!$AG177,IFERROR(0/0,""),preDEL!I177)</f>
        <v/>
      </c>
      <c r="J177" s="249" t="str">
        <f>IF(preDEL!$AG177,IFERROR(0/0,""),preDEL!J177)</f>
        <v/>
      </c>
      <c r="K177" s="249" t="str">
        <f>IF(preDEL!$AG177,IFERROR(0/0,""),preDEL!K177)</f>
        <v>Negative</v>
      </c>
      <c r="L177" s="250">
        <f>IF(preDEL!$AG177,IFERROR(0/0,""),preDEL!L177)</f>
        <v>44713</v>
      </c>
      <c r="M177" s="251">
        <f>IF(preDEL!$AG177,IFERROR(0/0,""),preDEL!M177)</f>
        <v>0.3415046296</v>
      </c>
      <c r="N177" s="94" t="str">
        <f>IF(preDEL!$AG177,IFERROR(0/0,""),preDEL!N177)</f>
        <v/>
      </c>
      <c r="O177" s="94" t="str">
        <f>IF(preDEL!$AG177,IFERROR(0/0,""),preDEL!O177)</f>
        <v/>
      </c>
      <c r="P177" s="93" t="b">
        <f>IF(preDEL!$AG177,IFERROR(0/0,""),preDEL!P177)</f>
        <v>0</v>
      </c>
      <c r="Q177" s="93" t="str">
        <f>IF(preDEL!$AG177,IFERROR(0/0,""),preDEL!Q177)</f>
        <v>Result</v>
      </c>
      <c r="R177" s="99" t="b">
        <f>IF(preDEL!$AG177,IFERROR(0/0,""),preDEL!R177)</f>
        <v>0</v>
      </c>
      <c r="S177" s="99">
        <f>IF(preDEL!$AG177,IFERROR(0/0,""),preDEL!S177)</f>
        <v>3</v>
      </c>
      <c r="T177" s="93" t="str">
        <f>IF(preDEL!$AG177,IFERROR(0/0,""),preDEL!T177)</f>
        <v/>
      </c>
      <c r="U177" s="94" t="str">
        <f>IF(preDEL!$AG177,IFERROR(0/0,""),preDEL!U177)</f>
        <v/>
      </c>
      <c r="V177" s="249" t="str">
        <f>IF(preDEL!$AG177,IFERROR(0/0,""),preDEL!V177)</f>
        <v/>
      </c>
      <c r="W177" s="94" t="str">
        <f>IF(preDEL!$AG177,IFERROR(0/0,""),preDEL!W177)</f>
        <v/>
      </c>
      <c r="X177" s="99" t="b">
        <f>IF(preDEL!$AG177,IFERROR(0/0,""),preDEL!X177)</f>
        <v>0</v>
      </c>
      <c r="Y177" s="93" t="str">
        <f>IF(preDEL!$AG177,IFERROR(0/0,""),preDEL!Y177)</f>
        <v/>
      </c>
      <c r="Z177" s="249" t="str">
        <f>IF(preDEL!$AG177,IFERROR(0/0,""),preDEL!Z177)</f>
        <v/>
      </c>
      <c r="AA177" s="93" t="b">
        <f>IF(preDEL!$AG177,IFERROR(0/0,""),preDEL!AA177)</f>
        <v>0</v>
      </c>
      <c r="AB177" s="93" t="str">
        <f>IF(preDEL!$AG177,IFERROR(0/0,""),preDEL!AB177)</f>
        <v/>
      </c>
      <c r="AC177" s="252">
        <f>IF(preDEL!$AG177,IFERROR(0/0,""),preDEL!AC177)</f>
        <v>89</v>
      </c>
      <c r="AD177" s="99" t="str">
        <f>IF(preDEL!$AG177,IFERROR(0/0,""),preDEL!AD177)</f>
        <v/>
      </c>
      <c r="AE177" s="253">
        <f>IF(preDEL!$AG177,IFERROR(0/0,""),preDEL!AE177)</f>
        <v>191.3833333</v>
      </c>
      <c r="AF177" s="93" t="b">
        <f>IF(preDEL!$AG177,IFERROR(0/0,""),preDEL!AF177)</f>
        <v>0</v>
      </c>
      <c r="AG177" s="93" t="b">
        <f>IF(preDEL!$AG177,IFERROR(0/0,""),preDEL!AG177)</f>
        <v>0</v>
      </c>
      <c r="AH177" s="99" t="str">
        <f>IF(preDEL!$AG177,IFERROR(0/0,""),preDEL!AH177)</f>
        <v/>
      </c>
      <c r="AI177" s="249" t="str">
        <f>IF(preDEL!$AG177,IFERROR(0/0,""),preDEL!AI177)</f>
        <v/>
      </c>
      <c r="AJ177" s="94" t="str">
        <f>IF(preDEL!$AG177,IFERROR(0/0,""),preDEL!AJ177)</f>
        <v/>
      </c>
      <c r="AK177" s="249" t="str">
        <f>IF(preDEL!$AG177,IFERROR(0/0,""),preDEL!AK177)</f>
        <v>Negative</v>
      </c>
      <c r="AL177" s="94" t="str">
        <f>IF(preDEL!$AG177,IFERROR(0/0,""),preDEL!AL177)</f>
        <v/>
      </c>
      <c r="AM177" s="94" t="str">
        <f>IF(preDEL!$AG177,IFERROR(0/0,""),preDEL!AM177)</f>
        <v>SpNDHM957722</v>
      </c>
      <c r="AN177" s="94" t="str">
        <f>IF(preDEL!$AG177,IFERROR(0/0,""),preDEL!AN177)</f>
        <v>NDHM730614</v>
      </c>
      <c r="AO177" s="94" t="str">
        <f>IF(preDEL!$AG177,IFERROR(0/0,""),preDEL!AO177)</f>
        <v/>
      </c>
      <c r="AP177" s="94" t="str">
        <f>IF(preDEL!$AG177,IFERROR(0/0,""),preDEL!AP177)</f>
        <v/>
      </c>
      <c r="AQ177" s="94" t="str">
        <f>IF(preDEL!$AG177,IFERROR(0/0,""),preDEL!AQ177)</f>
        <v/>
      </c>
      <c r="AR177" s="94" t="str">
        <f>IF(preDEL!$AG177,IFERROR(0/0,""),preDEL!AR177)</f>
        <v/>
      </c>
      <c r="AS177" s="98"/>
      <c r="BE177" s="254"/>
      <c r="BF177" s="255"/>
      <c r="BG177" s="254"/>
      <c r="BH177" s="255"/>
      <c r="BI177" s="254"/>
      <c r="BJ177" s="254"/>
      <c r="BK177" s="254"/>
      <c r="BL177" s="254"/>
      <c r="BN177" s="7"/>
      <c r="BO177" s="7"/>
      <c r="BP177" s="7"/>
      <c r="BQ177" s="7"/>
      <c r="BR177" s="7"/>
      <c r="BS177" s="7"/>
      <c r="BT177" s="7"/>
    </row>
    <row r="178">
      <c r="A178" s="249" t="str">
        <f>IF(preDEL!$AG178,IFERROR(0/0,""),preDEL!A178)</f>
        <v>AG2246</v>
      </c>
      <c r="B178" s="250">
        <f>IF(preDEL!$AG178,IFERROR(0/0,""),preDEL!B178)</f>
        <v>44713</v>
      </c>
      <c r="C178" s="251">
        <f>IF(preDEL!$AG178,IFERROR(0/0,""),preDEL!C178)</f>
        <v>0.208599537</v>
      </c>
      <c r="D178" s="249" t="str">
        <f>IF(preDEL!$AG178,IFERROR(0/0,""),preDEL!D178)</f>
        <v/>
      </c>
      <c r="E178" s="249" t="str">
        <f>IF(preDEL!$AG178,IFERROR(0/0,""),preDEL!E178)</f>
        <v/>
      </c>
      <c r="F178" s="94" t="str">
        <f>IF(preDEL!$AG178,IFERROR(0/0,""),preDEL!F178)</f>
        <v/>
      </c>
      <c r="G178" s="94" t="str">
        <f>IF(preDEL!$AG178,IFERROR(0/0,""),preDEL!G178)</f>
        <v/>
      </c>
      <c r="H178" s="94" t="str">
        <f>IF(preDEL!$AG178,IFERROR(0/0,""),preDEL!H178)</f>
        <v/>
      </c>
      <c r="I178" s="249" t="str">
        <f>IF(preDEL!$AG178,IFERROR(0/0,""),preDEL!I178)</f>
        <v/>
      </c>
      <c r="J178" s="249" t="str">
        <f>IF(preDEL!$AG178,IFERROR(0/0,""),preDEL!J178)</f>
        <v/>
      </c>
      <c r="K178" s="249" t="str">
        <f>IF(preDEL!$AG178,IFERROR(0/0,""),preDEL!K178)</f>
        <v>Negative</v>
      </c>
      <c r="L178" s="250">
        <f>IF(preDEL!$AG178,IFERROR(0/0,""),preDEL!L178)</f>
        <v>44713</v>
      </c>
      <c r="M178" s="251">
        <f>IF(preDEL!$AG178,IFERROR(0/0,""),preDEL!M178)</f>
        <v>0.3415046296</v>
      </c>
      <c r="N178" s="94" t="str">
        <f>IF(preDEL!$AG178,IFERROR(0/0,""),preDEL!N178)</f>
        <v/>
      </c>
      <c r="O178" s="94" t="str">
        <f>IF(preDEL!$AG178,IFERROR(0/0,""),preDEL!O178)</f>
        <v/>
      </c>
      <c r="P178" s="93" t="b">
        <f>IF(preDEL!$AG178,IFERROR(0/0,""),preDEL!P178)</f>
        <v>0</v>
      </c>
      <c r="Q178" s="93" t="str">
        <f>IF(preDEL!$AG178,IFERROR(0/0,""),preDEL!Q178)</f>
        <v>Result</v>
      </c>
      <c r="R178" s="99" t="b">
        <f>IF(preDEL!$AG178,IFERROR(0/0,""),preDEL!R178)</f>
        <v>0</v>
      </c>
      <c r="S178" s="99">
        <f>IF(preDEL!$AG178,IFERROR(0/0,""),preDEL!S178)</f>
        <v>3</v>
      </c>
      <c r="T178" s="93" t="str">
        <f>IF(preDEL!$AG178,IFERROR(0/0,""),preDEL!T178)</f>
        <v/>
      </c>
      <c r="U178" s="94" t="str">
        <f>IF(preDEL!$AG178,IFERROR(0/0,""),preDEL!U178)</f>
        <v/>
      </c>
      <c r="V178" s="249" t="str">
        <f>IF(preDEL!$AG178,IFERROR(0/0,""),preDEL!V178)</f>
        <v/>
      </c>
      <c r="W178" s="94" t="str">
        <f>IF(preDEL!$AG178,IFERROR(0/0,""),preDEL!W178)</f>
        <v/>
      </c>
      <c r="X178" s="99" t="b">
        <f>IF(preDEL!$AG178,IFERROR(0/0,""),preDEL!X178)</f>
        <v>0</v>
      </c>
      <c r="Y178" s="93" t="str">
        <f>IF(preDEL!$AG178,IFERROR(0/0,""),preDEL!Y178)</f>
        <v/>
      </c>
      <c r="Z178" s="249" t="str">
        <f>IF(preDEL!$AG178,IFERROR(0/0,""),preDEL!Z178)</f>
        <v/>
      </c>
      <c r="AA178" s="93" t="b">
        <f>IF(preDEL!$AG178,IFERROR(0/0,""),preDEL!AA178)</f>
        <v>0</v>
      </c>
      <c r="AB178" s="93" t="str">
        <f>IF(preDEL!$AG178,IFERROR(0/0,""),preDEL!AB178)</f>
        <v/>
      </c>
      <c r="AC178" s="252">
        <f>IF(preDEL!$AG178,IFERROR(0/0,""),preDEL!AC178)</f>
        <v>91</v>
      </c>
      <c r="AD178" s="99" t="str">
        <f>IF(preDEL!$AG178,IFERROR(0/0,""),preDEL!AD178)</f>
        <v/>
      </c>
      <c r="AE178" s="253">
        <f>IF(preDEL!$AG178,IFERROR(0/0,""),preDEL!AE178)</f>
        <v>191.3833333</v>
      </c>
      <c r="AF178" s="93" t="b">
        <f>IF(preDEL!$AG178,IFERROR(0/0,""),preDEL!AF178)</f>
        <v>0</v>
      </c>
      <c r="AG178" s="93" t="b">
        <f>IF(preDEL!$AG178,IFERROR(0/0,""),preDEL!AG178)</f>
        <v>0</v>
      </c>
      <c r="AH178" s="99" t="str">
        <f>IF(preDEL!$AG178,IFERROR(0/0,""),preDEL!AH178)</f>
        <v/>
      </c>
      <c r="AI178" s="249" t="str">
        <f>IF(preDEL!$AG178,IFERROR(0/0,""),preDEL!AI178)</f>
        <v/>
      </c>
      <c r="AJ178" s="94" t="str">
        <f>IF(preDEL!$AG178,IFERROR(0/0,""),preDEL!AJ178)</f>
        <v/>
      </c>
      <c r="AK178" s="249" t="str">
        <f>IF(preDEL!$AG178,IFERROR(0/0,""),preDEL!AK178)</f>
        <v>Negative</v>
      </c>
      <c r="AL178" s="94" t="str">
        <f>IF(preDEL!$AG178,IFERROR(0/0,""),preDEL!AL178)</f>
        <v/>
      </c>
      <c r="AM178" s="94" t="str">
        <f>IF(preDEL!$AG178,IFERROR(0/0,""),preDEL!AM178)</f>
        <v>SpNDHM957722</v>
      </c>
      <c r="AN178" s="94" t="str">
        <f>IF(preDEL!$AG178,IFERROR(0/0,""),preDEL!AN178)</f>
        <v>NDHM804847</v>
      </c>
      <c r="AO178" s="94" t="str">
        <f>IF(preDEL!$AG178,IFERROR(0/0,""),preDEL!AO178)</f>
        <v/>
      </c>
      <c r="AP178" s="94" t="str">
        <f>IF(preDEL!$AG178,IFERROR(0/0,""),preDEL!AP178)</f>
        <v/>
      </c>
      <c r="AQ178" s="94" t="str">
        <f>IF(preDEL!$AG178,IFERROR(0/0,""),preDEL!AQ178)</f>
        <v/>
      </c>
      <c r="AR178" s="94" t="str">
        <f>IF(preDEL!$AG178,IFERROR(0/0,""),preDEL!AR178)</f>
        <v/>
      </c>
      <c r="AS178" s="98"/>
      <c r="BE178" s="254"/>
      <c r="BF178" s="255"/>
      <c r="BG178" s="254"/>
      <c r="BH178" s="255"/>
      <c r="BI178" s="254"/>
      <c r="BJ178" s="254"/>
      <c r="BK178" s="254"/>
      <c r="BL178" s="254"/>
      <c r="BN178" s="7"/>
      <c r="BO178" s="7"/>
      <c r="BP178" s="7"/>
      <c r="BQ178" s="7"/>
      <c r="BR178" s="7"/>
      <c r="BS178" s="7"/>
      <c r="BT178" s="7"/>
    </row>
    <row r="179">
      <c r="A179" s="249" t="str">
        <f>IF(preDEL!$AG179,IFERROR(0/0,""),preDEL!A179)</f>
        <v>AH9625</v>
      </c>
      <c r="B179" s="250">
        <f>IF(preDEL!$AG179,IFERROR(0/0,""),preDEL!B179)</f>
        <v>44713</v>
      </c>
      <c r="C179" s="251">
        <f>IF(preDEL!$AG179,IFERROR(0/0,""),preDEL!C179)</f>
        <v>0.2517592593</v>
      </c>
      <c r="D179" s="249" t="str">
        <f>IF(preDEL!$AG179,IFERROR(0/0,""),preDEL!D179)</f>
        <v/>
      </c>
      <c r="E179" s="249" t="str">
        <f>IF(preDEL!$AG179,IFERROR(0/0,""),preDEL!E179)</f>
        <v/>
      </c>
      <c r="F179" s="94" t="str">
        <f>IF(preDEL!$AG179,IFERROR(0/0,""),preDEL!F179)</f>
        <v/>
      </c>
      <c r="G179" s="94" t="str">
        <f>IF(preDEL!$AG179,IFERROR(0/0,""),preDEL!G179)</f>
        <v/>
      </c>
      <c r="H179" s="94" t="str">
        <f>IF(preDEL!$AG179,IFERROR(0/0,""),preDEL!H179)</f>
        <v/>
      </c>
      <c r="I179" s="249" t="str">
        <f>IF(preDEL!$AG179,IFERROR(0/0,""),preDEL!I179)</f>
        <v/>
      </c>
      <c r="J179" s="249" t="str">
        <f>IF(preDEL!$AG179,IFERROR(0/0,""),preDEL!J179)</f>
        <v/>
      </c>
      <c r="K179" s="249" t="str">
        <f>IF(preDEL!$AG179,IFERROR(0/0,""),preDEL!K179)</f>
        <v>Negative</v>
      </c>
      <c r="L179" s="250">
        <f>IF(preDEL!$AG179,IFERROR(0/0,""),preDEL!L179)</f>
        <v>44713</v>
      </c>
      <c r="M179" s="251">
        <f>IF(preDEL!$AG179,IFERROR(0/0,""),preDEL!M179)</f>
        <v>0.3415046296</v>
      </c>
      <c r="N179" s="94" t="str">
        <f>IF(preDEL!$AG179,IFERROR(0/0,""),preDEL!N179)</f>
        <v/>
      </c>
      <c r="O179" s="94" t="str">
        <f>IF(preDEL!$AG179,IFERROR(0/0,""),preDEL!O179)</f>
        <v/>
      </c>
      <c r="P179" s="93" t="b">
        <f>IF(preDEL!$AG179,IFERROR(0/0,""),preDEL!P179)</f>
        <v>0</v>
      </c>
      <c r="Q179" s="93" t="str">
        <f>IF(preDEL!$AG179,IFERROR(0/0,""),preDEL!Q179)</f>
        <v>Result</v>
      </c>
      <c r="R179" s="99" t="b">
        <f>IF(preDEL!$AG179,IFERROR(0/0,""),preDEL!R179)</f>
        <v>1</v>
      </c>
      <c r="S179" s="99">
        <f>IF(preDEL!$AG179,IFERROR(0/0,""),preDEL!S179)</f>
        <v>1</v>
      </c>
      <c r="T179" s="93" t="str">
        <f>IF(preDEL!$AG179,IFERROR(0/0,""),preDEL!T179)</f>
        <v/>
      </c>
      <c r="U179" s="94" t="str">
        <f>IF(preDEL!$AG179,IFERROR(0/0,""),preDEL!U179)</f>
        <v/>
      </c>
      <c r="V179" s="249" t="str">
        <f>IF(preDEL!$AG179,IFERROR(0/0,""),preDEL!V179)</f>
        <v/>
      </c>
      <c r="W179" s="94" t="str">
        <f>IF(preDEL!$AG179,IFERROR(0/0,""),preDEL!W179)</f>
        <v/>
      </c>
      <c r="X179" s="99" t="b">
        <f>IF(preDEL!$AG179,IFERROR(0/0,""),preDEL!X179)</f>
        <v>0</v>
      </c>
      <c r="Y179" s="93" t="str">
        <f>IF(preDEL!$AG179,IFERROR(0/0,""),preDEL!Y179)</f>
        <v/>
      </c>
      <c r="Z179" s="249" t="str">
        <f>IF(preDEL!$AG179,IFERROR(0/0,""),preDEL!Z179)</f>
        <v/>
      </c>
      <c r="AA179" s="93" t="b">
        <f>IF(preDEL!$AG179,IFERROR(0/0,""),preDEL!AA179)</f>
        <v>0</v>
      </c>
      <c r="AB179" s="93" t="str">
        <f>IF(preDEL!$AG179,IFERROR(0/0,""),preDEL!AB179)</f>
        <v/>
      </c>
      <c r="AC179" s="252">
        <f>IF(preDEL!$AG179,IFERROR(0/0,""),preDEL!AC179)</f>
        <v>92</v>
      </c>
      <c r="AD179" s="99" t="str">
        <f>IF(preDEL!$AG179,IFERROR(0/0,""),preDEL!AD179)</f>
        <v/>
      </c>
      <c r="AE179" s="253">
        <f>IF(preDEL!$AG179,IFERROR(0/0,""),preDEL!AE179)</f>
        <v>129.2333333</v>
      </c>
      <c r="AF179" s="93" t="b">
        <f>IF(preDEL!$AG179,IFERROR(0/0,""),preDEL!AF179)</f>
        <v>0</v>
      </c>
      <c r="AG179" s="93" t="b">
        <f>IF(preDEL!$AG179,IFERROR(0/0,""),preDEL!AG179)</f>
        <v>0</v>
      </c>
      <c r="AH179" s="99" t="str">
        <f>IF(preDEL!$AG179,IFERROR(0/0,""),preDEL!AH179)</f>
        <v/>
      </c>
      <c r="AI179" s="249" t="str">
        <f>IF(preDEL!$AG179,IFERROR(0/0,""),preDEL!AI179)</f>
        <v/>
      </c>
      <c r="AJ179" s="94" t="str">
        <f>IF(preDEL!$AG179,IFERROR(0/0,""),preDEL!AJ179)</f>
        <v/>
      </c>
      <c r="AK179" s="249" t="str">
        <f>IF(preDEL!$AG179,IFERROR(0/0,""),preDEL!AK179)</f>
        <v>Negative</v>
      </c>
      <c r="AL179" s="94" t="str">
        <f>IF(preDEL!$AG179,IFERROR(0/0,""),preDEL!AL179)</f>
        <v/>
      </c>
      <c r="AM179" s="94" t="str">
        <f>IF(preDEL!$AG179,IFERROR(0/0,""),preDEL!AM179)</f>
        <v>SpNDHM189649</v>
      </c>
      <c r="AN179" s="94" t="str">
        <f>IF(preDEL!$AG179,IFERROR(0/0,""),preDEL!AN179)</f>
        <v>NDHM436958</v>
      </c>
      <c r="AO179" s="94" t="str">
        <f>IF(preDEL!$AG179,IFERROR(0/0,""),preDEL!AO179)</f>
        <v/>
      </c>
      <c r="AP179" s="94" t="str">
        <f>IF(preDEL!$AG179,IFERROR(0/0,""),preDEL!AP179)</f>
        <v/>
      </c>
      <c r="AQ179" s="94" t="str">
        <f>IF(preDEL!$AG179,IFERROR(0/0,""),preDEL!AQ179)</f>
        <v/>
      </c>
      <c r="AR179" s="94" t="str">
        <f>IF(preDEL!$AG179,IFERROR(0/0,""),preDEL!AR179)</f>
        <v/>
      </c>
      <c r="AS179" s="98"/>
      <c r="BE179" s="254"/>
      <c r="BF179" s="255"/>
      <c r="BG179" s="254"/>
      <c r="BH179" s="255"/>
      <c r="BI179" s="254"/>
      <c r="BJ179" s="254"/>
      <c r="BK179" s="254"/>
      <c r="BL179" s="254"/>
      <c r="BN179" s="7"/>
      <c r="BO179" s="7"/>
      <c r="BP179" s="7"/>
      <c r="BQ179" s="7"/>
      <c r="BR179" s="7"/>
      <c r="BS179" s="7"/>
      <c r="BT179" s="7"/>
    </row>
    <row r="180">
      <c r="A180" s="249" t="str">
        <f>IF(preDEL!$AG180,IFERROR(0/0,""),preDEL!A180)</f>
        <v>AG256</v>
      </c>
      <c r="B180" s="250">
        <f>IF(preDEL!$AG180,IFERROR(0/0,""),preDEL!B180)</f>
        <v>44713</v>
      </c>
      <c r="C180" s="251">
        <f>IF(preDEL!$AG180,IFERROR(0/0,""),preDEL!C180)</f>
        <v>0.2727893519</v>
      </c>
      <c r="D180" s="249" t="str">
        <f>IF(preDEL!$AG180,IFERROR(0/0,""),preDEL!D180)</f>
        <v/>
      </c>
      <c r="E180" s="249" t="str">
        <f>IF(preDEL!$AG180,IFERROR(0/0,""),preDEL!E180)</f>
        <v/>
      </c>
      <c r="F180" s="94" t="str">
        <f>IF(preDEL!$AG180,IFERROR(0/0,""),preDEL!F180)</f>
        <v/>
      </c>
      <c r="G180" s="94" t="str">
        <f>IF(preDEL!$AG180,IFERROR(0/0,""),preDEL!G180)</f>
        <v/>
      </c>
      <c r="H180" s="94" t="str">
        <f>IF(preDEL!$AG180,IFERROR(0/0,""),preDEL!H180)</f>
        <v/>
      </c>
      <c r="I180" s="249" t="str">
        <f>IF(preDEL!$AG180,IFERROR(0/0,""),preDEL!I180)</f>
        <v/>
      </c>
      <c r="J180" s="249" t="str">
        <f>IF(preDEL!$AG180,IFERROR(0/0,""),preDEL!J180)</f>
        <v/>
      </c>
      <c r="K180" s="249" t="str">
        <f>IF(preDEL!$AG180,IFERROR(0/0,""),preDEL!K180)</f>
        <v>Negative</v>
      </c>
      <c r="L180" s="250">
        <f>IF(preDEL!$AG180,IFERROR(0/0,""),preDEL!L180)</f>
        <v>44713</v>
      </c>
      <c r="M180" s="251">
        <f>IF(preDEL!$AG180,IFERROR(0/0,""),preDEL!M180)</f>
        <v>0.3415046296</v>
      </c>
      <c r="N180" s="94" t="str">
        <f>IF(preDEL!$AG180,IFERROR(0/0,""),preDEL!N180)</f>
        <v/>
      </c>
      <c r="O180" s="94" t="str">
        <f>IF(preDEL!$AG180,IFERROR(0/0,""),preDEL!O180)</f>
        <v/>
      </c>
      <c r="P180" s="93" t="b">
        <f>IF(preDEL!$AG180,IFERROR(0/0,""),preDEL!P180)</f>
        <v>0</v>
      </c>
      <c r="Q180" s="93" t="str">
        <f>IF(preDEL!$AG180,IFERROR(0/0,""),preDEL!Q180)</f>
        <v>Result</v>
      </c>
      <c r="R180" s="99" t="b">
        <f>IF(preDEL!$AG180,IFERROR(0/0,""),preDEL!R180)</f>
        <v>1</v>
      </c>
      <c r="S180" s="99">
        <f>IF(preDEL!$AG180,IFERROR(0/0,""),preDEL!S180)</f>
        <v>1</v>
      </c>
      <c r="T180" s="93" t="str">
        <f>IF(preDEL!$AG180,IFERROR(0/0,""),preDEL!T180)</f>
        <v/>
      </c>
      <c r="U180" s="94" t="str">
        <f>IF(preDEL!$AG180,IFERROR(0/0,""),preDEL!U180)</f>
        <v/>
      </c>
      <c r="V180" s="249" t="str">
        <f>IF(preDEL!$AG180,IFERROR(0/0,""),preDEL!V180)</f>
        <v/>
      </c>
      <c r="W180" s="94" t="str">
        <f>IF(preDEL!$AG180,IFERROR(0/0,""),preDEL!W180)</f>
        <v/>
      </c>
      <c r="X180" s="99" t="b">
        <f>IF(preDEL!$AG180,IFERROR(0/0,""),preDEL!X180)</f>
        <v>0</v>
      </c>
      <c r="Y180" s="93" t="str">
        <f>IF(preDEL!$AG180,IFERROR(0/0,""),preDEL!Y180)</f>
        <v/>
      </c>
      <c r="Z180" s="249" t="str">
        <f>IF(preDEL!$AG180,IFERROR(0/0,""),preDEL!Z180)</f>
        <v/>
      </c>
      <c r="AA180" s="93" t="b">
        <f>IF(preDEL!$AG180,IFERROR(0/0,""),preDEL!AA180)</f>
        <v>0</v>
      </c>
      <c r="AB180" s="93" t="str">
        <f>IF(preDEL!$AG180,IFERROR(0/0,""),preDEL!AB180)</f>
        <v/>
      </c>
      <c r="AC180" s="252">
        <f>IF(preDEL!$AG180,IFERROR(0/0,""),preDEL!AC180)</f>
        <v>93</v>
      </c>
      <c r="AD180" s="99" t="str">
        <f>IF(preDEL!$AG180,IFERROR(0/0,""),preDEL!AD180)</f>
        <v/>
      </c>
      <c r="AE180" s="253">
        <f>IF(preDEL!$AG180,IFERROR(0/0,""),preDEL!AE180)</f>
        <v>98.95</v>
      </c>
      <c r="AF180" s="93" t="b">
        <f>IF(preDEL!$AG180,IFERROR(0/0,""),preDEL!AF180)</f>
        <v>0</v>
      </c>
      <c r="AG180" s="93" t="b">
        <f>IF(preDEL!$AG180,IFERROR(0/0,""),preDEL!AG180)</f>
        <v>0</v>
      </c>
      <c r="AH180" s="99" t="str">
        <f>IF(preDEL!$AG180,IFERROR(0/0,""),preDEL!AH180)</f>
        <v/>
      </c>
      <c r="AI180" s="249" t="str">
        <f>IF(preDEL!$AG180,IFERROR(0/0,""),preDEL!AI180)</f>
        <v/>
      </c>
      <c r="AJ180" s="94" t="str">
        <f>IF(preDEL!$AG180,IFERROR(0/0,""),preDEL!AJ180)</f>
        <v/>
      </c>
      <c r="AK180" s="249" t="str">
        <f>IF(preDEL!$AG180,IFERROR(0/0,""),preDEL!AK180)</f>
        <v>Negative</v>
      </c>
      <c r="AL180" s="94" t="str">
        <f>IF(preDEL!$AG180,IFERROR(0/0,""),preDEL!AL180)</f>
        <v/>
      </c>
      <c r="AM180" s="94" t="str">
        <f>IF(preDEL!$AG180,IFERROR(0/0,""),preDEL!AM180)</f>
        <v>SpNDHM122532</v>
      </c>
      <c r="AN180" s="94" t="str">
        <f>IF(preDEL!$AG180,IFERROR(0/0,""),preDEL!AN180)</f>
        <v>NDHM471819</v>
      </c>
      <c r="AO180" s="94" t="str">
        <f>IF(preDEL!$AG180,IFERROR(0/0,""),preDEL!AO180)</f>
        <v/>
      </c>
      <c r="AP180" s="94" t="str">
        <f>IF(preDEL!$AG180,IFERROR(0/0,""),preDEL!AP180)</f>
        <v/>
      </c>
      <c r="AQ180" s="94" t="str">
        <f>IF(preDEL!$AG180,IFERROR(0/0,""),preDEL!AQ180)</f>
        <v/>
      </c>
      <c r="AR180" s="94" t="str">
        <f>IF(preDEL!$AG180,IFERROR(0/0,""),preDEL!AR180)</f>
        <v/>
      </c>
      <c r="AS180" s="98"/>
      <c r="BE180" s="254"/>
      <c r="BF180" s="255"/>
      <c r="BG180" s="254"/>
      <c r="BH180" s="255"/>
      <c r="BI180" s="254"/>
      <c r="BJ180" s="254"/>
      <c r="BK180" s="254"/>
      <c r="BL180" s="254"/>
      <c r="BN180" s="7"/>
      <c r="BO180" s="7"/>
      <c r="BP180" s="7"/>
      <c r="BQ180" s="7"/>
      <c r="BR180" s="7"/>
      <c r="BS180" s="7"/>
      <c r="BT180" s="7"/>
    </row>
    <row r="181">
      <c r="A181" s="249" t="str">
        <f>IF(preDEL!$AG181,IFERROR(0/0,""),preDEL!A181)</f>
        <v/>
      </c>
      <c r="B181" s="250" t="str">
        <f>IF(preDEL!$AG181,IFERROR(0/0,""),preDEL!B181)</f>
        <v/>
      </c>
      <c r="C181" s="251" t="str">
        <f>IF(preDEL!$AG181,IFERROR(0/0,""),preDEL!C181)</f>
        <v/>
      </c>
      <c r="D181" s="249" t="str">
        <f>IF(preDEL!$AG181,IFERROR(0/0,""),preDEL!D181)</f>
        <v/>
      </c>
      <c r="E181" s="249" t="str">
        <f>IF(preDEL!$AG181,IFERROR(0/0,""),preDEL!E181)</f>
        <v/>
      </c>
      <c r="F181" s="94" t="str">
        <f>IF(preDEL!$AG181,IFERROR(0/0,""),preDEL!F181)</f>
        <v/>
      </c>
      <c r="G181" s="94" t="str">
        <f>IF(preDEL!$AG181,IFERROR(0/0,""),preDEL!G181)</f>
        <v/>
      </c>
      <c r="H181" s="94" t="str">
        <f>IF(preDEL!$AG181,IFERROR(0/0,""),preDEL!H181)</f>
        <v/>
      </c>
      <c r="I181" s="249" t="str">
        <f>IF(preDEL!$AG181,IFERROR(0/0,""),preDEL!I181)</f>
        <v/>
      </c>
      <c r="J181" s="249" t="str">
        <f>IF(preDEL!$AG181,IFERROR(0/0,""),preDEL!J181)</f>
        <v/>
      </c>
      <c r="K181" s="249" t="str">
        <f>IF(preDEL!$AG181,IFERROR(0/0,""),preDEL!K181)</f>
        <v/>
      </c>
      <c r="L181" s="250" t="str">
        <f>IF(preDEL!$AG181,IFERROR(0/0,""),preDEL!L181)</f>
        <v/>
      </c>
      <c r="M181" s="251" t="str">
        <f>IF(preDEL!$AG181,IFERROR(0/0,""),preDEL!M181)</f>
        <v/>
      </c>
      <c r="N181" s="94" t="str">
        <f>IF(preDEL!$AG181,IFERROR(0/0,""),preDEL!N181)</f>
        <v/>
      </c>
      <c r="O181" s="94" t="str">
        <f>IF(preDEL!$AG181,IFERROR(0/0,""),preDEL!O181)</f>
        <v/>
      </c>
      <c r="P181" s="93" t="str">
        <f>IF(preDEL!$AG181,IFERROR(0/0,""),preDEL!P181)</f>
        <v/>
      </c>
      <c r="Q181" s="93" t="str">
        <f>IF(preDEL!$AG181,IFERROR(0/0,""),preDEL!Q181)</f>
        <v/>
      </c>
      <c r="R181" s="99" t="str">
        <f>IF(preDEL!$AG181,IFERROR(0/0,""),preDEL!R181)</f>
        <v/>
      </c>
      <c r="S181" s="99" t="str">
        <f>IF(preDEL!$AG181,IFERROR(0/0,""),preDEL!S181)</f>
        <v/>
      </c>
      <c r="T181" s="93" t="str">
        <f>IF(preDEL!$AG181,IFERROR(0/0,""),preDEL!T181)</f>
        <v/>
      </c>
      <c r="U181" s="94" t="str">
        <f>IF(preDEL!$AG181,IFERROR(0/0,""),preDEL!U181)</f>
        <v/>
      </c>
      <c r="V181" s="249" t="str">
        <f>IF(preDEL!$AG181,IFERROR(0/0,""),preDEL!V181)</f>
        <v/>
      </c>
      <c r="W181" s="94" t="str">
        <f>IF(preDEL!$AG181,IFERROR(0/0,""),preDEL!W181)</f>
        <v/>
      </c>
      <c r="X181" s="99" t="str">
        <f>IF(preDEL!$AG181,IFERROR(0/0,""),preDEL!X181)</f>
        <v/>
      </c>
      <c r="Y181" s="93" t="str">
        <f>IF(preDEL!$AG181,IFERROR(0/0,""),preDEL!Y181)</f>
        <v/>
      </c>
      <c r="Z181" s="249" t="str">
        <f>IF(preDEL!$AG181,IFERROR(0/0,""),preDEL!Z181)</f>
        <v/>
      </c>
      <c r="AA181" s="93" t="str">
        <f>IF(preDEL!$AG181,IFERROR(0/0,""),preDEL!AA181)</f>
        <v/>
      </c>
      <c r="AB181" s="93" t="str">
        <f>IF(preDEL!$AG181,IFERROR(0/0,""),preDEL!AB181)</f>
        <v/>
      </c>
      <c r="AC181" s="252" t="str">
        <f>IF(preDEL!$AG181,IFERROR(0/0,""),preDEL!AC181)</f>
        <v/>
      </c>
      <c r="AD181" s="99" t="str">
        <f>IF(preDEL!$AG181,IFERROR(0/0,""),preDEL!AD181)</f>
        <v/>
      </c>
      <c r="AE181" s="253" t="str">
        <f>IF(preDEL!$AG181,IFERROR(0/0,""),preDEL!AE181)</f>
        <v/>
      </c>
      <c r="AF181" s="93" t="str">
        <f>IF(preDEL!$AG181,IFERROR(0/0,""),preDEL!AF181)</f>
        <v/>
      </c>
      <c r="AG181" s="93" t="str">
        <f>IF(preDEL!$AG181,IFERROR(0/0,""),preDEL!AG181)</f>
        <v/>
      </c>
      <c r="AH181" s="99" t="str">
        <f>IF(preDEL!$AG181,IFERROR(0/0,""),preDEL!AH181)</f>
        <v/>
      </c>
      <c r="AI181" s="249" t="str">
        <f>IF(preDEL!$AG181,IFERROR(0/0,""),preDEL!AI181)</f>
        <v/>
      </c>
      <c r="AJ181" s="94" t="str">
        <f>IF(preDEL!$AG181,IFERROR(0/0,""),preDEL!AJ181)</f>
        <v/>
      </c>
      <c r="AK181" s="249" t="str">
        <f>IF(preDEL!$AG181,IFERROR(0/0,""),preDEL!AK181)</f>
        <v/>
      </c>
      <c r="AL181" s="94" t="str">
        <f>IF(preDEL!$AG181,IFERROR(0/0,""),preDEL!AL181)</f>
        <v/>
      </c>
      <c r="AM181" s="94" t="str">
        <f>IF(preDEL!$AG181,IFERROR(0/0,""),preDEL!AM181)</f>
        <v/>
      </c>
      <c r="AN181" s="94" t="str">
        <f>IF(preDEL!$AG181,IFERROR(0/0,""),preDEL!AN181)</f>
        <v/>
      </c>
      <c r="AO181" s="94" t="str">
        <f>IF(preDEL!$AG181,IFERROR(0/0,""),preDEL!AO181)</f>
        <v/>
      </c>
      <c r="AP181" s="94" t="str">
        <f>IF(preDEL!$AG181,IFERROR(0/0,""),preDEL!AP181)</f>
        <v/>
      </c>
      <c r="AQ181" s="94" t="str">
        <f>IF(preDEL!$AG181,IFERROR(0/0,""),preDEL!AQ181)</f>
        <v/>
      </c>
      <c r="AR181" s="94" t="str">
        <f>IF(preDEL!$AG181,IFERROR(0/0,""),preDEL!AR181)</f>
        <v/>
      </c>
      <c r="AS181" s="98"/>
      <c r="BE181" s="254"/>
      <c r="BF181" s="255"/>
      <c r="BG181" s="254"/>
      <c r="BH181" s="255"/>
      <c r="BI181" s="254"/>
      <c r="BJ181" s="254"/>
      <c r="BK181" s="254"/>
      <c r="BL181" s="254"/>
      <c r="BN181" s="7"/>
      <c r="BO181" s="7"/>
      <c r="BP181" s="7"/>
      <c r="BQ181" s="7"/>
      <c r="BR181" s="7"/>
      <c r="BS181" s="7"/>
      <c r="BT181" s="7"/>
    </row>
    <row r="182">
      <c r="A182" s="249" t="str">
        <f>IF(preDEL!$AG182,IFERROR(0/0,""),preDEL!A182)</f>
        <v/>
      </c>
      <c r="B182" s="250" t="str">
        <f>IF(preDEL!$AG182,IFERROR(0/0,""),preDEL!B182)</f>
        <v/>
      </c>
      <c r="C182" s="251" t="str">
        <f>IF(preDEL!$AG182,IFERROR(0/0,""),preDEL!C182)</f>
        <v/>
      </c>
      <c r="D182" s="249" t="str">
        <f>IF(preDEL!$AG182,IFERROR(0/0,""),preDEL!D182)</f>
        <v/>
      </c>
      <c r="E182" s="249" t="str">
        <f>IF(preDEL!$AG182,IFERROR(0/0,""),preDEL!E182)</f>
        <v/>
      </c>
      <c r="F182" s="94" t="str">
        <f>IF(preDEL!$AG182,IFERROR(0/0,""),preDEL!F182)</f>
        <v/>
      </c>
      <c r="G182" s="94" t="str">
        <f>IF(preDEL!$AG182,IFERROR(0/0,""),preDEL!G182)</f>
        <v/>
      </c>
      <c r="H182" s="94" t="str">
        <f>IF(preDEL!$AG182,IFERROR(0/0,""),preDEL!H182)</f>
        <v/>
      </c>
      <c r="I182" s="249" t="str">
        <f>IF(preDEL!$AG182,IFERROR(0/0,""),preDEL!I182)</f>
        <v/>
      </c>
      <c r="J182" s="249" t="str">
        <f>IF(preDEL!$AG182,IFERROR(0/0,""),preDEL!J182)</f>
        <v/>
      </c>
      <c r="K182" s="249" t="str">
        <f>IF(preDEL!$AG182,IFERROR(0/0,""),preDEL!K182)</f>
        <v/>
      </c>
      <c r="L182" s="250" t="str">
        <f>IF(preDEL!$AG182,IFERROR(0/0,""),preDEL!L182)</f>
        <v/>
      </c>
      <c r="M182" s="251" t="str">
        <f>IF(preDEL!$AG182,IFERROR(0/0,""),preDEL!M182)</f>
        <v/>
      </c>
      <c r="N182" s="94" t="str">
        <f>IF(preDEL!$AG182,IFERROR(0/0,""),preDEL!N182)</f>
        <v/>
      </c>
      <c r="O182" s="94" t="str">
        <f>IF(preDEL!$AG182,IFERROR(0/0,""),preDEL!O182)</f>
        <v/>
      </c>
      <c r="P182" s="93" t="str">
        <f>IF(preDEL!$AG182,IFERROR(0/0,""),preDEL!P182)</f>
        <v/>
      </c>
      <c r="Q182" s="93" t="str">
        <f>IF(preDEL!$AG182,IFERROR(0/0,""),preDEL!Q182)</f>
        <v/>
      </c>
      <c r="R182" s="99" t="str">
        <f>IF(preDEL!$AG182,IFERROR(0/0,""),preDEL!R182)</f>
        <v/>
      </c>
      <c r="S182" s="99" t="str">
        <f>IF(preDEL!$AG182,IFERROR(0/0,""),preDEL!S182)</f>
        <v/>
      </c>
      <c r="T182" s="93" t="str">
        <f>IF(preDEL!$AG182,IFERROR(0/0,""),preDEL!T182)</f>
        <v/>
      </c>
      <c r="U182" s="94" t="str">
        <f>IF(preDEL!$AG182,IFERROR(0/0,""),preDEL!U182)</f>
        <v/>
      </c>
      <c r="V182" s="249" t="str">
        <f>IF(preDEL!$AG182,IFERROR(0/0,""),preDEL!V182)</f>
        <v/>
      </c>
      <c r="W182" s="94" t="str">
        <f>IF(preDEL!$AG182,IFERROR(0/0,""),preDEL!W182)</f>
        <v/>
      </c>
      <c r="X182" s="99" t="str">
        <f>IF(preDEL!$AG182,IFERROR(0/0,""),preDEL!X182)</f>
        <v/>
      </c>
      <c r="Y182" s="93" t="str">
        <f>IF(preDEL!$AG182,IFERROR(0/0,""),preDEL!Y182)</f>
        <v/>
      </c>
      <c r="Z182" s="249" t="str">
        <f>IF(preDEL!$AG182,IFERROR(0/0,""),preDEL!Z182)</f>
        <v/>
      </c>
      <c r="AA182" s="93" t="str">
        <f>IF(preDEL!$AG182,IFERROR(0/0,""),preDEL!AA182)</f>
        <v/>
      </c>
      <c r="AB182" s="93" t="str">
        <f>IF(preDEL!$AG182,IFERROR(0/0,""),preDEL!AB182)</f>
        <v/>
      </c>
      <c r="AC182" s="252" t="str">
        <f>IF(preDEL!$AG182,IFERROR(0/0,""),preDEL!AC182)</f>
        <v/>
      </c>
      <c r="AD182" s="99" t="str">
        <f>IF(preDEL!$AG182,IFERROR(0/0,""),preDEL!AD182)</f>
        <v/>
      </c>
      <c r="AE182" s="253" t="str">
        <f>IF(preDEL!$AG182,IFERROR(0/0,""),preDEL!AE182)</f>
        <v/>
      </c>
      <c r="AF182" s="93" t="str">
        <f>IF(preDEL!$AG182,IFERROR(0/0,""),preDEL!AF182)</f>
        <v/>
      </c>
      <c r="AG182" s="93" t="str">
        <f>IF(preDEL!$AG182,IFERROR(0/0,""),preDEL!AG182)</f>
        <v/>
      </c>
      <c r="AH182" s="99" t="str">
        <f>IF(preDEL!$AG182,IFERROR(0/0,""),preDEL!AH182)</f>
        <v/>
      </c>
      <c r="AI182" s="249" t="str">
        <f>IF(preDEL!$AG182,IFERROR(0/0,""),preDEL!AI182)</f>
        <v/>
      </c>
      <c r="AJ182" s="94" t="str">
        <f>IF(preDEL!$AG182,IFERROR(0/0,""),preDEL!AJ182)</f>
        <v/>
      </c>
      <c r="AK182" s="249" t="str">
        <f>IF(preDEL!$AG182,IFERROR(0/0,""),preDEL!AK182)</f>
        <v/>
      </c>
      <c r="AL182" s="94" t="str">
        <f>IF(preDEL!$AG182,IFERROR(0/0,""),preDEL!AL182)</f>
        <v/>
      </c>
      <c r="AM182" s="94" t="str">
        <f>IF(preDEL!$AG182,IFERROR(0/0,""),preDEL!AM182)</f>
        <v/>
      </c>
      <c r="AN182" s="94" t="str">
        <f>IF(preDEL!$AG182,IFERROR(0/0,""),preDEL!AN182)</f>
        <v/>
      </c>
      <c r="AO182" s="94" t="str">
        <f>IF(preDEL!$AG182,IFERROR(0/0,""),preDEL!AO182)</f>
        <v/>
      </c>
      <c r="AP182" s="94" t="str">
        <f>IF(preDEL!$AG182,IFERROR(0/0,""),preDEL!AP182)</f>
        <v/>
      </c>
      <c r="AQ182" s="94" t="str">
        <f>IF(preDEL!$AG182,IFERROR(0/0,""),preDEL!AQ182)</f>
        <v/>
      </c>
      <c r="AR182" s="94" t="str">
        <f>IF(preDEL!$AG182,IFERROR(0/0,""),preDEL!AR182)</f>
        <v/>
      </c>
      <c r="AS182" s="98"/>
      <c r="BE182" s="254"/>
      <c r="BF182" s="255"/>
      <c r="BG182" s="254"/>
      <c r="BH182" s="255"/>
      <c r="BI182" s="254"/>
      <c r="BJ182" s="254"/>
      <c r="BK182" s="254"/>
      <c r="BL182" s="254"/>
      <c r="BN182" s="7"/>
      <c r="BO182" s="7"/>
      <c r="BP182" s="7"/>
      <c r="BQ182" s="7"/>
      <c r="BR182" s="7"/>
      <c r="BS182" s="7"/>
      <c r="BT182" s="7"/>
    </row>
    <row r="183">
      <c r="A183" s="249" t="str">
        <f>IF(preDEL!$AG183,IFERROR(0/0,""),preDEL!A183)</f>
        <v/>
      </c>
      <c r="B183" s="250" t="str">
        <f>IF(preDEL!$AG183,IFERROR(0/0,""),preDEL!B183)</f>
        <v/>
      </c>
      <c r="C183" s="251" t="str">
        <f>IF(preDEL!$AG183,IFERROR(0/0,""),preDEL!C183)</f>
        <v/>
      </c>
      <c r="D183" s="249" t="str">
        <f>IF(preDEL!$AG183,IFERROR(0/0,""),preDEL!D183)</f>
        <v/>
      </c>
      <c r="E183" s="249" t="str">
        <f>IF(preDEL!$AG183,IFERROR(0/0,""),preDEL!E183)</f>
        <v/>
      </c>
      <c r="F183" s="94" t="str">
        <f>IF(preDEL!$AG183,IFERROR(0/0,""),preDEL!F183)</f>
        <v/>
      </c>
      <c r="G183" s="94" t="str">
        <f>IF(preDEL!$AG183,IFERROR(0/0,""),preDEL!G183)</f>
        <v/>
      </c>
      <c r="H183" s="94" t="str">
        <f>IF(preDEL!$AG183,IFERROR(0/0,""),preDEL!H183)</f>
        <v/>
      </c>
      <c r="I183" s="249" t="str">
        <f>IF(preDEL!$AG183,IFERROR(0/0,""),preDEL!I183)</f>
        <v/>
      </c>
      <c r="J183" s="249" t="str">
        <f>IF(preDEL!$AG183,IFERROR(0/0,""),preDEL!J183)</f>
        <v/>
      </c>
      <c r="K183" s="249" t="str">
        <f>IF(preDEL!$AG183,IFERROR(0/0,""),preDEL!K183)</f>
        <v/>
      </c>
      <c r="L183" s="250" t="str">
        <f>IF(preDEL!$AG183,IFERROR(0/0,""),preDEL!L183)</f>
        <v/>
      </c>
      <c r="M183" s="251" t="str">
        <f>IF(preDEL!$AG183,IFERROR(0/0,""),preDEL!M183)</f>
        <v/>
      </c>
      <c r="N183" s="94" t="str">
        <f>IF(preDEL!$AG183,IFERROR(0/0,""),preDEL!N183)</f>
        <v/>
      </c>
      <c r="O183" s="94" t="str">
        <f>IF(preDEL!$AG183,IFERROR(0/0,""),preDEL!O183)</f>
        <v/>
      </c>
      <c r="P183" s="93" t="str">
        <f>IF(preDEL!$AG183,IFERROR(0/0,""),preDEL!P183)</f>
        <v/>
      </c>
      <c r="Q183" s="93" t="str">
        <f>IF(preDEL!$AG183,IFERROR(0/0,""),preDEL!Q183)</f>
        <v/>
      </c>
      <c r="R183" s="99" t="str">
        <f>IF(preDEL!$AG183,IFERROR(0/0,""),preDEL!R183)</f>
        <v/>
      </c>
      <c r="S183" s="99" t="str">
        <f>IF(preDEL!$AG183,IFERROR(0/0,""),preDEL!S183)</f>
        <v/>
      </c>
      <c r="T183" s="93" t="str">
        <f>IF(preDEL!$AG183,IFERROR(0/0,""),preDEL!T183)</f>
        <v/>
      </c>
      <c r="U183" s="94" t="str">
        <f>IF(preDEL!$AG183,IFERROR(0/0,""),preDEL!U183)</f>
        <v/>
      </c>
      <c r="V183" s="249" t="str">
        <f>IF(preDEL!$AG183,IFERROR(0/0,""),preDEL!V183)</f>
        <v/>
      </c>
      <c r="W183" s="94" t="str">
        <f>IF(preDEL!$AG183,IFERROR(0/0,""),preDEL!W183)</f>
        <v/>
      </c>
      <c r="X183" s="99" t="str">
        <f>IF(preDEL!$AG183,IFERROR(0/0,""),preDEL!X183)</f>
        <v/>
      </c>
      <c r="Y183" s="93" t="str">
        <f>IF(preDEL!$AG183,IFERROR(0/0,""),preDEL!Y183)</f>
        <v/>
      </c>
      <c r="Z183" s="249" t="str">
        <f>IF(preDEL!$AG183,IFERROR(0/0,""),preDEL!Z183)</f>
        <v/>
      </c>
      <c r="AA183" s="93" t="str">
        <f>IF(preDEL!$AG183,IFERROR(0/0,""),preDEL!AA183)</f>
        <v/>
      </c>
      <c r="AB183" s="93" t="str">
        <f>IF(preDEL!$AG183,IFERROR(0/0,""),preDEL!AB183)</f>
        <v/>
      </c>
      <c r="AC183" s="252" t="str">
        <f>IF(preDEL!$AG183,IFERROR(0/0,""),preDEL!AC183)</f>
        <v/>
      </c>
      <c r="AD183" s="99" t="str">
        <f>IF(preDEL!$AG183,IFERROR(0/0,""),preDEL!AD183)</f>
        <v/>
      </c>
      <c r="AE183" s="253" t="str">
        <f>IF(preDEL!$AG183,IFERROR(0/0,""),preDEL!AE183)</f>
        <v/>
      </c>
      <c r="AF183" s="93" t="str">
        <f>IF(preDEL!$AG183,IFERROR(0/0,""),preDEL!AF183)</f>
        <v/>
      </c>
      <c r="AG183" s="93" t="str">
        <f>IF(preDEL!$AG183,IFERROR(0/0,""),preDEL!AG183)</f>
        <v/>
      </c>
      <c r="AH183" s="99" t="str">
        <f>IF(preDEL!$AG183,IFERROR(0/0,""),preDEL!AH183)</f>
        <v/>
      </c>
      <c r="AI183" s="249" t="str">
        <f>IF(preDEL!$AG183,IFERROR(0/0,""),preDEL!AI183)</f>
        <v/>
      </c>
      <c r="AJ183" s="94" t="str">
        <f>IF(preDEL!$AG183,IFERROR(0/0,""),preDEL!AJ183)</f>
        <v/>
      </c>
      <c r="AK183" s="249" t="str">
        <f>IF(preDEL!$AG183,IFERROR(0/0,""),preDEL!AK183)</f>
        <v/>
      </c>
      <c r="AL183" s="94" t="str">
        <f>IF(preDEL!$AG183,IFERROR(0/0,""),preDEL!AL183)</f>
        <v/>
      </c>
      <c r="AM183" s="94" t="str">
        <f>IF(preDEL!$AG183,IFERROR(0/0,""),preDEL!AM183)</f>
        <v/>
      </c>
      <c r="AN183" s="94" t="str">
        <f>IF(preDEL!$AG183,IFERROR(0/0,""),preDEL!AN183)</f>
        <v/>
      </c>
      <c r="AO183" s="94" t="str">
        <f>IF(preDEL!$AG183,IFERROR(0/0,""),preDEL!AO183)</f>
        <v/>
      </c>
      <c r="AP183" s="94" t="str">
        <f>IF(preDEL!$AG183,IFERROR(0/0,""),preDEL!AP183)</f>
        <v/>
      </c>
      <c r="AQ183" s="94" t="str">
        <f>IF(preDEL!$AG183,IFERROR(0/0,""),preDEL!AQ183)</f>
        <v/>
      </c>
      <c r="AR183" s="94" t="str">
        <f>IF(preDEL!$AG183,IFERROR(0/0,""),preDEL!AR183)</f>
        <v/>
      </c>
      <c r="AS183" s="98"/>
      <c r="BE183" s="254"/>
      <c r="BF183" s="255"/>
      <c r="BG183" s="254"/>
      <c r="BH183" s="255"/>
      <c r="BI183" s="254"/>
      <c r="BJ183" s="254"/>
      <c r="BK183" s="254"/>
      <c r="BL183" s="254"/>
      <c r="BN183" s="7"/>
      <c r="BO183" s="7"/>
      <c r="BP183" s="7"/>
      <c r="BQ183" s="7"/>
      <c r="BR183" s="7"/>
      <c r="BS183" s="7"/>
      <c r="BT183" s="7"/>
    </row>
    <row r="184">
      <c r="A184" s="249" t="str">
        <f>IF(preDEL!$AG184,IFERROR(0/0,""),preDEL!A184)</f>
        <v>AG1608</v>
      </c>
      <c r="B184" s="250">
        <f>IF(preDEL!$AG184,IFERROR(0/0,""),preDEL!B184)</f>
        <v>44718</v>
      </c>
      <c r="C184" s="251">
        <f>IF(preDEL!$AG184,IFERROR(0/0,""),preDEL!C184)</f>
        <v>0.1569212963</v>
      </c>
      <c r="D184" s="249" t="str">
        <f>IF(preDEL!$AG184,IFERROR(0/0,""),preDEL!D184)</f>
        <v/>
      </c>
      <c r="E184" s="249" t="str">
        <f>IF(preDEL!$AG184,IFERROR(0/0,""),preDEL!E184)</f>
        <v/>
      </c>
      <c r="F184" s="94" t="str">
        <f>IF(preDEL!$AG184,IFERROR(0/0,""),preDEL!F184)</f>
        <v/>
      </c>
      <c r="G184" s="94" t="str">
        <f>IF(preDEL!$AG184,IFERROR(0/0,""),preDEL!G184)</f>
        <v/>
      </c>
      <c r="H184" s="94" t="str">
        <f>IF(preDEL!$AG184,IFERROR(0/0,""),preDEL!H184)</f>
        <v/>
      </c>
      <c r="I184" s="249" t="str">
        <f>IF(preDEL!$AG184,IFERROR(0/0,""),preDEL!I184)</f>
        <v/>
      </c>
      <c r="J184" s="249" t="str">
        <f>IF(preDEL!$AG184,IFERROR(0/0,""),preDEL!J184)</f>
        <v/>
      </c>
      <c r="K184" s="249" t="str">
        <f>IF(preDEL!$AG184,IFERROR(0/0,""),preDEL!K184)</f>
        <v>Negative</v>
      </c>
      <c r="L184" s="250">
        <f>IF(preDEL!$AG184,IFERROR(0/0,""),preDEL!L184)</f>
        <v>44718</v>
      </c>
      <c r="M184" s="251">
        <f>IF(preDEL!$AG184,IFERROR(0/0,""),preDEL!M184)</f>
        <v>0.3649768519</v>
      </c>
      <c r="N184" s="94" t="str">
        <f>IF(preDEL!$AG184,IFERROR(0/0,""),preDEL!N184)</f>
        <v/>
      </c>
      <c r="O184" s="94" t="str">
        <f>IF(preDEL!$AG184,IFERROR(0/0,""),preDEL!O184)</f>
        <v/>
      </c>
      <c r="P184" s="93" t="b">
        <f>IF(preDEL!$AG184,IFERROR(0/0,""),preDEL!P184)</f>
        <v>0</v>
      </c>
      <c r="Q184" s="93" t="str">
        <f>IF(preDEL!$AG184,IFERROR(0/0,""),preDEL!Q184)</f>
        <v>Result</v>
      </c>
      <c r="R184" s="99" t="b">
        <f>IF(preDEL!$AG184,IFERROR(0/0,""),preDEL!R184)</f>
        <v>1</v>
      </c>
      <c r="S184" s="99">
        <f>IF(preDEL!$AG184,IFERROR(0/0,""),preDEL!S184)</f>
        <v>3</v>
      </c>
      <c r="T184" s="93" t="str">
        <f>IF(preDEL!$AG184,IFERROR(0/0,""),preDEL!T184)</f>
        <v/>
      </c>
      <c r="U184" s="94" t="str">
        <f>IF(preDEL!$AG184,IFERROR(0/0,""),preDEL!U184)</f>
        <v/>
      </c>
      <c r="V184" s="249" t="str">
        <f>IF(preDEL!$AG184,IFERROR(0/0,""),preDEL!V184)</f>
        <v/>
      </c>
      <c r="W184" s="94" t="str">
        <f>IF(preDEL!$AG184,IFERROR(0/0,""),preDEL!W184)</f>
        <v/>
      </c>
      <c r="X184" s="99" t="b">
        <f>IF(preDEL!$AG184,IFERROR(0/0,""),preDEL!X184)</f>
        <v>0</v>
      </c>
      <c r="Y184" s="93" t="str">
        <f>IF(preDEL!$AG184,IFERROR(0/0,""),preDEL!Y184)</f>
        <v/>
      </c>
      <c r="Z184" s="249" t="str">
        <f>IF(preDEL!$AG184,IFERROR(0/0,""),preDEL!Z184)</f>
        <v/>
      </c>
      <c r="AA184" s="93" t="b">
        <f>IF(preDEL!$AG184,IFERROR(0/0,""),preDEL!AA184)</f>
        <v>0</v>
      </c>
      <c r="AB184" s="93" t="str">
        <f>IF(preDEL!$AG184,IFERROR(0/0,""),preDEL!AB184)</f>
        <v/>
      </c>
      <c r="AC184" s="252">
        <f>IF(preDEL!$AG184,IFERROR(0/0,""),preDEL!AC184)</f>
        <v>56</v>
      </c>
      <c r="AD184" s="99" t="str">
        <f>IF(preDEL!$AG184,IFERROR(0/0,""),preDEL!AD184)</f>
        <v/>
      </c>
      <c r="AE184" s="253">
        <f>IF(preDEL!$AG184,IFERROR(0/0,""),preDEL!AE184)</f>
        <v>299.6</v>
      </c>
      <c r="AF184" s="93" t="b">
        <f>IF(preDEL!$AG184,IFERROR(0/0,""),preDEL!AF184)</f>
        <v>0</v>
      </c>
      <c r="AG184" s="93" t="b">
        <f>IF(preDEL!$AG184,IFERROR(0/0,""),preDEL!AG184)</f>
        <v>0</v>
      </c>
      <c r="AH184" s="99" t="str">
        <f>IF(preDEL!$AG184,IFERROR(0/0,""),preDEL!AH184)</f>
        <v/>
      </c>
      <c r="AI184" s="249" t="str">
        <f>IF(preDEL!$AG184,IFERROR(0/0,""),preDEL!AI184)</f>
        <v/>
      </c>
      <c r="AJ184" s="94" t="str">
        <f>IF(preDEL!$AG184,IFERROR(0/0,""),preDEL!AJ184)</f>
        <v/>
      </c>
      <c r="AK184" s="249" t="str">
        <f>IF(preDEL!$AG184,IFERROR(0/0,""),preDEL!AK184)</f>
        <v>Negative</v>
      </c>
      <c r="AL184" s="94" t="str">
        <f>IF(preDEL!$AG184,IFERROR(0/0,""),preDEL!AL184)</f>
        <v/>
      </c>
      <c r="AM184" s="94" t="str">
        <f>IF(preDEL!$AG184,IFERROR(0/0,""),preDEL!AM184)</f>
        <v>SpNDHM435885</v>
      </c>
      <c r="AN184" s="94" t="str">
        <f>IF(preDEL!$AG184,IFERROR(0/0,""),preDEL!AN184)</f>
        <v>NDHM831690</v>
      </c>
      <c r="AO184" s="94" t="str">
        <f>IF(preDEL!$AG184,IFERROR(0/0,""),preDEL!AO184)</f>
        <v/>
      </c>
      <c r="AP184" s="94" t="str">
        <f>IF(preDEL!$AG184,IFERROR(0/0,""),preDEL!AP184)</f>
        <v/>
      </c>
      <c r="AQ184" s="94" t="str">
        <f>IF(preDEL!$AG184,IFERROR(0/0,""),preDEL!AQ184)</f>
        <v/>
      </c>
      <c r="AR184" s="94" t="str">
        <f>IF(preDEL!$AG184,IFERROR(0/0,""),preDEL!AR184)</f>
        <v/>
      </c>
      <c r="AS184" s="98"/>
      <c r="BE184" s="254"/>
      <c r="BF184" s="255"/>
      <c r="BG184" s="254"/>
      <c r="BH184" s="255"/>
      <c r="BI184" s="254"/>
      <c r="BJ184" s="254"/>
      <c r="BK184" s="254"/>
      <c r="BL184" s="254"/>
      <c r="BN184" s="7"/>
      <c r="BO184" s="7"/>
      <c r="BP184" s="7"/>
      <c r="BQ184" s="7"/>
      <c r="BR184" s="7"/>
      <c r="BS184" s="7"/>
      <c r="BT184" s="7"/>
    </row>
    <row r="185">
      <c r="A185" s="249" t="str">
        <f>IF(preDEL!$AG185,IFERROR(0/0,""),preDEL!A185)</f>
        <v>AG1608</v>
      </c>
      <c r="B185" s="250">
        <f>IF(preDEL!$AG185,IFERROR(0/0,""),preDEL!B185)</f>
        <v>44718</v>
      </c>
      <c r="C185" s="251">
        <f>IF(preDEL!$AG185,IFERROR(0/0,""),preDEL!C185)</f>
        <v>0.1569212963</v>
      </c>
      <c r="D185" s="249" t="str">
        <f>IF(preDEL!$AG185,IFERROR(0/0,""),preDEL!D185)</f>
        <v/>
      </c>
      <c r="E185" s="249" t="str">
        <f>IF(preDEL!$AG185,IFERROR(0/0,""),preDEL!E185)</f>
        <v/>
      </c>
      <c r="F185" s="94" t="str">
        <f>IF(preDEL!$AG185,IFERROR(0/0,""),preDEL!F185)</f>
        <v/>
      </c>
      <c r="G185" s="94" t="str">
        <f>IF(preDEL!$AG185,IFERROR(0/0,""),preDEL!G185)</f>
        <v/>
      </c>
      <c r="H185" s="94" t="str">
        <f>IF(preDEL!$AG185,IFERROR(0/0,""),preDEL!H185)</f>
        <v/>
      </c>
      <c r="I185" s="249" t="str">
        <f>IF(preDEL!$AG185,IFERROR(0/0,""),preDEL!I185)</f>
        <v/>
      </c>
      <c r="J185" s="249" t="str">
        <f>IF(preDEL!$AG185,IFERROR(0/0,""),preDEL!J185)</f>
        <v/>
      </c>
      <c r="K185" s="249" t="str">
        <f>IF(preDEL!$AG185,IFERROR(0/0,""),preDEL!K185)</f>
        <v>Negative</v>
      </c>
      <c r="L185" s="250">
        <f>IF(preDEL!$AG185,IFERROR(0/0,""),preDEL!L185)</f>
        <v>44718</v>
      </c>
      <c r="M185" s="251">
        <f>IF(preDEL!$AG185,IFERROR(0/0,""),preDEL!M185)</f>
        <v>0.3649768519</v>
      </c>
      <c r="N185" s="94" t="str">
        <f>IF(preDEL!$AG185,IFERROR(0/0,""),preDEL!N185)</f>
        <v/>
      </c>
      <c r="O185" s="94" t="str">
        <f>IF(preDEL!$AG185,IFERROR(0/0,""),preDEL!O185)</f>
        <v/>
      </c>
      <c r="P185" s="93" t="b">
        <f>IF(preDEL!$AG185,IFERROR(0/0,""),preDEL!P185)</f>
        <v>0</v>
      </c>
      <c r="Q185" s="93" t="str">
        <f>IF(preDEL!$AG185,IFERROR(0/0,""),preDEL!Q185)</f>
        <v>Result</v>
      </c>
      <c r="R185" s="99" t="b">
        <f>IF(preDEL!$AG185,IFERROR(0/0,""),preDEL!R185)</f>
        <v>0</v>
      </c>
      <c r="S185" s="99">
        <f>IF(preDEL!$AG185,IFERROR(0/0,""),preDEL!S185)</f>
        <v>3</v>
      </c>
      <c r="T185" s="93" t="str">
        <f>IF(preDEL!$AG185,IFERROR(0/0,""),preDEL!T185)</f>
        <v/>
      </c>
      <c r="U185" s="94" t="str">
        <f>IF(preDEL!$AG185,IFERROR(0/0,""),preDEL!U185)</f>
        <v/>
      </c>
      <c r="V185" s="249" t="str">
        <f>IF(preDEL!$AG185,IFERROR(0/0,""),preDEL!V185)</f>
        <v/>
      </c>
      <c r="W185" s="94" t="str">
        <f>IF(preDEL!$AG185,IFERROR(0/0,""),preDEL!W185)</f>
        <v/>
      </c>
      <c r="X185" s="99" t="b">
        <f>IF(preDEL!$AG185,IFERROR(0/0,""),preDEL!X185)</f>
        <v>0</v>
      </c>
      <c r="Y185" s="93" t="str">
        <f>IF(preDEL!$AG185,IFERROR(0/0,""),preDEL!Y185)</f>
        <v/>
      </c>
      <c r="Z185" s="249" t="str">
        <f>IF(preDEL!$AG185,IFERROR(0/0,""),preDEL!Z185)</f>
        <v/>
      </c>
      <c r="AA185" s="93" t="b">
        <f>IF(preDEL!$AG185,IFERROR(0/0,""),preDEL!AA185)</f>
        <v>0</v>
      </c>
      <c r="AB185" s="93" t="str">
        <f>IF(preDEL!$AG185,IFERROR(0/0,""),preDEL!AB185)</f>
        <v/>
      </c>
      <c r="AC185" s="252">
        <f>IF(preDEL!$AG185,IFERROR(0/0,""),preDEL!AC185)</f>
        <v>57</v>
      </c>
      <c r="AD185" s="99" t="str">
        <f>IF(preDEL!$AG185,IFERROR(0/0,""),preDEL!AD185)</f>
        <v/>
      </c>
      <c r="AE185" s="253">
        <f>IF(preDEL!$AG185,IFERROR(0/0,""),preDEL!AE185)</f>
        <v>299.6</v>
      </c>
      <c r="AF185" s="93" t="b">
        <f>IF(preDEL!$AG185,IFERROR(0/0,""),preDEL!AF185)</f>
        <v>0</v>
      </c>
      <c r="AG185" s="93" t="b">
        <f>IF(preDEL!$AG185,IFERROR(0/0,""),preDEL!AG185)</f>
        <v>0</v>
      </c>
      <c r="AH185" s="99" t="str">
        <f>IF(preDEL!$AG185,IFERROR(0/0,""),preDEL!AH185)</f>
        <v/>
      </c>
      <c r="AI185" s="249" t="str">
        <f>IF(preDEL!$AG185,IFERROR(0/0,""),preDEL!AI185)</f>
        <v/>
      </c>
      <c r="AJ185" s="94" t="str">
        <f>IF(preDEL!$AG185,IFERROR(0/0,""),preDEL!AJ185)</f>
        <v/>
      </c>
      <c r="AK185" s="249" t="str">
        <f>IF(preDEL!$AG185,IFERROR(0/0,""),preDEL!AK185)</f>
        <v>Negative</v>
      </c>
      <c r="AL185" s="94" t="str">
        <f>IF(preDEL!$AG185,IFERROR(0/0,""),preDEL!AL185)</f>
        <v/>
      </c>
      <c r="AM185" s="94" t="str">
        <f>IF(preDEL!$AG185,IFERROR(0/0,""),preDEL!AM185)</f>
        <v>SpNDHM435885</v>
      </c>
      <c r="AN185" s="94" t="str">
        <f>IF(preDEL!$AG185,IFERROR(0/0,""),preDEL!AN185)</f>
        <v>NDHM144279</v>
      </c>
      <c r="AO185" s="94" t="str">
        <f>IF(preDEL!$AG185,IFERROR(0/0,""),preDEL!AO185)</f>
        <v/>
      </c>
      <c r="AP185" s="94" t="str">
        <f>IF(preDEL!$AG185,IFERROR(0/0,""),preDEL!AP185)</f>
        <v/>
      </c>
      <c r="AQ185" s="94" t="str">
        <f>IF(preDEL!$AG185,IFERROR(0/0,""),preDEL!AQ185)</f>
        <v/>
      </c>
      <c r="AR185" s="94" t="str">
        <f>IF(preDEL!$AG185,IFERROR(0/0,""),preDEL!AR185)</f>
        <v/>
      </c>
      <c r="AS185" s="98"/>
      <c r="BE185" s="254"/>
      <c r="BF185" s="255"/>
      <c r="BG185" s="254"/>
      <c r="BH185" s="255"/>
      <c r="BI185" s="254"/>
      <c r="BJ185" s="254"/>
      <c r="BK185" s="254"/>
      <c r="BL185" s="254"/>
      <c r="BN185" s="7"/>
      <c r="BO185" s="7"/>
      <c r="BP185" s="7"/>
      <c r="BQ185" s="7"/>
      <c r="BR185" s="7"/>
      <c r="BS185" s="7"/>
      <c r="BT185" s="7"/>
    </row>
    <row r="186">
      <c r="A186" s="249" t="str">
        <f>IF(preDEL!$AG186,IFERROR(0/0,""),preDEL!A186)</f>
        <v>AG1608</v>
      </c>
      <c r="B186" s="250">
        <f>IF(preDEL!$AG186,IFERROR(0/0,""),preDEL!B186)</f>
        <v>44718</v>
      </c>
      <c r="C186" s="251">
        <f>IF(preDEL!$AG186,IFERROR(0/0,""),preDEL!C186)</f>
        <v>0.1569212963</v>
      </c>
      <c r="D186" s="249" t="str">
        <f>IF(preDEL!$AG186,IFERROR(0/0,""),preDEL!D186)</f>
        <v/>
      </c>
      <c r="E186" s="249" t="str">
        <f>IF(preDEL!$AG186,IFERROR(0/0,""),preDEL!E186)</f>
        <v/>
      </c>
      <c r="F186" s="94" t="str">
        <f>IF(preDEL!$AG186,IFERROR(0/0,""),preDEL!F186)</f>
        <v/>
      </c>
      <c r="G186" s="94" t="str">
        <f>IF(preDEL!$AG186,IFERROR(0/0,""),preDEL!G186)</f>
        <v/>
      </c>
      <c r="H186" s="94" t="str">
        <f>IF(preDEL!$AG186,IFERROR(0/0,""),preDEL!H186)</f>
        <v/>
      </c>
      <c r="I186" s="249" t="str">
        <f>IF(preDEL!$AG186,IFERROR(0/0,""),preDEL!I186)</f>
        <v/>
      </c>
      <c r="J186" s="249" t="str">
        <f>IF(preDEL!$AG186,IFERROR(0/0,""),preDEL!J186)</f>
        <v/>
      </c>
      <c r="K186" s="249" t="str">
        <f>IF(preDEL!$AG186,IFERROR(0/0,""),preDEL!K186)</f>
        <v>Negative</v>
      </c>
      <c r="L186" s="250">
        <f>IF(preDEL!$AG186,IFERROR(0/0,""),preDEL!L186)</f>
        <v>44718</v>
      </c>
      <c r="M186" s="251">
        <f>IF(preDEL!$AG186,IFERROR(0/0,""),preDEL!M186)</f>
        <v>0.3649768519</v>
      </c>
      <c r="N186" s="94" t="str">
        <f>IF(preDEL!$AG186,IFERROR(0/0,""),preDEL!N186)</f>
        <v/>
      </c>
      <c r="O186" s="94" t="str">
        <f>IF(preDEL!$AG186,IFERROR(0/0,""),preDEL!O186)</f>
        <v/>
      </c>
      <c r="P186" s="93" t="b">
        <f>IF(preDEL!$AG186,IFERROR(0/0,""),preDEL!P186)</f>
        <v>0</v>
      </c>
      <c r="Q186" s="93" t="str">
        <f>IF(preDEL!$AG186,IFERROR(0/0,""),preDEL!Q186)</f>
        <v>Result</v>
      </c>
      <c r="R186" s="99" t="b">
        <f>IF(preDEL!$AG186,IFERROR(0/0,""),preDEL!R186)</f>
        <v>0</v>
      </c>
      <c r="S186" s="99">
        <f>IF(preDEL!$AG186,IFERROR(0/0,""),preDEL!S186)</f>
        <v>3</v>
      </c>
      <c r="T186" s="93" t="str">
        <f>IF(preDEL!$AG186,IFERROR(0/0,""),preDEL!T186)</f>
        <v/>
      </c>
      <c r="U186" s="94" t="str">
        <f>IF(preDEL!$AG186,IFERROR(0/0,""),preDEL!U186)</f>
        <v/>
      </c>
      <c r="V186" s="249" t="str">
        <f>IF(preDEL!$AG186,IFERROR(0/0,""),preDEL!V186)</f>
        <v/>
      </c>
      <c r="W186" s="94" t="str">
        <f>IF(preDEL!$AG186,IFERROR(0/0,""),preDEL!W186)</f>
        <v/>
      </c>
      <c r="X186" s="99" t="b">
        <f>IF(preDEL!$AG186,IFERROR(0/0,""),preDEL!X186)</f>
        <v>0</v>
      </c>
      <c r="Y186" s="93" t="str">
        <f>IF(preDEL!$AG186,IFERROR(0/0,""),preDEL!Y186)</f>
        <v/>
      </c>
      <c r="Z186" s="249" t="str">
        <f>IF(preDEL!$AG186,IFERROR(0/0,""),preDEL!Z186)</f>
        <v/>
      </c>
      <c r="AA186" s="93" t="b">
        <f>IF(preDEL!$AG186,IFERROR(0/0,""),preDEL!AA186)</f>
        <v>0</v>
      </c>
      <c r="AB186" s="93" t="str">
        <f>IF(preDEL!$AG186,IFERROR(0/0,""),preDEL!AB186)</f>
        <v/>
      </c>
      <c r="AC186" s="252">
        <f>IF(preDEL!$AG186,IFERROR(0/0,""),preDEL!AC186)</f>
        <v>55</v>
      </c>
      <c r="AD186" s="99" t="str">
        <f>IF(preDEL!$AG186,IFERROR(0/0,""),preDEL!AD186)</f>
        <v/>
      </c>
      <c r="AE186" s="253">
        <f>IF(preDEL!$AG186,IFERROR(0/0,""),preDEL!AE186)</f>
        <v>299.6</v>
      </c>
      <c r="AF186" s="93" t="b">
        <f>IF(preDEL!$AG186,IFERROR(0/0,""),preDEL!AF186)</f>
        <v>0</v>
      </c>
      <c r="AG186" s="93" t="b">
        <f>IF(preDEL!$AG186,IFERROR(0/0,""),preDEL!AG186)</f>
        <v>0</v>
      </c>
      <c r="AH186" s="99" t="str">
        <f>IF(preDEL!$AG186,IFERROR(0/0,""),preDEL!AH186)</f>
        <v/>
      </c>
      <c r="AI186" s="249" t="str">
        <f>IF(preDEL!$AG186,IFERROR(0/0,""),preDEL!AI186)</f>
        <v/>
      </c>
      <c r="AJ186" s="94" t="str">
        <f>IF(preDEL!$AG186,IFERROR(0/0,""),preDEL!AJ186)</f>
        <v/>
      </c>
      <c r="AK186" s="249" t="str">
        <f>IF(preDEL!$AG186,IFERROR(0/0,""),preDEL!AK186)</f>
        <v>Negative</v>
      </c>
      <c r="AL186" s="94" t="str">
        <f>IF(preDEL!$AG186,IFERROR(0/0,""),preDEL!AL186)</f>
        <v/>
      </c>
      <c r="AM186" s="94" t="str">
        <f>IF(preDEL!$AG186,IFERROR(0/0,""),preDEL!AM186)</f>
        <v>SpNDHM435885</v>
      </c>
      <c r="AN186" s="94" t="str">
        <f>IF(preDEL!$AG186,IFERROR(0/0,""),preDEL!AN186)</f>
        <v>NDHM572644</v>
      </c>
      <c r="AO186" s="94" t="str">
        <f>IF(preDEL!$AG186,IFERROR(0/0,""),preDEL!AO186)</f>
        <v/>
      </c>
      <c r="AP186" s="94" t="str">
        <f>IF(preDEL!$AG186,IFERROR(0/0,""),preDEL!AP186)</f>
        <v/>
      </c>
      <c r="AQ186" s="94" t="str">
        <f>IF(preDEL!$AG186,IFERROR(0/0,""),preDEL!AQ186)</f>
        <v/>
      </c>
      <c r="AR186" s="94" t="str">
        <f>IF(preDEL!$AG186,IFERROR(0/0,""),preDEL!AR186)</f>
        <v/>
      </c>
      <c r="AS186" s="98"/>
      <c r="BE186" s="254"/>
      <c r="BF186" s="255"/>
      <c r="BG186" s="254"/>
      <c r="BH186" s="255"/>
      <c r="BI186" s="254"/>
      <c r="BJ186" s="254"/>
      <c r="BK186" s="254"/>
      <c r="BL186" s="254"/>
      <c r="BN186" s="7"/>
      <c r="BO186" s="7"/>
      <c r="BP186" s="7"/>
      <c r="BQ186" s="7"/>
      <c r="BR186" s="7"/>
      <c r="BS186" s="7"/>
      <c r="BT186" s="7"/>
    </row>
    <row r="187">
      <c r="A187" s="249" t="str">
        <f>IF(preDEL!$AG187,IFERROR(0/0,""),preDEL!A187)</f>
        <v>AH707</v>
      </c>
      <c r="B187" s="250">
        <f>IF(preDEL!$AG187,IFERROR(0/0,""),preDEL!B187)</f>
        <v>44718</v>
      </c>
      <c r="C187" s="251">
        <f>IF(preDEL!$AG187,IFERROR(0/0,""),preDEL!C187)</f>
        <v>0.1777546296</v>
      </c>
      <c r="D187" s="249" t="str">
        <f>IF(preDEL!$AG187,IFERROR(0/0,""),preDEL!D187)</f>
        <v/>
      </c>
      <c r="E187" s="249" t="str">
        <f>IF(preDEL!$AG187,IFERROR(0/0,""),preDEL!E187)</f>
        <v/>
      </c>
      <c r="F187" s="94" t="str">
        <f>IF(preDEL!$AG187,IFERROR(0/0,""),preDEL!F187)</f>
        <v/>
      </c>
      <c r="G187" s="94" t="str">
        <f>IF(preDEL!$AG187,IFERROR(0/0,""),preDEL!G187)</f>
        <v/>
      </c>
      <c r="H187" s="94" t="str">
        <f>IF(preDEL!$AG187,IFERROR(0/0,""),preDEL!H187)</f>
        <v/>
      </c>
      <c r="I187" s="249" t="str">
        <f>IF(preDEL!$AG187,IFERROR(0/0,""),preDEL!I187)</f>
        <v/>
      </c>
      <c r="J187" s="249" t="str">
        <f>IF(preDEL!$AG187,IFERROR(0/0,""),preDEL!J187)</f>
        <v/>
      </c>
      <c r="K187" s="249" t="str">
        <f>IF(preDEL!$AG187,IFERROR(0/0,""),preDEL!K187)</f>
        <v>Negative</v>
      </c>
      <c r="L187" s="250">
        <f>IF(preDEL!$AG187,IFERROR(0/0,""),preDEL!L187)</f>
        <v>44718</v>
      </c>
      <c r="M187" s="251">
        <f>IF(preDEL!$AG187,IFERROR(0/0,""),preDEL!M187)</f>
        <v>0.3649768519</v>
      </c>
      <c r="N187" s="94" t="str">
        <f>IF(preDEL!$AG187,IFERROR(0/0,""),preDEL!N187)</f>
        <v/>
      </c>
      <c r="O187" s="94" t="str">
        <f>IF(preDEL!$AG187,IFERROR(0/0,""),preDEL!O187)</f>
        <v/>
      </c>
      <c r="P187" s="93" t="b">
        <f>IF(preDEL!$AG187,IFERROR(0/0,""),preDEL!P187)</f>
        <v>0</v>
      </c>
      <c r="Q187" s="93" t="str">
        <f>IF(preDEL!$AG187,IFERROR(0/0,""),preDEL!Q187)</f>
        <v>Result</v>
      </c>
      <c r="R187" s="99" t="b">
        <f>IF(preDEL!$AG187,IFERROR(0/0,""),preDEL!R187)</f>
        <v>1</v>
      </c>
      <c r="S187" s="99">
        <f>IF(preDEL!$AG187,IFERROR(0/0,""),preDEL!S187)</f>
        <v>4</v>
      </c>
      <c r="T187" s="93" t="str">
        <f>IF(preDEL!$AG187,IFERROR(0/0,""),preDEL!T187)</f>
        <v/>
      </c>
      <c r="U187" s="94" t="str">
        <f>IF(preDEL!$AG187,IFERROR(0/0,""),preDEL!U187)</f>
        <v/>
      </c>
      <c r="V187" s="249" t="str">
        <f>IF(preDEL!$AG187,IFERROR(0/0,""),preDEL!V187)</f>
        <v/>
      </c>
      <c r="W187" s="94" t="str">
        <f>IF(preDEL!$AG187,IFERROR(0/0,""),preDEL!W187)</f>
        <v/>
      </c>
      <c r="X187" s="99" t="b">
        <f>IF(preDEL!$AG187,IFERROR(0/0,""),preDEL!X187)</f>
        <v>0</v>
      </c>
      <c r="Y187" s="93" t="str">
        <f>IF(preDEL!$AG187,IFERROR(0/0,""),preDEL!Y187)</f>
        <v/>
      </c>
      <c r="Z187" s="249" t="str">
        <f>IF(preDEL!$AG187,IFERROR(0/0,""),preDEL!Z187)</f>
        <v/>
      </c>
      <c r="AA187" s="93" t="b">
        <f>IF(preDEL!$AG187,IFERROR(0/0,""),preDEL!AA187)</f>
        <v>0</v>
      </c>
      <c r="AB187" s="93" t="str">
        <f>IF(preDEL!$AG187,IFERROR(0/0,""),preDEL!AB187)</f>
        <v/>
      </c>
      <c r="AC187" s="252">
        <f>IF(preDEL!$AG187,IFERROR(0/0,""),preDEL!AC187)</f>
        <v>59</v>
      </c>
      <c r="AD187" s="99" t="str">
        <f>IF(preDEL!$AG187,IFERROR(0/0,""),preDEL!AD187)</f>
        <v/>
      </c>
      <c r="AE187" s="253">
        <f>IF(preDEL!$AG187,IFERROR(0/0,""),preDEL!AE187)</f>
        <v>269.6</v>
      </c>
      <c r="AF187" s="93" t="b">
        <f>IF(preDEL!$AG187,IFERROR(0/0,""),preDEL!AF187)</f>
        <v>0</v>
      </c>
      <c r="AG187" s="93" t="b">
        <f>IF(preDEL!$AG187,IFERROR(0/0,""),preDEL!AG187)</f>
        <v>0</v>
      </c>
      <c r="AH187" s="99" t="str">
        <f>IF(preDEL!$AG187,IFERROR(0/0,""),preDEL!AH187)</f>
        <v/>
      </c>
      <c r="AI187" s="249" t="str">
        <f>IF(preDEL!$AG187,IFERROR(0/0,""),preDEL!AI187)</f>
        <v/>
      </c>
      <c r="AJ187" s="94" t="str">
        <f>IF(preDEL!$AG187,IFERROR(0/0,""),preDEL!AJ187)</f>
        <v/>
      </c>
      <c r="AK187" s="249" t="str">
        <f>IF(preDEL!$AG187,IFERROR(0/0,""),preDEL!AK187)</f>
        <v>Negative</v>
      </c>
      <c r="AL187" s="94" t="str">
        <f>IF(preDEL!$AG187,IFERROR(0/0,""),preDEL!AL187)</f>
        <v/>
      </c>
      <c r="AM187" s="94" t="str">
        <f>IF(preDEL!$AG187,IFERROR(0/0,""),preDEL!AM187)</f>
        <v>SpNDHM955894</v>
      </c>
      <c r="AN187" s="94" t="str">
        <f>IF(preDEL!$AG187,IFERROR(0/0,""),preDEL!AN187)</f>
        <v>NDHM107467</v>
      </c>
      <c r="AO187" s="94" t="str">
        <f>IF(preDEL!$AG187,IFERROR(0/0,""),preDEL!AO187)</f>
        <v/>
      </c>
      <c r="AP187" s="94" t="str">
        <f>IF(preDEL!$AG187,IFERROR(0/0,""),preDEL!AP187)</f>
        <v/>
      </c>
      <c r="AQ187" s="94" t="str">
        <f>IF(preDEL!$AG187,IFERROR(0/0,""),preDEL!AQ187)</f>
        <v/>
      </c>
      <c r="AR187" s="94" t="str">
        <f>IF(preDEL!$AG187,IFERROR(0/0,""),preDEL!AR187)</f>
        <v/>
      </c>
      <c r="AS187" s="98"/>
      <c r="BE187" s="254"/>
      <c r="BF187" s="255"/>
      <c r="BG187" s="254"/>
      <c r="BH187" s="255"/>
      <c r="BI187" s="254"/>
      <c r="BJ187" s="254"/>
      <c r="BK187" s="254"/>
      <c r="BL187" s="254"/>
      <c r="BN187" s="7"/>
      <c r="BO187" s="7"/>
      <c r="BP187" s="7"/>
      <c r="BQ187" s="7"/>
      <c r="BR187" s="7"/>
      <c r="BS187" s="7"/>
      <c r="BT187" s="7"/>
    </row>
    <row r="188">
      <c r="A188" s="249" t="str">
        <f>IF(preDEL!$AG188,IFERROR(0/0,""),preDEL!A188)</f>
        <v>AH707</v>
      </c>
      <c r="B188" s="250">
        <f>IF(preDEL!$AG188,IFERROR(0/0,""),preDEL!B188)</f>
        <v>44718</v>
      </c>
      <c r="C188" s="251">
        <f>IF(preDEL!$AG188,IFERROR(0/0,""),preDEL!C188)</f>
        <v>0.1777546296</v>
      </c>
      <c r="D188" s="249" t="str">
        <f>IF(preDEL!$AG188,IFERROR(0/0,""),preDEL!D188)</f>
        <v/>
      </c>
      <c r="E188" s="249" t="str">
        <f>IF(preDEL!$AG188,IFERROR(0/0,""),preDEL!E188)</f>
        <v/>
      </c>
      <c r="F188" s="94" t="str">
        <f>IF(preDEL!$AG188,IFERROR(0/0,""),preDEL!F188)</f>
        <v/>
      </c>
      <c r="G188" s="94" t="str">
        <f>IF(preDEL!$AG188,IFERROR(0/0,""),preDEL!G188)</f>
        <v/>
      </c>
      <c r="H188" s="94" t="str">
        <f>IF(preDEL!$AG188,IFERROR(0/0,""),preDEL!H188)</f>
        <v/>
      </c>
      <c r="I188" s="249" t="str">
        <f>IF(preDEL!$AG188,IFERROR(0/0,""),preDEL!I188)</f>
        <v/>
      </c>
      <c r="J188" s="249" t="str">
        <f>IF(preDEL!$AG188,IFERROR(0/0,""),preDEL!J188)</f>
        <v/>
      </c>
      <c r="K188" s="249" t="str">
        <f>IF(preDEL!$AG188,IFERROR(0/0,""),preDEL!K188)</f>
        <v>Negative</v>
      </c>
      <c r="L188" s="250">
        <f>IF(preDEL!$AG188,IFERROR(0/0,""),preDEL!L188)</f>
        <v>44718</v>
      </c>
      <c r="M188" s="251">
        <f>IF(preDEL!$AG188,IFERROR(0/0,""),preDEL!M188)</f>
        <v>0.3649768519</v>
      </c>
      <c r="N188" s="94" t="str">
        <f>IF(preDEL!$AG188,IFERROR(0/0,""),preDEL!N188)</f>
        <v/>
      </c>
      <c r="O188" s="94" t="str">
        <f>IF(preDEL!$AG188,IFERROR(0/0,""),preDEL!O188)</f>
        <v/>
      </c>
      <c r="P188" s="93" t="b">
        <f>IF(preDEL!$AG188,IFERROR(0/0,""),preDEL!P188)</f>
        <v>0</v>
      </c>
      <c r="Q188" s="93" t="str">
        <f>IF(preDEL!$AG188,IFERROR(0/0,""),preDEL!Q188)</f>
        <v>Result</v>
      </c>
      <c r="R188" s="99" t="b">
        <f>IF(preDEL!$AG188,IFERROR(0/0,""),preDEL!R188)</f>
        <v>0</v>
      </c>
      <c r="S188" s="99">
        <f>IF(preDEL!$AG188,IFERROR(0/0,""),preDEL!S188)</f>
        <v>4</v>
      </c>
      <c r="T188" s="93" t="str">
        <f>IF(preDEL!$AG188,IFERROR(0/0,""),preDEL!T188)</f>
        <v/>
      </c>
      <c r="U188" s="94" t="str">
        <f>IF(preDEL!$AG188,IFERROR(0/0,""),preDEL!U188)</f>
        <v/>
      </c>
      <c r="V188" s="249" t="str">
        <f>IF(preDEL!$AG188,IFERROR(0/0,""),preDEL!V188)</f>
        <v/>
      </c>
      <c r="W188" s="94" t="str">
        <f>IF(preDEL!$AG188,IFERROR(0/0,""),preDEL!W188)</f>
        <v/>
      </c>
      <c r="X188" s="99" t="b">
        <f>IF(preDEL!$AG188,IFERROR(0/0,""),preDEL!X188)</f>
        <v>0</v>
      </c>
      <c r="Y188" s="93" t="str">
        <f>IF(preDEL!$AG188,IFERROR(0/0,""),preDEL!Y188)</f>
        <v/>
      </c>
      <c r="Z188" s="249" t="str">
        <f>IF(preDEL!$AG188,IFERROR(0/0,""),preDEL!Z188)</f>
        <v/>
      </c>
      <c r="AA188" s="93" t="b">
        <f>IF(preDEL!$AG188,IFERROR(0/0,""),preDEL!AA188)</f>
        <v>0</v>
      </c>
      <c r="AB188" s="93" t="str">
        <f>IF(preDEL!$AG188,IFERROR(0/0,""),preDEL!AB188)</f>
        <v/>
      </c>
      <c r="AC188" s="252">
        <f>IF(preDEL!$AG188,IFERROR(0/0,""),preDEL!AC188)</f>
        <v>61</v>
      </c>
      <c r="AD188" s="99" t="str">
        <f>IF(preDEL!$AG188,IFERROR(0/0,""),preDEL!AD188)</f>
        <v/>
      </c>
      <c r="AE188" s="253">
        <f>IF(preDEL!$AG188,IFERROR(0/0,""),preDEL!AE188)</f>
        <v>269.6</v>
      </c>
      <c r="AF188" s="93" t="b">
        <f>IF(preDEL!$AG188,IFERROR(0/0,""),preDEL!AF188)</f>
        <v>0</v>
      </c>
      <c r="AG188" s="93" t="b">
        <f>IF(preDEL!$AG188,IFERROR(0/0,""),preDEL!AG188)</f>
        <v>0</v>
      </c>
      <c r="AH188" s="99" t="str">
        <f>IF(preDEL!$AG188,IFERROR(0/0,""),preDEL!AH188)</f>
        <v/>
      </c>
      <c r="AI188" s="249" t="str">
        <f>IF(preDEL!$AG188,IFERROR(0/0,""),preDEL!AI188)</f>
        <v/>
      </c>
      <c r="AJ188" s="94" t="str">
        <f>IF(preDEL!$AG188,IFERROR(0/0,""),preDEL!AJ188)</f>
        <v/>
      </c>
      <c r="AK188" s="249" t="str">
        <f>IF(preDEL!$AG188,IFERROR(0/0,""),preDEL!AK188)</f>
        <v>Negative</v>
      </c>
      <c r="AL188" s="94" t="str">
        <f>IF(preDEL!$AG188,IFERROR(0/0,""),preDEL!AL188)</f>
        <v/>
      </c>
      <c r="AM188" s="94" t="str">
        <f>IF(preDEL!$AG188,IFERROR(0/0,""),preDEL!AM188)</f>
        <v>SpNDHM955894</v>
      </c>
      <c r="AN188" s="94" t="str">
        <f>IF(preDEL!$AG188,IFERROR(0/0,""),preDEL!AN188)</f>
        <v>NDHM574415</v>
      </c>
      <c r="AO188" s="94" t="str">
        <f>IF(preDEL!$AG188,IFERROR(0/0,""),preDEL!AO188)</f>
        <v/>
      </c>
      <c r="AP188" s="94" t="str">
        <f>IF(preDEL!$AG188,IFERROR(0/0,""),preDEL!AP188)</f>
        <v/>
      </c>
      <c r="AQ188" s="94" t="str">
        <f>IF(preDEL!$AG188,IFERROR(0/0,""),preDEL!AQ188)</f>
        <v/>
      </c>
      <c r="AR188" s="94" t="str">
        <f>IF(preDEL!$AG188,IFERROR(0/0,""),preDEL!AR188)</f>
        <v/>
      </c>
      <c r="AS188" s="98"/>
      <c r="BE188" s="254"/>
      <c r="BF188" s="255"/>
      <c r="BG188" s="254"/>
      <c r="BH188" s="255"/>
      <c r="BI188" s="254"/>
      <c r="BJ188" s="254"/>
      <c r="BK188" s="254"/>
      <c r="BL188" s="254"/>
      <c r="BN188" s="7"/>
      <c r="BO188" s="7"/>
      <c r="BP188" s="7"/>
      <c r="BQ188" s="7"/>
      <c r="BR188" s="7"/>
      <c r="BS188" s="7"/>
      <c r="BT188" s="7"/>
    </row>
    <row r="189">
      <c r="A189" s="249" t="str">
        <f>IF(preDEL!$AG189,IFERROR(0/0,""),preDEL!A189)</f>
        <v>AH707</v>
      </c>
      <c r="B189" s="250">
        <f>IF(preDEL!$AG189,IFERROR(0/0,""),preDEL!B189)</f>
        <v>44718</v>
      </c>
      <c r="C189" s="251">
        <f>IF(preDEL!$AG189,IFERROR(0/0,""),preDEL!C189)</f>
        <v>0.1777546296</v>
      </c>
      <c r="D189" s="249" t="str">
        <f>IF(preDEL!$AG189,IFERROR(0/0,""),preDEL!D189)</f>
        <v/>
      </c>
      <c r="E189" s="249" t="str">
        <f>IF(preDEL!$AG189,IFERROR(0/0,""),preDEL!E189)</f>
        <v/>
      </c>
      <c r="F189" s="94" t="str">
        <f>IF(preDEL!$AG189,IFERROR(0/0,""),preDEL!F189)</f>
        <v/>
      </c>
      <c r="G189" s="94" t="str">
        <f>IF(preDEL!$AG189,IFERROR(0/0,""),preDEL!G189)</f>
        <v/>
      </c>
      <c r="H189" s="94" t="str">
        <f>IF(preDEL!$AG189,IFERROR(0/0,""),preDEL!H189)</f>
        <v/>
      </c>
      <c r="I189" s="249" t="str">
        <f>IF(preDEL!$AG189,IFERROR(0/0,""),preDEL!I189)</f>
        <v/>
      </c>
      <c r="J189" s="249" t="str">
        <f>IF(preDEL!$AG189,IFERROR(0/0,""),preDEL!J189)</f>
        <v/>
      </c>
      <c r="K189" s="249" t="str">
        <f>IF(preDEL!$AG189,IFERROR(0/0,""),preDEL!K189)</f>
        <v>Negative</v>
      </c>
      <c r="L189" s="250">
        <f>IF(preDEL!$AG189,IFERROR(0/0,""),preDEL!L189)</f>
        <v>44718</v>
      </c>
      <c r="M189" s="251">
        <f>IF(preDEL!$AG189,IFERROR(0/0,""),preDEL!M189)</f>
        <v>0.3649768519</v>
      </c>
      <c r="N189" s="94" t="str">
        <f>IF(preDEL!$AG189,IFERROR(0/0,""),preDEL!N189)</f>
        <v/>
      </c>
      <c r="O189" s="94" t="str">
        <f>IF(preDEL!$AG189,IFERROR(0/0,""),preDEL!O189)</f>
        <v/>
      </c>
      <c r="P189" s="93" t="b">
        <f>IF(preDEL!$AG189,IFERROR(0/0,""),preDEL!P189)</f>
        <v>0</v>
      </c>
      <c r="Q189" s="93" t="str">
        <f>IF(preDEL!$AG189,IFERROR(0/0,""),preDEL!Q189)</f>
        <v>Result</v>
      </c>
      <c r="R189" s="99" t="b">
        <f>IF(preDEL!$AG189,IFERROR(0/0,""),preDEL!R189)</f>
        <v>0</v>
      </c>
      <c r="S189" s="99">
        <f>IF(preDEL!$AG189,IFERROR(0/0,""),preDEL!S189)</f>
        <v>4</v>
      </c>
      <c r="T189" s="93" t="str">
        <f>IF(preDEL!$AG189,IFERROR(0/0,""),preDEL!T189)</f>
        <v/>
      </c>
      <c r="U189" s="94" t="str">
        <f>IF(preDEL!$AG189,IFERROR(0/0,""),preDEL!U189)</f>
        <v/>
      </c>
      <c r="V189" s="249" t="str">
        <f>IF(preDEL!$AG189,IFERROR(0/0,""),preDEL!V189)</f>
        <v/>
      </c>
      <c r="W189" s="94" t="str">
        <f>IF(preDEL!$AG189,IFERROR(0/0,""),preDEL!W189)</f>
        <v/>
      </c>
      <c r="X189" s="99" t="b">
        <f>IF(preDEL!$AG189,IFERROR(0/0,""),preDEL!X189)</f>
        <v>0</v>
      </c>
      <c r="Y189" s="93" t="str">
        <f>IF(preDEL!$AG189,IFERROR(0/0,""),preDEL!Y189)</f>
        <v/>
      </c>
      <c r="Z189" s="249" t="str">
        <f>IF(preDEL!$AG189,IFERROR(0/0,""),preDEL!Z189)</f>
        <v/>
      </c>
      <c r="AA189" s="93" t="b">
        <f>IF(preDEL!$AG189,IFERROR(0/0,""),preDEL!AA189)</f>
        <v>0</v>
      </c>
      <c r="AB189" s="93" t="str">
        <f>IF(preDEL!$AG189,IFERROR(0/0,""),preDEL!AB189)</f>
        <v/>
      </c>
      <c r="AC189" s="252">
        <f>IF(preDEL!$AG189,IFERROR(0/0,""),preDEL!AC189)</f>
        <v>58</v>
      </c>
      <c r="AD189" s="99" t="str">
        <f>IF(preDEL!$AG189,IFERROR(0/0,""),preDEL!AD189)</f>
        <v/>
      </c>
      <c r="AE189" s="253">
        <f>IF(preDEL!$AG189,IFERROR(0/0,""),preDEL!AE189)</f>
        <v>269.6</v>
      </c>
      <c r="AF189" s="93" t="b">
        <f>IF(preDEL!$AG189,IFERROR(0/0,""),preDEL!AF189)</f>
        <v>0</v>
      </c>
      <c r="AG189" s="93" t="b">
        <f>IF(preDEL!$AG189,IFERROR(0/0,""),preDEL!AG189)</f>
        <v>0</v>
      </c>
      <c r="AH189" s="99" t="str">
        <f>IF(preDEL!$AG189,IFERROR(0/0,""),preDEL!AH189)</f>
        <v/>
      </c>
      <c r="AI189" s="249" t="str">
        <f>IF(preDEL!$AG189,IFERROR(0/0,""),preDEL!AI189)</f>
        <v/>
      </c>
      <c r="AJ189" s="94" t="str">
        <f>IF(preDEL!$AG189,IFERROR(0/0,""),preDEL!AJ189)</f>
        <v/>
      </c>
      <c r="AK189" s="249" t="str">
        <f>IF(preDEL!$AG189,IFERROR(0/0,""),preDEL!AK189)</f>
        <v>Negative</v>
      </c>
      <c r="AL189" s="94" t="str">
        <f>IF(preDEL!$AG189,IFERROR(0/0,""),preDEL!AL189)</f>
        <v/>
      </c>
      <c r="AM189" s="94" t="str">
        <f>IF(preDEL!$AG189,IFERROR(0/0,""),preDEL!AM189)</f>
        <v>SpNDHM955894</v>
      </c>
      <c r="AN189" s="94" t="str">
        <f>IF(preDEL!$AG189,IFERROR(0/0,""),preDEL!AN189)</f>
        <v>NDHM432678</v>
      </c>
      <c r="AO189" s="94" t="str">
        <f>IF(preDEL!$AG189,IFERROR(0/0,""),preDEL!AO189)</f>
        <v/>
      </c>
      <c r="AP189" s="94" t="str">
        <f>IF(preDEL!$AG189,IFERROR(0/0,""),preDEL!AP189)</f>
        <v/>
      </c>
      <c r="AQ189" s="94" t="str">
        <f>IF(preDEL!$AG189,IFERROR(0/0,""),preDEL!AQ189)</f>
        <v/>
      </c>
      <c r="AR189" s="94" t="str">
        <f>IF(preDEL!$AG189,IFERROR(0/0,""),preDEL!AR189)</f>
        <v/>
      </c>
      <c r="AS189" s="98"/>
      <c r="BE189" s="254"/>
      <c r="BF189" s="255"/>
      <c r="BG189" s="254"/>
      <c r="BH189" s="255"/>
      <c r="BI189" s="254"/>
      <c r="BJ189" s="254"/>
      <c r="BK189" s="254"/>
      <c r="BL189" s="254"/>
      <c r="BN189" s="7"/>
      <c r="BO189" s="7"/>
      <c r="BP189" s="7"/>
      <c r="BQ189" s="7"/>
      <c r="BR189" s="7"/>
      <c r="BS189" s="7"/>
      <c r="BT189" s="7"/>
    </row>
    <row r="190">
      <c r="A190" s="249" t="str">
        <f>IF(preDEL!$AG190,IFERROR(0/0,""),preDEL!A190)</f>
        <v>AH707</v>
      </c>
      <c r="B190" s="250">
        <f>IF(preDEL!$AG190,IFERROR(0/0,""),preDEL!B190)</f>
        <v>44718</v>
      </c>
      <c r="C190" s="251">
        <f>IF(preDEL!$AG190,IFERROR(0/0,""),preDEL!C190)</f>
        <v>0.1777546296</v>
      </c>
      <c r="D190" s="249" t="str">
        <f>IF(preDEL!$AG190,IFERROR(0/0,""),preDEL!D190)</f>
        <v/>
      </c>
      <c r="E190" s="249" t="str">
        <f>IF(preDEL!$AG190,IFERROR(0/0,""),preDEL!E190)</f>
        <v/>
      </c>
      <c r="F190" s="94" t="str">
        <f>IF(preDEL!$AG190,IFERROR(0/0,""),preDEL!F190)</f>
        <v/>
      </c>
      <c r="G190" s="94" t="str">
        <f>IF(preDEL!$AG190,IFERROR(0/0,""),preDEL!G190)</f>
        <v/>
      </c>
      <c r="H190" s="94" t="str">
        <f>IF(preDEL!$AG190,IFERROR(0/0,""),preDEL!H190)</f>
        <v/>
      </c>
      <c r="I190" s="249" t="str">
        <f>IF(preDEL!$AG190,IFERROR(0/0,""),preDEL!I190)</f>
        <v/>
      </c>
      <c r="J190" s="249" t="str">
        <f>IF(preDEL!$AG190,IFERROR(0/0,""),preDEL!J190)</f>
        <v/>
      </c>
      <c r="K190" s="249" t="str">
        <f>IF(preDEL!$AG190,IFERROR(0/0,""),preDEL!K190)</f>
        <v>Negative</v>
      </c>
      <c r="L190" s="250">
        <f>IF(preDEL!$AG190,IFERROR(0/0,""),preDEL!L190)</f>
        <v>44718</v>
      </c>
      <c r="M190" s="251">
        <f>IF(preDEL!$AG190,IFERROR(0/0,""),preDEL!M190)</f>
        <v>0.3649768519</v>
      </c>
      <c r="N190" s="94" t="str">
        <f>IF(preDEL!$AG190,IFERROR(0/0,""),preDEL!N190)</f>
        <v/>
      </c>
      <c r="O190" s="94" t="str">
        <f>IF(preDEL!$AG190,IFERROR(0/0,""),preDEL!O190)</f>
        <v/>
      </c>
      <c r="P190" s="93" t="b">
        <f>IF(preDEL!$AG190,IFERROR(0/0,""),preDEL!P190)</f>
        <v>0</v>
      </c>
      <c r="Q190" s="93" t="str">
        <f>IF(preDEL!$AG190,IFERROR(0/0,""),preDEL!Q190)</f>
        <v>Result</v>
      </c>
      <c r="R190" s="99" t="b">
        <f>IF(preDEL!$AG190,IFERROR(0/0,""),preDEL!R190)</f>
        <v>0</v>
      </c>
      <c r="S190" s="99">
        <f>IF(preDEL!$AG190,IFERROR(0/0,""),preDEL!S190)</f>
        <v>4</v>
      </c>
      <c r="T190" s="93" t="str">
        <f>IF(preDEL!$AG190,IFERROR(0/0,""),preDEL!T190)</f>
        <v/>
      </c>
      <c r="U190" s="94" t="str">
        <f>IF(preDEL!$AG190,IFERROR(0/0,""),preDEL!U190)</f>
        <v/>
      </c>
      <c r="V190" s="249" t="str">
        <f>IF(preDEL!$AG190,IFERROR(0/0,""),preDEL!V190)</f>
        <v/>
      </c>
      <c r="W190" s="94" t="str">
        <f>IF(preDEL!$AG190,IFERROR(0/0,""),preDEL!W190)</f>
        <v/>
      </c>
      <c r="X190" s="99" t="b">
        <f>IF(preDEL!$AG190,IFERROR(0/0,""),preDEL!X190)</f>
        <v>0</v>
      </c>
      <c r="Y190" s="93" t="str">
        <f>IF(preDEL!$AG190,IFERROR(0/0,""),preDEL!Y190)</f>
        <v/>
      </c>
      <c r="Z190" s="249" t="str">
        <f>IF(preDEL!$AG190,IFERROR(0/0,""),preDEL!Z190)</f>
        <v/>
      </c>
      <c r="AA190" s="93" t="b">
        <f>IF(preDEL!$AG190,IFERROR(0/0,""),preDEL!AA190)</f>
        <v>0</v>
      </c>
      <c r="AB190" s="93" t="str">
        <f>IF(preDEL!$AG190,IFERROR(0/0,""),preDEL!AB190)</f>
        <v/>
      </c>
      <c r="AC190" s="252">
        <f>IF(preDEL!$AG190,IFERROR(0/0,""),preDEL!AC190)</f>
        <v>60</v>
      </c>
      <c r="AD190" s="99" t="str">
        <f>IF(preDEL!$AG190,IFERROR(0/0,""),preDEL!AD190)</f>
        <v/>
      </c>
      <c r="AE190" s="253">
        <f>IF(preDEL!$AG190,IFERROR(0/0,""),preDEL!AE190)</f>
        <v>269.6</v>
      </c>
      <c r="AF190" s="93" t="b">
        <f>IF(preDEL!$AG190,IFERROR(0/0,""),preDEL!AF190)</f>
        <v>0</v>
      </c>
      <c r="AG190" s="93" t="b">
        <f>IF(preDEL!$AG190,IFERROR(0/0,""),preDEL!AG190)</f>
        <v>0</v>
      </c>
      <c r="AH190" s="99" t="str">
        <f>IF(preDEL!$AG190,IFERROR(0/0,""),preDEL!AH190)</f>
        <v/>
      </c>
      <c r="AI190" s="249" t="str">
        <f>IF(preDEL!$AG190,IFERROR(0/0,""),preDEL!AI190)</f>
        <v/>
      </c>
      <c r="AJ190" s="94" t="str">
        <f>IF(preDEL!$AG190,IFERROR(0/0,""),preDEL!AJ190)</f>
        <v/>
      </c>
      <c r="AK190" s="249" t="str">
        <f>IF(preDEL!$AG190,IFERROR(0/0,""),preDEL!AK190)</f>
        <v>Negative</v>
      </c>
      <c r="AL190" s="94" t="str">
        <f>IF(preDEL!$AG190,IFERROR(0/0,""),preDEL!AL190)</f>
        <v/>
      </c>
      <c r="AM190" s="94" t="str">
        <f>IF(preDEL!$AG190,IFERROR(0/0,""),preDEL!AM190)</f>
        <v>SpNDHM955894</v>
      </c>
      <c r="AN190" s="94" t="str">
        <f>IF(preDEL!$AG190,IFERROR(0/0,""),preDEL!AN190)</f>
        <v>NDHM513495</v>
      </c>
      <c r="AO190" s="94" t="str">
        <f>IF(preDEL!$AG190,IFERROR(0/0,""),preDEL!AO190)</f>
        <v/>
      </c>
      <c r="AP190" s="94" t="str">
        <f>IF(preDEL!$AG190,IFERROR(0/0,""),preDEL!AP190)</f>
        <v/>
      </c>
      <c r="AQ190" s="94" t="str">
        <f>IF(preDEL!$AG190,IFERROR(0/0,""),preDEL!AQ190)</f>
        <v/>
      </c>
      <c r="AR190" s="94" t="str">
        <f>IF(preDEL!$AG190,IFERROR(0/0,""),preDEL!AR190)</f>
        <v/>
      </c>
      <c r="AS190" s="98"/>
      <c r="BE190" s="254"/>
      <c r="BF190" s="255"/>
      <c r="BG190" s="254"/>
      <c r="BH190" s="255"/>
      <c r="BI190" s="254"/>
      <c r="BJ190" s="254"/>
      <c r="BK190" s="254"/>
      <c r="BL190" s="254"/>
      <c r="BN190" s="7"/>
      <c r="BO190" s="7"/>
      <c r="BP190" s="7"/>
      <c r="BQ190" s="7"/>
      <c r="BR190" s="7"/>
      <c r="BS190" s="7"/>
      <c r="BT190" s="7"/>
    </row>
    <row r="191">
      <c r="A191" s="249" t="str">
        <f>IF(preDEL!$AG191,IFERROR(0/0,""),preDEL!A191)</f>
        <v/>
      </c>
      <c r="B191" s="250" t="str">
        <f>IF(preDEL!$AG191,IFERROR(0/0,""),preDEL!B191)</f>
        <v/>
      </c>
      <c r="C191" s="251" t="str">
        <f>IF(preDEL!$AG191,IFERROR(0/0,""),preDEL!C191)</f>
        <v/>
      </c>
      <c r="D191" s="249" t="str">
        <f>IF(preDEL!$AG191,IFERROR(0/0,""),preDEL!D191)</f>
        <v/>
      </c>
      <c r="E191" s="249" t="str">
        <f>IF(preDEL!$AG191,IFERROR(0/0,""),preDEL!E191)</f>
        <v/>
      </c>
      <c r="F191" s="94" t="str">
        <f>IF(preDEL!$AG191,IFERROR(0/0,""),preDEL!F191)</f>
        <v/>
      </c>
      <c r="G191" s="94" t="str">
        <f>IF(preDEL!$AG191,IFERROR(0/0,""),preDEL!G191)</f>
        <v/>
      </c>
      <c r="H191" s="94" t="str">
        <f>IF(preDEL!$AG191,IFERROR(0/0,""),preDEL!H191)</f>
        <v/>
      </c>
      <c r="I191" s="249" t="str">
        <f>IF(preDEL!$AG191,IFERROR(0/0,""),preDEL!I191)</f>
        <v/>
      </c>
      <c r="J191" s="249" t="str">
        <f>IF(preDEL!$AG191,IFERROR(0/0,""),preDEL!J191)</f>
        <v/>
      </c>
      <c r="K191" s="249" t="str">
        <f>IF(preDEL!$AG191,IFERROR(0/0,""),preDEL!K191)</f>
        <v/>
      </c>
      <c r="L191" s="250" t="str">
        <f>IF(preDEL!$AG191,IFERROR(0/0,""),preDEL!L191)</f>
        <v/>
      </c>
      <c r="M191" s="251" t="str">
        <f>IF(preDEL!$AG191,IFERROR(0/0,""),preDEL!M191)</f>
        <v/>
      </c>
      <c r="N191" s="94" t="str">
        <f>IF(preDEL!$AG191,IFERROR(0/0,""),preDEL!N191)</f>
        <v/>
      </c>
      <c r="O191" s="94" t="str">
        <f>IF(preDEL!$AG191,IFERROR(0/0,""),preDEL!O191)</f>
        <v/>
      </c>
      <c r="P191" s="93" t="str">
        <f>IF(preDEL!$AG191,IFERROR(0/0,""),preDEL!P191)</f>
        <v/>
      </c>
      <c r="Q191" s="93" t="str">
        <f>IF(preDEL!$AG191,IFERROR(0/0,""),preDEL!Q191)</f>
        <v/>
      </c>
      <c r="R191" s="99" t="str">
        <f>IF(preDEL!$AG191,IFERROR(0/0,""),preDEL!R191)</f>
        <v/>
      </c>
      <c r="S191" s="99" t="str">
        <f>IF(preDEL!$AG191,IFERROR(0/0,""),preDEL!S191)</f>
        <v/>
      </c>
      <c r="T191" s="93" t="str">
        <f>IF(preDEL!$AG191,IFERROR(0/0,""),preDEL!T191)</f>
        <v/>
      </c>
      <c r="U191" s="94" t="str">
        <f>IF(preDEL!$AG191,IFERROR(0/0,""),preDEL!U191)</f>
        <v/>
      </c>
      <c r="V191" s="249" t="str">
        <f>IF(preDEL!$AG191,IFERROR(0/0,""),preDEL!V191)</f>
        <v/>
      </c>
      <c r="W191" s="94" t="str">
        <f>IF(preDEL!$AG191,IFERROR(0/0,""),preDEL!W191)</f>
        <v/>
      </c>
      <c r="X191" s="99" t="str">
        <f>IF(preDEL!$AG191,IFERROR(0/0,""),preDEL!X191)</f>
        <v/>
      </c>
      <c r="Y191" s="93" t="str">
        <f>IF(preDEL!$AG191,IFERROR(0/0,""),preDEL!Y191)</f>
        <v/>
      </c>
      <c r="Z191" s="249" t="str">
        <f>IF(preDEL!$AG191,IFERROR(0/0,""),preDEL!Z191)</f>
        <v/>
      </c>
      <c r="AA191" s="93" t="str">
        <f>IF(preDEL!$AG191,IFERROR(0/0,""),preDEL!AA191)</f>
        <v/>
      </c>
      <c r="AB191" s="93" t="str">
        <f>IF(preDEL!$AG191,IFERROR(0/0,""),preDEL!AB191)</f>
        <v/>
      </c>
      <c r="AC191" s="252" t="str">
        <f>IF(preDEL!$AG191,IFERROR(0/0,""),preDEL!AC191)</f>
        <v/>
      </c>
      <c r="AD191" s="99" t="str">
        <f>IF(preDEL!$AG191,IFERROR(0/0,""),preDEL!AD191)</f>
        <v/>
      </c>
      <c r="AE191" s="253" t="str">
        <f>IF(preDEL!$AG191,IFERROR(0/0,""),preDEL!AE191)</f>
        <v/>
      </c>
      <c r="AF191" s="93" t="str">
        <f>IF(preDEL!$AG191,IFERROR(0/0,""),preDEL!AF191)</f>
        <v/>
      </c>
      <c r="AG191" s="93" t="str">
        <f>IF(preDEL!$AG191,IFERROR(0/0,""),preDEL!AG191)</f>
        <v/>
      </c>
      <c r="AH191" s="99" t="str">
        <f>IF(preDEL!$AG191,IFERROR(0/0,""),preDEL!AH191)</f>
        <v/>
      </c>
      <c r="AI191" s="249" t="str">
        <f>IF(preDEL!$AG191,IFERROR(0/0,""),preDEL!AI191)</f>
        <v/>
      </c>
      <c r="AJ191" s="94" t="str">
        <f>IF(preDEL!$AG191,IFERROR(0/0,""),preDEL!AJ191)</f>
        <v/>
      </c>
      <c r="AK191" s="249" t="str">
        <f>IF(preDEL!$AG191,IFERROR(0/0,""),preDEL!AK191)</f>
        <v/>
      </c>
      <c r="AL191" s="94" t="str">
        <f>IF(preDEL!$AG191,IFERROR(0/0,""),preDEL!AL191)</f>
        <v/>
      </c>
      <c r="AM191" s="94" t="str">
        <f>IF(preDEL!$AG191,IFERROR(0/0,""),preDEL!AM191)</f>
        <v/>
      </c>
      <c r="AN191" s="94" t="str">
        <f>IF(preDEL!$AG191,IFERROR(0/0,""),preDEL!AN191)</f>
        <v/>
      </c>
      <c r="AO191" s="94" t="str">
        <f>IF(preDEL!$AG191,IFERROR(0/0,""),preDEL!AO191)</f>
        <v/>
      </c>
      <c r="AP191" s="94" t="str">
        <f>IF(preDEL!$AG191,IFERROR(0/0,""),preDEL!AP191)</f>
        <v/>
      </c>
      <c r="AQ191" s="94" t="str">
        <f>IF(preDEL!$AG191,IFERROR(0/0,""),preDEL!AQ191)</f>
        <v/>
      </c>
      <c r="AR191" s="94" t="str">
        <f>IF(preDEL!$AG191,IFERROR(0/0,""),preDEL!AR191)</f>
        <v/>
      </c>
      <c r="AS191" s="98"/>
      <c r="BE191" s="254"/>
      <c r="BF191" s="255"/>
      <c r="BG191" s="254"/>
      <c r="BH191" s="255"/>
      <c r="BI191" s="254"/>
      <c r="BJ191" s="254"/>
      <c r="BK191" s="254"/>
      <c r="BL191" s="254"/>
      <c r="BN191" s="7"/>
      <c r="BO191" s="7"/>
      <c r="BP191" s="7"/>
      <c r="BQ191" s="7"/>
      <c r="BR191" s="7"/>
      <c r="BS191" s="7"/>
      <c r="BT191" s="7"/>
    </row>
    <row r="192">
      <c r="A192" s="249" t="str">
        <f>IF(preDEL!$AG192,IFERROR(0/0,""),preDEL!A192)</f>
        <v/>
      </c>
      <c r="B192" s="250" t="str">
        <f>IF(preDEL!$AG192,IFERROR(0/0,""),preDEL!B192)</f>
        <v/>
      </c>
      <c r="C192" s="251" t="str">
        <f>IF(preDEL!$AG192,IFERROR(0/0,""),preDEL!C192)</f>
        <v/>
      </c>
      <c r="D192" s="249" t="str">
        <f>IF(preDEL!$AG192,IFERROR(0/0,""),preDEL!D192)</f>
        <v/>
      </c>
      <c r="E192" s="249" t="str">
        <f>IF(preDEL!$AG192,IFERROR(0/0,""),preDEL!E192)</f>
        <v/>
      </c>
      <c r="F192" s="94" t="str">
        <f>IF(preDEL!$AG192,IFERROR(0/0,""),preDEL!F192)</f>
        <v/>
      </c>
      <c r="G192" s="94" t="str">
        <f>IF(preDEL!$AG192,IFERROR(0/0,""),preDEL!G192)</f>
        <v/>
      </c>
      <c r="H192" s="94" t="str">
        <f>IF(preDEL!$AG192,IFERROR(0/0,""),preDEL!H192)</f>
        <v/>
      </c>
      <c r="I192" s="249" t="str">
        <f>IF(preDEL!$AG192,IFERROR(0/0,""),preDEL!I192)</f>
        <v/>
      </c>
      <c r="J192" s="249" t="str">
        <f>IF(preDEL!$AG192,IFERROR(0/0,""),preDEL!J192)</f>
        <v/>
      </c>
      <c r="K192" s="249" t="str">
        <f>IF(preDEL!$AG192,IFERROR(0/0,""),preDEL!K192)</f>
        <v/>
      </c>
      <c r="L192" s="250" t="str">
        <f>IF(preDEL!$AG192,IFERROR(0/0,""),preDEL!L192)</f>
        <v/>
      </c>
      <c r="M192" s="251" t="str">
        <f>IF(preDEL!$AG192,IFERROR(0/0,""),preDEL!M192)</f>
        <v/>
      </c>
      <c r="N192" s="94" t="str">
        <f>IF(preDEL!$AG192,IFERROR(0/0,""),preDEL!N192)</f>
        <v/>
      </c>
      <c r="O192" s="94" t="str">
        <f>IF(preDEL!$AG192,IFERROR(0/0,""),preDEL!O192)</f>
        <v/>
      </c>
      <c r="P192" s="93" t="str">
        <f>IF(preDEL!$AG192,IFERROR(0/0,""),preDEL!P192)</f>
        <v/>
      </c>
      <c r="Q192" s="93" t="str">
        <f>IF(preDEL!$AG192,IFERROR(0/0,""),preDEL!Q192)</f>
        <v/>
      </c>
      <c r="R192" s="99" t="str">
        <f>IF(preDEL!$AG192,IFERROR(0/0,""),preDEL!R192)</f>
        <v/>
      </c>
      <c r="S192" s="99" t="str">
        <f>IF(preDEL!$AG192,IFERROR(0/0,""),preDEL!S192)</f>
        <v/>
      </c>
      <c r="T192" s="93" t="str">
        <f>IF(preDEL!$AG192,IFERROR(0/0,""),preDEL!T192)</f>
        <v/>
      </c>
      <c r="U192" s="94" t="str">
        <f>IF(preDEL!$AG192,IFERROR(0/0,""),preDEL!U192)</f>
        <v/>
      </c>
      <c r="V192" s="249" t="str">
        <f>IF(preDEL!$AG192,IFERROR(0/0,""),preDEL!V192)</f>
        <v/>
      </c>
      <c r="W192" s="94" t="str">
        <f>IF(preDEL!$AG192,IFERROR(0/0,""),preDEL!W192)</f>
        <v/>
      </c>
      <c r="X192" s="99" t="str">
        <f>IF(preDEL!$AG192,IFERROR(0/0,""),preDEL!X192)</f>
        <v/>
      </c>
      <c r="Y192" s="93" t="str">
        <f>IF(preDEL!$AG192,IFERROR(0/0,""),preDEL!Y192)</f>
        <v/>
      </c>
      <c r="Z192" s="249" t="str">
        <f>IF(preDEL!$AG192,IFERROR(0/0,""),preDEL!Z192)</f>
        <v/>
      </c>
      <c r="AA192" s="93" t="str">
        <f>IF(preDEL!$AG192,IFERROR(0/0,""),preDEL!AA192)</f>
        <v/>
      </c>
      <c r="AB192" s="93" t="str">
        <f>IF(preDEL!$AG192,IFERROR(0/0,""),preDEL!AB192)</f>
        <v/>
      </c>
      <c r="AC192" s="252" t="str">
        <f>IF(preDEL!$AG192,IFERROR(0/0,""),preDEL!AC192)</f>
        <v/>
      </c>
      <c r="AD192" s="99" t="str">
        <f>IF(preDEL!$AG192,IFERROR(0/0,""),preDEL!AD192)</f>
        <v/>
      </c>
      <c r="AE192" s="253" t="str">
        <f>IF(preDEL!$AG192,IFERROR(0/0,""),preDEL!AE192)</f>
        <v/>
      </c>
      <c r="AF192" s="93" t="str">
        <f>IF(preDEL!$AG192,IFERROR(0/0,""),preDEL!AF192)</f>
        <v/>
      </c>
      <c r="AG192" s="93" t="str">
        <f>IF(preDEL!$AG192,IFERROR(0/0,""),preDEL!AG192)</f>
        <v/>
      </c>
      <c r="AH192" s="99" t="str">
        <f>IF(preDEL!$AG192,IFERROR(0/0,""),preDEL!AH192)</f>
        <v/>
      </c>
      <c r="AI192" s="249" t="str">
        <f>IF(preDEL!$AG192,IFERROR(0/0,""),preDEL!AI192)</f>
        <v/>
      </c>
      <c r="AJ192" s="94" t="str">
        <f>IF(preDEL!$AG192,IFERROR(0/0,""),preDEL!AJ192)</f>
        <v/>
      </c>
      <c r="AK192" s="249" t="str">
        <f>IF(preDEL!$AG192,IFERROR(0/0,""),preDEL!AK192)</f>
        <v/>
      </c>
      <c r="AL192" s="94" t="str">
        <f>IF(preDEL!$AG192,IFERROR(0/0,""),preDEL!AL192)</f>
        <v/>
      </c>
      <c r="AM192" s="94" t="str">
        <f>IF(preDEL!$AG192,IFERROR(0/0,""),preDEL!AM192)</f>
        <v/>
      </c>
      <c r="AN192" s="94" t="str">
        <f>IF(preDEL!$AG192,IFERROR(0/0,""),preDEL!AN192)</f>
        <v/>
      </c>
      <c r="AO192" s="94" t="str">
        <f>IF(preDEL!$AG192,IFERROR(0/0,""),preDEL!AO192)</f>
        <v/>
      </c>
      <c r="AP192" s="94" t="str">
        <f>IF(preDEL!$AG192,IFERROR(0/0,""),preDEL!AP192)</f>
        <v/>
      </c>
      <c r="AQ192" s="94" t="str">
        <f>IF(preDEL!$AG192,IFERROR(0/0,""),preDEL!AQ192)</f>
        <v/>
      </c>
      <c r="AR192" s="94" t="str">
        <f>IF(preDEL!$AG192,IFERROR(0/0,""),preDEL!AR192)</f>
        <v/>
      </c>
      <c r="AS192" s="98"/>
      <c r="BE192" s="254"/>
      <c r="BF192" s="255"/>
      <c r="BG192" s="254"/>
      <c r="BH192" s="255"/>
      <c r="BI192" s="254"/>
      <c r="BJ192" s="254"/>
      <c r="BK192" s="254"/>
      <c r="BL192" s="254"/>
      <c r="BN192" s="7"/>
      <c r="BO192" s="7"/>
      <c r="BP192" s="7"/>
      <c r="BQ192" s="7"/>
      <c r="BR192" s="7"/>
      <c r="BS192" s="7"/>
      <c r="BT192" s="7"/>
    </row>
    <row r="193">
      <c r="A193" s="249" t="str">
        <f>IF(preDEL!$AG193,IFERROR(0/0,""),preDEL!A193)</f>
        <v>AG615</v>
      </c>
      <c r="B193" s="250">
        <f>IF(preDEL!$AG193,IFERROR(0/0,""),preDEL!B193)</f>
        <v>44718</v>
      </c>
      <c r="C193" s="251">
        <f>IF(preDEL!$AG193,IFERROR(0/0,""),preDEL!C193)</f>
        <v>0.202662037</v>
      </c>
      <c r="D193" s="249" t="str">
        <f>IF(preDEL!$AG193,IFERROR(0/0,""),preDEL!D193)</f>
        <v/>
      </c>
      <c r="E193" s="249" t="str">
        <f>IF(preDEL!$AG193,IFERROR(0/0,""),preDEL!E193)</f>
        <v/>
      </c>
      <c r="F193" s="94" t="str">
        <f>IF(preDEL!$AG193,IFERROR(0/0,""),preDEL!F193)</f>
        <v/>
      </c>
      <c r="G193" s="94" t="str">
        <f>IF(preDEL!$AG193,IFERROR(0/0,""),preDEL!G193)</f>
        <v/>
      </c>
      <c r="H193" s="94" t="str">
        <f>IF(preDEL!$AG193,IFERROR(0/0,""),preDEL!H193)</f>
        <v/>
      </c>
      <c r="I193" s="249" t="str">
        <f>IF(preDEL!$AG193,IFERROR(0/0,""),preDEL!I193)</f>
        <v/>
      </c>
      <c r="J193" s="249" t="str">
        <f>IF(preDEL!$AG193,IFERROR(0/0,""),preDEL!J193)</f>
        <v/>
      </c>
      <c r="K193" s="249" t="str">
        <f>IF(preDEL!$AG193,IFERROR(0/0,""),preDEL!K193)</f>
        <v>Negative</v>
      </c>
      <c r="L193" s="250">
        <f>IF(preDEL!$AG193,IFERROR(0/0,""),preDEL!L193)</f>
        <v>44718</v>
      </c>
      <c r="M193" s="251">
        <f>IF(preDEL!$AG193,IFERROR(0/0,""),preDEL!M193)</f>
        <v>0.3649768519</v>
      </c>
      <c r="N193" s="94" t="str">
        <f>IF(preDEL!$AG193,IFERROR(0/0,""),preDEL!N193)</f>
        <v/>
      </c>
      <c r="O193" s="94" t="str">
        <f>IF(preDEL!$AG193,IFERROR(0/0,""),preDEL!O193)</f>
        <v/>
      </c>
      <c r="P193" s="93" t="b">
        <f>IF(preDEL!$AG193,IFERROR(0/0,""),preDEL!P193)</f>
        <v>0</v>
      </c>
      <c r="Q193" s="93" t="str">
        <f>IF(preDEL!$AG193,IFERROR(0/0,""),preDEL!Q193)</f>
        <v>Result</v>
      </c>
      <c r="R193" s="99" t="b">
        <f>IF(preDEL!$AG193,IFERROR(0/0,""),preDEL!R193)</f>
        <v>1</v>
      </c>
      <c r="S193" s="99">
        <f>IF(preDEL!$AG193,IFERROR(0/0,""),preDEL!S193)</f>
        <v>2</v>
      </c>
      <c r="T193" s="93" t="str">
        <f>IF(preDEL!$AG193,IFERROR(0/0,""),preDEL!T193)</f>
        <v/>
      </c>
      <c r="U193" s="94" t="str">
        <f>IF(preDEL!$AG193,IFERROR(0/0,""),preDEL!U193)</f>
        <v/>
      </c>
      <c r="V193" s="249" t="str">
        <f>IF(preDEL!$AG193,IFERROR(0/0,""),preDEL!V193)</f>
        <v/>
      </c>
      <c r="W193" s="94" t="str">
        <f>IF(preDEL!$AG193,IFERROR(0/0,""),preDEL!W193)</f>
        <v/>
      </c>
      <c r="X193" s="99" t="b">
        <f>IF(preDEL!$AG193,IFERROR(0/0,""),preDEL!X193)</f>
        <v>0</v>
      </c>
      <c r="Y193" s="93" t="str">
        <f>IF(preDEL!$AG193,IFERROR(0/0,""),preDEL!Y193)</f>
        <v/>
      </c>
      <c r="Z193" s="249" t="str">
        <f>IF(preDEL!$AG193,IFERROR(0/0,""),preDEL!Z193)</f>
        <v/>
      </c>
      <c r="AA193" s="93" t="b">
        <f>IF(preDEL!$AG193,IFERROR(0/0,""),preDEL!AA193)</f>
        <v>0</v>
      </c>
      <c r="AB193" s="93" t="str">
        <f>IF(preDEL!$AG193,IFERROR(0/0,""),preDEL!AB193)</f>
        <v/>
      </c>
      <c r="AC193" s="252">
        <f>IF(preDEL!$AG193,IFERROR(0/0,""),preDEL!AC193)</f>
        <v>64</v>
      </c>
      <c r="AD193" s="99" t="str">
        <f>IF(preDEL!$AG193,IFERROR(0/0,""),preDEL!AD193)</f>
        <v/>
      </c>
      <c r="AE193" s="253">
        <f>IF(preDEL!$AG193,IFERROR(0/0,""),preDEL!AE193)</f>
        <v>233.7333333</v>
      </c>
      <c r="AF193" s="93" t="b">
        <f>IF(preDEL!$AG193,IFERROR(0/0,""),preDEL!AF193)</f>
        <v>0</v>
      </c>
      <c r="AG193" s="93" t="b">
        <f>IF(preDEL!$AG193,IFERROR(0/0,""),preDEL!AG193)</f>
        <v>0</v>
      </c>
      <c r="AH193" s="99" t="str">
        <f>IF(preDEL!$AG193,IFERROR(0/0,""),preDEL!AH193)</f>
        <v/>
      </c>
      <c r="AI193" s="249" t="str">
        <f>IF(preDEL!$AG193,IFERROR(0/0,""),preDEL!AI193)</f>
        <v/>
      </c>
      <c r="AJ193" s="94" t="str">
        <f>IF(preDEL!$AG193,IFERROR(0/0,""),preDEL!AJ193)</f>
        <v/>
      </c>
      <c r="AK193" s="249" t="str">
        <f>IF(preDEL!$AG193,IFERROR(0/0,""),preDEL!AK193)</f>
        <v>Negative</v>
      </c>
      <c r="AL193" s="94" t="str">
        <f>IF(preDEL!$AG193,IFERROR(0/0,""),preDEL!AL193)</f>
        <v/>
      </c>
      <c r="AM193" s="94" t="str">
        <f>IF(preDEL!$AG193,IFERROR(0/0,""),preDEL!AM193)</f>
        <v>SpNDHM966349</v>
      </c>
      <c r="AN193" s="94" t="str">
        <f>IF(preDEL!$AG193,IFERROR(0/0,""),preDEL!AN193)</f>
        <v>NDHM806069</v>
      </c>
      <c r="AO193" s="94" t="str">
        <f>IF(preDEL!$AG193,IFERROR(0/0,""),preDEL!AO193)</f>
        <v/>
      </c>
      <c r="AP193" s="94" t="str">
        <f>IF(preDEL!$AG193,IFERROR(0/0,""),preDEL!AP193)</f>
        <v/>
      </c>
      <c r="AQ193" s="94" t="str">
        <f>IF(preDEL!$AG193,IFERROR(0/0,""),preDEL!AQ193)</f>
        <v/>
      </c>
      <c r="AR193" s="94" t="str">
        <f>IF(preDEL!$AG193,IFERROR(0/0,""),preDEL!AR193)</f>
        <v/>
      </c>
      <c r="AS193" s="98"/>
      <c r="BE193" s="254"/>
      <c r="BF193" s="255"/>
      <c r="BG193" s="254"/>
      <c r="BH193" s="255"/>
      <c r="BI193" s="254"/>
      <c r="BJ193" s="254"/>
      <c r="BK193" s="254"/>
      <c r="BL193" s="254"/>
      <c r="BN193" s="7"/>
      <c r="BO193" s="7"/>
      <c r="BP193" s="7"/>
      <c r="BQ193" s="7"/>
      <c r="BR193" s="7"/>
      <c r="BS193" s="7"/>
      <c r="BT193" s="7"/>
    </row>
    <row r="194">
      <c r="A194" s="249" t="str">
        <f>IF(preDEL!$AG194,IFERROR(0/0,""),preDEL!A194)</f>
        <v>AG615</v>
      </c>
      <c r="B194" s="250">
        <f>IF(preDEL!$AG194,IFERROR(0/0,""),preDEL!B194)</f>
        <v>44718</v>
      </c>
      <c r="C194" s="251">
        <f>IF(preDEL!$AG194,IFERROR(0/0,""),preDEL!C194)</f>
        <v>0.202662037</v>
      </c>
      <c r="D194" s="249" t="str">
        <f>IF(preDEL!$AG194,IFERROR(0/0,""),preDEL!D194)</f>
        <v/>
      </c>
      <c r="E194" s="249" t="str">
        <f>IF(preDEL!$AG194,IFERROR(0/0,""),preDEL!E194)</f>
        <v/>
      </c>
      <c r="F194" s="94" t="str">
        <f>IF(preDEL!$AG194,IFERROR(0/0,""),preDEL!F194)</f>
        <v/>
      </c>
      <c r="G194" s="94" t="str">
        <f>IF(preDEL!$AG194,IFERROR(0/0,""),preDEL!G194)</f>
        <v/>
      </c>
      <c r="H194" s="94" t="str">
        <f>IF(preDEL!$AG194,IFERROR(0/0,""),preDEL!H194)</f>
        <v/>
      </c>
      <c r="I194" s="249" t="str">
        <f>IF(preDEL!$AG194,IFERROR(0/0,""),preDEL!I194)</f>
        <v/>
      </c>
      <c r="J194" s="249" t="str">
        <f>IF(preDEL!$AG194,IFERROR(0/0,""),preDEL!J194)</f>
        <v/>
      </c>
      <c r="K194" s="249" t="str">
        <f>IF(preDEL!$AG194,IFERROR(0/0,""),preDEL!K194)</f>
        <v>Negative</v>
      </c>
      <c r="L194" s="250">
        <f>IF(preDEL!$AG194,IFERROR(0/0,""),preDEL!L194)</f>
        <v>44718</v>
      </c>
      <c r="M194" s="251">
        <f>IF(preDEL!$AG194,IFERROR(0/0,""),preDEL!M194)</f>
        <v>0.3649768519</v>
      </c>
      <c r="N194" s="94" t="str">
        <f>IF(preDEL!$AG194,IFERROR(0/0,""),preDEL!N194)</f>
        <v/>
      </c>
      <c r="O194" s="94" t="str">
        <f>IF(preDEL!$AG194,IFERROR(0/0,""),preDEL!O194)</f>
        <v/>
      </c>
      <c r="P194" s="93" t="b">
        <f>IF(preDEL!$AG194,IFERROR(0/0,""),preDEL!P194)</f>
        <v>0</v>
      </c>
      <c r="Q194" s="93" t="str">
        <f>IF(preDEL!$AG194,IFERROR(0/0,""),preDEL!Q194)</f>
        <v>Result</v>
      </c>
      <c r="R194" s="99" t="b">
        <f>IF(preDEL!$AG194,IFERROR(0/0,""),preDEL!R194)</f>
        <v>0</v>
      </c>
      <c r="S194" s="99">
        <f>IF(preDEL!$AG194,IFERROR(0/0,""),preDEL!S194)</f>
        <v>2</v>
      </c>
      <c r="T194" s="93" t="str">
        <f>IF(preDEL!$AG194,IFERROR(0/0,""),preDEL!T194)</f>
        <v/>
      </c>
      <c r="U194" s="94" t="str">
        <f>IF(preDEL!$AG194,IFERROR(0/0,""),preDEL!U194)</f>
        <v/>
      </c>
      <c r="V194" s="249" t="str">
        <f>IF(preDEL!$AG194,IFERROR(0/0,""),preDEL!V194)</f>
        <v/>
      </c>
      <c r="W194" s="94" t="str">
        <f>IF(preDEL!$AG194,IFERROR(0/0,""),preDEL!W194)</f>
        <v/>
      </c>
      <c r="X194" s="99" t="b">
        <f>IF(preDEL!$AG194,IFERROR(0/0,""),preDEL!X194)</f>
        <v>0</v>
      </c>
      <c r="Y194" s="93" t="str">
        <f>IF(preDEL!$AG194,IFERROR(0/0,""),preDEL!Y194)</f>
        <v/>
      </c>
      <c r="Z194" s="249" t="str">
        <f>IF(preDEL!$AG194,IFERROR(0/0,""),preDEL!Z194)</f>
        <v/>
      </c>
      <c r="AA194" s="93" t="b">
        <f>IF(preDEL!$AG194,IFERROR(0/0,""),preDEL!AA194)</f>
        <v>0</v>
      </c>
      <c r="AB194" s="93" t="str">
        <f>IF(preDEL!$AG194,IFERROR(0/0,""),preDEL!AB194)</f>
        <v/>
      </c>
      <c r="AC194" s="252">
        <f>IF(preDEL!$AG194,IFERROR(0/0,""),preDEL!AC194)</f>
        <v>65</v>
      </c>
      <c r="AD194" s="99" t="str">
        <f>IF(preDEL!$AG194,IFERROR(0/0,""),preDEL!AD194)</f>
        <v/>
      </c>
      <c r="AE194" s="253">
        <f>IF(preDEL!$AG194,IFERROR(0/0,""),preDEL!AE194)</f>
        <v>233.7333333</v>
      </c>
      <c r="AF194" s="93" t="b">
        <f>IF(preDEL!$AG194,IFERROR(0/0,""),preDEL!AF194)</f>
        <v>0</v>
      </c>
      <c r="AG194" s="93" t="b">
        <f>IF(preDEL!$AG194,IFERROR(0/0,""),preDEL!AG194)</f>
        <v>0</v>
      </c>
      <c r="AH194" s="99" t="str">
        <f>IF(preDEL!$AG194,IFERROR(0/0,""),preDEL!AH194)</f>
        <v/>
      </c>
      <c r="AI194" s="249" t="str">
        <f>IF(preDEL!$AG194,IFERROR(0/0,""),preDEL!AI194)</f>
        <v/>
      </c>
      <c r="AJ194" s="94" t="str">
        <f>IF(preDEL!$AG194,IFERROR(0/0,""),preDEL!AJ194)</f>
        <v/>
      </c>
      <c r="AK194" s="249" t="str">
        <f>IF(preDEL!$AG194,IFERROR(0/0,""),preDEL!AK194)</f>
        <v>Negative</v>
      </c>
      <c r="AL194" s="94" t="str">
        <f>IF(preDEL!$AG194,IFERROR(0/0,""),preDEL!AL194)</f>
        <v/>
      </c>
      <c r="AM194" s="94" t="str">
        <f>IF(preDEL!$AG194,IFERROR(0/0,""),preDEL!AM194)</f>
        <v>SpNDHM966349</v>
      </c>
      <c r="AN194" s="94" t="str">
        <f>IF(preDEL!$AG194,IFERROR(0/0,""),preDEL!AN194)</f>
        <v>NDHM584295</v>
      </c>
      <c r="AO194" s="94" t="str">
        <f>IF(preDEL!$AG194,IFERROR(0/0,""),preDEL!AO194)</f>
        <v/>
      </c>
      <c r="AP194" s="94" t="str">
        <f>IF(preDEL!$AG194,IFERROR(0/0,""),preDEL!AP194)</f>
        <v/>
      </c>
      <c r="AQ194" s="94" t="str">
        <f>IF(preDEL!$AG194,IFERROR(0/0,""),preDEL!AQ194)</f>
        <v/>
      </c>
      <c r="AR194" s="94" t="str">
        <f>IF(preDEL!$AG194,IFERROR(0/0,""),preDEL!AR194)</f>
        <v/>
      </c>
      <c r="AS194" s="98"/>
      <c r="BE194" s="254"/>
      <c r="BF194" s="255"/>
      <c r="BG194" s="254"/>
      <c r="BH194" s="255"/>
      <c r="BI194" s="254"/>
      <c r="BJ194" s="254"/>
      <c r="BK194" s="254"/>
      <c r="BL194" s="254"/>
      <c r="BN194" s="7"/>
      <c r="BO194" s="7"/>
      <c r="BP194" s="7"/>
      <c r="BQ194" s="7"/>
      <c r="BR194" s="7"/>
      <c r="BS194" s="7"/>
      <c r="BT194" s="7"/>
    </row>
    <row r="195">
      <c r="A195" s="249" t="str">
        <f>IF(preDEL!$AG195,IFERROR(0/0,""),preDEL!A195)</f>
        <v>AH7933</v>
      </c>
      <c r="B195" s="250">
        <f>IF(preDEL!$AG195,IFERROR(0/0,""),preDEL!B195)</f>
        <v>44718</v>
      </c>
      <c r="C195" s="251">
        <f>IF(preDEL!$AG195,IFERROR(0/0,""),preDEL!C195)</f>
        <v>0.2116782407</v>
      </c>
      <c r="D195" s="249" t="str">
        <f>IF(preDEL!$AG195,IFERROR(0/0,""),preDEL!D195)</f>
        <v/>
      </c>
      <c r="E195" s="249" t="str">
        <f>IF(preDEL!$AG195,IFERROR(0/0,""),preDEL!E195)</f>
        <v/>
      </c>
      <c r="F195" s="94" t="str">
        <f>IF(preDEL!$AG195,IFERROR(0/0,""),preDEL!F195)</f>
        <v/>
      </c>
      <c r="G195" s="94" t="str">
        <f>IF(preDEL!$AG195,IFERROR(0/0,""),preDEL!G195)</f>
        <v/>
      </c>
      <c r="H195" s="94" t="str">
        <f>IF(preDEL!$AG195,IFERROR(0/0,""),preDEL!H195)</f>
        <v/>
      </c>
      <c r="I195" s="249" t="str">
        <f>IF(preDEL!$AG195,IFERROR(0/0,""),preDEL!I195)</f>
        <v/>
      </c>
      <c r="J195" s="249" t="str">
        <f>IF(preDEL!$AG195,IFERROR(0/0,""),preDEL!J195)</f>
        <v/>
      </c>
      <c r="K195" s="249" t="str">
        <f>IF(preDEL!$AG195,IFERROR(0/0,""),preDEL!K195)</f>
        <v>Negative</v>
      </c>
      <c r="L195" s="250">
        <f>IF(preDEL!$AG195,IFERROR(0/0,""),preDEL!L195)</f>
        <v>44718</v>
      </c>
      <c r="M195" s="251">
        <f>IF(preDEL!$AG195,IFERROR(0/0,""),preDEL!M195)</f>
        <v>0.3649768519</v>
      </c>
      <c r="N195" s="94" t="str">
        <f>IF(preDEL!$AG195,IFERROR(0/0,""),preDEL!N195)</f>
        <v/>
      </c>
      <c r="O195" s="94" t="str">
        <f>IF(preDEL!$AG195,IFERROR(0/0,""),preDEL!O195)</f>
        <v/>
      </c>
      <c r="P195" s="93" t="b">
        <f>IF(preDEL!$AG195,IFERROR(0/0,""),preDEL!P195)</f>
        <v>0</v>
      </c>
      <c r="Q195" s="93" t="str">
        <f>IF(preDEL!$AG195,IFERROR(0/0,""),preDEL!Q195)</f>
        <v>Result</v>
      </c>
      <c r="R195" s="99" t="b">
        <f>IF(preDEL!$AG195,IFERROR(0/0,""),preDEL!R195)</f>
        <v>1</v>
      </c>
      <c r="S195" s="99">
        <f>IF(preDEL!$AG195,IFERROR(0/0,""),preDEL!S195)</f>
        <v>3</v>
      </c>
      <c r="T195" s="93" t="str">
        <f>IF(preDEL!$AG195,IFERROR(0/0,""),preDEL!T195)</f>
        <v/>
      </c>
      <c r="U195" s="94" t="str">
        <f>IF(preDEL!$AG195,IFERROR(0/0,""),preDEL!U195)</f>
        <v/>
      </c>
      <c r="V195" s="249" t="str">
        <f>IF(preDEL!$AG195,IFERROR(0/0,""),preDEL!V195)</f>
        <v/>
      </c>
      <c r="W195" s="94" t="str">
        <f>IF(preDEL!$AG195,IFERROR(0/0,""),preDEL!W195)</f>
        <v/>
      </c>
      <c r="X195" s="99" t="b">
        <f>IF(preDEL!$AG195,IFERROR(0/0,""),preDEL!X195)</f>
        <v>0</v>
      </c>
      <c r="Y195" s="93" t="str">
        <f>IF(preDEL!$AG195,IFERROR(0/0,""),preDEL!Y195)</f>
        <v/>
      </c>
      <c r="Z195" s="249" t="str">
        <f>IF(preDEL!$AG195,IFERROR(0/0,""),preDEL!Z195)</f>
        <v/>
      </c>
      <c r="AA195" s="93" t="b">
        <f>IF(preDEL!$AG195,IFERROR(0/0,""),preDEL!AA195)</f>
        <v>0</v>
      </c>
      <c r="AB195" s="93" t="str">
        <f>IF(preDEL!$AG195,IFERROR(0/0,""),preDEL!AB195)</f>
        <v/>
      </c>
      <c r="AC195" s="252">
        <f>IF(preDEL!$AG195,IFERROR(0/0,""),preDEL!AC195)</f>
        <v>68</v>
      </c>
      <c r="AD195" s="99" t="str">
        <f>IF(preDEL!$AG195,IFERROR(0/0,""),preDEL!AD195)</f>
        <v/>
      </c>
      <c r="AE195" s="253">
        <f>IF(preDEL!$AG195,IFERROR(0/0,""),preDEL!AE195)</f>
        <v>220.75</v>
      </c>
      <c r="AF195" s="93" t="b">
        <f>IF(preDEL!$AG195,IFERROR(0/0,""),preDEL!AF195)</f>
        <v>0</v>
      </c>
      <c r="AG195" s="93" t="b">
        <f>IF(preDEL!$AG195,IFERROR(0/0,""),preDEL!AG195)</f>
        <v>0</v>
      </c>
      <c r="AH195" s="99" t="str">
        <f>IF(preDEL!$AG195,IFERROR(0/0,""),preDEL!AH195)</f>
        <v/>
      </c>
      <c r="AI195" s="249" t="str">
        <f>IF(preDEL!$AG195,IFERROR(0/0,""),preDEL!AI195)</f>
        <v/>
      </c>
      <c r="AJ195" s="94" t="str">
        <f>IF(preDEL!$AG195,IFERROR(0/0,""),preDEL!AJ195)</f>
        <v/>
      </c>
      <c r="AK195" s="249" t="str">
        <f>IF(preDEL!$AG195,IFERROR(0/0,""),preDEL!AK195)</f>
        <v>Negative</v>
      </c>
      <c r="AL195" s="94" t="str">
        <f>IF(preDEL!$AG195,IFERROR(0/0,""),preDEL!AL195)</f>
        <v/>
      </c>
      <c r="AM195" s="94" t="str">
        <f>IF(preDEL!$AG195,IFERROR(0/0,""),preDEL!AM195)</f>
        <v>SpNDHM957722</v>
      </c>
      <c r="AN195" s="94" t="str">
        <f>IF(preDEL!$AG195,IFERROR(0/0,""),preDEL!AN195)</f>
        <v>NDHM784418</v>
      </c>
      <c r="AO195" s="94" t="str">
        <f>IF(preDEL!$AG195,IFERROR(0/0,""),preDEL!AO195)</f>
        <v/>
      </c>
      <c r="AP195" s="94" t="str">
        <f>IF(preDEL!$AG195,IFERROR(0/0,""),preDEL!AP195)</f>
        <v/>
      </c>
      <c r="AQ195" s="94" t="str">
        <f>IF(preDEL!$AG195,IFERROR(0/0,""),preDEL!AQ195)</f>
        <v/>
      </c>
      <c r="AR195" s="94" t="str">
        <f>IF(preDEL!$AG195,IFERROR(0/0,""),preDEL!AR195)</f>
        <v/>
      </c>
      <c r="AS195" s="98"/>
      <c r="BE195" s="254"/>
      <c r="BF195" s="255"/>
      <c r="BG195" s="254"/>
      <c r="BH195" s="255"/>
      <c r="BI195" s="254"/>
      <c r="BJ195" s="254"/>
      <c r="BK195" s="254"/>
      <c r="BL195" s="254"/>
      <c r="BN195" s="7"/>
      <c r="BO195" s="7"/>
      <c r="BP195" s="7"/>
      <c r="BQ195" s="7"/>
      <c r="BR195" s="7"/>
      <c r="BS195" s="7"/>
      <c r="BT195" s="7"/>
    </row>
    <row r="196">
      <c r="A196" s="249" t="str">
        <f>IF(preDEL!$AG196,IFERROR(0/0,""),preDEL!A196)</f>
        <v>AH7933</v>
      </c>
      <c r="B196" s="250">
        <f>IF(preDEL!$AG196,IFERROR(0/0,""),preDEL!B196)</f>
        <v>44718</v>
      </c>
      <c r="C196" s="251">
        <f>IF(preDEL!$AG196,IFERROR(0/0,""),preDEL!C196)</f>
        <v>0.2116782407</v>
      </c>
      <c r="D196" s="249" t="str">
        <f>IF(preDEL!$AG196,IFERROR(0/0,""),preDEL!D196)</f>
        <v/>
      </c>
      <c r="E196" s="249" t="str">
        <f>IF(preDEL!$AG196,IFERROR(0/0,""),preDEL!E196)</f>
        <v/>
      </c>
      <c r="F196" s="94" t="str">
        <f>IF(preDEL!$AG196,IFERROR(0/0,""),preDEL!F196)</f>
        <v/>
      </c>
      <c r="G196" s="94" t="str">
        <f>IF(preDEL!$AG196,IFERROR(0/0,""),preDEL!G196)</f>
        <v/>
      </c>
      <c r="H196" s="94" t="str">
        <f>IF(preDEL!$AG196,IFERROR(0/0,""),preDEL!H196)</f>
        <v/>
      </c>
      <c r="I196" s="249" t="str">
        <f>IF(preDEL!$AG196,IFERROR(0/0,""),preDEL!I196)</f>
        <v/>
      </c>
      <c r="J196" s="249" t="str">
        <f>IF(preDEL!$AG196,IFERROR(0/0,""),preDEL!J196)</f>
        <v/>
      </c>
      <c r="K196" s="249" t="str">
        <f>IF(preDEL!$AG196,IFERROR(0/0,""),preDEL!K196)</f>
        <v>Negative</v>
      </c>
      <c r="L196" s="250">
        <f>IF(preDEL!$AG196,IFERROR(0/0,""),preDEL!L196)</f>
        <v>44718</v>
      </c>
      <c r="M196" s="251">
        <f>IF(preDEL!$AG196,IFERROR(0/0,""),preDEL!M196)</f>
        <v>0.3649768519</v>
      </c>
      <c r="N196" s="94" t="str">
        <f>IF(preDEL!$AG196,IFERROR(0/0,""),preDEL!N196)</f>
        <v/>
      </c>
      <c r="O196" s="94" t="str">
        <f>IF(preDEL!$AG196,IFERROR(0/0,""),preDEL!O196)</f>
        <v/>
      </c>
      <c r="P196" s="93" t="b">
        <f>IF(preDEL!$AG196,IFERROR(0/0,""),preDEL!P196)</f>
        <v>0</v>
      </c>
      <c r="Q196" s="93" t="str">
        <f>IF(preDEL!$AG196,IFERROR(0/0,""),preDEL!Q196)</f>
        <v>Result</v>
      </c>
      <c r="R196" s="99" t="b">
        <f>IF(preDEL!$AG196,IFERROR(0/0,""),preDEL!R196)</f>
        <v>0</v>
      </c>
      <c r="S196" s="99">
        <f>IF(preDEL!$AG196,IFERROR(0/0,""),preDEL!S196)</f>
        <v>3</v>
      </c>
      <c r="T196" s="93" t="str">
        <f>IF(preDEL!$AG196,IFERROR(0/0,""),preDEL!T196)</f>
        <v/>
      </c>
      <c r="U196" s="94" t="str">
        <f>IF(preDEL!$AG196,IFERROR(0/0,""),preDEL!U196)</f>
        <v/>
      </c>
      <c r="V196" s="249" t="str">
        <f>IF(preDEL!$AG196,IFERROR(0/0,""),preDEL!V196)</f>
        <v/>
      </c>
      <c r="W196" s="94" t="str">
        <f>IF(preDEL!$AG196,IFERROR(0/0,""),preDEL!W196)</f>
        <v/>
      </c>
      <c r="X196" s="99" t="b">
        <f>IF(preDEL!$AG196,IFERROR(0/0,""),preDEL!X196)</f>
        <v>0</v>
      </c>
      <c r="Y196" s="93" t="str">
        <f>IF(preDEL!$AG196,IFERROR(0/0,""),preDEL!Y196)</f>
        <v/>
      </c>
      <c r="Z196" s="249" t="str">
        <f>IF(preDEL!$AG196,IFERROR(0/0,""),preDEL!Z196)</f>
        <v/>
      </c>
      <c r="AA196" s="93" t="b">
        <f>IF(preDEL!$AG196,IFERROR(0/0,""),preDEL!AA196)</f>
        <v>0</v>
      </c>
      <c r="AB196" s="93" t="str">
        <f>IF(preDEL!$AG196,IFERROR(0/0,""),preDEL!AB196)</f>
        <v/>
      </c>
      <c r="AC196" s="252">
        <f>IF(preDEL!$AG196,IFERROR(0/0,""),preDEL!AC196)</f>
        <v>66</v>
      </c>
      <c r="AD196" s="99" t="str">
        <f>IF(preDEL!$AG196,IFERROR(0/0,""),preDEL!AD196)</f>
        <v/>
      </c>
      <c r="AE196" s="253">
        <f>IF(preDEL!$AG196,IFERROR(0/0,""),preDEL!AE196)</f>
        <v>220.75</v>
      </c>
      <c r="AF196" s="93" t="b">
        <f>IF(preDEL!$AG196,IFERROR(0/0,""),preDEL!AF196)</f>
        <v>0</v>
      </c>
      <c r="AG196" s="93" t="b">
        <f>IF(preDEL!$AG196,IFERROR(0/0,""),preDEL!AG196)</f>
        <v>0</v>
      </c>
      <c r="AH196" s="99" t="str">
        <f>IF(preDEL!$AG196,IFERROR(0/0,""),preDEL!AH196)</f>
        <v/>
      </c>
      <c r="AI196" s="249" t="str">
        <f>IF(preDEL!$AG196,IFERROR(0/0,""),preDEL!AI196)</f>
        <v/>
      </c>
      <c r="AJ196" s="94" t="str">
        <f>IF(preDEL!$AG196,IFERROR(0/0,""),preDEL!AJ196)</f>
        <v/>
      </c>
      <c r="AK196" s="249" t="str">
        <f>IF(preDEL!$AG196,IFERROR(0/0,""),preDEL!AK196)</f>
        <v>Negative</v>
      </c>
      <c r="AL196" s="94" t="str">
        <f>IF(preDEL!$AG196,IFERROR(0/0,""),preDEL!AL196)</f>
        <v/>
      </c>
      <c r="AM196" s="94" t="str">
        <f>IF(preDEL!$AG196,IFERROR(0/0,""),preDEL!AM196)</f>
        <v>SpNDHM957722</v>
      </c>
      <c r="AN196" s="94" t="str">
        <f>IF(preDEL!$AG196,IFERROR(0/0,""),preDEL!AN196)</f>
        <v>NDHM730614</v>
      </c>
      <c r="AO196" s="94" t="str">
        <f>IF(preDEL!$AG196,IFERROR(0/0,""),preDEL!AO196)</f>
        <v/>
      </c>
      <c r="AP196" s="94" t="str">
        <f>IF(preDEL!$AG196,IFERROR(0/0,""),preDEL!AP196)</f>
        <v/>
      </c>
      <c r="AQ196" s="94" t="str">
        <f>IF(preDEL!$AG196,IFERROR(0/0,""),preDEL!AQ196)</f>
        <v/>
      </c>
      <c r="AR196" s="94" t="str">
        <f>IF(preDEL!$AG196,IFERROR(0/0,""),preDEL!AR196)</f>
        <v/>
      </c>
      <c r="AS196" s="98"/>
      <c r="BE196" s="254"/>
      <c r="BF196" s="255"/>
      <c r="BG196" s="254"/>
      <c r="BH196" s="255"/>
      <c r="BI196" s="254"/>
      <c r="BJ196" s="254"/>
      <c r="BK196" s="254"/>
      <c r="BL196" s="254"/>
      <c r="BN196" s="7"/>
      <c r="BO196" s="7"/>
      <c r="BP196" s="7"/>
      <c r="BQ196" s="7"/>
      <c r="BR196" s="7"/>
      <c r="BS196" s="7"/>
      <c r="BT196" s="7"/>
    </row>
    <row r="197">
      <c r="A197" s="249" t="str">
        <f>IF(preDEL!$AG197,IFERROR(0/0,""),preDEL!A197)</f>
        <v>AH7933</v>
      </c>
      <c r="B197" s="250">
        <f>IF(preDEL!$AG197,IFERROR(0/0,""),preDEL!B197)</f>
        <v>44718</v>
      </c>
      <c r="C197" s="251">
        <f>IF(preDEL!$AG197,IFERROR(0/0,""),preDEL!C197)</f>
        <v>0.2116782407</v>
      </c>
      <c r="D197" s="249" t="str">
        <f>IF(preDEL!$AG197,IFERROR(0/0,""),preDEL!D197)</f>
        <v/>
      </c>
      <c r="E197" s="249" t="str">
        <f>IF(preDEL!$AG197,IFERROR(0/0,""),preDEL!E197)</f>
        <v/>
      </c>
      <c r="F197" s="94" t="str">
        <f>IF(preDEL!$AG197,IFERROR(0/0,""),preDEL!F197)</f>
        <v/>
      </c>
      <c r="G197" s="94" t="str">
        <f>IF(preDEL!$AG197,IFERROR(0/0,""),preDEL!G197)</f>
        <v/>
      </c>
      <c r="H197" s="94" t="str">
        <f>IF(preDEL!$AG197,IFERROR(0/0,""),preDEL!H197)</f>
        <v/>
      </c>
      <c r="I197" s="249" t="str">
        <f>IF(preDEL!$AG197,IFERROR(0/0,""),preDEL!I197)</f>
        <v/>
      </c>
      <c r="J197" s="249" t="str">
        <f>IF(preDEL!$AG197,IFERROR(0/0,""),preDEL!J197)</f>
        <v/>
      </c>
      <c r="K197" s="249" t="str">
        <f>IF(preDEL!$AG197,IFERROR(0/0,""),preDEL!K197)</f>
        <v>Negative</v>
      </c>
      <c r="L197" s="250">
        <f>IF(preDEL!$AG197,IFERROR(0/0,""),preDEL!L197)</f>
        <v>44718</v>
      </c>
      <c r="M197" s="251">
        <f>IF(preDEL!$AG197,IFERROR(0/0,""),preDEL!M197)</f>
        <v>0.3649768519</v>
      </c>
      <c r="N197" s="94" t="str">
        <f>IF(preDEL!$AG197,IFERROR(0/0,""),preDEL!N197)</f>
        <v/>
      </c>
      <c r="O197" s="94" t="str">
        <f>IF(preDEL!$AG197,IFERROR(0/0,""),preDEL!O197)</f>
        <v/>
      </c>
      <c r="P197" s="93" t="b">
        <f>IF(preDEL!$AG197,IFERROR(0/0,""),preDEL!P197)</f>
        <v>0</v>
      </c>
      <c r="Q197" s="93" t="str">
        <f>IF(preDEL!$AG197,IFERROR(0/0,""),preDEL!Q197)</f>
        <v>Result</v>
      </c>
      <c r="R197" s="99" t="b">
        <f>IF(preDEL!$AG197,IFERROR(0/0,""),preDEL!R197)</f>
        <v>0</v>
      </c>
      <c r="S197" s="99">
        <f>IF(preDEL!$AG197,IFERROR(0/0,""),preDEL!S197)</f>
        <v>3</v>
      </c>
      <c r="T197" s="93" t="str">
        <f>IF(preDEL!$AG197,IFERROR(0/0,""),preDEL!T197)</f>
        <v/>
      </c>
      <c r="U197" s="94" t="str">
        <f>IF(preDEL!$AG197,IFERROR(0/0,""),preDEL!U197)</f>
        <v/>
      </c>
      <c r="V197" s="249" t="str">
        <f>IF(preDEL!$AG197,IFERROR(0/0,""),preDEL!V197)</f>
        <v/>
      </c>
      <c r="W197" s="94" t="str">
        <f>IF(preDEL!$AG197,IFERROR(0/0,""),preDEL!W197)</f>
        <v/>
      </c>
      <c r="X197" s="99" t="b">
        <f>IF(preDEL!$AG197,IFERROR(0/0,""),preDEL!X197)</f>
        <v>0</v>
      </c>
      <c r="Y197" s="93" t="str">
        <f>IF(preDEL!$AG197,IFERROR(0/0,""),preDEL!Y197)</f>
        <v/>
      </c>
      <c r="Z197" s="249" t="str">
        <f>IF(preDEL!$AG197,IFERROR(0/0,""),preDEL!Z197)</f>
        <v/>
      </c>
      <c r="AA197" s="93" t="b">
        <f>IF(preDEL!$AG197,IFERROR(0/0,""),preDEL!AA197)</f>
        <v>0</v>
      </c>
      <c r="AB197" s="93" t="str">
        <f>IF(preDEL!$AG197,IFERROR(0/0,""),preDEL!AB197)</f>
        <v/>
      </c>
      <c r="AC197" s="252">
        <f>IF(preDEL!$AG197,IFERROR(0/0,""),preDEL!AC197)</f>
        <v>67</v>
      </c>
      <c r="AD197" s="99" t="str">
        <f>IF(preDEL!$AG197,IFERROR(0/0,""),preDEL!AD197)</f>
        <v/>
      </c>
      <c r="AE197" s="253">
        <f>IF(preDEL!$AG197,IFERROR(0/0,""),preDEL!AE197)</f>
        <v>220.75</v>
      </c>
      <c r="AF197" s="93" t="b">
        <f>IF(preDEL!$AG197,IFERROR(0/0,""),preDEL!AF197)</f>
        <v>0</v>
      </c>
      <c r="AG197" s="93" t="b">
        <f>IF(preDEL!$AG197,IFERROR(0/0,""),preDEL!AG197)</f>
        <v>0</v>
      </c>
      <c r="AH197" s="99" t="str">
        <f>IF(preDEL!$AG197,IFERROR(0/0,""),preDEL!AH197)</f>
        <v/>
      </c>
      <c r="AI197" s="249" t="str">
        <f>IF(preDEL!$AG197,IFERROR(0/0,""),preDEL!AI197)</f>
        <v/>
      </c>
      <c r="AJ197" s="94" t="str">
        <f>IF(preDEL!$AG197,IFERROR(0/0,""),preDEL!AJ197)</f>
        <v/>
      </c>
      <c r="AK197" s="249" t="str">
        <f>IF(preDEL!$AG197,IFERROR(0/0,""),preDEL!AK197)</f>
        <v>Negative</v>
      </c>
      <c r="AL197" s="94" t="str">
        <f>IF(preDEL!$AG197,IFERROR(0/0,""),preDEL!AL197)</f>
        <v/>
      </c>
      <c r="AM197" s="94" t="str">
        <f>IF(preDEL!$AG197,IFERROR(0/0,""),preDEL!AM197)</f>
        <v>SpNDHM957722</v>
      </c>
      <c r="AN197" s="94" t="str">
        <f>IF(preDEL!$AG197,IFERROR(0/0,""),preDEL!AN197)</f>
        <v>NDHM804847</v>
      </c>
      <c r="AO197" s="94" t="str">
        <f>IF(preDEL!$AG197,IFERROR(0/0,""),preDEL!AO197)</f>
        <v/>
      </c>
      <c r="AP197" s="94" t="str">
        <f>IF(preDEL!$AG197,IFERROR(0/0,""),preDEL!AP197)</f>
        <v/>
      </c>
      <c r="AQ197" s="94" t="str">
        <f>IF(preDEL!$AG197,IFERROR(0/0,""),preDEL!AQ197)</f>
        <v/>
      </c>
      <c r="AR197" s="94" t="str">
        <f>IF(preDEL!$AG197,IFERROR(0/0,""),preDEL!AR197)</f>
        <v/>
      </c>
      <c r="AS197" s="98"/>
      <c r="BE197" s="254"/>
      <c r="BF197" s="255"/>
      <c r="BG197" s="254"/>
      <c r="BH197" s="255"/>
      <c r="BI197" s="254"/>
      <c r="BJ197" s="254"/>
      <c r="BK197" s="254"/>
      <c r="BL197" s="254"/>
      <c r="BN197" s="7"/>
      <c r="BO197" s="7"/>
      <c r="BP197" s="7"/>
      <c r="BQ197" s="7"/>
      <c r="BR197" s="7"/>
      <c r="BS197" s="7"/>
      <c r="BT197" s="7"/>
    </row>
    <row r="198">
      <c r="A198" s="249" t="str">
        <f>IF(preDEL!$AG198,IFERROR(0/0,""),preDEL!A198)</f>
        <v>AH9741</v>
      </c>
      <c r="B198" s="250">
        <f>IF(preDEL!$AG198,IFERROR(0/0,""),preDEL!B198)</f>
        <v>44718</v>
      </c>
      <c r="C198" s="251">
        <f>IF(preDEL!$AG198,IFERROR(0/0,""),preDEL!C198)</f>
        <v>0.2136458333</v>
      </c>
      <c r="D198" s="249" t="str">
        <f>IF(preDEL!$AG198,IFERROR(0/0,""),preDEL!D198)</f>
        <v/>
      </c>
      <c r="E198" s="249" t="str">
        <f>IF(preDEL!$AG198,IFERROR(0/0,""),preDEL!E198)</f>
        <v/>
      </c>
      <c r="F198" s="94" t="str">
        <f>IF(preDEL!$AG198,IFERROR(0/0,""),preDEL!F198)</f>
        <v/>
      </c>
      <c r="G198" s="94" t="str">
        <f>IF(preDEL!$AG198,IFERROR(0/0,""),preDEL!G198)</f>
        <v/>
      </c>
      <c r="H198" s="94" t="str">
        <f>IF(preDEL!$AG198,IFERROR(0/0,""),preDEL!H198)</f>
        <v/>
      </c>
      <c r="I198" s="249" t="str">
        <f>IF(preDEL!$AG198,IFERROR(0/0,""),preDEL!I198)</f>
        <v/>
      </c>
      <c r="J198" s="249" t="str">
        <f>IF(preDEL!$AG198,IFERROR(0/0,""),preDEL!J198)</f>
        <v/>
      </c>
      <c r="K198" s="249" t="str">
        <f>IF(preDEL!$AG198,IFERROR(0/0,""),preDEL!K198)</f>
        <v>Negative</v>
      </c>
      <c r="L198" s="250">
        <f>IF(preDEL!$AG198,IFERROR(0/0,""),preDEL!L198)</f>
        <v>44718</v>
      </c>
      <c r="M198" s="251">
        <f>IF(preDEL!$AG198,IFERROR(0/0,""),preDEL!M198)</f>
        <v>0.3649768519</v>
      </c>
      <c r="N198" s="94" t="str">
        <f>IF(preDEL!$AG198,IFERROR(0/0,""),preDEL!N198)</f>
        <v/>
      </c>
      <c r="O198" s="94" t="str">
        <f>IF(preDEL!$AG198,IFERROR(0/0,""),preDEL!O198)</f>
        <v/>
      </c>
      <c r="P198" s="93" t="b">
        <f>IF(preDEL!$AG198,IFERROR(0/0,""),preDEL!P198)</f>
        <v>0</v>
      </c>
      <c r="Q198" s="93" t="str">
        <f>IF(preDEL!$AG198,IFERROR(0/0,""),preDEL!Q198)</f>
        <v>Result</v>
      </c>
      <c r="R198" s="99" t="b">
        <f>IF(preDEL!$AG198,IFERROR(0/0,""),preDEL!R198)</f>
        <v>1</v>
      </c>
      <c r="S198" s="99">
        <f>IF(preDEL!$AG198,IFERROR(0/0,""),preDEL!S198)</f>
        <v>2</v>
      </c>
      <c r="T198" s="93" t="str">
        <f>IF(preDEL!$AG198,IFERROR(0/0,""),preDEL!T198)</f>
        <v/>
      </c>
      <c r="U198" s="94" t="str">
        <f>IF(preDEL!$AG198,IFERROR(0/0,""),preDEL!U198)</f>
        <v/>
      </c>
      <c r="V198" s="249" t="str">
        <f>IF(preDEL!$AG198,IFERROR(0/0,""),preDEL!V198)</f>
        <v/>
      </c>
      <c r="W198" s="94" t="str">
        <f>IF(preDEL!$AG198,IFERROR(0/0,""),preDEL!W198)</f>
        <v/>
      </c>
      <c r="X198" s="99" t="b">
        <f>IF(preDEL!$AG198,IFERROR(0/0,""),preDEL!X198)</f>
        <v>0</v>
      </c>
      <c r="Y198" s="93" t="str">
        <f>IF(preDEL!$AG198,IFERROR(0/0,""),preDEL!Y198)</f>
        <v/>
      </c>
      <c r="Z198" s="249" t="str">
        <f>IF(preDEL!$AG198,IFERROR(0/0,""),preDEL!Z198)</f>
        <v/>
      </c>
      <c r="AA198" s="93" t="b">
        <f>IF(preDEL!$AG198,IFERROR(0/0,""),preDEL!AA198)</f>
        <v>0</v>
      </c>
      <c r="AB198" s="93" t="str">
        <f>IF(preDEL!$AG198,IFERROR(0/0,""),preDEL!AB198)</f>
        <v/>
      </c>
      <c r="AC198" s="252">
        <f>IF(preDEL!$AG198,IFERROR(0/0,""),preDEL!AC198)</f>
        <v>69</v>
      </c>
      <c r="AD198" s="99" t="str">
        <f>IF(preDEL!$AG198,IFERROR(0/0,""),preDEL!AD198)</f>
        <v/>
      </c>
      <c r="AE198" s="253">
        <f>IF(preDEL!$AG198,IFERROR(0/0,""),preDEL!AE198)</f>
        <v>217.9166667</v>
      </c>
      <c r="AF198" s="93" t="b">
        <f>IF(preDEL!$AG198,IFERROR(0/0,""),preDEL!AF198)</f>
        <v>0</v>
      </c>
      <c r="AG198" s="93" t="b">
        <f>IF(preDEL!$AG198,IFERROR(0/0,""),preDEL!AG198)</f>
        <v>0</v>
      </c>
      <c r="AH198" s="99" t="str">
        <f>IF(preDEL!$AG198,IFERROR(0/0,""),preDEL!AH198)</f>
        <v/>
      </c>
      <c r="AI198" s="249" t="str">
        <f>IF(preDEL!$AG198,IFERROR(0/0,""),preDEL!AI198)</f>
        <v/>
      </c>
      <c r="AJ198" s="94" t="str">
        <f>IF(preDEL!$AG198,IFERROR(0/0,""),preDEL!AJ198)</f>
        <v/>
      </c>
      <c r="AK198" s="249" t="str">
        <f>IF(preDEL!$AG198,IFERROR(0/0,""),preDEL!AK198)</f>
        <v>Negative</v>
      </c>
      <c r="AL198" s="94" t="str">
        <f>IF(preDEL!$AG198,IFERROR(0/0,""),preDEL!AL198)</f>
        <v/>
      </c>
      <c r="AM198" s="94" t="str">
        <f>IF(preDEL!$AG198,IFERROR(0/0,""),preDEL!AM198)</f>
        <v>SpNDHM284552</v>
      </c>
      <c r="AN198" s="94" t="str">
        <f>IF(preDEL!$AG198,IFERROR(0/0,""),preDEL!AN198)</f>
        <v>NDHM894346</v>
      </c>
      <c r="AO198" s="94" t="str">
        <f>IF(preDEL!$AG198,IFERROR(0/0,""),preDEL!AO198)</f>
        <v/>
      </c>
      <c r="AP198" s="94" t="str">
        <f>IF(preDEL!$AG198,IFERROR(0/0,""),preDEL!AP198)</f>
        <v/>
      </c>
      <c r="AQ198" s="94" t="str">
        <f>IF(preDEL!$AG198,IFERROR(0/0,""),preDEL!AQ198)</f>
        <v/>
      </c>
      <c r="AR198" s="94" t="str">
        <f>IF(preDEL!$AG198,IFERROR(0/0,""),preDEL!AR198)</f>
        <v/>
      </c>
      <c r="AS198" s="98"/>
      <c r="BE198" s="254"/>
      <c r="BF198" s="255"/>
      <c r="BG198" s="254"/>
      <c r="BH198" s="255"/>
      <c r="BI198" s="254"/>
      <c r="BJ198" s="254"/>
      <c r="BK198" s="254"/>
      <c r="BL198" s="254"/>
      <c r="BN198" s="7"/>
      <c r="BO198" s="7"/>
      <c r="BP198" s="7"/>
      <c r="BQ198" s="7"/>
      <c r="BR198" s="7"/>
      <c r="BS198" s="7"/>
      <c r="BT198" s="7"/>
    </row>
    <row r="199">
      <c r="A199" s="249" t="str">
        <f>IF(preDEL!$AG199,IFERROR(0/0,""),preDEL!A199)</f>
        <v>AH9741</v>
      </c>
      <c r="B199" s="250">
        <f>IF(preDEL!$AG199,IFERROR(0/0,""),preDEL!B199)</f>
        <v>44718</v>
      </c>
      <c r="C199" s="251">
        <f>IF(preDEL!$AG199,IFERROR(0/0,""),preDEL!C199)</f>
        <v>0.2136458333</v>
      </c>
      <c r="D199" s="249" t="str">
        <f>IF(preDEL!$AG199,IFERROR(0/0,""),preDEL!D199)</f>
        <v/>
      </c>
      <c r="E199" s="249" t="str">
        <f>IF(preDEL!$AG199,IFERROR(0/0,""),preDEL!E199)</f>
        <v/>
      </c>
      <c r="F199" s="94" t="str">
        <f>IF(preDEL!$AG199,IFERROR(0/0,""),preDEL!F199)</f>
        <v/>
      </c>
      <c r="G199" s="94" t="str">
        <f>IF(preDEL!$AG199,IFERROR(0/0,""),preDEL!G199)</f>
        <v/>
      </c>
      <c r="H199" s="94" t="str">
        <f>IF(preDEL!$AG199,IFERROR(0/0,""),preDEL!H199)</f>
        <v/>
      </c>
      <c r="I199" s="249" t="str">
        <f>IF(preDEL!$AG199,IFERROR(0/0,""),preDEL!I199)</f>
        <v/>
      </c>
      <c r="J199" s="249" t="str">
        <f>IF(preDEL!$AG199,IFERROR(0/0,""),preDEL!J199)</f>
        <v/>
      </c>
      <c r="K199" s="249" t="str">
        <f>IF(preDEL!$AG199,IFERROR(0/0,""),preDEL!K199)</f>
        <v>Negative</v>
      </c>
      <c r="L199" s="250">
        <f>IF(preDEL!$AG199,IFERROR(0/0,""),preDEL!L199)</f>
        <v>44718</v>
      </c>
      <c r="M199" s="251">
        <f>IF(preDEL!$AG199,IFERROR(0/0,""),preDEL!M199)</f>
        <v>0.3649768519</v>
      </c>
      <c r="N199" s="94" t="str">
        <f>IF(preDEL!$AG199,IFERROR(0/0,""),preDEL!N199)</f>
        <v/>
      </c>
      <c r="O199" s="94" t="str">
        <f>IF(preDEL!$AG199,IFERROR(0/0,""),preDEL!O199)</f>
        <v/>
      </c>
      <c r="P199" s="93" t="b">
        <f>IF(preDEL!$AG199,IFERROR(0/0,""),preDEL!P199)</f>
        <v>0</v>
      </c>
      <c r="Q199" s="93" t="str">
        <f>IF(preDEL!$AG199,IFERROR(0/0,""),preDEL!Q199)</f>
        <v>Result</v>
      </c>
      <c r="R199" s="99" t="b">
        <f>IF(preDEL!$AG199,IFERROR(0/0,""),preDEL!R199)</f>
        <v>0</v>
      </c>
      <c r="S199" s="99">
        <f>IF(preDEL!$AG199,IFERROR(0/0,""),preDEL!S199)</f>
        <v>2</v>
      </c>
      <c r="T199" s="93" t="str">
        <f>IF(preDEL!$AG199,IFERROR(0/0,""),preDEL!T199)</f>
        <v/>
      </c>
      <c r="U199" s="94" t="str">
        <f>IF(preDEL!$AG199,IFERROR(0/0,""),preDEL!U199)</f>
        <v/>
      </c>
      <c r="V199" s="249" t="str">
        <f>IF(preDEL!$AG199,IFERROR(0/0,""),preDEL!V199)</f>
        <v/>
      </c>
      <c r="W199" s="94" t="str">
        <f>IF(preDEL!$AG199,IFERROR(0/0,""),preDEL!W199)</f>
        <v/>
      </c>
      <c r="X199" s="99" t="b">
        <f>IF(preDEL!$AG199,IFERROR(0/0,""),preDEL!X199)</f>
        <v>0</v>
      </c>
      <c r="Y199" s="93" t="str">
        <f>IF(preDEL!$AG199,IFERROR(0/0,""),preDEL!Y199)</f>
        <v/>
      </c>
      <c r="Z199" s="249" t="str">
        <f>IF(preDEL!$AG199,IFERROR(0/0,""),preDEL!Z199)</f>
        <v/>
      </c>
      <c r="AA199" s="93" t="b">
        <f>IF(preDEL!$AG199,IFERROR(0/0,""),preDEL!AA199)</f>
        <v>0</v>
      </c>
      <c r="AB199" s="93" t="str">
        <f>IF(preDEL!$AG199,IFERROR(0/0,""),preDEL!AB199)</f>
        <v/>
      </c>
      <c r="AC199" s="252">
        <f>IF(preDEL!$AG199,IFERROR(0/0,""),preDEL!AC199)</f>
        <v>70</v>
      </c>
      <c r="AD199" s="99" t="str">
        <f>IF(preDEL!$AG199,IFERROR(0/0,""),preDEL!AD199)</f>
        <v/>
      </c>
      <c r="AE199" s="253">
        <f>IF(preDEL!$AG199,IFERROR(0/0,""),preDEL!AE199)</f>
        <v>217.9166667</v>
      </c>
      <c r="AF199" s="93" t="b">
        <f>IF(preDEL!$AG199,IFERROR(0/0,""),preDEL!AF199)</f>
        <v>0</v>
      </c>
      <c r="AG199" s="93" t="b">
        <f>IF(preDEL!$AG199,IFERROR(0/0,""),preDEL!AG199)</f>
        <v>0</v>
      </c>
      <c r="AH199" s="99" t="str">
        <f>IF(preDEL!$AG199,IFERROR(0/0,""),preDEL!AH199)</f>
        <v/>
      </c>
      <c r="AI199" s="249" t="str">
        <f>IF(preDEL!$AG199,IFERROR(0/0,""),preDEL!AI199)</f>
        <v/>
      </c>
      <c r="AJ199" s="94" t="str">
        <f>IF(preDEL!$AG199,IFERROR(0/0,""),preDEL!AJ199)</f>
        <v/>
      </c>
      <c r="AK199" s="249" t="str">
        <f>IF(preDEL!$AG199,IFERROR(0/0,""),preDEL!AK199)</f>
        <v>Negative</v>
      </c>
      <c r="AL199" s="94" t="str">
        <f>IF(preDEL!$AG199,IFERROR(0/0,""),preDEL!AL199)</f>
        <v/>
      </c>
      <c r="AM199" s="94" t="str">
        <f>IF(preDEL!$AG199,IFERROR(0/0,""),preDEL!AM199)</f>
        <v>SpNDHM284552</v>
      </c>
      <c r="AN199" s="94" t="str">
        <f>IF(preDEL!$AG199,IFERROR(0/0,""),preDEL!AN199)</f>
        <v>NDHM142305</v>
      </c>
      <c r="AO199" s="94" t="str">
        <f>IF(preDEL!$AG199,IFERROR(0/0,""),preDEL!AO199)</f>
        <v/>
      </c>
      <c r="AP199" s="94" t="str">
        <f>IF(preDEL!$AG199,IFERROR(0/0,""),preDEL!AP199)</f>
        <v/>
      </c>
      <c r="AQ199" s="94" t="str">
        <f>IF(preDEL!$AG199,IFERROR(0/0,""),preDEL!AQ199)</f>
        <v/>
      </c>
      <c r="AR199" s="94" t="str">
        <f>IF(preDEL!$AG199,IFERROR(0/0,""),preDEL!AR199)</f>
        <v/>
      </c>
      <c r="AS199" s="98"/>
      <c r="BE199" s="254"/>
      <c r="BF199" s="255"/>
      <c r="BG199" s="254"/>
      <c r="BH199" s="255"/>
      <c r="BI199" s="254"/>
      <c r="BJ199" s="254"/>
      <c r="BK199" s="254"/>
      <c r="BL199" s="254"/>
      <c r="BN199" s="7"/>
      <c r="BO199" s="7"/>
      <c r="BP199" s="7"/>
      <c r="BQ199" s="7"/>
      <c r="BR199" s="7"/>
      <c r="BS199" s="7"/>
      <c r="BT199" s="7"/>
    </row>
    <row r="200">
      <c r="A200" s="249" t="str">
        <f>IF(preDEL!$AG200,IFERROR(0/0,""),preDEL!A200)</f>
        <v>AJ8368</v>
      </c>
      <c r="B200" s="250">
        <f>IF(preDEL!$AG200,IFERROR(0/0,""),preDEL!B200)</f>
        <v>44718</v>
      </c>
      <c r="C200" s="251">
        <f>IF(preDEL!$AG200,IFERROR(0/0,""),preDEL!C200)</f>
        <v>0.2365277778</v>
      </c>
      <c r="D200" s="249" t="str">
        <f>IF(preDEL!$AG200,IFERROR(0/0,""),preDEL!D200)</f>
        <v/>
      </c>
      <c r="E200" s="249" t="str">
        <f>IF(preDEL!$AG200,IFERROR(0/0,""),preDEL!E200)</f>
        <v/>
      </c>
      <c r="F200" s="94" t="str">
        <f>IF(preDEL!$AG200,IFERROR(0/0,""),preDEL!F200)</f>
        <v/>
      </c>
      <c r="G200" s="94" t="str">
        <f>IF(preDEL!$AG200,IFERROR(0/0,""),preDEL!G200)</f>
        <v/>
      </c>
      <c r="H200" s="94" t="str">
        <f>IF(preDEL!$AG200,IFERROR(0/0,""),preDEL!H200)</f>
        <v/>
      </c>
      <c r="I200" s="249" t="str">
        <f>IF(preDEL!$AG200,IFERROR(0/0,""),preDEL!I200)</f>
        <v/>
      </c>
      <c r="J200" s="249" t="str">
        <f>IF(preDEL!$AG200,IFERROR(0/0,""),preDEL!J200)</f>
        <v/>
      </c>
      <c r="K200" s="249" t="str">
        <f>IF(preDEL!$AG200,IFERROR(0/0,""),preDEL!K200)</f>
        <v>Negative</v>
      </c>
      <c r="L200" s="250">
        <f>IF(preDEL!$AG200,IFERROR(0/0,""),preDEL!L200)</f>
        <v>44718</v>
      </c>
      <c r="M200" s="251">
        <f>IF(preDEL!$AG200,IFERROR(0/0,""),preDEL!M200)</f>
        <v>0.3649884259</v>
      </c>
      <c r="N200" s="94" t="str">
        <f>IF(preDEL!$AG200,IFERROR(0/0,""),preDEL!N200)</f>
        <v/>
      </c>
      <c r="O200" s="94" t="str">
        <f>IF(preDEL!$AG200,IFERROR(0/0,""),preDEL!O200)</f>
        <v/>
      </c>
      <c r="P200" s="93" t="b">
        <f>IF(preDEL!$AG200,IFERROR(0/0,""),preDEL!P200)</f>
        <v>0</v>
      </c>
      <c r="Q200" s="93" t="str">
        <f>IF(preDEL!$AG200,IFERROR(0/0,""),preDEL!Q200)</f>
        <v>Result</v>
      </c>
      <c r="R200" s="99" t="b">
        <f>IF(preDEL!$AG200,IFERROR(0/0,""),preDEL!R200)</f>
        <v>1</v>
      </c>
      <c r="S200" s="99">
        <f>IF(preDEL!$AG200,IFERROR(0/0,""),preDEL!S200)</f>
        <v>3</v>
      </c>
      <c r="T200" s="93" t="str">
        <f>IF(preDEL!$AG200,IFERROR(0/0,""),preDEL!T200)</f>
        <v/>
      </c>
      <c r="U200" s="94" t="str">
        <f>IF(preDEL!$AG200,IFERROR(0/0,""),preDEL!U200)</f>
        <v/>
      </c>
      <c r="V200" s="249" t="str">
        <f>IF(preDEL!$AG200,IFERROR(0/0,""),preDEL!V200)</f>
        <v/>
      </c>
      <c r="W200" s="94" t="str">
        <f>IF(preDEL!$AG200,IFERROR(0/0,""),preDEL!W200)</f>
        <v/>
      </c>
      <c r="X200" s="99" t="b">
        <f>IF(preDEL!$AG200,IFERROR(0/0,""),preDEL!X200)</f>
        <v>0</v>
      </c>
      <c r="Y200" s="93" t="str">
        <f>IF(preDEL!$AG200,IFERROR(0/0,""),preDEL!Y200)</f>
        <v/>
      </c>
      <c r="Z200" s="249" t="str">
        <f>IF(preDEL!$AG200,IFERROR(0/0,""),preDEL!Z200)</f>
        <v/>
      </c>
      <c r="AA200" s="93" t="b">
        <f>IF(preDEL!$AG200,IFERROR(0/0,""),preDEL!AA200)</f>
        <v>0</v>
      </c>
      <c r="AB200" s="93" t="str">
        <f>IF(preDEL!$AG200,IFERROR(0/0,""),preDEL!AB200)</f>
        <v/>
      </c>
      <c r="AC200" s="252">
        <f>IF(preDEL!$AG200,IFERROR(0/0,""),preDEL!AC200)</f>
        <v>73</v>
      </c>
      <c r="AD200" s="99" t="str">
        <f>IF(preDEL!$AG200,IFERROR(0/0,""),preDEL!AD200)</f>
        <v/>
      </c>
      <c r="AE200" s="253">
        <f>IF(preDEL!$AG200,IFERROR(0/0,""),preDEL!AE200)</f>
        <v>184.9833333</v>
      </c>
      <c r="AF200" s="93" t="b">
        <f>IF(preDEL!$AG200,IFERROR(0/0,""),preDEL!AF200)</f>
        <v>0</v>
      </c>
      <c r="AG200" s="93" t="b">
        <f>IF(preDEL!$AG200,IFERROR(0/0,""),preDEL!AG200)</f>
        <v>0</v>
      </c>
      <c r="AH200" s="99" t="str">
        <f>IF(preDEL!$AG200,IFERROR(0/0,""),preDEL!AH200)</f>
        <v/>
      </c>
      <c r="AI200" s="249" t="str">
        <f>IF(preDEL!$AG200,IFERROR(0/0,""),preDEL!AI200)</f>
        <v/>
      </c>
      <c r="AJ200" s="94" t="str">
        <f>IF(preDEL!$AG200,IFERROR(0/0,""),preDEL!AJ200)</f>
        <v/>
      </c>
      <c r="AK200" s="249" t="str">
        <f>IF(preDEL!$AG200,IFERROR(0/0,""),preDEL!AK200)</f>
        <v>Negative</v>
      </c>
      <c r="AL200" s="94" t="str">
        <f>IF(preDEL!$AG200,IFERROR(0/0,""),preDEL!AL200)</f>
        <v/>
      </c>
      <c r="AM200" s="94" t="str">
        <f>IF(preDEL!$AG200,IFERROR(0/0,""),preDEL!AM200)</f>
        <v>SpNDHM189649</v>
      </c>
      <c r="AN200" s="94" t="str">
        <f>IF(preDEL!$AG200,IFERROR(0/0,""),preDEL!AN200)</f>
        <v>NDHM872314</v>
      </c>
      <c r="AO200" s="94" t="str">
        <f>IF(preDEL!$AG200,IFERROR(0/0,""),preDEL!AO200)</f>
        <v/>
      </c>
      <c r="AP200" s="94" t="str">
        <f>IF(preDEL!$AG200,IFERROR(0/0,""),preDEL!AP200)</f>
        <v/>
      </c>
      <c r="AQ200" s="94" t="str">
        <f>IF(preDEL!$AG200,IFERROR(0/0,""),preDEL!AQ200)</f>
        <v/>
      </c>
      <c r="AR200" s="94" t="str">
        <f>IF(preDEL!$AG200,IFERROR(0/0,""),preDEL!AR200)</f>
        <v/>
      </c>
      <c r="AS200" s="98"/>
      <c r="BE200" s="254"/>
      <c r="BF200" s="255"/>
      <c r="BG200" s="254"/>
      <c r="BH200" s="255"/>
      <c r="BI200" s="254"/>
      <c r="BJ200" s="254"/>
      <c r="BK200" s="254"/>
      <c r="BL200" s="254"/>
      <c r="BN200" s="7"/>
      <c r="BO200" s="7"/>
      <c r="BP200" s="7"/>
      <c r="BQ200" s="7"/>
      <c r="BR200" s="7"/>
      <c r="BS200" s="7"/>
      <c r="BT200" s="7"/>
    </row>
    <row r="201">
      <c r="A201" s="249" t="str">
        <f>IF(preDEL!$AG201,IFERROR(0/0,""),preDEL!A201)</f>
        <v>AJ8368</v>
      </c>
      <c r="B201" s="250">
        <f>IF(preDEL!$AG201,IFERROR(0/0,""),preDEL!B201)</f>
        <v>44718</v>
      </c>
      <c r="C201" s="251">
        <f>IF(preDEL!$AG201,IFERROR(0/0,""),preDEL!C201)</f>
        <v>0.2365277778</v>
      </c>
      <c r="D201" s="249" t="str">
        <f>IF(preDEL!$AG201,IFERROR(0/0,""),preDEL!D201)</f>
        <v/>
      </c>
      <c r="E201" s="249" t="str">
        <f>IF(preDEL!$AG201,IFERROR(0/0,""),preDEL!E201)</f>
        <v/>
      </c>
      <c r="F201" s="94" t="str">
        <f>IF(preDEL!$AG201,IFERROR(0/0,""),preDEL!F201)</f>
        <v/>
      </c>
      <c r="G201" s="94" t="str">
        <f>IF(preDEL!$AG201,IFERROR(0/0,""),preDEL!G201)</f>
        <v/>
      </c>
      <c r="H201" s="94" t="str">
        <f>IF(preDEL!$AG201,IFERROR(0/0,""),preDEL!H201)</f>
        <v/>
      </c>
      <c r="I201" s="249" t="str">
        <f>IF(preDEL!$AG201,IFERROR(0/0,""),preDEL!I201)</f>
        <v/>
      </c>
      <c r="J201" s="249" t="str">
        <f>IF(preDEL!$AG201,IFERROR(0/0,""),preDEL!J201)</f>
        <v/>
      </c>
      <c r="K201" s="249" t="str">
        <f>IF(preDEL!$AG201,IFERROR(0/0,""),preDEL!K201)</f>
        <v>Negative</v>
      </c>
      <c r="L201" s="250">
        <f>IF(preDEL!$AG201,IFERROR(0/0,""),preDEL!L201)</f>
        <v>44718</v>
      </c>
      <c r="M201" s="251">
        <f>IF(preDEL!$AG201,IFERROR(0/0,""),preDEL!M201)</f>
        <v>0.3649884259</v>
      </c>
      <c r="N201" s="94" t="str">
        <f>IF(preDEL!$AG201,IFERROR(0/0,""),preDEL!N201)</f>
        <v/>
      </c>
      <c r="O201" s="94" t="str">
        <f>IF(preDEL!$AG201,IFERROR(0/0,""),preDEL!O201)</f>
        <v/>
      </c>
      <c r="P201" s="93" t="b">
        <f>IF(preDEL!$AG201,IFERROR(0/0,""),preDEL!P201)</f>
        <v>0</v>
      </c>
      <c r="Q201" s="93" t="str">
        <f>IF(preDEL!$AG201,IFERROR(0/0,""),preDEL!Q201)</f>
        <v>Result</v>
      </c>
      <c r="R201" s="99" t="b">
        <f>IF(preDEL!$AG201,IFERROR(0/0,""),preDEL!R201)</f>
        <v>0</v>
      </c>
      <c r="S201" s="99">
        <f>IF(preDEL!$AG201,IFERROR(0/0,""),preDEL!S201)</f>
        <v>3</v>
      </c>
      <c r="T201" s="93" t="str">
        <f>IF(preDEL!$AG201,IFERROR(0/0,""),preDEL!T201)</f>
        <v/>
      </c>
      <c r="U201" s="94" t="str">
        <f>IF(preDEL!$AG201,IFERROR(0/0,""),preDEL!U201)</f>
        <v/>
      </c>
      <c r="V201" s="249" t="str">
        <f>IF(preDEL!$AG201,IFERROR(0/0,""),preDEL!V201)</f>
        <v/>
      </c>
      <c r="W201" s="94" t="str">
        <f>IF(preDEL!$AG201,IFERROR(0/0,""),preDEL!W201)</f>
        <v/>
      </c>
      <c r="X201" s="99" t="b">
        <f>IF(preDEL!$AG201,IFERROR(0/0,""),preDEL!X201)</f>
        <v>0</v>
      </c>
      <c r="Y201" s="93" t="str">
        <f>IF(preDEL!$AG201,IFERROR(0/0,""),preDEL!Y201)</f>
        <v/>
      </c>
      <c r="Z201" s="249" t="str">
        <f>IF(preDEL!$AG201,IFERROR(0/0,""),preDEL!Z201)</f>
        <v/>
      </c>
      <c r="AA201" s="93" t="b">
        <f>IF(preDEL!$AG201,IFERROR(0/0,""),preDEL!AA201)</f>
        <v>0</v>
      </c>
      <c r="AB201" s="93" t="str">
        <f>IF(preDEL!$AG201,IFERROR(0/0,""),preDEL!AB201)</f>
        <v/>
      </c>
      <c r="AC201" s="252">
        <f>IF(preDEL!$AG201,IFERROR(0/0,""),preDEL!AC201)</f>
        <v>72</v>
      </c>
      <c r="AD201" s="99" t="str">
        <f>IF(preDEL!$AG201,IFERROR(0/0,""),preDEL!AD201)</f>
        <v/>
      </c>
      <c r="AE201" s="253">
        <f>IF(preDEL!$AG201,IFERROR(0/0,""),preDEL!AE201)</f>
        <v>184.9833333</v>
      </c>
      <c r="AF201" s="93" t="b">
        <f>IF(preDEL!$AG201,IFERROR(0/0,""),preDEL!AF201)</f>
        <v>0</v>
      </c>
      <c r="AG201" s="93" t="b">
        <f>IF(preDEL!$AG201,IFERROR(0/0,""),preDEL!AG201)</f>
        <v>0</v>
      </c>
      <c r="AH201" s="99" t="str">
        <f>IF(preDEL!$AG201,IFERROR(0/0,""),preDEL!AH201)</f>
        <v/>
      </c>
      <c r="AI201" s="249" t="str">
        <f>IF(preDEL!$AG201,IFERROR(0/0,""),preDEL!AI201)</f>
        <v/>
      </c>
      <c r="AJ201" s="94" t="str">
        <f>IF(preDEL!$AG201,IFERROR(0/0,""),preDEL!AJ201)</f>
        <v/>
      </c>
      <c r="AK201" s="249" t="str">
        <f>IF(preDEL!$AG201,IFERROR(0/0,""),preDEL!AK201)</f>
        <v>Negative</v>
      </c>
      <c r="AL201" s="94" t="str">
        <f>IF(preDEL!$AG201,IFERROR(0/0,""),preDEL!AL201)</f>
        <v/>
      </c>
      <c r="AM201" s="94" t="str">
        <f>IF(preDEL!$AG201,IFERROR(0/0,""),preDEL!AM201)</f>
        <v>SpNDHM189649</v>
      </c>
      <c r="AN201" s="94" t="str">
        <f>IF(preDEL!$AG201,IFERROR(0/0,""),preDEL!AN201)</f>
        <v>NDHM577067</v>
      </c>
      <c r="AO201" s="94" t="str">
        <f>IF(preDEL!$AG201,IFERROR(0/0,""),preDEL!AO201)</f>
        <v/>
      </c>
      <c r="AP201" s="94" t="str">
        <f>IF(preDEL!$AG201,IFERROR(0/0,""),preDEL!AP201)</f>
        <v/>
      </c>
      <c r="AQ201" s="94" t="str">
        <f>IF(preDEL!$AG201,IFERROR(0/0,""),preDEL!AQ201)</f>
        <v/>
      </c>
      <c r="AR201" s="94" t="str">
        <f>IF(preDEL!$AG201,IFERROR(0/0,""),preDEL!AR201)</f>
        <v/>
      </c>
      <c r="AS201" s="98"/>
      <c r="BE201" s="254"/>
      <c r="BF201" s="255"/>
      <c r="BG201" s="254"/>
      <c r="BH201" s="255"/>
      <c r="BI201" s="254"/>
      <c r="BJ201" s="254"/>
      <c r="BK201" s="254"/>
      <c r="BL201" s="254"/>
      <c r="BN201" s="7"/>
      <c r="BO201" s="7"/>
      <c r="BP201" s="7"/>
      <c r="BQ201" s="7"/>
      <c r="BR201" s="7"/>
      <c r="BS201" s="7"/>
      <c r="BT201" s="7"/>
    </row>
    <row r="202">
      <c r="A202" s="249" t="str">
        <f>IF(preDEL!$AG202,IFERROR(0/0,""),preDEL!A202)</f>
        <v>AJ8368</v>
      </c>
      <c r="B202" s="250">
        <f>IF(preDEL!$AG202,IFERROR(0/0,""),preDEL!B202)</f>
        <v>44718</v>
      </c>
      <c r="C202" s="251">
        <f>IF(preDEL!$AG202,IFERROR(0/0,""),preDEL!C202)</f>
        <v>0.2365277778</v>
      </c>
      <c r="D202" s="249" t="str">
        <f>IF(preDEL!$AG202,IFERROR(0/0,""),preDEL!D202)</f>
        <v/>
      </c>
      <c r="E202" s="249" t="str">
        <f>IF(preDEL!$AG202,IFERROR(0/0,""),preDEL!E202)</f>
        <v/>
      </c>
      <c r="F202" s="94" t="str">
        <f>IF(preDEL!$AG202,IFERROR(0/0,""),preDEL!F202)</f>
        <v/>
      </c>
      <c r="G202" s="94" t="str">
        <f>IF(preDEL!$AG202,IFERROR(0/0,""),preDEL!G202)</f>
        <v/>
      </c>
      <c r="H202" s="94" t="str">
        <f>IF(preDEL!$AG202,IFERROR(0/0,""),preDEL!H202)</f>
        <v/>
      </c>
      <c r="I202" s="249" t="str">
        <f>IF(preDEL!$AG202,IFERROR(0/0,""),preDEL!I202)</f>
        <v/>
      </c>
      <c r="J202" s="249" t="str">
        <f>IF(preDEL!$AG202,IFERROR(0/0,""),preDEL!J202)</f>
        <v/>
      </c>
      <c r="K202" s="249" t="str">
        <f>IF(preDEL!$AG202,IFERROR(0/0,""),preDEL!K202)</f>
        <v>Negative</v>
      </c>
      <c r="L202" s="250">
        <f>IF(preDEL!$AG202,IFERROR(0/0,""),preDEL!L202)</f>
        <v>44718</v>
      </c>
      <c r="M202" s="251">
        <f>IF(preDEL!$AG202,IFERROR(0/0,""),preDEL!M202)</f>
        <v>0.3649884259</v>
      </c>
      <c r="N202" s="94" t="str">
        <f>IF(preDEL!$AG202,IFERROR(0/0,""),preDEL!N202)</f>
        <v/>
      </c>
      <c r="O202" s="94" t="str">
        <f>IF(preDEL!$AG202,IFERROR(0/0,""),preDEL!O202)</f>
        <v/>
      </c>
      <c r="P202" s="93" t="b">
        <f>IF(preDEL!$AG202,IFERROR(0/0,""),preDEL!P202)</f>
        <v>0</v>
      </c>
      <c r="Q202" s="93" t="str">
        <f>IF(preDEL!$AG202,IFERROR(0/0,""),preDEL!Q202)</f>
        <v>Result</v>
      </c>
      <c r="R202" s="99" t="b">
        <f>IF(preDEL!$AG202,IFERROR(0/0,""),preDEL!R202)</f>
        <v>0</v>
      </c>
      <c r="S202" s="99">
        <f>IF(preDEL!$AG202,IFERROR(0/0,""),preDEL!S202)</f>
        <v>3</v>
      </c>
      <c r="T202" s="93" t="str">
        <f>IF(preDEL!$AG202,IFERROR(0/0,""),preDEL!T202)</f>
        <v/>
      </c>
      <c r="U202" s="94" t="str">
        <f>IF(preDEL!$AG202,IFERROR(0/0,""),preDEL!U202)</f>
        <v/>
      </c>
      <c r="V202" s="249" t="str">
        <f>IF(preDEL!$AG202,IFERROR(0/0,""),preDEL!V202)</f>
        <v/>
      </c>
      <c r="W202" s="94" t="str">
        <f>IF(preDEL!$AG202,IFERROR(0/0,""),preDEL!W202)</f>
        <v/>
      </c>
      <c r="X202" s="99" t="b">
        <f>IF(preDEL!$AG202,IFERROR(0/0,""),preDEL!X202)</f>
        <v>0</v>
      </c>
      <c r="Y202" s="93" t="str">
        <f>IF(preDEL!$AG202,IFERROR(0/0,""),preDEL!Y202)</f>
        <v/>
      </c>
      <c r="Z202" s="249" t="str">
        <f>IF(preDEL!$AG202,IFERROR(0/0,""),preDEL!Z202)</f>
        <v/>
      </c>
      <c r="AA202" s="93" t="b">
        <f>IF(preDEL!$AG202,IFERROR(0/0,""),preDEL!AA202)</f>
        <v>0</v>
      </c>
      <c r="AB202" s="93" t="str">
        <f>IF(preDEL!$AG202,IFERROR(0/0,""),preDEL!AB202)</f>
        <v/>
      </c>
      <c r="AC202" s="252">
        <f>IF(preDEL!$AG202,IFERROR(0/0,""),preDEL!AC202)</f>
        <v>71</v>
      </c>
      <c r="AD202" s="99" t="str">
        <f>IF(preDEL!$AG202,IFERROR(0/0,""),preDEL!AD202)</f>
        <v/>
      </c>
      <c r="AE202" s="253">
        <f>IF(preDEL!$AG202,IFERROR(0/0,""),preDEL!AE202)</f>
        <v>184.9833333</v>
      </c>
      <c r="AF202" s="93" t="b">
        <f>IF(preDEL!$AG202,IFERROR(0/0,""),preDEL!AF202)</f>
        <v>0</v>
      </c>
      <c r="AG202" s="93" t="b">
        <f>IF(preDEL!$AG202,IFERROR(0/0,""),preDEL!AG202)</f>
        <v>0</v>
      </c>
      <c r="AH202" s="99" t="str">
        <f>IF(preDEL!$AG202,IFERROR(0/0,""),preDEL!AH202)</f>
        <v/>
      </c>
      <c r="AI202" s="249" t="str">
        <f>IF(preDEL!$AG202,IFERROR(0/0,""),preDEL!AI202)</f>
        <v/>
      </c>
      <c r="AJ202" s="94" t="str">
        <f>IF(preDEL!$AG202,IFERROR(0/0,""),preDEL!AJ202)</f>
        <v/>
      </c>
      <c r="AK202" s="249" t="str">
        <f>IF(preDEL!$AG202,IFERROR(0/0,""),preDEL!AK202)</f>
        <v>Negative</v>
      </c>
      <c r="AL202" s="94" t="str">
        <f>IF(preDEL!$AG202,IFERROR(0/0,""),preDEL!AL202)</f>
        <v/>
      </c>
      <c r="AM202" s="94" t="str">
        <f>IF(preDEL!$AG202,IFERROR(0/0,""),preDEL!AM202)</f>
        <v>SpNDHM189649</v>
      </c>
      <c r="AN202" s="94" t="str">
        <f>IF(preDEL!$AG202,IFERROR(0/0,""),preDEL!AN202)</f>
        <v>NDHM406316</v>
      </c>
      <c r="AO202" s="94" t="str">
        <f>IF(preDEL!$AG202,IFERROR(0/0,""),preDEL!AO202)</f>
        <v/>
      </c>
      <c r="AP202" s="94" t="str">
        <f>IF(preDEL!$AG202,IFERROR(0/0,""),preDEL!AP202)</f>
        <v/>
      </c>
      <c r="AQ202" s="94" t="str">
        <f>IF(preDEL!$AG202,IFERROR(0/0,""),preDEL!AQ202)</f>
        <v/>
      </c>
      <c r="AR202" s="94" t="str">
        <f>IF(preDEL!$AG202,IFERROR(0/0,""),preDEL!AR202)</f>
        <v/>
      </c>
      <c r="AS202" s="98"/>
      <c r="BE202" s="254"/>
      <c r="BF202" s="255"/>
      <c r="BG202" s="254"/>
      <c r="BH202" s="255"/>
      <c r="BI202" s="254"/>
      <c r="BJ202" s="254"/>
      <c r="BK202" s="254"/>
      <c r="BL202" s="254"/>
      <c r="BN202" s="7"/>
      <c r="BO202" s="7"/>
      <c r="BP202" s="7"/>
      <c r="BQ202" s="7"/>
      <c r="BR202" s="7"/>
      <c r="BS202" s="7"/>
      <c r="BT202" s="7"/>
    </row>
    <row r="203">
      <c r="A203" s="249" t="str">
        <f>IF(preDEL!$AG203,IFERROR(0/0,""),preDEL!A203)</f>
        <v>AG2202</v>
      </c>
      <c r="B203" s="250">
        <f>IF(preDEL!$AG203,IFERROR(0/0,""),preDEL!B203)</f>
        <v>44718</v>
      </c>
      <c r="C203" s="251">
        <f>IF(preDEL!$AG203,IFERROR(0/0,""),preDEL!C203)</f>
        <v>0.2998032407</v>
      </c>
      <c r="D203" s="249" t="str">
        <f>IF(preDEL!$AG203,IFERROR(0/0,""),preDEL!D203)</f>
        <v/>
      </c>
      <c r="E203" s="249" t="str">
        <f>IF(preDEL!$AG203,IFERROR(0/0,""),preDEL!E203)</f>
        <v/>
      </c>
      <c r="F203" s="94" t="str">
        <f>IF(preDEL!$AG203,IFERROR(0/0,""),preDEL!F203)</f>
        <v/>
      </c>
      <c r="G203" s="94" t="str">
        <f>IF(preDEL!$AG203,IFERROR(0/0,""),preDEL!G203)</f>
        <v/>
      </c>
      <c r="H203" s="94" t="str">
        <f>IF(preDEL!$AG203,IFERROR(0/0,""),preDEL!H203)</f>
        <v/>
      </c>
      <c r="I203" s="249" t="str">
        <f>IF(preDEL!$AG203,IFERROR(0/0,""),preDEL!I203)</f>
        <v/>
      </c>
      <c r="J203" s="249" t="str">
        <f>IF(preDEL!$AG203,IFERROR(0/0,""),preDEL!J203)</f>
        <v/>
      </c>
      <c r="K203" s="249" t="str">
        <f>IF(preDEL!$AG203,IFERROR(0/0,""),preDEL!K203)</f>
        <v>Negative</v>
      </c>
      <c r="L203" s="250">
        <f>IF(preDEL!$AG203,IFERROR(0/0,""),preDEL!L203)</f>
        <v>44718</v>
      </c>
      <c r="M203" s="251">
        <f>IF(preDEL!$AG203,IFERROR(0/0,""),preDEL!M203)</f>
        <v>0.3649884259</v>
      </c>
      <c r="N203" s="94" t="str">
        <f>IF(preDEL!$AG203,IFERROR(0/0,""),preDEL!N203)</f>
        <v/>
      </c>
      <c r="O203" s="94" t="str">
        <f>IF(preDEL!$AG203,IFERROR(0/0,""),preDEL!O203)</f>
        <v/>
      </c>
      <c r="P203" s="93" t="b">
        <f>IF(preDEL!$AG203,IFERROR(0/0,""),preDEL!P203)</f>
        <v>0</v>
      </c>
      <c r="Q203" s="93" t="str">
        <f>IF(preDEL!$AG203,IFERROR(0/0,""),preDEL!Q203)</f>
        <v>Result</v>
      </c>
      <c r="R203" s="99" t="b">
        <f>IF(preDEL!$AG203,IFERROR(0/0,""),preDEL!R203)</f>
        <v>1</v>
      </c>
      <c r="S203" s="99">
        <f>IF(preDEL!$AG203,IFERROR(0/0,""),preDEL!S203)</f>
        <v>2</v>
      </c>
      <c r="T203" s="93" t="str">
        <f>IF(preDEL!$AG203,IFERROR(0/0,""),preDEL!T203)</f>
        <v/>
      </c>
      <c r="U203" s="94" t="str">
        <f>IF(preDEL!$AG203,IFERROR(0/0,""),preDEL!U203)</f>
        <v/>
      </c>
      <c r="V203" s="249" t="str">
        <f>IF(preDEL!$AG203,IFERROR(0/0,""),preDEL!V203)</f>
        <v/>
      </c>
      <c r="W203" s="94" t="str">
        <f>IF(preDEL!$AG203,IFERROR(0/0,""),preDEL!W203)</f>
        <v/>
      </c>
      <c r="X203" s="99" t="b">
        <f>IF(preDEL!$AG203,IFERROR(0/0,""),preDEL!X203)</f>
        <v>0</v>
      </c>
      <c r="Y203" s="93" t="str">
        <f>IF(preDEL!$AG203,IFERROR(0/0,""),preDEL!Y203)</f>
        <v/>
      </c>
      <c r="Z203" s="249" t="str">
        <f>IF(preDEL!$AG203,IFERROR(0/0,""),preDEL!Z203)</f>
        <v/>
      </c>
      <c r="AA203" s="93" t="b">
        <f>IF(preDEL!$AG203,IFERROR(0/0,""),preDEL!AA203)</f>
        <v>0</v>
      </c>
      <c r="AB203" s="93" t="str">
        <f>IF(preDEL!$AG203,IFERROR(0/0,""),preDEL!AB203)</f>
        <v/>
      </c>
      <c r="AC203" s="252">
        <f>IF(preDEL!$AG203,IFERROR(0/0,""),preDEL!AC203)</f>
        <v>74</v>
      </c>
      <c r="AD203" s="99" t="str">
        <f>IF(preDEL!$AG203,IFERROR(0/0,""),preDEL!AD203)</f>
        <v/>
      </c>
      <c r="AE203" s="253">
        <f>IF(preDEL!$AG203,IFERROR(0/0,""),preDEL!AE203)</f>
        <v>93.86666667</v>
      </c>
      <c r="AF203" s="93" t="b">
        <f>IF(preDEL!$AG203,IFERROR(0/0,""),preDEL!AF203)</f>
        <v>0</v>
      </c>
      <c r="AG203" s="93" t="b">
        <f>IF(preDEL!$AG203,IFERROR(0/0,""),preDEL!AG203)</f>
        <v>0</v>
      </c>
      <c r="AH203" s="99" t="str">
        <f>IF(preDEL!$AG203,IFERROR(0/0,""),preDEL!AH203)</f>
        <v/>
      </c>
      <c r="AI203" s="249" t="str">
        <f>IF(preDEL!$AG203,IFERROR(0/0,""),preDEL!AI203)</f>
        <v/>
      </c>
      <c r="AJ203" s="94" t="str">
        <f>IF(preDEL!$AG203,IFERROR(0/0,""),preDEL!AJ203)</f>
        <v/>
      </c>
      <c r="AK203" s="249" t="str">
        <f>IF(preDEL!$AG203,IFERROR(0/0,""),preDEL!AK203)</f>
        <v>Negative</v>
      </c>
      <c r="AL203" s="94" t="str">
        <f>IF(preDEL!$AG203,IFERROR(0/0,""),preDEL!AL203)</f>
        <v/>
      </c>
      <c r="AM203" s="94" t="str">
        <f>IF(preDEL!$AG203,IFERROR(0/0,""),preDEL!AM203)</f>
        <v>SpNDHM122532</v>
      </c>
      <c r="AN203" s="94" t="str">
        <f>IF(preDEL!$AG203,IFERROR(0/0,""),preDEL!AN203)</f>
        <v>NDHM560499</v>
      </c>
      <c r="AO203" s="94" t="str">
        <f>IF(preDEL!$AG203,IFERROR(0/0,""),preDEL!AO203)</f>
        <v/>
      </c>
      <c r="AP203" s="94" t="str">
        <f>IF(preDEL!$AG203,IFERROR(0/0,""),preDEL!AP203)</f>
        <v/>
      </c>
      <c r="AQ203" s="94" t="str">
        <f>IF(preDEL!$AG203,IFERROR(0/0,""),preDEL!AQ203)</f>
        <v/>
      </c>
      <c r="AR203" s="94" t="str">
        <f>IF(preDEL!$AG203,IFERROR(0/0,""),preDEL!AR203)</f>
        <v/>
      </c>
      <c r="AS203" s="98"/>
      <c r="BE203" s="254"/>
      <c r="BF203" s="255"/>
      <c r="BG203" s="254"/>
      <c r="BH203" s="255"/>
      <c r="BI203" s="254"/>
      <c r="BJ203" s="254"/>
      <c r="BK203" s="254"/>
      <c r="BL203" s="254"/>
      <c r="BN203" s="7"/>
      <c r="BO203" s="7"/>
      <c r="BP203" s="7"/>
      <c r="BQ203" s="7"/>
      <c r="BR203" s="7"/>
      <c r="BS203" s="7"/>
      <c r="BT203" s="7"/>
    </row>
    <row r="204">
      <c r="A204" s="249" t="str">
        <f>IF(preDEL!$AG204,IFERROR(0/0,""),preDEL!A204)</f>
        <v>AG2202</v>
      </c>
      <c r="B204" s="250">
        <f>IF(preDEL!$AG204,IFERROR(0/0,""),preDEL!B204)</f>
        <v>44718</v>
      </c>
      <c r="C204" s="251">
        <f>IF(preDEL!$AG204,IFERROR(0/0,""),preDEL!C204)</f>
        <v>0.2998032407</v>
      </c>
      <c r="D204" s="249" t="str">
        <f>IF(preDEL!$AG204,IFERROR(0/0,""),preDEL!D204)</f>
        <v/>
      </c>
      <c r="E204" s="249" t="str">
        <f>IF(preDEL!$AG204,IFERROR(0/0,""),preDEL!E204)</f>
        <v/>
      </c>
      <c r="F204" s="94" t="str">
        <f>IF(preDEL!$AG204,IFERROR(0/0,""),preDEL!F204)</f>
        <v/>
      </c>
      <c r="G204" s="94" t="str">
        <f>IF(preDEL!$AG204,IFERROR(0/0,""),preDEL!G204)</f>
        <v/>
      </c>
      <c r="H204" s="94" t="str">
        <f>IF(preDEL!$AG204,IFERROR(0/0,""),preDEL!H204)</f>
        <v/>
      </c>
      <c r="I204" s="249" t="str">
        <f>IF(preDEL!$AG204,IFERROR(0/0,""),preDEL!I204)</f>
        <v/>
      </c>
      <c r="J204" s="249" t="str">
        <f>IF(preDEL!$AG204,IFERROR(0/0,""),preDEL!J204)</f>
        <v/>
      </c>
      <c r="K204" s="249" t="str">
        <f>IF(preDEL!$AG204,IFERROR(0/0,""),preDEL!K204)</f>
        <v>Negative</v>
      </c>
      <c r="L204" s="250">
        <f>IF(preDEL!$AG204,IFERROR(0/0,""),preDEL!L204)</f>
        <v>44718</v>
      </c>
      <c r="M204" s="251">
        <f>IF(preDEL!$AG204,IFERROR(0/0,""),preDEL!M204)</f>
        <v>0.3649884259</v>
      </c>
      <c r="N204" s="94" t="str">
        <f>IF(preDEL!$AG204,IFERROR(0/0,""),preDEL!N204)</f>
        <v/>
      </c>
      <c r="O204" s="94" t="str">
        <f>IF(preDEL!$AG204,IFERROR(0/0,""),preDEL!O204)</f>
        <v/>
      </c>
      <c r="P204" s="93" t="b">
        <f>IF(preDEL!$AG204,IFERROR(0/0,""),preDEL!P204)</f>
        <v>0</v>
      </c>
      <c r="Q204" s="93" t="str">
        <f>IF(preDEL!$AG204,IFERROR(0/0,""),preDEL!Q204)</f>
        <v>Result</v>
      </c>
      <c r="R204" s="99" t="b">
        <f>IF(preDEL!$AG204,IFERROR(0/0,""),preDEL!R204)</f>
        <v>0</v>
      </c>
      <c r="S204" s="99">
        <f>IF(preDEL!$AG204,IFERROR(0/0,""),preDEL!S204)</f>
        <v>2</v>
      </c>
      <c r="T204" s="93" t="str">
        <f>IF(preDEL!$AG204,IFERROR(0/0,""),preDEL!T204)</f>
        <v/>
      </c>
      <c r="U204" s="94" t="str">
        <f>IF(preDEL!$AG204,IFERROR(0/0,""),preDEL!U204)</f>
        <v/>
      </c>
      <c r="V204" s="249" t="str">
        <f>IF(preDEL!$AG204,IFERROR(0/0,""),preDEL!V204)</f>
        <v/>
      </c>
      <c r="W204" s="94" t="str">
        <f>IF(preDEL!$AG204,IFERROR(0/0,""),preDEL!W204)</f>
        <v/>
      </c>
      <c r="X204" s="99" t="b">
        <f>IF(preDEL!$AG204,IFERROR(0/0,""),preDEL!X204)</f>
        <v>0</v>
      </c>
      <c r="Y204" s="93" t="str">
        <f>IF(preDEL!$AG204,IFERROR(0/0,""),preDEL!Y204)</f>
        <v/>
      </c>
      <c r="Z204" s="249" t="str">
        <f>IF(preDEL!$AG204,IFERROR(0/0,""),preDEL!Z204)</f>
        <v/>
      </c>
      <c r="AA204" s="93" t="b">
        <f>IF(preDEL!$AG204,IFERROR(0/0,""),preDEL!AA204)</f>
        <v>0</v>
      </c>
      <c r="AB204" s="93" t="str">
        <f>IF(preDEL!$AG204,IFERROR(0/0,""),preDEL!AB204)</f>
        <v/>
      </c>
      <c r="AC204" s="252">
        <f>IF(preDEL!$AG204,IFERROR(0/0,""),preDEL!AC204)</f>
        <v>75</v>
      </c>
      <c r="AD204" s="99" t="str">
        <f>IF(preDEL!$AG204,IFERROR(0/0,""),preDEL!AD204)</f>
        <v/>
      </c>
      <c r="AE204" s="253">
        <f>IF(preDEL!$AG204,IFERROR(0/0,""),preDEL!AE204)</f>
        <v>93.86666667</v>
      </c>
      <c r="AF204" s="93" t="b">
        <f>IF(preDEL!$AG204,IFERROR(0/0,""),preDEL!AF204)</f>
        <v>0</v>
      </c>
      <c r="AG204" s="93" t="b">
        <f>IF(preDEL!$AG204,IFERROR(0/0,""),preDEL!AG204)</f>
        <v>0</v>
      </c>
      <c r="AH204" s="99" t="str">
        <f>IF(preDEL!$AG204,IFERROR(0/0,""),preDEL!AH204)</f>
        <v/>
      </c>
      <c r="AI204" s="249" t="str">
        <f>IF(preDEL!$AG204,IFERROR(0/0,""),preDEL!AI204)</f>
        <v/>
      </c>
      <c r="AJ204" s="94" t="str">
        <f>IF(preDEL!$AG204,IFERROR(0/0,""),preDEL!AJ204)</f>
        <v/>
      </c>
      <c r="AK204" s="249" t="str">
        <f>IF(preDEL!$AG204,IFERROR(0/0,""),preDEL!AK204)</f>
        <v>Negative</v>
      </c>
      <c r="AL204" s="94" t="str">
        <f>IF(preDEL!$AG204,IFERROR(0/0,""),preDEL!AL204)</f>
        <v/>
      </c>
      <c r="AM204" s="94" t="str">
        <f>IF(preDEL!$AG204,IFERROR(0/0,""),preDEL!AM204)</f>
        <v>SpNDHM122532</v>
      </c>
      <c r="AN204" s="94" t="str">
        <f>IF(preDEL!$AG204,IFERROR(0/0,""),preDEL!AN204)</f>
        <v>NDHM948431</v>
      </c>
      <c r="AO204" s="94" t="str">
        <f>IF(preDEL!$AG204,IFERROR(0/0,""),preDEL!AO204)</f>
        <v/>
      </c>
      <c r="AP204" s="94" t="str">
        <f>IF(preDEL!$AG204,IFERROR(0/0,""),preDEL!AP204)</f>
        <v/>
      </c>
      <c r="AQ204" s="94" t="str">
        <f>IF(preDEL!$AG204,IFERROR(0/0,""),preDEL!AQ204)</f>
        <v/>
      </c>
      <c r="AR204" s="94" t="str">
        <f>IF(preDEL!$AG204,IFERROR(0/0,""),preDEL!AR204)</f>
        <v/>
      </c>
      <c r="AS204" s="98"/>
      <c r="BE204" s="254"/>
      <c r="BF204" s="255"/>
      <c r="BG204" s="254"/>
      <c r="BH204" s="255"/>
      <c r="BI204" s="254"/>
      <c r="BJ204" s="254"/>
      <c r="BK204" s="254"/>
      <c r="BL204" s="254"/>
      <c r="BN204" s="7"/>
      <c r="BO204" s="7"/>
      <c r="BP204" s="7"/>
      <c r="BQ204" s="7"/>
      <c r="BR204" s="7"/>
      <c r="BS204" s="7"/>
      <c r="BT204" s="7"/>
    </row>
    <row r="205">
      <c r="A205" s="249" t="str">
        <f>IF(preDEL!$AG205,IFERROR(0/0,""),preDEL!A205)</f>
        <v/>
      </c>
      <c r="B205" s="250" t="str">
        <f>IF(preDEL!$AG205,IFERROR(0/0,""),preDEL!B205)</f>
        <v/>
      </c>
      <c r="C205" s="251" t="str">
        <f>IF(preDEL!$AG205,IFERROR(0/0,""),preDEL!C205)</f>
        <v/>
      </c>
      <c r="D205" s="249" t="str">
        <f>IF(preDEL!$AG205,IFERROR(0/0,""),preDEL!D205)</f>
        <v/>
      </c>
      <c r="E205" s="249" t="str">
        <f>IF(preDEL!$AG205,IFERROR(0/0,""),preDEL!E205)</f>
        <v/>
      </c>
      <c r="F205" s="94" t="str">
        <f>IF(preDEL!$AG205,IFERROR(0/0,""),preDEL!F205)</f>
        <v/>
      </c>
      <c r="G205" s="94" t="str">
        <f>IF(preDEL!$AG205,IFERROR(0/0,""),preDEL!G205)</f>
        <v/>
      </c>
      <c r="H205" s="94" t="str">
        <f>IF(preDEL!$AG205,IFERROR(0/0,""),preDEL!H205)</f>
        <v/>
      </c>
      <c r="I205" s="249" t="str">
        <f>IF(preDEL!$AG205,IFERROR(0/0,""),preDEL!I205)</f>
        <v/>
      </c>
      <c r="J205" s="249" t="str">
        <f>IF(preDEL!$AG205,IFERROR(0/0,""),preDEL!J205)</f>
        <v/>
      </c>
      <c r="K205" s="249" t="str">
        <f>IF(preDEL!$AG205,IFERROR(0/0,""),preDEL!K205)</f>
        <v/>
      </c>
      <c r="L205" s="250" t="str">
        <f>IF(preDEL!$AG205,IFERROR(0/0,""),preDEL!L205)</f>
        <v/>
      </c>
      <c r="M205" s="251" t="str">
        <f>IF(preDEL!$AG205,IFERROR(0/0,""),preDEL!M205)</f>
        <v/>
      </c>
      <c r="N205" s="94" t="str">
        <f>IF(preDEL!$AG205,IFERROR(0/0,""),preDEL!N205)</f>
        <v/>
      </c>
      <c r="O205" s="94" t="str">
        <f>IF(preDEL!$AG205,IFERROR(0/0,""),preDEL!O205)</f>
        <v/>
      </c>
      <c r="P205" s="93" t="str">
        <f>IF(preDEL!$AG205,IFERROR(0/0,""),preDEL!P205)</f>
        <v/>
      </c>
      <c r="Q205" s="93" t="str">
        <f>IF(preDEL!$AG205,IFERROR(0/0,""),preDEL!Q205)</f>
        <v/>
      </c>
      <c r="R205" s="99" t="str">
        <f>IF(preDEL!$AG205,IFERROR(0/0,""),preDEL!R205)</f>
        <v/>
      </c>
      <c r="S205" s="99" t="str">
        <f>IF(preDEL!$AG205,IFERROR(0/0,""),preDEL!S205)</f>
        <v/>
      </c>
      <c r="T205" s="93" t="str">
        <f>IF(preDEL!$AG205,IFERROR(0/0,""),preDEL!T205)</f>
        <v/>
      </c>
      <c r="U205" s="94" t="str">
        <f>IF(preDEL!$AG205,IFERROR(0/0,""),preDEL!U205)</f>
        <v/>
      </c>
      <c r="V205" s="249" t="str">
        <f>IF(preDEL!$AG205,IFERROR(0/0,""),preDEL!V205)</f>
        <v/>
      </c>
      <c r="W205" s="94" t="str">
        <f>IF(preDEL!$AG205,IFERROR(0/0,""),preDEL!W205)</f>
        <v/>
      </c>
      <c r="X205" s="99" t="str">
        <f>IF(preDEL!$AG205,IFERROR(0/0,""),preDEL!X205)</f>
        <v/>
      </c>
      <c r="Y205" s="93" t="str">
        <f>IF(preDEL!$AG205,IFERROR(0/0,""),preDEL!Y205)</f>
        <v/>
      </c>
      <c r="Z205" s="249" t="str">
        <f>IF(preDEL!$AG205,IFERROR(0/0,""),preDEL!Z205)</f>
        <v/>
      </c>
      <c r="AA205" s="93" t="str">
        <f>IF(preDEL!$AG205,IFERROR(0/0,""),preDEL!AA205)</f>
        <v/>
      </c>
      <c r="AB205" s="93" t="str">
        <f>IF(preDEL!$AG205,IFERROR(0/0,""),preDEL!AB205)</f>
        <v/>
      </c>
      <c r="AC205" s="252" t="str">
        <f>IF(preDEL!$AG205,IFERROR(0/0,""),preDEL!AC205)</f>
        <v/>
      </c>
      <c r="AD205" s="99" t="str">
        <f>IF(preDEL!$AG205,IFERROR(0/0,""),preDEL!AD205)</f>
        <v/>
      </c>
      <c r="AE205" s="253" t="str">
        <f>IF(preDEL!$AG205,IFERROR(0/0,""),preDEL!AE205)</f>
        <v/>
      </c>
      <c r="AF205" s="93" t="str">
        <f>IF(preDEL!$AG205,IFERROR(0/0,""),preDEL!AF205)</f>
        <v/>
      </c>
      <c r="AG205" s="93" t="str">
        <f>IF(preDEL!$AG205,IFERROR(0/0,""),preDEL!AG205)</f>
        <v/>
      </c>
      <c r="AH205" s="99" t="str">
        <f>IF(preDEL!$AG205,IFERROR(0/0,""),preDEL!AH205)</f>
        <v/>
      </c>
      <c r="AI205" s="249" t="str">
        <f>IF(preDEL!$AG205,IFERROR(0/0,""),preDEL!AI205)</f>
        <v/>
      </c>
      <c r="AJ205" s="94" t="str">
        <f>IF(preDEL!$AG205,IFERROR(0/0,""),preDEL!AJ205)</f>
        <v/>
      </c>
      <c r="AK205" s="249" t="str">
        <f>IF(preDEL!$AG205,IFERROR(0/0,""),preDEL!AK205)</f>
        <v/>
      </c>
      <c r="AL205" s="94" t="str">
        <f>IF(preDEL!$AG205,IFERROR(0/0,""),preDEL!AL205)</f>
        <v/>
      </c>
      <c r="AM205" s="94" t="str">
        <f>IF(preDEL!$AG205,IFERROR(0/0,""),preDEL!AM205)</f>
        <v/>
      </c>
      <c r="AN205" s="94" t="str">
        <f>IF(preDEL!$AG205,IFERROR(0/0,""),preDEL!AN205)</f>
        <v/>
      </c>
      <c r="AO205" s="94" t="str">
        <f>IF(preDEL!$AG205,IFERROR(0/0,""),preDEL!AO205)</f>
        <v/>
      </c>
      <c r="AP205" s="94" t="str">
        <f>IF(preDEL!$AG205,IFERROR(0/0,""),preDEL!AP205)</f>
        <v/>
      </c>
      <c r="AQ205" s="94" t="str">
        <f>IF(preDEL!$AG205,IFERROR(0/0,""),preDEL!AQ205)</f>
        <v/>
      </c>
      <c r="AR205" s="94" t="str">
        <f>IF(preDEL!$AG205,IFERROR(0/0,""),preDEL!AR205)</f>
        <v/>
      </c>
      <c r="AS205" s="98"/>
      <c r="BE205" s="254"/>
      <c r="BF205" s="255"/>
      <c r="BG205" s="254"/>
      <c r="BH205" s="255"/>
      <c r="BI205" s="254"/>
      <c r="BJ205" s="254"/>
      <c r="BK205" s="254"/>
      <c r="BL205" s="254"/>
      <c r="BN205" s="7"/>
      <c r="BO205" s="7"/>
      <c r="BP205" s="7"/>
      <c r="BQ205" s="7"/>
      <c r="BR205" s="7"/>
      <c r="BS205" s="7"/>
      <c r="BT205" s="7"/>
    </row>
    <row r="206">
      <c r="A206" s="249" t="str">
        <f>IF(preDEL!$AG206,IFERROR(0/0,""),preDEL!A206)</f>
        <v/>
      </c>
      <c r="B206" s="250" t="str">
        <f>IF(preDEL!$AG206,IFERROR(0/0,""),preDEL!B206)</f>
        <v/>
      </c>
      <c r="C206" s="251" t="str">
        <f>IF(preDEL!$AG206,IFERROR(0/0,""),preDEL!C206)</f>
        <v/>
      </c>
      <c r="D206" s="249" t="str">
        <f>IF(preDEL!$AG206,IFERROR(0/0,""),preDEL!D206)</f>
        <v/>
      </c>
      <c r="E206" s="249" t="str">
        <f>IF(preDEL!$AG206,IFERROR(0/0,""),preDEL!E206)</f>
        <v/>
      </c>
      <c r="F206" s="94" t="str">
        <f>IF(preDEL!$AG206,IFERROR(0/0,""),preDEL!F206)</f>
        <v/>
      </c>
      <c r="G206" s="94" t="str">
        <f>IF(preDEL!$AG206,IFERROR(0/0,""),preDEL!G206)</f>
        <v/>
      </c>
      <c r="H206" s="94" t="str">
        <f>IF(preDEL!$AG206,IFERROR(0/0,""),preDEL!H206)</f>
        <v/>
      </c>
      <c r="I206" s="249" t="str">
        <f>IF(preDEL!$AG206,IFERROR(0/0,""),preDEL!I206)</f>
        <v/>
      </c>
      <c r="J206" s="249" t="str">
        <f>IF(preDEL!$AG206,IFERROR(0/0,""),preDEL!J206)</f>
        <v/>
      </c>
      <c r="K206" s="249" t="str">
        <f>IF(preDEL!$AG206,IFERROR(0/0,""),preDEL!K206)</f>
        <v/>
      </c>
      <c r="L206" s="250" t="str">
        <f>IF(preDEL!$AG206,IFERROR(0/0,""),preDEL!L206)</f>
        <v/>
      </c>
      <c r="M206" s="251" t="str">
        <f>IF(preDEL!$AG206,IFERROR(0/0,""),preDEL!M206)</f>
        <v/>
      </c>
      <c r="N206" s="94" t="str">
        <f>IF(preDEL!$AG206,IFERROR(0/0,""),preDEL!N206)</f>
        <v/>
      </c>
      <c r="O206" s="94" t="str">
        <f>IF(preDEL!$AG206,IFERROR(0/0,""),preDEL!O206)</f>
        <v/>
      </c>
      <c r="P206" s="93" t="str">
        <f>IF(preDEL!$AG206,IFERROR(0/0,""),preDEL!P206)</f>
        <v/>
      </c>
      <c r="Q206" s="93" t="str">
        <f>IF(preDEL!$AG206,IFERROR(0/0,""),preDEL!Q206)</f>
        <v/>
      </c>
      <c r="R206" s="99" t="str">
        <f>IF(preDEL!$AG206,IFERROR(0/0,""),preDEL!R206)</f>
        <v/>
      </c>
      <c r="S206" s="99" t="str">
        <f>IF(preDEL!$AG206,IFERROR(0/0,""),preDEL!S206)</f>
        <v/>
      </c>
      <c r="T206" s="93" t="str">
        <f>IF(preDEL!$AG206,IFERROR(0/0,""),preDEL!T206)</f>
        <v/>
      </c>
      <c r="U206" s="94" t="str">
        <f>IF(preDEL!$AG206,IFERROR(0/0,""),preDEL!U206)</f>
        <v/>
      </c>
      <c r="V206" s="249" t="str">
        <f>IF(preDEL!$AG206,IFERROR(0/0,""),preDEL!V206)</f>
        <v/>
      </c>
      <c r="W206" s="94" t="str">
        <f>IF(preDEL!$AG206,IFERROR(0/0,""),preDEL!W206)</f>
        <v/>
      </c>
      <c r="X206" s="99" t="str">
        <f>IF(preDEL!$AG206,IFERROR(0/0,""),preDEL!X206)</f>
        <v/>
      </c>
      <c r="Y206" s="93" t="str">
        <f>IF(preDEL!$AG206,IFERROR(0/0,""),preDEL!Y206)</f>
        <v/>
      </c>
      <c r="Z206" s="249" t="str">
        <f>IF(preDEL!$AG206,IFERROR(0/0,""),preDEL!Z206)</f>
        <v/>
      </c>
      <c r="AA206" s="93" t="str">
        <f>IF(preDEL!$AG206,IFERROR(0/0,""),preDEL!AA206)</f>
        <v/>
      </c>
      <c r="AB206" s="93" t="str">
        <f>IF(preDEL!$AG206,IFERROR(0/0,""),preDEL!AB206)</f>
        <v/>
      </c>
      <c r="AC206" s="252" t="str">
        <f>IF(preDEL!$AG206,IFERROR(0/0,""),preDEL!AC206)</f>
        <v/>
      </c>
      <c r="AD206" s="99" t="str">
        <f>IF(preDEL!$AG206,IFERROR(0/0,""),preDEL!AD206)</f>
        <v/>
      </c>
      <c r="AE206" s="253" t="str">
        <f>IF(preDEL!$AG206,IFERROR(0/0,""),preDEL!AE206)</f>
        <v/>
      </c>
      <c r="AF206" s="93" t="str">
        <f>IF(preDEL!$AG206,IFERROR(0/0,""),preDEL!AF206)</f>
        <v/>
      </c>
      <c r="AG206" s="93" t="str">
        <f>IF(preDEL!$AG206,IFERROR(0/0,""),preDEL!AG206)</f>
        <v/>
      </c>
      <c r="AH206" s="99" t="str">
        <f>IF(preDEL!$AG206,IFERROR(0/0,""),preDEL!AH206)</f>
        <v/>
      </c>
      <c r="AI206" s="249" t="str">
        <f>IF(preDEL!$AG206,IFERROR(0/0,""),preDEL!AI206)</f>
        <v/>
      </c>
      <c r="AJ206" s="94" t="str">
        <f>IF(preDEL!$AG206,IFERROR(0/0,""),preDEL!AJ206)</f>
        <v/>
      </c>
      <c r="AK206" s="249" t="str">
        <f>IF(preDEL!$AG206,IFERROR(0/0,""),preDEL!AK206)</f>
        <v/>
      </c>
      <c r="AL206" s="94" t="str">
        <f>IF(preDEL!$AG206,IFERROR(0/0,""),preDEL!AL206)</f>
        <v/>
      </c>
      <c r="AM206" s="94" t="str">
        <f>IF(preDEL!$AG206,IFERROR(0/0,""),preDEL!AM206)</f>
        <v/>
      </c>
      <c r="AN206" s="94" t="str">
        <f>IF(preDEL!$AG206,IFERROR(0/0,""),preDEL!AN206)</f>
        <v/>
      </c>
      <c r="AO206" s="94" t="str">
        <f>IF(preDEL!$AG206,IFERROR(0/0,""),preDEL!AO206)</f>
        <v/>
      </c>
      <c r="AP206" s="94" t="str">
        <f>IF(preDEL!$AG206,IFERROR(0/0,""),preDEL!AP206)</f>
        <v/>
      </c>
      <c r="AQ206" s="94" t="str">
        <f>IF(preDEL!$AG206,IFERROR(0/0,""),preDEL!AQ206)</f>
        <v/>
      </c>
      <c r="AR206" s="94" t="str">
        <f>IF(preDEL!$AG206,IFERROR(0/0,""),preDEL!AR206)</f>
        <v/>
      </c>
      <c r="AS206" s="98"/>
      <c r="BE206" s="254"/>
      <c r="BF206" s="255"/>
      <c r="BG206" s="254"/>
      <c r="BH206" s="255"/>
      <c r="BI206" s="254"/>
      <c r="BJ206" s="254"/>
      <c r="BK206" s="254"/>
      <c r="BL206" s="254"/>
      <c r="BN206" s="7"/>
      <c r="BO206" s="7"/>
      <c r="BP206" s="7"/>
      <c r="BQ206" s="7"/>
      <c r="BR206" s="7"/>
      <c r="BS206" s="7"/>
      <c r="BT206" s="7"/>
    </row>
    <row r="207">
      <c r="A207" s="249" t="str">
        <f>IF(preDEL!$AG207,IFERROR(0/0,""),preDEL!A207)</f>
        <v/>
      </c>
      <c r="B207" s="250" t="str">
        <f>IF(preDEL!$AG207,IFERROR(0/0,""),preDEL!B207)</f>
        <v/>
      </c>
      <c r="C207" s="251" t="str">
        <f>IF(preDEL!$AG207,IFERROR(0/0,""),preDEL!C207)</f>
        <v/>
      </c>
      <c r="D207" s="249" t="str">
        <f>IF(preDEL!$AG207,IFERROR(0/0,""),preDEL!D207)</f>
        <v/>
      </c>
      <c r="E207" s="249" t="str">
        <f>IF(preDEL!$AG207,IFERROR(0/0,""),preDEL!E207)</f>
        <v/>
      </c>
      <c r="F207" s="94" t="str">
        <f>IF(preDEL!$AG207,IFERROR(0/0,""),preDEL!F207)</f>
        <v/>
      </c>
      <c r="G207" s="94" t="str">
        <f>IF(preDEL!$AG207,IFERROR(0/0,""),preDEL!G207)</f>
        <v/>
      </c>
      <c r="H207" s="94" t="str">
        <f>IF(preDEL!$AG207,IFERROR(0/0,""),preDEL!H207)</f>
        <v/>
      </c>
      <c r="I207" s="249" t="str">
        <f>IF(preDEL!$AG207,IFERROR(0/0,""),preDEL!I207)</f>
        <v/>
      </c>
      <c r="J207" s="249" t="str">
        <f>IF(preDEL!$AG207,IFERROR(0/0,""),preDEL!J207)</f>
        <v/>
      </c>
      <c r="K207" s="249" t="str">
        <f>IF(preDEL!$AG207,IFERROR(0/0,""),preDEL!K207)</f>
        <v/>
      </c>
      <c r="L207" s="250" t="str">
        <f>IF(preDEL!$AG207,IFERROR(0/0,""),preDEL!L207)</f>
        <v/>
      </c>
      <c r="M207" s="251" t="str">
        <f>IF(preDEL!$AG207,IFERROR(0/0,""),preDEL!M207)</f>
        <v/>
      </c>
      <c r="N207" s="94" t="str">
        <f>IF(preDEL!$AG207,IFERROR(0/0,""),preDEL!N207)</f>
        <v/>
      </c>
      <c r="O207" s="94" t="str">
        <f>IF(preDEL!$AG207,IFERROR(0/0,""),preDEL!O207)</f>
        <v/>
      </c>
      <c r="P207" s="93" t="str">
        <f>IF(preDEL!$AG207,IFERROR(0/0,""),preDEL!P207)</f>
        <v/>
      </c>
      <c r="Q207" s="93" t="str">
        <f>IF(preDEL!$AG207,IFERROR(0/0,""),preDEL!Q207)</f>
        <v/>
      </c>
      <c r="R207" s="99" t="str">
        <f>IF(preDEL!$AG207,IFERROR(0/0,""),preDEL!R207)</f>
        <v/>
      </c>
      <c r="S207" s="99" t="str">
        <f>IF(preDEL!$AG207,IFERROR(0/0,""),preDEL!S207)</f>
        <v/>
      </c>
      <c r="T207" s="93" t="str">
        <f>IF(preDEL!$AG207,IFERROR(0/0,""),preDEL!T207)</f>
        <v/>
      </c>
      <c r="U207" s="94" t="str">
        <f>IF(preDEL!$AG207,IFERROR(0/0,""),preDEL!U207)</f>
        <v/>
      </c>
      <c r="V207" s="249" t="str">
        <f>IF(preDEL!$AG207,IFERROR(0/0,""),preDEL!V207)</f>
        <v/>
      </c>
      <c r="W207" s="94" t="str">
        <f>IF(preDEL!$AG207,IFERROR(0/0,""),preDEL!W207)</f>
        <v/>
      </c>
      <c r="X207" s="99" t="str">
        <f>IF(preDEL!$AG207,IFERROR(0/0,""),preDEL!X207)</f>
        <v/>
      </c>
      <c r="Y207" s="93" t="str">
        <f>IF(preDEL!$AG207,IFERROR(0/0,""),preDEL!Y207)</f>
        <v/>
      </c>
      <c r="Z207" s="249" t="str">
        <f>IF(preDEL!$AG207,IFERROR(0/0,""),preDEL!Z207)</f>
        <v/>
      </c>
      <c r="AA207" s="93" t="str">
        <f>IF(preDEL!$AG207,IFERROR(0/0,""),preDEL!AA207)</f>
        <v/>
      </c>
      <c r="AB207" s="93" t="str">
        <f>IF(preDEL!$AG207,IFERROR(0/0,""),preDEL!AB207)</f>
        <v/>
      </c>
      <c r="AC207" s="252" t="str">
        <f>IF(preDEL!$AG207,IFERROR(0/0,""),preDEL!AC207)</f>
        <v/>
      </c>
      <c r="AD207" s="99" t="str">
        <f>IF(preDEL!$AG207,IFERROR(0/0,""),preDEL!AD207)</f>
        <v/>
      </c>
      <c r="AE207" s="253" t="str">
        <f>IF(preDEL!$AG207,IFERROR(0/0,""),preDEL!AE207)</f>
        <v/>
      </c>
      <c r="AF207" s="93" t="str">
        <f>IF(preDEL!$AG207,IFERROR(0/0,""),preDEL!AF207)</f>
        <v/>
      </c>
      <c r="AG207" s="93" t="str">
        <f>IF(preDEL!$AG207,IFERROR(0/0,""),preDEL!AG207)</f>
        <v/>
      </c>
      <c r="AH207" s="99" t="str">
        <f>IF(preDEL!$AG207,IFERROR(0/0,""),preDEL!AH207)</f>
        <v/>
      </c>
      <c r="AI207" s="249" t="str">
        <f>IF(preDEL!$AG207,IFERROR(0/0,""),preDEL!AI207)</f>
        <v/>
      </c>
      <c r="AJ207" s="94" t="str">
        <f>IF(preDEL!$AG207,IFERROR(0/0,""),preDEL!AJ207)</f>
        <v/>
      </c>
      <c r="AK207" s="249" t="str">
        <f>IF(preDEL!$AG207,IFERROR(0/0,""),preDEL!AK207)</f>
        <v/>
      </c>
      <c r="AL207" s="94" t="str">
        <f>IF(preDEL!$AG207,IFERROR(0/0,""),preDEL!AL207)</f>
        <v/>
      </c>
      <c r="AM207" s="94" t="str">
        <f>IF(preDEL!$AG207,IFERROR(0/0,""),preDEL!AM207)</f>
        <v/>
      </c>
      <c r="AN207" s="94" t="str">
        <f>IF(preDEL!$AG207,IFERROR(0/0,""),preDEL!AN207)</f>
        <v/>
      </c>
      <c r="AO207" s="94" t="str">
        <f>IF(preDEL!$AG207,IFERROR(0/0,""),preDEL!AO207)</f>
        <v/>
      </c>
      <c r="AP207" s="94" t="str">
        <f>IF(preDEL!$AG207,IFERROR(0/0,""),preDEL!AP207)</f>
        <v/>
      </c>
      <c r="AQ207" s="94" t="str">
        <f>IF(preDEL!$AG207,IFERROR(0/0,""),preDEL!AQ207)</f>
        <v/>
      </c>
      <c r="AR207" s="94" t="str">
        <f>IF(preDEL!$AG207,IFERROR(0/0,""),preDEL!AR207)</f>
        <v/>
      </c>
      <c r="AS207" s="98"/>
      <c r="BE207" s="254"/>
      <c r="BF207" s="255"/>
      <c r="BG207" s="254"/>
      <c r="BH207" s="255"/>
      <c r="BI207" s="254"/>
      <c r="BJ207" s="254"/>
      <c r="BK207" s="254"/>
      <c r="BL207" s="254"/>
      <c r="BN207" s="7"/>
      <c r="BO207" s="7"/>
      <c r="BP207" s="7"/>
      <c r="BQ207" s="7"/>
      <c r="BR207" s="7"/>
      <c r="BS207" s="7"/>
      <c r="BT207" s="7"/>
    </row>
    <row r="208">
      <c r="A208" s="249" t="str">
        <f>IF(preDEL!$AG208,IFERROR(0/0,""),preDEL!A208)</f>
        <v/>
      </c>
      <c r="B208" s="250" t="str">
        <f>IF(preDEL!$AG208,IFERROR(0/0,""),preDEL!B208)</f>
        <v/>
      </c>
      <c r="C208" s="251" t="str">
        <f>IF(preDEL!$AG208,IFERROR(0/0,""),preDEL!C208)</f>
        <v/>
      </c>
      <c r="D208" s="249" t="str">
        <f>IF(preDEL!$AG208,IFERROR(0/0,""),preDEL!D208)</f>
        <v/>
      </c>
      <c r="E208" s="249" t="str">
        <f>IF(preDEL!$AG208,IFERROR(0/0,""),preDEL!E208)</f>
        <v/>
      </c>
      <c r="F208" s="94" t="str">
        <f>IF(preDEL!$AG208,IFERROR(0/0,""),preDEL!F208)</f>
        <v/>
      </c>
      <c r="G208" s="94" t="str">
        <f>IF(preDEL!$AG208,IFERROR(0/0,""),preDEL!G208)</f>
        <v/>
      </c>
      <c r="H208" s="94" t="str">
        <f>IF(preDEL!$AG208,IFERROR(0/0,""),preDEL!H208)</f>
        <v/>
      </c>
      <c r="I208" s="249" t="str">
        <f>IF(preDEL!$AG208,IFERROR(0/0,""),preDEL!I208)</f>
        <v/>
      </c>
      <c r="J208" s="249" t="str">
        <f>IF(preDEL!$AG208,IFERROR(0/0,""),preDEL!J208)</f>
        <v/>
      </c>
      <c r="K208" s="249" t="str">
        <f>IF(preDEL!$AG208,IFERROR(0/0,""),preDEL!K208)</f>
        <v/>
      </c>
      <c r="L208" s="250" t="str">
        <f>IF(preDEL!$AG208,IFERROR(0/0,""),preDEL!L208)</f>
        <v/>
      </c>
      <c r="M208" s="251" t="str">
        <f>IF(preDEL!$AG208,IFERROR(0/0,""),preDEL!M208)</f>
        <v/>
      </c>
      <c r="N208" s="94" t="str">
        <f>IF(preDEL!$AG208,IFERROR(0/0,""),preDEL!N208)</f>
        <v/>
      </c>
      <c r="O208" s="94" t="str">
        <f>IF(preDEL!$AG208,IFERROR(0/0,""),preDEL!O208)</f>
        <v/>
      </c>
      <c r="P208" s="93" t="str">
        <f>IF(preDEL!$AG208,IFERROR(0/0,""),preDEL!P208)</f>
        <v/>
      </c>
      <c r="Q208" s="93" t="str">
        <f>IF(preDEL!$AG208,IFERROR(0/0,""),preDEL!Q208)</f>
        <v/>
      </c>
      <c r="R208" s="99" t="str">
        <f>IF(preDEL!$AG208,IFERROR(0/0,""),preDEL!R208)</f>
        <v/>
      </c>
      <c r="S208" s="99" t="str">
        <f>IF(preDEL!$AG208,IFERROR(0/0,""),preDEL!S208)</f>
        <v/>
      </c>
      <c r="T208" s="93" t="str">
        <f>IF(preDEL!$AG208,IFERROR(0/0,""),preDEL!T208)</f>
        <v/>
      </c>
      <c r="U208" s="94" t="str">
        <f>IF(preDEL!$AG208,IFERROR(0/0,""),preDEL!U208)</f>
        <v/>
      </c>
      <c r="V208" s="249" t="str">
        <f>IF(preDEL!$AG208,IFERROR(0/0,""),preDEL!V208)</f>
        <v/>
      </c>
      <c r="W208" s="94" t="str">
        <f>IF(preDEL!$AG208,IFERROR(0/0,""),preDEL!W208)</f>
        <v/>
      </c>
      <c r="X208" s="99" t="str">
        <f>IF(preDEL!$AG208,IFERROR(0/0,""),preDEL!X208)</f>
        <v/>
      </c>
      <c r="Y208" s="93" t="str">
        <f>IF(preDEL!$AG208,IFERROR(0/0,""),preDEL!Y208)</f>
        <v/>
      </c>
      <c r="Z208" s="249" t="str">
        <f>IF(preDEL!$AG208,IFERROR(0/0,""),preDEL!Z208)</f>
        <v/>
      </c>
      <c r="AA208" s="93" t="str">
        <f>IF(preDEL!$AG208,IFERROR(0/0,""),preDEL!AA208)</f>
        <v/>
      </c>
      <c r="AB208" s="93" t="str">
        <f>IF(preDEL!$AG208,IFERROR(0/0,""),preDEL!AB208)</f>
        <v/>
      </c>
      <c r="AC208" s="252" t="str">
        <f>IF(preDEL!$AG208,IFERROR(0/0,""),preDEL!AC208)</f>
        <v/>
      </c>
      <c r="AD208" s="99" t="str">
        <f>IF(preDEL!$AG208,IFERROR(0/0,""),preDEL!AD208)</f>
        <v/>
      </c>
      <c r="AE208" s="253" t="str">
        <f>IF(preDEL!$AG208,IFERROR(0/0,""),preDEL!AE208)</f>
        <v/>
      </c>
      <c r="AF208" s="93" t="str">
        <f>IF(preDEL!$AG208,IFERROR(0/0,""),preDEL!AF208)</f>
        <v/>
      </c>
      <c r="AG208" s="93" t="str">
        <f>IF(preDEL!$AG208,IFERROR(0/0,""),preDEL!AG208)</f>
        <v/>
      </c>
      <c r="AH208" s="99" t="str">
        <f>IF(preDEL!$AG208,IFERROR(0/0,""),preDEL!AH208)</f>
        <v/>
      </c>
      <c r="AI208" s="249" t="str">
        <f>IF(preDEL!$AG208,IFERROR(0/0,""),preDEL!AI208)</f>
        <v/>
      </c>
      <c r="AJ208" s="94" t="str">
        <f>IF(preDEL!$AG208,IFERROR(0/0,""),preDEL!AJ208)</f>
        <v/>
      </c>
      <c r="AK208" s="249" t="str">
        <f>IF(preDEL!$AG208,IFERROR(0/0,""),preDEL!AK208)</f>
        <v/>
      </c>
      <c r="AL208" s="94" t="str">
        <f>IF(preDEL!$AG208,IFERROR(0/0,""),preDEL!AL208)</f>
        <v/>
      </c>
      <c r="AM208" s="94" t="str">
        <f>IF(preDEL!$AG208,IFERROR(0/0,""),preDEL!AM208)</f>
        <v/>
      </c>
      <c r="AN208" s="94" t="str">
        <f>IF(preDEL!$AG208,IFERROR(0/0,""),preDEL!AN208)</f>
        <v/>
      </c>
      <c r="AO208" s="94" t="str">
        <f>IF(preDEL!$AG208,IFERROR(0/0,""),preDEL!AO208)</f>
        <v/>
      </c>
      <c r="AP208" s="94" t="str">
        <f>IF(preDEL!$AG208,IFERROR(0/0,""),preDEL!AP208)</f>
        <v/>
      </c>
      <c r="AQ208" s="94" t="str">
        <f>IF(preDEL!$AG208,IFERROR(0/0,""),preDEL!AQ208)</f>
        <v/>
      </c>
      <c r="AR208" s="94" t="str">
        <f>IF(preDEL!$AG208,IFERROR(0/0,""),preDEL!AR208)</f>
        <v/>
      </c>
      <c r="AS208" s="98"/>
      <c r="BE208" s="254"/>
      <c r="BF208" s="255"/>
      <c r="BG208" s="254"/>
      <c r="BH208" s="255"/>
      <c r="BI208" s="254"/>
      <c r="BJ208" s="254"/>
      <c r="BK208" s="254"/>
      <c r="BL208" s="254"/>
      <c r="BN208" s="7"/>
      <c r="BO208" s="7"/>
      <c r="BP208" s="7"/>
      <c r="BQ208" s="7"/>
      <c r="BR208" s="7"/>
      <c r="BS208" s="7"/>
      <c r="BT208" s="7"/>
    </row>
    <row r="209">
      <c r="A209" s="249" t="str">
        <f>IF(preDEL!$AG209,IFERROR(0/0,""),preDEL!A209)</f>
        <v/>
      </c>
      <c r="B209" s="250" t="str">
        <f>IF(preDEL!$AG209,IFERROR(0/0,""),preDEL!B209)</f>
        <v/>
      </c>
      <c r="C209" s="251" t="str">
        <f>IF(preDEL!$AG209,IFERROR(0/0,""),preDEL!C209)</f>
        <v/>
      </c>
      <c r="D209" s="249" t="str">
        <f>IF(preDEL!$AG209,IFERROR(0/0,""),preDEL!D209)</f>
        <v/>
      </c>
      <c r="E209" s="249" t="str">
        <f>IF(preDEL!$AG209,IFERROR(0/0,""),preDEL!E209)</f>
        <v/>
      </c>
      <c r="F209" s="94" t="str">
        <f>IF(preDEL!$AG209,IFERROR(0/0,""),preDEL!F209)</f>
        <v/>
      </c>
      <c r="G209" s="94" t="str">
        <f>IF(preDEL!$AG209,IFERROR(0/0,""),preDEL!G209)</f>
        <v/>
      </c>
      <c r="H209" s="94" t="str">
        <f>IF(preDEL!$AG209,IFERROR(0/0,""),preDEL!H209)</f>
        <v/>
      </c>
      <c r="I209" s="249" t="str">
        <f>IF(preDEL!$AG209,IFERROR(0/0,""),preDEL!I209)</f>
        <v/>
      </c>
      <c r="J209" s="249" t="str">
        <f>IF(preDEL!$AG209,IFERROR(0/0,""),preDEL!J209)</f>
        <v/>
      </c>
      <c r="K209" s="249" t="str">
        <f>IF(preDEL!$AG209,IFERROR(0/0,""),preDEL!K209)</f>
        <v/>
      </c>
      <c r="L209" s="250" t="str">
        <f>IF(preDEL!$AG209,IFERROR(0/0,""),preDEL!L209)</f>
        <v/>
      </c>
      <c r="M209" s="251" t="str">
        <f>IF(preDEL!$AG209,IFERROR(0/0,""),preDEL!M209)</f>
        <v/>
      </c>
      <c r="N209" s="94" t="str">
        <f>IF(preDEL!$AG209,IFERROR(0/0,""),preDEL!N209)</f>
        <v/>
      </c>
      <c r="O209" s="94" t="str">
        <f>IF(preDEL!$AG209,IFERROR(0/0,""),preDEL!O209)</f>
        <v/>
      </c>
      <c r="P209" s="93" t="str">
        <f>IF(preDEL!$AG209,IFERROR(0/0,""),preDEL!P209)</f>
        <v/>
      </c>
      <c r="Q209" s="93" t="str">
        <f>IF(preDEL!$AG209,IFERROR(0/0,""),preDEL!Q209)</f>
        <v/>
      </c>
      <c r="R209" s="99" t="str">
        <f>IF(preDEL!$AG209,IFERROR(0/0,""),preDEL!R209)</f>
        <v/>
      </c>
      <c r="S209" s="99" t="str">
        <f>IF(preDEL!$AG209,IFERROR(0/0,""),preDEL!S209)</f>
        <v/>
      </c>
      <c r="T209" s="93" t="str">
        <f>IF(preDEL!$AG209,IFERROR(0/0,""),preDEL!T209)</f>
        <v/>
      </c>
      <c r="U209" s="94" t="str">
        <f>IF(preDEL!$AG209,IFERROR(0/0,""),preDEL!U209)</f>
        <v/>
      </c>
      <c r="V209" s="249" t="str">
        <f>IF(preDEL!$AG209,IFERROR(0/0,""),preDEL!V209)</f>
        <v/>
      </c>
      <c r="W209" s="94" t="str">
        <f>IF(preDEL!$AG209,IFERROR(0/0,""),preDEL!W209)</f>
        <v/>
      </c>
      <c r="X209" s="99" t="str">
        <f>IF(preDEL!$AG209,IFERROR(0/0,""),preDEL!X209)</f>
        <v/>
      </c>
      <c r="Y209" s="93" t="str">
        <f>IF(preDEL!$AG209,IFERROR(0/0,""),preDEL!Y209)</f>
        <v/>
      </c>
      <c r="Z209" s="249" t="str">
        <f>IF(preDEL!$AG209,IFERROR(0/0,""),preDEL!Z209)</f>
        <v/>
      </c>
      <c r="AA209" s="93" t="str">
        <f>IF(preDEL!$AG209,IFERROR(0/0,""),preDEL!AA209)</f>
        <v/>
      </c>
      <c r="AB209" s="93" t="str">
        <f>IF(preDEL!$AG209,IFERROR(0/0,""),preDEL!AB209)</f>
        <v/>
      </c>
      <c r="AC209" s="252" t="str">
        <f>IF(preDEL!$AG209,IFERROR(0/0,""),preDEL!AC209)</f>
        <v/>
      </c>
      <c r="AD209" s="99" t="str">
        <f>IF(preDEL!$AG209,IFERROR(0/0,""),preDEL!AD209)</f>
        <v/>
      </c>
      <c r="AE209" s="253" t="str">
        <f>IF(preDEL!$AG209,IFERROR(0/0,""),preDEL!AE209)</f>
        <v/>
      </c>
      <c r="AF209" s="93" t="str">
        <f>IF(preDEL!$AG209,IFERROR(0/0,""),preDEL!AF209)</f>
        <v/>
      </c>
      <c r="AG209" s="93" t="str">
        <f>IF(preDEL!$AG209,IFERROR(0/0,""),preDEL!AG209)</f>
        <v/>
      </c>
      <c r="AH209" s="99" t="str">
        <f>IF(preDEL!$AG209,IFERROR(0/0,""),preDEL!AH209)</f>
        <v/>
      </c>
      <c r="AI209" s="249" t="str">
        <f>IF(preDEL!$AG209,IFERROR(0/0,""),preDEL!AI209)</f>
        <v/>
      </c>
      <c r="AJ209" s="94" t="str">
        <f>IF(preDEL!$AG209,IFERROR(0/0,""),preDEL!AJ209)</f>
        <v/>
      </c>
      <c r="AK209" s="249" t="str">
        <f>IF(preDEL!$AG209,IFERROR(0/0,""),preDEL!AK209)</f>
        <v/>
      </c>
      <c r="AL209" s="94" t="str">
        <f>IF(preDEL!$AG209,IFERROR(0/0,""),preDEL!AL209)</f>
        <v/>
      </c>
      <c r="AM209" s="94" t="str">
        <f>IF(preDEL!$AG209,IFERROR(0/0,""),preDEL!AM209)</f>
        <v/>
      </c>
      <c r="AN209" s="94" t="str">
        <f>IF(preDEL!$AG209,IFERROR(0/0,""),preDEL!AN209)</f>
        <v/>
      </c>
      <c r="AO209" s="94" t="str">
        <f>IF(preDEL!$AG209,IFERROR(0/0,""),preDEL!AO209)</f>
        <v/>
      </c>
      <c r="AP209" s="94" t="str">
        <f>IF(preDEL!$AG209,IFERROR(0/0,""),preDEL!AP209)</f>
        <v/>
      </c>
      <c r="AQ209" s="94" t="str">
        <f>IF(preDEL!$AG209,IFERROR(0/0,""),preDEL!AQ209)</f>
        <v/>
      </c>
      <c r="AR209" s="94" t="str">
        <f>IF(preDEL!$AG209,IFERROR(0/0,""),preDEL!AR209)</f>
        <v/>
      </c>
      <c r="AS209" s="98"/>
      <c r="BE209" s="254"/>
      <c r="BF209" s="255"/>
      <c r="BG209" s="254"/>
      <c r="BH209" s="255"/>
      <c r="BI209" s="254"/>
      <c r="BJ209" s="254"/>
      <c r="BK209" s="254"/>
      <c r="BL209" s="254"/>
      <c r="BN209" s="7"/>
      <c r="BO209" s="7"/>
      <c r="BP209" s="7"/>
      <c r="BQ209" s="7"/>
      <c r="BR209" s="7"/>
      <c r="BS209" s="7"/>
      <c r="BT209" s="7"/>
    </row>
    <row r="210">
      <c r="A210" s="249" t="str">
        <f>IF(preDEL!$AG210,IFERROR(0/0,""),preDEL!A210)</f>
        <v/>
      </c>
      <c r="B210" s="250" t="str">
        <f>IF(preDEL!$AG210,IFERROR(0/0,""),preDEL!B210)</f>
        <v/>
      </c>
      <c r="C210" s="251" t="str">
        <f>IF(preDEL!$AG210,IFERROR(0/0,""),preDEL!C210)</f>
        <v/>
      </c>
      <c r="D210" s="249" t="str">
        <f>IF(preDEL!$AG210,IFERROR(0/0,""),preDEL!D210)</f>
        <v/>
      </c>
      <c r="E210" s="249" t="str">
        <f>IF(preDEL!$AG210,IFERROR(0/0,""),preDEL!E210)</f>
        <v/>
      </c>
      <c r="F210" s="94" t="str">
        <f>IF(preDEL!$AG210,IFERROR(0/0,""),preDEL!F210)</f>
        <v/>
      </c>
      <c r="G210" s="94" t="str">
        <f>IF(preDEL!$AG210,IFERROR(0/0,""),preDEL!G210)</f>
        <v/>
      </c>
      <c r="H210" s="94" t="str">
        <f>IF(preDEL!$AG210,IFERROR(0/0,""),preDEL!H210)</f>
        <v/>
      </c>
      <c r="I210" s="249" t="str">
        <f>IF(preDEL!$AG210,IFERROR(0/0,""),preDEL!I210)</f>
        <v/>
      </c>
      <c r="J210" s="249" t="str">
        <f>IF(preDEL!$AG210,IFERROR(0/0,""),preDEL!J210)</f>
        <v/>
      </c>
      <c r="K210" s="249" t="str">
        <f>IF(preDEL!$AG210,IFERROR(0/0,""),preDEL!K210)</f>
        <v/>
      </c>
      <c r="L210" s="250" t="str">
        <f>IF(preDEL!$AG210,IFERROR(0/0,""),preDEL!L210)</f>
        <v/>
      </c>
      <c r="M210" s="251" t="str">
        <f>IF(preDEL!$AG210,IFERROR(0/0,""),preDEL!M210)</f>
        <v/>
      </c>
      <c r="N210" s="94" t="str">
        <f>IF(preDEL!$AG210,IFERROR(0/0,""),preDEL!N210)</f>
        <v/>
      </c>
      <c r="O210" s="94" t="str">
        <f>IF(preDEL!$AG210,IFERROR(0/0,""),preDEL!O210)</f>
        <v/>
      </c>
      <c r="P210" s="93" t="str">
        <f>IF(preDEL!$AG210,IFERROR(0/0,""),preDEL!P210)</f>
        <v/>
      </c>
      <c r="Q210" s="93" t="str">
        <f>IF(preDEL!$AG210,IFERROR(0/0,""),preDEL!Q210)</f>
        <v/>
      </c>
      <c r="R210" s="99" t="str">
        <f>IF(preDEL!$AG210,IFERROR(0/0,""),preDEL!R210)</f>
        <v/>
      </c>
      <c r="S210" s="99" t="str">
        <f>IF(preDEL!$AG210,IFERROR(0/0,""),preDEL!S210)</f>
        <v/>
      </c>
      <c r="T210" s="93" t="str">
        <f>IF(preDEL!$AG210,IFERROR(0/0,""),preDEL!T210)</f>
        <v/>
      </c>
      <c r="U210" s="94" t="str">
        <f>IF(preDEL!$AG210,IFERROR(0/0,""),preDEL!U210)</f>
        <v/>
      </c>
      <c r="V210" s="249" t="str">
        <f>IF(preDEL!$AG210,IFERROR(0/0,""),preDEL!V210)</f>
        <v/>
      </c>
      <c r="W210" s="94" t="str">
        <f>IF(preDEL!$AG210,IFERROR(0/0,""),preDEL!W210)</f>
        <v/>
      </c>
      <c r="X210" s="99" t="str">
        <f>IF(preDEL!$AG210,IFERROR(0/0,""),preDEL!X210)</f>
        <v/>
      </c>
      <c r="Y210" s="93" t="str">
        <f>IF(preDEL!$AG210,IFERROR(0/0,""),preDEL!Y210)</f>
        <v/>
      </c>
      <c r="Z210" s="249" t="str">
        <f>IF(preDEL!$AG210,IFERROR(0/0,""),preDEL!Z210)</f>
        <v/>
      </c>
      <c r="AA210" s="93" t="str">
        <f>IF(preDEL!$AG210,IFERROR(0/0,""),preDEL!AA210)</f>
        <v/>
      </c>
      <c r="AB210" s="93" t="str">
        <f>IF(preDEL!$AG210,IFERROR(0/0,""),preDEL!AB210)</f>
        <v/>
      </c>
      <c r="AC210" s="252" t="str">
        <f>IF(preDEL!$AG210,IFERROR(0/0,""),preDEL!AC210)</f>
        <v/>
      </c>
      <c r="AD210" s="99" t="str">
        <f>IF(preDEL!$AG210,IFERROR(0/0,""),preDEL!AD210)</f>
        <v/>
      </c>
      <c r="AE210" s="253" t="str">
        <f>IF(preDEL!$AG210,IFERROR(0/0,""),preDEL!AE210)</f>
        <v/>
      </c>
      <c r="AF210" s="93" t="str">
        <f>IF(preDEL!$AG210,IFERROR(0/0,""),preDEL!AF210)</f>
        <v/>
      </c>
      <c r="AG210" s="93" t="str">
        <f>IF(preDEL!$AG210,IFERROR(0/0,""),preDEL!AG210)</f>
        <v/>
      </c>
      <c r="AH210" s="99" t="str">
        <f>IF(preDEL!$AG210,IFERROR(0/0,""),preDEL!AH210)</f>
        <v/>
      </c>
      <c r="AI210" s="249" t="str">
        <f>IF(preDEL!$AG210,IFERROR(0/0,""),preDEL!AI210)</f>
        <v/>
      </c>
      <c r="AJ210" s="94" t="str">
        <f>IF(preDEL!$AG210,IFERROR(0/0,""),preDEL!AJ210)</f>
        <v/>
      </c>
      <c r="AK210" s="249" t="str">
        <f>IF(preDEL!$AG210,IFERROR(0/0,""),preDEL!AK210)</f>
        <v/>
      </c>
      <c r="AL210" s="94" t="str">
        <f>IF(preDEL!$AG210,IFERROR(0/0,""),preDEL!AL210)</f>
        <v/>
      </c>
      <c r="AM210" s="94" t="str">
        <f>IF(preDEL!$AG210,IFERROR(0/0,""),preDEL!AM210)</f>
        <v/>
      </c>
      <c r="AN210" s="94" t="str">
        <f>IF(preDEL!$AG210,IFERROR(0/0,""),preDEL!AN210)</f>
        <v/>
      </c>
      <c r="AO210" s="94" t="str">
        <f>IF(preDEL!$AG210,IFERROR(0/0,""),preDEL!AO210)</f>
        <v/>
      </c>
      <c r="AP210" s="94" t="str">
        <f>IF(preDEL!$AG210,IFERROR(0/0,""),preDEL!AP210)</f>
        <v/>
      </c>
      <c r="AQ210" s="94" t="str">
        <f>IF(preDEL!$AG210,IFERROR(0/0,""),preDEL!AQ210)</f>
        <v/>
      </c>
      <c r="AR210" s="94" t="str">
        <f>IF(preDEL!$AG210,IFERROR(0/0,""),preDEL!AR210)</f>
        <v/>
      </c>
      <c r="AS210" s="98"/>
      <c r="BE210" s="254"/>
      <c r="BF210" s="255"/>
      <c r="BG210" s="254"/>
      <c r="BH210" s="255"/>
      <c r="BI210" s="254"/>
      <c r="BJ210" s="254"/>
      <c r="BK210" s="254"/>
      <c r="BL210" s="254"/>
      <c r="BN210" s="7"/>
      <c r="BO210" s="7"/>
      <c r="BP210" s="7"/>
      <c r="BQ210" s="7"/>
      <c r="BR210" s="7"/>
      <c r="BS210" s="7"/>
      <c r="BT210" s="7"/>
    </row>
    <row r="211">
      <c r="A211" s="249" t="str">
        <f>IF(preDEL!$AG211,IFERROR(0/0,""),preDEL!A211)</f>
        <v/>
      </c>
      <c r="B211" s="250" t="str">
        <f>IF(preDEL!$AG211,IFERROR(0/0,""),preDEL!B211)</f>
        <v/>
      </c>
      <c r="C211" s="251" t="str">
        <f>IF(preDEL!$AG211,IFERROR(0/0,""),preDEL!C211)</f>
        <v/>
      </c>
      <c r="D211" s="249" t="str">
        <f>IF(preDEL!$AG211,IFERROR(0/0,""),preDEL!D211)</f>
        <v/>
      </c>
      <c r="E211" s="249" t="str">
        <f>IF(preDEL!$AG211,IFERROR(0/0,""),preDEL!E211)</f>
        <v/>
      </c>
      <c r="F211" s="94" t="str">
        <f>IF(preDEL!$AG211,IFERROR(0/0,""),preDEL!F211)</f>
        <v/>
      </c>
      <c r="G211" s="94" t="str">
        <f>IF(preDEL!$AG211,IFERROR(0/0,""),preDEL!G211)</f>
        <v/>
      </c>
      <c r="H211" s="94" t="str">
        <f>IF(preDEL!$AG211,IFERROR(0/0,""),preDEL!H211)</f>
        <v/>
      </c>
      <c r="I211" s="249" t="str">
        <f>IF(preDEL!$AG211,IFERROR(0/0,""),preDEL!I211)</f>
        <v/>
      </c>
      <c r="J211" s="249" t="str">
        <f>IF(preDEL!$AG211,IFERROR(0/0,""),preDEL!J211)</f>
        <v/>
      </c>
      <c r="K211" s="249" t="str">
        <f>IF(preDEL!$AG211,IFERROR(0/0,""),preDEL!K211)</f>
        <v/>
      </c>
      <c r="L211" s="250" t="str">
        <f>IF(preDEL!$AG211,IFERROR(0/0,""),preDEL!L211)</f>
        <v/>
      </c>
      <c r="M211" s="251" t="str">
        <f>IF(preDEL!$AG211,IFERROR(0/0,""),preDEL!M211)</f>
        <v/>
      </c>
      <c r="N211" s="94" t="str">
        <f>IF(preDEL!$AG211,IFERROR(0/0,""),preDEL!N211)</f>
        <v/>
      </c>
      <c r="O211" s="94" t="str">
        <f>IF(preDEL!$AG211,IFERROR(0/0,""),preDEL!O211)</f>
        <v/>
      </c>
      <c r="P211" s="93" t="str">
        <f>IF(preDEL!$AG211,IFERROR(0/0,""),preDEL!P211)</f>
        <v/>
      </c>
      <c r="Q211" s="93" t="str">
        <f>IF(preDEL!$AG211,IFERROR(0/0,""),preDEL!Q211)</f>
        <v/>
      </c>
      <c r="R211" s="99" t="str">
        <f>IF(preDEL!$AG211,IFERROR(0/0,""),preDEL!R211)</f>
        <v/>
      </c>
      <c r="S211" s="99" t="str">
        <f>IF(preDEL!$AG211,IFERROR(0/0,""),preDEL!S211)</f>
        <v/>
      </c>
      <c r="T211" s="93" t="str">
        <f>IF(preDEL!$AG211,IFERROR(0/0,""),preDEL!T211)</f>
        <v/>
      </c>
      <c r="U211" s="94" t="str">
        <f>IF(preDEL!$AG211,IFERROR(0/0,""),preDEL!U211)</f>
        <v/>
      </c>
      <c r="V211" s="249" t="str">
        <f>IF(preDEL!$AG211,IFERROR(0/0,""),preDEL!V211)</f>
        <v/>
      </c>
      <c r="W211" s="94" t="str">
        <f>IF(preDEL!$AG211,IFERROR(0/0,""),preDEL!W211)</f>
        <v/>
      </c>
      <c r="X211" s="99" t="str">
        <f>IF(preDEL!$AG211,IFERROR(0/0,""),preDEL!X211)</f>
        <v/>
      </c>
      <c r="Y211" s="93" t="str">
        <f>IF(preDEL!$AG211,IFERROR(0/0,""),preDEL!Y211)</f>
        <v/>
      </c>
      <c r="Z211" s="249" t="str">
        <f>IF(preDEL!$AG211,IFERROR(0/0,""),preDEL!Z211)</f>
        <v/>
      </c>
      <c r="AA211" s="93" t="str">
        <f>IF(preDEL!$AG211,IFERROR(0/0,""),preDEL!AA211)</f>
        <v/>
      </c>
      <c r="AB211" s="93" t="str">
        <f>IF(preDEL!$AG211,IFERROR(0/0,""),preDEL!AB211)</f>
        <v/>
      </c>
      <c r="AC211" s="252" t="str">
        <f>IF(preDEL!$AG211,IFERROR(0/0,""),preDEL!AC211)</f>
        <v/>
      </c>
      <c r="AD211" s="99" t="str">
        <f>IF(preDEL!$AG211,IFERROR(0/0,""),preDEL!AD211)</f>
        <v/>
      </c>
      <c r="AE211" s="253" t="str">
        <f>IF(preDEL!$AG211,IFERROR(0/0,""),preDEL!AE211)</f>
        <v/>
      </c>
      <c r="AF211" s="93" t="str">
        <f>IF(preDEL!$AG211,IFERROR(0/0,""),preDEL!AF211)</f>
        <v/>
      </c>
      <c r="AG211" s="93" t="str">
        <f>IF(preDEL!$AG211,IFERROR(0/0,""),preDEL!AG211)</f>
        <v/>
      </c>
      <c r="AH211" s="99" t="str">
        <f>IF(preDEL!$AG211,IFERROR(0/0,""),preDEL!AH211)</f>
        <v/>
      </c>
      <c r="AI211" s="249" t="str">
        <f>IF(preDEL!$AG211,IFERROR(0/0,""),preDEL!AI211)</f>
        <v/>
      </c>
      <c r="AJ211" s="94" t="str">
        <f>IF(preDEL!$AG211,IFERROR(0/0,""),preDEL!AJ211)</f>
        <v/>
      </c>
      <c r="AK211" s="249" t="str">
        <f>IF(preDEL!$AG211,IFERROR(0/0,""),preDEL!AK211)</f>
        <v/>
      </c>
      <c r="AL211" s="94" t="str">
        <f>IF(preDEL!$AG211,IFERROR(0/0,""),preDEL!AL211)</f>
        <v/>
      </c>
      <c r="AM211" s="94" t="str">
        <f>IF(preDEL!$AG211,IFERROR(0/0,""),preDEL!AM211)</f>
        <v/>
      </c>
      <c r="AN211" s="94" t="str">
        <f>IF(preDEL!$AG211,IFERROR(0/0,""),preDEL!AN211)</f>
        <v/>
      </c>
      <c r="AO211" s="94" t="str">
        <f>IF(preDEL!$AG211,IFERROR(0/0,""),preDEL!AO211)</f>
        <v/>
      </c>
      <c r="AP211" s="94" t="str">
        <f>IF(preDEL!$AG211,IFERROR(0/0,""),preDEL!AP211)</f>
        <v/>
      </c>
      <c r="AQ211" s="94" t="str">
        <f>IF(preDEL!$AG211,IFERROR(0/0,""),preDEL!AQ211)</f>
        <v/>
      </c>
      <c r="AR211" s="94" t="str">
        <f>IF(preDEL!$AG211,IFERROR(0/0,""),preDEL!AR211)</f>
        <v/>
      </c>
      <c r="AS211" s="98"/>
      <c r="BE211" s="254"/>
      <c r="BF211" s="255"/>
      <c r="BG211" s="254"/>
      <c r="BH211" s="255"/>
      <c r="BI211" s="254"/>
      <c r="BJ211" s="254"/>
      <c r="BK211" s="254"/>
      <c r="BL211" s="254"/>
      <c r="BN211" s="7"/>
      <c r="BO211" s="7"/>
      <c r="BP211" s="7"/>
      <c r="BQ211" s="7"/>
      <c r="BR211" s="7"/>
      <c r="BS211" s="7"/>
      <c r="BT211" s="7"/>
    </row>
    <row r="212">
      <c r="A212" s="249" t="str">
        <f>IF(preDEL!$AG212,IFERROR(0/0,""),preDEL!A212)</f>
        <v/>
      </c>
      <c r="B212" s="250" t="str">
        <f>IF(preDEL!$AG212,IFERROR(0/0,""),preDEL!B212)</f>
        <v/>
      </c>
      <c r="C212" s="251" t="str">
        <f>IF(preDEL!$AG212,IFERROR(0/0,""),preDEL!C212)</f>
        <v/>
      </c>
      <c r="D212" s="249" t="str">
        <f>IF(preDEL!$AG212,IFERROR(0/0,""),preDEL!D212)</f>
        <v/>
      </c>
      <c r="E212" s="249" t="str">
        <f>IF(preDEL!$AG212,IFERROR(0/0,""),preDEL!E212)</f>
        <v/>
      </c>
      <c r="F212" s="94" t="str">
        <f>IF(preDEL!$AG212,IFERROR(0/0,""),preDEL!F212)</f>
        <v/>
      </c>
      <c r="G212" s="94" t="str">
        <f>IF(preDEL!$AG212,IFERROR(0/0,""),preDEL!G212)</f>
        <v/>
      </c>
      <c r="H212" s="94" t="str">
        <f>IF(preDEL!$AG212,IFERROR(0/0,""),preDEL!H212)</f>
        <v/>
      </c>
      <c r="I212" s="249" t="str">
        <f>IF(preDEL!$AG212,IFERROR(0/0,""),preDEL!I212)</f>
        <v/>
      </c>
      <c r="J212" s="249" t="str">
        <f>IF(preDEL!$AG212,IFERROR(0/0,""),preDEL!J212)</f>
        <v/>
      </c>
      <c r="K212" s="249" t="str">
        <f>IF(preDEL!$AG212,IFERROR(0/0,""),preDEL!K212)</f>
        <v/>
      </c>
      <c r="L212" s="250" t="str">
        <f>IF(preDEL!$AG212,IFERROR(0/0,""),preDEL!L212)</f>
        <v/>
      </c>
      <c r="M212" s="251" t="str">
        <f>IF(preDEL!$AG212,IFERROR(0/0,""),preDEL!M212)</f>
        <v/>
      </c>
      <c r="N212" s="94" t="str">
        <f>IF(preDEL!$AG212,IFERROR(0/0,""),preDEL!N212)</f>
        <v/>
      </c>
      <c r="O212" s="94" t="str">
        <f>IF(preDEL!$AG212,IFERROR(0/0,""),preDEL!O212)</f>
        <v/>
      </c>
      <c r="P212" s="93" t="str">
        <f>IF(preDEL!$AG212,IFERROR(0/0,""),preDEL!P212)</f>
        <v/>
      </c>
      <c r="Q212" s="93" t="str">
        <f>IF(preDEL!$AG212,IFERROR(0/0,""),preDEL!Q212)</f>
        <v/>
      </c>
      <c r="R212" s="99" t="str">
        <f>IF(preDEL!$AG212,IFERROR(0/0,""),preDEL!R212)</f>
        <v/>
      </c>
      <c r="S212" s="99" t="str">
        <f>IF(preDEL!$AG212,IFERROR(0/0,""),preDEL!S212)</f>
        <v/>
      </c>
      <c r="T212" s="93" t="str">
        <f>IF(preDEL!$AG212,IFERROR(0/0,""),preDEL!T212)</f>
        <v/>
      </c>
      <c r="U212" s="94" t="str">
        <f>IF(preDEL!$AG212,IFERROR(0/0,""),preDEL!U212)</f>
        <v/>
      </c>
      <c r="V212" s="249" t="str">
        <f>IF(preDEL!$AG212,IFERROR(0/0,""),preDEL!V212)</f>
        <v/>
      </c>
      <c r="W212" s="94" t="str">
        <f>IF(preDEL!$AG212,IFERROR(0/0,""),preDEL!W212)</f>
        <v/>
      </c>
      <c r="X212" s="99" t="str">
        <f>IF(preDEL!$AG212,IFERROR(0/0,""),preDEL!X212)</f>
        <v/>
      </c>
      <c r="Y212" s="93" t="str">
        <f>IF(preDEL!$AG212,IFERROR(0/0,""),preDEL!Y212)</f>
        <v/>
      </c>
      <c r="Z212" s="249" t="str">
        <f>IF(preDEL!$AG212,IFERROR(0/0,""),preDEL!Z212)</f>
        <v/>
      </c>
      <c r="AA212" s="93" t="str">
        <f>IF(preDEL!$AG212,IFERROR(0/0,""),preDEL!AA212)</f>
        <v/>
      </c>
      <c r="AB212" s="93" t="str">
        <f>IF(preDEL!$AG212,IFERROR(0/0,""),preDEL!AB212)</f>
        <v/>
      </c>
      <c r="AC212" s="252" t="str">
        <f>IF(preDEL!$AG212,IFERROR(0/0,""),preDEL!AC212)</f>
        <v/>
      </c>
      <c r="AD212" s="99" t="str">
        <f>IF(preDEL!$AG212,IFERROR(0/0,""),preDEL!AD212)</f>
        <v/>
      </c>
      <c r="AE212" s="253" t="str">
        <f>IF(preDEL!$AG212,IFERROR(0/0,""),preDEL!AE212)</f>
        <v/>
      </c>
      <c r="AF212" s="93" t="str">
        <f>IF(preDEL!$AG212,IFERROR(0/0,""),preDEL!AF212)</f>
        <v/>
      </c>
      <c r="AG212" s="93" t="str">
        <f>IF(preDEL!$AG212,IFERROR(0/0,""),preDEL!AG212)</f>
        <v/>
      </c>
      <c r="AH212" s="99" t="str">
        <f>IF(preDEL!$AG212,IFERROR(0/0,""),preDEL!AH212)</f>
        <v/>
      </c>
      <c r="AI212" s="249" t="str">
        <f>IF(preDEL!$AG212,IFERROR(0/0,""),preDEL!AI212)</f>
        <v/>
      </c>
      <c r="AJ212" s="94" t="str">
        <f>IF(preDEL!$AG212,IFERROR(0/0,""),preDEL!AJ212)</f>
        <v/>
      </c>
      <c r="AK212" s="249" t="str">
        <f>IF(preDEL!$AG212,IFERROR(0/0,""),preDEL!AK212)</f>
        <v/>
      </c>
      <c r="AL212" s="94" t="str">
        <f>IF(preDEL!$AG212,IFERROR(0/0,""),preDEL!AL212)</f>
        <v/>
      </c>
      <c r="AM212" s="94" t="str">
        <f>IF(preDEL!$AG212,IFERROR(0/0,""),preDEL!AM212)</f>
        <v/>
      </c>
      <c r="AN212" s="94" t="str">
        <f>IF(preDEL!$AG212,IFERROR(0/0,""),preDEL!AN212)</f>
        <v/>
      </c>
      <c r="AO212" s="94" t="str">
        <f>IF(preDEL!$AG212,IFERROR(0/0,""),preDEL!AO212)</f>
        <v/>
      </c>
      <c r="AP212" s="94" t="str">
        <f>IF(preDEL!$AG212,IFERROR(0/0,""),preDEL!AP212)</f>
        <v/>
      </c>
      <c r="AQ212" s="94" t="str">
        <f>IF(preDEL!$AG212,IFERROR(0/0,""),preDEL!AQ212)</f>
        <v/>
      </c>
      <c r="AR212" s="94" t="str">
        <f>IF(preDEL!$AG212,IFERROR(0/0,""),preDEL!AR212)</f>
        <v/>
      </c>
      <c r="AS212" s="98"/>
      <c r="BE212" s="254"/>
      <c r="BF212" s="255"/>
      <c r="BG212" s="254"/>
      <c r="BH212" s="255"/>
      <c r="BI212" s="254"/>
      <c r="BJ212" s="254"/>
      <c r="BK212" s="254"/>
      <c r="BL212" s="254"/>
      <c r="BN212" s="7"/>
      <c r="BO212" s="7"/>
      <c r="BP212" s="7"/>
      <c r="BQ212" s="7"/>
      <c r="BR212" s="7"/>
      <c r="BS212" s="7"/>
      <c r="BT212" s="7"/>
    </row>
    <row r="213">
      <c r="A213" s="249" t="str">
        <f>IF(preDEL!$AG213,IFERROR(0/0,""),preDEL!A213)</f>
        <v/>
      </c>
      <c r="B213" s="250" t="str">
        <f>IF(preDEL!$AG213,IFERROR(0/0,""),preDEL!B213)</f>
        <v/>
      </c>
      <c r="C213" s="251" t="str">
        <f>IF(preDEL!$AG213,IFERROR(0/0,""),preDEL!C213)</f>
        <v/>
      </c>
      <c r="D213" s="249" t="str">
        <f>IF(preDEL!$AG213,IFERROR(0/0,""),preDEL!D213)</f>
        <v/>
      </c>
      <c r="E213" s="249" t="str">
        <f>IF(preDEL!$AG213,IFERROR(0/0,""),preDEL!E213)</f>
        <v/>
      </c>
      <c r="F213" s="94" t="str">
        <f>IF(preDEL!$AG213,IFERROR(0/0,""),preDEL!F213)</f>
        <v/>
      </c>
      <c r="G213" s="94" t="str">
        <f>IF(preDEL!$AG213,IFERROR(0/0,""),preDEL!G213)</f>
        <v/>
      </c>
      <c r="H213" s="94" t="str">
        <f>IF(preDEL!$AG213,IFERROR(0/0,""),preDEL!H213)</f>
        <v/>
      </c>
      <c r="I213" s="249" t="str">
        <f>IF(preDEL!$AG213,IFERROR(0/0,""),preDEL!I213)</f>
        <v/>
      </c>
      <c r="J213" s="249" t="str">
        <f>IF(preDEL!$AG213,IFERROR(0/0,""),preDEL!J213)</f>
        <v/>
      </c>
      <c r="K213" s="249" t="str">
        <f>IF(preDEL!$AG213,IFERROR(0/0,""),preDEL!K213)</f>
        <v/>
      </c>
      <c r="L213" s="250" t="str">
        <f>IF(preDEL!$AG213,IFERROR(0/0,""),preDEL!L213)</f>
        <v/>
      </c>
      <c r="M213" s="251" t="str">
        <f>IF(preDEL!$AG213,IFERROR(0/0,""),preDEL!M213)</f>
        <v/>
      </c>
      <c r="N213" s="94" t="str">
        <f>IF(preDEL!$AG213,IFERROR(0/0,""),preDEL!N213)</f>
        <v/>
      </c>
      <c r="O213" s="94" t="str">
        <f>IF(preDEL!$AG213,IFERROR(0/0,""),preDEL!O213)</f>
        <v/>
      </c>
      <c r="P213" s="93" t="str">
        <f>IF(preDEL!$AG213,IFERROR(0/0,""),preDEL!P213)</f>
        <v/>
      </c>
      <c r="Q213" s="93" t="str">
        <f>IF(preDEL!$AG213,IFERROR(0/0,""),preDEL!Q213)</f>
        <v/>
      </c>
      <c r="R213" s="99" t="str">
        <f>IF(preDEL!$AG213,IFERROR(0/0,""),preDEL!R213)</f>
        <v/>
      </c>
      <c r="S213" s="99" t="str">
        <f>IF(preDEL!$AG213,IFERROR(0/0,""),preDEL!S213)</f>
        <v/>
      </c>
      <c r="T213" s="93" t="str">
        <f>IF(preDEL!$AG213,IFERROR(0/0,""),preDEL!T213)</f>
        <v/>
      </c>
      <c r="U213" s="94" t="str">
        <f>IF(preDEL!$AG213,IFERROR(0/0,""),preDEL!U213)</f>
        <v/>
      </c>
      <c r="V213" s="249" t="str">
        <f>IF(preDEL!$AG213,IFERROR(0/0,""),preDEL!V213)</f>
        <v/>
      </c>
      <c r="W213" s="94" t="str">
        <f>IF(preDEL!$AG213,IFERROR(0/0,""),preDEL!W213)</f>
        <v/>
      </c>
      <c r="X213" s="99" t="str">
        <f>IF(preDEL!$AG213,IFERROR(0/0,""),preDEL!X213)</f>
        <v/>
      </c>
      <c r="Y213" s="93" t="str">
        <f>IF(preDEL!$AG213,IFERROR(0/0,""),preDEL!Y213)</f>
        <v/>
      </c>
      <c r="Z213" s="249" t="str">
        <f>IF(preDEL!$AG213,IFERROR(0/0,""),preDEL!Z213)</f>
        <v/>
      </c>
      <c r="AA213" s="93" t="str">
        <f>IF(preDEL!$AG213,IFERROR(0/0,""),preDEL!AA213)</f>
        <v/>
      </c>
      <c r="AB213" s="93" t="str">
        <f>IF(preDEL!$AG213,IFERROR(0/0,""),preDEL!AB213)</f>
        <v/>
      </c>
      <c r="AC213" s="252" t="str">
        <f>IF(preDEL!$AG213,IFERROR(0/0,""),preDEL!AC213)</f>
        <v/>
      </c>
      <c r="AD213" s="99" t="str">
        <f>IF(preDEL!$AG213,IFERROR(0/0,""),preDEL!AD213)</f>
        <v/>
      </c>
      <c r="AE213" s="253" t="str">
        <f>IF(preDEL!$AG213,IFERROR(0/0,""),preDEL!AE213)</f>
        <v/>
      </c>
      <c r="AF213" s="93" t="str">
        <f>IF(preDEL!$AG213,IFERROR(0/0,""),preDEL!AF213)</f>
        <v/>
      </c>
      <c r="AG213" s="93" t="str">
        <f>IF(preDEL!$AG213,IFERROR(0/0,""),preDEL!AG213)</f>
        <v/>
      </c>
      <c r="AH213" s="99" t="str">
        <f>IF(preDEL!$AG213,IFERROR(0/0,""),preDEL!AH213)</f>
        <v/>
      </c>
      <c r="AI213" s="249" t="str">
        <f>IF(preDEL!$AG213,IFERROR(0/0,""),preDEL!AI213)</f>
        <v/>
      </c>
      <c r="AJ213" s="94" t="str">
        <f>IF(preDEL!$AG213,IFERROR(0/0,""),preDEL!AJ213)</f>
        <v/>
      </c>
      <c r="AK213" s="249" t="str">
        <f>IF(preDEL!$AG213,IFERROR(0/0,""),preDEL!AK213)</f>
        <v/>
      </c>
      <c r="AL213" s="94" t="str">
        <f>IF(preDEL!$AG213,IFERROR(0/0,""),preDEL!AL213)</f>
        <v/>
      </c>
      <c r="AM213" s="94" t="str">
        <f>IF(preDEL!$AG213,IFERROR(0/0,""),preDEL!AM213)</f>
        <v/>
      </c>
      <c r="AN213" s="94" t="str">
        <f>IF(preDEL!$AG213,IFERROR(0/0,""),preDEL!AN213)</f>
        <v/>
      </c>
      <c r="AO213" s="94" t="str">
        <f>IF(preDEL!$AG213,IFERROR(0/0,""),preDEL!AO213)</f>
        <v/>
      </c>
      <c r="AP213" s="94" t="str">
        <f>IF(preDEL!$AG213,IFERROR(0/0,""),preDEL!AP213)</f>
        <v/>
      </c>
      <c r="AQ213" s="94" t="str">
        <f>IF(preDEL!$AG213,IFERROR(0/0,""),preDEL!AQ213)</f>
        <v/>
      </c>
      <c r="AR213" s="94" t="str">
        <f>IF(preDEL!$AG213,IFERROR(0/0,""),preDEL!AR213)</f>
        <v/>
      </c>
      <c r="AS213" s="98"/>
      <c r="BE213" s="254"/>
      <c r="BF213" s="255"/>
      <c r="BG213" s="254"/>
      <c r="BH213" s="255"/>
      <c r="BI213" s="254"/>
      <c r="BJ213" s="254"/>
      <c r="BK213" s="254"/>
      <c r="BL213" s="254"/>
      <c r="BN213" s="7"/>
      <c r="BO213" s="7"/>
      <c r="BP213" s="7"/>
      <c r="BQ213" s="7"/>
      <c r="BR213" s="7"/>
      <c r="BS213" s="7"/>
      <c r="BT213" s="7"/>
    </row>
    <row r="214">
      <c r="A214" s="249" t="str">
        <f>IF(preDEL!$AG214,IFERROR(0/0,""),preDEL!A214)</f>
        <v>AH8786</v>
      </c>
      <c r="B214" s="250">
        <f>IF(preDEL!$AG214,IFERROR(0/0,""),preDEL!B214)</f>
        <v>44725</v>
      </c>
      <c r="C214" s="251">
        <f>IF(preDEL!$AG214,IFERROR(0/0,""),preDEL!C214)</f>
        <v>0.2010300926</v>
      </c>
      <c r="D214" s="249" t="str">
        <f>IF(preDEL!$AG214,IFERROR(0/0,""),preDEL!D214)</f>
        <v/>
      </c>
      <c r="E214" s="249" t="str">
        <f>IF(preDEL!$AG214,IFERROR(0/0,""),preDEL!E214)</f>
        <v/>
      </c>
      <c r="F214" s="94" t="str">
        <f>IF(preDEL!$AG214,IFERROR(0/0,""),preDEL!F214)</f>
        <v/>
      </c>
      <c r="G214" s="94" t="str">
        <f>IF(preDEL!$AG214,IFERROR(0/0,""),preDEL!G214)</f>
        <v/>
      </c>
      <c r="H214" s="94" t="str">
        <f>IF(preDEL!$AG214,IFERROR(0/0,""),preDEL!H214)</f>
        <v/>
      </c>
      <c r="I214" s="249" t="str">
        <f>IF(preDEL!$AG214,IFERROR(0/0,""),preDEL!I214)</f>
        <v/>
      </c>
      <c r="J214" s="249" t="str">
        <f>IF(preDEL!$AG214,IFERROR(0/0,""),preDEL!J214)</f>
        <v/>
      </c>
      <c r="K214" s="249" t="str">
        <f>IF(preDEL!$AG214,IFERROR(0/0,""),preDEL!K214)</f>
        <v>Negative</v>
      </c>
      <c r="L214" s="250">
        <f>IF(preDEL!$AG214,IFERROR(0/0,""),preDEL!L214)</f>
        <v>44725</v>
      </c>
      <c r="M214" s="251">
        <f>IF(preDEL!$AG214,IFERROR(0/0,""),preDEL!M214)</f>
        <v>0.4122337963</v>
      </c>
      <c r="N214" s="94" t="str">
        <f>IF(preDEL!$AG214,IFERROR(0/0,""),preDEL!N214)</f>
        <v/>
      </c>
      <c r="O214" s="94" t="str">
        <f>IF(preDEL!$AG214,IFERROR(0/0,""),preDEL!O214)</f>
        <v/>
      </c>
      <c r="P214" s="93" t="b">
        <f>IF(preDEL!$AG214,IFERROR(0/0,""),preDEL!P214)</f>
        <v>0</v>
      </c>
      <c r="Q214" s="93" t="str">
        <f>IF(preDEL!$AG214,IFERROR(0/0,""),preDEL!Q214)</f>
        <v>Result</v>
      </c>
      <c r="R214" s="99" t="b">
        <f>IF(preDEL!$AG214,IFERROR(0/0,""),preDEL!R214)</f>
        <v>1</v>
      </c>
      <c r="S214" s="99">
        <f>IF(preDEL!$AG214,IFERROR(0/0,""),preDEL!S214)</f>
        <v>4</v>
      </c>
      <c r="T214" s="93">
        <f>IF(preDEL!$AG214,IFERROR(0/0,""),preDEL!T214)</f>
        <v>2</v>
      </c>
      <c r="U214" s="94" t="str">
        <f>IF(preDEL!$AG214,IFERROR(0/0,""),preDEL!U214)</f>
        <v/>
      </c>
      <c r="V214" s="249" t="str">
        <f>IF(preDEL!$AG214,IFERROR(0/0,""),preDEL!V214)</f>
        <v/>
      </c>
      <c r="W214" s="94" t="str">
        <f>IF(preDEL!$AG214,IFERROR(0/0,""),preDEL!W214)</f>
        <v/>
      </c>
      <c r="X214" s="99" t="b">
        <f>IF(preDEL!$AG214,IFERROR(0/0,""),preDEL!X214)</f>
        <v>1</v>
      </c>
      <c r="Y214" s="93" t="str">
        <f>IF(preDEL!$AG214,IFERROR(0/0,""),preDEL!Y214)</f>
        <v/>
      </c>
      <c r="Z214" s="249" t="str">
        <f>IF(preDEL!$AG214,IFERROR(0/0,""),preDEL!Z214)</f>
        <v/>
      </c>
      <c r="AA214" s="93" t="b">
        <f>IF(preDEL!$AG214,IFERROR(0/0,""),preDEL!AA214)</f>
        <v>0</v>
      </c>
      <c r="AB214" s="93" t="str">
        <f>IF(preDEL!$AG214,IFERROR(0/0,""),preDEL!AB214)</f>
        <v/>
      </c>
      <c r="AC214" s="252">
        <f>IF(preDEL!$AG214,IFERROR(0/0,""),preDEL!AC214)</f>
        <v>45</v>
      </c>
      <c r="AD214" s="99" t="str">
        <f>IF(preDEL!$AG214,IFERROR(0/0,""),preDEL!AD214)</f>
        <v/>
      </c>
      <c r="AE214" s="253">
        <f>IF(preDEL!$AG214,IFERROR(0/0,""),preDEL!AE214)</f>
        <v>304.1333333</v>
      </c>
      <c r="AF214" s="93" t="b">
        <f>IF(preDEL!$AG214,IFERROR(0/0,""),preDEL!AF214)</f>
        <v>0</v>
      </c>
      <c r="AG214" s="93" t="b">
        <f>IF(preDEL!$AG214,IFERROR(0/0,""),preDEL!AG214)</f>
        <v>0</v>
      </c>
      <c r="AH214" s="99" t="str">
        <f>IF(preDEL!$AG214,IFERROR(0/0,""),preDEL!AH214)</f>
        <v/>
      </c>
      <c r="AI214" s="249" t="str">
        <f>IF(preDEL!$AG214,IFERROR(0/0,""),preDEL!AI214)</f>
        <v/>
      </c>
      <c r="AJ214" s="94" t="str">
        <f>IF(preDEL!$AG214,IFERROR(0/0,""),preDEL!AJ214)</f>
        <v/>
      </c>
      <c r="AK214" s="249" t="str">
        <f>IF(preDEL!$AG214,IFERROR(0/0,""),preDEL!AK214)</f>
        <v>Negative</v>
      </c>
      <c r="AL214" s="94" t="str">
        <f>IF(preDEL!$AG214,IFERROR(0/0,""),preDEL!AL214)</f>
        <v/>
      </c>
      <c r="AM214" s="94" t="str">
        <f>IF(preDEL!$AG214,IFERROR(0/0,""),preDEL!AM214)</f>
        <v>SpNDHM284552</v>
      </c>
      <c r="AN214" s="94" t="str">
        <f>IF(preDEL!$AG214,IFERROR(0/0,""),preDEL!AN214)</f>
        <v>NDHM108068</v>
      </c>
      <c r="AO214" s="94" t="str">
        <f>IF(preDEL!$AG214,IFERROR(0/0,""),preDEL!AO214)</f>
        <v/>
      </c>
      <c r="AP214" s="94" t="str">
        <f>IF(preDEL!$AG214,IFERROR(0/0,""),preDEL!AP214)</f>
        <v/>
      </c>
      <c r="AQ214" s="94" t="str">
        <f>IF(preDEL!$AG214,IFERROR(0/0,""),preDEL!AQ214)</f>
        <v/>
      </c>
      <c r="AR214" s="94" t="str">
        <f>IF(preDEL!$AG214,IFERROR(0/0,""),preDEL!AR214)</f>
        <v/>
      </c>
      <c r="AS214" s="98"/>
      <c r="BE214" s="254"/>
      <c r="BF214" s="255"/>
      <c r="BG214" s="254"/>
      <c r="BH214" s="255"/>
      <c r="BI214" s="254"/>
      <c r="BJ214" s="254"/>
      <c r="BK214" s="254"/>
      <c r="BL214" s="254"/>
      <c r="BN214" s="7"/>
      <c r="BO214" s="7"/>
      <c r="BP214" s="7"/>
      <c r="BQ214" s="7"/>
      <c r="BR214" s="7"/>
      <c r="BS214" s="7"/>
      <c r="BT214" s="7"/>
    </row>
    <row r="215">
      <c r="A215" s="249" t="str">
        <f>IF(preDEL!$AG215,IFERROR(0/0,""),preDEL!A215)</f>
        <v>AH8786</v>
      </c>
      <c r="B215" s="250">
        <f>IF(preDEL!$AG215,IFERROR(0/0,""),preDEL!B215)</f>
        <v>44725</v>
      </c>
      <c r="C215" s="251">
        <f>IF(preDEL!$AG215,IFERROR(0/0,""),preDEL!C215)</f>
        <v>0.2010300926</v>
      </c>
      <c r="D215" s="249" t="str">
        <f>IF(preDEL!$AG215,IFERROR(0/0,""),preDEL!D215)</f>
        <v/>
      </c>
      <c r="E215" s="249" t="str">
        <f>IF(preDEL!$AG215,IFERROR(0/0,""),preDEL!E215)</f>
        <v/>
      </c>
      <c r="F215" s="94" t="str">
        <f>IF(preDEL!$AG215,IFERROR(0/0,""),preDEL!F215)</f>
        <v/>
      </c>
      <c r="G215" s="94" t="str">
        <f>IF(preDEL!$AG215,IFERROR(0/0,""),preDEL!G215)</f>
        <v/>
      </c>
      <c r="H215" s="94" t="str">
        <f>IF(preDEL!$AG215,IFERROR(0/0,""),preDEL!H215)</f>
        <v/>
      </c>
      <c r="I215" s="249" t="str">
        <f>IF(preDEL!$AG215,IFERROR(0/0,""),preDEL!I215)</f>
        <v/>
      </c>
      <c r="J215" s="249" t="str">
        <f>IF(preDEL!$AG215,IFERROR(0/0,""),preDEL!J215)</f>
        <v/>
      </c>
      <c r="K215" s="249" t="str">
        <f>IF(preDEL!$AG215,IFERROR(0/0,""),preDEL!K215)</f>
        <v>Negative</v>
      </c>
      <c r="L215" s="250">
        <f>IF(preDEL!$AG215,IFERROR(0/0,""),preDEL!L215)</f>
        <v>44725</v>
      </c>
      <c r="M215" s="251">
        <f>IF(preDEL!$AG215,IFERROR(0/0,""),preDEL!M215)</f>
        <v>0.4122337963</v>
      </c>
      <c r="N215" s="94" t="str">
        <f>IF(preDEL!$AG215,IFERROR(0/0,""),preDEL!N215)</f>
        <v/>
      </c>
      <c r="O215" s="94" t="str">
        <f>IF(preDEL!$AG215,IFERROR(0/0,""),preDEL!O215)</f>
        <v/>
      </c>
      <c r="P215" s="93" t="b">
        <f>IF(preDEL!$AG215,IFERROR(0/0,""),preDEL!P215)</f>
        <v>0</v>
      </c>
      <c r="Q215" s="93" t="str">
        <f>IF(preDEL!$AG215,IFERROR(0/0,""),preDEL!Q215)</f>
        <v>Result</v>
      </c>
      <c r="R215" s="99" t="b">
        <f>IF(preDEL!$AG215,IFERROR(0/0,""),preDEL!R215)</f>
        <v>0</v>
      </c>
      <c r="S215" s="99">
        <f>IF(preDEL!$AG215,IFERROR(0/0,""),preDEL!S215)</f>
        <v>4</v>
      </c>
      <c r="T215" s="93">
        <f>IF(preDEL!$AG215,IFERROR(0/0,""),preDEL!T215)</f>
        <v>2</v>
      </c>
      <c r="U215" s="94" t="str">
        <f>IF(preDEL!$AG215,IFERROR(0/0,""),preDEL!U215)</f>
        <v/>
      </c>
      <c r="V215" s="249" t="str">
        <f>IF(preDEL!$AG215,IFERROR(0/0,""),preDEL!V215)</f>
        <v/>
      </c>
      <c r="W215" s="94" t="str">
        <f>IF(preDEL!$AG215,IFERROR(0/0,""),preDEL!W215)</f>
        <v/>
      </c>
      <c r="X215" s="99" t="b">
        <f>IF(preDEL!$AG215,IFERROR(0/0,""),preDEL!X215)</f>
        <v>1</v>
      </c>
      <c r="Y215" s="93" t="str">
        <f>IF(preDEL!$AG215,IFERROR(0/0,""),preDEL!Y215)</f>
        <v/>
      </c>
      <c r="Z215" s="249" t="str">
        <f>IF(preDEL!$AG215,IFERROR(0/0,""),preDEL!Z215)</f>
        <v/>
      </c>
      <c r="AA215" s="93" t="b">
        <f>IF(preDEL!$AG215,IFERROR(0/0,""),preDEL!AA215)</f>
        <v>0</v>
      </c>
      <c r="AB215" s="93" t="str">
        <f>IF(preDEL!$AG215,IFERROR(0/0,""),preDEL!AB215)</f>
        <v/>
      </c>
      <c r="AC215" s="252">
        <f>IF(preDEL!$AG215,IFERROR(0/0,""),preDEL!AC215)</f>
        <v>46</v>
      </c>
      <c r="AD215" s="99" t="str">
        <f>IF(preDEL!$AG215,IFERROR(0/0,""),preDEL!AD215)</f>
        <v/>
      </c>
      <c r="AE215" s="253">
        <f>IF(preDEL!$AG215,IFERROR(0/0,""),preDEL!AE215)</f>
        <v>304.1333333</v>
      </c>
      <c r="AF215" s="93" t="b">
        <f>IF(preDEL!$AG215,IFERROR(0/0,""),preDEL!AF215)</f>
        <v>0</v>
      </c>
      <c r="AG215" s="93" t="b">
        <f>IF(preDEL!$AG215,IFERROR(0/0,""),preDEL!AG215)</f>
        <v>0</v>
      </c>
      <c r="AH215" s="99" t="str">
        <f>IF(preDEL!$AG215,IFERROR(0/0,""),preDEL!AH215)</f>
        <v/>
      </c>
      <c r="AI215" s="249" t="str">
        <f>IF(preDEL!$AG215,IFERROR(0/0,""),preDEL!AI215)</f>
        <v/>
      </c>
      <c r="AJ215" s="94" t="str">
        <f>IF(preDEL!$AG215,IFERROR(0/0,""),preDEL!AJ215)</f>
        <v/>
      </c>
      <c r="AK215" s="249" t="str">
        <f>IF(preDEL!$AG215,IFERROR(0/0,""),preDEL!AK215)</f>
        <v>Negative</v>
      </c>
      <c r="AL215" s="94" t="str">
        <f>IF(preDEL!$AG215,IFERROR(0/0,""),preDEL!AL215)</f>
        <v/>
      </c>
      <c r="AM215" s="94" t="str">
        <f>IF(preDEL!$AG215,IFERROR(0/0,""),preDEL!AM215)</f>
        <v>SpNDHM284552</v>
      </c>
      <c r="AN215" s="94" t="str">
        <f>IF(preDEL!$AG215,IFERROR(0/0,""),preDEL!AN215)</f>
        <v>NDHM114675</v>
      </c>
      <c r="AO215" s="94" t="str">
        <f>IF(preDEL!$AG215,IFERROR(0/0,""),preDEL!AO215)</f>
        <v/>
      </c>
      <c r="AP215" s="94" t="str">
        <f>IF(preDEL!$AG215,IFERROR(0/0,""),preDEL!AP215)</f>
        <v/>
      </c>
      <c r="AQ215" s="94" t="str">
        <f>IF(preDEL!$AG215,IFERROR(0/0,""),preDEL!AQ215)</f>
        <v/>
      </c>
      <c r="AR215" s="94" t="str">
        <f>IF(preDEL!$AG215,IFERROR(0/0,""),preDEL!AR215)</f>
        <v/>
      </c>
      <c r="AS215" s="98"/>
      <c r="BE215" s="254"/>
      <c r="BF215" s="255"/>
      <c r="BG215" s="254"/>
      <c r="BH215" s="255"/>
      <c r="BI215" s="254"/>
      <c r="BJ215" s="254"/>
      <c r="BK215" s="254"/>
      <c r="BL215" s="254"/>
      <c r="BN215" s="7"/>
      <c r="BO215" s="7"/>
      <c r="BP215" s="7"/>
      <c r="BQ215" s="7"/>
      <c r="BR215" s="7"/>
      <c r="BS215" s="7"/>
      <c r="BT215" s="7"/>
    </row>
    <row r="216">
      <c r="A216" s="249" t="str">
        <f>IF(preDEL!$AG216,IFERROR(0/0,""),preDEL!A216)</f>
        <v>AH8786</v>
      </c>
      <c r="B216" s="250">
        <f>IF(preDEL!$AG216,IFERROR(0/0,""),preDEL!B216)</f>
        <v>44725</v>
      </c>
      <c r="C216" s="251">
        <f>IF(preDEL!$AG216,IFERROR(0/0,""),preDEL!C216)</f>
        <v>0.2010300926</v>
      </c>
      <c r="D216" s="249" t="str">
        <f>IF(preDEL!$AG216,IFERROR(0/0,""),preDEL!D216)</f>
        <v/>
      </c>
      <c r="E216" s="249" t="str">
        <f>IF(preDEL!$AG216,IFERROR(0/0,""),preDEL!E216)</f>
        <v/>
      </c>
      <c r="F216" s="94" t="str">
        <f>IF(preDEL!$AG216,IFERROR(0/0,""),preDEL!F216)</f>
        <v/>
      </c>
      <c r="G216" s="94" t="str">
        <f>IF(preDEL!$AG216,IFERROR(0/0,""),preDEL!G216)</f>
        <v/>
      </c>
      <c r="H216" s="94" t="str">
        <f>IF(preDEL!$AG216,IFERROR(0/0,""),preDEL!H216)</f>
        <v/>
      </c>
      <c r="I216" s="249" t="str">
        <f>IF(preDEL!$AG216,IFERROR(0/0,""),preDEL!I216)</f>
        <v/>
      </c>
      <c r="J216" s="249" t="str">
        <f>IF(preDEL!$AG216,IFERROR(0/0,""),preDEL!J216)</f>
        <v/>
      </c>
      <c r="K216" s="249" t="str">
        <f>IF(preDEL!$AG216,IFERROR(0/0,""),preDEL!K216)</f>
        <v>Negative</v>
      </c>
      <c r="L216" s="250">
        <f>IF(preDEL!$AG216,IFERROR(0/0,""),preDEL!L216)</f>
        <v>44725</v>
      </c>
      <c r="M216" s="251">
        <f>IF(preDEL!$AG216,IFERROR(0/0,""),preDEL!M216)</f>
        <v>0.4122337963</v>
      </c>
      <c r="N216" s="94" t="str">
        <f>IF(preDEL!$AG216,IFERROR(0/0,""),preDEL!N216)</f>
        <v/>
      </c>
      <c r="O216" s="94" t="str">
        <f>IF(preDEL!$AG216,IFERROR(0/0,""),preDEL!O216)</f>
        <v/>
      </c>
      <c r="P216" s="93" t="b">
        <f>IF(preDEL!$AG216,IFERROR(0/0,""),preDEL!P216)</f>
        <v>0</v>
      </c>
      <c r="Q216" s="93" t="str">
        <f>IF(preDEL!$AG216,IFERROR(0/0,""),preDEL!Q216)</f>
        <v>Result</v>
      </c>
      <c r="R216" s="99" t="b">
        <f>IF(preDEL!$AG216,IFERROR(0/0,""),preDEL!R216)</f>
        <v>0</v>
      </c>
      <c r="S216" s="99">
        <f>IF(preDEL!$AG216,IFERROR(0/0,""),preDEL!S216)</f>
        <v>4</v>
      </c>
      <c r="T216" s="93">
        <f>IF(preDEL!$AG216,IFERROR(0/0,""),preDEL!T216)</f>
        <v>2</v>
      </c>
      <c r="U216" s="94" t="str">
        <f>IF(preDEL!$AG216,IFERROR(0/0,""),preDEL!U216)</f>
        <v/>
      </c>
      <c r="V216" s="249" t="str">
        <f>IF(preDEL!$AG216,IFERROR(0/0,""),preDEL!V216)</f>
        <v/>
      </c>
      <c r="W216" s="94" t="str">
        <f>IF(preDEL!$AG216,IFERROR(0/0,""),preDEL!W216)</f>
        <v/>
      </c>
      <c r="X216" s="99" t="b">
        <f>IF(preDEL!$AG216,IFERROR(0/0,""),preDEL!X216)</f>
        <v>0</v>
      </c>
      <c r="Y216" s="93" t="str">
        <f>IF(preDEL!$AG216,IFERROR(0/0,""),preDEL!Y216)</f>
        <v/>
      </c>
      <c r="Z216" s="249" t="str">
        <f>IF(preDEL!$AG216,IFERROR(0/0,""),preDEL!Z216)</f>
        <v/>
      </c>
      <c r="AA216" s="93" t="b">
        <f>IF(preDEL!$AG216,IFERROR(0/0,""),preDEL!AA216)</f>
        <v>0</v>
      </c>
      <c r="AB216" s="93" t="str">
        <f>IF(preDEL!$AG216,IFERROR(0/0,""),preDEL!AB216)</f>
        <v/>
      </c>
      <c r="AC216" s="252">
        <f>IF(preDEL!$AG216,IFERROR(0/0,""),preDEL!AC216)</f>
        <v>45</v>
      </c>
      <c r="AD216" s="99" t="str">
        <f>IF(preDEL!$AG216,IFERROR(0/0,""),preDEL!AD216)</f>
        <v/>
      </c>
      <c r="AE216" s="253">
        <f>IF(preDEL!$AG216,IFERROR(0/0,""),preDEL!AE216)</f>
        <v>304.1333333</v>
      </c>
      <c r="AF216" s="93" t="b">
        <f>IF(preDEL!$AG216,IFERROR(0/0,""),preDEL!AF216)</f>
        <v>0</v>
      </c>
      <c r="AG216" s="93" t="b">
        <f>IF(preDEL!$AG216,IFERROR(0/0,""),preDEL!AG216)</f>
        <v>0</v>
      </c>
      <c r="AH216" s="99" t="str">
        <f>IF(preDEL!$AG216,IFERROR(0/0,""),preDEL!AH216)</f>
        <v/>
      </c>
      <c r="AI216" s="249" t="str">
        <f>IF(preDEL!$AG216,IFERROR(0/0,""),preDEL!AI216)</f>
        <v/>
      </c>
      <c r="AJ216" s="94" t="str">
        <f>IF(preDEL!$AG216,IFERROR(0/0,""),preDEL!AJ216)</f>
        <v/>
      </c>
      <c r="AK216" s="249" t="str">
        <f>IF(preDEL!$AG216,IFERROR(0/0,""),preDEL!AK216)</f>
        <v>Negative</v>
      </c>
      <c r="AL216" s="94" t="str">
        <f>IF(preDEL!$AG216,IFERROR(0/0,""),preDEL!AL216)</f>
        <v/>
      </c>
      <c r="AM216" s="94" t="str">
        <f>IF(preDEL!$AG216,IFERROR(0/0,""),preDEL!AM216)</f>
        <v>SpNDHM284552</v>
      </c>
      <c r="AN216" s="94" t="str">
        <f>IF(preDEL!$AG216,IFERROR(0/0,""),preDEL!AN216)</f>
        <v>NDHM894346</v>
      </c>
      <c r="AO216" s="94" t="str">
        <f>IF(preDEL!$AG216,IFERROR(0/0,""),preDEL!AO216)</f>
        <v/>
      </c>
      <c r="AP216" s="94" t="str">
        <f>IF(preDEL!$AG216,IFERROR(0/0,""),preDEL!AP216)</f>
        <v/>
      </c>
      <c r="AQ216" s="94" t="str">
        <f>IF(preDEL!$AG216,IFERROR(0/0,""),preDEL!AQ216)</f>
        <v/>
      </c>
      <c r="AR216" s="94" t="str">
        <f>IF(preDEL!$AG216,IFERROR(0/0,""),preDEL!AR216)</f>
        <v/>
      </c>
      <c r="AS216" s="98"/>
      <c r="BE216" s="254"/>
      <c r="BF216" s="255"/>
      <c r="BG216" s="254"/>
      <c r="BH216" s="255"/>
      <c r="BI216" s="254"/>
      <c r="BJ216" s="254"/>
      <c r="BK216" s="254"/>
      <c r="BL216" s="254"/>
      <c r="BN216" s="7"/>
      <c r="BO216" s="7"/>
      <c r="BP216" s="7"/>
      <c r="BQ216" s="7"/>
      <c r="BR216" s="7"/>
      <c r="BS216" s="7"/>
      <c r="BT216" s="7"/>
    </row>
    <row r="217">
      <c r="A217" s="249" t="str">
        <f>IF(preDEL!$AG217,IFERROR(0/0,""),preDEL!A217)</f>
        <v>AH8786</v>
      </c>
      <c r="B217" s="250">
        <f>IF(preDEL!$AG217,IFERROR(0/0,""),preDEL!B217)</f>
        <v>44725</v>
      </c>
      <c r="C217" s="251">
        <f>IF(preDEL!$AG217,IFERROR(0/0,""),preDEL!C217)</f>
        <v>0.2010300926</v>
      </c>
      <c r="D217" s="249" t="str">
        <f>IF(preDEL!$AG217,IFERROR(0/0,""),preDEL!D217)</f>
        <v/>
      </c>
      <c r="E217" s="249" t="str">
        <f>IF(preDEL!$AG217,IFERROR(0/0,""),preDEL!E217)</f>
        <v/>
      </c>
      <c r="F217" s="94" t="str">
        <f>IF(preDEL!$AG217,IFERROR(0/0,""),preDEL!F217)</f>
        <v/>
      </c>
      <c r="G217" s="94" t="str">
        <f>IF(preDEL!$AG217,IFERROR(0/0,""),preDEL!G217)</f>
        <v/>
      </c>
      <c r="H217" s="94" t="str">
        <f>IF(preDEL!$AG217,IFERROR(0/0,""),preDEL!H217)</f>
        <v/>
      </c>
      <c r="I217" s="249" t="str">
        <f>IF(preDEL!$AG217,IFERROR(0/0,""),preDEL!I217)</f>
        <v/>
      </c>
      <c r="J217" s="249" t="str">
        <f>IF(preDEL!$AG217,IFERROR(0/0,""),preDEL!J217)</f>
        <v/>
      </c>
      <c r="K217" s="249" t="str">
        <f>IF(preDEL!$AG217,IFERROR(0/0,""),preDEL!K217)</f>
        <v>Negative</v>
      </c>
      <c r="L217" s="250">
        <f>IF(preDEL!$AG217,IFERROR(0/0,""),preDEL!L217)</f>
        <v>44725</v>
      </c>
      <c r="M217" s="251">
        <f>IF(preDEL!$AG217,IFERROR(0/0,""),preDEL!M217)</f>
        <v>0.4122337963</v>
      </c>
      <c r="N217" s="94" t="str">
        <f>IF(preDEL!$AG217,IFERROR(0/0,""),preDEL!N217)</f>
        <v/>
      </c>
      <c r="O217" s="94" t="str">
        <f>IF(preDEL!$AG217,IFERROR(0/0,""),preDEL!O217)</f>
        <v/>
      </c>
      <c r="P217" s="93" t="b">
        <f>IF(preDEL!$AG217,IFERROR(0/0,""),preDEL!P217)</f>
        <v>0</v>
      </c>
      <c r="Q217" s="93" t="str">
        <f>IF(preDEL!$AG217,IFERROR(0/0,""),preDEL!Q217)</f>
        <v>Result</v>
      </c>
      <c r="R217" s="99" t="b">
        <f>IF(preDEL!$AG217,IFERROR(0/0,""),preDEL!R217)</f>
        <v>0</v>
      </c>
      <c r="S217" s="99">
        <f>IF(preDEL!$AG217,IFERROR(0/0,""),preDEL!S217)</f>
        <v>4</v>
      </c>
      <c r="T217" s="93">
        <f>IF(preDEL!$AG217,IFERROR(0/0,""),preDEL!T217)</f>
        <v>2</v>
      </c>
      <c r="U217" s="94" t="str">
        <f>IF(preDEL!$AG217,IFERROR(0/0,""),preDEL!U217)</f>
        <v/>
      </c>
      <c r="V217" s="249" t="str">
        <f>IF(preDEL!$AG217,IFERROR(0/0,""),preDEL!V217)</f>
        <v/>
      </c>
      <c r="W217" s="94" t="str">
        <f>IF(preDEL!$AG217,IFERROR(0/0,""),preDEL!W217)</f>
        <v/>
      </c>
      <c r="X217" s="99" t="b">
        <f>IF(preDEL!$AG217,IFERROR(0/0,""),preDEL!X217)</f>
        <v>0</v>
      </c>
      <c r="Y217" s="93" t="str">
        <f>IF(preDEL!$AG217,IFERROR(0/0,""),preDEL!Y217)</f>
        <v/>
      </c>
      <c r="Z217" s="249" t="str">
        <f>IF(preDEL!$AG217,IFERROR(0/0,""),preDEL!Z217)</f>
        <v/>
      </c>
      <c r="AA217" s="93" t="b">
        <f>IF(preDEL!$AG217,IFERROR(0/0,""),preDEL!AA217)</f>
        <v>0</v>
      </c>
      <c r="AB217" s="93" t="str">
        <f>IF(preDEL!$AG217,IFERROR(0/0,""),preDEL!AB217)</f>
        <v/>
      </c>
      <c r="AC217" s="252">
        <f>IF(preDEL!$AG217,IFERROR(0/0,""),preDEL!AC217)</f>
        <v>46</v>
      </c>
      <c r="AD217" s="99" t="str">
        <f>IF(preDEL!$AG217,IFERROR(0/0,""),preDEL!AD217)</f>
        <v/>
      </c>
      <c r="AE217" s="253">
        <f>IF(preDEL!$AG217,IFERROR(0/0,""),preDEL!AE217)</f>
        <v>304.1333333</v>
      </c>
      <c r="AF217" s="93" t="b">
        <f>IF(preDEL!$AG217,IFERROR(0/0,""),preDEL!AF217)</f>
        <v>0</v>
      </c>
      <c r="AG217" s="93" t="b">
        <f>IF(preDEL!$AG217,IFERROR(0/0,""),preDEL!AG217)</f>
        <v>0</v>
      </c>
      <c r="AH217" s="99" t="str">
        <f>IF(preDEL!$AG217,IFERROR(0/0,""),preDEL!AH217)</f>
        <v/>
      </c>
      <c r="AI217" s="249" t="str">
        <f>IF(preDEL!$AG217,IFERROR(0/0,""),preDEL!AI217)</f>
        <v/>
      </c>
      <c r="AJ217" s="94" t="str">
        <f>IF(preDEL!$AG217,IFERROR(0/0,""),preDEL!AJ217)</f>
        <v/>
      </c>
      <c r="AK217" s="249" t="str">
        <f>IF(preDEL!$AG217,IFERROR(0/0,""),preDEL!AK217)</f>
        <v>Negative</v>
      </c>
      <c r="AL217" s="94" t="str">
        <f>IF(preDEL!$AG217,IFERROR(0/0,""),preDEL!AL217)</f>
        <v/>
      </c>
      <c r="AM217" s="94" t="str">
        <f>IF(preDEL!$AG217,IFERROR(0/0,""),preDEL!AM217)</f>
        <v>SpNDHM284552</v>
      </c>
      <c r="AN217" s="94" t="str">
        <f>IF(preDEL!$AG217,IFERROR(0/0,""),preDEL!AN217)</f>
        <v>NDHM142305</v>
      </c>
      <c r="AO217" s="94" t="str">
        <f>IF(preDEL!$AG217,IFERROR(0/0,""),preDEL!AO217)</f>
        <v/>
      </c>
      <c r="AP217" s="94" t="str">
        <f>IF(preDEL!$AG217,IFERROR(0/0,""),preDEL!AP217)</f>
        <v/>
      </c>
      <c r="AQ217" s="94" t="str">
        <f>IF(preDEL!$AG217,IFERROR(0/0,""),preDEL!AQ217)</f>
        <v/>
      </c>
      <c r="AR217" s="94" t="str">
        <f>IF(preDEL!$AG217,IFERROR(0/0,""),preDEL!AR217)</f>
        <v/>
      </c>
      <c r="AS217" s="98"/>
      <c r="BE217" s="254"/>
      <c r="BF217" s="255"/>
      <c r="BG217" s="254"/>
      <c r="BH217" s="255"/>
      <c r="BI217" s="254"/>
      <c r="BJ217" s="254"/>
      <c r="BK217" s="254"/>
      <c r="BL217" s="254"/>
      <c r="BN217" s="7"/>
      <c r="BO217" s="7"/>
      <c r="BP217" s="7"/>
      <c r="BQ217" s="7"/>
      <c r="BR217" s="7"/>
      <c r="BS217" s="7"/>
      <c r="BT217" s="7"/>
    </row>
    <row r="218">
      <c r="A218" s="249" t="str">
        <f>IF(preDEL!$AG218,IFERROR(0/0,""),preDEL!A218)</f>
        <v>AG1844</v>
      </c>
      <c r="B218" s="250">
        <f>IF(preDEL!$AG218,IFERROR(0/0,""),preDEL!B218)</f>
        <v>44725</v>
      </c>
      <c r="C218" s="251">
        <f>IF(preDEL!$AG218,IFERROR(0/0,""),preDEL!C218)</f>
        <v>0.2252314815</v>
      </c>
      <c r="D218" s="249" t="str">
        <f>IF(preDEL!$AG218,IFERROR(0/0,""),preDEL!D218)</f>
        <v/>
      </c>
      <c r="E218" s="249" t="str">
        <f>IF(preDEL!$AG218,IFERROR(0/0,""),preDEL!E218)</f>
        <v/>
      </c>
      <c r="F218" s="94" t="str">
        <f>IF(preDEL!$AG218,IFERROR(0/0,""),preDEL!F218)</f>
        <v/>
      </c>
      <c r="G218" s="94" t="str">
        <f>IF(preDEL!$AG218,IFERROR(0/0,""),preDEL!G218)</f>
        <v/>
      </c>
      <c r="H218" s="94" t="str">
        <f>IF(preDEL!$AG218,IFERROR(0/0,""),preDEL!H218)</f>
        <v/>
      </c>
      <c r="I218" s="249" t="str">
        <f>IF(preDEL!$AG218,IFERROR(0/0,""),preDEL!I218)</f>
        <v/>
      </c>
      <c r="J218" s="249" t="str">
        <f>IF(preDEL!$AG218,IFERROR(0/0,""),preDEL!J218)</f>
        <v/>
      </c>
      <c r="K218" s="249" t="str">
        <f>IF(preDEL!$AG218,IFERROR(0/0,""),preDEL!K218)</f>
        <v>Negative</v>
      </c>
      <c r="L218" s="250">
        <f>IF(preDEL!$AG218,IFERROR(0/0,""),preDEL!L218)</f>
        <v>44725</v>
      </c>
      <c r="M218" s="251">
        <f>IF(preDEL!$AG218,IFERROR(0/0,""),preDEL!M218)</f>
        <v>0.4122453704</v>
      </c>
      <c r="N218" s="94" t="str">
        <f>IF(preDEL!$AG218,IFERROR(0/0,""),preDEL!N218)</f>
        <v/>
      </c>
      <c r="O218" s="94" t="str">
        <f>IF(preDEL!$AG218,IFERROR(0/0,""),preDEL!O218)</f>
        <v/>
      </c>
      <c r="P218" s="93" t="b">
        <f>IF(preDEL!$AG218,IFERROR(0/0,""),preDEL!P218)</f>
        <v>0</v>
      </c>
      <c r="Q218" s="93" t="str">
        <f>IF(preDEL!$AG218,IFERROR(0/0,""),preDEL!Q218)</f>
        <v>Result</v>
      </c>
      <c r="R218" s="99" t="b">
        <f>IF(preDEL!$AG218,IFERROR(0/0,""),preDEL!R218)</f>
        <v>1</v>
      </c>
      <c r="S218" s="99">
        <f>IF(preDEL!$AG218,IFERROR(0/0,""),preDEL!S218)</f>
        <v>3</v>
      </c>
      <c r="T218" s="93" t="str">
        <f>IF(preDEL!$AG218,IFERROR(0/0,""),preDEL!T218)</f>
        <v/>
      </c>
      <c r="U218" s="94" t="str">
        <f>IF(preDEL!$AG218,IFERROR(0/0,""),preDEL!U218)</f>
        <v/>
      </c>
      <c r="V218" s="249" t="str">
        <f>IF(preDEL!$AG218,IFERROR(0/0,""),preDEL!V218)</f>
        <v/>
      </c>
      <c r="W218" s="94" t="str">
        <f>IF(preDEL!$AG218,IFERROR(0/0,""),preDEL!W218)</f>
        <v/>
      </c>
      <c r="X218" s="99" t="b">
        <f>IF(preDEL!$AG218,IFERROR(0/0,""),preDEL!X218)</f>
        <v>0</v>
      </c>
      <c r="Y218" s="93" t="str">
        <f>IF(preDEL!$AG218,IFERROR(0/0,""),preDEL!Y218)</f>
        <v/>
      </c>
      <c r="Z218" s="249" t="str">
        <f>IF(preDEL!$AG218,IFERROR(0/0,""),preDEL!Z218)</f>
        <v/>
      </c>
      <c r="AA218" s="93" t="b">
        <f>IF(preDEL!$AG218,IFERROR(0/0,""),preDEL!AA218)</f>
        <v>0</v>
      </c>
      <c r="AB218" s="93" t="str">
        <f>IF(preDEL!$AG218,IFERROR(0/0,""),preDEL!AB218)</f>
        <v/>
      </c>
      <c r="AC218" s="252">
        <f>IF(preDEL!$AG218,IFERROR(0/0,""),preDEL!AC218)</f>
        <v>49</v>
      </c>
      <c r="AD218" s="99" t="str">
        <f>IF(preDEL!$AG218,IFERROR(0/0,""),preDEL!AD218)</f>
        <v/>
      </c>
      <c r="AE218" s="253">
        <f>IF(preDEL!$AG218,IFERROR(0/0,""),preDEL!AE218)</f>
        <v>269.3</v>
      </c>
      <c r="AF218" s="93" t="b">
        <f>IF(preDEL!$AG218,IFERROR(0/0,""),preDEL!AF218)</f>
        <v>0</v>
      </c>
      <c r="AG218" s="93" t="b">
        <f>IF(preDEL!$AG218,IFERROR(0/0,""),preDEL!AG218)</f>
        <v>0</v>
      </c>
      <c r="AH218" s="99" t="str">
        <f>IF(preDEL!$AG218,IFERROR(0/0,""),preDEL!AH218)</f>
        <v/>
      </c>
      <c r="AI218" s="249" t="str">
        <f>IF(preDEL!$AG218,IFERROR(0/0,""),preDEL!AI218)</f>
        <v/>
      </c>
      <c r="AJ218" s="94" t="str">
        <f>IF(preDEL!$AG218,IFERROR(0/0,""),preDEL!AJ218)</f>
        <v/>
      </c>
      <c r="AK218" s="249" t="str">
        <f>IF(preDEL!$AG218,IFERROR(0/0,""),preDEL!AK218)</f>
        <v>Negative</v>
      </c>
      <c r="AL218" s="94" t="str">
        <f>IF(preDEL!$AG218,IFERROR(0/0,""),preDEL!AL218)</f>
        <v/>
      </c>
      <c r="AM218" s="94" t="str">
        <f>IF(preDEL!$AG218,IFERROR(0/0,""),preDEL!AM218)</f>
        <v>SpNDHM957722</v>
      </c>
      <c r="AN218" s="94" t="str">
        <f>IF(preDEL!$AG218,IFERROR(0/0,""),preDEL!AN218)</f>
        <v>NDHM784418</v>
      </c>
      <c r="AO218" s="94" t="str">
        <f>IF(preDEL!$AG218,IFERROR(0/0,""),preDEL!AO218)</f>
        <v/>
      </c>
      <c r="AP218" s="94" t="str">
        <f>IF(preDEL!$AG218,IFERROR(0/0,""),preDEL!AP218)</f>
        <v/>
      </c>
      <c r="AQ218" s="94" t="str">
        <f>IF(preDEL!$AG218,IFERROR(0/0,""),preDEL!AQ218)</f>
        <v/>
      </c>
      <c r="AR218" s="94" t="str">
        <f>IF(preDEL!$AG218,IFERROR(0/0,""),preDEL!AR218)</f>
        <v/>
      </c>
      <c r="AS218" s="98"/>
      <c r="BE218" s="254"/>
      <c r="BF218" s="255"/>
      <c r="BG218" s="254"/>
      <c r="BH218" s="255"/>
      <c r="BI218" s="254"/>
      <c r="BJ218" s="254"/>
      <c r="BK218" s="254"/>
      <c r="BL218" s="254"/>
      <c r="BN218" s="7"/>
      <c r="BO218" s="7"/>
      <c r="BP218" s="7"/>
      <c r="BQ218" s="7"/>
      <c r="BR218" s="7"/>
      <c r="BS218" s="7"/>
      <c r="BT218" s="7"/>
    </row>
    <row r="219">
      <c r="A219" s="249" t="str">
        <f>IF(preDEL!$AG219,IFERROR(0/0,""),preDEL!A219)</f>
        <v>AG1844</v>
      </c>
      <c r="B219" s="250">
        <f>IF(preDEL!$AG219,IFERROR(0/0,""),preDEL!B219)</f>
        <v>44725</v>
      </c>
      <c r="C219" s="251">
        <f>IF(preDEL!$AG219,IFERROR(0/0,""),preDEL!C219)</f>
        <v>0.2252314815</v>
      </c>
      <c r="D219" s="249" t="str">
        <f>IF(preDEL!$AG219,IFERROR(0/0,""),preDEL!D219)</f>
        <v/>
      </c>
      <c r="E219" s="249" t="str">
        <f>IF(preDEL!$AG219,IFERROR(0/0,""),preDEL!E219)</f>
        <v/>
      </c>
      <c r="F219" s="94" t="str">
        <f>IF(preDEL!$AG219,IFERROR(0/0,""),preDEL!F219)</f>
        <v/>
      </c>
      <c r="G219" s="94" t="str">
        <f>IF(preDEL!$AG219,IFERROR(0/0,""),preDEL!G219)</f>
        <v/>
      </c>
      <c r="H219" s="94" t="str">
        <f>IF(preDEL!$AG219,IFERROR(0/0,""),preDEL!H219)</f>
        <v/>
      </c>
      <c r="I219" s="249" t="str">
        <f>IF(preDEL!$AG219,IFERROR(0/0,""),preDEL!I219)</f>
        <v/>
      </c>
      <c r="J219" s="249" t="str">
        <f>IF(preDEL!$AG219,IFERROR(0/0,""),preDEL!J219)</f>
        <v/>
      </c>
      <c r="K219" s="249" t="str">
        <f>IF(preDEL!$AG219,IFERROR(0/0,""),preDEL!K219)</f>
        <v>Negative</v>
      </c>
      <c r="L219" s="250">
        <f>IF(preDEL!$AG219,IFERROR(0/0,""),preDEL!L219)</f>
        <v>44725</v>
      </c>
      <c r="M219" s="251">
        <f>IF(preDEL!$AG219,IFERROR(0/0,""),preDEL!M219)</f>
        <v>0.4122453704</v>
      </c>
      <c r="N219" s="94" t="str">
        <f>IF(preDEL!$AG219,IFERROR(0/0,""),preDEL!N219)</f>
        <v/>
      </c>
      <c r="O219" s="94" t="str">
        <f>IF(preDEL!$AG219,IFERROR(0/0,""),preDEL!O219)</f>
        <v/>
      </c>
      <c r="P219" s="93" t="b">
        <f>IF(preDEL!$AG219,IFERROR(0/0,""),preDEL!P219)</f>
        <v>0</v>
      </c>
      <c r="Q219" s="93" t="str">
        <f>IF(preDEL!$AG219,IFERROR(0/0,""),preDEL!Q219)</f>
        <v>Result</v>
      </c>
      <c r="R219" s="99" t="b">
        <f>IF(preDEL!$AG219,IFERROR(0/0,""),preDEL!R219)</f>
        <v>0</v>
      </c>
      <c r="S219" s="99">
        <f>IF(preDEL!$AG219,IFERROR(0/0,""),preDEL!S219)</f>
        <v>3</v>
      </c>
      <c r="T219" s="93" t="str">
        <f>IF(preDEL!$AG219,IFERROR(0/0,""),preDEL!T219)</f>
        <v/>
      </c>
      <c r="U219" s="94" t="str">
        <f>IF(preDEL!$AG219,IFERROR(0/0,""),preDEL!U219)</f>
        <v/>
      </c>
      <c r="V219" s="249" t="str">
        <f>IF(preDEL!$AG219,IFERROR(0/0,""),preDEL!V219)</f>
        <v/>
      </c>
      <c r="W219" s="94" t="str">
        <f>IF(preDEL!$AG219,IFERROR(0/0,""),preDEL!W219)</f>
        <v/>
      </c>
      <c r="X219" s="99" t="b">
        <f>IF(preDEL!$AG219,IFERROR(0/0,""),preDEL!X219)</f>
        <v>0</v>
      </c>
      <c r="Y219" s="93" t="str">
        <f>IF(preDEL!$AG219,IFERROR(0/0,""),preDEL!Y219)</f>
        <v/>
      </c>
      <c r="Z219" s="249" t="str">
        <f>IF(preDEL!$AG219,IFERROR(0/0,""),preDEL!Z219)</f>
        <v/>
      </c>
      <c r="AA219" s="93" t="b">
        <f>IF(preDEL!$AG219,IFERROR(0/0,""),preDEL!AA219)</f>
        <v>0</v>
      </c>
      <c r="AB219" s="93" t="str">
        <f>IF(preDEL!$AG219,IFERROR(0/0,""),preDEL!AB219)</f>
        <v/>
      </c>
      <c r="AC219" s="252">
        <f>IF(preDEL!$AG219,IFERROR(0/0,""),preDEL!AC219)</f>
        <v>47</v>
      </c>
      <c r="AD219" s="99" t="str">
        <f>IF(preDEL!$AG219,IFERROR(0/0,""),preDEL!AD219)</f>
        <v/>
      </c>
      <c r="AE219" s="253">
        <f>IF(preDEL!$AG219,IFERROR(0/0,""),preDEL!AE219)</f>
        <v>269.3</v>
      </c>
      <c r="AF219" s="93" t="b">
        <f>IF(preDEL!$AG219,IFERROR(0/0,""),preDEL!AF219)</f>
        <v>0</v>
      </c>
      <c r="AG219" s="93" t="b">
        <f>IF(preDEL!$AG219,IFERROR(0/0,""),preDEL!AG219)</f>
        <v>0</v>
      </c>
      <c r="AH219" s="99" t="str">
        <f>IF(preDEL!$AG219,IFERROR(0/0,""),preDEL!AH219)</f>
        <v/>
      </c>
      <c r="AI219" s="249" t="str">
        <f>IF(preDEL!$AG219,IFERROR(0/0,""),preDEL!AI219)</f>
        <v/>
      </c>
      <c r="AJ219" s="94" t="str">
        <f>IF(preDEL!$AG219,IFERROR(0/0,""),preDEL!AJ219)</f>
        <v/>
      </c>
      <c r="AK219" s="249" t="str">
        <f>IF(preDEL!$AG219,IFERROR(0/0,""),preDEL!AK219)</f>
        <v>Negative</v>
      </c>
      <c r="AL219" s="94" t="str">
        <f>IF(preDEL!$AG219,IFERROR(0/0,""),preDEL!AL219)</f>
        <v/>
      </c>
      <c r="AM219" s="94" t="str">
        <f>IF(preDEL!$AG219,IFERROR(0/0,""),preDEL!AM219)</f>
        <v>SpNDHM957722</v>
      </c>
      <c r="AN219" s="94" t="str">
        <f>IF(preDEL!$AG219,IFERROR(0/0,""),preDEL!AN219)</f>
        <v>NDHM730614</v>
      </c>
      <c r="AO219" s="94" t="str">
        <f>IF(preDEL!$AG219,IFERROR(0/0,""),preDEL!AO219)</f>
        <v/>
      </c>
      <c r="AP219" s="94" t="str">
        <f>IF(preDEL!$AG219,IFERROR(0/0,""),preDEL!AP219)</f>
        <v/>
      </c>
      <c r="AQ219" s="94" t="str">
        <f>IF(preDEL!$AG219,IFERROR(0/0,""),preDEL!AQ219)</f>
        <v/>
      </c>
      <c r="AR219" s="94" t="str">
        <f>IF(preDEL!$AG219,IFERROR(0/0,""),preDEL!AR219)</f>
        <v/>
      </c>
      <c r="AS219" s="98"/>
      <c r="BE219" s="254"/>
      <c r="BF219" s="255"/>
      <c r="BG219" s="254"/>
      <c r="BH219" s="255"/>
      <c r="BI219" s="254"/>
      <c r="BJ219" s="254"/>
      <c r="BK219" s="254"/>
      <c r="BL219" s="254"/>
      <c r="BN219" s="7"/>
      <c r="BO219" s="7"/>
      <c r="BP219" s="7"/>
      <c r="BQ219" s="7"/>
      <c r="BR219" s="7"/>
      <c r="BS219" s="7"/>
      <c r="BT219" s="7"/>
    </row>
    <row r="220">
      <c r="A220" s="249" t="str">
        <f>IF(preDEL!$AG220,IFERROR(0/0,""),preDEL!A220)</f>
        <v>AG1844</v>
      </c>
      <c r="B220" s="250">
        <f>IF(preDEL!$AG220,IFERROR(0/0,""),preDEL!B220)</f>
        <v>44725</v>
      </c>
      <c r="C220" s="251">
        <f>IF(preDEL!$AG220,IFERROR(0/0,""),preDEL!C220)</f>
        <v>0.2252314815</v>
      </c>
      <c r="D220" s="249" t="str">
        <f>IF(preDEL!$AG220,IFERROR(0/0,""),preDEL!D220)</f>
        <v/>
      </c>
      <c r="E220" s="249" t="str">
        <f>IF(preDEL!$AG220,IFERROR(0/0,""),preDEL!E220)</f>
        <v/>
      </c>
      <c r="F220" s="94" t="str">
        <f>IF(preDEL!$AG220,IFERROR(0/0,""),preDEL!F220)</f>
        <v/>
      </c>
      <c r="G220" s="94" t="str">
        <f>IF(preDEL!$AG220,IFERROR(0/0,""),preDEL!G220)</f>
        <v/>
      </c>
      <c r="H220" s="94" t="str">
        <f>IF(preDEL!$AG220,IFERROR(0/0,""),preDEL!H220)</f>
        <v/>
      </c>
      <c r="I220" s="249" t="str">
        <f>IF(preDEL!$AG220,IFERROR(0/0,""),preDEL!I220)</f>
        <v/>
      </c>
      <c r="J220" s="249" t="str">
        <f>IF(preDEL!$AG220,IFERROR(0/0,""),preDEL!J220)</f>
        <v/>
      </c>
      <c r="K220" s="249" t="str">
        <f>IF(preDEL!$AG220,IFERROR(0/0,""),preDEL!K220)</f>
        <v>Negative</v>
      </c>
      <c r="L220" s="250">
        <f>IF(preDEL!$AG220,IFERROR(0/0,""),preDEL!L220)</f>
        <v>44725</v>
      </c>
      <c r="M220" s="251">
        <f>IF(preDEL!$AG220,IFERROR(0/0,""),preDEL!M220)</f>
        <v>0.4122453704</v>
      </c>
      <c r="N220" s="94" t="str">
        <f>IF(preDEL!$AG220,IFERROR(0/0,""),preDEL!N220)</f>
        <v/>
      </c>
      <c r="O220" s="94" t="str">
        <f>IF(preDEL!$AG220,IFERROR(0/0,""),preDEL!O220)</f>
        <v/>
      </c>
      <c r="P220" s="93" t="b">
        <f>IF(preDEL!$AG220,IFERROR(0/0,""),preDEL!P220)</f>
        <v>0</v>
      </c>
      <c r="Q220" s="93" t="str">
        <f>IF(preDEL!$AG220,IFERROR(0/0,""),preDEL!Q220)</f>
        <v>Result</v>
      </c>
      <c r="R220" s="99" t="b">
        <f>IF(preDEL!$AG220,IFERROR(0/0,""),preDEL!R220)</f>
        <v>0</v>
      </c>
      <c r="S220" s="99">
        <f>IF(preDEL!$AG220,IFERROR(0/0,""),preDEL!S220)</f>
        <v>3</v>
      </c>
      <c r="T220" s="93" t="str">
        <f>IF(preDEL!$AG220,IFERROR(0/0,""),preDEL!T220)</f>
        <v/>
      </c>
      <c r="U220" s="94" t="str">
        <f>IF(preDEL!$AG220,IFERROR(0/0,""),preDEL!U220)</f>
        <v/>
      </c>
      <c r="V220" s="249" t="str">
        <f>IF(preDEL!$AG220,IFERROR(0/0,""),preDEL!V220)</f>
        <v/>
      </c>
      <c r="W220" s="94" t="str">
        <f>IF(preDEL!$AG220,IFERROR(0/0,""),preDEL!W220)</f>
        <v/>
      </c>
      <c r="X220" s="99" t="b">
        <f>IF(preDEL!$AG220,IFERROR(0/0,""),preDEL!X220)</f>
        <v>0</v>
      </c>
      <c r="Y220" s="93" t="str">
        <f>IF(preDEL!$AG220,IFERROR(0/0,""),preDEL!Y220)</f>
        <v/>
      </c>
      <c r="Z220" s="249" t="str">
        <f>IF(preDEL!$AG220,IFERROR(0/0,""),preDEL!Z220)</f>
        <v/>
      </c>
      <c r="AA220" s="93" t="b">
        <f>IF(preDEL!$AG220,IFERROR(0/0,""),preDEL!AA220)</f>
        <v>0</v>
      </c>
      <c r="AB220" s="93" t="str">
        <f>IF(preDEL!$AG220,IFERROR(0/0,""),preDEL!AB220)</f>
        <v/>
      </c>
      <c r="AC220" s="252">
        <f>IF(preDEL!$AG220,IFERROR(0/0,""),preDEL!AC220)</f>
        <v>48</v>
      </c>
      <c r="AD220" s="99" t="str">
        <f>IF(preDEL!$AG220,IFERROR(0/0,""),preDEL!AD220)</f>
        <v/>
      </c>
      <c r="AE220" s="253">
        <f>IF(preDEL!$AG220,IFERROR(0/0,""),preDEL!AE220)</f>
        <v>269.3</v>
      </c>
      <c r="AF220" s="93" t="b">
        <f>IF(preDEL!$AG220,IFERROR(0/0,""),preDEL!AF220)</f>
        <v>0</v>
      </c>
      <c r="AG220" s="93" t="b">
        <f>IF(preDEL!$AG220,IFERROR(0/0,""),preDEL!AG220)</f>
        <v>0</v>
      </c>
      <c r="AH220" s="99" t="str">
        <f>IF(preDEL!$AG220,IFERROR(0/0,""),preDEL!AH220)</f>
        <v/>
      </c>
      <c r="AI220" s="249" t="str">
        <f>IF(preDEL!$AG220,IFERROR(0/0,""),preDEL!AI220)</f>
        <v/>
      </c>
      <c r="AJ220" s="94" t="str">
        <f>IF(preDEL!$AG220,IFERROR(0/0,""),preDEL!AJ220)</f>
        <v/>
      </c>
      <c r="AK220" s="249" t="str">
        <f>IF(preDEL!$AG220,IFERROR(0/0,""),preDEL!AK220)</f>
        <v>Negative</v>
      </c>
      <c r="AL220" s="94" t="str">
        <f>IF(preDEL!$AG220,IFERROR(0/0,""),preDEL!AL220)</f>
        <v/>
      </c>
      <c r="AM220" s="94" t="str">
        <f>IF(preDEL!$AG220,IFERROR(0/0,""),preDEL!AM220)</f>
        <v>SpNDHM957722</v>
      </c>
      <c r="AN220" s="94" t="str">
        <f>IF(preDEL!$AG220,IFERROR(0/0,""),preDEL!AN220)</f>
        <v>NDHM804847</v>
      </c>
      <c r="AO220" s="94" t="str">
        <f>IF(preDEL!$AG220,IFERROR(0/0,""),preDEL!AO220)</f>
        <v/>
      </c>
      <c r="AP220" s="94" t="str">
        <f>IF(preDEL!$AG220,IFERROR(0/0,""),preDEL!AP220)</f>
        <v/>
      </c>
      <c r="AQ220" s="94" t="str">
        <f>IF(preDEL!$AG220,IFERROR(0/0,""),preDEL!AQ220)</f>
        <v/>
      </c>
      <c r="AR220" s="94" t="str">
        <f>IF(preDEL!$AG220,IFERROR(0/0,""),preDEL!AR220)</f>
        <v/>
      </c>
      <c r="AS220" s="98"/>
      <c r="BE220" s="254"/>
      <c r="BF220" s="255"/>
      <c r="BG220" s="254"/>
      <c r="BH220" s="255"/>
      <c r="BI220" s="254"/>
      <c r="BJ220" s="254"/>
      <c r="BK220" s="254"/>
      <c r="BL220" s="254"/>
      <c r="BN220" s="7"/>
      <c r="BO220" s="7"/>
      <c r="BP220" s="7"/>
      <c r="BQ220" s="7"/>
      <c r="BR220" s="7"/>
      <c r="BS220" s="7"/>
      <c r="BT220" s="7"/>
    </row>
    <row r="221">
      <c r="A221" s="249" t="str">
        <f>IF(preDEL!$AG221,IFERROR(0/0,""),preDEL!A221)</f>
        <v>AH9644</v>
      </c>
      <c r="B221" s="250">
        <f>IF(preDEL!$AG221,IFERROR(0/0,""),preDEL!B221)</f>
        <v>44725</v>
      </c>
      <c r="C221" s="251">
        <f>IF(preDEL!$AG221,IFERROR(0/0,""),preDEL!C221)</f>
        <v>0.2335069444</v>
      </c>
      <c r="D221" s="249" t="str">
        <f>IF(preDEL!$AG221,IFERROR(0/0,""),preDEL!D221)</f>
        <v/>
      </c>
      <c r="E221" s="249" t="str">
        <f>IF(preDEL!$AG221,IFERROR(0/0,""),preDEL!E221)</f>
        <v/>
      </c>
      <c r="F221" s="94" t="str">
        <f>IF(preDEL!$AG221,IFERROR(0/0,""),preDEL!F221)</f>
        <v/>
      </c>
      <c r="G221" s="94" t="str">
        <f>IF(preDEL!$AG221,IFERROR(0/0,""),preDEL!G221)</f>
        <v/>
      </c>
      <c r="H221" s="94" t="str">
        <f>IF(preDEL!$AG221,IFERROR(0/0,""),preDEL!H221)</f>
        <v/>
      </c>
      <c r="I221" s="249" t="str">
        <f>IF(preDEL!$AG221,IFERROR(0/0,""),preDEL!I221)</f>
        <v/>
      </c>
      <c r="J221" s="249" t="str">
        <f>IF(preDEL!$AG221,IFERROR(0/0,""),preDEL!J221)</f>
        <v/>
      </c>
      <c r="K221" s="249" t="str">
        <f>IF(preDEL!$AG221,IFERROR(0/0,""),preDEL!K221)</f>
        <v>Negative</v>
      </c>
      <c r="L221" s="250">
        <f>IF(preDEL!$AG221,IFERROR(0/0,""),preDEL!L221)</f>
        <v>44725</v>
      </c>
      <c r="M221" s="251">
        <f>IF(preDEL!$AG221,IFERROR(0/0,""),preDEL!M221)</f>
        <v>0.4122453704</v>
      </c>
      <c r="N221" s="94" t="str">
        <f>IF(preDEL!$AG221,IFERROR(0/0,""),preDEL!N221)</f>
        <v/>
      </c>
      <c r="O221" s="94" t="str">
        <f>IF(preDEL!$AG221,IFERROR(0/0,""),preDEL!O221)</f>
        <v/>
      </c>
      <c r="P221" s="93" t="b">
        <f>IF(preDEL!$AG221,IFERROR(0/0,""),preDEL!P221)</f>
        <v>0</v>
      </c>
      <c r="Q221" s="93" t="str">
        <f>IF(preDEL!$AG221,IFERROR(0/0,""),preDEL!Q221)</f>
        <v>Result</v>
      </c>
      <c r="R221" s="99" t="b">
        <f>IF(preDEL!$AG221,IFERROR(0/0,""),preDEL!R221)</f>
        <v>1</v>
      </c>
      <c r="S221" s="99">
        <f>IF(preDEL!$AG221,IFERROR(0/0,""),preDEL!S221)</f>
        <v>3</v>
      </c>
      <c r="T221" s="93" t="str">
        <f>IF(preDEL!$AG221,IFERROR(0/0,""),preDEL!T221)</f>
        <v/>
      </c>
      <c r="U221" s="94" t="str">
        <f>IF(preDEL!$AG221,IFERROR(0/0,""),preDEL!U221)</f>
        <v/>
      </c>
      <c r="V221" s="249" t="str">
        <f>IF(preDEL!$AG221,IFERROR(0/0,""),preDEL!V221)</f>
        <v/>
      </c>
      <c r="W221" s="94" t="str">
        <f>IF(preDEL!$AG221,IFERROR(0/0,""),preDEL!W221)</f>
        <v/>
      </c>
      <c r="X221" s="99" t="b">
        <f>IF(preDEL!$AG221,IFERROR(0/0,""),preDEL!X221)</f>
        <v>0</v>
      </c>
      <c r="Y221" s="93" t="str">
        <f>IF(preDEL!$AG221,IFERROR(0/0,""),preDEL!Y221)</f>
        <v/>
      </c>
      <c r="Z221" s="249" t="str">
        <f>IF(preDEL!$AG221,IFERROR(0/0,""),preDEL!Z221)</f>
        <v/>
      </c>
      <c r="AA221" s="93" t="b">
        <f>IF(preDEL!$AG221,IFERROR(0/0,""),preDEL!AA221)</f>
        <v>0</v>
      </c>
      <c r="AB221" s="93" t="str">
        <f>IF(preDEL!$AG221,IFERROR(0/0,""),preDEL!AB221)</f>
        <v/>
      </c>
      <c r="AC221" s="252">
        <f>IF(preDEL!$AG221,IFERROR(0/0,""),preDEL!AC221)</f>
        <v>52</v>
      </c>
      <c r="AD221" s="99" t="str">
        <f>IF(preDEL!$AG221,IFERROR(0/0,""),preDEL!AD221)</f>
        <v/>
      </c>
      <c r="AE221" s="253">
        <f>IF(preDEL!$AG221,IFERROR(0/0,""),preDEL!AE221)</f>
        <v>257.3833333</v>
      </c>
      <c r="AF221" s="93" t="b">
        <f>IF(preDEL!$AG221,IFERROR(0/0,""),preDEL!AF221)</f>
        <v>0</v>
      </c>
      <c r="AG221" s="93" t="b">
        <f>IF(preDEL!$AG221,IFERROR(0/0,""),preDEL!AG221)</f>
        <v>0</v>
      </c>
      <c r="AH221" s="99" t="str">
        <f>IF(preDEL!$AG221,IFERROR(0/0,""),preDEL!AH221)</f>
        <v/>
      </c>
      <c r="AI221" s="249" t="str">
        <f>IF(preDEL!$AG221,IFERROR(0/0,""),preDEL!AI221)</f>
        <v/>
      </c>
      <c r="AJ221" s="94" t="str">
        <f>IF(preDEL!$AG221,IFERROR(0/0,""),preDEL!AJ221)</f>
        <v/>
      </c>
      <c r="AK221" s="249" t="str">
        <f>IF(preDEL!$AG221,IFERROR(0/0,""),preDEL!AK221)</f>
        <v>Negative</v>
      </c>
      <c r="AL221" s="94" t="str">
        <f>IF(preDEL!$AG221,IFERROR(0/0,""),preDEL!AL221)</f>
        <v/>
      </c>
      <c r="AM221" s="94" t="str">
        <f>IF(preDEL!$AG221,IFERROR(0/0,""),preDEL!AM221)</f>
        <v>SpNDHM189649</v>
      </c>
      <c r="AN221" s="94" t="str">
        <f>IF(preDEL!$AG221,IFERROR(0/0,""),preDEL!AN221)</f>
        <v>NDHM872314</v>
      </c>
      <c r="AO221" s="94" t="str">
        <f>IF(preDEL!$AG221,IFERROR(0/0,""),preDEL!AO221)</f>
        <v/>
      </c>
      <c r="AP221" s="94" t="str">
        <f>IF(preDEL!$AG221,IFERROR(0/0,""),preDEL!AP221)</f>
        <v/>
      </c>
      <c r="AQ221" s="94" t="str">
        <f>IF(preDEL!$AG221,IFERROR(0/0,""),preDEL!AQ221)</f>
        <v/>
      </c>
      <c r="AR221" s="94" t="str">
        <f>IF(preDEL!$AG221,IFERROR(0/0,""),preDEL!AR221)</f>
        <v/>
      </c>
      <c r="AS221" s="98"/>
      <c r="BE221" s="254"/>
      <c r="BF221" s="255"/>
      <c r="BG221" s="254"/>
      <c r="BH221" s="255"/>
      <c r="BI221" s="254"/>
      <c r="BJ221" s="254"/>
      <c r="BK221" s="254"/>
      <c r="BL221" s="254"/>
      <c r="BN221" s="7"/>
      <c r="BO221" s="7"/>
      <c r="BP221" s="7"/>
      <c r="BQ221" s="7"/>
      <c r="BR221" s="7"/>
      <c r="BS221" s="7"/>
      <c r="BT221" s="7"/>
    </row>
    <row r="222">
      <c r="A222" s="249" t="str">
        <f>IF(preDEL!$AG222,IFERROR(0/0,""),preDEL!A222)</f>
        <v>AH9644</v>
      </c>
      <c r="B222" s="250">
        <f>IF(preDEL!$AG222,IFERROR(0/0,""),preDEL!B222)</f>
        <v>44725</v>
      </c>
      <c r="C222" s="251">
        <f>IF(preDEL!$AG222,IFERROR(0/0,""),preDEL!C222)</f>
        <v>0.2335069444</v>
      </c>
      <c r="D222" s="249" t="str">
        <f>IF(preDEL!$AG222,IFERROR(0/0,""),preDEL!D222)</f>
        <v/>
      </c>
      <c r="E222" s="249" t="str">
        <f>IF(preDEL!$AG222,IFERROR(0/0,""),preDEL!E222)</f>
        <v/>
      </c>
      <c r="F222" s="94" t="str">
        <f>IF(preDEL!$AG222,IFERROR(0/0,""),preDEL!F222)</f>
        <v/>
      </c>
      <c r="G222" s="94" t="str">
        <f>IF(preDEL!$AG222,IFERROR(0/0,""),preDEL!G222)</f>
        <v/>
      </c>
      <c r="H222" s="94" t="str">
        <f>IF(preDEL!$AG222,IFERROR(0/0,""),preDEL!H222)</f>
        <v/>
      </c>
      <c r="I222" s="249" t="str">
        <f>IF(preDEL!$AG222,IFERROR(0/0,""),preDEL!I222)</f>
        <v/>
      </c>
      <c r="J222" s="249" t="str">
        <f>IF(preDEL!$AG222,IFERROR(0/0,""),preDEL!J222)</f>
        <v/>
      </c>
      <c r="K222" s="249" t="str">
        <f>IF(preDEL!$AG222,IFERROR(0/0,""),preDEL!K222)</f>
        <v>Negative</v>
      </c>
      <c r="L222" s="250">
        <f>IF(preDEL!$AG222,IFERROR(0/0,""),preDEL!L222)</f>
        <v>44725</v>
      </c>
      <c r="M222" s="251">
        <f>IF(preDEL!$AG222,IFERROR(0/0,""),preDEL!M222)</f>
        <v>0.4122453704</v>
      </c>
      <c r="N222" s="94" t="str">
        <f>IF(preDEL!$AG222,IFERROR(0/0,""),preDEL!N222)</f>
        <v/>
      </c>
      <c r="O222" s="94" t="str">
        <f>IF(preDEL!$AG222,IFERROR(0/0,""),preDEL!O222)</f>
        <v/>
      </c>
      <c r="P222" s="93" t="b">
        <f>IF(preDEL!$AG222,IFERROR(0/0,""),preDEL!P222)</f>
        <v>0</v>
      </c>
      <c r="Q222" s="93" t="str">
        <f>IF(preDEL!$AG222,IFERROR(0/0,""),preDEL!Q222)</f>
        <v>Result</v>
      </c>
      <c r="R222" s="99" t="b">
        <f>IF(preDEL!$AG222,IFERROR(0/0,""),preDEL!R222)</f>
        <v>0</v>
      </c>
      <c r="S222" s="99">
        <f>IF(preDEL!$AG222,IFERROR(0/0,""),preDEL!S222)</f>
        <v>3</v>
      </c>
      <c r="T222" s="93" t="str">
        <f>IF(preDEL!$AG222,IFERROR(0/0,""),preDEL!T222)</f>
        <v/>
      </c>
      <c r="U222" s="94" t="str">
        <f>IF(preDEL!$AG222,IFERROR(0/0,""),preDEL!U222)</f>
        <v/>
      </c>
      <c r="V222" s="249" t="str">
        <f>IF(preDEL!$AG222,IFERROR(0/0,""),preDEL!V222)</f>
        <v/>
      </c>
      <c r="W222" s="94" t="str">
        <f>IF(preDEL!$AG222,IFERROR(0/0,""),preDEL!W222)</f>
        <v/>
      </c>
      <c r="X222" s="99" t="b">
        <f>IF(preDEL!$AG222,IFERROR(0/0,""),preDEL!X222)</f>
        <v>0</v>
      </c>
      <c r="Y222" s="93" t="str">
        <f>IF(preDEL!$AG222,IFERROR(0/0,""),preDEL!Y222)</f>
        <v/>
      </c>
      <c r="Z222" s="249" t="str">
        <f>IF(preDEL!$AG222,IFERROR(0/0,""),preDEL!Z222)</f>
        <v/>
      </c>
      <c r="AA222" s="93" t="b">
        <f>IF(preDEL!$AG222,IFERROR(0/0,""),preDEL!AA222)</f>
        <v>0</v>
      </c>
      <c r="AB222" s="93" t="str">
        <f>IF(preDEL!$AG222,IFERROR(0/0,""),preDEL!AB222)</f>
        <v/>
      </c>
      <c r="AC222" s="252">
        <f>IF(preDEL!$AG222,IFERROR(0/0,""),preDEL!AC222)</f>
        <v>51</v>
      </c>
      <c r="AD222" s="99" t="str">
        <f>IF(preDEL!$AG222,IFERROR(0/0,""),preDEL!AD222)</f>
        <v/>
      </c>
      <c r="AE222" s="253">
        <f>IF(preDEL!$AG222,IFERROR(0/0,""),preDEL!AE222)</f>
        <v>257.3833333</v>
      </c>
      <c r="AF222" s="93" t="b">
        <f>IF(preDEL!$AG222,IFERROR(0/0,""),preDEL!AF222)</f>
        <v>0</v>
      </c>
      <c r="AG222" s="93" t="b">
        <f>IF(preDEL!$AG222,IFERROR(0/0,""),preDEL!AG222)</f>
        <v>0</v>
      </c>
      <c r="AH222" s="99" t="str">
        <f>IF(preDEL!$AG222,IFERROR(0/0,""),preDEL!AH222)</f>
        <v/>
      </c>
      <c r="AI222" s="249" t="str">
        <f>IF(preDEL!$AG222,IFERROR(0/0,""),preDEL!AI222)</f>
        <v/>
      </c>
      <c r="AJ222" s="94" t="str">
        <f>IF(preDEL!$AG222,IFERROR(0/0,""),preDEL!AJ222)</f>
        <v/>
      </c>
      <c r="AK222" s="249" t="str">
        <f>IF(preDEL!$AG222,IFERROR(0/0,""),preDEL!AK222)</f>
        <v>Negative</v>
      </c>
      <c r="AL222" s="94" t="str">
        <f>IF(preDEL!$AG222,IFERROR(0/0,""),preDEL!AL222)</f>
        <v/>
      </c>
      <c r="AM222" s="94" t="str">
        <f>IF(preDEL!$AG222,IFERROR(0/0,""),preDEL!AM222)</f>
        <v>SpNDHM189649</v>
      </c>
      <c r="AN222" s="94" t="str">
        <f>IF(preDEL!$AG222,IFERROR(0/0,""),preDEL!AN222)</f>
        <v>NDHM577067</v>
      </c>
      <c r="AO222" s="94" t="str">
        <f>IF(preDEL!$AG222,IFERROR(0/0,""),preDEL!AO222)</f>
        <v/>
      </c>
      <c r="AP222" s="94" t="str">
        <f>IF(preDEL!$AG222,IFERROR(0/0,""),preDEL!AP222)</f>
        <v/>
      </c>
      <c r="AQ222" s="94" t="str">
        <f>IF(preDEL!$AG222,IFERROR(0/0,""),preDEL!AQ222)</f>
        <v/>
      </c>
      <c r="AR222" s="94" t="str">
        <f>IF(preDEL!$AG222,IFERROR(0/0,""),preDEL!AR222)</f>
        <v/>
      </c>
      <c r="AS222" s="98"/>
      <c r="BE222" s="254"/>
      <c r="BF222" s="255"/>
      <c r="BG222" s="254"/>
      <c r="BH222" s="255"/>
      <c r="BI222" s="254"/>
      <c r="BJ222" s="254"/>
      <c r="BK222" s="254"/>
      <c r="BL222" s="254"/>
      <c r="BN222" s="7"/>
      <c r="BO222" s="7"/>
      <c r="BP222" s="7"/>
      <c r="BQ222" s="7"/>
      <c r="BR222" s="7"/>
      <c r="BS222" s="7"/>
      <c r="BT222" s="7"/>
    </row>
    <row r="223">
      <c r="A223" s="249" t="str">
        <f>IF(preDEL!$AG223,IFERROR(0/0,""),preDEL!A223)</f>
        <v>AH9644</v>
      </c>
      <c r="B223" s="250">
        <f>IF(preDEL!$AG223,IFERROR(0/0,""),preDEL!B223)</f>
        <v>44725</v>
      </c>
      <c r="C223" s="251">
        <f>IF(preDEL!$AG223,IFERROR(0/0,""),preDEL!C223)</f>
        <v>0.2335069444</v>
      </c>
      <c r="D223" s="249" t="str">
        <f>IF(preDEL!$AG223,IFERROR(0/0,""),preDEL!D223)</f>
        <v/>
      </c>
      <c r="E223" s="249" t="str">
        <f>IF(preDEL!$AG223,IFERROR(0/0,""),preDEL!E223)</f>
        <v/>
      </c>
      <c r="F223" s="94" t="str">
        <f>IF(preDEL!$AG223,IFERROR(0/0,""),preDEL!F223)</f>
        <v/>
      </c>
      <c r="G223" s="94" t="str">
        <f>IF(preDEL!$AG223,IFERROR(0/0,""),preDEL!G223)</f>
        <v/>
      </c>
      <c r="H223" s="94" t="str">
        <f>IF(preDEL!$AG223,IFERROR(0/0,""),preDEL!H223)</f>
        <v/>
      </c>
      <c r="I223" s="249" t="str">
        <f>IF(preDEL!$AG223,IFERROR(0/0,""),preDEL!I223)</f>
        <v/>
      </c>
      <c r="J223" s="249" t="str">
        <f>IF(preDEL!$AG223,IFERROR(0/0,""),preDEL!J223)</f>
        <v/>
      </c>
      <c r="K223" s="249" t="str">
        <f>IF(preDEL!$AG223,IFERROR(0/0,""),preDEL!K223)</f>
        <v>Negative</v>
      </c>
      <c r="L223" s="250">
        <f>IF(preDEL!$AG223,IFERROR(0/0,""),preDEL!L223)</f>
        <v>44725</v>
      </c>
      <c r="M223" s="251">
        <f>IF(preDEL!$AG223,IFERROR(0/0,""),preDEL!M223)</f>
        <v>0.4122453704</v>
      </c>
      <c r="N223" s="94" t="str">
        <f>IF(preDEL!$AG223,IFERROR(0/0,""),preDEL!N223)</f>
        <v/>
      </c>
      <c r="O223" s="94" t="str">
        <f>IF(preDEL!$AG223,IFERROR(0/0,""),preDEL!O223)</f>
        <v/>
      </c>
      <c r="P223" s="93" t="b">
        <f>IF(preDEL!$AG223,IFERROR(0/0,""),preDEL!P223)</f>
        <v>0</v>
      </c>
      <c r="Q223" s="93" t="str">
        <f>IF(preDEL!$AG223,IFERROR(0/0,""),preDEL!Q223)</f>
        <v>Result</v>
      </c>
      <c r="R223" s="99" t="b">
        <f>IF(preDEL!$AG223,IFERROR(0/0,""),preDEL!R223)</f>
        <v>0</v>
      </c>
      <c r="S223" s="99">
        <f>IF(preDEL!$AG223,IFERROR(0/0,""),preDEL!S223)</f>
        <v>3</v>
      </c>
      <c r="T223" s="93" t="str">
        <f>IF(preDEL!$AG223,IFERROR(0/0,""),preDEL!T223)</f>
        <v/>
      </c>
      <c r="U223" s="94" t="str">
        <f>IF(preDEL!$AG223,IFERROR(0/0,""),preDEL!U223)</f>
        <v/>
      </c>
      <c r="V223" s="249" t="str">
        <f>IF(preDEL!$AG223,IFERROR(0/0,""),preDEL!V223)</f>
        <v/>
      </c>
      <c r="W223" s="94" t="str">
        <f>IF(preDEL!$AG223,IFERROR(0/0,""),preDEL!W223)</f>
        <v/>
      </c>
      <c r="X223" s="99" t="b">
        <f>IF(preDEL!$AG223,IFERROR(0/0,""),preDEL!X223)</f>
        <v>0</v>
      </c>
      <c r="Y223" s="93" t="str">
        <f>IF(preDEL!$AG223,IFERROR(0/0,""),preDEL!Y223)</f>
        <v/>
      </c>
      <c r="Z223" s="249" t="str">
        <f>IF(preDEL!$AG223,IFERROR(0/0,""),preDEL!Z223)</f>
        <v/>
      </c>
      <c r="AA223" s="93" t="b">
        <f>IF(preDEL!$AG223,IFERROR(0/0,""),preDEL!AA223)</f>
        <v>0</v>
      </c>
      <c r="AB223" s="93" t="str">
        <f>IF(preDEL!$AG223,IFERROR(0/0,""),preDEL!AB223)</f>
        <v/>
      </c>
      <c r="AC223" s="252">
        <f>IF(preDEL!$AG223,IFERROR(0/0,""),preDEL!AC223)</f>
        <v>50</v>
      </c>
      <c r="AD223" s="99" t="str">
        <f>IF(preDEL!$AG223,IFERROR(0/0,""),preDEL!AD223)</f>
        <v/>
      </c>
      <c r="AE223" s="253">
        <f>IF(preDEL!$AG223,IFERROR(0/0,""),preDEL!AE223)</f>
        <v>257.3833333</v>
      </c>
      <c r="AF223" s="93" t="b">
        <f>IF(preDEL!$AG223,IFERROR(0/0,""),preDEL!AF223)</f>
        <v>0</v>
      </c>
      <c r="AG223" s="93" t="b">
        <f>IF(preDEL!$AG223,IFERROR(0/0,""),preDEL!AG223)</f>
        <v>0</v>
      </c>
      <c r="AH223" s="99" t="str">
        <f>IF(preDEL!$AG223,IFERROR(0/0,""),preDEL!AH223)</f>
        <v/>
      </c>
      <c r="AI223" s="249" t="str">
        <f>IF(preDEL!$AG223,IFERROR(0/0,""),preDEL!AI223)</f>
        <v/>
      </c>
      <c r="AJ223" s="94" t="str">
        <f>IF(preDEL!$AG223,IFERROR(0/0,""),preDEL!AJ223)</f>
        <v/>
      </c>
      <c r="AK223" s="249" t="str">
        <f>IF(preDEL!$AG223,IFERROR(0/0,""),preDEL!AK223)</f>
        <v>Negative</v>
      </c>
      <c r="AL223" s="94" t="str">
        <f>IF(preDEL!$AG223,IFERROR(0/0,""),preDEL!AL223)</f>
        <v/>
      </c>
      <c r="AM223" s="94" t="str">
        <f>IF(preDEL!$AG223,IFERROR(0/0,""),preDEL!AM223)</f>
        <v>SpNDHM189649</v>
      </c>
      <c r="AN223" s="94" t="str">
        <f>IF(preDEL!$AG223,IFERROR(0/0,""),preDEL!AN223)</f>
        <v>NDHM406316</v>
      </c>
      <c r="AO223" s="94" t="str">
        <f>IF(preDEL!$AG223,IFERROR(0/0,""),preDEL!AO223)</f>
        <v/>
      </c>
      <c r="AP223" s="94" t="str">
        <f>IF(preDEL!$AG223,IFERROR(0/0,""),preDEL!AP223)</f>
        <v/>
      </c>
      <c r="AQ223" s="94" t="str">
        <f>IF(preDEL!$AG223,IFERROR(0/0,""),preDEL!AQ223)</f>
        <v/>
      </c>
      <c r="AR223" s="94" t="str">
        <f>IF(preDEL!$AG223,IFERROR(0/0,""),preDEL!AR223)</f>
        <v/>
      </c>
      <c r="AS223" s="98"/>
      <c r="BE223" s="254"/>
      <c r="BF223" s="255"/>
      <c r="BG223" s="254"/>
      <c r="BH223" s="255"/>
      <c r="BI223" s="254"/>
      <c r="BJ223" s="254"/>
      <c r="BK223" s="254"/>
      <c r="BL223" s="254"/>
      <c r="BN223" s="7"/>
      <c r="BO223" s="7"/>
      <c r="BP223" s="7"/>
      <c r="BQ223" s="7"/>
      <c r="BR223" s="7"/>
      <c r="BS223" s="7"/>
      <c r="BT223" s="7"/>
    </row>
    <row r="224">
      <c r="A224" s="249" t="str">
        <f>IF(preDEL!$AG224,IFERROR(0/0,""),preDEL!A224)</f>
        <v>AK6656</v>
      </c>
      <c r="B224" s="250">
        <f>IF(preDEL!$AG224,IFERROR(0/0,""),preDEL!B224)</f>
        <v>44725</v>
      </c>
      <c r="C224" s="251">
        <f>IF(preDEL!$AG224,IFERROR(0/0,""),preDEL!C224)</f>
        <v>0.2443518519</v>
      </c>
      <c r="D224" s="249" t="str">
        <f>IF(preDEL!$AG224,IFERROR(0/0,""),preDEL!D224)</f>
        <v/>
      </c>
      <c r="E224" s="249" t="str">
        <f>IF(preDEL!$AG224,IFERROR(0/0,""),preDEL!E224)</f>
        <v/>
      </c>
      <c r="F224" s="94" t="str">
        <f>IF(preDEL!$AG224,IFERROR(0/0,""),preDEL!F224)</f>
        <v/>
      </c>
      <c r="G224" s="94" t="str">
        <f>IF(preDEL!$AG224,IFERROR(0/0,""),preDEL!G224)</f>
        <v/>
      </c>
      <c r="H224" s="94" t="str">
        <f>IF(preDEL!$AG224,IFERROR(0/0,""),preDEL!H224)</f>
        <v/>
      </c>
      <c r="I224" s="249" t="str">
        <f>IF(preDEL!$AG224,IFERROR(0/0,""),preDEL!I224)</f>
        <v/>
      </c>
      <c r="J224" s="249" t="str">
        <f>IF(preDEL!$AG224,IFERROR(0/0,""),preDEL!J224)</f>
        <v/>
      </c>
      <c r="K224" s="249" t="str">
        <f>IF(preDEL!$AG224,IFERROR(0/0,""),preDEL!K224)</f>
        <v>Negative</v>
      </c>
      <c r="L224" s="250">
        <f>IF(preDEL!$AG224,IFERROR(0/0,""),preDEL!L224)</f>
        <v>44725</v>
      </c>
      <c r="M224" s="251">
        <f>IF(preDEL!$AG224,IFERROR(0/0,""),preDEL!M224)</f>
        <v>0.4122453704</v>
      </c>
      <c r="N224" s="94" t="str">
        <f>IF(preDEL!$AG224,IFERROR(0/0,""),preDEL!N224)</f>
        <v/>
      </c>
      <c r="O224" s="94" t="str">
        <f>IF(preDEL!$AG224,IFERROR(0/0,""),preDEL!O224)</f>
        <v/>
      </c>
      <c r="P224" s="93" t="b">
        <f>IF(preDEL!$AG224,IFERROR(0/0,""),preDEL!P224)</f>
        <v>0</v>
      </c>
      <c r="Q224" s="93" t="str">
        <f>IF(preDEL!$AG224,IFERROR(0/0,""),preDEL!Q224)</f>
        <v>Result</v>
      </c>
      <c r="R224" s="99" t="b">
        <f>IF(preDEL!$AG224,IFERROR(0/0,""),preDEL!R224)</f>
        <v>1</v>
      </c>
      <c r="S224" s="99">
        <f>IF(preDEL!$AG224,IFERROR(0/0,""),preDEL!S224)</f>
        <v>2</v>
      </c>
      <c r="T224" s="93" t="str">
        <f>IF(preDEL!$AG224,IFERROR(0/0,""),preDEL!T224)</f>
        <v/>
      </c>
      <c r="U224" s="94" t="str">
        <f>IF(preDEL!$AG224,IFERROR(0/0,""),preDEL!U224)</f>
        <v/>
      </c>
      <c r="V224" s="249" t="str">
        <f>IF(preDEL!$AG224,IFERROR(0/0,""),preDEL!V224)</f>
        <v/>
      </c>
      <c r="W224" s="94" t="str">
        <f>IF(preDEL!$AG224,IFERROR(0/0,""),preDEL!W224)</f>
        <v/>
      </c>
      <c r="X224" s="99" t="b">
        <f>IF(preDEL!$AG224,IFERROR(0/0,""),preDEL!X224)</f>
        <v>0</v>
      </c>
      <c r="Y224" s="93" t="str">
        <f>IF(preDEL!$AG224,IFERROR(0/0,""),preDEL!Y224)</f>
        <v/>
      </c>
      <c r="Z224" s="249" t="str">
        <f>IF(preDEL!$AG224,IFERROR(0/0,""),preDEL!Z224)</f>
        <v/>
      </c>
      <c r="AA224" s="93" t="b">
        <f>IF(preDEL!$AG224,IFERROR(0/0,""),preDEL!AA224)</f>
        <v>0</v>
      </c>
      <c r="AB224" s="93" t="str">
        <f>IF(preDEL!$AG224,IFERROR(0/0,""),preDEL!AB224)</f>
        <v/>
      </c>
      <c r="AC224" s="252">
        <f>IF(preDEL!$AG224,IFERROR(0/0,""),preDEL!AC224)</f>
        <v>54</v>
      </c>
      <c r="AD224" s="99" t="str">
        <f>IF(preDEL!$AG224,IFERROR(0/0,""),preDEL!AD224)</f>
        <v/>
      </c>
      <c r="AE224" s="253">
        <f>IF(preDEL!$AG224,IFERROR(0/0,""),preDEL!AE224)</f>
        <v>241.7666667</v>
      </c>
      <c r="AF224" s="93" t="b">
        <f>IF(preDEL!$AG224,IFERROR(0/0,""),preDEL!AF224)</f>
        <v>0</v>
      </c>
      <c r="AG224" s="93" t="b">
        <f>IF(preDEL!$AG224,IFERROR(0/0,""),preDEL!AG224)</f>
        <v>0</v>
      </c>
      <c r="AH224" s="99" t="str">
        <f>IF(preDEL!$AG224,IFERROR(0/0,""),preDEL!AH224)</f>
        <v/>
      </c>
      <c r="AI224" s="249" t="str">
        <f>IF(preDEL!$AG224,IFERROR(0/0,""),preDEL!AI224)</f>
        <v/>
      </c>
      <c r="AJ224" s="94" t="str">
        <f>IF(preDEL!$AG224,IFERROR(0/0,""),preDEL!AJ224)</f>
        <v/>
      </c>
      <c r="AK224" s="249" t="str">
        <f>IF(preDEL!$AG224,IFERROR(0/0,""),preDEL!AK224)</f>
        <v>Negative</v>
      </c>
      <c r="AL224" s="94" t="str">
        <f>IF(preDEL!$AG224,IFERROR(0/0,""),preDEL!AL224)</f>
        <v/>
      </c>
      <c r="AM224" s="94" t="str">
        <f>IF(preDEL!$AG224,IFERROR(0/0,""),preDEL!AM224)</f>
        <v>SpNDHM966349</v>
      </c>
      <c r="AN224" s="94" t="str">
        <f>IF(preDEL!$AG224,IFERROR(0/0,""),preDEL!AN224)</f>
        <v>NDHM806069</v>
      </c>
      <c r="AO224" s="94" t="str">
        <f>IF(preDEL!$AG224,IFERROR(0/0,""),preDEL!AO224)</f>
        <v/>
      </c>
      <c r="AP224" s="94" t="str">
        <f>IF(preDEL!$AG224,IFERROR(0/0,""),preDEL!AP224)</f>
        <v/>
      </c>
      <c r="AQ224" s="94" t="str">
        <f>IF(preDEL!$AG224,IFERROR(0/0,""),preDEL!AQ224)</f>
        <v/>
      </c>
      <c r="AR224" s="94" t="str">
        <f>IF(preDEL!$AG224,IFERROR(0/0,""),preDEL!AR224)</f>
        <v/>
      </c>
      <c r="AS224" s="98"/>
      <c r="BE224" s="254"/>
      <c r="BF224" s="255"/>
      <c r="BG224" s="254"/>
      <c r="BH224" s="255"/>
      <c r="BI224" s="254"/>
      <c r="BJ224" s="254"/>
      <c r="BK224" s="254"/>
      <c r="BL224" s="254"/>
      <c r="BN224" s="7"/>
      <c r="BO224" s="7"/>
      <c r="BP224" s="7"/>
      <c r="BQ224" s="7"/>
      <c r="BR224" s="7"/>
      <c r="BS224" s="7"/>
      <c r="BT224" s="7"/>
    </row>
    <row r="225">
      <c r="A225" s="249" t="str">
        <f>IF(preDEL!$AG225,IFERROR(0/0,""),preDEL!A225)</f>
        <v>AK6656</v>
      </c>
      <c r="B225" s="250">
        <f>IF(preDEL!$AG225,IFERROR(0/0,""),preDEL!B225)</f>
        <v>44725</v>
      </c>
      <c r="C225" s="251">
        <f>IF(preDEL!$AG225,IFERROR(0/0,""),preDEL!C225)</f>
        <v>0.2443518519</v>
      </c>
      <c r="D225" s="249" t="str">
        <f>IF(preDEL!$AG225,IFERROR(0/0,""),preDEL!D225)</f>
        <v/>
      </c>
      <c r="E225" s="249" t="str">
        <f>IF(preDEL!$AG225,IFERROR(0/0,""),preDEL!E225)</f>
        <v/>
      </c>
      <c r="F225" s="94" t="str">
        <f>IF(preDEL!$AG225,IFERROR(0/0,""),preDEL!F225)</f>
        <v/>
      </c>
      <c r="G225" s="94" t="str">
        <f>IF(preDEL!$AG225,IFERROR(0/0,""),preDEL!G225)</f>
        <v/>
      </c>
      <c r="H225" s="94" t="str">
        <f>IF(preDEL!$AG225,IFERROR(0/0,""),preDEL!H225)</f>
        <v/>
      </c>
      <c r="I225" s="249" t="str">
        <f>IF(preDEL!$AG225,IFERROR(0/0,""),preDEL!I225)</f>
        <v/>
      </c>
      <c r="J225" s="249" t="str">
        <f>IF(preDEL!$AG225,IFERROR(0/0,""),preDEL!J225)</f>
        <v/>
      </c>
      <c r="K225" s="249" t="str">
        <f>IF(preDEL!$AG225,IFERROR(0/0,""),preDEL!K225)</f>
        <v>Negative</v>
      </c>
      <c r="L225" s="250">
        <f>IF(preDEL!$AG225,IFERROR(0/0,""),preDEL!L225)</f>
        <v>44725</v>
      </c>
      <c r="M225" s="251">
        <f>IF(preDEL!$AG225,IFERROR(0/0,""),preDEL!M225)</f>
        <v>0.4122453704</v>
      </c>
      <c r="N225" s="94" t="str">
        <f>IF(preDEL!$AG225,IFERROR(0/0,""),preDEL!N225)</f>
        <v/>
      </c>
      <c r="O225" s="94" t="str">
        <f>IF(preDEL!$AG225,IFERROR(0/0,""),preDEL!O225)</f>
        <v/>
      </c>
      <c r="P225" s="93" t="b">
        <f>IF(preDEL!$AG225,IFERROR(0/0,""),preDEL!P225)</f>
        <v>0</v>
      </c>
      <c r="Q225" s="93" t="str">
        <f>IF(preDEL!$AG225,IFERROR(0/0,""),preDEL!Q225)</f>
        <v>Result</v>
      </c>
      <c r="R225" s="99" t="b">
        <f>IF(preDEL!$AG225,IFERROR(0/0,""),preDEL!R225)</f>
        <v>0</v>
      </c>
      <c r="S225" s="99">
        <f>IF(preDEL!$AG225,IFERROR(0/0,""),preDEL!S225)</f>
        <v>2</v>
      </c>
      <c r="T225" s="93" t="str">
        <f>IF(preDEL!$AG225,IFERROR(0/0,""),preDEL!T225)</f>
        <v/>
      </c>
      <c r="U225" s="94" t="str">
        <f>IF(preDEL!$AG225,IFERROR(0/0,""),preDEL!U225)</f>
        <v/>
      </c>
      <c r="V225" s="249" t="str">
        <f>IF(preDEL!$AG225,IFERROR(0/0,""),preDEL!V225)</f>
        <v/>
      </c>
      <c r="W225" s="94" t="str">
        <f>IF(preDEL!$AG225,IFERROR(0/0,""),preDEL!W225)</f>
        <v/>
      </c>
      <c r="X225" s="99" t="b">
        <f>IF(preDEL!$AG225,IFERROR(0/0,""),preDEL!X225)</f>
        <v>0</v>
      </c>
      <c r="Y225" s="93" t="str">
        <f>IF(preDEL!$AG225,IFERROR(0/0,""),preDEL!Y225)</f>
        <v/>
      </c>
      <c r="Z225" s="249" t="str">
        <f>IF(preDEL!$AG225,IFERROR(0/0,""),preDEL!Z225)</f>
        <v/>
      </c>
      <c r="AA225" s="93" t="b">
        <f>IF(preDEL!$AG225,IFERROR(0/0,""),preDEL!AA225)</f>
        <v>0</v>
      </c>
      <c r="AB225" s="93" t="str">
        <f>IF(preDEL!$AG225,IFERROR(0/0,""),preDEL!AB225)</f>
        <v/>
      </c>
      <c r="AC225" s="252">
        <f>IF(preDEL!$AG225,IFERROR(0/0,""),preDEL!AC225)</f>
        <v>53</v>
      </c>
      <c r="AD225" s="99" t="str">
        <f>IF(preDEL!$AG225,IFERROR(0/0,""),preDEL!AD225)</f>
        <v/>
      </c>
      <c r="AE225" s="253">
        <f>IF(preDEL!$AG225,IFERROR(0/0,""),preDEL!AE225)</f>
        <v>241.7666667</v>
      </c>
      <c r="AF225" s="93" t="b">
        <f>IF(preDEL!$AG225,IFERROR(0/0,""),preDEL!AF225)</f>
        <v>0</v>
      </c>
      <c r="AG225" s="93" t="b">
        <f>IF(preDEL!$AG225,IFERROR(0/0,""),preDEL!AG225)</f>
        <v>0</v>
      </c>
      <c r="AH225" s="99" t="str">
        <f>IF(preDEL!$AG225,IFERROR(0/0,""),preDEL!AH225)</f>
        <v/>
      </c>
      <c r="AI225" s="249" t="str">
        <f>IF(preDEL!$AG225,IFERROR(0/0,""),preDEL!AI225)</f>
        <v/>
      </c>
      <c r="AJ225" s="94" t="str">
        <f>IF(preDEL!$AG225,IFERROR(0/0,""),preDEL!AJ225)</f>
        <v/>
      </c>
      <c r="AK225" s="249" t="str">
        <f>IF(preDEL!$AG225,IFERROR(0/0,""),preDEL!AK225)</f>
        <v>Negative</v>
      </c>
      <c r="AL225" s="94" t="str">
        <f>IF(preDEL!$AG225,IFERROR(0/0,""),preDEL!AL225)</f>
        <v/>
      </c>
      <c r="AM225" s="94" t="str">
        <f>IF(preDEL!$AG225,IFERROR(0/0,""),preDEL!AM225)</f>
        <v>SpNDHM966349</v>
      </c>
      <c r="AN225" s="94" t="str">
        <f>IF(preDEL!$AG225,IFERROR(0/0,""),preDEL!AN225)</f>
        <v>NDHM584295</v>
      </c>
      <c r="AO225" s="94" t="str">
        <f>IF(preDEL!$AG225,IFERROR(0/0,""),preDEL!AO225)</f>
        <v/>
      </c>
      <c r="AP225" s="94" t="str">
        <f>IF(preDEL!$AG225,IFERROR(0/0,""),preDEL!AP225)</f>
        <v/>
      </c>
      <c r="AQ225" s="94" t="str">
        <f>IF(preDEL!$AG225,IFERROR(0/0,""),preDEL!AQ225)</f>
        <v/>
      </c>
      <c r="AR225" s="94" t="str">
        <f>IF(preDEL!$AG225,IFERROR(0/0,""),preDEL!AR225)</f>
        <v/>
      </c>
      <c r="AS225" s="98"/>
      <c r="BE225" s="254"/>
      <c r="BF225" s="255"/>
      <c r="BG225" s="254"/>
      <c r="BH225" s="255"/>
      <c r="BI225" s="254"/>
      <c r="BJ225" s="254"/>
      <c r="BK225" s="254"/>
      <c r="BL225" s="254"/>
      <c r="BN225" s="7"/>
      <c r="BO225" s="7"/>
      <c r="BP225" s="7"/>
      <c r="BQ225" s="7"/>
      <c r="BR225" s="7"/>
      <c r="BS225" s="7"/>
      <c r="BT225" s="7"/>
    </row>
    <row r="226">
      <c r="A226" s="249" t="str">
        <f>IF(preDEL!$AG226,IFERROR(0/0,""),preDEL!A226)</f>
        <v>AG611</v>
      </c>
      <c r="B226" s="250">
        <f>IF(preDEL!$AG226,IFERROR(0/0,""),preDEL!B226)</f>
        <v>44733</v>
      </c>
      <c r="C226" s="251">
        <f>IF(preDEL!$AG226,IFERROR(0/0,""),preDEL!C226)</f>
        <v>0.2124768519</v>
      </c>
      <c r="D226" s="249" t="str">
        <f>IF(preDEL!$AG226,IFERROR(0/0,""),preDEL!D226)</f>
        <v/>
      </c>
      <c r="E226" s="249" t="str">
        <f>IF(preDEL!$AG226,IFERROR(0/0,""),preDEL!E226)</f>
        <v/>
      </c>
      <c r="F226" s="94" t="str">
        <f>IF(preDEL!$AG226,IFERROR(0/0,""),preDEL!F226)</f>
        <v/>
      </c>
      <c r="G226" s="94" t="str">
        <f>IF(preDEL!$AG226,IFERROR(0/0,""),preDEL!G226)</f>
        <v/>
      </c>
      <c r="H226" s="94" t="str">
        <f>IF(preDEL!$AG226,IFERROR(0/0,""),preDEL!H226)</f>
        <v/>
      </c>
      <c r="I226" s="249" t="str">
        <f>IF(preDEL!$AG226,IFERROR(0/0,""),preDEL!I226)</f>
        <v/>
      </c>
      <c r="J226" s="249" t="str">
        <f>IF(preDEL!$AG226,IFERROR(0/0,""),preDEL!J226)</f>
        <v/>
      </c>
      <c r="K226" s="249" t="str">
        <f>IF(preDEL!$AG226,IFERROR(0/0,""),preDEL!K226)</f>
        <v>Negative</v>
      </c>
      <c r="L226" s="250">
        <f>IF(preDEL!$AG226,IFERROR(0/0,""),preDEL!L226)</f>
        <v>44733</v>
      </c>
      <c r="M226" s="251">
        <f>IF(preDEL!$AG226,IFERROR(0/0,""),preDEL!M226)</f>
        <v>0.4043402778</v>
      </c>
      <c r="N226" s="94" t="str">
        <f>IF(preDEL!$AG226,IFERROR(0/0,""),preDEL!N226)</f>
        <v/>
      </c>
      <c r="O226" s="94" t="str">
        <f>IF(preDEL!$AG226,IFERROR(0/0,""),preDEL!O226)</f>
        <v/>
      </c>
      <c r="P226" s="93" t="b">
        <f>IF(preDEL!$AG226,IFERROR(0/0,""),preDEL!P226)</f>
        <v>0</v>
      </c>
      <c r="Q226" s="93" t="str">
        <f>IF(preDEL!$AG226,IFERROR(0/0,""),preDEL!Q226)</f>
        <v>Result</v>
      </c>
      <c r="R226" s="99" t="b">
        <f>IF(preDEL!$AG226,IFERROR(0/0,""),preDEL!R226)</f>
        <v>1</v>
      </c>
      <c r="S226" s="99">
        <f>IF(preDEL!$AG226,IFERROR(0/0,""),preDEL!S226)</f>
        <v>3</v>
      </c>
      <c r="T226" s="93" t="str">
        <f>IF(preDEL!$AG226,IFERROR(0/0,""),preDEL!T226)</f>
        <v/>
      </c>
      <c r="U226" s="94" t="str">
        <f>IF(preDEL!$AG226,IFERROR(0/0,""),preDEL!U226)</f>
        <v/>
      </c>
      <c r="V226" s="249" t="str">
        <f>IF(preDEL!$AG226,IFERROR(0/0,""),preDEL!V226)</f>
        <v/>
      </c>
      <c r="W226" s="94" t="str">
        <f>IF(preDEL!$AG226,IFERROR(0/0,""),preDEL!W226)</f>
        <v/>
      </c>
      <c r="X226" s="99" t="b">
        <f>IF(preDEL!$AG226,IFERROR(0/0,""),preDEL!X226)</f>
        <v>0</v>
      </c>
      <c r="Y226" s="93" t="str">
        <f>IF(preDEL!$AG226,IFERROR(0/0,""),preDEL!Y226)</f>
        <v/>
      </c>
      <c r="Z226" s="249" t="str">
        <f>IF(preDEL!$AG226,IFERROR(0/0,""),preDEL!Z226)</f>
        <v/>
      </c>
      <c r="AA226" s="93" t="b">
        <f>IF(preDEL!$AG226,IFERROR(0/0,""),preDEL!AA226)</f>
        <v>0</v>
      </c>
      <c r="AB226" s="93" t="str">
        <f>IF(preDEL!$AG226,IFERROR(0/0,""),preDEL!AB226)</f>
        <v/>
      </c>
      <c r="AC226" s="252">
        <f>IF(preDEL!$AG226,IFERROR(0/0,""),preDEL!AC226)</f>
        <v>33</v>
      </c>
      <c r="AD226" s="99" t="str">
        <f>IF(preDEL!$AG226,IFERROR(0/0,""),preDEL!AD226)</f>
        <v/>
      </c>
      <c r="AE226" s="253">
        <f>IF(preDEL!$AG226,IFERROR(0/0,""),preDEL!AE226)</f>
        <v>276.2833333</v>
      </c>
      <c r="AF226" s="93" t="b">
        <f>IF(preDEL!$AG226,IFERROR(0/0,""),preDEL!AF226)</f>
        <v>0</v>
      </c>
      <c r="AG226" s="93" t="b">
        <f>IF(preDEL!$AG226,IFERROR(0/0,""),preDEL!AG226)</f>
        <v>0</v>
      </c>
      <c r="AH226" s="99" t="str">
        <f>IF(preDEL!$AG226,IFERROR(0/0,""),preDEL!AH226)</f>
        <v/>
      </c>
      <c r="AI226" s="249" t="str">
        <f>IF(preDEL!$AG226,IFERROR(0/0,""),preDEL!AI226)</f>
        <v/>
      </c>
      <c r="AJ226" s="94" t="str">
        <f>IF(preDEL!$AG226,IFERROR(0/0,""),preDEL!AJ226)</f>
        <v/>
      </c>
      <c r="AK226" s="249" t="str">
        <f>IF(preDEL!$AG226,IFERROR(0/0,""),preDEL!AK226)</f>
        <v>Negative</v>
      </c>
      <c r="AL226" s="94" t="str">
        <f>IF(preDEL!$AG226,IFERROR(0/0,""),preDEL!AL226)</f>
        <v/>
      </c>
      <c r="AM226" s="94" t="str">
        <f>IF(preDEL!$AG226,IFERROR(0/0,""),preDEL!AM226)</f>
        <v>SpNDHM957722</v>
      </c>
      <c r="AN226" s="94" t="str">
        <f>IF(preDEL!$AG226,IFERROR(0/0,""),preDEL!AN226)</f>
        <v>NDHM784418</v>
      </c>
      <c r="AO226" s="94" t="str">
        <f>IF(preDEL!$AG226,IFERROR(0/0,""),preDEL!AO226)</f>
        <v/>
      </c>
      <c r="AP226" s="94" t="str">
        <f>IF(preDEL!$AG226,IFERROR(0/0,""),preDEL!AP226)</f>
        <v/>
      </c>
      <c r="AQ226" s="94" t="str">
        <f>IF(preDEL!$AG226,IFERROR(0/0,""),preDEL!AQ226)</f>
        <v/>
      </c>
      <c r="AR226" s="94" t="str">
        <f>IF(preDEL!$AG226,IFERROR(0/0,""),preDEL!AR226)</f>
        <v/>
      </c>
      <c r="AS226" s="98"/>
      <c r="BE226" s="254"/>
      <c r="BF226" s="255"/>
      <c r="BG226" s="254"/>
      <c r="BH226" s="255"/>
      <c r="BI226" s="254"/>
      <c r="BJ226" s="254"/>
      <c r="BK226" s="254"/>
      <c r="BL226" s="254"/>
      <c r="BN226" s="7"/>
      <c r="BO226" s="7"/>
      <c r="BP226" s="7"/>
      <c r="BQ226" s="7"/>
      <c r="BR226" s="7"/>
      <c r="BS226" s="7"/>
      <c r="BT226" s="7"/>
    </row>
    <row r="227">
      <c r="A227" s="249" t="str">
        <f>IF(preDEL!$AG227,IFERROR(0/0,""),preDEL!A227)</f>
        <v>AG611</v>
      </c>
      <c r="B227" s="250">
        <f>IF(preDEL!$AG227,IFERROR(0/0,""),preDEL!B227)</f>
        <v>44733</v>
      </c>
      <c r="C227" s="251">
        <f>IF(preDEL!$AG227,IFERROR(0/0,""),preDEL!C227)</f>
        <v>0.2124768519</v>
      </c>
      <c r="D227" s="249" t="str">
        <f>IF(preDEL!$AG227,IFERROR(0/0,""),preDEL!D227)</f>
        <v/>
      </c>
      <c r="E227" s="249" t="str">
        <f>IF(preDEL!$AG227,IFERROR(0/0,""),preDEL!E227)</f>
        <v/>
      </c>
      <c r="F227" s="94" t="str">
        <f>IF(preDEL!$AG227,IFERROR(0/0,""),preDEL!F227)</f>
        <v/>
      </c>
      <c r="G227" s="94" t="str">
        <f>IF(preDEL!$AG227,IFERROR(0/0,""),preDEL!G227)</f>
        <v/>
      </c>
      <c r="H227" s="94" t="str">
        <f>IF(preDEL!$AG227,IFERROR(0/0,""),preDEL!H227)</f>
        <v/>
      </c>
      <c r="I227" s="249" t="str">
        <f>IF(preDEL!$AG227,IFERROR(0/0,""),preDEL!I227)</f>
        <v/>
      </c>
      <c r="J227" s="249" t="str">
        <f>IF(preDEL!$AG227,IFERROR(0/0,""),preDEL!J227)</f>
        <v/>
      </c>
      <c r="K227" s="249" t="str">
        <f>IF(preDEL!$AG227,IFERROR(0/0,""),preDEL!K227)</f>
        <v>Negative</v>
      </c>
      <c r="L227" s="250">
        <f>IF(preDEL!$AG227,IFERROR(0/0,""),preDEL!L227)</f>
        <v>44733</v>
      </c>
      <c r="M227" s="251">
        <f>IF(preDEL!$AG227,IFERROR(0/0,""),preDEL!M227)</f>
        <v>0.4043402778</v>
      </c>
      <c r="N227" s="94" t="str">
        <f>IF(preDEL!$AG227,IFERROR(0/0,""),preDEL!N227)</f>
        <v/>
      </c>
      <c r="O227" s="94" t="str">
        <f>IF(preDEL!$AG227,IFERROR(0/0,""),preDEL!O227)</f>
        <v/>
      </c>
      <c r="P227" s="93" t="b">
        <f>IF(preDEL!$AG227,IFERROR(0/0,""),preDEL!P227)</f>
        <v>0</v>
      </c>
      <c r="Q227" s="93" t="str">
        <f>IF(preDEL!$AG227,IFERROR(0/0,""),preDEL!Q227)</f>
        <v>Result</v>
      </c>
      <c r="R227" s="99" t="b">
        <f>IF(preDEL!$AG227,IFERROR(0/0,""),preDEL!R227)</f>
        <v>0</v>
      </c>
      <c r="S227" s="99">
        <f>IF(preDEL!$AG227,IFERROR(0/0,""),preDEL!S227)</f>
        <v>3</v>
      </c>
      <c r="T227" s="93" t="str">
        <f>IF(preDEL!$AG227,IFERROR(0/0,""),preDEL!T227)</f>
        <v/>
      </c>
      <c r="U227" s="94" t="str">
        <f>IF(preDEL!$AG227,IFERROR(0/0,""),preDEL!U227)</f>
        <v/>
      </c>
      <c r="V227" s="249" t="str">
        <f>IF(preDEL!$AG227,IFERROR(0/0,""),preDEL!V227)</f>
        <v/>
      </c>
      <c r="W227" s="94" t="str">
        <f>IF(preDEL!$AG227,IFERROR(0/0,""),preDEL!W227)</f>
        <v/>
      </c>
      <c r="X227" s="99" t="b">
        <f>IF(preDEL!$AG227,IFERROR(0/0,""),preDEL!X227)</f>
        <v>0</v>
      </c>
      <c r="Y227" s="93" t="str">
        <f>IF(preDEL!$AG227,IFERROR(0/0,""),preDEL!Y227)</f>
        <v/>
      </c>
      <c r="Z227" s="249" t="str">
        <f>IF(preDEL!$AG227,IFERROR(0/0,""),preDEL!Z227)</f>
        <v/>
      </c>
      <c r="AA227" s="93" t="b">
        <f>IF(preDEL!$AG227,IFERROR(0/0,""),preDEL!AA227)</f>
        <v>0</v>
      </c>
      <c r="AB227" s="93" t="str">
        <f>IF(preDEL!$AG227,IFERROR(0/0,""),preDEL!AB227)</f>
        <v/>
      </c>
      <c r="AC227" s="252">
        <f>IF(preDEL!$AG227,IFERROR(0/0,""),preDEL!AC227)</f>
        <v>34</v>
      </c>
      <c r="AD227" s="99" t="str">
        <f>IF(preDEL!$AG227,IFERROR(0/0,""),preDEL!AD227)</f>
        <v/>
      </c>
      <c r="AE227" s="253">
        <f>IF(preDEL!$AG227,IFERROR(0/0,""),preDEL!AE227)</f>
        <v>276.2833333</v>
      </c>
      <c r="AF227" s="93" t="b">
        <f>IF(preDEL!$AG227,IFERROR(0/0,""),preDEL!AF227)</f>
        <v>0</v>
      </c>
      <c r="AG227" s="93" t="b">
        <f>IF(preDEL!$AG227,IFERROR(0/0,""),preDEL!AG227)</f>
        <v>0</v>
      </c>
      <c r="AH227" s="99" t="str">
        <f>IF(preDEL!$AG227,IFERROR(0/0,""),preDEL!AH227)</f>
        <v/>
      </c>
      <c r="AI227" s="249" t="str">
        <f>IF(preDEL!$AG227,IFERROR(0/0,""),preDEL!AI227)</f>
        <v/>
      </c>
      <c r="AJ227" s="94" t="str">
        <f>IF(preDEL!$AG227,IFERROR(0/0,""),preDEL!AJ227)</f>
        <v/>
      </c>
      <c r="AK227" s="249" t="str">
        <f>IF(preDEL!$AG227,IFERROR(0/0,""),preDEL!AK227)</f>
        <v>Negative</v>
      </c>
      <c r="AL227" s="94" t="str">
        <f>IF(preDEL!$AG227,IFERROR(0/0,""),preDEL!AL227)</f>
        <v/>
      </c>
      <c r="AM227" s="94" t="str">
        <f>IF(preDEL!$AG227,IFERROR(0/0,""),preDEL!AM227)</f>
        <v>SpNDHM957722</v>
      </c>
      <c r="AN227" s="94" t="str">
        <f>IF(preDEL!$AG227,IFERROR(0/0,""),preDEL!AN227)</f>
        <v>NDHM730614</v>
      </c>
      <c r="AO227" s="94" t="str">
        <f>IF(preDEL!$AG227,IFERROR(0/0,""),preDEL!AO227)</f>
        <v/>
      </c>
      <c r="AP227" s="94" t="str">
        <f>IF(preDEL!$AG227,IFERROR(0/0,""),preDEL!AP227)</f>
        <v/>
      </c>
      <c r="AQ227" s="94" t="str">
        <f>IF(preDEL!$AG227,IFERROR(0/0,""),preDEL!AQ227)</f>
        <v/>
      </c>
      <c r="AR227" s="94" t="str">
        <f>IF(preDEL!$AG227,IFERROR(0/0,""),preDEL!AR227)</f>
        <v/>
      </c>
      <c r="AS227" s="98"/>
      <c r="BE227" s="254"/>
      <c r="BF227" s="255"/>
      <c r="BG227" s="254"/>
      <c r="BH227" s="255"/>
      <c r="BI227" s="254"/>
      <c r="BJ227" s="254"/>
      <c r="BK227" s="254"/>
      <c r="BL227" s="254"/>
      <c r="BN227" s="7"/>
      <c r="BO227" s="7"/>
      <c r="BP227" s="7"/>
      <c r="BQ227" s="7"/>
      <c r="BR227" s="7"/>
      <c r="BS227" s="7"/>
      <c r="BT227" s="7"/>
    </row>
    <row r="228">
      <c r="A228" s="249" t="str">
        <f>IF(preDEL!$AG228,IFERROR(0/0,""),preDEL!A228)</f>
        <v>AG611</v>
      </c>
      <c r="B228" s="250">
        <f>IF(preDEL!$AG228,IFERROR(0/0,""),preDEL!B228)</f>
        <v>44733</v>
      </c>
      <c r="C228" s="251">
        <f>IF(preDEL!$AG228,IFERROR(0/0,""),preDEL!C228)</f>
        <v>0.2124768519</v>
      </c>
      <c r="D228" s="249" t="str">
        <f>IF(preDEL!$AG228,IFERROR(0/0,""),preDEL!D228)</f>
        <v/>
      </c>
      <c r="E228" s="249" t="str">
        <f>IF(preDEL!$AG228,IFERROR(0/0,""),preDEL!E228)</f>
        <v/>
      </c>
      <c r="F228" s="94" t="str">
        <f>IF(preDEL!$AG228,IFERROR(0/0,""),preDEL!F228)</f>
        <v/>
      </c>
      <c r="G228" s="94" t="str">
        <f>IF(preDEL!$AG228,IFERROR(0/0,""),preDEL!G228)</f>
        <v/>
      </c>
      <c r="H228" s="94" t="str">
        <f>IF(preDEL!$AG228,IFERROR(0/0,""),preDEL!H228)</f>
        <v/>
      </c>
      <c r="I228" s="249" t="str">
        <f>IF(preDEL!$AG228,IFERROR(0/0,""),preDEL!I228)</f>
        <v/>
      </c>
      <c r="J228" s="249" t="str">
        <f>IF(preDEL!$AG228,IFERROR(0/0,""),preDEL!J228)</f>
        <v/>
      </c>
      <c r="K228" s="249" t="str">
        <f>IF(preDEL!$AG228,IFERROR(0/0,""),preDEL!K228)</f>
        <v>Negative</v>
      </c>
      <c r="L228" s="250">
        <f>IF(preDEL!$AG228,IFERROR(0/0,""),preDEL!L228)</f>
        <v>44733</v>
      </c>
      <c r="M228" s="251">
        <f>IF(preDEL!$AG228,IFERROR(0/0,""),preDEL!M228)</f>
        <v>0.4043402778</v>
      </c>
      <c r="N228" s="94" t="str">
        <f>IF(preDEL!$AG228,IFERROR(0/0,""),preDEL!N228)</f>
        <v/>
      </c>
      <c r="O228" s="94" t="str">
        <f>IF(preDEL!$AG228,IFERROR(0/0,""),preDEL!O228)</f>
        <v/>
      </c>
      <c r="P228" s="93" t="b">
        <f>IF(preDEL!$AG228,IFERROR(0/0,""),preDEL!P228)</f>
        <v>0</v>
      </c>
      <c r="Q228" s="93" t="str">
        <f>IF(preDEL!$AG228,IFERROR(0/0,""),preDEL!Q228)</f>
        <v>Result</v>
      </c>
      <c r="R228" s="99" t="b">
        <f>IF(preDEL!$AG228,IFERROR(0/0,""),preDEL!R228)</f>
        <v>0</v>
      </c>
      <c r="S228" s="99">
        <f>IF(preDEL!$AG228,IFERROR(0/0,""),preDEL!S228)</f>
        <v>3</v>
      </c>
      <c r="T228" s="93" t="str">
        <f>IF(preDEL!$AG228,IFERROR(0/0,""),preDEL!T228)</f>
        <v/>
      </c>
      <c r="U228" s="94" t="str">
        <f>IF(preDEL!$AG228,IFERROR(0/0,""),preDEL!U228)</f>
        <v/>
      </c>
      <c r="V228" s="249" t="str">
        <f>IF(preDEL!$AG228,IFERROR(0/0,""),preDEL!V228)</f>
        <v/>
      </c>
      <c r="W228" s="94" t="str">
        <f>IF(preDEL!$AG228,IFERROR(0/0,""),preDEL!W228)</f>
        <v/>
      </c>
      <c r="X228" s="99" t="b">
        <f>IF(preDEL!$AG228,IFERROR(0/0,""),preDEL!X228)</f>
        <v>0</v>
      </c>
      <c r="Y228" s="93" t="str">
        <f>IF(preDEL!$AG228,IFERROR(0/0,""),preDEL!Y228)</f>
        <v/>
      </c>
      <c r="Z228" s="249" t="str">
        <f>IF(preDEL!$AG228,IFERROR(0/0,""),preDEL!Z228)</f>
        <v/>
      </c>
      <c r="AA228" s="93" t="b">
        <f>IF(preDEL!$AG228,IFERROR(0/0,""),preDEL!AA228)</f>
        <v>0</v>
      </c>
      <c r="AB228" s="93" t="str">
        <f>IF(preDEL!$AG228,IFERROR(0/0,""),preDEL!AB228)</f>
        <v/>
      </c>
      <c r="AC228" s="252">
        <f>IF(preDEL!$AG228,IFERROR(0/0,""),preDEL!AC228)</f>
        <v>32</v>
      </c>
      <c r="AD228" s="99" t="str">
        <f>IF(preDEL!$AG228,IFERROR(0/0,""),preDEL!AD228)</f>
        <v/>
      </c>
      <c r="AE228" s="253">
        <f>IF(preDEL!$AG228,IFERROR(0/0,""),preDEL!AE228)</f>
        <v>276.2833333</v>
      </c>
      <c r="AF228" s="93" t="b">
        <f>IF(preDEL!$AG228,IFERROR(0/0,""),preDEL!AF228)</f>
        <v>0</v>
      </c>
      <c r="AG228" s="93" t="b">
        <f>IF(preDEL!$AG228,IFERROR(0/0,""),preDEL!AG228)</f>
        <v>0</v>
      </c>
      <c r="AH228" s="99" t="str">
        <f>IF(preDEL!$AG228,IFERROR(0/0,""),preDEL!AH228)</f>
        <v/>
      </c>
      <c r="AI228" s="249" t="str">
        <f>IF(preDEL!$AG228,IFERROR(0/0,""),preDEL!AI228)</f>
        <v/>
      </c>
      <c r="AJ228" s="94" t="str">
        <f>IF(preDEL!$AG228,IFERROR(0/0,""),preDEL!AJ228)</f>
        <v/>
      </c>
      <c r="AK228" s="249" t="str">
        <f>IF(preDEL!$AG228,IFERROR(0/0,""),preDEL!AK228)</f>
        <v>Negative</v>
      </c>
      <c r="AL228" s="94" t="str">
        <f>IF(preDEL!$AG228,IFERROR(0/0,""),preDEL!AL228)</f>
        <v/>
      </c>
      <c r="AM228" s="94" t="str">
        <f>IF(preDEL!$AG228,IFERROR(0/0,""),preDEL!AM228)</f>
        <v>SpNDHM957722</v>
      </c>
      <c r="AN228" s="94" t="str">
        <f>IF(preDEL!$AG228,IFERROR(0/0,""),preDEL!AN228)</f>
        <v>NDHM804847</v>
      </c>
      <c r="AO228" s="94" t="str">
        <f>IF(preDEL!$AG228,IFERROR(0/0,""),preDEL!AO228)</f>
        <v/>
      </c>
      <c r="AP228" s="94" t="str">
        <f>IF(preDEL!$AG228,IFERROR(0/0,""),preDEL!AP228)</f>
        <v/>
      </c>
      <c r="AQ228" s="94" t="str">
        <f>IF(preDEL!$AG228,IFERROR(0/0,""),preDEL!AQ228)</f>
        <v/>
      </c>
      <c r="AR228" s="94" t="str">
        <f>IF(preDEL!$AG228,IFERROR(0/0,""),preDEL!AR228)</f>
        <v/>
      </c>
      <c r="AS228" s="98"/>
      <c r="BE228" s="254"/>
      <c r="BF228" s="255"/>
      <c r="BG228" s="254"/>
      <c r="BH228" s="255"/>
      <c r="BI228" s="254"/>
      <c r="BJ228" s="254"/>
      <c r="BK228" s="254"/>
      <c r="BL228" s="254"/>
      <c r="BN228" s="7"/>
      <c r="BO228" s="7"/>
      <c r="BP228" s="7"/>
      <c r="BQ228" s="7"/>
      <c r="BR228" s="7"/>
      <c r="BS228" s="7"/>
      <c r="BT228" s="7"/>
    </row>
    <row r="229">
      <c r="A229" s="249" t="str">
        <f>IF(preDEL!$AG229,IFERROR(0/0,""),preDEL!A229)</f>
        <v>AG4603</v>
      </c>
      <c r="B229" s="250">
        <f>IF(preDEL!$AG229,IFERROR(0/0,""),preDEL!B229)</f>
        <v>44733</v>
      </c>
      <c r="C229" s="251">
        <f>IF(preDEL!$AG229,IFERROR(0/0,""),preDEL!C229)</f>
        <v>0.3403935185</v>
      </c>
      <c r="D229" s="249" t="str">
        <f>IF(preDEL!$AG229,IFERROR(0/0,""),preDEL!D229)</f>
        <v/>
      </c>
      <c r="E229" s="249" t="str">
        <f>IF(preDEL!$AG229,IFERROR(0/0,""),preDEL!E229)</f>
        <v/>
      </c>
      <c r="F229" s="94" t="str">
        <f>IF(preDEL!$AG229,IFERROR(0/0,""),preDEL!F229)</f>
        <v/>
      </c>
      <c r="G229" s="94" t="str">
        <f>IF(preDEL!$AG229,IFERROR(0/0,""),preDEL!G229)</f>
        <v/>
      </c>
      <c r="H229" s="94" t="str">
        <f>IF(preDEL!$AG229,IFERROR(0/0,""),preDEL!H229)</f>
        <v/>
      </c>
      <c r="I229" s="249" t="str">
        <f>IF(preDEL!$AG229,IFERROR(0/0,""),preDEL!I229)</f>
        <v/>
      </c>
      <c r="J229" s="249" t="str">
        <f>IF(preDEL!$AG229,IFERROR(0/0,""),preDEL!J229)</f>
        <v/>
      </c>
      <c r="K229" s="249" t="str">
        <f>IF(preDEL!$AG229,IFERROR(0/0,""),preDEL!K229)</f>
        <v>Negative</v>
      </c>
      <c r="L229" s="250">
        <f>IF(preDEL!$AG229,IFERROR(0/0,""),preDEL!L229)</f>
        <v>44733</v>
      </c>
      <c r="M229" s="251">
        <f>IF(preDEL!$AG229,IFERROR(0/0,""),preDEL!M229)</f>
        <v>0.4043402778</v>
      </c>
      <c r="N229" s="94" t="str">
        <f>IF(preDEL!$AG229,IFERROR(0/0,""),preDEL!N229)</f>
        <v/>
      </c>
      <c r="O229" s="94" t="str">
        <f>IF(preDEL!$AG229,IFERROR(0/0,""),preDEL!O229)</f>
        <v/>
      </c>
      <c r="P229" s="93" t="b">
        <f>IF(preDEL!$AG229,IFERROR(0/0,""),preDEL!P229)</f>
        <v>0</v>
      </c>
      <c r="Q229" s="93" t="str">
        <f>IF(preDEL!$AG229,IFERROR(0/0,""),preDEL!Q229)</f>
        <v>Result</v>
      </c>
      <c r="R229" s="99" t="b">
        <f>IF(preDEL!$AG229,IFERROR(0/0,""),preDEL!R229)</f>
        <v>1</v>
      </c>
      <c r="S229" s="99">
        <f>IF(preDEL!$AG229,IFERROR(0/0,""),preDEL!S229)</f>
        <v>1</v>
      </c>
      <c r="T229" s="93">
        <f>IF(preDEL!$AG229,IFERROR(0/0,""),preDEL!T229)</f>
        <v>0</v>
      </c>
      <c r="U229" s="94" t="str">
        <f>IF(preDEL!$AG229,IFERROR(0/0,""),preDEL!U229)</f>
        <v/>
      </c>
      <c r="V229" s="249" t="str">
        <f>IF(preDEL!$AG229,IFERROR(0/0,""),preDEL!V229)</f>
        <v/>
      </c>
      <c r="W229" s="94" t="str">
        <f>IF(preDEL!$AG229,IFERROR(0/0,""),preDEL!W229)</f>
        <v/>
      </c>
      <c r="X229" s="99" t="b">
        <f>IF(preDEL!$AG229,IFERROR(0/0,""),preDEL!X229)</f>
        <v>0</v>
      </c>
      <c r="Y229" s="93" t="str">
        <f>IF(preDEL!$AG229,IFERROR(0/0,""),preDEL!Y229)</f>
        <v/>
      </c>
      <c r="Z229" s="249" t="str">
        <f>IF(preDEL!$AG229,IFERROR(0/0,""),preDEL!Z229)</f>
        <v/>
      </c>
      <c r="AA229" s="93" t="b">
        <f>IF(preDEL!$AG229,IFERROR(0/0,""),preDEL!AA229)</f>
        <v>0</v>
      </c>
      <c r="AB229" s="93" t="str">
        <f>IF(preDEL!$AG229,IFERROR(0/0,""),preDEL!AB229)</f>
        <v/>
      </c>
      <c r="AC229" s="252">
        <f>IF(preDEL!$AG229,IFERROR(0/0,""),preDEL!AC229)</f>
        <v>35</v>
      </c>
      <c r="AD229" s="99" t="str">
        <f>IF(preDEL!$AG229,IFERROR(0/0,""),preDEL!AD229)</f>
        <v/>
      </c>
      <c r="AE229" s="253">
        <f>IF(preDEL!$AG229,IFERROR(0/0,""),preDEL!AE229)</f>
        <v>92.08333333</v>
      </c>
      <c r="AF229" s="93" t="b">
        <f>IF(preDEL!$AG229,IFERROR(0/0,""),preDEL!AF229)</f>
        <v>0</v>
      </c>
      <c r="AG229" s="93" t="b">
        <f>IF(preDEL!$AG229,IFERROR(0/0,""),preDEL!AG229)</f>
        <v>0</v>
      </c>
      <c r="AH229" s="99" t="str">
        <f>IF(preDEL!$AG229,IFERROR(0/0,""),preDEL!AH229)</f>
        <v/>
      </c>
      <c r="AI229" s="249" t="str">
        <f>IF(preDEL!$AG229,IFERROR(0/0,""),preDEL!AI229)</f>
        <v/>
      </c>
      <c r="AJ229" s="94" t="str">
        <f>IF(preDEL!$AG229,IFERROR(0/0,""),preDEL!AJ229)</f>
        <v/>
      </c>
      <c r="AK229" s="249" t="str">
        <f>IF(preDEL!$AG229,IFERROR(0/0,""),preDEL!AK229)</f>
        <v>Negative</v>
      </c>
      <c r="AL229" s="94" t="str">
        <f>IF(preDEL!$AG229,IFERROR(0/0,""),preDEL!AL229)</f>
        <v/>
      </c>
      <c r="AM229" s="94" t="str">
        <f>IF(preDEL!$AG229,IFERROR(0/0,""),preDEL!AM229)</f>
        <v>SpNDHM122532</v>
      </c>
      <c r="AN229" s="94" t="str">
        <f>IF(preDEL!$AG229,IFERROR(0/0,""),preDEL!AN229)</f>
        <v>NDHM196042</v>
      </c>
      <c r="AO229" s="94" t="str">
        <f>IF(preDEL!$AG229,IFERROR(0/0,""),preDEL!AO229)</f>
        <v/>
      </c>
      <c r="AP229" s="94" t="str">
        <f>IF(preDEL!$AG229,IFERROR(0/0,""),preDEL!AP229)</f>
        <v/>
      </c>
      <c r="AQ229" s="94" t="str">
        <f>IF(preDEL!$AG229,IFERROR(0/0,""),preDEL!AQ229)</f>
        <v/>
      </c>
      <c r="AR229" s="94" t="str">
        <f>IF(preDEL!$AG229,IFERROR(0/0,""),preDEL!AR229)</f>
        <v/>
      </c>
      <c r="AS229" s="98"/>
      <c r="BE229" s="254"/>
      <c r="BF229" s="255"/>
      <c r="BG229" s="254"/>
      <c r="BH229" s="255"/>
      <c r="BI229" s="254"/>
      <c r="BJ229" s="254"/>
      <c r="BK229" s="254"/>
      <c r="BL229" s="254"/>
      <c r="BN229" s="7"/>
      <c r="BO229" s="7"/>
      <c r="BP229" s="7"/>
      <c r="BQ229" s="7"/>
      <c r="BR229" s="7"/>
      <c r="BS229" s="7"/>
      <c r="BT229" s="7"/>
    </row>
    <row r="230">
      <c r="A230" s="249" t="str">
        <f>IF(preDEL!$AG230,IFERROR(0/0,""),preDEL!A230)</f>
        <v/>
      </c>
      <c r="B230" s="250" t="str">
        <f>IF(preDEL!$AG230,IFERROR(0/0,""),preDEL!B230)</f>
        <v/>
      </c>
      <c r="C230" s="251" t="str">
        <f>IF(preDEL!$AG230,IFERROR(0/0,""),preDEL!C230)</f>
        <v/>
      </c>
      <c r="D230" s="249" t="str">
        <f>IF(preDEL!$AG230,IFERROR(0/0,""),preDEL!D230)</f>
        <v/>
      </c>
      <c r="E230" s="249" t="str">
        <f>IF(preDEL!$AG230,IFERROR(0/0,""),preDEL!E230)</f>
        <v/>
      </c>
      <c r="F230" s="94" t="str">
        <f>IF(preDEL!$AG230,IFERROR(0/0,""),preDEL!F230)</f>
        <v/>
      </c>
      <c r="G230" s="94" t="str">
        <f>IF(preDEL!$AG230,IFERROR(0/0,""),preDEL!G230)</f>
        <v/>
      </c>
      <c r="H230" s="94" t="str">
        <f>IF(preDEL!$AG230,IFERROR(0/0,""),preDEL!H230)</f>
        <v/>
      </c>
      <c r="I230" s="249" t="str">
        <f>IF(preDEL!$AG230,IFERROR(0/0,""),preDEL!I230)</f>
        <v/>
      </c>
      <c r="J230" s="249" t="str">
        <f>IF(preDEL!$AG230,IFERROR(0/0,""),preDEL!J230)</f>
        <v/>
      </c>
      <c r="K230" s="249" t="str">
        <f>IF(preDEL!$AG230,IFERROR(0/0,""),preDEL!K230)</f>
        <v/>
      </c>
      <c r="L230" s="250" t="str">
        <f>IF(preDEL!$AG230,IFERROR(0/0,""),preDEL!L230)</f>
        <v/>
      </c>
      <c r="M230" s="251" t="str">
        <f>IF(preDEL!$AG230,IFERROR(0/0,""),preDEL!M230)</f>
        <v/>
      </c>
      <c r="N230" s="94" t="str">
        <f>IF(preDEL!$AG230,IFERROR(0/0,""),preDEL!N230)</f>
        <v/>
      </c>
      <c r="O230" s="94" t="str">
        <f>IF(preDEL!$AG230,IFERROR(0/0,""),preDEL!O230)</f>
        <v/>
      </c>
      <c r="P230" s="93" t="str">
        <f>IF(preDEL!$AG230,IFERROR(0/0,""),preDEL!P230)</f>
        <v/>
      </c>
      <c r="Q230" s="93" t="str">
        <f>IF(preDEL!$AG230,IFERROR(0/0,""),preDEL!Q230)</f>
        <v/>
      </c>
      <c r="R230" s="99" t="str">
        <f>IF(preDEL!$AG230,IFERROR(0/0,""),preDEL!R230)</f>
        <v/>
      </c>
      <c r="S230" s="99" t="str">
        <f>IF(preDEL!$AG230,IFERROR(0/0,""),preDEL!S230)</f>
        <v/>
      </c>
      <c r="T230" s="93" t="str">
        <f>IF(preDEL!$AG230,IFERROR(0/0,""),preDEL!T230)</f>
        <v/>
      </c>
      <c r="U230" s="94" t="str">
        <f>IF(preDEL!$AG230,IFERROR(0/0,""),preDEL!U230)</f>
        <v/>
      </c>
      <c r="V230" s="249" t="str">
        <f>IF(preDEL!$AG230,IFERROR(0/0,""),preDEL!V230)</f>
        <v/>
      </c>
      <c r="W230" s="94" t="str">
        <f>IF(preDEL!$AG230,IFERROR(0/0,""),preDEL!W230)</f>
        <v/>
      </c>
      <c r="X230" s="99" t="str">
        <f>IF(preDEL!$AG230,IFERROR(0/0,""),preDEL!X230)</f>
        <v/>
      </c>
      <c r="Y230" s="93" t="str">
        <f>IF(preDEL!$AG230,IFERROR(0/0,""),preDEL!Y230)</f>
        <v/>
      </c>
      <c r="Z230" s="249" t="str">
        <f>IF(preDEL!$AG230,IFERROR(0/0,""),preDEL!Z230)</f>
        <v/>
      </c>
      <c r="AA230" s="93" t="str">
        <f>IF(preDEL!$AG230,IFERROR(0/0,""),preDEL!AA230)</f>
        <v/>
      </c>
      <c r="AB230" s="93" t="str">
        <f>IF(preDEL!$AG230,IFERROR(0/0,""),preDEL!AB230)</f>
        <v/>
      </c>
      <c r="AC230" s="252" t="str">
        <f>IF(preDEL!$AG230,IFERROR(0/0,""),preDEL!AC230)</f>
        <v/>
      </c>
      <c r="AD230" s="99" t="str">
        <f>IF(preDEL!$AG230,IFERROR(0/0,""),preDEL!AD230)</f>
        <v/>
      </c>
      <c r="AE230" s="253" t="str">
        <f>IF(preDEL!$AG230,IFERROR(0/0,""),preDEL!AE230)</f>
        <v/>
      </c>
      <c r="AF230" s="93" t="str">
        <f>IF(preDEL!$AG230,IFERROR(0/0,""),preDEL!AF230)</f>
        <v/>
      </c>
      <c r="AG230" s="93" t="str">
        <f>IF(preDEL!$AG230,IFERROR(0/0,""),preDEL!AG230)</f>
        <v/>
      </c>
      <c r="AH230" s="99" t="str">
        <f>IF(preDEL!$AG230,IFERROR(0/0,""),preDEL!AH230)</f>
        <v/>
      </c>
      <c r="AI230" s="249" t="str">
        <f>IF(preDEL!$AG230,IFERROR(0/0,""),preDEL!AI230)</f>
        <v/>
      </c>
      <c r="AJ230" s="94" t="str">
        <f>IF(preDEL!$AG230,IFERROR(0/0,""),preDEL!AJ230)</f>
        <v/>
      </c>
      <c r="AK230" s="249" t="str">
        <f>IF(preDEL!$AG230,IFERROR(0/0,""),preDEL!AK230)</f>
        <v/>
      </c>
      <c r="AL230" s="94" t="str">
        <f>IF(preDEL!$AG230,IFERROR(0/0,""),preDEL!AL230)</f>
        <v/>
      </c>
      <c r="AM230" s="94" t="str">
        <f>IF(preDEL!$AG230,IFERROR(0/0,""),preDEL!AM230)</f>
        <v/>
      </c>
      <c r="AN230" s="94" t="str">
        <f>IF(preDEL!$AG230,IFERROR(0/0,""),preDEL!AN230)</f>
        <v/>
      </c>
      <c r="AO230" s="94" t="str">
        <f>IF(preDEL!$AG230,IFERROR(0/0,""),preDEL!AO230)</f>
        <v/>
      </c>
      <c r="AP230" s="94" t="str">
        <f>IF(preDEL!$AG230,IFERROR(0/0,""),preDEL!AP230)</f>
        <v/>
      </c>
      <c r="AQ230" s="94" t="str">
        <f>IF(preDEL!$AG230,IFERROR(0/0,""),preDEL!AQ230)</f>
        <v/>
      </c>
      <c r="AR230" s="94" t="str">
        <f>IF(preDEL!$AG230,IFERROR(0/0,""),preDEL!AR230)</f>
        <v/>
      </c>
      <c r="AS230" s="98"/>
      <c r="BE230" s="254"/>
      <c r="BF230" s="255"/>
      <c r="BG230" s="254"/>
      <c r="BH230" s="255"/>
      <c r="BI230" s="254"/>
      <c r="BJ230" s="254"/>
      <c r="BK230" s="254"/>
      <c r="BL230" s="254"/>
      <c r="BN230" s="7"/>
      <c r="BO230" s="7"/>
      <c r="BP230" s="7"/>
      <c r="BQ230" s="7"/>
      <c r="BR230" s="7"/>
      <c r="BS230" s="7"/>
      <c r="BT230" s="7"/>
    </row>
    <row r="231">
      <c r="A231" s="249" t="str">
        <f>IF(preDEL!$AG231,IFERROR(0/0,""),preDEL!A231)</f>
        <v/>
      </c>
      <c r="B231" s="250" t="str">
        <f>IF(preDEL!$AG231,IFERROR(0/0,""),preDEL!B231)</f>
        <v/>
      </c>
      <c r="C231" s="251" t="str">
        <f>IF(preDEL!$AG231,IFERROR(0/0,""),preDEL!C231)</f>
        <v/>
      </c>
      <c r="D231" s="249" t="str">
        <f>IF(preDEL!$AG231,IFERROR(0/0,""),preDEL!D231)</f>
        <v/>
      </c>
      <c r="E231" s="249" t="str">
        <f>IF(preDEL!$AG231,IFERROR(0/0,""),preDEL!E231)</f>
        <v/>
      </c>
      <c r="F231" s="94" t="str">
        <f>IF(preDEL!$AG231,IFERROR(0/0,""),preDEL!F231)</f>
        <v/>
      </c>
      <c r="G231" s="94" t="str">
        <f>IF(preDEL!$AG231,IFERROR(0/0,""),preDEL!G231)</f>
        <v/>
      </c>
      <c r="H231" s="94" t="str">
        <f>IF(preDEL!$AG231,IFERROR(0/0,""),preDEL!H231)</f>
        <v/>
      </c>
      <c r="I231" s="249" t="str">
        <f>IF(preDEL!$AG231,IFERROR(0/0,""),preDEL!I231)</f>
        <v/>
      </c>
      <c r="J231" s="249" t="str">
        <f>IF(preDEL!$AG231,IFERROR(0/0,""),preDEL!J231)</f>
        <v/>
      </c>
      <c r="K231" s="249" t="str">
        <f>IF(preDEL!$AG231,IFERROR(0/0,""),preDEL!K231)</f>
        <v/>
      </c>
      <c r="L231" s="250" t="str">
        <f>IF(preDEL!$AG231,IFERROR(0/0,""),preDEL!L231)</f>
        <v/>
      </c>
      <c r="M231" s="251" t="str">
        <f>IF(preDEL!$AG231,IFERROR(0/0,""),preDEL!M231)</f>
        <v/>
      </c>
      <c r="N231" s="94" t="str">
        <f>IF(preDEL!$AG231,IFERROR(0/0,""),preDEL!N231)</f>
        <v/>
      </c>
      <c r="O231" s="94" t="str">
        <f>IF(preDEL!$AG231,IFERROR(0/0,""),preDEL!O231)</f>
        <v/>
      </c>
      <c r="P231" s="93" t="str">
        <f>IF(preDEL!$AG231,IFERROR(0/0,""),preDEL!P231)</f>
        <v/>
      </c>
      <c r="Q231" s="93" t="str">
        <f>IF(preDEL!$AG231,IFERROR(0/0,""),preDEL!Q231)</f>
        <v/>
      </c>
      <c r="R231" s="99" t="str">
        <f>IF(preDEL!$AG231,IFERROR(0/0,""),preDEL!R231)</f>
        <v/>
      </c>
      <c r="S231" s="99" t="str">
        <f>IF(preDEL!$AG231,IFERROR(0/0,""),preDEL!S231)</f>
        <v/>
      </c>
      <c r="T231" s="93" t="str">
        <f>IF(preDEL!$AG231,IFERROR(0/0,""),preDEL!T231)</f>
        <v/>
      </c>
      <c r="U231" s="94" t="str">
        <f>IF(preDEL!$AG231,IFERROR(0/0,""),preDEL!U231)</f>
        <v/>
      </c>
      <c r="V231" s="249" t="str">
        <f>IF(preDEL!$AG231,IFERROR(0/0,""),preDEL!V231)</f>
        <v/>
      </c>
      <c r="W231" s="94" t="str">
        <f>IF(preDEL!$AG231,IFERROR(0/0,""),preDEL!W231)</f>
        <v/>
      </c>
      <c r="X231" s="99" t="str">
        <f>IF(preDEL!$AG231,IFERROR(0/0,""),preDEL!X231)</f>
        <v/>
      </c>
      <c r="Y231" s="93" t="str">
        <f>IF(preDEL!$AG231,IFERROR(0/0,""),preDEL!Y231)</f>
        <v/>
      </c>
      <c r="Z231" s="249" t="str">
        <f>IF(preDEL!$AG231,IFERROR(0/0,""),preDEL!Z231)</f>
        <v/>
      </c>
      <c r="AA231" s="93" t="str">
        <f>IF(preDEL!$AG231,IFERROR(0/0,""),preDEL!AA231)</f>
        <v/>
      </c>
      <c r="AB231" s="93" t="str">
        <f>IF(preDEL!$AG231,IFERROR(0/0,""),preDEL!AB231)</f>
        <v/>
      </c>
      <c r="AC231" s="252" t="str">
        <f>IF(preDEL!$AG231,IFERROR(0/0,""),preDEL!AC231)</f>
        <v/>
      </c>
      <c r="AD231" s="99" t="str">
        <f>IF(preDEL!$AG231,IFERROR(0/0,""),preDEL!AD231)</f>
        <v/>
      </c>
      <c r="AE231" s="253" t="str">
        <f>IF(preDEL!$AG231,IFERROR(0/0,""),preDEL!AE231)</f>
        <v/>
      </c>
      <c r="AF231" s="93" t="str">
        <f>IF(preDEL!$AG231,IFERROR(0/0,""),preDEL!AF231)</f>
        <v/>
      </c>
      <c r="AG231" s="93" t="str">
        <f>IF(preDEL!$AG231,IFERROR(0/0,""),preDEL!AG231)</f>
        <v/>
      </c>
      <c r="AH231" s="99" t="str">
        <f>IF(preDEL!$AG231,IFERROR(0/0,""),preDEL!AH231)</f>
        <v/>
      </c>
      <c r="AI231" s="249" t="str">
        <f>IF(preDEL!$AG231,IFERROR(0/0,""),preDEL!AI231)</f>
        <v/>
      </c>
      <c r="AJ231" s="94" t="str">
        <f>IF(preDEL!$AG231,IFERROR(0/0,""),preDEL!AJ231)</f>
        <v/>
      </c>
      <c r="AK231" s="249" t="str">
        <f>IF(preDEL!$AG231,IFERROR(0/0,""),preDEL!AK231)</f>
        <v/>
      </c>
      <c r="AL231" s="94" t="str">
        <f>IF(preDEL!$AG231,IFERROR(0/0,""),preDEL!AL231)</f>
        <v/>
      </c>
      <c r="AM231" s="94" t="str">
        <f>IF(preDEL!$AG231,IFERROR(0/0,""),preDEL!AM231)</f>
        <v/>
      </c>
      <c r="AN231" s="94" t="str">
        <f>IF(preDEL!$AG231,IFERROR(0/0,""),preDEL!AN231)</f>
        <v/>
      </c>
      <c r="AO231" s="94" t="str">
        <f>IF(preDEL!$AG231,IFERROR(0/0,""),preDEL!AO231)</f>
        <v/>
      </c>
      <c r="AP231" s="94" t="str">
        <f>IF(preDEL!$AG231,IFERROR(0/0,""),preDEL!AP231)</f>
        <v/>
      </c>
      <c r="AQ231" s="94" t="str">
        <f>IF(preDEL!$AG231,IFERROR(0/0,""),preDEL!AQ231)</f>
        <v/>
      </c>
      <c r="AR231" s="94" t="str">
        <f>IF(preDEL!$AG231,IFERROR(0/0,""),preDEL!AR231)</f>
        <v/>
      </c>
      <c r="AS231" s="98"/>
      <c r="BE231" s="254"/>
      <c r="BF231" s="255"/>
      <c r="BG231" s="254"/>
      <c r="BH231" s="255"/>
      <c r="BI231" s="254"/>
      <c r="BJ231" s="254"/>
      <c r="BK231" s="254"/>
      <c r="BL231" s="254"/>
      <c r="BN231" s="7"/>
      <c r="BO231" s="7"/>
      <c r="BP231" s="7"/>
      <c r="BQ231" s="7"/>
      <c r="BR231" s="7"/>
      <c r="BS231" s="7"/>
      <c r="BT231" s="7"/>
    </row>
    <row r="232">
      <c r="A232" s="249" t="str">
        <f>IF(preDEL!$AG232,IFERROR(0/0,""),preDEL!A232)</f>
        <v/>
      </c>
      <c r="B232" s="250" t="str">
        <f>IF(preDEL!$AG232,IFERROR(0/0,""),preDEL!B232)</f>
        <v/>
      </c>
      <c r="C232" s="251" t="str">
        <f>IF(preDEL!$AG232,IFERROR(0/0,""),preDEL!C232)</f>
        <v/>
      </c>
      <c r="D232" s="249" t="str">
        <f>IF(preDEL!$AG232,IFERROR(0/0,""),preDEL!D232)</f>
        <v/>
      </c>
      <c r="E232" s="249" t="str">
        <f>IF(preDEL!$AG232,IFERROR(0/0,""),preDEL!E232)</f>
        <v/>
      </c>
      <c r="F232" s="94" t="str">
        <f>IF(preDEL!$AG232,IFERROR(0/0,""),preDEL!F232)</f>
        <v/>
      </c>
      <c r="G232" s="94" t="str">
        <f>IF(preDEL!$AG232,IFERROR(0/0,""),preDEL!G232)</f>
        <v/>
      </c>
      <c r="H232" s="94" t="str">
        <f>IF(preDEL!$AG232,IFERROR(0/0,""),preDEL!H232)</f>
        <v/>
      </c>
      <c r="I232" s="249" t="str">
        <f>IF(preDEL!$AG232,IFERROR(0/0,""),preDEL!I232)</f>
        <v/>
      </c>
      <c r="J232" s="249" t="str">
        <f>IF(preDEL!$AG232,IFERROR(0/0,""),preDEL!J232)</f>
        <v/>
      </c>
      <c r="K232" s="249" t="str">
        <f>IF(preDEL!$AG232,IFERROR(0/0,""),preDEL!K232)</f>
        <v/>
      </c>
      <c r="L232" s="250" t="str">
        <f>IF(preDEL!$AG232,IFERROR(0/0,""),preDEL!L232)</f>
        <v/>
      </c>
      <c r="M232" s="251" t="str">
        <f>IF(preDEL!$AG232,IFERROR(0/0,""),preDEL!M232)</f>
        <v/>
      </c>
      <c r="N232" s="94" t="str">
        <f>IF(preDEL!$AG232,IFERROR(0/0,""),preDEL!N232)</f>
        <v/>
      </c>
      <c r="O232" s="94" t="str">
        <f>IF(preDEL!$AG232,IFERROR(0/0,""),preDEL!O232)</f>
        <v/>
      </c>
      <c r="P232" s="93" t="str">
        <f>IF(preDEL!$AG232,IFERROR(0/0,""),preDEL!P232)</f>
        <v/>
      </c>
      <c r="Q232" s="93" t="str">
        <f>IF(preDEL!$AG232,IFERROR(0/0,""),preDEL!Q232)</f>
        <v/>
      </c>
      <c r="R232" s="99" t="str">
        <f>IF(preDEL!$AG232,IFERROR(0/0,""),preDEL!R232)</f>
        <v/>
      </c>
      <c r="S232" s="99" t="str">
        <f>IF(preDEL!$AG232,IFERROR(0/0,""),preDEL!S232)</f>
        <v/>
      </c>
      <c r="T232" s="93" t="str">
        <f>IF(preDEL!$AG232,IFERROR(0/0,""),preDEL!T232)</f>
        <v/>
      </c>
      <c r="U232" s="94" t="str">
        <f>IF(preDEL!$AG232,IFERROR(0/0,""),preDEL!U232)</f>
        <v/>
      </c>
      <c r="V232" s="249" t="str">
        <f>IF(preDEL!$AG232,IFERROR(0/0,""),preDEL!V232)</f>
        <v/>
      </c>
      <c r="W232" s="94" t="str">
        <f>IF(preDEL!$AG232,IFERROR(0/0,""),preDEL!W232)</f>
        <v/>
      </c>
      <c r="X232" s="99" t="str">
        <f>IF(preDEL!$AG232,IFERROR(0/0,""),preDEL!X232)</f>
        <v/>
      </c>
      <c r="Y232" s="93" t="str">
        <f>IF(preDEL!$AG232,IFERROR(0/0,""),preDEL!Y232)</f>
        <v/>
      </c>
      <c r="Z232" s="249" t="str">
        <f>IF(preDEL!$AG232,IFERROR(0/0,""),preDEL!Z232)</f>
        <v/>
      </c>
      <c r="AA232" s="93" t="str">
        <f>IF(preDEL!$AG232,IFERROR(0/0,""),preDEL!AA232)</f>
        <v/>
      </c>
      <c r="AB232" s="93" t="str">
        <f>IF(preDEL!$AG232,IFERROR(0/0,""),preDEL!AB232)</f>
        <v/>
      </c>
      <c r="AC232" s="252" t="str">
        <f>IF(preDEL!$AG232,IFERROR(0/0,""),preDEL!AC232)</f>
        <v/>
      </c>
      <c r="AD232" s="99" t="str">
        <f>IF(preDEL!$AG232,IFERROR(0/0,""),preDEL!AD232)</f>
        <v/>
      </c>
      <c r="AE232" s="253" t="str">
        <f>IF(preDEL!$AG232,IFERROR(0/0,""),preDEL!AE232)</f>
        <v/>
      </c>
      <c r="AF232" s="93" t="str">
        <f>IF(preDEL!$AG232,IFERROR(0/0,""),preDEL!AF232)</f>
        <v/>
      </c>
      <c r="AG232" s="93" t="str">
        <f>IF(preDEL!$AG232,IFERROR(0/0,""),preDEL!AG232)</f>
        <v/>
      </c>
      <c r="AH232" s="99" t="str">
        <f>IF(preDEL!$AG232,IFERROR(0/0,""),preDEL!AH232)</f>
        <v/>
      </c>
      <c r="AI232" s="249" t="str">
        <f>IF(preDEL!$AG232,IFERROR(0/0,""),preDEL!AI232)</f>
        <v/>
      </c>
      <c r="AJ232" s="94" t="str">
        <f>IF(preDEL!$AG232,IFERROR(0/0,""),preDEL!AJ232)</f>
        <v/>
      </c>
      <c r="AK232" s="249" t="str">
        <f>IF(preDEL!$AG232,IFERROR(0/0,""),preDEL!AK232)</f>
        <v/>
      </c>
      <c r="AL232" s="94" t="str">
        <f>IF(preDEL!$AG232,IFERROR(0/0,""),preDEL!AL232)</f>
        <v/>
      </c>
      <c r="AM232" s="94" t="str">
        <f>IF(preDEL!$AG232,IFERROR(0/0,""),preDEL!AM232)</f>
        <v/>
      </c>
      <c r="AN232" s="94" t="str">
        <f>IF(preDEL!$AG232,IFERROR(0/0,""),preDEL!AN232)</f>
        <v/>
      </c>
      <c r="AO232" s="94" t="str">
        <f>IF(preDEL!$AG232,IFERROR(0/0,""),preDEL!AO232)</f>
        <v/>
      </c>
      <c r="AP232" s="94" t="str">
        <f>IF(preDEL!$AG232,IFERROR(0/0,""),preDEL!AP232)</f>
        <v/>
      </c>
      <c r="AQ232" s="94" t="str">
        <f>IF(preDEL!$AG232,IFERROR(0/0,""),preDEL!AQ232)</f>
        <v/>
      </c>
      <c r="AR232" s="94" t="str">
        <f>IF(preDEL!$AG232,IFERROR(0/0,""),preDEL!AR232)</f>
        <v/>
      </c>
      <c r="AS232" s="98"/>
      <c r="BE232" s="254"/>
      <c r="BF232" s="255"/>
      <c r="BG232" s="254"/>
      <c r="BH232" s="255"/>
      <c r="BI232" s="254"/>
      <c r="BJ232" s="254"/>
      <c r="BK232" s="254"/>
      <c r="BL232" s="254"/>
      <c r="BN232" s="7"/>
      <c r="BO232" s="7"/>
      <c r="BP232" s="7"/>
      <c r="BQ232" s="7"/>
      <c r="BR232" s="7"/>
      <c r="BS232" s="7"/>
      <c r="BT232" s="7"/>
    </row>
    <row r="233">
      <c r="A233" s="249" t="str">
        <f>IF(preDEL!$AG233,IFERROR(0/0,""),preDEL!A233)</f>
        <v>AH772</v>
      </c>
      <c r="B233" s="250">
        <f>IF(preDEL!$AG233,IFERROR(0/0,""),preDEL!B233)</f>
        <v>44739</v>
      </c>
      <c r="C233" s="251">
        <f>IF(preDEL!$AG233,IFERROR(0/0,""),preDEL!C233)</f>
        <v>0.223287037</v>
      </c>
      <c r="D233" s="249" t="str">
        <f>IF(preDEL!$AG233,IFERROR(0/0,""),preDEL!D233)</f>
        <v/>
      </c>
      <c r="E233" s="249" t="str">
        <f>IF(preDEL!$AG233,IFERROR(0/0,""),preDEL!E233)</f>
        <v/>
      </c>
      <c r="F233" s="94" t="str">
        <f>IF(preDEL!$AG233,IFERROR(0/0,""),preDEL!F233)</f>
        <v/>
      </c>
      <c r="G233" s="94" t="str">
        <f>IF(preDEL!$AG233,IFERROR(0/0,""),preDEL!G233)</f>
        <v/>
      </c>
      <c r="H233" s="94" t="str">
        <f>IF(preDEL!$AG233,IFERROR(0/0,""),preDEL!H233)</f>
        <v/>
      </c>
      <c r="I233" s="249" t="str">
        <f>IF(preDEL!$AG233,IFERROR(0/0,""),preDEL!I233)</f>
        <v/>
      </c>
      <c r="J233" s="249" t="str">
        <f>IF(preDEL!$AG233,IFERROR(0/0,""),preDEL!J233)</f>
        <v/>
      </c>
      <c r="K233" s="249" t="str">
        <f>IF(preDEL!$AG233,IFERROR(0/0,""),preDEL!K233)</f>
        <v>Negative</v>
      </c>
      <c r="L233" s="250">
        <f>IF(preDEL!$AG233,IFERROR(0/0,""),preDEL!L233)</f>
        <v>44739</v>
      </c>
      <c r="M233" s="251">
        <f>IF(preDEL!$AG233,IFERROR(0/0,""),preDEL!M233)</f>
        <v>0.3771875</v>
      </c>
      <c r="N233" s="94" t="str">
        <f>IF(preDEL!$AG233,IFERROR(0/0,""),preDEL!N233)</f>
        <v/>
      </c>
      <c r="O233" s="94" t="str">
        <f>IF(preDEL!$AG233,IFERROR(0/0,""),preDEL!O233)</f>
        <v/>
      </c>
      <c r="P233" s="93" t="b">
        <f>IF(preDEL!$AG233,IFERROR(0/0,""),preDEL!P233)</f>
        <v>0</v>
      </c>
      <c r="Q233" s="93" t="str">
        <f>IF(preDEL!$AG233,IFERROR(0/0,""),preDEL!Q233)</f>
        <v>Result</v>
      </c>
      <c r="R233" s="99" t="b">
        <f>IF(preDEL!$AG233,IFERROR(0/0,""),preDEL!R233)</f>
        <v>1</v>
      </c>
      <c r="S233" s="99">
        <f>IF(preDEL!$AG233,IFERROR(0/0,""),preDEL!S233)</f>
        <v>3</v>
      </c>
      <c r="T233" s="93" t="str">
        <f>IF(preDEL!$AG233,IFERROR(0/0,""),preDEL!T233)</f>
        <v/>
      </c>
      <c r="U233" s="94" t="str">
        <f>IF(preDEL!$AG233,IFERROR(0/0,""),preDEL!U233)</f>
        <v/>
      </c>
      <c r="V233" s="249" t="str">
        <f>IF(preDEL!$AG233,IFERROR(0/0,""),preDEL!V233)</f>
        <v/>
      </c>
      <c r="W233" s="94" t="str">
        <f>IF(preDEL!$AG233,IFERROR(0/0,""),preDEL!W233)</f>
        <v/>
      </c>
      <c r="X233" s="99" t="b">
        <f>IF(preDEL!$AG233,IFERROR(0/0,""),preDEL!X233)</f>
        <v>0</v>
      </c>
      <c r="Y233" s="93" t="str">
        <f>IF(preDEL!$AG233,IFERROR(0/0,""),preDEL!Y233)</f>
        <v/>
      </c>
      <c r="Z233" s="249" t="str">
        <f>IF(preDEL!$AG233,IFERROR(0/0,""),preDEL!Z233)</f>
        <v/>
      </c>
      <c r="AA233" s="93" t="b">
        <f>IF(preDEL!$AG233,IFERROR(0/0,""),preDEL!AA233)</f>
        <v>0</v>
      </c>
      <c r="AB233" s="93" t="str">
        <f>IF(preDEL!$AG233,IFERROR(0/0,""),preDEL!AB233)</f>
        <v/>
      </c>
      <c r="AC233" s="252">
        <f>IF(preDEL!$AG233,IFERROR(0/0,""),preDEL!AC233)</f>
        <v>30</v>
      </c>
      <c r="AD233" s="99" t="str">
        <f>IF(preDEL!$AG233,IFERROR(0/0,""),preDEL!AD233)</f>
        <v/>
      </c>
      <c r="AE233" s="253">
        <f>IF(preDEL!$AG233,IFERROR(0/0,""),preDEL!AE233)</f>
        <v>221.6166667</v>
      </c>
      <c r="AF233" s="93" t="b">
        <f>IF(preDEL!$AG233,IFERROR(0/0,""),preDEL!AF233)</f>
        <v>0</v>
      </c>
      <c r="AG233" s="93" t="b">
        <f>IF(preDEL!$AG233,IFERROR(0/0,""),preDEL!AG233)</f>
        <v>0</v>
      </c>
      <c r="AH233" s="99" t="str">
        <f>IF(preDEL!$AG233,IFERROR(0/0,""),preDEL!AH233)</f>
        <v/>
      </c>
      <c r="AI233" s="249" t="str">
        <f>IF(preDEL!$AG233,IFERROR(0/0,""),preDEL!AI233)</f>
        <v/>
      </c>
      <c r="AJ233" s="94" t="str">
        <f>IF(preDEL!$AG233,IFERROR(0/0,""),preDEL!AJ233)</f>
        <v/>
      </c>
      <c r="AK233" s="249" t="str">
        <f>IF(preDEL!$AG233,IFERROR(0/0,""),preDEL!AK233)</f>
        <v>Negative</v>
      </c>
      <c r="AL233" s="94" t="str">
        <f>IF(preDEL!$AG233,IFERROR(0/0,""),preDEL!AL233)</f>
        <v/>
      </c>
      <c r="AM233" s="94" t="str">
        <f>IF(preDEL!$AG233,IFERROR(0/0,""),preDEL!AM233)</f>
        <v>SpNDHM957722</v>
      </c>
      <c r="AN233" s="94" t="str">
        <f>IF(preDEL!$AG233,IFERROR(0/0,""),preDEL!AN233)</f>
        <v>NDHM784418</v>
      </c>
      <c r="AO233" s="94" t="str">
        <f>IF(preDEL!$AG233,IFERROR(0/0,""),preDEL!AO233)</f>
        <v/>
      </c>
      <c r="AP233" s="94" t="str">
        <f>IF(preDEL!$AG233,IFERROR(0/0,""),preDEL!AP233)</f>
        <v/>
      </c>
      <c r="AQ233" s="94" t="str">
        <f>IF(preDEL!$AG233,IFERROR(0/0,""),preDEL!AQ233)</f>
        <v/>
      </c>
      <c r="AR233" s="94" t="str">
        <f>IF(preDEL!$AG233,IFERROR(0/0,""),preDEL!AR233)</f>
        <v/>
      </c>
      <c r="AS233" s="98"/>
      <c r="BE233" s="254"/>
      <c r="BF233" s="255"/>
      <c r="BG233" s="254"/>
      <c r="BH233" s="255"/>
      <c r="BI233" s="254"/>
      <c r="BJ233" s="254"/>
      <c r="BK233" s="254"/>
      <c r="BL233" s="254"/>
      <c r="BN233" s="7"/>
      <c r="BO233" s="7"/>
      <c r="BP233" s="7"/>
      <c r="BQ233" s="7"/>
      <c r="BR233" s="7"/>
      <c r="BS233" s="7"/>
      <c r="BT233" s="7"/>
    </row>
    <row r="234">
      <c r="A234" s="249" t="str">
        <f>IF(preDEL!$AG234,IFERROR(0/0,""),preDEL!A234)</f>
        <v>AH772</v>
      </c>
      <c r="B234" s="250">
        <f>IF(preDEL!$AG234,IFERROR(0/0,""),preDEL!B234)</f>
        <v>44739</v>
      </c>
      <c r="C234" s="251">
        <f>IF(preDEL!$AG234,IFERROR(0/0,""),preDEL!C234)</f>
        <v>0.223287037</v>
      </c>
      <c r="D234" s="249" t="str">
        <f>IF(preDEL!$AG234,IFERROR(0/0,""),preDEL!D234)</f>
        <v/>
      </c>
      <c r="E234" s="249" t="str">
        <f>IF(preDEL!$AG234,IFERROR(0/0,""),preDEL!E234)</f>
        <v/>
      </c>
      <c r="F234" s="94" t="str">
        <f>IF(preDEL!$AG234,IFERROR(0/0,""),preDEL!F234)</f>
        <v/>
      </c>
      <c r="G234" s="94" t="str">
        <f>IF(preDEL!$AG234,IFERROR(0/0,""),preDEL!G234)</f>
        <v/>
      </c>
      <c r="H234" s="94" t="str">
        <f>IF(preDEL!$AG234,IFERROR(0/0,""),preDEL!H234)</f>
        <v/>
      </c>
      <c r="I234" s="249" t="str">
        <f>IF(preDEL!$AG234,IFERROR(0/0,""),preDEL!I234)</f>
        <v/>
      </c>
      <c r="J234" s="249" t="str">
        <f>IF(preDEL!$AG234,IFERROR(0/0,""),preDEL!J234)</f>
        <v/>
      </c>
      <c r="K234" s="249" t="str">
        <f>IF(preDEL!$AG234,IFERROR(0/0,""),preDEL!K234)</f>
        <v>Negative</v>
      </c>
      <c r="L234" s="250">
        <f>IF(preDEL!$AG234,IFERROR(0/0,""),preDEL!L234)</f>
        <v>44739</v>
      </c>
      <c r="M234" s="251">
        <f>IF(preDEL!$AG234,IFERROR(0/0,""),preDEL!M234)</f>
        <v>0.3771875</v>
      </c>
      <c r="N234" s="94" t="str">
        <f>IF(preDEL!$AG234,IFERROR(0/0,""),preDEL!N234)</f>
        <v/>
      </c>
      <c r="O234" s="94" t="str">
        <f>IF(preDEL!$AG234,IFERROR(0/0,""),preDEL!O234)</f>
        <v/>
      </c>
      <c r="P234" s="93" t="b">
        <f>IF(preDEL!$AG234,IFERROR(0/0,""),preDEL!P234)</f>
        <v>0</v>
      </c>
      <c r="Q234" s="93" t="str">
        <f>IF(preDEL!$AG234,IFERROR(0/0,""),preDEL!Q234)</f>
        <v>Result</v>
      </c>
      <c r="R234" s="99" t="b">
        <f>IF(preDEL!$AG234,IFERROR(0/0,""),preDEL!R234)</f>
        <v>0</v>
      </c>
      <c r="S234" s="99">
        <f>IF(preDEL!$AG234,IFERROR(0/0,""),preDEL!S234)</f>
        <v>3</v>
      </c>
      <c r="T234" s="93" t="str">
        <f>IF(preDEL!$AG234,IFERROR(0/0,""),preDEL!T234)</f>
        <v/>
      </c>
      <c r="U234" s="94" t="str">
        <f>IF(preDEL!$AG234,IFERROR(0/0,""),preDEL!U234)</f>
        <v/>
      </c>
      <c r="V234" s="249" t="str">
        <f>IF(preDEL!$AG234,IFERROR(0/0,""),preDEL!V234)</f>
        <v/>
      </c>
      <c r="W234" s="94" t="str">
        <f>IF(preDEL!$AG234,IFERROR(0/0,""),preDEL!W234)</f>
        <v/>
      </c>
      <c r="X234" s="99" t="b">
        <f>IF(preDEL!$AG234,IFERROR(0/0,""),preDEL!X234)</f>
        <v>0</v>
      </c>
      <c r="Y234" s="93" t="str">
        <f>IF(preDEL!$AG234,IFERROR(0/0,""),preDEL!Y234)</f>
        <v/>
      </c>
      <c r="Z234" s="249" t="str">
        <f>IF(preDEL!$AG234,IFERROR(0/0,""),preDEL!Z234)</f>
        <v/>
      </c>
      <c r="AA234" s="93" t="b">
        <f>IF(preDEL!$AG234,IFERROR(0/0,""),preDEL!AA234)</f>
        <v>0</v>
      </c>
      <c r="AB234" s="93" t="str">
        <f>IF(preDEL!$AG234,IFERROR(0/0,""),preDEL!AB234)</f>
        <v/>
      </c>
      <c r="AC234" s="252">
        <f>IF(preDEL!$AG234,IFERROR(0/0,""),preDEL!AC234)</f>
        <v>28</v>
      </c>
      <c r="AD234" s="99" t="str">
        <f>IF(preDEL!$AG234,IFERROR(0/0,""),preDEL!AD234)</f>
        <v/>
      </c>
      <c r="AE234" s="253">
        <f>IF(preDEL!$AG234,IFERROR(0/0,""),preDEL!AE234)</f>
        <v>221.6166667</v>
      </c>
      <c r="AF234" s="93" t="b">
        <f>IF(preDEL!$AG234,IFERROR(0/0,""),preDEL!AF234)</f>
        <v>0</v>
      </c>
      <c r="AG234" s="93" t="b">
        <f>IF(preDEL!$AG234,IFERROR(0/0,""),preDEL!AG234)</f>
        <v>0</v>
      </c>
      <c r="AH234" s="99" t="str">
        <f>IF(preDEL!$AG234,IFERROR(0/0,""),preDEL!AH234)</f>
        <v/>
      </c>
      <c r="AI234" s="249" t="str">
        <f>IF(preDEL!$AG234,IFERROR(0/0,""),preDEL!AI234)</f>
        <v/>
      </c>
      <c r="AJ234" s="94" t="str">
        <f>IF(preDEL!$AG234,IFERROR(0/0,""),preDEL!AJ234)</f>
        <v/>
      </c>
      <c r="AK234" s="249" t="str">
        <f>IF(preDEL!$AG234,IFERROR(0/0,""),preDEL!AK234)</f>
        <v>Negative</v>
      </c>
      <c r="AL234" s="94" t="str">
        <f>IF(preDEL!$AG234,IFERROR(0/0,""),preDEL!AL234)</f>
        <v/>
      </c>
      <c r="AM234" s="94" t="str">
        <f>IF(preDEL!$AG234,IFERROR(0/0,""),preDEL!AM234)</f>
        <v>SpNDHM957722</v>
      </c>
      <c r="AN234" s="94" t="str">
        <f>IF(preDEL!$AG234,IFERROR(0/0,""),preDEL!AN234)</f>
        <v>NDHM730614</v>
      </c>
      <c r="AO234" s="94" t="str">
        <f>IF(preDEL!$AG234,IFERROR(0/0,""),preDEL!AO234)</f>
        <v/>
      </c>
      <c r="AP234" s="94" t="str">
        <f>IF(preDEL!$AG234,IFERROR(0/0,""),preDEL!AP234)</f>
        <v/>
      </c>
      <c r="AQ234" s="94" t="str">
        <f>IF(preDEL!$AG234,IFERROR(0/0,""),preDEL!AQ234)</f>
        <v/>
      </c>
      <c r="AR234" s="94" t="str">
        <f>IF(preDEL!$AG234,IFERROR(0/0,""),preDEL!AR234)</f>
        <v/>
      </c>
      <c r="AS234" s="98"/>
      <c r="BE234" s="254"/>
      <c r="BF234" s="255"/>
      <c r="BG234" s="254"/>
      <c r="BH234" s="255"/>
      <c r="BI234" s="254"/>
      <c r="BJ234" s="254"/>
      <c r="BK234" s="254"/>
      <c r="BL234" s="254"/>
      <c r="BN234" s="7"/>
      <c r="BO234" s="7"/>
      <c r="BP234" s="7"/>
      <c r="BQ234" s="7"/>
      <c r="BR234" s="7"/>
      <c r="BS234" s="7"/>
      <c r="BT234" s="7"/>
    </row>
    <row r="235">
      <c r="A235" s="249" t="str">
        <f>IF(preDEL!$AG235,IFERROR(0/0,""),preDEL!A235)</f>
        <v>AH772</v>
      </c>
      <c r="B235" s="250">
        <f>IF(preDEL!$AG235,IFERROR(0/0,""),preDEL!B235)</f>
        <v>44739</v>
      </c>
      <c r="C235" s="251">
        <f>IF(preDEL!$AG235,IFERROR(0/0,""),preDEL!C235)</f>
        <v>0.223287037</v>
      </c>
      <c r="D235" s="249" t="str">
        <f>IF(preDEL!$AG235,IFERROR(0/0,""),preDEL!D235)</f>
        <v/>
      </c>
      <c r="E235" s="249" t="str">
        <f>IF(preDEL!$AG235,IFERROR(0/0,""),preDEL!E235)</f>
        <v/>
      </c>
      <c r="F235" s="94" t="str">
        <f>IF(preDEL!$AG235,IFERROR(0/0,""),preDEL!F235)</f>
        <v/>
      </c>
      <c r="G235" s="94" t="str">
        <f>IF(preDEL!$AG235,IFERROR(0/0,""),preDEL!G235)</f>
        <v/>
      </c>
      <c r="H235" s="94" t="str">
        <f>IF(preDEL!$AG235,IFERROR(0/0,""),preDEL!H235)</f>
        <v/>
      </c>
      <c r="I235" s="249" t="str">
        <f>IF(preDEL!$AG235,IFERROR(0/0,""),preDEL!I235)</f>
        <v/>
      </c>
      <c r="J235" s="249" t="str">
        <f>IF(preDEL!$AG235,IFERROR(0/0,""),preDEL!J235)</f>
        <v/>
      </c>
      <c r="K235" s="249" t="str">
        <f>IF(preDEL!$AG235,IFERROR(0/0,""),preDEL!K235)</f>
        <v>Negative</v>
      </c>
      <c r="L235" s="250">
        <f>IF(preDEL!$AG235,IFERROR(0/0,""),preDEL!L235)</f>
        <v>44739</v>
      </c>
      <c r="M235" s="251">
        <f>IF(preDEL!$AG235,IFERROR(0/0,""),preDEL!M235)</f>
        <v>0.3771875</v>
      </c>
      <c r="N235" s="94" t="str">
        <f>IF(preDEL!$AG235,IFERROR(0/0,""),preDEL!N235)</f>
        <v/>
      </c>
      <c r="O235" s="94" t="str">
        <f>IF(preDEL!$AG235,IFERROR(0/0,""),preDEL!O235)</f>
        <v/>
      </c>
      <c r="P235" s="93" t="b">
        <f>IF(preDEL!$AG235,IFERROR(0/0,""),preDEL!P235)</f>
        <v>0</v>
      </c>
      <c r="Q235" s="93" t="str">
        <f>IF(preDEL!$AG235,IFERROR(0/0,""),preDEL!Q235)</f>
        <v>Result</v>
      </c>
      <c r="R235" s="99" t="b">
        <f>IF(preDEL!$AG235,IFERROR(0/0,""),preDEL!R235)</f>
        <v>0</v>
      </c>
      <c r="S235" s="99">
        <f>IF(preDEL!$AG235,IFERROR(0/0,""),preDEL!S235)</f>
        <v>3</v>
      </c>
      <c r="T235" s="93" t="str">
        <f>IF(preDEL!$AG235,IFERROR(0/0,""),preDEL!T235)</f>
        <v/>
      </c>
      <c r="U235" s="94" t="str">
        <f>IF(preDEL!$AG235,IFERROR(0/0,""),preDEL!U235)</f>
        <v/>
      </c>
      <c r="V235" s="249" t="str">
        <f>IF(preDEL!$AG235,IFERROR(0/0,""),preDEL!V235)</f>
        <v/>
      </c>
      <c r="W235" s="94" t="str">
        <f>IF(preDEL!$AG235,IFERROR(0/0,""),preDEL!W235)</f>
        <v/>
      </c>
      <c r="X235" s="99" t="b">
        <f>IF(preDEL!$AG235,IFERROR(0/0,""),preDEL!X235)</f>
        <v>0</v>
      </c>
      <c r="Y235" s="93" t="str">
        <f>IF(preDEL!$AG235,IFERROR(0/0,""),preDEL!Y235)</f>
        <v/>
      </c>
      <c r="Z235" s="249" t="str">
        <f>IF(preDEL!$AG235,IFERROR(0/0,""),preDEL!Z235)</f>
        <v/>
      </c>
      <c r="AA235" s="93" t="b">
        <f>IF(preDEL!$AG235,IFERROR(0/0,""),preDEL!AA235)</f>
        <v>0</v>
      </c>
      <c r="AB235" s="93" t="str">
        <f>IF(preDEL!$AG235,IFERROR(0/0,""),preDEL!AB235)</f>
        <v/>
      </c>
      <c r="AC235" s="252">
        <f>IF(preDEL!$AG235,IFERROR(0/0,""),preDEL!AC235)</f>
        <v>29</v>
      </c>
      <c r="AD235" s="99" t="str">
        <f>IF(preDEL!$AG235,IFERROR(0/0,""),preDEL!AD235)</f>
        <v/>
      </c>
      <c r="AE235" s="253">
        <f>IF(preDEL!$AG235,IFERROR(0/0,""),preDEL!AE235)</f>
        <v>221.6166667</v>
      </c>
      <c r="AF235" s="93" t="b">
        <f>IF(preDEL!$AG235,IFERROR(0/0,""),preDEL!AF235)</f>
        <v>0</v>
      </c>
      <c r="AG235" s="93" t="b">
        <f>IF(preDEL!$AG235,IFERROR(0/0,""),preDEL!AG235)</f>
        <v>0</v>
      </c>
      <c r="AH235" s="99" t="str">
        <f>IF(preDEL!$AG235,IFERROR(0/0,""),preDEL!AH235)</f>
        <v/>
      </c>
      <c r="AI235" s="249" t="str">
        <f>IF(preDEL!$AG235,IFERROR(0/0,""),preDEL!AI235)</f>
        <v/>
      </c>
      <c r="AJ235" s="94" t="str">
        <f>IF(preDEL!$AG235,IFERROR(0/0,""),preDEL!AJ235)</f>
        <v/>
      </c>
      <c r="AK235" s="249" t="str">
        <f>IF(preDEL!$AG235,IFERROR(0/0,""),preDEL!AK235)</f>
        <v>Negative</v>
      </c>
      <c r="AL235" s="94" t="str">
        <f>IF(preDEL!$AG235,IFERROR(0/0,""),preDEL!AL235)</f>
        <v/>
      </c>
      <c r="AM235" s="94" t="str">
        <f>IF(preDEL!$AG235,IFERROR(0/0,""),preDEL!AM235)</f>
        <v>SpNDHM957722</v>
      </c>
      <c r="AN235" s="94" t="str">
        <f>IF(preDEL!$AG235,IFERROR(0/0,""),preDEL!AN235)</f>
        <v>NDHM804847</v>
      </c>
      <c r="AO235" s="94" t="str">
        <f>IF(preDEL!$AG235,IFERROR(0/0,""),preDEL!AO235)</f>
        <v/>
      </c>
      <c r="AP235" s="94" t="str">
        <f>IF(preDEL!$AG235,IFERROR(0/0,""),preDEL!AP235)</f>
        <v/>
      </c>
      <c r="AQ235" s="94" t="str">
        <f>IF(preDEL!$AG235,IFERROR(0/0,""),preDEL!AQ235)</f>
        <v/>
      </c>
      <c r="AR235" s="94" t="str">
        <f>IF(preDEL!$AG235,IFERROR(0/0,""),preDEL!AR235)</f>
        <v/>
      </c>
      <c r="AS235" s="98"/>
      <c r="BE235" s="254"/>
      <c r="BF235" s="255"/>
      <c r="BG235" s="254"/>
      <c r="BH235" s="255"/>
      <c r="BI235" s="254"/>
      <c r="BJ235" s="254"/>
      <c r="BK235" s="254"/>
      <c r="BL235" s="254"/>
      <c r="BN235" s="7"/>
      <c r="BO235" s="7"/>
      <c r="BP235" s="7"/>
      <c r="BQ235" s="7"/>
      <c r="BR235" s="7"/>
      <c r="BS235" s="7"/>
      <c r="BT235" s="7"/>
    </row>
    <row r="236">
      <c r="A236" s="249" t="str">
        <f>IF(preDEL!$AG236,IFERROR(0/0,""),preDEL!A236)</f>
        <v/>
      </c>
      <c r="B236" s="250" t="str">
        <f>IF(preDEL!$AG236,IFERROR(0/0,""),preDEL!B236)</f>
        <v/>
      </c>
      <c r="C236" s="251" t="str">
        <f>IF(preDEL!$AG236,IFERROR(0/0,""),preDEL!C236)</f>
        <v/>
      </c>
      <c r="D236" s="249" t="str">
        <f>IF(preDEL!$AG236,IFERROR(0/0,""),preDEL!D236)</f>
        <v/>
      </c>
      <c r="E236" s="249" t="str">
        <f>IF(preDEL!$AG236,IFERROR(0/0,""),preDEL!E236)</f>
        <v/>
      </c>
      <c r="F236" s="94" t="str">
        <f>IF(preDEL!$AG236,IFERROR(0/0,""),preDEL!F236)</f>
        <v/>
      </c>
      <c r="G236" s="94" t="str">
        <f>IF(preDEL!$AG236,IFERROR(0/0,""),preDEL!G236)</f>
        <v/>
      </c>
      <c r="H236" s="94" t="str">
        <f>IF(preDEL!$AG236,IFERROR(0/0,""),preDEL!H236)</f>
        <v/>
      </c>
      <c r="I236" s="249" t="str">
        <f>IF(preDEL!$AG236,IFERROR(0/0,""),preDEL!I236)</f>
        <v/>
      </c>
      <c r="J236" s="249" t="str">
        <f>IF(preDEL!$AG236,IFERROR(0/0,""),preDEL!J236)</f>
        <v/>
      </c>
      <c r="K236" s="249" t="str">
        <f>IF(preDEL!$AG236,IFERROR(0/0,""),preDEL!K236)</f>
        <v/>
      </c>
      <c r="L236" s="250" t="str">
        <f>IF(preDEL!$AG236,IFERROR(0/0,""),preDEL!L236)</f>
        <v/>
      </c>
      <c r="M236" s="251" t="str">
        <f>IF(preDEL!$AG236,IFERROR(0/0,""),preDEL!M236)</f>
        <v/>
      </c>
      <c r="N236" s="94" t="str">
        <f>IF(preDEL!$AG236,IFERROR(0/0,""),preDEL!N236)</f>
        <v/>
      </c>
      <c r="O236" s="94" t="str">
        <f>IF(preDEL!$AG236,IFERROR(0/0,""),preDEL!O236)</f>
        <v/>
      </c>
      <c r="P236" s="93" t="str">
        <f>IF(preDEL!$AG236,IFERROR(0/0,""),preDEL!P236)</f>
        <v/>
      </c>
      <c r="Q236" s="93" t="str">
        <f>IF(preDEL!$AG236,IFERROR(0/0,""),preDEL!Q236)</f>
        <v/>
      </c>
      <c r="R236" s="99" t="str">
        <f>IF(preDEL!$AG236,IFERROR(0/0,""),preDEL!R236)</f>
        <v/>
      </c>
      <c r="S236" s="99" t="str">
        <f>IF(preDEL!$AG236,IFERROR(0/0,""),preDEL!S236)</f>
        <v/>
      </c>
      <c r="T236" s="93" t="str">
        <f>IF(preDEL!$AG236,IFERROR(0/0,""),preDEL!T236)</f>
        <v/>
      </c>
      <c r="U236" s="94" t="str">
        <f>IF(preDEL!$AG236,IFERROR(0/0,""),preDEL!U236)</f>
        <v/>
      </c>
      <c r="V236" s="249" t="str">
        <f>IF(preDEL!$AG236,IFERROR(0/0,""),preDEL!V236)</f>
        <v/>
      </c>
      <c r="W236" s="94" t="str">
        <f>IF(preDEL!$AG236,IFERROR(0/0,""),preDEL!W236)</f>
        <v/>
      </c>
      <c r="X236" s="99" t="str">
        <f>IF(preDEL!$AG236,IFERROR(0/0,""),preDEL!X236)</f>
        <v/>
      </c>
      <c r="Y236" s="93" t="str">
        <f>IF(preDEL!$AG236,IFERROR(0/0,""),preDEL!Y236)</f>
        <v/>
      </c>
      <c r="Z236" s="249" t="str">
        <f>IF(preDEL!$AG236,IFERROR(0/0,""),preDEL!Z236)</f>
        <v/>
      </c>
      <c r="AA236" s="93" t="str">
        <f>IF(preDEL!$AG236,IFERROR(0/0,""),preDEL!AA236)</f>
        <v/>
      </c>
      <c r="AB236" s="93" t="str">
        <f>IF(preDEL!$AG236,IFERROR(0/0,""),preDEL!AB236)</f>
        <v/>
      </c>
      <c r="AC236" s="252" t="str">
        <f>IF(preDEL!$AG236,IFERROR(0/0,""),preDEL!AC236)</f>
        <v/>
      </c>
      <c r="AD236" s="99" t="str">
        <f>IF(preDEL!$AG236,IFERROR(0/0,""),preDEL!AD236)</f>
        <v/>
      </c>
      <c r="AE236" s="253" t="str">
        <f>IF(preDEL!$AG236,IFERROR(0/0,""),preDEL!AE236)</f>
        <v/>
      </c>
      <c r="AF236" s="93" t="str">
        <f>IF(preDEL!$AG236,IFERROR(0/0,""),preDEL!AF236)</f>
        <v/>
      </c>
      <c r="AG236" s="93" t="str">
        <f>IF(preDEL!$AG236,IFERROR(0/0,""),preDEL!AG236)</f>
        <v/>
      </c>
      <c r="AH236" s="99" t="str">
        <f>IF(preDEL!$AG236,IFERROR(0/0,""),preDEL!AH236)</f>
        <v/>
      </c>
      <c r="AI236" s="249" t="str">
        <f>IF(preDEL!$AG236,IFERROR(0/0,""),preDEL!AI236)</f>
        <v/>
      </c>
      <c r="AJ236" s="94" t="str">
        <f>IF(preDEL!$AG236,IFERROR(0/0,""),preDEL!AJ236)</f>
        <v/>
      </c>
      <c r="AK236" s="249" t="str">
        <f>IF(preDEL!$AG236,IFERROR(0/0,""),preDEL!AK236)</f>
        <v/>
      </c>
      <c r="AL236" s="94" t="str">
        <f>IF(preDEL!$AG236,IFERROR(0/0,""),preDEL!AL236)</f>
        <v/>
      </c>
      <c r="AM236" s="94" t="str">
        <f>IF(preDEL!$AG236,IFERROR(0/0,""),preDEL!AM236)</f>
        <v/>
      </c>
      <c r="AN236" s="94" t="str">
        <f>IF(preDEL!$AG236,IFERROR(0/0,""),preDEL!AN236)</f>
        <v/>
      </c>
      <c r="AO236" s="94" t="str">
        <f>IF(preDEL!$AG236,IFERROR(0/0,""),preDEL!AO236)</f>
        <v/>
      </c>
      <c r="AP236" s="94" t="str">
        <f>IF(preDEL!$AG236,IFERROR(0/0,""),preDEL!AP236)</f>
        <v/>
      </c>
      <c r="AQ236" s="94" t="str">
        <f>IF(preDEL!$AG236,IFERROR(0/0,""),preDEL!AQ236)</f>
        <v/>
      </c>
      <c r="AR236" s="94" t="str">
        <f>IF(preDEL!$AG236,IFERROR(0/0,""),preDEL!AR236)</f>
        <v/>
      </c>
      <c r="AS236" s="98"/>
      <c r="BE236" s="254"/>
      <c r="BF236" s="255"/>
      <c r="BG236" s="254"/>
      <c r="BH236" s="255"/>
      <c r="BI236" s="254"/>
      <c r="BJ236" s="254"/>
      <c r="BK236" s="254"/>
      <c r="BL236" s="254"/>
      <c r="BN236" s="7"/>
      <c r="BO236" s="7"/>
      <c r="BP236" s="7"/>
      <c r="BQ236" s="7"/>
      <c r="BR236" s="7"/>
      <c r="BS236" s="7"/>
      <c r="BT236" s="7"/>
    </row>
    <row r="237">
      <c r="A237" s="249" t="str">
        <f>IF(preDEL!$AG237,IFERROR(0/0,""),preDEL!A237)</f>
        <v/>
      </c>
      <c r="B237" s="250" t="str">
        <f>IF(preDEL!$AG237,IFERROR(0/0,""),preDEL!B237)</f>
        <v/>
      </c>
      <c r="C237" s="251" t="str">
        <f>IF(preDEL!$AG237,IFERROR(0/0,""),preDEL!C237)</f>
        <v/>
      </c>
      <c r="D237" s="249" t="str">
        <f>IF(preDEL!$AG237,IFERROR(0/0,""),preDEL!D237)</f>
        <v/>
      </c>
      <c r="E237" s="249" t="str">
        <f>IF(preDEL!$AG237,IFERROR(0/0,""),preDEL!E237)</f>
        <v/>
      </c>
      <c r="F237" s="94" t="str">
        <f>IF(preDEL!$AG237,IFERROR(0/0,""),preDEL!F237)</f>
        <v/>
      </c>
      <c r="G237" s="94" t="str">
        <f>IF(preDEL!$AG237,IFERROR(0/0,""),preDEL!G237)</f>
        <v/>
      </c>
      <c r="H237" s="94" t="str">
        <f>IF(preDEL!$AG237,IFERROR(0/0,""),preDEL!H237)</f>
        <v/>
      </c>
      <c r="I237" s="249" t="str">
        <f>IF(preDEL!$AG237,IFERROR(0/0,""),preDEL!I237)</f>
        <v/>
      </c>
      <c r="J237" s="249" t="str">
        <f>IF(preDEL!$AG237,IFERROR(0/0,""),preDEL!J237)</f>
        <v/>
      </c>
      <c r="K237" s="249" t="str">
        <f>IF(preDEL!$AG237,IFERROR(0/0,""),preDEL!K237)</f>
        <v/>
      </c>
      <c r="L237" s="250" t="str">
        <f>IF(preDEL!$AG237,IFERROR(0/0,""),preDEL!L237)</f>
        <v/>
      </c>
      <c r="M237" s="251" t="str">
        <f>IF(preDEL!$AG237,IFERROR(0/0,""),preDEL!M237)</f>
        <v/>
      </c>
      <c r="N237" s="94" t="str">
        <f>IF(preDEL!$AG237,IFERROR(0/0,""),preDEL!N237)</f>
        <v/>
      </c>
      <c r="O237" s="94" t="str">
        <f>IF(preDEL!$AG237,IFERROR(0/0,""),preDEL!O237)</f>
        <v/>
      </c>
      <c r="P237" s="93" t="str">
        <f>IF(preDEL!$AG237,IFERROR(0/0,""),preDEL!P237)</f>
        <v/>
      </c>
      <c r="Q237" s="93" t="str">
        <f>IF(preDEL!$AG237,IFERROR(0/0,""),preDEL!Q237)</f>
        <v/>
      </c>
      <c r="R237" s="99" t="str">
        <f>IF(preDEL!$AG237,IFERROR(0/0,""),preDEL!R237)</f>
        <v/>
      </c>
      <c r="S237" s="99" t="str">
        <f>IF(preDEL!$AG237,IFERROR(0/0,""),preDEL!S237)</f>
        <v/>
      </c>
      <c r="T237" s="93" t="str">
        <f>IF(preDEL!$AG237,IFERROR(0/0,""),preDEL!T237)</f>
        <v/>
      </c>
      <c r="U237" s="94" t="str">
        <f>IF(preDEL!$AG237,IFERROR(0/0,""),preDEL!U237)</f>
        <v/>
      </c>
      <c r="V237" s="249" t="str">
        <f>IF(preDEL!$AG237,IFERROR(0/0,""),preDEL!V237)</f>
        <v/>
      </c>
      <c r="W237" s="94" t="str">
        <f>IF(preDEL!$AG237,IFERROR(0/0,""),preDEL!W237)</f>
        <v/>
      </c>
      <c r="X237" s="99" t="str">
        <f>IF(preDEL!$AG237,IFERROR(0/0,""),preDEL!X237)</f>
        <v/>
      </c>
      <c r="Y237" s="93" t="str">
        <f>IF(preDEL!$AG237,IFERROR(0/0,""),preDEL!Y237)</f>
        <v/>
      </c>
      <c r="Z237" s="249" t="str">
        <f>IF(preDEL!$AG237,IFERROR(0/0,""),preDEL!Z237)</f>
        <v/>
      </c>
      <c r="AA237" s="93" t="str">
        <f>IF(preDEL!$AG237,IFERROR(0/0,""),preDEL!AA237)</f>
        <v/>
      </c>
      <c r="AB237" s="93" t="str">
        <f>IF(preDEL!$AG237,IFERROR(0/0,""),preDEL!AB237)</f>
        <v/>
      </c>
      <c r="AC237" s="252" t="str">
        <f>IF(preDEL!$AG237,IFERROR(0/0,""),preDEL!AC237)</f>
        <v/>
      </c>
      <c r="AD237" s="99" t="str">
        <f>IF(preDEL!$AG237,IFERROR(0/0,""),preDEL!AD237)</f>
        <v/>
      </c>
      <c r="AE237" s="253" t="str">
        <f>IF(preDEL!$AG237,IFERROR(0/0,""),preDEL!AE237)</f>
        <v/>
      </c>
      <c r="AF237" s="93" t="str">
        <f>IF(preDEL!$AG237,IFERROR(0/0,""),preDEL!AF237)</f>
        <v/>
      </c>
      <c r="AG237" s="93" t="str">
        <f>IF(preDEL!$AG237,IFERROR(0/0,""),preDEL!AG237)</f>
        <v/>
      </c>
      <c r="AH237" s="99" t="str">
        <f>IF(preDEL!$AG237,IFERROR(0/0,""),preDEL!AH237)</f>
        <v/>
      </c>
      <c r="AI237" s="249" t="str">
        <f>IF(preDEL!$AG237,IFERROR(0/0,""),preDEL!AI237)</f>
        <v/>
      </c>
      <c r="AJ237" s="94" t="str">
        <f>IF(preDEL!$AG237,IFERROR(0/0,""),preDEL!AJ237)</f>
        <v/>
      </c>
      <c r="AK237" s="249" t="str">
        <f>IF(preDEL!$AG237,IFERROR(0/0,""),preDEL!AK237)</f>
        <v/>
      </c>
      <c r="AL237" s="94" t="str">
        <f>IF(preDEL!$AG237,IFERROR(0/0,""),preDEL!AL237)</f>
        <v/>
      </c>
      <c r="AM237" s="94" t="str">
        <f>IF(preDEL!$AG237,IFERROR(0/0,""),preDEL!AM237)</f>
        <v/>
      </c>
      <c r="AN237" s="94" t="str">
        <f>IF(preDEL!$AG237,IFERROR(0/0,""),preDEL!AN237)</f>
        <v/>
      </c>
      <c r="AO237" s="94" t="str">
        <f>IF(preDEL!$AG237,IFERROR(0/0,""),preDEL!AO237)</f>
        <v/>
      </c>
      <c r="AP237" s="94" t="str">
        <f>IF(preDEL!$AG237,IFERROR(0/0,""),preDEL!AP237)</f>
        <v/>
      </c>
      <c r="AQ237" s="94" t="str">
        <f>IF(preDEL!$AG237,IFERROR(0/0,""),preDEL!AQ237)</f>
        <v/>
      </c>
      <c r="AR237" s="94" t="str">
        <f>IF(preDEL!$AG237,IFERROR(0/0,""),preDEL!AR237)</f>
        <v/>
      </c>
      <c r="AS237" s="98"/>
      <c r="BE237" s="254"/>
      <c r="BF237" s="255"/>
      <c r="BG237" s="254"/>
      <c r="BH237" s="255"/>
      <c r="BI237" s="254"/>
      <c r="BJ237" s="254"/>
      <c r="BK237" s="254"/>
      <c r="BL237" s="254"/>
      <c r="BN237" s="7"/>
      <c r="BO237" s="7"/>
      <c r="BP237" s="7"/>
      <c r="BQ237" s="7"/>
      <c r="BR237" s="7"/>
      <c r="BS237" s="7"/>
      <c r="BT237" s="7"/>
    </row>
    <row r="238">
      <c r="A238" s="249" t="str">
        <f>IF(preDEL!$AG238,IFERROR(0/0,""),preDEL!A238)</f>
        <v>AG1259</v>
      </c>
      <c r="B238" s="250">
        <f>IF(preDEL!$AG238,IFERROR(0/0,""),preDEL!B238)</f>
        <v>44753</v>
      </c>
      <c r="C238" s="251">
        <f>IF(preDEL!$AG238,IFERROR(0/0,""),preDEL!C238)</f>
        <v>0.2527199074</v>
      </c>
      <c r="D238" s="249" t="str">
        <f>IF(preDEL!$AG238,IFERROR(0/0,""),preDEL!D238)</f>
        <v/>
      </c>
      <c r="E238" s="249" t="str">
        <f>IF(preDEL!$AG238,IFERROR(0/0,""),preDEL!E238)</f>
        <v/>
      </c>
      <c r="F238" s="94" t="str">
        <f>IF(preDEL!$AG238,IFERROR(0/0,""),preDEL!F238)</f>
        <v/>
      </c>
      <c r="G238" s="94" t="str">
        <f>IF(preDEL!$AG238,IFERROR(0/0,""),preDEL!G238)</f>
        <v/>
      </c>
      <c r="H238" s="94" t="str">
        <f>IF(preDEL!$AG238,IFERROR(0/0,""),preDEL!H238)</f>
        <v/>
      </c>
      <c r="I238" s="249" t="str">
        <f>IF(preDEL!$AG238,IFERROR(0/0,""),preDEL!I238)</f>
        <v/>
      </c>
      <c r="J238" s="249" t="str">
        <f>IF(preDEL!$AG238,IFERROR(0/0,""),preDEL!J238)</f>
        <v/>
      </c>
      <c r="K238" s="249" t="str">
        <f>IF(preDEL!$AG238,IFERROR(0/0,""),preDEL!K238)</f>
        <v>Negative</v>
      </c>
      <c r="L238" s="250">
        <f>IF(preDEL!$AG238,IFERROR(0/0,""),preDEL!L238)</f>
        <v>44753</v>
      </c>
      <c r="M238" s="251">
        <f>IF(preDEL!$AG238,IFERROR(0/0,""),preDEL!M238)</f>
        <v>0.3984027778</v>
      </c>
      <c r="N238" s="94" t="str">
        <f>IF(preDEL!$AG238,IFERROR(0/0,""),preDEL!N238)</f>
        <v/>
      </c>
      <c r="O238" s="94" t="str">
        <f>IF(preDEL!$AG238,IFERROR(0/0,""),preDEL!O238)</f>
        <v/>
      </c>
      <c r="P238" s="93" t="b">
        <f>IF(preDEL!$AG238,IFERROR(0/0,""),preDEL!P238)</f>
        <v>0</v>
      </c>
      <c r="Q238" s="93" t="str">
        <f>IF(preDEL!$AG238,IFERROR(0/0,""),preDEL!Q238)</f>
        <v>Result</v>
      </c>
      <c r="R238" s="99" t="b">
        <f>IF(preDEL!$AG238,IFERROR(0/0,""),preDEL!R238)</f>
        <v>1</v>
      </c>
      <c r="S238" s="99">
        <f>IF(preDEL!$AG238,IFERROR(0/0,""),preDEL!S238)</f>
        <v>2</v>
      </c>
      <c r="T238" s="93" t="str">
        <f>IF(preDEL!$AG238,IFERROR(0/0,""),preDEL!T238)</f>
        <v/>
      </c>
      <c r="U238" s="94" t="str">
        <f>IF(preDEL!$AG238,IFERROR(0/0,""),preDEL!U238)</f>
        <v/>
      </c>
      <c r="V238" s="249" t="str">
        <f>IF(preDEL!$AG238,IFERROR(0/0,""),preDEL!V238)</f>
        <v/>
      </c>
      <c r="W238" s="94" t="str">
        <f>IF(preDEL!$AG238,IFERROR(0/0,""),preDEL!W238)</f>
        <v/>
      </c>
      <c r="X238" s="99" t="b">
        <f>IF(preDEL!$AG238,IFERROR(0/0,""),preDEL!X238)</f>
        <v>0</v>
      </c>
      <c r="Y238" s="93" t="str">
        <f>IF(preDEL!$AG238,IFERROR(0/0,""),preDEL!Y238)</f>
        <v/>
      </c>
      <c r="Z238" s="249" t="str">
        <f>IF(preDEL!$AG238,IFERROR(0/0,""),preDEL!Z238)</f>
        <v/>
      </c>
      <c r="AA238" s="93" t="b">
        <f>IF(preDEL!$AG238,IFERROR(0/0,""),preDEL!AA238)</f>
        <v>0</v>
      </c>
      <c r="AB238" s="93" t="str">
        <f>IF(preDEL!$AG238,IFERROR(0/0,""),preDEL!AB238)</f>
        <v/>
      </c>
      <c r="AC238" s="252">
        <f>IF(preDEL!$AG238,IFERROR(0/0,""),preDEL!AC238)</f>
        <v>22</v>
      </c>
      <c r="AD238" s="99" t="str">
        <f>IF(preDEL!$AG238,IFERROR(0/0,""),preDEL!AD238)</f>
        <v/>
      </c>
      <c r="AE238" s="253">
        <f>IF(preDEL!$AG238,IFERROR(0/0,""),preDEL!AE238)</f>
        <v>209.7833333</v>
      </c>
      <c r="AF238" s="93" t="b">
        <f>IF(preDEL!$AG238,IFERROR(0/0,""),preDEL!AF238)</f>
        <v>0</v>
      </c>
      <c r="AG238" s="93" t="b">
        <f>IF(preDEL!$AG238,IFERROR(0/0,""),preDEL!AG238)</f>
        <v>0</v>
      </c>
      <c r="AH238" s="99" t="str">
        <f>IF(preDEL!$AG238,IFERROR(0/0,""),preDEL!AH238)</f>
        <v/>
      </c>
      <c r="AI238" s="249" t="str">
        <f>IF(preDEL!$AG238,IFERROR(0/0,""),preDEL!AI238)</f>
        <v/>
      </c>
      <c r="AJ238" s="94" t="str">
        <f>IF(preDEL!$AG238,IFERROR(0/0,""),preDEL!AJ238)</f>
        <v/>
      </c>
      <c r="AK238" s="249" t="str">
        <f>IF(preDEL!$AG238,IFERROR(0/0,""),preDEL!AK238)</f>
        <v>Negative</v>
      </c>
      <c r="AL238" s="94" t="str">
        <f>IF(preDEL!$AG238,IFERROR(0/0,""),preDEL!AL238)</f>
        <v/>
      </c>
      <c r="AM238" s="94" t="str">
        <f>IF(preDEL!$AG238,IFERROR(0/0,""),preDEL!AM238)</f>
        <v>SpNDHM966349</v>
      </c>
      <c r="AN238" s="94" t="str">
        <f>IF(preDEL!$AG238,IFERROR(0/0,""),preDEL!AN238)</f>
        <v>NDHM806069</v>
      </c>
      <c r="AO238" s="94" t="str">
        <f>IF(preDEL!$AG238,IFERROR(0/0,""),preDEL!AO238)</f>
        <v/>
      </c>
      <c r="AP238" s="94" t="str">
        <f>IF(preDEL!$AG238,IFERROR(0/0,""),preDEL!AP238)</f>
        <v/>
      </c>
      <c r="AQ238" s="94" t="str">
        <f>IF(preDEL!$AG238,IFERROR(0/0,""),preDEL!AQ238)</f>
        <v/>
      </c>
      <c r="AR238" s="94" t="str">
        <f>IF(preDEL!$AG238,IFERROR(0/0,""),preDEL!AR238)</f>
        <v/>
      </c>
      <c r="AS238" s="98"/>
      <c r="BE238" s="254"/>
      <c r="BF238" s="255"/>
      <c r="BG238" s="254"/>
      <c r="BH238" s="255"/>
      <c r="BI238" s="254"/>
      <c r="BJ238" s="254"/>
      <c r="BK238" s="254"/>
      <c r="BL238" s="254"/>
      <c r="BN238" s="7"/>
      <c r="BO238" s="7"/>
      <c r="BP238" s="7"/>
      <c r="BQ238" s="7"/>
      <c r="BR238" s="7"/>
      <c r="BS238" s="7"/>
      <c r="BT238" s="7"/>
    </row>
    <row r="239">
      <c r="A239" s="249" t="str">
        <f>IF(preDEL!$AG239,IFERROR(0/0,""),preDEL!A239)</f>
        <v>AG1259</v>
      </c>
      <c r="B239" s="250">
        <f>IF(preDEL!$AG239,IFERROR(0/0,""),preDEL!B239)</f>
        <v>44753</v>
      </c>
      <c r="C239" s="251">
        <f>IF(preDEL!$AG239,IFERROR(0/0,""),preDEL!C239)</f>
        <v>0.2527199074</v>
      </c>
      <c r="D239" s="249" t="str">
        <f>IF(preDEL!$AG239,IFERROR(0/0,""),preDEL!D239)</f>
        <v/>
      </c>
      <c r="E239" s="249" t="str">
        <f>IF(preDEL!$AG239,IFERROR(0/0,""),preDEL!E239)</f>
        <v/>
      </c>
      <c r="F239" s="94" t="str">
        <f>IF(preDEL!$AG239,IFERROR(0/0,""),preDEL!F239)</f>
        <v/>
      </c>
      <c r="G239" s="94" t="str">
        <f>IF(preDEL!$AG239,IFERROR(0/0,""),preDEL!G239)</f>
        <v/>
      </c>
      <c r="H239" s="94" t="str">
        <f>IF(preDEL!$AG239,IFERROR(0/0,""),preDEL!H239)</f>
        <v/>
      </c>
      <c r="I239" s="249" t="str">
        <f>IF(preDEL!$AG239,IFERROR(0/0,""),preDEL!I239)</f>
        <v/>
      </c>
      <c r="J239" s="249" t="str">
        <f>IF(preDEL!$AG239,IFERROR(0/0,""),preDEL!J239)</f>
        <v/>
      </c>
      <c r="K239" s="249" t="str">
        <f>IF(preDEL!$AG239,IFERROR(0/0,""),preDEL!K239)</f>
        <v>Negative</v>
      </c>
      <c r="L239" s="250">
        <f>IF(preDEL!$AG239,IFERROR(0/0,""),preDEL!L239)</f>
        <v>44753</v>
      </c>
      <c r="M239" s="251">
        <f>IF(preDEL!$AG239,IFERROR(0/0,""),preDEL!M239)</f>
        <v>0.3984027778</v>
      </c>
      <c r="N239" s="94" t="str">
        <f>IF(preDEL!$AG239,IFERROR(0/0,""),preDEL!N239)</f>
        <v/>
      </c>
      <c r="O239" s="94" t="str">
        <f>IF(preDEL!$AG239,IFERROR(0/0,""),preDEL!O239)</f>
        <v/>
      </c>
      <c r="P239" s="93" t="b">
        <f>IF(preDEL!$AG239,IFERROR(0/0,""),preDEL!P239)</f>
        <v>0</v>
      </c>
      <c r="Q239" s="93" t="str">
        <f>IF(preDEL!$AG239,IFERROR(0/0,""),preDEL!Q239)</f>
        <v>Result</v>
      </c>
      <c r="R239" s="99" t="b">
        <f>IF(preDEL!$AG239,IFERROR(0/0,""),preDEL!R239)</f>
        <v>0</v>
      </c>
      <c r="S239" s="99">
        <f>IF(preDEL!$AG239,IFERROR(0/0,""),preDEL!S239)</f>
        <v>2</v>
      </c>
      <c r="T239" s="93" t="str">
        <f>IF(preDEL!$AG239,IFERROR(0/0,""),preDEL!T239)</f>
        <v/>
      </c>
      <c r="U239" s="94" t="str">
        <f>IF(preDEL!$AG239,IFERROR(0/0,""),preDEL!U239)</f>
        <v/>
      </c>
      <c r="V239" s="249" t="str">
        <f>IF(preDEL!$AG239,IFERROR(0/0,""),preDEL!V239)</f>
        <v/>
      </c>
      <c r="W239" s="94" t="str">
        <f>IF(preDEL!$AG239,IFERROR(0/0,""),preDEL!W239)</f>
        <v/>
      </c>
      <c r="X239" s="99" t="b">
        <f>IF(preDEL!$AG239,IFERROR(0/0,""),preDEL!X239)</f>
        <v>0</v>
      </c>
      <c r="Y239" s="93" t="str">
        <f>IF(preDEL!$AG239,IFERROR(0/0,""),preDEL!Y239)</f>
        <v/>
      </c>
      <c r="Z239" s="249" t="str">
        <f>IF(preDEL!$AG239,IFERROR(0/0,""),preDEL!Z239)</f>
        <v/>
      </c>
      <c r="AA239" s="93" t="b">
        <f>IF(preDEL!$AG239,IFERROR(0/0,""),preDEL!AA239)</f>
        <v>0</v>
      </c>
      <c r="AB239" s="93" t="str">
        <f>IF(preDEL!$AG239,IFERROR(0/0,""),preDEL!AB239)</f>
        <v/>
      </c>
      <c r="AC239" s="252">
        <f>IF(preDEL!$AG239,IFERROR(0/0,""),preDEL!AC239)</f>
        <v>23</v>
      </c>
      <c r="AD239" s="99" t="str">
        <f>IF(preDEL!$AG239,IFERROR(0/0,""),preDEL!AD239)</f>
        <v/>
      </c>
      <c r="AE239" s="253">
        <f>IF(preDEL!$AG239,IFERROR(0/0,""),preDEL!AE239)</f>
        <v>209.7833333</v>
      </c>
      <c r="AF239" s="93" t="b">
        <f>IF(preDEL!$AG239,IFERROR(0/0,""),preDEL!AF239)</f>
        <v>0</v>
      </c>
      <c r="AG239" s="93" t="b">
        <f>IF(preDEL!$AG239,IFERROR(0/0,""),preDEL!AG239)</f>
        <v>0</v>
      </c>
      <c r="AH239" s="99" t="str">
        <f>IF(preDEL!$AG239,IFERROR(0/0,""),preDEL!AH239)</f>
        <v/>
      </c>
      <c r="AI239" s="249" t="str">
        <f>IF(preDEL!$AG239,IFERROR(0/0,""),preDEL!AI239)</f>
        <v/>
      </c>
      <c r="AJ239" s="94" t="str">
        <f>IF(preDEL!$AG239,IFERROR(0/0,""),preDEL!AJ239)</f>
        <v/>
      </c>
      <c r="AK239" s="249" t="str">
        <f>IF(preDEL!$AG239,IFERROR(0/0,""),preDEL!AK239)</f>
        <v>Negative</v>
      </c>
      <c r="AL239" s="94" t="str">
        <f>IF(preDEL!$AG239,IFERROR(0/0,""),preDEL!AL239)</f>
        <v/>
      </c>
      <c r="AM239" s="94" t="str">
        <f>IF(preDEL!$AG239,IFERROR(0/0,""),preDEL!AM239)</f>
        <v>SpNDHM966349</v>
      </c>
      <c r="AN239" s="94" t="str">
        <f>IF(preDEL!$AG239,IFERROR(0/0,""),preDEL!AN239)</f>
        <v>NDHM584295</v>
      </c>
      <c r="AO239" s="94" t="str">
        <f>IF(preDEL!$AG239,IFERROR(0/0,""),preDEL!AO239)</f>
        <v/>
      </c>
      <c r="AP239" s="94" t="str">
        <f>IF(preDEL!$AG239,IFERROR(0/0,""),preDEL!AP239)</f>
        <v/>
      </c>
      <c r="AQ239" s="94" t="str">
        <f>IF(preDEL!$AG239,IFERROR(0/0,""),preDEL!AQ239)</f>
        <v/>
      </c>
      <c r="AR239" s="94" t="str">
        <f>IF(preDEL!$AG239,IFERROR(0/0,""),preDEL!AR239)</f>
        <v/>
      </c>
      <c r="AS239" s="98"/>
      <c r="BE239" s="254"/>
      <c r="BF239" s="255"/>
      <c r="BG239" s="254"/>
      <c r="BH239" s="255"/>
      <c r="BI239" s="254"/>
      <c r="BJ239" s="254"/>
      <c r="BK239" s="254"/>
      <c r="BL239" s="254"/>
      <c r="BN239" s="7"/>
      <c r="BO239" s="7"/>
      <c r="BP239" s="7"/>
      <c r="BQ239" s="7"/>
      <c r="BR239" s="7"/>
      <c r="BS239" s="7"/>
      <c r="BT239" s="7"/>
    </row>
    <row r="240">
      <c r="A240" s="249" t="str">
        <f>IF(preDEL!$AG240,IFERROR(0/0,""),preDEL!A240)</f>
        <v/>
      </c>
      <c r="B240" s="250" t="str">
        <f>IF(preDEL!$AG240,IFERROR(0/0,""),preDEL!B240)</f>
        <v/>
      </c>
      <c r="C240" s="251" t="str">
        <f>IF(preDEL!$AG240,IFERROR(0/0,""),preDEL!C240)</f>
        <v/>
      </c>
      <c r="D240" s="249" t="str">
        <f>IF(preDEL!$AG240,IFERROR(0/0,""),preDEL!D240)</f>
        <v/>
      </c>
      <c r="E240" s="249" t="str">
        <f>IF(preDEL!$AG240,IFERROR(0/0,""),preDEL!E240)</f>
        <v/>
      </c>
      <c r="F240" s="94" t="str">
        <f>IF(preDEL!$AG240,IFERROR(0/0,""),preDEL!F240)</f>
        <v/>
      </c>
      <c r="G240" s="94" t="str">
        <f>IF(preDEL!$AG240,IFERROR(0/0,""),preDEL!G240)</f>
        <v/>
      </c>
      <c r="H240" s="94" t="str">
        <f>IF(preDEL!$AG240,IFERROR(0/0,""),preDEL!H240)</f>
        <v/>
      </c>
      <c r="I240" s="249" t="str">
        <f>IF(preDEL!$AG240,IFERROR(0/0,""),preDEL!I240)</f>
        <v/>
      </c>
      <c r="J240" s="249" t="str">
        <f>IF(preDEL!$AG240,IFERROR(0/0,""),preDEL!J240)</f>
        <v/>
      </c>
      <c r="K240" s="249" t="str">
        <f>IF(preDEL!$AG240,IFERROR(0/0,""),preDEL!K240)</f>
        <v/>
      </c>
      <c r="L240" s="250" t="str">
        <f>IF(preDEL!$AG240,IFERROR(0/0,""),preDEL!L240)</f>
        <v/>
      </c>
      <c r="M240" s="251" t="str">
        <f>IF(preDEL!$AG240,IFERROR(0/0,""),preDEL!M240)</f>
        <v/>
      </c>
      <c r="N240" s="94" t="str">
        <f>IF(preDEL!$AG240,IFERROR(0/0,""),preDEL!N240)</f>
        <v/>
      </c>
      <c r="O240" s="94" t="str">
        <f>IF(preDEL!$AG240,IFERROR(0/0,""),preDEL!O240)</f>
        <v/>
      </c>
      <c r="P240" s="93" t="str">
        <f>IF(preDEL!$AG240,IFERROR(0/0,""),preDEL!P240)</f>
        <v/>
      </c>
      <c r="Q240" s="93" t="str">
        <f>IF(preDEL!$AG240,IFERROR(0/0,""),preDEL!Q240)</f>
        <v/>
      </c>
      <c r="R240" s="99" t="str">
        <f>IF(preDEL!$AG240,IFERROR(0/0,""),preDEL!R240)</f>
        <v/>
      </c>
      <c r="S240" s="99" t="str">
        <f>IF(preDEL!$AG240,IFERROR(0/0,""),preDEL!S240)</f>
        <v/>
      </c>
      <c r="T240" s="93" t="str">
        <f>IF(preDEL!$AG240,IFERROR(0/0,""),preDEL!T240)</f>
        <v/>
      </c>
      <c r="U240" s="94" t="str">
        <f>IF(preDEL!$AG240,IFERROR(0/0,""),preDEL!U240)</f>
        <v/>
      </c>
      <c r="V240" s="249" t="str">
        <f>IF(preDEL!$AG240,IFERROR(0/0,""),preDEL!V240)</f>
        <v/>
      </c>
      <c r="W240" s="94" t="str">
        <f>IF(preDEL!$AG240,IFERROR(0/0,""),preDEL!W240)</f>
        <v/>
      </c>
      <c r="X240" s="99" t="str">
        <f>IF(preDEL!$AG240,IFERROR(0/0,""),preDEL!X240)</f>
        <v/>
      </c>
      <c r="Y240" s="93" t="str">
        <f>IF(preDEL!$AG240,IFERROR(0/0,""),preDEL!Y240)</f>
        <v/>
      </c>
      <c r="Z240" s="249" t="str">
        <f>IF(preDEL!$AG240,IFERROR(0/0,""),preDEL!Z240)</f>
        <v/>
      </c>
      <c r="AA240" s="93" t="str">
        <f>IF(preDEL!$AG240,IFERROR(0/0,""),preDEL!AA240)</f>
        <v/>
      </c>
      <c r="AB240" s="93" t="str">
        <f>IF(preDEL!$AG240,IFERROR(0/0,""),preDEL!AB240)</f>
        <v/>
      </c>
      <c r="AC240" s="252" t="str">
        <f>IF(preDEL!$AG240,IFERROR(0/0,""),preDEL!AC240)</f>
        <v/>
      </c>
      <c r="AD240" s="99" t="str">
        <f>IF(preDEL!$AG240,IFERROR(0/0,""),preDEL!AD240)</f>
        <v/>
      </c>
      <c r="AE240" s="253" t="str">
        <f>IF(preDEL!$AG240,IFERROR(0/0,""),preDEL!AE240)</f>
        <v/>
      </c>
      <c r="AF240" s="93" t="str">
        <f>IF(preDEL!$AG240,IFERROR(0/0,""),preDEL!AF240)</f>
        <v/>
      </c>
      <c r="AG240" s="93" t="str">
        <f>IF(preDEL!$AG240,IFERROR(0/0,""),preDEL!AG240)</f>
        <v/>
      </c>
      <c r="AH240" s="99" t="str">
        <f>IF(preDEL!$AG240,IFERROR(0/0,""),preDEL!AH240)</f>
        <v/>
      </c>
      <c r="AI240" s="249" t="str">
        <f>IF(preDEL!$AG240,IFERROR(0/0,""),preDEL!AI240)</f>
        <v/>
      </c>
      <c r="AJ240" s="94" t="str">
        <f>IF(preDEL!$AG240,IFERROR(0/0,""),preDEL!AJ240)</f>
        <v/>
      </c>
      <c r="AK240" s="249" t="str">
        <f>IF(preDEL!$AG240,IFERROR(0/0,""),preDEL!AK240)</f>
        <v/>
      </c>
      <c r="AL240" s="94" t="str">
        <f>IF(preDEL!$AG240,IFERROR(0/0,""),preDEL!AL240)</f>
        <v/>
      </c>
      <c r="AM240" s="94" t="str">
        <f>IF(preDEL!$AG240,IFERROR(0/0,""),preDEL!AM240)</f>
        <v/>
      </c>
      <c r="AN240" s="94" t="str">
        <f>IF(preDEL!$AG240,IFERROR(0/0,""),preDEL!AN240)</f>
        <v/>
      </c>
      <c r="AO240" s="94" t="str">
        <f>IF(preDEL!$AG240,IFERROR(0/0,""),preDEL!AO240)</f>
        <v/>
      </c>
      <c r="AP240" s="94" t="str">
        <f>IF(preDEL!$AG240,IFERROR(0/0,""),preDEL!AP240)</f>
        <v/>
      </c>
      <c r="AQ240" s="94" t="str">
        <f>IF(preDEL!$AG240,IFERROR(0/0,""),preDEL!AQ240)</f>
        <v/>
      </c>
      <c r="AR240" s="94" t="str">
        <f>IF(preDEL!$AG240,IFERROR(0/0,""),preDEL!AR240)</f>
        <v/>
      </c>
      <c r="AS240" s="98"/>
      <c r="BE240" s="254"/>
      <c r="BF240" s="255"/>
      <c r="BG240" s="254"/>
      <c r="BH240" s="255"/>
      <c r="BI240" s="254"/>
      <c r="BJ240" s="254"/>
      <c r="BK240" s="254"/>
      <c r="BL240" s="254"/>
      <c r="BN240" s="7"/>
      <c r="BO240" s="7"/>
      <c r="BP240" s="7"/>
      <c r="BQ240" s="7"/>
      <c r="BR240" s="7"/>
      <c r="BS240" s="7"/>
      <c r="BT240" s="7"/>
    </row>
    <row r="241">
      <c r="A241" s="249" t="str">
        <f>IF(preDEL!$AG241,IFERROR(0/0,""),preDEL!A241)</f>
        <v/>
      </c>
      <c r="B241" s="250" t="str">
        <f>IF(preDEL!$AG241,IFERROR(0/0,""),preDEL!B241)</f>
        <v/>
      </c>
      <c r="C241" s="251" t="str">
        <f>IF(preDEL!$AG241,IFERROR(0/0,""),preDEL!C241)</f>
        <v/>
      </c>
      <c r="D241" s="249" t="str">
        <f>IF(preDEL!$AG241,IFERROR(0/0,""),preDEL!D241)</f>
        <v/>
      </c>
      <c r="E241" s="249" t="str">
        <f>IF(preDEL!$AG241,IFERROR(0/0,""),preDEL!E241)</f>
        <v/>
      </c>
      <c r="F241" s="94" t="str">
        <f>IF(preDEL!$AG241,IFERROR(0/0,""),preDEL!F241)</f>
        <v/>
      </c>
      <c r="G241" s="94" t="str">
        <f>IF(preDEL!$AG241,IFERROR(0/0,""),preDEL!G241)</f>
        <v/>
      </c>
      <c r="H241" s="94" t="str">
        <f>IF(preDEL!$AG241,IFERROR(0/0,""),preDEL!H241)</f>
        <v/>
      </c>
      <c r="I241" s="249" t="str">
        <f>IF(preDEL!$AG241,IFERROR(0/0,""),preDEL!I241)</f>
        <v/>
      </c>
      <c r="J241" s="249" t="str">
        <f>IF(preDEL!$AG241,IFERROR(0/0,""),preDEL!J241)</f>
        <v/>
      </c>
      <c r="K241" s="249" t="str">
        <f>IF(preDEL!$AG241,IFERROR(0/0,""),preDEL!K241)</f>
        <v/>
      </c>
      <c r="L241" s="250" t="str">
        <f>IF(preDEL!$AG241,IFERROR(0/0,""),preDEL!L241)</f>
        <v/>
      </c>
      <c r="M241" s="251" t="str">
        <f>IF(preDEL!$AG241,IFERROR(0/0,""),preDEL!M241)</f>
        <v/>
      </c>
      <c r="N241" s="94" t="str">
        <f>IF(preDEL!$AG241,IFERROR(0/0,""),preDEL!N241)</f>
        <v/>
      </c>
      <c r="O241" s="94" t="str">
        <f>IF(preDEL!$AG241,IFERROR(0/0,""),preDEL!O241)</f>
        <v/>
      </c>
      <c r="P241" s="93" t="str">
        <f>IF(preDEL!$AG241,IFERROR(0/0,""),preDEL!P241)</f>
        <v/>
      </c>
      <c r="Q241" s="93" t="str">
        <f>IF(preDEL!$AG241,IFERROR(0/0,""),preDEL!Q241)</f>
        <v/>
      </c>
      <c r="R241" s="99" t="str">
        <f>IF(preDEL!$AG241,IFERROR(0/0,""),preDEL!R241)</f>
        <v/>
      </c>
      <c r="S241" s="99" t="str">
        <f>IF(preDEL!$AG241,IFERROR(0/0,""),preDEL!S241)</f>
        <v/>
      </c>
      <c r="T241" s="93" t="str">
        <f>IF(preDEL!$AG241,IFERROR(0/0,""),preDEL!T241)</f>
        <v/>
      </c>
      <c r="U241" s="94" t="str">
        <f>IF(preDEL!$AG241,IFERROR(0/0,""),preDEL!U241)</f>
        <v/>
      </c>
      <c r="V241" s="249" t="str">
        <f>IF(preDEL!$AG241,IFERROR(0/0,""),preDEL!V241)</f>
        <v/>
      </c>
      <c r="W241" s="94" t="str">
        <f>IF(preDEL!$AG241,IFERROR(0/0,""),preDEL!W241)</f>
        <v/>
      </c>
      <c r="X241" s="99" t="str">
        <f>IF(preDEL!$AG241,IFERROR(0/0,""),preDEL!X241)</f>
        <v/>
      </c>
      <c r="Y241" s="93" t="str">
        <f>IF(preDEL!$AG241,IFERROR(0/0,""),preDEL!Y241)</f>
        <v/>
      </c>
      <c r="Z241" s="249" t="str">
        <f>IF(preDEL!$AG241,IFERROR(0/0,""),preDEL!Z241)</f>
        <v/>
      </c>
      <c r="AA241" s="93" t="str">
        <f>IF(preDEL!$AG241,IFERROR(0/0,""),preDEL!AA241)</f>
        <v/>
      </c>
      <c r="AB241" s="93" t="str">
        <f>IF(preDEL!$AG241,IFERROR(0/0,""),preDEL!AB241)</f>
        <v/>
      </c>
      <c r="AC241" s="252" t="str">
        <f>IF(preDEL!$AG241,IFERROR(0/0,""),preDEL!AC241)</f>
        <v/>
      </c>
      <c r="AD241" s="99" t="str">
        <f>IF(preDEL!$AG241,IFERROR(0/0,""),preDEL!AD241)</f>
        <v/>
      </c>
      <c r="AE241" s="253" t="str">
        <f>IF(preDEL!$AG241,IFERROR(0/0,""),preDEL!AE241)</f>
        <v/>
      </c>
      <c r="AF241" s="93" t="str">
        <f>IF(preDEL!$AG241,IFERROR(0/0,""),preDEL!AF241)</f>
        <v/>
      </c>
      <c r="AG241" s="93" t="str">
        <f>IF(preDEL!$AG241,IFERROR(0/0,""),preDEL!AG241)</f>
        <v/>
      </c>
      <c r="AH241" s="99" t="str">
        <f>IF(preDEL!$AG241,IFERROR(0/0,""),preDEL!AH241)</f>
        <v/>
      </c>
      <c r="AI241" s="249" t="str">
        <f>IF(preDEL!$AG241,IFERROR(0/0,""),preDEL!AI241)</f>
        <v/>
      </c>
      <c r="AJ241" s="94" t="str">
        <f>IF(preDEL!$AG241,IFERROR(0/0,""),preDEL!AJ241)</f>
        <v/>
      </c>
      <c r="AK241" s="249" t="str">
        <f>IF(preDEL!$AG241,IFERROR(0/0,""),preDEL!AK241)</f>
        <v/>
      </c>
      <c r="AL241" s="94" t="str">
        <f>IF(preDEL!$AG241,IFERROR(0/0,""),preDEL!AL241)</f>
        <v/>
      </c>
      <c r="AM241" s="94" t="str">
        <f>IF(preDEL!$AG241,IFERROR(0/0,""),preDEL!AM241)</f>
        <v/>
      </c>
      <c r="AN241" s="94" t="str">
        <f>IF(preDEL!$AG241,IFERROR(0/0,""),preDEL!AN241)</f>
        <v/>
      </c>
      <c r="AO241" s="94" t="str">
        <f>IF(preDEL!$AG241,IFERROR(0/0,""),preDEL!AO241)</f>
        <v/>
      </c>
      <c r="AP241" s="94" t="str">
        <f>IF(preDEL!$AG241,IFERROR(0/0,""),preDEL!AP241)</f>
        <v/>
      </c>
      <c r="AQ241" s="94" t="str">
        <f>IF(preDEL!$AG241,IFERROR(0/0,""),preDEL!AQ241)</f>
        <v/>
      </c>
      <c r="AR241" s="94" t="str">
        <f>IF(preDEL!$AG241,IFERROR(0/0,""),preDEL!AR241)</f>
        <v/>
      </c>
      <c r="AS241" s="98"/>
      <c r="BE241" s="254"/>
      <c r="BF241" s="255"/>
      <c r="BG241" s="254"/>
      <c r="BH241" s="255"/>
      <c r="BI241" s="254"/>
      <c r="BJ241" s="254"/>
      <c r="BK241" s="254"/>
      <c r="BL241" s="254"/>
      <c r="BN241" s="7"/>
      <c r="BO241" s="7"/>
      <c r="BP241" s="7"/>
      <c r="BQ241" s="7"/>
      <c r="BR241" s="7"/>
      <c r="BS241" s="7"/>
      <c r="BT241" s="7"/>
    </row>
    <row r="242">
      <c r="A242" s="249" t="str">
        <f>IF(preDEL!$AG242,IFERROR(0/0,""),preDEL!A242)</f>
        <v/>
      </c>
      <c r="B242" s="250" t="str">
        <f>IF(preDEL!$AG242,IFERROR(0/0,""),preDEL!B242)</f>
        <v/>
      </c>
      <c r="C242" s="251" t="str">
        <f>IF(preDEL!$AG242,IFERROR(0/0,""),preDEL!C242)</f>
        <v/>
      </c>
      <c r="D242" s="249" t="str">
        <f>IF(preDEL!$AG242,IFERROR(0/0,""),preDEL!D242)</f>
        <v/>
      </c>
      <c r="E242" s="249" t="str">
        <f>IF(preDEL!$AG242,IFERROR(0/0,""),preDEL!E242)</f>
        <v/>
      </c>
      <c r="F242" s="94" t="str">
        <f>IF(preDEL!$AG242,IFERROR(0/0,""),preDEL!F242)</f>
        <v/>
      </c>
      <c r="G242" s="94" t="str">
        <f>IF(preDEL!$AG242,IFERROR(0/0,""),preDEL!G242)</f>
        <v/>
      </c>
      <c r="H242" s="94" t="str">
        <f>IF(preDEL!$AG242,IFERROR(0/0,""),preDEL!H242)</f>
        <v/>
      </c>
      <c r="I242" s="249" t="str">
        <f>IF(preDEL!$AG242,IFERROR(0/0,""),preDEL!I242)</f>
        <v/>
      </c>
      <c r="J242" s="249" t="str">
        <f>IF(preDEL!$AG242,IFERROR(0/0,""),preDEL!J242)</f>
        <v/>
      </c>
      <c r="K242" s="249" t="str">
        <f>IF(preDEL!$AG242,IFERROR(0/0,""),preDEL!K242)</f>
        <v/>
      </c>
      <c r="L242" s="250" t="str">
        <f>IF(preDEL!$AG242,IFERROR(0/0,""),preDEL!L242)</f>
        <v/>
      </c>
      <c r="M242" s="251" t="str">
        <f>IF(preDEL!$AG242,IFERROR(0/0,""),preDEL!M242)</f>
        <v/>
      </c>
      <c r="N242" s="94" t="str">
        <f>IF(preDEL!$AG242,IFERROR(0/0,""),preDEL!N242)</f>
        <v/>
      </c>
      <c r="O242" s="94" t="str">
        <f>IF(preDEL!$AG242,IFERROR(0/0,""),preDEL!O242)</f>
        <v/>
      </c>
      <c r="P242" s="93" t="str">
        <f>IF(preDEL!$AG242,IFERROR(0/0,""),preDEL!P242)</f>
        <v/>
      </c>
      <c r="Q242" s="93" t="str">
        <f>IF(preDEL!$AG242,IFERROR(0/0,""),preDEL!Q242)</f>
        <v/>
      </c>
      <c r="R242" s="99" t="str">
        <f>IF(preDEL!$AG242,IFERROR(0/0,""),preDEL!R242)</f>
        <v/>
      </c>
      <c r="S242" s="99" t="str">
        <f>IF(preDEL!$AG242,IFERROR(0/0,""),preDEL!S242)</f>
        <v/>
      </c>
      <c r="T242" s="93" t="str">
        <f>IF(preDEL!$AG242,IFERROR(0/0,""),preDEL!T242)</f>
        <v/>
      </c>
      <c r="U242" s="94" t="str">
        <f>IF(preDEL!$AG242,IFERROR(0/0,""),preDEL!U242)</f>
        <v/>
      </c>
      <c r="V242" s="249" t="str">
        <f>IF(preDEL!$AG242,IFERROR(0/0,""),preDEL!V242)</f>
        <v/>
      </c>
      <c r="W242" s="94" t="str">
        <f>IF(preDEL!$AG242,IFERROR(0/0,""),preDEL!W242)</f>
        <v/>
      </c>
      <c r="X242" s="99" t="str">
        <f>IF(preDEL!$AG242,IFERROR(0/0,""),preDEL!X242)</f>
        <v/>
      </c>
      <c r="Y242" s="93" t="str">
        <f>IF(preDEL!$AG242,IFERROR(0/0,""),preDEL!Y242)</f>
        <v/>
      </c>
      <c r="Z242" s="249" t="str">
        <f>IF(preDEL!$AG242,IFERROR(0/0,""),preDEL!Z242)</f>
        <v/>
      </c>
      <c r="AA242" s="93" t="str">
        <f>IF(preDEL!$AG242,IFERROR(0/0,""),preDEL!AA242)</f>
        <v/>
      </c>
      <c r="AB242" s="93" t="str">
        <f>IF(preDEL!$AG242,IFERROR(0/0,""),preDEL!AB242)</f>
        <v/>
      </c>
      <c r="AC242" s="252" t="str">
        <f>IF(preDEL!$AG242,IFERROR(0/0,""),preDEL!AC242)</f>
        <v/>
      </c>
      <c r="AD242" s="99" t="str">
        <f>IF(preDEL!$AG242,IFERROR(0/0,""),preDEL!AD242)</f>
        <v/>
      </c>
      <c r="AE242" s="253" t="str">
        <f>IF(preDEL!$AG242,IFERROR(0/0,""),preDEL!AE242)</f>
        <v/>
      </c>
      <c r="AF242" s="93" t="str">
        <f>IF(preDEL!$AG242,IFERROR(0/0,""),preDEL!AF242)</f>
        <v/>
      </c>
      <c r="AG242" s="93" t="str">
        <f>IF(preDEL!$AG242,IFERROR(0/0,""),preDEL!AG242)</f>
        <v/>
      </c>
      <c r="AH242" s="99" t="str">
        <f>IF(preDEL!$AG242,IFERROR(0/0,""),preDEL!AH242)</f>
        <v/>
      </c>
      <c r="AI242" s="249" t="str">
        <f>IF(preDEL!$AG242,IFERROR(0/0,""),preDEL!AI242)</f>
        <v/>
      </c>
      <c r="AJ242" s="94" t="str">
        <f>IF(preDEL!$AG242,IFERROR(0/0,""),preDEL!AJ242)</f>
        <v/>
      </c>
      <c r="AK242" s="249" t="str">
        <f>IF(preDEL!$AG242,IFERROR(0/0,""),preDEL!AK242)</f>
        <v/>
      </c>
      <c r="AL242" s="94" t="str">
        <f>IF(preDEL!$AG242,IFERROR(0/0,""),preDEL!AL242)</f>
        <v/>
      </c>
      <c r="AM242" s="94" t="str">
        <f>IF(preDEL!$AG242,IFERROR(0/0,""),preDEL!AM242)</f>
        <v/>
      </c>
      <c r="AN242" s="94" t="str">
        <f>IF(preDEL!$AG242,IFERROR(0/0,""),preDEL!AN242)</f>
        <v/>
      </c>
      <c r="AO242" s="94" t="str">
        <f>IF(preDEL!$AG242,IFERROR(0/0,""),preDEL!AO242)</f>
        <v/>
      </c>
      <c r="AP242" s="94" t="str">
        <f>IF(preDEL!$AG242,IFERROR(0/0,""),preDEL!AP242)</f>
        <v/>
      </c>
      <c r="AQ242" s="94" t="str">
        <f>IF(preDEL!$AG242,IFERROR(0/0,""),preDEL!AQ242)</f>
        <v/>
      </c>
      <c r="AR242" s="94" t="str">
        <f>IF(preDEL!$AG242,IFERROR(0/0,""),preDEL!AR242)</f>
        <v/>
      </c>
      <c r="AS242" s="98"/>
      <c r="BE242" s="254"/>
      <c r="BF242" s="255"/>
      <c r="BG242" s="254"/>
      <c r="BH242" s="255"/>
      <c r="BI242" s="254"/>
      <c r="BJ242" s="254"/>
      <c r="BK242" s="254"/>
      <c r="BL242" s="254"/>
      <c r="BN242" s="7"/>
      <c r="BO242" s="7"/>
      <c r="BP242" s="7"/>
      <c r="BQ242" s="7"/>
      <c r="BR242" s="7"/>
      <c r="BS242" s="7"/>
      <c r="BT242" s="7"/>
    </row>
    <row r="243">
      <c r="A243" s="249" t="str">
        <f>IF(preDEL!$AG243,IFERROR(0/0,""),preDEL!A243)</f>
        <v>AH7951</v>
      </c>
      <c r="B243" s="250">
        <f>IF(preDEL!$AG243,IFERROR(0/0,""),preDEL!B243)</f>
        <v>44760</v>
      </c>
      <c r="C243" s="251">
        <f>IF(preDEL!$AG243,IFERROR(0/0,""),preDEL!C243)</f>
        <v>0.3808796296</v>
      </c>
      <c r="D243" s="249" t="str">
        <f>IF(preDEL!$AG243,IFERROR(0/0,""),preDEL!D243)</f>
        <v/>
      </c>
      <c r="E243" s="249" t="str">
        <f>IF(preDEL!$AG243,IFERROR(0/0,""),preDEL!E243)</f>
        <v/>
      </c>
      <c r="F243" s="94" t="str">
        <f>IF(preDEL!$AG243,IFERROR(0/0,""),preDEL!F243)</f>
        <v/>
      </c>
      <c r="G243" s="94" t="str">
        <f>IF(preDEL!$AG243,IFERROR(0/0,""),preDEL!G243)</f>
        <v/>
      </c>
      <c r="H243" s="94" t="str">
        <f>IF(preDEL!$AG243,IFERROR(0/0,""),preDEL!H243)</f>
        <v/>
      </c>
      <c r="I243" s="249" t="str">
        <f>IF(preDEL!$AG243,IFERROR(0/0,""),preDEL!I243)</f>
        <v/>
      </c>
      <c r="J243" s="249" t="str">
        <f>IF(preDEL!$AG243,IFERROR(0/0,""),preDEL!J243)</f>
        <v/>
      </c>
      <c r="K243" s="249" t="str">
        <f>IF(preDEL!$AG243,IFERROR(0/0,""),preDEL!K243)</f>
        <v>Negative</v>
      </c>
      <c r="L243" s="250">
        <f>IF(preDEL!$AG243,IFERROR(0/0,""),preDEL!L243)</f>
        <v>44760</v>
      </c>
      <c r="M243" s="251">
        <f>IF(preDEL!$AG243,IFERROR(0/0,""),preDEL!M243)</f>
        <v>0.4209143519</v>
      </c>
      <c r="N243" s="94" t="str">
        <f>IF(preDEL!$AG243,IFERROR(0/0,""),preDEL!N243)</f>
        <v/>
      </c>
      <c r="O243" s="94" t="str">
        <f>IF(preDEL!$AG243,IFERROR(0/0,""),preDEL!O243)</f>
        <v/>
      </c>
      <c r="P243" s="93" t="b">
        <f>IF(preDEL!$AG243,IFERROR(0/0,""),preDEL!P243)</f>
        <v>0</v>
      </c>
      <c r="Q243" s="93" t="str">
        <f>IF(preDEL!$AG243,IFERROR(0/0,""),preDEL!Q243)</f>
        <v>Result</v>
      </c>
      <c r="R243" s="99" t="b">
        <f>IF(preDEL!$AG243,IFERROR(0/0,""),preDEL!R243)</f>
        <v>1</v>
      </c>
      <c r="S243" s="99">
        <f>IF(preDEL!$AG243,IFERROR(0/0,""),preDEL!S243)</f>
        <v>2</v>
      </c>
      <c r="T243" s="93" t="str">
        <f>IF(preDEL!$AG243,IFERROR(0/0,""),preDEL!T243)</f>
        <v/>
      </c>
      <c r="U243" s="94" t="str">
        <f>IF(preDEL!$AG243,IFERROR(0/0,""),preDEL!U243)</f>
        <v/>
      </c>
      <c r="V243" s="249" t="str">
        <f>IF(preDEL!$AG243,IFERROR(0/0,""),preDEL!V243)</f>
        <v/>
      </c>
      <c r="W243" s="94" t="str">
        <f>IF(preDEL!$AG243,IFERROR(0/0,""),preDEL!W243)</f>
        <v/>
      </c>
      <c r="X243" s="99" t="b">
        <f>IF(preDEL!$AG243,IFERROR(0/0,""),preDEL!X243)</f>
        <v>0</v>
      </c>
      <c r="Y243" s="93" t="str">
        <f>IF(preDEL!$AG243,IFERROR(0/0,""),preDEL!Y243)</f>
        <v/>
      </c>
      <c r="Z243" s="249" t="str">
        <f>IF(preDEL!$AG243,IFERROR(0/0,""),preDEL!Z243)</f>
        <v/>
      </c>
      <c r="AA243" s="93" t="b">
        <f>IF(preDEL!$AG243,IFERROR(0/0,""),preDEL!AA243)</f>
        <v>0</v>
      </c>
      <c r="AB243" s="93" t="str">
        <f>IF(preDEL!$AG243,IFERROR(0/0,""),preDEL!AB243)</f>
        <v/>
      </c>
      <c r="AC243" s="252">
        <f>IF(preDEL!$AG243,IFERROR(0/0,""),preDEL!AC243)</f>
        <v>21</v>
      </c>
      <c r="AD243" s="99" t="str">
        <f>IF(preDEL!$AG243,IFERROR(0/0,""),preDEL!AD243)</f>
        <v/>
      </c>
      <c r="AE243" s="253">
        <f>IF(preDEL!$AG243,IFERROR(0/0,""),preDEL!AE243)</f>
        <v>57.65</v>
      </c>
      <c r="AF243" s="93" t="b">
        <f>IF(preDEL!$AG243,IFERROR(0/0,""),preDEL!AF243)</f>
        <v>0</v>
      </c>
      <c r="AG243" s="93" t="b">
        <f>IF(preDEL!$AG243,IFERROR(0/0,""),preDEL!AG243)</f>
        <v>0</v>
      </c>
      <c r="AH243" s="99" t="str">
        <f>IF(preDEL!$AG243,IFERROR(0/0,""),preDEL!AH243)</f>
        <v/>
      </c>
      <c r="AI243" s="249" t="str">
        <f>IF(preDEL!$AG243,IFERROR(0/0,""),preDEL!AI243)</f>
        <v/>
      </c>
      <c r="AJ243" s="94" t="str">
        <f>IF(preDEL!$AG243,IFERROR(0/0,""),preDEL!AJ243)</f>
        <v/>
      </c>
      <c r="AK243" s="249" t="str">
        <f>IF(preDEL!$AG243,IFERROR(0/0,""),preDEL!AK243)</f>
        <v>Negative</v>
      </c>
      <c r="AL243" s="94" t="str">
        <f>IF(preDEL!$AG243,IFERROR(0/0,""),preDEL!AL243)</f>
        <v/>
      </c>
      <c r="AM243" s="94" t="str">
        <f>IF(preDEL!$AG243,IFERROR(0/0,""),preDEL!AM243)</f>
        <v>SpNDHM122532</v>
      </c>
      <c r="AN243" s="94" t="str">
        <f>IF(preDEL!$AG243,IFERROR(0/0,""),preDEL!AN243)</f>
        <v>NDHM618727</v>
      </c>
      <c r="AO243" s="94" t="str">
        <f>IF(preDEL!$AG243,IFERROR(0/0,""),preDEL!AO243)</f>
        <v/>
      </c>
      <c r="AP243" s="94" t="str">
        <f>IF(preDEL!$AG243,IFERROR(0/0,""),preDEL!AP243)</f>
        <v/>
      </c>
      <c r="AQ243" s="94" t="str">
        <f>IF(preDEL!$AG243,IFERROR(0/0,""),preDEL!AQ243)</f>
        <v/>
      </c>
      <c r="AR243" s="94" t="str">
        <f>IF(preDEL!$AG243,IFERROR(0/0,""),preDEL!AR243)</f>
        <v/>
      </c>
      <c r="AS243" s="98"/>
      <c r="BE243" s="254"/>
      <c r="BF243" s="255"/>
      <c r="BG243" s="254"/>
      <c r="BH243" s="255"/>
      <c r="BI243" s="254"/>
      <c r="BJ243" s="254"/>
      <c r="BK243" s="254"/>
      <c r="BL243" s="254"/>
      <c r="BN243" s="7"/>
      <c r="BO243" s="7"/>
      <c r="BP243" s="7"/>
      <c r="BQ243" s="7"/>
      <c r="BR243" s="7"/>
      <c r="BS243" s="7"/>
      <c r="BT243" s="7"/>
    </row>
    <row r="244">
      <c r="A244" s="249" t="str">
        <f>IF(preDEL!$AG244,IFERROR(0/0,""),preDEL!A244)</f>
        <v>AH7951</v>
      </c>
      <c r="B244" s="250">
        <f>IF(preDEL!$AG244,IFERROR(0/0,""),preDEL!B244)</f>
        <v>44760</v>
      </c>
      <c r="C244" s="251">
        <f>IF(preDEL!$AG244,IFERROR(0/0,""),preDEL!C244)</f>
        <v>0.3808796296</v>
      </c>
      <c r="D244" s="249" t="str">
        <f>IF(preDEL!$AG244,IFERROR(0/0,""),preDEL!D244)</f>
        <v/>
      </c>
      <c r="E244" s="249" t="str">
        <f>IF(preDEL!$AG244,IFERROR(0/0,""),preDEL!E244)</f>
        <v/>
      </c>
      <c r="F244" s="94" t="str">
        <f>IF(preDEL!$AG244,IFERROR(0/0,""),preDEL!F244)</f>
        <v/>
      </c>
      <c r="G244" s="94" t="str">
        <f>IF(preDEL!$AG244,IFERROR(0/0,""),preDEL!G244)</f>
        <v/>
      </c>
      <c r="H244" s="94" t="str">
        <f>IF(preDEL!$AG244,IFERROR(0/0,""),preDEL!H244)</f>
        <v/>
      </c>
      <c r="I244" s="249" t="str">
        <f>IF(preDEL!$AG244,IFERROR(0/0,""),preDEL!I244)</f>
        <v/>
      </c>
      <c r="J244" s="249" t="str">
        <f>IF(preDEL!$AG244,IFERROR(0/0,""),preDEL!J244)</f>
        <v/>
      </c>
      <c r="K244" s="249" t="str">
        <f>IF(preDEL!$AG244,IFERROR(0/0,""),preDEL!K244)</f>
        <v>Negative</v>
      </c>
      <c r="L244" s="250">
        <f>IF(preDEL!$AG244,IFERROR(0/0,""),preDEL!L244)</f>
        <v>44760</v>
      </c>
      <c r="M244" s="251">
        <f>IF(preDEL!$AG244,IFERROR(0/0,""),preDEL!M244)</f>
        <v>0.4209143519</v>
      </c>
      <c r="N244" s="94" t="str">
        <f>IF(preDEL!$AG244,IFERROR(0/0,""),preDEL!N244)</f>
        <v/>
      </c>
      <c r="O244" s="94" t="str">
        <f>IF(preDEL!$AG244,IFERROR(0/0,""),preDEL!O244)</f>
        <v/>
      </c>
      <c r="P244" s="93" t="b">
        <f>IF(preDEL!$AG244,IFERROR(0/0,""),preDEL!P244)</f>
        <v>0</v>
      </c>
      <c r="Q244" s="93" t="str">
        <f>IF(preDEL!$AG244,IFERROR(0/0,""),preDEL!Q244)</f>
        <v>Result</v>
      </c>
      <c r="R244" s="99" t="b">
        <f>IF(preDEL!$AG244,IFERROR(0/0,""),preDEL!R244)</f>
        <v>0</v>
      </c>
      <c r="S244" s="99">
        <f>IF(preDEL!$AG244,IFERROR(0/0,""),preDEL!S244)</f>
        <v>2</v>
      </c>
      <c r="T244" s="93" t="str">
        <f>IF(preDEL!$AG244,IFERROR(0/0,""),preDEL!T244)</f>
        <v/>
      </c>
      <c r="U244" s="94" t="str">
        <f>IF(preDEL!$AG244,IFERROR(0/0,""),preDEL!U244)</f>
        <v/>
      </c>
      <c r="V244" s="249" t="str">
        <f>IF(preDEL!$AG244,IFERROR(0/0,""),preDEL!V244)</f>
        <v/>
      </c>
      <c r="W244" s="94" t="str">
        <f>IF(preDEL!$AG244,IFERROR(0/0,""),preDEL!W244)</f>
        <v/>
      </c>
      <c r="X244" s="99" t="b">
        <f>IF(preDEL!$AG244,IFERROR(0/0,""),preDEL!X244)</f>
        <v>0</v>
      </c>
      <c r="Y244" s="93" t="str">
        <f>IF(preDEL!$AG244,IFERROR(0/0,""),preDEL!Y244)</f>
        <v/>
      </c>
      <c r="Z244" s="249" t="str">
        <f>IF(preDEL!$AG244,IFERROR(0/0,""),preDEL!Z244)</f>
        <v/>
      </c>
      <c r="AA244" s="93" t="b">
        <f>IF(preDEL!$AG244,IFERROR(0/0,""),preDEL!AA244)</f>
        <v>0</v>
      </c>
      <c r="AB244" s="93" t="str">
        <f>IF(preDEL!$AG244,IFERROR(0/0,""),preDEL!AB244)</f>
        <v/>
      </c>
      <c r="AC244" s="252">
        <f>IF(preDEL!$AG244,IFERROR(0/0,""),preDEL!AC244)</f>
        <v>20</v>
      </c>
      <c r="AD244" s="99" t="str">
        <f>IF(preDEL!$AG244,IFERROR(0/0,""),preDEL!AD244)</f>
        <v/>
      </c>
      <c r="AE244" s="253">
        <f>IF(preDEL!$AG244,IFERROR(0/0,""),preDEL!AE244)</f>
        <v>57.65</v>
      </c>
      <c r="AF244" s="93" t="b">
        <f>IF(preDEL!$AG244,IFERROR(0/0,""),preDEL!AF244)</f>
        <v>0</v>
      </c>
      <c r="AG244" s="93" t="b">
        <f>IF(preDEL!$AG244,IFERROR(0/0,""),preDEL!AG244)</f>
        <v>0</v>
      </c>
      <c r="AH244" s="99" t="str">
        <f>IF(preDEL!$AG244,IFERROR(0/0,""),preDEL!AH244)</f>
        <v/>
      </c>
      <c r="AI244" s="249" t="str">
        <f>IF(preDEL!$AG244,IFERROR(0/0,""),preDEL!AI244)</f>
        <v/>
      </c>
      <c r="AJ244" s="94" t="str">
        <f>IF(preDEL!$AG244,IFERROR(0/0,""),preDEL!AJ244)</f>
        <v/>
      </c>
      <c r="AK244" s="249" t="str">
        <f>IF(preDEL!$AG244,IFERROR(0/0,""),preDEL!AK244)</f>
        <v>Negative</v>
      </c>
      <c r="AL244" s="94" t="str">
        <f>IF(preDEL!$AG244,IFERROR(0/0,""),preDEL!AL244)</f>
        <v/>
      </c>
      <c r="AM244" s="94" t="str">
        <f>IF(preDEL!$AG244,IFERROR(0/0,""),preDEL!AM244)</f>
        <v>SpNDHM122532</v>
      </c>
      <c r="AN244" s="94" t="str">
        <f>IF(preDEL!$AG244,IFERROR(0/0,""),preDEL!AN244)</f>
        <v>NDHM466905</v>
      </c>
      <c r="AO244" s="94" t="str">
        <f>IF(preDEL!$AG244,IFERROR(0/0,""),preDEL!AO244)</f>
        <v/>
      </c>
      <c r="AP244" s="94" t="str">
        <f>IF(preDEL!$AG244,IFERROR(0/0,""),preDEL!AP244)</f>
        <v/>
      </c>
      <c r="AQ244" s="94" t="str">
        <f>IF(preDEL!$AG244,IFERROR(0/0,""),preDEL!AQ244)</f>
        <v/>
      </c>
      <c r="AR244" s="94" t="str">
        <f>IF(preDEL!$AG244,IFERROR(0/0,""),preDEL!AR244)</f>
        <v/>
      </c>
      <c r="AS244" s="98"/>
      <c r="BE244" s="254"/>
      <c r="BF244" s="255"/>
      <c r="BG244" s="254"/>
      <c r="BH244" s="255"/>
      <c r="BI244" s="254"/>
      <c r="BJ244" s="254"/>
      <c r="BK244" s="254"/>
      <c r="BL244" s="254"/>
      <c r="BN244" s="7"/>
      <c r="BO244" s="7"/>
      <c r="BP244" s="7"/>
      <c r="BQ244" s="7"/>
      <c r="BR244" s="7"/>
      <c r="BS244" s="7"/>
      <c r="BT244" s="7"/>
    </row>
    <row r="245">
      <c r="A245" s="249" t="str">
        <f>IF(preDEL!$AG245,IFERROR(0/0,""),preDEL!A245)</f>
        <v>AJ9836</v>
      </c>
      <c r="B245" s="250">
        <f>IF(preDEL!$AG245,IFERROR(0/0,""),preDEL!B245)</f>
        <v>44767</v>
      </c>
      <c r="C245" s="251">
        <f>IF(preDEL!$AG245,IFERROR(0/0,""),preDEL!C245)</f>
        <v>0.2065277778</v>
      </c>
      <c r="D245" s="249" t="str">
        <f>IF(preDEL!$AG245,IFERROR(0/0,""),preDEL!D245)</f>
        <v/>
      </c>
      <c r="E245" s="249" t="str">
        <f>IF(preDEL!$AG245,IFERROR(0/0,""),preDEL!E245)</f>
        <v/>
      </c>
      <c r="F245" s="94" t="str">
        <f>IF(preDEL!$AG245,IFERROR(0/0,""),preDEL!F245)</f>
        <v/>
      </c>
      <c r="G245" s="94" t="str">
        <f>IF(preDEL!$AG245,IFERROR(0/0,""),preDEL!G245)</f>
        <v/>
      </c>
      <c r="H245" s="94" t="str">
        <f>IF(preDEL!$AG245,IFERROR(0/0,""),preDEL!H245)</f>
        <v/>
      </c>
      <c r="I245" s="249" t="str">
        <f>IF(preDEL!$AG245,IFERROR(0/0,""),preDEL!I245)</f>
        <v/>
      </c>
      <c r="J245" s="249" t="str">
        <f>IF(preDEL!$AG245,IFERROR(0/0,""),preDEL!J245)</f>
        <v/>
      </c>
      <c r="K245" s="249" t="str">
        <f>IF(preDEL!$AG245,IFERROR(0/0,""),preDEL!K245)</f>
        <v>Negative</v>
      </c>
      <c r="L245" s="250">
        <f>IF(preDEL!$AG245,IFERROR(0/0,""),preDEL!L245)</f>
        <v>44767</v>
      </c>
      <c r="M245" s="251">
        <f>IF(preDEL!$AG245,IFERROR(0/0,""),preDEL!M245)</f>
        <v>0.4329282407</v>
      </c>
      <c r="N245" s="94" t="str">
        <f>IF(preDEL!$AG245,IFERROR(0/0,""),preDEL!N245)</f>
        <v/>
      </c>
      <c r="O245" s="94" t="str">
        <f>IF(preDEL!$AG245,IFERROR(0/0,""),preDEL!O245)</f>
        <v/>
      </c>
      <c r="P245" s="93" t="b">
        <f>IF(preDEL!$AG245,IFERROR(0/0,""),preDEL!P245)</f>
        <v>0</v>
      </c>
      <c r="Q245" s="93" t="str">
        <f>IF(preDEL!$AG245,IFERROR(0/0,""),preDEL!Q245)</f>
        <v>Result</v>
      </c>
      <c r="R245" s="99" t="b">
        <f>IF(preDEL!$AG245,IFERROR(0/0,""),preDEL!R245)</f>
        <v>1</v>
      </c>
      <c r="S245" s="99">
        <f>IF(preDEL!$AG245,IFERROR(0/0,""),preDEL!S245)</f>
        <v>3</v>
      </c>
      <c r="T245" s="93" t="str">
        <f>IF(preDEL!$AG245,IFERROR(0/0,""),preDEL!T245)</f>
        <v/>
      </c>
      <c r="U245" s="94" t="str">
        <f>IF(preDEL!$AG245,IFERROR(0/0,""),preDEL!U245)</f>
        <v/>
      </c>
      <c r="V245" s="249" t="str">
        <f>IF(preDEL!$AG245,IFERROR(0/0,""),preDEL!V245)</f>
        <v/>
      </c>
      <c r="W245" s="94" t="str">
        <f>IF(preDEL!$AG245,IFERROR(0/0,""),preDEL!W245)</f>
        <v/>
      </c>
      <c r="X245" s="99" t="b">
        <f>IF(preDEL!$AG245,IFERROR(0/0,""),preDEL!X245)</f>
        <v>0</v>
      </c>
      <c r="Y245" s="93" t="str">
        <f>IF(preDEL!$AG245,IFERROR(0/0,""),preDEL!Y245)</f>
        <v/>
      </c>
      <c r="Z245" s="249" t="str">
        <f>IF(preDEL!$AG245,IFERROR(0/0,""),preDEL!Z245)</f>
        <v/>
      </c>
      <c r="AA245" s="93" t="b">
        <f>IF(preDEL!$AG245,IFERROR(0/0,""),preDEL!AA245)</f>
        <v>0</v>
      </c>
      <c r="AB245" s="93" t="str">
        <f>IF(preDEL!$AG245,IFERROR(0/0,""),preDEL!AB245)</f>
        <v/>
      </c>
      <c r="AC245" s="252">
        <f>IF(preDEL!$AG245,IFERROR(0/0,""),preDEL!AC245)</f>
        <v>12</v>
      </c>
      <c r="AD245" s="99" t="str">
        <f>IF(preDEL!$AG245,IFERROR(0/0,""),preDEL!AD245)</f>
        <v/>
      </c>
      <c r="AE245" s="253">
        <f>IF(preDEL!$AG245,IFERROR(0/0,""),preDEL!AE245)</f>
        <v>326.0166667</v>
      </c>
      <c r="AF245" s="93" t="b">
        <f>IF(preDEL!$AG245,IFERROR(0/0,""),preDEL!AF245)</f>
        <v>0</v>
      </c>
      <c r="AG245" s="93" t="b">
        <f>IF(preDEL!$AG245,IFERROR(0/0,""),preDEL!AG245)</f>
        <v>0</v>
      </c>
      <c r="AH245" s="99" t="str">
        <f>IF(preDEL!$AG245,IFERROR(0/0,""),preDEL!AH245)</f>
        <v/>
      </c>
      <c r="AI245" s="249" t="str">
        <f>IF(preDEL!$AG245,IFERROR(0/0,""),preDEL!AI245)</f>
        <v/>
      </c>
      <c r="AJ245" s="94" t="str">
        <f>IF(preDEL!$AG245,IFERROR(0/0,""),preDEL!AJ245)</f>
        <v/>
      </c>
      <c r="AK245" s="249" t="str">
        <f>IF(preDEL!$AG245,IFERROR(0/0,""),preDEL!AK245)</f>
        <v>Negative</v>
      </c>
      <c r="AL245" s="94" t="str">
        <f>IF(preDEL!$AG245,IFERROR(0/0,""),preDEL!AL245)</f>
        <v/>
      </c>
      <c r="AM245" s="94" t="str">
        <f>IF(preDEL!$AG245,IFERROR(0/0,""),preDEL!AM245)</f>
        <v>SpNDHM957722</v>
      </c>
      <c r="AN245" s="94" t="str">
        <f>IF(preDEL!$AG245,IFERROR(0/0,""),preDEL!AN245)</f>
        <v>NDHM784418</v>
      </c>
      <c r="AO245" s="94" t="str">
        <f>IF(preDEL!$AG245,IFERROR(0/0,""),preDEL!AO245)</f>
        <v/>
      </c>
      <c r="AP245" s="94" t="str">
        <f>IF(preDEL!$AG245,IFERROR(0/0,""),preDEL!AP245)</f>
        <v/>
      </c>
      <c r="AQ245" s="94" t="str">
        <f>IF(preDEL!$AG245,IFERROR(0/0,""),preDEL!AQ245)</f>
        <v/>
      </c>
      <c r="AR245" s="94" t="str">
        <f>IF(preDEL!$AG245,IFERROR(0/0,""),preDEL!AR245)</f>
        <v/>
      </c>
      <c r="AS245" s="98"/>
      <c r="BE245" s="254"/>
      <c r="BF245" s="255"/>
      <c r="BG245" s="254"/>
      <c r="BH245" s="255"/>
      <c r="BI245" s="254"/>
      <c r="BJ245" s="254"/>
      <c r="BK245" s="254"/>
      <c r="BL245" s="254"/>
      <c r="BN245" s="7"/>
      <c r="BO245" s="7"/>
      <c r="BP245" s="7"/>
      <c r="BQ245" s="7"/>
      <c r="BR245" s="7"/>
      <c r="BS245" s="7"/>
      <c r="BT245" s="7"/>
    </row>
    <row r="246">
      <c r="A246" s="249" t="str">
        <f>IF(preDEL!$AG246,IFERROR(0/0,""),preDEL!A246)</f>
        <v>AJ9836</v>
      </c>
      <c r="B246" s="250">
        <f>IF(preDEL!$AG246,IFERROR(0/0,""),preDEL!B246)</f>
        <v>44767</v>
      </c>
      <c r="C246" s="251">
        <f>IF(preDEL!$AG246,IFERROR(0/0,""),preDEL!C246)</f>
        <v>0.2065277778</v>
      </c>
      <c r="D246" s="249" t="str">
        <f>IF(preDEL!$AG246,IFERROR(0/0,""),preDEL!D246)</f>
        <v/>
      </c>
      <c r="E246" s="249" t="str">
        <f>IF(preDEL!$AG246,IFERROR(0/0,""),preDEL!E246)</f>
        <v/>
      </c>
      <c r="F246" s="94" t="str">
        <f>IF(preDEL!$AG246,IFERROR(0/0,""),preDEL!F246)</f>
        <v/>
      </c>
      <c r="G246" s="94" t="str">
        <f>IF(preDEL!$AG246,IFERROR(0/0,""),preDEL!G246)</f>
        <v/>
      </c>
      <c r="H246" s="94" t="str">
        <f>IF(preDEL!$AG246,IFERROR(0/0,""),preDEL!H246)</f>
        <v/>
      </c>
      <c r="I246" s="249" t="str">
        <f>IF(preDEL!$AG246,IFERROR(0/0,""),preDEL!I246)</f>
        <v/>
      </c>
      <c r="J246" s="249" t="str">
        <f>IF(preDEL!$AG246,IFERROR(0/0,""),preDEL!J246)</f>
        <v/>
      </c>
      <c r="K246" s="249" t="str">
        <f>IF(preDEL!$AG246,IFERROR(0/0,""),preDEL!K246)</f>
        <v>Negative</v>
      </c>
      <c r="L246" s="250">
        <f>IF(preDEL!$AG246,IFERROR(0/0,""),preDEL!L246)</f>
        <v>44767</v>
      </c>
      <c r="M246" s="251">
        <f>IF(preDEL!$AG246,IFERROR(0/0,""),preDEL!M246)</f>
        <v>0.4329282407</v>
      </c>
      <c r="N246" s="94" t="str">
        <f>IF(preDEL!$AG246,IFERROR(0/0,""),preDEL!N246)</f>
        <v/>
      </c>
      <c r="O246" s="94" t="str">
        <f>IF(preDEL!$AG246,IFERROR(0/0,""),preDEL!O246)</f>
        <v/>
      </c>
      <c r="P246" s="93" t="b">
        <f>IF(preDEL!$AG246,IFERROR(0/0,""),preDEL!P246)</f>
        <v>0</v>
      </c>
      <c r="Q246" s="93" t="str">
        <f>IF(preDEL!$AG246,IFERROR(0/0,""),preDEL!Q246)</f>
        <v>Result</v>
      </c>
      <c r="R246" s="99" t="b">
        <f>IF(preDEL!$AG246,IFERROR(0/0,""),preDEL!R246)</f>
        <v>0</v>
      </c>
      <c r="S246" s="99">
        <f>IF(preDEL!$AG246,IFERROR(0/0,""),preDEL!S246)</f>
        <v>3</v>
      </c>
      <c r="T246" s="93" t="str">
        <f>IF(preDEL!$AG246,IFERROR(0/0,""),preDEL!T246)</f>
        <v/>
      </c>
      <c r="U246" s="94" t="str">
        <f>IF(preDEL!$AG246,IFERROR(0/0,""),preDEL!U246)</f>
        <v/>
      </c>
      <c r="V246" s="249" t="str">
        <f>IF(preDEL!$AG246,IFERROR(0/0,""),preDEL!V246)</f>
        <v/>
      </c>
      <c r="W246" s="94" t="str">
        <f>IF(preDEL!$AG246,IFERROR(0/0,""),preDEL!W246)</f>
        <v/>
      </c>
      <c r="X246" s="99" t="b">
        <f>IF(preDEL!$AG246,IFERROR(0/0,""),preDEL!X246)</f>
        <v>0</v>
      </c>
      <c r="Y246" s="93" t="str">
        <f>IF(preDEL!$AG246,IFERROR(0/0,""),preDEL!Y246)</f>
        <v/>
      </c>
      <c r="Z246" s="249" t="str">
        <f>IF(preDEL!$AG246,IFERROR(0/0,""),preDEL!Z246)</f>
        <v/>
      </c>
      <c r="AA246" s="93" t="b">
        <f>IF(preDEL!$AG246,IFERROR(0/0,""),preDEL!AA246)</f>
        <v>0</v>
      </c>
      <c r="AB246" s="93" t="str">
        <f>IF(preDEL!$AG246,IFERROR(0/0,""),preDEL!AB246)</f>
        <v/>
      </c>
      <c r="AC246" s="252">
        <f>IF(preDEL!$AG246,IFERROR(0/0,""),preDEL!AC246)</f>
        <v>13</v>
      </c>
      <c r="AD246" s="99" t="str">
        <f>IF(preDEL!$AG246,IFERROR(0/0,""),preDEL!AD246)</f>
        <v/>
      </c>
      <c r="AE246" s="253">
        <f>IF(preDEL!$AG246,IFERROR(0/0,""),preDEL!AE246)</f>
        <v>326.0166667</v>
      </c>
      <c r="AF246" s="93" t="b">
        <f>IF(preDEL!$AG246,IFERROR(0/0,""),preDEL!AF246)</f>
        <v>0</v>
      </c>
      <c r="AG246" s="93" t="b">
        <f>IF(preDEL!$AG246,IFERROR(0/0,""),preDEL!AG246)</f>
        <v>0</v>
      </c>
      <c r="AH246" s="99" t="str">
        <f>IF(preDEL!$AG246,IFERROR(0/0,""),preDEL!AH246)</f>
        <v/>
      </c>
      <c r="AI246" s="249" t="str">
        <f>IF(preDEL!$AG246,IFERROR(0/0,""),preDEL!AI246)</f>
        <v/>
      </c>
      <c r="AJ246" s="94" t="str">
        <f>IF(preDEL!$AG246,IFERROR(0/0,""),preDEL!AJ246)</f>
        <v/>
      </c>
      <c r="AK246" s="249" t="str">
        <f>IF(preDEL!$AG246,IFERROR(0/0,""),preDEL!AK246)</f>
        <v>Negative</v>
      </c>
      <c r="AL246" s="94" t="str">
        <f>IF(preDEL!$AG246,IFERROR(0/0,""),preDEL!AL246)</f>
        <v/>
      </c>
      <c r="AM246" s="94" t="str">
        <f>IF(preDEL!$AG246,IFERROR(0/0,""),preDEL!AM246)</f>
        <v>SpNDHM957722</v>
      </c>
      <c r="AN246" s="94" t="str">
        <f>IF(preDEL!$AG246,IFERROR(0/0,""),preDEL!AN246)</f>
        <v>NDHM730614</v>
      </c>
      <c r="AO246" s="94" t="str">
        <f>IF(preDEL!$AG246,IFERROR(0/0,""),preDEL!AO246)</f>
        <v/>
      </c>
      <c r="AP246" s="94" t="str">
        <f>IF(preDEL!$AG246,IFERROR(0/0,""),preDEL!AP246)</f>
        <v/>
      </c>
      <c r="AQ246" s="94" t="str">
        <f>IF(preDEL!$AG246,IFERROR(0/0,""),preDEL!AQ246)</f>
        <v/>
      </c>
      <c r="AR246" s="94" t="str">
        <f>IF(preDEL!$AG246,IFERROR(0/0,""),preDEL!AR246)</f>
        <v/>
      </c>
      <c r="AS246" s="98"/>
      <c r="BE246" s="254"/>
      <c r="BF246" s="255"/>
      <c r="BG246" s="254"/>
      <c r="BH246" s="255"/>
      <c r="BI246" s="254"/>
      <c r="BJ246" s="254"/>
      <c r="BK246" s="254"/>
      <c r="BL246" s="254"/>
      <c r="BN246" s="7"/>
      <c r="BO246" s="7"/>
      <c r="BP246" s="7"/>
      <c r="BQ246" s="7"/>
      <c r="BR246" s="7"/>
      <c r="BS246" s="7"/>
      <c r="BT246" s="7"/>
    </row>
    <row r="247">
      <c r="A247" s="249" t="str">
        <f>IF(preDEL!$AG247,IFERROR(0/0,""),preDEL!A247)</f>
        <v>AJ9836</v>
      </c>
      <c r="B247" s="250">
        <f>IF(preDEL!$AG247,IFERROR(0/0,""),preDEL!B247)</f>
        <v>44767</v>
      </c>
      <c r="C247" s="251">
        <f>IF(preDEL!$AG247,IFERROR(0/0,""),preDEL!C247)</f>
        <v>0.2065277778</v>
      </c>
      <c r="D247" s="249" t="str">
        <f>IF(preDEL!$AG247,IFERROR(0/0,""),preDEL!D247)</f>
        <v/>
      </c>
      <c r="E247" s="249" t="str">
        <f>IF(preDEL!$AG247,IFERROR(0/0,""),preDEL!E247)</f>
        <v/>
      </c>
      <c r="F247" s="94" t="str">
        <f>IF(preDEL!$AG247,IFERROR(0/0,""),preDEL!F247)</f>
        <v/>
      </c>
      <c r="G247" s="94" t="str">
        <f>IF(preDEL!$AG247,IFERROR(0/0,""),preDEL!G247)</f>
        <v/>
      </c>
      <c r="H247" s="94" t="str">
        <f>IF(preDEL!$AG247,IFERROR(0/0,""),preDEL!H247)</f>
        <v/>
      </c>
      <c r="I247" s="249" t="str">
        <f>IF(preDEL!$AG247,IFERROR(0/0,""),preDEL!I247)</f>
        <v/>
      </c>
      <c r="J247" s="249" t="str">
        <f>IF(preDEL!$AG247,IFERROR(0/0,""),preDEL!J247)</f>
        <v/>
      </c>
      <c r="K247" s="249" t="str">
        <f>IF(preDEL!$AG247,IFERROR(0/0,""),preDEL!K247)</f>
        <v>Negative</v>
      </c>
      <c r="L247" s="250">
        <f>IF(preDEL!$AG247,IFERROR(0/0,""),preDEL!L247)</f>
        <v>44767</v>
      </c>
      <c r="M247" s="251">
        <f>IF(preDEL!$AG247,IFERROR(0/0,""),preDEL!M247)</f>
        <v>0.4329282407</v>
      </c>
      <c r="N247" s="94" t="str">
        <f>IF(preDEL!$AG247,IFERROR(0/0,""),preDEL!N247)</f>
        <v/>
      </c>
      <c r="O247" s="94" t="str">
        <f>IF(preDEL!$AG247,IFERROR(0/0,""),preDEL!O247)</f>
        <v/>
      </c>
      <c r="P247" s="93" t="b">
        <f>IF(preDEL!$AG247,IFERROR(0/0,""),preDEL!P247)</f>
        <v>0</v>
      </c>
      <c r="Q247" s="93" t="str">
        <f>IF(preDEL!$AG247,IFERROR(0/0,""),preDEL!Q247)</f>
        <v>Result</v>
      </c>
      <c r="R247" s="99" t="b">
        <f>IF(preDEL!$AG247,IFERROR(0/0,""),preDEL!R247)</f>
        <v>0</v>
      </c>
      <c r="S247" s="99">
        <f>IF(preDEL!$AG247,IFERROR(0/0,""),preDEL!S247)</f>
        <v>3</v>
      </c>
      <c r="T247" s="93" t="str">
        <f>IF(preDEL!$AG247,IFERROR(0/0,""),preDEL!T247)</f>
        <v/>
      </c>
      <c r="U247" s="94" t="str">
        <f>IF(preDEL!$AG247,IFERROR(0/0,""),preDEL!U247)</f>
        <v/>
      </c>
      <c r="V247" s="249" t="str">
        <f>IF(preDEL!$AG247,IFERROR(0/0,""),preDEL!V247)</f>
        <v/>
      </c>
      <c r="W247" s="94" t="str">
        <f>IF(preDEL!$AG247,IFERROR(0/0,""),preDEL!W247)</f>
        <v/>
      </c>
      <c r="X247" s="99" t="b">
        <f>IF(preDEL!$AG247,IFERROR(0/0,""),preDEL!X247)</f>
        <v>0</v>
      </c>
      <c r="Y247" s="93" t="str">
        <f>IF(preDEL!$AG247,IFERROR(0/0,""),preDEL!Y247)</f>
        <v/>
      </c>
      <c r="Z247" s="249" t="str">
        <f>IF(preDEL!$AG247,IFERROR(0/0,""),preDEL!Z247)</f>
        <v/>
      </c>
      <c r="AA247" s="93" t="b">
        <f>IF(preDEL!$AG247,IFERROR(0/0,""),preDEL!AA247)</f>
        <v>0</v>
      </c>
      <c r="AB247" s="93" t="str">
        <f>IF(preDEL!$AG247,IFERROR(0/0,""),preDEL!AB247)</f>
        <v/>
      </c>
      <c r="AC247" s="252">
        <f>IF(preDEL!$AG247,IFERROR(0/0,""),preDEL!AC247)</f>
        <v>11</v>
      </c>
      <c r="AD247" s="99" t="str">
        <f>IF(preDEL!$AG247,IFERROR(0/0,""),preDEL!AD247)</f>
        <v/>
      </c>
      <c r="AE247" s="253">
        <f>IF(preDEL!$AG247,IFERROR(0/0,""),preDEL!AE247)</f>
        <v>326.0166667</v>
      </c>
      <c r="AF247" s="93" t="b">
        <f>IF(preDEL!$AG247,IFERROR(0/0,""),preDEL!AF247)</f>
        <v>0</v>
      </c>
      <c r="AG247" s="93" t="b">
        <f>IF(preDEL!$AG247,IFERROR(0/0,""),preDEL!AG247)</f>
        <v>0</v>
      </c>
      <c r="AH247" s="99" t="str">
        <f>IF(preDEL!$AG247,IFERROR(0/0,""),preDEL!AH247)</f>
        <v/>
      </c>
      <c r="AI247" s="249" t="str">
        <f>IF(preDEL!$AG247,IFERROR(0/0,""),preDEL!AI247)</f>
        <v/>
      </c>
      <c r="AJ247" s="94" t="str">
        <f>IF(preDEL!$AG247,IFERROR(0/0,""),preDEL!AJ247)</f>
        <v/>
      </c>
      <c r="AK247" s="249" t="str">
        <f>IF(preDEL!$AG247,IFERROR(0/0,""),preDEL!AK247)</f>
        <v>Negative</v>
      </c>
      <c r="AL247" s="94" t="str">
        <f>IF(preDEL!$AG247,IFERROR(0/0,""),preDEL!AL247)</f>
        <v/>
      </c>
      <c r="AM247" s="94" t="str">
        <f>IF(preDEL!$AG247,IFERROR(0/0,""),preDEL!AM247)</f>
        <v>SpNDHM957722</v>
      </c>
      <c r="AN247" s="94" t="str">
        <f>IF(preDEL!$AG247,IFERROR(0/0,""),preDEL!AN247)</f>
        <v>NDHM804847</v>
      </c>
      <c r="AO247" s="94" t="str">
        <f>IF(preDEL!$AG247,IFERROR(0/0,""),preDEL!AO247)</f>
        <v/>
      </c>
      <c r="AP247" s="94" t="str">
        <f>IF(preDEL!$AG247,IFERROR(0/0,""),preDEL!AP247)</f>
        <v/>
      </c>
      <c r="AQ247" s="94" t="str">
        <f>IF(preDEL!$AG247,IFERROR(0/0,""),preDEL!AQ247)</f>
        <v/>
      </c>
      <c r="AR247" s="94" t="str">
        <f>IF(preDEL!$AG247,IFERROR(0/0,""),preDEL!AR247)</f>
        <v/>
      </c>
      <c r="AS247" s="98"/>
      <c r="BE247" s="254"/>
      <c r="BF247" s="255"/>
      <c r="BG247" s="254"/>
      <c r="BH247" s="255"/>
      <c r="BI247" s="254"/>
      <c r="BJ247" s="254"/>
      <c r="BK247" s="254"/>
      <c r="BL247" s="254"/>
      <c r="BN247" s="7"/>
      <c r="BO247" s="7"/>
      <c r="BP247" s="7"/>
      <c r="BQ247" s="7"/>
      <c r="BR247" s="7"/>
      <c r="BS247" s="7"/>
      <c r="BT247" s="7"/>
    </row>
    <row r="248">
      <c r="A248" s="249" t="str">
        <f>IF(preDEL!$AG248,IFERROR(0/0,""),preDEL!A248)</f>
        <v>AH248</v>
      </c>
      <c r="B248" s="250">
        <f>IF(preDEL!$AG248,IFERROR(0/0,""),preDEL!B248)</f>
        <v>44767</v>
      </c>
      <c r="C248" s="251">
        <f>IF(preDEL!$AG248,IFERROR(0/0,""),preDEL!C248)</f>
        <v>0.3024421296</v>
      </c>
      <c r="D248" s="249" t="str">
        <f>IF(preDEL!$AG248,IFERROR(0/0,""),preDEL!D248)</f>
        <v/>
      </c>
      <c r="E248" s="249" t="str">
        <f>IF(preDEL!$AG248,IFERROR(0/0,""),preDEL!E248)</f>
        <v/>
      </c>
      <c r="F248" s="94" t="str">
        <f>IF(preDEL!$AG248,IFERROR(0/0,""),preDEL!F248)</f>
        <v/>
      </c>
      <c r="G248" s="94" t="str">
        <f>IF(preDEL!$AG248,IFERROR(0/0,""),preDEL!G248)</f>
        <v/>
      </c>
      <c r="H248" s="94" t="str">
        <f>IF(preDEL!$AG248,IFERROR(0/0,""),preDEL!H248)</f>
        <v/>
      </c>
      <c r="I248" s="249" t="str">
        <f>IF(preDEL!$AG248,IFERROR(0/0,""),preDEL!I248)</f>
        <v/>
      </c>
      <c r="J248" s="249" t="str">
        <f>IF(preDEL!$AG248,IFERROR(0/0,""),preDEL!J248)</f>
        <v/>
      </c>
      <c r="K248" s="249" t="str">
        <f>IF(preDEL!$AG248,IFERROR(0/0,""),preDEL!K248)</f>
        <v>Negative</v>
      </c>
      <c r="L248" s="250">
        <f>IF(preDEL!$AG248,IFERROR(0/0,""),preDEL!L248)</f>
        <v>44767</v>
      </c>
      <c r="M248" s="251">
        <f>IF(preDEL!$AG248,IFERROR(0/0,""),preDEL!M248)</f>
        <v>0.4329282407</v>
      </c>
      <c r="N248" s="94" t="str">
        <f>IF(preDEL!$AG248,IFERROR(0/0,""),preDEL!N248)</f>
        <v/>
      </c>
      <c r="O248" s="94" t="str">
        <f>IF(preDEL!$AG248,IFERROR(0/0,""),preDEL!O248)</f>
        <v/>
      </c>
      <c r="P248" s="93" t="b">
        <f>IF(preDEL!$AG248,IFERROR(0/0,""),preDEL!P248)</f>
        <v>0</v>
      </c>
      <c r="Q248" s="93" t="str">
        <f>IF(preDEL!$AG248,IFERROR(0/0,""),preDEL!Q248)</f>
        <v>Result</v>
      </c>
      <c r="R248" s="99" t="b">
        <f>IF(preDEL!$AG248,IFERROR(0/0,""),preDEL!R248)</f>
        <v>1</v>
      </c>
      <c r="S248" s="99">
        <f>IF(preDEL!$AG248,IFERROR(0/0,""),preDEL!S248)</f>
        <v>1</v>
      </c>
      <c r="T248" s="93" t="str">
        <f>IF(preDEL!$AG248,IFERROR(0/0,""),preDEL!T248)</f>
        <v/>
      </c>
      <c r="U248" s="94" t="str">
        <f>IF(preDEL!$AG248,IFERROR(0/0,""),preDEL!U248)</f>
        <v/>
      </c>
      <c r="V248" s="249" t="str">
        <f>IF(preDEL!$AG248,IFERROR(0/0,""),preDEL!V248)</f>
        <v/>
      </c>
      <c r="W248" s="94" t="str">
        <f>IF(preDEL!$AG248,IFERROR(0/0,""),preDEL!W248)</f>
        <v/>
      </c>
      <c r="X248" s="99" t="b">
        <f>IF(preDEL!$AG248,IFERROR(0/0,""),preDEL!X248)</f>
        <v>0</v>
      </c>
      <c r="Y248" s="93" t="str">
        <f>IF(preDEL!$AG248,IFERROR(0/0,""),preDEL!Y248)</f>
        <v/>
      </c>
      <c r="Z248" s="249" t="str">
        <f>IF(preDEL!$AG248,IFERROR(0/0,""),preDEL!Z248)</f>
        <v/>
      </c>
      <c r="AA248" s="93" t="b">
        <f>IF(preDEL!$AG248,IFERROR(0/0,""),preDEL!AA248)</f>
        <v>0</v>
      </c>
      <c r="AB248" s="93" t="str">
        <f>IF(preDEL!$AG248,IFERROR(0/0,""),preDEL!AB248)</f>
        <v/>
      </c>
      <c r="AC248" s="252">
        <f>IF(preDEL!$AG248,IFERROR(0/0,""),preDEL!AC248)</f>
        <v>14</v>
      </c>
      <c r="AD248" s="99" t="str">
        <f>IF(preDEL!$AG248,IFERROR(0/0,""),preDEL!AD248)</f>
        <v/>
      </c>
      <c r="AE248" s="253">
        <f>IF(preDEL!$AG248,IFERROR(0/0,""),preDEL!AE248)</f>
        <v>187.9</v>
      </c>
      <c r="AF248" s="93" t="b">
        <f>IF(preDEL!$AG248,IFERROR(0/0,""),preDEL!AF248)</f>
        <v>0</v>
      </c>
      <c r="AG248" s="93" t="b">
        <f>IF(preDEL!$AG248,IFERROR(0/0,""),preDEL!AG248)</f>
        <v>0</v>
      </c>
      <c r="AH248" s="99" t="str">
        <f>IF(preDEL!$AG248,IFERROR(0/0,""),preDEL!AH248)</f>
        <v/>
      </c>
      <c r="AI248" s="249" t="str">
        <f>IF(preDEL!$AG248,IFERROR(0/0,""),preDEL!AI248)</f>
        <v/>
      </c>
      <c r="AJ248" s="94" t="str">
        <f>IF(preDEL!$AG248,IFERROR(0/0,""),preDEL!AJ248)</f>
        <v/>
      </c>
      <c r="AK248" s="249" t="str">
        <f>IF(preDEL!$AG248,IFERROR(0/0,""),preDEL!AK248)</f>
        <v>Negative</v>
      </c>
      <c r="AL248" s="94" t="str">
        <f>IF(preDEL!$AG248,IFERROR(0/0,""),preDEL!AL248)</f>
        <v/>
      </c>
      <c r="AM248" s="94" t="str">
        <f>IF(preDEL!$AG248,IFERROR(0/0,""),preDEL!AM248)</f>
        <v>SpNDHM189649</v>
      </c>
      <c r="AN248" s="94" t="str">
        <f>IF(preDEL!$AG248,IFERROR(0/0,""),preDEL!AN248)</f>
        <v>NDHM872314</v>
      </c>
      <c r="AO248" s="94" t="str">
        <f>IF(preDEL!$AG248,IFERROR(0/0,""),preDEL!AO248)</f>
        <v/>
      </c>
      <c r="AP248" s="94" t="str">
        <f>IF(preDEL!$AG248,IFERROR(0/0,""),preDEL!AP248)</f>
        <v/>
      </c>
      <c r="AQ248" s="94" t="str">
        <f>IF(preDEL!$AG248,IFERROR(0/0,""),preDEL!AQ248)</f>
        <v/>
      </c>
      <c r="AR248" s="94" t="str">
        <f>IF(preDEL!$AG248,IFERROR(0/0,""),preDEL!AR248)</f>
        <v/>
      </c>
      <c r="AS248" s="98"/>
      <c r="BE248" s="254"/>
      <c r="BF248" s="255"/>
      <c r="BG248" s="254"/>
      <c r="BH248" s="255"/>
      <c r="BI248" s="254"/>
      <c r="BJ248" s="254"/>
      <c r="BK248" s="254"/>
      <c r="BL248" s="254"/>
      <c r="BN248" s="7"/>
      <c r="BO248" s="7"/>
      <c r="BP248" s="7"/>
      <c r="BQ248" s="7"/>
      <c r="BR248" s="7"/>
      <c r="BS248" s="7"/>
      <c r="BT248" s="7"/>
    </row>
    <row r="249">
      <c r="A249" s="249" t="str">
        <f>IF(preDEL!$AG249,IFERROR(0/0,""),preDEL!A249)</f>
        <v>AG1224</v>
      </c>
      <c r="B249" s="250">
        <f>IF(preDEL!$AG249,IFERROR(0/0,""),preDEL!B249)</f>
        <v>44767</v>
      </c>
      <c r="C249" s="251">
        <f>IF(preDEL!$AG249,IFERROR(0/0,""),preDEL!C249)</f>
        <v>0.3788773148</v>
      </c>
      <c r="D249" s="249" t="str">
        <f>IF(preDEL!$AG249,IFERROR(0/0,""),preDEL!D249)</f>
        <v/>
      </c>
      <c r="E249" s="249" t="str">
        <f>IF(preDEL!$AG249,IFERROR(0/0,""),preDEL!E249)</f>
        <v/>
      </c>
      <c r="F249" s="94" t="str">
        <f>IF(preDEL!$AG249,IFERROR(0/0,""),preDEL!F249)</f>
        <v/>
      </c>
      <c r="G249" s="94" t="str">
        <f>IF(preDEL!$AG249,IFERROR(0/0,""),preDEL!G249)</f>
        <v/>
      </c>
      <c r="H249" s="94" t="str">
        <f>IF(preDEL!$AG249,IFERROR(0/0,""),preDEL!H249)</f>
        <v/>
      </c>
      <c r="I249" s="249" t="str">
        <f>IF(preDEL!$AG249,IFERROR(0/0,""),preDEL!I249)</f>
        <v/>
      </c>
      <c r="J249" s="249" t="str">
        <f>IF(preDEL!$AG249,IFERROR(0/0,""),preDEL!J249)</f>
        <v/>
      </c>
      <c r="K249" s="249" t="str">
        <f>IF(preDEL!$AG249,IFERROR(0/0,""),preDEL!K249)</f>
        <v>Negative</v>
      </c>
      <c r="L249" s="250">
        <f>IF(preDEL!$AG249,IFERROR(0/0,""),preDEL!L249)</f>
        <v>44767</v>
      </c>
      <c r="M249" s="251">
        <f>IF(preDEL!$AG249,IFERROR(0/0,""),preDEL!M249)</f>
        <v>0.4329398148</v>
      </c>
      <c r="N249" s="94" t="str">
        <f>IF(preDEL!$AG249,IFERROR(0/0,""),preDEL!N249)</f>
        <v/>
      </c>
      <c r="O249" s="94" t="str">
        <f>IF(preDEL!$AG249,IFERROR(0/0,""),preDEL!O249)</f>
        <v/>
      </c>
      <c r="P249" s="93" t="b">
        <f>IF(preDEL!$AG249,IFERROR(0/0,""),preDEL!P249)</f>
        <v>0</v>
      </c>
      <c r="Q249" s="93" t="str">
        <f>IF(preDEL!$AG249,IFERROR(0/0,""),preDEL!Q249)</f>
        <v>Result</v>
      </c>
      <c r="R249" s="99" t="b">
        <f>IF(preDEL!$AG249,IFERROR(0/0,""),preDEL!R249)</f>
        <v>1</v>
      </c>
      <c r="S249" s="99">
        <f>IF(preDEL!$AG249,IFERROR(0/0,""),preDEL!S249)</f>
        <v>2</v>
      </c>
      <c r="T249" s="93" t="str">
        <f>IF(preDEL!$AG249,IFERROR(0/0,""),preDEL!T249)</f>
        <v/>
      </c>
      <c r="U249" s="94" t="str">
        <f>IF(preDEL!$AG249,IFERROR(0/0,""),preDEL!U249)</f>
        <v/>
      </c>
      <c r="V249" s="249" t="str">
        <f>IF(preDEL!$AG249,IFERROR(0/0,""),preDEL!V249)</f>
        <v/>
      </c>
      <c r="W249" s="94" t="str">
        <f>IF(preDEL!$AG249,IFERROR(0/0,""),preDEL!W249)</f>
        <v/>
      </c>
      <c r="X249" s="99" t="b">
        <f>IF(preDEL!$AG249,IFERROR(0/0,""),preDEL!X249)</f>
        <v>0</v>
      </c>
      <c r="Y249" s="93" t="str">
        <f>IF(preDEL!$AG249,IFERROR(0/0,""),preDEL!Y249)</f>
        <v/>
      </c>
      <c r="Z249" s="249" t="str">
        <f>IF(preDEL!$AG249,IFERROR(0/0,""),preDEL!Z249)</f>
        <v/>
      </c>
      <c r="AA249" s="93" t="b">
        <f>IF(preDEL!$AG249,IFERROR(0/0,""),preDEL!AA249)</f>
        <v>0</v>
      </c>
      <c r="AB249" s="93" t="str">
        <f>IF(preDEL!$AG249,IFERROR(0/0,""),preDEL!AB249)</f>
        <v/>
      </c>
      <c r="AC249" s="252">
        <f>IF(preDEL!$AG249,IFERROR(0/0,""),preDEL!AC249)</f>
        <v>16</v>
      </c>
      <c r="AD249" s="99" t="str">
        <f>IF(preDEL!$AG249,IFERROR(0/0,""),preDEL!AD249)</f>
        <v/>
      </c>
      <c r="AE249" s="253">
        <f>IF(preDEL!$AG249,IFERROR(0/0,""),preDEL!AE249)</f>
        <v>77.85</v>
      </c>
      <c r="AF249" s="93" t="b">
        <f>IF(preDEL!$AG249,IFERROR(0/0,""),preDEL!AF249)</f>
        <v>0</v>
      </c>
      <c r="AG249" s="93" t="b">
        <f>IF(preDEL!$AG249,IFERROR(0/0,""),preDEL!AG249)</f>
        <v>0</v>
      </c>
      <c r="AH249" s="99" t="str">
        <f>IF(preDEL!$AG249,IFERROR(0/0,""),preDEL!AH249)</f>
        <v/>
      </c>
      <c r="AI249" s="249" t="str">
        <f>IF(preDEL!$AG249,IFERROR(0/0,""),preDEL!AI249)</f>
        <v/>
      </c>
      <c r="AJ249" s="94" t="str">
        <f>IF(preDEL!$AG249,IFERROR(0/0,""),preDEL!AJ249)</f>
        <v/>
      </c>
      <c r="AK249" s="249" t="str">
        <f>IF(preDEL!$AG249,IFERROR(0/0,""),preDEL!AK249)</f>
        <v>Negative</v>
      </c>
      <c r="AL249" s="94" t="str">
        <f>IF(preDEL!$AG249,IFERROR(0/0,""),preDEL!AL249)</f>
        <v/>
      </c>
      <c r="AM249" s="94" t="str">
        <f>IF(preDEL!$AG249,IFERROR(0/0,""),preDEL!AM249)</f>
        <v>SpNDHM122532</v>
      </c>
      <c r="AN249" s="94" t="str">
        <f>IF(preDEL!$AG249,IFERROR(0/0,""),preDEL!AN249)</f>
        <v>NDHM618727</v>
      </c>
      <c r="AO249" s="94" t="str">
        <f>IF(preDEL!$AG249,IFERROR(0/0,""),preDEL!AO249)</f>
        <v/>
      </c>
      <c r="AP249" s="94" t="str">
        <f>IF(preDEL!$AG249,IFERROR(0/0,""),preDEL!AP249)</f>
        <v/>
      </c>
      <c r="AQ249" s="94" t="str">
        <f>IF(preDEL!$AG249,IFERROR(0/0,""),preDEL!AQ249)</f>
        <v/>
      </c>
      <c r="AR249" s="94" t="str">
        <f>IF(preDEL!$AG249,IFERROR(0/0,""),preDEL!AR249)</f>
        <v/>
      </c>
      <c r="AS249" s="98"/>
      <c r="BE249" s="254"/>
      <c r="BF249" s="255"/>
      <c r="BG249" s="254"/>
      <c r="BH249" s="255"/>
      <c r="BI249" s="254"/>
      <c r="BJ249" s="254"/>
      <c r="BK249" s="254"/>
      <c r="BL249" s="254"/>
      <c r="BN249" s="7"/>
      <c r="BO249" s="7"/>
      <c r="BP249" s="7"/>
      <c r="BQ249" s="7"/>
      <c r="BR249" s="7"/>
      <c r="BS249" s="7"/>
      <c r="BT249" s="7"/>
    </row>
    <row r="250">
      <c r="A250" s="249" t="str">
        <f>IF(preDEL!$AG250,IFERROR(0/0,""),preDEL!A250)</f>
        <v>AG1224</v>
      </c>
      <c r="B250" s="250">
        <f>IF(preDEL!$AG250,IFERROR(0/0,""),preDEL!B250)</f>
        <v>44767</v>
      </c>
      <c r="C250" s="251">
        <f>IF(preDEL!$AG250,IFERROR(0/0,""),preDEL!C250)</f>
        <v>0.3788773148</v>
      </c>
      <c r="D250" s="249" t="str">
        <f>IF(preDEL!$AG250,IFERROR(0/0,""),preDEL!D250)</f>
        <v/>
      </c>
      <c r="E250" s="249" t="str">
        <f>IF(preDEL!$AG250,IFERROR(0/0,""),preDEL!E250)</f>
        <v/>
      </c>
      <c r="F250" s="94" t="str">
        <f>IF(preDEL!$AG250,IFERROR(0/0,""),preDEL!F250)</f>
        <v/>
      </c>
      <c r="G250" s="94" t="str">
        <f>IF(preDEL!$AG250,IFERROR(0/0,""),preDEL!G250)</f>
        <v/>
      </c>
      <c r="H250" s="94" t="str">
        <f>IF(preDEL!$AG250,IFERROR(0/0,""),preDEL!H250)</f>
        <v/>
      </c>
      <c r="I250" s="249" t="str">
        <f>IF(preDEL!$AG250,IFERROR(0/0,""),preDEL!I250)</f>
        <v/>
      </c>
      <c r="J250" s="249" t="str">
        <f>IF(preDEL!$AG250,IFERROR(0/0,""),preDEL!J250)</f>
        <v/>
      </c>
      <c r="K250" s="249" t="str">
        <f>IF(preDEL!$AG250,IFERROR(0/0,""),preDEL!K250)</f>
        <v>Negative</v>
      </c>
      <c r="L250" s="250">
        <f>IF(preDEL!$AG250,IFERROR(0/0,""),preDEL!L250)</f>
        <v>44767</v>
      </c>
      <c r="M250" s="251">
        <f>IF(preDEL!$AG250,IFERROR(0/0,""),preDEL!M250)</f>
        <v>0.4329398148</v>
      </c>
      <c r="N250" s="94" t="str">
        <f>IF(preDEL!$AG250,IFERROR(0/0,""),preDEL!N250)</f>
        <v/>
      </c>
      <c r="O250" s="94" t="str">
        <f>IF(preDEL!$AG250,IFERROR(0/0,""),preDEL!O250)</f>
        <v/>
      </c>
      <c r="P250" s="93" t="b">
        <f>IF(preDEL!$AG250,IFERROR(0/0,""),preDEL!P250)</f>
        <v>0</v>
      </c>
      <c r="Q250" s="93" t="str">
        <f>IF(preDEL!$AG250,IFERROR(0/0,""),preDEL!Q250)</f>
        <v>Result</v>
      </c>
      <c r="R250" s="99" t="b">
        <f>IF(preDEL!$AG250,IFERROR(0/0,""),preDEL!R250)</f>
        <v>0</v>
      </c>
      <c r="S250" s="99">
        <f>IF(preDEL!$AG250,IFERROR(0/0,""),preDEL!S250)</f>
        <v>2</v>
      </c>
      <c r="T250" s="93" t="str">
        <f>IF(preDEL!$AG250,IFERROR(0/0,""),preDEL!T250)</f>
        <v/>
      </c>
      <c r="U250" s="94" t="str">
        <f>IF(preDEL!$AG250,IFERROR(0/0,""),preDEL!U250)</f>
        <v/>
      </c>
      <c r="V250" s="249" t="str">
        <f>IF(preDEL!$AG250,IFERROR(0/0,""),preDEL!V250)</f>
        <v/>
      </c>
      <c r="W250" s="94" t="str">
        <f>IF(preDEL!$AG250,IFERROR(0/0,""),preDEL!W250)</f>
        <v/>
      </c>
      <c r="X250" s="99" t="b">
        <f>IF(preDEL!$AG250,IFERROR(0/0,""),preDEL!X250)</f>
        <v>0</v>
      </c>
      <c r="Y250" s="93" t="str">
        <f>IF(preDEL!$AG250,IFERROR(0/0,""),preDEL!Y250)</f>
        <v/>
      </c>
      <c r="Z250" s="249" t="str">
        <f>IF(preDEL!$AG250,IFERROR(0/0,""),preDEL!Z250)</f>
        <v/>
      </c>
      <c r="AA250" s="93" t="b">
        <f>IF(preDEL!$AG250,IFERROR(0/0,""),preDEL!AA250)</f>
        <v>0</v>
      </c>
      <c r="AB250" s="93" t="str">
        <f>IF(preDEL!$AG250,IFERROR(0/0,""),preDEL!AB250)</f>
        <v/>
      </c>
      <c r="AC250" s="252">
        <f>IF(preDEL!$AG250,IFERROR(0/0,""),preDEL!AC250)</f>
        <v>15</v>
      </c>
      <c r="AD250" s="99" t="str">
        <f>IF(preDEL!$AG250,IFERROR(0/0,""),preDEL!AD250)</f>
        <v/>
      </c>
      <c r="AE250" s="253">
        <f>IF(preDEL!$AG250,IFERROR(0/0,""),preDEL!AE250)</f>
        <v>77.85</v>
      </c>
      <c r="AF250" s="93" t="b">
        <f>IF(preDEL!$AG250,IFERROR(0/0,""),preDEL!AF250)</f>
        <v>0</v>
      </c>
      <c r="AG250" s="93" t="b">
        <f>IF(preDEL!$AG250,IFERROR(0/0,""),preDEL!AG250)</f>
        <v>0</v>
      </c>
      <c r="AH250" s="99" t="str">
        <f>IF(preDEL!$AG250,IFERROR(0/0,""),preDEL!AH250)</f>
        <v/>
      </c>
      <c r="AI250" s="249" t="str">
        <f>IF(preDEL!$AG250,IFERROR(0/0,""),preDEL!AI250)</f>
        <v/>
      </c>
      <c r="AJ250" s="94" t="str">
        <f>IF(preDEL!$AG250,IFERROR(0/0,""),preDEL!AJ250)</f>
        <v/>
      </c>
      <c r="AK250" s="249" t="str">
        <f>IF(preDEL!$AG250,IFERROR(0/0,""),preDEL!AK250)</f>
        <v>Negative</v>
      </c>
      <c r="AL250" s="94" t="str">
        <f>IF(preDEL!$AG250,IFERROR(0/0,""),preDEL!AL250)</f>
        <v/>
      </c>
      <c r="AM250" s="94" t="str">
        <f>IF(preDEL!$AG250,IFERROR(0/0,""),preDEL!AM250)</f>
        <v>SpNDHM122532</v>
      </c>
      <c r="AN250" s="94" t="str">
        <f>IF(preDEL!$AG250,IFERROR(0/0,""),preDEL!AN250)</f>
        <v>NDHM466905</v>
      </c>
      <c r="AO250" s="94" t="str">
        <f>IF(preDEL!$AG250,IFERROR(0/0,""),preDEL!AO250)</f>
        <v/>
      </c>
      <c r="AP250" s="94" t="str">
        <f>IF(preDEL!$AG250,IFERROR(0/0,""),preDEL!AP250)</f>
        <v/>
      </c>
      <c r="AQ250" s="94" t="str">
        <f>IF(preDEL!$AG250,IFERROR(0/0,""),preDEL!AQ250)</f>
        <v/>
      </c>
      <c r="AR250" s="94" t="str">
        <f>IF(preDEL!$AG250,IFERROR(0/0,""),preDEL!AR250)</f>
        <v/>
      </c>
      <c r="AS250" s="98"/>
      <c r="BE250" s="254"/>
      <c r="BF250" s="255"/>
      <c r="BG250" s="254"/>
      <c r="BH250" s="255"/>
      <c r="BI250" s="254"/>
      <c r="BJ250" s="254"/>
      <c r="BK250" s="254"/>
      <c r="BL250" s="254"/>
      <c r="BN250" s="7"/>
      <c r="BO250" s="7"/>
      <c r="BP250" s="7"/>
      <c r="BQ250" s="7"/>
      <c r="BR250" s="7"/>
      <c r="BS250" s="7"/>
      <c r="BT250" s="7"/>
    </row>
    <row r="251">
      <c r="A251" s="249" t="str">
        <f>IF(preDEL!$AG251,IFERROR(0/0,""),preDEL!A251)</f>
        <v>AG299</v>
      </c>
      <c r="B251" s="250">
        <f>IF(preDEL!$AG251,IFERROR(0/0,""),preDEL!B251)</f>
        <v>44774</v>
      </c>
      <c r="C251" s="251">
        <f>IF(preDEL!$AG251,IFERROR(0/0,""),preDEL!C251)</f>
        <v>0.214212963</v>
      </c>
      <c r="D251" s="249" t="str">
        <f>IF(preDEL!$AG251,IFERROR(0/0,""),preDEL!D251)</f>
        <v/>
      </c>
      <c r="E251" s="249" t="str">
        <f>IF(preDEL!$AG251,IFERROR(0/0,""),preDEL!E251)</f>
        <v/>
      </c>
      <c r="F251" s="94" t="str">
        <f>IF(preDEL!$AG251,IFERROR(0/0,""),preDEL!F251)</f>
        <v/>
      </c>
      <c r="G251" s="94" t="str">
        <f>IF(preDEL!$AG251,IFERROR(0/0,""),preDEL!G251)</f>
        <v/>
      </c>
      <c r="H251" s="94" t="str">
        <f>IF(preDEL!$AG251,IFERROR(0/0,""),preDEL!H251)</f>
        <v/>
      </c>
      <c r="I251" s="249" t="str">
        <f>IF(preDEL!$AG251,IFERROR(0/0,""),preDEL!I251)</f>
        <v/>
      </c>
      <c r="J251" s="249" t="str">
        <f>IF(preDEL!$AG251,IFERROR(0/0,""),preDEL!J251)</f>
        <v/>
      </c>
      <c r="K251" s="249" t="str">
        <f>IF(preDEL!$AG251,IFERROR(0/0,""),preDEL!K251)</f>
        <v>Negative</v>
      </c>
      <c r="L251" s="250">
        <f>IF(preDEL!$AG251,IFERROR(0/0,""),preDEL!L251)</f>
        <v>44816</v>
      </c>
      <c r="M251" s="251">
        <f>IF(preDEL!$AG251,IFERROR(0/0,""),preDEL!M251)</f>
        <v>0.3939814815</v>
      </c>
      <c r="N251" s="94" t="str">
        <f>IF(preDEL!$AG251,IFERROR(0/0,""),preDEL!N251)</f>
        <v/>
      </c>
      <c r="O251" s="94" t="str">
        <f>IF(preDEL!$AG251,IFERROR(0/0,""),preDEL!O251)</f>
        <v/>
      </c>
      <c r="P251" s="93" t="b">
        <f>IF(preDEL!$AG251,IFERROR(0/0,""),preDEL!P251)</f>
        <v>0</v>
      </c>
      <c r="Q251" s="93" t="str">
        <f>IF(preDEL!$AG251,IFERROR(0/0,""),preDEL!Q251)</f>
        <v>Result</v>
      </c>
      <c r="R251" s="99" t="b">
        <f>IF(preDEL!$AG251,IFERROR(0/0,""),preDEL!R251)</f>
        <v>1</v>
      </c>
      <c r="S251" s="99">
        <f>IF(preDEL!$AG251,IFERROR(0/0,""),preDEL!S251)</f>
        <v>3</v>
      </c>
      <c r="T251" s="93" t="str">
        <f>IF(preDEL!$AG251,IFERROR(0/0,""),preDEL!T251)</f>
        <v/>
      </c>
      <c r="U251" s="94" t="str">
        <f>IF(preDEL!$AG251,IFERROR(0/0,""),preDEL!U251)</f>
        <v/>
      </c>
      <c r="V251" s="249" t="str">
        <f>IF(preDEL!$AG251,IFERROR(0/0,""),preDEL!V251)</f>
        <v/>
      </c>
      <c r="W251" s="94" t="str">
        <f>IF(preDEL!$AG251,IFERROR(0/0,""),preDEL!W251)</f>
        <v/>
      </c>
      <c r="X251" s="99" t="b">
        <f>IF(preDEL!$AG251,IFERROR(0/0,""),preDEL!X251)</f>
        <v>0</v>
      </c>
      <c r="Y251" s="93" t="str">
        <f>IF(preDEL!$AG251,IFERROR(0/0,""),preDEL!Y251)</f>
        <v/>
      </c>
      <c r="Z251" s="249" t="str">
        <f>IF(preDEL!$AG251,IFERROR(0/0,""),preDEL!Z251)</f>
        <v/>
      </c>
      <c r="AA251" s="93" t="b">
        <f>IF(preDEL!$AG251,IFERROR(0/0,""),preDEL!AA251)</f>
        <v>0</v>
      </c>
      <c r="AB251" s="93" t="str">
        <f>IF(preDEL!$AG251,IFERROR(0/0,""),preDEL!AB251)</f>
        <v/>
      </c>
      <c r="AC251" s="252">
        <f>IF(preDEL!$AG251,IFERROR(0/0,""),preDEL!AC251)</f>
        <v>9</v>
      </c>
      <c r="AD251" s="99" t="str">
        <f>IF(preDEL!$AG251,IFERROR(0/0,""),preDEL!AD251)</f>
        <v/>
      </c>
      <c r="AE251" s="253" t="str">
        <f>IF(preDEL!$AG251,IFERROR(0/0,""),preDEL!AE251)</f>
        <v/>
      </c>
      <c r="AF251" s="93" t="b">
        <f>IF(preDEL!$AG251,IFERROR(0/0,""),preDEL!AF251)</f>
        <v>0</v>
      </c>
      <c r="AG251" s="93" t="b">
        <f>IF(preDEL!$AG251,IFERROR(0/0,""),preDEL!AG251)</f>
        <v>0</v>
      </c>
      <c r="AH251" s="99" t="str">
        <f>IF(preDEL!$AG251,IFERROR(0/0,""),preDEL!AH251)</f>
        <v/>
      </c>
      <c r="AI251" s="249" t="str">
        <f>IF(preDEL!$AG251,IFERROR(0/0,""),preDEL!AI251)</f>
        <v/>
      </c>
      <c r="AJ251" s="94" t="str">
        <f>IF(preDEL!$AG251,IFERROR(0/0,""),preDEL!AJ251)</f>
        <v/>
      </c>
      <c r="AK251" s="249" t="str">
        <f>IF(preDEL!$AG251,IFERROR(0/0,""),preDEL!AK251)</f>
        <v>Negative</v>
      </c>
      <c r="AL251" s="94" t="str">
        <f>IF(preDEL!$AG251,IFERROR(0/0,""),preDEL!AL251)</f>
        <v/>
      </c>
      <c r="AM251" s="94" t="str">
        <f>IF(preDEL!$AG251,IFERROR(0/0,""),preDEL!AM251)</f>
        <v>SpNDHM189649</v>
      </c>
      <c r="AN251" s="94" t="str">
        <f>IF(preDEL!$AG251,IFERROR(0/0,""),preDEL!AN251)</f>
        <v>NDHM872314</v>
      </c>
      <c r="AO251" s="94" t="str">
        <f>IF(preDEL!$AG251,IFERROR(0/0,""),preDEL!AO251)</f>
        <v/>
      </c>
      <c r="AP251" s="94" t="str">
        <f>IF(preDEL!$AG251,IFERROR(0/0,""),preDEL!AP251)</f>
        <v/>
      </c>
      <c r="AQ251" s="94" t="str">
        <f>IF(preDEL!$AG251,IFERROR(0/0,""),preDEL!AQ251)</f>
        <v/>
      </c>
      <c r="AR251" s="94" t="str">
        <f>IF(preDEL!$AG251,IFERROR(0/0,""),preDEL!AR251)</f>
        <v/>
      </c>
      <c r="AS251" s="98"/>
      <c r="BE251" s="254"/>
      <c r="BF251" s="255"/>
      <c r="BG251" s="254"/>
      <c r="BH251" s="255"/>
      <c r="BI251" s="254"/>
      <c r="BJ251" s="254"/>
      <c r="BK251" s="254"/>
      <c r="BL251" s="254"/>
      <c r="BN251" s="7"/>
      <c r="BO251" s="7"/>
      <c r="BP251" s="7"/>
      <c r="BQ251" s="7"/>
      <c r="BR251" s="7"/>
      <c r="BS251" s="7"/>
      <c r="BT251" s="7"/>
    </row>
    <row r="252">
      <c r="A252" s="249" t="str">
        <f>IF(preDEL!$AG252,IFERROR(0/0,""),preDEL!A252)</f>
        <v>AG299</v>
      </c>
      <c r="B252" s="250">
        <f>IF(preDEL!$AG252,IFERROR(0/0,""),preDEL!B252)</f>
        <v>44774</v>
      </c>
      <c r="C252" s="251">
        <f>IF(preDEL!$AG252,IFERROR(0/0,""),preDEL!C252)</f>
        <v>0.214212963</v>
      </c>
      <c r="D252" s="249" t="str">
        <f>IF(preDEL!$AG252,IFERROR(0/0,""),preDEL!D252)</f>
        <v/>
      </c>
      <c r="E252" s="249" t="str">
        <f>IF(preDEL!$AG252,IFERROR(0/0,""),preDEL!E252)</f>
        <v/>
      </c>
      <c r="F252" s="94" t="str">
        <f>IF(preDEL!$AG252,IFERROR(0/0,""),preDEL!F252)</f>
        <v/>
      </c>
      <c r="G252" s="94" t="str">
        <f>IF(preDEL!$AG252,IFERROR(0/0,""),preDEL!G252)</f>
        <v/>
      </c>
      <c r="H252" s="94" t="str">
        <f>IF(preDEL!$AG252,IFERROR(0/0,""),preDEL!H252)</f>
        <v/>
      </c>
      <c r="I252" s="249" t="str">
        <f>IF(preDEL!$AG252,IFERROR(0/0,""),preDEL!I252)</f>
        <v/>
      </c>
      <c r="J252" s="249" t="str">
        <f>IF(preDEL!$AG252,IFERROR(0/0,""),preDEL!J252)</f>
        <v/>
      </c>
      <c r="K252" s="249" t="str">
        <f>IF(preDEL!$AG252,IFERROR(0/0,""),preDEL!K252)</f>
        <v>Negative</v>
      </c>
      <c r="L252" s="250">
        <f>IF(preDEL!$AG252,IFERROR(0/0,""),preDEL!L252)</f>
        <v>44816</v>
      </c>
      <c r="M252" s="251">
        <f>IF(preDEL!$AG252,IFERROR(0/0,""),preDEL!M252)</f>
        <v>0.3939814815</v>
      </c>
      <c r="N252" s="94" t="str">
        <f>IF(preDEL!$AG252,IFERROR(0/0,""),preDEL!N252)</f>
        <v/>
      </c>
      <c r="O252" s="94" t="str">
        <f>IF(preDEL!$AG252,IFERROR(0/0,""),preDEL!O252)</f>
        <v/>
      </c>
      <c r="P252" s="93" t="b">
        <f>IF(preDEL!$AG252,IFERROR(0/0,""),preDEL!P252)</f>
        <v>0</v>
      </c>
      <c r="Q252" s="93" t="str">
        <f>IF(preDEL!$AG252,IFERROR(0/0,""),preDEL!Q252)</f>
        <v>Result</v>
      </c>
      <c r="R252" s="99" t="b">
        <f>IF(preDEL!$AG252,IFERROR(0/0,""),preDEL!R252)</f>
        <v>0</v>
      </c>
      <c r="S252" s="99">
        <f>IF(preDEL!$AG252,IFERROR(0/0,""),preDEL!S252)</f>
        <v>3</v>
      </c>
      <c r="T252" s="93" t="str">
        <f>IF(preDEL!$AG252,IFERROR(0/0,""),preDEL!T252)</f>
        <v/>
      </c>
      <c r="U252" s="94" t="str">
        <f>IF(preDEL!$AG252,IFERROR(0/0,""),preDEL!U252)</f>
        <v/>
      </c>
      <c r="V252" s="249" t="str">
        <f>IF(preDEL!$AG252,IFERROR(0/0,""),preDEL!V252)</f>
        <v/>
      </c>
      <c r="W252" s="94" t="str">
        <f>IF(preDEL!$AG252,IFERROR(0/0,""),preDEL!W252)</f>
        <v/>
      </c>
      <c r="X252" s="99" t="b">
        <f>IF(preDEL!$AG252,IFERROR(0/0,""),preDEL!X252)</f>
        <v>0</v>
      </c>
      <c r="Y252" s="93" t="str">
        <f>IF(preDEL!$AG252,IFERROR(0/0,""),preDEL!Y252)</f>
        <v/>
      </c>
      <c r="Z252" s="249" t="str">
        <f>IF(preDEL!$AG252,IFERROR(0/0,""),preDEL!Z252)</f>
        <v/>
      </c>
      <c r="AA252" s="93" t="b">
        <f>IF(preDEL!$AG252,IFERROR(0/0,""),preDEL!AA252)</f>
        <v>0</v>
      </c>
      <c r="AB252" s="93" t="str">
        <f>IF(preDEL!$AG252,IFERROR(0/0,""),preDEL!AB252)</f>
        <v/>
      </c>
      <c r="AC252" s="252">
        <f>IF(preDEL!$AG252,IFERROR(0/0,""),preDEL!AC252)</f>
        <v>10</v>
      </c>
      <c r="AD252" s="99" t="str">
        <f>IF(preDEL!$AG252,IFERROR(0/0,""),preDEL!AD252)</f>
        <v/>
      </c>
      <c r="AE252" s="253" t="str">
        <f>IF(preDEL!$AG252,IFERROR(0/0,""),preDEL!AE252)</f>
        <v/>
      </c>
      <c r="AF252" s="93" t="b">
        <f>IF(preDEL!$AG252,IFERROR(0/0,""),preDEL!AF252)</f>
        <v>0</v>
      </c>
      <c r="AG252" s="93" t="b">
        <f>IF(preDEL!$AG252,IFERROR(0/0,""),preDEL!AG252)</f>
        <v>0</v>
      </c>
      <c r="AH252" s="99" t="str">
        <f>IF(preDEL!$AG252,IFERROR(0/0,""),preDEL!AH252)</f>
        <v/>
      </c>
      <c r="AI252" s="249" t="str">
        <f>IF(preDEL!$AG252,IFERROR(0/0,""),preDEL!AI252)</f>
        <v/>
      </c>
      <c r="AJ252" s="94" t="str">
        <f>IF(preDEL!$AG252,IFERROR(0/0,""),preDEL!AJ252)</f>
        <v/>
      </c>
      <c r="AK252" s="249" t="str">
        <f>IF(preDEL!$AG252,IFERROR(0/0,""),preDEL!AK252)</f>
        <v>Negative</v>
      </c>
      <c r="AL252" s="94" t="str">
        <f>IF(preDEL!$AG252,IFERROR(0/0,""),preDEL!AL252)</f>
        <v/>
      </c>
      <c r="AM252" s="94" t="str">
        <f>IF(preDEL!$AG252,IFERROR(0/0,""),preDEL!AM252)</f>
        <v>SpNDHM189649</v>
      </c>
      <c r="AN252" s="94" t="str">
        <f>IF(preDEL!$AG252,IFERROR(0/0,""),preDEL!AN252)</f>
        <v>NDHM577067</v>
      </c>
      <c r="AO252" s="94" t="str">
        <f>IF(preDEL!$AG252,IFERROR(0/0,""),preDEL!AO252)</f>
        <v/>
      </c>
      <c r="AP252" s="94" t="str">
        <f>IF(preDEL!$AG252,IFERROR(0/0,""),preDEL!AP252)</f>
        <v/>
      </c>
      <c r="AQ252" s="94" t="str">
        <f>IF(preDEL!$AG252,IFERROR(0/0,""),preDEL!AQ252)</f>
        <v/>
      </c>
      <c r="AR252" s="94" t="str">
        <f>IF(preDEL!$AG252,IFERROR(0/0,""),preDEL!AR252)</f>
        <v/>
      </c>
      <c r="AS252" s="98"/>
      <c r="BE252" s="254"/>
      <c r="BF252" s="255"/>
      <c r="BG252" s="254"/>
      <c r="BH252" s="255"/>
      <c r="BI252" s="254"/>
      <c r="BJ252" s="254"/>
      <c r="BK252" s="254"/>
      <c r="BL252" s="254"/>
      <c r="BN252" s="7"/>
      <c r="BO252" s="7"/>
      <c r="BP252" s="7"/>
      <c r="BQ252" s="7"/>
      <c r="BR252" s="7"/>
      <c r="BS252" s="7"/>
      <c r="BT252" s="7"/>
    </row>
    <row r="253">
      <c r="A253" s="249" t="str">
        <f>IF(preDEL!$AG253,IFERROR(0/0,""),preDEL!A253)</f>
        <v>AG299</v>
      </c>
      <c r="B253" s="250">
        <f>IF(preDEL!$AG253,IFERROR(0/0,""),preDEL!B253)</f>
        <v>44774</v>
      </c>
      <c r="C253" s="251">
        <f>IF(preDEL!$AG253,IFERROR(0/0,""),preDEL!C253)</f>
        <v>0.214212963</v>
      </c>
      <c r="D253" s="249" t="str">
        <f>IF(preDEL!$AG253,IFERROR(0/0,""),preDEL!D253)</f>
        <v/>
      </c>
      <c r="E253" s="249" t="str">
        <f>IF(preDEL!$AG253,IFERROR(0/0,""),preDEL!E253)</f>
        <v/>
      </c>
      <c r="F253" s="94" t="str">
        <f>IF(preDEL!$AG253,IFERROR(0/0,""),preDEL!F253)</f>
        <v/>
      </c>
      <c r="G253" s="94" t="str">
        <f>IF(preDEL!$AG253,IFERROR(0/0,""),preDEL!G253)</f>
        <v/>
      </c>
      <c r="H253" s="94" t="str">
        <f>IF(preDEL!$AG253,IFERROR(0/0,""),preDEL!H253)</f>
        <v/>
      </c>
      <c r="I253" s="249" t="str">
        <f>IF(preDEL!$AG253,IFERROR(0/0,""),preDEL!I253)</f>
        <v/>
      </c>
      <c r="J253" s="249" t="str">
        <f>IF(preDEL!$AG253,IFERROR(0/0,""),preDEL!J253)</f>
        <v/>
      </c>
      <c r="K253" s="249" t="str">
        <f>IF(preDEL!$AG253,IFERROR(0/0,""),preDEL!K253)</f>
        <v>Negative</v>
      </c>
      <c r="L253" s="250">
        <f>IF(preDEL!$AG253,IFERROR(0/0,""),preDEL!L253)</f>
        <v>44816</v>
      </c>
      <c r="M253" s="251">
        <f>IF(preDEL!$AG253,IFERROR(0/0,""),preDEL!M253)</f>
        <v>0.3939814815</v>
      </c>
      <c r="N253" s="94" t="str">
        <f>IF(preDEL!$AG253,IFERROR(0/0,""),preDEL!N253)</f>
        <v/>
      </c>
      <c r="O253" s="94" t="str">
        <f>IF(preDEL!$AG253,IFERROR(0/0,""),preDEL!O253)</f>
        <v/>
      </c>
      <c r="P253" s="93" t="b">
        <f>IF(preDEL!$AG253,IFERROR(0/0,""),preDEL!P253)</f>
        <v>0</v>
      </c>
      <c r="Q253" s="93" t="str">
        <f>IF(preDEL!$AG253,IFERROR(0/0,""),preDEL!Q253)</f>
        <v>Result</v>
      </c>
      <c r="R253" s="99" t="b">
        <f>IF(preDEL!$AG253,IFERROR(0/0,""),preDEL!R253)</f>
        <v>0</v>
      </c>
      <c r="S253" s="99">
        <f>IF(preDEL!$AG253,IFERROR(0/0,""),preDEL!S253)</f>
        <v>3</v>
      </c>
      <c r="T253" s="93" t="str">
        <f>IF(preDEL!$AG253,IFERROR(0/0,""),preDEL!T253)</f>
        <v/>
      </c>
      <c r="U253" s="94" t="str">
        <f>IF(preDEL!$AG253,IFERROR(0/0,""),preDEL!U253)</f>
        <v/>
      </c>
      <c r="V253" s="249" t="str">
        <f>IF(preDEL!$AG253,IFERROR(0/0,""),preDEL!V253)</f>
        <v/>
      </c>
      <c r="W253" s="94" t="str">
        <f>IF(preDEL!$AG253,IFERROR(0/0,""),preDEL!W253)</f>
        <v/>
      </c>
      <c r="X253" s="99" t="b">
        <f>IF(preDEL!$AG253,IFERROR(0/0,""),preDEL!X253)</f>
        <v>0</v>
      </c>
      <c r="Y253" s="93" t="str">
        <f>IF(preDEL!$AG253,IFERROR(0/0,""),preDEL!Y253)</f>
        <v/>
      </c>
      <c r="Z253" s="249" t="str">
        <f>IF(preDEL!$AG253,IFERROR(0/0,""),preDEL!Z253)</f>
        <v/>
      </c>
      <c r="AA253" s="93" t="b">
        <f>IF(preDEL!$AG253,IFERROR(0/0,""),preDEL!AA253)</f>
        <v>0</v>
      </c>
      <c r="AB253" s="93" t="str">
        <f>IF(preDEL!$AG253,IFERROR(0/0,""),preDEL!AB253)</f>
        <v/>
      </c>
      <c r="AC253" s="252">
        <f>IF(preDEL!$AG253,IFERROR(0/0,""),preDEL!AC253)</f>
        <v>8</v>
      </c>
      <c r="AD253" s="99" t="str">
        <f>IF(preDEL!$AG253,IFERROR(0/0,""),preDEL!AD253)</f>
        <v/>
      </c>
      <c r="AE253" s="253" t="str">
        <f>IF(preDEL!$AG253,IFERROR(0/0,""),preDEL!AE253)</f>
        <v/>
      </c>
      <c r="AF253" s="93" t="b">
        <f>IF(preDEL!$AG253,IFERROR(0/0,""),preDEL!AF253)</f>
        <v>0</v>
      </c>
      <c r="AG253" s="93" t="b">
        <f>IF(preDEL!$AG253,IFERROR(0/0,""),preDEL!AG253)</f>
        <v>0</v>
      </c>
      <c r="AH253" s="99" t="str">
        <f>IF(preDEL!$AG253,IFERROR(0/0,""),preDEL!AH253)</f>
        <v/>
      </c>
      <c r="AI253" s="249" t="str">
        <f>IF(preDEL!$AG253,IFERROR(0/0,""),preDEL!AI253)</f>
        <v/>
      </c>
      <c r="AJ253" s="94" t="str">
        <f>IF(preDEL!$AG253,IFERROR(0/0,""),preDEL!AJ253)</f>
        <v/>
      </c>
      <c r="AK253" s="249" t="str">
        <f>IF(preDEL!$AG253,IFERROR(0/0,""),preDEL!AK253)</f>
        <v>Negative</v>
      </c>
      <c r="AL253" s="94" t="str">
        <f>IF(preDEL!$AG253,IFERROR(0/0,""),preDEL!AL253)</f>
        <v/>
      </c>
      <c r="AM253" s="94" t="str">
        <f>IF(preDEL!$AG253,IFERROR(0/0,""),preDEL!AM253)</f>
        <v>SpNDHM189649</v>
      </c>
      <c r="AN253" s="94" t="str">
        <f>IF(preDEL!$AG253,IFERROR(0/0,""),preDEL!AN253)</f>
        <v>NDHM406316</v>
      </c>
      <c r="AO253" s="94" t="str">
        <f>IF(preDEL!$AG253,IFERROR(0/0,""),preDEL!AO253)</f>
        <v/>
      </c>
      <c r="AP253" s="94" t="str">
        <f>IF(preDEL!$AG253,IFERROR(0/0,""),preDEL!AP253)</f>
        <v/>
      </c>
      <c r="AQ253" s="94" t="str">
        <f>IF(preDEL!$AG253,IFERROR(0/0,""),preDEL!AQ253)</f>
        <v/>
      </c>
      <c r="AR253" s="94" t="str">
        <f>IF(preDEL!$AG253,IFERROR(0/0,""),preDEL!AR253)</f>
        <v/>
      </c>
      <c r="AS253" s="98"/>
      <c r="BE253" s="254"/>
      <c r="BF253" s="255"/>
      <c r="BG253" s="254"/>
      <c r="BH253" s="255"/>
      <c r="BI253" s="254"/>
      <c r="BJ253" s="254"/>
      <c r="BK253" s="254"/>
      <c r="BL253" s="254"/>
      <c r="BN253" s="7"/>
      <c r="BO253" s="7"/>
      <c r="BP253" s="7"/>
      <c r="BQ253" s="7"/>
      <c r="BR253" s="7"/>
      <c r="BS253" s="7"/>
      <c r="BT253" s="7"/>
    </row>
    <row r="254">
      <c r="A254" s="249" t="str">
        <f>IF(preDEL!$AG254,IFERROR(0/0,""),preDEL!A254)</f>
        <v>AG1858</v>
      </c>
      <c r="B254" s="250">
        <f>IF(preDEL!$AG254,IFERROR(0/0,""),preDEL!B254)</f>
        <v>44816</v>
      </c>
      <c r="C254" s="251">
        <f>IF(preDEL!$AG254,IFERROR(0/0,""),preDEL!C254)</f>
        <v>0.1690162037</v>
      </c>
      <c r="D254" s="249" t="str">
        <f>IF(preDEL!$AG254,IFERROR(0/0,""),preDEL!D254)</f>
        <v/>
      </c>
      <c r="E254" s="249" t="str">
        <f>IF(preDEL!$AG254,IFERROR(0/0,""),preDEL!E254)</f>
        <v/>
      </c>
      <c r="F254" s="94" t="str">
        <f>IF(preDEL!$AG254,IFERROR(0/0,""),preDEL!F254)</f>
        <v/>
      </c>
      <c r="G254" s="94" t="str">
        <f>IF(preDEL!$AG254,IFERROR(0/0,""),preDEL!G254)</f>
        <v/>
      </c>
      <c r="H254" s="94" t="str">
        <f>IF(preDEL!$AG254,IFERROR(0/0,""),preDEL!H254)</f>
        <v/>
      </c>
      <c r="I254" s="249" t="str">
        <f>IF(preDEL!$AG254,IFERROR(0/0,""),preDEL!I254)</f>
        <v/>
      </c>
      <c r="J254" s="249" t="str">
        <f>IF(preDEL!$AG254,IFERROR(0/0,""),preDEL!J254)</f>
        <v/>
      </c>
      <c r="K254" s="249" t="str">
        <f>IF(preDEL!$AG254,IFERROR(0/0,""),preDEL!K254)</f>
        <v>Negative</v>
      </c>
      <c r="L254" s="250">
        <f>IF(preDEL!$AG254,IFERROR(0/0,""),preDEL!L254)</f>
        <v>44816</v>
      </c>
      <c r="M254" s="251">
        <f>IF(preDEL!$AG254,IFERROR(0/0,""),preDEL!M254)</f>
        <v>0.3939814815</v>
      </c>
      <c r="N254" s="94" t="str">
        <f>IF(preDEL!$AG254,IFERROR(0/0,""),preDEL!N254)</f>
        <v/>
      </c>
      <c r="O254" s="94" t="str">
        <f>IF(preDEL!$AG254,IFERROR(0/0,""),preDEL!O254)</f>
        <v/>
      </c>
      <c r="P254" s="93" t="b">
        <f>IF(preDEL!$AG254,IFERROR(0/0,""),preDEL!P254)</f>
        <v>0</v>
      </c>
      <c r="Q254" s="93" t="str">
        <f>IF(preDEL!$AG254,IFERROR(0/0,""),preDEL!Q254)</f>
        <v>Result</v>
      </c>
      <c r="R254" s="99" t="b">
        <f>IF(preDEL!$AG254,IFERROR(0/0,""),preDEL!R254)</f>
        <v>1</v>
      </c>
      <c r="S254" s="99">
        <f>IF(preDEL!$AG254,IFERROR(0/0,""),preDEL!S254)</f>
        <v>4</v>
      </c>
      <c r="T254" s="93" t="str">
        <f>IF(preDEL!$AG254,IFERROR(0/0,""),preDEL!T254)</f>
        <v/>
      </c>
      <c r="U254" s="94" t="str">
        <f>IF(preDEL!$AG254,IFERROR(0/0,""),preDEL!U254)</f>
        <v/>
      </c>
      <c r="V254" s="249" t="str">
        <f>IF(preDEL!$AG254,IFERROR(0/0,""),preDEL!V254)</f>
        <v/>
      </c>
      <c r="W254" s="94" t="str">
        <f>IF(preDEL!$AG254,IFERROR(0/0,""),preDEL!W254)</f>
        <v/>
      </c>
      <c r="X254" s="99" t="b">
        <f>IF(preDEL!$AG254,IFERROR(0/0,""),preDEL!X254)</f>
        <v>0</v>
      </c>
      <c r="Y254" s="93" t="str">
        <f>IF(preDEL!$AG254,IFERROR(0/0,""),preDEL!Y254)</f>
        <v/>
      </c>
      <c r="Z254" s="249" t="str">
        <f>IF(preDEL!$AG254,IFERROR(0/0,""),preDEL!Z254)</f>
        <v/>
      </c>
      <c r="AA254" s="93" t="b">
        <f>IF(preDEL!$AG254,IFERROR(0/0,""),preDEL!AA254)</f>
        <v>0</v>
      </c>
      <c r="AB254" s="93" t="str">
        <f>IF(preDEL!$AG254,IFERROR(0/0,""),preDEL!AB254)</f>
        <v/>
      </c>
      <c r="AC254" s="252">
        <f>IF(preDEL!$AG254,IFERROR(0/0,""),preDEL!AC254)</f>
        <v>6</v>
      </c>
      <c r="AD254" s="99" t="str">
        <f>IF(preDEL!$AG254,IFERROR(0/0,""),preDEL!AD254)</f>
        <v/>
      </c>
      <c r="AE254" s="253">
        <f>IF(preDEL!$AG254,IFERROR(0/0,""),preDEL!AE254)</f>
        <v>323.95</v>
      </c>
      <c r="AF254" s="93" t="b">
        <f>IF(preDEL!$AG254,IFERROR(0/0,""),preDEL!AF254)</f>
        <v>0</v>
      </c>
      <c r="AG254" s="93" t="b">
        <f>IF(preDEL!$AG254,IFERROR(0/0,""),preDEL!AG254)</f>
        <v>0</v>
      </c>
      <c r="AH254" s="99" t="str">
        <f>IF(preDEL!$AG254,IFERROR(0/0,""),preDEL!AH254)</f>
        <v/>
      </c>
      <c r="AI254" s="249" t="str">
        <f>IF(preDEL!$AG254,IFERROR(0/0,""),preDEL!AI254)</f>
        <v/>
      </c>
      <c r="AJ254" s="94" t="str">
        <f>IF(preDEL!$AG254,IFERROR(0/0,""),preDEL!AJ254)</f>
        <v/>
      </c>
      <c r="AK254" s="249" t="str">
        <f>IF(preDEL!$AG254,IFERROR(0/0,""),preDEL!AK254)</f>
        <v>Negative</v>
      </c>
      <c r="AL254" s="94" t="str">
        <f>IF(preDEL!$AG254,IFERROR(0/0,""),preDEL!AL254)</f>
        <v/>
      </c>
      <c r="AM254" s="94" t="str">
        <f>IF(preDEL!$AG254,IFERROR(0/0,""),preDEL!AM254)</f>
        <v>SpNDHM189649</v>
      </c>
      <c r="AN254" s="94" t="str">
        <f>IF(preDEL!$AG254,IFERROR(0/0,""),preDEL!AN254)</f>
        <v>NDHM872314</v>
      </c>
      <c r="AO254" s="94" t="str">
        <f>IF(preDEL!$AG254,IFERROR(0/0,""),preDEL!AO254)</f>
        <v/>
      </c>
      <c r="AP254" s="94" t="str">
        <f>IF(preDEL!$AG254,IFERROR(0/0,""),preDEL!AP254)</f>
        <v/>
      </c>
      <c r="AQ254" s="94" t="str">
        <f>IF(preDEL!$AG254,IFERROR(0/0,""),preDEL!AQ254)</f>
        <v/>
      </c>
      <c r="AR254" s="94" t="str">
        <f>IF(preDEL!$AG254,IFERROR(0/0,""),preDEL!AR254)</f>
        <v/>
      </c>
      <c r="AS254" s="98"/>
      <c r="BE254" s="254"/>
      <c r="BF254" s="255"/>
      <c r="BG254" s="254"/>
      <c r="BH254" s="255"/>
      <c r="BI254" s="254"/>
      <c r="BJ254" s="254"/>
      <c r="BK254" s="254"/>
      <c r="BL254" s="254"/>
      <c r="BN254" s="7"/>
      <c r="BO254" s="7"/>
      <c r="BP254" s="7"/>
      <c r="BQ254" s="7"/>
      <c r="BR254" s="7"/>
      <c r="BS254" s="7"/>
      <c r="BT254" s="7"/>
    </row>
    <row r="255">
      <c r="A255" s="249" t="str">
        <f>IF(preDEL!$AG255,IFERROR(0/0,""),preDEL!A255)</f>
        <v>AG1858</v>
      </c>
      <c r="B255" s="250">
        <f>IF(preDEL!$AG255,IFERROR(0/0,""),preDEL!B255)</f>
        <v>44816</v>
      </c>
      <c r="C255" s="251">
        <f>IF(preDEL!$AG255,IFERROR(0/0,""),preDEL!C255)</f>
        <v>0.1690162037</v>
      </c>
      <c r="D255" s="249" t="str">
        <f>IF(preDEL!$AG255,IFERROR(0/0,""),preDEL!D255)</f>
        <v/>
      </c>
      <c r="E255" s="249" t="str">
        <f>IF(preDEL!$AG255,IFERROR(0/0,""),preDEL!E255)</f>
        <v/>
      </c>
      <c r="F255" s="94" t="str">
        <f>IF(preDEL!$AG255,IFERROR(0/0,""),preDEL!F255)</f>
        <v/>
      </c>
      <c r="G255" s="94" t="str">
        <f>IF(preDEL!$AG255,IFERROR(0/0,""),preDEL!G255)</f>
        <v/>
      </c>
      <c r="H255" s="94" t="str">
        <f>IF(preDEL!$AG255,IFERROR(0/0,""),preDEL!H255)</f>
        <v/>
      </c>
      <c r="I255" s="249" t="str">
        <f>IF(preDEL!$AG255,IFERROR(0/0,""),preDEL!I255)</f>
        <v/>
      </c>
      <c r="J255" s="249" t="str">
        <f>IF(preDEL!$AG255,IFERROR(0/0,""),preDEL!J255)</f>
        <v/>
      </c>
      <c r="K255" s="249" t="str">
        <f>IF(preDEL!$AG255,IFERROR(0/0,""),preDEL!K255)</f>
        <v>Negative</v>
      </c>
      <c r="L255" s="250">
        <f>IF(preDEL!$AG255,IFERROR(0/0,""),preDEL!L255)</f>
        <v>44816</v>
      </c>
      <c r="M255" s="251">
        <f>IF(preDEL!$AG255,IFERROR(0/0,""),preDEL!M255)</f>
        <v>0.3939814815</v>
      </c>
      <c r="N255" s="94" t="str">
        <f>IF(preDEL!$AG255,IFERROR(0/0,""),preDEL!N255)</f>
        <v/>
      </c>
      <c r="O255" s="94" t="str">
        <f>IF(preDEL!$AG255,IFERROR(0/0,""),preDEL!O255)</f>
        <v/>
      </c>
      <c r="P255" s="93" t="b">
        <f>IF(preDEL!$AG255,IFERROR(0/0,""),preDEL!P255)</f>
        <v>0</v>
      </c>
      <c r="Q255" s="93" t="str">
        <f>IF(preDEL!$AG255,IFERROR(0/0,""),preDEL!Q255)</f>
        <v>Result</v>
      </c>
      <c r="R255" s="99" t="b">
        <f>IF(preDEL!$AG255,IFERROR(0/0,""),preDEL!R255)</f>
        <v>0</v>
      </c>
      <c r="S255" s="99">
        <f>IF(preDEL!$AG255,IFERROR(0/0,""),preDEL!S255)</f>
        <v>4</v>
      </c>
      <c r="T255" s="93" t="str">
        <f>IF(preDEL!$AG255,IFERROR(0/0,""),preDEL!T255)</f>
        <v/>
      </c>
      <c r="U255" s="94" t="str">
        <f>IF(preDEL!$AG255,IFERROR(0/0,""),preDEL!U255)</f>
        <v/>
      </c>
      <c r="V255" s="249" t="str">
        <f>IF(preDEL!$AG255,IFERROR(0/0,""),preDEL!V255)</f>
        <v/>
      </c>
      <c r="W255" s="94" t="str">
        <f>IF(preDEL!$AG255,IFERROR(0/0,""),preDEL!W255)</f>
        <v/>
      </c>
      <c r="X255" s="99" t="b">
        <f>IF(preDEL!$AG255,IFERROR(0/0,""),preDEL!X255)</f>
        <v>0</v>
      </c>
      <c r="Y255" s="93" t="str">
        <f>IF(preDEL!$AG255,IFERROR(0/0,""),preDEL!Y255)</f>
        <v/>
      </c>
      <c r="Z255" s="249" t="str">
        <f>IF(preDEL!$AG255,IFERROR(0/0,""),preDEL!Z255)</f>
        <v/>
      </c>
      <c r="AA255" s="93" t="b">
        <f>IF(preDEL!$AG255,IFERROR(0/0,""),preDEL!AA255)</f>
        <v>0</v>
      </c>
      <c r="AB255" s="93" t="str">
        <f>IF(preDEL!$AG255,IFERROR(0/0,""),preDEL!AB255)</f>
        <v/>
      </c>
      <c r="AC255" s="252">
        <f>IF(preDEL!$AG255,IFERROR(0/0,""),preDEL!AC255)</f>
        <v>4</v>
      </c>
      <c r="AD255" s="99" t="str">
        <f>IF(preDEL!$AG255,IFERROR(0/0,""),preDEL!AD255)</f>
        <v/>
      </c>
      <c r="AE255" s="253">
        <f>IF(preDEL!$AG255,IFERROR(0/0,""),preDEL!AE255)</f>
        <v>323.95</v>
      </c>
      <c r="AF255" s="93" t="b">
        <f>IF(preDEL!$AG255,IFERROR(0/0,""),preDEL!AF255)</f>
        <v>0</v>
      </c>
      <c r="AG255" s="93" t="b">
        <f>IF(preDEL!$AG255,IFERROR(0/0,""),preDEL!AG255)</f>
        <v>0</v>
      </c>
      <c r="AH255" s="99" t="str">
        <f>IF(preDEL!$AG255,IFERROR(0/0,""),preDEL!AH255)</f>
        <v/>
      </c>
      <c r="AI255" s="249" t="str">
        <f>IF(preDEL!$AG255,IFERROR(0/0,""),preDEL!AI255)</f>
        <v/>
      </c>
      <c r="AJ255" s="94" t="str">
        <f>IF(preDEL!$AG255,IFERROR(0/0,""),preDEL!AJ255)</f>
        <v/>
      </c>
      <c r="AK255" s="249" t="str">
        <f>IF(preDEL!$AG255,IFERROR(0/0,""),preDEL!AK255)</f>
        <v>Negative</v>
      </c>
      <c r="AL255" s="94" t="str">
        <f>IF(preDEL!$AG255,IFERROR(0/0,""),preDEL!AL255)</f>
        <v/>
      </c>
      <c r="AM255" s="94" t="str">
        <f>IF(preDEL!$AG255,IFERROR(0/0,""),preDEL!AM255)</f>
        <v>SpNDHM189649</v>
      </c>
      <c r="AN255" s="94" t="str">
        <f>IF(preDEL!$AG255,IFERROR(0/0,""),preDEL!AN255)</f>
        <v>NDHM577067</v>
      </c>
      <c r="AO255" s="94" t="str">
        <f>IF(preDEL!$AG255,IFERROR(0/0,""),preDEL!AO255)</f>
        <v/>
      </c>
      <c r="AP255" s="94" t="str">
        <f>IF(preDEL!$AG255,IFERROR(0/0,""),preDEL!AP255)</f>
        <v/>
      </c>
      <c r="AQ255" s="94" t="str">
        <f>IF(preDEL!$AG255,IFERROR(0/0,""),preDEL!AQ255)</f>
        <v/>
      </c>
      <c r="AR255" s="94" t="str">
        <f>IF(preDEL!$AG255,IFERROR(0/0,""),preDEL!AR255)</f>
        <v/>
      </c>
      <c r="AS255" s="98"/>
      <c r="BE255" s="254"/>
      <c r="BF255" s="255"/>
      <c r="BG255" s="254"/>
      <c r="BH255" s="255"/>
      <c r="BI255" s="254"/>
      <c r="BJ255" s="254"/>
      <c r="BK255" s="254"/>
      <c r="BL255" s="254"/>
      <c r="BN255" s="7"/>
      <c r="BO255" s="7"/>
      <c r="BP255" s="7"/>
      <c r="BQ255" s="7"/>
      <c r="BR255" s="7"/>
      <c r="BS255" s="7"/>
      <c r="BT255" s="7"/>
    </row>
    <row r="256">
      <c r="A256" s="249" t="str">
        <f>IF(preDEL!$AG256,IFERROR(0/0,""),preDEL!A256)</f>
        <v>AG1858</v>
      </c>
      <c r="B256" s="250">
        <f>IF(preDEL!$AG256,IFERROR(0/0,""),preDEL!B256)</f>
        <v>44816</v>
      </c>
      <c r="C256" s="251">
        <f>IF(preDEL!$AG256,IFERROR(0/0,""),preDEL!C256)</f>
        <v>0.1690162037</v>
      </c>
      <c r="D256" s="249" t="str">
        <f>IF(preDEL!$AG256,IFERROR(0/0,""),preDEL!D256)</f>
        <v/>
      </c>
      <c r="E256" s="249" t="str">
        <f>IF(preDEL!$AG256,IFERROR(0/0,""),preDEL!E256)</f>
        <v/>
      </c>
      <c r="F256" s="94" t="str">
        <f>IF(preDEL!$AG256,IFERROR(0/0,""),preDEL!F256)</f>
        <v/>
      </c>
      <c r="G256" s="94" t="str">
        <f>IF(preDEL!$AG256,IFERROR(0/0,""),preDEL!G256)</f>
        <v/>
      </c>
      <c r="H256" s="94" t="str">
        <f>IF(preDEL!$AG256,IFERROR(0/0,""),preDEL!H256)</f>
        <v/>
      </c>
      <c r="I256" s="249" t="str">
        <f>IF(preDEL!$AG256,IFERROR(0/0,""),preDEL!I256)</f>
        <v/>
      </c>
      <c r="J256" s="249" t="str">
        <f>IF(preDEL!$AG256,IFERROR(0/0,""),preDEL!J256)</f>
        <v/>
      </c>
      <c r="K256" s="249" t="str">
        <f>IF(preDEL!$AG256,IFERROR(0/0,""),preDEL!K256)</f>
        <v>Negative</v>
      </c>
      <c r="L256" s="250">
        <f>IF(preDEL!$AG256,IFERROR(0/0,""),preDEL!L256)</f>
        <v>44816</v>
      </c>
      <c r="M256" s="251">
        <f>IF(preDEL!$AG256,IFERROR(0/0,""),preDEL!M256)</f>
        <v>0.3939814815</v>
      </c>
      <c r="N256" s="94" t="str">
        <f>IF(preDEL!$AG256,IFERROR(0/0,""),preDEL!N256)</f>
        <v/>
      </c>
      <c r="O256" s="94" t="str">
        <f>IF(preDEL!$AG256,IFERROR(0/0,""),preDEL!O256)</f>
        <v/>
      </c>
      <c r="P256" s="93" t="b">
        <f>IF(preDEL!$AG256,IFERROR(0/0,""),preDEL!P256)</f>
        <v>0</v>
      </c>
      <c r="Q256" s="93" t="str">
        <f>IF(preDEL!$AG256,IFERROR(0/0,""),preDEL!Q256)</f>
        <v>Result</v>
      </c>
      <c r="R256" s="99" t="b">
        <f>IF(preDEL!$AG256,IFERROR(0/0,""),preDEL!R256)</f>
        <v>0</v>
      </c>
      <c r="S256" s="99">
        <f>IF(preDEL!$AG256,IFERROR(0/0,""),preDEL!S256)</f>
        <v>4</v>
      </c>
      <c r="T256" s="93" t="str">
        <f>IF(preDEL!$AG256,IFERROR(0/0,""),preDEL!T256)</f>
        <v/>
      </c>
      <c r="U256" s="94" t="str">
        <f>IF(preDEL!$AG256,IFERROR(0/0,""),preDEL!U256)</f>
        <v/>
      </c>
      <c r="V256" s="249" t="str">
        <f>IF(preDEL!$AG256,IFERROR(0/0,""),preDEL!V256)</f>
        <v/>
      </c>
      <c r="W256" s="94" t="str">
        <f>IF(preDEL!$AG256,IFERROR(0/0,""),preDEL!W256)</f>
        <v/>
      </c>
      <c r="X256" s="99" t="b">
        <f>IF(preDEL!$AG256,IFERROR(0/0,""),preDEL!X256)</f>
        <v>0</v>
      </c>
      <c r="Y256" s="93" t="str">
        <f>IF(preDEL!$AG256,IFERROR(0/0,""),preDEL!Y256)</f>
        <v/>
      </c>
      <c r="Z256" s="249" t="str">
        <f>IF(preDEL!$AG256,IFERROR(0/0,""),preDEL!Z256)</f>
        <v/>
      </c>
      <c r="AA256" s="93" t="b">
        <f>IF(preDEL!$AG256,IFERROR(0/0,""),preDEL!AA256)</f>
        <v>0</v>
      </c>
      <c r="AB256" s="93" t="str">
        <f>IF(preDEL!$AG256,IFERROR(0/0,""),preDEL!AB256)</f>
        <v/>
      </c>
      <c r="AC256" s="252">
        <f>IF(preDEL!$AG256,IFERROR(0/0,""),preDEL!AC256)</f>
        <v>5</v>
      </c>
      <c r="AD256" s="99" t="str">
        <f>IF(preDEL!$AG256,IFERROR(0/0,""),preDEL!AD256)</f>
        <v/>
      </c>
      <c r="AE256" s="253">
        <f>IF(preDEL!$AG256,IFERROR(0/0,""),preDEL!AE256)</f>
        <v>323.95</v>
      </c>
      <c r="AF256" s="93" t="b">
        <f>IF(preDEL!$AG256,IFERROR(0/0,""),preDEL!AF256)</f>
        <v>0</v>
      </c>
      <c r="AG256" s="93" t="b">
        <f>IF(preDEL!$AG256,IFERROR(0/0,""),preDEL!AG256)</f>
        <v>0</v>
      </c>
      <c r="AH256" s="99" t="str">
        <f>IF(preDEL!$AG256,IFERROR(0/0,""),preDEL!AH256)</f>
        <v/>
      </c>
      <c r="AI256" s="249" t="str">
        <f>IF(preDEL!$AG256,IFERROR(0/0,""),preDEL!AI256)</f>
        <v/>
      </c>
      <c r="AJ256" s="94" t="str">
        <f>IF(preDEL!$AG256,IFERROR(0/0,""),preDEL!AJ256)</f>
        <v/>
      </c>
      <c r="AK256" s="249" t="str">
        <f>IF(preDEL!$AG256,IFERROR(0/0,""),preDEL!AK256)</f>
        <v>Negative</v>
      </c>
      <c r="AL256" s="94" t="str">
        <f>IF(preDEL!$AG256,IFERROR(0/0,""),preDEL!AL256)</f>
        <v/>
      </c>
      <c r="AM256" s="94" t="str">
        <f>IF(preDEL!$AG256,IFERROR(0/0,""),preDEL!AM256)</f>
        <v>SpNDHM189649</v>
      </c>
      <c r="AN256" s="94" t="str">
        <f>IF(preDEL!$AG256,IFERROR(0/0,""),preDEL!AN256)</f>
        <v>NDHM406316</v>
      </c>
      <c r="AO256" s="94" t="str">
        <f>IF(preDEL!$AG256,IFERROR(0/0,""),preDEL!AO256)</f>
        <v/>
      </c>
      <c r="AP256" s="94" t="str">
        <f>IF(preDEL!$AG256,IFERROR(0/0,""),preDEL!AP256)</f>
        <v/>
      </c>
      <c r="AQ256" s="94" t="str">
        <f>IF(preDEL!$AG256,IFERROR(0/0,""),preDEL!AQ256)</f>
        <v/>
      </c>
      <c r="AR256" s="94" t="str">
        <f>IF(preDEL!$AG256,IFERROR(0/0,""),preDEL!AR256)</f>
        <v/>
      </c>
      <c r="AS256" s="98"/>
      <c r="BE256" s="254"/>
      <c r="BF256" s="255"/>
      <c r="BG256" s="254"/>
      <c r="BH256" s="255"/>
      <c r="BI256" s="254"/>
      <c r="BJ256" s="254"/>
      <c r="BK256" s="254"/>
      <c r="BL256" s="254"/>
      <c r="BN256" s="7"/>
      <c r="BO256" s="7"/>
      <c r="BP256" s="7"/>
      <c r="BQ256" s="7"/>
      <c r="BR256" s="7"/>
      <c r="BS256" s="7"/>
      <c r="BT256" s="7"/>
    </row>
    <row r="257">
      <c r="A257" s="249" t="str">
        <f>IF(preDEL!$AG257,IFERROR(0/0,""),preDEL!A257)</f>
        <v>AG1858</v>
      </c>
      <c r="B257" s="250">
        <f>IF(preDEL!$AG257,IFERROR(0/0,""),preDEL!B257)</f>
        <v>44816</v>
      </c>
      <c r="C257" s="251">
        <f>IF(preDEL!$AG257,IFERROR(0/0,""),preDEL!C257)</f>
        <v>0.1690162037</v>
      </c>
      <c r="D257" s="249" t="str">
        <f>IF(preDEL!$AG257,IFERROR(0/0,""),preDEL!D257)</f>
        <v/>
      </c>
      <c r="E257" s="249" t="str">
        <f>IF(preDEL!$AG257,IFERROR(0/0,""),preDEL!E257)</f>
        <v/>
      </c>
      <c r="F257" s="94" t="str">
        <f>IF(preDEL!$AG257,IFERROR(0/0,""),preDEL!F257)</f>
        <v/>
      </c>
      <c r="G257" s="94" t="str">
        <f>IF(preDEL!$AG257,IFERROR(0/0,""),preDEL!G257)</f>
        <v/>
      </c>
      <c r="H257" s="94" t="str">
        <f>IF(preDEL!$AG257,IFERROR(0/0,""),preDEL!H257)</f>
        <v/>
      </c>
      <c r="I257" s="249" t="str">
        <f>IF(preDEL!$AG257,IFERROR(0/0,""),preDEL!I257)</f>
        <v/>
      </c>
      <c r="J257" s="249" t="str">
        <f>IF(preDEL!$AG257,IFERROR(0/0,""),preDEL!J257)</f>
        <v/>
      </c>
      <c r="K257" s="249" t="str">
        <f>IF(preDEL!$AG257,IFERROR(0/0,""),preDEL!K257)</f>
        <v>Negative</v>
      </c>
      <c r="L257" s="250">
        <f>IF(preDEL!$AG257,IFERROR(0/0,""),preDEL!L257)</f>
        <v>44816</v>
      </c>
      <c r="M257" s="251">
        <f>IF(preDEL!$AG257,IFERROR(0/0,""),preDEL!M257)</f>
        <v>0.3939814815</v>
      </c>
      <c r="N257" s="94" t="str">
        <f>IF(preDEL!$AG257,IFERROR(0/0,""),preDEL!N257)</f>
        <v/>
      </c>
      <c r="O257" s="94" t="str">
        <f>IF(preDEL!$AG257,IFERROR(0/0,""),preDEL!O257)</f>
        <v/>
      </c>
      <c r="P257" s="93" t="b">
        <f>IF(preDEL!$AG257,IFERROR(0/0,""),preDEL!P257)</f>
        <v>0</v>
      </c>
      <c r="Q257" s="93" t="str">
        <f>IF(preDEL!$AG257,IFERROR(0/0,""),preDEL!Q257)</f>
        <v>Result</v>
      </c>
      <c r="R257" s="99" t="b">
        <f>IF(preDEL!$AG257,IFERROR(0/0,""),preDEL!R257)</f>
        <v>0</v>
      </c>
      <c r="S257" s="99">
        <f>IF(preDEL!$AG257,IFERROR(0/0,""),preDEL!S257)</f>
        <v>4</v>
      </c>
      <c r="T257" s="93" t="str">
        <f>IF(preDEL!$AG257,IFERROR(0/0,""),preDEL!T257)</f>
        <v/>
      </c>
      <c r="U257" s="94" t="str">
        <f>IF(preDEL!$AG257,IFERROR(0/0,""),preDEL!U257)</f>
        <v/>
      </c>
      <c r="V257" s="249" t="str">
        <f>IF(preDEL!$AG257,IFERROR(0/0,""),preDEL!V257)</f>
        <v/>
      </c>
      <c r="W257" s="94" t="str">
        <f>IF(preDEL!$AG257,IFERROR(0/0,""),preDEL!W257)</f>
        <v/>
      </c>
      <c r="X257" s="99" t="b">
        <f>IF(preDEL!$AG257,IFERROR(0/0,""),preDEL!X257)</f>
        <v>0</v>
      </c>
      <c r="Y257" s="93" t="str">
        <f>IF(preDEL!$AG257,IFERROR(0/0,""),preDEL!Y257)</f>
        <v/>
      </c>
      <c r="Z257" s="249" t="str">
        <f>IF(preDEL!$AG257,IFERROR(0/0,""),preDEL!Z257)</f>
        <v/>
      </c>
      <c r="AA257" s="93" t="b">
        <f>IF(preDEL!$AG257,IFERROR(0/0,""),preDEL!AA257)</f>
        <v>0</v>
      </c>
      <c r="AB257" s="93" t="str">
        <f>IF(preDEL!$AG257,IFERROR(0/0,""),preDEL!AB257)</f>
        <v/>
      </c>
      <c r="AC257" s="252">
        <f>IF(preDEL!$AG257,IFERROR(0/0,""),preDEL!AC257)</f>
        <v>7</v>
      </c>
      <c r="AD257" s="99" t="str">
        <f>IF(preDEL!$AG257,IFERROR(0/0,""),preDEL!AD257)</f>
        <v/>
      </c>
      <c r="AE257" s="253">
        <f>IF(preDEL!$AG257,IFERROR(0/0,""),preDEL!AE257)</f>
        <v>323.95</v>
      </c>
      <c r="AF257" s="93" t="b">
        <f>IF(preDEL!$AG257,IFERROR(0/0,""),preDEL!AF257)</f>
        <v>0</v>
      </c>
      <c r="AG257" s="93" t="b">
        <f>IF(preDEL!$AG257,IFERROR(0/0,""),preDEL!AG257)</f>
        <v>0</v>
      </c>
      <c r="AH257" s="99" t="str">
        <f>IF(preDEL!$AG257,IFERROR(0/0,""),preDEL!AH257)</f>
        <v/>
      </c>
      <c r="AI257" s="249" t="str">
        <f>IF(preDEL!$AG257,IFERROR(0/0,""),preDEL!AI257)</f>
        <v/>
      </c>
      <c r="AJ257" s="94" t="str">
        <f>IF(preDEL!$AG257,IFERROR(0/0,""),preDEL!AJ257)</f>
        <v/>
      </c>
      <c r="AK257" s="249" t="str">
        <f>IF(preDEL!$AG257,IFERROR(0/0,""),preDEL!AK257)</f>
        <v>Negative</v>
      </c>
      <c r="AL257" s="94" t="str">
        <f>IF(preDEL!$AG257,IFERROR(0/0,""),preDEL!AL257)</f>
        <v/>
      </c>
      <c r="AM257" s="94" t="str">
        <f>IF(preDEL!$AG257,IFERROR(0/0,""),preDEL!AM257)</f>
        <v>SpNDHM189649</v>
      </c>
      <c r="AN257" s="94" t="str">
        <f>IF(preDEL!$AG257,IFERROR(0/0,""),preDEL!AN257)</f>
        <v>NDHM404468</v>
      </c>
      <c r="AO257" s="94" t="str">
        <f>IF(preDEL!$AG257,IFERROR(0/0,""),preDEL!AO257)</f>
        <v/>
      </c>
      <c r="AP257" s="94" t="str">
        <f>IF(preDEL!$AG257,IFERROR(0/0,""),preDEL!AP257)</f>
        <v/>
      </c>
      <c r="AQ257" s="94" t="str">
        <f>IF(preDEL!$AG257,IFERROR(0/0,""),preDEL!AQ257)</f>
        <v/>
      </c>
      <c r="AR257" s="94" t="str">
        <f>IF(preDEL!$AG257,IFERROR(0/0,""),preDEL!AR257)</f>
        <v/>
      </c>
      <c r="AS257" s="98"/>
      <c r="BE257" s="254"/>
      <c r="BF257" s="255"/>
      <c r="BG257" s="254"/>
      <c r="BH257" s="255"/>
      <c r="BI257" s="254"/>
      <c r="BJ257" s="254"/>
      <c r="BK257" s="254"/>
      <c r="BL257" s="254"/>
      <c r="BN257" s="7"/>
      <c r="BO257" s="7"/>
      <c r="BP257" s="7"/>
      <c r="BQ257" s="7"/>
      <c r="BR257" s="7"/>
      <c r="BS257" s="7"/>
      <c r="BT257" s="7"/>
    </row>
    <row r="258">
      <c r="A258" s="249" t="str">
        <f>IF(preDEL!$AG258,IFERROR(0/0,""),preDEL!A258)</f>
        <v>AJ9077</v>
      </c>
      <c r="B258" s="250">
        <f>IF(preDEL!$AG258,IFERROR(0/0,""),preDEL!B258)</f>
        <v>44837</v>
      </c>
      <c r="C258" s="251">
        <f>IF(preDEL!$AG258,IFERROR(0/0,""),preDEL!C258)</f>
        <v>0.198599537</v>
      </c>
      <c r="D258" s="249" t="str">
        <f>IF(preDEL!$AG258,IFERROR(0/0,""),preDEL!D258)</f>
        <v/>
      </c>
      <c r="E258" s="249" t="str">
        <f>IF(preDEL!$AG258,IFERROR(0/0,""),preDEL!E258)</f>
        <v/>
      </c>
      <c r="F258" s="94" t="str">
        <f>IF(preDEL!$AG258,IFERROR(0/0,""),preDEL!F258)</f>
        <v/>
      </c>
      <c r="G258" s="94" t="str">
        <f>IF(preDEL!$AG258,IFERROR(0/0,""),preDEL!G258)</f>
        <v/>
      </c>
      <c r="H258" s="94" t="str">
        <f>IF(preDEL!$AG258,IFERROR(0/0,""),preDEL!H258)</f>
        <v/>
      </c>
      <c r="I258" s="249" t="str">
        <f>IF(preDEL!$AG258,IFERROR(0/0,""),preDEL!I258)</f>
        <v/>
      </c>
      <c r="J258" s="249" t="str">
        <f>IF(preDEL!$AG258,IFERROR(0/0,""),preDEL!J258)</f>
        <v/>
      </c>
      <c r="K258" s="249" t="str">
        <f>IF(preDEL!$AG258,IFERROR(0/0,""),preDEL!K258)</f>
        <v>Negative</v>
      </c>
      <c r="L258" s="250">
        <f>IF(preDEL!$AG258,IFERROR(0/0,""),preDEL!L258)</f>
        <v>44837</v>
      </c>
      <c r="M258" s="251">
        <f>IF(preDEL!$AG258,IFERROR(0/0,""),preDEL!M258)</f>
        <v>0.510150463</v>
      </c>
      <c r="N258" s="94" t="str">
        <f>IF(preDEL!$AG258,IFERROR(0/0,""),preDEL!N258)</f>
        <v/>
      </c>
      <c r="O258" s="94" t="str">
        <f>IF(preDEL!$AG258,IFERROR(0/0,""),preDEL!O258)</f>
        <v/>
      </c>
      <c r="P258" s="93" t="b">
        <f>IF(preDEL!$AG258,IFERROR(0/0,""),preDEL!P258)</f>
        <v>0</v>
      </c>
      <c r="Q258" s="93" t="str">
        <f>IF(preDEL!$AG258,IFERROR(0/0,""),preDEL!Q258)</f>
        <v>Result</v>
      </c>
      <c r="R258" s="99" t="b">
        <f>IF(preDEL!$AG258,IFERROR(0/0,""),preDEL!R258)</f>
        <v>1</v>
      </c>
      <c r="S258" s="99">
        <f>IF(preDEL!$AG258,IFERROR(0/0,""),preDEL!S258)</f>
        <v>3</v>
      </c>
      <c r="T258" s="93" t="str">
        <f>IF(preDEL!$AG258,IFERROR(0/0,""),preDEL!T258)</f>
        <v/>
      </c>
      <c r="U258" s="94" t="str">
        <f>IF(preDEL!$AG258,IFERROR(0/0,""),preDEL!U258)</f>
        <v/>
      </c>
      <c r="V258" s="249" t="str">
        <f>IF(preDEL!$AG258,IFERROR(0/0,""),preDEL!V258)</f>
        <v/>
      </c>
      <c r="W258" s="94" t="str">
        <f>IF(preDEL!$AG258,IFERROR(0/0,""),preDEL!W258)</f>
        <v/>
      </c>
      <c r="X258" s="99" t="b">
        <f>IF(preDEL!$AG258,IFERROR(0/0,""),preDEL!X258)</f>
        <v>0</v>
      </c>
      <c r="Y258" s="93" t="str">
        <f>IF(preDEL!$AG258,IFERROR(0/0,""),preDEL!Y258)</f>
        <v/>
      </c>
      <c r="Z258" s="249" t="str">
        <f>IF(preDEL!$AG258,IFERROR(0/0,""),preDEL!Z258)</f>
        <v/>
      </c>
      <c r="AA258" s="93" t="b">
        <f>IF(preDEL!$AG258,IFERROR(0/0,""),preDEL!AA258)</f>
        <v>0</v>
      </c>
      <c r="AB258" s="93" t="str">
        <f>IF(preDEL!$AG258,IFERROR(0/0,""),preDEL!AB258)</f>
        <v/>
      </c>
      <c r="AC258" s="252">
        <f>IF(preDEL!$AG258,IFERROR(0/0,""),preDEL!AC258)</f>
        <v>2</v>
      </c>
      <c r="AD258" s="99" t="str">
        <f>IF(preDEL!$AG258,IFERROR(0/0,""),preDEL!AD258)</f>
        <v/>
      </c>
      <c r="AE258" s="253">
        <f>IF(preDEL!$AG258,IFERROR(0/0,""),preDEL!AE258)</f>
        <v>448.6333333</v>
      </c>
      <c r="AF258" s="93" t="b">
        <f>IF(preDEL!$AG258,IFERROR(0/0,""),preDEL!AF258)</f>
        <v>0</v>
      </c>
      <c r="AG258" s="93" t="b">
        <f>IF(preDEL!$AG258,IFERROR(0/0,""),preDEL!AG258)</f>
        <v>0</v>
      </c>
      <c r="AH258" s="99" t="str">
        <f>IF(preDEL!$AG258,IFERROR(0/0,""),preDEL!AH258)</f>
        <v/>
      </c>
      <c r="AI258" s="249" t="str">
        <f>IF(preDEL!$AG258,IFERROR(0/0,""),preDEL!AI258)</f>
        <v/>
      </c>
      <c r="AJ258" s="94" t="str">
        <f>IF(preDEL!$AG258,IFERROR(0/0,""),preDEL!AJ258)</f>
        <v/>
      </c>
      <c r="AK258" s="249" t="str">
        <f>IF(preDEL!$AG258,IFERROR(0/0,""),preDEL!AK258)</f>
        <v>Negative</v>
      </c>
      <c r="AL258" s="94" t="str">
        <f>IF(preDEL!$AG258,IFERROR(0/0,""),preDEL!AL258)</f>
        <v/>
      </c>
      <c r="AM258" s="94" t="str">
        <f>IF(preDEL!$AG258,IFERROR(0/0,""),preDEL!AM258)</f>
        <v>SpNDHM189649</v>
      </c>
      <c r="AN258" s="94" t="str">
        <f>IF(preDEL!$AG258,IFERROR(0/0,""),preDEL!AN258)</f>
        <v>NDHM872314</v>
      </c>
      <c r="AO258" s="94" t="str">
        <f>IF(preDEL!$AG258,IFERROR(0/0,""),preDEL!AO258)</f>
        <v/>
      </c>
      <c r="AP258" s="94" t="str">
        <f>IF(preDEL!$AG258,IFERROR(0/0,""),preDEL!AP258)</f>
        <v/>
      </c>
      <c r="AQ258" s="94" t="str">
        <f>IF(preDEL!$AG258,IFERROR(0/0,""),preDEL!AQ258)</f>
        <v/>
      </c>
      <c r="AR258" s="94" t="str">
        <f>IF(preDEL!$AG258,IFERROR(0/0,""),preDEL!AR258)</f>
        <v/>
      </c>
      <c r="AS258" s="98"/>
      <c r="BE258" s="254"/>
      <c r="BF258" s="255"/>
      <c r="BG258" s="254"/>
      <c r="BH258" s="255"/>
      <c r="BI258" s="254"/>
      <c r="BJ258" s="254"/>
      <c r="BK258" s="254"/>
      <c r="BL258" s="254"/>
      <c r="BN258" s="7"/>
      <c r="BO258" s="7"/>
      <c r="BP258" s="7"/>
      <c r="BQ258" s="7"/>
      <c r="BR258" s="7"/>
      <c r="BS258" s="7"/>
      <c r="BT258" s="7"/>
    </row>
    <row r="259">
      <c r="A259" s="249" t="str">
        <f>IF(preDEL!$AG259,IFERROR(0/0,""),preDEL!A259)</f>
        <v>AJ9077</v>
      </c>
      <c r="B259" s="250">
        <f>IF(preDEL!$AG259,IFERROR(0/0,""),preDEL!B259)</f>
        <v>44837</v>
      </c>
      <c r="C259" s="251">
        <f>IF(preDEL!$AG259,IFERROR(0/0,""),preDEL!C259)</f>
        <v>0.198599537</v>
      </c>
      <c r="D259" s="249" t="str">
        <f>IF(preDEL!$AG259,IFERROR(0/0,""),preDEL!D259)</f>
        <v/>
      </c>
      <c r="E259" s="249" t="str">
        <f>IF(preDEL!$AG259,IFERROR(0/0,""),preDEL!E259)</f>
        <v/>
      </c>
      <c r="F259" s="94" t="str">
        <f>IF(preDEL!$AG259,IFERROR(0/0,""),preDEL!F259)</f>
        <v/>
      </c>
      <c r="G259" s="94" t="str">
        <f>IF(preDEL!$AG259,IFERROR(0/0,""),preDEL!G259)</f>
        <v/>
      </c>
      <c r="H259" s="94" t="str">
        <f>IF(preDEL!$AG259,IFERROR(0/0,""),preDEL!H259)</f>
        <v/>
      </c>
      <c r="I259" s="249" t="str">
        <f>IF(preDEL!$AG259,IFERROR(0/0,""),preDEL!I259)</f>
        <v/>
      </c>
      <c r="J259" s="249" t="str">
        <f>IF(preDEL!$AG259,IFERROR(0/0,""),preDEL!J259)</f>
        <v/>
      </c>
      <c r="K259" s="249" t="str">
        <f>IF(preDEL!$AG259,IFERROR(0/0,""),preDEL!K259)</f>
        <v>Negative</v>
      </c>
      <c r="L259" s="250">
        <f>IF(preDEL!$AG259,IFERROR(0/0,""),preDEL!L259)</f>
        <v>44837</v>
      </c>
      <c r="M259" s="251">
        <f>IF(preDEL!$AG259,IFERROR(0/0,""),preDEL!M259)</f>
        <v>0.510150463</v>
      </c>
      <c r="N259" s="94" t="str">
        <f>IF(preDEL!$AG259,IFERROR(0/0,""),preDEL!N259)</f>
        <v/>
      </c>
      <c r="O259" s="94" t="str">
        <f>IF(preDEL!$AG259,IFERROR(0/0,""),preDEL!O259)</f>
        <v/>
      </c>
      <c r="P259" s="93" t="b">
        <f>IF(preDEL!$AG259,IFERROR(0/0,""),preDEL!P259)</f>
        <v>0</v>
      </c>
      <c r="Q259" s="93" t="str">
        <f>IF(preDEL!$AG259,IFERROR(0/0,""),preDEL!Q259)</f>
        <v>Result</v>
      </c>
      <c r="R259" s="99" t="b">
        <f>IF(preDEL!$AG259,IFERROR(0/0,""),preDEL!R259)</f>
        <v>0</v>
      </c>
      <c r="S259" s="99">
        <f>IF(preDEL!$AG259,IFERROR(0/0,""),preDEL!S259)</f>
        <v>3</v>
      </c>
      <c r="T259" s="93" t="str">
        <f>IF(preDEL!$AG259,IFERROR(0/0,""),preDEL!T259)</f>
        <v/>
      </c>
      <c r="U259" s="94" t="str">
        <f>IF(preDEL!$AG259,IFERROR(0/0,""),preDEL!U259)</f>
        <v/>
      </c>
      <c r="V259" s="249" t="str">
        <f>IF(preDEL!$AG259,IFERROR(0/0,""),preDEL!V259)</f>
        <v/>
      </c>
      <c r="W259" s="94" t="str">
        <f>IF(preDEL!$AG259,IFERROR(0/0,""),preDEL!W259)</f>
        <v/>
      </c>
      <c r="X259" s="99" t="b">
        <f>IF(preDEL!$AG259,IFERROR(0/0,""),preDEL!X259)</f>
        <v>0</v>
      </c>
      <c r="Y259" s="93" t="str">
        <f>IF(preDEL!$AG259,IFERROR(0/0,""),preDEL!Y259)</f>
        <v/>
      </c>
      <c r="Z259" s="249" t="str">
        <f>IF(preDEL!$AG259,IFERROR(0/0,""),preDEL!Z259)</f>
        <v/>
      </c>
      <c r="AA259" s="93" t="b">
        <f>IF(preDEL!$AG259,IFERROR(0/0,""),preDEL!AA259)</f>
        <v>0</v>
      </c>
      <c r="AB259" s="93" t="str">
        <f>IF(preDEL!$AG259,IFERROR(0/0,""),preDEL!AB259)</f>
        <v/>
      </c>
      <c r="AC259" s="252">
        <f>IF(preDEL!$AG259,IFERROR(0/0,""),preDEL!AC259)</f>
        <v>3</v>
      </c>
      <c r="AD259" s="99" t="str">
        <f>IF(preDEL!$AG259,IFERROR(0/0,""),preDEL!AD259)</f>
        <v/>
      </c>
      <c r="AE259" s="253">
        <f>IF(preDEL!$AG259,IFERROR(0/0,""),preDEL!AE259)</f>
        <v>448.6333333</v>
      </c>
      <c r="AF259" s="93" t="b">
        <f>IF(preDEL!$AG259,IFERROR(0/0,""),preDEL!AF259)</f>
        <v>0</v>
      </c>
      <c r="AG259" s="93" t="b">
        <f>IF(preDEL!$AG259,IFERROR(0/0,""),preDEL!AG259)</f>
        <v>0</v>
      </c>
      <c r="AH259" s="99" t="str">
        <f>IF(preDEL!$AG259,IFERROR(0/0,""),preDEL!AH259)</f>
        <v/>
      </c>
      <c r="AI259" s="249" t="str">
        <f>IF(preDEL!$AG259,IFERROR(0/0,""),preDEL!AI259)</f>
        <v/>
      </c>
      <c r="AJ259" s="94" t="str">
        <f>IF(preDEL!$AG259,IFERROR(0/0,""),preDEL!AJ259)</f>
        <v/>
      </c>
      <c r="AK259" s="249" t="str">
        <f>IF(preDEL!$AG259,IFERROR(0/0,""),preDEL!AK259)</f>
        <v>Negative</v>
      </c>
      <c r="AL259" s="94" t="str">
        <f>IF(preDEL!$AG259,IFERROR(0/0,""),preDEL!AL259)</f>
        <v/>
      </c>
      <c r="AM259" s="94" t="str">
        <f>IF(preDEL!$AG259,IFERROR(0/0,""),preDEL!AM259)</f>
        <v>SpNDHM189649</v>
      </c>
      <c r="AN259" s="94" t="str">
        <f>IF(preDEL!$AG259,IFERROR(0/0,""),preDEL!AN259)</f>
        <v>NDHM577067</v>
      </c>
      <c r="AO259" s="94" t="str">
        <f>IF(preDEL!$AG259,IFERROR(0/0,""),preDEL!AO259)</f>
        <v/>
      </c>
      <c r="AP259" s="94" t="str">
        <f>IF(preDEL!$AG259,IFERROR(0/0,""),preDEL!AP259)</f>
        <v/>
      </c>
      <c r="AQ259" s="94" t="str">
        <f>IF(preDEL!$AG259,IFERROR(0/0,""),preDEL!AQ259)</f>
        <v/>
      </c>
      <c r="AR259" s="94" t="str">
        <f>IF(preDEL!$AG259,IFERROR(0/0,""),preDEL!AR259)</f>
        <v/>
      </c>
      <c r="AS259" s="98"/>
      <c r="BE259" s="254"/>
      <c r="BF259" s="255"/>
      <c r="BG259" s="254"/>
      <c r="BH259" s="255"/>
      <c r="BI259" s="254"/>
      <c r="BJ259" s="254"/>
      <c r="BK259" s="254"/>
      <c r="BL259" s="254"/>
      <c r="BN259" s="7"/>
      <c r="BO259" s="7"/>
      <c r="BP259" s="7"/>
      <c r="BQ259" s="7"/>
      <c r="BR259" s="7"/>
      <c r="BS259" s="7"/>
      <c r="BT259" s="7"/>
    </row>
    <row r="260">
      <c r="A260" s="249" t="str">
        <f>IF(preDEL!$AG260,IFERROR(0/0,""),preDEL!A260)</f>
        <v>AJ9077</v>
      </c>
      <c r="B260" s="250">
        <f>IF(preDEL!$AG260,IFERROR(0/0,""),preDEL!B260)</f>
        <v>44837</v>
      </c>
      <c r="C260" s="251">
        <f>IF(preDEL!$AG260,IFERROR(0/0,""),preDEL!C260)</f>
        <v>0.198599537</v>
      </c>
      <c r="D260" s="249" t="str">
        <f>IF(preDEL!$AG260,IFERROR(0/0,""),preDEL!D260)</f>
        <v/>
      </c>
      <c r="E260" s="249" t="str">
        <f>IF(preDEL!$AG260,IFERROR(0/0,""),preDEL!E260)</f>
        <v/>
      </c>
      <c r="F260" s="94" t="str">
        <f>IF(preDEL!$AG260,IFERROR(0/0,""),preDEL!F260)</f>
        <v/>
      </c>
      <c r="G260" s="94" t="str">
        <f>IF(preDEL!$AG260,IFERROR(0/0,""),preDEL!G260)</f>
        <v/>
      </c>
      <c r="H260" s="94" t="str">
        <f>IF(preDEL!$AG260,IFERROR(0/0,""),preDEL!H260)</f>
        <v/>
      </c>
      <c r="I260" s="249" t="str">
        <f>IF(preDEL!$AG260,IFERROR(0/0,""),preDEL!I260)</f>
        <v/>
      </c>
      <c r="J260" s="249" t="str">
        <f>IF(preDEL!$AG260,IFERROR(0/0,""),preDEL!J260)</f>
        <v/>
      </c>
      <c r="K260" s="249" t="str">
        <f>IF(preDEL!$AG260,IFERROR(0/0,""),preDEL!K260)</f>
        <v>Negative</v>
      </c>
      <c r="L260" s="250">
        <f>IF(preDEL!$AG260,IFERROR(0/0,""),preDEL!L260)</f>
        <v>44837</v>
      </c>
      <c r="M260" s="251">
        <f>IF(preDEL!$AG260,IFERROR(0/0,""),preDEL!M260)</f>
        <v>0.510150463</v>
      </c>
      <c r="N260" s="94" t="str">
        <f>IF(preDEL!$AG260,IFERROR(0/0,""),preDEL!N260)</f>
        <v/>
      </c>
      <c r="O260" s="94" t="str">
        <f>IF(preDEL!$AG260,IFERROR(0/0,""),preDEL!O260)</f>
        <v/>
      </c>
      <c r="P260" s="93" t="b">
        <f>IF(preDEL!$AG260,IFERROR(0/0,""),preDEL!P260)</f>
        <v>0</v>
      </c>
      <c r="Q260" s="93" t="str">
        <f>IF(preDEL!$AG260,IFERROR(0/0,""),preDEL!Q260)</f>
        <v>Result</v>
      </c>
      <c r="R260" s="99" t="b">
        <f>IF(preDEL!$AG260,IFERROR(0/0,""),preDEL!R260)</f>
        <v>0</v>
      </c>
      <c r="S260" s="99">
        <f>IF(preDEL!$AG260,IFERROR(0/0,""),preDEL!S260)</f>
        <v>3</v>
      </c>
      <c r="T260" s="93" t="str">
        <f>IF(preDEL!$AG260,IFERROR(0/0,""),preDEL!T260)</f>
        <v/>
      </c>
      <c r="U260" s="94" t="str">
        <f>IF(preDEL!$AG260,IFERROR(0/0,""),preDEL!U260)</f>
        <v/>
      </c>
      <c r="V260" s="249" t="str">
        <f>IF(preDEL!$AG260,IFERROR(0/0,""),preDEL!V260)</f>
        <v/>
      </c>
      <c r="W260" s="94" t="str">
        <f>IF(preDEL!$AG260,IFERROR(0/0,""),preDEL!W260)</f>
        <v/>
      </c>
      <c r="X260" s="99" t="b">
        <f>IF(preDEL!$AG260,IFERROR(0/0,""),preDEL!X260)</f>
        <v>0</v>
      </c>
      <c r="Y260" s="93" t="str">
        <f>IF(preDEL!$AG260,IFERROR(0/0,""),preDEL!Y260)</f>
        <v/>
      </c>
      <c r="Z260" s="249" t="str">
        <f>IF(preDEL!$AG260,IFERROR(0/0,""),preDEL!Z260)</f>
        <v/>
      </c>
      <c r="AA260" s="93" t="b">
        <f>IF(preDEL!$AG260,IFERROR(0/0,""),preDEL!AA260)</f>
        <v>0</v>
      </c>
      <c r="AB260" s="93" t="str">
        <f>IF(preDEL!$AG260,IFERROR(0/0,""),preDEL!AB260)</f>
        <v/>
      </c>
      <c r="AC260" s="252">
        <f>IF(preDEL!$AG260,IFERROR(0/0,""),preDEL!AC260)</f>
        <v>1</v>
      </c>
      <c r="AD260" s="99" t="str">
        <f>IF(preDEL!$AG260,IFERROR(0/0,""),preDEL!AD260)</f>
        <v/>
      </c>
      <c r="AE260" s="253">
        <f>IF(preDEL!$AG260,IFERROR(0/0,""),preDEL!AE260)</f>
        <v>448.6333333</v>
      </c>
      <c r="AF260" s="93" t="b">
        <f>IF(preDEL!$AG260,IFERROR(0/0,""),preDEL!AF260)</f>
        <v>0</v>
      </c>
      <c r="AG260" s="93" t="b">
        <f>IF(preDEL!$AG260,IFERROR(0/0,""),preDEL!AG260)</f>
        <v>0</v>
      </c>
      <c r="AH260" s="99" t="str">
        <f>IF(preDEL!$AG260,IFERROR(0/0,""),preDEL!AH260)</f>
        <v/>
      </c>
      <c r="AI260" s="249" t="str">
        <f>IF(preDEL!$AG260,IFERROR(0/0,""),preDEL!AI260)</f>
        <v/>
      </c>
      <c r="AJ260" s="94" t="str">
        <f>IF(preDEL!$AG260,IFERROR(0/0,""),preDEL!AJ260)</f>
        <v/>
      </c>
      <c r="AK260" s="249" t="str">
        <f>IF(preDEL!$AG260,IFERROR(0/0,""),preDEL!AK260)</f>
        <v>Negative</v>
      </c>
      <c r="AL260" s="94" t="str">
        <f>IF(preDEL!$AG260,IFERROR(0/0,""),preDEL!AL260)</f>
        <v/>
      </c>
      <c r="AM260" s="94" t="str">
        <f>IF(preDEL!$AG260,IFERROR(0/0,""),preDEL!AM260)</f>
        <v>SpNDHM189649</v>
      </c>
      <c r="AN260" s="94" t="str">
        <f>IF(preDEL!$AG260,IFERROR(0/0,""),preDEL!AN260)</f>
        <v>NDHM406316</v>
      </c>
      <c r="AO260" s="94" t="str">
        <f>IF(preDEL!$AG260,IFERROR(0/0,""),preDEL!AO260)</f>
        <v/>
      </c>
      <c r="AP260" s="94" t="str">
        <f>IF(preDEL!$AG260,IFERROR(0/0,""),preDEL!AP260)</f>
        <v/>
      </c>
      <c r="AQ260" s="94" t="str">
        <f>IF(preDEL!$AG260,IFERROR(0/0,""),preDEL!AQ260)</f>
        <v/>
      </c>
      <c r="AR260" s="94" t="str">
        <f>IF(preDEL!$AG260,IFERROR(0/0,""),preDEL!AR260)</f>
        <v/>
      </c>
      <c r="AS260" s="98"/>
      <c r="BE260" s="254"/>
      <c r="BF260" s="255"/>
      <c r="BG260" s="254"/>
      <c r="BH260" s="255"/>
      <c r="BI260" s="254"/>
      <c r="BJ260" s="254"/>
      <c r="BK260" s="254"/>
      <c r="BL260" s="254"/>
      <c r="BN260" s="7"/>
      <c r="BO260" s="7"/>
      <c r="BP260" s="7"/>
      <c r="BQ260" s="7"/>
      <c r="BR260" s="7"/>
      <c r="BS260" s="7"/>
      <c r="BT260" s="7"/>
    </row>
    <row r="261">
      <c r="A261" s="249" t="str">
        <f>IF(preDEL!$AG261,IFERROR(0/0,""),preDEL!A261)</f>
        <v/>
      </c>
      <c r="B261" s="250" t="str">
        <f>IF(preDEL!$AG261,IFERROR(0/0,""),preDEL!B261)</f>
        <v/>
      </c>
      <c r="C261" s="251" t="str">
        <f>IF(preDEL!$AG261,IFERROR(0/0,""),preDEL!C261)</f>
        <v/>
      </c>
      <c r="D261" s="249" t="str">
        <f>IF(preDEL!$AG261,IFERROR(0/0,""),preDEL!D261)</f>
        <v/>
      </c>
      <c r="E261" s="249" t="str">
        <f>IF(preDEL!$AG261,IFERROR(0/0,""),preDEL!E261)</f>
        <v/>
      </c>
      <c r="F261" s="94" t="str">
        <f>IF(preDEL!$AG261,IFERROR(0/0,""),preDEL!F261)</f>
        <v/>
      </c>
      <c r="G261" s="94" t="str">
        <f>IF(preDEL!$AG261,IFERROR(0/0,""),preDEL!G261)</f>
        <v/>
      </c>
      <c r="H261" s="94" t="str">
        <f>IF(preDEL!$AG261,IFERROR(0/0,""),preDEL!H261)</f>
        <v/>
      </c>
      <c r="I261" s="249" t="str">
        <f>IF(preDEL!$AG261,IFERROR(0/0,""),preDEL!I261)</f>
        <v/>
      </c>
      <c r="J261" s="249" t="str">
        <f>IF(preDEL!$AG261,IFERROR(0/0,""),preDEL!J261)</f>
        <v/>
      </c>
      <c r="K261" s="249" t="str">
        <f>IF(preDEL!$AG261,IFERROR(0/0,""),preDEL!K261)</f>
        <v/>
      </c>
      <c r="L261" s="250" t="str">
        <f>IF(preDEL!$AG261,IFERROR(0/0,""),preDEL!L261)</f>
        <v/>
      </c>
      <c r="M261" s="251" t="str">
        <f>IF(preDEL!$AG261,IFERROR(0/0,""),preDEL!M261)</f>
        <v/>
      </c>
      <c r="N261" s="94" t="str">
        <f>IF(preDEL!$AG261,IFERROR(0/0,""),preDEL!N261)</f>
        <v/>
      </c>
      <c r="O261" s="94" t="str">
        <f>IF(preDEL!$AG261,IFERROR(0/0,""),preDEL!O261)</f>
        <v/>
      </c>
      <c r="P261" s="93" t="str">
        <f>IF(preDEL!$AG261,IFERROR(0/0,""),preDEL!P261)</f>
        <v/>
      </c>
      <c r="Q261" s="93" t="str">
        <f>IF(preDEL!$AG261,IFERROR(0/0,""),preDEL!Q261)</f>
        <v/>
      </c>
      <c r="R261" s="99" t="str">
        <f>IF(preDEL!$AG261,IFERROR(0/0,""),preDEL!R261)</f>
        <v/>
      </c>
      <c r="S261" s="99" t="str">
        <f>IF(preDEL!$AG261,IFERROR(0/0,""),preDEL!S261)</f>
        <v/>
      </c>
      <c r="T261" s="93" t="str">
        <f>IF(preDEL!$AG261,IFERROR(0/0,""),preDEL!T261)</f>
        <v/>
      </c>
      <c r="U261" s="94" t="str">
        <f>IF(preDEL!$AG261,IFERROR(0/0,""),preDEL!U261)</f>
        <v/>
      </c>
      <c r="V261" s="249" t="str">
        <f>IF(preDEL!$AG261,IFERROR(0/0,""),preDEL!V261)</f>
        <v/>
      </c>
      <c r="W261" s="94" t="str">
        <f>IF(preDEL!$AG261,IFERROR(0/0,""),preDEL!W261)</f>
        <v/>
      </c>
      <c r="X261" s="99" t="str">
        <f>IF(preDEL!$AG261,IFERROR(0/0,""),preDEL!X261)</f>
        <v/>
      </c>
      <c r="Y261" s="93" t="str">
        <f>IF(preDEL!$AG261,IFERROR(0/0,""),preDEL!Y261)</f>
        <v/>
      </c>
      <c r="Z261" s="249" t="str">
        <f>IF(preDEL!$AG261,IFERROR(0/0,""),preDEL!Z261)</f>
        <v/>
      </c>
      <c r="AA261" s="93" t="str">
        <f>IF(preDEL!$AG261,IFERROR(0/0,""),preDEL!AA261)</f>
        <v/>
      </c>
      <c r="AB261" s="93" t="str">
        <f>IF(preDEL!$AG261,IFERROR(0/0,""),preDEL!AB261)</f>
        <v/>
      </c>
      <c r="AC261" s="252" t="str">
        <f>IF(preDEL!$AG261,IFERROR(0/0,""),preDEL!AC261)</f>
        <v/>
      </c>
      <c r="AD261" s="99" t="str">
        <f>IF(preDEL!$AG261,IFERROR(0/0,""),preDEL!AD261)</f>
        <v/>
      </c>
      <c r="AE261" s="253" t="str">
        <f>IF(preDEL!$AG261,IFERROR(0/0,""),preDEL!AE261)</f>
        <v/>
      </c>
      <c r="AF261" s="93" t="str">
        <f>IF(preDEL!$AG261,IFERROR(0/0,""),preDEL!AF261)</f>
        <v/>
      </c>
      <c r="AG261" s="93" t="str">
        <f>IF(preDEL!$AG261,IFERROR(0/0,""),preDEL!AG261)</f>
        <v/>
      </c>
      <c r="AH261" s="99" t="str">
        <f>IF(preDEL!$AG261,IFERROR(0/0,""),preDEL!AH261)</f>
        <v/>
      </c>
      <c r="AI261" s="249" t="str">
        <f>IF(preDEL!$AG261,IFERROR(0/0,""),preDEL!AI261)</f>
        <v/>
      </c>
      <c r="AJ261" s="94" t="str">
        <f>IF(preDEL!$AG261,IFERROR(0/0,""),preDEL!AJ261)</f>
        <v/>
      </c>
      <c r="AK261" s="249" t="str">
        <f>IF(preDEL!$AG261,IFERROR(0/0,""),preDEL!AK261)</f>
        <v/>
      </c>
      <c r="AL261" s="94" t="str">
        <f>IF(preDEL!$AG261,IFERROR(0/0,""),preDEL!AL261)</f>
        <v/>
      </c>
      <c r="AM261" s="94" t="str">
        <f>IF(preDEL!$AG261,IFERROR(0/0,""),preDEL!AM261)</f>
        <v/>
      </c>
      <c r="AN261" s="94" t="str">
        <f>IF(preDEL!$AG261,IFERROR(0/0,""),preDEL!AN261)</f>
        <v/>
      </c>
      <c r="AO261" s="94" t="str">
        <f>IF(preDEL!$AG261,IFERROR(0/0,""),preDEL!AO261)</f>
        <v/>
      </c>
      <c r="AP261" s="94" t="str">
        <f>IF(preDEL!$AG261,IFERROR(0/0,""),preDEL!AP261)</f>
        <v/>
      </c>
      <c r="AQ261" s="94" t="str">
        <f>IF(preDEL!$AG261,IFERROR(0/0,""),preDEL!AQ261)</f>
        <v/>
      </c>
      <c r="AR261" s="94" t="str">
        <f>IF(preDEL!$AG261,IFERROR(0/0,""),preDEL!AR261)</f>
        <v/>
      </c>
      <c r="AS261" s="98"/>
      <c r="BE261" s="254"/>
      <c r="BF261" s="255"/>
      <c r="BG261" s="254"/>
      <c r="BH261" s="255"/>
      <c r="BI261" s="254"/>
      <c r="BJ261" s="254"/>
      <c r="BK261" s="254"/>
      <c r="BL261" s="254"/>
      <c r="BN261" s="7"/>
      <c r="BO261" s="7"/>
      <c r="BP261" s="7"/>
      <c r="BQ261" s="7"/>
      <c r="BR261" s="7"/>
      <c r="BS261" s="7"/>
      <c r="BT261" s="7"/>
    </row>
    <row r="262">
      <c r="A262" s="249" t="str">
        <f>IF(preDEL!$AG262,IFERROR(0/0,""),preDEL!A262)</f>
        <v/>
      </c>
      <c r="B262" s="250" t="str">
        <f>IF(preDEL!$AG262,IFERROR(0/0,""),preDEL!B262)</f>
        <v/>
      </c>
      <c r="C262" s="251" t="str">
        <f>IF(preDEL!$AG262,IFERROR(0/0,""),preDEL!C262)</f>
        <v/>
      </c>
      <c r="D262" s="249" t="str">
        <f>IF(preDEL!$AG262,IFERROR(0/0,""),preDEL!D262)</f>
        <v/>
      </c>
      <c r="E262" s="249" t="str">
        <f>IF(preDEL!$AG262,IFERROR(0/0,""),preDEL!E262)</f>
        <v/>
      </c>
      <c r="F262" s="94" t="str">
        <f>IF(preDEL!$AG262,IFERROR(0/0,""),preDEL!F262)</f>
        <v/>
      </c>
      <c r="G262" s="94" t="str">
        <f>IF(preDEL!$AG262,IFERROR(0/0,""),preDEL!G262)</f>
        <v/>
      </c>
      <c r="H262" s="94" t="str">
        <f>IF(preDEL!$AG262,IFERROR(0/0,""),preDEL!H262)</f>
        <v/>
      </c>
      <c r="I262" s="249" t="str">
        <f>IF(preDEL!$AG262,IFERROR(0/0,""),preDEL!I262)</f>
        <v/>
      </c>
      <c r="J262" s="249" t="str">
        <f>IF(preDEL!$AG262,IFERROR(0/0,""),preDEL!J262)</f>
        <v/>
      </c>
      <c r="K262" s="249" t="str">
        <f>IF(preDEL!$AG262,IFERROR(0/0,""),preDEL!K262)</f>
        <v/>
      </c>
      <c r="L262" s="250" t="str">
        <f>IF(preDEL!$AG262,IFERROR(0/0,""),preDEL!L262)</f>
        <v/>
      </c>
      <c r="M262" s="251" t="str">
        <f>IF(preDEL!$AG262,IFERROR(0/0,""),preDEL!M262)</f>
        <v/>
      </c>
      <c r="N262" s="94" t="str">
        <f>IF(preDEL!$AG262,IFERROR(0/0,""),preDEL!N262)</f>
        <v/>
      </c>
      <c r="O262" s="94" t="str">
        <f>IF(preDEL!$AG262,IFERROR(0/0,""),preDEL!O262)</f>
        <v/>
      </c>
      <c r="P262" s="93" t="str">
        <f>IF(preDEL!$AG262,IFERROR(0/0,""),preDEL!P262)</f>
        <v/>
      </c>
      <c r="Q262" s="93" t="str">
        <f>IF(preDEL!$AG262,IFERROR(0/0,""),preDEL!Q262)</f>
        <v/>
      </c>
      <c r="R262" s="99" t="str">
        <f>IF(preDEL!$AG262,IFERROR(0/0,""),preDEL!R262)</f>
        <v/>
      </c>
      <c r="S262" s="99" t="str">
        <f>IF(preDEL!$AG262,IFERROR(0/0,""),preDEL!S262)</f>
        <v/>
      </c>
      <c r="T262" s="93" t="str">
        <f>IF(preDEL!$AG262,IFERROR(0/0,""),preDEL!T262)</f>
        <v/>
      </c>
      <c r="U262" s="94" t="str">
        <f>IF(preDEL!$AG262,IFERROR(0/0,""),preDEL!U262)</f>
        <v/>
      </c>
      <c r="V262" s="249" t="str">
        <f>IF(preDEL!$AG262,IFERROR(0/0,""),preDEL!V262)</f>
        <v/>
      </c>
      <c r="W262" s="94" t="str">
        <f>IF(preDEL!$AG262,IFERROR(0/0,""),preDEL!W262)</f>
        <v/>
      </c>
      <c r="X262" s="99" t="str">
        <f>IF(preDEL!$AG262,IFERROR(0/0,""),preDEL!X262)</f>
        <v/>
      </c>
      <c r="Y262" s="93" t="str">
        <f>IF(preDEL!$AG262,IFERROR(0/0,""),preDEL!Y262)</f>
        <v/>
      </c>
      <c r="Z262" s="249" t="str">
        <f>IF(preDEL!$AG262,IFERROR(0/0,""),preDEL!Z262)</f>
        <v/>
      </c>
      <c r="AA262" s="93" t="str">
        <f>IF(preDEL!$AG262,IFERROR(0/0,""),preDEL!AA262)</f>
        <v/>
      </c>
      <c r="AB262" s="93" t="str">
        <f>IF(preDEL!$AG262,IFERROR(0/0,""),preDEL!AB262)</f>
        <v/>
      </c>
      <c r="AC262" s="252" t="str">
        <f>IF(preDEL!$AG262,IFERROR(0/0,""),preDEL!AC262)</f>
        <v/>
      </c>
      <c r="AD262" s="99" t="str">
        <f>IF(preDEL!$AG262,IFERROR(0/0,""),preDEL!AD262)</f>
        <v/>
      </c>
      <c r="AE262" s="253" t="str">
        <f>IF(preDEL!$AG262,IFERROR(0/0,""),preDEL!AE262)</f>
        <v/>
      </c>
      <c r="AF262" s="93" t="str">
        <f>IF(preDEL!$AG262,IFERROR(0/0,""),preDEL!AF262)</f>
        <v/>
      </c>
      <c r="AG262" s="93" t="str">
        <f>IF(preDEL!$AG262,IFERROR(0/0,""),preDEL!AG262)</f>
        <v/>
      </c>
      <c r="AH262" s="99" t="str">
        <f>IF(preDEL!$AG262,IFERROR(0/0,""),preDEL!AH262)</f>
        <v/>
      </c>
      <c r="AI262" s="249" t="str">
        <f>IF(preDEL!$AG262,IFERROR(0/0,""),preDEL!AI262)</f>
        <v/>
      </c>
      <c r="AJ262" s="94" t="str">
        <f>IF(preDEL!$AG262,IFERROR(0/0,""),preDEL!AJ262)</f>
        <v/>
      </c>
      <c r="AK262" s="249" t="str">
        <f>IF(preDEL!$AG262,IFERROR(0/0,""),preDEL!AK262)</f>
        <v/>
      </c>
      <c r="AL262" s="94" t="str">
        <f>IF(preDEL!$AG262,IFERROR(0/0,""),preDEL!AL262)</f>
        <v/>
      </c>
      <c r="AM262" s="94" t="str">
        <f>IF(preDEL!$AG262,IFERROR(0/0,""),preDEL!AM262)</f>
        <v/>
      </c>
      <c r="AN262" s="94" t="str">
        <f>IF(preDEL!$AG262,IFERROR(0/0,""),preDEL!AN262)</f>
        <v/>
      </c>
      <c r="AO262" s="94" t="str">
        <f>IF(preDEL!$AG262,IFERROR(0/0,""),preDEL!AO262)</f>
        <v/>
      </c>
      <c r="AP262" s="94" t="str">
        <f>IF(preDEL!$AG262,IFERROR(0/0,""),preDEL!AP262)</f>
        <v/>
      </c>
      <c r="AQ262" s="94" t="str">
        <f>IF(preDEL!$AG262,IFERROR(0/0,""),preDEL!AQ262)</f>
        <v/>
      </c>
      <c r="AR262" s="94" t="str">
        <f>IF(preDEL!$AG262,IFERROR(0/0,""),preDEL!AR262)</f>
        <v/>
      </c>
      <c r="AS262" s="98"/>
      <c r="BE262" s="254"/>
      <c r="BF262" s="255"/>
      <c r="BG262" s="254"/>
      <c r="BH262" s="255"/>
      <c r="BI262" s="254"/>
      <c r="BJ262" s="254"/>
      <c r="BK262" s="254"/>
      <c r="BL262" s="254"/>
      <c r="BN262" s="7"/>
      <c r="BO262" s="7"/>
      <c r="BP262" s="7"/>
      <c r="BQ262" s="7"/>
      <c r="BR262" s="7"/>
      <c r="BS262" s="7"/>
      <c r="BT262" s="7"/>
    </row>
    <row r="263">
      <c r="A263" s="249" t="str">
        <f>IF(preDEL!$AG263,IFERROR(0/0,""),preDEL!A263)</f>
        <v/>
      </c>
      <c r="B263" s="250" t="str">
        <f>IF(preDEL!$AG263,IFERROR(0/0,""),preDEL!B263)</f>
        <v/>
      </c>
      <c r="C263" s="251" t="str">
        <f>IF(preDEL!$AG263,IFERROR(0/0,""),preDEL!C263)</f>
        <v/>
      </c>
      <c r="D263" s="249" t="str">
        <f>IF(preDEL!$AG263,IFERROR(0/0,""),preDEL!D263)</f>
        <v/>
      </c>
      <c r="E263" s="249" t="str">
        <f>IF(preDEL!$AG263,IFERROR(0/0,""),preDEL!E263)</f>
        <v/>
      </c>
      <c r="F263" s="94" t="str">
        <f>IF(preDEL!$AG263,IFERROR(0/0,""),preDEL!F263)</f>
        <v/>
      </c>
      <c r="G263" s="94" t="str">
        <f>IF(preDEL!$AG263,IFERROR(0/0,""),preDEL!G263)</f>
        <v/>
      </c>
      <c r="H263" s="94" t="str">
        <f>IF(preDEL!$AG263,IFERROR(0/0,""),preDEL!H263)</f>
        <v/>
      </c>
      <c r="I263" s="249" t="str">
        <f>IF(preDEL!$AG263,IFERROR(0/0,""),preDEL!I263)</f>
        <v/>
      </c>
      <c r="J263" s="249" t="str">
        <f>IF(preDEL!$AG263,IFERROR(0/0,""),preDEL!J263)</f>
        <v/>
      </c>
      <c r="K263" s="249" t="str">
        <f>IF(preDEL!$AG263,IFERROR(0/0,""),preDEL!K263)</f>
        <v/>
      </c>
      <c r="L263" s="250" t="str">
        <f>IF(preDEL!$AG263,IFERROR(0/0,""),preDEL!L263)</f>
        <v/>
      </c>
      <c r="M263" s="251" t="str">
        <f>IF(preDEL!$AG263,IFERROR(0/0,""),preDEL!M263)</f>
        <v/>
      </c>
      <c r="N263" s="94" t="str">
        <f>IF(preDEL!$AG263,IFERROR(0/0,""),preDEL!N263)</f>
        <v/>
      </c>
      <c r="O263" s="94" t="str">
        <f>IF(preDEL!$AG263,IFERROR(0/0,""),preDEL!O263)</f>
        <v/>
      </c>
      <c r="P263" s="93" t="str">
        <f>IF(preDEL!$AG263,IFERROR(0/0,""),preDEL!P263)</f>
        <v/>
      </c>
      <c r="Q263" s="93" t="str">
        <f>IF(preDEL!$AG263,IFERROR(0/0,""),preDEL!Q263)</f>
        <v/>
      </c>
      <c r="R263" s="99" t="str">
        <f>IF(preDEL!$AG263,IFERROR(0/0,""),preDEL!R263)</f>
        <v/>
      </c>
      <c r="S263" s="99" t="str">
        <f>IF(preDEL!$AG263,IFERROR(0/0,""),preDEL!S263)</f>
        <v/>
      </c>
      <c r="T263" s="93" t="str">
        <f>IF(preDEL!$AG263,IFERROR(0/0,""),preDEL!T263)</f>
        <v/>
      </c>
      <c r="U263" s="94" t="str">
        <f>IF(preDEL!$AG263,IFERROR(0/0,""),preDEL!U263)</f>
        <v/>
      </c>
      <c r="V263" s="249" t="str">
        <f>IF(preDEL!$AG263,IFERROR(0/0,""),preDEL!V263)</f>
        <v/>
      </c>
      <c r="W263" s="94" t="str">
        <f>IF(preDEL!$AG263,IFERROR(0/0,""),preDEL!W263)</f>
        <v/>
      </c>
      <c r="X263" s="99" t="str">
        <f>IF(preDEL!$AG263,IFERROR(0/0,""),preDEL!X263)</f>
        <v/>
      </c>
      <c r="Y263" s="93" t="str">
        <f>IF(preDEL!$AG263,IFERROR(0/0,""),preDEL!Y263)</f>
        <v/>
      </c>
      <c r="Z263" s="249" t="str">
        <f>IF(preDEL!$AG263,IFERROR(0/0,""),preDEL!Z263)</f>
        <v/>
      </c>
      <c r="AA263" s="93" t="str">
        <f>IF(preDEL!$AG263,IFERROR(0/0,""),preDEL!AA263)</f>
        <v/>
      </c>
      <c r="AB263" s="93" t="str">
        <f>IF(preDEL!$AG263,IFERROR(0/0,""),preDEL!AB263)</f>
        <v/>
      </c>
      <c r="AC263" s="252" t="str">
        <f>IF(preDEL!$AG263,IFERROR(0/0,""),preDEL!AC263)</f>
        <v/>
      </c>
      <c r="AD263" s="99" t="str">
        <f>IF(preDEL!$AG263,IFERROR(0/0,""),preDEL!AD263)</f>
        <v/>
      </c>
      <c r="AE263" s="253" t="str">
        <f>IF(preDEL!$AG263,IFERROR(0/0,""),preDEL!AE263)</f>
        <v/>
      </c>
      <c r="AF263" s="93" t="str">
        <f>IF(preDEL!$AG263,IFERROR(0/0,""),preDEL!AF263)</f>
        <v/>
      </c>
      <c r="AG263" s="93" t="str">
        <f>IF(preDEL!$AG263,IFERROR(0/0,""),preDEL!AG263)</f>
        <v/>
      </c>
      <c r="AH263" s="99" t="str">
        <f>IF(preDEL!$AG263,IFERROR(0/0,""),preDEL!AH263)</f>
        <v/>
      </c>
      <c r="AI263" s="249" t="str">
        <f>IF(preDEL!$AG263,IFERROR(0/0,""),preDEL!AI263)</f>
        <v/>
      </c>
      <c r="AJ263" s="94" t="str">
        <f>IF(preDEL!$AG263,IFERROR(0/0,""),preDEL!AJ263)</f>
        <v/>
      </c>
      <c r="AK263" s="249" t="str">
        <f>IF(preDEL!$AG263,IFERROR(0/0,""),preDEL!AK263)</f>
        <v/>
      </c>
      <c r="AL263" s="94" t="str">
        <f>IF(preDEL!$AG263,IFERROR(0/0,""),preDEL!AL263)</f>
        <v/>
      </c>
      <c r="AM263" s="94" t="str">
        <f>IF(preDEL!$AG263,IFERROR(0/0,""),preDEL!AM263)</f>
        <v/>
      </c>
      <c r="AN263" s="94" t="str">
        <f>IF(preDEL!$AG263,IFERROR(0/0,""),preDEL!AN263)</f>
        <v/>
      </c>
      <c r="AO263" s="94" t="str">
        <f>IF(preDEL!$AG263,IFERROR(0/0,""),preDEL!AO263)</f>
        <v/>
      </c>
      <c r="AP263" s="94" t="str">
        <f>IF(preDEL!$AG263,IFERROR(0/0,""),preDEL!AP263)</f>
        <v/>
      </c>
      <c r="AQ263" s="94" t="str">
        <f>IF(preDEL!$AG263,IFERROR(0/0,""),preDEL!AQ263)</f>
        <v/>
      </c>
      <c r="AR263" s="94" t="str">
        <f>IF(preDEL!$AG263,IFERROR(0/0,""),preDEL!AR263)</f>
        <v/>
      </c>
      <c r="AS263" s="98"/>
      <c r="BE263" s="254"/>
      <c r="BF263" s="255"/>
      <c r="BG263" s="254"/>
      <c r="BH263" s="255"/>
      <c r="BI263" s="254"/>
      <c r="BJ263" s="254"/>
      <c r="BK263" s="254"/>
      <c r="BL263" s="254"/>
      <c r="BN263" s="7"/>
      <c r="BO263" s="7"/>
      <c r="BP263" s="7"/>
      <c r="BQ263" s="7"/>
      <c r="BR263" s="7"/>
      <c r="BS263" s="7"/>
      <c r="BT263" s="7"/>
    </row>
    <row r="264">
      <c r="A264" s="249" t="str">
        <f>IF(preDEL!$AG264,IFERROR(0/0,""),preDEL!A264)</f>
        <v/>
      </c>
      <c r="B264" s="250" t="str">
        <f>IF(preDEL!$AG264,IFERROR(0/0,""),preDEL!B264)</f>
        <v/>
      </c>
      <c r="C264" s="251" t="str">
        <f>IF(preDEL!$AG264,IFERROR(0/0,""),preDEL!C264)</f>
        <v/>
      </c>
      <c r="D264" s="249" t="str">
        <f>IF(preDEL!$AG264,IFERROR(0/0,""),preDEL!D264)</f>
        <v/>
      </c>
      <c r="E264" s="249" t="str">
        <f>IF(preDEL!$AG264,IFERROR(0/0,""),preDEL!E264)</f>
        <v/>
      </c>
      <c r="F264" s="94" t="str">
        <f>IF(preDEL!$AG264,IFERROR(0/0,""),preDEL!F264)</f>
        <v/>
      </c>
      <c r="G264" s="94" t="str">
        <f>IF(preDEL!$AG264,IFERROR(0/0,""),preDEL!G264)</f>
        <v/>
      </c>
      <c r="H264" s="94" t="str">
        <f>IF(preDEL!$AG264,IFERROR(0/0,""),preDEL!H264)</f>
        <v/>
      </c>
      <c r="I264" s="249" t="str">
        <f>IF(preDEL!$AG264,IFERROR(0/0,""),preDEL!I264)</f>
        <v/>
      </c>
      <c r="J264" s="249" t="str">
        <f>IF(preDEL!$AG264,IFERROR(0/0,""),preDEL!J264)</f>
        <v/>
      </c>
      <c r="K264" s="249" t="str">
        <f>IF(preDEL!$AG264,IFERROR(0/0,""),preDEL!K264)</f>
        <v/>
      </c>
      <c r="L264" s="250" t="str">
        <f>IF(preDEL!$AG264,IFERROR(0/0,""),preDEL!L264)</f>
        <v/>
      </c>
      <c r="M264" s="251" t="str">
        <f>IF(preDEL!$AG264,IFERROR(0/0,""),preDEL!M264)</f>
        <v/>
      </c>
      <c r="N264" s="94" t="str">
        <f>IF(preDEL!$AG264,IFERROR(0/0,""),preDEL!N264)</f>
        <v/>
      </c>
      <c r="O264" s="94" t="str">
        <f>IF(preDEL!$AG264,IFERROR(0/0,""),preDEL!O264)</f>
        <v/>
      </c>
      <c r="P264" s="93" t="str">
        <f>IF(preDEL!$AG264,IFERROR(0/0,""),preDEL!P264)</f>
        <v/>
      </c>
      <c r="Q264" s="93" t="str">
        <f>IF(preDEL!$AG264,IFERROR(0/0,""),preDEL!Q264)</f>
        <v/>
      </c>
      <c r="R264" s="99" t="str">
        <f>IF(preDEL!$AG264,IFERROR(0/0,""),preDEL!R264)</f>
        <v/>
      </c>
      <c r="S264" s="99" t="str">
        <f>IF(preDEL!$AG264,IFERROR(0/0,""),preDEL!S264)</f>
        <v/>
      </c>
      <c r="T264" s="93" t="str">
        <f>IF(preDEL!$AG264,IFERROR(0/0,""),preDEL!T264)</f>
        <v/>
      </c>
      <c r="U264" s="94" t="str">
        <f>IF(preDEL!$AG264,IFERROR(0/0,""),preDEL!U264)</f>
        <v/>
      </c>
      <c r="V264" s="249" t="str">
        <f>IF(preDEL!$AG264,IFERROR(0/0,""),preDEL!V264)</f>
        <v/>
      </c>
      <c r="W264" s="94" t="str">
        <f>IF(preDEL!$AG264,IFERROR(0/0,""),preDEL!W264)</f>
        <v/>
      </c>
      <c r="X264" s="99" t="str">
        <f>IF(preDEL!$AG264,IFERROR(0/0,""),preDEL!X264)</f>
        <v/>
      </c>
      <c r="Y264" s="93" t="str">
        <f>IF(preDEL!$AG264,IFERROR(0/0,""),preDEL!Y264)</f>
        <v/>
      </c>
      <c r="Z264" s="249" t="str">
        <f>IF(preDEL!$AG264,IFERROR(0/0,""),preDEL!Z264)</f>
        <v/>
      </c>
      <c r="AA264" s="93" t="str">
        <f>IF(preDEL!$AG264,IFERROR(0/0,""),preDEL!AA264)</f>
        <v/>
      </c>
      <c r="AB264" s="93" t="str">
        <f>IF(preDEL!$AG264,IFERROR(0/0,""),preDEL!AB264)</f>
        <v/>
      </c>
      <c r="AC264" s="252" t="str">
        <f>IF(preDEL!$AG264,IFERROR(0/0,""),preDEL!AC264)</f>
        <v/>
      </c>
      <c r="AD264" s="99" t="str">
        <f>IF(preDEL!$AG264,IFERROR(0/0,""),preDEL!AD264)</f>
        <v/>
      </c>
      <c r="AE264" s="253" t="str">
        <f>IF(preDEL!$AG264,IFERROR(0/0,""),preDEL!AE264)</f>
        <v/>
      </c>
      <c r="AF264" s="93" t="str">
        <f>IF(preDEL!$AG264,IFERROR(0/0,""),preDEL!AF264)</f>
        <v/>
      </c>
      <c r="AG264" s="93" t="str">
        <f>IF(preDEL!$AG264,IFERROR(0/0,""),preDEL!AG264)</f>
        <v/>
      </c>
      <c r="AH264" s="99" t="str">
        <f>IF(preDEL!$AG264,IFERROR(0/0,""),preDEL!AH264)</f>
        <v/>
      </c>
      <c r="AI264" s="249" t="str">
        <f>IF(preDEL!$AG264,IFERROR(0/0,""),preDEL!AI264)</f>
        <v/>
      </c>
      <c r="AJ264" s="94" t="str">
        <f>IF(preDEL!$AG264,IFERROR(0/0,""),preDEL!AJ264)</f>
        <v/>
      </c>
      <c r="AK264" s="249" t="str">
        <f>IF(preDEL!$AG264,IFERROR(0/0,""),preDEL!AK264)</f>
        <v/>
      </c>
      <c r="AL264" s="94" t="str">
        <f>IF(preDEL!$AG264,IFERROR(0/0,""),preDEL!AL264)</f>
        <v/>
      </c>
      <c r="AM264" s="94" t="str">
        <f>IF(preDEL!$AG264,IFERROR(0/0,""),preDEL!AM264)</f>
        <v/>
      </c>
      <c r="AN264" s="94" t="str">
        <f>IF(preDEL!$AG264,IFERROR(0/0,""),preDEL!AN264)</f>
        <v/>
      </c>
      <c r="AO264" s="94" t="str">
        <f>IF(preDEL!$AG264,IFERROR(0/0,""),preDEL!AO264)</f>
        <v/>
      </c>
      <c r="AP264" s="94" t="str">
        <f>IF(preDEL!$AG264,IFERROR(0/0,""),preDEL!AP264)</f>
        <v/>
      </c>
      <c r="AQ264" s="94" t="str">
        <f>IF(preDEL!$AG264,IFERROR(0/0,""),preDEL!AQ264)</f>
        <v/>
      </c>
      <c r="AR264" s="94" t="str">
        <f>IF(preDEL!$AG264,IFERROR(0/0,""),preDEL!AR264)</f>
        <v/>
      </c>
      <c r="AS264" s="98"/>
      <c r="BE264" s="254"/>
      <c r="BF264" s="255"/>
      <c r="BG264" s="254"/>
      <c r="BH264" s="255"/>
      <c r="BI264" s="254"/>
      <c r="BJ264" s="254"/>
      <c r="BK264" s="254"/>
      <c r="BL264" s="254"/>
      <c r="BN264" s="7"/>
      <c r="BO264" s="7"/>
      <c r="BP264" s="7"/>
      <c r="BQ264" s="7"/>
      <c r="BR264" s="7"/>
      <c r="BS264" s="7"/>
      <c r="BT264"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4" max="4" width="14.13"/>
    <col customWidth="1" min="11" max="11" width="11.5"/>
    <col customWidth="1" min="12" max="12" width="10.5"/>
    <col customWidth="1" min="13" max="13" width="8.25"/>
    <col customWidth="1" min="14" max="14" width="16.5"/>
    <col customWidth="1" min="15" max="15" width="21.13"/>
    <col customWidth="1" min="16" max="16" width="11.25"/>
    <col customWidth="1" min="17" max="17" width="13.75"/>
    <col customWidth="1" min="18" max="20" width="8.25"/>
    <col customWidth="1" min="21" max="21" width="15.75"/>
    <col customWidth="1" min="22" max="22" width="15.38"/>
    <col customWidth="1" min="23" max="23" width="19.5"/>
    <col customWidth="1" min="24" max="24" width="9.38"/>
    <col customWidth="1" min="25" max="25" width="8.75" outlineLevel="1"/>
    <col customWidth="1" min="26" max="26" width="8.38" outlineLevel="1"/>
    <col customWidth="1" min="27" max="27" width="10.13" outlineLevel="1"/>
    <col customWidth="1" min="28" max="28" width="8.88" outlineLevel="1"/>
    <col customWidth="1" min="29" max="29" width="8.0" outlineLevel="1"/>
    <col customWidth="1" min="30" max="30" width="9.5" outlineLevel="1"/>
    <col customWidth="1" min="31" max="32" width="10.88" outlineLevel="1"/>
    <col customWidth="1" min="33" max="33" width="10.25" outlineLevel="1"/>
    <col customWidth="1" min="34" max="34" width="7.13" outlineLevel="1"/>
    <col customWidth="1" min="35" max="35" width="7.5" outlineLevel="1"/>
    <col customWidth="1" min="36" max="36" width="9.38" outlineLevel="1"/>
    <col customWidth="1" min="37" max="37" width="9.63" outlineLevel="1"/>
    <col customWidth="1" min="38" max="38" width="26.38" outlineLevel="1"/>
    <col customWidth="1" min="39" max="39" width="20.38" outlineLevel="1"/>
    <col customWidth="1" min="40" max="40" width="20.88" outlineLevel="1"/>
    <col customWidth="1" min="41" max="41" width="19.75"/>
    <col customWidth="1" min="42" max="42" width="13.25"/>
    <col customWidth="1" min="43" max="43" width="14.88"/>
    <col customWidth="1" min="44" max="44" width="19.25"/>
    <col customWidth="1" min="45" max="52" width="5.5"/>
  </cols>
  <sheetData>
    <row r="1">
      <c r="A1" s="50" t="str">
        <f>preDEL!A$1</f>
        <v>TUBE ID</v>
      </c>
      <c r="B1" s="50" t="str">
        <f>preDEL!B$1</f>
        <v>COLLECTION DATE</v>
      </c>
      <c r="C1" s="50" t="str">
        <f>preDEL!C$1</f>
        <v>COLLECTION TIME</v>
      </c>
      <c r="D1" s="50" t="str">
        <f>preDEL!D$1</f>
        <v>SPONSOR FIRSTNAME</v>
      </c>
      <c r="E1" s="50" t="str">
        <f>preDEL!E$1</f>
        <v>SPONSOR LASTNAME</v>
      </c>
      <c r="F1" s="50" t="str">
        <f>preDEL!F$1</f>
        <v>PARTICIPANT FIRSTNAME</v>
      </c>
      <c r="G1" s="50" t="str">
        <f>preDEL!G$1</f>
        <v>PARTICIPANT LASTNAME</v>
      </c>
      <c r="H1" s="50" t="str">
        <f>preDEL!H$1</f>
        <v>PARTICIPANT EMAIL</v>
      </c>
      <c r="I1" s="50" t="str">
        <f>preDEL!I$1</f>
        <v>MINOR FIRSTNAME</v>
      </c>
      <c r="J1" s="50" t="str">
        <f>preDEL!J$1</f>
        <v>MINOR LASTNAME</v>
      </c>
      <c r="K1" s="71" t="str">
        <f>preDEL!K$1</f>
        <v>APP
RESULT</v>
      </c>
      <c r="L1" s="50" t="str">
        <f>preDEL!L$1</f>
        <v>RESULT DATE</v>
      </c>
      <c r="M1" s="50" t="str">
        <f>preDEL!M$1</f>
        <v>RESULT TIME</v>
      </c>
      <c r="N1" s="71" t="str">
        <f>preDEL!N$1</f>
        <v>APP
GROUP</v>
      </c>
      <c r="O1" s="50" t="str">
        <f>preDEL!O$1</f>
        <v>NOTE</v>
      </c>
      <c r="P1" s="50" t="str">
        <f>preDEL!P$1</f>
        <v>REPS IN RAW_APT?</v>
      </c>
      <c r="Q1" s="50" t="str">
        <f>preDEL!Q$1</f>
        <v>STATUS</v>
      </c>
      <c r="R1" s="51" t="str">
        <f>preDEL!R$1</f>
        <v>Tube ID First Row?</v>
      </c>
      <c r="S1" s="51" t="str">
        <f>preDEL!S$1</f>
        <v>Num Tube IDs</v>
      </c>
      <c r="T1" s="67" t="str">
        <f>preDEL!T$1</f>
        <v>Add N Names</v>
      </c>
      <c r="U1" s="51" t="str">
        <f>preDEL!U$1</f>
        <v>NOTE FIRSTNAME</v>
      </c>
      <c r="V1" s="51" t="str">
        <f>preDEL!V$1</f>
        <v>NOTE LASTNAME</v>
      </c>
      <c r="W1" s="50" t="str">
        <f>preDEL!W$1</f>
        <v>Names Adjust</v>
      </c>
      <c r="X1" s="67" t="str">
        <f>preDEL!X$1</f>
        <v>Note Name?</v>
      </c>
      <c r="Y1" s="67" t="str">
        <f>preDEL!Y$1</f>
        <v>FRAN</v>
      </c>
      <c r="Z1" s="66" t="str">
        <f>preDEL!Z$1</f>
        <v>&gt;4 Samples</v>
      </c>
      <c r="AA1" s="67" t="str">
        <f>preDEL!AA$1</f>
        <v>Has Note?</v>
      </c>
      <c r="AB1" s="51" t="str">
        <f>preDEL!AB$1</f>
        <v>Preserve Note</v>
      </c>
      <c r="AC1" s="66" t="str">
        <f>preDEL!AC$1</f>
        <v>Initial Order</v>
      </c>
      <c r="AD1" s="66" t="str">
        <f>preDEL!AD$1</f>
        <v>Added from APT?</v>
      </c>
      <c r="AE1" s="51" t="str">
        <f>preDEL!AE$1</f>
        <v>Minutes Col to Result</v>
      </c>
      <c r="AF1" s="246" t="str">
        <f>preDEL!AF$1</f>
        <v>Tube IDs w Diff Times?</v>
      </c>
      <c r="AG1" s="51" t="str">
        <f>preDEL!AG$1</f>
        <v>Delete?</v>
      </c>
      <c r="AH1" s="51" t="str">
        <f>preDEL!AH$1</f>
        <v>Delete Code</v>
      </c>
      <c r="AI1" s="51" t="str">
        <f>preDEL!AI$1</f>
        <v>Basic Correct Code</v>
      </c>
      <c r="AJ1" s="71" t="str">
        <f>preDEL!AJ$1</f>
        <v>Result Correct Code</v>
      </c>
      <c r="AK1" s="71" t="str">
        <f>preDEL!AK$1</f>
        <v>FINAL RESULT</v>
      </c>
      <c r="AL1" s="51" t="str">
        <f>preDEL!AL$1</f>
        <v>Correction Notes</v>
      </c>
      <c r="AM1" s="66" t="str">
        <f>preDEL!AM$1</f>
        <v>Sponsor ID</v>
      </c>
      <c r="AN1" s="66" t="str">
        <f>preDEL!AN$1</f>
        <v>Participant ID</v>
      </c>
      <c r="AO1" s="72" t="str">
        <f>preDEL!AO$1</f>
        <v>Sponsor
FullName</v>
      </c>
      <c r="AP1" s="66" t="str">
        <f>preDEL!AP$1</f>
        <v>Combined Participant Firstname</v>
      </c>
      <c r="AQ1" s="66" t="str">
        <f>preDEL!AQ$1</f>
        <v>Combined Participant Lastname</v>
      </c>
      <c r="AR1" s="66" t="str">
        <f>preDEL!AR$1</f>
        <v>Combined Participant Fullname</v>
      </c>
      <c r="AS1" s="51" t="str">
        <f>preDEL!AS$1</f>
        <v>FINAL
GROUP</v>
      </c>
      <c r="AT1" s="51" t="str">
        <f>preDEL!AT$1</f>
        <v>ERROR!! NAME COLS CHECK? 182</v>
      </c>
      <c r="AU1" s="51" t="str">
        <f>preDEL!AU$1</f>
        <v>PARTCIP 
NAME COLS</v>
      </c>
      <c r="AV1" s="51" t="str">
        <f>preDEL!AV$1</f>
        <v>MINOR 
NAME COLS</v>
      </c>
      <c r="AW1" s="51" t="str">
        <f>preDEL!AW$1</f>
        <v>NOTE 
NAME COLS</v>
      </c>
      <c r="AX1" s="51" t="str">
        <f>preDEL!AX$1</f>
        <v>Note Name Extras - Rows Added Not Orig Tube ID Row</v>
      </c>
      <c r="AY1" s="256">
        <f>preDEL!AY$1</f>
        <v>7</v>
      </c>
      <c r="AZ1" s="76" t="s">
        <v>192</v>
      </c>
    </row>
    <row r="2">
      <c r="A2" s="94" t="str">
        <f t="array" ref="A2:AY264">SORT(filterDEL!$A$2:$AY691,2,TRUE,3,TRUE,43,TRUE,42,TRUE)</f>
        <v>AG575</v>
      </c>
      <c r="B2" s="36">
        <v>44683.0</v>
      </c>
      <c r="C2" s="91">
        <v>0.17497685185185186</v>
      </c>
      <c r="D2" s="13"/>
      <c r="E2" s="13"/>
      <c r="F2" s="3"/>
      <c r="G2" s="3"/>
      <c r="H2" s="3"/>
      <c r="I2" s="13"/>
      <c r="J2" s="13"/>
      <c r="K2" s="13" t="s">
        <v>228</v>
      </c>
      <c r="L2" s="36">
        <v>44683.0</v>
      </c>
      <c r="M2" s="91">
        <v>0.3578125</v>
      </c>
      <c r="N2" s="3"/>
      <c r="O2" s="3"/>
      <c r="P2" s="7" t="b">
        <v>0</v>
      </c>
      <c r="Q2" s="7" t="s">
        <v>481</v>
      </c>
      <c r="R2" s="166" t="b">
        <v>1</v>
      </c>
      <c r="S2" s="166">
        <v>4.0</v>
      </c>
      <c r="T2" s="7">
        <v>2.0</v>
      </c>
      <c r="U2" s="3"/>
      <c r="V2" s="13"/>
      <c r="W2" s="3"/>
      <c r="X2" s="166" t="b">
        <v>0</v>
      </c>
      <c r="Y2" s="7"/>
      <c r="Z2" s="13"/>
      <c r="AA2" s="7" t="b">
        <v>0</v>
      </c>
      <c r="AB2" s="7"/>
      <c r="AC2" s="257">
        <v>167.0</v>
      </c>
      <c r="AD2" s="166"/>
      <c r="AE2" s="258">
        <v>263.2833333333333</v>
      </c>
      <c r="AF2" s="7" t="b">
        <v>0</v>
      </c>
      <c r="AG2" s="7" t="b">
        <v>0</v>
      </c>
      <c r="AH2" s="166"/>
      <c r="AI2" s="13"/>
      <c r="AJ2" s="3"/>
      <c r="AK2" s="13" t="s">
        <v>228</v>
      </c>
      <c r="AL2" s="3"/>
      <c r="AM2" s="3" t="s">
        <v>274</v>
      </c>
      <c r="AN2" s="3" t="s">
        <v>275</v>
      </c>
      <c r="AO2" s="3" t="s">
        <v>482</v>
      </c>
      <c r="AP2" s="3" t="s">
        <v>482</v>
      </c>
      <c r="AQ2" s="3" t="s">
        <v>482</v>
      </c>
      <c r="AR2" s="3" t="s">
        <v>482</v>
      </c>
      <c r="AS2" s="98"/>
      <c r="AT2" s="98"/>
      <c r="AU2" s="98"/>
      <c r="AV2" s="98"/>
      <c r="AW2" s="98"/>
      <c r="AX2" s="98"/>
      <c r="AY2" s="98"/>
      <c r="AZ2" s="98"/>
    </row>
    <row r="3">
      <c r="A3" s="3" t="s">
        <v>273</v>
      </c>
      <c r="B3" s="36">
        <v>44683.0</v>
      </c>
      <c r="C3" s="91">
        <v>0.17497685185185186</v>
      </c>
      <c r="D3" s="13"/>
      <c r="E3" s="13"/>
      <c r="F3" s="3"/>
      <c r="G3" s="3"/>
      <c r="H3" s="3"/>
      <c r="I3" s="13"/>
      <c r="J3" s="13"/>
      <c r="K3" s="13" t="s">
        <v>228</v>
      </c>
      <c r="L3" s="36">
        <v>44683.0</v>
      </c>
      <c r="M3" s="91">
        <v>0.3578125</v>
      </c>
      <c r="N3" s="3"/>
      <c r="O3" s="3"/>
      <c r="P3" s="7" t="b">
        <v>0</v>
      </c>
      <c r="Q3" s="7" t="s">
        <v>481</v>
      </c>
      <c r="R3" s="166" t="b">
        <v>0</v>
      </c>
      <c r="S3" s="166">
        <v>4.0</v>
      </c>
      <c r="T3" s="7">
        <v>2.0</v>
      </c>
      <c r="U3" s="3"/>
      <c r="V3" s="13"/>
      <c r="W3" s="3"/>
      <c r="X3" s="166" t="b">
        <v>0</v>
      </c>
      <c r="Y3" s="7"/>
      <c r="Z3" s="13"/>
      <c r="AA3" s="7" t="b">
        <v>0</v>
      </c>
      <c r="AB3" s="7"/>
      <c r="AC3" s="257">
        <v>166.0</v>
      </c>
      <c r="AD3" s="166"/>
      <c r="AE3" s="258">
        <v>263.2833333333333</v>
      </c>
      <c r="AF3" s="7" t="b">
        <v>0</v>
      </c>
      <c r="AG3" s="7" t="b">
        <v>0</v>
      </c>
      <c r="AH3" s="166"/>
      <c r="AI3" s="13"/>
      <c r="AJ3" s="3"/>
      <c r="AK3" s="13" t="s">
        <v>228</v>
      </c>
      <c r="AL3" s="3"/>
      <c r="AM3" s="3" t="s">
        <v>274</v>
      </c>
      <c r="AN3" s="3" t="s">
        <v>277</v>
      </c>
      <c r="AO3" s="3" t="s">
        <v>482</v>
      </c>
      <c r="AP3" s="3" t="s">
        <v>482</v>
      </c>
      <c r="AQ3" s="3" t="s">
        <v>482</v>
      </c>
      <c r="AR3" s="3" t="s">
        <v>482</v>
      </c>
      <c r="AS3" s="98"/>
      <c r="AT3" s="98"/>
      <c r="AU3" s="98"/>
      <c r="AV3" s="98"/>
      <c r="AW3" s="98"/>
      <c r="AX3" s="98"/>
      <c r="AY3" s="98"/>
      <c r="AZ3" s="98"/>
    </row>
    <row r="4">
      <c r="A4" s="11" t="s">
        <v>273</v>
      </c>
      <c r="B4" s="36">
        <v>44683.0</v>
      </c>
      <c r="C4" s="91">
        <v>0.17497685185185186</v>
      </c>
      <c r="D4" s="13"/>
      <c r="E4" s="13"/>
      <c r="F4" s="3"/>
      <c r="G4" s="3"/>
      <c r="H4" s="3"/>
      <c r="I4" s="13"/>
      <c r="J4" s="13"/>
      <c r="K4" s="13" t="s">
        <v>228</v>
      </c>
      <c r="L4" s="36">
        <v>44683.0</v>
      </c>
      <c r="M4" s="91">
        <v>0.3578125</v>
      </c>
      <c r="N4" s="3"/>
      <c r="O4" s="3"/>
      <c r="P4" s="7" t="b">
        <v>0</v>
      </c>
      <c r="Q4" s="7" t="s">
        <v>481</v>
      </c>
      <c r="R4" s="166" t="b">
        <v>0</v>
      </c>
      <c r="S4" s="166">
        <v>4.0</v>
      </c>
      <c r="T4" s="7">
        <v>2.0</v>
      </c>
      <c r="U4" s="3"/>
      <c r="V4" s="13"/>
      <c r="W4" s="3"/>
      <c r="X4" s="166" t="b">
        <v>0</v>
      </c>
      <c r="Y4" s="7"/>
      <c r="Z4" s="13"/>
      <c r="AA4" s="7" t="b">
        <v>0</v>
      </c>
      <c r="AB4" s="7"/>
      <c r="AC4" s="257">
        <v>167.0</v>
      </c>
      <c r="AD4" s="166"/>
      <c r="AE4" s="258">
        <v>263.2833333333333</v>
      </c>
      <c r="AF4" s="7" t="b">
        <v>0</v>
      </c>
      <c r="AG4" s="7" t="b">
        <v>0</v>
      </c>
      <c r="AH4" s="166"/>
      <c r="AI4" s="13"/>
      <c r="AJ4" s="3"/>
      <c r="AK4" s="13" t="s">
        <v>228</v>
      </c>
      <c r="AL4" s="3"/>
      <c r="AM4" s="3" t="s">
        <v>274</v>
      </c>
      <c r="AN4" s="3" t="s">
        <v>279</v>
      </c>
      <c r="AO4" s="3" t="s">
        <v>482</v>
      </c>
      <c r="AP4" s="3" t="s">
        <v>482</v>
      </c>
      <c r="AQ4" s="3" t="s">
        <v>482</v>
      </c>
      <c r="AR4" s="3" t="s">
        <v>482</v>
      </c>
      <c r="AS4" s="98"/>
      <c r="AT4" s="98"/>
      <c r="AU4" s="98"/>
      <c r="AV4" s="98"/>
      <c r="AW4" s="98"/>
      <c r="AX4" s="98"/>
      <c r="AY4" s="98"/>
      <c r="AZ4" s="98"/>
    </row>
    <row r="5">
      <c r="A5" s="9" t="s">
        <v>273</v>
      </c>
      <c r="B5" s="36">
        <v>44683.0</v>
      </c>
      <c r="C5" s="91">
        <v>0.17497685185185186</v>
      </c>
      <c r="D5" s="13"/>
      <c r="E5" s="13"/>
      <c r="F5" s="3"/>
      <c r="G5" s="3"/>
      <c r="H5" s="3"/>
      <c r="I5" s="13"/>
      <c r="J5" s="13"/>
      <c r="K5" s="13" t="s">
        <v>228</v>
      </c>
      <c r="L5" s="36">
        <v>44683.0</v>
      </c>
      <c r="M5" s="91">
        <v>0.3578125</v>
      </c>
      <c r="N5" s="3"/>
      <c r="O5" s="3"/>
      <c r="P5" s="7" t="b">
        <v>0</v>
      </c>
      <c r="Q5" s="7" t="s">
        <v>481</v>
      </c>
      <c r="R5" s="166" t="b">
        <v>0</v>
      </c>
      <c r="S5" s="166">
        <v>4.0</v>
      </c>
      <c r="T5" s="7">
        <v>2.0</v>
      </c>
      <c r="U5" s="3"/>
      <c r="V5" s="13"/>
      <c r="W5" s="3"/>
      <c r="X5" s="166" t="b">
        <v>0</v>
      </c>
      <c r="Y5" s="7"/>
      <c r="Z5" s="13"/>
      <c r="AA5" s="7" t="b">
        <v>0</v>
      </c>
      <c r="AB5" s="7"/>
      <c r="AC5" s="257">
        <v>166.0</v>
      </c>
      <c r="AD5" s="166"/>
      <c r="AE5" s="258">
        <v>263.2833333333333</v>
      </c>
      <c r="AF5" s="7" t="b">
        <v>0</v>
      </c>
      <c r="AG5" s="7" t="b">
        <v>0</v>
      </c>
      <c r="AH5" s="166"/>
      <c r="AI5" s="13"/>
      <c r="AJ5" s="3"/>
      <c r="AK5" s="13" t="s">
        <v>228</v>
      </c>
      <c r="AL5" s="3"/>
      <c r="AM5" s="3" t="s">
        <v>274</v>
      </c>
      <c r="AN5" s="3" t="s">
        <v>281</v>
      </c>
      <c r="AO5" s="3" t="s">
        <v>482</v>
      </c>
      <c r="AP5" s="3" t="s">
        <v>482</v>
      </c>
      <c r="AQ5" s="3" t="s">
        <v>482</v>
      </c>
      <c r="AR5" s="3" t="s">
        <v>482</v>
      </c>
      <c r="AS5" s="98"/>
      <c r="AT5" s="98"/>
      <c r="AU5" s="98"/>
      <c r="AV5" s="98"/>
      <c r="AW5" s="98"/>
      <c r="AX5" s="98"/>
      <c r="AY5" s="98"/>
      <c r="AZ5" s="98"/>
    </row>
    <row r="6">
      <c r="A6" s="9" t="s">
        <v>283</v>
      </c>
      <c r="B6" s="36">
        <v>44683.0</v>
      </c>
      <c r="C6" s="91">
        <v>0.17721064814814816</v>
      </c>
      <c r="D6" s="13"/>
      <c r="E6" s="13"/>
      <c r="F6" s="3"/>
      <c r="G6" s="3"/>
      <c r="H6" s="3"/>
      <c r="I6" s="13"/>
      <c r="J6" s="13"/>
      <c r="K6" s="13" t="s">
        <v>228</v>
      </c>
      <c r="L6" s="36">
        <v>44683.0</v>
      </c>
      <c r="M6" s="91">
        <v>0.3578125</v>
      </c>
      <c r="N6" s="3"/>
      <c r="O6" s="3"/>
      <c r="P6" s="7" t="b">
        <v>0</v>
      </c>
      <c r="Q6" s="7" t="s">
        <v>481</v>
      </c>
      <c r="R6" s="166" t="b">
        <v>1</v>
      </c>
      <c r="S6" s="166">
        <v>2.0</v>
      </c>
      <c r="T6" s="7">
        <v>1.0</v>
      </c>
      <c r="U6" s="3"/>
      <c r="V6" s="13"/>
      <c r="W6" s="3"/>
      <c r="X6" s="166" t="b">
        <v>0</v>
      </c>
      <c r="Y6" s="7"/>
      <c r="Z6" s="13"/>
      <c r="AA6" s="7" t="b">
        <v>0</v>
      </c>
      <c r="AB6" s="7"/>
      <c r="AC6" s="257">
        <v>168.0</v>
      </c>
      <c r="AD6" s="166"/>
      <c r="AE6" s="258">
        <v>260.0666666666666</v>
      </c>
      <c r="AF6" s="7" t="b">
        <v>0</v>
      </c>
      <c r="AG6" s="7" t="b">
        <v>0</v>
      </c>
      <c r="AH6" s="166"/>
      <c r="AI6" s="13"/>
      <c r="AJ6" s="3"/>
      <c r="AK6" s="13" t="s">
        <v>228</v>
      </c>
      <c r="AL6" s="3"/>
      <c r="AM6" s="3" t="s">
        <v>284</v>
      </c>
      <c r="AN6" s="3" t="s">
        <v>285</v>
      </c>
      <c r="AO6" s="3" t="s">
        <v>482</v>
      </c>
      <c r="AP6" s="3" t="s">
        <v>482</v>
      </c>
      <c r="AQ6" s="3" t="s">
        <v>482</v>
      </c>
      <c r="AR6" s="3" t="s">
        <v>482</v>
      </c>
      <c r="AS6" s="98"/>
      <c r="AT6" s="98"/>
      <c r="AU6" s="98"/>
      <c r="AV6" s="98"/>
      <c r="AW6" s="98"/>
      <c r="AX6" s="98"/>
      <c r="AY6" s="98"/>
      <c r="AZ6" s="98"/>
    </row>
    <row r="7">
      <c r="A7" s="9" t="s">
        <v>283</v>
      </c>
      <c r="B7" s="36">
        <v>44683.0</v>
      </c>
      <c r="C7" s="91">
        <v>0.17721064814814816</v>
      </c>
      <c r="D7" s="13"/>
      <c r="E7" s="13"/>
      <c r="F7" s="3"/>
      <c r="G7" s="3"/>
      <c r="H7" s="3"/>
      <c r="I7" s="13"/>
      <c r="J7" s="13"/>
      <c r="K7" s="13" t="s">
        <v>228</v>
      </c>
      <c r="L7" s="36">
        <v>44683.0</v>
      </c>
      <c r="M7" s="91">
        <v>0.3578125</v>
      </c>
      <c r="N7" s="3"/>
      <c r="O7" s="3"/>
      <c r="P7" s="7" t="b">
        <v>0</v>
      </c>
      <c r="Q7" s="7" t="s">
        <v>481</v>
      </c>
      <c r="R7" s="166" t="b">
        <v>0</v>
      </c>
      <c r="S7" s="166">
        <v>2.0</v>
      </c>
      <c r="T7" s="7">
        <v>1.0</v>
      </c>
      <c r="U7" s="3"/>
      <c r="V7" s="13"/>
      <c r="W7" s="3"/>
      <c r="X7" s="166" t="b">
        <v>0</v>
      </c>
      <c r="Y7" s="7"/>
      <c r="Z7" s="13"/>
      <c r="AA7" s="7" t="b">
        <v>0</v>
      </c>
      <c r="AB7" s="7"/>
      <c r="AC7" s="257">
        <v>168.0</v>
      </c>
      <c r="AD7" s="166"/>
      <c r="AE7" s="258">
        <v>260.0666666666666</v>
      </c>
      <c r="AF7" s="7" t="b">
        <v>0</v>
      </c>
      <c r="AG7" s="7" t="b">
        <v>0</v>
      </c>
      <c r="AH7" s="166"/>
      <c r="AI7" s="13"/>
      <c r="AJ7" s="3"/>
      <c r="AK7" s="13" t="s">
        <v>228</v>
      </c>
      <c r="AL7" s="3"/>
      <c r="AM7" s="3" t="s">
        <v>284</v>
      </c>
      <c r="AN7" s="3" t="s">
        <v>287</v>
      </c>
      <c r="AO7" s="3" t="s">
        <v>482</v>
      </c>
      <c r="AP7" s="3" t="s">
        <v>482</v>
      </c>
      <c r="AQ7" s="3" t="s">
        <v>482</v>
      </c>
      <c r="AR7" s="3" t="s">
        <v>482</v>
      </c>
      <c r="AS7" s="98"/>
      <c r="AT7" s="98"/>
      <c r="AU7" s="98"/>
      <c r="AV7" s="98"/>
      <c r="AW7" s="98"/>
      <c r="AX7" s="98"/>
      <c r="AY7" s="98"/>
      <c r="AZ7" s="98"/>
    </row>
    <row r="8">
      <c r="A8" s="3" t="s">
        <v>289</v>
      </c>
      <c r="B8" s="36">
        <v>44683.0</v>
      </c>
      <c r="C8" s="91">
        <v>0.17770833333333333</v>
      </c>
      <c r="D8" s="13"/>
      <c r="E8" s="13"/>
      <c r="F8" s="3"/>
      <c r="G8" s="3"/>
      <c r="H8" s="3"/>
      <c r="I8" s="13"/>
      <c r="J8" s="13"/>
      <c r="K8" s="13" t="s">
        <v>228</v>
      </c>
      <c r="L8" s="36">
        <v>44683.0</v>
      </c>
      <c r="M8" s="91">
        <v>0.3578125</v>
      </c>
      <c r="N8" s="3"/>
      <c r="O8" s="3"/>
      <c r="P8" s="7" t="b">
        <v>0</v>
      </c>
      <c r="Q8" s="7" t="s">
        <v>481</v>
      </c>
      <c r="R8" s="166" t="b">
        <v>1</v>
      </c>
      <c r="S8" s="166">
        <v>2.0</v>
      </c>
      <c r="T8" s="7">
        <v>1.0</v>
      </c>
      <c r="U8" s="3"/>
      <c r="V8" s="13"/>
      <c r="W8" s="3"/>
      <c r="X8" s="166" t="b">
        <v>0</v>
      </c>
      <c r="Y8" s="7"/>
      <c r="Z8" s="13"/>
      <c r="AA8" s="7" t="b">
        <v>0</v>
      </c>
      <c r="AB8" s="7"/>
      <c r="AC8" s="257">
        <v>169.0</v>
      </c>
      <c r="AD8" s="166"/>
      <c r="AE8" s="258">
        <v>259.34999999999997</v>
      </c>
      <c r="AF8" s="7" t="b">
        <v>0</v>
      </c>
      <c r="AG8" s="7" t="b">
        <v>0</v>
      </c>
      <c r="AH8" s="166"/>
      <c r="AI8" s="13"/>
      <c r="AJ8" s="3"/>
      <c r="AK8" s="13" t="s">
        <v>228</v>
      </c>
      <c r="AL8" s="3"/>
      <c r="AM8" s="3" t="s">
        <v>284</v>
      </c>
      <c r="AN8" s="3" t="s">
        <v>290</v>
      </c>
      <c r="AO8" s="3" t="s">
        <v>482</v>
      </c>
      <c r="AP8" s="3" t="s">
        <v>482</v>
      </c>
      <c r="AQ8" s="3" t="s">
        <v>482</v>
      </c>
      <c r="AR8" s="3" t="s">
        <v>482</v>
      </c>
      <c r="AS8" s="98"/>
      <c r="AT8" s="98"/>
      <c r="AU8" s="98"/>
      <c r="AV8" s="98"/>
      <c r="AW8" s="98"/>
      <c r="AX8" s="98"/>
      <c r="AY8" s="98"/>
      <c r="AZ8" s="98"/>
    </row>
    <row r="9">
      <c r="A9" s="3" t="s">
        <v>289</v>
      </c>
      <c r="B9" s="36">
        <v>44683.0</v>
      </c>
      <c r="C9" s="91">
        <v>0.17770833333333333</v>
      </c>
      <c r="D9" s="13"/>
      <c r="E9" s="13"/>
      <c r="F9" s="3"/>
      <c r="G9" s="3"/>
      <c r="H9" s="3"/>
      <c r="I9" s="13"/>
      <c r="J9" s="13"/>
      <c r="K9" s="13" t="s">
        <v>228</v>
      </c>
      <c r="L9" s="36">
        <v>44683.0</v>
      </c>
      <c r="M9" s="91">
        <v>0.3578125</v>
      </c>
      <c r="N9" s="3"/>
      <c r="O9" s="3"/>
      <c r="P9" s="7" t="b">
        <v>0</v>
      </c>
      <c r="Q9" s="7" t="s">
        <v>481</v>
      </c>
      <c r="R9" s="166" t="b">
        <v>0</v>
      </c>
      <c r="S9" s="166">
        <v>2.0</v>
      </c>
      <c r="T9" s="7">
        <v>1.0</v>
      </c>
      <c r="U9" s="3"/>
      <c r="V9" s="13"/>
      <c r="W9" s="3"/>
      <c r="X9" s="166" t="b">
        <v>0</v>
      </c>
      <c r="Y9" s="7"/>
      <c r="Z9" s="13"/>
      <c r="AA9" s="7" t="b">
        <v>0</v>
      </c>
      <c r="AB9" s="7"/>
      <c r="AC9" s="257">
        <v>169.0</v>
      </c>
      <c r="AD9" s="166"/>
      <c r="AE9" s="258">
        <v>259.34999999999997</v>
      </c>
      <c r="AF9" s="7" t="b">
        <v>0</v>
      </c>
      <c r="AG9" s="7" t="b">
        <v>0</v>
      </c>
      <c r="AH9" s="166"/>
      <c r="AI9" s="13"/>
      <c r="AJ9" s="3"/>
      <c r="AK9" s="13" t="s">
        <v>228</v>
      </c>
      <c r="AL9" s="3"/>
      <c r="AM9" s="3" t="s">
        <v>284</v>
      </c>
      <c r="AN9" s="3" t="s">
        <v>287</v>
      </c>
      <c r="AO9" s="3" t="s">
        <v>482</v>
      </c>
      <c r="AP9" s="3" t="s">
        <v>482</v>
      </c>
      <c r="AQ9" s="3" t="s">
        <v>482</v>
      </c>
      <c r="AR9" s="3" t="s">
        <v>482</v>
      </c>
      <c r="AS9" s="98"/>
      <c r="AT9" s="98"/>
      <c r="AU9" s="98"/>
      <c r="AV9" s="98"/>
      <c r="AW9" s="98"/>
      <c r="AX9" s="98"/>
      <c r="AY9" s="98"/>
      <c r="AZ9" s="98"/>
    </row>
    <row r="10">
      <c r="A10" s="3" t="s">
        <v>293</v>
      </c>
      <c r="B10" s="36">
        <v>44683.0</v>
      </c>
      <c r="C10" s="91">
        <v>0.17806712962962962</v>
      </c>
      <c r="D10" s="13"/>
      <c r="E10" s="13"/>
      <c r="F10" s="3"/>
      <c r="G10" s="3"/>
      <c r="H10" s="3"/>
      <c r="I10" s="13"/>
      <c r="J10" s="13"/>
      <c r="K10" s="13" t="s">
        <v>228</v>
      </c>
      <c r="L10" s="36">
        <v>44683.0</v>
      </c>
      <c r="M10" s="91">
        <v>0.3578125</v>
      </c>
      <c r="N10" s="3"/>
      <c r="O10" s="3"/>
      <c r="P10" s="7" t="b">
        <v>0</v>
      </c>
      <c r="Q10" s="7" t="s">
        <v>481</v>
      </c>
      <c r="R10" s="166" t="b">
        <v>1</v>
      </c>
      <c r="S10" s="166">
        <v>2.0</v>
      </c>
      <c r="T10" s="7">
        <v>1.0</v>
      </c>
      <c r="U10" s="3"/>
      <c r="V10" s="13"/>
      <c r="W10" s="3"/>
      <c r="X10" s="166" t="b">
        <v>1</v>
      </c>
      <c r="Y10" s="7"/>
      <c r="Z10" s="13"/>
      <c r="AA10" s="7" t="b">
        <v>0</v>
      </c>
      <c r="AB10" s="7"/>
      <c r="AC10" s="257">
        <v>170.0</v>
      </c>
      <c r="AD10" s="166"/>
      <c r="AE10" s="258">
        <v>258.8333333333333</v>
      </c>
      <c r="AF10" s="7" t="b">
        <v>0</v>
      </c>
      <c r="AG10" s="7" t="b">
        <v>0</v>
      </c>
      <c r="AH10" s="166"/>
      <c r="AI10" s="13"/>
      <c r="AJ10" s="3"/>
      <c r="AK10" s="13" t="s">
        <v>228</v>
      </c>
      <c r="AL10" s="3"/>
      <c r="AM10" s="3" t="s">
        <v>284</v>
      </c>
      <c r="AN10" s="3" t="s">
        <v>294</v>
      </c>
      <c r="AO10" s="3" t="s">
        <v>482</v>
      </c>
      <c r="AP10" s="3" t="s">
        <v>482</v>
      </c>
      <c r="AQ10" s="3" t="s">
        <v>482</v>
      </c>
      <c r="AR10" s="3" t="s">
        <v>482</v>
      </c>
      <c r="AS10" s="98"/>
      <c r="AT10" s="98"/>
      <c r="AU10" s="98"/>
      <c r="AV10" s="98"/>
      <c r="AW10" s="98"/>
      <c r="AX10" s="98"/>
      <c r="AY10" s="98"/>
      <c r="AZ10" s="98"/>
    </row>
    <row r="11">
      <c r="A11" s="3" t="s">
        <v>293</v>
      </c>
      <c r="B11" s="36">
        <v>44683.0</v>
      </c>
      <c r="C11" s="91">
        <v>0.17806712962962962</v>
      </c>
      <c r="D11" s="13"/>
      <c r="E11" s="13"/>
      <c r="F11" s="3"/>
      <c r="G11" s="3"/>
      <c r="H11" s="3"/>
      <c r="I11" s="13"/>
      <c r="J11" s="13"/>
      <c r="K11" s="13" t="s">
        <v>228</v>
      </c>
      <c r="L11" s="36">
        <v>44683.0</v>
      </c>
      <c r="M11" s="91">
        <v>0.3578125</v>
      </c>
      <c r="N11" s="3"/>
      <c r="O11" s="3"/>
      <c r="P11" s="7" t="b">
        <v>0</v>
      </c>
      <c r="Q11" s="7" t="s">
        <v>481</v>
      </c>
      <c r="R11" s="166" t="b">
        <v>0</v>
      </c>
      <c r="S11" s="166">
        <v>2.0</v>
      </c>
      <c r="T11" s="7">
        <v>1.0</v>
      </c>
      <c r="U11" s="3"/>
      <c r="V11" s="13"/>
      <c r="W11" s="3"/>
      <c r="X11" s="166" t="b">
        <v>0</v>
      </c>
      <c r="Y11" s="7"/>
      <c r="Z11" s="13"/>
      <c r="AA11" s="7" t="b">
        <v>0</v>
      </c>
      <c r="AB11" s="7"/>
      <c r="AC11" s="257">
        <v>170.0</v>
      </c>
      <c r="AD11" s="166"/>
      <c r="AE11" s="258">
        <v>258.8333333333333</v>
      </c>
      <c r="AF11" s="7" t="b">
        <v>0</v>
      </c>
      <c r="AG11" s="7" t="b">
        <v>0</v>
      </c>
      <c r="AH11" s="166"/>
      <c r="AI11" s="13"/>
      <c r="AJ11" s="3"/>
      <c r="AK11" s="13" t="s">
        <v>228</v>
      </c>
      <c r="AL11" s="3"/>
      <c r="AM11" s="3" t="s">
        <v>284</v>
      </c>
      <c r="AN11" s="3" t="s">
        <v>287</v>
      </c>
      <c r="AO11" s="3" t="s">
        <v>482</v>
      </c>
      <c r="AP11" s="3" t="s">
        <v>482</v>
      </c>
      <c r="AQ11" s="3" t="s">
        <v>482</v>
      </c>
      <c r="AR11" s="3" t="s">
        <v>482</v>
      </c>
      <c r="AS11" s="98"/>
      <c r="AT11" s="98"/>
      <c r="AU11" s="98"/>
      <c r="AV11" s="98"/>
      <c r="AW11" s="98"/>
      <c r="AX11" s="98"/>
      <c r="AY11" s="98"/>
      <c r="AZ11" s="98"/>
    </row>
    <row r="12">
      <c r="A12" s="3" t="s">
        <v>297</v>
      </c>
      <c r="B12" s="36">
        <v>44683.0</v>
      </c>
      <c r="C12" s="91">
        <v>0.17832175925925925</v>
      </c>
      <c r="D12" s="13"/>
      <c r="E12" s="13"/>
      <c r="F12" s="3"/>
      <c r="G12" s="3"/>
      <c r="H12" s="3"/>
      <c r="I12" s="13"/>
      <c r="J12" s="13"/>
      <c r="K12" s="13" t="s">
        <v>228</v>
      </c>
      <c r="L12" s="36">
        <v>44683.0</v>
      </c>
      <c r="M12" s="91">
        <v>0.3578125</v>
      </c>
      <c r="N12" s="3"/>
      <c r="O12" s="3"/>
      <c r="P12" s="7" t="b">
        <v>0</v>
      </c>
      <c r="Q12" s="7" t="s">
        <v>481</v>
      </c>
      <c r="R12" s="166" t="b">
        <v>1</v>
      </c>
      <c r="S12" s="166">
        <v>1.0</v>
      </c>
      <c r="T12" s="7"/>
      <c r="U12" s="3"/>
      <c r="V12" s="13"/>
      <c r="W12" s="3"/>
      <c r="X12" s="166" t="b">
        <v>0</v>
      </c>
      <c r="Y12" s="7"/>
      <c r="Z12" s="13"/>
      <c r="AA12" s="7" t="b">
        <v>0</v>
      </c>
      <c r="AB12" s="7"/>
      <c r="AC12" s="257">
        <v>171.0</v>
      </c>
      <c r="AD12" s="166"/>
      <c r="AE12" s="258">
        <v>258.4666666666667</v>
      </c>
      <c r="AF12" s="7" t="b">
        <v>0</v>
      </c>
      <c r="AG12" s="7" t="b">
        <v>0</v>
      </c>
      <c r="AH12" s="166"/>
      <c r="AI12" s="13"/>
      <c r="AJ12" s="3"/>
      <c r="AK12" s="13" t="s">
        <v>228</v>
      </c>
      <c r="AL12" s="3"/>
      <c r="AM12" s="3" t="s">
        <v>284</v>
      </c>
      <c r="AN12" s="3" t="s">
        <v>287</v>
      </c>
      <c r="AO12" s="3" t="s">
        <v>482</v>
      </c>
      <c r="AP12" s="3" t="s">
        <v>482</v>
      </c>
      <c r="AQ12" s="3" t="s">
        <v>482</v>
      </c>
      <c r="AR12" s="3" t="s">
        <v>482</v>
      </c>
      <c r="AS12" s="98"/>
      <c r="AT12" s="98"/>
      <c r="AU12" s="98"/>
      <c r="AV12" s="98"/>
      <c r="AW12" s="98"/>
      <c r="AX12" s="98"/>
      <c r="AY12" s="98"/>
      <c r="AZ12" s="98"/>
    </row>
    <row r="13">
      <c r="A13" s="3" t="s">
        <v>299</v>
      </c>
      <c r="B13" s="36">
        <v>44683.0</v>
      </c>
      <c r="C13" s="91">
        <v>0.17994212962962963</v>
      </c>
      <c r="D13" s="13"/>
      <c r="E13" s="13"/>
      <c r="F13" s="3"/>
      <c r="G13" s="3"/>
      <c r="H13" s="3"/>
      <c r="I13" s="13"/>
      <c r="J13" s="13"/>
      <c r="K13" s="13" t="s">
        <v>228</v>
      </c>
      <c r="L13" s="36">
        <v>44683.0</v>
      </c>
      <c r="M13" s="91">
        <v>0.35782407407407407</v>
      </c>
      <c r="N13" s="3"/>
      <c r="O13" s="3"/>
      <c r="P13" s="7" t="b">
        <v>0</v>
      </c>
      <c r="Q13" s="7" t="s">
        <v>481</v>
      </c>
      <c r="R13" s="166" t="b">
        <v>1</v>
      </c>
      <c r="S13" s="166">
        <v>2.0</v>
      </c>
      <c r="T13" s="7">
        <v>1.0</v>
      </c>
      <c r="U13" s="3"/>
      <c r="V13" s="13"/>
      <c r="W13" s="3"/>
      <c r="X13" s="166" t="b">
        <v>0</v>
      </c>
      <c r="Y13" s="7"/>
      <c r="Z13" s="13"/>
      <c r="AA13" s="7" t="b">
        <v>0</v>
      </c>
      <c r="AB13" s="7"/>
      <c r="AC13" s="257">
        <v>172.0</v>
      </c>
      <c r="AD13" s="166"/>
      <c r="AE13" s="258">
        <v>256.15000000000003</v>
      </c>
      <c r="AF13" s="7" t="b">
        <v>0</v>
      </c>
      <c r="AG13" s="7" t="b">
        <v>0</v>
      </c>
      <c r="AH13" s="166"/>
      <c r="AI13" s="13"/>
      <c r="AJ13" s="3"/>
      <c r="AK13" s="13" t="s">
        <v>228</v>
      </c>
      <c r="AL13" s="3"/>
      <c r="AM13" s="3" t="s">
        <v>300</v>
      </c>
      <c r="AN13" s="3" t="s">
        <v>301</v>
      </c>
      <c r="AO13" s="3" t="s">
        <v>482</v>
      </c>
      <c r="AP13" s="3" t="s">
        <v>482</v>
      </c>
      <c r="AQ13" s="3" t="s">
        <v>482</v>
      </c>
      <c r="AR13" s="3" t="s">
        <v>482</v>
      </c>
      <c r="AS13" s="98"/>
      <c r="AT13" s="98"/>
      <c r="AU13" s="98"/>
      <c r="AV13" s="98"/>
      <c r="AW13" s="98"/>
      <c r="AX13" s="98"/>
      <c r="AY13" s="98"/>
      <c r="AZ13" s="98"/>
    </row>
    <row r="14">
      <c r="A14" s="3" t="s">
        <v>299</v>
      </c>
      <c r="B14" s="36">
        <v>44683.0</v>
      </c>
      <c r="C14" s="91">
        <v>0.17994212962962963</v>
      </c>
      <c r="D14" s="13"/>
      <c r="E14" s="13"/>
      <c r="F14" s="3"/>
      <c r="G14" s="3"/>
      <c r="H14" s="3"/>
      <c r="I14" s="13"/>
      <c r="J14" s="13"/>
      <c r="K14" s="13" t="s">
        <v>228</v>
      </c>
      <c r="L14" s="36">
        <v>44683.0</v>
      </c>
      <c r="M14" s="91">
        <v>0.35782407407407407</v>
      </c>
      <c r="N14" s="3"/>
      <c r="O14" s="3"/>
      <c r="P14" s="7" t="b">
        <v>0</v>
      </c>
      <c r="Q14" s="7" t="s">
        <v>481</v>
      </c>
      <c r="R14" s="166" t="b">
        <v>0</v>
      </c>
      <c r="S14" s="166">
        <v>2.0</v>
      </c>
      <c r="T14" s="7">
        <v>1.0</v>
      </c>
      <c r="U14" s="3"/>
      <c r="V14" s="13"/>
      <c r="W14" s="3"/>
      <c r="X14" s="166" t="b">
        <v>0</v>
      </c>
      <c r="Y14" s="7"/>
      <c r="Z14" s="13"/>
      <c r="AA14" s="7" t="b">
        <v>0</v>
      </c>
      <c r="AB14" s="7"/>
      <c r="AC14" s="257">
        <v>172.0</v>
      </c>
      <c r="AD14" s="166"/>
      <c r="AE14" s="258">
        <v>256.15000000000003</v>
      </c>
      <c r="AF14" s="7" t="b">
        <v>0</v>
      </c>
      <c r="AG14" s="7" t="b">
        <v>0</v>
      </c>
      <c r="AH14" s="166"/>
      <c r="AI14" s="13"/>
      <c r="AJ14" s="3"/>
      <c r="AK14" s="13" t="s">
        <v>228</v>
      </c>
      <c r="AL14" s="3"/>
      <c r="AM14" s="3" t="s">
        <v>300</v>
      </c>
      <c r="AN14" s="3" t="s">
        <v>303</v>
      </c>
      <c r="AO14" s="3" t="s">
        <v>482</v>
      </c>
      <c r="AP14" s="3" t="s">
        <v>482</v>
      </c>
      <c r="AQ14" s="3" t="s">
        <v>482</v>
      </c>
      <c r="AR14" s="3" t="s">
        <v>482</v>
      </c>
      <c r="AS14" s="98"/>
      <c r="AT14" s="98"/>
      <c r="AU14" s="98"/>
      <c r="AV14" s="98"/>
      <c r="AW14" s="98"/>
      <c r="AX14" s="98"/>
      <c r="AY14" s="98"/>
      <c r="AZ14" s="98"/>
    </row>
    <row r="15">
      <c r="A15" s="3" t="s">
        <v>305</v>
      </c>
      <c r="B15" s="36">
        <v>44683.0</v>
      </c>
      <c r="C15" s="91">
        <v>0.19702546296296297</v>
      </c>
      <c r="D15" s="13"/>
      <c r="E15" s="13"/>
      <c r="F15" s="3"/>
      <c r="G15" s="3"/>
      <c r="H15" s="3"/>
      <c r="I15" s="13"/>
      <c r="J15" s="13"/>
      <c r="K15" s="13" t="s">
        <v>228</v>
      </c>
      <c r="L15" s="36">
        <v>44690.0</v>
      </c>
      <c r="M15" s="91">
        <v>0.3232291666666667</v>
      </c>
      <c r="N15" s="3"/>
      <c r="O15" s="3"/>
      <c r="P15" s="7" t="b">
        <v>0</v>
      </c>
      <c r="Q15" s="7" t="s">
        <v>481</v>
      </c>
      <c r="R15" s="166" t="b">
        <v>1</v>
      </c>
      <c r="S15" s="166">
        <v>4.0</v>
      </c>
      <c r="T15" s="7">
        <v>3.0</v>
      </c>
      <c r="U15" s="3"/>
      <c r="V15" s="13"/>
      <c r="W15" s="3"/>
      <c r="X15" s="166" t="b">
        <v>0</v>
      </c>
      <c r="Y15" s="7"/>
      <c r="Z15" s="13"/>
      <c r="AA15" s="7" t="b">
        <v>0</v>
      </c>
      <c r="AB15" s="7"/>
      <c r="AC15" s="257">
        <v>173.0</v>
      </c>
      <c r="AD15" s="166"/>
      <c r="AE15" s="258"/>
      <c r="AF15" s="7" t="b">
        <v>0</v>
      </c>
      <c r="AG15" s="7" t="b">
        <v>0</v>
      </c>
      <c r="AH15" s="166"/>
      <c r="AI15" s="13"/>
      <c r="AJ15" s="3"/>
      <c r="AK15" s="13" t="s">
        <v>228</v>
      </c>
      <c r="AL15" s="3"/>
      <c r="AM15" s="3" t="s">
        <v>306</v>
      </c>
      <c r="AN15" s="3" t="s">
        <v>307</v>
      </c>
      <c r="AO15" s="3" t="s">
        <v>482</v>
      </c>
      <c r="AP15" s="3" t="s">
        <v>482</v>
      </c>
      <c r="AQ15" s="3" t="s">
        <v>482</v>
      </c>
      <c r="AR15" s="3" t="s">
        <v>482</v>
      </c>
      <c r="AS15" s="98"/>
      <c r="AT15" s="98"/>
      <c r="AU15" s="98"/>
      <c r="AV15" s="98"/>
      <c r="AW15" s="98"/>
      <c r="AX15" s="98"/>
      <c r="AY15" s="98"/>
      <c r="AZ15" s="98"/>
    </row>
    <row r="16">
      <c r="A16" s="3" t="s">
        <v>305</v>
      </c>
      <c r="B16" s="36">
        <v>44683.0</v>
      </c>
      <c r="C16" s="91">
        <v>0.19702546296296297</v>
      </c>
      <c r="D16" s="13"/>
      <c r="E16" s="13"/>
      <c r="F16" s="3"/>
      <c r="G16" s="3"/>
      <c r="H16" s="3"/>
      <c r="I16" s="13"/>
      <c r="J16" s="13"/>
      <c r="K16" s="13" t="s">
        <v>228</v>
      </c>
      <c r="L16" s="36">
        <v>44690.0</v>
      </c>
      <c r="M16" s="91">
        <v>0.3232291666666667</v>
      </c>
      <c r="N16" s="3"/>
      <c r="O16" s="3"/>
      <c r="P16" s="7" t="b">
        <v>0</v>
      </c>
      <c r="Q16" s="7" t="s">
        <v>481</v>
      </c>
      <c r="R16" s="166" t="b">
        <v>0</v>
      </c>
      <c r="S16" s="166">
        <v>4.0</v>
      </c>
      <c r="T16" s="7">
        <v>3.0</v>
      </c>
      <c r="U16" s="3"/>
      <c r="V16" s="13"/>
      <c r="W16" s="3"/>
      <c r="X16" s="166" t="b">
        <v>0</v>
      </c>
      <c r="Y16" s="7"/>
      <c r="Z16" s="13"/>
      <c r="AA16" s="7" t="b">
        <v>0</v>
      </c>
      <c r="AB16" s="7"/>
      <c r="AC16" s="257">
        <v>173.0</v>
      </c>
      <c r="AD16" s="166"/>
      <c r="AE16" s="258"/>
      <c r="AF16" s="7" t="b">
        <v>0</v>
      </c>
      <c r="AG16" s="7" t="b">
        <v>0</v>
      </c>
      <c r="AH16" s="166"/>
      <c r="AI16" s="13"/>
      <c r="AJ16" s="3"/>
      <c r="AK16" s="13" t="s">
        <v>228</v>
      </c>
      <c r="AL16" s="3"/>
      <c r="AM16" s="3" t="s">
        <v>306</v>
      </c>
      <c r="AN16" s="3" t="s">
        <v>309</v>
      </c>
      <c r="AO16" s="3" t="s">
        <v>482</v>
      </c>
      <c r="AP16" s="3" t="s">
        <v>482</v>
      </c>
      <c r="AQ16" s="3" t="s">
        <v>482</v>
      </c>
      <c r="AR16" s="3" t="s">
        <v>482</v>
      </c>
      <c r="AS16" s="98"/>
      <c r="AT16" s="98"/>
      <c r="AU16" s="98"/>
      <c r="AV16" s="98"/>
      <c r="AW16" s="98"/>
      <c r="AX16" s="98"/>
      <c r="AY16" s="98"/>
      <c r="AZ16" s="98"/>
    </row>
    <row r="17">
      <c r="A17" s="3" t="s">
        <v>305</v>
      </c>
      <c r="B17" s="36">
        <v>44683.0</v>
      </c>
      <c r="C17" s="91">
        <v>0.19702546296296297</v>
      </c>
      <c r="D17" s="13"/>
      <c r="E17" s="13"/>
      <c r="F17" s="3"/>
      <c r="G17" s="3"/>
      <c r="H17" s="3"/>
      <c r="I17" s="13"/>
      <c r="J17" s="13"/>
      <c r="K17" s="13" t="s">
        <v>228</v>
      </c>
      <c r="L17" s="36">
        <v>44690.0</v>
      </c>
      <c r="M17" s="91">
        <v>0.3232291666666667</v>
      </c>
      <c r="N17" s="3"/>
      <c r="O17" s="3"/>
      <c r="P17" s="7" t="b">
        <v>0</v>
      </c>
      <c r="Q17" s="7" t="s">
        <v>481</v>
      </c>
      <c r="R17" s="166" t="b">
        <v>0</v>
      </c>
      <c r="S17" s="166">
        <v>4.0</v>
      </c>
      <c r="T17" s="7">
        <v>3.0</v>
      </c>
      <c r="U17" s="3"/>
      <c r="V17" s="13"/>
      <c r="W17" s="3"/>
      <c r="X17" s="166" t="b">
        <v>0</v>
      </c>
      <c r="Y17" s="7"/>
      <c r="Z17" s="13"/>
      <c r="AA17" s="7" t="b">
        <v>0</v>
      </c>
      <c r="AB17" s="7"/>
      <c r="AC17" s="257">
        <v>173.0</v>
      </c>
      <c r="AD17" s="166"/>
      <c r="AE17" s="258"/>
      <c r="AF17" s="7" t="b">
        <v>0</v>
      </c>
      <c r="AG17" s="7" t="b">
        <v>0</v>
      </c>
      <c r="AH17" s="166"/>
      <c r="AI17" s="13"/>
      <c r="AJ17" s="3"/>
      <c r="AK17" s="13" t="s">
        <v>228</v>
      </c>
      <c r="AL17" s="3"/>
      <c r="AM17" s="3" t="s">
        <v>306</v>
      </c>
      <c r="AN17" s="3" t="s">
        <v>311</v>
      </c>
      <c r="AO17" s="3" t="s">
        <v>482</v>
      </c>
      <c r="AP17" s="3" t="s">
        <v>482</v>
      </c>
      <c r="AQ17" s="3" t="s">
        <v>482</v>
      </c>
      <c r="AR17" s="3" t="s">
        <v>482</v>
      </c>
      <c r="AS17" s="98"/>
      <c r="AT17" s="98"/>
      <c r="AU17" s="98"/>
      <c r="AV17" s="98"/>
      <c r="AW17" s="98"/>
      <c r="AX17" s="98"/>
      <c r="AY17" s="98"/>
      <c r="AZ17" s="98"/>
    </row>
    <row r="18">
      <c r="A18" s="3" t="s">
        <v>305</v>
      </c>
      <c r="B18" s="36">
        <v>44683.0</v>
      </c>
      <c r="C18" s="91">
        <v>0.19702546296296297</v>
      </c>
      <c r="D18" s="13"/>
      <c r="E18" s="13"/>
      <c r="F18" s="3"/>
      <c r="G18" s="3"/>
      <c r="H18" s="3"/>
      <c r="I18" s="13"/>
      <c r="J18" s="13"/>
      <c r="K18" s="13" t="s">
        <v>228</v>
      </c>
      <c r="L18" s="36">
        <v>44690.0</v>
      </c>
      <c r="M18" s="91">
        <v>0.3232291666666667</v>
      </c>
      <c r="N18" s="3"/>
      <c r="O18" s="3"/>
      <c r="P18" s="7" t="b">
        <v>0</v>
      </c>
      <c r="Q18" s="7" t="s">
        <v>481</v>
      </c>
      <c r="R18" s="166" t="b">
        <v>0</v>
      </c>
      <c r="S18" s="166">
        <v>4.0</v>
      </c>
      <c r="T18" s="7">
        <v>3.0</v>
      </c>
      <c r="U18" s="3"/>
      <c r="V18" s="13"/>
      <c r="W18" s="3"/>
      <c r="X18" s="166" t="b">
        <v>0</v>
      </c>
      <c r="Y18" s="7"/>
      <c r="Z18" s="13"/>
      <c r="AA18" s="7" t="b">
        <v>0</v>
      </c>
      <c r="AB18" s="7"/>
      <c r="AC18" s="257">
        <v>173.0</v>
      </c>
      <c r="AD18" s="166"/>
      <c r="AE18" s="258"/>
      <c r="AF18" s="7" t="b">
        <v>0</v>
      </c>
      <c r="AG18" s="7" t="b">
        <v>0</v>
      </c>
      <c r="AH18" s="166"/>
      <c r="AI18" s="13"/>
      <c r="AJ18" s="3"/>
      <c r="AK18" s="13" t="s">
        <v>228</v>
      </c>
      <c r="AL18" s="3"/>
      <c r="AM18" s="3" t="s">
        <v>306</v>
      </c>
      <c r="AN18" s="3" t="s">
        <v>313</v>
      </c>
      <c r="AO18" s="3" t="s">
        <v>482</v>
      </c>
      <c r="AP18" s="3" t="s">
        <v>482</v>
      </c>
      <c r="AQ18" s="3" t="s">
        <v>482</v>
      </c>
      <c r="AR18" s="3" t="s">
        <v>482</v>
      </c>
      <c r="AS18" s="98"/>
      <c r="AT18" s="98"/>
      <c r="AU18" s="98"/>
      <c r="AV18" s="98"/>
      <c r="AW18" s="98"/>
      <c r="AX18" s="98"/>
      <c r="AY18" s="98"/>
      <c r="AZ18" s="98"/>
    </row>
    <row r="19">
      <c r="A19" s="3" t="s">
        <v>315</v>
      </c>
      <c r="B19" s="36">
        <v>44683.0</v>
      </c>
      <c r="C19" s="91">
        <v>0.2021875</v>
      </c>
      <c r="D19" s="13"/>
      <c r="E19" s="13"/>
      <c r="F19" s="3"/>
      <c r="G19" s="3"/>
      <c r="H19" s="3"/>
      <c r="I19" s="13"/>
      <c r="J19" s="13"/>
      <c r="K19" s="13" t="s">
        <v>228</v>
      </c>
      <c r="L19" s="36">
        <v>44683.0</v>
      </c>
      <c r="M19" s="91">
        <v>0.35782407407407407</v>
      </c>
      <c r="N19" s="3"/>
      <c r="O19" s="3"/>
      <c r="P19" s="7" t="b">
        <v>0</v>
      </c>
      <c r="Q19" s="7" t="s">
        <v>481</v>
      </c>
      <c r="R19" s="166" t="b">
        <v>1</v>
      </c>
      <c r="S19" s="166">
        <v>2.0</v>
      </c>
      <c r="T19" s="7"/>
      <c r="U19" s="3"/>
      <c r="V19" s="13"/>
      <c r="W19" s="3"/>
      <c r="X19" s="166" t="b">
        <v>0</v>
      </c>
      <c r="Y19" s="7"/>
      <c r="Z19" s="13"/>
      <c r="AA19" s="7" t="b">
        <v>0</v>
      </c>
      <c r="AB19" s="7"/>
      <c r="AC19" s="257">
        <v>174.0</v>
      </c>
      <c r="AD19" s="166"/>
      <c r="AE19" s="258">
        <v>224.11666666666667</v>
      </c>
      <c r="AF19" s="7" t="b">
        <v>0</v>
      </c>
      <c r="AG19" s="7" t="b">
        <v>0</v>
      </c>
      <c r="AH19" s="166"/>
      <c r="AI19" s="13"/>
      <c r="AJ19" s="3"/>
      <c r="AK19" s="13" t="s">
        <v>228</v>
      </c>
      <c r="AL19" s="3"/>
      <c r="AM19" s="3" t="s">
        <v>316</v>
      </c>
      <c r="AN19" s="3" t="s">
        <v>317</v>
      </c>
      <c r="AO19" s="3" t="s">
        <v>482</v>
      </c>
      <c r="AP19" s="3" t="s">
        <v>482</v>
      </c>
      <c r="AQ19" s="3" t="s">
        <v>482</v>
      </c>
      <c r="AR19" s="3" t="s">
        <v>482</v>
      </c>
      <c r="AS19" s="98"/>
      <c r="AT19" s="98"/>
      <c r="AU19" s="98"/>
      <c r="AV19" s="98"/>
      <c r="AW19" s="98"/>
      <c r="AX19" s="98"/>
      <c r="AY19" s="98"/>
      <c r="AZ19" s="98"/>
    </row>
    <row r="20">
      <c r="A20" s="3" t="s">
        <v>315</v>
      </c>
      <c r="B20" s="36">
        <v>44683.0</v>
      </c>
      <c r="C20" s="91">
        <v>0.2021875</v>
      </c>
      <c r="D20" s="13"/>
      <c r="E20" s="13"/>
      <c r="F20" s="3"/>
      <c r="G20" s="3"/>
      <c r="H20" s="3"/>
      <c r="I20" s="13"/>
      <c r="J20" s="13"/>
      <c r="K20" s="13" t="s">
        <v>228</v>
      </c>
      <c r="L20" s="36">
        <v>44683.0</v>
      </c>
      <c r="M20" s="91">
        <v>0.35782407407407407</v>
      </c>
      <c r="N20" s="3"/>
      <c r="O20" s="3"/>
      <c r="P20" s="7" t="b">
        <v>0</v>
      </c>
      <c r="Q20" s="7" t="s">
        <v>481</v>
      </c>
      <c r="R20" s="166" t="b">
        <v>0</v>
      </c>
      <c r="S20" s="166">
        <v>2.0</v>
      </c>
      <c r="T20" s="7"/>
      <c r="U20" s="3"/>
      <c r="V20" s="13"/>
      <c r="W20" s="3"/>
      <c r="X20" s="166" t="b">
        <v>0</v>
      </c>
      <c r="Y20" s="7"/>
      <c r="Z20" s="13"/>
      <c r="AA20" s="7" t="b">
        <v>0</v>
      </c>
      <c r="AB20" s="7"/>
      <c r="AC20" s="257">
        <v>175.0</v>
      </c>
      <c r="AD20" s="166"/>
      <c r="AE20" s="258">
        <v>224.11666666666667</v>
      </c>
      <c r="AF20" s="7" t="b">
        <v>0</v>
      </c>
      <c r="AG20" s="7" t="b">
        <v>0</v>
      </c>
      <c r="AH20" s="166"/>
      <c r="AI20" s="13"/>
      <c r="AJ20" s="3"/>
      <c r="AK20" s="13" t="s">
        <v>228</v>
      </c>
      <c r="AL20" s="3"/>
      <c r="AM20" s="3" t="s">
        <v>316</v>
      </c>
      <c r="AN20" s="3" t="s">
        <v>319</v>
      </c>
      <c r="AO20" s="3" t="s">
        <v>482</v>
      </c>
      <c r="AP20" s="3" t="s">
        <v>482</v>
      </c>
      <c r="AQ20" s="3" t="s">
        <v>482</v>
      </c>
      <c r="AR20" s="3" t="s">
        <v>482</v>
      </c>
      <c r="AS20" s="98"/>
      <c r="AT20" s="98"/>
      <c r="AU20" s="98"/>
      <c r="AV20" s="98"/>
      <c r="AW20" s="98"/>
      <c r="AX20" s="98"/>
      <c r="AY20" s="98"/>
      <c r="AZ20" s="98"/>
    </row>
    <row r="21">
      <c r="A21" s="3" t="s">
        <v>321</v>
      </c>
      <c r="B21" s="36">
        <v>44683.0</v>
      </c>
      <c r="C21" s="91">
        <v>0.20903935185185185</v>
      </c>
      <c r="D21" s="13"/>
      <c r="E21" s="13"/>
      <c r="F21" s="3"/>
      <c r="G21" s="3"/>
      <c r="H21" s="3"/>
      <c r="I21" s="13"/>
      <c r="J21" s="13"/>
      <c r="K21" s="13" t="s">
        <v>228</v>
      </c>
      <c r="L21" s="36">
        <v>44683.0</v>
      </c>
      <c r="M21" s="91">
        <v>0.35782407407407407</v>
      </c>
      <c r="N21" s="3"/>
      <c r="O21" s="3"/>
      <c r="P21" s="7" t="b">
        <v>0</v>
      </c>
      <c r="Q21" s="7" t="s">
        <v>481</v>
      </c>
      <c r="R21" s="166" t="b">
        <v>1</v>
      </c>
      <c r="S21" s="166">
        <v>4.0</v>
      </c>
      <c r="T21" s="7"/>
      <c r="U21" s="3"/>
      <c r="V21" s="13"/>
      <c r="W21" s="3"/>
      <c r="X21" s="166" t="b">
        <v>0</v>
      </c>
      <c r="Y21" s="7"/>
      <c r="Z21" s="13"/>
      <c r="AA21" s="7" t="b">
        <v>0</v>
      </c>
      <c r="AB21" s="7"/>
      <c r="AC21" s="257">
        <v>176.0</v>
      </c>
      <c r="AD21" s="166"/>
      <c r="AE21" s="258">
        <v>214.25</v>
      </c>
      <c r="AF21" s="7" t="b">
        <v>0</v>
      </c>
      <c r="AG21" s="7" t="b">
        <v>0</v>
      </c>
      <c r="AH21" s="166"/>
      <c r="AI21" s="13"/>
      <c r="AJ21" s="3"/>
      <c r="AK21" s="13" t="s">
        <v>228</v>
      </c>
      <c r="AL21" s="3"/>
      <c r="AM21" s="3" t="s">
        <v>322</v>
      </c>
      <c r="AN21" s="3" t="s">
        <v>323</v>
      </c>
      <c r="AO21" s="3" t="s">
        <v>482</v>
      </c>
      <c r="AP21" s="3" t="s">
        <v>482</v>
      </c>
      <c r="AQ21" s="3" t="s">
        <v>482</v>
      </c>
      <c r="AR21" s="3" t="s">
        <v>482</v>
      </c>
      <c r="AS21" s="98"/>
      <c r="AT21" s="98"/>
      <c r="AU21" s="98"/>
      <c r="AV21" s="98"/>
      <c r="AW21" s="98"/>
      <c r="AX21" s="98"/>
      <c r="AY21" s="98"/>
      <c r="AZ21" s="98"/>
    </row>
    <row r="22">
      <c r="A22" s="3" t="s">
        <v>321</v>
      </c>
      <c r="B22" s="36">
        <v>44683.0</v>
      </c>
      <c r="C22" s="91">
        <v>0.20903935185185185</v>
      </c>
      <c r="D22" s="13"/>
      <c r="E22" s="13"/>
      <c r="F22" s="3"/>
      <c r="G22" s="3"/>
      <c r="H22" s="3"/>
      <c r="I22" s="13"/>
      <c r="J22" s="13"/>
      <c r="K22" s="13" t="s">
        <v>228</v>
      </c>
      <c r="L22" s="36">
        <v>44683.0</v>
      </c>
      <c r="M22" s="91">
        <v>0.35782407407407407</v>
      </c>
      <c r="N22" s="3"/>
      <c r="O22" s="3"/>
      <c r="P22" s="7" t="b">
        <v>0</v>
      </c>
      <c r="Q22" s="7" t="s">
        <v>481</v>
      </c>
      <c r="R22" s="166" t="b">
        <v>0</v>
      </c>
      <c r="S22" s="166">
        <v>4.0</v>
      </c>
      <c r="T22" s="7"/>
      <c r="U22" s="3"/>
      <c r="V22" s="13"/>
      <c r="W22" s="3"/>
      <c r="X22" s="166" t="b">
        <v>0</v>
      </c>
      <c r="Y22" s="7"/>
      <c r="Z22" s="13"/>
      <c r="AA22" s="7" t="b">
        <v>0</v>
      </c>
      <c r="AB22" s="7"/>
      <c r="AC22" s="257">
        <v>179.0</v>
      </c>
      <c r="AD22" s="166"/>
      <c r="AE22" s="258">
        <v>214.25</v>
      </c>
      <c r="AF22" s="7" t="b">
        <v>0</v>
      </c>
      <c r="AG22" s="7" t="b">
        <v>0</v>
      </c>
      <c r="AH22" s="166"/>
      <c r="AI22" s="13"/>
      <c r="AJ22" s="3"/>
      <c r="AK22" s="13" t="s">
        <v>228</v>
      </c>
      <c r="AL22" s="3"/>
      <c r="AM22" s="3" t="s">
        <v>322</v>
      </c>
      <c r="AN22" s="3" t="s">
        <v>325</v>
      </c>
      <c r="AO22" s="3" t="s">
        <v>482</v>
      </c>
      <c r="AP22" s="3" t="s">
        <v>482</v>
      </c>
      <c r="AQ22" s="3" t="s">
        <v>482</v>
      </c>
      <c r="AR22" s="3" t="s">
        <v>482</v>
      </c>
      <c r="AS22" s="98"/>
      <c r="AT22" s="98"/>
      <c r="AU22" s="98"/>
      <c r="AV22" s="98"/>
      <c r="AW22" s="98"/>
      <c r="AX22" s="98"/>
      <c r="AY22" s="98"/>
      <c r="AZ22" s="98"/>
    </row>
    <row r="23">
      <c r="A23" s="3" t="s">
        <v>321</v>
      </c>
      <c r="B23" s="36">
        <v>44683.0</v>
      </c>
      <c r="C23" s="91">
        <v>0.20903935185185185</v>
      </c>
      <c r="D23" s="13"/>
      <c r="E23" s="13"/>
      <c r="F23" s="3"/>
      <c r="G23" s="3"/>
      <c r="H23" s="3"/>
      <c r="I23" s="13"/>
      <c r="J23" s="13"/>
      <c r="K23" s="13" t="s">
        <v>228</v>
      </c>
      <c r="L23" s="36">
        <v>44683.0</v>
      </c>
      <c r="M23" s="91">
        <v>0.35782407407407407</v>
      </c>
      <c r="N23" s="3"/>
      <c r="O23" s="3"/>
      <c r="P23" s="7" t="b">
        <v>0</v>
      </c>
      <c r="Q23" s="7" t="s">
        <v>481</v>
      </c>
      <c r="R23" s="166" t="b">
        <v>0</v>
      </c>
      <c r="S23" s="166">
        <v>4.0</v>
      </c>
      <c r="T23" s="7"/>
      <c r="U23" s="3"/>
      <c r="V23" s="13"/>
      <c r="W23" s="3"/>
      <c r="X23" s="166" t="b">
        <v>0</v>
      </c>
      <c r="Y23" s="7"/>
      <c r="Z23" s="13"/>
      <c r="AA23" s="7" t="b">
        <v>0</v>
      </c>
      <c r="AB23" s="7"/>
      <c r="AC23" s="257">
        <v>178.0</v>
      </c>
      <c r="AD23" s="166"/>
      <c r="AE23" s="258">
        <v>214.25</v>
      </c>
      <c r="AF23" s="7" t="b">
        <v>0</v>
      </c>
      <c r="AG23" s="7" t="b">
        <v>0</v>
      </c>
      <c r="AH23" s="166"/>
      <c r="AI23" s="13"/>
      <c r="AJ23" s="3"/>
      <c r="AK23" s="13" t="s">
        <v>228</v>
      </c>
      <c r="AL23" s="3"/>
      <c r="AM23" s="3" t="s">
        <v>322</v>
      </c>
      <c r="AN23" s="3" t="s">
        <v>327</v>
      </c>
      <c r="AO23" s="3" t="s">
        <v>482</v>
      </c>
      <c r="AP23" s="3" t="s">
        <v>482</v>
      </c>
      <c r="AQ23" s="3" t="s">
        <v>482</v>
      </c>
      <c r="AR23" s="3" t="s">
        <v>482</v>
      </c>
      <c r="AS23" s="98"/>
      <c r="AT23" s="98"/>
      <c r="AU23" s="98"/>
      <c r="AV23" s="98"/>
      <c r="AW23" s="98"/>
      <c r="AX23" s="98"/>
      <c r="AY23" s="98"/>
      <c r="AZ23" s="98"/>
    </row>
    <row r="24">
      <c r="A24" s="3" t="s">
        <v>321</v>
      </c>
      <c r="B24" s="36">
        <v>44683.0</v>
      </c>
      <c r="C24" s="91">
        <v>0.20903935185185185</v>
      </c>
      <c r="D24" s="13"/>
      <c r="E24" s="13"/>
      <c r="F24" s="3"/>
      <c r="G24" s="3"/>
      <c r="H24" s="3"/>
      <c r="I24" s="13"/>
      <c r="J24" s="13"/>
      <c r="K24" s="13" t="s">
        <v>228</v>
      </c>
      <c r="L24" s="36">
        <v>44683.0</v>
      </c>
      <c r="M24" s="91">
        <v>0.35782407407407407</v>
      </c>
      <c r="N24" s="3"/>
      <c r="O24" s="3"/>
      <c r="P24" s="7" t="b">
        <v>0</v>
      </c>
      <c r="Q24" s="7" t="s">
        <v>481</v>
      </c>
      <c r="R24" s="166" t="b">
        <v>0</v>
      </c>
      <c r="S24" s="166">
        <v>4.0</v>
      </c>
      <c r="T24" s="7"/>
      <c r="U24" s="3"/>
      <c r="V24" s="13"/>
      <c r="W24" s="3"/>
      <c r="X24" s="166" t="b">
        <v>0</v>
      </c>
      <c r="Y24" s="7"/>
      <c r="Z24" s="13"/>
      <c r="AA24" s="7" t="b">
        <v>0</v>
      </c>
      <c r="AB24" s="7"/>
      <c r="AC24" s="257">
        <v>177.0</v>
      </c>
      <c r="AD24" s="166"/>
      <c r="AE24" s="258">
        <v>214.25</v>
      </c>
      <c r="AF24" s="7" t="b">
        <v>0</v>
      </c>
      <c r="AG24" s="7" t="b">
        <v>0</v>
      </c>
      <c r="AH24" s="166"/>
      <c r="AI24" s="13"/>
      <c r="AJ24" s="3"/>
      <c r="AK24" s="13" t="s">
        <v>228</v>
      </c>
      <c r="AL24" s="3"/>
      <c r="AM24" s="3" t="s">
        <v>322</v>
      </c>
      <c r="AN24" s="3" t="s">
        <v>329</v>
      </c>
      <c r="AO24" s="3" t="s">
        <v>482</v>
      </c>
      <c r="AP24" s="3" t="s">
        <v>482</v>
      </c>
      <c r="AQ24" s="3" t="s">
        <v>482</v>
      </c>
      <c r="AR24" s="3" t="s">
        <v>482</v>
      </c>
      <c r="AS24" s="98"/>
      <c r="AT24" s="98"/>
      <c r="AU24" s="98"/>
      <c r="AV24" s="98"/>
      <c r="AW24" s="98"/>
      <c r="AX24" s="98"/>
      <c r="AY24" s="98"/>
      <c r="AZ24" s="98"/>
    </row>
    <row r="25">
      <c r="A25" s="3" t="s">
        <v>331</v>
      </c>
      <c r="B25" s="36">
        <v>44683.0</v>
      </c>
      <c r="C25" s="91">
        <v>0.21256944444444445</v>
      </c>
      <c r="D25" s="13"/>
      <c r="E25" s="13"/>
      <c r="F25" s="3"/>
      <c r="G25" s="3"/>
      <c r="H25" s="3"/>
      <c r="I25" s="13"/>
      <c r="J25" s="13"/>
      <c r="K25" s="13" t="s">
        <v>228</v>
      </c>
      <c r="L25" s="36">
        <v>44683.0</v>
      </c>
      <c r="M25" s="91">
        <v>0.35782407407407407</v>
      </c>
      <c r="N25" s="3"/>
      <c r="O25" s="3"/>
      <c r="P25" s="7" t="b">
        <v>0</v>
      </c>
      <c r="Q25" s="7" t="s">
        <v>481</v>
      </c>
      <c r="R25" s="166" t="b">
        <v>1</v>
      </c>
      <c r="S25" s="166">
        <v>4.0</v>
      </c>
      <c r="T25" s="7">
        <v>2.0</v>
      </c>
      <c r="U25" s="3"/>
      <c r="V25" s="13"/>
      <c r="W25" s="3"/>
      <c r="X25" s="166" t="b">
        <v>1</v>
      </c>
      <c r="Y25" s="7"/>
      <c r="Z25" s="13"/>
      <c r="AA25" s="7" t="b">
        <v>0</v>
      </c>
      <c r="AB25" s="7"/>
      <c r="AC25" s="257">
        <v>180.0</v>
      </c>
      <c r="AD25" s="166"/>
      <c r="AE25" s="258">
        <v>209.16666666666663</v>
      </c>
      <c r="AF25" s="7" t="b">
        <v>0</v>
      </c>
      <c r="AG25" s="7" t="b">
        <v>0</v>
      </c>
      <c r="AH25" s="166"/>
      <c r="AI25" s="13"/>
      <c r="AJ25" s="3"/>
      <c r="AK25" s="13" t="s">
        <v>228</v>
      </c>
      <c r="AL25" s="3"/>
      <c r="AM25" s="3" t="s">
        <v>332</v>
      </c>
      <c r="AN25" s="3" t="s">
        <v>333</v>
      </c>
      <c r="AO25" s="3" t="s">
        <v>482</v>
      </c>
      <c r="AP25" s="3" t="s">
        <v>482</v>
      </c>
      <c r="AQ25" s="3" t="s">
        <v>482</v>
      </c>
      <c r="AR25" s="3" t="s">
        <v>482</v>
      </c>
      <c r="AS25" s="98"/>
      <c r="AT25" s="98"/>
      <c r="AU25" s="98"/>
      <c r="AV25" s="98"/>
      <c r="AW25" s="98"/>
      <c r="AX25" s="98"/>
      <c r="AY25" s="98"/>
      <c r="AZ25" s="98"/>
    </row>
    <row r="26">
      <c r="A26" s="3" t="s">
        <v>331</v>
      </c>
      <c r="B26" s="36">
        <v>44683.0</v>
      </c>
      <c r="C26" s="91">
        <v>0.21256944444444445</v>
      </c>
      <c r="D26" s="13"/>
      <c r="E26" s="13"/>
      <c r="F26" s="3"/>
      <c r="G26" s="3"/>
      <c r="H26" s="3"/>
      <c r="I26" s="13"/>
      <c r="J26" s="13"/>
      <c r="K26" s="13" t="s">
        <v>228</v>
      </c>
      <c r="L26" s="36">
        <v>44683.0</v>
      </c>
      <c r="M26" s="91">
        <v>0.35782407407407407</v>
      </c>
      <c r="N26" s="3"/>
      <c r="O26" s="3"/>
      <c r="P26" s="7" t="b">
        <v>0</v>
      </c>
      <c r="Q26" s="7" t="s">
        <v>481</v>
      </c>
      <c r="R26" s="166" t="b">
        <v>0</v>
      </c>
      <c r="S26" s="166">
        <v>4.0</v>
      </c>
      <c r="T26" s="7">
        <v>2.0</v>
      </c>
      <c r="U26" s="3"/>
      <c r="V26" s="13"/>
      <c r="W26" s="3"/>
      <c r="X26" s="166" t="b">
        <v>1</v>
      </c>
      <c r="Y26" s="7"/>
      <c r="Z26" s="13"/>
      <c r="AA26" s="7" t="b">
        <v>0</v>
      </c>
      <c r="AB26" s="7"/>
      <c r="AC26" s="257">
        <v>181.0</v>
      </c>
      <c r="AD26" s="166"/>
      <c r="AE26" s="258">
        <v>209.16666666666663</v>
      </c>
      <c r="AF26" s="7" t="b">
        <v>0</v>
      </c>
      <c r="AG26" s="7" t="b">
        <v>0</v>
      </c>
      <c r="AH26" s="166"/>
      <c r="AI26" s="13"/>
      <c r="AJ26" s="3"/>
      <c r="AK26" s="13" t="s">
        <v>228</v>
      </c>
      <c r="AL26" s="3"/>
      <c r="AM26" s="3" t="s">
        <v>332</v>
      </c>
      <c r="AN26" s="3" t="s">
        <v>335</v>
      </c>
      <c r="AO26" s="3" t="s">
        <v>482</v>
      </c>
      <c r="AP26" s="3" t="s">
        <v>482</v>
      </c>
      <c r="AQ26" s="3" t="s">
        <v>482</v>
      </c>
      <c r="AR26" s="3" t="s">
        <v>482</v>
      </c>
      <c r="AS26" s="98"/>
      <c r="AT26" s="98"/>
      <c r="AU26" s="98"/>
      <c r="AV26" s="98"/>
      <c r="AW26" s="98"/>
      <c r="AX26" s="98"/>
      <c r="AY26" s="98"/>
      <c r="AZ26" s="98"/>
    </row>
    <row r="27">
      <c r="A27" s="3" t="s">
        <v>331</v>
      </c>
      <c r="B27" s="36">
        <v>44683.0</v>
      </c>
      <c r="C27" s="91">
        <v>0.21256944444444445</v>
      </c>
      <c r="D27" s="13"/>
      <c r="E27" s="13"/>
      <c r="F27" s="3"/>
      <c r="G27" s="3"/>
      <c r="H27" s="3"/>
      <c r="I27" s="13"/>
      <c r="J27" s="13"/>
      <c r="K27" s="13" t="s">
        <v>228</v>
      </c>
      <c r="L27" s="36">
        <v>44683.0</v>
      </c>
      <c r="M27" s="91">
        <v>0.35782407407407407</v>
      </c>
      <c r="N27" s="3"/>
      <c r="O27" s="3"/>
      <c r="P27" s="7" t="b">
        <v>0</v>
      </c>
      <c r="Q27" s="7" t="s">
        <v>481</v>
      </c>
      <c r="R27" s="166" t="b">
        <v>0</v>
      </c>
      <c r="S27" s="166">
        <v>4.0</v>
      </c>
      <c r="T27" s="7">
        <v>2.0</v>
      </c>
      <c r="U27" s="3"/>
      <c r="V27" s="13"/>
      <c r="W27" s="3"/>
      <c r="X27" s="166" t="b">
        <v>0</v>
      </c>
      <c r="Y27" s="7"/>
      <c r="Z27" s="13"/>
      <c r="AA27" s="7" t="b">
        <v>0</v>
      </c>
      <c r="AB27" s="7"/>
      <c r="AC27" s="257">
        <v>181.0</v>
      </c>
      <c r="AD27" s="166"/>
      <c r="AE27" s="258">
        <v>209.16666666666663</v>
      </c>
      <c r="AF27" s="7" t="b">
        <v>0</v>
      </c>
      <c r="AG27" s="7" t="b">
        <v>0</v>
      </c>
      <c r="AH27" s="166"/>
      <c r="AI27" s="13"/>
      <c r="AJ27" s="3"/>
      <c r="AK27" s="13" t="s">
        <v>228</v>
      </c>
      <c r="AL27" s="3"/>
      <c r="AM27" s="3" t="s">
        <v>332</v>
      </c>
      <c r="AN27" s="3" t="s">
        <v>337</v>
      </c>
      <c r="AO27" s="3" t="s">
        <v>482</v>
      </c>
      <c r="AP27" s="3" t="s">
        <v>482</v>
      </c>
      <c r="AQ27" s="3" t="s">
        <v>482</v>
      </c>
      <c r="AR27" s="3" t="s">
        <v>482</v>
      </c>
      <c r="AS27" s="98"/>
      <c r="AT27" s="98"/>
      <c r="AU27" s="98"/>
      <c r="AV27" s="98"/>
      <c r="AW27" s="98"/>
      <c r="AX27" s="98"/>
      <c r="AY27" s="98"/>
      <c r="AZ27" s="98"/>
    </row>
    <row r="28">
      <c r="A28" s="3" t="s">
        <v>331</v>
      </c>
      <c r="B28" s="36">
        <v>44683.0</v>
      </c>
      <c r="C28" s="91">
        <v>0.21256944444444445</v>
      </c>
      <c r="D28" s="13"/>
      <c r="E28" s="13"/>
      <c r="F28" s="3"/>
      <c r="G28" s="3"/>
      <c r="H28" s="3"/>
      <c r="I28" s="13"/>
      <c r="J28" s="13"/>
      <c r="K28" s="13" t="s">
        <v>228</v>
      </c>
      <c r="L28" s="36">
        <v>44683.0</v>
      </c>
      <c r="M28" s="91">
        <v>0.35782407407407407</v>
      </c>
      <c r="N28" s="3"/>
      <c r="O28" s="3"/>
      <c r="P28" s="7" t="b">
        <v>0</v>
      </c>
      <c r="Q28" s="7" t="s">
        <v>481</v>
      </c>
      <c r="R28" s="166" t="b">
        <v>0</v>
      </c>
      <c r="S28" s="166">
        <v>4.0</v>
      </c>
      <c r="T28" s="7">
        <v>2.0</v>
      </c>
      <c r="U28" s="3"/>
      <c r="V28" s="13"/>
      <c r="W28" s="3"/>
      <c r="X28" s="166" t="b">
        <v>0</v>
      </c>
      <c r="Y28" s="7"/>
      <c r="Z28" s="13"/>
      <c r="AA28" s="7" t="b">
        <v>0</v>
      </c>
      <c r="AB28" s="7"/>
      <c r="AC28" s="257">
        <v>180.0</v>
      </c>
      <c r="AD28" s="166"/>
      <c r="AE28" s="258">
        <v>209.16666666666663</v>
      </c>
      <c r="AF28" s="7" t="e">
        <v>#REF!</v>
      </c>
      <c r="AG28" s="7" t="b">
        <v>0</v>
      </c>
      <c r="AH28" s="166"/>
      <c r="AI28" s="13"/>
      <c r="AJ28" s="3"/>
      <c r="AK28" s="13" t="s">
        <v>228</v>
      </c>
      <c r="AL28" s="3"/>
      <c r="AM28" s="3" t="s">
        <v>332</v>
      </c>
      <c r="AN28" s="3" t="s">
        <v>339</v>
      </c>
      <c r="AO28" s="3" t="s">
        <v>482</v>
      </c>
      <c r="AP28" s="3" t="s">
        <v>482</v>
      </c>
      <c r="AQ28" s="3" t="s">
        <v>482</v>
      </c>
      <c r="AR28" s="3" t="s">
        <v>482</v>
      </c>
      <c r="AS28" s="98"/>
      <c r="AT28" s="98"/>
      <c r="AU28" s="98"/>
      <c r="AV28" s="98"/>
      <c r="AW28" s="98"/>
      <c r="AX28" s="98"/>
      <c r="AY28" s="98"/>
      <c r="AZ28" s="98"/>
    </row>
    <row r="29">
      <c r="A29" s="3" t="s">
        <v>341</v>
      </c>
      <c r="B29" s="36">
        <v>44683.0</v>
      </c>
      <c r="C29" s="91">
        <v>0.23635416666666667</v>
      </c>
      <c r="D29" s="13"/>
      <c r="E29" s="13"/>
      <c r="F29" s="3"/>
      <c r="G29" s="3"/>
      <c r="H29" s="3"/>
      <c r="I29" s="13"/>
      <c r="J29" s="13"/>
      <c r="K29" s="13" t="s">
        <v>228</v>
      </c>
      <c r="L29" s="36">
        <v>44683.0</v>
      </c>
      <c r="M29" s="91">
        <v>0.35782407407407407</v>
      </c>
      <c r="N29" s="3"/>
      <c r="O29" s="3"/>
      <c r="P29" s="7" t="b">
        <v>0</v>
      </c>
      <c r="Q29" s="7" t="s">
        <v>481</v>
      </c>
      <c r="R29" s="166" t="b">
        <v>0</v>
      </c>
      <c r="S29" s="166">
        <v>2.0</v>
      </c>
      <c r="T29" s="7">
        <v>0.1</v>
      </c>
      <c r="U29" s="3"/>
      <c r="V29" s="13"/>
      <c r="W29" s="3"/>
      <c r="X29" s="166" t="b">
        <v>0</v>
      </c>
      <c r="Y29" s="7"/>
      <c r="Z29" s="13"/>
      <c r="AA29" s="7" t="b">
        <v>0</v>
      </c>
      <c r="AB29" s="7"/>
      <c r="AC29" s="257">
        <v>182.0</v>
      </c>
      <c r="AD29" s="166"/>
      <c r="AE29" s="258">
        <v>174.91666666666669</v>
      </c>
      <c r="AF29" s="7" t="b">
        <v>0</v>
      </c>
      <c r="AG29" s="7" t="b">
        <v>0</v>
      </c>
      <c r="AH29" s="166"/>
      <c r="AI29" s="13"/>
      <c r="AJ29" s="3"/>
      <c r="AK29" s="13" t="s">
        <v>228</v>
      </c>
      <c r="AL29" s="3"/>
      <c r="AM29" s="3" t="s">
        <v>343</v>
      </c>
      <c r="AN29" s="3" t="s">
        <v>344</v>
      </c>
      <c r="AO29" s="3" t="s">
        <v>482</v>
      </c>
      <c r="AP29" s="3" t="s">
        <v>482</v>
      </c>
      <c r="AQ29" s="3" t="s">
        <v>482</v>
      </c>
      <c r="AR29" s="3" t="s">
        <v>482</v>
      </c>
      <c r="AS29" s="98"/>
      <c r="AT29" s="98"/>
      <c r="AU29" s="98"/>
      <c r="AV29" s="98"/>
      <c r="AW29" s="98"/>
      <c r="AX29" s="98"/>
      <c r="AY29" s="98"/>
      <c r="AZ29" s="98"/>
    </row>
    <row r="30">
      <c r="A30" s="3" t="s">
        <v>346</v>
      </c>
      <c r="B30" s="36">
        <v>44683.0</v>
      </c>
      <c r="C30" s="91">
        <v>0.2382638888888889</v>
      </c>
      <c r="D30" s="13"/>
      <c r="E30" s="13"/>
      <c r="F30" s="3"/>
      <c r="G30" s="3"/>
      <c r="H30" s="3"/>
      <c r="I30" s="13"/>
      <c r="J30" s="13"/>
      <c r="K30" s="13" t="s">
        <v>228</v>
      </c>
      <c r="L30" s="36">
        <v>44683.0</v>
      </c>
      <c r="M30" s="91">
        <v>0.35782407407407407</v>
      </c>
      <c r="N30" s="3"/>
      <c r="O30" s="3"/>
      <c r="P30" s="7" t="b">
        <v>0</v>
      </c>
      <c r="Q30" s="7" t="s">
        <v>481</v>
      </c>
      <c r="R30" s="166" t="b">
        <v>0</v>
      </c>
      <c r="S30" s="166">
        <v>2.0</v>
      </c>
      <c r="T30" s="7"/>
      <c r="U30" s="3"/>
      <c r="V30" s="13"/>
      <c r="W30" s="3"/>
      <c r="X30" s="166" t="b">
        <v>0</v>
      </c>
      <c r="Y30" s="7"/>
      <c r="Z30" s="13"/>
      <c r="AA30" s="7" t="b">
        <v>0</v>
      </c>
      <c r="AB30" s="7"/>
      <c r="AC30" s="257">
        <v>184.0</v>
      </c>
      <c r="AD30" s="166"/>
      <c r="AE30" s="258">
        <v>172.16666666666666</v>
      </c>
      <c r="AF30" s="7" t="b">
        <v>0</v>
      </c>
      <c r="AG30" s="7" t="b">
        <v>0</v>
      </c>
      <c r="AH30" s="166"/>
      <c r="AI30" s="13"/>
      <c r="AJ30" s="3"/>
      <c r="AK30" s="13" t="s">
        <v>228</v>
      </c>
      <c r="AL30" s="3"/>
      <c r="AM30" s="3" t="s">
        <v>343</v>
      </c>
      <c r="AN30" s="3" t="s">
        <v>348</v>
      </c>
      <c r="AO30" s="3" t="s">
        <v>482</v>
      </c>
      <c r="AP30" s="3" t="s">
        <v>482</v>
      </c>
      <c r="AQ30" s="3" t="s">
        <v>482</v>
      </c>
      <c r="AR30" s="3" t="s">
        <v>482</v>
      </c>
      <c r="AS30" s="98"/>
      <c r="AT30" s="98"/>
      <c r="AU30" s="98"/>
      <c r="AV30" s="98"/>
      <c r="AW30" s="98"/>
      <c r="AX30" s="98"/>
      <c r="AY30" s="98"/>
      <c r="AZ30" s="98"/>
    </row>
    <row r="31">
      <c r="A31" s="3" t="s">
        <v>350</v>
      </c>
      <c r="B31" s="36">
        <v>44683.0</v>
      </c>
      <c r="C31" s="91">
        <v>0.2399074074074074</v>
      </c>
      <c r="D31" s="13"/>
      <c r="E31" s="13"/>
      <c r="F31" s="3"/>
      <c r="G31" s="3"/>
      <c r="H31" s="3"/>
      <c r="I31" s="13"/>
      <c r="J31" s="13"/>
      <c r="K31" s="13" t="s">
        <v>228</v>
      </c>
      <c r="L31" s="36">
        <v>44683.0</v>
      </c>
      <c r="M31" s="91">
        <v>0.35782407407407407</v>
      </c>
      <c r="N31" s="3"/>
      <c r="O31" s="3"/>
      <c r="P31" s="7" t="b">
        <v>0</v>
      </c>
      <c r="Q31" s="7" t="s">
        <v>481</v>
      </c>
      <c r="R31" s="166" t="b">
        <v>1</v>
      </c>
      <c r="S31" s="166">
        <v>2.0</v>
      </c>
      <c r="T31" s="7"/>
      <c r="U31" s="3"/>
      <c r="V31" s="13"/>
      <c r="W31" s="3"/>
      <c r="X31" s="166" t="b">
        <v>0</v>
      </c>
      <c r="Y31" s="7"/>
      <c r="Z31" s="13"/>
      <c r="AA31" s="7" t="b">
        <v>0</v>
      </c>
      <c r="AB31" s="7" t="b">
        <v>0</v>
      </c>
      <c r="AC31" s="257">
        <v>186.0</v>
      </c>
      <c r="AD31" s="166" t="b">
        <v>0</v>
      </c>
      <c r="AE31" s="258">
        <v>169.8</v>
      </c>
      <c r="AF31" s="7" t="b">
        <v>0</v>
      </c>
      <c r="AG31" s="7" t="b">
        <v>0</v>
      </c>
      <c r="AH31" s="166"/>
      <c r="AI31" s="13"/>
      <c r="AJ31" s="3"/>
      <c r="AK31" s="13" t="s">
        <v>228</v>
      </c>
      <c r="AL31" s="3" t="s">
        <v>351</v>
      </c>
      <c r="AM31" s="3" t="s">
        <v>343</v>
      </c>
      <c r="AN31" s="3" t="s">
        <v>352</v>
      </c>
      <c r="AO31" s="3" t="s">
        <v>482</v>
      </c>
      <c r="AP31" s="3" t="s">
        <v>482</v>
      </c>
      <c r="AQ31" s="3" t="s">
        <v>482</v>
      </c>
      <c r="AR31" s="3" t="s">
        <v>482</v>
      </c>
      <c r="AS31" s="98"/>
      <c r="AT31" s="98"/>
      <c r="AU31" s="98"/>
      <c r="AV31" s="98"/>
      <c r="AW31" s="98"/>
      <c r="AX31" s="98"/>
      <c r="AY31" s="98"/>
      <c r="AZ31" s="98"/>
    </row>
    <row r="32">
      <c r="A32" s="3" t="s">
        <v>356</v>
      </c>
      <c r="B32" s="36">
        <v>44683.0</v>
      </c>
      <c r="C32" s="91">
        <v>0.2581712962962963</v>
      </c>
      <c r="D32" s="13"/>
      <c r="E32" s="13"/>
      <c r="F32" s="3"/>
      <c r="G32" s="3"/>
      <c r="H32" s="3"/>
      <c r="I32" s="13"/>
      <c r="J32" s="13"/>
      <c r="K32" s="13" t="s">
        <v>228</v>
      </c>
      <c r="L32" s="36">
        <v>44683.0</v>
      </c>
      <c r="M32" s="91">
        <v>0.35782407407407407</v>
      </c>
      <c r="N32" s="3"/>
      <c r="O32" s="3"/>
      <c r="P32" s="7" t="b">
        <v>0</v>
      </c>
      <c r="Q32" s="7" t="s">
        <v>481</v>
      </c>
      <c r="R32" s="166" t="b">
        <v>1</v>
      </c>
      <c r="S32" s="166">
        <v>1.0</v>
      </c>
      <c r="T32" s="7"/>
      <c r="U32" s="3"/>
      <c r="V32" s="13"/>
      <c r="W32" s="3"/>
      <c r="X32" s="166" t="b">
        <v>0</v>
      </c>
      <c r="Y32" s="7"/>
      <c r="Z32" s="13"/>
      <c r="AA32" s="7" t="b">
        <v>0</v>
      </c>
      <c r="AB32" s="7"/>
      <c r="AC32" s="257">
        <v>188.0</v>
      </c>
      <c r="AD32" s="166"/>
      <c r="AE32" s="258">
        <v>143.49999999999997</v>
      </c>
      <c r="AF32" s="7" t="b">
        <v>0</v>
      </c>
      <c r="AG32" s="7" t="b">
        <v>0</v>
      </c>
      <c r="AH32" s="166"/>
      <c r="AI32" s="13"/>
      <c r="AJ32" s="3"/>
      <c r="AK32" s="13" t="s">
        <v>228</v>
      </c>
      <c r="AL32" s="3"/>
      <c r="AM32" s="3" t="s">
        <v>357</v>
      </c>
      <c r="AN32" s="3" t="s">
        <v>358</v>
      </c>
      <c r="AO32" s="3" t="s">
        <v>482</v>
      </c>
      <c r="AP32" s="3" t="s">
        <v>482</v>
      </c>
      <c r="AQ32" s="3" t="s">
        <v>482</v>
      </c>
      <c r="AR32" s="3" t="s">
        <v>482</v>
      </c>
      <c r="AS32" s="98"/>
      <c r="AT32" s="98"/>
      <c r="AU32" s="98"/>
      <c r="AV32" s="98"/>
      <c r="AW32" s="98"/>
      <c r="AX32" s="98"/>
      <c r="AY32" s="98"/>
      <c r="AZ32" s="98"/>
    </row>
    <row r="33">
      <c r="A33" s="3" t="s">
        <v>360</v>
      </c>
      <c r="B33" s="36">
        <v>44683.0</v>
      </c>
      <c r="C33" s="91">
        <v>0.27576388888888886</v>
      </c>
      <c r="D33" s="13"/>
      <c r="E33" s="13"/>
      <c r="F33" s="3"/>
      <c r="G33" s="3"/>
      <c r="H33" s="3"/>
      <c r="I33" s="13"/>
      <c r="J33" s="13"/>
      <c r="K33" s="13" t="s">
        <v>228</v>
      </c>
      <c r="L33" s="36">
        <v>44683.0</v>
      </c>
      <c r="M33" s="91">
        <v>0.35783564814814817</v>
      </c>
      <c r="N33" s="3"/>
      <c r="O33" s="3"/>
      <c r="P33" s="7" t="b">
        <v>0</v>
      </c>
      <c r="Q33" s="7" t="s">
        <v>481</v>
      </c>
      <c r="R33" s="166" t="b">
        <v>1</v>
      </c>
      <c r="S33" s="166">
        <v>1.0</v>
      </c>
      <c r="T33" s="7"/>
      <c r="U33" s="3"/>
      <c r="V33" s="13"/>
      <c r="W33" s="3"/>
      <c r="X33" s="166" t="b">
        <v>0</v>
      </c>
      <c r="Y33" s="7"/>
      <c r="Z33" s="13"/>
      <c r="AA33" s="7" t="b">
        <v>0</v>
      </c>
      <c r="AB33" s="7"/>
      <c r="AC33" s="257">
        <v>189.0</v>
      </c>
      <c r="AD33" s="166"/>
      <c r="AE33" s="258">
        <v>118.1833333333334</v>
      </c>
      <c r="AF33" s="7" t="b">
        <v>0</v>
      </c>
      <c r="AG33" s="7" t="b">
        <v>0</v>
      </c>
      <c r="AH33" s="166"/>
      <c r="AI33" s="13"/>
      <c r="AJ33" s="3"/>
      <c r="AK33" s="13" t="s">
        <v>228</v>
      </c>
      <c r="AL33" s="3"/>
      <c r="AM33" s="3" t="s">
        <v>361</v>
      </c>
      <c r="AN33" s="3" t="s">
        <v>362</v>
      </c>
      <c r="AO33" s="3" t="s">
        <v>482</v>
      </c>
      <c r="AP33" s="3" t="s">
        <v>482</v>
      </c>
      <c r="AQ33" s="3" t="s">
        <v>482</v>
      </c>
      <c r="AR33" s="3" t="s">
        <v>482</v>
      </c>
      <c r="AS33" s="98"/>
      <c r="AT33" s="98"/>
      <c r="AU33" s="98"/>
      <c r="AV33" s="98"/>
      <c r="AW33" s="98"/>
      <c r="AX33" s="98"/>
      <c r="AY33" s="98"/>
      <c r="AZ33" s="98"/>
    </row>
    <row r="34">
      <c r="A34" s="3" t="s">
        <v>364</v>
      </c>
      <c r="B34" s="36">
        <v>44683.0</v>
      </c>
      <c r="C34" s="91">
        <v>0.2781018518518519</v>
      </c>
      <c r="D34" s="13"/>
      <c r="E34" s="13"/>
      <c r="F34" s="3"/>
      <c r="G34" s="3"/>
      <c r="H34" s="3"/>
      <c r="I34" s="13"/>
      <c r="J34" s="13"/>
      <c r="K34" s="13" t="s">
        <v>228</v>
      </c>
      <c r="L34" s="36">
        <v>44683.0</v>
      </c>
      <c r="M34" s="91">
        <v>0.3578125</v>
      </c>
      <c r="N34" s="3"/>
      <c r="O34" s="3"/>
      <c r="P34" s="7" t="b">
        <v>0</v>
      </c>
      <c r="Q34" s="7" t="s">
        <v>481</v>
      </c>
      <c r="R34" s="166" t="b">
        <v>1</v>
      </c>
      <c r="S34" s="166">
        <v>1.0</v>
      </c>
      <c r="T34" s="7"/>
      <c r="U34" s="3"/>
      <c r="V34" s="13"/>
      <c r="W34" s="3"/>
      <c r="X34" s="166" t="b">
        <v>0</v>
      </c>
      <c r="Y34" s="7"/>
      <c r="Z34" s="13"/>
      <c r="AA34" s="7" t="b">
        <v>0</v>
      </c>
      <c r="AB34" s="7"/>
      <c r="AC34" s="257">
        <v>190.0</v>
      </c>
      <c r="AD34" s="166"/>
      <c r="AE34" s="258">
        <v>114.78333333333326</v>
      </c>
      <c r="AF34" s="7" t="b">
        <v>0</v>
      </c>
      <c r="AG34" s="7" t="b">
        <v>0</v>
      </c>
      <c r="AH34" s="166"/>
      <c r="AI34" s="13"/>
      <c r="AJ34" s="3"/>
      <c r="AK34" s="13" t="s">
        <v>228</v>
      </c>
      <c r="AL34" s="3"/>
      <c r="AM34" s="3" t="s">
        <v>365</v>
      </c>
      <c r="AN34" s="3" t="s">
        <v>339</v>
      </c>
      <c r="AO34" s="3" t="s">
        <v>482</v>
      </c>
      <c r="AP34" s="3" t="s">
        <v>482</v>
      </c>
      <c r="AQ34" s="3" t="s">
        <v>482</v>
      </c>
      <c r="AR34" s="3" t="s">
        <v>482</v>
      </c>
      <c r="AS34" s="98"/>
      <c r="AT34" s="98"/>
      <c r="AU34" s="98"/>
      <c r="AV34" s="98"/>
      <c r="AW34" s="98"/>
      <c r="AX34" s="98"/>
      <c r="AY34" s="98"/>
      <c r="AZ34" s="98"/>
    </row>
    <row r="35">
      <c r="A35" s="3" t="s">
        <v>367</v>
      </c>
      <c r="B35" s="36">
        <v>44683.0</v>
      </c>
      <c r="C35" s="91">
        <v>0.3842013888888889</v>
      </c>
      <c r="D35" s="13"/>
      <c r="E35" s="13"/>
      <c r="F35" s="3"/>
      <c r="G35" s="3"/>
      <c r="H35" s="3"/>
      <c r="I35" s="13"/>
      <c r="J35" s="13"/>
      <c r="K35" s="13" t="s">
        <v>228</v>
      </c>
      <c r="L35" s="36">
        <v>44683.0</v>
      </c>
      <c r="M35" s="91">
        <v>0.6373958333333334</v>
      </c>
      <c r="N35" s="3"/>
      <c r="O35" s="3"/>
      <c r="P35" s="7" t="b">
        <v>0</v>
      </c>
      <c r="Q35" s="7" t="s">
        <v>481</v>
      </c>
      <c r="R35" s="166" t="b">
        <v>1</v>
      </c>
      <c r="S35" s="166">
        <v>1.0</v>
      </c>
      <c r="T35" s="7"/>
      <c r="U35" s="3"/>
      <c r="V35" s="13"/>
      <c r="W35" s="3"/>
      <c r="X35" s="166" t="b">
        <v>0</v>
      </c>
      <c r="Y35" s="7"/>
      <c r="Z35" s="13"/>
      <c r="AA35" s="7" t="b">
        <v>0</v>
      </c>
      <c r="AB35" s="7"/>
      <c r="AC35" s="257">
        <v>191.0</v>
      </c>
      <c r="AD35" s="166"/>
      <c r="AE35" s="258">
        <v>364.6000000000001</v>
      </c>
      <c r="AF35" s="7" t="b">
        <v>0</v>
      </c>
      <c r="AG35" s="7" t="b">
        <v>0</v>
      </c>
      <c r="AH35" s="166"/>
      <c r="AI35" s="13"/>
      <c r="AJ35" s="3"/>
      <c r="AK35" s="13" t="s">
        <v>228</v>
      </c>
      <c r="AL35" s="3"/>
      <c r="AM35" s="3" t="s">
        <v>368</v>
      </c>
      <c r="AN35" s="3" t="s">
        <v>369</v>
      </c>
      <c r="AO35" s="3" t="s">
        <v>482</v>
      </c>
      <c r="AP35" s="3" t="s">
        <v>482</v>
      </c>
      <c r="AQ35" s="3" t="s">
        <v>482</v>
      </c>
      <c r="AR35" s="3" t="s">
        <v>482</v>
      </c>
      <c r="AS35" s="98"/>
      <c r="AT35" s="98"/>
      <c r="AU35" s="98"/>
      <c r="AV35" s="98"/>
      <c r="AW35" s="98"/>
      <c r="AX35" s="98"/>
      <c r="AY35" s="98"/>
      <c r="AZ35" s="98"/>
    </row>
    <row r="36">
      <c r="A36" s="3" t="s">
        <v>371</v>
      </c>
      <c r="B36" s="36">
        <v>44689.0</v>
      </c>
      <c r="C36" s="91">
        <v>0.8260300925925926</v>
      </c>
      <c r="D36" s="13"/>
      <c r="E36" s="13"/>
      <c r="F36" s="3"/>
      <c r="G36" s="3"/>
      <c r="H36" s="3"/>
      <c r="I36" s="13"/>
      <c r="J36" s="13"/>
      <c r="K36" s="13" t="s">
        <v>228</v>
      </c>
      <c r="L36" s="36">
        <v>44690.0</v>
      </c>
      <c r="M36" s="91">
        <v>0.3232291666666667</v>
      </c>
      <c r="N36" s="3"/>
      <c r="O36" s="3"/>
      <c r="P36" s="7" t="b">
        <v>0</v>
      </c>
      <c r="Q36" s="7" t="s">
        <v>481</v>
      </c>
      <c r="R36" s="166" t="b">
        <v>1</v>
      </c>
      <c r="S36" s="166">
        <v>4.0</v>
      </c>
      <c r="T36" s="7"/>
      <c r="U36" s="3"/>
      <c r="V36" s="13"/>
      <c r="W36" s="3"/>
      <c r="X36" s="166" t="b">
        <v>0</v>
      </c>
      <c r="Y36" s="7"/>
      <c r="Z36" s="13"/>
      <c r="AA36" s="7" t="b">
        <v>0</v>
      </c>
      <c r="AB36" s="7"/>
      <c r="AC36" s="257">
        <v>163.0</v>
      </c>
      <c r="AD36" s="166"/>
      <c r="AE36" s="258"/>
      <c r="AF36" s="7" t="b">
        <v>0</v>
      </c>
      <c r="AG36" s="7" t="b">
        <v>0</v>
      </c>
      <c r="AH36" s="166"/>
      <c r="AI36" s="13"/>
      <c r="AJ36" s="3"/>
      <c r="AK36" s="13" t="s">
        <v>228</v>
      </c>
      <c r="AL36" s="3"/>
      <c r="AM36" s="3" t="s">
        <v>372</v>
      </c>
      <c r="AN36" s="3" t="s">
        <v>373</v>
      </c>
      <c r="AO36" s="3" t="s">
        <v>482</v>
      </c>
      <c r="AP36" s="3" t="s">
        <v>482</v>
      </c>
      <c r="AQ36" s="3" t="s">
        <v>482</v>
      </c>
      <c r="AR36" s="3" t="s">
        <v>482</v>
      </c>
      <c r="AS36" s="98"/>
      <c r="AT36" s="98"/>
      <c r="AU36" s="98"/>
      <c r="AV36" s="98"/>
      <c r="AW36" s="98"/>
      <c r="AX36" s="98"/>
      <c r="AY36" s="98"/>
      <c r="AZ36" s="98"/>
    </row>
    <row r="37">
      <c r="A37" s="3" t="s">
        <v>371</v>
      </c>
      <c r="B37" s="36">
        <v>44689.0</v>
      </c>
      <c r="C37" s="91">
        <v>0.8260300925925926</v>
      </c>
      <c r="D37" s="13"/>
      <c r="E37" s="13"/>
      <c r="F37" s="3"/>
      <c r="G37" s="3"/>
      <c r="H37" s="3"/>
      <c r="I37" s="13"/>
      <c r="J37" s="13"/>
      <c r="K37" s="13" t="s">
        <v>228</v>
      </c>
      <c r="L37" s="36">
        <v>44690.0</v>
      </c>
      <c r="M37" s="91">
        <v>0.3232291666666667</v>
      </c>
      <c r="N37" s="3"/>
      <c r="O37" s="3"/>
      <c r="P37" s="7" t="b">
        <v>0</v>
      </c>
      <c r="Q37" s="7" t="s">
        <v>481</v>
      </c>
      <c r="R37" s="166" t="b">
        <v>0</v>
      </c>
      <c r="S37" s="166">
        <v>4.0</v>
      </c>
      <c r="T37" s="7"/>
      <c r="U37" s="3"/>
      <c r="V37" s="13"/>
      <c r="W37" s="3"/>
      <c r="X37" s="166" t="b">
        <v>0</v>
      </c>
      <c r="Y37" s="7"/>
      <c r="Z37" s="13"/>
      <c r="AA37" s="7" t="b">
        <v>0</v>
      </c>
      <c r="AB37" s="7"/>
      <c r="AC37" s="257">
        <v>164.0</v>
      </c>
      <c r="AD37" s="166"/>
      <c r="AE37" s="258"/>
      <c r="AF37" s="7" t="b">
        <v>0</v>
      </c>
      <c r="AG37" s="7" t="b">
        <v>0</v>
      </c>
      <c r="AH37" s="166"/>
      <c r="AI37" s="13"/>
      <c r="AJ37" s="3"/>
      <c r="AK37" s="13" t="s">
        <v>228</v>
      </c>
      <c r="AL37" s="3"/>
      <c r="AM37" s="3" t="s">
        <v>372</v>
      </c>
      <c r="AN37" s="3" t="s">
        <v>375</v>
      </c>
      <c r="AO37" s="3" t="s">
        <v>482</v>
      </c>
      <c r="AP37" s="3" t="s">
        <v>482</v>
      </c>
      <c r="AQ37" s="3" t="s">
        <v>482</v>
      </c>
      <c r="AR37" s="3" t="s">
        <v>482</v>
      </c>
      <c r="AS37" s="98"/>
      <c r="AT37" s="98"/>
      <c r="AU37" s="98"/>
      <c r="AV37" s="98"/>
      <c r="AW37" s="98"/>
      <c r="AX37" s="98"/>
      <c r="AY37" s="98"/>
      <c r="AZ37" s="98"/>
    </row>
    <row r="38">
      <c r="A38" s="3" t="s">
        <v>371</v>
      </c>
      <c r="B38" s="36">
        <v>44689.0</v>
      </c>
      <c r="C38" s="91">
        <v>0.8260300925925926</v>
      </c>
      <c r="D38" s="13"/>
      <c r="E38" s="13"/>
      <c r="F38" s="3"/>
      <c r="G38" s="3"/>
      <c r="H38" s="3"/>
      <c r="I38" s="13"/>
      <c r="J38" s="13"/>
      <c r="K38" s="13" t="s">
        <v>228</v>
      </c>
      <c r="L38" s="36">
        <v>44690.0</v>
      </c>
      <c r="M38" s="91">
        <v>0.3232291666666667</v>
      </c>
      <c r="N38" s="3"/>
      <c r="O38" s="3"/>
      <c r="P38" s="7" t="b">
        <v>0</v>
      </c>
      <c r="Q38" s="7" t="s">
        <v>481</v>
      </c>
      <c r="R38" s="166" t="b">
        <v>0</v>
      </c>
      <c r="S38" s="166">
        <v>4.0</v>
      </c>
      <c r="T38" s="7"/>
      <c r="U38" s="3"/>
      <c r="V38" s="13"/>
      <c r="W38" s="3"/>
      <c r="X38" s="166" t="b">
        <v>0</v>
      </c>
      <c r="Y38" s="7"/>
      <c r="Z38" s="13"/>
      <c r="AA38" s="7" t="b">
        <v>0</v>
      </c>
      <c r="AB38" s="7"/>
      <c r="AC38" s="257">
        <v>162.0</v>
      </c>
      <c r="AD38" s="166"/>
      <c r="AE38" s="258"/>
      <c r="AF38" s="7" t="b">
        <v>0</v>
      </c>
      <c r="AG38" s="7" t="b">
        <v>0</v>
      </c>
      <c r="AH38" s="166"/>
      <c r="AI38" s="13"/>
      <c r="AJ38" s="3"/>
      <c r="AK38" s="13" t="s">
        <v>228</v>
      </c>
      <c r="AL38" s="3"/>
      <c r="AM38" s="3" t="s">
        <v>372</v>
      </c>
      <c r="AN38" s="3" t="s">
        <v>376</v>
      </c>
      <c r="AO38" s="3" t="s">
        <v>482</v>
      </c>
      <c r="AP38" s="3" t="s">
        <v>482</v>
      </c>
      <c r="AQ38" s="3" t="s">
        <v>482</v>
      </c>
      <c r="AR38" s="3" t="s">
        <v>482</v>
      </c>
      <c r="AS38" s="98"/>
      <c r="AT38" s="98"/>
      <c r="AU38" s="98"/>
      <c r="AV38" s="98"/>
      <c r="AW38" s="98"/>
      <c r="AX38" s="98"/>
      <c r="AY38" s="98"/>
      <c r="AZ38" s="98"/>
    </row>
    <row r="39">
      <c r="A39" s="3" t="s">
        <v>371</v>
      </c>
      <c r="B39" s="36">
        <v>44689.0</v>
      </c>
      <c r="C39" s="91">
        <v>0.8260300925925926</v>
      </c>
      <c r="D39" s="13"/>
      <c r="E39" s="13"/>
      <c r="F39" s="3"/>
      <c r="G39" s="3"/>
      <c r="H39" s="3"/>
      <c r="I39" s="13"/>
      <c r="J39" s="13"/>
      <c r="K39" s="13" t="s">
        <v>228</v>
      </c>
      <c r="L39" s="36">
        <v>44690.0</v>
      </c>
      <c r="M39" s="91">
        <v>0.3232291666666667</v>
      </c>
      <c r="N39" s="3"/>
      <c r="O39" s="3"/>
      <c r="P39" s="7" t="b">
        <v>0</v>
      </c>
      <c r="Q39" s="7" t="s">
        <v>481</v>
      </c>
      <c r="R39" s="166" t="b">
        <v>0</v>
      </c>
      <c r="S39" s="166">
        <v>4.0</v>
      </c>
      <c r="T39" s="7"/>
      <c r="U39" s="3"/>
      <c r="V39" s="13"/>
      <c r="W39" s="3"/>
      <c r="X39" s="166" t="b">
        <v>0</v>
      </c>
      <c r="Y39" s="7"/>
      <c r="Z39" s="13"/>
      <c r="AA39" s="7" t="b">
        <v>0</v>
      </c>
      <c r="AB39" s="7"/>
      <c r="AC39" s="257">
        <v>165.0</v>
      </c>
      <c r="AD39" s="166"/>
      <c r="AE39" s="258"/>
      <c r="AF39" s="7" t="b">
        <v>0</v>
      </c>
      <c r="AG39" s="7" t="b">
        <v>0</v>
      </c>
      <c r="AH39" s="166"/>
      <c r="AI39" s="13"/>
      <c r="AJ39" s="3"/>
      <c r="AK39" s="13" t="s">
        <v>228</v>
      </c>
      <c r="AL39" s="3"/>
      <c r="AM39" s="3" t="s">
        <v>372</v>
      </c>
      <c r="AN39" s="3" t="s">
        <v>377</v>
      </c>
      <c r="AO39" s="3" t="s">
        <v>482</v>
      </c>
      <c r="AP39" s="3" t="s">
        <v>482</v>
      </c>
      <c r="AQ39" s="3" t="s">
        <v>482</v>
      </c>
      <c r="AR39" s="3" t="s">
        <v>482</v>
      </c>
      <c r="AS39" s="98"/>
      <c r="AT39" s="98"/>
      <c r="AU39" s="98"/>
      <c r="AV39" s="98"/>
      <c r="AW39" s="98"/>
      <c r="AX39" s="98"/>
      <c r="AY39" s="98"/>
      <c r="AZ39" s="98"/>
    </row>
    <row r="40">
      <c r="A40" s="3" t="s">
        <v>378</v>
      </c>
      <c r="B40" s="36">
        <v>44690.0</v>
      </c>
      <c r="C40" s="91">
        <v>0.17002314814814815</v>
      </c>
      <c r="D40" s="13"/>
      <c r="E40" s="13"/>
      <c r="F40" s="3"/>
      <c r="G40" s="3"/>
      <c r="H40" s="3"/>
      <c r="I40" s="13"/>
      <c r="J40" s="13"/>
      <c r="K40" s="13" t="s">
        <v>228</v>
      </c>
      <c r="L40" s="36">
        <v>44690.0</v>
      </c>
      <c r="M40" s="91">
        <v>0.3232291666666667</v>
      </c>
      <c r="N40" s="3"/>
      <c r="O40" s="3"/>
      <c r="P40" s="7" t="b">
        <v>0</v>
      </c>
      <c r="Q40" s="7" t="s">
        <v>481</v>
      </c>
      <c r="R40" s="166" t="b">
        <v>1</v>
      </c>
      <c r="S40" s="166">
        <v>4.0</v>
      </c>
      <c r="T40" s="7"/>
      <c r="U40" s="3"/>
      <c r="V40" s="13"/>
      <c r="W40" s="3"/>
      <c r="X40" s="166" t="b">
        <v>0</v>
      </c>
      <c r="Y40" s="7"/>
      <c r="Z40" s="13"/>
      <c r="AA40" s="7" t="b">
        <v>0</v>
      </c>
      <c r="AB40" s="7"/>
      <c r="AC40" s="257">
        <v>149.0</v>
      </c>
      <c r="AD40" s="166"/>
      <c r="AE40" s="258">
        <v>220.61666666666667</v>
      </c>
      <c r="AF40" s="7" t="b">
        <v>0</v>
      </c>
      <c r="AG40" s="7" t="b">
        <v>0</v>
      </c>
      <c r="AH40" s="166"/>
      <c r="AI40" s="13"/>
      <c r="AJ40" s="3"/>
      <c r="AK40" s="13" t="s">
        <v>228</v>
      </c>
      <c r="AL40" s="3"/>
      <c r="AM40" s="3" t="s">
        <v>274</v>
      </c>
      <c r="AN40" s="3" t="s">
        <v>279</v>
      </c>
      <c r="AO40" s="3" t="s">
        <v>482</v>
      </c>
      <c r="AP40" s="3" t="s">
        <v>482</v>
      </c>
      <c r="AQ40" s="3" t="s">
        <v>482</v>
      </c>
      <c r="AR40" s="3" t="s">
        <v>482</v>
      </c>
      <c r="AS40" s="98"/>
      <c r="AT40" s="98"/>
      <c r="AU40" s="98"/>
      <c r="AV40" s="98"/>
      <c r="AW40" s="98"/>
      <c r="AX40" s="98"/>
      <c r="AY40" s="98"/>
      <c r="AZ40" s="98"/>
    </row>
    <row r="41">
      <c r="A41" s="3" t="s">
        <v>378</v>
      </c>
      <c r="B41" s="36">
        <v>44690.0</v>
      </c>
      <c r="C41" s="91">
        <v>0.17002314814814815</v>
      </c>
      <c r="D41" s="13"/>
      <c r="E41" s="13"/>
      <c r="F41" s="3"/>
      <c r="G41" s="3"/>
      <c r="H41" s="3"/>
      <c r="I41" s="13"/>
      <c r="J41" s="13"/>
      <c r="K41" s="13" t="s">
        <v>228</v>
      </c>
      <c r="L41" s="36">
        <v>44690.0</v>
      </c>
      <c r="M41" s="91">
        <v>0.3232291666666667</v>
      </c>
      <c r="N41" s="3"/>
      <c r="O41" s="3"/>
      <c r="P41" s="7" t="b">
        <v>0</v>
      </c>
      <c r="Q41" s="7" t="s">
        <v>481</v>
      </c>
      <c r="R41" s="166" t="b">
        <v>0</v>
      </c>
      <c r="S41" s="166">
        <v>4.0</v>
      </c>
      <c r="T41" s="7"/>
      <c r="U41" s="3"/>
      <c r="V41" s="13"/>
      <c r="W41" s="3"/>
      <c r="X41" s="166" t="b">
        <v>0</v>
      </c>
      <c r="Y41" s="7"/>
      <c r="Z41" s="13"/>
      <c r="AA41" s="7" t="b">
        <v>0</v>
      </c>
      <c r="AB41" s="7"/>
      <c r="AC41" s="257">
        <v>151.0</v>
      </c>
      <c r="AD41" s="166"/>
      <c r="AE41" s="258">
        <v>220.61666666666667</v>
      </c>
      <c r="AF41" s="7" t="b">
        <v>0</v>
      </c>
      <c r="AG41" s="7" t="b">
        <v>0</v>
      </c>
      <c r="AH41" s="166"/>
      <c r="AI41" s="13"/>
      <c r="AJ41" s="3"/>
      <c r="AK41" s="13" t="s">
        <v>228</v>
      </c>
      <c r="AL41" s="3"/>
      <c r="AM41" s="3" t="s">
        <v>274</v>
      </c>
      <c r="AN41" s="3" t="s">
        <v>281</v>
      </c>
      <c r="AO41" s="3" t="s">
        <v>482</v>
      </c>
      <c r="AP41" s="3" t="s">
        <v>482</v>
      </c>
      <c r="AQ41" s="3" t="s">
        <v>482</v>
      </c>
      <c r="AR41" s="3" t="s">
        <v>482</v>
      </c>
      <c r="AS41" s="98"/>
      <c r="AT41" s="98"/>
      <c r="AU41" s="98"/>
      <c r="AV41" s="98"/>
      <c r="AW41" s="98"/>
      <c r="AX41" s="98"/>
      <c r="AY41" s="98"/>
      <c r="AZ41" s="98"/>
    </row>
    <row r="42">
      <c r="A42" s="3" t="s">
        <v>378</v>
      </c>
      <c r="B42" s="36">
        <v>44690.0</v>
      </c>
      <c r="C42" s="91">
        <v>0.17002314814814815</v>
      </c>
      <c r="D42" s="13"/>
      <c r="E42" s="13"/>
      <c r="F42" s="3"/>
      <c r="G42" s="3"/>
      <c r="H42" s="3"/>
      <c r="I42" s="13"/>
      <c r="J42" s="13"/>
      <c r="K42" s="13" t="s">
        <v>228</v>
      </c>
      <c r="L42" s="36">
        <v>44690.0</v>
      </c>
      <c r="M42" s="91">
        <v>0.3232291666666667</v>
      </c>
      <c r="N42" s="3"/>
      <c r="O42" s="3"/>
      <c r="P42" s="7" t="b">
        <v>0</v>
      </c>
      <c r="Q42" s="7" t="s">
        <v>481</v>
      </c>
      <c r="R42" s="166" t="b">
        <v>0</v>
      </c>
      <c r="S42" s="166">
        <v>4.0</v>
      </c>
      <c r="T42" s="7"/>
      <c r="U42" s="3"/>
      <c r="V42" s="13"/>
      <c r="W42" s="3"/>
      <c r="X42" s="166" t="b">
        <v>0</v>
      </c>
      <c r="Y42" s="7"/>
      <c r="Z42" s="13"/>
      <c r="AA42" s="7" t="b">
        <v>0</v>
      </c>
      <c r="AB42" s="7"/>
      <c r="AC42" s="257">
        <v>148.0</v>
      </c>
      <c r="AD42" s="166"/>
      <c r="AE42" s="258">
        <v>220.61666666666667</v>
      </c>
      <c r="AF42" s="7" t="b">
        <v>0</v>
      </c>
      <c r="AG42" s="7" t="b">
        <v>0</v>
      </c>
      <c r="AH42" s="166"/>
      <c r="AI42" s="13"/>
      <c r="AJ42" s="3"/>
      <c r="AK42" s="13" t="s">
        <v>228</v>
      </c>
      <c r="AL42" s="3"/>
      <c r="AM42" s="3" t="s">
        <v>274</v>
      </c>
      <c r="AN42" s="3" t="s">
        <v>275</v>
      </c>
      <c r="AO42" s="3" t="s">
        <v>482</v>
      </c>
      <c r="AP42" s="3" t="s">
        <v>482</v>
      </c>
      <c r="AQ42" s="3" t="s">
        <v>482</v>
      </c>
      <c r="AR42" s="3" t="s">
        <v>482</v>
      </c>
      <c r="AS42" s="98"/>
      <c r="AT42" s="98"/>
      <c r="AU42" s="98"/>
      <c r="AV42" s="98"/>
      <c r="AW42" s="98"/>
      <c r="AX42" s="98"/>
      <c r="AY42" s="98"/>
      <c r="AZ42" s="98"/>
    </row>
    <row r="43">
      <c r="A43" s="3" t="s">
        <v>378</v>
      </c>
      <c r="B43" s="36">
        <v>44690.0</v>
      </c>
      <c r="C43" s="91">
        <v>0.17002314814814815</v>
      </c>
      <c r="D43" s="13"/>
      <c r="E43" s="13"/>
      <c r="F43" s="3"/>
      <c r="G43" s="3"/>
      <c r="H43" s="3"/>
      <c r="I43" s="13"/>
      <c r="J43" s="13"/>
      <c r="K43" s="13" t="s">
        <v>228</v>
      </c>
      <c r="L43" s="36">
        <v>44690.0</v>
      </c>
      <c r="M43" s="91">
        <v>0.3232291666666667</v>
      </c>
      <c r="N43" s="3"/>
      <c r="O43" s="3"/>
      <c r="P43" s="7" t="b">
        <v>0</v>
      </c>
      <c r="Q43" s="7" t="s">
        <v>481</v>
      </c>
      <c r="R43" s="166" t="b">
        <v>0</v>
      </c>
      <c r="S43" s="166">
        <v>4.0</v>
      </c>
      <c r="T43" s="7"/>
      <c r="U43" s="3"/>
      <c r="V43" s="13"/>
      <c r="W43" s="3"/>
      <c r="X43" s="166" t="b">
        <v>0</v>
      </c>
      <c r="Y43" s="7"/>
      <c r="Z43" s="13"/>
      <c r="AA43" s="7" t="b">
        <v>0</v>
      </c>
      <c r="AB43" s="7"/>
      <c r="AC43" s="257">
        <v>150.0</v>
      </c>
      <c r="AD43" s="166"/>
      <c r="AE43" s="258">
        <v>220.61666666666667</v>
      </c>
      <c r="AF43" s="7" t="b">
        <v>0</v>
      </c>
      <c r="AG43" s="7" t="b">
        <v>0</v>
      </c>
      <c r="AH43" s="166"/>
      <c r="AI43" s="13"/>
      <c r="AJ43" s="3"/>
      <c r="AK43" s="13" t="s">
        <v>228</v>
      </c>
      <c r="AL43" s="3"/>
      <c r="AM43" s="3" t="s">
        <v>274</v>
      </c>
      <c r="AN43" s="3" t="s">
        <v>277</v>
      </c>
      <c r="AO43" s="3" t="s">
        <v>482</v>
      </c>
      <c r="AP43" s="3" t="s">
        <v>482</v>
      </c>
      <c r="AQ43" s="3" t="s">
        <v>482</v>
      </c>
      <c r="AR43" s="3" t="s">
        <v>482</v>
      </c>
      <c r="AS43" s="98"/>
      <c r="AT43" s="98"/>
      <c r="AU43" s="98"/>
      <c r="AV43" s="98"/>
      <c r="AW43" s="98"/>
      <c r="AX43" s="98"/>
      <c r="AY43" s="98"/>
      <c r="AZ43" s="98"/>
    </row>
    <row r="44">
      <c r="A44" s="3" t="s">
        <v>379</v>
      </c>
      <c r="B44" s="36">
        <v>44690.0</v>
      </c>
      <c r="C44" s="91">
        <v>0.1787037037037037</v>
      </c>
      <c r="D44" s="13"/>
      <c r="E44" s="13"/>
      <c r="F44" s="3"/>
      <c r="G44" s="3"/>
      <c r="H44" s="3"/>
      <c r="I44" s="13"/>
      <c r="J44" s="13"/>
      <c r="K44" s="13" t="s">
        <v>228</v>
      </c>
      <c r="L44" s="36">
        <v>44690.0</v>
      </c>
      <c r="M44" s="91">
        <v>0.3232407407407407</v>
      </c>
      <c r="N44" s="3"/>
      <c r="O44" s="3"/>
      <c r="P44" s="7" t="b">
        <v>0</v>
      </c>
      <c r="Q44" s="7" t="s">
        <v>481</v>
      </c>
      <c r="R44" s="166" t="b">
        <v>1</v>
      </c>
      <c r="S44" s="166">
        <v>3.0</v>
      </c>
      <c r="T44" s="7"/>
      <c r="U44" s="3"/>
      <c r="V44" s="13"/>
      <c r="W44" s="3"/>
      <c r="X44" s="166" t="b">
        <v>0</v>
      </c>
      <c r="Y44" s="7"/>
      <c r="Z44" s="13"/>
      <c r="AA44" s="7" t="b">
        <v>0</v>
      </c>
      <c r="AB44" s="7"/>
      <c r="AC44" s="257">
        <v>153.0</v>
      </c>
      <c r="AD44" s="166"/>
      <c r="AE44" s="258">
        <v>208.1333333333333</v>
      </c>
      <c r="AF44" s="7" t="b">
        <v>0</v>
      </c>
      <c r="AG44" s="7" t="b">
        <v>0</v>
      </c>
      <c r="AH44" s="166"/>
      <c r="AI44" s="13"/>
      <c r="AJ44" s="3"/>
      <c r="AK44" s="13" t="s">
        <v>228</v>
      </c>
      <c r="AL44" s="3"/>
      <c r="AM44" s="3" t="s">
        <v>332</v>
      </c>
      <c r="AN44" s="3" t="s">
        <v>337</v>
      </c>
      <c r="AO44" s="3" t="s">
        <v>482</v>
      </c>
      <c r="AP44" s="3" t="s">
        <v>482</v>
      </c>
      <c r="AQ44" s="3" t="s">
        <v>482</v>
      </c>
      <c r="AR44" s="3" t="s">
        <v>482</v>
      </c>
      <c r="AS44" s="98"/>
      <c r="AT44" s="98"/>
      <c r="AU44" s="98"/>
      <c r="AV44" s="98"/>
      <c r="AW44" s="98"/>
      <c r="AX44" s="98"/>
      <c r="AY44" s="98"/>
      <c r="AZ44" s="98"/>
    </row>
    <row r="45">
      <c r="A45" s="3" t="s">
        <v>379</v>
      </c>
      <c r="B45" s="36">
        <v>44690.0</v>
      </c>
      <c r="C45" s="91">
        <v>0.1787037037037037</v>
      </c>
      <c r="D45" s="13"/>
      <c r="E45" s="13"/>
      <c r="F45" s="3"/>
      <c r="G45" s="3"/>
      <c r="H45" s="3"/>
      <c r="I45" s="13"/>
      <c r="J45" s="13"/>
      <c r="K45" s="13" t="s">
        <v>228</v>
      </c>
      <c r="L45" s="36">
        <v>44690.0</v>
      </c>
      <c r="M45" s="91">
        <v>0.3232407407407407</v>
      </c>
      <c r="N45" s="3"/>
      <c r="O45" s="3"/>
      <c r="P45" s="7" t="b">
        <v>0</v>
      </c>
      <c r="Q45" s="7" t="s">
        <v>481</v>
      </c>
      <c r="R45" s="166" t="b">
        <v>0</v>
      </c>
      <c r="S45" s="166">
        <v>3.0</v>
      </c>
      <c r="T45" s="7"/>
      <c r="U45" s="3"/>
      <c r="V45" s="13"/>
      <c r="W45" s="3"/>
      <c r="X45" s="166" t="b">
        <v>0</v>
      </c>
      <c r="Y45" s="7"/>
      <c r="Z45" s="13"/>
      <c r="AA45" s="7" t="b">
        <v>0</v>
      </c>
      <c r="AB45" s="7"/>
      <c r="AC45" s="257">
        <v>154.0</v>
      </c>
      <c r="AD45" s="166"/>
      <c r="AE45" s="258">
        <v>208.1333333333333</v>
      </c>
      <c r="AF45" s="7" t="b">
        <v>0</v>
      </c>
      <c r="AG45" s="7" t="b">
        <v>0</v>
      </c>
      <c r="AH45" s="166"/>
      <c r="AI45" s="13"/>
      <c r="AJ45" s="3"/>
      <c r="AK45" s="13" t="s">
        <v>228</v>
      </c>
      <c r="AL45" s="3"/>
      <c r="AM45" s="3" t="s">
        <v>332</v>
      </c>
      <c r="AN45" s="3" t="s">
        <v>335</v>
      </c>
      <c r="AO45" s="3" t="s">
        <v>482</v>
      </c>
      <c r="AP45" s="3" t="s">
        <v>482</v>
      </c>
      <c r="AQ45" s="3" t="s">
        <v>482</v>
      </c>
      <c r="AR45" s="3" t="s">
        <v>482</v>
      </c>
      <c r="AS45" s="98"/>
      <c r="AT45" s="98"/>
      <c r="AU45" s="98"/>
      <c r="AV45" s="98"/>
      <c r="AW45" s="98"/>
      <c r="AX45" s="98"/>
      <c r="AY45" s="98"/>
      <c r="AZ45" s="98"/>
    </row>
    <row r="46">
      <c r="A46" s="3" t="s">
        <v>379</v>
      </c>
      <c r="B46" s="36">
        <v>44690.0</v>
      </c>
      <c r="C46" s="91">
        <v>0.1787037037037037</v>
      </c>
      <c r="D46" s="13"/>
      <c r="E46" s="13"/>
      <c r="F46" s="3"/>
      <c r="G46" s="3"/>
      <c r="H46" s="3"/>
      <c r="I46" s="13"/>
      <c r="J46" s="13"/>
      <c r="K46" s="13" t="s">
        <v>228</v>
      </c>
      <c r="L46" s="36">
        <v>44690.0</v>
      </c>
      <c r="M46" s="91">
        <v>0.3232407407407407</v>
      </c>
      <c r="N46" s="3"/>
      <c r="O46" s="3"/>
      <c r="P46" s="7" t="b">
        <v>0</v>
      </c>
      <c r="Q46" s="7" t="s">
        <v>481</v>
      </c>
      <c r="R46" s="166" t="b">
        <v>0</v>
      </c>
      <c r="S46" s="166">
        <v>3.0</v>
      </c>
      <c r="T46" s="7"/>
      <c r="U46" s="3"/>
      <c r="V46" s="13"/>
      <c r="W46" s="3"/>
      <c r="X46" s="166" t="b">
        <v>0</v>
      </c>
      <c r="Y46" s="7"/>
      <c r="Z46" s="13"/>
      <c r="AA46" s="7" t="b">
        <v>0</v>
      </c>
      <c r="AB46" s="7"/>
      <c r="AC46" s="257">
        <v>152.0</v>
      </c>
      <c r="AD46" s="166"/>
      <c r="AE46" s="258">
        <v>208.1333333333333</v>
      </c>
      <c r="AF46" s="7" t="b">
        <v>0</v>
      </c>
      <c r="AG46" s="7" t="b">
        <v>0</v>
      </c>
      <c r="AH46" s="166"/>
      <c r="AI46" s="13"/>
      <c r="AJ46" s="3"/>
      <c r="AK46" s="13" t="s">
        <v>228</v>
      </c>
      <c r="AL46" s="3"/>
      <c r="AM46" s="3" t="s">
        <v>332</v>
      </c>
      <c r="AN46" s="3" t="s">
        <v>339</v>
      </c>
      <c r="AO46" s="3" t="s">
        <v>482</v>
      </c>
      <c r="AP46" s="3" t="s">
        <v>482</v>
      </c>
      <c r="AQ46" s="3" t="s">
        <v>482</v>
      </c>
      <c r="AR46" s="3" t="s">
        <v>482</v>
      </c>
      <c r="AS46" s="98"/>
      <c r="AT46" s="98"/>
      <c r="AU46" s="98"/>
      <c r="AV46" s="98"/>
      <c r="AW46" s="98"/>
      <c r="AX46" s="98"/>
      <c r="AY46" s="98"/>
      <c r="AZ46" s="98"/>
    </row>
    <row r="47">
      <c r="A47" s="3" t="s">
        <v>380</v>
      </c>
      <c r="B47" s="36">
        <v>44690.0</v>
      </c>
      <c r="C47" s="91">
        <v>0.2029050925925926</v>
      </c>
      <c r="D47" s="13"/>
      <c r="E47" s="13"/>
      <c r="F47" s="3"/>
      <c r="G47" s="3"/>
      <c r="H47" s="3"/>
      <c r="I47" s="13"/>
      <c r="J47" s="13"/>
      <c r="K47" s="13" t="s">
        <v>228</v>
      </c>
      <c r="L47" s="36">
        <v>44690.0</v>
      </c>
      <c r="M47" s="91">
        <v>0.3232407407407407</v>
      </c>
      <c r="N47" s="3"/>
      <c r="O47" s="3"/>
      <c r="P47" s="7" t="b">
        <v>0</v>
      </c>
      <c r="Q47" s="7" t="s">
        <v>481</v>
      </c>
      <c r="R47" s="166" t="b">
        <v>1</v>
      </c>
      <c r="S47" s="166">
        <v>3.0</v>
      </c>
      <c r="T47" s="7"/>
      <c r="U47" s="3"/>
      <c r="V47" s="13"/>
      <c r="W47" s="3"/>
      <c r="X47" s="166" t="b">
        <v>0</v>
      </c>
      <c r="Y47" s="7"/>
      <c r="Z47" s="13"/>
      <c r="AA47" s="7" t="b">
        <v>0</v>
      </c>
      <c r="AB47" s="7"/>
      <c r="AC47" s="257">
        <v>155.0</v>
      </c>
      <c r="AD47" s="166"/>
      <c r="AE47" s="258">
        <v>173.2833333333333</v>
      </c>
      <c r="AF47" s="7" t="b">
        <v>0</v>
      </c>
      <c r="AG47" s="7" t="b">
        <v>0</v>
      </c>
      <c r="AH47" s="166"/>
      <c r="AI47" s="13"/>
      <c r="AJ47" s="3"/>
      <c r="AK47" s="13" t="s">
        <v>228</v>
      </c>
      <c r="AL47" s="3"/>
      <c r="AM47" s="3" t="s">
        <v>322</v>
      </c>
      <c r="AN47" s="3" t="s">
        <v>323</v>
      </c>
      <c r="AO47" s="3" t="s">
        <v>482</v>
      </c>
      <c r="AP47" s="3" t="s">
        <v>482</v>
      </c>
      <c r="AQ47" s="3" t="s">
        <v>482</v>
      </c>
      <c r="AR47" s="3" t="s">
        <v>482</v>
      </c>
      <c r="AS47" s="98"/>
      <c r="AT47" s="98"/>
      <c r="AU47" s="98"/>
      <c r="AV47" s="98"/>
      <c r="AW47" s="98"/>
      <c r="AX47" s="98"/>
      <c r="AY47" s="98"/>
      <c r="AZ47" s="98"/>
    </row>
    <row r="48">
      <c r="A48" s="3" t="s">
        <v>380</v>
      </c>
      <c r="B48" s="36">
        <v>44690.0</v>
      </c>
      <c r="C48" s="91">
        <v>0.2029050925925926</v>
      </c>
      <c r="D48" s="13"/>
      <c r="E48" s="13"/>
      <c r="F48" s="3"/>
      <c r="G48" s="3"/>
      <c r="H48" s="3"/>
      <c r="I48" s="13"/>
      <c r="J48" s="13"/>
      <c r="K48" s="13" t="s">
        <v>228</v>
      </c>
      <c r="L48" s="36">
        <v>44690.0</v>
      </c>
      <c r="M48" s="91">
        <v>0.3232407407407407</v>
      </c>
      <c r="N48" s="3"/>
      <c r="O48" s="3"/>
      <c r="P48" s="7" t="b">
        <v>0</v>
      </c>
      <c r="Q48" s="7" t="s">
        <v>481</v>
      </c>
      <c r="R48" s="166" t="b">
        <v>0</v>
      </c>
      <c r="S48" s="166">
        <v>3.0</v>
      </c>
      <c r="T48" s="7"/>
      <c r="U48" s="3"/>
      <c r="V48" s="13"/>
      <c r="W48" s="3"/>
      <c r="X48" s="166" t="b">
        <v>0</v>
      </c>
      <c r="Y48" s="7"/>
      <c r="Z48" s="13"/>
      <c r="AA48" s="7" t="b">
        <v>0</v>
      </c>
      <c r="AB48" s="7"/>
      <c r="AC48" s="257">
        <v>156.0</v>
      </c>
      <c r="AD48" s="166"/>
      <c r="AE48" s="258">
        <v>173.2833333333333</v>
      </c>
      <c r="AF48" s="7" t="b">
        <v>0</v>
      </c>
      <c r="AG48" s="7" t="b">
        <v>0</v>
      </c>
      <c r="AH48" s="166"/>
      <c r="AI48" s="13"/>
      <c r="AJ48" s="3"/>
      <c r="AK48" s="13" t="s">
        <v>228</v>
      </c>
      <c r="AL48" s="3"/>
      <c r="AM48" s="3" t="s">
        <v>322</v>
      </c>
      <c r="AN48" s="3" t="s">
        <v>325</v>
      </c>
      <c r="AO48" s="3" t="s">
        <v>482</v>
      </c>
      <c r="AP48" s="3" t="s">
        <v>482</v>
      </c>
      <c r="AQ48" s="3" t="s">
        <v>482</v>
      </c>
      <c r="AR48" s="3" t="s">
        <v>482</v>
      </c>
      <c r="AS48" s="98"/>
      <c r="AT48" s="98"/>
      <c r="AU48" s="98"/>
      <c r="AV48" s="98"/>
      <c r="AW48" s="98"/>
      <c r="AX48" s="98"/>
      <c r="AY48" s="98"/>
      <c r="AZ48" s="98"/>
    </row>
    <row r="49">
      <c r="A49" s="3" t="s">
        <v>380</v>
      </c>
      <c r="B49" s="36">
        <v>44690.0</v>
      </c>
      <c r="C49" s="91">
        <v>0.2029050925925926</v>
      </c>
      <c r="D49" s="13"/>
      <c r="E49" s="13"/>
      <c r="F49" s="3"/>
      <c r="G49" s="3"/>
      <c r="H49" s="3"/>
      <c r="I49" s="13"/>
      <c r="J49" s="13"/>
      <c r="K49" s="13" t="s">
        <v>228</v>
      </c>
      <c r="L49" s="36">
        <v>44690.0</v>
      </c>
      <c r="M49" s="91">
        <v>0.3232407407407407</v>
      </c>
      <c r="N49" s="3"/>
      <c r="O49" s="3"/>
      <c r="P49" s="7" t="b">
        <v>0</v>
      </c>
      <c r="Q49" s="7" t="s">
        <v>481</v>
      </c>
      <c r="R49" s="166" t="b">
        <v>0</v>
      </c>
      <c r="S49" s="166">
        <v>3.0</v>
      </c>
      <c r="T49" s="7"/>
      <c r="U49" s="3"/>
      <c r="V49" s="13"/>
      <c r="W49" s="3"/>
      <c r="X49" s="166" t="b">
        <v>0</v>
      </c>
      <c r="Y49" s="7"/>
      <c r="Z49" s="13"/>
      <c r="AA49" s="7" t="b">
        <v>0</v>
      </c>
      <c r="AB49" s="7"/>
      <c r="AC49" s="257">
        <v>157.0</v>
      </c>
      <c r="AD49" s="166"/>
      <c r="AE49" s="258">
        <v>173.2833333333333</v>
      </c>
      <c r="AF49" s="7" t="b">
        <v>0</v>
      </c>
      <c r="AG49" s="7" t="b">
        <v>0</v>
      </c>
      <c r="AH49" s="166"/>
      <c r="AI49" s="13"/>
      <c r="AJ49" s="3"/>
      <c r="AK49" s="13" t="s">
        <v>228</v>
      </c>
      <c r="AL49" s="3"/>
      <c r="AM49" s="3" t="s">
        <v>322</v>
      </c>
      <c r="AN49" s="3" t="s">
        <v>329</v>
      </c>
      <c r="AO49" s="3" t="s">
        <v>482</v>
      </c>
      <c r="AP49" s="3" t="s">
        <v>482</v>
      </c>
      <c r="AQ49" s="3" t="s">
        <v>482</v>
      </c>
      <c r="AR49" s="3" t="s">
        <v>482</v>
      </c>
      <c r="AS49" s="98"/>
      <c r="AT49" s="98"/>
      <c r="AU49" s="98"/>
      <c r="AV49" s="98"/>
      <c r="AW49" s="98"/>
      <c r="AX49" s="98"/>
      <c r="AY49" s="98"/>
      <c r="AZ49" s="98"/>
    </row>
    <row r="50">
      <c r="A50" s="3" t="s">
        <v>381</v>
      </c>
      <c r="B50" s="36">
        <v>44690.0</v>
      </c>
      <c r="C50" s="91">
        <v>0.2135300925925926</v>
      </c>
      <c r="D50" s="13"/>
      <c r="E50" s="13"/>
      <c r="F50" s="3"/>
      <c r="G50" s="3"/>
      <c r="H50" s="3"/>
      <c r="I50" s="13"/>
      <c r="J50" s="13"/>
      <c r="K50" s="13" t="s">
        <v>228</v>
      </c>
      <c r="L50" s="36">
        <v>44690.0</v>
      </c>
      <c r="M50" s="91">
        <v>0.3232407407407407</v>
      </c>
      <c r="N50" s="3"/>
      <c r="O50" s="3"/>
      <c r="P50" s="7" t="b">
        <v>0</v>
      </c>
      <c r="Q50" s="7" t="s">
        <v>481</v>
      </c>
      <c r="R50" s="166" t="b">
        <v>1</v>
      </c>
      <c r="S50" s="166">
        <v>4.0</v>
      </c>
      <c r="T50" s="7">
        <v>3.0</v>
      </c>
      <c r="U50" s="3"/>
      <c r="V50" s="13"/>
      <c r="W50" s="3"/>
      <c r="X50" s="166" t="b">
        <v>0</v>
      </c>
      <c r="Y50" s="7"/>
      <c r="Z50" s="13"/>
      <c r="AA50" s="7" t="b">
        <v>0</v>
      </c>
      <c r="AB50" s="7"/>
      <c r="AC50" s="257">
        <v>158.0</v>
      </c>
      <c r="AD50" s="166"/>
      <c r="AE50" s="258">
        <v>157.9833333333333</v>
      </c>
      <c r="AF50" s="7" t="b">
        <v>0</v>
      </c>
      <c r="AG50" s="7" t="b">
        <v>0</v>
      </c>
      <c r="AH50" s="166"/>
      <c r="AI50" s="13"/>
      <c r="AJ50" s="3"/>
      <c r="AK50" s="13" t="s">
        <v>228</v>
      </c>
      <c r="AL50" s="3"/>
      <c r="AM50" s="3" t="s">
        <v>284</v>
      </c>
      <c r="AN50" s="3" t="s">
        <v>290</v>
      </c>
      <c r="AO50" s="3" t="s">
        <v>482</v>
      </c>
      <c r="AP50" s="3" t="s">
        <v>482</v>
      </c>
      <c r="AQ50" s="3" t="s">
        <v>482</v>
      </c>
      <c r="AR50" s="3" t="s">
        <v>482</v>
      </c>
      <c r="AS50" s="98"/>
      <c r="AT50" s="98"/>
      <c r="AU50" s="98"/>
      <c r="AV50" s="98"/>
      <c r="AW50" s="98"/>
      <c r="AX50" s="98"/>
      <c r="AY50" s="98"/>
      <c r="AZ50" s="98"/>
    </row>
    <row r="51">
      <c r="A51" s="3" t="s">
        <v>381</v>
      </c>
      <c r="B51" s="36">
        <v>44690.0</v>
      </c>
      <c r="C51" s="91">
        <v>0.2135300925925926</v>
      </c>
      <c r="D51" s="13"/>
      <c r="E51" s="13"/>
      <c r="F51" s="3"/>
      <c r="G51" s="3"/>
      <c r="H51" s="3"/>
      <c r="I51" s="13"/>
      <c r="J51" s="13"/>
      <c r="K51" s="13" t="s">
        <v>228</v>
      </c>
      <c r="L51" s="36">
        <v>44690.0</v>
      </c>
      <c r="M51" s="91">
        <v>0.3232407407407407</v>
      </c>
      <c r="N51" s="3"/>
      <c r="O51" s="3"/>
      <c r="P51" s="7" t="b">
        <v>0</v>
      </c>
      <c r="Q51" s="7" t="s">
        <v>481</v>
      </c>
      <c r="R51" s="166" t="b">
        <v>0</v>
      </c>
      <c r="S51" s="166">
        <v>4.0</v>
      </c>
      <c r="T51" s="7">
        <v>3.0</v>
      </c>
      <c r="U51" s="3"/>
      <c r="V51" s="13"/>
      <c r="W51" s="3"/>
      <c r="X51" s="166" t="b">
        <v>0</v>
      </c>
      <c r="Y51" s="7"/>
      <c r="Z51" s="13"/>
      <c r="AA51" s="7" t="b">
        <v>0</v>
      </c>
      <c r="AB51" s="7"/>
      <c r="AC51" s="257">
        <v>158.0</v>
      </c>
      <c r="AD51" s="166"/>
      <c r="AE51" s="258">
        <v>157.9833333333333</v>
      </c>
      <c r="AF51" s="7" t="b">
        <v>0</v>
      </c>
      <c r="AG51" s="7" t="b">
        <v>0</v>
      </c>
      <c r="AH51" s="166"/>
      <c r="AI51" s="13"/>
      <c r="AJ51" s="3"/>
      <c r="AK51" s="13" t="s">
        <v>228</v>
      </c>
      <c r="AL51" s="3"/>
      <c r="AM51" s="3" t="s">
        <v>284</v>
      </c>
      <c r="AN51" s="3" t="s">
        <v>285</v>
      </c>
      <c r="AO51" s="3" t="s">
        <v>482</v>
      </c>
      <c r="AP51" s="3" t="s">
        <v>482</v>
      </c>
      <c r="AQ51" s="3" t="s">
        <v>482</v>
      </c>
      <c r="AR51" s="3" t="s">
        <v>482</v>
      </c>
      <c r="AS51" s="98"/>
      <c r="AT51" s="98"/>
      <c r="AU51" s="98"/>
      <c r="AV51" s="98"/>
      <c r="AW51" s="98"/>
      <c r="AX51" s="98"/>
      <c r="AY51" s="98"/>
      <c r="AZ51" s="98"/>
    </row>
    <row r="52">
      <c r="A52" s="3" t="s">
        <v>381</v>
      </c>
      <c r="B52" s="36">
        <v>44690.0</v>
      </c>
      <c r="C52" s="91">
        <v>0.2135300925925926</v>
      </c>
      <c r="D52" s="13"/>
      <c r="E52" s="13"/>
      <c r="F52" s="3"/>
      <c r="G52" s="3"/>
      <c r="H52" s="3"/>
      <c r="I52" s="13"/>
      <c r="J52" s="13"/>
      <c r="K52" s="13" t="s">
        <v>228</v>
      </c>
      <c r="L52" s="36">
        <v>44690.0</v>
      </c>
      <c r="M52" s="91">
        <v>0.3232407407407407</v>
      </c>
      <c r="N52" s="3"/>
      <c r="O52" s="3"/>
      <c r="P52" s="7" t="b">
        <v>0</v>
      </c>
      <c r="Q52" s="7" t="s">
        <v>481</v>
      </c>
      <c r="R52" s="166" t="b">
        <v>0</v>
      </c>
      <c r="S52" s="166">
        <v>4.0</v>
      </c>
      <c r="T52" s="7">
        <v>3.0</v>
      </c>
      <c r="U52" s="3"/>
      <c r="V52" s="13"/>
      <c r="W52" s="3"/>
      <c r="X52" s="166" t="b">
        <v>0</v>
      </c>
      <c r="Y52" s="7"/>
      <c r="Z52" s="13"/>
      <c r="AA52" s="7" t="b">
        <v>0</v>
      </c>
      <c r="AB52" s="7"/>
      <c r="AC52" s="257">
        <v>158.0</v>
      </c>
      <c r="AD52" s="166"/>
      <c r="AE52" s="258">
        <v>157.9833333333333</v>
      </c>
      <c r="AF52" s="7" t="b">
        <v>0</v>
      </c>
      <c r="AG52" s="7" t="b">
        <v>0</v>
      </c>
      <c r="AH52" s="166"/>
      <c r="AI52" s="13"/>
      <c r="AJ52" s="3"/>
      <c r="AK52" s="13" t="s">
        <v>228</v>
      </c>
      <c r="AL52" s="3"/>
      <c r="AM52" s="3" t="s">
        <v>284</v>
      </c>
      <c r="AN52" s="3" t="s">
        <v>294</v>
      </c>
      <c r="AO52" s="3" t="s">
        <v>482</v>
      </c>
      <c r="AP52" s="3" t="s">
        <v>482</v>
      </c>
      <c r="AQ52" s="3" t="s">
        <v>482</v>
      </c>
      <c r="AR52" s="3" t="s">
        <v>482</v>
      </c>
      <c r="AS52" s="98"/>
      <c r="AT52" s="98"/>
      <c r="AU52" s="98"/>
      <c r="AV52" s="98"/>
      <c r="AW52" s="98"/>
      <c r="AX52" s="98"/>
      <c r="AY52" s="98"/>
      <c r="AZ52" s="98"/>
    </row>
    <row r="53">
      <c r="A53" s="3" t="s">
        <v>381</v>
      </c>
      <c r="B53" s="36">
        <v>44690.0</v>
      </c>
      <c r="C53" s="91">
        <v>0.2135300925925926</v>
      </c>
      <c r="D53" s="13"/>
      <c r="E53" s="13"/>
      <c r="F53" s="3"/>
      <c r="G53" s="3"/>
      <c r="H53" s="3"/>
      <c r="I53" s="13"/>
      <c r="J53" s="13"/>
      <c r="K53" s="13" t="s">
        <v>228</v>
      </c>
      <c r="L53" s="36">
        <v>44690.0</v>
      </c>
      <c r="M53" s="91">
        <v>0.3232407407407407</v>
      </c>
      <c r="N53" s="3"/>
      <c r="O53" s="3"/>
      <c r="P53" s="7" t="b">
        <v>0</v>
      </c>
      <c r="Q53" s="7" t="s">
        <v>481</v>
      </c>
      <c r="R53" s="166" t="b">
        <v>0</v>
      </c>
      <c r="S53" s="166">
        <v>4.0</v>
      </c>
      <c r="T53" s="7">
        <v>3.0</v>
      </c>
      <c r="U53" s="3"/>
      <c r="V53" s="13"/>
      <c r="W53" s="3"/>
      <c r="X53" s="166" t="b">
        <v>0</v>
      </c>
      <c r="Y53" s="7"/>
      <c r="Z53" s="13"/>
      <c r="AA53" s="7" t="b">
        <v>0</v>
      </c>
      <c r="AB53" s="7"/>
      <c r="AC53" s="257">
        <v>158.0</v>
      </c>
      <c r="AD53" s="166"/>
      <c r="AE53" s="258">
        <v>157.9833333333333</v>
      </c>
      <c r="AF53" s="7" t="b">
        <v>0</v>
      </c>
      <c r="AG53" s="7" t="b">
        <v>0</v>
      </c>
      <c r="AH53" s="166"/>
      <c r="AI53" s="13"/>
      <c r="AJ53" s="3"/>
      <c r="AK53" s="13" t="s">
        <v>228</v>
      </c>
      <c r="AL53" s="3"/>
      <c r="AM53" s="3" t="s">
        <v>284</v>
      </c>
      <c r="AN53" s="3" t="s">
        <v>287</v>
      </c>
      <c r="AO53" s="3" t="s">
        <v>482</v>
      </c>
      <c r="AP53" s="3" t="s">
        <v>482</v>
      </c>
      <c r="AQ53" s="3" t="s">
        <v>482</v>
      </c>
      <c r="AR53" s="3" t="s">
        <v>482</v>
      </c>
      <c r="AS53" s="98"/>
      <c r="AT53" s="98"/>
      <c r="AU53" s="98"/>
      <c r="AV53" s="98"/>
      <c r="AW53" s="98"/>
      <c r="AX53" s="98"/>
      <c r="AY53" s="98"/>
      <c r="AZ53" s="98"/>
    </row>
    <row r="54">
      <c r="A54" s="3" t="s">
        <v>382</v>
      </c>
      <c r="B54" s="36">
        <v>44690.0</v>
      </c>
      <c r="C54" s="91">
        <v>0.2437037037037037</v>
      </c>
      <c r="D54" s="13"/>
      <c r="E54" s="13"/>
      <c r="F54" s="3"/>
      <c r="G54" s="3"/>
      <c r="H54" s="3"/>
      <c r="I54" s="13"/>
      <c r="J54" s="13"/>
      <c r="K54" s="13" t="s">
        <v>228</v>
      </c>
      <c r="L54" s="36">
        <v>44690.0</v>
      </c>
      <c r="M54" s="91">
        <v>0.3232523148148148</v>
      </c>
      <c r="N54" s="3"/>
      <c r="O54" s="3"/>
      <c r="P54" s="7" t="b">
        <v>0</v>
      </c>
      <c r="Q54" s="7" t="s">
        <v>481</v>
      </c>
      <c r="R54" s="166" t="b">
        <v>1</v>
      </c>
      <c r="S54" s="166">
        <v>1.0</v>
      </c>
      <c r="T54" s="7"/>
      <c r="U54" s="3"/>
      <c r="V54" s="13"/>
      <c r="W54" s="3"/>
      <c r="X54" s="166" t="b">
        <v>0</v>
      </c>
      <c r="Y54" s="7"/>
      <c r="Z54" s="13"/>
      <c r="AA54" s="7" t="b">
        <v>0</v>
      </c>
      <c r="AB54" s="7"/>
      <c r="AC54" s="257">
        <v>159.0</v>
      </c>
      <c r="AD54" s="166"/>
      <c r="AE54" s="258">
        <v>114.55</v>
      </c>
      <c r="AF54" s="7" t="b">
        <v>0</v>
      </c>
      <c r="AG54" s="7" t="b">
        <v>0</v>
      </c>
      <c r="AH54" s="166"/>
      <c r="AI54" s="13"/>
      <c r="AJ54" s="3"/>
      <c r="AK54" s="13" t="s">
        <v>228</v>
      </c>
      <c r="AL54" s="3"/>
      <c r="AM54" s="3" t="s">
        <v>365</v>
      </c>
      <c r="AN54" s="3" t="s">
        <v>383</v>
      </c>
      <c r="AO54" s="3" t="s">
        <v>482</v>
      </c>
      <c r="AP54" s="3" t="s">
        <v>482</v>
      </c>
      <c r="AQ54" s="3" t="s">
        <v>482</v>
      </c>
      <c r="AR54" s="3" t="s">
        <v>482</v>
      </c>
      <c r="AS54" s="98"/>
      <c r="AT54" s="98"/>
      <c r="AU54" s="98"/>
      <c r="AV54" s="98"/>
      <c r="AW54" s="98"/>
      <c r="AX54" s="98"/>
      <c r="AY54" s="98"/>
      <c r="AZ54" s="98"/>
    </row>
    <row r="55">
      <c r="A55" s="3" t="s">
        <v>384</v>
      </c>
      <c r="B55" s="36">
        <v>44690.0</v>
      </c>
      <c r="C55" s="91">
        <v>0.2795138888888889</v>
      </c>
      <c r="D55" s="13"/>
      <c r="E55" s="13"/>
      <c r="F55" s="3"/>
      <c r="G55" s="3"/>
      <c r="H55" s="3"/>
      <c r="I55" s="13"/>
      <c r="J55" s="13"/>
      <c r="K55" s="13" t="s">
        <v>228</v>
      </c>
      <c r="L55" s="36">
        <v>44690.0</v>
      </c>
      <c r="M55" s="91">
        <v>0.3232523148148148</v>
      </c>
      <c r="N55" s="3"/>
      <c r="O55" s="3"/>
      <c r="P55" s="7" t="b">
        <v>0</v>
      </c>
      <c r="Q55" s="7" t="s">
        <v>481</v>
      </c>
      <c r="R55" s="166" t="b">
        <v>1</v>
      </c>
      <c r="S55" s="166">
        <v>1.0</v>
      </c>
      <c r="T55" s="7"/>
      <c r="U55" s="3"/>
      <c r="V55" s="13"/>
      <c r="W55" s="3"/>
      <c r="X55" s="166" t="b">
        <v>0</v>
      </c>
      <c r="Y55" s="7"/>
      <c r="Z55" s="13"/>
      <c r="AA55" s="7" t="b">
        <v>0</v>
      </c>
      <c r="AB55" s="7"/>
      <c r="AC55" s="257">
        <v>160.0</v>
      </c>
      <c r="AD55" s="166"/>
      <c r="AE55" s="258">
        <v>62.98333333333332</v>
      </c>
      <c r="AF55" s="7" t="b">
        <v>0</v>
      </c>
      <c r="AG55" s="7" t="b">
        <v>0</v>
      </c>
      <c r="AH55" s="166"/>
      <c r="AI55" s="13"/>
      <c r="AJ55" s="3"/>
      <c r="AK55" s="13" t="s">
        <v>228</v>
      </c>
      <c r="AL55" s="3"/>
      <c r="AM55" s="3" t="s">
        <v>365</v>
      </c>
      <c r="AN55" s="3" t="s">
        <v>352</v>
      </c>
      <c r="AO55" s="3" t="s">
        <v>482</v>
      </c>
      <c r="AP55" s="3" t="s">
        <v>482</v>
      </c>
      <c r="AQ55" s="3" t="s">
        <v>482</v>
      </c>
      <c r="AR55" s="3" t="s">
        <v>482</v>
      </c>
      <c r="AS55" s="98"/>
      <c r="AT55" s="98"/>
      <c r="AU55" s="98"/>
      <c r="AV55" s="98"/>
      <c r="AW55" s="98"/>
      <c r="AX55" s="98"/>
      <c r="AY55" s="98"/>
      <c r="AZ55" s="98"/>
    </row>
    <row r="56">
      <c r="A56" s="3" t="s">
        <v>385</v>
      </c>
      <c r="B56" s="36">
        <v>44690.0</v>
      </c>
      <c r="C56" s="91">
        <v>0.280162037037037</v>
      </c>
      <c r="D56" s="13"/>
      <c r="E56" s="13"/>
      <c r="F56" s="3"/>
      <c r="G56" s="3"/>
      <c r="H56" s="3"/>
      <c r="I56" s="13"/>
      <c r="J56" s="13"/>
      <c r="K56" s="13" t="s">
        <v>228</v>
      </c>
      <c r="L56" s="36">
        <v>44690.0</v>
      </c>
      <c r="M56" s="91">
        <v>0.3232523148148148</v>
      </c>
      <c r="N56" s="3"/>
      <c r="O56" s="3"/>
      <c r="P56" s="7" t="b">
        <v>0</v>
      </c>
      <c r="Q56" s="7" t="s">
        <v>481</v>
      </c>
      <c r="R56" s="166" t="b">
        <v>1</v>
      </c>
      <c r="S56" s="166">
        <v>2.0</v>
      </c>
      <c r="T56" s="7">
        <v>1.0</v>
      </c>
      <c r="U56" s="3"/>
      <c r="V56" s="13"/>
      <c r="W56" s="3"/>
      <c r="X56" s="166" t="b">
        <v>0</v>
      </c>
      <c r="Y56" s="7"/>
      <c r="Z56" s="13"/>
      <c r="AA56" s="7" t="b">
        <v>0</v>
      </c>
      <c r="AB56" s="7"/>
      <c r="AC56" s="257">
        <v>161.0</v>
      </c>
      <c r="AD56" s="166"/>
      <c r="AE56" s="258">
        <v>62.050000000000026</v>
      </c>
      <c r="AF56" s="7" t="b">
        <v>0</v>
      </c>
      <c r="AG56" s="7" t="b">
        <v>0</v>
      </c>
      <c r="AH56" s="166"/>
      <c r="AI56" s="13"/>
      <c r="AJ56" s="3"/>
      <c r="AK56" s="13" t="s">
        <v>228</v>
      </c>
      <c r="AL56" s="3"/>
      <c r="AM56" s="3" t="s">
        <v>365</v>
      </c>
      <c r="AN56" s="3" t="s">
        <v>386</v>
      </c>
      <c r="AO56" s="3" t="s">
        <v>482</v>
      </c>
      <c r="AP56" s="3" t="s">
        <v>482</v>
      </c>
      <c r="AQ56" s="3" t="s">
        <v>482</v>
      </c>
      <c r="AR56" s="3" t="s">
        <v>482</v>
      </c>
      <c r="AS56" s="98"/>
      <c r="AT56" s="98"/>
      <c r="AU56" s="98"/>
      <c r="AV56" s="98"/>
      <c r="AW56" s="98"/>
      <c r="AX56" s="98"/>
      <c r="AY56" s="98"/>
      <c r="AZ56" s="98"/>
    </row>
    <row r="57">
      <c r="A57" s="3" t="s">
        <v>385</v>
      </c>
      <c r="B57" s="36">
        <v>44690.0</v>
      </c>
      <c r="C57" s="91">
        <v>0.280162037037037</v>
      </c>
      <c r="D57" s="13"/>
      <c r="E57" s="13"/>
      <c r="F57" s="3"/>
      <c r="G57" s="3"/>
      <c r="H57" s="3"/>
      <c r="I57" s="13"/>
      <c r="J57" s="13"/>
      <c r="K57" s="13" t="s">
        <v>228</v>
      </c>
      <c r="L57" s="36">
        <v>44690.0</v>
      </c>
      <c r="M57" s="91">
        <v>0.3232523148148148</v>
      </c>
      <c r="N57" s="3"/>
      <c r="O57" s="3"/>
      <c r="P57" s="7" t="b">
        <v>0</v>
      </c>
      <c r="Q57" s="7" t="s">
        <v>481</v>
      </c>
      <c r="R57" s="166" t="b">
        <v>0</v>
      </c>
      <c r="S57" s="166">
        <v>2.0</v>
      </c>
      <c r="T57" s="7">
        <v>1.0</v>
      </c>
      <c r="U57" s="3"/>
      <c r="V57" s="13"/>
      <c r="W57" s="3"/>
      <c r="X57" s="166" t="b">
        <v>0</v>
      </c>
      <c r="Y57" s="7"/>
      <c r="Z57" s="13"/>
      <c r="AA57" s="7" t="b">
        <v>0</v>
      </c>
      <c r="AB57" s="7"/>
      <c r="AC57" s="257">
        <v>161.0</v>
      </c>
      <c r="AD57" s="166"/>
      <c r="AE57" s="258">
        <v>62.050000000000026</v>
      </c>
      <c r="AF57" s="7" t="b">
        <v>0</v>
      </c>
      <c r="AG57" s="7" t="b">
        <v>0</v>
      </c>
      <c r="AH57" s="166"/>
      <c r="AI57" s="13"/>
      <c r="AJ57" s="3"/>
      <c r="AK57" s="13" t="s">
        <v>228</v>
      </c>
      <c r="AL57" s="3"/>
      <c r="AM57" s="3" t="s">
        <v>365</v>
      </c>
      <c r="AN57" s="3" t="s">
        <v>387</v>
      </c>
      <c r="AO57" s="3" t="s">
        <v>482</v>
      </c>
      <c r="AP57" s="3" t="s">
        <v>482</v>
      </c>
      <c r="AQ57" s="3" t="s">
        <v>482</v>
      </c>
      <c r="AR57" s="3" t="s">
        <v>482</v>
      </c>
      <c r="AS57" s="98"/>
      <c r="AT57" s="98"/>
      <c r="AU57" s="98"/>
      <c r="AV57" s="98"/>
      <c r="AW57" s="98"/>
      <c r="AX57" s="98"/>
      <c r="AY57" s="98"/>
      <c r="AZ57" s="98"/>
    </row>
    <row r="58">
      <c r="A58" s="3" t="s">
        <v>388</v>
      </c>
      <c r="B58" s="36">
        <v>44696.0</v>
      </c>
      <c r="C58" s="91">
        <v>0.7482523148148148</v>
      </c>
      <c r="D58" s="13"/>
      <c r="E58" s="13"/>
      <c r="F58" s="3"/>
      <c r="G58" s="3"/>
      <c r="H58" s="3"/>
      <c r="I58" s="13"/>
      <c r="J58" s="13"/>
      <c r="K58" s="13" t="s">
        <v>228</v>
      </c>
      <c r="L58" s="36">
        <v>44697.0</v>
      </c>
      <c r="M58" s="91">
        <v>0.361099537037037</v>
      </c>
      <c r="N58" s="3"/>
      <c r="O58" s="3"/>
      <c r="P58" s="7" t="b">
        <v>0</v>
      </c>
      <c r="Q58" s="7" t="s">
        <v>481</v>
      </c>
      <c r="R58" s="166" t="b">
        <v>1</v>
      </c>
      <c r="S58" s="166">
        <v>2.0</v>
      </c>
      <c r="T58" s="7"/>
      <c r="U58" s="3"/>
      <c r="V58" s="13"/>
      <c r="W58" s="3"/>
      <c r="X58" s="166" t="b">
        <v>0</v>
      </c>
      <c r="Y58" s="7"/>
      <c r="Z58" s="13"/>
      <c r="AA58" s="7" t="b">
        <v>0</v>
      </c>
      <c r="AB58" s="7"/>
      <c r="AC58" s="257">
        <v>146.0</v>
      </c>
      <c r="AD58" s="166"/>
      <c r="AE58" s="258"/>
      <c r="AF58" s="7" t="b">
        <v>0</v>
      </c>
      <c r="AG58" s="7" t="b">
        <v>0</v>
      </c>
      <c r="AH58" s="166"/>
      <c r="AI58" s="13"/>
      <c r="AJ58" s="3"/>
      <c r="AK58" s="13" t="s">
        <v>228</v>
      </c>
      <c r="AL58" s="3"/>
      <c r="AM58" s="3" t="s">
        <v>389</v>
      </c>
      <c r="AN58" s="3" t="s">
        <v>375</v>
      </c>
      <c r="AO58" s="3" t="s">
        <v>482</v>
      </c>
      <c r="AP58" s="3" t="s">
        <v>482</v>
      </c>
      <c r="AQ58" s="3" t="s">
        <v>482</v>
      </c>
      <c r="AR58" s="3" t="s">
        <v>482</v>
      </c>
      <c r="AS58" s="98"/>
      <c r="AT58" s="98"/>
      <c r="AU58" s="98"/>
      <c r="AV58" s="98"/>
      <c r="AW58" s="98"/>
      <c r="AX58" s="98"/>
      <c r="AY58" s="98"/>
      <c r="AZ58" s="98"/>
    </row>
    <row r="59">
      <c r="A59" s="3" t="s">
        <v>388</v>
      </c>
      <c r="B59" s="36">
        <v>44696.0</v>
      </c>
      <c r="C59" s="91">
        <v>0.7482523148148148</v>
      </c>
      <c r="D59" s="13"/>
      <c r="E59" s="13"/>
      <c r="F59" s="3"/>
      <c r="G59" s="3"/>
      <c r="H59" s="3"/>
      <c r="I59" s="13"/>
      <c r="J59" s="13"/>
      <c r="K59" s="13" t="s">
        <v>228</v>
      </c>
      <c r="L59" s="36">
        <v>44697.0</v>
      </c>
      <c r="M59" s="91">
        <v>0.361099537037037</v>
      </c>
      <c r="N59" s="3"/>
      <c r="O59" s="3"/>
      <c r="P59" s="7" t="b">
        <v>0</v>
      </c>
      <c r="Q59" s="7" t="s">
        <v>481</v>
      </c>
      <c r="R59" s="166" t="b">
        <v>0</v>
      </c>
      <c r="S59" s="166">
        <v>2.0</v>
      </c>
      <c r="T59" s="7"/>
      <c r="U59" s="3"/>
      <c r="V59" s="13"/>
      <c r="W59" s="3"/>
      <c r="X59" s="166" t="b">
        <v>0</v>
      </c>
      <c r="Y59" s="7"/>
      <c r="Z59" s="13"/>
      <c r="AA59" s="7" t="b">
        <v>0</v>
      </c>
      <c r="AB59" s="7"/>
      <c r="AC59" s="257">
        <v>147.0</v>
      </c>
      <c r="AD59" s="166"/>
      <c r="AE59" s="258"/>
      <c r="AF59" s="7" t="b">
        <v>0</v>
      </c>
      <c r="AG59" s="7" t="b">
        <v>0</v>
      </c>
      <c r="AH59" s="166"/>
      <c r="AI59" s="13"/>
      <c r="AJ59" s="3"/>
      <c r="AK59" s="13" t="s">
        <v>228</v>
      </c>
      <c r="AL59" s="3"/>
      <c r="AM59" s="3" t="s">
        <v>389</v>
      </c>
      <c r="AN59" s="3" t="s">
        <v>377</v>
      </c>
      <c r="AO59" s="3" t="s">
        <v>482</v>
      </c>
      <c r="AP59" s="3" t="s">
        <v>482</v>
      </c>
      <c r="AQ59" s="3" t="s">
        <v>482</v>
      </c>
      <c r="AR59" s="3" t="s">
        <v>482</v>
      </c>
      <c r="AS59" s="98"/>
      <c r="AT59" s="98"/>
      <c r="AU59" s="98"/>
      <c r="AV59" s="98"/>
      <c r="AW59" s="98"/>
      <c r="AX59" s="98"/>
      <c r="AY59" s="98"/>
      <c r="AZ59" s="98"/>
    </row>
    <row r="60">
      <c r="A60" s="3" t="s">
        <v>390</v>
      </c>
      <c r="B60" s="36">
        <v>44697.0</v>
      </c>
      <c r="C60" s="91">
        <v>0.15361111111111111</v>
      </c>
      <c r="D60" s="13"/>
      <c r="E60" s="13"/>
      <c r="F60" s="3"/>
      <c r="G60" s="3"/>
      <c r="H60" s="3"/>
      <c r="I60" s="13"/>
      <c r="J60" s="13"/>
      <c r="K60" s="13" t="s">
        <v>228</v>
      </c>
      <c r="L60" s="36">
        <v>44697.0</v>
      </c>
      <c r="M60" s="91">
        <v>0.361099537037037</v>
      </c>
      <c r="N60" s="3"/>
      <c r="O60" s="3"/>
      <c r="P60" s="7" t="b">
        <v>0</v>
      </c>
      <c r="Q60" s="7" t="s">
        <v>481</v>
      </c>
      <c r="R60" s="166" t="b">
        <v>1</v>
      </c>
      <c r="S60" s="166">
        <v>2.0</v>
      </c>
      <c r="T60" s="7"/>
      <c r="U60" s="3"/>
      <c r="V60" s="13"/>
      <c r="W60" s="3"/>
      <c r="X60" s="166" t="b">
        <v>0</v>
      </c>
      <c r="Y60" s="7"/>
      <c r="Z60" s="13"/>
      <c r="AA60" s="7" t="b">
        <v>0</v>
      </c>
      <c r="AB60" s="7"/>
      <c r="AC60" s="257">
        <v>125.0</v>
      </c>
      <c r="AD60" s="166"/>
      <c r="AE60" s="258">
        <v>298.7833333333333</v>
      </c>
      <c r="AF60" s="7" t="b">
        <v>0</v>
      </c>
      <c r="AG60" s="7" t="b">
        <v>0</v>
      </c>
      <c r="AH60" s="166"/>
      <c r="AI60" s="13"/>
      <c r="AJ60" s="3"/>
      <c r="AK60" s="13" t="s">
        <v>228</v>
      </c>
      <c r="AL60" s="3"/>
      <c r="AM60" s="3" t="s">
        <v>300</v>
      </c>
      <c r="AN60" s="3" t="s">
        <v>303</v>
      </c>
      <c r="AO60" s="3" t="s">
        <v>482</v>
      </c>
      <c r="AP60" s="3" t="s">
        <v>482</v>
      </c>
      <c r="AQ60" s="3" t="s">
        <v>482</v>
      </c>
      <c r="AR60" s="3" t="s">
        <v>482</v>
      </c>
      <c r="AS60" s="98"/>
      <c r="AT60" s="98"/>
      <c r="AU60" s="98"/>
      <c r="AV60" s="98"/>
      <c r="AW60" s="98"/>
      <c r="AX60" s="98"/>
      <c r="AY60" s="98"/>
      <c r="AZ60" s="98"/>
    </row>
    <row r="61">
      <c r="A61" s="3" t="s">
        <v>390</v>
      </c>
      <c r="B61" s="36">
        <v>44697.0</v>
      </c>
      <c r="C61" s="91">
        <v>0.15361111111111111</v>
      </c>
      <c r="D61" s="13"/>
      <c r="E61" s="13"/>
      <c r="F61" s="3"/>
      <c r="G61" s="3"/>
      <c r="H61" s="3"/>
      <c r="I61" s="13"/>
      <c r="J61" s="13"/>
      <c r="K61" s="13" t="s">
        <v>228</v>
      </c>
      <c r="L61" s="36">
        <v>44697.0</v>
      </c>
      <c r="M61" s="91">
        <v>0.361099537037037</v>
      </c>
      <c r="N61" s="3"/>
      <c r="O61" s="3"/>
      <c r="P61" s="7" t="b">
        <v>0</v>
      </c>
      <c r="Q61" s="7" t="s">
        <v>481</v>
      </c>
      <c r="R61" s="166" t="b">
        <v>0</v>
      </c>
      <c r="S61" s="166">
        <v>2.0</v>
      </c>
      <c r="T61" s="7"/>
      <c r="U61" s="3"/>
      <c r="V61" s="13"/>
      <c r="W61" s="3"/>
      <c r="X61" s="166" t="b">
        <v>0</v>
      </c>
      <c r="Y61" s="7"/>
      <c r="Z61" s="13"/>
      <c r="AA61" s="7" t="b">
        <v>0</v>
      </c>
      <c r="AB61" s="7"/>
      <c r="AC61" s="257">
        <v>126.0</v>
      </c>
      <c r="AD61" s="166"/>
      <c r="AE61" s="258">
        <v>298.7833333333333</v>
      </c>
      <c r="AF61" s="7" t="b">
        <v>0</v>
      </c>
      <c r="AG61" s="7" t="b">
        <v>0</v>
      </c>
      <c r="AH61" s="166"/>
      <c r="AI61" s="13"/>
      <c r="AJ61" s="3"/>
      <c r="AK61" s="13" t="s">
        <v>228</v>
      </c>
      <c r="AL61" s="3"/>
      <c r="AM61" s="3" t="s">
        <v>300</v>
      </c>
      <c r="AN61" s="3" t="s">
        <v>301</v>
      </c>
      <c r="AO61" s="3" t="s">
        <v>482</v>
      </c>
      <c r="AP61" s="3" t="s">
        <v>482</v>
      </c>
      <c r="AQ61" s="3" t="s">
        <v>482</v>
      </c>
      <c r="AR61" s="3" t="s">
        <v>482</v>
      </c>
      <c r="AS61" s="98"/>
      <c r="AT61" s="98"/>
      <c r="AU61" s="98"/>
      <c r="AV61" s="98"/>
      <c r="AW61" s="98"/>
      <c r="AX61" s="98"/>
      <c r="AY61" s="98"/>
      <c r="AZ61" s="98"/>
    </row>
    <row r="62">
      <c r="A62" s="3" t="s">
        <v>391</v>
      </c>
      <c r="B62" s="36">
        <v>44697.0</v>
      </c>
      <c r="C62" s="91">
        <v>0.17675925925925925</v>
      </c>
      <c r="D62" s="13"/>
      <c r="E62" s="13"/>
      <c r="F62" s="3"/>
      <c r="G62" s="3"/>
      <c r="H62" s="3"/>
      <c r="I62" s="13"/>
      <c r="J62" s="13"/>
      <c r="K62" s="13" t="s">
        <v>228</v>
      </c>
      <c r="L62" s="36">
        <v>44697.0</v>
      </c>
      <c r="M62" s="91">
        <v>0.361099537037037</v>
      </c>
      <c r="N62" s="3"/>
      <c r="O62" s="3"/>
      <c r="P62" s="7" t="b">
        <v>0</v>
      </c>
      <c r="Q62" s="7" t="s">
        <v>481</v>
      </c>
      <c r="R62" s="166" t="b">
        <v>1</v>
      </c>
      <c r="S62" s="166">
        <v>4.0</v>
      </c>
      <c r="T62" s="7"/>
      <c r="U62" s="3"/>
      <c r="V62" s="13"/>
      <c r="W62" s="3"/>
      <c r="X62" s="166" t="b">
        <v>0</v>
      </c>
      <c r="Y62" s="7"/>
      <c r="Z62" s="13"/>
      <c r="AA62" s="7" t="b">
        <v>0</v>
      </c>
      <c r="AB62" s="7"/>
      <c r="AC62" s="257">
        <v>130.0</v>
      </c>
      <c r="AD62" s="166"/>
      <c r="AE62" s="258">
        <v>265.45</v>
      </c>
      <c r="AF62" s="7" t="b">
        <v>0</v>
      </c>
      <c r="AG62" s="7" t="b">
        <v>0</v>
      </c>
      <c r="AH62" s="166"/>
      <c r="AI62" s="13"/>
      <c r="AJ62" s="3"/>
      <c r="AK62" s="13" t="s">
        <v>228</v>
      </c>
      <c r="AL62" s="3"/>
      <c r="AM62" s="3" t="s">
        <v>274</v>
      </c>
      <c r="AN62" s="3" t="s">
        <v>279</v>
      </c>
      <c r="AO62" s="3" t="s">
        <v>482</v>
      </c>
      <c r="AP62" s="3" t="s">
        <v>482</v>
      </c>
      <c r="AQ62" s="3" t="s">
        <v>482</v>
      </c>
      <c r="AR62" s="3" t="s">
        <v>482</v>
      </c>
      <c r="AS62" s="98"/>
      <c r="AT62" s="98"/>
      <c r="AU62" s="98"/>
      <c r="AV62" s="98"/>
      <c r="AW62" s="98"/>
      <c r="AX62" s="98"/>
      <c r="AY62" s="98"/>
      <c r="AZ62" s="98"/>
    </row>
    <row r="63">
      <c r="A63" s="3" t="s">
        <v>391</v>
      </c>
      <c r="B63" s="36">
        <v>44697.0</v>
      </c>
      <c r="C63" s="91">
        <v>0.17675925925925925</v>
      </c>
      <c r="D63" s="13"/>
      <c r="E63" s="13"/>
      <c r="F63" s="3"/>
      <c r="G63" s="3"/>
      <c r="H63" s="3"/>
      <c r="I63" s="13"/>
      <c r="J63" s="13"/>
      <c r="K63" s="13" t="s">
        <v>228</v>
      </c>
      <c r="L63" s="36">
        <v>44697.0</v>
      </c>
      <c r="M63" s="91">
        <v>0.361099537037037</v>
      </c>
      <c r="N63" s="3"/>
      <c r="O63" s="3"/>
      <c r="P63" s="7" t="b">
        <v>0</v>
      </c>
      <c r="Q63" s="7" t="s">
        <v>481</v>
      </c>
      <c r="R63" s="166" t="b">
        <v>0</v>
      </c>
      <c r="S63" s="166">
        <v>4.0</v>
      </c>
      <c r="T63" s="7"/>
      <c r="U63" s="3"/>
      <c r="V63" s="13"/>
      <c r="W63" s="3"/>
      <c r="X63" s="166" t="b">
        <v>0</v>
      </c>
      <c r="Y63" s="7"/>
      <c r="Z63" s="13"/>
      <c r="AA63" s="7" t="b">
        <v>0</v>
      </c>
      <c r="AB63" s="7"/>
      <c r="AC63" s="257">
        <v>128.0</v>
      </c>
      <c r="AD63" s="166"/>
      <c r="AE63" s="258">
        <v>265.45</v>
      </c>
      <c r="AF63" s="7" t="b">
        <v>0</v>
      </c>
      <c r="AG63" s="7" t="b">
        <v>0</v>
      </c>
      <c r="AH63" s="166"/>
      <c r="AI63" s="13"/>
      <c r="AJ63" s="3"/>
      <c r="AK63" s="13" t="s">
        <v>228</v>
      </c>
      <c r="AL63" s="3"/>
      <c r="AM63" s="3" t="s">
        <v>274</v>
      </c>
      <c r="AN63" s="3" t="s">
        <v>281</v>
      </c>
      <c r="AO63" s="3" t="s">
        <v>482</v>
      </c>
      <c r="AP63" s="3" t="s">
        <v>482</v>
      </c>
      <c r="AQ63" s="3" t="s">
        <v>482</v>
      </c>
      <c r="AR63" s="3" t="s">
        <v>482</v>
      </c>
      <c r="AS63" s="98"/>
      <c r="AT63" s="98"/>
      <c r="AU63" s="98"/>
      <c r="AV63" s="98"/>
      <c r="AW63" s="98"/>
      <c r="AX63" s="98"/>
      <c r="AY63" s="98"/>
      <c r="AZ63" s="98"/>
    </row>
    <row r="64">
      <c r="A64" s="3" t="s">
        <v>391</v>
      </c>
      <c r="B64" s="36">
        <v>44697.0</v>
      </c>
      <c r="C64" s="91">
        <v>0.17675925925925925</v>
      </c>
      <c r="D64" s="13"/>
      <c r="E64" s="13"/>
      <c r="F64" s="3"/>
      <c r="G64" s="3"/>
      <c r="H64" s="3"/>
      <c r="I64" s="13"/>
      <c r="J64" s="13"/>
      <c r="K64" s="13" t="s">
        <v>228</v>
      </c>
      <c r="L64" s="36">
        <v>44697.0</v>
      </c>
      <c r="M64" s="91">
        <v>0.361099537037037</v>
      </c>
      <c r="N64" s="3"/>
      <c r="O64" s="3"/>
      <c r="P64" s="7" t="b">
        <v>0</v>
      </c>
      <c r="Q64" s="7" t="s">
        <v>481</v>
      </c>
      <c r="R64" s="166" t="b">
        <v>0</v>
      </c>
      <c r="S64" s="166">
        <v>4.0</v>
      </c>
      <c r="T64" s="7"/>
      <c r="U64" s="3"/>
      <c r="V64" s="13"/>
      <c r="W64" s="3"/>
      <c r="X64" s="166" t="b">
        <v>0</v>
      </c>
      <c r="Y64" s="7"/>
      <c r="Z64" s="13"/>
      <c r="AA64" s="7" t="b">
        <v>0</v>
      </c>
      <c r="AB64" s="7"/>
      <c r="AC64" s="257">
        <v>127.0</v>
      </c>
      <c r="AD64" s="166"/>
      <c r="AE64" s="258">
        <v>265.45</v>
      </c>
      <c r="AF64" s="7" t="b">
        <v>0</v>
      </c>
      <c r="AG64" s="7" t="b">
        <v>0</v>
      </c>
      <c r="AH64" s="166"/>
      <c r="AI64" s="13"/>
      <c r="AJ64" s="3"/>
      <c r="AK64" s="13" t="s">
        <v>228</v>
      </c>
      <c r="AL64" s="3"/>
      <c r="AM64" s="3" t="s">
        <v>274</v>
      </c>
      <c r="AN64" s="3" t="s">
        <v>277</v>
      </c>
      <c r="AO64" s="3" t="s">
        <v>482</v>
      </c>
      <c r="AP64" s="3" t="s">
        <v>482</v>
      </c>
      <c r="AQ64" s="3" t="s">
        <v>482</v>
      </c>
      <c r="AR64" s="3" t="s">
        <v>482</v>
      </c>
      <c r="AS64" s="98"/>
      <c r="AT64" s="98"/>
      <c r="AU64" s="98"/>
      <c r="AV64" s="98"/>
      <c r="AW64" s="98"/>
      <c r="AX64" s="98"/>
      <c r="AY64" s="98"/>
      <c r="AZ64" s="98"/>
    </row>
    <row r="65">
      <c r="A65" s="3" t="s">
        <v>391</v>
      </c>
      <c r="B65" s="36">
        <v>44697.0</v>
      </c>
      <c r="C65" s="91">
        <v>0.17675925925925925</v>
      </c>
      <c r="D65" s="13"/>
      <c r="E65" s="13"/>
      <c r="F65" s="3"/>
      <c r="G65" s="3"/>
      <c r="H65" s="3"/>
      <c r="I65" s="13"/>
      <c r="J65" s="13"/>
      <c r="K65" s="13" t="s">
        <v>228</v>
      </c>
      <c r="L65" s="36">
        <v>44697.0</v>
      </c>
      <c r="M65" s="91">
        <v>0.361099537037037</v>
      </c>
      <c r="N65" s="3"/>
      <c r="O65" s="3"/>
      <c r="P65" s="7" t="b">
        <v>0</v>
      </c>
      <c r="Q65" s="7" t="s">
        <v>481</v>
      </c>
      <c r="R65" s="166" t="b">
        <v>0</v>
      </c>
      <c r="S65" s="166">
        <v>4.0</v>
      </c>
      <c r="T65" s="7"/>
      <c r="U65" s="3"/>
      <c r="V65" s="13"/>
      <c r="W65" s="3"/>
      <c r="X65" s="166" t="b">
        <v>0</v>
      </c>
      <c r="Y65" s="7"/>
      <c r="Z65" s="13"/>
      <c r="AA65" s="7" t="b">
        <v>0</v>
      </c>
      <c r="AB65" s="7"/>
      <c r="AC65" s="257">
        <v>129.0</v>
      </c>
      <c r="AD65" s="166"/>
      <c r="AE65" s="258">
        <v>265.45</v>
      </c>
      <c r="AF65" s="7" t="b">
        <v>0</v>
      </c>
      <c r="AG65" s="7" t="b">
        <v>0</v>
      </c>
      <c r="AH65" s="166"/>
      <c r="AI65" s="13"/>
      <c r="AJ65" s="3"/>
      <c r="AK65" s="13" t="s">
        <v>228</v>
      </c>
      <c r="AL65" s="3"/>
      <c r="AM65" s="3" t="s">
        <v>274</v>
      </c>
      <c r="AN65" s="3" t="s">
        <v>275</v>
      </c>
      <c r="AO65" s="3" t="s">
        <v>482</v>
      </c>
      <c r="AP65" s="3" t="s">
        <v>482</v>
      </c>
      <c r="AQ65" s="3" t="s">
        <v>482</v>
      </c>
      <c r="AR65" s="3" t="s">
        <v>482</v>
      </c>
      <c r="AS65" s="98"/>
      <c r="AT65" s="98"/>
      <c r="AU65" s="98"/>
      <c r="AV65" s="98"/>
      <c r="AW65" s="98"/>
      <c r="AX65" s="98"/>
      <c r="AY65" s="98"/>
      <c r="AZ65" s="98"/>
    </row>
    <row r="66">
      <c r="A66" s="3" t="s">
        <v>392</v>
      </c>
      <c r="B66" s="36">
        <v>44697.0</v>
      </c>
      <c r="C66" s="91">
        <v>0.19030092592592593</v>
      </c>
      <c r="D66" s="13"/>
      <c r="E66" s="13"/>
      <c r="F66" s="3"/>
      <c r="G66" s="3"/>
      <c r="H66" s="3"/>
      <c r="I66" s="13"/>
      <c r="J66" s="13"/>
      <c r="K66" s="13" t="s">
        <v>228</v>
      </c>
      <c r="L66" s="36">
        <v>44697.0</v>
      </c>
      <c r="M66" s="91">
        <v>0.361099537037037</v>
      </c>
      <c r="N66" s="3"/>
      <c r="O66" s="3"/>
      <c r="P66" s="7" t="b">
        <v>0</v>
      </c>
      <c r="Q66" s="7" t="s">
        <v>481</v>
      </c>
      <c r="R66" s="166" t="b">
        <v>1</v>
      </c>
      <c r="S66" s="166">
        <v>4.0</v>
      </c>
      <c r="T66" s="7"/>
      <c r="U66" s="3"/>
      <c r="V66" s="13"/>
      <c r="W66" s="3"/>
      <c r="X66" s="166" t="b">
        <v>0</v>
      </c>
      <c r="Y66" s="7"/>
      <c r="Z66" s="13"/>
      <c r="AA66" s="7" t="b">
        <v>0</v>
      </c>
      <c r="AB66" s="7"/>
      <c r="AC66" s="257">
        <v>132.0</v>
      </c>
      <c r="AD66" s="166"/>
      <c r="AE66" s="258">
        <v>245.94999999999996</v>
      </c>
      <c r="AF66" s="7" t="b">
        <v>0</v>
      </c>
      <c r="AG66" s="7" t="b">
        <v>0</v>
      </c>
      <c r="AH66" s="166"/>
      <c r="AI66" s="13"/>
      <c r="AJ66" s="3"/>
      <c r="AK66" s="13" t="s">
        <v>228</v>
      </c>
      <c r="AL66" s="3"/>
      <c r="AM66" s="3" t="s">
        <v>322</v>
      </c>
      <c r="AN66" s="3" t="s">
        <v>325</v>
      </c>
      <c r="AO66" s="3" t="s">
        <v>482</v>
      </c>
      <c r="AP66" s="3" t="s">
        <v>482</v>
      </c>
      <c r="AQ66" s="3" t="s">
        <v>482</v>
      </c>
      <c r="AR66" s="3" t="s">
        <v>482</v>
      </c>
      <c r="AS66" s="98"/>
      <c r="AT66" s="98"/>
      <c r="AU66" s="98"/>
      <c r="AV66" s="98"/>
      <c r="AW66" s="98"/>
      <c r="AX66" s="98"/>
      <c r="AY66" s="98"/>
      <c r="AZ66" s="98"/>
    </row>
    <row r="67">
      <c r="A67" s="3" t="s">
        <v>392</v>
      </c>
      <c r="B67" s="36">
        <v>44697.0</v>
      </c>
      <c r="C67" s="91">
        <v>0.19030092592592593</v>
      </c>
      <c r="D67" s="13"/>
      <c r="E67" s="13"/>
      <c r="F67" s="3"/>
      <c r="G67" s="3"/>
      <c r="H67" s="3"/>
      <c r="I67" s="13"/>
      <c r="J67" s="13"/>
      <c r="K67" s="13" t="s">
        <v>228</v>
      </c>
      <c r="L67" s="36">
        <v>44697.0</v>
      </c>
      <c r="M67" s="91">
        <v>0.361099537037037</v>
      </c>
      <c r="N67" s="3"/>
      <c r="O67" s="3"/>
      <c r="P67" s="7" t="b">
        <v>0</v>
      </c>
      <c r="Q67" s="7" t="s">
        <v>481</v>
      </c>
      <c r="R67" s="166" t="b">
        <v>0</v>
      </c>
      <c r="S67" s="166">
        <v>4.0</v>
      </c>
      <c r="T67" s="7"/>
      <c r="U67" s="3"/>
      <c r="V67" s="13"/>
      <c r="W67" s="3"/>
      <c r="X67" s="166" t="b">
        <v>0</v>
      </c>
      <c r="Y67" s="7"/>
      <c r="Z67" s="13"/>
      <c r="AA67" s="7" t="b">
        <v>0</v>
      </c>
      <c r="AB67" s="7"/>
      <c r="AC67" s="257">
        <v>131.0</v>
      </c>
      <c r="AD67" s="166"/>
      <c r="AE67" s="258">
        <v>245.94999999999996</v>
      </c>
      <c r="AF67" s="7" t="b">
        <v>0</v>
      </c>
      <c r="AG67" s="7" t="b">
        <v>0</v>
      </c>
      <c r="AH67" s="166"/>
      <c r="AI67" s="13"/>
      <c r="AJ67" s="3"/>
      <c r="AK67" s="13" t="s">
        <v>228</v>
      </c>
      <c r="AL67" s="3"/>
      <c r="AM67" s="3" t="s">
        <v>322</v>
      </c>
      <c r="AN67" s="3" t="s">
        <v>327</v>
      </c>
      <c r="AO67" s="3" t="s">
        <v>482</v>
      </c>
      <c r="AP67" s="3" t="s">
        <v>482</v>
      </c>
      <c r="AQ67" s="3" t="s">
        <v>482</v>
      </c>
      <c r="AR67" s="3" t="s">
        <v>482</v>
      </c>
      <c r="AS67" s="98"/>
      <c r="AT67" s="98"/>
      <c r="AU67" s="98"/>
      <c r="AV67" s="98"/>
      <c r="AW67" s="98"/>
      <c r="AX67" s="98"/>
      <c r="AY67" s="98"/>
      <c r="AZ67" s="98"/>
    </row>
    <row r="68">
      <c r="A68" s="3" t="s">
        <v>392</v>
      </c>
      <c r="B68" s="36">
        <v>44697.0</v>
      </c>
      <c r="C68" s="91">
        <v>0.19030092592592593</v>
      </c>
      <c r="D68" s="13"/>
      <c r="E68" s="13"/>
      <c r="F68" s="3"/>
      <c r="G68" s="3"/>
      <c r="H68" s="3"/>
      <c r="I68" s="13"/>
      <c r="J68" s="13"/>
      <c r="K68" s="13" t="s">
        <v>228</v>
      </c>
      <c r="L68" s="36">
        <v>44697.0</v>
      </c>
      <c r="M68" s="91">
        <v>0.361099537037037</v>
      </c>
      <c r="N68" s="3"/>
      <c r="O68" s="3"/>
      <c r="P68" s="7" t="b">
        <v>0</v>
      </c>
      <c r="Q68" s="7" t="s">
        <v>481</v>
      </c>
      <c r="R68" s="166" t="b">
        <v>0</v>
      </c>
      <c r="S68" s="166">
        <v>4.0</v>
      </c>
      <c r="T68" s="7"/>
      <c r="U68" s="3"/>
      <c r="V68" s="13"/>
      <c r="W68" s="3"/>
      <c r="X68" s="166" t="b">
        <v>0</v>
      </c>
      <c r="Y68" s="7"/>
      <c r="Z68" s="13"/>
      <c r="AA68" s="7" t="b">
        <v>0</v>
      </c>
      <c r="AB68" s="7"/>
      <c r="AC68" s="257">
        <v>133.0</v>
      </c>
      <c r="AD68" s="166"/>
      <c r="AE68" s="258">
        <v>245.94999999999996</v>
      </c>
      <c r="AF68" s="7" t="b">
        <v>0</v>
      </c>
      <c r="AG68" s="7" t="b">
        <v>0</v>
      </c>
      <c r="AH68" s="166"/>
      <c r="AI68" s="13"/>
      <c r="AJ68" s="3"/>
      <c r="AK68" s="13" t="s">
        <v>228</v>
      </c>
      <c r="AL68" s="3"/>
      <c r="AM68" s="3" t="s">
        <v>322</v>
      </c>
      <c r="AN68" s="3" t="s">
        <v>393</v>
      </c>
      <c r="AO68" s="3" t="s">
        <v>482</v>
      </c>
      <c r="AP68" s="3" t="s">
        <v>482</v>
      </c>
      <c r="AQ68" s="3" t="s">
        <v>482</v>
      </c>
      <c r="AR68" s="3" t="s">
        <v>482</v>
      </c>
      <c r="AS68" s="98"/>
      <c r="AT68" s="98"/>
      <c r="AU68" s="98"/>
      <c r="AV68" s="98"/>
      <c r="AW68" s="98"/>
      <c r="AX68" s="98"/>
      <c r="AY68" s="98"/>
      <c r="AZ68" s="98"/>
    </row>
    <row r="69">
      <c r="A69" s="3" t="s">
        <v>392</v>
      </c>
      <c r="B69" s="36">
        <v>44697.0</v>
      </c>
      <c r="C69" s="91">
        <v>0.19030092592592593</v>
      </c>
      <c r="D69" s="13"/>
      <c r="E69" s="13"/>
      <c r="F69" s="3"/>
      <c r="G69" s="3"/>
      <c r="H69" s="3"/>
      <c r="I69" s="13"/>
      <c r="J69" s="13"/>
      <c r="K69" s="13" t="s">
        <v>228</v>
      </c>
      <c r="L69" s="36">
        <v>44697.0</v>
      </c>
      <c r="M69" s="91">
        <v>0.361099537037037</v>
      </c>
      <c r="N69" s="3"/>
      <c r="O69" s="3"/>
      <c r="P69" s="7" t="b">
        <v>0</v>
      </c>
      <c r="Q69" s="7" t="s">
        <v>481</v>
      </c>
      <c r="R69" s="166" t="b">
        <v>0</v>
      </c>
      <c r="S69" s="166">
        <v>4.0</v>
      </c>
      <c r="T69" s="7"/>
      <c r="U69" s="3"/>
      <c r="V69" s="13"/>
      <c r="W69" s="3"/>
      <c r="X69" s="166" t="b">
        <v>0</v>
      </c>
      <c r="Y69" s="7"/>
      <c r="Z69" s="13"/>
      <c r="AA69" s="7" t="b">
        <v>0</v>
      </c>
      <c r="AB69" s="7"/>
      <c r="AC69" s="257">
        <v>134.0</v>
      </c>
      <c r="AD69" s="166"/>
      <c r="AE69" s="258">
        <v>245.94999999999996</v>
      </c>
      <c r="AF69" s="7" t="b">
        <v>0</v>
      </c>
      <c r="AG69" s="7" t="b">
        <v>0</v>
      </c>
      <c r="AH69" s="166"/>
      <c r="AI69" s="13"/>
      <c r="AJ69" s="3"/>
      <c r="AK69" s="13" t="s">
        <v>228</v>
      </c>
      <c r="AL69" s="3"/>
      <c r="AM69" s="3" t="s">
        <v>322</v>
      </c>
      <c r="AN69" s="3" t="s">
        <v>329</v>
      </c>
      <c r="AO69" s="3" t="s">
        <v>482</v>
      </c>
      <c r="AP69" s="3" t="s">
        <v>482</v>
      </c>
      <c r="AQ69" s="3" t="s">
        <v>482</v>
      </c>
      <c r="AR69" s="3" t="s">
        <v>482</v>
      </c>
      <c r="AS69" s="98"/>
      <c r="AT69" s="98"/>
      <c r="AU69" s="98"/>
      <c r="AV69" s="98"/>
      <c r="AW69" s="98"/>
      <c r="AX69" s="98"/>
      <c r="AY69" s="98"/>
      <c r="AZ69" s="98"/>
    </row>
    <row r="70">
      <c r="A70" s="3" t="s">
        <v>394</v>
      </c>
      <c r="B70" s="36">
        <v>44697.0</v>
      </c>
      <c r="C70" s="91">
        <v>0.2023611111111111</v>
      </c>
      <c r="D70" s="13"/>
      <c r="E70" s="13"/>
      <c r="F70" s="3"/>
      <c r="G70" s="3"/>
      <c r="H70" s="3"/>
      <c r="I70" s="13"/>
      <c r="J70" s="13"/>
      <c r="K70" s="13" t="s">
        <v>228</v>
      </c>
      <c r="L70" s="36">
        <v>44697.0</v>
      </c>
      <c r="M70" s="91">
        <v>0.3611111111111111</v>
      </c>
      <c r="N70" s="3"/>
      <c r="O70" s="3"/>
      <c r="P70" s="7" t="b">
        <v>0</v>
      </c>
      <c r="Q70" s="7" t="s">
        <v>481</v>
      </c>
      <c r="R70" s="166" t="b">
        <v>1</v>
      </c>
      <c r="S70" s="166">
        <v>3.0</v>
      </c>
      <c r="T70" s="7">
        <v>1.0</v>
      </c>
      <c r="U70" s="3"/>
      <c r="V70" s="13"/>
      <c r="W70" s="3"/>
      <c r="X70" s="166" t="b">
        <v>1</v>
      </c>
      <c r="Y70" s="7"/>
      <c r="Z70" s="13"/>
      <c r="AA70" s="7" t="b">
        <v>0</v>
      </c>
      <c r="AB70" s="7"/>
      <c r="AC70" s="257">
        <v>135.0</v>
      </c>
      <c r="AD70" s="166"/>
      <c r="AE70" s="258">
        <v>228.6</v>
      </c>
      <c r="AF70" s="7" t="b">
        <v>0</v>
      </c>
      <c r="AG70" s="7" t="b">
        <v>0</v>
      </c>
      <c r="AH70" s="166"/>
      <c r="AI70" s="13"/>
      <c r="AJ70" s="3"/>
      <c r="AK70" s="13" t="s">
        <v>228</v>
      </c>
      <c r="AL70" s="3"/>
      <c r="AM70" s="3" t="s">
        <v>332</v>
      </c>
      <c r="AN70" s="3" t="s">
        <v>333</v>
      </c>
      <c r="AO70" s="3" t="s">
        <v>482</v>
      </c>
      <c r="AP70" s="3" t="s">
        <v>482</v>
      </c>
      <c r="AQ70" s="3" t="s">
        <v>482</v>
      </c>
      <c r="AR70" s="3" t="s">
        <v>482</v>
      </c>
      <c r="AS70" s="98"/>
      <c r="AT70" s="98"/>
      <c r="AU70" s="98"/>
      <c r="AV70" s="98"/>
      <c r="AW70" s="98"/>
      <c r="AX70" s="98"/>
      <c r="AY70" s="98"/>
      <c r="AZ70" s="98"/>
    </row>
    <row r="71">
      <c r="A71" s="3" t="s">
        <v>394</v>
      </c>
      <c r="B71" s="36">
        <v>44697.0</v>
      </c>
      <c r="C71" s="91">
        <v>0.2023611111111111</v>
      </c>
      <c r="D71" s="13"/>
      <c r="E71" s="13"/>
      <c r="F71" s="3"/>
      <c r="G71" s="3"/>
      <c r="H71" s="3"/>
      <c r="I71" s="13"/>
      <c r="J71" s="13"/>
      <c r="K71" s="13" t="s">
        <v>228</v>
      </c>
      <c r="L71" s="36">
        <v>44697.0</v>
      </c>
      <c r="M71" s="91">
        <v>0.3611111111111111</v>
      </c>
      <c r="N71" s="3"/>
      <c r="O71" s="3"/>
      <c r="P71" s="7" t="b">
        <v>0</v>
      </c>
      <c r="Q71" s="7" t="s">
        <v>481</v>
      </c>
      <c r="R71" s="166" t="b">
        <v>0</v>
      </c>
      <c r="S71" s="166">
        <v>3.0</v>
      </c>
      <c r="T71" s="7">
        <v>1.0</v>
      </c>
      <c r="U71" s="3"/>
      <c r="V71" s="13"/>
      <c r="W71" s="3"/>
      <c r="X71" s="166" t="b">
        <v>0</v>
      </c>
      <c r="Y71" s="7"/>
      <c r="Z71" s="13"/>
      <c r="AA71" s="7" t="b">
        <v>0</v>
      </c>
      <c r="AB71" s="7"/>
      <c r="AC71" s="257">
        <v>136.0</v>
      </c>
      <c r="AD71" s="166"/>
      <c r="AE71" s="258">
        <v>228.6</v>
      </c>
      <c r="AF71" s="7" t="b">
        <v>0</v>
      </c>
      <c r="AG71" s="7" t="b">
        <v>0</v>
      </c>
      <c r="AH71" s="166"/>
      <c r="AI71" s="13"/>
      <c r="AJ71" s="3"/>
      <c r="AK71" s="13" t="s">
        <v>228</v>
      </c>
      <c r="AL71" s="3"/>
      <c r="AM71" s="3" t="s">
        <v>332</v>
      </c>
      <c r="AN71" s="3" t="s">
        <v>335</v>
      </c>
      <c r="AO71" s="3" t="s">
        <v>482</v>
      </c>
      <c r="AP71" s="3" t="s">
        <v>482</v>
      </c>
      <c r="AQ71" s="3" t="s">
        <v>482</v>
      </c>
      <c r="AR71" s="3" t="s">
        <v>482</v>
      </c>
      <c r="AS71" s="98"/>
      <c r="AT71" s="98"/>
      <c r="AU71" s="98"/>
      <c r="AV71" s="98"/>
      <c r="AW71" s="98"/>
      <c r="AX71" s="98"/>
      <c r="AY71" s="98"/>
      <c r="AZ71" s="98"/>
    </row>
    <row r="72">
      <c r="A72" s="3" t="s">
        <v>394</v>
      </c>
      <c r="B72" s="36">
        <v>44697.0</v>
      </c>
      <c r="C72" s="91">
        <v>0.2023611111111111</v>
      </c>
      <c r="D72" s="13"/>
      <c r="E72" s="13"/>
      <c r="F72" s="3"/>
      <c r="G72" s="3"/>
      <c r="H72" s="3"/>
      <c r="I72" s="13"/>
      <c r="J72" s="13"/>
      <c r="K72" s="13" t="s">
        <v>228</v>
      </c>
      <c r="L72" s="36">
        <v>44697.0</v>
      </c>
      <c r="M72" s="91">
        <v>0.3611111111111111</v>
      </c>
      <c r="N72" s="3"/>
      <c r="O72" s="3"/>
      <c r="P72" s="7" t="b">
        <v>0</v>
      </c>
      <c r="Q72" s="7" t="s">
        <v>481</v>
      </c>
      <c r="R72" s="166" t="b">
        <v>0</v>
      </c>
      <c r="S72" s="166">
        <v>3.0</v>
      </c>
      <c r="T72" s="7">
        <v>1.0</v>
      </c>
      <c r="U72" s="3"/>
      <c r="V72" s="13"/>
      <c r="W72" s="3"/>
      <c r="X72" s="166" t="b">
        <v>0</v>
      </c>
      <c r="Y72" s="7"/>
      <c r="Z72" s="13"/>
      <c r="AA72" s="7" t="b">
        <v>0</v>
      </c>
      <c r="AB72" s="7"/>
      <c r="AC72" s="257">
        <v>135.0</v>
      </c>
      <c r="AD72" s="166"/>
      <c r="AE72" s="258">
        <v>228.6</v>
      </c>
      <c r="AF72" s="7" t="b">
        <v>0</v>
      </c>
      <c r="AG72" s="7" t="b">
        <v>0</v>
      </c>
      <c r="AH72" s="166"/>
      <c r="AI72" s="13"/>
      <c r="AJ72" s="3"/>
      <c r="AK72" s="13" t="s">
        <v>228</v>
      </c>
      <c r="AL72" s="3"/>
      <c r="AM72" s="3" t="s">
        <v>332</v>
      </c>
      <c r="AN72" s="3" t="s">
        <v>339</v>
      </c>
      <c r="AO72" s="3" t="s">
        <v>482</v>
      </c>
      <c r="AP72" s="3" t="s">
        <v>482</v>
      </c>
      <c r="AQ72" s="3" t="s">
        <v>482</v>
      </c>
      <c r="AR72" s="3" t="s">
        <v>482</v>
      </c>
      <c r="AS72" s="98"/>
      <c r="AT72" s="98"/>
      <c r="AU72" s="98"/>
      <c r="AV72" s="98"/>
      <c r="AW72" s="98"/>
      <c r="AX72" s="98"/>
      <c r="AY72" s="98"/>
      <c r="AZ72" s="98"/>
    </row>
    <row r="73">
      <c r="A73" s="3" t="s">
        <v>395</v>
      </c>
      <c r="B73" s="36">
        <v>44697.0</v>
      </c>
      <c r="C73" s="91">
        <v>0.20684027777777778</v>
      </c>
      <c r="D73" s="13"/>
      <c r="E73" s="13"/>
      <c r="F73" s="3"/>
      <c r="G73" s="3"/>
      <c r="H73" s="3"/>
      <c r="I73" s="13"/>
      <c r="J73" s="13"/>
      <c r="K73" s="13" t="s">
        <v>228</v>
      </c>
      <c r="L73" s="36">
        <v>44697.0</v>
      </c>
      <c r="M73" s="91">
        <v>0.3611111111111111</v>
      </c>
      <c r="N73" s="3"/>
      <c r="O73" s="3"/>
      <c r="P73" s="7" t="b">
        <v>0</v>
      </c>
      <c r="Q73" s="7" t="s">
        <v>481</v>
      </c>
      <c r="R73" s="166" t="b">
        <v>1</v>
      </c>
      <c r="S73" s="166">
        <v>2.0</v>
      </c>
      <c r="T73" s="7"/>
      <c r="U73" s="3"/>
      <c r="V73" s="13"/>
      <c r="W73" s="3"/>
      <c r="X73" s="166" t="b">
        <v>0</v>
      </c>
      <c r="Y73" s="7"/>
      <c r="Z73" s="13"/>
      <c r="AA73" s="7" t="b">
        <v>0</v>
      </c>
      <c r="AB73" s="7"/>
      <c r="AC73" s="257">
        <v>138.0</v>
      </c>
      <c r="AD73" s="166"/>
      <c r="AE73" s="258">
        <v>222.14999999999998</v>
      </c>
      <c r="AF73" s="7" t="b">
        <v>0</v>
      </c>
      <c r="AG73" s="7" t="b">
        <v>0</v>
      </c>
      <c r="AH73" s="166"/>
      <c r="AI73" s="13"/>
      <c r="AJ73" s="3"/>
      <c r="AK73" s="13" t="s">
        <v>228</v>
      </c>
      <c r="AL73" s="3"/>
      <c r="AM73" s="3" t="s">
        <v>316</v>
      </c>
      <c r="AN73" s="3" t="s">
        <v>317</v>
      </c>
      <c r="AO73" s="3" t="s">
        <v>482</v>
      </c>
      <c r="AP73" s="3" t="s">
        <v>482</v>
      </c>
      <c r="AQ73" s="3" t="s">
        <v>482</v>
      </c>
      <c r="AR73" s="3" t="s">
        <v>482</v>
      </c>
      <c r="AS73" s="98"/>
      <c r="AT73" s="98"/>
      <c r="AU73" s="98"/>
      <c r="AV73" s="98"/>
      <c r="AW73" s="98"/>
      <c r="AX73" s="98"/>
      <c r="AY73" s="98"/>
      <c r="AZ73" s="98"/>
    </row>
    <row r="74">
      <c r="A74" s="3" t="s">
        <v>395</v>
      </c>
      <c r="B74" s="36">
        <v>44697.0</v>
      </c>
      <c r="C74" s="91">
        <v>0.20684027777777778</v>
      </c>
      <c r="D74" s="13"/>
      <c r="E74" s="13"/>
      <c r="F74" s="3"/>
      <c r="G74" s="3"/>
      <c r="H74" s="3"/>
      <c r="I74" s="13"/>
      <c r="J74" s="13"/>
      <c r="K74" s="13" t="s">
        <v>228</v>
      </c>
      <c r="L74" s="36">
        <v>44697.0</v>
      </c>
      <c r="M74" s="91">
        <v>0.3611111111111111</v>
      </c>
      <c r="N74" s="3"/>
      <c r="O74" s="3"/>
      <c r="P74" s="7" t="b">
        <v>0</v>
      </c>
      <c r="Q74" s="7" t="s">
        <v>481</v>
      </c>
      <c r="R74" s="166" t="b">
        <v>0</v>
      </c>
      <c r="S74" s="166">
        <v>2.0</v>
      </c>
      <c r="T74" s="7"/>
      <c r="U74" s="3"/>
      <c r="V74" s="13"/>
      <c r="W74" s="3"/>
      <c r="X74" s="166" t="b">
        <v>0</v>
      </c>
      <c r="Y74" s="7"/>
      <c r="Z74" s="13"/>
      <c r="AA74" s="7" t="b">
        <v>0</v>
      </c>
      <c r="AB74" s="7"/>
      <c r="AC74" s="257">
        <v>137.0</v>
      </c>
      <c r="AD74" s="166"/>
      <c r="AE74" s="258">
        <v>222.14999999999998</v>
      </c>
      <c r="AF74" s="7" t="b">
        <v>0</v>
      </c>
      <c r="AG74" s="7" t="b">
        <v>0</v>
      </c>
      <c r="AH74" s="166"/>
      <c r="AI74" s="13"/>
      <c r="AJ74" s="3"/>
      <c r="AK74" s="13" t="s">
        <v>228</v>
      </c>
      <c r="AL74" s="3"/>
      <c r="AM74" s="3" t="s">
        <v>316</v>
      </c>
      <c r="AN74" s="3" t="s">
        <v>319</v>
      </c>
      <c r="AO74" s="3" t="s">
        <v>482</v>
      </c>
      <c r="AP74" s="3" t="s">
        <v>482</v>
      </c>
      <c r="AQ74" s="3" t="s">
        <v>482</v>
      </c>
      <c r="AR74" s="3" t="s">
        <v>482</v>
      </c>
      <c r="AS74" s="98"/>
      <c r="AT74" s="98"/>
      <c r="AU74" s="98"/>
      <c r="AV74" s="98"/>
      <c r="AW74" s="98"/>
      <c r="AX74" s="98"/>
      <c r="AY74" s="98"/>
      <c r="AZ74" s="98"/>
    </row>
    <row r="75">
      <c r="A75" s="3" t="s">
        <v>396</v>
      </c>
      <c r="B75" s="36">
        <v>44697.0</v>
      </c>
      <c r="C75" s="91">
        <v>0.20903935185185185</v>
      </c>
      <c r="D75" s="13"/>
      <c r="E75" s="13"/>
      <c r="F75" s="3"/>
      <c r="G75" s="3"/>
      <c r="H75" s="3"/>
      <c r="I75" s="13"/>
      <c r="J75" s="13"/>
      <c r="K75" s="13" t="s">
        <v>228</v>
      </c>
      <c r="L75" s="36">
        <v>44697.0</v>
      </c>
      <c r="M75" s="91">
        <v>0.3611111111111111</v>
      </c>
      <c r="N75" s="3"/>
      <c r="O75" s="3"/>
      <c r="P75" s="7" t="b">
        <v>0</v>
      </c>
      <c r="Q75" s="7" t="s">
        <v>481</v>
      </c>
      <c r="R75" s="166" t="b">
        <v>1</v>
      </c>
      <c r="S75" s="166">
        <v>4.0</v>
      </c>
      <c r="T75" s="7">
        <v>2.0</v>
      </c>
      <c r="U75" s="3"/>
      <c r="V75" s="13"/>
      <c r="W75" s="3"/>
      <c r="X75" s="166" t="b">
        <v>0</v>
      </c>
      <c r="Y75" s="7"/>
      <c r="Z75" s="13"/>
      <c r="AA75" s="7" t="b">
        <v>0</v>
      </c>
      <c r="AB75" s="7"/>
      <c r="AC75" s="257">
        <v>139.0</v>
      </c>
      <c r="AD75" s="166"/>
      <c r="AE75" s="258">
        <v>218.98333333333332</v>
      </c>
      <c r="AF75" s="7" t="b">
        <v>0</v>
      </c>
      <c r="AG75" s="7" t="b">
        <v>0</v>
      </c>
      <c r="AH75" s="166"/>
      <c r="AI75" s="13"/>
      <c r="AJ75" s="3"/>
      <c r="AK75" s="13" t="s">
        <v>228</v>
      </c>
      <c r="AL75" s="3"/>
      <c r="AM75" s="3" t="s">
        <v>397</v>
      </c>
      <c r="AN75" s="3" t="s">
        <v>398</v>
      </c>
      <c r="AO75" s="3" t="s">
        <v>482</v>
      </c>
      <c r="AP75" s="3" t="s">
        <v>482</v>
      </c>
      <c r="AQ75" s="3" t="s">
        <v>482</v>
      </c>
      <c r="AR75" s="3" t="s">
        <v>482</v>
      </c>
      <c r="AS75" s="98"/>
      <c r="AT75" s="98"/>
      <c r="AU75" s="98"/>
      <c r="AV75" s="98"/>
      <c r="AW75" s="98"/>
      <c r="AX75" s="98"/>
      <c r="AY75" s="98"/>
      <c r="AZ75" s="98"/>
    </row>
    <row r="76">
      <c r="A76" s="3" t="s">
        <v>396</v>
      </c>
      <c r="B76" s="36">
        <v>44697.0</v>
      </c>
      <c r="C76" s="91">
        <v>0.20903935185185185</v>
      </c>
      <c r="D76" s="13"/>
      <c r="E76" s="13"/>
      <c r="F76" s="3"/>
      <c r="G76" s="3"/>
      <c r="H76" s="3"/>
      <c r="I76" s="13"/>
      <c r="J76" s="13"/>
      <c r="K76" s="13" t="s">
        <v>228</v>
      </c>
      <c r="L76" s="36">
        <v>44697.0</v>
      </c>
      <c r="M76" s="91">
        <v>0.3611111111111111</v>
      </c>
      <c r="N76" s="3"/>
      <c r="O76" s="3"/>
      <c r="P76" s="7" t="b">
        <v>0</v>
      </c>
      <c r="Q76" s="7" t="s">
        <v>481</v>
      </c>
      <c r="R76" s="166" t="b">
        <v>0</v>
      </c>
      <c r="S76" s="166">
        <v>4.0</v>
      </c>
      <c r="T76" s="7">
        <v>2.0</v>
      </c>
      <c r="U76" s="3"/>
      <c r="V76" s="13"/>
      <c r="W76" s="3"/>
      <c r="X76" s="166" t="b">
        <v>0</v>
      </c>
      <c r="Y76" s="7"/>
      <c r="Z76" s="13"/>
      <c r="AA76" s="7" t="b">
        <v>0</v>
      </c>
      <c r="AB76" s="7"/>
      <c r="AC76" s="257">
        <v>140.0</v>
      </c>
      <c r="AD76" s="166"/>
      <c r="AE76" s="258">
        <v>218.98333333333332</v>
      </c>
      <c r="AF76" s="7" t="b">
        <v>0</v>
      </c>
      <c r="AG76" s="7" t="b">
        <v>0</v>
      </c>
      <c r="AH76" s="166"/>
      <c r="AI76" s="13"/>
      <c r="AJ76" s="3"/>
      <c r="AK76" s="13" t="s">
        <v>228</v>
      </c>
      <c r="AL76" s="3"/>
      <c r="AM76" s="3" t="s">
        <v>397</v>
      </c>
      <c r="AN76" s="3" t="s">
        <v>399</v>
      </c>
      <c r="AO76" s="3" t="s">
        <v>482</v>
      </c>
      <c r="AP76" s="3" t="s">
        <v>482</v>
      </c>
      <c r="AQ76" s="3" t="s">
        <v>482</v>
      </c>
      <c r="AR76" s="3" t="s">
        <v>482</v>
      </c>
      <c r="AS76" s="98"/>
      <c r="AT76" s="98"/>
      <c r="AU76" s="98"/>
      <c r="AV76" s="98"/>
      <c r="AW76" s="98"/>
      <c r="AX76" s="98"/>
      <c r="AY76" s="98"/>
      <c r="AZ76" s="98"/>
    </row>
    <row r="77">
      <c r="A77" s="3" t="s">
        <v>396</v>
      </c>
      <c r="B77" s="36">
        <v>44697.0</v>
      </c>
      <c r="C77" s="91">
        <v>0.20903935185185185</v>
      </c>
      <c r="D77" s="13"/>
      <c r="E77" s="13"/>
      <c r="F77" s="3"/>
      <c r="G77" s="3"/>
      <c r="H77" s="3"/>
      <c r="I77" s="13"/>
      <c r="J77" s="13"/>
      <c r="K77" s="13" t="s">
        <v>228</v>
      </c>
      <c r="L77" s="36">
        <v>44697.0</v>
      </c>
      <c r="M77" s="91">
        <v>0.3611111111111111</v>
      </c>
      <c r="N77" s="3"/>
      <c r="O77" s="3"/>
      <c r="P77" s="7" t="b">
        <v>0</v>
      </c>
      <c r="Q77" s="7" t="s">
        <v>481</v>
      </c>
      <c r="R77" s="166" t="b">
        <v>0</v>
      </c>
      <c r="S77" s="166">
        <v>4.0</v>
      </c>
      <c r="T77" s="7">
        <v>2.0</v>
      </c>
      <c r="U77" s="3"/>
      <c r="V77" s="13"/>
      <c r="W77" s="3"/>
      <c r="X77" s="166" t="b">
        <v>0</v>
      </c>
      <c r="Y77" s="7"/>
      <c r="Z77" s="13"/>
      <c r="AA77" s="7" t="b">
        <v>0</v>
      </c>
      <c r="AB77" s="7"/>
      <c r="AC77" s="257">
        <v>139.0</v>
      </c>
      <c r="AD77" s="166"/>
      <c r="AE77" s="258">
        <v>218.98333333333332</v>
      </c>
      <c r="AF77" s="7" t="b">
        <v>0</v>
      </c>
      <c r="AG77" s="7" t="b">
        <v>0</v>
      </c>
      <c r="AH77" s="166"/>
      <c r="AI77" s="13"/>
      <c r="AJ77" s="3"/>
      <c r="AK77" s="13" t="s">
        <v>228</v>
      </c>
      <c r="AL77" s="3"/>
      <c r="AM77" s="3" t="s">
        <v>397</v>
      </c>
      <c r="AN77" s="3" t="s">
        <v>400</v>
      </c>
      <c r="AO77" s="3" t="s">
        <v>482</v>
      </c>
      <c r="AP77" s="3" t="s">
        <v>482</v>
      </c>
      <c r="AQ77" s="3" t="s">
        <v>482</v>
      </c>
      <c r="AR77" s="3" t="s">
        <v>482</v>
      </c>
      <c r="AS77" s="98"/>
      <c r="AT77" s="98"/>
      <c r="AU77" s="98"/>
      <c r="AV77" s="98"/>
      <c r="AW77" s="98"/>
      <c r="AX77" s="98"/>
      <c r="AY77" s="98"/>
      <c r="AZ77" s="98"/>
    </row>
    <row r="78">
      <c r="A78" s="3" t="s">
        <v>396</v>
      </c>
      <c r="B78" s="36">
        <v>44697.0</v>
      </c>
      <c r="C78" s="91">
        <v>0.20903935185185185</v>
      </c>
      <c r="D78" s="13"/>
      <c r="E78" s="13"/>
      <c r="F78" s="3"/>
      <c r="G78" s="3"/>
      <c r="H78" s="3"/>
      <c r="I78" s="13"/>
      <c r="J78" s="13"/>
      <c r="K78" s="13" t="s">
        <v>228</v>
      </c>
      <c r="L78" s="36">
        <v>44697.0</v>
      </c>
      <c r="M78" s="91">
        <v>0.3611111111111111</v>
      </c>
      <c r="N78" s="3"/>
      <c r="O78" s="3"/>
      <c r="P78" s="7" t="b">
        <v>0</v>
      </c>
      <c r="Q78" s="7" t="s">
        <v>481</v>
      </c>
      <c r="R78" s="166" t="b">
        <v>0</v>
      </c>
      <c r="S78" s="166">
        <v>4.0</v>
      </c>
      <c r="T78" s="7">
        <v>2.0</v>
      </c>
      <c r="U78" s="3"/>
      <c r="V78" s="13"/>
      <c r="W78" s="3"/>
      <c r="X78" s="166" t="b">
        <v>0</v>
      </c>
      <c r="Y78" s="7"/>
      <c r="Z78" s="13"/>
      <c r="AA78" s="7" t="b">
        <v>0</v>
      </c>
      <c r="AB78" s="7"/>
      <c r="AC78" s="257">
        <v>140.0</v>
      </c>
      <c r="AD78" s="166"/>
      <c r="AE78" s="258">
        <v>218.98333333333332</v>
      </c>
      <c r="AF78" s="7" t="b">
        <v>0</v>
      </c>
      <c r="AG78" s="7" t="b">
        <v>0</v>
      </c>
      <c r="AH78" s="166"/>
      <c r="AI78" s="13"/>
      <c r="AJ78" s="3"/>
      <c r="AK78" s="13" t="s">
        <v>228</v>
      </c>
      <c r="AL78" s="3"/>
      <c r="AM78" s="3" t="s">
        <v>397</v>
      </c>
      <c r="AN78" s="3" t="s">
        <v>401</v>
      </c>
      <c r="AO78" s="3" t="s">
        <v>482</v>
      </c>
      <c r="AP78" s="3" t="s">
        <v>482</v>
      </c>
      <c r="AQ78" s="3" t="s">
        <v>482</v>
      </c>
      <c r="AR78" s="3" t="s">
        <v>482</v>
      </c>
      <c r="AS78" s="98"/>
      <c r="AT78" s="98"/>
      <c r="AU78" s="98"/>
      <c r="AV78" s="98"/>
      <c r="AW78" s="98"/>
      <c r="AX78" s="98"/>
      <c r="AY78" s="98"/>
      <c r="AZ78" s="98"/>
    </row>
    <row r="79">
      <c r="A79" s="3" t="s">
        <v>402</v>
      </c>
      <c r="B79" s="36">
        <v>44697.0</v>
      </c>
      <c r="C79" s="91">
        <v>0.26893518518518517</v>
      </c>
      <c r="D79" s="13"/>
      <c r="E79" s="13"/>
      <c r="F79" s="3"/>
      <c r="G79" s="3"/>
      <c r="H79" s="3"/>
      <c r="I79" s="13"/>
      <c r="J79" s="13"/>
      <c r="K79" s="13" t="s">
        <v>228</v>
      </c>
      <c r="L79" s="36">
        <v>44697.0</v>
      </c>
      <c r="M79" s="91">
        <v>0.3611111111111111</v>
      </c>
      <c r="N79" s="3"/>
      <c r="O79" s="3"/>
      <c r="P79" s="7" t="b">
        <v>0</v>
      </c>
      <c r="Q79" s="7" t="s">
        <v>481</v>
      </c>
      <c r="R79" s="166" t="b">
        <v>1</v>
      </c>
      <c r="S79" s="166">
        <v>1.0</v>
      </c>
      <c r="T79" s="7"/>
      <c r="U79" s="3"/>
      <c r="V79" s="13"/>
      <c r="W79" s="3"/>
      <c r="X79" s="166" t="b">
        <v>0</v>
      </c>
      <c r="Y79" s="7"/>
      <c r="Z79" s="13"/>
      <c r="AA79" s="7" t="b">
        <v>0</v>
      </c>
      <c r="AB79" s="7"/>
      <c r="AC79" s="257">
        <v>141.0</v>
      </c>
      <c r="AD79" s="166"/>
      <c r="AE79" s="258">
        <v>132.73333333333335</v>
      </c>
      <c r="AF79" s="7" t="b">
        <v>0</v>
      </c>
      <c r="AG79" s="7" t="b">
        <v>0</v>
      </c>
      <c r="AH79" s="166"/>
      <c r="AI79" s="13"/>
      <c r="AJ79" s="3"/>
      <c r="AK79" s="13" t="s">
        <v>228</v>
      </c>
      <c r="AL79" s="3"/>
      <c r="AM79" s="3" t="s">
        <v>361</v>
      </c>
      <c r="AN79" s="3" t="s">
        <v>362</v>
      </c>
      <c r="AO79" s="3" t="s">
        <v>482</v>
      </c>
      <c r="AP79" s="3" t="s">
        <v>482</v>
      </c>
      <c r="AQ79" s="3" t="s">
        <v>482</v>
      </c>
      <c r="AR79" s="3" t="s">
        <v>482</v>
      </c>
      <c r="AS79" s="98"/>
      <c r="AT79" s="98"/>
      <c r="AU79" s="98"/>
      <c r="AV79" s="98"/>
      <c r="AW79" s="98"/>
      <c r="AX79" s="98"/>
      <c r="AY79" s="98"/>
      <c r="AZ79" s="98"/>
    </row>
    <row r="80">
      <c r="A80" s="3" t="s">
        <v>403</v>
      </c>
      <c r="B80" s="36">
        <v>44697.0</v>
      </c>
      <c r="C80" s="91">
        <v>0.31871527777777775</v>
      </c>
      <c r="D80" s="13"/>
      <c r="E80" s="13"/>
      <c r="F80" s="3"/>
      <c r="G80" s="3"/>
      <c r="H80" s="3"/>
      <c r="I80" s="13"/>
      <c r="J80" s="13"/>
      <c r="K80" s="13" t="s">
        <v>228</v>
      </c>
      <c r="L80" s="36">
        <v>44697.0</v>
      </c>
      <c r="M80" s="91">
        <v>0.3611111111111111</v>
      </c>
      <c r="N80" s="3"/>
      <c r="O80" s="3"/>
      <c r="P80" s="7" t="b">
        <v>0</v>
      </c>
      <c r="Q80" s="7" t="s">
        <v>481</v>
      </c>
      <c r="R80" s="166" t="b">
        <v>1</v>
      </c>
      <c r="S80" s="166">
        <v>1.0</v>
      </c>
      <c r="T80" s="7">
        <v>1.0</v>
      </c>
      <c r="U80" s="3"/>
      <c r="V80" s="13"/>
      <c r="W80" s="3"/>
      <c r="X80" s="166" t="b">
        <v>1</v>
      </c>
      <c r="Y80" s="7"/>
      <c r="Z80" s="13"/>
      <c r="AA80" s="7" t="b">
        <v>0</v>
      </c>
      <c r="AB80" s="7"/>
      <c r="AC80" s="257">
        <v>142.0</v>
      </c>
      <c r="AD80" s="166"/>
      <c r="AE80" s="258">
        <v>61.05000000000003</v>
      </c>
      <c r="AF80" s="7" t="b">
        <v>0</v>
      </c>
      <c r="AG80" s="7" t="b">
        <v>0</v>
      </c>
      <c r="AH80" s="166"/>
      <c r="AI80" s="13"/>
      <c r="AJ80" s="3"/>
      <c r="AK80" s="13" t="s">
        <v>228</v>
      </c>
      <c r="AL80" s="3"/>
      <c r="AM80" s="3" t="s">
        <v>365</v>
      </c>
      <c r="AN80" s="3" t="s">
        <v>404</v>
      </c>
      <c r="AO80" s="3" t="s">
        <v>482</v>
      </c>
      <c r="AP80" s="3" t="s">
        <v>482</v>
      </c>
      <c r="AQ80" s="3" t="s">
        <v>482</v>
      </c>
      <c r="AR80" s="3" t="s">
        <v>482</v>
      </c>
      <c r="AS80" s="98"/>
      <c r="AT80" s="98"/>
      <c r="AU80" s="98"/>
      <c r="AV80" s="98"/>
      <c r="AW80" s="98"/>
      <c r="AX80" s="98"/>
      <c r="AY80" s="98"/>
      <c r="AZ80" s="98"/>
    </row>
    <row r="81">
      <c r="A81" s="3" t="s">
        <v>405</v>
      </c>
      <c r="B81" s="36">
        <v>44697.0</v>
      </c>
      <c r="C81" s="91">
        <v>0.3221527777777778</v>
      </c>
      <c r="D81" s="13"/>
      <c r="E81" s="13"/>
      <c r="F81" s="3"/>
      <c r="G81" s="3"/>
      <c r="H81" s="3"/>
      <c r="I81" s="13"/>
      <c r="J81" s="13"/>
      <c r="K81" s="13" t="s">
        <v>228</v>
      </c>
      <c r="L81" s="36">
        <v>44697.0</v>
      </c>
      <c r="M81" s="91">
        <v>0.3611226851851852</v>
      </c>
      <c r="N81" s="3"/>
      <c r="O81" s="3"/>
      <c r="P81" s="7" t="b">
        <v>0</v>
      </c>
      <c r="Q81" s="7" t="s">
        <v>481</v>
      </c>
      <c r="R81" s="166" t="b">
        <v>1</v>
      </c>
      <c r="S81" s="166">
        <v>3.0</v>
      </c>
      <c r="T81" s="7"/>
      <c r="U81" s="3"/>
      <c r="V81" s="13"/>
      <c r="W81" s="3"/>
      <c r="X81" s="166" t="b">
        <v>0</v>
      </c>
      <c r="Y81" s="7"/>
      <c r="Z81" s="13"/>
      <c r="AA81" s="7" t="b">
        <v>0</v>
      </c>
      <c r="AB81" s="7"/>
      <c r="AC81" s="257">
        <v>144.0</v>
      </c>
      <c r="AD81" s="166"/>
      <c r="AE81" s="258">
        <v>56.116666666666674</v>
      </c>
      <c r="AF81" s="7" t="b">
        <v>0</v>
      </c>
      <c r="AG81" s="7" t="b">
        <v>0</v>
      </c>
      <c r="AH81" s="166"/>
      <c r="AI81" s="13"/>
      <c r="AJ81" s="3"/>
      <c r="AK81" s="13" t="s">
        <v>228</v>
      </c>
      <c r="AL81" s="3"/>
      <c r="AM81" s="3" t="s">
        <v>406</v>
      </c>
      <c r="AN81" s="3" t="s">
        <v>323</v>
      </c>
      <c r="AO81" s="3" t="s">
        <v>482</v>
      </c>
      <c r="AP81" s="3" t="s">
        <v>482</v>
      </c>
      <c r="AQ81" s="3" t="s">
        <v>482</v>
      </c>
      <c r="AR81" s="3" t="s">
        <v>482</v>
      </c>
      <c r="AS81" s="98"/>
      <c r="AT81" s="98"/>
      <c r="AU81" s="98"/>
      <c r="AV81" s="98"/>
      <c r="AW81" s="98"/>
      <c r="AX81" s="98"/>
      <c r="AY81" s="98"/>
      <c r="AZ81" s="98"/>
    </row>
    <row r="82">
      <c r="A82" s="3" t="s">
        <v>405</v>
      </c>
      <c r="B82" s="36">
        <v>44697.0</v>
      </c>
      <c r="C82" s="91">
        <v>0.3221527777777778</v>
      </c>
      <c r="D82" s="13"/>
      <c r="E82" s="13"/>
      <c r="F82" s="3"/>
      <c r="G82" s="3"/>
      <c r="H82" s="3"/>
      <c r="I82" s="13"/>
      <c r="J82" s="13"/>
      <c r="K82" s="13" t="s">
        <v>228</v>
      </c>
      <c r="L82" s="36">
        <v>44697.0</v>
      </c>
      <c r="M82" s="91">
        <v>0.3611226851851852</v>
      </c>
      <c r="N82" s="3"/>
      <c r="O82" s="3"/>
      <c r="P82" s="7" t="b">
        <v>0</v>
      </c>
      <c r="Q82" s="7" t="s">
        <v>481</v>
      </c>
      <c r="R82" s="166" t="b">
        <v>0</v>
      </c>
      <c r="S82" s="166">
        <v>3.0</v>
      </c>
      <c r="T82" s="7"/>
      <c r="U82" s="3"/>
      <c r="V82" s="13"/>
      <c r="W82" s="3"/>
      <c r="X82" s="166" t="b">
        <v>0</v>
      </c>
      <c r="Y82" s="7"/>
      <c r="Z82" s="13"/>
      <c r="AA82" s="7" t="b">
        <v>0</v>
      </c>
      <c r="AB82" s="7"/>
      <c r="AC82" s="257">
        <v>145.0</v>
      </c>
      <c r="AD82" s="166"/>
      <c r="AE82" s="258">
        <v>56.116666666666674</v>
      </c>
      <c r="AF82" s="7" t="b">
        <v>0</v>
      </c>
      <c r="AG82" s="7" t="b">
        <v>0</v>
      </c>
      <c r="AH82" s="166"/>
      <c r="AI82" s="13"/>
      <c r="AJ82" s="3"/>
      <c r="AK82" s="13" t="s">
        <v>228</v>
      </c>
      <c r="AL82" s="3"/>
      <c r="AM82" s="3" t="s">
        <v>406</v>
      </c>
      <c r="AN82" s="3" t="s">
        <v>387</v>
      </c>
      <c r="AO82" s="3" t="s">
        <v>482</v>
      </c>
      <c r="AP82" s="3" t="s">
        <v>482</v>
      </c>
      <c r="AQ82" s="3" t="s">
        <v>482</v>
      </c>
      <c r="AR82" s="3" t="s">
        <v>482</v>
      </c>
      <c r="AS82" s="98"/>
      <c r="AT82" s="98"/>
      <c r="AU82" s="98"/>
      <c r="AV82" s="98"/>
      <c r="AW82" s="98"/>
      <c r="AX82" s="98"/>
      <c r="AY82" s="98"/>
      <c r="AZ82" s="98"/>
    </row>
    <row r="83">
      <c r="A83" s="3" t="s">
        <v>405</v>
      </c>
      <c r="B83" s="36">
        <v>44697.0</v>
      </c>
      <c r="C83" s="91">
        <v>0.3221527777777778</v>
      </c>
      <c r="D83" s="13"/>
      <c r="E83" s="13"/>
      <c r="F83" s="3"/>
      <c r="G83" s="3"/>
      <c r="H83" s="3"/>
      <c r="I83" s="13"/>
      <c r="J83" s="13"/>
      <c r="K83" s="13" t="s">
        <v>228</v>
      </c>
      <c r="L83" s="36">
        <v>44697.0</v>
      </c>
      <c r="M83" s="91">
        <v>0.3611226851851852</v>
      </c>
      <c r="N83" s="3"/>
      <c r="O83" s="3"/>
      <c r="P83" s="7" t="b">
        <v>0</v>
      </c>
      <c r="Q83" s="7" t="s">
        <v>481</v>
      </c>
      <c r="R83" s="166" t="b">
        <v>0</v>
      </c>
      <c r="S83" s="166">
        <v>3.0</v>
      </c>
      <c r="T83" s="7"/>
      <c r="U83" s="3"/>
      <c r="V83" s="13"/>
      <c r="W83" s="3"/>
      <c r="X83" s="166" t="b">
        <v>0</v>
      </c>
      <c r="Y83" s="7"/>
      <c r="Z83" s="13"/>
      <c r="AA83" s="7" t="b">
        <v>0</v>
      </c>
      <c r="AB83" s="7"/>
      <c r="AC83" s="257">
        <v>143.0</v>
      </c>
      <c r="AD83" s="166"/>
      <c r="AE83" s="258">
        <v>56.116666666666674</v>
      </c>
      <c r="AF83" s="7" t="b">
        <v>0</v>
      </c>
      <c r="AG83" s="7" t="b">
        <v>0</v>
      </c>
      <c r="AH83" s="166"/>
      <c r="AI83" s="13"/>
      <c r="AJ83" s="3"/>
      <c r="AK83" s="13" t="s">
        <v>228</v>
      </c>
      <c r="AL83" s="3"/>
      <c r="AM83" s="3" t="s">
        <v>406</v>
      </c>
      <c r="AN83" s="3" t="s">
        <v>407</v>
      </c>
      <c r="AO83" s="3" t="s">
        <v>482</v>
      </c>
      <c r="AP83" s="3" t="s">
        <v>482</v>
      </c>
      <c r="AQ83" s="3" t="s">
        <v>482</v>
      </c>
      <c r="AR83" s="3" t="s">
        <v>482</v>
      </c>
      <c r="AS83" s="98"/>
      <c r="AT83" s="98"/>
      <c r="AU83" s="98"/>
      <c r="AV83" s="98"/>
      <c r="AW83" s="98"/>
      <c r="AX83" s="98"/>
      <c r="AY83" s="98"/>
      <c r="AZ83" s="98"/>
    </row>
    <row r="84">
      <c r="A84" s="3" t="s">
        <v>409</v>
      </c>
      <c r="B84" s="36">
        <v>44704.0</v>
      </c>
      <c r="C84" s="91">
        <v>0.15653935185185186</v>
      </c>
      <c r="D84" s="13"/>
      <c r="E84" s="13"/>
      <c r="F84" s="3"/>
      <c r="G84" s="3"/>
      <c r="H84" s="3"/>
      <c r="I84" s="13"/>
      <c r="J84" s="13"/>
      <c r="K84" s="13" t="s">
        <v>228</v>
      </c>
      <c r="L84" s="36">
        <v>44704.0</v>
      </c>
      <c r="M84" s="91">
        <v>0.39489583333333333</v>
      </c>
      <c r="N84" s="3"/>
      <c r="O84" s="3"/>
      <c r="P84" s="7" t="b">
        <v>0</v>
      </c>
      <c r="Q84" s="7" t="s">
        <v>481</v>
      </c>
      <c r="R84" s="166" t="b">
        <v>1</v>
      </c>
      <c r="S84" s="166">
        <v>4.0</v>
      </c>
      <c r="T84" s="7"/>
      <c r="U84" s="3"/>
      <c r="V84" s="13"/>
      <c r="W84" s="3"/>
      <c r="X84" s="166" t="b">
        <v>0</v>
      </c>
      <c r="Y84" s="7"/>
      <c r="Z84" s="13"/>
      <c r="AA84" s="7" t="b">
        <v>0</v>
      </c>
      <c r="AB84" s="7"/>
      <c r="AC84" s="257">
        <v>106.0</v>
      </c>
      <c r="AD84" s="166"/>
      <c r="AE84" s="258">
        <v>343.23333333333335</v>
      </c>
      <c r="AF84" s="7" t="b">
        <v>0</v>
      </c>
      <c r="AG84" s="7" t="b">
        <v>0</v>
      </c>
      <c r="AH84" s="166"/>
      <c r="AI84" s="13"/>
      <c r="AJ84" s="3"/>
      <c r="AK84" s="13" t="s">
        <v>228</v>
      </c>
      <c r="AL84" s="3"/>
      <c r="AM84" s="3" t="s">
        <v>274</v>
      </c>
      <c r="AN84" s="3" t="s">
        <v>279</v>
      </c>
      <c r="AO84" s="3" t="s">
        <v>482</v>
      </c>
      <c r="AP84" s="3" t="s">
        <v>482</v>
      </c>
      <c r="AQ84" s="3" t="s">
        <v>482</v>
      </c>
      <c r="AR84" s="3" t="s">
        <v>482</v>
      </c>
      <c r="AS84" s="98"/>
      <c r="AT84" s="98"/>
      <c r="AU84" s="98"/>
      <c r="AV84" s="98"/>
      <c r="AW84" s="98"/>
      <c r="AX84" s="98"/>
      <c r="AY84" s="98"/>
      <c r="AZ84" s="98"/>
    </row>
    <row r="85">
      <c r="A85" s="3" t="s">
        <v>409</v>
      </c>
      <c r="B85" s="36">
        <v>44704.0</v>
      </c>
      <c r="C85" s="91">
        <v>0.15653935185185186</v>
      </c>
      <c r="D85" s="13"/>
      <c r="E85" s="13"/>
      <c r="F85" s="3"/>
      <c r="G85" s="3"/>
      <c r="H85" s="3"/>
      <c r="I85" s="13"/>
      <c r="J85" s="13"/>
      <c r="K85" s="13" t="s">
        <v>228</v>
      </c>
      <c r="L85" s="36">
        <v>44704.0</v>
      </c>
      <c r="M85" s="91">
        <v>0.39489583333333333</v>
      </c>
      <c r="N85" s="3"/>
      <c r="O85" s="3"/>
      <c r="P85" s="7" t="b">
        <v>0</v>
      </c>
      <c r="Q85" s="7" t="s">
        <v>481</v>
      </c>
      <c r="R85" s="166" t="b">
        <v>0</v>
      </c>
      <c r="S85" s="166">
        <v>4.0</v>
      </c>
      <c r="T85" s="7"/>
      <c r="U85" s="3"/>
      <c r="V85" s="13"/>
      <c r="W85" s="3"/>
      <c r="X85" s="166" t="b">
        <v>0</v>
      </c>
      <c r="Y85" s="7"/>
      <c r="Z85" s="13"/>
      <c r="AA85" s="7" t="b">
        <v>0</v>
      </c>
      <c r="AB85" s="7"/>
      <c r="AC85" s="257">
        <v>103.0</v>
      </c>
      <c r="AD85" s="166"/>
      <c r="AE85" s="258">
        <v>343.23333333333335</v>
      </c>
      <c r="AF85" s="7" t="b">
        <v>0</v>
      </c>
      <c r="AG85" s="7" t="b">
        <v>0</v>
      </c>
      <c r="AH85" s="166"/>
      <c r="AI85" s="13"/>
      <c r="AJ85" s="3"/>
      <c r="AK85" s="13" t="s">
        <v>228</v>
      </c>
      <c r="AL85" s="3"/>
      <c r="AM85" s="3" t="s">
        <v>274</v>
      </c>
      <c r="AN85" s="3" t="s">
        <v>281</v>
      </c>
      <c r="AO85" s="3" t="s">
        <v>482</v>
      </c>
      <c r="AP85" s="3" t="s">
        <v>482</v>
      </c>
      <c r="AQ85" s="3" t="s">
        <v>482</v>
      </c>
      <c r="AR85" s="3" t="s">
        <v>482</v>
      </c>
      <c r="AS85" s="98"/>
      <c r="AT85" s="98"/>
      <c r="AU85" s="98"/>
      <c r="AV85" s="98"/>
      <c r="AW85" s="98"/>
      <c r="AX85" s="98"/>
      <c r="AY85" s="98"/>
      <c r="AZ85" s="98"/>
    </row>
    <row r="86">
      <c r="A86" s="3" t="s">
        <v>409</v>
      </c>
      <c r="B86" s="36">
        <v>44704.0</v>
      </c>
      <c r="C86" s="91">
        <v>0.15653935185185186</v>
      </c>
      <c r="D86" s="13"/>
      <c r="E86" s="13"/>
      <c r="F86" s="3"/>
      <c r="G86" s="3"/>
      <c r="H86" s="3"/>
      <c r="I86" s="13"/>
      <c r="J86" s="13"/>
      <c r="K86" s="13" t="s">
        <v>228</v>
      </c>
      <c r="L86" s="36">
        <v>44704.0</v>
      </c>
      <c r="M86" s="91">
        <v>0.39489583333333333</v>
      </c>
      <c r="N86" s="3"/>
      <c r="O86" s="3"/>
      <c r="P86" s="7" t="b">
        <v>0</v>
      </c>
      <c r="Q86" s="7" t="s">
        <v>481</v>
      </c>
      <c r="R86" s="166" t="b">
        <v>0</v>
      </c>
      <c r="S86" s="166">
        <v>4.0</v>
      </c>
      <c r="T86" s="7"/>
      <c r="U86" s="3"/>
      <c r="V86" s="13"/>
      <c r="W86" s="3"/>
      <c r="X86" s="166" t="b">
        <v>0</v>
      </c>
      <c r="Y86" s="7"/>
      <c r="Z86" s="13"/>
      <c r="AA86" s="7" t="b">
        <v>0</v>
      </c>
      <c r="AB86" s="7"/>
      <c r="AC86" s="257">
        <v>104.0</v>
      </c>
      <c r="AD86" s="166"/>
      <c r="AE86" s="258">
        <v>343.23333333333335</v>
      </c>
      <c r="AF86" s="7" t="b">
        <v>0</v>
      </c>
      <c r="AG86" s="7" t="b">
        <v>0</v>
      </c>
      <c r="AH86" s="166"/>
      <c r="AI86" s="13"/>
      <c r="AJ86" s="3"/>
      <c r="AK86" s="13" t="s">
        <v>228</v>
      </c>
      <c r="AL86" s="3"/>
      <c r="AM86" s="3" t="s">
        <v>274</v>
      </c>
      <c r="AN86" s="3" t="s">
        <v>277</v>
      </c>
      <c r="AO86" s="3" t="s">
        <v>482</v>
      </c>
      <c r="AP86" s="3" t="s">
        <v>482</v>
      </c>
      <c r="AQ86" s="3" t="s">
        <v>482</v>
      </c>
      <c r="AR86" s="3" t="s">
        <v>482</v>
      </c>
      <c r="AS86" s="98"/>
      <c r="AT86" s="98"/>
      <c r="AU86" s="98"/>
      <c r="AV86" s="98"/>
      <c r="AW86" s="98"/>
      <c r="AX86" s="98"/>
      <c r="AY86" s="98"/>
      <c r="AZ86" s="98"/>
    </row>
    <row r="87">
      <c r="A87" s="3" t="s">
        <v>409</v>
      </c>
      <c r="B87" s="36">
        <v>44704.0</v>
      </c>
      <c r="C87" s="91">
        <v>0.15653935185185186</v>
      </c>
      <c r="D87" s="13"/>
      <c r="E87" s="13"/>
      <c r="F87" s="3"/>
      <c r="G87" s="3"/>
      <c r="H87" s="3"/>
      <c r="I87" s="13"/>
      <c r="J87" s="13"/>
      <c r="K87" s="13" t="s">
        <v>228</v>
      </c>
      <c r="L87" s="36">
        <v>44704.0</v>
      </c>
      <c r="M87" s="91">
        <v>0.39489583333333333</v>
      </c>
      <c r="N87" s="3"/>
      <c r="O87" s="3"/>
      <c r="P87" s="7" t="b">
        <v>0</v>
      </c>
      <c r="Q87" s="7" t="s">
        <v>481</v>
      </c>
      <c r="R87" s="166" t="b">
        <v>0</v>
      </c>
      <c r="S87" s="166">
        <v>4.0</v>
      </c>
      <c r="T87" s="7"/>
      <c r="U87" s="3"/>
      <c r="V87" s="13"/>
      <c r="W87" s="3"/>
      <c r="X87" s="166" t="b">
        <v>0</v>
      </c>
      <c r="Y87" s="7"/>
      <c r="Z87" s="13"/>
      <c r="AA87" s="7" t="b">
        <v>0</v>
      </c>
      <c r="AB87" s="7"/>
      <c r="AC87" s="257">
        <v>105.0</v>
      </c>
      <c r="AD87" s="166"/>
      <c r="AE87" s="258">
        <v>343.23333333333335</v>
      </c>
      <c r="AF87" s="7" t="b">
        <v>0</v>
      </c>
      <c r="AG87" s="7" t="b">
        <v>0</v>
      </c>
      <c r="AH87" s="166"/>
      <c r="AI87" s="13"/>
      <c r="AJ87" s="3"/>
      <c r="AK87" s="13" t="s">
        <v>228</v>
      </c>
      <c r="AL87" s="3"/>
      <c r="AM87" s="3" t="s">
        <v>274</v>
      </c>
      <c r="AN87" s="3" t="s">
        <v>275</v>
      </c>
      <c r="AO87" s="3" t="s">
        <v>482</v>
      </c>
      <c r="AP87" s="3" t="s">
        <v>482</v>
      </c>
      <c r="AQ87" s="3" t="s">
        <v>482</v>
      </c>
      <c r="AR87" s="3" t="s">
        <v>482</v>
      </c>
      <c r="AS87" s="98"/>
      <c r="AT87" s="98"/>
      <c r="AU87" s="98"/>
      <c r="AV87" s="98"/>
      <c r="AW87" s="98"/>
      <c r="AX87" s="98"/>
      <c r="AY87" s="98"/>
      <c r="AZ87" s="98"/>
    </row>
    <row r="88">
      <c r="A88" s="3" t="s">
        <v>410</v>
      </c>
      <c r="B88" s="36">
        <v>44704.0</v>
      </c>
      <c r="C88" s="91">
        <v>0.17846064814814816</v>
      </c>
      <c r="D88" s="13"/>
      <c r="E88" s="13"/>
      <c r="F88" s="3"/>
      <c r="G88" s="3"/>
      <c r="H88" s="3"/>
      <c r="I88" s="13"/>
      <c r="J88" s="13"/>
      <c r="K88" s="13" t="s">
        <v>228</v>
      </c>
      <c r="L88" s="36">
        <v>44704.0</v>
      </c>
      <c r="M88" s="91">
        <v>0.39490740740740743</v>
      </c>
      <c r="N88" s="3"/>
      <c r="O88" s="3"/>
      <c r="P88" s="7" t="b">
        <v>0</v>
      </c>
      <c r="Q88" s="7" t="s">
        <v>481</v>
      </c>
      <c r="R88" s="166" t="b">
        <v>1</v>
      </c>
      <c r="S88" s="166">
        <v>4.0</v>
      </c>
      <c r="T88" s="7">
        <v>3.0</v>
      </c>
      <c r="U88" s="3"/>
      <c r="V88" s="13"/>
      <c r="W88" s="3"/>
      <c r="X88" s="166" t="b">
        <v>0</v>
      </c>
      <c r="Y88" s="7"/>
      <c r="Z88" s="13"/>
      <c r="AA88" s="7" t="b">
        <v>0</v>
      </c>
      <c r="AB88" s="7"/>
      <c r="AC88" s="257">
        <v>107.0</v>
      </c>
      <c r="AD88" s="166"/>
      <c r="AE88" s="258">
        <v>311.68333333333334</v>
      </c>
      <c r="AF88" s="7" t="b">
        <v>0</v>
      </c>
      <c r="AG88" s="7" t="b">
        <v>0</v>
      </c>
      <c r="AH88" s="166"/>
      <c r="AI88" s="13"/>
      <c r="AJ88" s="3"/>
      <c r="AK88" s="13" t="s">
        <v>228</v>
      </c>
      <c r="AL88" s="3"/>
      <c r="AM88" s="3" t="s">
        <v>284</v>
      </c>
      <c r="AN88" s="3" t="s">
        <v>290</v>
      </c>
      <c r="AO88" s="3" t="s">
        <v>482</v>
      </c>
      <c r="AP88" s="3" t="s">
        <v>482</v>
      </c>
      <c r="AQ88" s="3" t="s">
        <v>482</v>
      </c>
      <c r="AR88" s="3" t="s">
        <v>482</v>
      </c>
      <c r="AS88" s="98"/>
      <c r="AT88" s="98"/>
      <c r="AU88" s="98"/>
      <c r="AV88" s="98"/>
      <c r="AW88" s="98"/>
      <c r="AX88" s="98"/>
      <c r="AY88" s="98"/>
      <c r="AZ88" s="98"/>
    </row>
    <row r="89">
      <c r="A89" s="3" t="s">
        <v>410</v>
      </c>
      <c r="B89" s="36">
        <v>44704.0</v>
      </c>
      <c r="C89" s="91">
        <v>0.17846064814814816</v>
      </c>
      <c r="D89" s="13"/>
      <c r="E89" s="13"/>
      <c r="F89" s="3"/>
      <c r="G89" s="3"/>
      <c r="H89" s="3"/>
      <c r="I89" s="13"/>
      <c r="J89" s="13"/>
      <c r="K89" s="13" t="s">
        <v>228</v>
      </c>
      <c r="L89" s="36">
        <v>44704.0</v>
      </c>
      <c r="M89" s="91">
        <v>0.39490740740740743</v>
      </c>
      <c r="N89" s="3"/>
      <c r="O89" s="3"/>
      <c r="P89" s="7" t="b">
        <v>0</v>
      </c>
      <c r="Q89" s="7" t="s">
        <v>481</v>
      </c>
      <c r="R89" s="166" t="b">
        <v>0</v>
      </c>
      <c r="S89" s="166">
        <v>4.0</v>
      </c>
      <c r="T89" s="7">
        <v>3.0</v>
      </c>
      <c r="U89" s="3"/>
      <c r="V89" s="13"/>
      <c r="W89" s="3"/>
      <c r="X89" s="166" t="b">
        <v>0</v>
      </c>
      <c r="Y89" s="7"/>
      <c r="Z89" s="13"/>
      <c r="AA89" s="7" t="b">
        <v>0</v>
      </c>
      <c r="AB89" s="7"/>
      <c r="AC89" s="257">
        <v>107.0</v>
      </c>
      <c r="AD89" s="166"/>
      <c r="AE89" s="258">
        <v>311.68333333333334</v>
      </c>
      <c r="AF89" s="7" t="b">
        <v>0</v>
      </c>
      <c r="AG89" s="7" t="b">
        <v>0</v>
      </c>
      <c r="AH89" s="166"/>
      <c r="AI89" s="13"/>
      <c r="AJ89" s="3"/>
      <c r="AK89" s="13" t="s">
        <v>228</v>
      </c>
      <c r="AL89" s="3"/>
      <c r="AM89" s="3" t="s">
        <v>284</v>
      </c>
      <c r="AN89" s="3" t="s">
        <v>285</v>
      </c>
      <c r="AO89" s="3" t="s">
        <v>482</v>
      </c>
      <c r="AP89" s="3" t="s">
        <v>482</v>
      </c>
      <c r="AQ89" s="3" t="s">
        <v>482</v>
      </c>
      <c r="AR89" s="3" t="s">
        <v>482</v>
      </c>
      <c r="AS89" s="98"/>
      <c r="AT89" s="98"/>
      <c r="AU89" s="98"/>
      <c r="AV89" s="98"/>
      <c r="AW89" s="98"/>
      <c r="AX89" s="98"/>
      <c r="AY89" s="98"/>
      <c r="AZ89" s="98"/>
    </row>
    <row r="90">
      <c r="A90" s="3" t="s">
        <v>410</v>
      </c>
      <c r="B90" s="36">
        <v>44704.0</v>
      </c>
      <c r="C90" s="91">
        <v>0.17846064814814816</v>
      </c>
      <c r="D90" s="13"/>
      <c r="E90" s="13"/>
      <c r="F90" s="3"/>
      <c r="G90" s="3"/>
      <c r="H90" s="3"/>
      <c r="I90" s="13"/>
      <c r="J90" s="13"/>
      <c r="K90" s="13" t="s">
        <v>228</v>
      </c>
      <c r="L90" s="36">
        <v>44704.0</v>
      </c>
      <c r="M90" s="91">
        <v>0.39490740740740743</v>
      </c>
      <c r="N90" s="3"/>
      <c r="O90" s="3"/>
      <c r="P90" s="7" t="b">
        <v>0</v>
      </c>
      <c r="Q90" s="7" t="s">
        <v>481</v>
      </c>
      <c r="R90" s="166" t="b">
        <v>0</v>
      </c>
      <c r="S90" s="166">
        <v>4.0</v>
      </c>
      <c r="T90" s="7">
        <v>3.0</v>
      </c>
      <c r="U90" s="3"/>
      <c r="V90" s="13"/>
      <c r="W90" s="3"/>
      <c r="X90" s="166" t="b">
        <v>0</v>
      </c>
      <c r="Y90" s="7"/>
      <c r="Z90" s="13"/>
      <c r="AA90" s="7" t="b">
        <v>0</v>
      </c>
      <c r="AB90" s="7"/>
      <c r="AC90" s="257">
        <v>107.0</v>
      </c>
      <c r="AD90" s="166"/>
      <c r="AE90" s="258">
        <v>311.68333333333334</v>
      </c>
      <c r="AF90" s="7" t="b">
        <v>0</v>
      </c>
      <c r="AG90" s="7" t="b">
        <v>0</v>
      </c>
      <c r="AH90" s="166"/>
      <c r="AI90" s="13"/>
      <c r="AJ90" s="3"/>
      <c r="AK90" s="13" t="s">
        <v>228</v>
      </c>
      <c r="AL90" s="3"/>
      <c r="AM90" s="3" t="s">
        <v>284</v>
      </c>
      <c r="AN90" s="3" t="s">
        <v>294</v>
      </c>
      <c r="AO90" s="3" t="s">
        <v>482</v>
      </c>
      <c r="AP90" s="3" t="s">
        <v>482</v>
      </c>
      <c r="AQ90" s="3" t="s">
        <v>482</v>
      </c>
      <c r="AR90" s="3" t="s">
        <v>482</v>
      </c>
      <c r="AS90" s="98"/>
      <c r="AT90" s="98"/>
      <c r="AU90" s="98"/>
      <c r="AV90" s="98"/>
      <c r="AW90" s="98"/>
      <c r="AX90" s="98"/>
      <c r="AY90" s="98"/>
      <c r="AZ90" s="98"/>
    </row>
    <row r="91">
      <c r="A91" s="3" t="s">
        <v>410</v>
      </c>
      <c r="B91" s="36">
        <v>44704.0</v>
      </c>
      <c r="C91" s="91">
        <v>0.17846064814814816</v>
      </c>
      <c r="D91" s="13"/>
      <c r="E91" s="13"/>
      <c r="F91" s="3"/>
      <c r="G91" s="3"/>
      <c r="H91" s="3"/>
      <c r="I91" s="13"/>
      <c r="J91" s="13"/>
      <c r="K91" s="13" t="s">
        <v>228</v>
      </c>
      <c r="L91" s="36">
        <v>44704.0</v>
      </c>
      <c r="M91" s="91">
        <v>0.39490740740740743</v>
      </c>
      <c r="N91" s="3"/>
      <c r="O91" s="3"/>
      <c r="P91" s="7" t="b">
        <v>0</v>
      </c>
      <c r="Q91" s="7" t="s">
        <v>481</v>
      </c>
      <c r="R91" s="166" t="b">
        <v>0</v>
      </c>
      <c r="S91" s="166">
        <v>4.0</v>
      </c>
      <c r="T91" s="7">
        <v>3.0</v>
      </c>
      <c r="U91" s="3"/>
      <c r="V91" s="13"/>
      <c r="W91" s="3"/>
      <c r="X91" s="166" t="b">
        <v>0</v>
      </c>
      <c r="Y91" s="7"/>
      <c r="Z91" s="13"/>
      <c r="AA91" s="7" t="b">
        <v>0</v>
      </c>
      <c r="AB91" s="7"/>
      <c r="AC91" s="257">
        <v>107.0</v>
      </c>
      <c r="AD91" s="166"/>
      <c r="AE91" s="258">
        <v>311.68333333333334</v>
      </c>
      <c r="AF91" s="7" t="b">
        <v>0</v>
      </c>
      <c r="AG91" s="7" t="b">
        <v>0</v>
      </c>
      <c r="AH91" s="166"/>
      <c r="AI91" s="13"/>
      <c r="AJ91" s="3"/>
      <c r="AK91" s="13" t="s">
        <v>228</v>
      </c>
      <c r="AL91" s="3"/>
      <c r="AM91" s="3" t="s">
        <v>284</v>
      </c>
      <c r="AN91" s="3" t="s">
        <v>287</v>
      </c>
      <c r="AO91" s="3" t="s">
        <v>482</v>
      </c>
      <c r="AP91" s="3" t="s">
        <v>482</v>
      </c>
      <c r="AQ91" s="3" t="s">
        <v>482</v>
      </c>
      <c r="AR91" s="3" t="s">
        <v>482</v>
      </c>
      <c r="AS91" s="98"/>
      <c r="AT91" s="98"/>
      <c r="AU91" s="98"/>
      <c r="AV91" s="98"/>
      <c r="AW91" s="98"/>
      <c r="AX91" s="98"/>
      <c r="AY91" s="98"/>
      <c r="AZ91" s="98"/>
    </row>
    <row r="92">
      <c r="A92" s="3" t="s">
        <v>411</v>
      </c>
      <c r="B92" s="36">
        <v>44704.0</v>
      </c>
      <c r="C92" s="91">
        <v>0.1878240740740741</v>
      </c>
      <c r="D92" s="13"/>
      <c r="E92" s="13"/>
      <c r="F92" s="3"/>
      <c r="G92" s="3"/>
      <c r="H92" s="3"/>
      <c r="I92" s="13"/>
      <c r="J92" s="13"/>
      <c r="K92" s="13" t="s">
        <v>228</v>
      </c>
      <c r="L92" s="36">
        <v>44704.0</v>
      </c>
      <c r="M92" s="91">
        <v>0.39490740740740743</v>
      </c>
      <c r="N92" s="3"/>
      <c r="O92" s="3"/>
      <c r="P92" s="7" t="b">
        <v>0</v>
      </c>
      <c r="Q92" s="7" t="s">
        <v>481</v>
      </c>
      <c r="R92" s="166" t="b">
        <v>1</v>
      </c>
      <c r="S92" s="166">
        <v>4.0</v>
      </c>
      <c r="T92" s="7"/>
      <c r="U92" s="3"/>
      <c r="V92" s="13"/>
      <c r="W92" s="3"/>
      <c r="X92" s="166" t="b">
        <v>0</v>
      </c>
      <c r="Y92" s="7"/>
      <c r="Z92" s="13"/>
      <c r="AA92" s="7" t="b">
        <v>0</v>
      </c>
      <c r="AB92" s="7"/>
      <c r="AC92" s="257">
        <v>111.0</v>
      </c>
      <c r="AD92" s="166"/>
      <c r="AE92" s="258">
        <v>298.20000000000005</v>
      </c>
      <c r="AF92" s="7" t="b">
        <v>0</v>
      </c>
      <c r="AG92" s="7" t="b">
        <v>0</v>
      </c>
      <c r="AH92" s="166"/>
      <c r="AI92" s="13"/>
      <c r="AJ92" s="3"/>
      <c r="AK92" s="13" t="s">
        <v>228</v>
      </c>
      <c r="AL92" s="3"/>
      <c r="AM92" s="3" t="s">
        <v>322</v>
      </c>
      <c r="AN92" s="3" t="s">
        <v>325</v>
      </c>
      <c r="AO92" s="3" t="s">
        <v>482</v>
      </c>
      <c r="AP92" s="3" t="s">
        <v>482</v>
      </c>
      <c r="AQ92" s="3" t="s">
        <v>482</v>
      </c>
      <c r="AR92" s="3" t="s">
        <v>482</v>
      </c>
      <c r="AS92" s="98"/>
      <c r="AT92" s="98"/>
      <c r="AU92" s="98"/>
      <c r="AV92" s="98"/>
      <c r="AW92" s="98"/>
      <c r="AX92" s="98"/>
      <c r="AY92" s="98"/>
      <c r="AZ92" s="98"/>
    </row>
    <row r="93">
      <c r="A93" s="3" t="s">
        <v>411</v>
      </c>
      <c r="B93" s="36">
        <v>44704.0</v>
      </c>
      <c r="C93" s="91">
        <v>0.1878240740740741</v>
      </c>
      <c r="D93" s="13"/>
      <c r="E93" s="13"/>
      <c r="F93" s="3"/>
      <c r="G93" s="3"/>
      <c r="H93" s="3"/>
      <c r="I93" s="13"/>
      <c r="J93" s="13"/>
      <c r="K93" s="13" t="s">
        <v>228</v>
      </c>
      <c r="L93" s="36">
        <v>44704.0</v>
      </c>
      <c r="M93" s="91">
        <v>0.39490740740740743</v>
      </c>
      <c r="N93" s="3"/>
      <c r="O93" s="3"/>
      <c r="P93" s="7" t="b">
        <v>0</v>
      </c>
      <c r="Q93" s="7" t="s">
        <v>481</v>
      </c>
      <c r="R93" s="166" t="b">
        <v>0</v>
      </c>
      <c r="S93" s="166">
        <v>4.0</v>
      </c>
      <c r="T93" s="7"/>
      <c r="U93" s="3"/>
      <c r="V93" s="13"/>
      <c r="W93" s="3"/>
      <c r="X93" s="166" t="b">
        <v>0</v>
      </c>
      <c r="Y93" s="7"/>
      <c r="Z93" s="13"/>
      <c r="AA93" s="7" t="b">
        <v>0</v>
      </c>
      <c r="AB93" s="7"/>
      <c r="AC93" s="257">
        <v>110.0</v>
      </c>
      <c r="AD93" s="166"/>
      <c r="AE93" s="258">
        <v>298.20000000000005</v>
      </c>
      <c r="AF93" s="7" t="b">
        <v>0</v>
      </c>
      <c r="AG93" s="7" t="b">
        <v>0</v>
      </c>
      <c r="AH93" s="166"/>
      <c r="AI93" s="13"/>
      <c r="AJ93" s="3"/>
      <c r="AK93" s="13" t="s">
        <v>228</v>
      </c>
      <c r="AL93" s="3"/>
      <c r="AM93" s="3" t="s">
        <v>322</v>
      </c>
      <c r="AN93" s="3" t="s">
        <v>327</v>
      </c>
      <c r="AO93" s="3" t="s">
        <v>482</v>
      </c>
      <c r="AP93" s="3" t="s">
        <v>482</v>
      </c>
      <c r="AQ93" s="3" t="s">
        <v>482</v>
      </c>
      <c r="AR93" s="3" t="s">
        <v>482</v>
      </c>
      <c r="AS93" s="98"/>
      <c r="AT93" s="98"/>
      <c r="AU93" s="98"/>
      <c r="AV93" s="98"/>
      <c r="AW93" s="98"/>
      <c r="AX93" s="98"/>
      <c r="AY93" s="98"/>
      <c r="AZ93" s="98"/>
    </row>
    <row r="94">
      <c r="A94" s="3" t="s">
        <v>411</v>
      </c>
      <c r="B94" s="36">
        <v>44704.0</v>
      </c>
      <c r="C94" s="91">
        <v>0.1878240740740741</v>
      </c>
      <c r="D94" s="13"/>
      <c r="E94" s="13"/>
      <c r="F94" s="3"/>
      <c r="G94" s="3"/>
      <c r="H94" s="3"/>
      <c r="I94" s="13"/>
      <c r="J94" s="13"/>
      <c r="K94" s="13" t="s">
        <v>228</v>
      </c>
      <c r="L94" s="36">
        <v>44704.0</v>
      </c>
      <c r="M94" s="91">
        <v>0.39490740740740743</v>
      </c>
      <c r="N94" s="3"/>
      <c r="O94" s="3"/>
      <c r="P94" s="7" t="b">
        <v>0</v>
      </c>
      <c r="Q94" s="7" t="s">
        <v>481</v>
      </c>
      <c r="R94" s="166" t="b">
        <v>0</v>
      </c>
      <c r="S94" s="166">
        <v>4.0</v>
      </c>
      <c r="T94" s="7"/>
      <c r="U94" s="3"/>
      <c r="V94" s="13"/>
      <c r="W94" s="3"/>
      <c r="X94" s="166" t="b">
        <v>0</v>
      </c>
      <c r="Y94" s="7"/>
      <c r="Z94" s="13"/>
      <c r="AA94" s="7" t="b">
        <v>0</v>
      </c>
      <c r="AB94" s="7"/>
      <c r="AC94" s="257">
        <v>108.0</v>
      </c>
      <c r="AD94" s="166"/>
      <c r="AE94" s="258">
        <v>298.20000000000005</v>
      </c>
      <c r="AF94" s="7" t="b">
        <v>0</v>
      </c>
      <c r="AG94" s="7" t="b">
        <v>0</v>
      </c>
      <c r="AH94" s="166"/>
      <c r="AI94" s="13"/>
      <c r="AJ94" s="3"/>
      <c r="AK94" s="13" t="s">
        <v>228</v>
      </c>
      <c r="AL94" s="3"/>
      <c r="AM94" s="3" t="s">
        <v>322</v>
      </c>
      <c r="AN94" s="3" t="s">
        <v>393</v>
      </c>
      <c r="AO94" s="3" t="s">
        <v>482</v>
      </c>
      <c r="AP94" s="3" t="s">
        <v>482</v>
      </c>
      <c r="AQ94" s="3" t="s">
        <v>482</v>
      </c>
      <c r="AR94" s="3" t="s">
        <v>482</v>
      </c>
      <c r="AS94" s="98"/>
      <c r="AT94" s="98"/>
      <c r="AU94" s="98"/>
      <c r="AV94" s="98"/>
      <c r="AW94" s="98"/>
      <c r="AX94" s="98"/>
      <c r="AY94" s="98"/>
      <c r="AZ94" s="98"/>
    </row>
    <row r="95">
      <c r="A95" s="3" t="s">
        <v>411</v>
      </c>
      <c r="B95" s="36">
        <v>44704.0</v>
      </c>
      <c r="C95" s="91">
        <v>0.1878240740740741</v>
      </c>
      <c r="D95" s="13"/>
      <c r="E95" s="13"/>
      <c r="F95" s="3"/>
      <c r="G95" s="3"/>
      <c r="H95" s="3"/>
      <c r="I95" s="13"/>
      <c r="J95" s="13"/>
      <c r="K95" s="13" t="s">
        <v>228</v>
      </c>
      <c r="L95" s="36">
        <v>44704.0</v>
      </c>
      <c r="M95" s="91">
        <v>0.39490740740740743</v>
      </c>
      <c r="N95" s="3"/>
      <c r="O95" s="3"/>
      <c r="P95" s="7" t="b">
        <v>0</v>
      </c>
      <c r="Q95" s="7" t="s">
        <v>481</v>
      </c>
      <c r="R95" s="166" t="b">
        <v>0</v>
      </c>
      <c r="S95" s="166">
        <v>4.0</v>
      </c>
      <c r="T95" s="7"/>
      <c r="U95" s="3"/>
      <c r="V95" s="13"/>
      <c r="W95" s="3"/>
      <c r="X95" s="166" t="b">
        <v>0</v>
      </c>
      <c r="Y95" s="7"/>
      <c r="Z95" s="13"/>
      <c r="AA95" s="7" t="b">
        <v>0</v>
      </c>
      <c r="AB95" s="7"/>
      <c r="AC95" s="257">
        <v>109.0</v>
      </c>
      <c r="AD95" s="166"/>
      <c r="AE95" s="258">
        <v>298.20000000000005</v>
      </c>
      <c r="AF95" s="7" t="b">
        <v>0</v>
      </c>
      <c r="AG95" s="7" t="b">
        <v>0</v>
      </c>
      <c r="AH95" s="166"/>
      <c r="AI95" s="13"/>
      <c r="AJ95" s="3"/>
      <c r="AK95" s="13" t="s">
        <v>228</v>
      </c>
      <c r="AL95" s="3"/>
      <c r="AM95" s="3" t="s">
        <v>322</v>
      </c>
      <c r="AN95" s="3" t="s">
        <v>329</v>
      </c>
      <c r="AO95" s="3" t="s">
        <v>482</v>
      </c>
      <c r="AP95" s="3" t="s">
        <v>482</v>
      </c>
      <c r="AQ95" s="3" t="s">
        <v>482</v>
      </c>
      <c r="AR95" s="3" t="s">
        <v>482</v>
      </c>
      <c r="AS95" s="98"/>
      <c r="AT95" s="98"/>
      <c r="AU95" s="98"/>
      <c r="AV95" s="98"/>
      <c r="AW95" s="98"/>
      <c r="AX95" s="98"/>
      <c r="AY95" s="98"/>
      <c r="AZ95" s="98"/>
    </row>
    <row r="96">
      <c r="A96" s="3" t="s">
        <v>412</v>
      </c>
      <c r="B96" s="36">
        <v>44704.0</v>
      </c>
      <c r="C96" s="91">
        <v>0.1905439814814815</v>
      </c>
      <c r="D96" s="13"/>
      <c r="E96" s="13"/>
      <c r="F96" s="3"/>
      <c r="G96" s="3"/>
      <c r="H96" s="3"/>
      <c r="I96" s="13"/>
      <c r="J96" s="13"/>
      <c r="K96" s="13" t="s">
        <v>228</v>
      </c>
      <c r="L96" s="36">
        <v>44704.0</v>
      </c>
      <c r="M96" s="91">
        <v>0.39490740740740743</v>
      </c>
      <c r="N96" s="3"/>
      <c r="O96" s="3"/>
      <c r="P96" s="7" t="b">
        <v>0</v>
      </c>
      <c r="Q96" s="7" t="s">
        <v>481</v>
      </c>
      <c r="R96" s="166" t="b">
        <v>1</v>
      </c>
      <c r="S96" s="166">
        <v>2.0</v>
      </c>
      <c r="T96" s="7"/>
      <c r="U96" s="3"/>
      <c r="V96" s="13"/>
      <c r="W96" s="3"/>
      <c r="X96" s="166" t="b">
        <v>0</v>
      </c>
      <c r="Y96" s="7"/>
      <c r="Z96" s="13"/>
      <c r="AA96" s="7" t="b">
        <v>0</v>
      </c>
      <c r="AB96" s="7"/>
      <c r="AC96" s="257">
        <v>113.0</v>
      </c>
      <c r="AD96" s="166"/>
      <c r="AE96" s="258">
        <v>294.28333333333336</v>
      </c>
      <c r="AF96" s="7" t="b">
        <v>0</v>
      </c>
      <c r="AG96" s="7" t="b">
        <v>0</v>
      </c>
      <c r="AH96" s="166"/>
      <c r="AI96" s="13"/>
      <c r="AJ96" s="3"/>
      <c r="AK96" s="13" t="s">
        <v>228</v>
      </c>
      <c r="AL96" s="3"/>
      <c r="AM96" s="3" t="s">
        <v>316</v>
      </c>
      <c r="AN96" s="3" t="s">
        <v>317</v>
      </c>
      <c r="AO96" s="3" t="s">
        <v>482</v>
      </c>
      <c r="AP96" s="3" t="s">
        <v>482</v>
      </c>
      <c r="AQ96" s="3" t="s">
        <v>482</v>
      </c>
      <c r="AR96" s="3" t="s">
        <v>482</v>
      </c>
      <c r="AS96" s="98"/>
      <c r="AT96" s="98"/>
      <c r="AU96" s="98"/>
      <c r="AV96" s="98"/>
      <c r="AW96" s="98"/>
      <c r="AX96" s="98"/>
      <c r="AY96" s="98"/>
      <c r="AZ96" s="98"/>
    </row>
    <row r="97">
      <c r="A97" s="3" t="s">
        <v>412</v>
      </c>
      <c r="B97" s="36">
        <v>44704.0</v>
      </c>
      <c r="C97" s="91">
        <v>0.1905439814814815</v>
      </c>
      <c r="D97" s="13"/>
      <c r="E97" s="13"/>
      <c r="F97" s="3"/>
      <c r="G97" s="3"/>
      <c r="H97" s="3"/>
      <c r="I97" s="13"/>
      <c r="J97" s="13"/>
      <c r="K97" s="13" t="s">
        <v>228</v>
      </c>
      <c r="L97" s="36">
        <v>44704.0</v>
      </c>
      <c r="M97" s="91">
        <v>0.39490740740740743</v>
      </c>
      <c r="N97" s="3"/>
      <c r="O97" s="3"/>
      <c r="P97" s="7" t="b">
        <v>0</v>
      </c>
      <c r="Q97" s="7" t="s">
        <v>481</v>
      </c>
      <c r="R97" s="166" t="b">
        <v>0</v>
      </c>
      <c r="S97" s="166">
        <v>2.0</v>
      </c>
      <c r="T97" s="7"/>
      <c r="U97" s="3"/>
      <c r="V97" s="13"/>
      <c r="W97" s="3"/>
      <c r="X97" s="166" t="b">
        <v>0</v>
      </c>
      <c r="Y97" s="7"/>
      <c r="Z97" s="13"/>
      <c r="AA97" s="7" t="b">
        <v>0</v>
      </c>
      <c r="AB97" s="7"/>
      <c r="AC97" s="257">
        <v>112.0</v>
      </c>
      <c r="AD97" s="166"/>
      <c r="AE97" s="258">
        <v>294.28333333333336</v>
      </c>
      <c r="AF97" s="7" t="b">
        <v>0</v>
      </c>
      <c r="AG97" s="7" t="b">
        <v>0</v>
      </c>
      <c r="AH97" s="166"/>
      <c r="AI97" s="13"/>
      <c r="AJ97" s="3"/>
      <c r="AK97" s="13" t="s">
        <v>228</v>
      </c>
      <c r="AL97" s="3"/>
      <c r="AM97" s="3" t="s">
        <v>316</v>
      </c>
      <c r="AN97" s="3" t="s">
        <v>319</v>
      </c>
      <c r="AO97" s="3" t="s">
        <v>482</v>
      </c>
      <c r="AP97" s="3" t="s">
        <v>482</v>
      </c>
      <c r="AQ97" s="3" t="s">
        <v>482</v>
      </c>
      <c r="AR97" s="3" t="s">
        <v>482</v>
      </c>
      <c r="AS97" s="98"/>
      <c r="AT97" s="98"/>
      <c r="AU97" s="98"/>
      <c r="AV97" s="98"/>
      <c r="AW97" s="98"/>
      <c r="AX97" s="98"/>
      <c r="AY97" s="98"/>
      <c r="AZ97" s="98"/>
    </row>
    <row r="98">
      <c r="A98" s="3" t="s">
        <v>413</v>
      </c>
      <c r="B98" s="36">
        <v>44704.0</v>
      </c>
      <c r="C98" s="91">
        <v>0.2182638888888889</v>
      </c>
      <c r="D98" s="13"/>
      <c r="E98" s="13"/>
      <c r="F98" s="3"/>
      <c r="G98" s="3"/>
      <c r="H98" s="3"/>
      <c r="I98" s="13"/>
      <c r="J98" s="13"/>
      <c r="K98" s="13" t="s">
        <v>228</v>
      </c>
      <c r="L98" s="36">
        <v>44704.0</v>
      </c>
      <c r="M98" s="91">
        <v>0.39490740740740743</v>
      </c>
      <c r="N98" s="3"/>
      <c r="O98" s="3"/>
      <c r="P98" s="7" t="b">
        <v>0</v>
      </c>
      <c r="Q98" s="7" t="s">
        <v>481</v>
      </c>
      <c r="R98" s="166" t="b">
        <v>1</v>
      </c>
      <c r="S98" s="166">
        <v>2.0</v>
      </c>
      <c r="T98" s="7">
        <v>1.0</v>
      </c>
      <c r="U98" s="3"/>
      <c r="V98" s="13"/>
      <c r="W98" s="3"/>
      <c r="X98" s="166" t="b">
        <v>1</v>
      </c>
      <c r="Y98" s="7"/>
      <c r="Z98" s="13"/>
      <c r="AA98" s="7" t="b">
        <v>0</v>
      </c>
      <c r="AB98" s="7"/>
      <c r="AC98" s="257">
        <v>114.0</v>
      </c>
      <c r="AD98" s="166"/>
      <c r="AE98" s="258">
        <v>254.36666666666667</v>
      </c>
      <c r="AF98" s="7" t="b">
        <v>0</v>
      </c>
      <c r="AG98" s="7" t="b">
        <v>0</v>
      </c>
      <c r="AH98" s="166"/>
      <c r="AI98" s="13"/>
      <c r="AJ98" s="3"/>
      <c r="AK98" s="13" t="s">
        <v>228</v>
      </c>
      <c r="AL98" s="3"/>
      <c r="AM98" s="3" t="s">
        <v>414</v>
      </c>
      <c r="AN98" s="3" t="s">
        <v>415</v>
      </c>
      <c r="AO98" s="3" t="s">
        <v>482</v>
      </c>
      <c r="AP98" s="3" t="s">
        <v>482</v>
      </c>
      <c r="AQ98" s="3" t="s">
        <v>482</v>
      </c>
      <c r="AR98" s="3" t="s">
        <v>482</v>
      </c>
      <c r="AS98" s="98"/>
      <c r="AT98" s="98"/>
      <c r="AU98" s="98"/>
      <c r="AV98" s="98"/>
      <c r="AW98" s="98"/>
      <c r="AX98" s="98"/>
      <c r="AY98" s="98"/>
      <c r="AZ98" s="98"/>
    </row>
    <row r="99">
      <c r="A99" s="3" t="s">
        <v>413</v>
      </c>
      <c r="B99" s="36">
        <v>44704.0</v>
      </c>
      <c r="C99" s="91">
        <v>0.2182638888888889</v>
      </c>
      <c r="D99" s="13"/>
      <c r="E99" s="13"/>
      <c r="F99" s="3"/>
      <c r="G99" s="3"/>
      <c r="H99" s="3"/>
      <c r="I99" s="13"/>
      <c r="J99" s="13"/>
      <c r="K99" s="13" t="s">
        <v>228</v>
      </c>
      <c r="L99" s="36">
        <v>44704.0</v>
      </c>
      <c r="M99" s="91">
        <v>0.39490740740740743</v>
      </c>
      <c r="N99" s="3"/>
      <c r="O99" s="3"/>
      <c r="P99" s="7" t="b">
        <v>0</v>
      </c>
      <c r="Q99" s="7" t="s">
        <v>481</v>
      </c>
      <c r="R99" s="166" t="b">
        <v>0</v>
      </c>
      <c r="S99" s="166">
        <v>2.0</v>
      </c>
      <c r="T99" s="7">
        <v>1.0</v>
      </c>
      <c r="U99" s="3"/>
      <c r="V99" s="13"/>
      <c r="W99" s="3"/>
      <c r="X99" s="166" t="b">
        <v>0</v>
      </c>
      <c r="Y99" s="7"/>
      <c r="Z99" s="13"/>
      <c r="AA99" s="7" t="b">
        <v>0</v>
      </c>
      <c r="AB99" s="7"/>
      <c r="AC99" s="257">
        <v>114.0</v>
      </c>
      <c r="AD99" s="166"/>
      <c r="AE99" s="258">
        <v>254.36666666666667</v>
      </c>
      <c r="AF99" s="7" t="b">
        <v>0</v>
      </c>
      <c r="AG99" s="7" t="b">
        <v>0</v>
      </c>
      <c r="AH99" s="166"/>
      <c r="AI99" s="13"/>
      <c r="AJ99" s="3"/>
      <c r="AK99" s="13" t="s">
        <v>228</v>
      </c>
      <c r="AL99" s="3"/>
      <c r="AM99" s="3" t="s">
        <v>414</v>
      </c>
      <c r="AN99" s="3" t="s">
        <v>416</v>
      </c>
      <c r="AO99" s="3" t="s">
        <v>482</v>
      </c>
      <c r="AP99" s="3" t="s">
        <v>482</v>
      </c>
      <c r="AQ99" s="3" t="s">
        <v>482</v>
      </c>
      <c r="AR99" s="3" t="s">
        <v>482</v>
      </c>
      <c r="AS99" s="98"/>
      <c r="AT99" s="98"/>
      <c r="AU99" s="98"/>
      <c r="AV99" s="98"/>
      <c r="AW99" s="98"/>
      <c r="AX99" s="98"/>
      <c r="AY99" s="98"/>
      <c r="AZ99" s="98"/>
    </row>
    <row r="100">
      <c r="A100" s="3" t="s">
        <v>417</v>
      </c>
      <c r="B100" s="36">
        <v>44704.0</v>
      </c>
      <c r="C100" s="91">
        <v>0.2188425925925926</v>
      </c>
      <c r="D100" s="13"/>
      <c r="E100" s="13"/>
      <c r="F100" s="3"/>
      <c r="G100" s="3"/>
      <c r="H100" s="3"/>
      <c r="I100" s="13"/>
      <c r="J100" s="13"/>
      <c r="K100" s="13" t="s">
        <v>228</v>
      </c>
      <c r="L100" s="36">
        <v>44704.0</v>
      </c>
      <c r="M100" s="91">
        <v>0.39490740740740743</v>
      </c>
      <c r="N100" s="3"/>
      <c r="O100" s="3"/>
      <c r="P100" s="7" t="b">
        <v>0</v>
      </c>
      <c r="Q100" s="7" t="s">
        <v>481</v>
      </c>
      <c r="R100" s="166" t="b">
        <v>1</v>
      </c>
      <c r="S100" s="166">
        <v>3.0</v>
      </c>
      <c r="T100" s="7"/>
      <c r="U100" s="3"/>
      <c r="V100" s="13"/>
      <c r="W100" s="3"/>
      <c r="X100" s="166" t="b">
        <v>0</v>
      </c>
      <c r="Y100" s="7"/>
      <c r="Z100" s="13"/>
      <c r="AA100" s="7" t="b">
        <v>0</v>
      </c>
      <c r="AB100" s="7"/>
      <c r="AC100" s="257">
        <v>117.0</v>
      </c>
      <c r="AD100" s="166"/>
      <c r="AE100" s="258">
        <v>253.53333333333336</v>
      </c>
      <c r="AF100" s="7" t="b">
        <v>0</v>
      </c>
      <c r="AG100" s="7" t="b">
        <v>0</v>
      </c>
      <c r="AH100" s="166"/>
      <c r="AI100" s="13"/>
      <c r="AJ100" s="3"/>
      <c r="AK100" s="13" t="s">
        <v>228</v>
      </c>
      <c r="AL100" s="3"/>
      <c r="AM100" s="3" t="s">
        <v>406</v>
      </c>
      <c r="AN100" s="3" t="s">
        <v>387</v>
      </c>
      <c r="AO100" s="3" t="s">
        <v>482</v>
      </c>
      <c r="AP100" s="3" t="s">
        <v>482</v>
      </c>
      <c r="AQ100" s="3" t="s">
        <v>482</v>
      </c>
      <c r="AR100" s="3" t="s">
        <v>482</v>
      </c>
      <c r="AS100" s="98"/>
      <c r="AT100" s="98"/>
      <c r="AU100" s="98"/>
      <c r="AV100" s="98"/>
      <c r="AW100" s="98"/>
      <c r="AX100" s="98"/>
      <c r="AY100" s="98"/>
      <c r="AZ100" s="98"/>
    </row>
    <row r="101">
      <c r="A101" s="3" t="s">
        <v>417</v>
      </c>
      <c r="B101" s="36">
        <v>44704.0</v>
      </c>
      <c r="C101" s="91">
        <v>0.2188425925925926</v>
      </c>
      <c r="D101" s="13"/>
      <c r="E101" s="13"/>
      <c r="F101" s="3"/>
      <c r="G101" s="3"/>
      <c r="H101" s="3"/>
      <c r="I101" s="13"/>
      <c r="J101" s="13"/>
      <c r="K101" s="13" t="s">
        <v>228</v>
      </c>
      <c r="L101" s="36">
        <v>44704.0</v>
      </c>
      <c r="M101" s="91">
        <v>0.39490740740740743</v>
      </c>
      <c r="N101" s="3"/>
      <c r="O101" s="3"/>
      <c r="P101" s="7" t="b">
        <v>0</v>
      </c>
      <c r="Q101" s="7" t="s">
        <v>481</v>
      </c>
      <c r="R101" s="166" t="b">
        <v>0</v>
      </c>
      <c r="S101" s="166">
        <v>3.0</v>
      </c>
      <c r="T101" s="7"/>
      <c r="U101" s="3"/>
      <c r="V101" s="13"/>
      <c r="W101" s="3"/>
      <c r="X101" s="166" t="b">
        <v>0</v>
      </c>
      <c r="Y101" s="7"/>
      <c r="Z101" s="13"/>
      <c r="AA101" s="7" t="b">
        <v>0</v>
      </c>
      <c r="AB101" s="7"/>
      <c r="AC101" s="257">
        <v>115.0</v>
      </c>
      <c r="AD101" s="166"/>
      <c r="AE101" s="258">
        <v>253.53333333333336</v>
      </c>
      <c r="AF101" s="7" t="b">
        <v>0</v>
      </c>
      <c r="AG101" s="7" t="b">
        <v>0</v>
      </c>
      <c r="AH101" s="166"/>
      <c r="AI101" s="13"/>
      <c r="AJ101" s="3"/>
      <c r="AK101" s="13" t="s">
        <v>228</v>
      </c>
      <c r="AL101" s="3"/>
      <c r="AM101" s="3" t="s">
        <v>406</v>
      </c>
      <c r="AN101" s="3" t="s">
        <v>407</v>
      </c>
      <c r="AO101" s="3" t="s">
        <v>482</v>
      </c>
      <c r="AP101" s="3" t="s">
        <v>482</v>
      </c>
      <c r="AQ101" s="3" t="s">
        <v>482</v>
      </c>
      <c r="AR101" s="3" t="s">
        <v>482</v>
      </c>
      <c r="AS101" s="98"/>
      <c r="AT101" s="98"/>
      <c r="AU101" s="98"/>
      <c r="AV101" s="98"/>
      <c r="AW101" s="98"/>
      <c r="AX101" s="98"/>
      <c r="AY101" s="98"/>
      <c r="AZ101" s="98"/>
    </row>
    <row r="102">
      <c r="A102" s="3" t="s">
        <v>417</v>
      </c>
      <c r="B102" s="36">
        <v>44704.0</v>
      </c>
      <c r="C102" s="91">
        <v>0.2188425925925926</v>
      </c>
      <c r="D102" s="13"/>
      <c r="E102" s="13"/>
      <c r="F102" s="3"/>
      <c r="G102" s="3"/>
      <c r="H102" s="3"/>
      <c r="I102" s="13"/>
      <c r="J102" s="13"/>
      <c r="K102" s="13" t="s">
        <v>228</v>
      </c>
      <c r="L102" s="36">
        <v>44704.0</v>
      </c>
      <c r="M102" s="91">
        <v>0.39490740740740743</v>
      </c>
      <c r="N102" s="3"/>
      <c r="O102" s="3"/>
      <c r="P102" s="7" t="b">
        <v>0</v>
      </c>
      <c r="Q102" s="7" t="s">
        <v>481</v>
      </c>
      <c r="R102" s="166" t="b">
        <v>0</v>
      </c>
      <c r="S102" s="166">
        <v>3.0</v>
      </c>
      <c r="T102" s="7"/>
      <c r="U102" s="3"/>
      <c r="V102" s="13"/>
      <c r="W102" s="3"/>
      <c r="X102" s="166" t="b">
        <v>0</v>
      </c>
      <c r="Y102" s="7"/>
      <c r="Z102" s="13"/>
      <c r="AA102" s="7" t="b">
        <v>0</v>
      </c>
      <c r="AB102" s="7"/>
      <c r="AC102" s="257">
        <v>116.0</v>
      </c>
      <c r="AD102" s="166"/>
      <c r="AE102" s="258">
        <v>253.53333333333336</v>
      </c>
      <c r="AF102" s="7" t="b">
        <v>0</v>
      </c>
      <c r="AG102" s="7" t="b">
        <v>0</v>
      </c>
      <c r="AH102" s="166"/>
      <c r="AI102" s="13"/>
      <c r="AJ102" s="3"/>
      <c r="AK102" s="13" t="s">
        <v>228</v>
      </c>
      <c r="AL102" s="3"/>
      <c r="AM102" s="3" t="s">
        <v>406</v>
      </c>
      <c r="AN102" s="3" t="s">
        <v>386</v>
      </c>
      <c r="AO102" s="3" t="s">
        <v>482</v>
      </c>
      <c r="AP102" s="3" t="s">
        <v>482</v>
      </c>
      <c r="AQ102" s="3" t="s">
        <v>482</v>
      </c>
      <c r="AR102" s="3" t="s">
        <v>482</v>
      </c>
      <c r="AS102" s="98"/>
      <c r="AT102" s="98"/>
      <c r="AU102" s="98"/>
      <c r="AV102" s="98"/>
      <c r="AW102" s="98"/>
      <c r="AX102" s="98"/>
      <c r="AY102" s="98"/>
      <c r="AZ102" s="98"/>
    </row>
    <row r="103">
      <c r="A103" s="3" t="s">
        <v>418</v>
      </c>
      <c r="B103" s="36">
        <v>44704.0</v>
      </c>
      <c r="C103" s="91">
        <v>0.22446759259259258</v>
      </c>
      <c r="D103" s="13"/>
      <c r="E103" s="13"/>
      <c r="F103" s="3"/>
      <c r="G103" s="3"/>
      <c r="H103" s="3"/>
      <c r="I103" s="13"/>
      <c r="J103" s="13"/>
      <c r="K103" s="13" t="s">
        <v>228</v>
      </c>
      <c r="L103" s="36">
        <v>44704.0</v>
      </c>
      <c r="M103" s="91">
        <v>0.39491898148148147</v>
      </c>
      <c r="N103" s="3"/>
      <c r="O103" s="3"/>
      <c r="P103" s="7" t="b">
        <v>0</v>
      </c>
      <c r="Q103" s="7" t="s">
        <v>481</v>
      </c>
      <c r="R103" s="166" t="b">
        <v>1</v>
      </c>
      <c r="S103" s="166">
        <v>2.0</v>
      </c>
      <c r="T103" s="7"/>
      <c r="U103" s="3"/>
      <c r="V103" s="13"/>
      <c r="W103" s="3"/>
      <c r="X103" s="166" t="b">
        <v>0</v>
      </c>
      <c r="Y103" s="7"/>
      <c r="Z103" s="13"/>
      <c r="AA103" s="7" t="b">
        <v>0</v>
      </c>
      <c r="AB103" s="7"/>
      <c r="AC103" s="257">
        <v>119.0</v>
      </c>
      <c r="AD103" s="166"/>
      <c r="AE103" s="258">
        <v>245.45</v>
      </c>
      <c r="AF103" s="7" t="b">
        <v>0</v>
      </c>
      <c r="AG103" s="7" t="b">
        <v>0</v>
      </c>
      <c r="AH103" s="166"/>
      <c r="AI103" s="13"/>
      <c r="AJ103" s="3"/>
      <c r="AK103" s="13" t="s">
        <v>228</v>
      </c>
      <c r="AL103" s="3"/>
      <c r="AM103" s="3" t="s">
        <v>397</v>
      </c>
      <c r="AN103" s="3" t="s">
        <v>400</v>
      </c>
      <c r="AO103" s="3" t="s">
        <v>482</v>
      </c>
      <c r="AP103" s="3" t="s">
        <v>482</v>
      </c>
      <c r="AQ103" s="3" t="s">
        <v>482</v>
      </c>
      <c r="AR103" s="3" t="s">
        <v>482</v>
      </c>
      <c r="AS103" s="98"/>
      <c r="AT103" s="98"/>
      <c r="AU103" s="98"/>
      <c r="AV103" s="98"/>
      <c r="AW103" s="98"/>
      <c r="AX103" s="98"/>
      <c r="AY103" s="98"/>
      <c r="AZ103" s="98"/>
    </row>
    <row r="104">
      <c r="A104" s="3" t="s">
        <v>418</v>
      </c>
      <c r="B104" s="36">
        <v>44704.0</v>
      </c>
      <c r="C104" s="91">
        <v>0.22446759259259258</v>
      </c>
      <c r="D104" s="13"/>
      <c r="E104" s="13"/>
      <c r="F104" s="3"/>
      <c r="G104" s="3"/>
      <c r="H104" s="3"/>
      <c r="I104" s="13"/>
      <c r="J104" s="13"/>
      <c r="K104" s="13" t="s">
        <v>228</v>
      </c>
      <c r="L104" s="36">
        <v>44704.0</v>
      </c>
      <c r="M104" s="91">
        <v>0.39491898148148147</v>
      </c>
      <c r="N104" s="3"/>
      <c r="O104" s="3"/>
      <c r="P104" s="7" t="b">
        <v>0</v>
      </c>
      <c r="Q104" s="7" t="s">
        <v>481</v>
      </c>
      <c r="R104" s="166" t="b">
        <v>0</v>
      </c>
      <c r="S104" s="166">
        <v>2.0</v>
      </c>
      <c r="T104" s="7"/>
      <c r="U104" s="3"/>
      <c r="V104" s="13"/>
      <c r="W104" s="3"/>
      <c r="X104" s="166" t="b">
        <v>0</v>
      </c>
      <c r="Y104" s="7"/>
      <c r="Z104" s="13"/>
      <c r="AA104" s="7" t="b">
        <v>0</v>
      </c>
      <c r="AB104" s="7"/>
      <c r="AC104" s="257">
        <v>118.0</v>
      </c>
      <c r="AD104" s="166"/>
      <c r="AE104" s="258">
        <v>245.45</v>
      </c>
      <c r="AF104" s="7" t="b">
        <v>0</v>
      </c>
      <c r="AG104" s="7" t="b">
        <v>0</v>
      </c>
      <c r="AH104" s="166"/>
      <c r="AI104" s="13"/>
      <c r="AJ104" s="3"/>
      <c r="AK104" s="13" t="s">
        <v>228</v>
      </c>
      <c r="AL104" s="3"/>
      <c r="AM104" s="3" t="s">
        <v>397</v>
      </c>
      <c r="AN104" s="3" t="s">
        <v>401</v>
      </c>
      <c r="AO104" s="3" t="s">
        <v>482</v>
      </c>
      <c r="AP104" s="3" t="s">
        <v>482</v>
      </c>
      <c r="AQ104" s="3" t="s">
        <v>482</v>
      </c>
      <c r="AR104" s="3" t="s">
        <v>482</v>
      </c>
      <c r="AS104" s="98"/>
      <c r="AT104" s="98"/>
      <c r="AU104" s="98"/>
      <c r="AV104" s="98"/>
      <c r="AW104" s="98"/>
      <c r="AX104" s="98"/>
      <c r="AY104" s="98"/>
      <c r="AZ104" s="98"/>
    </row>
    <row r="105">
      <c r="A105" s="3" t="s">
        <v>419</v>
      </c>
      <c r="B105" s="36">
        <v>44704.0</v>
      </c>
      <c r="C105" s="91">
        <v>0.3195138888888889</v>
      </c>
      <c r="D105" s="13"/>
      <c r="E105" s="13"/>
      <c r="F105" s="3"/>
      <c r="G105" s="3"/>
      <c r="H105" s="3"/>
      <c r="I105" s="13"/>
      <c r="J105" s="13"/>
      <c r="K105" s="13" t="s">
        <v>228</v>
      </c>
      <c r="L105" s="36">
        <v>44704.0</v>
      </c>
      <c r="M105" s="91">
        <v>0.39491898148148147</v>
      </c>
      <c r="N105" s="3"/>
      <c r="O105" s="3"/>
      <c r="P105" s="7" t="b">
        <v>0</v>
      </c>
      <c r="Q105" s="7" t="s">
        <v>481</v>
      </c>
      <c r="R105" s="166" t="b">
        <v>1</v>
      </c>
      <c r="S105" s="166">
        <v>1.0</v>
      </c>
      <c r="T105" s="7">
        <v>0.0</v>
      </c>
      <c r="U105" s="3"/>
      <c r="V105" s="13"/>
      <c r="W105" s="3"/>
      <c r="X105" s="166" t="b">
        <v>0</v>
      </c>
      <c r="Y105" s="7"/>
      <c r="Z105" s="13"/>
      <c r="AA105" s="7" t="b">
        <v>0</v>
      </c>
      <c r="AB105" s="7"/>
      <c r="AC105" s="257">
        <v>120.0</v>
      </c>
      <c r="AD105" s="166"/>
      <c r="AE105" s="258">
        <v>108.58333333333333</v>
      </c>
      <c r="AF105" s="7" t="b">
        <v>0</v>
      </c>
      <c r="AG105" s="7" t="b">
        <v>0</v>
      </c>
      <c r="AH105" s="166"/>
      <c r="AI105" s="13"/>
      <c r="AJ105" s="3"/>
      <c r="AK105" s="13" t="s">
        <v>228</v>
      </c>
      <c r="AL105" s="3"/>
      <c r="AM105" s="3" t="s">
        <v>365</v>
      </c>
      <c r="AN105" s="3" t="s">
        <v>352</v>
      </c>
      <c r="AO105" s="3" t="s">
        <v>482</v>
      </c>
      <c r="AP105" s="3" t="s">
        <v>482</v>
      </c>
      <c r="AQ105" s="3" t="s">
        <v>482</v>
      </c>
      <c r="AR105" s="3" t="s">
        <v>482</v>
      </c>
      <c r="AS105" s="98"/>
      <c r="AT105" s="98"/>
      <c r="AU105" s="98"/>
      <c r="AV105" s="98"/>
      <c r="AW105" s="98"/>
      <c r="AX105" s="98"/>
      <c r="AY105" s="98"/>
      <c r="AZ105" s="98"/>
    </row>
    <row r="106">
      <c r="A106" s="3" t="s">
        <v>420</v>
      </c>
      <c r="B106" s="36">
        <v>44712.0</v>
      </c>
      <c r="C106" s="91">
        <v>0.18675925925925926</v>
      </c>
      <c r="D106" s="13"/>
      <c r="E106" s="13"/>
      <c r="F106" s="3"/>
      <c r="G106" s="3"/>
      <c r="H106" s="3"/>
      <c r="I106" s="13"/>
      <c r="J106" s="13"/>
      <c r="K106" s="13" t="s">
        <v>228</v>
      </c>
      <c r="L106" s="36">
        <v>44713.0</v>
      </c>
      <c r="M106" s="91">
        <v>0.3414814814814815</v>
      </c>
      <c r="N106" s="3"/>
      <c r="O106" s="3"/>
      <c r="P106" s="7" t="b">
        <v>0</v>
      </c>
      <c r="Q106" s="7" t="s">
        <v>481</v>
      </c>
      <c r="R106" s="166" t="b">
        <v>1</v>
      </c>
      <c r="S106" s="166">
        <v>1.0</v>
      </c>
      <c r="T106" s="7"/>
      <c r="U106" s="3"/>
      <c r="V106" s="13"/>
      <c r="W106" s="3"/>
      <c r="X106" s="166" t="b">
        <v>0</v>
      </c>
      <c r="Y106" s="7"/>
      <c r="Z106" s="13"/>
      <c r="AA106" s="7" t="b">
        <v>0</v>
      </c>
      <c r="AB106" s="7"/>
      <c r="AC106" s="257">
        <v>97.0</v>
      </c>
      <c r="AD106" s="166"/>
      <c r="AE106" s="258"/>
      <c r="AF106" s="7" t="b">
        <v>0</v>
      </c>
      <c r="AG106" s="7" t="b">
        <v>0</v>
      </c>
      <c r="AH106" s="166"/>
      <c r="AI106" s="13"/>
      <c r="AJ106" s="3"/>
      <c r="AK106" s="13" t="s">
        <v>228</v>
      </c>
      <c r="AL106" s="3"/>
      <c r="AM106" s="3" t="s">
        <v>414</v>
      </c>
      <c r="AN106" s="3" t="s">
        <v>416</v>
      </c>
      <c r="AO106" s="3" t="s">
        <v>482</v>
      </c>
      <c r="AP106" s="3" t="s">
        <v>482</v>
      </c>
      <c r="AQ106" s="3" t="s">
        <v>482</v>
      </c>
      <c r="AR106" s="3" t="s">
        <v>482</v>
      </c>
      <c r="AS106" s="98"/>
      <c r="AT106" s="98"/>
      <c r="AU106" s="98"/>
      <c r="AV106" s="98"/>
      <c r="AW106" s="98"/>
      <c r="AX106" s="98"/>
      <c r="AY106" s="98"/>
      <c r="AZ106" s="98"/>
    </row>
    <row r="107">
      <c r="A107" s="3" t="s">
        <v>421</v>
      </c>
      <c r="B107" s="36">
        <v>44712.0</v>
      </c>
      <c r="C107" s="91">
        <v>0.19265046296296295</v>
      </c>
      <c r="D107" s="13"/>
      <c r="E107" s="13"/>
      <c r="F107" s="3"/>
      <c r="G107" s="3"/>
      <c r="H107" s="3"/>
      <c r="I107" s="13"/>
      <c r="J107" s="13"/>
      <c r="K107" s="13" t="s">
        <v>228</v>
      </c>
      <c r="L107" s="36">
        <v>44713.0</v>
      </c>
      <c r="M107" s="91">
        <v>0.3414814814814815</v>
      </c>
      <c r="N107" s="3"/>
      <c r="O107" s="3"/>
      <c r="P107" s="7" t="b">
        <v>0</v>
      </c>
      <c r="Q107" s="7" t="s">
        <v>481</v>
      </c>
      <c r="R107" s="166" t="b">
        <v>1</v>
      </c>
      <c r="S107" s="166">
        <v>4.0</v>
      </c>
      <c r="T107" s="7"/>
      <c r="U107" s="3"/>
      <c r="V107" s="13"/>
      <c r="W107" s="3"/>
      <c r="X107" s="166" t="b">
        <v>0</v>
      </c>
      <c r="Y107" s="7"/>
      <c r="Z107" s="13"/>
      <c r="AA107" s="7" t="b">
        <v>0</v>
      </c>
      <c r="AB107" s="7"/>
      <c r="AC107" s="257">
        <v>100.0</v>
      </c>
      <c r="AD107" s="166"/>
      <c r="AE107" s="258"/>
      <c r="AF107" s="7" t="b">
        <v>0</v>
      </c>
      <c r="AG107" s="7" t="b">
        <v>0</v>
      </c>
      <c r="AH107" s="166"/>
      <c r="AI107" s="13"/>
      <c r="AJ107" s="3"/>
      <c r="AK107" s="13" t="s">
        <v>228</v>
      </c>
      <c r="AL107" s="3"/>
      <c r="AM107" s="3" t="s">
        <v>422</v>
      </c>
      <c r="AN107" s="3" t="s">
        <v>423</v>
      </c>
      <c r="AO107" s="3" t="s">
        <v>482</v>
      </c>
      <c r="AP107" s="3" t="s">
        <v>482</v>
      </c>
      <c r="AQ107" s="3" t="s">
        <v>482</v>
      </c>
      <c r="AR107" s="3" t="s">
        <v>482</v>
      </c>
      <c r="AS107" s="98"/>
      <c r="AT107" s="98"/>
      <c r="AU107" s="98"/>
      <c r="AV107" s="98"/>
      <c r="AW107" s="98"/>
      <c r="AX107" s="98"/>
      <c r="AY107" s="98"/>
      <c r="AZ107" s="98"/>
    </row>
    <row r="108">
      <c r="A108" s="3" t="s">
        <v>421</v>
      </c>
      <c r="B108" s="36">
        <v>44712.0</v>
      </c>
      <c r="C108" s="91">
        <v>0.19265046296296295</v>
      </c>
      <c r="D108" s="13"/>
      <c r="E108" s="13"/>
      <c r="F108" s="3"/>
      <c r="G108" s="3"/>
      <c r="H108" s="3"/>
      <c r="I108" s="13"/>
      <c r="J108" s="13"/>
      <c r="K108" s="13" t="s">
        <v>228</v>
      </c>
      <c r="L108" s="36">
        <v>44713.0</v>
      </c>
      <c r="M108" s="91">
        <v>0.3414814814814815</v>
      </c>
      <c r="N108" s="3"/>
      <c r="O108" s="3"/>
      <c r="P108" s="7" t="b">
        <v>0</v>
      </c>
      <c r="Q108" s="7" t="s">
        <v>481</v>
      </c>
      <c r="R108" s="166" t="b">
        <v>0</v>
      </c>
      <c r="S108" s="166">
        <v>4.0</v>
      </c>
      <c r="T108" s="7"/>
      <c r="U108" s="3"/>
      <c r="V108" s="13"/>
      <c r="W108" s="3"/>
      <c r="X108" s="166" t="b">
        <v>0</v>
      </c>
      <c r="Y108" s="7"/>
      <c r="Z108" s="13"/>
      <c r="AA108" s="7" t="b">
        <v>0</v>
      </c>
      <c r="AB108" s="7"/>
      <c r="AC108" s="257">
        <v>99.0</v>
      </c>
      <c r="AD108" s="166"/>
      <c r="AE108" s="258"/>
      <c r="AF108" s="7" t="b">
        <v>0</v>
      </c>
      <c r="AG108" s="7" t="b">
        <v>0</v>
      </c>
      <c r="AH108" s="166"/>
      <c r="AI108" s="13"/>
      <c r="AJ108" s="3"/>
      <c r="AK108" s="13" t="s">
        <v>228</v>
      </c>
      <c r="AL108" s="3"/>
      <c r="AM108" s="3" t="s">
        <v>422</v>
      </c>
      <c r="AN108" s="3" t="s">
        <v>424</v>
      </c>
      <c r="AO108" s="3" t="s">
        <v>482</v>
      </c>
      <c r="AP108" s="3" t="s">
        <v>482</v>
      </c>
      <c r="AQ108" s="3" t="s">
        <v>482</v>
      </c>
      <c r="AR108" s="3" t="s">
        <v>482</v>
      </c>
      <c r="AS108" s="98"/>
      <c r="AT108" s="98"/>
      <c r="AU108" s="98"/>
      <c r="AV108" s="98"/>
      <c r="AW108" s="98"/>
      <c r="AX108" s="98"/>
      <c r="AY108" s="98"/>
      <c r="AZ108" s="98"/>
    </row>
    <row r="109">
      <c r="A109" s="3" t="s">
        <v>421</v>
      </c>
      <c r="B109" s="36">
        <v>44712.0</v>
      </c>
      <c r="C109" s="91">
        <v>0.19265046296296295</v>
      </c>
      <c r="D109" s="13"/>
      <c r="E109" s="13"/>
      <c r="F109" s="3"/>
      <c r="G109" s="3"/>
      <c r="H109" s="3"/>
      <c r="I109" s="13"/>
      <c r="J109" s="13"/>
      <c r="K109" s="13" t="s">
        <v>228</v>
      </c>
      <c r="L109" s="36">
        <v>44713.0</v>
      </c>
      <c r="M109" s="91">
        <v>0.3414814814814815</v>
      </c>
      <c r="N109" s="3"/>
      <c r="O109" s="3"/>
      <c r="P109" s="7" t="b">
        <v>0</v>
      </c>
      <c r="Q109" s="7" t="s">
        <v>481</v>
      </c>
      <c r="R109" s="166" t="b">
        <v>0</v>
      </c>
      <c r="S109" s="166">
        <v>4.0</v>
      </c>
      <c r="T109" s="7"/>
      <c r="U109" s="3"/>
      <c r="V109" s="13"/>
      <c r="W109" s="3"/>
      <c r="X109" s="166" t="b">
        <v>0</v>
      </c>
      <c r="Y109" s="7"/>
      <c r="Z109" s="13"/>
      <c r="AA109" s="7" t="b">
        <v>0</v>
      </c>
      <c r="AB109" s="7"/>
      <c r="AC109" s="257">
        <v>98.0</v>
      </c>
      <c r="AD109" s="166"/>
      <c r="AE109" s="258"/>
      <c r="AF109" s="7" t="b">
        <v>0</v>
      </c>
      <c r="AG109" s="7" t="b">
        <v>0</v>
      </c>
      <c r="AH109" s="166"/>
      <c r="AI109" s="13"/>
      <c r="AJ109" s="3"/>
      <c r="AK109" s="13" t="s">
        <v>228</v>
      </c>
      <c r="AL109" s="3"/>
      <c r="AM109" s="3" t="s">
        <v>422</v>
      </c>
      <c r="AN109" s="3" t="s">
        <v>425</v>
      </c>
      <c r="AO109" s="3" t="s">
        <v>482</v>
      </c>
      <c r="AP109" s="3" t="s">
        <v>482</v>
      </c>
      <c r="AQ109" s="3" t="s">
        <v>482</v>
      </c>
      <c r="AR109" s="3" t="s">
        <v>482</v>
      </c>
      <c r="AS109" s="98"/>
      <c r="AT109" s="98"/>
      <c r="AU109" s="98"/>
      <c r="AV109" s="98"/>
      <c r="AW109" s="98"/>
      <c r="AX109" s="98"/>
      <c r="AY109" s="98"/>
      <c r="AZ109" s="98"/>
    </row>
    <row r="110">
      <c r="A110" s="3" t="s">
        <v>421</v>
      </c>
      <c r="B110" s="36">
        <v>44712.0</v>
      </c>
      <c r="C110" s="91">
        <v>0.19265046296296295</v>
      </c>
      <c r="D110" s="13"/>
      <c r="E110" s="13"/>
      <c r="F110" s="3"/>
      <c r="G110" s="3"/>
      <c r="H110" s="3"/>
      <c r="I110" s="13"/>
      <c r="J110" s="13"/>
      <c r="K110" s="13" t="s">
        <v>228</v>
      </c>
      <c r="L110" s="36">
        <v>44713.0</v>
      </c>
      <c r="M110" s="91">
        <v>0.3414814814814815</v>
      </c>
      <c r="N110" s="3"/>
      <c r="O110" s="3"/>
      <c r="P110" s="7" t="b">
        <v>0</v>
      </c>
      <c r="Q110" s="7" t="s">
        <v>481</v>
      </c>
      <c r="R110" s="166" t="b">
        <v>0</v>
      </c>
      <c r="S110" s="166">
        <v>4.0</v>
      </c>
      <c r="T110" s="7"/>
      <c r="U110" s="3"/>
      <c r="V110" s="13"/>
      <c r="W110" s="3"/>
      <c r="X110" s="166" t="b">
        <v>0</v>
      </c>
      <c r="Y110" s="7"/>
      <c r="Z110" s="13"/>
      <c r="AA110" s="7" t="b">
        <v>0</v>
      </c>
      <c r="AB110" s="7"/>
      <c r="AC110" s="257">
        <v>101.0</v>
      </c>
      <c r="AD110" s="166"/>
      <c r="AE110" s="258"/>
      <c r="AF110" s="7" t="b">
        <v>0</v>
      </c>
      <c r="AG110" s="7" t="b">
        <v>0</v>
      </c>
      <c r="AH110" s="166"/>
      <c r="AI110" s="13"/>
      <c r="AJ110" s="3"/>
      <c r="AK110" s="13" t="s">
        <v>228</v>
      </c>
      <c r="AL110" s="3"/>
      <c r="AM110" s="3" t="s">
        <v>422</v>
      </c>
      <c r="AN110" s="3" t="s">
        <v>426</v>
      </c>
      <c r="AO110" s="3" t="s">
        <v>482</v>
      </c>
      <c r="AP110" s="3" t="s">
        <v>482</v>
      </c>
      <c r="AQ110" s="3" t="s">
        <v>482</v>
      </c>
      <c r="AR110" s="3" t="s">
        <v>482</v>
      </c>
      <c r="AS110" s="98"/>
      <c r="AT110" s="98"/>
      <c r="AU110" s="98"/>
      <c r="AV110" s="98"/>
      <c r="AW110" s="98"/>
      <c r="AX110" s="98"/>
      <c r="AY110" s="98"/>
      <c r="AZ110" s="98"/>
    </row>
    <row r="111">
      <c r="A111" s="3" t="s">
        <v>427</v>
      </c>
      <c r="B111" s="36">
        <v>44712.0</v>
      </c>
      <c r="C111" s="91">
        <v>0.7929166666666667</v>
      </c>
      <c r="D111" s="13"/>
      <c r="E111" s="13"/>
      <c r="F111" s="3"/>
      <c r="G111" s="3"/>
      <c r="H111" s="3"/>
      <c r="I111" s="13"/>
      <c r="J111" s="13"/>
      <c r="K111" s="13" t="s">
        <v>228</v>
      </c>
      <c r="L111" s="36">
        <v>44713.0</v>
      </c>
      <c r="M111" s="91">
        <v>0.3414814814814815</v>
      </c>
      <c r="N111" s="3"/>
      <c r="O111" s="3"/>
      <c r="P111" s="7" t="b">
        <v>0</v>
      </c>
      <c r="Q111" s="7" t="s">
        <v>481</v>
      </c>
      <c r="R111" s="166" t="b">
        <v>1</v>
      </c>
      <c r="S111" s="166">
        <v>2.0</v>
      </c>
      <c r="T111" s="7">
        <v>1.0</v>
      </c>
      <c r="U111" s="3"/>
      <c r="V111" s="13"/>
      <c r="W111" s="3"/>
      <c r="X111" s="166" t="b">
        <v>0</v>
      </c>
      <c r="Y111" s="7"/>
      <c r="Z111" s="13"/>
      <c r="AA111" s="7" t="b">
        <v>0</v>
      </c>
      <c r="AB111" s="7"/>
      <c r="AC111" s="257">
        <v>102.0</v>
      </c>
      <c r="AD111" s="166"/>
      <c r="AE111" s="258"/>
      <c r="AF111" s="7" t="b">
        <v>0</v>
      </c>
      <c r="AG111" s="7" t="b">
        <v>0</v>
      </c>
      <c r="AH111" s="166"/>
      <c r="AI111" s="13"/>
      <c r="AJ111" s="3"/>
      <c r="AK111" s="13" t="s">
        <v>228</v>
      </c>
      <c r="AL111" s="3"/>
      <c r="AM111" s="3" t="s">
        <v>365</v>
      </c>
      <c r="AN111" s="3" t="s">
        <v>428</v>
      </c>
      <c r="AO111" s="3" t="s">
        <v>482</v>
      </c>
      <c r="AP111" s="3" t="s">
        <v>482</v>
      </c>
      <c r="AQ111" s="3" t="s">
        <v>482</v>
      </c>
      <c r="AR111" s="3" t="s">
        <v>482</v>
      </c>
      <c r="AS111" s="98"/>
      <c r="AT111" s="98"/>
      <c r="AU111" s="98"/>
      <c r="AV111" s="98"/>
      <c r="AW111" s="98"/>
      <c r="AX111" s="98"/>
      <c r="AY111" s="98"/>
      <c r="AZ111" s="98"/>
    </row>
    <row r="112">
      <c r="A112" s="3" t="s">
        <v>427</v>
      </c>
      <c r="B112" s="36">
        <v>44712.0</v>
      </c>
      <c r="C112" s="91">
        <v>0.7929166666666667</v>
      </c>
      <c r="D112" s="13"/>
      <c r="E112" s="13"/>
      <c r="F112" s="3"/>
      <c r="G112" s="3"/>
      <c r="H112" s="3"/>
      <c r="I112" s="13"/>
      <c r="J112" s="13"/>
      <c r="K112" s="13" t="s">
        <v>228</v>
      </c>
      <c r="L112" s="36">
        <v>44713.0</v>
      </c>
      <c r="M112" s="91">
        <v>0.3414814814814815</v>
      </c>
      <c r="N112" s="3"/>
      <c r="O112" s="3"/>
      <c r="P112" s="7" t="b">
        <v>0</v>
      </c>
      <c r="Q112" s="7" t="s">
        <v>481</v>
      </c>
      <c r="R112" s="166" t="b">
        <v>0</v>
      </c>
      <c r="S112" s="166">
        <v>2.0</v>
      </c>
      <c r="T112" s="7">
        <v>1.0</v>
      </c>
      <c r="U112" s="3"/>
      <c r="V112" s="13"/>
      <c r="W112" s="3"/>
      <c r="X112" s="166" t="b">
        <v>0</v>
      </c>
      <c r="Y112" s="7"/>
      <c r="Z112" s="13"/>
      <c r="AA112" s="7" t="b">
        <v>0</v>
      </c>
      <c r="AB112" s="7"/>
      <c r="AC112" s="257">
        <v>102.0</v>
      </c>
      <c r="AD112" s="166"/>
      <c r="AE112" s="258"/>
      <c r="AF112" s="7" t="b">
        <v>0</v>
      </c>
      <c r="AG112" s="7" t="b">
        <v>0</v>
      </c>
      <c r="AH112" s="166"/>
      <c r="AI112" s="13"/>
      <c r="AJ112" s="3"/>
      <c r="AK112" s="13" t="s">
        <v>228</v>
      </c>
      <c r="AL112" s="3"/>
      <c r="AM112" s="3" t="s">
        <v>365</v>
      </c>
      <c r="AN112" s="3" t="s">
        <v>383</v>
      </c>
      <c r="AO112" s="3" t="s">
        <v>482</v>
      </c>
      <c r="AP112" s="3" t="s">
        <v>482</v>
      </c>
      <c r="AQ112" s="3" t="s">
        <v>482</v>
      </c>
      <c r="AR112" s="3" t="s">
        <v>482</v>
      </c>
      <c r="AS112" s="98"/>
      <c r="AT112" s="98"/>
      <c r="AU112" s="98"/>
      <c r="AV112" s="98"/>
      <c r="AW112" s="98"/>
      <c r="AX112" s="98"/>
      <c r="AY112" s="98"/>
      <c r="AZ112" s="98"/>
    </row>
    <row r="113">
      <c r="A113" s="3" t="s">
        <v>429</v>
      </c>
      <c r="B113" s="36">
        <v>44713.0</v>
      </c>
      <c r="C113" s="91">
        <v>0.17925925925925926</v>
      </c>
      <c r="D113" s="13"/>
      <c r="E113" s="13"/>
      <c r="F113" s="3"/>
      <c r="G113" s="3"/>
      <c r="H113" s="3"/>
      <c r="I113" s="13"/>
      <c r="J113" s="13"/>
      <c r="K113" s="13" t="s">
        <v>228</v>
      </c>
      <c r="L113" s="36">
        <v>44713.0</v>
      </c>
      <c r="M113" s="91">
        <v>0.3414814814814815</v>
      </c>
      <c r="N113" s="3"/>
      <c r="O113" s="3"/>
      <c r="P113" s="7" t="b">
        <v>0</v>
      </c>
      <c r="Q113" s="7" t="s">
        <v>481</v>
      </c>
      <c r="R113" s="166" t="b">
        <v>1</v>
      </c>
      <c r="S113" s="166">
        <v>1.0</v>
      </c>
      <c r="T113" s="7"/>
      <c r="U113" s="3"/>
      <c r="V113" s="13"/>
      <c r="W113" s="3"/>
      <c r="X113" s="166" t="b">
        <v>0</v>
      </c>
      <c r="Y113" s="7"/>
      <c r="Z113" s="13"/>
      <c r="AA113" s="7" t="b">
        <v>0</v>
      </c>
      <c r="AB113" s="7"/>
      <c r="AC113" s="257">
        <v>76.0</v>
      </c>
      <c r="AD113" s="166"/>
      <c r="AE113" s="258">
        <v>233.60000000000002</v>
      </c>
      <c r="AF113" s="7" t="b">
        <v>0</v>
      </c>
      <c r="AG113" s="7" t="b">
        <v>0</v>
      </c>
      <c r="AH113" s="166"/>
      <c r="AI113" s="13"/>
      <c r="AJ113" s="3"/>
      <c r="AK113" s="13" t="s">
        <v>228</v>
      </c>
      <c r="AL113" s="3"/>
      <c r="AM113" s="3" t="s">
        <v>430</v>
      </c>
      <c r="AN113" s="3" t="s">
        <v>431</v>
      </c>
      <c r="AO113" s="3" t="s">
        <v>482</v>
      </c>
      <c r="AP113" s="3" t="s">
        <v>482</v>
      </c>
      <c r="AQ113" s="3" t="s">
        <v>482</v>
      </c>
      <c r="AR113" s="3" t="s">
        <v>482</v>
      </c>
      <c r="AS113" s="98"/>
      <c r="AT113" s="98"/>
      <c r="AU113" s="98"/>
      <c r="AV113" s="98"/>
      <c r="AW113" s="98"/>
      <c r="AX113" s="98"/>
      <c r="AY113" s="98"/>
      <c r="AZ113" s="98"/>
    </row>
    <row r="114">
      <c r="A114" s="3" t="s">
        <v>432</v>
      </c>
      <c r="B114" s="36">
        <v>44713.0</v>
      </c>
      <c r="C114" s="91">
        <v>0.1832175925925926</v>
      </c>
      <c r="D114" s="13"/>
      <c r="E114" s="13"/>
      <c r="F114" s="3"/>
      <c r="G114" s="3"/>
      <c r="H114" s="3"/>
      <c r="I114" s="13"/>
      <c r="J114" s="13"/>
      <c r="K114" s="13" t="s">
        <v>228</v>
      </c>
      <c r="L114" s="36">
        <v>44713.0</v>
      </c>
      <c r="M114" s="91">
        <v>0.3414814814814815</v>
      </c>
      <c r="N114" s="3"/>
      <c r="O114" s="3"/>
      <c r="P114" s="7" t="b">
        <v>0</v>
      </c>
      <c r="Q114" s="7" t="s">
        <v>481</v>
      </c>
      <c r="R114" s="166" t="b">
        <v>1</v>
      </c>
      <c r="S114" s="166">
        <v>1.0</v>
      </c>
      <c r="T114" s="7"/>
      <c r="U114" s="3"/>
      <c r="V114" s="13"/>
      <c r="W114" s="3"/>
      <c r="X114" s="166" t="b">
        <v>0</v>
      </c>
      <c r="Y114" s="7"/>
      <c r="Z114" s="13"/>
      <c r="AA114" s="7" t="b">
        <v>0</v>
      </c>
      <c r="AB114" s="7"/>
      <c r="AC114" s="257">
        <v>77.0</v>
      </c>
      <c r="AD114" s="166"/>
      <c r="AE114" s="258">
        <v>227.90000000000003</v>
      </c>
      <c r="AF114" s="7" t="b">
        <v>0</v>
      </c>
      <c r="AG114" s="7" t="b">
        <v>0</v>
      </c>
      <c r="AH114" s="166"/>
      <c r="AI114" s="13"/>
      <c r="AJ114" s="3"/>
      <c r="AK114" s="13" t="s">
        <v>228</v>
      </c>
      <c r="AL114" s="3"/>
      <c r="AM114" s="3" t="s">
        <v>414</v>
      </c>
      <c r="AN114" s="3" t="s">
        <v>415</v>
      </c>
      <c r="AO114" s="3" t="s">
        <v>482</v>
      </c>
      <c r="AP114" s="3" t="s">
        <v>482</v>
      </c>
      <c r="AQ114" s="3" t="s">
        <v>482</v>
      </c>
      <c r="AR114" s="3" t="s">
        <v>482</v>
      </c>
      <c r="AS114" s="98"/>
      <c r="AT114" s="98"/>
      <c r="AU114" s="98"/>
      <c r="AV114" s="98"/>
      <c r="AW114" s="98"/>
      <c r="AX114" s="98"/>
      <c r="AY114" s="98"/>
      <c r="AZ114" s="98"/>
    </row>
    <row r="115">
      <c r="A115" s="3" t="s">
        <v>433</v>
      </c>
      <c r="B115" s="36">
        <v>44713.0</v>
      </c>
      <c r="C115" s="91">
        <v>0.19666666666666666</v>
      </c>
      <c r="D115" s="13"/>
      <c r="E115" s="13"/>
      <c r="F115" s="3"/>
      <c r="G115" s="3"/>
      <c r="H115" s="3"/>
      <c r="I115" s="13"/>
      <c r="J115" s="13"/>
      <c r="K115" s="13" t="s">
        <v>228</v>
      </c>
      <c r="L115" s="36">
        <v>44713.0</v>
      </c>
      <c r="M115" s="91">
        <v>0.34149305555555554</v>
      </c>
      <c r="N115" s="3"/>
      <c r="O115" s="3"/>
      <c r="P115" s="7" t="b">
        <v>0</v>
      </c>
      <c r="Q115" s="7" t="s">
        <v>481</v>
      </c>
      <c r="R115" s="166" t="b">
        <v>1</v>
      </c>
      <c r="S115" s="166">
        <v>2.0</v>
      </c>
      <c r="T115" s="7"/>
      <c r="U115" s="3"/>
      <c r="V115" s="13"/>
      <c r="W115" s="3"/>
      <c r="X115" s="166" t="b">
        <v>0</v>
      </c>
      <c r="Y115" s="7"/>
      <c r="Z115" s="13"/>
      <c r="AA115" s="7" t="b">
        <v>0</v>
      </c>
      <c r="AB115" s="7"/>
      <c r="AC115" s="257">
        <v>79.0</v>
      </c>
      <c r="AD115" s="166"/>
      <c r="AE115" s="258">
        <v>208.54999999999998</v>
      </c>
      <c r="AF115" s="7" t="b">
        <v>0</v>
      </c>
      <c r="AG115" s="7" t="b">
        <v>0</v>
      </c>
      <c r="AH115" s="166"/>
      <c r="AI115" s="13"/>
      <c r="AJ115" s="3"/>
      <c r="AK115" s="13" t="s">
        <v>228</v>
      </c>
      <c r="AL115" s="3"/>
      <c r="AM115" s="3" t="s">
        <v>332</v>
      </c>
      <c r="AN115" s="3" t="s">
        <v>335</v>
      </c>
      <c r="AO115" s="3" t="s">
        <v>482</v>
      </c>
      <c r="AP115" s="3" t="s">
        <v>482</v>
      </c>
      <c r="AQ115" s="3" t="s">
        <v>482</v>
      </c>
      <c r="AR115" s="3" t="s">
        <v>482</v>
      </c>
      <c r="AS115" s="98"/>
      <c r="AT115" s="98"/>
      <c r="AU115" s="98"/>
      <c r="AV115" s="98"/>
      <c r="AW115" s="98"/>
      <c r="AX115" s="98"/>
      <c r="AY115" s="98"/>
      <c r="AZ115" s="98"/>
    </row>
    <row r="116">
      <c r="A116" s="3" t="s">
        <v>433</v>
      </c>
      <c r="B116" s="36">
        <v>44713.0</v>
      </c>
      <c r="C116" s="91">
        <v>0.19666666666666666</v>
      </c>
      <c r="D116" s="13"/>
      <c r="E116" s="13"/>
      <c r="F116" s="3"/>
      <c r="G116" s="3"/>
      <c r="H116" s="3"/>
      <c r="I116" s="13"/>
      <c r="J116" s="13"/>
      <c r="K116" s="13" t="s">
        <v>228</v>
      </c>
      <c r="L116" s="36">
        <v>44713.0</v>
      </c>
      <c r="M116" s="91">
        <v>0.34149305555555554</v>
      </c>
      <c r="N116" s="3"/>
      <c r="O116" s="3"/>
      <c r="P116" s="7" t="b">
        <v>0</v>
      </c>
      <c r="Q116" s="7" t="s">
        <v>481</v>
      </c>
      <c r="R116" s="166" t="b">
        <v>0</v>
      </c>
      <c r="S116" s="166">
        <v>2.0</v>
      </c>
      <c r="T116" s="7"/>
      <c r="U116" s="3"/>
      <c r="V116" s="13"/>
      <c r="W116" s="3"/>
      <c r="X116" s="166" t="b">
        <v>0</v>
      </c>
      <c r="Y116" s="7"/>
      <c r="Z116" s="13"/>
      <c r="AA116" s="7" t="b">
        <v>0</v>
      </c>
      <c r="AB116" s="7"/>
      <c r="AC116" s="257">
        <v>78.0</v>
      </c>
      <c r="AD116" s="166"/>
      <c r="AE116" s="258">
        <v>208.54999999999998</v>
      </c>
      <c r="AF116" s="7" t="b">
        <v>0</v>
      </c>
      <c r="AG116" s="7" t="b">
        <v>0</v>
      </c>
      <c r="AH116" s="166"/>
      <c r="AI116" s="13"/>
      <c r="AJ116" s="3"/>
      <c r="AK116" s="13" t="s">
        <v>228</v>
      </c>
      <c r="AL116" s="3"/>
      <c r="AM116" s="3" t="s">
        <v>332</v>
      </c>
      <c r="AN116" s="3" t="s">
        <v>339</v>
      </c>
      <c r="AO116" s="3" t="s">
        <v>482</v>
      </c>
      <c r="AP116" s="3" t="s">
        <v>482</v>
      </c>
      <c r="AQ116" s="3" t="s">
        <v>482</v>
      </c>
      <c r="AR116" s="3" t="s">
        <v>482</v>
      </c>
      <c r="AS116" s="98"/>
      <c r="AT116" s="98"/>
      <c r="AU116" s="98"/>
      <c r="AV116" s="98"/>
      <c r="AW116" s="98"/>
      <c r="AX116" s="98"/>
      <c r="AY116" s="98"/>
      <c r="AZ116" s="98"/>
    </row>
    <row r="117">
      <c r="A117" s="3" t="s">
        <v>434</v>
      </c>
      <c r="B117" s="36">
        <v>44713.0</v>
      </c>
      <c r="C117" s="91">
        <v>0.1976388888888889</v>
      </c>
      <c r="D117" s="13"/>
      <c r="E117" s="13"/>
      <c r="F117" s="3"/>
      <c r="G117" s="3"/>
      <c r="H117" s="3"/>
      <c r="I117" s="13"/>
      <c r="J117" s="13"/>
      <c r="K117" s="13" t="s">
        <v>228</v>
      </c>
      <c r="L117" s="36">
        <v>44713.0</v>
      </c>
      <c r="M117" s="91">
        <v>0.34149305555555554</v>
      </c>
      <c r="N117" s="3"/>
      <c r="O117" s="3"/>
      <c r="P117" s="7" t="b">
        <v>0</v>
      </c>
      <c r="Q117" s="7" t="s">
        <v>481</v>
      </c>
      <c r="R117" s="166" t="b">
        <v>1</v>
      </c>
      <c r="S117" s="166">
        <v>4.0</v>
      </c>
      <c r="T117" s="7"/>
      <c r="U117" s="3"/>
      <c r="V117" s="13"/>
      <c r="W117" s="3"/>
      <c r="X117" s="166" t="b">
        <v>0</v>
      </c>
      <c r="Y117" s="7"/>
      <c r="Z117" s="13"/>
      <c r="AA117" s="7" t="b">
        <v>0</v>
      </c>
      <c r="AB117" s="7"/>
      <c r="AC117" s="257">
        <v>81.0</v>
      </c>
      <c r="AD117" s="166"/>
      <c r="AE117" s="258">
        <v>207.14999999999998</v>
      </c>
      <c r="AF117" s="7" t="b">
        <v>0</v>
      </c>
      <c r="AG117" s="7" t="b">
        <v>0</v>
      </c>
      <c r="AH117" s="166"/>
      <c r="AI117" s="13"/>
      <c r="AJ117" s="3"/>
      <c r="AK117" s="13" t="s">
        <v>228</v>
      </c>
      <c r="AL117" s="3"/>
      <c r="AM117" s="3" t="s">
        <v>322</v>
      </c>
      <c r="AN117" s="3" t="s">
        <v>325</v>
      </c>
      <c r="AO117" s="3" t="s">
        <v>482</v>
      </c>
      <c r="AP117" s="3" t="s">
        <v>482</v>
      </c>
      <c r="AQ117" s="3" t="s">
        <v>482</v>
      </c>
      <c r="AR117" s="3" t="s">
        <v>482</v>
      </c>
      <c r="AS117" s="98"/>
      <c r="AT117" s="98"/>
      <c r="AU117" s="98"/>
      <c r="AV117" s="98"/>
      <c r="AW117" s="98"/>
      <c r="AX117" s="98"/>
      <c r="AY117" s="98"/>
      <c r="AZ117" s="98"/>
    </row>
    <row r="118">
      <c r="A118" s="3" t="s">
        <v>434</v>
      </c>
      <c r="B118" s="36">
        <v>44713.0</v>
      </c>
      <c r="C118" s="91">
        <v>0.1976388888888889</v>
      </c>
      <c r="D118" s="13"/>
      <c r="E118" s="13"/>
      <c r="F118" s="3"/>
      <c r="G118" s="3"/>
      <c r="H118" s="3"/>
      <c r="I118" s="13"/>
      <c r="J118" s="13"/>
      <c r="K118" s="13" t="s">
        <v>228</v>
      </c>
      <c r="L118" s="36">
        <v>44713.0</v>
      </c>
      <c r="M118" s="91">
        <v>0.34149305555555554</v>
      </c>
      <c r="N118" s="3"/>
      <c r="O118" s="3"/>
      <c r="P118" s="7" t="b">
        <v>0</v>
      </c>
      <c r="Q118" s="7" t="s">
        <v>481</v>
      </c>
      <c r="R118" s="166" t="b">
        <v>0</v>
      </c>
      <c r="S118" s="166">
        <v>4.0</v>
      </c>
      <c r="T118" s="7"/>
      <c r="U118" s="3"/>
      <c r="V118" s="13"/>
      <c r="W118" s="3"/>
      <c r="X118" s="166" t="b">
        <v>0</v>
      </c>
      <c r="Y118" s="7"/>
      <c r="Z118" s="13"/>
      <c r="AA118" s="7" t="b">
        <v>0</v>
      </c>
      <c r="AB118" s="7"/>
      <c r="AC118" s="257">
        <v>80.0</v>
      </c>
      <c r="AD118" s="166"/>
      <c r="AE118" s="258">
        <v>207.14999999999998</v>
      </c>
      <c r="AF118" s="7" t="b">
        <v>0</v>
      </c>
      <c r="AG118" s="7" t="b">
        <v>0</v>
      </c>
      <c r="AH118" s="166"/>
      <c r="AI118" s="13"/>
      <c r="AJ118" s="3"/>
      <c r="AK118" s="13" t="s">
        <v>228</v>
      </c>
      <c r="AL118" s="3"/>
      <c r="AM118" s="3" t="s">
        <v>322</v>
      </c>
      <c r="AN118" s="3" t="s">
        <v>327</v>
      </c>
      <c r="AO118" s="3" t="s">
        <v>482</v>
      </c>
      <c r="AP118" s="3" t="s">
        <v>482</v>
      </c>
      <c r="AQ118" s="3" t="s">
        <v>482</v>
      </c>
      <c r="AR118" s="3" t="s">
        <v>482</v>
      </c>
      <c r="AS118" s="98"/>
      <c r="AT118" s="98"/>
      <c r="AU118" s="98"/>
      <c r="AV118" s="98"/>
      <c r="AW118" s="98"/>
      <c r="AX118" s="98"/>
      <c r="AY118" s="98"/>
      <c r="AZ118" s="98"/>
    </row>
    <row r="119">
      <c r="A119" s="3" t="s">
        <v>434</v>
      </c>
      <c r="B119" s="36">
        <v>44713.0</v>
      </c>
      <c r="C119" s="91">
        <v>0.1976388888888889</v>
      </c>
      <c r="D119" s="13"/>
      <c r="E119" s="13"/>
      <c r="F119" s="3"/>
      <c r="G119" s="3"/>
      <c r="H119" s="3"/>
      <c r="I119" s="13"/>
      <c r="J119" s="13"/>
      <c r="K119" s="13" t="s">
        <v>228</v>
      </c>
      <c r="L119" s="36">
        <v>44713.0</v>
      </c>
      <c r="M119" s="91">
        <v>0.34149305555555554</v>
      </c>
      <c r="N119" s="3"/>
      <c r="O119" s="3"/>
      <c r="P119" s="7" t="b">
        <v>0</v>
      </c>
      <c r="Q119" s="7" t="s">
        <v>481</v>
      </c>
      <c r="R119" s="166" t="b">
        <v>0</v>
      </c>
      <c r="S119" s="166">
        <v>4.0</v>
      </c>
      <c r="T119" s="7"/>
      <c r="U119" s="3"/>
      <c r="V119" s="13"/>
      <c r="W119" s="3"/>
      <c r="X119" s="166" t="b">
        <v>0</v>
      </c>
      <c r="Y119" s="7"/>
      <c r="Z119" s="13"/>
      <c r="AA119" s="7" t="b">
        <v>0</v>
      </c>
      <c r="AB119" s="7"/>
      <c r="AC119" s="257">
        <v>82.0</v>
      </c>
      <c r="AD119" s="166"/>
      <c r="AE119" s="258">
        <v>207.14999999999998</v>
      </c>
      <c r="AF119" s="7" t="b">
        <v>0</v>
      </c>
      <c r="AG119" s="7" t="b">
        <v>0</v>
      </c>
      <c r="AH119" s="166"/>
      <c r="AI119" s="13"/>
      <c r="AJ119" s="3"/>
      <c r="AK119" s="13" t="s">
        <v>228</v>
      </c>
      <c r="AL119" s="3"/>
      <c r="AM119" s="3" t="s">
        <v>322</v>
      </c>
      <c r="AN119" s="3" t="s">
        <v>393</v>
      </c>
      <c r="AO119" s="3" t="s">
        <v>482</v>
      </c>
      <c r="AP119" s="3" t="s">
        <v>482</v>
      </c>
      <c r="AQ119" s="3" t="s">
        <v>482</v>
      </c>
      <c r="AR119" s="3" t="s">
        <v>482</v>
      </c>
      <c r="AS119" s="98"/>
      <c r="AT119" s="98"/>
      <c r="AU119" s="98"/>
      <c r="AV119" s="98"/>
      <c r="AW119" s="98"/>
      <c r="AX119" s="98"/>
      <c r="AY119" s="98"/>
      <c r="AZ119" s="98"/>
    </row>
    <row r="120">
      <c r="A120" s="3" t="s">
        <v>434</v>
      </c>
      <c r="B120" s="36">
        <v>44713.0</v>
      </c>
      <c r="C120" s="91">
        <v>0.1976388888888889</v>
      </c>
      <c r="D120" s="13"/>
      <c r="E120" s="13"/>
      <c r="F120" s="3"/>
      <c r="G120" s="3"/>
      <c r="H120" s="3"/>
      <c r="I120" s="13"/>
      <c r="J120" s="13"/>
      <c r="K120" s="13" t="s">
        <v>228</v>
      </c>
      <c r="L120" s="36">
        <v>44713.0</v>
      </c>
      <c r="M120" s="91">
        <v>0.34149305555555554</v>
      </c>
      <c r="N120" s="3"/>
      <c r="O120" s="3"/>
      <c r="P120" s="7" t="b">
        <v>0</v>
      </c>
      <c r="Q120" s="7" t="s">
        <v>481</v>
      </c>
      <c r="R120" s="166" t="b">
        <v>0</v>
      </c>
      <c r="S120" s="166">
        <v>4.0</v>
      </c>
      <c r="T120" s="7"/>
      <c r="U120" s="3"/>
      <c r="V120" s="13"/>
      <c r="W120" s="3"/>
      <c r="X120" s="166" t="b">
        <v>0</v>
      </c>
      <c r="Y120" s="7"/>
      <c r="Z120" s="13"/>
      <c r="AA120" s="7" t="b">
        <v>0</v>
      </c>
      <c r="AB120" s="7"/>
      <c r="AC120" s="257">
        <v>83.0</v>
      </c>
      <c r="AD120" s="166"/>
      <c r="AE120" s="258">
        <v>207.14999999999998</v>
      </c>
      <c r="AF120" s="7" t="b">
        <v>0</v>
      </c>
      <c r="AG120" s="7" t="b">
        <v>0</v>
      </c>
      <c r="AH120" s="166"/>
      <c r="AI120" s="13"/>
      <c r="AJ120" s="3"/>
      <c r="AK120" s="13" t="s">
        <v>228</v>
      </c>
      <c r="AL120" s="3"/>
      <c r="AM120" s="3" t="s">
        <v>322</v>
      </c>
      <c r="AN120" s="3" t="s">
        <v>329</v>
      </c>
      <c r="AO120" s="3" t="s">
        <v>482</v>
      </c>
      <c r="AP120" s="3" t="s">
        <v>482</v>
      </c>
      <c r="AQ120" s="3" t="s">
        <v>482</v>
      </c>
      <c r="AR120" s="3" t="s">
        <v>482</v>
      </c>
      <c r="AS120" s="98"/>
      <c r="AT120" s="98"/>
      <c r="AU120" s="98"/>
      <c r="AV120" s="98"/>
      <c r="AW120" s="98"/>
      <c r="AX120" s="98"/>
      <c r="AY120" s="98"/>
      <c r="AZ120" s="98"/>
    </row>
    <row r="121">
      <c r="A121" s="3" t="s">
        <v>435</v>
      </c>
      <c r="B121" s="36">
        <v>44713.0</v>
      </c>
      <c r="C121" s="91">
        <v>0.20076388888888888</v>
      </c>
      <c r="D121" s="13"/>
      <c r="E121" s="13"/>
      <c r="F121" s="3"/>
      <c r="G121" s="3"/>
      <c r="H121" s="3"/>
      <c r="I121" s="13"/>
      <c r="J121" s="13"/>
      <c r="K121" s="13" t="s">
        <v>228</v>
      </c>
      <c r="L121" s="36">
        <v>44713.0</v>
      </c>
      <c r="M121" s="91">
        <v>0.34149305555555554</v>
      </c>
      <c r="N121" s="3"/>
      <c r="O121" s="3"/>
      <c r="P121" s="7" t="b">
        <v>0</v>
      </c>
      <c r="Q121" s="7" t="s">
        <v>481</v>
      </c>
      <c r="R121" s="166" t="b">
        <v>1</v>
      </c>
      <c r="S121" s="166">
        <v>2.0</v>
      </c>
      <c r="T121" s="7">
        <v>1.0</v>
      </c>
      <c r="U121" s="3"/>
      <c r="V121" s="13"/>
      <c r="W121" s="3"/>
      <c r="X121" s="166" t="b">
        <v>0</v>
      </c>
      <c r="Y121" s="7"/>
      <c r="Z121" s="13"/>
      <c r="AA121" s="7" t="b">
        <v>0</v>
      </c>
      <c r="AB121" s="7"/>
      <c r="AC121" s="257">
        <v>84.0</v>
      </c>
      <c r="AD121" s="166"/>
      <c r="AE121" s="258">
        <v>202.64999999999998</v>
      </c>
      <c r="AF121" s="7" t="b">
        <v>0</v>
      </c>
      <c r="AG121" s="7" t="b">
        <v>0</v>
      </c>
      <c r="AH121" s="166"/>
      <c r="AI121" s="13"/>
      <c r="AJ121" s="3"/>
      <c r="AK121" s="13" t="s">
        <v>228</v>
      </c>
      <c r="AL121" s="3"/>
      <c r="AM121" s="3" t="s">
        <v>284</v>
      </c>
      <c r="AN121" s="3" t="s">
        <v>290</v>
      </c>
      <c r="AO121" s="3" t="s">
        <v>482</v>
      </c>
      <c r="AP121" s="3" t="s">
        <v>482</v>
      </c>
      <c r="AQ121" s="3" t="s">
        <v>482</v>
      </c>
      <c r="AR121" s="3" t="s">
        <v>482</v>
      </c>
      <c r="AS121" s="98"/>
      <c r="AT121" s="98"/>
      <c r="AU121" s="98"/>
      <c r="AV121" s="98"/>
      <c r="AW121" s="98"/>
      <c r="AX121" s="98"/>
      <c r="AY121" s="98"/>
      <c r="AZ121" s="98"/>
    </row>
    <row r="122">
      <c r="A122" s="3" t="s">
        <v>435</v>
      </c>
      <c r="B122" s="36">
        <v>44713.0</v>
      </c>
      <c r="C122" s="91">
        <v>0.20076388888888888</v>
      </c>
      <c r="D122" s="13"/>
      <c r="E122" s="13"/>
      <c r="F122" s="3"/>
      <c r="G122" s="3"/>
      <c r="H122" s="3"/>
      <c r="I122" s="13"/>
      <c r="J122" s="13"/>
      <c r="K122" s="13" t="s">
        <v>228</v>
      </c>
      <c r="L122" s="36">
        <v>44713.0</v>
      </c>
      <c r="M122" s="91">
        <v>0.34149305555555554</v>
      </c>
      <c r="N122" s="3"/>
      <c r="O122" s="3"/>
      <c r="P122" s="7" t="b">
        <v>0</v>
      </c>
      <c r="Q122" s="7" t="s">
        <v>481</v>
      </c>
      <c r="R122" s="166" t="b">
        <v>0</v>
      </c>
      <c r="S122" s="166">
        <v>2.0</v>
      </c>
      <c r="T122" s="7">
        <v>1.0</v>
      </c>
      <c r="U122" s="3"/>
      <c r="V122" s="13"/>
      <c r="W122" s="3"/>
      <c r="X122" s="166" t="b">
        <v>0</v>
      </c>
      <c r="Y122" s="7"/>
      <c r="Z122" s="13"/>
      <c r="AA122" s="7" t="b">
        <v>0</v>
      </c>
      <c r="AB122" s="7"/>
      <c r="AC122" s="257">
        <v>84.0</v>
      </c>
      <c r="AD122" s="166"/>
      <c r="AE122" s="258">
        <v>202.64999999999998</v>
      </c>
      <c r="AF122" s="7" t="b">
        <v>0</v>
      </c>
      <c r="AG122" s="7" t="b">
        <v>0</v>
      </c>
      <c r="AH122" s="166"/>
      <c r="AI122" s="13"/>
      <c r="AJ122" s="3"/>
      <c r="AK122" s="13" t="s">
        <v>228</v>
      </c>
      <c r="AL122" s="3"/>
      <c r="AM122" s="3" t="s">
        <v>284</v>
      </c>
      <c r="AN122" s="3" t="s">
        <v>287</v>
      </c>
      <c r="AO122" s="3" t="s">
        <v>482</v>
      </c>
      <c r="AP122" s="3" t="s">
        <v>482</v>
      </c>
      <c r="AQ122" s="3" t="s">
        <v>482</v>
      </c>
      <c r="AR122" s="3" t="s">
        <v>482</v>
      </c>
      <c r="AS122" s="98"/>
      <c r="AT122" s="98"/>
      <c r="AU122" s="98"/>
      <c r="AV122" s="98"/>
      <c r="AW122" s="98"/>
      <c r="AX122" s="98"/>
      <c r="AY122" s="98"/>
      <c r="AZ122" s="98"/>
    </row>
    <row r="123">
      <c r="A123" s="3" t="s">
        <v>436</v>
      </c>
      <c r="B123" s="36">
        <v>44713.0</v>
      </c>
      <c r="C123" s="91">
        <v>0.20396990740740742</v>
      </c>
      <c r="D123" s="13"/>
      <c r="E123" s="13"/>
      <c r="F123" s="3"/>
      <c r="G123" s="3"/>
      <c r="H123" s="3"/>
      <c r="I123" s="13"/>
      <c r="J123" s="13"/>
      <c r="K123" s="13" t="s">
        <v>228</v>
      </c>
      <c r="L123" s="36">
        <v>44713.0</v>
      </c>
      <c r="M123" s="91">
        <v>0.34149305555555554</v>
      </c>
      <c r="N123" s="3"/>
      <c r="O123" s="3"/>
      <c r="P123" s="7" t="b">
        <v>0</v>
      </c>
      <c r="Q123" s="7" t="s">
        <v>481</v>
      </c>
      <c r="R123" s="166" t="b">
        <v>1</v>
      </c>
      <c r="S123" s="166">
        <v>2.0</v>
      </c>
      <c r="T123" s="7"/>
      <c r="U123" s="3"/>
      <c r="V123" s="13"/>
      <c r="W123" s="3"/>
      <c r="X123" s="166" t="b">
        <v>0</v>
      </c>
      <c r="Y123" s="7"/>
      <c r="Z123" s="13"/>
      <c r="AA123" s="7" t="b">
        <v>0</v>
      </c>
      <c r="AB123" s="7"/>
      <c r="AC123" s="257">
        <v>86.0</v>
      </c>
      <c r="AD123" s="166"/>
      <c r="AE123" s="258">
        <v>198.03333333333327</v>
      </c>
      <c r="AF123" s="7" t="b">
        <v>0</v>
      </c>
      <c r="AG123" s="7" t="b">
        <v>0</v>
      </c>
      <c r="AH123" s="166"/>
      <c r="AI123" s="13"/>
      <c r="AJ123" s="3"/>
      <c r="AK123" s="13" t="s">
        <v>228</v>
      </c>
      <c r="AL123" s="3"/>
      <c r="AM123" s="3" t="s">
        <v>300</v>
      </c>
      <c r="AN123" s="3" t="s">
        <v>303</v>
      </c>
      <c r="AO123" s="3" t="s">
        <v>482</v>
      </c>
      <c r="AP123" s="3" t="s">
        <v>482</v>
      </c>
      <c r="AQ123" s="3" t="s">
        <v>482</v>
      </c>
      <c r="AR123" s="3" t="s">
        <v>482</v>
      </c>
      <c r="AS123" s="98"/>
      <c r="AT123" s="98"/>
      <c r="AU123" s="98"/>
      <c r="AV123" s="98"/>
      <c r="AW123" s="98"/>
      <c r="AX123" s="98"/>
      <c r="AY123" s="98"/>
      <c r="AZ123" s="98"/>
    </row>
    <row r="124">
      <c r="A124" s="3" t="s">
        <v>436</v>
      </c>
      <c r="B124" s="36">
        <v>44713.0</v>
      </c>
      <c r="C124" s="91">
        <v>0.20396990740740742</v>
      </c>
      <c r="D124" s="13"/>
      <c r="E124" s="13"/>
      <c r="F124" s="3"/>
      <c r="G124" s="3"/>
      <c r="H124" s="3"/>
      <c r="I124" s="13"/>
      <c r="J124" s="13"/>
      <c r="K124" s="13" t="s">
        <v>228</v>
      </c>
      <c r="L124" s="36">
        <v>44713.0</v>
      </c>
      <c r="M124" s="91">
        <v>0.34149305555555554</v>
      </c>
      <c r="N124" s="3"/>
      <c r="O124" s="3"/>
      <c r="P124" s="7" t="b">
        <v>0</v>
      </c>
      <c r="Q124" s="7" t="s">
        <v>481</v>
      </c>
      <c r="R124" s="166" t="b">
        <v>0</v>
      </c>
      <c r="S124" s="166">
        <v>2.0</v>
      </c>
      <c r="T124" s="7"/>
      <c r="U124" s="3"/>
      <c r="V124" s="13"/>
      <c r="W124" s="3"/>
      <c r="X124" s="166" t="b">
        <v>0</v>
      </c>
      <c r="Y124" s="7"/>
      <c r="Z124" s="13"/>
      <c r="AA124" s="7" t="b">
        <v>0</v>
      </c>
      <c r="AB124" s="7"/>
      <c r="AC124" s="257">
        <v>85.0</v>
      </c>
      <c r="AD124" s="166"/>
      <c r="AE124" s="258">
        <v>198.03333333333327</v>
      </c>
      <c r="AF124" s="7" t="b">
        <v>0</v>
      </c>
      <c r="AG124" s="7" t="b">
        <v>0</v>
      </c>
      <c r="AH124" s="166"/>
      <c r="AI124" s="13"/>
      <c r="AJ124" s="3"/>
      <c r="AK124" s="13" t="s">
        <v>228</v>
      </c>
      <c r="AL124" s="3"/>
      <c r="AM124" s="3" t="s">
        <v>300</v>
      </c>
      <c r="AN124" s="3" t="s">
        <v>301</v>
      </c>
      <c r="AO124" s="3" t="s">
        <v>482</v>
      </c>
      <c r="AP124" s="3" t="s">
        <v>482</v>
      </c>
      <c r="AQ124" s="3" t="s">
        <v>482</v>
      </c>
      <c r="AR124" s="3" t="s">
        <v>482</v>
      </c>
      <c r="AS124" s="98"/>
      <c r="AT124" s="98"/>
      <c r="AU124" s="98"/>
      <c r="AV124" s="98"/>
      <c r="AW124" s="98"/>
      <c r="AX124" s="98"/>
      <c r="AY124" s="98"/>
      <c r="AZ124" s="98"/>
    </row>
    <row r="125">
      <c r="A125" s="3" t="s">
        <v>437</v>
      </c>
      <c r="B125" s="36">
        <v>44713.0</v>
      </c>
      <c r="C125" s="91">
        <v>0.2053125</v>
      </c>
      <c r="D125" s="13"/>
      <c r="E125" s="13"/>
      <c r="F125" s="3"/>
      <c r="G125" s="3"/>
      <c r="H125" s="3"/>
      <c r="I125" s="13"/>
      <c r="J125" s="13"/>
      <c r="K125" s="13" t="s">
        <v>228</v>
      </c>
      <c r="L125" s="36">
        <v>44713.0</v>
      </c>
      <c r="M125" s="91">
        <v>0.34150462962962963</v>
      </c>
      <c r="N125" s="3"/>
      <c r="O125" s="3"/>
      <c r="P125" s="7" t="b">
        <v>0</v>
      </c>
      <c r="Q125" s="7" t="s">
        <v>481</v>
      </c>
      <c r="R125" s="166" t="b">
        <v>1</v>
      </c>
      <c r="S125" s="166">
        <v>4.0</v>
      </c>
      <c r="T125" s="7">
        <v>2.0</v>
      </c>
      <c r="U125" s="3"/>
      <c r="V125" s="13"/>
      <c r="W125" s="3"/>
      <c r="X125" s="166" t="b">
        <v>0</v>
      </c>
      <c r="Y125" s="7"/>
      <c r="Z125" s="13"/>
      <c r="AA125" s="7" t="b">
        <v>0</v>
      </c>
      <c r="AB125" s="7"/>
      <c r="AC125" s="257">
        <v>87.0</v>
      </c>
      <c r="AD125" s="166"/>
      <c r="AE125" s="258">
        <v>196.11666666666665</v>
      </c>
      <c r="AF125" s="7" t="b">
        <v>0</v>
      </c>
      <c r="AG125" s="7" t="b">
        <v>0</v>
      </c>
      <c r="AH125" s="166"/>
      <c r="AI125" s="13"/>
      <c r="AJ125" s="3"/>
      <c r="AK125" s="13" t="s">
        <v>228</v>
      </c>
      <c r="AL125" s="3"/>
      <c r="AM125" s="3" t="s">
        <v>397</v>
      </c>
      <c r="AN125" s="3" t="s">
        <v>398</v>
      </c>
      <c r="AO125" s="3" t="s">
        <v>482</v>
      </c>
      <c r="AP125" s="3" t="s">
        <v>482</v>
      </c>
      <c r="AQ125" s="3" t="s">
        <v>482</v>
      </c>
      <c r="AR125" s="3" t="s">
        <v>482</v>
      </c>
      <c r="AS125" s="98"/>
      <c r="AT125" s="98"/>
      <c r="AU125" s="98"/>
      <c r="AV125" s="98"/>
      <c r="AW125" s="98"/>
      <c r="AX125" s="98"/>
      <c r="AY125" s="98"/>
      <c r="AZ125" s="98"/>
    </row>
    <row r="126">
      <c r="A126" s="3" t="s">
        <v>437</v>
      </c>
      <c r="B126" s="36">
        <v>44713.0</v>
      </c>
      <c r="C126" s="91">
        <v>0.2053125</v>
      </c>
      <c r="D126" s="13"/>
      <c r="E126" s="13"/>
      <c r="F126" s="3"/>
      <c r="G126" s="3"/>
      <c r="H126" s="3"/>
      <c r="I126" s="13"/>
      <c r="J126" s="13"/>
      <c r="K126" s="13" t="s">
        <v>228</v>
      </c>
      <c r="L126" s="36">
        <v>44713.0</v>
      </c>
      <c r="M126" s="91">
        <v>0.34150462962962963</v>
      </c>
      <c r="N126" s="3"/>
      <c r="O126" s="3"/>
      <c r="P126" s="7" t="b">
        <v>0</v>
      </c>
      <c r="Q126" s="7" t="s">
        <v>481</v>
      </c>
      <c r="R126" s="166" t="b">
        <v>0</v>
      </c>
      <c r="S126" s="166">
        <v>4.0</v>
      </c>
      <c r="T126" s="7">
        <v>2.0</v>
      </c>
      <c r="U126" s="3"/>
      <c r="V126" s="13"/>
      <c r="W126" s="3"/>
      <c r="X126" s="166" t="b">
        <v>0</v>
      </c>
      <c r="Y126" s="7"/>
      <c r="Z126" s="13"/>
      <c r="AA126" s="7" t="b">
        <v>0</v>
      </c>
      <c r="AB126" s="7"/>
      <c r="AC126" s="257">
        <v>88.0</v>
      </c>
      <c r="AD126" s="166"/>
      <c r="AE126" s="258">
        <v>196.11666666666665</v>
      </c>
      <c r="AF126" s="7" t="b">
        <v>0</v>
      </c>
      <c r="AG126" s="7" t="b">
        <v>0</v>
      </c>
      <c r="AH126" s="166"/>
      <c r="AI126" s="13"/>
      <c r="AJ126" s="3"/>
      <c r="AK126" s="13" t="s">
        <v>228</v>
      </c>
      <c r="AL126" s="3"/>
      <c r="AM126" s="3" t="s">
        <v>397</v>
      </c>
      <c r="AN126" s="3" t="s">
        <v>399</v>
      </c>
      <c r="AO126" s="3" t="s">
        <v>482</v>
      </c>
      <c r="AP126" s="3" t="s">
        <v>482</v>
      </c>
      <c r="AQ126" s="3" t="s">
        <v>482</v>
      </c>
      <c r="AR126" s="3" t="s">
        <v>482</v>
      </c>
      <c r="AS126" s="98"/>
      <c r="AT126" s="98"/>
      <c r="AU126" s="98"/>
      <c r="AV126" s="98"/>
      <c r="AW126" s="98"/>
      <c r="AX126" s="98"/>
      <c r="AY126" s="98"/>
      <c r="AZ126" s="98"/>
    </row>
    <row r="127">
      <c r="A127" s="3" t="s">
        <v>437</v>
      </c>
      <c r="B127" s="36">
        <v>44713.0</v>
      </c>
      <c r="C127" s="91">
        <v>0.2053125</v>
      </c>
      <c r="D127" s="13"/>
      <c r="E127" s="13"/>
      <c r="F127" s="3"/>
      <c r="G127" s="3"/>
      <c r="H127" s="3"/>
      <c r="I127" s="13"/>
      <c r="J127" s="13"/>
      <c r="K127" s="13" t="s">
        <v>228</v>
      </c>
      <c r="L127" s="36">
        <v>44713.0</v>
      </c>
      <c r="M127" s="91">
        <v>0.34150462962962963</v>
      </c>
      <c r="N127" s="3"/>
      <c r="O127" s="3"/>
      <c r="P127" s="7" t="b">
        <v>0</v>
      </c>
      <c r="Q127" s="7" t="s">
        <v>481</v>
      </c>
      <c r="R127" s="166" t="b">
        <v>0</v>
      </c>
      <c r="S127" s="166">
        <v>4.0</v>
      </c>
      <c r="T127" s="7">
        <v>2.0</v>
      </c>
      <c r="U127" s="3"/>
      <c r="V127" s="13"/>
      <c r="W127" s="3"/>
      <c r="X127" s="166" t="b">
        <v>0</v>
      </c>
      <c r="Y127" s="7"/>
      <c r="Z127" s="13"/>
      <c r="AA127" s="7" t="b">
        <v>0</v>
      </c>
      <c r="AB127" s="7"/>
      <c r="AC127" s="257">
        <v>87.0</v>
      </c>
      <c r="AD127" s="166"/>
      <c r="AE127" s="258">
        <v>196.11666666666665</v>
      </c>
      <c r="AF127" s="7" t="b">
        <v>0</v>
      </c>
      <c r="AG127" s="7" t="b">
        <v>0</v>
      </c>
      <c r="AH127" s="166"/>
      <c r="AI127" s="13"/>
      <c r="AJ127" s="3"/>
      <c r="AK127" s="13" t="s">
        <v>228</v>
      </c>
      <c r="AL127" s="3"/>
      <c r="AM127" s="3" t="s">
        <v>397</v>
      </c>
      <c r="AN127" s="3" t="s">
        <v>400</v>
      </c>
      <c r="AO127" s="3" t="s">
        <v>482</v>
      </c>
      <c r="AP127" s="3" t="s">
        <v>482</v>
      </c>
      <c r="AQ127" s="3" t="s">
        <v>482</v>
      </c>
      <c r="AR127" s="3" t="s">
        <v>482</v>
      </c>
      <c r="AS127" s="98"/>
      <c r="AT127" s="98"/>
      <c r="AU127" s="98"/>
      <c r="AV127" s="98"/>
      <c r="AW127" s="98"/>
      <c r="AX127" s="98"/>
      <c r="AY127" s="98"/>
      <c r="AZ127" s="98"/>
    </row>
    <row r="128">
      <c r="A128" s="3" t="s">
        <v>437</v>
      </c>
      <c r="B128" s="36">
        <v>44713.0</v>
      </c>
      <c r="C128" s="91">
        <v>0.2053125</v>
      </c>
      <c r="D128" s="13"/>
      <c r="E128" s="13"/>
      <c r="F128" s="3"/>
      <c r="G128" s="3"/>
      <c r="H128" s="3"/>
      <c r="I128" s="13"/>
      <c r="J128" s="13"/>
      <c r="K128" s="13" t="s">
        <v>228</v>
      </c>
      <c r="L128" s="36">
        <v>44713.0</v>
      </c>
      <c r="M128" s="91">
        <v>0.34150462962962963</v>
      </c>
      <c r="N128" s="3"/>
      <c r="O128" s="3"/>
      <c r="P128" s="7" t="b">
        <v>0</v>
      </c>
      <c r="Q128" s="7" t="s">
        <v>481</v>
      </c>
      <c r="R128" s="166" t="b">
        <v>0</v>
      </c>
      <c r="S128" s="166">
        <v>4.0</v>
      </c>
      <c r="T128" s="7">
        <v>2.0</v>
      </c>
      <c r="U128" s="3"/>
      <c r="V128" s="13"/>
      <c r="W128" s="3"/>
      <c r="X128" s="166" t="b">
        <v>0</v>
      </c>
      <c r="Y128" s="7"/>
      <c r="Z128" s="13"/>
      <c r="AA128" s="7" t="b">
        <v>0</v>
      </c>
      <c r="AB128" s="7"/>
      <c r="AC128" s="257">
        <v>88.0</v>
      </c>
      <c r="AD128" s="166"/>
      <c r="AE128" s="258">
        <v>196.11666666666665</v>
      </c>
      <c r="AF128" s="7" t="b">
        <v>0</v>
      </c>
      <c r="AG128" s="7" t="b">
        <v>0</v>
      </c>
      <c r="AH128" s="166"/>
      <c r="AI128" s="13"/>
      <c r="AJ128" s="3"/>
      <c r="AK128" s="13" t="s">
        <v>228</v>
      </c>
      <c r="AL128" s="3"/>
      <c r="AM128" s="3" t="s">
        <v>397</v>
      </c>
      <c r="AN128" s="3" t="s">
        <v>401</v>
      </c>
      <c r="AO128" s="3" t="s">
        <v>482</v>
      </c>
      <c r="AP128" s="3" t="s">
        <v>482</v>
      </c>
      <c r="AQ128" s="3" t="s">
        <v>482</v>
      </c>
      <c r="AR128" s="3" t="s">
        <v>482</v>
      </c>
      <c r="AS128" s="98"/>
      <c r="AT128" s="98"/>
      <c r="AU128" s="98"/>
      <c r="AV128" s="98"/>
      <c r="AW128" s="98"/>
      <c r="AX128" s="98"/>
      <c r="AY128" s="98"/>
      <c r="AZ128" s="98"/>
    </row>
    <row r="129">
      <c r="A129" s="3" t="s">
        <v>438</v>
      </c>
      <c r="B129" s="36">
        <v>44713.0</v>
      </c>
      <c r="C129" s="91">
        <v>0.20859953703703704</v>
      </c>
      <c r="D129" s="13"/>
      <c r="E129" s="13"/>
      <c r="F129" s="3"/>
      <c r="G129" s="3"/>
      <c r="H129" s="3"/>
      <c r="I129" s="13"/>
      <c r="J129" s="13"/>
      <c r="K129" s="13" t="s">
        <v>228</v>
      </c>
      <c r="L129" s="36">
        <v>44713.0</v>
      </c>
      <c r="M129" s="91">
        <v>0.34150462962962963</v>
      </c>
      <c r="N129" s="3"/>
      <c r="O129" s="3"/>
      <c r="P129" s="7" t="b">
        <v>0</v>
      </c>
      <c r="Q129" s="7" t="s">
        <v>481</v>
      </c>
      <c r="R129" s="166" t="b">
        <v>1</v>
      </c>
      <c r="S129" s="166">
        <v>3.0</v>
      </c>
      <c r="T129" s="7"/>
      <c r="U129" s="3"/>
      <c r="V129" s="13"/>
      <c r="W129" s="3"/>
      <c r="X129" s="166" t="b">
        <v>0</v>
      </c>
      <c r="Y129" s="7"/>
      <c r="Z129" s="13"/>
      <c r="AA129" s="7" t="b">
        <v>0</v>
      </c>
      <c r="AB129" s="7"/>
      <c r="AC129" s="257">
        <v>90.0</v>
      </c>
      <c r="AD129" s="166"/>
      <c r="AE129" s="258">
        <v>191.38333333333333</v>
      </c>
      <c r="AF129" s="7" t="b">
        <v>0</v>
      </c>
      <c r="AG129" s="7" t="b">
        <v>0</v>
      </c>
      <c r="AH129" s="166"/>
      <c r="AI129" s="13"/>
      <c r="AJ129" s="3"/>
      <c r="AK129" s="13" t="s">
        <v>228</v>
      </c>
      <c r="AL129" s="3"/>
      <c r="AM129" s="3" t="s">
        <v>406</v>
      </c>
      <c r="AN129" s="3" t="s">
        <v>387</v>
      </c>
      <c r="AO129" s="3" t="s">
        <v>482</v>
      </c>
      <c r="AP129" s="3" t="s">
        <v>482</v>
      </c>
      <c r="AQ129" s="3" t="s">
        <v>482</v>
      </c>
      <c r="AR129" s="3" t="s">
        <v>482</v>
      </c>
      <c r="AS129" s="98"/>
      <c r="AT129" s="98"/>
      <c r="AU129" s="98"/>
      <c r="AV129" s="98"/>
      <c r="AW129" s="98"/>
      <c r="AX129" s="98"/>
      <c r="AY129" s="98"/>
      <c r="AZ129" s="98"/>
    </row>
    <row r="130">
      <c r="A130" s="3" t="s">
        <v>438</v>
      </c>
      <c r="B130" s="36">
        <v>44713.0</v>
      </c>
      <c r="C130" s="91">
        <v>0.20859953703703704</v>
      </c>
      <c r="D130" s="13"/>
      <c r="E130" s="13"/>
      <c r="F130" s="3"/>
      <c r="G130" s="3"/>
      <c r="H130" s="3"/>
      <c r="I130" s="13"/>
      <c r="J130" s="13"/>
      <c r="K130" s="13" t="s">
        <v>228</v>
      </c>
      <c r="L130" s="36">
        <v>44713.0</v>
      </c>
      <c r="M130" s="91">
        <v>0.34150462962962963</v>
      </c>
      <c r="N130" s="3"/>
      <c r="O130" s="3"/>
      <c r="P130" s="7" t="b">
        <v>0</v>
      </c>
      <c r="Q130" s="7" t="s">
        <v>481</v>
      </c>
      <c r="R130" s="166" t="b">
        <v>0</v>
      </c>
      <c r="S130" s="166">
        <v>3.0</v>
      </c>
      <c r="T130" s="7"/>
      <c r="U130" s="3"/>
      <c r="V130" s="13"/>
      <c r="W130" s="3"/>
      <c r="X130" s="166" t="b">
        <v>0</v>
      </c>
      <c r="Y130" s="7"/>
      <c r="Z130" s="13"/>
      <c r="AA130" s="7" t="b">
        <v>0</v>
      </c>
      <c r="AB130" s="7"/>
      <c r="AC130" s="257">
        <v>89.0</v>
      </c>
      <c r="AD130" s="166"/>
      <c r="AE130" s="258">
        <v>191.38333333333333</v>
      </c>
      <c r="AF130" s="7" t="b">
        <v>0</v>
      </c>
      <c r="AG130" s="7" t="b">
        <v>0</v>
      </c>
      <c r="AH130" s="166"/>
      <c r="AI130" s="13"/>
      <c r="AJ130" s="3"/>
      <c r="AK130" s="13" t="s">
        <v>228</v>
      </c>
      <c r="AL130" s="3"/>
      <c r="AM130" s="3" t="s">
        <v>406</v>
      </c>
      <c r="AN130" s="3" t="s">
        <v>407</v>
      </c>
      <c r="AO130" s="3" t="s">
        <v>482</v>
      </c>
      <c r="AP130" s="3" t="s">
        <v>482</v>
      </c>
      <c r="AQ130" s="3" t="s">
        <v>482</v>
      </c>
      <c r="AR130" s="3" t="s">
        <v>482</v>
      </c>
      <c r="AS130" s="98"/>
      <c r="AT130" s="98"/>
      <c r="AU130" s="98"/>
      <c r="AV130" s="98"/>
      <c r="AW130" s="98"/>
      <c r="AX130" s="98"/>
      <c r="AY130" s="98"/>
      <c r="AZ130" s="98"/>
    </row>
    <row r="131">
      <c r="A131" s="3" t="s">
        <v>438</v>
      </c>
      <c r="B131" s="36">
        <v>44713.0</v>
      </c>
      <c r="C131" s="91">
        <v>0.20859953703703704</v>
      </c>
      <c r="D131" s="13"/>
      <c r="E131" s="13"/>
      <c r="F131" s="3"/>
      <c r="G131" s="3"/>
      <c r="H131" s="3"/>
      <c r="I131" s="13"/>
      <c r="J131" s="13"/>
      <c r="K131" s="13" t="s">
        <v>228</v>
      </c>
      <c r="L131" s="36">
        <v>44713.0</v>
      </c>
      <c r="M131" s="91">
        <v>0.34150462962962963</v>
      </c>
      <c r="N131" s="3"/>
      <c r="O131" s="3"/>
      <c r="P131" s="7" t="b">
        <v>0</v>
      </c>
      <c r="Q131" s="7" t="s">
        <v>481</v>
      </c>
      <c r="R131" s="166" t="b">
        <v>0</v>
      </c>
      <c r="S131" s="166">
        <v>3.0</v>
      </c>
      <c r="T131" s="7"/>
      <c r="U131" s="3"/>
      <c r="V131" s="13"/>
      <c r="W131" s="3"/>
      <c r="X131" s="166" t="b">
        <v>0</v>
      </c>
      <c r="Y131" s="7"/>
      <c r="Z131" s="13"/>
      <c r="AA131" s="7" t="b">
        <v>0</v>
      </c>
      <c r="AB131" s="7"/>
      <c r="AC131" s="257">
        <v>91.0</v>
      </c>
      <c r="AD131" s="166"/>
      <c r="AE131" s="258">
        <v>191.38333333333333</v>
      </c>
      <c r="AF131" s="7" t="b">
        <v>0</v>
      </c>
      <c r="AG131" s="7" t="b">
        <v>0</v>
      </c>
      <c r="AH131" s="166"/>
      <c r="AI131" s="13"/>
      <c r="AJ131" s="3"/>
      <c r="AK131" s="13" t="s">
        <v>228</v>
      </c>
      <c r="AL131" s="3"/>
      <c r="AM131" s="3" t="s">
        <v>406</v>
      </c>
      <c r="AN131" s="3" t="s">
        <v>386</v>
      </c>
      <c r="AO131" s="3" t="s">
        <v>482</v>
      </c>
      <c r="AP131" s="3" t="s">
        <v>482</v>
      </c>
      <c r="AQ131" s="3" t="s">
        <v>482</v>
      </c>
      <c r="AR131" s="3" t="s">
        <v>482</v>
      </c>
      <c r="AS131" s="98"/>
      <c r="AT131" s="98"/>
      <c r="AU131" s="98"/>
      <c r="AV131" s="98"/>
      <c r="AW131" s="98"/>
      <c r="AX131" s="98"/>
      <c r="AY131" s="98"/>
      <c r="AZ131" s="98"/>
    </row>
    <row r="132">
      <c r="A132" s="3" t="s">
        <v>439</v>
      </c>
      <c r="B132" s="36">
        <v>44713.0</v>
      </c>
      <c r="C132" s="91">
        <v>0.25175925925925924</v>
      </c>
      <c r="D132" s="13"/>
      <c r="E132" s="13"/>
      <c r="F132" s="3"/>
      <c r="G132" s="3"/>
      <c r="H132" s="3"/>
      <c r="I132" s="13"/>
      <c r="J132" s="13"/>
      <c r="K132" s="13" t="s">
        <v>228</v>
      </c>
      <c r="L132" s="36">
        <v>44713.0</v>
      </c>
      <c r="M132" s="91">
        <v>0.34150462962962963</v>
      </c>
      <c r="N132" s="3"/>
      <c r="O132" s="3"/>
      <c r="P132" s="7" t="b">
        <v>0</v>
      </c>
      <c r="Q132" s="7" t="s">
        <v>481</v>
      </c>
      <c r="R132" s="166" t="b">
        <v>1</v>
      </c>
      <c r="S132" s="166">
        <v>1.0</v>
      </c>
      <c r="T132" s="7"/>
      <c r="U132" s="3"/>
      <c r="V132" s="13"/>
      <c r="W132" s="3"/>
      <c r="X132" s="166" t="b">
        <v>0</v>
      </c>
      <c r="Y132" s="7"/>
      <c r="Z132" s="13"/>
      <c r="AA132" s="7" t="b">
        <v>0</v>
      </c>
      <c r="AB132" s="7"/>
      <c r="AC132" s="257">
        <v>92.0</v>
      </c>
      <c r="AD132" s="166"/>
      <c r="AE132" s="258">
        <v>129.23333333333338</v>
      </c>
      <c r="AF132" s="7" t="b">
        <v>0</v>
      </c>
      <c r="AG132" s="7" t="b">
        <v>0</v>
      </c>
      <c r="AH132" s="166"/>
      <c r="AI132" s="13"/>
      <c r="AJ132" s="3"/>
      <c r="AK132" s="13" t="s">
        <v>228</v>
      </c>
      <c r="AL132" s="3"/>
      <c r="AM132" s="3" t="s">
        <v>322</v>
      </c>
      <c r="AN132" s="3" t="s">
        <v>323</v>
      </c>
      <c r="AO132" s="3" t="s">
        <v>482</v>
      </c>
      <c r="AP132" s="3" t="s">
        <v>482</v>
      </c>
      <c r="AQ132" s="3" t="s">
        <v>482</v>
      </c>
      <c r="AR132" s="3" t="s">
        <v>482</v>
      </c>
      <c r="AS132" s="98"/>
      <c r="AT132" s="98"/>
      <c r="AU132" s="98"/>
      <c r="AV132" s="98"/>
      <c r="AW132" s="98"/>
      <c r="AX132" s="98"/>
      <c r="AY132" s="98"/>
      <c r="AZ132" s="98"/>
    </row>
    <row r="133">
      <c r="A133" s="3" t="s">
        <v>440</v>
      </c>
      <c r="B133" s="36">
        <v>44713.0</v>
      </c>
      <c r="C133" s="91">
        <v>0.2727893518518518</v>
      </c>
      <c r="D133" s="13"/>
      <c r="E133" s="13"/>
      <c r="F133" s="3"/>
      <c r="G133" s="3"/>
      <c r="H133" s="3"/>
      <c r="I133" s="13"/>
      <c r="J133" s="13"/>
      <c r="K133" s="13" t="s">
        <v>228</v>
      </c>
      <c r="L133" s="36">
        <v>44713.0</v>
      </c>
      <c r="M133" s="91">
        <v>0.34150462962962963</v>
      </c>
      <c r="N133" s="3"/>
      <c r="O133" s="3"/>
      <c r="P133" s="7" t="b">
        <v>0</v>
      </c>
      <c r="Q133" s="7" t="s">
        <v>481</v>
      </c>
      <c r="R133" s="166" t="b">
        <v>1</v>
      </c>
      <c r="S133" s="166">
        <v>1.0</v>
      </c>
      <c r="T133" s="7"/>
      <c r="U133" s="3"/>
      <c r="V133" s="13"/>
      <c r="W133" s="3"/>
      <c r="X133" s="166" t="b">
        <v>0</v>
      </c>
      <c r="Y133" s="7"/>
      <c r="Z133" s="13"/>
      <c r="AA133" s="7" t="b">
        <v>0</v>
      </c>
      <c r="AB133" s="7"/>
      <c r="AC133" s="257">
        <v>93.0</v>
      </c>
      <c r="AD133" s="166"/>
      <c r="AE133" s="258">
        <v>98.95000000000005</v>
      </c>
      <c r="AF133" s="7" t="b">
        <v>0</v>
      </c>
      <c r="AG133" s="7" t="b">
        <v>0</v>
      </c>
      <c r="AH133" s="166"/>
      <c r="AI133" s="13"/>
      <c r="AJ133" s="3"/>
      <c r="AK133" s="13" t="s">
        <v>228</v>
      </c>
      <c r="AL133" s="3"/>
      <c r="AM133" s="3" t="s">
        <v>365</v>
      </c>
      <c r="AN133" s="3" t="s">
        <v>441</v>
      </c>
      <c r="AO133" s="3" t="s">
        <v>482</v>
      </c>
      <c r="AP133" s="3" t="s">
        <v>482</v>
      </c>
      <c r="AQ133" s="3" t="s">
        <v>482</v>
      </c>
      <c r="AR133" s="3" t="s">
        <v>482</v>
      </c>
      <c r="AS133" s="98"/>
      <c r="AT133" s="98"/>
      <c r="AU133" s="98"/>
      <c r="AV133" s="98"/>
      <c r="AW133" s="98"/>
      <c r="AX133" s="98"/>
      <c r="AY133" s="98"/>
      <c r="AZ133" s="98"/>
    </row>
    <row r="134">
      <c r="A134" s="3" t="s">
        <v>444</v>
      </c>
      <c r="B134" s="36">
        <v>44718.0</v>
      </c>
      <c r="C134" s="91">
        <v>0.1569212962962963</v>
      </c>
      <c r="D134" s="13"/>
      <c r="E134" s="13"/>
      <c r="F134" s="3"/>
      <c r="G134" s="3"/>
      <c r="H134" s="3"/>
      <c r="I134" s="13"/>
      <c r="J134" s="13"/>
      <c r="K134" s="13" t="s">
        <v>228</v>
      </c>
      <c r="L134" s="36">
        <v>44718.0</v>
      </c>
      <c r="M134" s="91">
        <v>0.36497685185185186</v>
      </c>
      <c r="N134" s="3"/>
      <c r="O134" s="3"/>
      <c r="P134" s="7" t="b">
        <v>0</v>
      </c>
      <c r="Q134" s="7" t="s">
        <v>481</v>
      </c>
      <c r="R134" s="166" t="b">
        <v>1</v>
      </c>
      <c r="S134" s="166">
        <v>3.0</v>
      </c>
      <c r="T134" s="7"/>
      <c r="U134" s="3"/>
      <c r="V134" s="13"/>
      <c r="W134" s="3"/>
      <c r="X134" s="166" t="b">
        <v>0</v>
      </c>
      <c r="Y134" s="7"/>
      <c r="Z134" s="13"/>
      <c r="AA134" s="7" t="b">
        <v>0</v>
      </c>
      <c r="AB134" s="7"/>
      <c r="AC134" s="257">
        <v>56.0</v>
      </c>
      <c r="AD134" s="166"/>
      <c r="AE134" s="258">
        <v>299.59999999999997</v>
      </c>
      <c r="AF134" s="7" t="b">
        <v>0</v>
      </c>
      <c r="AG134" s="7" t="b">
        <v>0</v>
      </c>
      <c r="AH134" s="166"/>
      <c r="AI134" s="13"/>
      <c r="AJ134" s="3"/>
      <c r="AK134" s="13" t="s">
        <v>228</v>
      </c>
      <c r="AL134" s="3"/>
      <c r="AM134" s="3" t="s">
        <v>372</v>
      </c>
      <c r="AN134" s="3" t="s">
        <v>373</v>
      </c>
      <c r="AO134" s="3" t="s">
        <v>482</v>
      </c>
      <c r="AP134" s="3" t="s">
        <v>482</v>
      </c>
      <c r="AQ134" s="3" t="s">
        <v>482</v>
      </c>
      <c r="AR134" s="3" t="s">
        <v>482</v>
      </c>
      <c r="AS134" s="98"/>
      <c r="AT134" s="98"/>
      <c r="AU134" s="98"/>
      <c r="AV134" s="98"/>
      <c r="AW134" s="98"/>
      <c r="AX134" s="98"/>
      <c r="AY134" s="98"/>
      <c r="AZ134" s="98"/>
    </row>
    <row r="135">
      <c r="A135" s="3" t="s">
        <v>444</v>
      </c>
      <c r="B135" s="36">
        <v>44718.0</v>
      </c>
      <c r="C135" s="91">
        <v>0.1569212962962963</v>
      </c>
      <c r="D135" s="13"/>
      <c r="E135" s="13"/>
      <c r="F135" s="3"/>
      <c r="G135" s="3"/>
      <c r="H135" s="3"/>
      <c r="I135" s="13"/>
      <c r="J135" s="13"/>
      <c r="K135" s="13" t="s">
        <v>228</v>
      </c>
      <c r="L135" s="36">
        <v>44718.0</v>
      </c>
      <c r="M135" s="91">
        <v>0.36497685185185186</v>
      </c>
      <c r="N135" s="3"/>
      <c r="O135" s="3"/>
      <c r="P135" s="7" t="b">
        <v>0</v>
      </c>
      <c r="Q135" s="7" t="s">
        <v>481</v>
      </c>
      <c r="R135" s="166" t="b">
        <v>0</v>
      </c>
      <c r="S135" s="166">
        <v>3.0</v>
      </c>
      <c r="T135" s="7"/>
      <c r="U135" s="3"/>
      <c r="V135" s="13"/>
      <c r="W135" s="3"/>
      <c r="X135" s="166" t="b">
        <v>0</v>
      </c>
      <c r="Y135" s="7"/>
      <c r="Z135" s="13"/>
      <c r="AA135" s="7" t="b">
        <v>0</v>
      </c>
      <c r="AB135" s="7"/>
      <c r="AC135" s="257">
        <v>57.0</v>
      </c>
      <c r="AD135" s="166"/>
      <c r="AE135" s="258">
        <v>299.59999999999997</v>
      </c>
      <c r="AF135" s="7" t="b">
        <v>0</v>
      </c>
      <c r="AG135" s="7" t="b">
        <v>0</v>
      </c>
      <c r="AH135" s="166"/>
      <c r="AI135" s="13"/>
      <c r="AJ135" s="3"/>
      <c r="AK135" s="13" t="s">
        <v>228</v>
      </c>
      <c r="AL135" s="3"/>
      <c r="AM135" s="3" t="s">
        <v>372</v>
      </c>
      <c r="AN135" s="3" t="s">
        <v>375</v>
      </c>
      <c r="AO135" s="3" t="s">
        <v>482</v>
      </c>
      <c r="AP135" s="3" t="s">
        <v>482</v>
      </c>
      <c r="AQ135" s="3" t="s">
        <v>482</v>
      </c>
      <c r="AR135" s="3" t="s">
        <v>482</v>
      </c>
      <c r="AS135" s="98"/>
      <c r="AT135" s="98"/>
      <c r="AU135" s="98"/>
      <c r="AV135" s="98"/>
      <c r="AW135" s="98"/>
      <c r="AX135" s="98"/>
      <c r="AY135" s="98"/>
      <c r="AZ135" s="98"/>
    </row>
    <row r="136">
      <c r="A136" s="3" t="s">
        <v>444</v>
      </c>
      <c r="B136" s="36">
        <v>44718.0</v>
      </c>
      <c r="C136" s="91">
        <v>0.1569212962962963</v>
      </c>
      <c r="D136" s="13"/>
      <c r="E136" s="13"/>
      <c r="F136" s="3"/>
      <c r="G136" s="3"/>
      <c r="H136" s="3"/>
      <c r="I136" s="13"/>
      <c r="J136" s="13"/>
      <c r="K136" s="13" t="s">
        <v>228</v>
      </c>
      <c r="L136" s="36">
        <v>44718.0</v>
      </c>
      <c r="M136" s="91">
        <v>0.36497685185185186</v>
      </c>
      <c r="N136" s="3"/>
      <c r="O136" s="3"/>
      <c r="P136" s="7" t="b">
        <v>0</v>
      </c>
      <c r="Q136" s="7" t="s">
        <v>481</v>
      </c>
      <c r="R136" s="166" t="b">
        <v>0</v>
      </c>
      <c r="S136" s="166">
        <v>3.0</v>
      </c>
      <c r="T136" s="7"/>
      <c r="U136" s="3"/>
      <c r="V136" s="13"/>
      <c r="W136" s="3"/>
      <c r="X136" s="166" t="b">
        <v>0</v>
      </c>
      <c r="Y136" s="7"/>
      <c r="Z136" s="13"/>
      <c r="AA136" s="7" t="b">
        <v>0</v>
      </c>
      <c r="AB136" s="7"/>
      <c r="AC136" s="257">
        <v>55.0</v>
      </c>
      <c r="AD136" s="166"/>
      <c r="AE136" s="258">
        <v>299.59999999999997</v>
      </c>
      <c r="AF136" s="7" t="b">
        <v>0</v>
      </c>
      <c r="AG136" s="7" t="b">
        <v>0</v>
      </c>
      <c r="AH136" s="166"/>
      <c r="AI136" s="13"/>
      <c r="AJ136" s="3"/>
      <c r="AK136" s="13" t="s">
        <v>228</v>
      </c>
      <c r="AL136" s="3"/>
      <c r="AM136" s="3" t="s">
        <v>372</v>
      </c>
      <c r="AN136" s="3" t="s">
        <v>376</v>
      </c>
      <c r="AO136" s="3" t="s">
        <v>482</v>
      </c>
      <c r="AP136" s="3" t="s">
        <v>482</v>
      </c>
      <c r="AQ136" s="3" t="s">
        <v>482</v>
      </c>
      <c r="AR136" s="3" t="s">
        <v>482</v>
      </c>
      <c r="AS136" s="98"/>
      <c r="AT136" s="98"/>
      <c r="AU136" s="98"/>
      <c r="AV136" s="98"/>
      <c r="AW136" s="98"/>
      <c r="AX136" s="98"/>
      <c r="AY136" s="98"/>
      <c r="AZ136" s="98"/>
    </row>
    <row r="137">
      <c r="A137" s="3" t="s">
        <v>445</v>
      </c>
      <c r="B137" s="36">
        <v>44718.0</v>
      </c>
      <c r="C137" s="91">
        <v>0.17775462962962962</v>
      </c>
      <c r="D137" s="13"/>
      <c r="E137" s="13"/>
      <c r="F137" s="3"/>
      <c r="G137" s="3"/>
      <c r="H137" s="3"/>
      <c r="I137" s="13"/>
      <c r="J137" s="13"/>
      <c r="K137" s="13" t="s">
        <v>228</v>
      </c>
      <c r="L137" s="36">
        <v>44718.0</v>
      </c>
      <c r="M137" s="91">
        <v>0.36497685185185186</v>
      </c>
      <c r="N137" s="3"/>
      <c r="O137" s="3"/>
      <c r="P137" s="7" t="b">
        <v>0</v>
      </c>
      <c r="Q137" s="7" t="s">
        <v>481</v>
      </c>
      <c r="R137" s="166" t="b">
        <v>1</v>
      </c>
      <c r="S137" s="166">
        <v>4.0</v>
      </c>
      <c r="T137" s="7"/>
      <c r="U137" s="3"/>
      <c r="V137" s="13"/>
      <c r="W137" s="3"/>
      <c r="X137" s="166" t="b">
        <v>0</v>
      </c>
      <c r="Y137" s="7"/>
      <c r="Z137" s="13"/>
      <c r="AA137" s="7" t="b">
        <v>0</v>
      </c>
      <c r="AB137" s="7"/>
      <c r="AC137" s="257">
        <v>59.0</v>
      </c>
      <c r="AD137" s="166"/>
      <c r="AE137" s="258">
        <v>269.6</v>
      </c>
      <c r="AF137" s="7" t="b">
        <v>0</v>
      </c>
      <c r="AG137" s="7" t="b">
        <v>0</v>
      </c>
      <c r="AH137" s="166"/>
      <c r="AI137" s="13"/>
      <c r="AJ137" s="3"/>
      <c r="AK137" s="13" t="s">
        <v>228</v>
      </c>
      <c r="AL137" s="3"/>
      <c r="AM137" s="3" t="s">
        <v>274</v>
      </c>
      <c r="AN137" s="3" t="s">
        <v>279</v>
      </c>
      <c r="AO137" s="3" t="s">
        <v>482</v>
      </c>
      <c r="AP137" s="3" t="s">
        <v>482</v>
      </c>
      <c r="AQ137" s="3" t="s">
        <v>482</v>
      </c>
      <c r="AR137" s="3" t="s">
        <v>482</v>
      </c>
      <c r="AS137" s="98"/>
      <c r="AT137" s="98"/>
      <c r="AU137" s="98"/>
      <c r="AV137" s="98"/>
      <c r="AW137" s="98"/>
      <c r="AX137" s="98"/>
      <c r="AY137" s="98"/>
      <c r="AZ137" s="98"/>
    </row>
    <row r="138">
      <c r="A138" s="3" t="s">
        <v>445</v>
      </c>
      <c r="B138" s="36">
        <v>44718.0</v>
      </c>
      <c r="C138" s="91">
        <v>0.17775462962962962</v>
      </c>
      <c r="D138" s="13"/>
      <c r="E138" s="13"/>
      <c r="F138" s="3"/>
      <c r="G138" s="3"/>
      <c r="H138" s="3"/>
      <c r="I138" s="13"/>
      <c r="J138" s="13"/>
      <c r="K138" s="13" t="s">
        <v>228</v>
      </c>
      <c r="L138" s="36">
        <v>44718.0</v>
      </c>
      <c r="M138" s="91">
        <v>0.36497685185185186</v>
      </c>
      <c r="N138" s="3"/>
      <c r="O138" s="3"/>
      <c r="P138" s="7" t="b">
        <v>0</v>
      </c>
      <c r="Q138" s="7" t="s">
        <v>481</v>
      </c>
      <c r="R138" s="166" t="b">
        <v>0</v>
      </c>
      <c r="S138" s="166">
        <v>4.0</v>
      </c>
      <c r="T138" s="7"/>
      <c r="U138" s="3"/>
      <c r="V138" s="13"/>
      <c r="W138" s="3"/>
      <c r="X138" s="166" t="b">
        <v>0</v>
      </c>
      <c r="Y138" s="7"/>
      <c r="Z138" s="13"/>
      <c r="AA138" s="7" t="b">
        <v>0</v>
      </c>
      <c r="AB138" s="7"/>
      <c r="AC138" s="257">
        <v>61.0</v>
      </c>
      <c r="AD138" s="166"/>
      <c r="AE138" s="258">
        <v>269.6</v>
      </c>
      <c r="AF138" s="7" t="b">
        <v>0</v>
      </c>
      <c r="AG138" s="7" t="b">
        <v>0</v>
      </c>
      <c r="AH138" s="166"/>
      <c r="AI138" s="13"/>
      <c r="AJ138" s="3"/>
      <c r="AK138" s="13" t="s">
        <v>228</v>
      </c>
      <c r="AL138" s="3"/>
      <c r="AM138" s="3" t="s">
        <v>274</v>
      </c>
      <c r="AN138" s="3" t="s">
        <v>281</v>
      </c>
      <c r="AO138" s="3" t="s">
        <v>482</v>
      </c>
      <c r="AP138" s="3" t="s">
        <v>482</v>
      </c>
      <c r="AQ138" s="3" t="s">
        <v>482</v>
      </c>
      <c r="AR138" s="3" t="s">
        <v>482</v>
      </c>
      <c r="AS138" s="98"/>
      <c r="AT138" s="98"/>
      <c r="AU138" s="98"/>
      <c r="AV138" s="98"/>
      <c r="AW138" s="98"/>
      <c r="AX138" s="98"/>
      <c r="AY138" s="98"/>
      <c r="AZ138" s="98"/>
    </row>
    <row r="139">
      <c r="A139" s="3" t="s">
        <v>445</v>
      </c>
      <c r="B139" s="36">
        <v>44718.0</v>
      </c>
      <c r="C139" s="91">
        <v>0.17775462962962962</v>
      </c>
      <c r="D139" s="13"/>
      <c r="E139" s="13"/>
      <c r="F139" s="3"/>
      <c r="G139" s="3"/>
      <c r="H139" s="3"/>
      <c r="I139" s="13"/>
      <c r="J139" s="13"/>
      <c r="K139" s="13" t="s">
        <v>228</v>
      </c>
      <c r="L139" s="36">
        <v>44718.0</v>
      </c>
      <c r="M139" s="91">
        <v>0.36497685185185186</v>
      </c>
      <c r="N139" s="3"/>
      <c r="O139" s="3"/>
      <c r="P139" s="7" t="b">
        <v>0</v>
      </c>
      <c r="Q139" s="7" t="s">
        <v>481</v>
      </c>
      <c r="R139" s="166" t="b">
        <v>0</v>
      </c>
      <c r="S139" s="166">
        <v>4.0</v>
      </c>
      <c r="T139" s="7"/>
      <c r="U139" s="3"/>
      <c r="V139" s="13"/>
      <c r="W139" s="3"/>
      <c r="X139" s="166" t="b">
        <v>0</v>
      </c>
      <c r="Y139" s="7"/>
      <c r="Z139" s="13"/>
      <c r="AA139" s="7" t="b">
        <v>0</v>
      </c>
      <c r="AB139" s="7"/>
      <c r="AC139" s="257">
        <v>58.0</v>
      </c>
      <c r="AD139" s="166"/>
      <c r="AE139" s="258">
        <v>269.6</v>
      </c>
      <c r="AF139" s="7" t="b">
        <v>0</v>
      </c>
      <c r="AG139" s="7" t="b">
        <v>0</v>
      </c>
      <c r="AH139" s="166"/>
      <c r="AI139" s="13"/>
      <c r="AJ139" s="3"/>
      <c r="AK139" s="13" t="s">
        <v>228</v>
      </c>
      <c r="AL139" s="3"/>
      <c r="AM139" s="3" t="s">
        <v>274</v>
      </c>
      <c r="AN139" s="3" t="s">
        <v>275</v>
      </c>
      <c r="AO139" s="3" t="s">
        <v>482</v>
      </c>
      <c r="AP139" s="3" t="s">
        <v>482</v>
      </c>
      <c r="AQ139" s="3" t="s">
        <v>482</v>
      </c>
      <c r="AR139" s="3" t="s">
        <v>482</v>
      </c>
      <c r="AS139" s="98"/>
      <c r="AT139" s="98"/>
      <c r="AU139" s="98"/>
      <c r="AV139" s="98"/>
      <c r="AW139" s="98"/>
      <c r="AX139" s="98"/>
      <c r="AY139" s="98"/>
      <c r="AZ139" s="98"/>
    </row>
    <row r="140">
      <c r="A140" s="3" t="s">
        <v>445</v>
      </c>
      <c r="B140" s="36">
        <v>44718.0</v>
      </c>
      <c r="C140" s="91">
        <v>0.17775462962962962</v>
      </c>
      <c r="D140" s="13"/>
      <c r="E140" s="13"/>
      <c r="F140" s="3"/>
      <c r="G140" s="3"/>
      <c r="H140" s="3"/>
      <c r="I140" s="13"/>
      <c r="J140" s="13"/>
      <c r="K140" s="13" t="s">
        <v>228</v>
      </c>
      <c r="L140" s="36">
        <v>44718.0</v>
      </c>
      <c r="M140" s="91">
        <v>0.36497685185185186</v>
      </c>
      <c r="N140" s="3"/>
      <c r="O140" s="3"/>
      <c r="P140" s="7" t="b">
        <v>0</v>
      </c>
      <c r="Q140" s="7" t="s">
        <v>481</v>
      </c>
      <c r="R140" s="166" t="b">
        <v>0</v>
      </c>
      <c r="S140" s="166">
        <v>4.0</v>
      </c>
      <c r="T140" s="7"/>
      <c r="U140" s="3"/>
      <c r="V140" s="13"/>
      <c r="W140" s="3"/>
      <c r="X140" s="166" t="b">
        <v>0</v>
      </c>
      <c r="Y140" s="7"/>
      <c r="Z140" s="13"/>
      <c r="AA140" s="7" t="b">
        <v>0</v>
      </c>
      <c r="AB140" s="7"/>
      <c r="AC140" s="257">
        <v>60.0</v>
      </c>
      <c r="AD140" s="166"/>
      <c r="AE140" s="258">
        <v>269.6</v>
      </c>
      <c r="AF140" s="7" t="b">
        <v>0</v>
      </c>
      <c r="AG140" s="7" t="b">
        <v>0</v>
      </c>
      <c r="AH140" s="166"/>
      <c r="AI140" s="13"/>
      <c r="AJ140" s="3"/>
      <c r="AK140" s="13" t="s">
        <v>228</v>
      </c>
      <c r="AL140" s="3"/>
      <c r="AM140" s="3" t="s">
        <v>274</v>
      </c>
      <c r="AN140" s="3" t="s">
        <v>277</v>
      </c>
      <c r="AO140" s="3" t="s">
        <v>482</v>
      </c>
      <c r="AP140" s="3" t="s">
        <v>482</v>
      </c>
      <c r="AQ140" s="3" t="s">
        <v>482</v>
      </c>
      <c r="AR140" s="3" t="s">
        <v>482</v>
      </c>
      <c r="AS140" s="98"/>
      <c r="AT140" s="98"/>
      <c r="AU140" s="98"/>
      <c r="AV140" s="98"/>
      <c r="AW140" s="98"/>
      <c r="AX140" s="98"/>
      <c r="AY140" s="98"/>
      <c r="AZ140" s="98"/>
    </row>
    <row r="141">
      <c r="A141" s="3" t="s">
        <v>447</v>
      </c>
      <c r="B141" s="36">
        <v>44718.0</v>
      </c>
      <c r="C141" s="91">
        <v>0.20266203703703703</v>
      </c>
      <c r="D141" s="13"/>
      <c r="E141" s="13"/>
      <c r="F141" s="3"/>
      <c r="G141" s="3"/>
      <c r="H141" s="3"/>
      <c r="I141" s="13"/>
      <c r="J141" s="13"/>
      <c r="K141" s="13" t="s">
        <v>228</v>
      </c>
      <c r="L141" s="36">
        <v>44718.0</v>
      </c>
      <c r="M141" s="91">
        <v>0.36497685185185186</v>
      </c>
      <c r="N141" s="3"/>
      <c r="O141" s="3"/>
      <c r="P141" s="7" t="b">
        <v>0</v>
      </c>
      <c r="Q141" s="7" t="s">
        <v>481</v>
      </c>
      <c r="R141" s="166" t="b">
        <v>1</v>
      </c>
      <c r="S141" s="166">
        <v>2.0</v>
      </c>
      <c r="T141" s="7"/>
      <c r="U141" s="3"/>
      <c r="V141" s="13"/>
      <c r="W141" s="3"/>
      <c r="X141" s="166" t="b">
        <v>0</v>
      </c>
      <c r="Y141" s="7"/>
      <c r="Z141" s="13"/>
      <c r="AA141" s="7" t="b">
        <v>0</v>
      </c>
      <c r="AB141" s="7"/>
      <c r="AC141" s="257">
        <v>64.0</v>
      </c>
      <c r="AD141" s="166"/>
      <c r="AE141" s="258">
        <v>233.73333333333338</v>
      </c>
      <c r="AF141" s="7" t="b">
        <v>0</v>
      </c>
      <c r="AG141" s="7" t="b">
        <v>0</v>
      </c>
      <c r="AH141" s="166"/>
      <c r="AI141" s="13"/>
      <c r="AJ141" s="3"/>
      <c r="AK141" s="13" t="s">
        <v>228</v>
      </c>
      <c r="AL141" s="3"/>
      <c r="AM141" s="3" t="s">
        <v>332</v>
      </c>
      <c r="AN141" s="3" t="s">
        <v>335</v>
      </c>
      <c r="AO141" s="3" t="s">
        <v>482</v>
      </c>
      <c r="AP141" s="3" t="s">
        <v>482</v>
      </c>
      <c r="AQ141" s="3" t="s">
        <v>482</v>
      </c>
      <c r="AR141" s="3" t="s">
        <v>482</v>
      </c>
      <c r="AS141" s="98"/>
      <c r="AT141" s="98"/>
      <c r="AU141" s="98"/>
      <c r="AV141" s="98"/>
      <c r="AW141" s="98"/>
      <c r="AX141" s="98"/>
      <c r="AY141" s="98"/>
      <c r="AZ141" s="98"/>
    </row>
    <row r="142">
      <c r="A142" s="3" t="s">
        <v>447</v>
      </c>
      <c r="B142" s="36">
        <v>44718.0</v>
      </c>
      <c r="C142" s="91">
        <v>0.20266203703703703</v>
      </c>
      <c r="D142" s="13"/>
      <c r="E142" s="13"/>
      <c r="F142" s="3"/>
      <c r="G142" s="3"/>
      <c r="H142" s="3"/>
      <c r="I142" s="13"/>
      <c r="J142" s="13"/>
      <c r="K142" s="13" t="s">
        <v>228</v>
      </c>
      <c r="L142" s="36">
        <v>44718.0</v>
      </c>
      <c r="M142" s="91">
        <v>0.36497685185185186</v>
      </c>
      <c r="N142" s="3"/>
      <c r="O142" s="3"/>
      <c r="P142" s="7" t="b">
        <v>0</v>
      </c>
      <c r="Q142" s="7" t="s">
        <v>481</v>
      </c>
      <c r="R142" s="166" t="b">
        <v>0</v>
      </c>
      <c r="S142" s="166">
        <v>2.0</v>
      </c>
      <c r="T142" s="7"/>
      <c r="U142" s="3"/>
      <c r="V142" s="13"/>
      <c r="W142" s="3"/>
      <c r="X142" s="166" t="b">
        <v>0</v>
      </c>
      <c r="Y142" s="7"/>
      <c r="Z142" s="13"/>
      <c r="AA142" s="7" t="b">
        <v>0</v>
      </c>
      <c r="AB142" s="7"/>
      <c r="AC142" s="257">
        <v>65.0</v>
      </c>
      <c r="AD142" s="166"/>
      <c r="AE142" s="258">
        <v>233.73333333333338</v>
      </c>
      <c r="AF142" s="7" t="b">
        <v>0</v>
      </c>
      <c r="AG142" s="7" t="b">
        <v>0</v>
      </c>
      <c r="AH142" s="166"/>
      <c r="AI142" s="13"/>
      <c r="AJ142" s="3"/>
      <c r="AK142" s="13" t="s">
        <v>228</v>
      </c>
      <c r="AL142" s="3"/>
      <c r="AM142" s="3" t="s">
        <v>332</v>
      </c>
      <c r="AN142" s="3" t="s">
        <v>339</v>
      </c>
      <c r="AO142" s="3" t="s">
        <v>482</v>
      </c>
      <c r="AP142" s="3" t="s">
        <v>482</v>
      </c>
      <c r="AQ142" s="3" t="s">
        <v>482</v>
      </c>
      <c r="AR142" s="3" t="s">
        <v>482</v>
      </c>
      <c r="AS142" s="98"/>
      <c r="AT142" s="98"/>
      <c r="AU142" s="98"/>
      <c r="AV142" s="98"/>
      <c r="AW142" s="98"/>
      <c r="AX142" s="98"/>
      <c r="AY142" s="98"/>
      <c r="AZ142" s="98"/>
    </row>
    <row r="143">
      <c r="A143" s="3" t="s">
        <v>448</v>
      </c>
      <c r="B143" s="36">
        <v>44718.0</v>
      </c>
      <c r="C143" s="91">
        <v>0.21167824074074074</v>
      </c>
      <c r="D143" s="13"/>
      <c r="E143" s="13"/>
      <c r="F143" s="3"/>
      <c r="G143" s="3"/>
      <c r="H143" s="3"/>
      <c r="I143" s="13"/>
      <c r="J143" s="13"/>
      <c r="K143" s="13" t="s">
        <v>228</v>
      </c>
      <c r="L143" s="36">
        <v>44718.0</v>
      </c>
      <c r="M143" s="91">
        <v>0.36497685185185186</v>
      </c>
      <c r="N143" s="3"/>
      <c r="O143" s="3"/>
      <c r="P143" s="7" t="b">
        <v>0</v>
      </c>
      <c r="Q143" s="7" t="s">
        <v>481</v>
      </c>
      <c r="R143" s="166" t="b">
        <v>1</v>
      </c>
      <c r="S143" s="166">
        <v>3.0</v>
      </c>
      <c r="T143" s="7"/>
      <c r="U143" s="3"/>
      <c r="V143" s="13"/>
      <c r="W143" s="3"/>
      <c r="X143" s="166" t="b">
        <v>0</v>
      </c>
      <c r="Y143" s="7"/>
      <c r="Z143" s="13"/>
      <c r="AA143" s="7" t="b">
        <v>0</v>
      </c>
      <c r="AB143" s="7"/>
      <c r="AC143" s="257">
        <v>68.0</v>
      </c>
      <c r="AD143" s="166"/>
      <c r="AE143" s="258">
        <v>220.75000000000003</v>
      </c>
      <c r="AF143" s="7" t="b">
        <v>0</v>
      </c>
      <c r="AG143" s="7" t="b">
        <v>0</v>
      </c>
      <c r="AH143" s="166"/>
      <c r="AI143" s="13"/>
      <c r="AJ143" s="3"/>
      <c r="AK143" s="13" t="s">
        <v>228</v>
      </c>
      <c r="AL143" s="3"/>
      <c r="AM143" s="3" t="s">
        <v>406</v>
      </c>
      <c r="AN143" s="3" t="s">
        <v>387</v>
      </c>
      <c r="AO143" s="3" t="s">
        <v>482</v>
      </c>
      <c r="AP143" s="3" t="s">
        <v>482</v>
      </c>
      <c r="AQ143" s="3" t="s">
        <v>482</v>
      </c>
      <c r="AR143" s="3" t="s">
        <v>482</v>
      </c>
      <c r="AS143" s="98"/>
      <c r="AT143" s="98"/>
      <c r="AU143" s="98"/>
      <c r="AV143" s="98"/>
      <c r="AW143" s="98"/>
      <c r="AX143" s="98"/>
      <c r="AY143" s="98"/>
      <c r="AZ143" s="98"/>
    </row>
    <row r="144">
      <c r="A144" s="3" t="s">
        <v>448</v>
      </c>
      <c r="B144" s="36">
        <v>44718.0</v>
      </c>
      <c r="C144" s="91">
        <v>0.21167824074074074</v>
      </c>
      <c r="D144" s="13"/>
      <c r="E144" s="13"/>
      <c r="F144" s="3"/>
      <c r="G144" s="3"/>
      <c r="H144" s="3"/>
      <c r="I144" s="13"/>
      <c r="J144" s="13"/>
      <c r="K144" s="13" t="s">
        <v>228</v>
      </c>
      <c r="L144" s="36">
        <v>44718.0</v>
      </c>
      <c r="M144" s="91">
        <v>0.36497685185185186</v>
      </c>
      <c r="N144" s="3"/>
      <c r="O144" s="3"/>
      <c r="P144" s="7" t="b">
        <v>0</v>
      </c>
      <c r="Q144" s="7" t="s">
        <v>481</v>
      </c>
      <c r="R144" s="166" t="b">
        <v>0</v>
      </c>
      <c r="S144" s="166">
        <v>3.0</v>
      </c>
      <c r="T144" s="7"/>
      <c r="U144" s="3"/>
      <c r="V144" s="13"/>
      <c r="W144" s="3"/>
      <c r="X144" s="166" t="b">
        <v>0</v>
      </c>
      <c r="Y144" s="7"/>
      <c r="Z144" s="13"/>
      <c r="AA144" s="7" t="b">
        <v>0</v>
      </c>
      <c r="AB144" s="7"/>
      <c r="AC144" s="257">
        <v>66.0</v>
      </c>
      <c r="AD144" s="166"/>
      <c r="AE144" s="258">
        <v>220.75000000000003</v>
      </c>
      <c r="AF144" s="7" t="b">
        <v>0</v>
      </c>
      <c r="AG144" s="7" t="b">
        <v>0</v>
      </c>
      <c r="AH144" s="166"/>
      <c r="AI144" s="13"/>
      <c r="AJ144" s="3"/>
      <c r="AK144" s="13" t="s">
        <v>228</v>
      </c>
      <c r="AL144" s="3"/>
      <c r="AM144" s="3" t="s">
        <v>406</v>
      </c>
      <c r="AN144" s="3" t="s">
        <v>407</v>
      </c>
      <c r="AO144" s="3" t="s">
        <v>482</v>
      </c>
      <c r="AP144" s="3" t="s">
        <v>482</v>
      </c>
      <c r="AQ144" s="3" t="s">
        <v>482</v>
      </c>
      <c r="AR144" s="3" t="s">
        <v>482</v>
      </c>
      <c r="AS144" s="98"/>
      <c r="AT144" s="98"/>
      <c r="AU144" s="98"/>
      <c r="AV144" s="98"/>
      <c r="AW144" s="98"/>
      <c r="AX144" s="98"/>
      <c r="AY144" s="98"/>
      <c r="AZ144" s="98"/>
    </row>
    <row r="145">
      <c r="A145" s="3" t="s">
        <v>448</v>
      </c>
      <c r="B145" s="36">
        <v>44718.0</v>
      </c>
      <c r="C145" s="91">
        <v>0.21167824074074074</v>
      </c>
      <c r="D145" s="13"/>
      <c r="E145" s="13"/>
      <c r="F145" s="3"/>
      <c r="G145" s="3"/>
      <c r="H145" s="3"/>
      <c r="I145" s="13"/>
      <c r="J145" s="13"/>
      <c r="K145" s="13" t="s">
        <v>228</v>
      </c>
      <c r="L145" s="36">
        <v>44718.0</v>
      </c>
      <c r="M145" s="91">
        <v>0.36497685185185186</v>
      </c>
      <c r="N145" s="3"/>
      <c r="O145" s="3"/>
      <c r="P145" s="7" t="b">
        <v>0</v>
      </c>
      <c r="Q145" s="7" t="s">
        <v>481</v>
      </c>
      <c r="R145" s="166" t="b">
        <v>0</v>
      </c>
      <c r="S145" s="166">
        <v>3.0</v>
      </c>
      <c r="T145" s="7"/>
      <c r="U145" s="3"/>
      <c r="V145" s="13"/>
      <c r="W145" s="3"/>
      <c r="X145" s="166" t="b">
        <v>0</v>
      </c>
      <c r="Y145" s="7"/>
      <c r="Z145" s="13"/>
      <c r="AA145" s="7" t="b">
        <v>0</v>
      </c>
      <c r="AB145" s="7"/>
      <c r="AC145" s="257">
        <v>67.0</v>
      </c>
      <c r="AD145" s="166"/>
      <c r="AE145" s="258">
        <v>220.75000000000003</v>
      </c>
      <c r="AF145" s="7" t="b">
        <v>0</v>
      </c>
      <c r="AG145" s="7" t="b">
        <v>0</v>
      </c>
      <c r="AH145" s="166"/>
      <c r="AI145" s="13"/>
      <c r="AJ145" s="3"/>
      <c r="AK145" s="13" t="s">
        <v>228</v>
      </c>
      <c r="AL145" s="3"/>
      <c r="AM145" s="3" t="s">
        <v>406</v>
      </c>
      <c r="AN145" s="3" t="s">
        <v>386</v>
      </c>
      <c r="AO145" s="3" t="s">
        <v>482</v>
      </c>
      <c r="AP145" s="3" t="s">
        <v>482</v>
      </c>
      <c r="AQ145" s="3" t="s">
        <v>482</v>
      </c>
      <c r="AR145" s="3" t="s">
        <v>482</v>
      </c>
      <c r="AS145" s="98"/>
      <c r="AT145" s="98"/>
      <c r="AU145" s="98"/>
      <c r="AV145" s="98"/>
      <c r="AW145" s="98"/>
      <c r="AX145" s="98"/>
      <c r="AY145" s="98"/>
      <c r="AZ145" s="98"/>
    </row>
    <row r="146">
      <c r="A146" s="3" t="s">
        <v>449</v>
      </c>
      <c r="B146" s="36">
        <v>44718.0</v>
      </c>
      <c r="C146" s="91">
        <v>0.21364583333333334</v>
      </c>
      <c r="D146" s="13"/>
      <c r="E146" s="13"/>
      <c r="F146" s="3"/>
      <c r="G146" s="3"/>
      <c r="H146" s="3"/>
      <c r="I146" s="13"/>
      <c r="J146" s="13"/>
      <c r="K146" s="13" t="s">
        <v>228</v>
      </c>
      <c r="L146" s="36">
        <v>44718.0</v>
      </c>
      <c r="M146" s="91">
        <v>0.36497685185185186</v>
      </c>
      <c r="N146" s="3"/>
      <c r="O146" s="3"/>
      <c r="P146" s="7" t="b">
        <v>0</v>
      </c>
      <c r="Q146" s="7" t="s">
        <v>481</v>
      </c>
      <c r="R146" s="166" t="b">
        <v>1</v>
      </c>
      <c r="S146" s="166">
        <v>2.0</v>
      </c>
      <c r="T146" s="7"/>
      <c r="U146" s="3"/>
      <c r="V146" s="13"/>
      <c r="W146" s="3"/>
      <c r="X146" s="166" t="b">
        <v>0</v>
      </c>
      <c r="Y146" s="7"/>
      <c r="Z146" s="13"/>
      <c r="AA146" s="7" t="b">
        <v>0</v>
      </c>
      <c r="AB146" s="7"/>
      <c r="AC146" s="257">
        <v>69.0</v>
      </c>
      <c r="AD146" s="166"/>
      <c r="AE146" s="258">
        <v>217.91666666666669</v>
      </c>
      <c r="AF146" s="7" t="b">
        <v>0</v>
      </c>
      <c r="AG146" s="7" t="b">
        <v>0</v>
      </c>
      <c r="AH146" s="166"/>
      <c r="AI146" s="13"/>
      <c r="AJ146" s="3"/>
      <c r="AK146" s="13" t="s">
        <v>228</v>
      </c>
      <c r="AL146" s="3"/>
      <c r="AM146" s="3" t="s">
        <v>397</v>
      </c>
      <c r="AN146" s="3" t="s">
        <v>400</v>
      </c>
      <c r="AO146" s="3" t="s">
        <v>482</v>
      </c>
      <c r="AP146" s="3" t="s">
        <v>482</v>
      </c>
      <c r="AQ146" s="3" t="s">
        <v>482</v>
      </c>
      <c r="AR146" s="3" t="s">
        <v>482</v>
      </c>
      <c r="AS146" s="98"/>
      <c r="AT146" s="98"/>
      <c r="AU146" s="98"/>
      <c r="AV146" s="98"/>
      <c r="AW146" s="98"/>
      <c r="AX146" s="98"/>
      <c r="AY146" s="98"/>
      <c r="AZ146" s="98"/>
    </row>
    <row r="147">
      <c r="A147" s="3" t="s">
        <v>449</v>
      </c>
      <c r="B147" s="36">
        <v>44718.0</v>
      </c>
      <c r="C147" s="91">
        <v>0.21364583333333334</v>
      </c>
      <c r="D147" s="13"/>
      <c r="E147" s="13"/>
      <c r="F147" s="3"/>
      <c r="G147" s="3"/>
      <c r="H147" s="3"/>
      <c r="I147" s="13"/>
      <c r="J147" s="13"/>
      <c r="K147" s="13" t="s">
        <v>228</v>
      </c>
      <c r="L147" s="36">
        <v>44718.0</v>
      </c>
      <c r="M147" s="91">
        <v>0.36497685185185186</v>
      </c>
      <c r="N147" s="3"/>
      <c r="O147" s="3"/>
      <c r="P147" s="7" t="b">
        <v>0</v>
      </c>
      <c r="Q147" s="7" t="s">
        <v>481</v>
      </c>
      <c r="R147" s="166" t="b">
        <v>0</v>
      </c>
      <c r="S147" s="166">
        <v>2.0</v>
      </c>
      <c r="T147" s="7"/>
      <c r="U147" s="3"/>
      <c r="V147" s="13"/>
      <c r="W147" s="3"/>
      <c r="X147" s="166" t="b">
        <v>0</v>
      </c>
      <c r="Y147" s="7"/>
      <c r="Z147" s="13"/>
      <c r="AA147" s="7" t="b">
        <v>0</v>
      </c>
      <c r="AB147" s="7"/>
      <c r="AC147" s="257">
        <v>70.0</v>
      </c>
      <c r="AD147" s="166"/>
      <c r="AE147" s="258">
        <v>217.91666666666669</v>
      </c>
      <c r="AF147" s="7" t="b">
        <v>0</v>
      </c>
      <c r="AG147" s="7" t="b">
        <v>0</v>
      </c>
      <c r="AH147" s="166"/>
      <c r="AI147" s="13"/>
      <c r="AJ147" s="3"/>
      <c r="AK147" s="13" t="s">
        <v>228</v>
      </c>
      <c r="AL147" s="3"/>
      <c r="AM147" s="3" t="s">
        <v>397</v>
      </c>
      <c r="AN147" s="3" t="s">
        <v>401</v>
      </c>
      <c r="AO147" s="3" t="s">
        <v>482</v>
      </c>
      <c r="AP147" s="3" t="s">
        <v>482</v>
      </c>
      <c r="AQ147" s="3" t="s">
        <v>482</v>
      </c>
      <c r="AR147" s="3" t="s">
        <v>482</v>
      </c>
      <c r="AS147" s="98"/>
      <c r="AT147" s="98"/>
      <c r="AU147" s="98"/>
      <c r="AV147" s="98"/>
      <c r="AW147" s="98"/>
      <c r="AX147" s="98"/>
      <c r="AY147" s="98"/>
      <c r="AZ147" s="98"/>
    </row>
    <row r="148">
      <c r="A148" s="3" t="s">
        <v>450</v>
      </c>
      <c r="B148" s="36">
        <v>44718.0</v>
      </c>
      <c r="C148" s="91">
        <v>0.23652777777777778</v>
      </c>
      <c r="D148" s="13"/>
      <c r="E148" s="13"/>
      <c r="F148" s="3"/>
      <c r="G148" s="3"/>
      <c r="H148" s="3"/>
      <c r="I148" s="13"/>
      <c r="J148" s="13"/>
      <c r="K148" s="13" t="s">
        <v>228</v>
      </c>
      <c r="L148" s="36">
        <v>44718.0</v>
      </c>
      <c r="M148" s="91">
        <v>0.36498842592592595</v>
      </c>
      <c r="N148" s="3"/>
      <c r="O148" s="3"/>
      <c r="P148" s="7" t="b">
        <v>0</v>
      </c>
      <c r="Q148" s="7" t="s">
        <v>481</v>
      </c>
      <c r="R148" s="166" t="b">
        <v>1</v>
      </c>
      <c r="S148" s="166">
        <v>3.0</v>
      </c>
      <c r="T148" s="7"/>
      <c r="U148" s="3"/>
      <c r="V148" s="13"/>
      <c r="W148" s="3"/>
      <c r="X148" s="166" t="b">
        <v>0</v>
      </c>
      <c r="Y148" s="7"/>
      <c r="Z148" s="13"/>
      <c r="AA148" s="7" t="b">
        <v>0</v>
      </c>
      <c r="AB148" s="7"/>
      <c r="AC148" s="257">
        <v>73.0</v>
      </c>
      <c r="AD148" s="166"/>
      <c r="AE148" s="258">
        <v>184.98333333333338</v>
      </c>
      <c r="AF148" s="7" t="b">
        <v>0</v>
      </c>
      <c r="AG148" s="7" t="b">
        <v>0</v>
      </c>
      <c r="AH148" s="166"/>
      <c r="AI148" s="13"/>
      <c r="AJ148" s="3"/>
      <c r="AK148" s="13" t="s">
        <v>228</v>
      </c>
      <c r="AL148" s="3"/>
      <c r="AM148" s="3" t="s">
        <v>322</v>
      </c>
      <c r="AN148" s="3" t="s">
        <v>325</v>
      </c>
      <c r="AO148" s="3" t="s">
        <v>482</v>
      </c>
      <c r="AP148" s="3" t="s">
        <v>482</v>
      </c>
      <c r="AQ148" s="3" t="s">
        <v>482</v>
      </c>
      <c r="AR148" s="3" t="s">
        <v>482</v>
      </c>
      <c r="AS148" s="98"/>
      <c r="AT148" s="98"/>
      <c r="AU148" s="98"/>
      <c r="AV148" s="98"/>
      <c r="AW148" s="98"/>
      <c r="AX148" s="98"/>
      <c r="AY148" s="98"/>
      <c r="AZ148" s="98"/>
    </row>
    <row r="149">
      <c r="A149" s="3" t="s">
        <v>450</v>
      </c>
      <c r="B149" s="36">
        <v>44718.0</v>
      </c>
      <c r="C149" s="91">
        <v>0.23652777777777778</v>
      </c>
      <c r="D149" s="13"/>
      <c r="E149" s="13"/>
      <c r="F149" s="3"/>
      <c r="G149" s="3"/>
      <c r="H149" s="3"/>
      <c r="I149" s="13"/>
      <c r="J149" s="13"/>
      <c r="K149" s="13" t="s">
        <v>228</v>
      </c>
      <c r="L149" s="36">
        <v>44718.0</v>
      </c>
      <c r="M149" s="91">
        <v>0.36498842592592595</v>
      </c>
      <c r="N149" s="3"/>
      <c r="O149" s="3"/>
      <c r="P149" s="7" t="b">
        <v>0</v>
      </c>
      <c r="Q149" s="7" t="s">
        <v>481</v>
      </c>
      <c r="R149" s="166" t="b">
        <v>0</v>
      </c>
      <c r="S149" s="166">
        <v>3.0</v>
      </c>
      <c r="T149" s="7"/>
      <c r="U149" s="3"/>
      <c r="V149" s="13"/>
      <c r="W149" s="3"/>
      <c r="X149" s="166" t="b">
        <v>0</v>
      </c>
      <c r="Y149" s="7"/>
      <c r="Z149" s="13"/>
      <c r="AA149" s="7" t="b">
        <v>0</v>
      </c>
      <c r="AB149" s="7"/>
      <c r="AC149" s="257">
        <v>72.0</v>
      </c>
      <c r="AD149" s="166"/>
      <c r="AE149" s="258">
        <v>184.98333333333338</v>
      </c>
      <c r="AF149" s="7" t="b">
        <v>0</v>
      </c>
      <c r="AG149" s="7" t="b">
        <v>0</v>
      </c>
      <c r="AH149" s="166"/>
      <c r="AI149" s="13"/>
      <c r="AJ149" s="3"/>
      <c r="AK149" s="13" t="s">
        <v>228</v>
      </c>
      <c r="AL149" s="3"/>
      <c r="AM149" s="3" t="s">
        <v>322</v>
      </c>
      <c r="AN149" s="3" t="s">
        <v>327</v>
      </c>
      <c r="AO149" s="3" t="s">
        <v>482</v>
      </c>
      <c r="AP149" s="3" t="s">
        <v>482</v>
      </c>
      <c r="AQ149" s="3" t="s">
        <v>482</v>
      </c>
      <c r="AR149" s="3" t="s">
        <v>482</v>
      </c>
      <c r="AS149" s="98"/>
      <c r="AT149" s="98"/>
      <c r="AU149" s="98"/>
      <c r="AV149" s="98"/>
      <c r="AW149" s="98"/>
      <c r="AX149" s="98"/>
      <c r="AY149" s="98"/>
      <c r="AZ149" s="98"/>
    </row>
    <row r="150">
      <c r="A150" s="3" t="s">
        <v>450</v>
      </c>
      <c r="B150" s="36">
        <v>44718.0</v>
      </c>
      <c r="C150" s="91">
        <v>0.23652777777777778</v>
      </c>
      <c r="D150" s="13"/>
      <c r="E150" s="13"/>
      <c r="F150" s="3"/>
      <c r="G150" s="3"/>
      <c r="H150" s="3"/>
      <c r="I150" s="13"/>
      <c r="J150" s="13"/>
      <c r="K150" s="13" t="s">
        <v>228</v>
      </c>
      <c r="L150" s="36">
        <v>44718.0</v>
      </c>
      <c r="M150" s="91">
        <v>0.36498842592592595</v>
      </c>
      <c r="N150" s="3"/>
      <c r="O150" s="3"/>
      <c r="P150" s="7" t="b">
        <v>0</v>
      </c>
      <c r="Q150" s="7" t="s">
        <v>481</v>
      </c>
      <c r="R150" s="166" t="b">
        <v>0</v>
      </c>
      <c r="S150" s="166">
        <v>3.0</v>
      </c>
      <c r="T150" s="7"/>
      <c r="U150" s="3"/>
      <c r="V150" s="13"/>
      <c r="W150" s="3"/>
      <c r="X150" s="166" t="b">
        <v>0</v>
      </c>
      <c r="Y150" s="7"/>
      <c r="Z150" s="13"/>
      <c r="AA150" s="7" t="b">
        <v>0</v>
      </c>
      <c r="AB150" s="7"/>
      <c r="AC150" s="257">
        <v>71.0</v>
      </c>
      <c r="AD150" s="166"/>
      <c r="AE150" s="258">
        <v>184.98333333333338</v>
      </c>
      <c r="AF150" s="7" t="b">
        <v>0</v>
      </c>
      <c r="AG150" s="7" t="b">
        <v>0</v>
      </c>
      <c r="AH150" s="166"/>
      <c r="AI150" s="13"/>
      <c r="AJ150" s="3"/>
      <c r="AK150" s="13" t="s">
        <v>228</v>
      </c>
      <c r="AL150" s="3"/>
      <c r="AM150" s="3" t="s">
        <v>322</v>
      </c>
      <c r="AN150" s="3" t="s">
        <v>329</v>
      </c>
      <c r="AO150" s="3" t="s">
        <v>482</v>
      </c>
      <c r="AP150" s="3" t="s">
        <v>482</v>
      </c>
      <c r="AQ150" s="3" t="s">
        <v>482</v>
      </c>
      <c r="AR150" s="3" t="s">
        <v>482</v>
      </c>
      <c r="AS150" s="98"/>
      <c r="AT150" s="98"/>
      <c r="AU150" s="98"/>
      <c r="AV150" s="98"/>
      <c r="AW150" s="98"/>
      <c r="AX150" s="98"/>
      <c r="AY150" s="98"/>
      <c r="AZ150" s="98"/>
    </row>
    <row r="151">
      <c r="A151" s="3" t="s">
        <v>451</v>
      </c>
      <c r="B151" s="36">
        <v>44718.0</v>
      </c>
      <c r="C151" s="91">
        <v>0.2998032407407407</v>
      </c>
      <c r="D151" s="13"/>
      <c r="E151" s="13"/>
      <c r="F151" s="3"/>
      <c r="G151" s="3"/>
      <c r="H151" s="3"/>
      <c r="I151" s="13"/>
      <c r="J151" s="13"/>
      <c r="K151" s="13" t="s">
        <v>228</v>
      </c>
      <c r="L151" s="36">
        <v>44718.0</v>
      </c>
      <c r="M151" s="91">
        <v>0.36498842592592595</v>
      </c>
      <c r="N151" s="3"/>
      <c r="O151" s="3"/>
      <c r="P151" s="7" t="b">
        <v>0</v>
      </c>
      <c r="Q151" s="7" t="s">
        <v>481</v>
      </c>
      <c r="R151" s="166" t="b">
        <v>1</v>
      </c>
      <c r="S151" s="166">
        <v>2.0</v>
      </c>
      <c r="T151" s="7"/>
      <c r="U151" s="3"/>
      <c r="V151" s="13"/>
      <c r="W151" s="3"/>
      <c r="X151" s="166" t="b">
        <v>0</v>
      </c>
      <c r="Y151" s="7"/>
      <c r="Z151" s="13"/>
      <c r="AA151" s="7" t="b">
        <v>0</v>
      </c>
      <c r="AB151" s="7"/>
      <c r="AC151" s="257">
        <v>74.0</v>
      </c>
      <c r="AD151" s="166"/>
      <c r="AE151" s="258">
        <v>93.86666666666673</v>
      </c>
      <c r="AF151" s="7" t="b">
        <v>0</v>
      </c>
      <c r="AG151" s="7" t="b">
        <v>0</v>
      </c>
      <c r="AH151" s="166"/>
      <c r="AI151" s="13"/>
      <c r="AJ151" s="3"/>
      <c r="AK151" s="13" t="s">
        <v>228</v>
      </c>
      <c r="AL151" s="3"/>
      <c r="AM151" s="3" t="s">
        <v>365</v>
      </c>
      <c r="AN151" s="3" t="s">
        <v>452</v>
      </c>
      <c r="AO151" s="3" t="s">
        <v>482</v>
      </c>
      <c r="AP151" s="3" t="s">
        <v>482</v>
      </c>
      <c r="AQ151" s="3" t="s">
        <v>482</v>
      </c>
      <c r="AR151" s="3" t="s">
        <v>482</v>
      </c>
      <c r="AS151" s="98"/>
      <c r="AT151" s="98"/>
      <c r="AU151" s="98"/>
      <c r="AV151" s="98"/>
      <c r="AW151" s="98"/>
      <c r="AX151" s="98"/>
      <c r="AY151" s="98"/>
      <c r="AZ151" s="98"/>
    </row>
    <row r="152">
      <c r="A152" s="3" t="s">
        <v>451</v>
      </c>
      <c r="B152" s="36">
        <v>44718.0</v>
      </c>
      <c r="C152" s="91">
        <v>0.2998032407407407</v>
      </c>
      <c r="D152" s="13"/>
      <c r="E152" s="13"/>
      <c r="F152" s="3"/>
      <c r="G152" s="3"/>
      <c r="H152" s="3"/>
      <c r="I152" s="13"/>
      <c r="J152" s="13"/>
      <c r="K152" s="13" t="s">
        <v>228</v>
      </c>
      <c r="L152" s="36">
        <v>44718.0</v>
      </c>
      <c r="M152" s="91">
        <v>0.36498842592592595</v>
      </c>
      <c r="N152" s="3"/>
      <c r="O152" s="3"/>
      <c r="P152" s="7" t="b">
        <v>0</v>
      </c>
      <c r="Q152" s="7" t="s">
        <v>481</v>
      </c>
      <c r="R152" s="166" t="b">
        <v>0</v>
      </c>
      <c r="S152" s="166">
        <v>2.0</v>
      </c>
      <c r="T152" s="7"/>
      <c r="U152" s="3"/>
      <c r="V152" s="13"/>
      <c r="W152" s="3"/>
      <c r="X152" s="166" t="b">
        <v>0</v>
      </c>
      <c r="Y152" s="7"/>
      <c r="Z152" s="13"/>
      <c r="AA152" s="7" t="b">
        <v>0</v>
      </c>
      <c r="AB152" s="7"/>
      <c r="AC152" s="257">
        <v>75.0</v>
      </c>
      <c r="AD152" s="166"/>
      <c r="AE152" s="258">
        <v>93.86666666666673</v>
      </c>
      <c r="AF152" s="7" t="b">
        <v>0</v>
      </c>
      <c r="AG152" s="7" t="b">
        <v>0</v>
      </c>
      <c r="AH152" s="166"/>
      <c r="AI152" s="13"/>
      <c r="AJ152" s="3"/>
      <c r="AK152" s="13" t="s">
        <v>228</v>
      </c>
      <c r="AL152" s="3"/>
      <c r="AM152" s="3" t="s">
        <v>365</v>
      </c>
      <c r="AN152" s="3" t="s">
        <v>453</v>
      </c>
      <c r="AO152" s="3" t="s">
        <v>482</v>
      </c>
      <c r="AP152" s="3" t="s">
        <v>482</v>
      </c>
      <c r="AQ152" s="3" t="s">
        <v>482</v>
      </c>
      <c r="AR152" s="3" t="s">
        <v>482</v>
      </c>
      <c r="AS152" s="98"/>
      <c r="AT152" s="98"/>
      <c r="AU152" s="98"/>
      <c r="AV152" s="98"/>
      <c r="AW152" s="98"/>
      <c r="AX152" s="98"/>
      <c r="AY152" s="98"/>
      <c r="AZ152" s="98"/>
    </row>
    <row r="153">
      <c r="A153" s="3" t="s">
        <v>458</v>
      </c>
      <c r="B153" s="36">
        <v>44725.0</v>
      </c>
      <c r="C153" s="91">
        <v>0.20103009259259258</v>
      </c>
      <c r="D153" s="13"/>
      <c r="E153" s="13"/>
      <c r="F153" s="3"/>
      <c r="G153" s="3"/>
      <c r="H153" s="3"/>
      <c r="I153" s="13"/>
      <c r="J153" s="13"/>
      <c r="K153" s="13" t="s">
        <v>228</v>
      </c>
      <c r="L153" s="36">
        <v>44725.0</v>
      </c>
      <c r="M153" s="91">
        <v>0.4122337962962963</v>
      </c>
      <c r="N153" s="3"/>
      <c r="O153" s="3"/>
      <c r="P153" s="7" t="b">
        <v>0</v>
      </c>
      <c r="Q153" s="7" t="s">
        <v>481</v>
      </c>
      <c r="R153" s="166" t="b">
        <v>1</v>
      </c>
      <c r="S153" s="166">
        <v>4.0</v>
      </c>
      <c r="T153" s="7">
        <v>2.0</v>
      </c>
      <c r="U153" s="3"/>
      <c r="V153" s="13"/>
      <c r="W153" s="3"/>
      <c r="X153" s="166" t="b">
        <v>1</v>
      </c>
      <c r="Y153" s="7"/>
      <c r="Z153" s="13"/>
      <c r="AA153" s="7" t="b">
        <v>0</v>
      </c>
      <c r="AB153" s="7"/>
      <c r="AC153" s="257">
        <v>45.0</v>
      </c>
      <c r="AD153" s="166"/>
      <c r="AE153" s="258">
        <v>304.1333333333333</v>
      </c>
      <c r="AF153" s="7" t="b">
        <v>0</v>
      </c>
      <c r="AG153" s="7" t="b">
        <v>0</v>
      </c>
      <c r="AH153" s="166"/>
      <c r="AI153" s="13"/>
      <c r="AJ153" s="3"/>
      <c r="AK153" s="13" t="s">
        <v>228</v>
      </c>
      <c r="AL153" s="3"/>
      <c r="AM153" s="3" t="s">
        <v>397</v>
      </c>
      <c r="AN153" s="3" t="s">
        <v>398</v>
      </c>
      <c r="AO153" s="3" t="s">
        <v>482</v>
      </c>
      <c r="AP153" s="3" t="s">
        <v>482</v>
      </c>
      <c r="AQ153" s="3" t="s">
        <v>482</v>
      </c>
      <c r="AR153" s="3" t="s">
        <v>482</v>
      </c>
      <c r="AS153" s="98"/>
      <c r="AT153" s="98"/>
      <c r="AU153" s="98"/>
      <c r="AV153" s="98"/>
      <c r="AW153" s="98"/>
      <c r="AX153" s="98"/>
      <c r="AY153" s="98"/>
      <c r="AZ153" s="98"/>
    </row>
    <row r="154">
      <c r="A154" s="3" t="s">
        <v>458</v>
      </c>
      <c r="B154" s="36">
        <v>44725.0</v>
      </c>
      <c r="C154" s="91">
        <v>0.20103009259259258</v>
      </c>
      <c r="D154" s="13"/>
      <c r="E154" s="13"/>
      <c r="F154" s="3"/>
      <c r="G154" s="3"/>
      <c r="H154" s="3"/>
      <c r="I154" s="13"/>
      <c r="J154" s="13"/>
      <c r="K154" s="13" t="s">
        <v>228</v>
      </c>
      <c r="L154" s="36">
        <v>44725.0</v>
      </c>
      <c r="M154" s="91">
        <v>0.4122337962962963</v>
      </c>
      <c r="N154" s="3"/>
      <c r="O154" s="3"/>
      <c r="P154" s="7" t="b">
        <v>0</v>
      </c>
      <c r="Q154" s="7" t="s">
        <v>481</v>
      </c>
      <c r="R154" s="166" t="b">
        <v>0</v>
      </c>
      <c r="S154" s="166">
        <v>4.0</v>
      </c>
      <c r="T154" s="7">
        <v>2.0</v>
      </c>
      <c r="U154" s="3"/>
      <c r="V154" s="13"/>
      <c r="W154" s="3"/>
      <c r="X154" s="166" t="b">
        <v>1</v>
      </c>
      <c r="Y154" s="7"/>
      <c r="Z154" s="13"/>
      <c r="AA154" s="7" t="b">
        <v>0</v>
      </c>
      <c r="AB154" s="7"/>
      <c r="AC154" s="257">
        <v>46.0</v>
      </c>
      <c r="AD154" s="166"/>
      <c r="AE154" s="258">
        <v>304.1333333333333</v>
      </c>
      <c r="AF154" s="7" t="b">
        <v>0</v>
      </c>
      <c r="AG154" s="7" t="b">
        <v>0</v>
      </c>
      <c r="AH154" s="166"/>
      <c r="AI154" s="13"/>
      <c r="AJ154" s="3"/>
      <c r="AK154" s="13" t="s">
        <v>228</v>
      </c>
      <c r="AL154" s="3"/>
      <c r="AM154" s="3" t="s">
        <v>397</v>
      </c>
      <c r="AN154" s="3" t="s">
        <v>399</v>
      </c>
      <c r="AO154" s="3" t="s">
        <v>482</v>
      </c>
      <c r="AP154" s="3" t="s">
        <v>482</v>
      </c>
      <c r="AQ154" s="3" t="s">
        <v>482</v>
      </c>
      <c r="AR154" s="3" t="s">
        <v>482</v>
      </c>
      <c r="AS154" s="98"/>
      <c r="AT154" s="98"/>
      <c r="AU154" s="98"/>
      <c r="AV154" s="98"/>
      <c r="AW154" s="98"/>
      <c r="AX154" s="98"/>
      <c r="AY154" s="98"/>
      <c r="AZ154" s="98"/>
    </row>
    <row r="155">
      <c r="A155" s="3" t="s">
        <v>458</v>
      </c>
      <c r="B155" s="36">
        <v>44725.0</v>
      </c>
      <c r="C155" s="91">
        <v>0.20103009259259258</v>
      </c>
      <c r="D155" s="13"/>
      <c r="E155" s="13"/>
      <c r="F155" s="3"/>
      <c r="G155" s="3"/>
      <c r="H155" s="3"/>
      <c r="I155" s="13"/>
      <c r="J155" s="13"/>
      <c r="K155" s="13" t="s">
        <v>228</v>
      </c>
      <c r="L155" s="36">
        <v>44725.0</v>
      </c>
      <c r="M155" s="91">
        <v>0.4122337962962963</v>
      </c>
      <c r="N155" s="3"/>
      <c r="O155" s="3"/>
      <c r="P155" s="7" t="b">
        <v>0</v>
      </c>
      <c r="Q155" s="7" t="s">
        <v>481</v>
      </c>
      <c r="R155" s="166" t="b">
        <v>0</v>
      </c>
      <c r="S155" s="166">
        <v>4.0</v>
      </c>
      <c r="T155" s="7">
        <v>2.0</v>
      </c>
      <c r="U155" s="3"/>
      <c r="V155" s="13"/>
      <c r="W155" s="3"/>
      <c r="X155" s="166" t="b">
        <v>0</v>
      </c>
      <c r="Y155" s="7"/>
      <c r="Z155" s="13"/>
      <c r="AA155" s="7" t="b">
        <v>0</v>
      </c>
      <c r="AB155" s="7"/>
      <c r="AC155" s="257">
        <v>45.0</v>
      </c>
      <c r="AD155" s="166"/>
      <c r="AE155" s="258">
        <v>304.1333333333333</v>
      </c>
      <c r="AF155" s="7" t="b">
        <v>0</v>
      </c>
      <c r="AG155" s="7" t="b">
        <v>0</v>
      </c>
      <c r="AH155" s="166"/>
      <c r="AI155" s="13"/>
      <c r="AJ155" s="3"/>
      <c r="AK155" s="13" t="s">
        <v>228</v>
      </c>
      <c r="AL155" s="3"/>
      <c r="AM155" s="3" t="s">
        <v>397</v>
      </c>
      <c r="AN155" s="3" t="s">
        <v>400</v>
      </c>
      <c r="AO155" s="3" t="s">
        <v>482</v>
      </c>
      <c r="AP155" s="3" t="s">
        <v>482</v>
      </c>
      <c r="AQ155" s="3" t="s">
        <v>482</v>
      </c>
      <c r="AR155" s="3" t="s">
        <v>482</v>
      </c>
      <c r="AS155" s="98"/>
      <c r="AT155" s="98"/>
      <c r="AU155" s="98"/>
      <c r="AV155" s="98"/>
      <c r="AW155" s="98"/>
      <c r="AX155" s="98"/>
      <c r="AY155" s="98"/>
      <c r="AZ155" s="98"/>
    </row>
    <row r="156">
      <c r="A156" s="3" t="s">
        <v>458</v>
      </c>
      <c r="B156" s="36">
        <v>44725.0</v>
      </c>
      <c r="C156" s="91">
        <v>0.20103009259259258</v>
      </c>
      <c r="D156" s="13"/>
      <c r="E156" s="13"/>
      <c r="F156" s="3"/>
      <c r="G156" s="3"/>
      <c r="H156" s="3"/>
      <c r="I156" s="13"/>
      <c r="J156" s="13"/>
      <c r="K156" s="13" t="s">
        <v>228</v>
      </c>
      <c r="L156" s="36">
        <v>44725.0</v>
      </c>
      <c r="M156" s="91">
        <v>0.4122337962962963</v>
      </c>
      <c r="N156" s="3"/>
      <c r="O156" s="3"/>
      <c r="P156" s="7" t="b">
        <v>0</v>
      </c>
      <c r="Q156" s="7" t="s">
        <v>481</v>
      </c>
      <c r="R156" s="166" t="b">
        <v>0</v>
      </c>
      <c r="S156" s="166">
        <v>4.0</v>
      </c>
      <c r="T156" s="7">
        <v>2.0</v>
      </c>
      <c r="U156" s="3"/>
      <c r="V156" s="13"/>
      <c r="W156" s="3"/>
      <c r="X156" s="166" t="b">
        <v>0</v>
      </c>
      <c r="Y156" s="7"/>
      <c r="Z156" s="13"/>
      <c r="AA156" s="7" t="b">
        <v>0</v>
      </c>
      <c r="AB156" s="7"/>
      <c r="AC156" s="257">
        <v>46.0</v>
      </c>
      <c r="AD156" s="166"/>
      <c r="AE156" s="258">
        <v>304.1333333333333</v>
      </c>
      <c r="AF156" s="7" t="b">
        <v>0</v>
      </c>
      <c r="AG156" s="7" t="b">
        <v>0</v>
      </c>
      <c r="AH156" s="166"/>
      <c r="AI156" s="13"/>
      <c r="AJ156" s="3"/>
      <c r="AK156" s="13" t="s">
        <v>228</v>
      </c>
      <c r="AL156" s="3"/>
      <c r="AM156" s="3" t="s">
        <v>397</v>
      </c>
      <c r="AN156" s="3" t="s">
        <v>401</v>
      </c>
      <c r="AO156" s="3" t="s">
        <v>482</v>
      </c>
      <c r="AP156" s="3" t="s">
        <v>482</v>
      </c>
      <c r="AQ156" s="3" t="s">
        <v>482</v>
      </c>
      <c r="AR156" s="3" t="s">
        <v>482</v>
      </c>
      <c r="AS156" s="98"/>
      <c r="AT156" s="98"/>
      <c r="AU156" s="98"/>
      <c r="AV156" s="98"/>
      <c r="AW156" s="98"/>
      <c r="AX156" s="98"/>
      <c r="AY156" s="98"/>
      <c r="AZ156" s="98"/>
    </row>
    <row r="157">
      <c r="A157" s="3" t="s">
        <v>459</v>
      </c>
      <c r="B157" s="36">
        <v>44725.0</v>
      </c>
      <c r="C157" s="91">
        <v>0.22523148148148148</v>
      </c>
      <c r="D157" s="13"/>
      <c r="E157" s="13"/>
      <c r="F157" s="3"/>
      <c r="G157" s="3"/>
      <c r="H157" s="3"/>
      <c r="I157" s="13"/>
      <c r="J157" s="13"/>
      <c r="K157" s="13" t="s">
        <v>228</v>
      </c>
      <c r="L157" s="36">
        <v>44725.0</v>
      </c>
      <c r="M157" s="91">
        <v>0.41224537037037035</v>
      </c>
      <c r="N157" s="3"/>
      <c r="O157" s="3"/>
      <c r="P157" s="7" t="b">
        <v>0</v>
      </c>
      <c r="Q157" s="7" t="s">
        <v>481</v>
      </c>
      <c r="R157" s="166" t="b">
        <v>1</v>
      </c>
      <c r="S157" s="166">
        <v>3.0</v>
      </c>
      <c r="T157" s="7"/>
      <c r="U157" s="3"/>
      <c r="V157" s="13"/>
      <c r="W157" s="3"/>
      <c r="X157" s="166" t="b">
        <v>0</v>
      </c>
      <c r="Y157" s="7"/>
      <c r="Z157" s="13"/>
      <c r="AA157" s="7" t="b">
        <v>0</v>
      </c>
      <c r="AB157" s="7"/>
      <c r="AC157" s="257">
        <v>49.0</v>
      </c>
      <c r="AD157" s="166"/>
      <c r="AE157" s="258">
        <v>269.3</v>
      </c>
      <c r="AF157" s="7" t="b">
        <v>0</v>
      </c>
      <c r="AG157" s="7" t="b">
        <v>0</v>
      </c>
      <c r="AH157" s="166"/>
      <c r="AI157" s="13"/>
      <c r="AJ157" s="3"/>
      <c r="AK157" s="13" t="s">
        <v>228</v>
      </c>
      <c r="AL157" s="3"/>
      <c r="AM157" s="3" t="s">
        <v>406</v>
      </c>
      <c r="AN157" s="3" t="s">
        <v>387</v>
      </c>
      <c r="AO157" s="3" t="s">
        <v>482</v>
      </c>
      <c r="AP157" s="3" t="s">
        <v>482</v>
      </c>
      <c r="AQ157" s="3" t="s">
        <v>482</v>
      </c>
      <c r="AR157" s="3" t="s">
        <v>482</v>
      </c>
      <c r="AS157" s="98"/>
      <c r="AT157" s="98"/>
      <c r="AU157" s="98"/>
      <c r="AV157" s="98"/>
      <c r="AW157" s="98"/>
      <c r="AX157" s="98"/>
      <c r="AY157" s="98"/>
      <c r="AZ157" s="98"/>
    </row>
    <row r="158">
      <c r="A158" s="3" t="s">
        <v>459</v>
      </c>
      <c r="B158" s="36">
        <v>44725.0</v>
      </c>
      <c r="C158" s="91">
        <v>0.22523148148148148</v>
      </c>
      <c r="D158" s="13"/>
      <c r="E158" s="13"/>
      <c r="F158" s="3"/>
      <c r="G158" s="3"/>
      <c r="H158" s="3"/>
      <c r="I158" s="13"/>
      <c r="J158" s="13"/>
      <c r="K158" s="13" t="s">
        <v>228</v>
      </c>
      <c r="L158" s="36">
        <v>44725.0</v>
      </c>
      <c r="M158" s="91">
        <v>0.41224537037037035</v>
      </c>
      <c r="N158" s="3"/>
      <c r="O158" s="3"/>
      <c r="P158" s="7" t="b">
        <v>0</v>
      </c>
      <c r="Q158" s="7" t="s">
        <v>481</v>
      </c>
      <c r="R158" s="166" t="b">
        <v>0</v>
      </c>
      <c r="S158" s="166">
        <v>3.0</v>
      </c>
      <c r="T158" s="7"/>
      <c r="U158" s="3"/>
      <c r="V158" s="13"/>
      <c r="W158" s="3"/>
      <c r="X158" s="166" t="b">
        <v>0</v>
      </c>
      <c r="Y158" s="7"/>
      <c r="Z158" s="13"/>
      <c r="AA158" s="7" t="b">
        <v>0</v>
      </c>
      <c r="AB158" s="7"/>
      <c r="AC158" s="257">
        <v>47.0</v>
      </c>
      <c r="AD158" s="166"/>
      <c r="AE158" s="258">
        <v>269.3</v>
      </c>
      <c r="AF158" s="7" t="b">
        <v>0</v>
      </c>
      <c r="AG158" s="7" t="b">
        <v>0</v>
      </c>
      <c r="AH158" s="166"/>
      <c r="AI158" s="13"/>
      <c r="AJ158" s="3"/>
      <c r="AK158" s="13" t="s">
        <v>228</v>
      </c>
      <c r="AL158" s="3"/>
      <c r="AM158" s="3" t="s">
        <v>406</v>
      </c>
      <c r="AN158" s="3" t="s">
        <v>407</v>
      </c>
      <c r="AO158" s="3" t="s">
        <v>482</v>
      </c>
      <c r="AP158" s="3" t="s">
        <v>482</v>
      </c>
      <c r="AQ158" s="3" t="s">
        <v>482</v>
      </c>
      <c r="AR158" s="3" t="s">
        <v>482</v>
      </c>
      <c r="AS158" s="98"/>
      <c r="AT158" s="98"/>
      <c r="AU158" s="98"/>
      <c r="AV158" s="98"/>
      <c r="AW158" s="98"/>
      <c r="AX158" s="98"/>
      <c r="AY158" s="98"/>
      <c r="AZ158" s="98"/>
    </row>
    <row r="159">
      <c r="A159" s="3" t="s">
        <v>459</v>
      </c>
      <c r="B159" s="36">
        <v>44725.0</v>
      </c>
      <c r="C159" s="91">
        <v>0.22523148148148148</v>
      </c>
      <c r="D159" s="13"/>
      <c r="E159" s="13"/>
      <c r="F159" s="3"/>
      <c r="G159" s="3"/>
      <c r="H159" s="3"/>
      <c r="I159" s="13"/>
      <c r="J159" s="13"/>
      <c r="K159" s="13" t="s">
        <v>228</v>
      </c>
      <c r="L159" s="36">
        <v>44725.0</v>
      </c>
      <c r="M159" s="91">
        <v>0.41224537037037035</v>
      </c>
      <c r="N159" s="3"/>
      <c r="O159" s="3"/>
      <c r="P159" s="7" t="b">
        <v>0</v>
      </c>
      <c r="Q159" s="7" t="s">
        <v>481</v>
      </c>
      <c r="R159" s="166" t="b">
        <v>0</v>
      </c>
      <c r="S159" s="166">
        <v>3.0</v>
      </c>
      <c r="T159" s="7"/>
      <c r="U159" s="3"/>
      <c r="V159" s="13"/>
      <c r="W159" s="3"/>
      <c r="X159" s="166" t="b">
        <v>0</v>
      </c>
      <c r="Y159" s="7"/>
      <c r="Z159" s="13"/>
      <c r="AA159" s="7" t="b">
        <v>0</v>
      </c>
      <c r="AB159" s="7"/>
      <c r="AC159" s="257">
        <v>48.0</v>
      </c>
      <c r="AD159" s="166"/>
      <c r="AE159" s="258">
        <v>269.3</v>
      </c>
      <c r="AF159" s="7" t="b">
        <v>0</v>
      </c>
      <c r="AG159" s="7" t="b">
        <v>0</v>
      </c>
      <c r="AH159" s="166"/>
      <c r="AI159" s="13"/>
      <c r="AJ159" s="3"/>
      <c r="AK159" s="13" t="s">
        <v>228</v>
      </c>
      <c r="AL159" s="3"/>
      <c r="AM159" s="3" t="s">
        <v>406</v>
      </c>
      <c r="AN159" s="3" t="s">
        <v>386</v>
      </c>
      <c r="AO159" s="3" t="s">
        <v>482</v>
      </c>
      <c r="AP159" s="3" t="s">
        <v>482</v>
      </c>
      <c r="AQ159" s="3" t="s">
        <v>482</v>
      </c>
      <c r="AR159" s="3" t="s">
        <v>482</v>
      </c>
      <c r="AS159" s="98"/>
      <c r="AT159" s="98"/>
      <c r="AU159" s="98"/>
      <c r="AV159" s="98"/>
      <c r="AW159" s="98"/>
      <c r="AX159" s="98"/>
      <c r="AY159" s="98"/>
      <c r="AZ159" s="98"/>
    </row>
    <row r="160">
      <c r="A160" s="3" t="s">
        <v>460</v>
      </c>
      <c r="B160" s="36">
        <v>44725.0</v>
      </c>
      <c r="C160" s="91">
        <v>0.23350694444444445</v>
      </c>
      <c r="D160" s="13"/>
      <c r="E160" s="13"/>
      <c r="F160" s="3"/>
      <c r="G160" s="3"/>
      <c r="H160" s="3"/>
      <c r="I160" s="13"/>
      <c r="J160" s="13"/>
      <c r="K160" s="13" t="s">
        <v>228</v>
      </c>
      <c r="L160" s="36">
        <v>44725.0</v>
      </c>
      <c r="M160" s="91">
        <v>0.41224537037037035</v>
      </c>
      <c r="N160" s="3"/>
      <c r="O160" s="3"/>
      <c r="P160" s="7" t="b">
        <v>0</v>
      </c>
      <c r="Q160" s="7" t="s">
        <v>481</v>
      </c>
      <c r="R160" s="166" t="b">
        <v>1</v>
      </c>
      <c r="S160" s="166">
        <v>3.0</v>
      </c>
      <c r="T160" s="7"/>
      <c r="U160" s="3"/>
      <c r="V160" s="13"/>
      <c r="W160" s="3"/>
      <c r="X160" s="166" t="b">
        <v>0</v>
      </c>
      <c r="Y160" s="7"/>
      <c r="Z160" s="13"/>
      <c r="AA160" s="7" t="b">
        <v>0</v>
      </c>
      <c r="AB160" s="7"/>
      <c r="AC160" s="257">
        <v>52.0</v>
      </c>
      <c r="AD160" s="166"/>
      <c r="AE160" s="258">
        <v>257.38333333333327</v>
      </c>
      <c r="AF160" s="7" t="b">
        <v>0</v>
      </c>
      <c r="AG160" s="7" t="b">
        <v>0</v>
      </c>
      <c r="AH160" s="166"/>
      <c r="AI160" s="13"/>
      <c r="AJ160" s="3"/>
      <c r="AK160" s="13" t="s">
        <v>228</v>
      </c>
      <c r="AL160" s="3"/>
      <c r="AM160" s="3" t="s">
        <v>322</v>
      </c>
      <c r="AN160" s="3" t="s">
        <v>325</v>
      </c>
      <c r="AO160" s="3" t="s">
        <v>482</v>
      </c>
      <c r="AP160" s="3" t="s">
        <v>482</v>
      </c>
      <c r="AQ160" s="3" t="s">
        <v>482</v>
      </c>
      <c r="AR160" s="3" t="s">
        <v>482</v>
      </c>
      <c r="AS160" s="98"/>
      <c r="AT160" s="98"/>
      <c r="AU160" s="98"/>
      <c r="AV160" s="98"/>
      <c r="AW160" s="98"/>
      <c r="AX160" s="98"/>
      <c r="AY160" s="98"/>
      <c r="AZ160" s="98"/>
    </row>
    <row r="161">
      <c r="A161" s="3" t="s">
        <v>460</v>
      </c>
      <c r="B161" s="36">
        <v>44725.0</v>
      </c>
      <c r="C161" s="91">
        <v>0.23350694444444445</v>
      </c>
      <c r="D161" s="13"/>
      <c r="E161" s="13"/>
      <c r="F161" s="3"/>
      <c r="G161" s="3"/>
      <c r="H161" s="3"/>
      <c r="I161" s="13"/>
      <c r="J161" s="13"/>
      <c r="K161" s="13" t="s">
        <v>228</v>
      </c>
      <c r="L161" s="36">
        <v>44725.0</v>
      </c>
      <c r="M161" s="91">
        <v>0.41224537037037035</v>
      </c>
      <c r="N161" s="3"/>
      <c r="O161" s="3"/>
      <c r="P161" s="7" t="b">
        <v>0</v>
      </c>
      <c r="Q161" s="7" t="s">
        <v>481</v>
      </c>
      <c r="R161" s="166" t="b">
        <v>0</v>
      </c>
      <c r="S161" s="166">
        <v>3.0</v>
      </c>
      <c r="T161" s="7"/>
      <c r="U161" s="3"/>
      <c r="V161" s="13"/>
      <c r="W161" s="3"/>
      <c r="X161" s="166" t="b">
        <v>0</v>
      </c>
      <c r="Y161" s="7"/>
      <c r="Z161" s="13"/>
      <c r="AA161" s="7" t="b">
        <v>0</v>
      </c>
      <c r="AB161" s="7"/>
      <c r="AC161" s="257">
        <v>51.0</v>
      </c>
      <c r="AD161" s="166"/>
      <c r="AE161" s="258">
        <v>257.38333333333327</v>
      </c>
      <c r="AF161" s="7" t="b">
        <v>0</v>
      </c>
      <c r="AG161" s="7" t="b">
        <v>0</v>
      </c>
      <c r="AH161" s="166"/>
      <c r="AI161" s="13"/>
      <c r="AJ161" s="3"/>
      <c r="AK161" s="13" t="s">
        <v>228</v>
      </c>
      <c r="AL161" s="3"/>
      <c r="AM161" s="3" t="s">
        <v>322</v>
      </c>
      <c r="AN161" s="3" t="s">
        <v>327</v>
      </c>
      <c r="AO161" s="3" t="s">
        <v>482</v>
      </c>
      <c r="AP161" s="3" t="s">
        <v>482</v>
      </c>
      <c r="AQ161" s="3" t="s">
        <v>482</v>
      </c>
      <c r="AR161" s="3" t="s">
        <v>482</v>
      </c>
      <c r="AS161" s="98"/>
      <c r="AT161" s="98"/>
      <c r="AU161" s="98"/>
      <c r="AV161" s="98"/>
      <c r="AW161" s="98"/>
      <c r="AX161" s="98"/>
      <c r="AY161" s="98"/>
      <c r="AZ161" s="98"/>
    </row>
    <row r="162">
      <c r="A162" s="3" t="s">
        <v>460</v>
      </c>
      <c r="B162" s="36">
        <v>44725.0</v>
      </c>
      <c r="C162" s="91">
        <v>0.23350694444444445</v>
      </c>
      <c r="D162" s="13"/>
      <c r="E162" s="13"/>
      <c r="F162" s="3"/>
      <c r="G162" s="3"/>
      <c r="H162" s="3"/>
      <c r="I162" s="13"/>
      <c r="J162" s="13"/>
      <c r="K162" s="13" t="s">
        <v>228</v>
      </c>
      <c r="L162" s="36">
        <v>44725.0</v>
      </c>
      <c r="M162" s="91">
        <v>0.41224537037037035</v>
      </c>
      <c r="N162" s="3"/>
      <c r="O162" s="3"/>
      <c r="P162" s="7" t="b">
        <v>0</v>
      </c>
      <c r="Q162" s="7" t="s">
        <v>481</v>
      </c>
      <c r="R162" s="166" t="b">
        <v>0</v>
      </c>
      <c r="S162" s="166">
        <v>3.0</v>
      </c>
      <c r="T162" s="7"/>
      <c r="U162" s="3"/>
      <c r="V162" s="13"/>
      <c r="W162" s="3"/>
      <c r="X162" s="166" t="b">
        <v>0</v>
      </c>
      <c r="Y162" s="7"/>
      <c r="Z162" s="13"/>
      <c r="AA162" s="7" t="b">
        <v>0</v>
      </c>
      <c r="AB162" s="7"/>
      <c r="AC162" s="257">
        <v>50.0</v>
      </c>
      <c r="AD162" s="166"/>
      <c r="AE162" s="258">
        <v>257.38333333333327</v>
      </c>
      <c r="AF162" s="7" t="b">
        <v>0</v>
      </c>
      <c r="AG162" s="7" t="b">
        <v>0</v>
      </c>
      <c r="AH162" s="166"/>
      <c r="AI162" s="13"/>
      <c r="AJ162" s="3"/>
      <c r="AK162" s="13" t="s">
        <v>228</v>
      </c>
      <c r="AL162" s="3"/>
      <c r="AM162" s="3" t="s">
        <v>322</v>
      </c>
      <c r="AN162" s="3" t="s">
        <v>329</v>
      </c>
      <c r="AO162" s="3" t="s">
        <v>482</v>
      </c>
      <c r="AP162" s="3" t="s">
        <v>482</v>
      </c>
      <c r="AQ162" s="3" t="s">
        <v>482</v>
      </c>
      <c r="AR162" s="3" t="s">
        <v>482</v>
      </c>
      <c r="AS162" s="98"/>
      <c r="AT162" s="98"/>
      <c r="AU162" s="98"/>
      <c r="AV162" s="98"/>
      <c r="AW162" s="98"/>
      <c r="AX162" s="98"/>
      <c r="AY162" s="98"/>
      <c r="AZ162" s="98"/>
    </row>
    <row r="163">
      <c r="A163" s="3" t="s">
        <v>461</v>
      </c>
      <c r="B163" s="36">
        <v>44725.0</v>
      </c>
      <c r="C163" s="91">
        <v>0.24435185185185185</v>
      </c>
      <c r="D163" s="13"/>
      <c r="E163" s="13"/>
      <c r="F163" s="3"/>
      <c r="G163" s="3"/>
      <c r="H163" s="3"/>
      <c r="I163" s="13"/>
      <c r="J163" s="13"/>
      <c r="K163" s="13" t="s">
        <v>228</v>
      </c>
      <c r="L163" s="36">
        <v>44725.0</v>
      </c>
      <c r="M163" s="91">
        <v>0.41224537037037035</v>
      </c>
      <c r="N163" s="3"/>
      <c r="O163" s="3"/>
      <c r="P163" s="7" t="b">
        <v>0</v>
      </c>
      <c r="Q163" s="7" t="s">
        <v>481</v>
      </c>
      <c r="R163" s="166" t="b">
        <v>1</v>
      </c>
      <c r="S163" s="166">
        <v>2.0</v>
      </c>
      <c r="T163" s="7"/>
      <c r="U163" s="3"/>
      <c r="V163" s="13"/>
      <c r="W163" s="3"/>
      <c r="X163" s="166" t="b">
        <v>0</v>
      </c>
      <c r="Y163" s="7"/>
      <c r="Z163" s="13"/>
      <c r="AA163" s="7" t="b">
        <v>0</v>
      </c>
      <c r="AB163" s="7"/>
      <c r="AC163" s="257">
        <v>54.0</v>
      </c>
      <c r="AD163" s="166"/>
      <c r="AE163" s="258">
        <v>241.76666666666662</v>
      </c>
      <c r="AF163" s="7" t="b">
        <v>0</v>
      </c>
      <c r="AG163" s="7" t="b">
        <v>0</v>
      </c>
      <c r="AH163" s="166"/>
      <c r="AI163" s="13"/>
      <c r="AJ163" s="3"/>
      <c r="AK163" s="13" t="s">
        <v>228</v>
      </c>
      <c r="AL163" s="3"/>
      <c r="AM163" s="3" t="s">
        <v>332</v>
      </c>
      <c r="AN163" s="3" t="s">
        <v>335</v>
      </c>
      <c r="AO163" s="3" t="s">
        <v>482</v>
      </c>
      <c r="AP163" s="3" t="s">
        <v>482</v>
      </c>
      <c r="AQ163" s="3" t="s">
        <v>482</v>
      </c>
      <c r="AR163" s="3" t="s">
        <v>482</v>
      </c>
      <c r="AS163" s="98"/>
      <c r="AT163" s="98"/>
      <c r="AU163" s="98"/>
      <c r="AV163" s="98"/>
      <c r="AW163" s="98"/>
      <c r="AX163" s="98"/>
      <c r="AY163" s="98"/>
      <c r="AZ163" s="98"/>
    </row>
    <row r="164">
      <c r="A164" s="3" t="s">
        <v>461</v>
      </c>
      <c r="B164" s="36">
        <v>44725.0</v>
      </c>
      <c r="C164" s="91">
        <v>0.24435185185185185</v>
      </c>
      <c r="D164" s="13"/>
      <c r="E164" s="13"/>
      <c r="F164" s="3"/>
      <c r="G164" s="3"/>
      <c r="H164" s="3"/>
      <c r="I164" s="13"/>
      <c r="J164" s="13"/>
      <c r="K164" s="13" t="s">
        <v>228</v>
      </c>
      <c r="L164" s="36">
        <v>44725.0</v>
      </c>
      <c r="M164" s="91">
        <v>0.41224537037037035</v>
      </c>
      <c r="N164" s="3"/>
      <c r="O164" s="3"/>
      <c r="P164" s="7" t="b">
        <v>0</v>
      </c>
      <c r="Q164" s="7" t="s">
        <v>481</v>
      </c>
      <c r="R164" s="166" t="b">
        <v>0</v>
      </c>
      <c r="S164" s="166">
        <v>2.0</v>
      </c>
      <c r="T164" s="7"/>
      <c r="U164" s="3"/>
      <c r="V164" s="13"/>
      <c r="W164" s="3"/>
      <c r="X164" s="166" t="b">
        <v>0</v>
      </c>
      <c r="Y164" s="7"/>
      <c r="Z164" s="13"/>
      <c r="AA164" s="7" t="b">
        <v>0</v>
      </c>
      <c r="AB164" s="7"/>
      <c r="AC164" s="257">
        <v>53.0</v>
      </c>
      <c r="AD164" s="166"/>
      <c r="AE164" s="258">
        <v>241.76666666666662</v>
      </c>
      <c r="AF164" s="7" t="b">
        <v>0</v>
      </c>
      <c r="AG164" s="7" t="b">
        <v>0</v>
      </c>
      <c r="AH164" s="166"/>
      <c r="AI164" s="13"/>
      <c r="AJ164" s="3"/>
      <c r="AK164" s="13" t="s">
        <v>228</v>
      </c>
      <c r="AL164" s="3"/>
      <c r="AM164" s="3" t="s">
        <v>332</v>
      </c>
      <c r="AN164" s="3" t="s">
        <v>339</v>
      </c>
      <c r="AO164" s="3" t="s">
        <v>482</v>
      </c>
      <c r="AP164" s="3" t="s">
        <v>482</v>
      </c>
      <c r="AQ164" s="3" t="s">
        <v>482</v>
      </c>
      <c r="AR164" s="3" t="s">
        <v>482</v>
      </c>
      <c r="AS164" s="98"/>
      <c r="AT164" s="98"/>
      <c r="AU164" s="98"/>
      <c r="AV164" s="98"/>
      <c r="AW164" s="98"/>
      <c r="AX164" s="98"/>
      <c r="AY164" s="98"/>
      <c r="AZ164" s="98"/>
    </row>
    <row r="165">
      <c r="A165" s="3" t="s">
        <v>462</v>
      </c>
      <c r="B165" s="36">
        <v>44733.0</v>
      </c>
      <c r="C165" s="91">
        <v>0.21247685185185186</v>
      </c>
      <c r="D165" s="13"/>
      <c r="E165" s="13"/>
      <c r="F165" s="3"/>
      <c r="G165" s="3"/>
      <c r="H165" s="3"/>
      <c r="I165" s="13"/>
      <c r="J165" s="13"/>
      <c r="K165" s="13" t="s">
        <v>228</v>
      </c>
      <c r="L165" s="36">
        <v>44733.0</v>
      </c>
      <c r="M165" s="91">
        <v>0.40434027777777776</v>
      </c>
      <c r="N165" s="3"/>
      <c r="O165" s="3"/>
      <c r="P165" s="7" t="b">
        <v>0</v>
      </c>
      <c r="Q165" s="7" t="s">
        <v>481</v>
      </c>
      <c r="R165" s="166" t="b">
        <v>1</v>
      </c>
      <c r="S165" s="166">
        <v>3.0</v>
      </c>
      <c r="T165" s="7"/>
      <c r="U165" s="3"/>
      <c r="V165" s="13"/>
      <c r="W165" s="3"/>
      <c r="X165" s="166" t="b">
        <v>0</v>
      </c>
      <c r="Y165" s="7"/>
      <c r="Z165" s="13"/>
      <c r="AA165" s="7" t="b">
        <v>0</v>
      </c>
      <c r="AB165" s="7"/>
      <c r="AC165" s="257">
        <v>33.0</v>
      </c>
      <c r="AD165" s="166"/>
      <c r="AE165" s="258">
        <v>276.2833333333333</v>
      </c>
      <c r="AF165" s="7" t="b">
        <v>0</v>
      </c>
      <c r="AG165" s="7" t="b">
        <v>0</v>
      </c>
      <c r="AH165" s="166"/>
      <c r="AI165" s="13"/>
      <c r="AJ165" s="3"/>
      <c r="AK165" s="13" t="s">
        <v>228</v>
      </c>
      <c r="AL165" s="3"/>
      <c r="AM165" s="3" t="s">
        <v>406</v>
      </c>
      <c r="AN165" s="3" t="s">
        <v>387</v>
      </c>
      <c r="AO165" s="3" t="s">
        <v>482</v>
      </c>
      <c r="AP165" s="3" t="s">
        <v>482</v>
      </c>
      <c r="AQ165" s="3" t="s">
        <v>482</v>
      </c>
      <c r="AR165" s="3" t="s">
        <v>482</v>
      </c>
      <c r="AS165" s="98"/>
      <c r="AT165" s="98"/>
      <c r="AU165" s="98"/>
      <c r="AV165" s="98"/>
      <c r="AW165" s="98"/>
      <c r="AX165" s="98"/>
      <c r="AY165" s="98"/>
      <c r="AZ165" s="98"/>
    </row>
    <row r="166">
      <c r="A166" s="3" t="s">
        <v>462</v>
      </c>
      <c r="B166" s="36">
        <v>44733.0</v>
      </c>
      <c r="C166" s="91">
        <v>0.21247685185185186</v>
      </c>
      <c r="D166" s="13"/>
      <c r="E166" s="13"/>
      <c r="F166" s="3"/>
      <c r="G166" s="3"/>
      <c r="H166" s="3"/>
      <c r="I166" s="13"/>
      <c r="J166" s="13"/>
      <c r="K166" s="13" t="s">
        <v>228</v>
      </c>
      <c r="L166" s="36">
        <v>44733.0</v>
      </c>
      <c r="M166" s="91">
        <v>0.40434027777777776</v>
      </c>
      <c r="N166" s="3"/>
      <c r="O166" s="3"/>
      <c r="P166" s="7" t="b">
        <v>0</v>
      </c>
      <c r="Q166" s="7" t="s">
        <v>481</v>
      </c>
      <c r="R166" s="166" t="b">
        <v>0</v>
      </c>
      <c r="S166" s="166">
        <v>3.0</v>
      </c>
      <c r="T166" s="7"/>
      <c r="U166" s="3"/>
      <c r="V166" s="13"/>
      <c r="W166" s="3"/>
      <c r="X166" s="166" t="b">
        <v>0</v>
      </c>
      <c r="Y166" s="7"/>
      <c r="Z166" s="13"/>
      <c r="AA166" s="7" t="b">
        <v>0</v>
      </c>
      <c r="AB166" s="7"/>
      <c r="AC166" s="257">
        <v>34.0</v>
      </c>
      <c r="AD166" s="166"/>
      <c r="AE166" s="258">
        <v>276.2833333333333</v>
      </c>
      <c r="AF166" s="7" t="b">
        <v>0</v>
      </c>
      <c r="AG166" s="7" t="b">
        <v>0</v>
      </c>
      <c r="AH166" s="166"/>
      <c r="AI166" s="13"/>
      <c r="AJ166" s="3"/>
      <c r="AK166" s="13" t="s">
        <v>228</v>
      </c>
      <c r="AL166" s="3"/>
      <c r="AM166" s="3" t="s">
        <v>406</v>
      </c>
      <c r="AN166" s="3" t="s">
        <v>407</v>
      </c>
      <c r="AO166" s="3" t="s">
        <v>482</v>
      </c>
      <c r="AP166" s="3" t="s">
        <v>482</v>
      </c>
      <c r="AQ166" s="3" t="s">
        <v>482</v>
      </c>
      <c r="AR166" s="3" t="s">
        <v>482</v>
      </c>
      <c r="AS166" s="98"/>
      <c r="AT166" s="98"/>
      <c r="AU166" s="98"/>
      <c r="AV166" s="98"/>
      <c r="AW166" s="98"/>
      <c r="AX166" s="98"/>
      <c r="AY166" s="98"/>
      <c r="AZ166" s="98"/>
    </row>
    <row r="167">
      <c r="A167" s="3" t="s">
        <v>462</v>
      </c>
      <c r="B167" s="36">
        <v>44733.0</v>
      </c>
      <c r="C167" s="91">
        <v>0.21247685185185186</v>
      </c>
      <c r="D167" s="13"/>
      <c r="E167" s="13"/>
      <c r="F167" s="3"/>
      <c r="G167" s="3"/>
      <c r="H167" s="3"/>
      <c r="I167" s="13"/>
      <c r="J167" s="13"/>
      <c r="K167" s="13" t="s">
        <v>228</v>
      </c>
      <c r="L167" s="36">
        <v>44733.0</v>
      </c>
      <c r="M167" s="91">
        <v>0.40434027777777776</v>
      </c>
      <c r="N167" s="3"/>
      <c r="O167" s="3"/>
      <c r="P167" s="7" t="b">
        <v>0</v>
      </c>
      <c r="Q167" s="7" t="s">
        <v>481</v>
      </c>
      <c r="R167" s="166" t="b">
        <v>0</v>
      </c>
      <c r="S167" s="166">
        <v>3.0</v>
      </c>
      <c r="T167" s="7"/>
      <c r="U167" s="3"/>
      <c r="V167" s="13"/>
      <c r="W167" s="3"/>
      <c r="X167" s="166" t="b">
        <v>0</v>
      </c>
      <c r="Y167" s="7"/>
      <c r="Z167" s="13"/>
      <c r="AA167" s="7" t="b">
        <v>0</v>
      </c>
      <c r="AB167" s="7"/>
      <c r="AC167" s="257">
        <v>32.0</v>
      </c>
      <c r="AD167" s="166"/>
      <c r="AE167" s="258">
        <v>276.2833333333333</v>
      </c>
      <c r="AF167" s="7" t="b">
        <v>0</v>
      </c>
      <c r="AG167" s="7" t="b">
        <v>0</v>
      </c>
      <c r="AH167" s="166"/>
      <c r="AI167" s="13"/>
      <c r="AJ167" s="3"/>
      <c r="AK167" s="13" t="s">
        <v>228</v>
      </c>
      <c r="AL167" s="3"/>
      <c r="AM167" s="3" t="s">
        <v>406</v>
      </c>
      <c r="AN167" s="3" t="s">
        <v>386</v>
      </c>
      <c r="AO167" s="3" t="s">
        <v>482</v>
      </c>
      <c r="AP167" s="3" t="s">
        <v>482</v>
      </c>
      <c r="AQ167" s="3" t="s">
        <v>482</v>
      </c>
      <c r="AR167" s="3" t="s">
        <v>482</v>
      </c>
      <c r="AS167" s="98"/>
      <c r="AT167" s="98"/>
      <c r="AU167" s="98"/>
      <c r="AV167" s="98"/>
      <c r="AW167" s="98"/>
      <c r="AX167" s="98"/>
      <c r="AY167" s="98"/>
      <c r="AZ167" s="98"/>
    </row>
    <row r="168">
      <c r="A168" s="3" t="s">
        <v>463</v>
      </c>
      <c r="B168" s="36">
        <v>44733.0</v>
      </c>
      <c r="C168" s="91">
        <v>0.3403935185185185</v>
      </c>
      <c r="D168" s="13"/>
      <c r="E168" s="13"/>
      <c r="F168" s="3"/>
      <c r="G168" s="3"/>
      <c r="H168" s="3"/>
      <c r="I168" s="13"/>
      <c r="J168" s="13"/>
      <c r="K168" s="13" t="s">
        <v>228</v>
      </c>
      <c r="L168" s="36">
        <v>44733.0</v>
      </c>
      <c r="M168" s="91">
        <v>0.40434027777777776</v>
      </c>
      <c r="N168" s="3"/>
      <c r="O168" s="3"/>
      <c r="P168" s="7" t="b">
        <v>0</v>
      </c>
      <c r="Q168" s="7" t="s">
        <v>481</v>
      </c>
      <c r="R168" s="166" t="b">
        <v>1</v>
      </c>
      <c r="S168" s="166">
        <v>1.0</v>
      </c>
      <c r="T168" s="7">
        <v>0.0</v>
      </c>
      <c r="U168" s="3"/>
      <c r="V168" s="13"/>
      <c r="W168" s="3"/>
      <c r="X168" s="166" t="b">
        <v>0</v>
      </c>
      <c r="Y168" s="7"/>
      <c r="Z168" s="13"/>
      <c r="AA168" s="7" t="b">
        <v>0</v>
      </c>
      <c r="AB168" s="7"/>
      <c r="AC168" s="257">
        <v>35.0</v>
      </c>
      <c r="AD168" s="166"/>
      <c r="AE168" s="258">
        <v>92.08333333333331</v>
      </c>
      <c r="AF168" s="7" t="b">
        <v>0</v>
      </c>
      <c r="AG168" s="7" t="b">
        <v>0</v>
      </c>
      <c r="AH168" s="166"/>
      <c r="AI168" s="13"/>
      <c r="AJ168" s="3"/>
      <c r="AK168" s="13" t="s">
        <v>228</v>
      </c>
      <c r="AL168" s="3"/>
      <c r="AM168" s="3" t="s">
        <v>365</v>
      </c>
      <c r="AN168" s="3" t="s">
        <v>464</v>
      </c>
      <c r="AO168" s="3" t="s">
        <v>482</v>
      </c>
      <c r="AP168" s="3" t="s">
        <v>482</v>
      </c>
      <c r="AQ168" s="3" t="s">
        <v>482</v>
      </c>
      <c r="AR168" s="3" t="s">
        <v>482</v>
      </c>
      <c r="AS168" s="98"/>
      <c r="AT168" s="98"/>
      <c r="AU168" s="98"/>
      <c r="AV168" s="98"/>
      <c r="AW168" s="98"/>
      <c r="AX168" s="98"/>
      <c r="AY168" s="98"/>
      <c r="AZ168" s="98"/>
    </row>
    <row r="169">
      <c r="A169" s="3" t="s">
        <v>467</v>
      </c>
      <c r="B169" s="36">
        <v>44739.0</v>
      </c>
      <c r="C169" s="91">
        <v>0.22328703703703703</v>
      </c>
      <c r="D169" s="13"/>
      <c r="E169" s="13"/>
      <c r="F169" s="3"/>
      <c r="G169" s="3"/>
      <c r="H169" s="3"/>
      <c r="I169" s="13"/>
      <c r="J169" s="13"/>
      <c r="K169" s="13" t="s">
        <v>228</v>
      </c>
      <c r="L169" s="36">
        <v>44739.0</v>
      </c>
      <c r="M169" s="91">
        <v>0.3771875</v>
      </c>
      <c r="N169" s="3"/>
      <c r="O169" s="3"/>
      <c r="P169" s="7" t="b">
        <v>0</v>
      </c>
      <c r="Q169" s="7" t="s">
        <v>481</v>
      </c>
      <c r="R169" s="166" t="b">
        <v>1</v>
      </c>
      <c r="S169" s="166">
        <v>3.0</v>
      </c>
      <c r="T169" s="7"/>
      <c r="U169" s="3"/>
      <c r="V169" s="13"/>
      <c r="W169" s="3"/>
      <c r="X169" s="166" t="b">
        <v>0</v>
      </c>
      <c r="Y169" s="7"/>
      <c r="Z169" s="13"/>
      <c r="AA169" s="7" t="b">
        <v>0</v>
      </c>
      <c r="AB169" s="7"/>
      <c r="AC169" s="257">
        <v>30.0</v>
      </c>
      <c r="AD169" s="166"/>
      <c r="AE169" s="258">
        <v>221.61666666666667</v>
      </c>
      <c r="AF169" s="7" t="b">
        <v>0</v>
      </c>
      <c r="AG169" s="7" t="b">
        <v>0</v>
      </c>
      <c r="AH169" s="166"/>
      <c r="AI169" s="13"/>
      <c r="AJ169" s="3"/>
      <c r="AK169" s="13" t="s">
        <v>228</v>
      </c>
      <c r="AL169" s="3"/>
      <c r="AM169" s="3" t="s">
        <v>406</v>
      </c>
      <c r="AN169" s="3" t="s">
        <v>387</v>
      </c>
      <c r="AO169" s="3" t="s">
        <v>482</v>
      </c>
      <c r="AP169" s="3" t="s">
        <v>482</v>
      </c>
      <c r="AQ169" s="3" t="s">
        <v>482</v>
      </c>
      <c r="AR169" s="3" t="s">
        <v>482</v>
      </c>
      <c r="AS169" s="98"/>
      <c r="AT169" s="98"/>
      <c r="AU169" s="98"/>
      <c r="AV169" s="98"/>
      <c r="AW169" s="98"/>
      <c r="AX169" s="98"/>
      <c r="AY169" s="98"/>
      <c r="AZ169" s="98"/>
    </row>
    <row r="170">
      <c r="A170" s="3" t="s">
        <v>467</v>
      </c>
      <c r="B170" s="36">
        <v>44739.0</v>
      </c>
      <c r="C170" s="91">
        <v>0.22328703703703703</v>
      </c>
      <c r="D170" s="13"/>
      <c r="E170" s="13"/>
      <c r="F170" s="3"/>
      <c r="G170" s="3"/>
      <c r="H170" s="3"/>
      <c r="I170" s="13"/>
      <c r="J170" s="13"/>
      <c r="K170" s="13" t="s">
        <v>228</v>
      </c>
      <c r="L170" s="36">
        <v>44739.0</v>
      </c>
      <c r="M170" s="91">
        <v>0.3771875</v>
      </c>
      <c r="N170" s="3"/>
      <c r="O170" s="3"/>
      <c r="P170" s="7" t="b">
        <v>0</v>
      </c>
      <c r="Q170" s="7" t="s">
        <v>481</v>
      </c>
      <c r="R170" s="166" t="b">
        <v>0</v>
      </c>
      <c r="S170" s="166">
        <v>3.0</v>
      </c>
      <c r="T170" s="7"/>
      <c r="U170" s="3"/>
      <c r="V170" s="13"/>
      <c r="W170" s="3"/>
      <c r="X170" s="166" t="b">
        <v>0</v>
      </c>
      <c r="Y170" s="7"/>
      <c r="Z170" s="13"/>
      <c r="AA170" s="7" t="b">
        <v>0</v>
      </c>
      <c r="AB170" s="7"/>
      <c r="AC170" s="257">
        <v>28.0</v>
      </c>
      <c r="AD170" s="166"/>
      <c r="AE170" s="258">
        <v>221.61666666666667</v>
      </c>
      <c r="AF170" s="7" t="b">
        <v>0</v>
      </c>
      <c r="AG170" s="7" t="b">
        <v>0</v>
      </c>
      <c r="AH170" s="166"/>
      <c r="AI170" s="13"/>
      <c r="AJ170" s="3"/>
      <c r="AK170" s="13" t="s">
        <v>228</v>
      </c>
      <c r="AL170" s="3"/>
      <c r="AM170" s="3" t="s">
        <v>406</v>
      </c>
      <c r="AN170" s="3" t="s">
        <v>407</v>
      </c>
      <c r="AO170" s="3" t="s">
        <v>482</v>
      </c>
      <c r="AP170" s="3" t="s">
        <v>482</v>
      </c>
      <c r="AQ170" s="3" t="s">
        <v>482</v>
      </c>
      <c r="AR170" s="3" t="s">
        <v>482</v>
      </c>
      <c r="AS170" s="98"/>
      <c r="AT170" s="98"/>
      <c r="AU170" s="98"/>
      <c r="AV170" s="98"/>
      <c r="AW170" s="98"/>
      <c r="AX170" s="98"/>
      <c r="AY170" s="98"/>
      <c r="AZ170" s="98"/>
    </row>
    <row r="171">
      <c r="A171" s="3" t="s">
        <v>467</v>
      </c>
      <c r="B171" s="36">
        <v>44739.0</v>
      </c>
      <c r="C171" s="91">
        <v>0.22328703703703703</v>
      </c>
      <c r="D171" s="13"/>
      <c r="E171" s="13"/>
      <c r="F171" s="3"/>
      <c r="G171" s="3"/>
      <c r="H171" s="3"/>
      <c r="I171" s="13"/>
      <c r="J171" s="13"/>
      <c r="K171" s="13" t="s">
        <v>228</v>
      </c>
      <c r="L171" s="36">
        <v>44739.0</v>
      </c>
      <c r="M171" s="91">
        <v>0.3771875</v>
      </c>
      <c r="N171" s="3"/>
      <c r="O171" s="3"/>
      <c r="P171" s="7" t="b">
        <v>0</v>
      </c>
      <c r="Q171" s="7" t="s">
        <v>481</v>
      </c>
      <c r="R171" s="166" t="b">
        <v>0</v>
      </c>
      <c r="S171" s="166">
        <v>3.0</v>
      </c>
      <c r="T171" s="7"/>
      <c r="U171" s="3"/>
      <c r="V171" s="13"/>
      <c r="W171" s="3"/>
      <c r="X171" s="166" t="b">
        <v>0</v>
      </c>
      <c r="Y171" s="7"/>
      <c r="Z171" s="13"/>
      <c r="AA171" s="7" t="b">
        <v>0</v>
      </c>
      <c r="AB171" s="7"/>
      <c r="AC171" s="257">
        <v>29.0</v>
      </c>
      <c r="AD171" s="166"/>
      <c r="AE171" s="258">
        <v>221.61666666666667</v>
      </c>
      <c r="AF171" s="7" t="b">
        <v>0</v>
      </c>
      <c r="AG171" s="7" t="b">
        <v>0</v>
      </c>
      <c r="AH171" s="166"/>
      <c r="AI171" s="13"/>
      <c r="AJ171" s="3"/>
      <c r="AK171" s="13" t="s">
        <v>228</v>
      </c>
      <c r="AL171" s="3"/>
      <c r="AM171" s="3" t="s">
        <v>406</v>
      </c>
      <c r="AN171" s="3" t="s">
        <v>386</v>
      </c>
      <c r="AO171" s="3" t="s">
        <v>482</v>
      </c>
      <c r="AP171" s="3" t="s">
        <v>482</v>
      </c>
      <c r="AQ171" s="3" t="s">
        <v>482</v>
      </c>
      <c r="AR171" s="3" t="s">
        <v>482</v>
      </c>
      <c r="AS171" s="98"/>
      <c r="AT171" s="98"/>
      <c r="AU171" s="98"/>
      <c r="AV171" s="98"/>
      <c r="AW171" s="98"/>
      <c r="AX171" s="98"/>
      <c r="AY171" s="98"/>
      <c r="AZ171" s="98"/>
    </row>
    <row r="172">
      <c r="A172" s="3" t="s">
        <v>469</v>
      </c>
      <c r="B172" s="36">
        <v>44753.0</v>
      </c>
      <c r="C172" s="91">
        <v>0.2527199074074074</v>
      </c>
      <c r="D172" s="13"/>
      <c r="E172" s="13"/>
      <c r="F172" s="3"/>
      <c r="G172" s="3"/>
      <c r="H172" s="3"/>
      <c r="I172" s="13"/>
      <c r="J172" s="13"/>
      <c r="K172" s="13" t="s">
        <v>228</v>
      </c>
      <c r="L172" s="36">
        <v>44753.0</v>
      </c>
      <c r="M172" s="91">
        <v>0.3984027777777778</v>
      </c>
      <c r="N172" s="3"/>
      <c r="O172" s="3"/>
      <c r="P172" s="7" t="b">
        <v>0</v>
      </c>
      <c r="Q172" s="7" t="s">
        <v>481</v>
      </c>
      <c r="R172" s="166" t="b">
        <v>1</v>
      </c>
      <c r="S172" s="166">
        <v>2.0</v>
      </c>
      <c r="T172" s="7"/>
      <c r="U172" s="3"/>
      <c r="V172" s="13"/>
      <c r="W172" s="3"/>
      <c r="X172" s="166" t="b">
        <v>0</v>
      </c>
      <c r="Y172" s="7"/>
      <c r="Z172" s="13"/>
      <c r="AA172" s="7" t="b">
        <v>0</v>
      </c>
      <c r="AB172" s="7"/>
      <c r="AC172" s="257">
        <v>22.0</v>
      </c>
      <c r="AD172" s="166"/>
      <c r="AE172" s="258">
        <v>209.78333333333333</v>
      </c>
      <c r="AF172" s="7" t="b">
        <v>0</v>
      </c>
      <c r="AG172" s="7" t="b">
        <v>0</v>
      </c>
      <c r="AH172" s="166"/>
      <c r="AI172" s="13"/>
      <c r="AJ172" s="3"/>
      <c r="AK172" s="13" t="s">
        <v>228</v>
      </c>
      <c r="AL172" s="3"/>
      <c r="AM172" s="3" t="s">
        <v>332</v>
      </c>
      <c r="AN172" s="3" t="s">
        <v>335</v>
      </c>
      <c r="AO172" s="3" t="s">
        <v>482</v>
      </c>
      <c r="AP172" s="3" t="s">
        <v>482</v>
      </c>
      <c r="AQ172" s="3" t="s">
        <v>482</v>
      </c>
      <c r="AR172" s="3" t="s">
        <v>482</v>
      </c>
      <c r="AS172" s="98"/>
      <c r="AT172" s="98"/>
      <c r="AU172" s="98"/>
      <c r="AV172" s="98"/>
      <c r="AW172" s="98"/>
      <c r="AX172" s="98"/>
      <c r="AY172" s="98"/>
      <c r="AZ172" s="98"/>
    </row>
    <row r="173">
      <c r="A173" s="3" t="s">
        <v>469</v>
      </c>
      <c r="B173" s="36">
        <v>44753.0</v>
      </c>
      <c r="C173" s="91">
        <v>0.2527199074074074</v>
      </c>
      <c r="D173" s="13"/>
      <c r="E173" s="13"/>
      <c r="F173" s="3"/>
      <c r="G173" s="3"/>
      <c r="H173" s="3"/>
      <c r="I173" s="13"/>
      <c r="J173" s="13"/>
      <c r="K173" s="13" t="s">
        <v>228</v>
      </c>
      <c r="L173" s="36">
        <v>44753.0</v>
      </c>
      <c r="M173" s="91">
        <v>0.3984027777777778</v>
      </c>
      <c r="N173" s="3"/>
      <c r="O173" s="3"/>
      <c r="P173" s="7" t="b">
        <v>0</v>
      </c>
      <c r="Q173" s="7" t="s">
        <v>481</v>
      </c>
      <c r="R173" s="166" t="b">
        <v>0</v>
      </c>
      <c r="S173" s="166">
        <v>2.0</v>
      </c>
      <c r="T173" s="7"/>
      <c r="U173" s="3"/>
      <c r="V173" s="13"/>
      <c r="W173" s="3"/>
      <c r="X173" s="166" t="b">
        <v>0</v>
      </c>
      <c r="Y173" s="7"/>
      <c r="Z173" s="13"/>
      <c r="AA173" s="7" t="b">
        <v>0</v>
      </c>
      <c r="AB173" s="7"/>
      <c r="AC173" s="257">
        <v>23.0</v>
      </c>
      <c r="AD173" s="166"/>
      <c r="AE173" s="258">
        <v>209.78333333333333</v>
      </c>
      <c r="AF173" s="7" t="b">
        <v>0</v>
      </c>
      <c r="AG173" s="7" t="b">
        <v>0</v>
      </c>
      <c r="AH173" s="166"/>
      <c r="AI173" s="13"/>
      <c r="AJ173" s="3"/>
      <c r="AK173" s="13" t="s">
        <v>228</v>
      </c>
      <c r="AL173" s="3"/>
      <c r="AM173" s="3" t="s">
        <v>332</v>
      </c>
      <c r="AN173" s="3" t="s">
        <v>339</v>
      </c>
      <c r="AO173" s="3" t="s">
        <v>482</v>
      </c>
      <c r="AP173" s="3" t="s">
        <v>482</v>
      </c>
      <c r="AQ173" s="3" t="s">
        <v>482</v>
      </c>
      <c r="AR173" s="3" t="s">
        <v>482</v>
      </c>
      <c r="AS173" s="98"/>
      <c r="AT173" s="98"/>
      <c r="AU173" s="98"/>
      <c r="AV173" s="98"/>
      <c r="AW173" s="98"/>
      <c r="AX173" s="98"/>
      <c r="AY173" s="98"/>
      <c r="AZ173" s="98"/>
    </row>
    <row r="174">
      <c r="A174" s="3" t="s">
        <v>471</v>
      </c>
      <c r="B174" s="36">
        <v>44760.0</v>
      </c>
      <c r="C174" s="91">
        <v>0.3808796296296296</v>
      </c>
      <c r="D174" s="13"/>
      <c r="E174" s="13"/>
      <c r="F174" s="3"/>
      <c r="G174" s="3"/>
      <c r="H174" s="3"/>
      <c r="I174" s="13"/>
      <c r="J174" s="13"/>
      <c r="K174" s="13" t="s">
        <v>228</v>
      </c>
      <c r="L174" s="36">
        <v>44760.0</v>
      </c>
      <c r="M174" s="91">
        <v>0.42091435185185183</v>
      </c>
      <c r="N174" s="3"/>
      <c r="O174" s="3"/>
      <c r="P174" s="7" t="b">
        <v>0</v>
      </c>
      <c r="Q174" s="7" t="s">
        <v>481</v>
      </c>
      <c r="R174" s="166" t="b">
        <v>1</v>
      </c>
      <c r="S174" s="166">
        <v>2.0</v>
      </c>
      <c r="T174" s="7"/>
      <c r="U174" s="3"/>
      <c r="V174" s="13"/>
      <c r="W174" s="3"/>
      <c r="X174" s="166" t="b">
        <v>0</v>
      </c>
      <c r="Y174" s="7"/>
      <c r="Z174" s="13"/>
      <c r="AA174" s="7" t="b">
        <v>0</v>
      </c>
      <c r="AB174" s="7"/>
      <c r="AC174" s="257">
        <v>21.0</v>
      </c>
      <c r="AD174" s="166"/>
      <c r="AE174" s="258">
        <v>57.64999999999998</v>
      </c>
      <c r="AF174" s="7" t="b">
        <v>0</v>
      </c>
      <c r="AG174" s="7" t="b">
        <v>0</v>
      </c>
      <c r="AH174" s="166"/>
      <c r="AI174" s="13"/>
      <c r="AJ174" s="3"/>
      <c r="AK174" s="13" t="s">
        <v>228</v>
      </c>
      <c r="AL174" s="3"/>
      <c r="AM174" s="3" t="s">
        <v>365</v>
      </c>
      <c r="AN174" s="3" t="s">
        <v>472</v>
      </c>
      <c r="AO174" s="3" t="s">
        <v>482</v>
      </c>
      <c r="AP174" s="3" t="s">
        <v>482</v>
      </c>
      <c r="AQ174" s="3" t="s">
        <v>482</v>
      </c>
      <c r="AR174" s="3" t="s">
        <v>482</v>
      </c>
      <c r="AS174" s="98"/>
      <c r="AT174" s="98"/>
      <c r="AU174" s="98"/>
      <c r="AV174" s="98"/>
      <c r="AW174" s="98"/>
      <c r="AX174" s="98"/>
      <c r="AY174" s="98"/>
      <c r="AZ174" s="98"/>
    </row>
    <row r="175">
      <c r="A175" s="3" t="s">
        <v>471</v>
      </c>
      <c r="B175" s="36">
        <v>44760.0</v>
      </c>
      <c r="C175" s="91">
        <v>0.3808796296296296</v>
      </c>
      <c r="D175" s="13"/>
      <c r="E175" s="13"/>
      <c r="F175" s="3"/>
      <c r="G175" s="3"/>
      <c r="H175" s="3"/>
      <c r="I175" s="13"/>
      <c r="J175" s="13"/>
      <c r="K175" s="13" t="s">
        <v>228</v>
      </c>
      <c r="L175" s="36">
        <v>44760.0</v>
      </c>
      <c r="M175" s="91">
        <v>0.42091435185185183</v>
      </c>
      <c r="N175" s="3"/>
      <c r="O175" s="3"/>
      <c r="P175" s="7" t="b">
        <v>0</v>
      </c>
      <c r="Q175" s="7" t="s">
        <v>481</v>
      </c>
      <c r="R175" s="166" t="b">
        <v>0</v>
      </c>
      <c r="S175" s="166">
        <v>2.0</v>
      </c>
      <c r="T175" s="7"/>
      <c r="U175" s="3"/>
      <c r="V175" s="13"/>
      <c r="W175" s="3"/>
      <c r="X175" s="166" t="b">
        <v>0</v>
      </c>
      <c r="Y175" s="7"/>
      <c r="Z175" s="13"/>
      <c r="AA175" s="7" t="b">
        <v>0</v>
      </c>
      <c r="AB175" s="7"/>
      <c r="AC175" s="257">
        <v>20.0</v>
      </c>
      <c r="AD175" s="166"/>
      <c r="AE175" s="258">
        <v>57.64999999999998</v>
      </c>
      <c r="AF175" s="7" t="b">
        <v>0</v>
      </c>
      <c r="AG175" s="7" t="b">
        <v>0</v>
      </c>
      <c r="AH175" s="166"/>
      <c r="AI175" s="13"/>
      <c r="AJ175" s="3"/>
      <c r="AK175" s="13" t="s">
        <v>228</v>
      </c>
      <c r="AL175" s="3"/>
      <c r="AM175" s="3" t="s">
        <v>365</v>
      </c>
      <c r="AN175" s="3" t="s">
        <v>473</v>
      </c>
      <c r="AO175" s="3" t="s">
        <v>482</v>
      </c>
      <c r="AP175" s="3" t="s">
        <v>482</v>
      </c>
      <c r="AQ175" s="3" t="s">
        <v>482</v>
      </c>
      <c r="AR175" s="3" t="s">
        <v>482</v>
      </c>
      <c r="AS175" s="98"/>
      <c r="AT175" s="98"/>
      <c r="AU175" s="98"/>
      <c r="AV175" s="98"/>
      <c r="AW175" s="98"/>
      <c r="AX175" s="98"/>
      <c r="AY175" s="98"/>
      <c r="AZ175" s="98"/>
    </row>
    <row r="176">
      <c r="A176" s="3" t="s">
        <v>474</v>
      </c>
      <c r="B176" s="36">
        <v>44767.0</v>
      </c>
      <c r="C176" s="91">
        <v>0.20652777777777778</v>
      </c>
      <c r="D176" s="13"/>
      <c r="E176" s="13"/>
      <c r="F176" s="3"/>
      <c r="G176" s="3"/>
      <c r="H176" s="3"/>
      <c r="I176" s="13"/>
      <c r="J176" s="13"/>
      <c r="K176" s="13" t="s">
        <v>228</v>
      </c>
      <c r="L176" s="36">
        <v>44767.0</v>
      </c>
      <c r="M176" s="91">
        <v>0.43292824074074077</v>
      </c>
      <c r="N176" s="3"/>
      <c r="O176" s="3"/>
      <c r="P176" s="7" t="b">
        <v>0</v>
      </c>
      <c r="Q176" s="7" t="s">
        <v>481</v>
      </c>
      <c r="R176" s="166" t="b">
        <v>1</v>
      </c>
      <c r="S176" s="166">
        <v>3.0</v>
      </c>
      <c r="T176" s="7"/>
      <c r="U176" s="3"/>
      <c r="V176" s="13"/>
      <c r="W176" s="3"/>
      <c r="X176" s="166" t="b">
        <v>0</v>
      </c>
      <c r="Y176" s="7"/>
      <c r="Z176" s="13"/>
      <c r="AA176" s="7" t="b">
        <v>0</v>
      </c>
      <c r="AB176" s="7"/>
      <c r="AC176" s="257">
        <v>12.0</v>
      </c>
      <c r="AD176" s="166"/>
      <c r="AE176" s="258">
        <v>326.0166666666667</v>
      </c>
      <c r="AF176" s="7" t="b">
        <v>0</v>
      </c>
      <c r="AG176" s="7" t="b">
        <v>0</v>
      </c>
      <c r="AH176" s="166"/>
      <c r="AI176" s="13"/>
      <c r="AJ176" s="3"/>
      <c r="AK176" s="13" t="s">
        <v>228</v>
      </c>
      <c r="AL176" s="3"/>
      <c r="AM176" s="3" t="s">
        <v>406</v>
      </c>
      <c r="AN176" s="3" t="s">
        <v>387</v>
      </c>
      <c r="AO176" s="3" t="s">
        <v>482</v>
      </c>
      <c r="AP176" s="3" t="s">
        <v>482</v>
      </c>
      <c r="AQ176" s="3" t="s">
        <v>482</v>
      </c>
      <c r="AR176" s="3" t="s">
        <v>482</v>
      </c>
      <c r="AS176" s="98"/>
      <c r="AT176" s="98"/>
      <c r="AU176" s="98"/>
      <c r="AV176" s="98"/>
      <c r="AW176" s="98"/>
      <c r="AX176" s="98"/>
      <c r="AY176" s="98"/>
      <c r="AZ176" s="98"/>
    </row>
    <row r="177">
      <c r="A177" s="3" t="s">
        <v>474</v>
      </c>
      <c r="B177" s="36">
        <v>44767.0</v>
      </c>
      <c r="C177" s="91">
        <v>0.20652777777777778</v>
      </c>
      <c r="D177" s="13"/>
      <c r="E177" s="13"/>
      <c r="F177" s="3"/>
      <c r="G177" s="3"/>
      <c r="H177" s="3"/>
      <c r="I177" s="13"/>
      <c r="J177" s="13"/>
      <c r="K177" s="13" t="s">
        <v>228</v>
      </c>
      <c r="L177" s="36">
        <v>44767.0</v>
      </c>
      <c r="M177" s="91">
        <v>0.43292824074074077</v>
      </c>
      <c r="N177" s="3"/>
      <c r="O177" s="3"/>
      <c r="P177" s="7" t="b">
        <v>0</v>
      </c>
      <c r="Q177" s="7" t="s">
        <v>481</v>
      </c>
      <c r="R177" s="166" t="b">
        <v>0</v>
      </c>
      <c r="S177" s="166">
        <v>3.0</v>
      </c>
      <c r="T177" s="7"/>
      <c r="U177" s="3"/>
      <c r="V177" s="13"/>
      <c r="W177" s="3"/>
      <c r="X177" s="166" t="b">
        <v>0</v>
      </c>
      <c r="Y177" s="7"/>
      <c r="Z177" s="13"/>
      <c r="AA177" s="7" t="b">
        <v>0</v>
      </c>
      <c r="AB177" s="7"/>
      <c r="AC177" s="257">
        <v>13.0</v>
      </c>
      <c r="AD177" s="166"/>
      <c r="AE177" s="258">
        <v>326.0166666666667</v>
      </c>
      <c r="AF177" s="7" t="b">
        <v>0</v>
      </c>
      <c r="AG177" s="7" t="b">
        <v>0</v>
      </c>
      <c r="AH177" s="166"/>
      <c r="AI177" s="13"/>
      <c r="AJ177" s="3"/>
      <c r="AK177" s="13" t="s">
        <v>228</v>
      </c>
      <c r="AL177" s="3"/>
      <c r="AM177" s="3" t="s">
        <v>406</v>
      </c>
      <c r="AN177" s="3" t="s">
        <v>407</v>
      </c>
      <c r="AO177" s="3" t="s">
        <v>482</v>
      </c>
      <c r="AP177" s="3" t="s">
        <v>482</v>
      </c>
      <c r="AQ177" s="3" t="s">
        <v>482</v>
      </c>
      <c r="AR177" s="3" t="s">
        <v>482</v>
      </c>
      <c r="AS177" s="98"/>
      <c r="AT177" s="98"/>
      <c r="AU177" s="98"/>
      <c r="AV177" s="98"/>
      <c r="AW177" s="98"/>
      <c r="AX177" s="98"/>
      <c r="AY177" s="98"/>
      <c r="AZ177" s="98"/>
    </row>
    <row r="178">
      <c r="A178" s="3" t="s">
        <v>474</v>
      </c>
      <c r="B178" s="36">
        <v>44767.0</v>
      </c>
      <c r="C178" s="91">
        <v>0.20652777777777778</v>
      </c>
      <c r="D178" s="13"/>
      <c r="E178" s="13"/>
      <c r="F178" s="3"/>
      <c r="G178" s="3"/>
      <c r="H178" s="3"/>
      <c r="I178" s="13"/>
      <c r="J178" s="13"/>
      <c r="K178" s="13" t="s">
        <v>228</v>
      </c>
      <c r="L178" s="36">
        <v>44767.0</v>
      </c>
      <c r="M178" s="91">
        <v>0.43292824074074077</v>
      </c>
      <c r="N178" s="3"/>
      <c r="O178" s="3"/>
      <c r="P178" s="7" t="b">
        <v>0</v>
      </c>
      <c r="Q178" s="7" t="s">
        <v>481</v>
      </c>
      <c r="R178" s="166" t="b">
        <v>0</v>
      </c>
      <c r="S178" s="166">
        <v>3.0</v>
      </c>
      <c r="T178" s="7"/>
      <c r="U178" s="3"/>
      <c r="V178" s="13"/>
      <c r="W178" s="3"/>
      <c r="X178" s="166" t="b">
        <v>0</v>
      </c>
      <c r="Y178" s="7"/>
      <c r="Z178" s="13"/>
      <c r="AA178" s="7" t="b">
        <v>0</v>
      </c>
      <c r="AB178" s="7"/>
      <c r="AC178" s="257">
        <v>11.0</v>
      </c>
      <c r="AD178" s="166"/>
      <c r="AE178" s="258">
        <v>326.0166666666667</v>
      </c>
      <c r="AF178" s="7" t="b">
        <v>0</v>
      </c>
      <c r="AG178" s="7" t="b">
        <v>0</v>
      </c>
      <c r="AH178" s="166"/>
      <c r="AI178" s="13"/>
      <c r="AJ178" s="3"/>
      <c r="AK178" s="13" t="s">
        <v>228</v>
      </c>
      <c r="AL178" s="3"/>
      <c r="AM178" s="3" t="s">
        <v>406</v>
      </c>
      <c r="AN178" s="3" t="s">
        <v>386</v>
      </c>
      <c r="AO178" s="3" t="s">
        <v>482</v>
      </c>
      <c r="AP178" s="3" t="s">
        <v>482</v>
      </c>
      <c r="AQ178" s="3" t="s">
        <v>482</v>
      </c>
      <c r="AR178" s="3" t="s">
        <v>482</v>
      </c>
      <c r="AS178" s="98"/>
      <c r="AT178" s="98"/>
      <c r="AU178" s="98"/>
      <c r="AV178" s="98"/>
      <c r="AW178" s="98"/>
      <c r="AX178" s="98"/>
      <c r="AY178" s="98"/>
      <c r="AZ178" s="98"/>
    </row>
    <row r="179">
      <c r="A179" s="3" t="s">
        <v>475</v>
      </c>
      <c r="B179" s="36">
        <v>44767.0</v>
      </c>
      <c r="C179" s="91">
        <v>0.30244212962962963</v>
      </c>
      <c r="D179" s="13"/>
      <c r="E179" s="13"/>
      <c r="F179" s="3"/>
      <c r="G179" s="3"/>
      <c r="H179" s="3"/>
      <c r="I179" s="13"/>
      <c r="J179" s="13"/>
      <c r="K179" s="13" t="s">
        <v>228</v>
      </c>
      <c r="L179" s="36">
        <v>44767.0</v>
      </c>
      <c r="M179" s="91">
        <v>0.43292824074074077</v>
      </c>
      <c r="N179" s="3"/>
      <c r="O179" s="3"/>
      <c r="P179" s="7" t="b">
        <v>0</v>
      </c>
      <c r="Q179" s="7" t="s">
        <v>481</v>
      </c>
      <c r="R179" s="166" t="b">
        <v>1</v>
      </c>
      <c r="S179" s="166">
        <v>1.0</v>
      </c>
      <c r="T179" s="7"/>
      <c r="U179" s="3"/>
      <c r="V179" s="13"/>
      <c r="W179" s="3"/>
      <c r="X179" s="166" t="b">
        <v>0</v>
      </c>
      <c r="Y179" s="7"/>
      <c r="Z179" s="13"/>
      <c r="AA179" s="7" t="b">
        <v>0</v>
      </c>
      <c r="AB179" s="7"/>
      <c r="AC179" s="257">
        <v>14.0</v>
      </c>
      <c r="AD179" s="166"/>
      <c r="AE179" s="258">
        <v>187.90000000000003</v>
      </c>
      <c r="AF179" s="7" t="b">
        <v>0</v>
      </c>
      <c r="AG179" s="7" t="b">
        <v>0</v>
      </c>
      <c r="AH179" s="166"/>
      <c r="AI179" s="13"/>
      <c r="AJ179" s="3"/>
      <c r="AK179" s="13" t="s">
        <v>228</v>
      </c>
      <c r="AL179" s="3"/>
      <c r="AM179" s="3" t="s">
        <v>322</v>
      </c>
      <c r="AN179" s="3" t="s">
        <v>325</v>
      </c>
      <c r="AO179" s="3" t="s">
        <v>482</v>
      </c>
      <c r="AP179" s="3" t="s">
        <v>482</v>
      </c>
      <c r="AQ179" s="3" t="s">
        <v>482</v>
      </c>
      <c r="AR179" s="3" t="s">
        <v>482</v>
      </c>
      <c r="AS179" s="98"/>
      <c r="AT179" s="98"/>
      <c r="AU179" s="98"/>
      <c r="AV179" s="98"/>
      <c r="AW179" s="98"/>
      <c r="AX179" s="98"/>
      <c r="AY179" s="98"/>
      <c r="AZ179" s="98"/>
    </row>
    <row r="180">
      <c r="A180" s="3" t="s">
        <v>476</v>
      </c>
      <c r="B180" s="36">
        <v>44767.0</v>
      </c>
      <c r="C180" s="91">
        <v>0.3788773148148148</v>
      </c>
      <c r="D180" s="13"/>
      <c r="E180" s="13"/>
      <c r="F180" s="3"/>
      <c r="G180" s="3"/>
      <c r="H180" s="3"/>
      <c r="I180" s="13"/>
      <c r="J180" s="13"/>
      <c r="K180" s="13" t="s">
        <v>228</v>
      </c>
      <c r="L180" s="36">
        <v>44767.0</v>
      </c>
      <c r="M180" s="91">
        <v>0.4329398148148148</v>
      </c>
      <c r="N180" s="3"/>
      <c r="O180" s="3"/>
      <c r="P180" s="7" t="b">
        <v>0</v>
      </c>
      <c r="Q180" s="7" t="s">
        <v>481</v>
      </c>
      <c r="R180" s="166" t="b">
        <v>1</v>
      </c>
      <c r="S180" s="166">
        <v>2.0</v>
      </c>
      <c r="T180" s="7"/>
      <c r="U180" s="3"/>
      <c r="V180" s="13"/>
      <c r="W180" s="3"/>
      <c r="X180" s="166" t="b">
        <v>0</v>
      </c>
      <c r="Y180" s="7"/>
      <c r="Z180" s="13"/>
      <c r="AA180" s="7" t="b">
        <v>0</v>
      </c>
      <c r="AB180" s="7"/>
      <c r="AC180" s="257">
        <v>16.0</v>
      </c>
      <c r="AD180" s="166"/>
      <c r="AE180" s="258">
        <v>77.85000000000002</v>
      </c>
      <c r="AF180" s="7" t="b">
        <v>0</v>
      </c>
      <c r="AG180" s="7" t="b">
        <v>0</v>
      </c>
      <c r="AH180" s="166"/>
      <c r="AI180" s="13"/>
      <c r="AJ180" s="3"/>
      <c r="AK180" s="13" t="s">
        <v>228</v>
      </c>
      <c r="AL180" s="3"/>
      <c r="AM180" s="3" t="s">
        <v>365</v>
      </c>
      <c r="AN180" s="3" t="s">
        <v>472</v>
      </c>
      <c r="AO180" s="3" t="s">
        <v>482</v>
      </c>
      <c r="AP180" s="3" t="s">
        <v>482</v>
      </c>
      <c r="AQ180" s="3" t="s">
        <v>482</v>
      </c>
      <c r="AR180" s="3" t="s">
        <v>482</v>
      </c>
      <c r="AS180" s="98"/>
      <c r="AT180" s="98"/>
      <c r="AU180" s="98"/>
      <c r="AV180" s="98"/>
      <c r="AW180" s="98"/>
      <c r="AX180" s="98"/>
      <c r="AY180" s="98"/>
      <c r="AZ180" s="98"/>
    </row>
    <row r="181">
      <c r="A181" s="3" t="s">
        <v>476</v>
      </c>
      <c r="B181" s="36">
        <v>44767.0</v>
      </c>
      <c r="C181" s="91">
        <v>0.3788773148148148</v>
      </c>
      <c r="D181" s="13"/>
      <c r="E181" s="13"/>
      <c r="F181" s="3"/>
      <c r="G181" s="3"/>
      <c r="H181" s="3"/>
      <c r="I181" s="13"/>
      <c r="J181" s="13"/>
      <c r="K181" s="13" t="s">
        <v>228</v>
      </c>
      <c r="L181" s="36">
        <v>44767.0</v>
      </c>
      <c r="M181" s="91">
        <v>0.4329398148148148</v>
      </c>
      <c r="N181" s="3"/>
      <c r="O181" s="3"/>
      <c r="P181" s="7" t="b">
        <v>0</v>
      </c>
      <c r="Q181" s="7" t="s">
        <v>481</v>
      </c>
      <c r="R181" s="166" t="b">
        <v>0</v>
      </c>
      <c r="S181" s="166">
        <v>2.0</v>
      </c>
      <c r="T181" s="7"/>
      <c r="U181" s="3"/>
      <c r="V181" s="13"/>
      <c r="W181" s="3"/>
      <c r="X181" s="166" t="b">
        <v>0</v>
      </c>
      <c r="Y181" s="7"/>
      <c r="Z181" s="13"/>
      <c r="AA181" s="7" t="b">
        <v>0</v>
      </c>
      <c r="AB181" s="7"/>
      <c r="AC181" s="257">
        <v>15.0</v>
      </c>
      <c r="AD181" s="166"/>
      <c r="AE181" s="258">
        <v>77.85000000000002</v>
      </c>
      <c r="AF181" s="7" t="b">
        <v>0</v>
      </c>
      <c r="AG181" s="7" t="b">
        <v>0</v>
      </c>
      <c r="AH181" s="166"/>
      <c r="AI181" s="13"/>
      <c r="AJ181" s="3"/>
      <c r="AK181" s="13" t="s">
        <v>228</v>
      </c>
      <c r="AL181" s="3"/>
      <c r="AM181" s="3" t="s">
        <v>365</v>
      </c>
      <c r="AN181" s="3" t="s">
        <v>473</v>
      </c>
      <c r="AO181" s="3" t="s">
        <v>482</v>
      </c>
      <c r="AP181" s="3" t="s">
        <v>482</v>
      </c>
      <c r="AQ181" s="3" t="s">
        <v>482</v>
      </c>
      <c r="AR181" s="3" t="s">
        <v>482</v>
      </c>
      <c r="AS181" s="98"/>
      <c r="AT181" s="98"/>
      <c r="AU181" s="98"/>
      <c r="AV181" s="98"/>
      <c r="AW181" s="98"/>
      <c r="AX181" s="98"/>
      <c r="AY181" s="98"/>
      <c r="AZ181" s="98"/>
    </row>
    <row r="182">
      <c r="A182" s="3" t="s">
        <v>477</v>
      </c>
      <c r="B182" s="36">
        <v>44774.0</v>
      </c>
      <c r="C182" s="91">
        <v>0.21421296296296297</v>
      </c>
      <c r="D182" s="13"/>
      <c r="E182" s="13"/>
      <c r="F182" s="3"/>
      <c r="G182" s="3"/>
      <c r="H182" s="3"/>
      <c r="I182" s="13"/>
      <c r="J182" s="13"/>
      <c r="K182" s="13" t="s">
        <v>228</v>
      </c>
      <c r="L182" s="36">
        <v>44816.0</v>
      </c>
      <c r="M182" s="91">
        <v>0.3939814814814815</v>
      </c>
      <c r="N182" s="3"/>
      <c r="O182" s="3"/>
      <c r="P182" s="7" t="b">
        <v>0</v>
      </c>
      <c r="Q182" s="7" t="s">
        <v>481</v>
      </c>
      <c r="R182" s="166" t="b">
        <v>1</v>
      </c>
      <c r="S182" s="166">
        <v>3.0</v>
      </c>
      <c r="T182" s="7"/>
      <c r="U182" s="3"/>
      <c r="V182" s="13"/>
      <c r="W182" s="3"/>
      <c r="X182" s="166" t="b">
        <v>0</v>
      </c>
      <c r="Y182" s="7"/>
      <c r="Z182" s="13"/>
      <c r="AA182" s="7" t="b">
        <v>0</v>
      </c>
      <c r="AB182" s="7"/>
      <c r="AC182" s="257">
        <v>9.0</v>
      </c>
      <c r="AD182" s="166"/>
      <c r="AE182" s="258"/>
      <c r="AF182" s="7" t="b">
        <v>0</v>
      </c>
      <c r="AG182" s="7" t="b">
        <v>0</v>
      </c>
      <c r="AH182" s="166"/>
      <c r="AI182" s="13"/>
      <c r="AJ182" s="3"/>
      <c r="AK182" s="13" t="s">
        <v>228</v>
      </c>
      <c r="AL182" s="3"/>
      <c r="AM182" s="3" t="s">
        <v>322</v>
      </c>
      <c r="AN182" s="3" t="s">
        <v>325</v>
      </c>
      <c r="AO182" s="3" t="s">
        <v>482</v>
      </c>
      <c r="AP182" s="3" t="s">
        <v>482</v>
      </c>
      <c r="AQ182" s="3" t="s">
        <v>482</v>
      </c>
      <c r="AR182" s="3" t="s">
        <v>482</v>
      </c>
      <c r="AS182" s="98"/>
      <c r="AT182" s="98"/>
      <c r="AU182" s="98"/>
      <c r="AV182" s="98"/>
      <c r="AW182" s="98"/>
      <c r="AX182" s="98"/>
      <c r="AY182" s="98"/>
      <c r="AZ182" s="98"/>
    </row>
    <row r="183">
      <c r="A183" s="3" t="s">
        <v>477</v>
      </c>
      <c r="B183" s="36">
        <v>44774.0</v>
      </c>
      <c r="C183" s="91">
        <v>0.21421296296296297</v>
      </c>
      <c r="D183" s="13"/>
      <c r="E183" s="13"/>
      <c r="F183" s="3"/>
      <c r="G183" s="3"/>
      <c r="H183" s="3"/>
      <c r="I183" s="13"/>
      <c r="J183" s="13"/>
      <c r="K183" s="13" t="s">
        <v>228</v>
      </c>
      <c r="L183" s="36">
        <v>44816.0</v>
      </c>
      <c r="M183" s="91">
        <v>0.3939814814814815</v>
      </c>
      <c r="N183" s="3"/>
      <c r="O183" s="3"/>
      <c r="P183" s="7" t="b">
        <v>0</v>
      </c>
      <c r="Q183" s="7" t="s">
        <v>481</v>
      </c>
      <c r="R183" s="166" t="b">
        <v>0</v>
      </c>
      <c r="S183" s="166">
        <v>3.0</v>
      </c>
      <c r="T183" s="7"/>
      <c r="U183" s="3"/>
      <c r="V183" s="13"/>
      <c r="W183" s="3"/>
      <c r="X183" s="166" t="b">
        <v>0</v>
      </c>
      <c r="Y183" s="7"/>
      <c r="Z183" s="13"/>
      <c r="AA183" s="7" t="b">
        <v>0</v>
      </c>
      <c r="AB183" s="7"/>
      <c r="AC183" s="257">
        <v>10.0</v>
      </c>
      <c r="AD183" s="166"/>
      <c r="AE183" s="258"/>
      <c r="AF183" s="7" t="b">
        <v>0</v>
      </c>
      <c r="AG183" s="7" t="b">
        <v>0</v>
      </c>
      <c r="AH183" s="166"/>
      <c r="AI183" s="13"/>
      <c r="AJ183" s="3"/>
      <c r="AK183" s="13" t="s">
        <v>228</v>
      </c>
      <c r="AL183" s="3"/>
      <c r="AM183" s="3" t="s">
        <v>322</v>
      </c>
      <c r="AN183" s="3" t="s">
        <v>327</v>
      </c>
      <c r="AO183" s="3" t="s">
        <v>482</v>
      </c>
      <c r="AP183" s="3" t="s">
        <v>482</v>
      </c>
      <c r="AQ183" s="3" t="s">
        <v>482</v>
      </c>
      <c r="AR183" s="3" t="s">
        <v>482</v>
      </c>
      <c r="AS183" s="98"/>
      <c r="AT183" s="98"/>
      <c r="AU183" s="98"/>
      <c r="AV183" s="98"/>
      <c r="AW183" s="98"/>
      <c r="AX183" s="98"/>
      <c r="AY183" s="98"/>
      <c r="AZ183" s="98"/>
    </row>
    <row r="184">
      <c r="A184" s="3" t="s">
        <v>477</v>
      </c>
      <c r="B184" s="36">
        <v>44774.0</v>
      </c>
      <c r="C184" s="91">
        <v>0.21421296296296297</v>
      </c>
      <c r="D184" s="13"/>
      <c r="E184" s="13"/>
      <c r="F184" s="3"/>
      <c r="G184" s="3"/>
      <c r="H184" s="3"/>
      <c r="I184" s="13"/>
      <c r="J184" s="13"/>
      <c r="K184" s="13" t="s">
        <v>228</v>
      </c>
      <c r="L184" s="36">
        <v>44816.0</v>
      </c>
      <c r="M184" s="91">
        <v>0.3939814814814815</v>
      </c>
      <c r="N184" s="3"/>
      <c r="O184" s="3"/>
      <c r="P184" s="7" t="b">
        <v>0</v>
      </c>
      <c r="Q184" s="7" t="s">
        <v>481</v>
      </c>
      <c r="R184" s="166" t="b">
        <v>0</v>
      </c>
      <c r="S184" s="166">
        <v>3.0</v>
      </c>
      <c r="T184" s="7"/>
      <c r="U184" s="3"/>
      <c r="V184" s="13"/>
      <c r="W184" s="3"/>
      <c r="X184" s="166" t="b">
        <v>0</v>
      </c>
      <c r="Y184" s="7"/>
      <c r="Z184" s="13"/>
      <c r="AA184" s="7" t="b">
        <v>0</v>
      </c>
      <c r="AB184" s="7"/>
      <c r="AC184" s="257">
        <v>8.0</v>
      </c>
      <c r="AD184" s="166"/>
      <c r="AE184" s="258"/>
      <c r="AF184" s="7" t="b">
        <v>0</v>
      </c>
      <c r="AG184" s="7" t="b">
        <v>0</v>
      </c>
      <c r="AH184" s="166"/>
      <c r="AI184" s="13"/>
      <c r="AJ184" s="3"/>
      <c r="AK184" s="13" t="s">
        <v>228</v>
      </c>
      <c r="AL184" s="3"/>
      <c r="AM184" s="3" t="s">
        <v>322</v>
      </c>
      <c r="AN184" s="3" t="s">
        <v>329</v>
      </c>
      <c r="AO184" s="3" t="s">
        <v>482</v>
      </c>
      <c r="AP184" s="3" t="s">
        <v>482</v>
      </c>
      <c r="AQ184" s="3" t="s">
        <v>482</v>
      </c>
      <c r="AR184" s="3" t="s">
        <v>482</v>
      </c>
      <c r="AS184" s="98"/>
      <c r="AT184" s="98"/>
      <c r="AU184" s="98"/>
      <c r="AV184" s="98"/>
      <c r="AW184" s="98"/>
      <c r="AX184" s="98"/>
      <c r="AY184" s="98"/>
      <c r="AZ184" s="98"/>
    </row>
    <row r="185">
      <c r="A185" s="3" t="s">
        <v>478</v>
      </c>
      <c r="B185" s="36">
        <v>44816.0</v>
      </c>
      <c r="C185" s="91">
        <v>0.1690162037037037</v>
      </c>
      <c r="D185" s="13"/>
      <c r="E185" s="13"/>
      <c r="F185" s="3"/>
      <c r="G185" s="3"/>
      <c r="H185" s="3"/>
      <c r="I185" s="13"/>
      <c r="J185" s="13"/>
      <c r="K185" s="13" t="s">
        <v>228</v>
      </c>
      <c r="L185" s="36">
        <v>44816.0</v>
      </c>
      <c r="M185" s="91">
        <v>0.3939814814814815</v>
      </c>
      <c r="N185" s="3"/>
      <c r="O185" s="3"/>
      <c r="P185" s="7" t="b">
        <v>0</v>
      </c>
      <c r="Q185" s="7" t="s">
        <v>481</v>
      </c>
      <c r="R185" s="166" t="b">
        <v>1</v>
      </c>
      <c r="S185" s="166">
        <v>4.0</v>
      </c>
      <c r="T185" s="7"/>
      <c r="U185" s="3"/>
      <c r="V185" s="13"/>
      <c r="W185" s="3"/>
      <c r="X185" s="166" t="b">
        <v>0</v>
      </c>
      <c r="Y185" s="7"/>
      <c r="Z185" s="13"/>
      <c r="AA185" s="7" t="b">
        <v>0</v>
      </c>
      <c r="AB185" s="7"/>
      <c r="AC185" s="257">
        <v>6.0</v>
      </c>
      <c r="AD185" s="166"/>
      <c r="AE185" s="258">
        <v>323.95</v>
      </c>
      <c r="AF185" s="7" t="b">
        <v>0</v>
      </c>
      <c r="AG185" s="7" t="b">
        <v>0</v>
      </c>
      <c r="AH185" s="166"/>
      <c r="AI185" s="13"/>
      <c r="AJ185" s="3"/>
      <c r="AK185" s="13" t="s">
        <v>228</v>
      </c>
      <c r="AL185" s="3"/>
      <c r="AM185" s="3" t="s">
        <v>322</v>
      </c>
      <c r="AN185" s="3" t="s">
        <v>325</v>
      </c>
      <c r="AO185" s="3" t="s">
        <v>482</v>
      </c>
      <c r="AP185" s="3" t="s">
        <v>482</v>
      </c>
      <c r="AQ185" s="3" t="s">
        <v>482</v>
      </c>
      <c r="AR185" s="3" t="s">
        <v>482</v>
      </c>
      <c r="AS185" s="98"/>
      <c r="AT185" s="98"/>
      <c r="AU185" s="98"/>
      <c r="AV185" s="98"/>
      <c r="AW185" s="98"/>
      <c r="AX185" s="98"/>
      <c r="AY185" s="98"/>
      <c r="AZ185" s="98"/>
    </row>
    <row r="186">
      <c r="A186" s="3" t="s">
        <v>478</v>
      </c>
      <c r="B186" s="36">
        <v>44816.0</v>
      </c>
      <c r="C186" s="91">
        <v>0.1690162037037037</v>
      </c>
      <c r="D186" s="13"/>
      <c r="E186" s="13"/>
      <c r="F186" s="3"/>
      <c r="G186" s="3"/>
      <c r="H186" s="3"/>
      <c r="I186" s="13"/>
      <c r="J186" s="13"/>
      <c r="K186" s="13" t="s">
        <v>228</v>
      </c>
      <c r="L186" s="36">
        <v>44816.0</v>
      </c>
      <c r="M186" s="91">
        <v>0.3939814814814815</v>
      </c>
      <c r="N186" s="3"/>
      <c r="O186" s="3"/>
      <c r="P186" s="7" t="b">
        <v>0</v>
      </c>
      <c r="Q186" s="7" t="s">
        <v>481</v>
      </c>
      <c r="R186" s="166" t="b">
        <v>0</v>
      </c>
      <c r="S186" s="166">
        <v>4.0</v>
      </c>
      <c r="T186" s="7"/>
      <c r="U186" s="3"/>
      <c r="V186" s="13"/>
      <c r="W186" s="3"/>
      <c r="X186" s="166" t="b">
        <v>0</v>
      </c>
      <c r="Y186" s="7"/>
      <c r="Z186" s="13"/>
      <c r="AA186" s="7" t="b">
        <v>0</v>
      </c>
      <c r="AB186" s="7"/>
      <c r="AC186" s="257">
        <v>4.0</v>
      </c>
      <c r="AD186" s="166"/>
      <c r="AE186" s="258">
        <v>323.95</v>
      </c>
      <c r="AF186" s="7" t="b">
        <v>0</v>
      </c>
      <c r="AG186" s="7" t="b">
        <v>0</v>
      </c>
      <c r="AH186" s="166"/>
      <c r="AI186" s="13"/>
      <c r="AJ186" s="3"/>
      <c r="AK186" s="13" t="s">
        <v>228</v>
      </c>
      <c r="AL186" s="3"/>
      <c r="AM186" s="3" t="s">
        <v>322</v>
      </c>
      <c r="AN186" s="3" t="s">
        <v>327</v>
      </c>
      <c r="AO186" s="3" t="s">
        <v>482</v>
      </c>
      <c r="AP186" s="3" t="s">
        <v>482</v>
      </c>
      <c r="AQ186" s="3" t="s">
        <v>482</v>
      </c>
      <c r="AR186" s="3" t="s">
        <v>482</v>
      </c>
      <c r="AS186" s="98"/>
      <c r="AT186" s="98"/>
      <c r="AU186" s="98"/>
      <c r="AV186" s="98"/>
      <c r="AW186" s="98"/>
      <c r="AX186" s="98"/>
      <c r="AY186" s="98"/>
      <c r="AZ186" s="98"/>
    </row>
    <row r="187">
      <c r="A187" s="3" t="s">
        <v>478</v>
      </c>
      <c r="B187" s="36">
        <v>44816.0</v>
      </c>
      <c r="C187" s="91">
        <v>0.1690162037037037</v>
      </c>
      <c r="D187" s="13"/>
      <c r="E187" s="13"/>
      <c r="F187" s="3"/>
      <c r="G187" s="3"/>
      <c r="H187" s="3"/>
      <c r="I187" s="13"/>
      <c r="J187" s="13"/>
      <c r="K187" s="13" t="s">
        <v>228</v>
      </c>
      <c r="L187" s="36">
        <v>44816.0</v>
      </c>
      <c r="M187" s="91">
        <v>0.3939814814814815</v>
      </c>
      <c r="N187" s="3"/>
      <c r="O187" s="3"/>
      <c r="P187" s="7" t="b">
        <v>0</v>
      </c>
      <c r="Q187" s="7" t="s">
        <v>481</v>
      </c>
      <c r="R187" s="166" t="b">
        <v>0</v>
      </c>
      <c r="S187" s="166">
        <v>4.0</v>
      </c>
      <c r="T187" s="7"/>
      <c r="U187" s="3"/>
      <c r="V187" s="13"/>
      <c r="W187" s="3"/>
      <c r="X187" s="166" t="b">
        <v>0</v>
      </c>
      <c r="Y187" s="7"/>
      <c r="Z187" s="13"/>
      <c r="AA187" s="7" t="b">
        <v>0</v>
      </c>
      <c r="AB187" s="7"/>
      <c r="AC187" s="257">
        <v>5.0</v>
      </c>
      <c r="AD187" s="166"/>
      <c r="AE187" s="258">
        <v>323.95</v>
      </c>
      <c r="AF187" s="7" t="b">
        <v>0</v>
      </c>
      <c r="AG187" s="7" t="b">
        <v>0</v>
      </c>
      <c r="AH187" s="166"/>
      <c r="AI187" s="13"/>
      <c r="AJ187" s="3"/>
      <c r="AK187" s="13" t="s">
        <v>228</v>
      </c>
      <c r="AL187" s="3"/>
      <c r="AM187" s="3" t="s">
        <v>322</v>
      </c>
      <c r="AN187" s="3" t="s">
        <v>329</v>
      </c>
      <c r="AO187" s="3" t="s">
        <v>482</v>
      </c>
      <c r="AP187" s="3" t="s">
        <v>482</v>
      </c>
      <c r="AQ187" s="3" t="s">
        <v>482</v>
      </c>
      <c r="AR187" s="3" t="s">
        <v>482</v>
      </c>
      <c r="AS187" s="98"/>
      <c r="AT187" s="98"/>
      <c r="AU187" s="98"/>
      <c r="AV187" s="98"/>
      <c r="AW187" s="98"/>
      <c r="AX187" s="98"/>
      <c r="AY187" s="98"/>
      <c r="AZ187" s="98"/>
    </row>
    <row r="188">
      <c r="A188" s="3" t="s">
        <v>478</v>
      </c>
      <c r="B188" s="36">
        <v>44816.0</v>
      </c>
      <c r="C188" s="91">
        <v>0.1690162037037037</v>
      </c>
      <c r="D188" s="13"/>
      <c r="E188" s="13"/>
      <c r="F188" s="3"/>
      <c r="G188" s="3"/>
      <c r="H188" s="3"/>
      <c r="I188" s="13"/>
      <c r="J188" s="13"/>
      <c r="K188" s="13" t="s">
        <v>228</v>
      </c>
      <c r="L188" s="36">
        <v>44816.0</v>
      </c>
      <c r="M188" s="91">
        <v>0.3939814814814815</v>
      </c>
      <c r="N188" s="3"/>
      <c r="O188" s="3"/>
      <c r="P188" s="7" t="b">
        <v>0</v>
      </c>
      <c r="Q188" s="7" t="s">
        <v>481</v>
      </c>
      <c r="R188" s="166" t="b">
        <v>0</v>
      </c>
      <c r="S188" s="166">
        <v>4.0</v>
      </c>
      <c r="T188" s="7"/>
      <c r="U188" s="3"/>
      <c r="V188" s="13"/>
      <c r="W188" s="3"/>
      <c r="X188" s="166" t="b">
        <v>0</v>
      </c>
      <c r="Y188" s="7"/>
      <c r="Z188" s="13"/>
      <c r="AA188" s="7" t="b">
        <v>0</v>
      </c>
      <c r="AB188" s="7"/>
      <c r="AC188" s="257">
        <v>7.0</v>
      </c>
      <c r="AD188" s="166"/>
      <c r="AE188" s="258">
        <v>323.95</v>
      </c>
      <c r="AF188" s="7" t="b">
        <v>0</v>
      </c>
      <c r="AG188" s="7" t="b">
        <v>0</v>
      </c>
      <c r="AH188" s="166"/>
      <c r="AI188" s="13"/>
      <c r="AJ188" s="3"/>
      <c r="AK188" s="13" t="s">
        <v>228</v>
      </c>
      <c r="AL188" s="3"/>
      <c r="AM188" s="3" t="s">
        <v>322</v>
      </c>
      <c r="AN188" s="3" t="s">
        <v>393</v>
      </c>
      <c r="AO188" s="3" t="s">
        <v>482</v>
      </c>
      <c r="AP188" s="3" t="s">
        <v>482</v>
      </c>
      <c r="AQ188" s="3" t="s">
        <v>482</v>
      </c>
      <c r="AR188" s="3" t="s">
        <v>482</v>
      </c>
      <c r="AS188" s="98"/>
      <c r="AT188" s="98"/>
      <c r="AU188" s="98"/>
      <c r="AV188" s="98"/>
      <c r="AW188" s="98"/>
      <c r="AX188" s="98"/>
      <c r="AY188" s="98"/>
      <c r="AZ188" s="98"/>
    </row>
    <row r="189">
      <c r="A189" s="3" t="s">
        <v>479</v>
      </c>
      <c r="B189" s="36">
        <v>44837.0</v>
      </c>
      <c r="C189" s="91">
        <v>0.19859953703703703</v>
      </c>
      <c r="D189" s="13"/>
      <c r="E189" s="13"/>
      <c r="F189" s="3"/>
      <c r="G189" s="3"/>
      <c r="H189" s="3"/>
      <c r="I189" s="13"/>
      <c r="J189" s="13"/>
      <c r="K189" s="13" t="s">
        <v>228</v>
      </c>
      <c r="L189" s="36">
        <v>44837.0</v>
      </c>
      <c r="M189" s="91">
        <v>0.510150462962963</v>
      </c>
      <c r="N189" s="3"/>
      <c r="O189" s="3"/>
      <c r="P189" s="7" t="b">
        <v>0</v>
      </c>
      <c r="Q189" s="7" t="s">
        <v>481</v>
      </c>
      <c r="R189" s="166" t="b">
        <v>1</v>
      </c>
      <c r="S189" s="166">
        <v>3.0</v>
      </c>
      <c r="T189" s="7"/>
      <c r="U189" s="3"/>
      <c r="V189" s="13"/>
      <c r="W189" s="3"/>
      <c r="X189" s="166" t="b">
        <v>0</v>
      </c>
      <c r="Y189" s="7"/>
      <c r="Z189" s="13"/>
      <c r="AA189" s="7" t="b">
        <v>0</v>
      </c>
      <c r="AB189" s="7"/>
      <c r="AC189" s="257">
        <v>2.0</v>
      </c>
      <c r="AD189" s="166"/>
      <c r="AE189" s="258">
        <v>448.6333333333333</v>
      </c>
      <c r="AF189" s="7" t="b">
        <v>0</v>
      </c>
      <c r="AG189" s="7" t="b">
        <v>0</v>
      </c>
      <c r="AH189" s="166"/>
      <c r="AI189" s="13"/>
      <c r="AJ189" s="3"/>
      <c r="AK189" s="13" t="s">
        <v>228</v>
      </c>
      <c r="AL189" s="3"/>
      <c r="AM189" s="3" t="s">
        <v>322</v>
      </c>
      <c r="AN189" s="3" t="s">
        <v>325</v>
      </c>
      <c r="AO189" s="3" t="s">
        <v>482</v>
      </c>
      <c r="AP189" s="3" t="s">
        <v>482</v>
      </c>
      <c r="AQ189" s="3" t="s">
        <v>482</v>
      </c>
      <c r="AR189" s="3" t="s">
        <v>482</v>
      </c>
      <c r="AS189" s="98"/>
      <c r="AT189" s="98"/>
      <c r="AU189" s="98"/>
      <c r="AV189" s="98"/>
      <c r="AW189" s="98"/>
      <c r="AX189" s="98"/>
      <c r="AY189" s="98"/>
      <c r="AZ189" s="98"/>
    </row>
    <row r="190">
      <c r="A190" s="3" t="s">
        <v>479</v>
      </c>
      <c r="B190" s="36">
        <v>44837.0</v>
      </c>
      <c r="C190" s="91">
        <v>0.19859953703703703</v>
      </c>
      <c r="D190" s="13"/>
      <c r="E190" s="13"/>
      <c r="F190" s="3"/>
      <c r="G190" s="3"/>
      <c r="H190" s="3"/>
      <c r="I190" s="13"/>
      <c r="J190" s="13"/>
      <c r="K190" s="13" t="s">
        <v>228</v>
      </c>
      <c r="L190" s="36">
        <v>44837.0</v>
      </c>
      <c r="M190" s="91">
        <v>0.510150462962963</v>
      </c>
      <c r="N190" s="3"/>
      <c r="O190" s="3"/>
      <c r="P190" s="7" t="b">
        <v>0</v>
      </c>
      <c r="Q190" s="7" t="s">
        <v>481</v>
      </c>
      <c r="R190" s="166" t="b">
        <v>0</v>
      </c>
      <c r="S190" s="166">
        <v>3.0</v>
      </c>
      <c r="T190" s="7"/>
      <c r="U190" s="3"/>
      <c r="V190" s="13"/>
      <c r="W190" s="3"/>
      <c r="X190" s="166" t="b">
        <v>0</v>
      </c>
      <c r="Y190" s="7"/>
      <c r="Z190" s="13"/>
      <c r="AA190" s="7" t="b">
        <v>0</v>
      </c>
      <c r="AB190" s="7"/>
      <c r="AC190" s="257">
        <v>3.0</v>
      </c>
      <c r="AD190" s="166"/>
      <c r="AE190" s="258">
        <v>448.6333333333333</v>
      </c>
      <c r="AF190" s="7" t="b">
        <v>0</v>
      </c>
      <c r="AG190" s="7" t="b">
        <v>0</v>
      </c>
      <c r="AH190" s="166"/>
      <c r="AI190" s="13"/>
      <c r="AJ190" s="3"/>
      <c r="AK190" s="13" t="s">
        <v>228</v>
      </c>
      <c r="AL190" s="3"/>
      <c r="AM190" s="3" t="s">
        <v>322</v>
      </c>
      <c r="AN190" s="3" t="s">
        <v>327</v>
      </c>
      <c r="AO190" s="3" t="s">
        <v>482</v>
      </c>
      <c r="AP190" s="3" t="s">
        <v>482</v>
      </c>
      <c r="AQ190" s="3" t="s">
        <v>482</v>
      </c>
      <c r="AR190" s="3" t="s">
        <v>482</v>
      </c>
      <c r="AS190" s="98"/>
      <c r="AT190" s="98"/>
      <c r="AU190" s="98"/>
      <c r="AV190" s="98"/>
      <c r="AW190" s="98"/>
      <c r="AX190" s="98"/>
      <c r="AY190" s="98"/>
      <c r="AZ190" s="98"/>
    </row>
    <row r="191">
      <c r="A191" s="3" t="s">
        <v>479</v>
      </c>
      <c r="B191" s="36">
        <v>44837.0</v>
      </c>
      <c r="C191" s="91">
        <v>0.19859953703703703</v>
      </c>
      <c r="D191" s="13"/>
      <c r="E191" s="13"/>
      <c r="F191" s="3"/>
      <c r="G191" s="3"/>
      <c r="H191" s="3"/>
      <c r="I191" s="13"/>
      <c r="J191" s="13"/>
      <c r="K191" s="13" t="s">
        <v>228</v>
      </c>
      <c r="L191" s="36">
        <v>44837.0</v>
      </c>
      <c r="M191" s="91">
        <v>0.510150462962963</v>
      </c>
      <c r="N191" s="3"/>
      <c r="O191" s="3"/>
      <c r="P191" s="7" t="b">
        <v>0</v>
      </c>
      <c r="Q191" s="7" t="s">
        <v>481</v>
      </c>
      <c r="R191" s="166" t="b">
        <v>0</v>
      </c>
      <c r="S191" s="166">
        <v>3.0</v>
      </c>
      <c r="T191" s="7"/>
      <c r="U191" s="3"/>
      <c r="V191" s="13"/>
      <c r="W191" s="3"/>
      <c r="X191" s="166" t="b">
        <v>0</v>
      </c>
      <c r="Y191" s="7"/>
      <c r="Z191" s="13"/>
      <c r="AA191" s="7" t="b">
        <v>0</v>
      </c>
      <c r="AB191" s="7"/>
      <c r="AC191" s="257">
        <v>1.0</v>
      </c>
      <c r="AD191" s="166"/>
      <c r="AE191" s="258">
        <v>448.6333333333333</v>
      </c>
      <c r="AF191" s="7" t="b">
        <v>0</v>
      </c>
      <c r="AG191" s="7" t="b">
        <v>0</v>
      </c>
      <c r="AH191" s="166"/>
      <c r="AI191" s="13"/>
      <c r="AJ191" s="3"/>
      <c r="AK191" s="13" t="s">
        <v>228</v>
      </c>
      <c r="AL191" s="3"/>
      <c r="AM191" s="3" t="s">
        <v>322</v>
      </c>
      <c r="AN191" s="3" t="s">
        <v>329</v>
      </c>
      <c r="AO191" s="3" t="s">
        <v>482</v>
      </c>
      <c r="AP191" s="3" t="s">
        <v>482</v>
      </c>
      <c r="AQ191" s="3" t="s">
        <v>482</v>
      </c>
      <c r="AR191" s="3" t="s">
        <v>482</v>
      </c>
      <c r="AS191" s="98"/>
      <c r="AT191" s="98"/>
      <c r="AU191" s="98"/>
      <c r="AV191" s="98"/>
      <c r="AW191" s="98"/>
      <c r="AX191" s="98"/>
      <c r="AY191" s="98"/>
      <c r="AZ191" s="98"/>
    </row>
    <row r="192">
      <c r="A192" s="3"/>
      <c r="B192" s="36"/>
      <c r="C192" s="91"/>
      <c r="D192" s="13"/>
      <c r="E192" s="13"/>
      <c r="F192" s="3"/>
      <c r="G192" s="3"/>
      <c r="H192" s="3"/>
      <c r="I192" s="13"/>
      <c r="J192" s="13"/>
      <c r="K192" s="13"/>
      <c r="L192" s="36"/>
      <c r="M192" s="91"/>
      <c r="N192" s="3"/>
      <c r="O192" s="3"/>
      <c r="P192" s="7"/>
      <c r="Q192" s="7"/>
      <c r="R192" s="166"/>
      <c r="S192" s="166"/>
      <c r="T192" s="7"/>
      <c r="U192" s="3"/>
      <c r="V192" s="13"/>
      <c r="W192" s="3"/>
      <c r="X192" s="166"/>
      <c r="Y192" s="7"/>
      <c r="Z192" s="13"/>
      <c r="AA192" s="7"/>
      <c r="AB192" s="7"/>
      <c r="AC192" s="257"/>
      <c r="AD192" s="166"/>
      <c r="AE192" s="258"/>
      <c r="AF192" s="7"/>
      <c r="AG192" s="7"/>
      <c r="AH192" s="166"/>
      <c r="AI192" s="13"/>
      <c r="AJ192" s="3"/>
      <c r="AK192" s="13"/>
      <c r="AL192" s="3"/>
      <c r="AM192" s="3"/>
      <c r="AN192" s="3"/>
      <c r="AO192" s="3"/>
      <c r="AP192" s="3"/>
      <c r="AQ192" s="3"/>
      <c r="AR192" s="3"/>
      <c r="AS192" s="98"/>
      <c r="AT192" s="98"/>
      <c r="AU192" s="98"/>
      <c r="AV192" s="98"/>
      <c r="AW192" s="98"/>
      <c r="AX192" s="98"/>
      <c r="AY192" s="98"/>
      <c r="AZ192" s="98"/>
    </row>
    <row r="193">
      <c r="A193" s="3"/>
      <c r="B193" s="36"/>
      <c r="C193" s="91"/>
      <c r="D193" s="13"/>
      <c r="E193" s="13"/>
      <c r="F193" s="3"/>
      <c r="G193" s="3"/>
      <c r="H193" s="3"/>
      <c r="I193" s="13"/>
      <c r="J193" s="13"/>
      <c r="K193" s="13"/>
      <c r="L193" s="36"/>
      <c r="M193" s="91"/>
      <c r="N193" s="3"/>
      <c r="O193" s="3"/>
      <c r="P193" s="7"/>
      <c r="Q193" s="7"/>
      <c r="R193" s="166"/>
      <c r="S193" s="166"/>
      <c r="T193" s="7"/>
      <c r="U193" s="3"/>
      <c r="V193" s="13"/>
      <c r="W193" s="3"/>
      <c r="X193" s="166"/>
      <c r="Y193" s="7"/>
      <c r="Z193" s="13"/>
      <c r="AA193" s="7"/>
      <c r="AB193" s="7"/>
      <c r="AC193" s="257"/>
      <c r="AD193" s="166"/>
      <c r="AE193" s="258"/>
      <c r="AF193" s="7"/>
      <c r="AG193" s="7"/>
      <c r="AH193" s="166"/>
      <c r="AI193" s="13"/>
      <c r="AJ193" s="3"/>
      <c r="AK193" s="13"/>
      <c r="AL193" s="3"/>
      <c r="AM193" s="3"/>
      <c r="AN193" s="3"/>
      <c r="AO193" s="3"/>
      <c r="AP193" s="3"/>
      <c r="AQ193" s="3"/>
      <c r="AR193" s="3"/>
      <c r="AS193" s="98"/>
      <c r="AT193" s="98"/>
      <c r="AU193" s="98"/>
      <c r="AV193" s="98"/>
      <c r="AW193" s="98"/>
      <c r="AX193" s="98"/>
      <c r="AY193" s="98"/>
      <c r="AZ193" s="98"/>
    </row>
    <row r="194">
      <c r="A194" s="3"/>
      <c r="B194" s="36"/>
      <c r="C194" s="91"/>
      <c r="D194" s="13"/>
      <c r="E194" s="13"/>
      <c r="F194" s="3"/>
      <c r="G194" s="3"/>
      <c r="H194" s="3"/>
      <c r="I194" s="13"/>
      <c r="J194" s="13"/>
      <c r="K194" s="13"/>
      <c r="L194" s="36"/>
      <c r="M194" s="91"/>
      <c r="N194" s="3"/>
      <c r="O194" s="3"/>
      <c r="P194" s="7"/>
      <c r="Q194" s="7"/>
      <c r="R194" s="166"/>
      <c r="S194" s="166"/>
      <c r="T194" s="7"/>
      <c r="U194" s="3"/>
      <c r="V194" s="13"/>
      <c r="W194" s="3"/>
      <c r="X194" s="166"/>
      <c r="Y194" s="7"/>
      <c r="Z194" s="13"/>
      <c r="AA194" s="7"/>
      <c r="AB194" s="7"/>
      <c r="AC194" s="257"/>
      <c r="AD194" s="166"/>
      <c r="AE194" s="258"/>
      <c r="AF194" s="7"/>
      <c r="AG194" s="7"/>
      <c r="AH194" s="166"/>
      <c r="AI194" s="13"/>
      <c r="AJ194" s="3"/>
      <c r="AK194" s="13"/>
      <c r="AL194" s="3"/>
      <c r="AM194" s="3"/>
      <c r="AN194" s="3"/>
      <c r="AO194" s="3"/>
      <c r="AP194" s="3"/>
      <c r="AQ194" s="3"/>
      <c r="AR194" s="3"/>
      <c r="AS194" s="98"/>
      <c r="AT194" s="98"/>
      <c r="AU194" s="98"/>
      <c r="AV194" s="98"/>
      <c r="AW194" s="98"/>
      <c r="AX194" s="98"/>
      <c r="AY194" s="98"/>
      <c r="AZ194" s="98"/>
    </row>
    <row r="195">
      <c r="A195" s="3"/>
      <c r="B195" s="36"/>
      <c r="C195" s="91"/>
      <c r="D195" s="13"/>
      <c r="E195" s="13"/>
      <c r="F195" s="3"/>
      <c r="G195" s="3"/>
      <c r="H195" s="3"/>
      <c r="I195" s="13"/>
      <c r="J195" s="13"/>
      <c r="K195" s="13"/>
      <c r="L195" s="36"/>
      <c r="M195" s="91"/>
      <c r="N195" s="3"/>
      <c r="O195" s="3"/>
      <c r="P195" s="7"/>
      <c r="Q195" s="7"/>
      <c r="R195" s="166"/>
      <c r="S195" s="166"/>
      <c r="T195" s="7"/>
      <c r="U195" s="3"/>
      <c r="V195" s="13"/>
      <c r="W195" s="3"/>
      <c r="X195" s="166"/>
      <c r="Y195" s="7"/>
      <c r="Z195" s="13"/>
      <c r="AA195" s="7"/>
      <c r="AB195" s="7"/>
      <c r="AC195" s="257"/>
      <c r="AD195" s="166"/>
      <c r="AE195" s="258"/>
      <c r="AF195" s="7"/>
      <c r="AG195" s="7"/>
      <c r="AH195" s="166"/>
      <c r="AI195" s="13"/>
      <c r="AJ195" s="3"/>
      <c r="AK195" s="13"/>
      <c r="AL195" s="3"/>
      <c r="AM195" s="3"/>
      <c r="AN195" s="3"/>
      <c r="AO195" s="3"/>
      <c r="AP195" s="3"/>
      <c r="AQ195" s="3"/>
      <c r="AR195" s="3"/>
      <c r="AS195" s="98"/>
      <c r="AT195" s="98"/>
      <c r="AU195" s="98"/>
      <c r="AV195" s="98"/>
      <c r="AW195" s="98"/>
      <c r="AX195" s="98"/>
      <c r="AY195" s="98"/>
      <c r="AZ195" s="98"/>
    </row>
    <row r="196">
      <c r="A196" s="3"/>
      <c r="B196" s="36"/>
      <c r="C196" s="91"/>
      <c r="D196" s="13"/>
      <c r="E196" s="13"/>
      <c r="F196" s="3"/>
      <c r="G196" s="3"/>
      <c r="H196" s="3"/>
      <c r="I196" s="13"/>
      <c r="J196" s="13"/>
      <c r="K196" s="13"/>
      <c r="L196" s="36"/>
      <c r="M196" s="91"/>
      <c r="N196" s="3"/>
      <c r="O196" s="3"/>
      <c r="P196" s="7"/>
      <c r="Q196" s="7"/>
      <c r="R196" s="166"/>
      <c r="S196" s="166"/>
      <c r="T196" s="7"/>
      <c r="U196" s="3"/>
      <c r="V196" s="13"/>
      <c r="W196" s="3"/>
      <c r="X196" s="166"/>
      <c r="Y196" s="7"/>
      <c r="Z196" s="13"/>
      <c r="AA196" s="7"/>
      <c r="AB196" s="7"/>
      <c r="AC196" s="257"/>
      <c r="AD196" s="166"/>
      <c r="AE196" s="258"/>
      <c r="AF196" s="7"/>
      <c r="AG196" s="7"/>
      <c r="AH196" s="166"/>
      <c r="AI196" s="13"/>
      <c r="AJ196" s="3"/>
      <c r="AK196" s="13"/>
      <c r="AL196" s="3"/>
      <c r="AM196" s="3"/>
      <c r="AN196" s="3"/>
      <c r="AO196" s="3"/>
      <c r="AP196" s="3"/>
      <c r="AQ196" s="3"/>
      <c r="AR196" s="3"/>
      <c r="AS196" s="98"/>
      <c r="AT196" s="98"/>
      <c r="AU196" s="98"/>
      <c r="AV196" s="98"/>
      <c r="AW196" s="98"/>
      <c r="AX196" s="98"/>
      <c r="AY196" s="98"/>
      <c r="AZ196" s="98"/>
    </row>
    <row r="197">
      <c r="A197" s="3"/>
      <c r="B197" s="36"/>
      <c r="C197" s="91"/>
      <c r="D197" s="13"/>
      <c r="E197" s="13"/>
      <c r="F197" s="3"/>
      <c r="G197" s="3"/>
      <c r="H197" s="3"/>
      <c r="I197" s="13"/>
      <c r="J197" s="13"/>
      <c r="K197" s="13"/>
      <c r="L197" s="36"/>
      <c r="M197" s="91"/>
      <c r="N197" s="3"/>
      <c r="O197" s="3"/>
      <c r="P197" s="7"/>
      <c r="Q197" s="7"/>
      <c r="R197" s="166"/>
      <c r="S197" s="166"/>
      <c r="T197" s="7"/>
      <c r="U197" s="3"/>
      <c r="V197" s="13"/>
      <c r="W197" s="3"/>
      <c r="X197" s="166"/>
      <c r="Y197" s="7"/>
      <c r="Z197" s="13"/>
      <c r="AA197" s="7"/>
      <c r="AB197" s="7"/>
      <c r="AC197" s="257"/>
      <c r="AD197" s="166"/>
      <c r="AE197" s="258"/>
      <c r="AF197" s="7"/>
      <c r="AG197" s="7"/>
      <c r="AH197" s="166"/>
      <c r="AI197" s="13"/>
      <c r="AJ197" s="3"/>
      <c r="AK197" s="13"/>
      <c r="AL197" s="3"/>
      <c r="AM197" s="3"/>
      <c r="AN197" s="3"/>
      <c r="AO197" s="3"/>
      <c r="AP197" s="3"/>
      <c r="AQ197" s="3"/>
      <c r="AR197" s="3"/>
      <c r="AS197" s="98"/>
      <c r="AT197" s="98"/>
      <c r="AU197" s="98"/>
      <c r="AV197" s="98"/>
      <c r="AW197" s="98"/>
      <c r="AX197" s="98"/>
      <c r="AY197" s="98"/>
      <c r="AZ197" s="98"/>
    </row>
    <row r="198">
      <c r="A198" s="3"/>
      <c r="B198" s="36"/>
      <c r="C198" s="91"/>
      <c r="D198" s="13"/>
      <c r="E198" s="13"/>
      <c r="F198" s="3"/>
      <c r="G198" s="3"/>
      <c r="H198" s="3"/>
      <c r="I198" s="13"/>
      <c r="J198" s="13"/>
      <c r="K198" s="13"/>
      <c r="L198" s="36"/>
      <c r="M198" s="91"/>
      <c r="N198" s="3"/>
      <c r="O198" s="3"/>
      <c r="P198" s="7"/>
      <c r="Q198" s="7"/>
      <c r="R198" s="166"/>
      <c r="S198" s="166"/>
      <c r="T198" s="7"/>
      <c r="U198" s="3"/>
      <c r="V198" s="13"/>
      <c r="W198" s="3"/>
      <c r="X198" s="166"/>
      <c r="Y198" s="7"/>
      <c r="Z198" s="13"/>
      <c r="AA198" s="7"/>
      <c r="AB198" s="7"/>
      <c r="AC198" s="257"/>
      <c r="AD198" s="166"/>
      <c r="AE198" s="258"/>
      <c r="AF198" s="7"/>
      <c r="AG198" s="7"/>
      <c r="AH198" s="166"/>
      <c r="AI198" s="13"/>
      <c r="AJ198" s="3"/>
      <c r="AK198" s="13"/>
      <c r="AL198" s="3"/>
      <c r="AM198" s="3"/>
      <c r="AN198" s="3"/>
      <c r="AO198" s="3"/>
      <c r="AP198" s="3"/>
      <c r="AQ198" s="3"/>
      <c r="AR198" s="3"/>
      <c r="AS198" s="98"/>
      <c r="AT198" s="98"/>
      <c r="AU198" s="98"/>
      <c r="AV198" s="98"/>
      <c r="AW198" s="98"/>
      <c r="AX198" s="98"/>
      <c r="AY198" s="98"/>
      <c r="AZ198" s="98"/>
    </row>
    <row r="199">
      <c r="A199" s="3"/>
      <c r="B199" s="36"/>
      <c r="C199" s="91"/>
      <c r="D199" s="13"/>
      <c r="E199" s="13"/>
      <c r="F199" s="3"/>
      <c r="G199" s="3"/>
      <c r="H199" s="3"/>
      <c r="I199" s="13"/>
      <c r="J199" s="13"/>
      <c r="K199" s="13"/>
      <c r="L199" s="36"/>
      <c r="M199" s="91"/>
      <c r="N199" s="3"/>
      <c r="O199" s="3"/>
      <c r="P199" s="7"/>
      <c r="Q199" s="7"/>
      <c r="R199" s="166"/>
      <c r="S199" s="166"/>
      <c r="T199" s="7"/>
      <c r="U199" s="3"/>
      <c r="V199" s="13"/>
      <c r="W199" s="3"/>
      <c r="X199" s="166"/>
      <c r="Y199" s="7"/>
      <c r="Z199" s="13"/>
      <c r="AA199" s="7"/>
      <c r="AB199" s="7"/>
      <c r="AC199" s="257"/>
      <c r="AD199" s="166"/>
      <c r="AE199" s="258"/>
      <c r="AF199" s="7"/>
      <c r="AG199" s="7"/>
      <c r="AH199" s="166"/>
      <c r="AI199" s="13"/>
      <c r="AJ199" s="3"/>
      <c r="AK199" s="13"/>
      <c r="AL199" s="3"/>
      <c r="AM199" s="3"/>
      <c r="AN199" s="3"/>
      <c r="AO199" s="3"/>
      <c r="AP199" s="3"/>
      <c r="AQ199" s="3"/>
      <c r="AR199" s="3"/>
      <c r="AS199" s="98"/>
      <c r="AT199" s="98"/>
      <c r="AU199" s="98"/>
      <c r="AV199" s="98"/>
      <c r="AW199" s="98"/>
      <c r="AX199" s="98"/>
      <c r="AY199" s="98"/>
      <c r="AZ199" s="98"/>
    </row>
    <row r="200">
      <c r="A200" s="3"/>
      <c r="B200" s="36"/>
      <c r="C200" s="91"/>
      <c r="D200" s="13"/>
      <c r="E200" s="13"/>
      <c r="F200" s="3"/>
      <c r="G200" s="3"/>
      <c r="H200" s="3"/>
      <c r="I200" s="13"/>
      <c r="J200" s="13"/>
      <c r="K200" s="13"/>
      <c r="L200" s="36"/>
      <c r="M200" s="91"/>
      <c r="N200" s="3"/>
      <c r="O200" s="3"/>
      <c r="P200" s="7"/>
      <c r="Q200" s="7"/>
      <c r="R200" s="166"/>
      <c r="S200" s="166"/>
      <c r="T200" s="7"/>
      <c r="U200" s="3"/>
      <c r="V200" s="13"/>
      <c r="W200" s="3"/>
      <c r="X200" s="166"/>
      <c r="Y200" s="7"/>
      <c r="Z200" s="13"/>
      <c r="AA200" s="7"/>
      <c r="AB200" s="7"/>
      <c r="AC200" s="257"/>
      <c r="AD200" s="166"/>
      <c r="AE200" s="258"/>
      <c r="AF200" s="7"/>
      <c r="AG200" s="7"/>
      <c r="AH200" s="166"/>
      <c r="AI200" s="13"/>
      <c r="AJ200" s="3"/>
      <c r="AK200" s="13"/>
      <c r="AL200" s="3"/>
      <c r="AM200" s="3"/>
      <c r="AN200" s="3"/>
      <c r="AO200" s="3"/>
      <c r="AP200" s="3"/>
      <c r="AQ200" s="3"/>
      <c r="AR200" s="3"/>
      <c r="AS200" s="98"/>
      <c r="AT200" s="98"/>
      <c r="AU200" s="98"/>
      <c r="AV200" s="98"/>
      <c r="AW200" s="98"/>
      <c r="AX200" s="98"/>
      <c r="AY200" s="98"/>
      <c r="AZ200" s="98"/>
    </row>
    <row r="201">
      <c r="A201" s="3"/>
      <c r="B201" s="36"/>
      <c r="C201" s="91"/>
      <c r="D201" s="13"/>
      <c r="E201" s="13"/>
      <c r="F201" s="3"/>
      <c r="G201" s="3"/>
      <c r="H201" s="3"/>
      <c r="I201" s="13"/>
      <c r="J201" s="13"/>
      <c r="K201" s="13"/>
      <c r="L201" s="36"/>
      <c r="M201" s="91"/>
      <c r="N201" s="3"/>
      <c r="O201" s="3"/>
      <c r="P201" s="7"/>
      <c r="Q201" s="7"/>
      <c r="R201" s="166"/>
      <c r="S201" s="166"/>
      <c r="T201" s="7"/>
      <c r="U201" s="3"/>
      <c r="V201" s="13"/>
      <c r="W201" s="3"/>
      <c r="X201" s="166"/>
      <c r="Y201" s="7"/>
      <c r="Z201" s="13"/>
      <c r="AA201" s="7"/>
      <c r="AB201" s="7"/>
      <c r="AC201" s="257"/>
      <c r="AD201" s="166"/>
      <c r="AE201" s="258"/>
      <c r="AF201" s="7"/>
      <c r="AG201" s="7"/>
      <c r="AH201" s="166"/>
      <c r="AI201" s="13"/>
      <c r="AJ201" s="3"/>
      <c r="AK201" s="13"/>
      <c r="AL201" s="3"/>
      <c r="AM201" s="3"/>
      <c r="AN201" s="3"/>
      <c r="AO201" s="3"/>
      <c r="AP201" s="3"/>
      <c r="AQ201" s="3"/>
      <c r="AR201" s="3"/>
      <c r="AS201" s="98"/>
      <c r="AT201" s="98"/>
      <c r="AU201" s="98"/>
      <c r="AV201" s="98"/>
      <c r="AW201" s="98"/>
      <c r="AX201" s="98"/>
      <c r="AY201" s="98"/>
      <c r="AZ201" s="98"/>
    </row>
    <row r="202">
      <c r="A202" s="3"/>
      <c r="B202" s="36"/>
      <c r="C202" s="91"/>
      <c r="D202" s="13"/>
      <c r="E202" s="13"/>
      <c r="F202" s="3"/>
      <c r="G202" s="3"/>
      <c r="H202" s="3"/>
      <c r="I202" s="13"/>
      <c r="J202" s="13"/>
      <c r="K202" s="13"/>
      <c r="L202" s="36"/>
      <c r="M202" s="91"/>
      <c r="N202" s="3"/>
      <c r="O202" s="3"/>
      <c r="P202" s="7"/>
      <c r="Q202" s="7"/>
      <c r="R202" s="166"/>
      <c r="S202" s="166"/>
      <c r="T202" s="7"/>
      <c r="U202" s="3"/>
      <c r="V202" s="13"/>
      <c r="W202" s="3"/>
      <c r="X202" s="166"/>
      <c r="Y202" s="7"/>
      <c r="Z202" s="13"/>
      <c r="AA202" s="7"/>
      <c r="AB202" s="7"/>
      <c r="AC202" s="257"/>
      <c r="AD202" s="166"/>
      <c r="AE202" s="258"/>
      <c r="AF202" s="7"/>
      <c r="AG202" s="7"/>
      <c r="AH202" s="166"/>
      <c r="AI202" s="13"/>
      <c r="AJ202" s="3"/>
      <c r="AK202" s="13"/>
      <c r="AL202" s="3"/>
      <c r="AM202" s="3"/>
      <c r="AN202" s="3"/>
      <c r="AO202" s="3"/>
      <c r="AP202" s="3"/>
      <c r="AQ202" s="3"/>
      <c r="AR202" s="3"/>
      <c r="AS202" s="98"/>
      <c r="AT202" s="98"/>
      <c r="AU202" s="98"/>
      <c r="AV202" s="98"/>
      <c r="AW202" s="98"/>
      <c r="AX202" s="98"/>
      <c r="AY202" s="98"/>
      <c r="AZ202" s="98"/>
    </row>
    <row r="203">
      <c r="A203" s="3"/>
      <c r="B203" s="36"/>
      <c r="C203" s="91"/>
      <c r="D203" s="13"/>
      <c r="E203" s="13"/>
      <c r="F203" s="3"/>
      <c r="G203" s="3"/>
      <c r="H203" s="3"/>
      <c r="I203" s="13"/>
      <c r="J203" s="13"/>
      <c r="K203" s="13"/>
      <c r="L203" s="36"/>
      <c r="M203" s="91"/>
      <c r="N203" s="3"/>
      <c r="O203" s="3"/>
      <c r="P203" s="7"/>
      <c r="Q203" s="7"/>
      <c r="R203" s="166"/>
      <c r="S203" s="166"/>
      <c r="T203" s="7"/>
      <c r="U203" s="3"/>
      <c r="V203" s="13"/>
      <c r="W203" s="3"/>
      <c r="X203" s="166"/>
      <c r="Y203" s="7"/>
      <c r="Z203" s="13"/>
      <c r="AA203" s="7"/>
      <c r="AB203" s="7"/>
      <c r="AC203" s="257"/>
      <c r="AD203" s="166"/>
      <c r="AE203" s="258"/>
      <c r="AF203" s="7"/>
      <c r="AG203" s="7"/>
      <c r="AH203" s="166"/>
      <c r="AI203" s="13"/>
      <c r="AJ203" s="3"/>
      <c r="AK203" s="13"/>
      <c r="AL203" s="3"/>
      <c r="AM203" s="3"/>
      <c r="AN203" s="3"/>
      <c r="AO203" s="3"/>
      <c r="AP203" s="3"/>
      <c r="AQ203" s="3"/>
      <c r="AR203" s="3"/>
      <c r="AS203" s="98"/>
      <c r="AT203" s="98"/>
      <c r="AU203" s="98"/>
      <c r="AV203" s="98"/>
      <c r="AW203" s="98"/>
      <c r="AX203" s="98"/>
      <c r="AY203" s="98"/>
      <c r="AZ203" s="98"/>
    </row>
    <row r="204">
      <c r="A204" s="3"/>
      <c r="B204" s="36"/>
      <c r="C204" s="91"/>
      <c r="D204" s="13"/>
      <c r="E204" s="13"/>
      <c r="F204" s="3"/>
      <c r="G204" s="3"/>
      <c r="H204" s="3"/>
      <c r="I204" s="13"/>
      <c r="J204" s="13"/>
      <c r="K204" s="13"/>
      <c r="L204" s="36"/>
      <c r="M204" s="91"/>
      <c r="N204" s="3"/>
      <c r="O204" s="3"/>
      <c r="P204" s="7"/>
      <c r="Q204" s="7"/>
      <c r="R204" s="166"/>
      <c r="S204" s="166"/>
      <c r="T204" s="7"/>
      <c r="U204" s="3"/>
      <c r="V204" s="13"/>
      <c r="W204" s="3"/>
      <c r="X204" s="166"/>
      <c r="Y204" s="7"/>
      <c r="Z204" s="13"/>
      <c r="AA204" s="7"/>
      <c r="AB204" s="7"/>
      <c r="AC204" s="257"/>
      <c r="AD204" s="166"/>
      <c r="AE204" s="258"/>
      <c r="AF204" s="7"/>
      <c r="AG204" s="7"/>
      <c r="AH204" s="166"/>
      <c r="AI204" s="13"/>
      <c r="AJ204" s="3"/>
      <c r="AK204" s="13"/>
      <c r="AL204" s="3"/>
      <c r="AM204" s="3"/>
      <c r="AN204" s="3"/>
      <c r="AO204" s="3"/>
      <c r="AP204" s="3"/>
      <c r="AQ204" s="3"/>
      <c r="AR204" s="3"/>
      <c r="AS204" s="98"/>
      <c r="AT204" s="98"/>
      <c r="AU204" s="98"/>
      <c r="AV204" s="98"/>
      <c r="AW204" s="98"/>
      <c r="AX204" s="98"/>
      <c r="AY204" s="98"/>
      <c r="AZ204" s="98"/>
    </row>
    <row r="205">
      <c r="A205" s="3"/>
      <c r="B205" s="36"/>
      <c r="C205" s="91"/>
      <c r="D205" s="13"/>
      <c r="E205" s="13"/>
      <c r="F205" s="3"/>
      <c r="G205" s="3"/>
      <c r="H205" s="3"/>
      <c r="I205" s="13"/>
      <c r="J205" s="13"/>
      <c r="K205" s="13"/>
      <c r="L205" s="36"/>
      <c r="M205" s="91"/>
      <c r="N205" s="3"/>
      <c r="O205" s="3"/>
      <c r="P205" s="7"/>
      <c r="Q205" s="7"/>
      <c r="R205" s="166"/>
      <c r="S205" s="166"/>
      <c r="T205" s="7"/>
      <c r="U205" s="3"/>
      <c r="V205" s="13"/>
      <c r="W205" s="3"/>
      <c r="X205" s="166"/>
      <c r="Y205" s="7"/>
      <c r="Z205" s="13"/>
      <c r="AA205" s="7"/>
      <c r="AB205" s="7"/>
      <c r="AC205" s="257"/>
      <c r="AD205" s="166"/>
      <c r="AE205" s="258"/>
      <c r="AF205" s="7"/>
      <c r="AG205" s="7"/>
      <c r="AH205" s="166"/>
      <c r="AI205" s="13"/>
      <c r="AJ205" s="3"/>
      <c r="AK205" s="13"/>
      <c r="AL205" s="3"/>
      <c r="AM205" s="3"/>
      <c r="AN205" s="3"/>
      <c r="AO205" s="3"/>
      <c r="AP205" s="3"/>
      <c r="AQ205" s="3"/>
      <c r="AR205" s="3"/>
      <c r="AS205" s="98"/>
      <c r="AT205" s="98"/>
      <c r="AU205" s="98"/>
      <c r="AV205" s="98"/>
      <c r="AW205" s="98"/>
      <c r="AX205" s="98"/>
      <c r="AY205" s="98"/>
      <c r="AZ205" s="98"/>
    </row>
    <row r="206">
      <c r="A206" s="3"/>
      <c r="B206" s="36"/>
      <c r="C206" s="91"/>
      <c r="D206" s="13"/>
      <c r="E206" s="13"/>
      <c r="F206" s="3"/>
      <c r="G206" s="3"/>
      <c r="H206" s="3"/>
      <c r="I206" s="13"/>
      <c r="J206" s="13"/>
      <c r="K206" s="13"/>
      <c r="L206" s="36"/>
      <c r="M206" s="91"/>
      <c r="N206" s="3"/>
      <c r="O206" s="3"/>
      <c r="P206" s="7"/>
      <c r="Q206" s="7"/>
      <c r="R206" s="166"/>
      <c r="S206" s="166"/>
      <c r="T206" s="7"/>
      <c r="U206" s="3"/>
      <c r="V206" s="13"/>
      <c r="W206" s="3"/>
      <c r="X206" s="166"/>
      <c r="Y206" s="7"/>
      <c r="Z206" s="13"/>
      <c r="AA206" s="7"/>
      <c r="AB206" s="7"/>
      <c r="AC206" s="257"/>
      <c r="AD206" s="166"/>
      <c r="AE206" s="258"/>
      <c r="AF206" s="7"/>
      <c r="AG206" s="7"/>
      <c r="AH206" s="166"/>
      <c r="AI206" s="13"/>
      <c r="AJ206" s="3"/>
      <c r="AK206" s="13"/>
      <c r="AL206" s="3"/>
      <c r="AM206" s="3"/>
      <c r="AN206" s="3"/>
      <c r="AO206" s="3"/>
      <c r="AP206" s="3"/>
      <c r="AQ206" s="3"/>
      <c r="AR206" s="3"/>
      <c r="AS206" s="98"/>
      <c r="AT206" s="98"/>
      <c r="AU206" s="98"/>
      <c r="AV206" s="98"/>
      <c r="AW206" s="98"/>
      <c r="AX206" s="98"/>
      <c r="AY206" s="98"/>
      <c r="AZ206" s="98"/>
    </row>
    <row r="207">
      <c r="A207" s="3"/>
      <c r="B207" s="36"/>
      <c r="C207" s="91"/>
      <c r="D207" s="13"/>
      <c r="E207" s="13"/>
      <c r="F207" s="3"/>
      <c r="G207" s="3"/>
      <c r="H207" s="3"/>
      <c r="I207" s="13"/>
      <c r="J207" s="13"/>
      <c r="K207" s="13"/>
      <c r="L207" s="36"/>
      <c r="M207" s="91"/>
      <c r="N207" s="3"/>
      <c r="O207" s="3"/>
      <c r="P207" s="7"/>
      <c r="Q207" s="7"/>
      <c r="R207" s="166"/>
      <c r="S207" s="166"/>
      <c r="T207" s="7"/>
      <c r="U207" s="3"/>
      <c r="V207" s="13"/>
      <c r="W207" s="3"/>
      <c r="X207" s="166"/>
      <c r="Y207" s="7"/>
      <c r="Z207" s="13"/>
      <c r="AA207" s="7"/>
      <c r="AB207" s="7"/>
      <c r="AC207" s="257"/>
      <c r="AD207" s="166"/>
      <c r="AE207" s="258"/>
      <c r="AF207" s="7"/>
      <c r="AG207" s="7"/>
      <c r="AH207" s="166"/>
      <c r="AI207" s="13"/>
      <c r="AJ207" s="3"/>
      <c r="AK207" s="13"/>
      <c r="AL207" s="3"/>
      <c r="AM207" s="3"/>
      <c r="AN207" s="3"/>
      <c r="AO207" s="3"/>
      <c r="AP207" s="3"/>
      <c r="AQ207" s="3"/>
      <c r="AR207" s="3"/>
      <c r="AS207" s="98"/>
      <c r="AT207" s="98"/>
      <c r="AU207" s="98"/>
      <c r="AV207" s="98"/>
      <c r="AW207" s="98"/>
      <c r="AX207" s="98"/>
      <c r="AY207" s="98"/>
      <c r="AZ207" s="98"/>
    </row>
    <row r="208">
      <c r="A208" s="3"/>
      <c r="B208" s="36"/>
      <c r="C208" s="91"/>
      <c r="D208" s="13"/>
      <c r="E208" s="13"/>
      <c r="F208" s="3"/>
      <c r="G208" s="3"/>
      <c r="H208" s="3"/>
      <c r="I208" s="13"/>
      <c r="J208" s="13"/>
      <c r="K208" s="13"/>
      <c r="L208" s="36"/>
      <c r="M208" s="91"/>
      <c r="N208" s="3"/>
      <c r="O208" s="3"/>
      <c r="P208" s="7"/>
      <c r="Q208" s="7"/>
      <c r="R208" s="166"/>
      <c r="S208" s="166"/>
      <c r="T208" s="7"/>
      <c r="U208" s="3"/>
      <c r="V208" s="13"/>
      <c r="W208" s="3"/>
      <c r="X208" s="166"/>
      <c r="Y208" s="7"/>
      <c r="Z208" s="13"/>
      <c r="AA208" s="7"/>
      <c r="AB208" s="7"/>
      <c r="AC208" s="257"/>
      <c r="AD208" s="166"/>
      <c r="AE208" s="258"/>
      <c r="AF208" s="7"/>
      <c r="AG208" s="7"/>
      <c r="AH208" s="166"/>
      <c r="AI208" s="13"/>
      <c r="AJ208" s="3"/>
      <c r="AK208" s="13"/>
      <c r="AL208" s="3"/>
      <c r="AM208" s="3"/>
      <c r="AN208" s="3"/>
      <c r="AO208" s="3"/>
      <c r="AP208" s="3"/>
      <c r="AQ208" s="3"/>
      <c r="AR208" s="3"/>
      <c r="AS208" s="98"/>
      <c r="AT208" s="98"/>
      <c r="AU208" s="98"/>
      <c r="AV208" s="98"/>
      <c r="AW208" s="98"/>
      <c r="AX208" s="98"/>
      <c r="AY208" s="98"/>
      <c r="AZ208" s="98"/>
    </row>
    <row r="209">
      <c r="A209" s="3"/>
      <c r="B209" s="36"/>
      <c r="C209" s="91"/>
      <c r="D209" s="13"/>
      <c r="E209" s="13"/>
      <c r="F209" s="3"/>
      <c r="G209" s="3"/>
      <c r="H209" s="3"/>
      <c r="I209" s="13"/>
      <c r="J209" s="13"/>
      <c r="K209" s="13"/>
      <c r="L209" s="36"/>
      <c r="M209" s="91"/>
      <c r="N209" s="3"/>
      <c r="O209" s="3"/>
      <c r="P209" s="7"/>
      <c r="Q209" s="7"/>
      <c r="R209" s="166"/>
      <c r="S209" s="166"/>
      <c r="T209" s="7"/>
      <c r="U209" s="3"/>
      <c r="V209" s="13"/>
      <c r="W209" s="3"/>
      <c r="X209" s="166"/>
      <c r="Y209" s="7"/>
      <c r="Z209" s="13"/>
      <c r="AA209" s="7"/>
      <c r="AB209" s="7"/>
      <c r="AC209" s="257"/>
      <c r="AD209" s="166"/>
      <c r="AE209" s="258"/>
      <c r="AF209" s="7"/>
      <c r="AG209" s="7"/>
      <c r="AH209" s="166"/>
      <c r="AI209" s="13"/>
      <c r="AJ209" s="3"/>
      <c r="AK209" s="13"/>
      <c r="AL209" s="3"/>
      <c r="AM209" s="3"/>
      <c r="AN209" s="3"/>
      <c r="AO209" s="3"/>
      <c r="AP209" s="3"/>
      <c r="AQ209" s="3"/>
      <c r="AR209" s="3"/>
      <c r="AS209" s="98"/>
      <c r="AT209" s="98"/>
      <c r="AU209" s="98"/>
      <c r="AV209" s="98"/>
      <c r="AW209" s="98"/>
      <c r="AX209" s="98"/>
      <c r="AY209" s="98"/>
      <c r="AZ209" s="98"/>
    </row>
    <row r="210">
      <c r="A210" s="3"/>
      <c r="B210" s="36"/>
      <c r="C210" s="91"/>
      <c r="D210" s="13"/>
      <c r="E210" s="13"/>
      <c r="F210" s="3"/>
      <c r="G210" s="3"/>
      <c r="H210" s="3"/>
      <c r="I210" s="13"/>
      <c r="J210" s="13"/>
      <c r="K210" s="13"/>
      <c r="L210" s="36"/>
      <c r="M210" s="91"/>
      <c r="N210" s="3"/>
      <c r="O210" s="3"/>
      <c r="P210" s="7"/>
      <c r="Q210" s="7"/>
      <c r="R210" s="166"/>
      <c r="S210" s="166"/>
      <c r="T210" s="7"/>
      <c r="U210" s="3"/>
      <c r="V210" s="13"/>
      <c r="W210" s="3"/>
      <c r="X210" s="166"/>
      <c r="Y210" s="7"/>
      <c r="Z210" s="13"/>
      <c r="AA210" s="7"/>
      <c r="AB210" s="7"/>
      <c r="AC210" s="257"/>
      <c r="AD210" s="166"/>
      <c r="AE210" s="258"/>
      <c r="AF210" s="7"/>
      <c r="AG210" s="7"/>
      <c r="AH210" s="166"/>
      <c r="AI210" s="13"/>
      <c r="AJ210" s="3"/>
      <c r="AK210" s="13"/>
      <c r="AL210" s="3"/>
      <c r="AM210" s="3"/>
      <c r="AN210" s="3"/>
      <c r="AO210" s="3"/>
      <c r="AP210" s="3"/>
      <c r="AQ210" s="3"/>
      <c r="AR210" s="3"/>
      <c r="AS210" s="98"/>
      <c r="AT210" s="98"/>
      <c r="AU210" s="98"/>
      <c r="AV210" s="98"/>
      <c r="AW210" s="98"/>
      <c r="AX210" s="98"/>
      <c r="AY210" s="98"/>
      <c r="AZ210" s="98"/>
    </row>
    <row r="211">
      <c r="A211" s="3"/>
      <c r="B211" s="36"/>
      <c r="C211" s="91"/>
      <c r="D211" s="13"/>
      <c r="E211" s="13"/>
      <c r="F211" s="3"/>
      <c r="G211" s="3"/>
      <c r="H211" s="3"/>
      <c r="I211" s="13"/>
      <c r="J211" s="13"/>
      <c r="K211" s="13"/>
      <c r="L211" s="36"/>
      <c r="M211" s="91"/>
      <c r="N211" s="3"/>
      <c r="O211" s="3"/>
      <c r="P211" s="7"/>
      <c r="Q211" s="7"/>
      <c r="R211" s="166"/>
      <c r="S211" s="166"/>
      <c r="T211" s="7"/>
      <c r="U211" s="3"/>
      <c r="V211" s="13"/>
      <c r="W211" s="3"/>
      <c r="X211" s="166"/>
      <c r="Y211" s="7"/>
      <c r="Z211" s="13"/>
      <c r="AA211" s="7"/>
      <c r="AB211" s="7"/>
      <c r="AC211" s="257"/>
      <c r="AD211" s="166"/>
      <c r="AE211" s="258"/>
      <c r="AF211" s="7"/>
      <c r="AG211" s="7"/>
      <c r="AH211" s="166"/>
      <c r="AI211" s="13"/>
      <c r="AJ211" s="3"/>
      <c r="AK211" s="13"/>
      <c r="AL211" s="3"/>
      <c r="AM211" s="3"/>
      <c r="AN211" s="3"/>
      <c r="AO211" s="3"/>
      <c r="AP211" s="3"/>
      <c r="AQ211" s="3"/>
      <c r="AR211" s="3"/>
      <c r="AS211" s="98"/>
      <c r="AT211" s="98"/>
      <c r="AU211" s="98"/>
      <c r="AV211" s="98"/>
      <c r="AW211" s="98"/>
      <c r="AX211" s="98"/>
      <c r="AY211" s="98"/>
      <c r="AZ211" s="98"/>
    </row>
    <row r="212">
      <c r="A212" s="3"/>
      <c r="B212" s="36"/>
      <c r="C212" s="91"/>
      <c r="D212" s="13"/>
      <c r="E212" s="13"/>
      <c r="F212" s="3"/>
      <c r="G212" s="3"/>
      <c r="H212" s="3"/>
      <c r="I212" s="13"/>
      <c r="J212" s="13"/>
      <c r="K212" s="13"/>
      <c r="L212" s="36"/>
      <c r="M212" s="91"/>
      <c r="N212" s="3"/>
      <c r="O212" s="3"/>
      <c r="P212" s="7"/>
      <c r="Q212" s="7"/>
      <c r="R212" s="166"/>
      <c r="S212" s="166"/>
      <c r="T212" s="7"/>
      <c r="U212" s="3"/>
      <c r="V212" s="13"/>
      <c r="W212" s="3"/>
      <c r="X212" s="166"/>
      <c r="Y212" s="7"/>
      <c r="Z212" s="13"/>
      <c r="AA212" s="7"/>
      <c r="AB212" s="7"/>
      <c r="AC212" s="257"/>
      <c r="AD212" s="166"/>
      <c r="AE212" s="258"/>
      <c r="AF212" s="7"/>
      <c r="AG212" s="7"/>
      <c r="AH212" s="166"/>
      <c r="AI212" s="13"/>
      <c r="AJ212" s="3"/>
      <c r="AK212" s="13"/>
      <c r="AL212" s="3"/>
      <c r="AM212" s="3"/>
      <c r="AN212" s="3"/>
      <c r="AO212" s="3"/>
      <c r="AP212" s="3"/>
      <c r="AQ212" s="3"/>
      <c r="AR212" s="3"/>
      <c r="AS212" s="98"/>
      <c r="AT212" s="98"/>
      <c r="AU212" s="98"/>
      <c r="AV212" s="98"/>
      <c r="AW212" s="98"/>
      <c r="AX212" s="98"/>
      <c r="AY212" s="98"/>
      <c r="AZ212" s="98"/>
    </row>
    <row r="213">
      <c r="A213" s="3"/>
      <c r="B213" s="36"/>
      <c r="C213" s="91"/>
      <c r="D213" s="13"/>
      <c r="E213" s="13"/>
      <c r="F213" s="3"/>
      <c r="G213" s="3"/>
      <c r="H213" s="3"/>
      <c r="I213" s="13"/>
      <c r="J213" s="13"/>
      <c r="K213" s="13"/>
      <c r="L213" s="36"/>
      <c r="M213" s="91"/>
      <c r="N213" s="3"/>
      <c r="O213" s="3"/>
      <c r="P213" s="7"/>
      <c r="Q213" s="7"/>
      <c r="R213" s="166"/>
      <c r="S213" s="166"/>
      <c r="T213" s="7"/>
      <c r="U213" s="3"/>
      <c r="V213" s="13"/>
      <c r="W213" s="3"/>
      <c r="X213" s="166"/>
      <c r="Y213" s="7"/>
      <c r="Z213" s="13"/>
      <c r="AA213" s="7"/>
      <c r="AB213" s="7"/>
      <c r="AC213" s="257"/>
      <c r="AD213" s="166"/>
      <c r="AE213" s="258"/>
      <c r="AF213" s="7"/>
      <c r="AG213" s="7"/>
      <c r="AH213" s="166"/>
      <c r="AI213" s="13"/>
      <c r="AJ213" s="3"/>
      <c r="AK213" s="13"/>
      <c r="AL213" s="3"/>
      <c r="AM213" s="3"/>
      <c r="AN213" s="3"/>
      <c r="AO213" s="3"/>
      <c r="AP213" s="3"/>
      <c r="AQ213" s="3"/>
      <c r="AR213" s="3"/>
      <c r="AS213" s="98"/>
      <c r="AT213" s="98"/>
      <c r="AU213" s="98"/>
      <c r="AV213" s="98"/>
      <c r="AW213" s="98"/>
      <c r="AX213" s="98"/>
      <c r="AY213" s="98"/>
      <c r="AZ213" s="98"/>
    </row>
    <row r="214">
      <c r="A214" s="3"/>
      <c r="B214" s="36"/>
      <c r="C214" s="91"/>
      <c r="D214" s="13"/>
      <c r="E214" s="13"/>
      <c r="F214" s="3"/>
      <c r="G214" s="3"/>
      <c r="H214" s="3"/>
      <c r="I214" s="13"/>
      <c r="J214" s="13"/>
      <c r="K214" s="13"/>
      <c r="L214" s="36"/>
      <c r="M214" s="91"/>
      <c r="N214" s="3"/>
      <c r="O214" s="3"/>
      <c r="P214" s="7"/>
      <c r="Q214" s="7"/>
      <c r="R214" s="166"/>
      <c r="S214" s="166"/>
      <c r="T214" s="7"/>
      <c r="U214" s="3"/>
      <c r="V214" s="13"/>
      <c r="W214" s="3"/>
      <c r="X214" s="166"/>
      <c r="Y214" s="7"/>
      <c r="Z214" s="13"/>
      <c r="AA214" s="7"/>
      <c r="AB214" s="7"/>
      <c r="AC214" s="257"/>
      <c r="AD214" s="166"/>
      <c r="AE214" s="258"/>
      <c r="AF214" s="7"/>
      <c r="AG214" s="7"/>
      <c r="AH214" s="166"/>
      <c r="AI214" s="13"/>
      <c r="AJ214" s="3"/>
      <c r="AK214" s="13"/>
      <c r="AL214" s="3"/>
      <c r="AM214" s="3"/>
      <c r="AN214" s="3"/>
      <c r="AO214" s="3"/>
      <c r="AP214" s="3"/>
      <c r="AQ214" s="3"/>
      <c r="AR214" s="3"/>
      <c r="AS214" s="98"/>
      <c r="AT214" s="98"/>
      <c r="AU214" s="98"/>
      <c r="AV214" s="98"/>
      <c r="AW214" s="98"/>
      <c r="AX214" s="98"/>
      <c r="AY214" s="98"/>
      <c r="AZ214" s="98"/>
    </row>
    <row r="215">
      <c r="A215" s="3"/>
      <c r="B215" s="36"/>
      <c r="C215" s="91"/>
      <c r="D215" s="13"/>
      <c r="E215" s="13"/>
      <c r="F215" s="3"/>
      <c r="G215" s="3"/>
      <c r="H215" s="3"/>
      <c r="I215" s="13"/>
      <c r="J215" s="13"/>
      <c r="K215" s="13"/>
      <c r="L215" s="36"/>
      <c r="M215" s="91"/>
      <c r="N215" s="3"/>
      <c r="O215" s="3"/>
      <c r="P215" s="7"/>
      <c r="Q215" s="7"/>
      <c r="R215" s="166"/>
      <c r="S215" s="166"/>
      <c r="T215" s="7"/>
      <c r="U215" s="3"/>
      <c r="V215" s="13"/>
      <c r="W215" s="3"/>
      <c r="X215" s="166"/>
      <c r="Y215" s="7"/>
      <c r="Z215" s="13"/>
      <c r="AA215" s="7"/>
      <c r="AB215" s="7"/>
      <c r="AC215" s="257"/>
      <c r="AD215" s="166"/>
      <c r="AE215" s="258"/>
      <c r="AF215" s="7"/>
      <c r="AG215" s="7"/>
      <c r="AH215" s="166"/>
      <c r="AI215" s="13"/>
      <c r="AJ215" s="3"/>
      <c r="AK215" s="13"/>
      <c r="AL215" s="3"/>
      <c r="AM215" s="3"/>
      <c r="AN215" s="3"/>
      <c r="AO215" s="3"/>
      <c r="AP215" s="3"/>
      <c r="AQ215" s="3"/>
      <c r="AR215" s="3"/>
      <c r="AS215" s="98"/>
      <c r="AT215" s="98"/>
      <c r="AU215" s="98"/>
      <c r="AV215" s="98"/>
      <c r="AW215" s="98"/>
      <c r="AX215" s="98"/>
      <c r="AY215" s="98"/>
      <c r="AZ215" s="98"/>
    </row>
    <row r="216">
      <c r="A216" s="3"/>
      <c r="B216" s="36"/>
      <c r="C216" s="91"/>
      <c r="D216" s="13"/>
      <c r="E216" s="13"/>
      <c r="F216" s="3"/>
      <c r="G216" s="3"/>
      <c r="H216" s="3"/>
      <c r="I216" s="13"/>
      <c r="J216" s="13"/>
      <c r="K216" s="13"/>
      <c r="L216" s="36"/>
      <c r="M216" s="91"/>
      <c r="N216" s="3"/>
      <c r="O216" s="3"/>
      <c r="P216" s="7"/>
      <c r="Q216" s="7"/>
      <c r="R216" s="166"/>
      <c r="S216" s="166"/>
      <c r="T216" s="7"/>
      <c r="U216" s="3"/>
      <c r="V216" s="13"/>
      <c r="W216" s="3"/>
      <c r="X216" s="166"/>
      <c r="Y216" s="7"/>
      <c r="Z216" s="13"/>
      <c r="AA216" s="7"/>
      <c r="AB216" s="7"/>
      <c r="AC216" s="257"/>
      <c r="AD216" s="166"/>
      <c r="AE216" s="258"/>
      <c r="AF216" s="7"/>
      <c r="AG216" s="7"/>
      <c r="AH216" s="166"/>
      <c r="AI216" s="13"/>
      <c r="AJ216" s="3"/>
      <c r="AK216" s="13"/>
      <c r="AL216" s="3"/>
      <c r="AM216" s="3"/>
      <c r="AN216" s="3"/>
      <c r="AO216" s="3"/>
      <c r="AP216" s="3"/>
      <c r="AQ216" s="3"/>
      <c r="AR216" s="3"/>
      <c r="AS216" s="98"/>
      <c r="AT216" s="98"/>
      <c r="AU216" s="98"/>
      <c r="AV216" s="98"/>
      <c r="AW216" s="98"/>
      <c r="AX216" s="98"/>
      <c r="AY216" s="98"/>
      <c r="AZ216" s="98"/>
    </row>
    <row r="217">
      <c r="A217" s="3"/>
      <c r="B217" s="36"/>
      <c r="C217" s="91"/>
      <c r="D217" s="13"/>
      <c r="E217" s="13"/>
      <c r="F217" s="3"/>
      <c r="G217" s="3"/>
      <c r="H217" s="3"/>
      <c r="I217" s="13"/>
      <c r="J217" s="13"/>
      <c r="K217" s="13"/>
      <c r="L217" s="36"/>
      <c r="M217" s="91"/>
      <c r="N217" s="3"/>
      <c r="O217" s="3"/>
      <c r="P217" s="7"/>
      <c r="Q217" s="7"/>
      <c r="R217" s="166"/>
      <c r="S217" s="166"/>
      <c r="T217" s="7"/>
      <c r="U217" s="3"/>
      <c r="V217" s="13"/>
      <c r="W217" s="3"/>
      <c r="X217" s="166"/>
      <c r="Y217" s="7"/>
      <c r="Z217" s="13"/>
      <c r="AA217" s="7"/>
      <c r="AB217" s="7"/>
      <c r="AC217" s="257"/>
      <c r="AD217" s="166"/>
      <c r="AE217" s="258"/>
      <c r="AF217" s="7"/>
      <c r="AG217" s="7"/>
      <c r="AH217" s="166"/>
      <c r="AI217" s="13"/>
      <c r="AJ217" s="3"/>
      <c r="AK217" s="13"/>
      <c r="AL217" s="3"/>
      <c r="AM217" s="3"/>
      <c r="AN217" s="3"/>
      <c r="AO217" s="3"/>
      <c r="AP217" s="3"/>
      <c r="AQ217" s="3"/>
      <c r="AR217" s="3"/>
      <c r="AS217" s="98"/>
      <c r="AT217" s="98"/>
      <c r="AU217" s="98"/>
      <c r="AV217" s="98"/>
      <c r="AW217" s="98"/>
      <c r="AX217" s="98"/>
      <c r="AY217" s="98"/>
      <c r="AZ217" s="98"/>
    </row>
    <row r="218">
      <c r="A218" s="3"/>
      <c r="B218" s="36"/>
      <c r="C218" s="91"/>
      <c r="D218" s="13"/>
      <c r="E218" s="13"/>
      <c r="F218" s="3"/>
      <c r="G218" s="3"/>
      <c r="H218" s="3"/>
      <c r="I218" s="13"/>
      <c r="J218" s="13"/>
      <c r="K218" s="13"/>
      <c r="L218" s="36"/>
      <c r="M218" s="91"/>
      <c r="N218" s="3"/>
      <c r="O218" s="3"/>
      <c r="P218" s="7"/>
      <c r="Q218" s="7"/>
      <c r="R218" s="166"/>
      <c r="S218" s="166"/>
      <c r="T218" s="7"/>
      <c r="U218" s="3"/>
      <c r="V218" s="13"/>
      <c r="W218" s="3"/>
      <c r="X218" s="166"/>
      <c r="Y218" s="7"/>
      <c r="Z218" s="13"/>
      <c r="AA218" s="7"/>
      <c r="AB218" s="7"/>
      <c r="AC218" s="257"/>
      <c r="AD218" s="166"/>
      <c r="AE218" s="258"/>
      <c r="AF218" s="7"/>
      <c r="AG218" s="7"/>
      <c r="AH218" s="166"/>
      <c r="AI218" s="13"/>
      <c r="AJ218" s="3"/>
      <c r="AK218" s="13"/>
      <c r="AL218" s="3"/>
      <c r="AM218" s="3"/>
      <c r="AN218" s="3"/>
      <c r="AO218" s="3"/>
      <c r="AP218" s="3"/>
      <c r="AQ218" s="3"/>
      <c r="AR218" s="3"/>
      <c r="AS218" s="98"/>
      <c r="AT218" s="98"/>
      <c r="AU218" s="98"/>
      <c r="AV218" s="98"/>
      <c r="AW218" s="98"/>
      <c r="AX218" s="98"/>
      <c r="AY218" s="98"/>
      <c r="AZ218" s="98"/>
    </row>
    <row r="219">
      <c r="A219" s="3"/>
      <c r="B219" s="36"/>
      <c r="C219" s="91"/>
      <c r="D219" s="13"/>
      <c r="E219" s="13"/>
      <c r="F219" s="3"/>
      <c r="G219" s="3"/>
      <c r="H219" s="3"/>
      <c r="I219" s="13"/>
      <c r="J219" s="13"/>
      <c r="K219" s="13"/>
      <c r="L219" s="36"/>
      <c r="M219" s="91"/>
      <c r="N219" s="3"/>
      <c r="O219" s="3"/>
      <c r="P219" s="7"/>
      <c r="Q219" s="7"/>
      <c r="R219" s="166"/>
      <c r="S219" s="166"/>
      <c r="T219" s="7"/>
      <c r="U219" s="3"/>
      <c r="V219" s="13"/>
      <c r="W219" s="3"/>
      <c r="X219" s="166"/>
      <c r="Y219" s="7"/>
      <c r="Z219" s="13"/>
      <c r="AA219" s="7"/>
      <c r="AB219" s="7"/>
      <c r="AC219" s="257"/>
      <c r="AD219" s="166"/>
      <c r="AE219" s="258"/>
      <c r="AF219" s="7"/>
      <c r="AG219" s="7"/>
      <c r="AH219" s="166"/>
      <c r="AI219" s="13"/>
      <c r="AJ219" s="3"/>
      <c r="AK219" s="13"/>
      <c r="AL219" s="3"/>
      <c r="AM219" s="3"/>
      <c r="AN219" s="3"/>
      <c r="AO219" s="3"/>
      <c r="AP219" s="3"/>
      <c r="AQ219" s="3"/>
      <c r="AR219" s="3"/>
      <c r="AS219" s="98"/>
      <c r="AT219" s="98"/>
      <c r="AU219" s="98"/>
      <c r="AV219" s="98"/>
      <c r="AW219" s="98"/>
      <c r="AX219" s="98"/>
      <c r="AY219" s="98"/>
      <c r="AZ219" s="98"/>
    </row>
    <row r="220">
      <c r="A220" s="3"/>
      <c r="B220" s="36"/>
      <c r="C220" s="91"/>
      <c r="D220" s="13"/>
      <c r="E220" s="13"/>
      <c r="F220" s="3"/>
      <c r="G220" s="3"/>
      <c r="H220" s="3"/>
      <c r="I220" s="13"/>
      <c r="J220" s="13"/>
      <c r="K220" s="13"/>
      <c r="L220" s="36"/>
      <c r="M220" s="91"/>
      <c r="N220" s="3"/>
      <c r="O220" s="3"/>
      <c r="P220" s="7"/>
      <c r="Q220" s="7"/>
      <c r="R220" s="166"/>
      <c r="S220" s="166"/>
      <c r="T220" s="7"/>
      <c r="U220" s="3"/>
      <c r="V220" s="13"/>
      <c r="W220" s="3"/>
      <c r="X220" s="166"/>
      <c r="Y220" s="7"/>
      <c r="Z220" s="13"/>
      <c r="AA220" s="7"/>
      <c r="AB220" s="7"/>
      <c r="AC220" s="257"/>
      <c r="AD220" s="166"/>
      <c r="AE220" s="258"/>
      <c r="AF220" s="7"/>
      <c r="AG220" s="7"/>
      <c r="AH220" s="166"/>
      <c r="AI220" s="13"/>
      <c r="AJ220" s="3"/>
      <c r="AK220" s="13"/>
      <c r="AL220" s="3"/>
      <c r="AM220" s="3"/>
      <c r="AN220" s="3"/>
      <c r="AO220" s="3"/>
      <c r="AP220" s="3"/>
      <c r="AQ220" s="3"/>
      <c r="AR220" s="3"/>
      <c r="AS220" s="98"/>
      <c r="AT220" s="98"/>
      <c r="AU220" s="98"/>
      <c r="AV220" s="98"/>
      <c r="AW220" s="98"/>
      <c r="AX220" s="98"/>
      <c r="AY220" s="98"/>
      <c r="AZ220" s="98"/>
    </row>
    <row r="221">
      <c r="A221" s="3"/>
      <c r="B221" s="36"/>
      <c r="C221" s="91"/>
      <c r="D221" s="13"/>
      <c r="E221" s="13"/>
      <c r="F221" s="3"/>
      <c r="G221" s="3"/>
      <c r="H221" s="3"/>
      <c r="I221" s="13"/>
      <c r="J221" s="13"/>
      <c r="K221" s="13"/>
      <c r="L221" s="36"/>
      <c r="M221" s="91"/>
      <c r="N221" s="3"/>
      <c r="O221" s="3"/>
      <c r="P221" s="7"/>
      <c r="Q221" s="7"/>
      <c r="R221" s="166"/>
      <c r="S221" s="166"/>
      <c r="T221" s="7"/>
      <c r="U221" s="3"/>
      <c r="V221" s="13"/>
      <c r="W221" s="3"/>
      <c r="X221" s="166"/>
      <c r="Y221" s="7"/>
      <c r="Z221" s="13"/>
      <c r="AA221" s="7"/>
      <c r="AB221" s="7"/>
      <c r="AC221" s="257"/>
      <c r="AD221" s="166"/>
      <c r="AE221" s="258"/>
      <c r="AF221" s="7"/>
      <c r="AG221" s="7"/>
      <c r="AH221" s="166"/>
      <c r="AI221" s="13"/>
      <c r="AJ221" s="3"/>
      <c r="AK221" s="13"/>
      <c r="AL221" s="3"/>
      <c r="AM221" s="3"/>
      <c r="AN221" s="3"/>
      <c r="AO221" s="3"/>
      <c r="AP221" s="3"/>
      <c r="AQ221" s="3"/>
      <c r="AR221" s="3"/>
      <c r="AS221" s="98"/>
      <c r="AT221" s="98"/>
      <c r="AU221" s="98"/>
      <c r="AV221" s="98"/>
      <c r="AW221" s="98"/>
      <c r="AX221" s="98"/>
      <c r="AY221" s="98"/>
      <c r="AZ221" s="98"/>
    </row>
    <row r="222">
      <c r="A222" s="3"/>
      <c r="B222" s="36"/>
      <c r="C222" s="91"/>
      <c r="D222" s="13"/>
      <c r="E222" s="13"/>
      <c r="F222" s="3"/>
      <c r="G222" s="3"/>
      <c r="H222" s="3"/>
      <c r="I222" s="13"/>
      <c r="J222" s="13"/>
      <c r="K222" s="13"/>
      <c r="L222" s="36"/>
      <c r="M222" s="91"/>
      <c r="N222" s="3"/>
      <c r="O222" s="3"/>
      <c r="P222" s="7"/>
      <c r="Q222" s="7"/>
      <c r="R222" s="166"/>
      <c r="S222" s="166"/>
      <c r="T222" s="7"/>
      <c r="U222" s="3"/>
      <c r="V222" s="13"/>
      <c r="W222" s="3"/>
      <c r="X222" s="166"/>
      <c r="Y222" s="7"/>
      <c r="Z222" s="13"/>
      <c r="AA222" s="7"/>
      <c r="AB222" s="7"/>
      <c r="AC222" s="257"/>
      <c r="AD222" s="166"/>
      <c r="AE222" s="258"/>
      <c r="AF222" s="7"/>
      <c r="AG222" s="7"/>
      <c r="AH222" s="166"/>
      <c r="AI222" s="13"/>
      <c r="AJ222" s="3"/>
      <c r="AK222" s="13"/>
      <c r="AL222" s="3"/>
      <c r="AM222" s="3"/>
      <c r="AN222" s="3"/>
      <c r="AO222" s="3"/>
      <c r="AP222" s="3"/>
      <c r="AQ222" s="3"/>
      <c r="AR222" s="3"/>
      <c r="AS222" s="98"/>
      <c r="AT222" s="98"/>
      <c r="AU222" s="98"/>
      <c r="AV222" s="98"/>
      <c r="AW222" s="98"/>
      <c r="AX222" s="98"/>
      <c r="AY222" s="98"/>
      <c r="AZ222" s="98"/>
    </row>
    <row r="223">
      <c r="A223" s="3"/>
      <c r="B223" s="36"/>
      <c r="C223" s="91"/>
      <c r="D223" s="13"/>
      <c r="E223" s="13"/>
      <c r="F223" s="3"/>
      <c r="G223" s="3"/>
      <c r="H223" s="3"/>
      <c r="I223" s="13"/>
      <c r="J223" s="13"/>
      <c r="K223" s="13"/>
      <c r="L223" s="36"/>
      <c r="M223" s="91"/>
      <c r="N223" s="3"/>
      <c r="O223" s="3"/>
      <c r="P223" s="7"/>
      <c r="Q223" s="7"/>
      <c r="R223" s="166"/>
      <c r="S223" s="166"/>
      <c r="T223" s="7"/>
      <c r="U223" s="3"/>
      <c r="V223" s="13"/>
      <c r="W223" s="3"/>
      <c r="X223" s="166"/>
      <c r="Y223" s="7"/>
      <c r="Z223" s="13"/>
      <c r="AA223" s="7"/>
      <c r="AB223" s="7"/>
      <c r="AC223" s="257"/>
      <c r="AD223" s="166"/>
      <c r="AE223" s="258"/>
      <c r="AF223" s="7"/>
      <c r="AG223" s="7"/>
      <c r="AH223" s="166"/>
      <c r="AI223" s="13"/>
      <c r="AJ223" s="3"/>
      <c r="AK223" s="13"/>
      <c r="AL223" s="3"/>
      <c r="AM223" s="3"/>
      <c r="AN223" s="3"/>
      <c r="AO223" s="3"/>
      <c r="AP223" s="3"/>
      <c r="AQ223" s="3"/>
      <c r="AR223" s="3"/>
      <c r="AS223" s="98"/>
      <c r="AT223" s="98"/>
      <c r="AU223" s="98"/>
      <c r="AV223" s="98"/>
      <c r="AW223" s="98"/>
      <c r="AX223" s="98"/>
      <c r="AY223" s="98"/>
      <c r="AZ223" s="98"/>
    </row>
    <row r="224">
      <c r="A224" s="3"/>
      <c r="B224" s="36"/>
      <c r="C224" s="91"/>
      <c r="D224" s="13"/>
      <c r="E224" s="13"/>
      <c r="F224" s="3"/>
      <c r="G224" s="3"/>
      <c r="H224" s="3"/>
      <c r="I224" s="13"/>
      <c r="J224" s="13"/>
      <c r="K224" s="13"/>
      <c r="L224" s="36"/>
      <c r="M224" s="91"/>
      <c r="N224" s="3"/>
      <c r="O224" s="3"/>
      <c r="P224" s="7"/>
      <c r="Q224" s="7"/>
      <c r="R224" s="166"/>
      <c r="S224" s="166"/>
      <c r="T224" s="7"/>
      <c r="U224" s="3"/>
      <c r="V224" s="13"/>
      <c r="W224" s="3"/>
      <c r="X224" s="166"/>
      <c r="Y224" s="7"/>
      <c r="Z224" s="13"/>
      <c r="AA224" s="7"/>
      <c r="AB224" s="7"/>
      <c r="AC224" s="257"/>
      <c r="AD224" s="166"/>
      <c r="AE224" s="258"/>
      <c r="AF224" s="7"/>
      <c r="AG224" s="7"/>
      <c r="AH224" s="166"/>
      <c r="AI224" s="13"/>
      <c r="AJ224" s="3"/>
      <c r="AK224" s="13"/>
      <c r="AL224" s="3"/>
      <c r="AM224" s="3"/>
      <c r="AN224" s="3"/>
      <c r="AO224" s="3"/>
      <c r="AP224" s="3"/>
      <c r="AQ224" s="3"/>
      <c r="AR224" s="3"/>
      <c r="AS224" s="98"/>
      <c r="AT224" s="98"/>
      <c r="AU224" s="98"/>
      <c r="AV224" s="98"/>
      <c r="AW224" s="98"/>
      <c r="AX224" s="98"/>
      <c r="AY224" s="98"/>
      <c r="AZ224" s="98"/>
    </row>
    <row r="225">
      <c r="A225" s="3"/>
      <c r="B225" s="36"/>
      <c r="C225" s="91"/>
      <c r="D225" s="13"/>
      <c r="E225" s="13"/>
      <c r="F225" s="3"/>
      <c r="G225" s="3"/>
      <c r="H225" s="3"/>
      <c r="I225" s="13"/>
      <c r="J225" s="13"/>
      <c r="K225" s="13"/>
      <c r="L225" s="36"/>
      <c r="M225" s="91"/>
      <c r="N225" s="3"/>
      <c r="O225" s="3"/>
      <c r="P225" s="7"/>
      <c r="Q225" s="7"/>
      <c r="R225" s="166"/>
      <c r="S225" s="166"/>
      <c r="T225" s="7"/>
      <c r="U225" s="3"/>
      <c r="V225" s="13"/>
      <c r="W225" s="3"/>
      <c r="X225" s="166"/>
      <c r="Y225" s="7"/>
      <c r="Z225" s="13"/>
      <c r="AA225" s="7"/>
      <c r="AB225" s="7"/>
      <c r="AC225" s="257"/>
      <c r="AD225" s="166"/>
      <c r="AE225" s="258"/>
      <c r="AF225" s="7"/>
      <c r="AG225" s="7"/>
      <c r="AH225" s="166"/>
      <c r="AI225" s="13"/>
      <c r="AJ225" s="3"/>
      <c r="AK225" s="13"/>
      <c r="AL225" s="3"/>
      <c r="AM225" s="3"/>
      <c r="AN225" s="3"/>
      <c r="AO225" s="3"/>
      <c r="AP225" s="3"/>
      <c r="AQ225" s="3"/>
      <c r="AR225" s="3"/>
      <c r="AS225" s="98"/>
      <c r="AT225" s="98"/>
      <c r="AU225" s="98"/>
      <c r="AV225" s="98"/>
      <c r="AW225" s="98"/>
      <c r="AX225" s="98"/>
      <c r="AY225" s="98"/>
      <c r="AZ225" s="98"/>
    </row>
    <row r="226">
      <c r="A226" s="3"/>
      <c r="B226" s="36"/>
      <c r="C226" s="91"/>
      <c r="D226" s="13"/>
      <c r="E226" s="13"/>
      <c r="F226" s="3"/>
      <c r="G226" s="3"/>
      <c r="H226" s="3"/>
      <c r="I226" s="13"/>
      <c r="J226" s="13"/>
      <c r="K226" s="13"/>
      <c r="L226" s="36"/>
      <c r="M226" s="91"/>
      <c r="N226" s="3"/>
      <c r="O226" s="3"/>
      <c r="P226" s="7"/>
      <c r="Q226" s="7"/>
      <c r="R226" s="166"/>
      <c r="S226" s="166"/>
      <c r="T226" s="7"/>
      <c r="U226" s="3"/>
      <c r="V226" s="13"/>
      <c r="W226" s="3"/>
      <c r="X226" s="166"/>
      <c r="Y226" s="7"/>
      <c r="Z226" s="13"/>
      <c r="AA226" s="7"/>
      <c r="AB226" s="7"/>
      <c r="AC226" s="257"/>
      <c r="AD226" s="166"/>
      <c r="AE226" s="258"/>
      <c r="AF226" s="7"/>
      <c r="AG226" s="7"/>
      <c r="AH226" s="166"/>
      <c r="AI226" s="13"/>
      <c r="AJ226" s="3"/>
      <c r="AK226" s="13"/>
      <c r="AL226" s="3"/>
      <c r="AM226" s="3"/>
      <c r="AN226" s="3"/>
      <c r="AO226" s="3"/>
      <c r="AP226" s="3"/>
      <c r="AQ226" s="3"/>
      <c r="AR226" s="3"/>
      <c r="AS226" s="98"/>
      <c r="AT226" s="98"/>
      <c r="AU226" s="98"/>
      <c r="AV226" s="98"/>
      <c r="AW226" s="98"/>
      <c r="AX226" s="98"/>
      <c r="AY226" s="98"/>
      <c r="AZ226" s="98"/>
    </row>
    <row r="227">
      <c r="A227" s="3"/>
      <c r="B227" s="36"/>
      <c r="C227" s="91"/>
      <c r="D227" s="13"/>
      <c r="E227" s="13"/>
      <c r="F227" s="3"/>
      <c r="G227" s="3"/>
      <c r="H227" s="3"/>
      <c r="I227" s="13"/>
      <c r="J227" s="13"/>
      <c r="K227" s="13"/>
      <c r="L227" s="36"/>
      <c r="M227" s="91"/>
      <c r="N227" s="3"/>
      <c r="O227" s="3"/>
      <c r="P227" s="7"/>
      <c r="Q227" s="7"/>
      <c r="R227" s="166"/>
      <c r="S227" s="166"/>
      <c r="T227" s="7"/>
      <c r="U227" s="3"/>
      <c r="V227" s="13"/>
      <c r="W227" s="3"/>
      <c r="X227" s="166"/>
      <c r="Y227" s="7"/>
      <c r="Z227" s="13"/>
      <c r="AA227" s="7"/>
      <c r="AB227" s="7"/>
      <c r="AC227" s="257"/>
      <c r="AD227" s="166"/>
      <c r="AE227" s="258"/>
      <c r="AF227" s="7"/>
      <c r="AG227" s="7"/>
      <c r="AH227" s="166"/>
      <c r="AI227" s="13"/>
      <c r="AJ227" s="3"/>
      <c r="AK227" s="13"/>
      <c r="AL227" s="3"/>
      <c r="AM227" s="3"/>
      <c r="AN227" s="3"/>
      <c r="AO227" s="3"/>
      <c r="AP227" s="3"/>
      <c r="AQ227" s="3"/>
      <c r="AR227" s="3"/>
      <c r="AS227" s="98"/>
      <c r="AT227" s="98"/>
      <c r="AU227" s="98"/>
      <c r="AV227" s="98"/>
      <c r="AW227" s="98"/>
      <c r="AX227" s="98"/>
      <c r="AY227" s="98"/>
      <c r="AZ227" s="98"/>
    </row>
    <row r="228">
      <c r="A228" s="3"/>
      <c r="B228" s="36"/>
      <c r="C228" s="91"/>
      <c r="D228" s="13"/>
      <c r="E228" s="13"/>
      <c r="F228" s="3"/>
      <c r="G228" s="3"/>
      <c r="H228" s="3"/>
      <c r="I228" s="13"/>
      <c r="J228" s="13"/>
      <c r="K228" s="13"/>
      <c r="L228" s="36"/>
      <c r="M228" s="91"/>
      <c r="N228" s="3"/>
      <c r="O228" s="3"/>
      <c r="P228" s="7"/>
      <c r="Q228" s="7"/>
      <c r="R228" s="166"/>
      <c r="S228" s="166"/>
      <c r="T228" s="7"/>
      <c r="U228" s="3"/>
      <c r="V228" s="13"/>
      <c r="W228" s="3"/>
      <c r="X228" s="166"/>
      <c r="Y228" s="7"/>
      <c r="Z228" s="13"/>
      <c r="AA228" s="7"/>
      <c r="AB228" s="7"/>
      <c r="AC228" s="257"/>
      <c r="AD228" s="166"/>
      <c r="AE228" s="258"/>
      <c r="AF228" s="7"/>
      <c r="AG228" s="7"/>
      <c r="AH228" s="166"/>
      <c r="AI228" s="13"/>
      <c r="AJ228" s="3"/>
      <c r="AK228" s="13"/>
      <c r="AL228" s="3"/>
      <c r="AM228" s="3"/>
      <c r="AN228" s="3"/>
      <c r="AO228" s="3"/>
      <c r="AP228" s="3"/>
      <c r="AQ228" s="3"/>
      <c r="AR228" s="3"/>
      <c r="AS228" s="98"/>
      <c r="AT228" s="98"/>
      <c r="AU228" s="98"/>
      <c r="AV228" s="98"/>
      <c r="AW228" s="98"/>
      <c r="AX228" s="98"/>
      <c r="AY228" s="98"/>
      <c r="AZ228" s="98"/>
    </row>
    <row r="229">
      <c r="A229" s="3"/>
      <c r="B229" s="36"/>
      <c r="C229" s="91"/>
      <c r="D229" s="13"/>
      <c r="E229" s="13"/>
      <c r="F229" s="3"/>
      <c r="G229" s="3"/>
      <c r="H229" s="3"/>
      <c r="I229" s="13"/>
      <c r="J229" s="13"/>
      <c r="K229" s="13"/>
      <c r="L229" s="36"/>
      <c r="M229" s="91"/>
      <c r="N229" s="3"/>
      <c r="O229" s="3"/>
      <c r="P229" s="7"/>
      <c r="Q229" s="7"/>
      <c r="R229" s="166"/>
      <c r="S229" s="166"/>
      <c r="T229" s="7"/>
      <c r="U229" s="3"/>
      <c r="V229" s="13"/>
      <c r="W229" s="3"/>
      <c r="X229" s="166"/>
      <c r="Y229" s="7"/>
      <c r="Z229" s="13"/>
      <c r="AA229" s="7"/>
      <c r="AB229" s="7"/>
      <c r="AC229" s="257"/>
      <c r="AD229" s="166"/>
      <c r="AE229" s="258"/>
      <c r="AF229" s="7"/>
      <c r="AG229" s="7"/>
      <c r="AH229" s="166"/>
      <c r="AI229" s="13"/>
      <c r="AJ229" s="3"/>
      <c r="AK229" s="13"/>
      <c r="AL229" s="3"/>
      <c r="AM229" s="3"/>
      <c r="AN229" s="3"/>
      <c r="AO229" s="3"/>
      <c r="AP229" s="3"/>
      <c r="AQ229" s="3"/>
      <c r="AR229" s="3"/>
      <c r="AS229" s="98"/>
      <c r="AT229" s="98"/>
      <c r="AU229" s="98"/>
      <c r="AV229" s="98"/>
      <c r="AW229" s="98"/>
      <c r="AX229" s="98"/>
      <c r="AY229" s="98"/>
      <c r="AZ229" s="98"/>
    </row>
    <row r="230">
      <c r="A230" s="3"/>
      <c r="B230" s="36"/>
      <c r="C230" s="91"/>
      <c r="D230" s="13"/>
      <c r="E230" s="13"/>
      <c r="F230" s="3"/>
      <c r="G230" s="3"/>
      <c r="H230" s="3"/>
      <c r="I230" s="13"/>
      <c r="J230" s="13"/>
      <c r="K230" s="13"/>
      <c r="L230" s="36"/>
      <c r="M230" s="91"/>
      <c r="N230" s="3"/>
      <c r="O230" s="3"/>
      <c r="P230" s="7"/>
      <c r="Q230" s="7"/>
      <c r="R230" s="166"/>
      <c r="S230" s="166"/>
      <c r="T230" s="7"/>
      <c r="U230" s="3"/>
      <c r="V230" s="13"/>
      <c r="W230" s="3"/>
      <c r="X230" s="166"/>
      <c r="Y230" s="7"/>
      <c r="Z230" s="13"/>
      <c r="AA230" s="7"/>
      <c r="AB230" s="7"/>
      <c r="AC230" s="257"/>
      <c r="AD230" s="166"/>
      <c r="AE230" s="258"/>
      <c r="AF230" s="7"/>
      <c r="AG230" s="7"/>
      <c r="AH230" s="166"/>
      <c r="AI230" s="13"/>
      <c r="AJ230" s="3"/>
      <c r="AK230" s="13"/>
      <c r="AL230" s="3"/>
      <c r="AM230" s="3"/>
      <c r="AN230" s="3"/>
      <c r="AO230" s="3"/>
      <c r="AP230" s="3"/>
      <c r="AQ230" s="3"/>
      <c r="AR230" s="3"/>
      <c r="AS230" s="98"/>
      <c r="AT230" s="98"/>
      <c r="AU230" s="98"/>
      <c r="AV230" s="98"/>
      <c r="AW230" s="98"/>
      <c r="AX230" s="98"/>
      <c r="AY230" s="98"/>
      <c r="AZ230" s="98"/>
    </row>
    <row r="231">
      <c r="A231" s="3"/>
      <c r="B231" s="36"/>
      <c r="C231" s="91"/>
      <c r="D231" s="13"/>
      <c r="E231" s="13"/>
      <c r="F231" s="3"/>
      <c r="G231" s="3"/>
      <c r="H231" s="3"/>
      <c r="I231" s="13"/>
      <c r="J231" s="13"/>
      <c r="K231" s="13"/>
      <c r="L231" s="36"/>
      <c r="M231" s="91"/>
      <c r="N231" s="3"/>
      <c r="O231" s="3"/>
      <c r="P231" s="7"/>
      <c r="Q231" s="7"/>
      <c r="R231" s="166"/>
      <c r="S231" s="166"/>
      <c r="T231" s="7"/>
      <c r="U231" s="3"/>
      <c r="V231" s="13"/>
      <c r="W231" s="3"/>
      <c r="X231" s="166"/>
      <c r="Y231" s="7"/>
      <c r="Z231" s="13"/>
      <c r="AA231" s="7"/>
      <c r="AB231" s="7"/>
      <c r="AC231" s="257"/>
      <c r="AD231" s="166"/>
      <c r="AE231" s="258"/>
      <c r="AF231" s="7"/>
      <c r="AG231" s="7"/>
      <c r="AH231" s="166"/>
      <c r="AI231" s="13"/>
      <c r="AJ231" s="3"/>
      <c r="AK231" s="13"/>
      <c r="AL231" s="3"/>
      <c r="AM231" s="3"/>
      <c r="AN231" s="3"/>
      <c r="AO231" s="3"/>
      <c r="AP231" s="3"/>
      <c r="AQ231" s="3"/>
      <c r="AR231" s="3"/>
      <c r="AS231" s="98"/>
      <c r="AT231" s="98"/>
      <c r="AU231" s="98"/>
      <c r="AV231" s="98"/>
      <c r="AW231" s="98"/>
      <c r="AX231" s="98"/>
      <c r="AY231" s="98"/>
      <c r="AZ231" s="98"/>
    </row>
    <row r="232">
      <c r="A232" s="3"/>
      <c r="B232" s="36"/>
      <c r="C232" s="91"/>
      <c r="D232" s="13"/>
      <c r="E232" s="13"/>
      <c r="F232" s="3"/>
      <c r="G232" s="3"/>
      <c r="H232" s="3"/>
      <c r="I232" s="13"/>
      <c r="J232" s="13"/>
      <c r="K232" s="13"/>
      <c r="L232" s="36"/>
      <c r="M232" s="91"/>
      <c r="N232" s="3"/>
      <c r="O232" s="3"/>
      <c r="P232" s="7"/>
      <c r="Q232" s="7"/>
      <c r="R232" s="166"/>
      <c r="S232" s="166"/>
      <c r="T232" s="7"/>
      <c r="U232" s="3"/>
      <c r="V232" s="13"/>
      <c r="W232" s="3"/>
      <c r="X232" s="166"/>
      <c r="Y232" s="7"/>
      <c r="Z232" s="13"/>
      <c r="AA232" s="7"/>
      <c r="AB232" s="7"/>
      <c r="AC232" s="257"/>
      <c r="AD232" s="166"/>
      <c r="AE232" s="258"/>
      <c r="AF232" s="7"/>
      <c r="AG232" s="7"/>
      <c r="AH232" s="166"/>
      <c r="AI232" s="13"/>
      <c r="AJ232" s="3"/>
      <c r="AK232" s="13"/>
      <c r="AL232" s="3"/>
      <c r="AM232" s="3"/>
      <c r="AN232" s="3"/>
      <c r="AO232" s="3"/>
      <c r="AP232" s="3"/>
      <c r="AQ232" s="3"/>
      <c r="AR232" s="3"/>
      <c r="AS232" s="98"/>
      <c r="AT232" s="98"/>
      <c r="AU232" s="98"/>
      <c r="AV232" s="98"/>
      <c r="AW232" s="98"/>
      <c r="AX232" s="98"/>
      <c r="AY232" s="98"/>
      <c r="AZ232" s="98"/>
    </row>
    <row r="233">
      <c r="A233" s="3"/>
      <c r="B233" s="36"/>
      <c r="C233" s="91"/>
      <c r="D233" s="13"/>
      <c r="E233" s="13"/>
      <c r="F233" s="3"/>
      <c r="G233" s="3"/>
      <c r="H233" s="3"/>
      <c r="I233" s="13"/>
      <c r="J233" s="13"/>
      <c r="K233" s="13"/>
      <c r="L233" s="36"/>
      <c r="M233" s="91"/>
      <c r="N233" s="3"/>
      <c r="O233" s="3"/>
      <c r="P233" s="7"/>
      <c r="Q233" s="7"/>
      <c r="R233" s="166"/>
      <c r="S233" s="166"/>
      <c r="T233" s="7"/>
      <c r="U233" s="3"/>
      <c r="V233" s="13"/>
      <c r="W233" s="3"/>
      <c r="X233" s="166"/>
      <c r="Y233" s="7"/>
      <c r="Z233" s="13"/>
      <c r="AA233" s="7"/>
      <c r="AB233" s="7"/>
      <c r="AC233" s="257"/>
      <c r="AD233" s="166"/>
      <c r="AE233" s="258"/>
      <c r="AF233" s="7"/>
      <c r="AG233" s="7"/>
      <c r="AH233" s="166"/>
      <c r="AI233" s="13"/>
      <c r="AJ233" s="3"/>
      <c r="AK233" s="13"/>
      <c r="AL233" s="3"/>
      <c r="AM233" s="3"/>
      <c r="AN233" s="3"/>
      <c r="AO233" s="3"/>
      <c r="AP233" s="3"/>
      <c r="AQ233" s="3"/>
      <c r="AR233" s="3"/>
      <c r="AS233" s="98"/>
      <c r="AT233" s="98"/>
      <c r="AU233" s="98"/>
      <c r="AV233" s="98"/>
      <c r="AW233" s="98"/>
      <c r="AX233" s="98"/>
      <c r="AY233" s="98"/>
      <c r="AZ233" s="98"/>
    </row>
    <row r="234">
      <c r="A234" s="3"/>
      <c r="B234" s="36"/>
      <c r="C234" s="91"/>
      <c r="D234" s="13"/>
      <c r="E234" s="13"/>
      <c r="F234" s="3"/>
      <c r="G234" s="3"/>
      <c r="H234" s="3"/>
      <c r="I234" s="13"/>
      <c r="J234" s="13"/>
      <c r="K234" s="13"/>
      <c r="L234" s="36"/>
      <c r="M234" s="91"/>
      <c r="N234" s="3"/>
      <c r="O234" s="3"/>
      <c r="P234" s="7"/>
      <c r="Q234" s="7"/>
      <c r="R234" s="166"/>
      <c r="S234" s="166"/>
      <c r="T234" s="7"/>
      <c r="U234" s="3"/>
      <c r="V234" s="13"/>
      <c r="W234" s="3"/>
      <c r="X234" s="166"/>
      <c r="Y234" s="7"/>
      <c r="Z234" s="13"/>
      <c r="AA234" s="7"/>
      <c r="AB234" s="7"/>
      <c r="AC234" s="257"/>
      <c r="AD234" s="166"/>
      <c r="AE234" s="258"/>
      <c r="AF234" s="7"/>
      <c r="AG234" s="7"/>
      <c r="AH234" s="166"/>
      <c r="AI234" s="13"/>
      <c r="AJ234" s="3"/>
      <c r="AK234" s="13"/>
      <c r="AL234" s="3"/>
      <c r="AM234" s="3"/>
      <c r="AN234" s="3"/>
      <c r="AO234" s="3"/>
      <c r="AP234" s="3"/>
      <c r="AQ234" s="3"/>
      <c r="AR234" s="3"/>
      <c r="AS234" s="98"/>
      <c r="AT234" s="98"/>
      <c r="AU234" s="98"/>
      <c r="AV234" s="98"/>
      <c r="AW234" s="98"/>
      <c r="AX234" s="98"/>
      <c r="AY234" s="98"/>
      <c r="AZ234" s="98"/>
    </row>
    <row r="235">
      <c r="A235" s="3"/>
      <c r="B235" s="36"/>
      <c r="C235" s="91"/>
      <c r="D235" s="13"/>
      <c r="E235" s="13"/>
      <c r="F235" s="3"/>
      <c r="G235" s="3"/>
      <c r="H235" s="3"/>
      <c r="I235" s="13"/>
      <c r="J235" s="13"/>
      <c r="K235" s="13"/>
      <c r="L235" s="36"/>
      <c r="M235" s="91"/>
      <c r="N235" s="3"/>
      <c r="O235" s="3"/>
      <c r="P235" s="7"/>
      <c r="Q235" s="7"/>
      <c r="R235" s="166"/>
      <c r="S235" s="166"/>
      <c r="T235" s="7"/>
      <c r="U235" s="3"/>
      <c r="V235" s="13"/>
      <c r="W235" s="3"/>
      <c r="X235" s="166"/>
      <c r="Y235" s="7"/>
      <c r="Z235" s="13"/>
      <c r="AA235" s="7"/>
      <c r="AB235" s="7"/>
      <c r="AC235" s="257"/>
      <c r="AD235" s="166"/>
      <c r="AE235" s="258"/>
      <c r="AF235" s="7"/>
      <c r="AG235" s="7"/>
      <c r="AH235" s="166"/>
      <c r="AI235" s="13"/>
      <c r="AJ235" s="3"/>
      <c r="AK235" s="13"/>
      <c r="AL235" s="3"/>
      <c r="AM235" s="3"/>
      <c r="AN235" s="3"/>
      <c r="AO235" s="3"/>
      <c r="AP235" s="3"/>
      <c r="AQ235" s="3"/>
      <c r="AR235" s="3"/>
      <c r="AS235" s="98"/>
      <c r="AT235" s="98"/>
      <c r="AU235" s="98"/>
      <c r="AV235" s="98"/>
      <c r="AW235" s="98"/>
      <c r="AX235" s="98"/>
      <c r="AY235" s="98"/>
      <c r="AZ235" s="98"/>
    </row>
    <row r="236">
      <c r="A236" s="3"/>
      <c r="B236" s="36"/>
      <c r="C236" s="91"/>
      <c r="D236" s="13"/>
      <c r="E236" s="13"/>
      <c r="F236" s="3"/>
      <c r="G236" s="3"/>
      <c r="H236" s="3"/>
      <c r="I236" s="13"/>
      <c r="J236" s="13"/>
      <c r="K236" s="13"/>
      <c r="L236" s="36"/>
      <c r="M236" s="91"/>
      <c r="N236" s="3"/>
      <c r="O236" s="3"/>
      <c r="P236" s="7"/>
      <c r="Q236" s="7"/>
      <c r="R236" s="166"/>
      <c r="S236" s="166"/>
      <c r="T236" s="7"/>
      <c r="U236" s="3"/>
      <c r="V236" s="13"/>
      <c r="W236" s="3"/>
      <c r="X236" s="166"/>
      <c r="Y236" s="7"/>
      <c r="Z236" s="13"/>
      <c r="AA236" s="7"/>
      <c r="AB236" s="7"/>
      <c r="AC236" s="257"/>
      <c r="AD236" s="166"/>
      <c r="AE236" s="258"/>
      <c r="AF236" s="7"/>
      <c r="AG236" s="7"/>
      <c r="AH236" s="166"/>
      <c r="AI236" s="13"/>
      <c r="AJ236" s="3"/>
      <c r="AK236" s="13"/>
      <c r="AL236" s="3"/>
      <c r="AM236" s="3"/>
      <c r="AN236" s="3"/>
      <c r="AO236" s="3"/>
      <c r="AP236" s="3"/>
      <c r="AQ236" s="3"/>
      <c r="AR236" s="3"/>
      <c r="AS236" s="98"/>
      <c r="AT236" s="98"/>
      <c r="AU236" s="98"/>
      <c r="AV236" s="98"/>
      <c r="AW236" s="98"/>
      <c r="AX236" s="98"/>
      <c r="AY236" s="98"/>
      <c r="AZ236" s="98"/>
    </row>
    <row r="237">
      <c r="A237" s="3"/>
      <c r="B237" s="36"/>
      <c r="C237" s="91"/>
      <c r="D237" s="13"/>
      <c r="E237" s="13"/>
      <c r="F237" s="3"/>
      <c r="G237" s="3"/>
      <c r="H237" s="3"/>
      <c r="I237" s="13"/>
      <c r="J237" s="13"/>
      <c r="K237" s="13"/>
      <c r="L237" s="36"/>
      <c r="M237" s="91"/>
      <c r="N237" s="3"/>
      <c r="O237" s="3"/>
      <c r="P237" s="7"/>
      <c r="Q237" s="7"/>
      <c r="R237" s="166"/>
      <c r="S237" s="166"/>
      <c r="T237" s="7"/>
      <c r="U237" s="3"/>
      <c r="V237" s="13"/>
      <c r="W237" s="3"/>
      <c r="X237" s="166"/>
      <c r="Y237" s="7"/>
      <c r="Z237" s="13"/>
      <c r="AA237" s="7"/>
      <c r="AB237" s="7"/>
      <c r="AC237" s="257"/>
      <c r="AD237" s="166"/>
      <c r="AE237" s="258"/>
      <c r="AF237" s="7"/>
      <c r="AG237" s="7"/>
      <c r="AH237" s="166"/>
      <c r="AI237" s="13"/>
      <c r="AJ237" s="3"/>
      <c r="AK237" s="13"/>
      <c r="AL237" s="3"/>
      <c r="AM237" s="3"/>
      <c r="AN237" s="3"/>
      <c r="AO237" s="3"/>
      <c r="AP237" s="3"/>
      <c r="AQ237" s="3"/>
      <c r="AR237" s="3"/>
      <c r="AS237" s="98"/>
      <c r="AT237" s="98"/>
      <c r="AU237" s="98"/>
      <c r="AV237" s="98"/>
      <c r="AW237" s="98"/>
      <c r="AX237" s="98"/>
      <c r="AY237" s="98"/>
      <c r="AZ237" s="98"/>
    </row>
    <row r="238">
      <c r="A238" s="3"/>
      <c r="B238" s="36"/>
      <c r="C238" s="91"/>
      <c r="D238" s="13"/>
      <c r="E238" s="13"/>
      <c r="F238" s="3"/>
      <c r="G238" s="3"/>
      <c r="H238" s="3"/>
      <c r="I238" s="13"/>
      <c r="J238" s="13"/>
      <c r="K238" s="13"/>
      <c r="L238" s="36"/>
      <c r="M238" s="91"/>
      <c r="N238" s="3"/>
      <c r="O238" s="3"/>
      <c r="P238" s="7"/>
      <c r="Q238" s="7"/>
      <c r="R238" s="166"/>
      <c r="S238" s="166"/>
      <c r="T238" s="7"/>
      <c r="U238" s="3"/>
      <c r="V238" s="13"/>
      <c r="W238" s="3"/>
      <c r="X238" s="166"/>
      <c r="Y238" s="7"/>
      <c r="Z238" s="13"/>
      <c r="AA238" s="7"/>
      <c r="AB238" s="7"/>
      <c r="AC238" s="257"/>
      <c r="AD238" s="166"/>
      <c r="AE238" s="258"/>
      <c r="AF238" s="7"/>
      <c r="AG238" s="7"/>
      <c r="AH238" s="166"/>
      <c r="AI238" s="13"/>
      <c r="AJ238" s="3"/>
      <c r="AK238" s="13"/>
      <c r="AL238" s="3"/>
      <c r="AM238" s="3"/>
      <c r="AN238" s="3"/>
      <c r="AO238" s="3"/>
      <c r="AP238" s="3"/>
      <c r="AQ238" s="3"/>
      <c r="AR238" s="3"/>
      <c r="AS238" s="98"/>
      <c r="AT238" s="98"/>
      <c r="AU238" s="98"/>
      <c r="AV238" s="98"/>
      <c r="AW238" s="98"/>
      <c r="AX238" s="98"/>
      <c r="AY238" s="98"/>
      <c r="AZ238" s="98"/>
    </row>
    <row r="239">
      <c r="A239" s="3"/>
      <c r="B239" s="36"/>
      <c r="C239" s="91"/>
      <c r="D239" s="13"/>
      <c r="E239" s="13"/>
      <c r="F239" s="3"/>
      <c r="G239" s="3"/>
      <c r="H239" s="3"/>
      <c r="I239" s="13"/>
      <c r="J239" s="13"/>
      <c r="K239" s="13"/>
      <c r="L239" s="36"/>
      <c r="M239" s="91"/>
      <c r="N239" s="3"/>
      <c r="O239" s="3"/>
      <c r="P239" s="7"/>
      <c r="Q239" s="7"/>
      <c r="R239" s="166"/>
      <c r="S239" s="166"/>
      <c r="T239" s="7"/>
      <c r="U239" s="3"/>
      <c r="V239" s="13"/>
      <c r="W239" s="3"/>
      <c r="X239" s="166"/>
      <c r="Y239" s="7"/>
      <c r="Z239" s="13"/>
      <c r="AA239" s="7"/>
      <c r="AB239" s="7"/>
      <c r="AC239" s="257"/>
      <c r="AD239" s="166"/>
      <c r="AE239" s="258"/>
      <c r="AF239" s="7"/>
      <c r="AG239" s="7"/>
      <c r="AH239" s="166"/>
      <c r="AI239" s="13"/>
      <c r="AJ239" s="3"/>
      <c r="AK239" s="13"/>
      <c r="AL239" s="3"/>
      <c r="AM239" s="3"/>
      <c r="AN239" s="3"/>
      <c r="AO239" s="3"/>
      <c r="AP239" s="3"/>
      <c r="AQ239" s="3"/>
      <c r="AR239" s="3"/>
      <c r="AS239" s="98"/>
      <c r="AT239" s="98"/>
      <c r="AU239" s="98"/>
      <c r="AV239" s="98"/>
      <c r="AW239" s="98"/>
      <c r="AX239" s="98"/>
      <c r="AY239" s="98"/>
      <c r="AZ239" s="98"/>
    </row>
    <row r="240">
      <c r="A240" s="3"/>
      <c r="B240" s="36"/>
      <c r="C240" s="91"/>
      <c r="D240" s="13"/>
      <c r="E240" s="13"/>
      <c r="F240" s="3"/>
      <c r="G240" s="3"/>
      <c r="H240" s="3"/>
      <c r="I240" s="13"/>
      <c r="J240" s="13"/>
      <c r="K240" s="13"/>
      <c r="L240" s="36"/>
      <c r="M240" s="91"/>
      <c r="N240" s="3"/>
      <c r="O240" s="3"/>
      <c r="P240" s="7"/>
      <c r="Q240" s="7"/>
      <c r="R240" s="166"/>
      <c r="S240" s="166"/>
      <c r="T240" s="7"/>
      <c r="U240" s="3"/>
      <c r="V240" s="13"/>
      <c r="W240" s="3"/>
      <c r="X240" s="166"/>
      <c r="Y240" s="7"/>
      <c r="Z240" s="13"/>
      <c r="AA240" s="7"/>
      <c r="AB240" s="7"/>
      <c r="AC240" s="257"/>
      <c r="AD240" s="166"/>
      <c r="AE240" s="258"/>
      <c r="AF240" s="7"/>
      <c r="AG240" s="7"/>
      <c r="AH240" s="166"/>
      <c r="AI240" s="13"/>
      <c r="AJ240" s="3"/>
      <c r="AK240" s="13"/>
      <c r="AL240" s="3"/>
      <c r="AM240" s="3"/>
      <c r="AN240" s="3"/>
      <c r="AO240" s="3"/>
      <c r="AP240" s="3"/>
      <c r="AQ240" s="3"/>
      <c r="AR240" s="3"/>
      <c r="AS240" s="98"/>
      <c r="AT240" s="98"/>
      <c r="AU240" s="98"/>
      <c r="AV240" s="98"/>
      <c r="AW240" s="98"/>
      <c r="AX240" s="98"/>
      <c r="AY240" s="98"/>
      <c r="AZ240" s="98"/>
    </row>
    <row r="241">
      <c r="A241" s="3"/>
      <c r="B241" s="36"/>
      <c r="C241" s="91"/>
      <c r="D241" s="13"/>
      <c r="E241" s="13"/>
      <c r="F241" s="3"/>
      <c r="G241" s="3"/>
      <c r="H241" s="3"/>
      <c r="I241" s="13"/>
      <c r="J241" s="13"/>
      <c r="K241" s="13"/>
      <c r="L241" s="36"/>
      <c r="M241" s="91"/>
      <c r="N241" s="3"/>
      <c r="O241" s="3"/>
      <c r="P241" s="7"/>
      <c r="Q241" s="7"/>
      <c r="R241" s="166"/>
      <c r="S241" s="166"/>
      <c r="T241" s="7"/>
      <c r="U241" s="3"/>
      <c r="V241" s="13"/>
      <c r="W241" s="3"/>
      <c r="X241" s="166"/>
      <c r="Y241" s="7"/>
      <c r="Z241" s="13"/>
      <c r="AA241" s="7"/>
      <c r="AB241" s="7"/>
      <c r="AC241" s="257"/>
      <c r="AD241" s="166"/>
      <c r="AE241" s="258"/>
      <c r="AF241" s="7"/>
      <c r="AG241" s="7"/>
      <c r="AH241" s="166"/>
      <c r="AI241" s="13"/>
      <c r="AJ241" s="3"/>
      <c r="AK241" s="13"/>
      <c r="AL241" s="3"/>
      <c r="AM241" s="3"/>
      <c r="AN241" s="3"/>
      <c r="AO241" s="3"/>
      <c r="AP241" s="3"/>
      <c r="AQ241" s="3"/>
      <c r="AR241" s="3"/>
      <c r="AS241" s="98"/>
      <c r="AT241" s="98"/>
      <c r="AU241" s="98"/>
      <c r="AV241" s="98"/>
      <c r="AW241" s="98"/>
      <c r="AX241" s="98"/>
      <c r="AY241" s="98"/>
      <c r="AZ241" s="98"/>
    </row>
    <row r="242">
      <c r="A242" s="3"/>
      <c r="B242" s="36"/>
      <c r="C242" s="91"/>
      <c r="D242" s="13"/>
      <c r="E242" s="13"/>
      <c r="F242" s="3"/>
      <c r="G242" s="3"/>
      <c r="H242" s="3"/>
      <c r="I242" s="13"/>
      <c r="J242" s="13"/>
      <c r="K242" s="13"/>
      <c r="L242" s="36"/>
      <c r="M242" s="91"/>
      <c r="N242" s="3"/>
      <c r="O242" s="3"/>
      <c r="P242" s="7"/>
      <c r="Q242" s="7"/>
      <c r="R242" s="166"/>
      <c r="S242" s="166"/>
      <c r="T242" s="7"/>
      <c r="U242" s="3"/>
      <c r="V242" s="13"/>
      <c r="W242" s="3"/>
      <c r="X242" s="166"/>
      <c r="Y242" s="7"/>
      <c r="Z242" s="13"/>
      <c r="AA242" s="7"/>
      <c r="AB242" s="7"/>
      <c r="AC242" s="257"/>
      <c r="AD242" s="166"/>
      <c r="AE242" s="258"/>
      <c r="AF242" s="7"/>
      <c r="AG242" s="7"/>
      <c r="AH242" s="166"/>
      <c r="AI242" s="13"/>
      <c r="AJ242" s="3"/>
      <c r="AK242" s="13"/>
      <c r="AL242" s="3"/>
      <c r="AM242" s="3"/>
      <c r="AN242" s="3"/>
      <c r="AO242" s="3"/>
      <c r="AP242" s="3"/>
      <c r="AQ242" s="3"/>
      <c r="AR242" s="3"/>
      <c r="AS242" s="98"/>
      <c r="AT242" s="98"/>
      <c r="AU242" s="98"/>
      <c r="AV242" s="98"/>
      <c r="AW242" s="98"/>
      <c r="AX242" s="98"/>
      <c r="AY242" s="98"/>
      <c r="AZ242" s="98"/>
    </row>
    <row r="243">
      <c r="A243" s="3"/>
      <c r="B243" s="36"/>
      <c r="C243" s="91"/>
      <c r="D243" s="13"/>
      <c r="E243" s="13"/>
      <c r="F243" s="3"/>
      <c r="G243" s="3"/>
      <c r="H243" s="3"/>
      <c r="I243" s="13"/>
      <c r="J243" s="13"/>
      <c r="K243" s="13"/>
      <c r="L243" s="36"/>
      <c r="M243" s="91"/>
      <c r="N243" s="3"/>
      <c r="O243" s="3"/>
      <c r="P243" s="7"/>
      <c r="Q243" s="7"/>
      <c r="R243" s="166"/>
      <c r="S243" s="166"/>
      <c r="T243" s="7"/>
      <c r="U243" s="3"/>
      <c r="V243" s="13"/>
      <c r="W243" s="3"/>
      <c r="X243" s="166"/>
      <c r="Y243" s="7"/>
      <c r="Z243" s="13"/>
      <c r="AA243" s="7"/>
      <c r="AB243" s="7"/>
      <c r="AC243" s="257"/>
      <c r="AD243" s="166"/>
      <c r="AE243" s="258"/>
      <c r="AF243" s="7"/>
      <c r="AG243" s="7"/>
      <c r="AH243" s="166"/>
      <c r="AI243" s="13"/>
      <c r="AJ243" s="3"/>
      <c r="AK243" s="13"/>
      <c r="AL243" s="3"/>
      <c r="AM243" s="3"/>
      <c r="AN243" s="3"/>
      <c r="AO243" s="3"/>
      <c r="AP243" s="3"/>
      <c r="AQ243" s="3"/>
      <c r="AR243" s="3"/>
      <c r="AS243" s="98"/>
      <c r="AT243" s="98"/>
      <c r="AU243" s="98"/>
      <c r="AV243" s="98"/>
      <c r="AW243" s="98"/>
      <c r="AX243" s="98"/>
      <c r="AY243" s="98"/>
      <c r="AZ243" s="98"/>
    </row>
    <row r="244">
      <c r="A244" s="3"/>
      <c r="B244" s="36"/>
      <c r="C244" s="91"/>
      <c r="D244" s="13"/>
      <c r="E244" s="13"/>
      <c r="F244" s="3"/>
      <c r="G244" s="3"/>
      <c r="H244" s="3"/>
      <c r="I244" s="13"/>
      <c r="J244" s="13"/>
      <c r="K244" s="13"/>
      <c r="L244" s="36"/>
      <c r="M244" s="91"/>
      <c r="N244" s="3"/>
      <c r="O244" s="3"/>
      <c r="P244" s="7"/>
      <c r="Q244" s="7"/>
      <c r="R244" s="166"/>
      <c r="S244" s="166"/>
      <c r="T244" s="7"/>
      <c r="U244" s="3"/>
      <c r="V244" s="13"/>
      <c r="W244" s="3"/>
      <c r="X244" s="166"/>
      <c r="Y244" s="7"/>
      <c r="Z244" s="13"/>
      <c r="AA244" s="7"/>
      <c r="AB244" s="7"/>
      <c r="AC244" s="257"/>
      <c r="AD244" s="166"/>
      <c r="AE244" s="258"/>
      <c r="AF244" s="7"/>
      <c r="AG244" s="7"/>
      <c r="AH244" s="166"/>
      <c r="AI244" s="13"/>
      <c r="AJ244" s="3"/>
      <c r="AK244" s="13"/>
      <c r="AL244" s="3"/>
      <c r="AM244" s="3"/>
      <c r="AN244" s="3"/>
      <c r="AO244" s="3"/>
      <c r="AP244" s="3"/>
      <c r="AQ244" s="3"/>
      <c r="AR244" s="3"/>
      <c r="AS244" s="98"/>
      <c r="AT244" s="98"/>
      <c r="AU244" s="98"/>
      <c r="AV244" s="98"/>
      <c r="AW244" s="98"/>
      <c r="AX244" s="98"/>
      <c r="AY244" s="98"/>
      <c r="AZ244" s="98"/>
    </row>
    <row r="245">
      <c r="A245" s="3"/>
      <c r="B245" s="36"/>
      <c r="C245" s="91"/>
      <c r="D245" s="13"/>
      <c r="E245" s="13"/>
      <c r="F245" s="3"/>
      <c r="G245" s="3"/>
      <c r="H245" s="3"/>
      <c r="I245" s="13"/>
      <c r="J245" s="13"/>
      <c r="K245" s="13"/>
      <c r="L245" s="36"/>
      <c r="M245" s="91"/>
      <c r="N245" s="3"/>
      <c r="O245" s="3"/>
      <c r="P245" s="7"/>
      <c r="Q245" s="7"/>
      <c r="R245" s="166"/>
      <c r="S245" s="166"/>
      <c r="T245" s="7"/>
      <c r="U245" s="3"/>
      <c r="V245" s="13"/>
      <c r="W245" s="3"/>
      <c r="X245" s="166"/>
      <c r="Y245" s="7"/>
      <c r="Z245" s="13"/>
      <c r="AA245" s="7"/>
      <c r="AB245" s="7"/>
      <c r="AC245" s="257"/>
      <c r="AD245" s="166"/>
      <c r="AE245" s="258"/>
      <c r="AF245" s="7"/>
      <c r="AG245" s="7"/>
      <c r="AH245" s="166"/>
      <c r="AI245" s="13"/>
      <c r="AJ245" s="3"/>
      <c r="AK245" s="13"/>
      <c r="AL245" s="3"/>
      <c r="AM245" s="3"/>
      <c r="AN245" s="3"/>
      <c r="AO245" s="3"/>
      <c r="AP245" s="3"/>
      <c r="AQ245" s="3"/>
      <c r="AR245" s="3"/>
      <c r="AS245" s="98"/>
      <c r="AT245" s="98"/>
      <c r="AU245" s="98"/>
      <c r="AV245" s="98"/>
      <c r="AW245" s="98"/>
      <c r="AX245" s="98"/>
      <c r="AY245" s="98"/>
      <c r="AZ245" s="98"/>
    </row>
    <row r="246">
      <c r="A246" s="3"/>
      <c r="B246" s="36"/>
      <c r="C246" s="91"/>
      <c r="D246" s="13"/>
      <c r="E246" s="13"/>
      <c r="F246" s="3"/>
      <c r="G246" s="3"/>
      <c r="H246" s="3"/>
      <c r="I246" s="13"/>
      <c r="J246" s="13"/>
      <c r="K246" s="13"/>
      <c r="L246" s="36"/>
      <c r="M246" s="91"/>
      <c r="N246" s="3"/>
      <c r="O246" s="3"/>
      <c r="P246" s="7"/>
      <c r="Q246" s="7"/>
      <c r="R246" s="166"/>
      <c r="S246" s="166"/>
      <c r="T246" s="7"/>
      <c r="U246" s="3"/>
      <c r="V246" s="13"/>
      <c r="W246" s="3"/>
      <c r="X246" s="166"/>
      <c r="Y246" s="7"/>
      <c r="Z246" s="13"/>
      <c r="AA246" s="7"/>
      <c r="AB246" s="7"/>
      <c r="AC246" s="257"/>
      <c r="AD246" s="166"/>
      <c r="AE246" s="258"/>
      <c r="AF246" s="7"/>
      <c r="AG246" s="7"/>
      <c r="AH246" s="166"/>
      <c r="AI246" s="13"/>
      <c r="AJ246" s="3"/>
      <c r="AK246" s="13"/>
      <c r="AL246" s="3"/>
      <c r="AM246" s="3"/>
      <c r="AN246" s="3"/>
      <c r="AO246" s="3"/>
      <c r="AP246" s="3"/>
      <c r="AQ246" s="3"/>
      <c r="AR246" s="3"/>
      <c r="AS246" s="98"/>
      <c r="AT246" s="98"/>
      <c r="AU246" s="98"/>
      <c r="AV246" s="98"/>
      <c r="AW246" s="98"/>
      <c r="AX246" s="98"/>
      <c r="AY246" s="98"/>
      <c r="AZ246" s="98"/>
    </row>
    <row r="247">
      <c r="A247" s="3"/>
      <c r="B247" s="36"/>
      <c r="C247" s="91"/>
      <c r="D247" s="13"/>
      <c r="E247" s="13"/>
      <c r="F247" s="3"/>
      <c r="G247" s="3"/>
      <c r="H247" s="3"/>
      <c r="I247" s="13"/>
      <c r="J247" s="13"/>
      <c r="K247" s="13"/>
      <c r="L247" s="36"/>
      <c r="M247" s="91"/>
      <c r="N247" s="3"/>
      <c r="O247" s="3"/>
      <c r="P247" s="7"/>
      <c r="Q247" s="7"/>
      <c r="R247" s="166"/>
      <c r="S247" s="166"/>
      <c r="T247" s="7"/>
      <c r="U247" s="3"/>
      <c r="V247" s="13"/>
      <c r="W247" s="3"/>
      <c r="X247" s="166"/>
      <c r="Y247" s="7"/>
      <c r="Z247" s="13"/>
      <c r="AA247" s="7"/>
      <c r="AB247" s="7"/>
      <c r="AC247" s="257"/>
      <c r="AD247" s="166"/>
      <c r="AE247" s="258"/>
      <c r="AF247" s="7"/>
      <c r="AG247" s="7"/>
      <c r="AH247" s="166"/>
      <c r="AI247" s="13"/>
      <c r="AJ247" s="3"/>
      <c r="AK247" s="13"/>
      <c r="AL247" s="3"/>
      <c r="AM247" s="3"/>
      <c r="AN247" s="3"/>
      <c r="AO247" s="3"/>
      <c r="AP247" s="3"/>
      <c r="AQ247" s="3"/>
      <c r="AR247" s="3"/>
      <c r="AS247" s="98"/>
      <c r="AT247" s="98"/>
      <c r="AU247" s="98"/>
      <c r="AV247" s="98"/>
      <c r="AW247" s="98"/>
      <c r="AX247" s="98"/>
      <c r="AY247" s="98"/>
      <c r="AZ247" s="98"/>
    </row>
    <row r="248">
      <c r="A248" s="3"/>
      <c r="B248" s="36"/>
      <c r="C248" s="91"/>
      <c r="D248" s="13"/>
      <c r="E248" s="13"/>
      <c r="F248" s="3"/>
      <c r="G248" s="3"/>
      <c r="H248" s="3"/>
      <c r="I248" s="13"/>
      <c r="J248" s="13"/>
      <c r="K248" s="13"/>
      <c r="L248" s="36"/>
      <c r="M248" s="91"/>
      <c r="N248" s="3"/>
      <c r="O248" s="3"/>
      <c r="P248" s="7"/>
      <c r="Q248" s="7"/>
      <c r="R248" s="166"/>
      <c r="S248" s="166"/>
      <c r="T248" s="7"/>
      <c r="U248" s="3"/>
      <c r="V248" s="13"/>
      <c r="W248" s="3"/>
      <c r="X248" s="166"/>
      <c r="Y248" s="7"/>
      <c r="Z248" s="13"/>
      <c r="AA248" s="7"/>
      <c r="AB248" s="7"/>
      <c r="AC248" s="257"/>
      <c r="AD248" s="166"/>
      <c r="AE248" s="258"/>
      <c r="AF248" s="7"/>
      <c r="AG248" s="7"/>
      <c r="AH248" s="166"/>
      <c r="AI248" s="13"/>
      <c r="AJ248" s="3"/>
      <c r="AK248" s="13"/>
      <c r="AL248" s="3"/>
      <c r="AM248" s="3"/>
      <c r="AN248" s="3"/>
      <c r="AO248" s="3"/>
      <c r="AP248" s="3"/>
      <c r="AQ248" s="3"/>
      <c r="AR248" s="3"/>
      <c r="AS248" s="98"/>
      <c r="AT248" s="98"/>
      <c r="AU248" s="98"/>
      <c r="AV248" s="98"/>
      <c r="AW248" s="98"/>
      <c r="AX248" s="98"/>
      <c r="AY248" s="98"/>
      <c r="AZ248" s="98"/>
    </row>
    <row r="249">
      <c r="A249" s="3"/>
      <c r="B249" s="36"/>
      <c r="C249" s="91"/>
      <c r="D249" s="13"/>
      <c r="E249" s="13"/>
      <c r="F249" s="3"/>
      <c r="G249" s="3"/>
      <c r="H249" s="3"/>
      <c r="I249" s="13"/>
      <c r="J249" s="13"/>
      <c r="K249" s="13"/>
      <c r="L249" s="36"/>
      <c r="M249" s="91"/>
      <c r="N249" s="3"/>
      <c r="O249" s="3"/>
      <c r="P249" s="7"/>
      <c r="Q249" s="7"/>
      <c r="R249" s="166"/>
      <c r="S249" s="166"/>
      <c r="T249" s="7"/>
      <c r="U249" s="3"/>
      <c r="V249" s="13"/>
      <c r="W249" s="3"/>
      <c r="X249" s="166"/>
      <c r="Y249" s="7"/>
      <c r="Z249" s="13"/>
      <c r="AA249" s="7"/>
      <c r="AB249" s="7"/>
      <c r="AC249" s="257"/>
      <c r="AD249" s="166"/>
      <c r="AE249" s="258"/>
      <c r="AF249" s="7"/>
      <c r="AG249" s="7"/>
      <c r="AH249" s="166"/>
      <c r="AI249" s="13"/>
      <c r="AJ249" s="3"/>
      <c r="AK249" s="13"/>
      <c r="AL249" s="3"/>
      <c r="AM249" s="3"/>
      <c r="AN249" s="3"/>
      <c r="AO249" s="3"/>
      <c r="AP249" s="3"/>
      <c r="AQ249" s="3"/>
      <c r="AR249" s="3"/>
      <c r="AS249" s="98"/>
      <c r="AT249" s="98"/>
      <c r="AU249" s="98"/>
      <c r="AV249" s="98"/>
      <c r="AW249" s="98"/>
      <c r="AX249" s="98"/>
      <c r="AY249" s="98"/>
      <c r="AZ249" s="98"/>
    </row>
    <row r="250">
      <c r="A250" s="3"/>
      <c r="B250" s="36"/>
      <c r="C250" s="91"/>
      <c r="D250" s="13"/>
      <c r="E250" s="13"/>
      <c r="F250" s="3"/>
      <c r="G250" s="3"/>
      <c r="H250" s="3"/>
      <c r="I250" s="13"/>
      <c r="J250" s="13"/>
      <c r="K250" s="13"/>
      <c r="L250" s="36"/>
      <c r="M250" s="91"/>
      <c r="N250" s="3"/>
      <c r="O250" s="3"/>
      <c r="P250" s="7"/>
      <c r="Q250" s="7"/>
      <c r="R250" s="166"/>
      <c r="S250" s="166"/>
      <c r="T250" s="7"/>
      <c r="U250" s="3"/>
      <c r="V250" s="13"/>
      <c r="W250" s="3"/>
      <c r="X250" s="166"/>
      <c r="Y250" s="7"/>
      <c r="Z250" s="13"/>
      <c r="AA250" s="7"/>
      <c r="AB250" s="7"/>
      <c r="AC250" s="257"/>
      <c r="AD250" s="166"/>
      <c r="AE250" s="258"/>
      <c r="AF250" s="7"/>
      <c r="AG250" s="7"/>
      <c r="AH250" s="166"/>
      <c r="AI250" s="13"/>
      <c r="AJ250" s="3"/>
      <c r="AK250" s="13"/>
      <c r="AL250" s="3"/>
      <c r="AM250" s="3"/>
      <c r="AN250" s="3"/>
      <c r="AO250" s="3"/>
      <c r="AP250" s="3"/>
      <c r="AQ250" s="3"/>
      <c r="AR250" s="3"/>
      <c r="AS250" s="98"/>
      <c r="AT250" s="98"/>
      <c r="AU250" s="98"/>
      <c r="AV250" s="98"/>
      <c r="AW250" s="98"/>
      <c r="AX250" s="98"/>
      <c r="AY250" s="98"/>
      <c r="AZ250" s="98"/>
    </row>
    <row r="251">
      <c r="A251" s="3"/>
      <c r="B251" s="36"/>
      <c r="C251" s="91"/>
      <c r="D251" s="13"/>
      <c r="E251" s="13"/>
      <c r="F251" s="3"/>
      <c r="G251" s="3"/>
      <c r="H251" s="3"/>
      <c r="I251" s="13"/>
      <c r="J251" s="13"/>
      <c r="K251" s="13"/>
      <c r="L251" s="36"/>
      <c r="M251" s="91"/>
      <c r="N251" s="3"/>
      <c r="O251" s="3"/>
      <c r="P251" s="7"/>
      <c r="Q251" s="7"/>
      <c r="R251" s="166"/>
      <c r="S251" s="166"/>
      <c r="T251" s="7"/>
      <c r="U251" s="3"/>
      <c r="V251" s="13"/>
      <c r="W251" s="3"/>
      <c r="X251" s="166"/>
      <c r="Y251" s="7"/>
      <c r="Z251" s="13"/>
      <c r="AA251" s="7"/>
      <c r="AB251" s="7"/>
      <c r="AC251" s="257"/>
      <c r="AD251" s="166"/>
      <c r="AE251" s="258"/>
      <c r="AF251" s="7"/>
      <c r="AG251" s="7"/>
      <c r="AH251" s="166"/>
      <c r="AI251" s="13"/>
      <c r="AJ251" s="3"/>
      <c r="AK251" s="13"/>
      <c r="AL251" s="3"/>
      <c r="AM251" s="3"/>
      <c r="AN251" s="3"/>
      <c r="AO251" s="3"/>
      <c r="AP251" s="3"/>
      <c r="AQ251" s="3"/>
      <c r="AR251" s="3"/>
      <c r="AS251" s="98"/>
      <c r="AT251" s="98"/>
      <c r="AU251" s="98"/>
      <c r="AV251" s="98"/>
      <c r="AW251" s="98"/>
      <c r="AX251" s="98"/>
      <c r="AY251" s="98"/>
      <c r="AZ251" s="98"/>
    </row>
    <row r="252">
      <c r="A252" s="3"/>
      <c r="B252" s="36"/>
      <c r="C252" s="91"/>
      <c r="D252" s="13"/>
      <c r="E252" s="13"/>
      <c r="F252" s="3"/>
      <c r="G252" s="3"/>
      <c r="H252" s="3"/>
      <c r="I252" s="13"/>
      <c r="J252" s="13"/>
      <c r="K252" s="13"/>
      <c r="L252" s="36"/>
      <c r="M252" s="91"/>
      <c r="N252" s="3"/>
      <c r="O252" s="3"/>
      <c r="P252" s="7"/>
      <c r="Q252" s="7"/>
      <c r="R252" s="166"/>
      <c r="S252" s="166"/>
      <c r="T252" s="7"/>
      <c r="U252" s="3"/>
      <c r="V252" s="13"/>
      <c r="W252" s="3"/>
      <c r="X252" s="166"/>
      <c r="Y252" s="7"/>
      <c r="Z252" s="13"/>
      <c r="AA252" s="7"/>
      <c r="AB252" s="7"/>
      <c r="AC252" s="257"/>
      <c r="AD252" s="166"/>
      <c r="AE252" s="258"/>
      <c r="AF252" s="7"/>
      <c r="AG252" s="7"/>
      <c r="AH252" s="166"/>
      <c r="AI252" s="13"/>
      <c r="AJ252" s="3"/>
      <c r="AK252" s="13"/>
      <c r="AL252" s="3"/>
      <c r="AM252" s="3"/>
      <c r="AN252" s="3"/>
      <c r="AO252" s="3"/>
      <c r="AP252" s="3"/>
      <c r="AQ252" s="3"/>
      <c r="AR252" s="3"/>
      <c r="AS252" s="98"/>
      <c r="AT252" s="98"/>
      <c r="AU252" s="98"/>
      <c r="AV252" s="98"/>
      <c r="AW252" s="98"/>
      <c r="AX252" s="98"/>
      <c r="AY252" s="98"/>
      <c r="AZ252" s="98"/>
    </row>
    <row r="253">
      <c r="A253" s="3"/>
      <c r="B253" s="36"/>
      <c r="C253" s="91"/>
      <c r="D253" s="13"/>
      <c r="E253" s="13"/>
      <c r="F253" s="3"/>
      <c r="G253" s="3"/>
      <c r="H253" s="3"/>
      <c r="I253" s="13"/>
      <c r="J253" s="13"/>
      <c r="K253" s="13"/>
      <c r="L253" s="36"/>
      <c r="M253" s="91"/>
      <c r="N253" s="3"/>
      <c r="O253" s="3"/>
      <c r="P253" s="7"/>
      <c r="Q253" s="7"/>
      <c r="R253" s="166"/>
      <c r="S253" s="166"/>
      <c r="T253" s="7"/>
      <c r="U253" s="3"/>
      <c r="V253" s="13"/>
      <c r="W253" s="3"/>
      <c r="X253" s="166"/>
      <c r="Y253" s="7"/>
      <c r="Z253" s="13"/>
      <c r="AA253" s="7"/>
      <c r="AB253" s="7"/>
      <c r="AC253" s="257"/>
      <c r="AD253" s="166"/>
      <c r="AE253" s="258"/>
      <c r="AF253" s="7"/>
      <c r="AG253" s="7"/>
      <c r="AH253" s="166"/>
      <c r="AI253" s="13"/>
      <c r="AJ253" s="3"/>
      <c r="AK253" s="13"/>
      <c r="AL253" s="3"/>
      <c r="AM253" s="3"/>
      <c r="AN253" s="3"/>
      <c r="AO253" s="3"/>
      <c r="AP253" s="3"/>
      <c r="AQ253" s="3"/>
      <c r="AR253" s="3"/>
      <c r="AS253" s="98"/>
      <c r="AT253" s="98"/>
      <c r="AU253" s="98"/>
      <c r="AV253" s="98"/>
      <c r="AW253" s="98"/>
      <c r="AX253" s="98"/>
      <c r="AY253" s="98"/>
      <c r="AZ253" s="98"/>
    </row>
    <row r="254">
      <c r="A254" s="3"/>
      <c r="B254" s="36"/>
      <c r="C254" s="91"/>
      <c r="D254" s="13"/>
      <c r="E254" s="13"/>
      <c r="F254" s="3"/>
      <c r="G254" s="3"/>
      <c r="H254" s="3"/>
      <c r="I254" s="13"/>
      <c r="J254" s="13"/>
      <c r="K254" s="13"/>
      <c r="L254" s="36"/>
      <c r="M254" s="91"/>
      <c r="N254" s="3"/>
      <c r="O254" s="3"/>
      <c r="P254" s="7"/>
      <c r="Q254" s="7"/>
      <c r="R254" s="166"/>
      <c r="S254" s="166"/>
      <c r="T254" s="7"/>
      <c r="U254" s="3"/>
      <c r="V254" s="13"/>
      <c r="W254" s="3"/>
      <c r="X254" s="166"/>
      <c r="Y254" s="7"/>
      <c r="Z254" s="13"/>
      <c r="AA254" s="7"/>
      <c r="AB254" s="7"/>
      <c r="AC254" s="257"/>
      <c r="AD254" s="166"/>
      <c r="AE254" s="258"/>
      <c r="AF254" s="7"/>
      <c r="AG254" s="7"/>
      <c r="AH254" s="166"/>
      <c r="AI254" s="13"/>
      <c r="AJ254" s="3"/>
      <c r="AK254" s="13"/>
      <c r="AL254" s="3"/>
      <c r="AM254" s="3"/>
      <c r="AN254" s="3"/>
      <c r="AO254" s="3"/>
      <c r="AP254" s="3"/>
      <c r="AQ254" s="3"/>
      <c r="AR254" s="3"/>
      <c r="AS254" s="98"/>
      <c r="AT254" s="98"/>
      <c r="AU254" s="98"/>
      <c r="AV254" s="98"/>
      <c r="AW254" s="98"/>
      <c r="AX254" s="98"/>
      <c r="AY254" s="98"/>
      <c r="AZ254" s="98"/>
    </row>
    <row r="255">
      <c r="A255" s="3"/>
      <c r="B255" s="36"/>
      <c r="C255" s="91"/>
      <c r="D255" s="13"/>
      <c r="E255" s="13"/>
      <c r="F255" s="3"/>
      <c r="G255" s="3"/>
      <c r="H255" s="3"/>
      <c r="I255" s="13"/>
      <c r="J255" s="13"/>
      <c r="K255" s="13"/>
      <c r="L255" s="36"/>
      <c r="M255" s="91"/>
      <c r="N255" s="3"/>
      <c r="O255" s="3"/>
      <c r="P255" s="7"/>
      <c r="Q255" s="7"/>
      <c r="R255" s="166"/>
      <c r="S255" s="166"/>
      <c r="T255" s="7"/>
      <c r="U255" s="3"/>
      <c r="V255" s="13"/>
      <c r="W255" s="3"/>
      <c r="X255" s="166"/>
      <c r="Y255" s="7"/>
      <c r="Z255" s="13"/>
      <c r="AA255" s="7"/>
      <c r="AB255" s="7"/>
      <c r="AC255" s="257"/>
      <c r="AD255" s="166"/>
      <c r="AE255" s="258"/>
      <c r="AF255" s="7"/>
      <c r="AG255" s="7"/>
      <c r="AH255" s="166"/>
      <c r="AI255" s="13"/>
      <c r="AJ255" s="3"/>
      <c r="AK255" s="13"/>
      <c r="AL255" s="3"/>
      <c r="AM255" s="3"/>
      <c r="AN255" s="3"/>
      <c r="AO255" s="3"/>
      <c r="AP255" s="3"/>
      <c r="AQ255" s="3"/>
      <c r="AR255" s="3"/>
      <c r="AS255" s="98"/>
      <c r="AT255" s="98"/>
      <c r="AU255" s="98"/>
      <c r="AV255" s="98"/>
      <c r="AW255" s="98"/>
      <c r="AX255" s="98"/>
      <c r="AY255" s="98"/>
      <c r="AZ255" s="98"/>
    </row>
    <row r="256">
      <c r="A256" s="3"/>
      <c r="B256" s="36"/>
      <c r="C256" s="91"/>
      <c r="D256" s="13"/>
      <c r="E256" s="13"/>
      <c r="F256" s="3"/>
      <c r="G256" s="3"/>
      <c r="H256" s="3"/>
      <c r="I256" s="13"/>
      <c r="J256" s="13"/>
      <c r="K256" s="13"/>
      <c r="L256" s="36"/>
      <c r="M256" s="91"/>
      <c r="N256" s="3"/>
      <c r="O256" s="3"/>
      <c r="P256" s="7"/>
      <c r="Q256" s="7"/>
      <c r="R256" s="166"/>
      <c r="S256" s="166"/>
      <c r="T256" s="7"/>
      <c r="U256" s="3"/>
      <c r="V256" s="13"/>
      <c r="W256" s="3"/>
      <c r="X256" s="166"/>
      <c r="Y256" s="7"/>
      <c r="Z256" s="13"/>
      <c r="AA256" s="7"/>
      <c r="AB256" s="7"/>
      <c r="AC256" s="257"/>
      <c r="AD256" s="166"/>
      <c r="AE256" s="258"/>
      <c r="AF256" s="7"/>
      <c r="AG256" s="7"/>
      <c r="AH256" s="166"/>
      <c r="AI256" s="13"/>
      <c r="AJ256" s="3"/>
      <c r="AK256" s="13"/>
      <c r="AL256" s="3"/>
      <c r="AM256" s="3"/>
      <c r="AN256" s="3"/>
      <c r="AO256" s="3"/>
      <c r="AP256" s="3"/>
      <c r="AQ256" s="3"/>
      <c r="AR256" s="3"/>
      <c r="AS256" s="98"/>
      <c r="AT256" s="98"/>
      <c r="AU256" s="98"/>
      <c r="AV256" s="98"/>
      <c r="AW256" s="98"/>
      <c r="AX256" s="98"/>
      <c r="AY256" s="98"/>
      <c r="AZ256" s="98"/>
    </row>
    <row r="257">
      <c r="A257" s="3"/>
      <c r="B257" s="36"/>
      <c r="C257" s="91"/>
      <c r="D257" s="13"/>
      <c r="E257" s="13"/>
      <c r="F257" s="3"/>
      <c r="G257" s="3"/>
      <c r="H257" s="3"/>
      <c r="I257" s="13"/>
      <c r="J257" s="13"/>
      <c r="K257" s="13"/>
      <c r="L257" s="36"/>
      <c r="M257" s="91"/>
      <c r="N257" s="3"/>
      <c r="O257" s="3"/>
      <c r="P257" s="7"/>
      <c r="Q257" s="7"/>
      <c r="R257" s="166"/>
      <c r="S257" s="166"/>
      <c r="T257" s="7"/>
      <c r="U257" s="3"/>
      <c r="V257" s="13"/>
      <c r="W257" s="3"/>
      <c r="X257" s="166"/>
      <c r="Y257" s="7"/>
      <c r="Z257" s="13"/>
      <c r="AA257" s="7"/>
      <c r="AB257" s="7"/>
      <c r="AC257" s="257"/>
      <c r="AD257" s="166"/>
      <c r="AE257" s="258"/>
      <c r="AF257" s="7"/>
      <c r="AG257" s="7"/>
      <c r="AH257" s="166"/>
      <c r="AI257" s="13"/>
      <c r="AJ257" s="3"/>
      <c r="AK257" s="13"/>
      <c r="AL257" s="3"/>
      <c r="AM257" s="3"/>
      <c r="AN257" s="3"/>
      <c r="AO257" s="3"/>
      <c r="AP257" s="3"/>
      <c r="AQ257" s="3"/>
      <c r="AR257" s="3"/>
      <c r="AS257" s="98"/>
      <c r="AT257" s="98"/>
      <c r="AU257" s="98"/>
      <c r="AV257" s="98"/>
      <c r="AW257" s="98"/>
      <c r="AX257" s="98"/>
      <c r="AY257" s="98"/>
      <c r="AZ257" s="98"/>
    </row>
    <row r="258">
      <c r="A258" s="3"/>
      <c r="B258" s="36"/>
      <c r="C258" s="91"/>
      <c r="D258" s="13"/>
      <c r="E258" s="13"/>
      <c r="F258" s="3"/>
      <c r="G258" s="3"/>
      <c r="H258" s="3"/>
      <c r="I258" s="13"/>
      <c r="J258" s="13"/>
      <c r="K258" s="13"/>
      <c r="L258" s="36"/>
      <c r="M258" s="91"/>
      <c r="N258" s="3"/>
      <c r="O258" s="3"/>
      <c r="P258" s="7"/>
      <c r="Q258" s="7"/>
      <c r="R258" s="166"/>
      <c r="S258" s="166"/>
      <c r="T258" s="7"/>
      <c r="U258" s="3"/>
      <c r="V258" s="13"/>
      <c r="W258" s="3"/>
      <c r="X258" s="166"/>
      <c r="Y258" s="7"/>
      <c r="Z258" s="13"/>
      <c r="AA258" s="7"/>
      <c r="AB258" s="7"/>
      <c r="AC258" s="257"/>
      <c r="AD258" s="166"/>
      <c r="AE258" s="258"/>
      <c r="AF258" s="7"/>
      <c r="AG258" s="7"/>
      <c r="AH258" s="166"/>
      <c r="AI258" s="13"/>
      <c r="AJ258" s="3"/>
      <c r="AK258" s="13"/>
      <c r="AL258" s="3"/>
      <c r="AM258" s="3"/>
      <c r="AN258" s="3"/>
      <c r="AO258" s="3"/>
      <c r="AP258" s="3"/>
      <c r="AQ258" s="3"/>
      <c r="AR258" s="3"/>
      <c r="AS258" s="98"/>
      <c r="AT258" s="98"/>
      <c r="AU258" s="98"/>
      <c r="AV258" s="98"/>
      <c r="AW258" s="98"/>
      <c r="AX258" s="98"/>
      <c r="AY258" s="98"/>
      <c r="AZ258" s="98"/>
    </row>
    <row r="259">
      <c r="A259" s="3"/>
      <c r="B259" s="36"/>
      <c r="C259" s="91"/>
      <c r="D259" s="13"/>
      <c r="E259" s="13"/>
      <c r="F259" s="3"/>
      <c r="G259" s="3"/>
      <c r="H259" s="3"/>
      <c r="I259" s="13"/>
      <c r="J259" s="13"/>
      <c r="K259" s="13"/>
      <c r="L259" s="36"/>
      <c r="M259" s="91"/>
      <c r="N259" s="3"/>
      <c r="O259" s="3"/>
      <c r="P259" s="7"/>
      <c r="Q259" s="7"/>
      <c r="R259" s="166"/>
      <c r="S259" s="166"/>
      <c r="T259" s="7"/>
      <c r="U259" s="3"/>
      <c r="V259" s="13"/>
      <c r="W259" s="3"/>
      <c r="X259" s="166"/>
      <c r="Y259" s="7"/>
      <c r="Z259" s="13"/>
      <c r="AA259" s="7"/>
      <c r="AB259" s="7"/>
      <c r="AC259" s="257"/>
      <c r="AD259" s="166"/>
      <c r="AE259" s="258"/>
      <c r="AF259" s="7"/>
      <c r="AG259" s="7"/>
      <c r="AH259" s="166"/>
      <c r="AI259" s="13"/>
      <c r="AJ259" s="3"/>
      <c r="AK259" s="13"/>
      <c r="AL259" s="3"/>
      <c r="AM259" s="3"/>
      <c r="AN259" s="3"/>
      <c r="AO259" s="3"/>
      <c r="AP259" s="3"/>
      <c r="AQ259" s="3"/>
      <c r="AR259" s="3"/>
      <c r="AS259" s="98"/>
      <c r="AT259" s="98"/>
      <c r="AU259" s="98"/>
      <c r="AV259" s="98"/>
      <c r="AW259" s="98"/>
      <c r="AX259" s="98"/>
      <c r="AY259" s="98"/>
      <c r="AZ259" s="98"/>
    </row>
    <row r="260">
      <c r="A260" s="3"/>
      <c r="B260" s="36"/>
      <c r="C260" s="91"/>
      <c r="D260" s="13"/>
      <c r="E260" s="13"/>
      <c r="F260" s="3"/>
      <c r="G260" s="3"/>
      <c r="H260" s="3"/>
      <c r="I260" s="13"/>
      <c r="J260" s="13"/>
      <c r="K260" s="13"/>
      <c r="L260" s="36"/>
      <c r="M260" s="91"/>
      <c r="N260" s="3"/>
      <c r="O260" s="3"/>
      <c r="P260" s="7"/>
      <c r="Q260" s="7"/>
      <c r="R260" s="166"/>
      <c r="S260" s="166"/>
      <c r="T260" s="7"/>
      <c r="U260" s="3"/>
      <c r="V260" s="13"/>
      <c r="W260" s="3"/>
      <c r="X260" s="166"/>
      <c r="Y260" s="7"/>
      <c r="Z260" s="13"/>
      <c r="AA260" s="7"/>
      <c r="AB260" s="7"/>
      <c r="AC260" s="257"/>
      <c r="AD260" s="166"/>
      <c r="AE260" s="258"/>
      <c r="AF260" s="7"/>
      <c r="AG260" s="7"/>
      <c r="AH260" s="166"/>
      <c r="AI260" s="13"/>
      <c r="AJ260" s="3"/>
      <c r="AK260" s="13"/>
      <c r="AL260" s="3"/>
      <c r="AM260" s="3"/>
      <c r="AN260" s="3"/>
      <c r="AO260" s="3"/>
      <c r="AP260" s="3"/>
      <c r="AQ260" s="3"/>
      <c r="AR260" s="3"/>
      <c r="AS260" s="98"/>
      <c r="AT260" s="98"/>
      <c r="AU260" s="98"/>
      <c r="AV260" s="98"/>
      <c r="AW260" s="98"/>
      <c r="AX260" s="98"/>
      <c r="AY260" s="98"/>
      <c r="AZ260" s="98"/>
    </row>
    <row r="261">
      <c r="A261" s="3"/>
      <c r="B261" s="36"/>
      <c r="C261" s="91"/>
      <c r="D261" s="13"/>
      <c r="E261" s="13"/>
      <c r="F261" s="3"/>
      <c r="G261" s="3"/>
      <c r="H261" s="3"/>
      <c r="I261" s="13"/>
      <c r="J261" s="13"/>
      <c r="K261" s="13"/>
      <c r="L261" s="36"/>
      <c r="M261" s="91"/>
      <c r="N261" s="3"/>
      <c r="O261" s="3"/>
      <c r="P261" s="7"/>
      <c r="Q261" s="7"/>
      <c r="R261" s="166"/>
      <c r="S261" s="166"/>
      <c r="T261" s="7"/>
      <c r="U261" s="3"/>
      <c r="V261" s="13"/>
      <c r="W261" s="3"/>
      <c r="X261" s="166"/>
      <c r="Y261" s="7"/>
      <c r="Z261" s="13"/>
      <c r="AA261" s="7"/>
      <c r="AB261" s="7"/>
      <c r="AC261" s="257"/>
      <c r="AD261" s="166"/>
      <c r="AE261" s="258"/>
      <c r="AF261" s="7"/>
      <c r="AG261" s="7"/>
      <c r="AH261" s="166"/>
      <c r="AI261" s="13"/>
      <c r="AJ261" s="3"/>
      <c r="AK261" s="13"/>
      <c r="AL261" s="3"/>
      <c r="AM261" s="3"/>
      <c r="AN261" s="3"/>
      <c r="AO261" s="3"/>
      <c r="AP261" s="3"/>
      <c r="AQ261" s="3"/>
      <c r="AR261" s="3"/>
      <c r="AS261" s="98"/>
      <c r="AT261" s="98"/>
      <c r="AU261" s="98"/>
      <c r="AV261" s="98"/>
      <c r="AW261" s="98"/>
      <c r="AX261" s="98"/>
      <c r="AY261" s="98"/>
      <c r="AZ261" s="98"/>
    </row>
    <row r="262">
      <c r="A262" s="3"/>
      <c r="B262" s="36"/>
      <c r="C262" s="91"/>
      <c r="D262" s="13"/>
      <c r="E262" s="13"/>
      <c r="F262" s="3"/>
      <c r="G262" s="3"/>
      <c r="H262" s="3"/>
      <c r="I262" s="13"/>
      <c r="J262" s="13"/>
      <c r="K262" s="13"/>
      <c r="L262" s="36"/>
      <c r="M262" s="91"/>
      <c r="N262" s="3"/>
      <c r="O262" s="3"/>
      <c r="P262" s="7"/>
      <c r="Q262" s="7"/>
      <c r="R262" s="166"/>
      <c r="S262" s="166"/>
      <c r="T262" s="7"/>
      <c r="U262" s="3"/>
      <c r="V262" s="13"/>
      <c r="W262" s="3"/>
      <c r="X262" s="166"/>
      <c r="Y262" s="7"/>
      <c r="Z262" s="13"/>
      <c r="AA262" s="7"/>
      <c r="AB262" s="7"/>
      <c r="AC262" s="257"/>
      <c r="AD262" s="166"/>
      <c r="AE262" s="258"/>
      <c r="AF262" s="7"/>
      <c r="AG262" s="7"/>
      <c r="AH262" s="166"/>
      <c r="AI262" s="13"/>
      <c r="AJ262" s="3"/>
      <c r="AK262" s="13"/>
      <c r="AL262" s="3"/>
      <c r="AM262" s="3"/>
      <c r="AN262" s="3"/>
      <c r="AO262" s="3"/>
      <c r="AP262" s="3"/>
      <c r="AQ262" s="3"/>
      <c r="AR262" s="3"/>
      <c r="AS262" s="98"/>
      <c r="AT262" s="98"/>
      <c r="AU262" s="98"/>
      <c r="AV262" s="98"/>
      <c r="AW262" s="98"/>
      <c r="AX262" s="98"/>
      <c r="AY262" s="98"/>
      <c r="AZ262" s="98"/>
    </row>
    <row r="263">
      <c r="A263" s="3"/>
      <c r="B263" s="36"/>
      <c r="C263" s="91"/>
      <c r="D263" s="13"/>
      <c r="E263" s="13"/>
      <c r="F263" s="3"/>
      <c r="G263" s="3"/>
      <c r="H263" s="3"/>
      <c r="I263" s="13"/>
      <c r="J263" s="13"/>
      <c r="K263" s="13"/>
      <c r="L263" s="36"/>
      <c r="M263" s="91"/>
      <c r="N263" s="3"/>
      <c r="O263" s="3"/>
      <c r="P263" s="7"/>
      <c r="Q263" s="7"/>
      <c r="R263" s="166"/>
      <c r="S263" s="166"/>
      <c r="T263" s="7"/>
      <c r="U263" s="3"/>
      <c r="V263" s="13"/>
      <c r="W263" s="3"/>
      <c r="X263" s="166"/>
      <c r="Y263" s="7"/>
      <c r="Z263" s="13"/>
      <c r="AA263" s="7"/>
      <c r="AB263" s="7"/>
      <c r="AC263" s="257"/>
      <c r="AD263" s="166"/>
      <c r="AE263" s="258"/>
      <c r="AF263" s="7"/>
      <c r="AG263" s="7"/>
      <c r="AH263" s="166"/>
      <c r="AI263" s="13"/>
      <c r="AJ263" s="3"/>
      <c r="AK263" s="13"/>
      <c r="AL263" s="3"/>
      <c r="AM263" s="3"/>
      <c r="AN263" s="3"/>
      <c r="AO263" s="3"/>
      <c r="AP263" s="3"/>
      <c r="AQ263" s="3"/>
      <c r="AR263" s="3"/>
      <c r="AS263" s="98"/>
      <c r="AT263" s="98"/>
      <c r="AU263" s="98"/>
      <c r="AV263" s="98"/>
      <c r="AW263" s="98"/>
      <c r="AX263" s="98"/>
      <c r="AY263" s="98"/>
      <c r="AZ263" s="98"/>
    </row>
    <row r="264">
      <c r="A264" s="3"/>
      <c r="B264" s="36"/>
      <c r="C264" s="91"/>
      <c r="D264" s="13"/>
      <c r="E264" s="13"/>
      <c r="F264" s="3"/>
      <c r="G264" s="3"/>
      <c r="H264" s="3"/>
      <c r="I264" s="13"/>
      <c r="J264" s="13"/>
      <c r="K264" s="13"/>
      <c r="L264" s="36"/>
      <c r="M264" s="91"/>
      <c r="N264" s="3"/>
      <c r="O264" s="3"/>
      <c r="P264" s="7"/>
      <c r="Q264" s="7"/>
      <c r="R264" s="166"/>
      <c r="S264" s="166"/>
      <c r="T264" s="7"/>
      <c r="U264" s="3"/>
      <c r="V264" s="13"/>
      <c r="W264" s="3"/>
      <c r="X264" s="166"/>
      <c r="Y264" s="7"/>
      <c r="Z264" s="13"/>
      <c r="AA264" s="7"/>
      <c r="AB264" s="7"/>
      <c r="AC264" s="257"/>
      <c r="AD264" s="166"/>
      <c r="AE264" s="258"/>
      <c r="AF264" s="7"/>
      <c r="AG264" s="7"/>
      <c r="AH264" s="166"/>
      <c r="AI264" s="13"/>
      <c r="AJ264" s="3"/>
      <c r="AK264" s="13"/>
      <c r="AL264" s="3"/>
      <c r="AM264" s="3"/>
      <c r="AN264" s="3"/>
      <c r="AO264" s="3"/>
      <c r="AP264" s="3"/>
      <c r="AQ264" s="3"/>
      <c r="AR264" s="3"/>
      <c r="AS264" s="98"/>
      <c r="AT264" s="98"/>
      <c r="AU264" s="98"/>
      <c r="AV264" s="98"/>
      <c r="AW264" s="98"/>
      <c r="AX264" s="98"/>
      <c r="AY264" s="98"/>
      <c r="AZ264" s="98"/>
    </row>
    <row r="265">
      <c r="A265" s="3"/>
      <c r="B265" s="36"/>
      <c r="C265" s="91"/>
      <c r="D265" s="13"/>
      <c r="E265" s="13"/>
      <c r="F265" s="3"/>
      <c r="G265" s="3"/>
      <c r="H265" s="3"/>
      <c r="I265" s="13"/>
      <c r="J265" s="13"/>
      <c r="K265" s="13"/>
      <c r="L265" s="36"/>
      <c r="M265" s="91"/>
      <c r="N265" s="3"/>
      <c r="O265" s="3"/>
      <c r="P265" s="7"/>
      <c r="Q265" s="7"/>
      <c r="R265" s="166"/>
      <c r="S265" s="166"/>
      <c r="T265" s="7"/>
      <c r="U265" s="3"/>
      <c r="V265" s="13"/>
      <c r="W265" s="3"/>
      <c r="X265" s="166"/>
      <c r="Y265" s="7"/>
      <c r="Z265" s="13"/>
      <c r="AA265" s="7"/>
      <c r="AB265" s="7"/>
      <c r="AC265" s="257"/>
      <c r="AD265" s="166"/>
      <c r="AE265" s="258"/>
      <c r="AF265" s="7"/>
      <c r="AG265" s="7"/>
      <c r="AH265" s="166"/>
      <c r="AI265" s="13"/>
      <c r="AJ265" s="3"/>
      <c r="AK265" s="13"/>
      <c r="AL265" s="3"/>
      <c r="AM265" s="3"/>
      <c r="AN265" s="3"/>
      <c r="AO265" s="3"/>
      <c r="AP265" s="3"/>
      <c r="AQ265" s="3"/>
      <c r="AR265" s="3"/>
      <c r="AS265" s="98"/>
      <c r="AT265" s="98"/>
      <c r="AU265" s="98"/>
      <c r="AV265" s="98"/>
      <c r="AW265" s="98"/>
      <c r="AX265" s="98"/>
      <c r="AY265" s="98"/>
      <c r="AZ265" s="98"/>
    </row>
    <row r="266">
      <c r="A266" s="3"/>
      <c r="B266" s="36"/>
      <c r="C266" s="91"/>
      <c r="D266" s="13"/>
      <c r="E266" s="13"/>
      <c r="F266" s="3"/>
      <c r="G266" s="3"/>
      <c r="H266" s="3"/>
      <c r="I266" s="13"/>
      <c r="J266" s="13"/>
      <c r="K266" s="13"/>
      <c r="L266" s="36"/>
      <c r="M266" s="91"/>
      <c r="N266" s="3"/>
      <c r="O266" s="3"/>
      <c r="P266" s="7"/>
      <c r="Q266" s="7"/>
      <c r="R266" s="166"/>
      <c r="S266" s="166"/>
      <c r="T266" s="7"/>
      <c r="U266" s="3"/>
      <c r="V266" s="13"/>
      <c r="W266" s="3"/>
      <c r="X266" s="166"/>
      <c r="Y266" s="7"/>
      <c r="Z266" s="13"/>
      <c r="AA266" s="7"/>
      <c r="AB266" s="7"/>
      <c r="AC266" s="257"/>
      <c r="AD266" s="166"/>
      <c r="AE266" s="258"/>
      <c r="AF266" s="7"/>
      <c r="AG266" s="7"/>
      <c r="AH266" s="166"/>
      <c r="AI266" s="13"/>
      <c r="AJ266" s="3"/>
      <c r="AK266" s="13"/>
      <c r="AL266" s="3"/>
      <c r="AM266" s="3"/>
      <c r="AN266" s="3"/>
      <c r="AO266" s="3"/>
      <c r="AP266" s="3"/>
      <c r="AQ266" s="3"/>
      <c r="AR266" s="3"/>
      <c r="AS266" s="98"/>
      <c r="AT266" s="98"/>
      <c r="AU266" s="98"/>
      <c r="AV266" s="98"/>
      <c r="AW266" s="98"/>
      <c r="AX266" s="98"/>
      <c r="AY266" s="98"/>
      <c r="AZ266" s="98"/>
    </row>
    <row r="267">
      <c r="A267" s="3"/>
      <c r="B267" s="36"/>
      <c r="C267" s="91"/>
      <c r="D267" s="13"/>
      <c r="E267" s="13"/>
      <c r="F267" s="3"/>
      <c r="G267" s="3"/>
      <c r="H267" s="3"/>
      <c r="I267" s="13"/>
      <c r="J267" s="13"/>
      <c r="K267" s="13"/>
      <c r="L267" s="36"/>
      <c r="M267" s="91"/>
      <c r="N267" s="3"/>
      <c r="O267" s="3"/>
      <c r="P267" s="7"/>
      <c r="Q267" s="7"/>
      <c r="R267" s="166"/>
      <c r="S267" s="166"/>
      <c r="T267" s="7"/>
      <c r="U267" s="3"/>
      <c r="V267" s="13"/>
      <c r="W267" s="3"/>
      <c r="X267" s="166"/>
      <c r="Y267" s="7"/>
      <c r="Z267" s="13"/>
      <c r="AA267" s="7"/>
      <c r="AB267" s="7"/>
      <c r="AC267" s="257"/>
      <c r="AD267" s="166"/>
      <c r="AE267" s="258"/>
      <c r="AF267" s="7"/>
      <c r="AG267" s="7"/>
      <c r="AH267" s="166"/>
      <c r="AI267" s="13"/>
      <c r="AJ267" s="3"/>
      <c r="AK267" s="13"/>
      <c r="AL267" s="3"/>
      <c r="AM267" s="3"/>
      <c r="AN267" s="3"/>
      <c r="AO267" s="3"/>
      <c r="AP267" s="3"/>
      <c r="AQ267" s="3"/>
      <c r="AR267" s="3"/>
      <c r="AS267" s="98"/>
      <c r="AT267" s="98"/>
      <c r="AU267" s="98"/>
      <c r="AV267" s="98"/>
      <c r="AW267" s="98"/>
      <c r="AX267" s="98"/>
      <c r="AY267" s="98"/>
      <c r="AZ267" s="98"/>
    </row>
    <row r="268">
      <c r="A268" s="3"/>
      <c r="B268" s="36"/>
      <c r="C268" s="91"/>
      <c r="D268" s="13"/>
      <c r="E268" s="13"/>
      <c r="F268" s="3"/>
      <c r="G268" s="3"/>
      <c r="H268" s="3"/>
      <c r="I268" s="13"/>
      <c r="J268" s="13"/>
      <c r="K268" s="13"/>
      <c r="L268" s="36"/>
      <c r="M268" s="91"/>
      <c r="N268" s="3"/>
      <c r="O268" s="3"/>
      <c r="P268" s="7"/>
      <c r="Q268" s="7"/>
      <c r="R268" s="166"/>
      <c r="S268" s="166"/>
      <c r="T268" s="7"/>
      <c r="U268" s="3"/>
      <c r="V268" s="13"/>
      <c r="W268" s="3"/>
      <c r="X268" s="166"/>
      <c r="Y268" s="7"/>
      <c r="Z268" s="13"/>
      <c r="AA268" s="7"/>
      <c r="AB268" s="7"/>
      <c r="AC268" s="257"/>
      <c r="AD268" s="166"/>
      <c r="AE268" s="258"/>
      <c r="AF268" s="7"/>
      <c r="AG268" s="7"/>
      <c r="AH268" s="166"/>
      <c r="AI268" s="13"/>
      <c r="AJ268" s="3"/>
      <c r="AK268" s="13"/>
      <c r="AL268" s="3"/>
      <c r="AM268" s="3"/>
      <c r="AN268" s="3"/>
      <c r="AO268" s="3"/>
      <c r="AP268" s="3"/>
      <c r="AQ268" s="3"/>
      <c r="AR268" s="3"/>
      <c r="AS268" s="98"/>
      <c r="AT268" s="98"/>
      <c r="AU268" s="98"/>
      <c r="AV268" s="98"/>
      <c r="AW268" s="98"/>
      <c r="AX268" s="98"/>
      <c r="AY268" s="98"/>
      <c r="AZ268" s="98"/>
    </row>
    <row r="269">
      <c r="A269" s="3"/>
      <c r="B269" s="36"/>
      <c r="C269" s="91"/>
      <c r="D269" s="13"/>
      <c r="E269" s="13"/>
      <c r="F269" s="3"/>
      <c r="G269" s="3"/>
      <c r="H269" s="3"/>
      <c r="I269" s="13"/>
      <c r="J269" s="13"/>
      <c r="K269" s="13"/>
      <c r="L269" s="36"/>
      <c r="M269" s="91"/>
      <c r="N269" s="3"/>
      <c r="O269" s="3"/>
      <c r="P269" s="7"/>
      <c r="Q269" s="7"/>
      <c r="R269" s="166"/>
      <c r="S269" s="166"/>
      <c r="T269" s="7"/>
      <c r="U269" s="3"/>
      <c r="V269" s="13"/>
      <c r="W269" s="3"/>
      <c r="X269" s="166"/>
      <c r="Y269" s="7"/>
      <c r="Z269" s="13"/>
      <c r="AA269" s="7"/>
      <c r="AB269" s="7"/>
      <c r="AC269" s="257"/>
      <c r="AD269" s="166"/>
      <c r="AE269" s="258"/>
      <c r="AF269" s="7"/>
      <c r="AG269" s="7"/>
      <c r="AH269" s="166"/>
      <c r="AI269" s="13"/>
      <c r="AJ269" s="3"/>
      <c r="AK269" s="13"/>
      <c r="AL269" s="3"/>
      <c r="AM269" s="3"/>
      <c r="AN269" s="3"/>
      <c r="AO269" s="3"/>
      <c r="AP269" s="3"/>
      <c r="AQ269" s="3"/>
      <c r="AR269" s="3"/>
      <c r="AS269" s="98"/>
      <c r="AT269" s="98"/>
      <c r="AU269" s="98"/>
      <c r="AV269" s="98"/>
      <c r="AW269" s="98"/>
      <c r="AX269" s="98"/>
      <c r="AY269" s="98"/>
      <c r="AZ269" s="98"/>
    </row>
    <row r="270">
      <c r="A270" s="3"/>
      <c r="B270" s="36"/>
      <c r="C270" s="91"/>
      <c r="D270" s="13"/>
      <c r="E270" s="13"/>
      <c r="F270" s="3"/>
      <c r="G270" s="3"/>
      <c r="H270" s="3"/>
      <c r="I270" s="13"/>
      <c r="J270" s="13"/>
      <c r="K270" s="13"/>
      <c r="L270" s="36"/>
      <c r="M270" s="91"/>
      <c r="N270" s="3"/>
      <c r="O270" s="3"/>
      <c r="P270" s="7"/>
      <c r="Q270" s="7"/>
      <c r="R270" s="166"/>
      <c r="S270" s="166"/>
      <c r="T270" s="7"/>
      <c r="U270" s="3"/>
      <c r="V270" s="13"/>
      <c r="W270" s="3"/>
      <c r="X270" s="166"/>
      <c r="Y270" s="7"/>
      <c r="Z270" s="13"/>
      <c r="AA270" s="7"/>
      <c r="AB270" s="7"/>
      <c r="AC270" s="257"/>
      <c r="AD270" s="166"/>
      <c r="AE270" s="258"/>
      <c r="AF270" s="7"/>
      <c r="AG270" s="7"/>
      <c r="AH270" s="166"/>
      <c r="AI270" s="13"/>
      <c r="AJ270" s="3"/>
      <c r="AK270" s="13"/>
      <c r="AL270" s="3"/>
      <c r="AM270" s="3"/>
      <c r="AN270" s="3"/>
      <c r="AO270" s="3"/>
      <c r="AP270" s="3"/>
      <c r="AQ270" s="3"/>
      <c r="AR270" s="3"/>
      <c r="AS270" s="98"/>
      <c r="AT270" s="98"/>
      <c r="AU270" s="98"/>
      <c r="AV270" s="98"/>
      <c r="AW270" s="98"/>
      <c r="AX270" s="98"/>
      <c r="AY270" s="98"/>
      <c r="AZ270" s="98"/>
    </row>
    <row r="271">
      <c r="A271" s="3"/>
      <c r="B271" s="36"/>
      <c r="C271" s="91"/>
      <c r="D271" s="13"/>
      <c r="E271" s="13"/>
      <c r="F271" s="3"/>
      <c r="G271" s="3"/>
      <c r="H271" s="3"/>
      <c r="I271" s="13"/>
      <c r="J271" s="13"/>
      <c r="K271" s="13"/>
      <c r="L271" s="36"/>
      <c r="M271" s="91"/>
      <c r="N271" s="3"/>
      <c r="O271" s="3"/>
      <c r="P271" s="7"/>
      <c r="Q271" s="7"/>
      <c r="R271" s="166"/>
      <c r="S271" s="166"/>
      <c r="T271" s="7"/>
      <c r="U271" s="3"/>
      <c r="V271" s="13"/>
      <c r="W271" s="3"/>
      <c r="X271" s="166"/>
      <c r="Y271" s="7"/>
      <c r="Z271" s="13"/>
      <c r="AA271" s="7"/>
      <c r="AB271" s="7"/>
      <c r="AC271" s="257"/>
      <c r="AD271" s="166"/>
      <c r="AE271" s="258"/>
      <c r="AF271" s="7"/>
      <c r="AG271" s="7"/>
      <c r="AH271" s="166"/>
      <c r="AI271" s="13"/>
      <c r="AJ271" s="3"/>
      <c r="AK271" s="13"/>
      <c r="AL271" s="3"/>
      <c r="AM271" s="3"/>
      <c r="AN271" s="3"/>
      <c r="AO271" s="3"/>
      <c r="AP271" s="3"/>
      <c r="AQ271" s="3"/>
      <c r="AR271" s="3"/>
      <c r="AS271" s="98"/>
      <c r="AT271" s="98"/>
      <c r="AU271" s="98"/>
      <c r="AV271" s="98"/>
      <c r="AW271" s="98"/>
      <c r="AX271" s="98"/>
      <c r="AY271" s="98"/>
      <c r="AZ271" s="98"/>
    </row>
    <row r="272">
      <c r="A272" s="3"/>
      <c r="B272" s="36"/>
      <c r="C272" s="91"/>
      <c r="D272" s="13"/>
      <c r="E272" s="13"/>
      <c r="F272" s="3"/>
      <c r="G272" s="3"/>
      <c r="H272" s="3"/>
      <c r="I272" s="13"/>
      <c r="J272" s="13"/>
      <c r="K272" s="13"/>
      <c r="L272" s="36"/>
      <c r="M272" s="91"/>
      <c r="N272" s="3"/>
      <c r="O272" s="3"/>
      <c r="P272" s="7"/>
      <c r="Q272" s="7"/>
      <c r="R272" s="166"/>
      <c r="S272" s="166"/>
      <c r="T272" s="7"/>
      <c r="U272" s="3"/>
      <c r="V272" s="13"/>
      <c r="W272" s="3"/>
      <c r="X272" s="166"/>
      <c r="Y272" s="7"/>
      <c r="Z272" s="13"/>
      <c r="AA272" s="7"/>
      <c r="AB272" s="7"/>
      <c r="AC272" s="257"/>
      <c r="AD272" s="166"/>
      <c r="AE272" s="258"/>
      <c r="AF272" s="7"/>
      <c r="AG272" s="7"/>
      <c r="AH272" s="166"/>
      <c r="AI272" s="13"/>
      <c r="AJ272" s="3"/>
      <c r="AK272" s="13"/>
      <c r="AL272" s="3"/>
      <c r="AM272" s="3"/>
      <c r="AN272" s="3"/>
      <c r="AO272" s="3"/>
      <c r="AP272" s="3"/>
      <c r="AQ272" s="3"/>
      <c r="AR272" s="3"/>
      <c r="AS272" s="98"/>
      <c r="AT272" s="98"/>
      <c r="AU272" s="98"/>
      <c r="AV272" s="98"/>
      <c r="AW272" s="98"/>
      <c r="AX272" s="98"/>
      <c r="AY272" s="98"/>
      <c r="AZ272" s="98"/>
    </row>
    <row r="273">
      <c r="A273" s="3"/>
      <c r="B273" s="36"/>
      <c r="C273" s="91"/>
      <c r="D273" s="13"/>
      <c r="E273" s="13"/>
      <c r="F273" s="3"/>
      <c r="G273" s="3"/>
      <c r="H273" s="3"/>
      <c r="I273" s="13"/>
      <c r="J273" s="13"/>
      <c r="K273" s="13"/>
      <c r="L273" s="36"/>
      <c r="M273" s="91"/>
      <c r="N273" s="3"/>
      <c r="O273" s="3"/>
      <c r="P273" s="7"/>
      <c r="Q273" s="7"/>
      <c r="R273" s="166"/>
      <c r="S273" s="166"/>
      <c r="T273" s="7"/>
      <c r="U273" s="3"/>
      <c r="V273" s="13"/>
      <c r="W273" s="3"/>
      <c r="X273" s="166"/>
      <c r="Y273" s="7"/>
      <c r="Z273" s="13"/>
      <c r="AA273" s="7"/>
      <c r="AB273" s="7"/>
      <c r="AC273" s="257"/>
      <c r="AD273" s="166"/>
      <c r="AE273" s="258"/>
      <c r="AF273" s="7"/>
      <c r="AG273" s="7"/>
      <c r="AH273" s="166"/>
      <c r="AI273" s="13"/>
      <c r="AJ273" s="3"/>
      <c r="AK273" s="13"/>
      <c r="AL273" s="3"/>
      <c r="AM273" s="3"/>
      <c r="AN273" s="3"/>
      <c r="AO273" s="3"/>
      <c r="AP273" s="3"/>
      <c r="AQ273" s="3"/>
      <c r="AR273" s="3"/>
      <c r="AS273" s="98"/>
      <c r="AT273" s="98"/>
      <c r="AU273" s="98"/>
      <c r="AV273" s="98"/>
      <c r="AW273" s="98"/>
      <c r="AX273" s="98"/>
      <c r="AY273" s="98"/>
      <c r="AZ273" s="98"/>
    </row>
    <row r="274">
      <c r="A274" s="3"/>
      <c r="B274" s="36"/>
      <c r="C274" s="91"/>
      <c r="D274" s="13"/>
      <c r="E274" s="13"/>
      <c r="F274" s="3"/>
      <c r="G274" s="3"/>
      <c r="H274" s="3"/>
      <c r="I274" s="13"/>
      <c r="J274" s="13"/>
      <c r="K274" s="13"/>
      <c r="L274" s="36"/>
      <c r="M274" s="91"/>
      <c r="N274" s="3"/>
      <c r="O274" s="3"/>
      <c r="P274" s="7"/>
      <c r="Q274" s="7"/>
      <c r="R274" s="166"/>
      <c r="S274" s="166"/>
      <c r="T274" s="7"/>
      <c r="U274" s="3"/>
      <c r="V274" s="13"/>
      <c r="W274" s="3"/>
      <c r="X274" s="166"/>
      <c r="Y274" s="7"/>
      <c r="Z274" s="13"/>
      <c r="AA274" s="7"/>
      <c r="AB274" s="7"/>
      <c r="AC274" s="257"/>
      <c r="AD274" s="166"/>
      <c r="AE274" s="258"/>
      <c r="AF274" s="7"/>
      <c r="AG274" s="7"/>
      <c r="AH274" s="166"/>
      <c r="AI274" s="13"/>
      <c r="AJ274" s="3"/>
      <c r="AK274" s="13"/>
      <c r="AL274" s="3"/>
      <c r="AM274" s="3"/>
      <c r="AN274" s="3"/>
      <c r="AO274" s="3"/>
      <c r="AP274" s="3"/>
      <c r="AQ274" s="3"/>
      <c r="AR274" s="3"/>
      <c r="AS274" s="98"/>
      <c r="AT274" s="98"/>
      <c r="AU274" s="98"/>
      <c r="AV274" s="98"/>
      <c r="AW274" s="98"/>
      <c r="AX274" s="98"/>
      <c r="AY274" s="98"/>
      <c r="AZ274" s="98"/>
    </row>
    <row r="275">
      <c r="A275" s="3"/>
      <c r="B275" s="36"/>
      <c r="C275" s="91"/>
      <c r="D275" s="13"/>
      <c r="E275" s="13"/>
      <c r="F275" s="3"/>
      <c r="G275" s="3"/>
      <c r="H275" s="3"/>
      <c r="I275" s="13"/>
      <c r="J275" s="13"/>
      <c r="K275" s="13"/>
      <c r="L275" s="36"/>
      <c r="M275" s="91"/>
      <c r="N275" s="3"/>
      <c r="O275" s="3"/>
      <c r="P275" s="7"/>
      <c r="Q275" s="7"/>
      <c r="R275" s="166"/>
      <c r="S275" s="166"/>
      <c r="T275" s="7"/>
      <c r="U275" s="3"/>
      <c r="V275" s="13"/>
      <c r="W275" s="3"/>
      <c r="X275" s="166"/>
      <c r="Y275" s="7"/>
      <c r="Z275" s="13"/>
      <c r="AA275" s="7"/>
      <c r="AB275" s="7"/>
      <c r="AC275" s="257"/>
      <c r="AD275" s="166"/>
      <c r="AE275" s="258"/>
      <c r="AF275" s="7"/>
      <c r="AG275" s="7"/>
      <c r="AH275" s="166"/>
      <c r="AI275" s="13"/>
      <c r="AJ275" s="3"/>
      <c r="AK275" s="13"/>
      <c r="AL275" s="3"/>
      <c r="AM275" s="3"/>
      <c r="AN275" s="3"/>
      <c r="AO275" s="3"/>
      <c r="AP275" s="3"/>
      <c r="AQ275" s="3"/>
      <c r="AR275" s="3"/>
      <c r="AS275" s="98"/>
      <c r="AT275" s="98"/>
      <c r="AU275" s="98"/>
      <c r="AV275" s="98"/>
      <c r="AW275" s="98"/>
      <c r="AX275" s="98"/>
      <c r="AY275" s="98"/>
      <c r="AZ275" s="98"/>
    </row>
    <row r="276">
      <c r="A276" s="3"/>
      <c r="B276" s="36"/>
      <c r="C276" s="91"/>
      <c r="D276" s="13"/>
      <c r="E276" s="13"/>
      <c r="F276" s="3"/>
      <c r="G276" s="3"/>
      <c r="H276" s="3"/>
      <c r="I276" s="13"/>
      <c r="J276" s="13"/>
      <c r="K276" s="13"/>
      <c r="L276" s="36"/>
      <c r="M276" s="91"/>
      <c r="N276" s="3"/>
      <c r="O276" s="3"/>
      <c r="P276" s="7"/>
      <c r="Q276" s="7"/>
      <c r="R276" s="166"/>
      <c r="S276" s="166"/>
      <c r="T276" s="7"/>
      <c r="U276" s="3"/>
      <c r="V276" s="13"/>
      <c r="W276" s="3"/>
      <c r="X276" s="166"/>
      <c r="Y276" s="7"/>
      <c r="Z276" s="13"/>
      <c r="AA276" s="7"/>
      <c r="AB276" s="7"/>
      <c r="AC276" s="257"/>
      <c r="AD276" s="166"/>
      <c r="AE276" s="258"/>
      <c r="AF276" s="7"/>
      <c r="AG276" s="7"/>
      <c r="AH276" s="166"/>
      <c r="AI276" s="13"/>
      <c r="AJ276" s="3"/>
      <c r="AK276" s="13"/>
      <c r="AL276" s="3"/>
      <c r="AM276" s="3"/>
      <c r="AN276" s="3"/>
      <c r="AO276" s="3"/>
      <c r="AP276" s="3"/>
      <c r="AQ276" s="3"/>
      <c r="AR276" s="3"/>
      <c r="AS276" s="98"/>
      <c r="AT276" s="98"/>
      <c r="AU276" s="98"/>
      <c r="AV276" s="98"/>
      <c r="AW276" s="98"/>
      <c r="AX276" s="98"/>
      <c r="AY276" s="98"/>
      <c r="AZ276" s="98"/>
    </row>
    <row r="277">
      <c r="A277" s="3"/>
      <c r="B277" s="36"/>
      <c r="C277" s="91"/>
      <c r="D277" s="13"/>
      <c r="E277" s="13"/>
      <c r="F277" s="3"/>
      <c r="G277" s="3"/>
      <c r="H277" s="3"/>
      <c r="I277" s="13"/>
      <c r="J277" s="13"/>
      <c r="K277" s="13"/>
      <c r="L277" s="36"/>
      <c r="M277" s="91"/>
      <c r="N277" s="3"/>
      <c r="O277" s="3"/>
      <c r="P277" s="7"/>
      <c r="Q277" s="7"/>
      <c r="R277" s="166"/>
      <c r="S277" s="166"/>
      <c r="T277" s="7"/>
      <c r="U277" s="3"/>
      <c r="V277" s="13"/>
      <c r="W277" s="3"/>
      <c r="X277" s="166"/>
      <c r="Y277" s="7"/>
      <c r="Z277" s="13"/>
      <c r="AA277" s="7"/>
      <c r="AB277" s="7"/>
      <c r="AC277" s="257"/>
      <c r="AD277" s="166"/>
      <c r="AE277" s="258"/>
      <c r="AF277" s="7"/>
      <c r="AG277" s="7"/>
      <c r="AH277" s="166"/>
      <c r="AI277" s="13"/>
      <c r="AJ277" s="3"/>
      <c r="AK277" s="13"/>
      <c r="AL277" s="3"/>
      <c r="AM277" s="3"/>
      <c r="AN277" s="3"/>
      <c r="AO277" s="3"/>
      <c r="AP277" s="3"/>
      <c r="AQ277" s="3"/>
      <c r="AR277" s="3"/>
      <c r="AS277" s="98"/>
      <c r="AT277" s="98"/>
      <c r="AU277" s="98"/>
      <c r="AV277" s="98"/>
      <c r="AW277" s="98"/>
      <c r="AX277" s="98"/>
      <c r="AY277" s="98"/>
      <c r="AZ277" s="98"/>
    </row>
    <row r="278">
      <c r="A278" s="3"/>
      <c r="B278" s="36"/>
      <c r="C278" s="91"/>
      <c r="D278" s="13"/>
      <c r="E278" s="13"/>
      <c r="F278" s="3"/>
      <c r="G278" s="3"/>
      <c r="H278" s="3"/>
      <c r="I278" s="13"/>
      <c r="J278" s="13"/>
      <c r="K278" s="13"/>
      <c r="L278" s="36"/>
      <c r="M278" s="91"/>
      <c r="N278" s="3"/>
      <c r="O278" s="3"/>
      <c r="P278" s="7"/>
      <c r="Q278" s="7"/>
      <c r="R278" s="166"/>
      <c r="S278" s="166"/>
      <c r="T278" s="7"/>
      <c r="U278" s="3"/>
      <c r="V278" s="13"/>
      <c r="W278" s="3"/>
      <c r="X278" s="166"/>
      <c r="Y278" s="7"/>
      <c r="Z278" s="13"/>
      <c r="AA278" s="7"/>
      <c r="AB278" s="7"/>
      <c r="AC278" s="257"/>
      <c r="AD278" s="166"/>
      <c r="AE278" s="258"/>
      <c r="AF278" s="7"/>
      <c r="AG278" s="7"/>
      <c r="AH278" s="166"/>
      <c r="AI278" s="13"/>
      <c r="AJ278" s="3"/>
      <c r="AK278" s="13"/>
      <c r="AL278" s="3"/>
      <c r="AM278" s="3"/>
      <c r="AN278" s="3"/>
      <c r="AO278" s="3"/>
      <c r="AP278" s="3"/>
      <c r="AQ278" s="3"/>
      <c r="AR278" s="3"/>
      <c r="AS278" s="98"/>
      <c r="AT278" s="98"/>
      <c r="AU278" s="98"/>
      <c r="AV278" s="98"/>
      <c r="AW278" s="98"/>
      <c r="AX278" s="98"/>
      <c r="AY278" s="98"/>
      <c r="AZ278" s="98"/>
    </row>
    <row r="279">
      <c r="A279" s="3"/>
      <c r="B279" s="36"/>
      <c r="C279" s="91"/>
      <c r="D279" s="13"/>
      <c r="E279" s="13"/>
      <c r="F279" s="3"/>
      <c r="G279" s="3"/>
      <c r="H279" s="3"/>
      <c r="I279" s="13"/>
      <c r="J279" s="13"/>
      <c r="K279" s="13"/>
      <c r="L279" s="36"/>
      <c r="M279" s="91"/>
      <c r="N279" s="3"/>
      <c r="O279" s="3"/>
      <c r="P279" s="7"/>
      <c r="Q279" s="7"/>
      <c r="R279" s="166"/>
      <c r="S279" s="166"/>
      <c r="T279" s="7"/>
      <c r="U279" s="3"/>
      <c r="V279" s="13"/>
      <c r="W279" s="3"/>
      <c r="X279" s="166"/>
      <c r="Y279" s="7"/>
      <c r="Z279" s="13"/>
      <c r="AA279" s="7"/>
      <c r="AB279" s="7"/>
      <c r="AC279" s="257"/>
      <c r="AD279" s="166"/>
      <c r="AE279" s="258"/>
      <c r="AF279" s="7"/>
      <c r="AG279" s="7"/>
      <c r="AH279" s="166"/>
      <c r="AI279" s="13"/>
      <c r="AJ279" s="3"/>
      <c r="AK279" s="13"/>
      <c r="AL279" s="3"/>
      <c r="AM279" s="3"/>
      <c r="AN279" s="3"/>
      <c r="AO279" s="3"/>
      <c r="AP279" s="3"/>
      <c r="AQ279" s="3"/>
      <c r="AR279" s="3"/>
      <c r="AS279" s="98"/>
      <c r="AT279" s="98"/>
      <c r="AU279" s="98"/>
      <c r="AV279" s="98"/>
      <c r="AW279" s="98"/>
      <c r="AX279" s="98"/>
      <c r="AY279" s="98"/>
      <c r="AZ279" s="98"/>
    </row>
    <row r="280">
      <c r="A280" s="3"/>
      <c r="B280" s="36"/>
      <c r="C280" s="91"/>
      <c r="D280" s="13"/>
      <c r="E280" s="13"/>
      <c r="F280" s="3"/>
      <c r="G280" s="3"/>
      <c r="H280" s="3"/>
      <c r="I280" s="13"/>
      <c r="J280" s="13"/>
      <c r="K280" s="13"/>
      <c r="L280" s="36"/>
      <c r="M280" s="91"/>
      <c r="N280" s="3"/>
      <c r="O280" s="3"/>
      <c r="P280" s="7"/>
      <c r="Q280" s="7"/>
      <c r="R280" s="166"/>
      <c r="S280" s="166"/>
      <c r="T280" s="7"/>
      <c r="U280" s="3"/>
      <c r="V280" s="13"/>
      <c r="W280" s="3"/>
      <c r="X280" s="166"/>
      <c r="Y280" s="7"/>
      <c r="Z280" s="13"/>
      <c r="AA280" s="7"/>
      <c r="AB280" s="7"/>
      <c r="AC280" s="257"/>
      <c r="AD280" s="166"/>
      <c r="AE280" s="258"/>
      <c r="AF280" s="7"/>
      <c r="AG280" s="7"/>
      <c r="AH280" s="166"/>
      <c r="AI280" s="13"/>
      <c r="AJ280" s="3"/>
      <c r="AK280" s="13"/>
      <c r="AL280" s="3"/>
      <c r="AM280" s="3"/>
      <c r="AN280" s="3"/>
      <c r="AO280" s="3"/>
      <c r="AP280" s="3"/>
      <c r="AQ280" s="3"/>
      <c r="AR280" s="3"/>
      <c r="AS280" s="98"/>
      <c r="AT280" s="98"/>
      <c r="AU280" s="98"/>
      <c r="AV280" s="98"/>
      <c r="AW280" s="98"/>
      <c r="AX280" s="98"/>
      <c r="AY280" s="98"/>
      <c r="AZ280" s="98"/>
    </row>
    <row r="281">
      <c r="A281" s="3"/>
      <c r="B281" s="36"/>
      <c r="C281" s="91"/>
      <c r="D281" s="13"/>
      <c r="E281" s="13"/>
      <c r="F281" s="3"/>
      <c r="G281" s="3"/>
      <c r="H281" s="3"/>
      <c r="I281" s="13"/>
      <c r="J281" s="13"/>
      <c r="K281" s="13"/>
      <c r="L281" s="36"/>
      <c r="M281" s="91"/>
      <c r="N281" s="3"/>
      <c r="O281" s="3"/>
      <c r="P281" s="7"/>
      <c r="Q281" s="7"/>
      <c r="R281" s="166"/>
      <c r="S281" s="166"/>
      <c r="T281" s="7"/>
      <c r="U281" s="3"/>
      <c r="V281" s="13"/>
      <c r="W281" s="3"/>
      <c r="X281" s="166"/>
      <c r="Y281" s="7"/>
      <c r="Z281" s="13"/>
      <c r="AA281" s="7"/>
      <c r="AB281" s="7"/>
      <c r="AC281" s="257"/>
      <c r="AD281" s="166"/>
      <c r="AE281" s="258"/>
      <c r="AF281" s="7"/>
      <c r="AG281" s="7"/>
      <c r="AH281" s="166"/>
      <c r="AI281" s="13"/>
      <c r="AJ281" s="3"/>
      <c r="AK281" s="13"/>
      <c r="AL281" s="3"/>
      <c r="AM281" s="3"/>
      <c r="AN281" s="3"/>
      <c r="AO281" s="3"/>
      <c r="AP281" s="3"/>
      <c r="AQ281" s="3"/>
      <c r="AR281" s="3"/>
      <c r="AS281" s="98"/>
      <c r="AT281" s="98"/>
      <c r="AU281" s="98"/>
      <c r="AV281" s="98"/>
      <c r="AW281" s="98"/>
      <c r="AX281" s="98"/>
      <c r="AY281" s="98"/>
      <c r="AZ281" s="98"/>
    </row>
    <row r="282">
      <c r="A282" s="3"/>
      <c r="B282" s="36"/>
      <c r="C282" s="91"/>
      <c r="D282" s="13"/>
      <c r="E282" s="13"/>
      <c r="F282" s="3"/>
      <c r="G282" s="3"/>
      <c r="H282" s="3"/>
      <c r="I282" s="13"/>
      <c r="J282" s="13"/>
      <c r="K282" s="13"/>
      <c r="L282" s="36"/>
      <c r="M282" s="91"/>
      <c r="N282" s="3"/>
      <c r="O282" s="3"/>
      <c r="P282" s="7"/>
      <c r="Q282" s="7"/>
      <c r="R282" s="166"/>
      <c r="S282" s="166"/>
      <c r="T282" s="7"/>
      <c r="U282" s="3"/>
      <c r="V282" s="13"/>
      <c r="W282" s="3"/>
      <c r="X282" s="166"/>
      <c r="Y282" s="7"/>
      <c r="Z282" s="13"/>
      <c r="AA282" s="7"/>
      <c r="AB282" s="7"/>
      <c r="AC282" s="257"/>
      <c r="AD282" s="166"/>
      <c r="AE282" s="258"/>
      <c r="AF282" s="7"/>
      <c r="AG282" s="7"/>
      <c r="AH282" s="166"/>
      <c r="AI282" s="13"/>
      <c r="AJ282" s="3"/>
      <c r="AK282" s="13"/>
      <c r="AL282" s="3"/>
      <c r="AM282" s="3"/>
      <c r="AN282" s="3"/>
      <c r="AO282" s="3"/>
      <c r="AP282" s="3"/>
      <c r="AQ282" s="3"/>
      <c r="AR282" s="3"/>
      <c r="AS282" s="98"/>
      <c r="AT282" s="98"/>
      <c r="AU282" s="98"/>
      <c r="AV282" s="98"/>
      <c r="AW282" s="98"/>
      <c r="AX282" s="98"/>
      <c r="AY282" s="98"/>
      <c r="AZ282" s="98"/>
    </row>
    <row r="283">
      <c r="A283" s="3"/>
      <c r="B283" s="36"/>
      <c r="C283" s="91"/>
      <c r="D283" s="13"/>
      <c r="E283" s="13"/>
      <c r="F283" s="3"/>
      <c r="G283" s="3"/>
      <c r="H283" s="3"/>
      <c r="I283" s="13"/>
      <c r="J283" s="13"/>
      <c r="K283" s="13"/>
      <c r="L283" s="36"/>
      <c r="M283" s="91"/>
      <c r="N283" s="3"/>
      <c r="O283" s="3"/>
      <c r="P283" s="7"/>
      <c r="Q283" s="7"/>
      <c r="R283" s="166"/>
      <c r="S283" s="166"/>
      <c r="T283" s="7"/>
      <c r="U283" s="3"/>
      <c r="V283" s="13"/>
      <c r="W283" s="3"/>
      <c r="X283" s="166"/>
      <c r="Y283" s="7"/>
      <c r="Z283" s="13"/>
      <c r="AA283" s="7"/>
      <c r="AB283" s="7"/>
      <c r="AC283" s="257"/>
      <c r="AD283" s="166"/>
      <c r="AE283" s="258"/>
      <c r="AF283" s="7"/>
      <c r="AG283" s="7"/>
      <c r="AH283" s="166"/>
      <c r="AI283" s="13"/>
      <c r="AJ283" s="3"/>
      <c r="AK283" s="13"/>
      <c r="AL283" s="3"/>
      <c r="AM283" s="3"/>
      <c r="AN283" s="3"/>
      <c r="AO283" s="3"/>
      <c r="AP283" s="3"/>
      <c r="AQ283" s="3"/>
      <c r="AR283" s="3"/>
      <c r="AS283" s="98"/>
      <c r="AT283" s="98"/>
      <c r="AU283" s="98"/>
      <c r="AV283" s="98"/>
      <c r="AW283" s="98"/>
      <c r="AX283" s="98"/>
      <c r="AY283" s="98"/>
      <c r="AZ283" s="98"/>
    </row>
    <row r="284">
      <c r="A284" s="3"/>
      <c r="B284" s="36"/>
      <c r="C284" s="91"/>
      <c r="D284" s="13"/>
      <c r="E284" s="13"/>
      <c r="F284" s="3"/>
      <c r="G284" s="3"/>
      <c r="H284" s="3"/>
      <c r="I284" s="13"/>
      <c r="J284" s="13"/>
      <c r="K284" s="13"/>
      <c r="L284" s="36"/>
      <c r="M284" s="91"/>
      <c r="N284" s="3"/>
      <c r="O284" s="3"/>
      <c r="P284" s="7"/>
      <c r="Q284" s="7"/>
      <c r="R284" s="166"/>
      <c r="S284" s="166"/>
      <c r="T284" s="7"/>
      <c r="U284" s="3"/>
      <c r="V284" s="13"/>
      <c r="W284" s="3"/>
      <c r="X284" s="166"/>
      <c r="Y284" s="7"/>
      <c r="Z284" s="13"/>
      <c r="AA284" s="7"/>
      <c r="AB284" s="7"/>
      <c r="AC284" s="257"/>
      <c r="AD284" s="166"/>
      <c r="AE284" s="258"/>
      <c r="AF284" s="7"/>
      <c r="AG284" s="7"/>
      <c r="AH284" s="166"/>
      <c r="AI284" s="13"/>
      <c r="AJ284" s="3"/>
      <c r="AK284" s="13"/>
      <c r="AL284" s="3"/>
      <c r="AM284" s="3"/>
      <c r="AN284" s="3"/>
      <c r="AO284" s="3"/>
      <c r="AP284" s="3"/>
      <c r="AQ284" s="3"/>
      <c r="AR284" s="3"/>
      <c r="AS284" s="98"/>
      <c r="AT284" s="98"/>
      <c r="AU284" s="98"/>
      <c r="AV284" s="98"/>
      <c r="AW284" s="98"/>
      <c r="AX284" s="98"/>
      <c r="AY284" s="98"/>
      <c r="AZ284" s="98"/>
    </row>
    <row r="285">
      <c r="A285" s="3"/>
      <c r="B285" s="36"/>
      <c r="C285" s="91"/>
      <c r="D285" s="13"/>
      <c r="E285" s="13"/>
      <c r="F285" s="3"/>
      <c r="G285" s="3"/>
      <c r="H285" s="3"/>
      <c r="I285" s="13"/>
      <c r="J285" s="13"/>
      <c r="K285" s="13"/>
      <c r="L285" s="36"/>
      <c r="M285" s="91"/>
      <c r="N285" s="3"/>
      <c r="O285" s="3"/>
      <c r="P285" s="7"/>
      <c r="Q285" s="7"/>
      <c r="R285" s="166"/>
      <c r="S285" s="166"/>
      <c r="T285" s="7"/>
      <c r="U285" s="3"/>
      <c r="V285" s="13"/>
      <c r="W285" s="3"/>
      <c r="X285" s="166"/>
      <c r="Y285" s="7"/>
      <c r="Z285" s="13"/>
      <c r="AA285" s="7"/>
      <c r="AB285" s="7"/>
      <c r="AC285" s="257"/>
      <c r="AD285" s="166"/>
      <c r="AE285" s="258"/>
      <c r="AF285" s="7"/>
      <c r="AG285" s="7"/>
      <c r="AH285" s="166"/>
      <c r="AI285" s="13"/>
      <c r="AJ285" s="3"/>
      <c r="AK285" s="13"/>
      <c r="AL285" s="3"/>
      <c r="AM285" s="3"/>
      <c r="AN285" s="3"/>
      <c r="AO285" s="3"/>
      <c r="AP285" s="3"/>
      <c r="AQ285" s="3"/>
      <c r="AR285" s="3"/>
      <c r="AS285" s="98"/>
      <c r="AT285" s="98"/>
      <c r="AU285" s="98"/>
      <c r="AV285" s="98"/>
      <c r="AW285" s="98"/>
      <c r="AX285" s="98"/>
      <c r="AY285" s="98"/>
      <c r="AZ285" s="98"/>
    </row>
    <row r="286">
      <c r="A286" s="3"/>
      <c r="B286" s="36"/>
      <c r="C286" s="91"/>
      <c r="D286" s="13"/>
      <c r="E286" s="13"/>
      <c r="F286" s="3"/>
      <c r="G286" s="3"/>
      <c r="H286" s="3"/>
      <c r="I286" s="13"/>
      <c r="J286" s="13"/>
      <c r="K286" s="13"/>
      <c r="L286" s="36"/>
      <c r="M286" s="91"/>
      <c r="N286" s="3"/>
      <c r="O286" s="3"/>
      <c r="P286" s="7"/>
      <c r="Q286" s="7"/>
      <c r="R286" s="166"/>
      <c r="S286" s="166"/>
      <c r="T286" s="7"/>
      <c r="U286" s="3"/>
      <c r="V286" s="13"/>
      <c r="W286" s="3"/>
      <c r="X286" s="166"/>
      <c r="Y286" s="7"/>
      <c r="Z286" s="13"/>
      <c r="AA286" s="7"/>
      <c r="AB286" s="7"/>
      <c r="AC286" s="257"/>
      <c r="AD286" s="166"/>
      <c r="AE286" s="258"/>
      <c r="AF286" s="7"/>
      <c r="AG286" s="7"/>
      <c r="AH286" s="166"/>
      <c r="AI286" s="13"/>
      <c r="AJ286" s="3"/>
      <c r="AK286" s="13"/>
      <c r="AL286" s="3"/>
      <c r="AM286" s="3"/>
      <c r="AN286" s="3"/>
      <c r="AO286" s="3"/>
      <c r="AP286" s="3"/>
      <c r="AQ286" s="3"/>
      <c r="AR286" s="3"/>
      <c r="AS286" s="98"/>
      <c r="AT286" s="98"/>
      <c r="AU286" s="98"/>
      <c r="AV286" s="98"/>
      <c r="AW286" s="98"/>
      <c r="AX286" s="98"/>
      <c r="AY286" s="98"/>
      <c r="AZ286" s="98"/>
    </row>
    <row r="287">
      <c r="A287" s="3"/>
      <c r="B287" s="36"/>
      <c r="C287" s="91"/>
      <c r="D287" s="13"/>
      <c r="E287" s="13"/>
      <c r="F287" s="3"/>
      <c r="G287" s="3"/>
      <c r="H287" s="3"/>
      <c r="I287" s="13"/>
      <c r="J287" s="13"/>
      <c r="K287" s="13"/>
      <c r="L287" s="36"/>
      <c r="M287" s="91"/>
      <c r="N287" s="3"/>
      <c r="O287" s="3"/>
      <c r="P287" s="7"/>
      <c r="Q287" s="7"/>
      <c r="R287" s="166"/>
      <c r="S287" s="166"/>
      <c r="T287" s="7"/>
      <c r="U287" s="3"/>
      <c r="V287" s="13"/>
      <c r="W287" s="3"/>
      <c r="X287" s="166"/>
      <c r="Y287" s="7"/>
      <c r="Z287" s="13"/>
      <c r="AA287" s="7"/>
      <c r="AB287" s="7"/>
      <c r="AC287" s="257"/>
      <c r="AD287" s="166"/>
      <c r="AE287" s="258"/>
      <c r="AF287" s="7"/>
      <c r="AG287" s="7"/>
      <c r="AH287" s="166"/>
      <c r="AI287" s="13"/>
      <c r="AJ287" s="3"/>
      <c r="AK287" s="13"/>
      <c r="AL287" s="3"/>
      <c r="AM287" s="3"/>
      <c r="AN287" s="3"/>
      <c r="AO287" s="3"/>
      <c r="AP287" s="3"/>
      <c r="AQ287" s="3"/>
      <c r="AR287" s="3"/>
      <c r="AS287" s="98"/>
      <c r="AT287" s="98"/>
      <c r="AU287" s="98"/>
      <c r="AV287" s="98"/>
      <c r="AW287" s="98"/>
      <c r="AX287" s="98"/>
      <c r="AY287" s="98"/>
      <c r="AZ287" s="98"/>
    </row>
    <row r="288">
      <c r="A288" s="3"/>
      <c r="B288" s="36"/>
      <c r="C288" s="91"/>
      <c r="D288" s="13"/>
      <c r="E288" s="13"/>
      <c r="F288" s="3"/>
      <c r="G288" s="3"/>
      <c r="H288" s="3"/>
      <c r="I288" s="13"/>
      <c r="J288" s="13"/>
      <c r="K288" s="13"/>
      <c r="L288" s="36"/>
      <c r="M288" s="91"/>
      <c r="N288" s="3"/>
      <c r="O288" s="3"/>
      <c r="P288" s="7"/>
      <c r="Q288" s="7"/>
      <c r="R288" s="166"/>
      <c r="S288" s="166"/>
      <c r="T288" s="7"/>
      <c r="U288" s="3"/>
      <c r="V288" s="13"/>
      <c r="W288" s="3"/>
      <c r="X288" s="166"/>
      <c r="Y288" s="7"/>
      <c r="Z288" s="13"/>
      <c r="AA288" s="7"/>
      <c r="AB288" s="7"/>
      <c r="AC288" s="257"/>
      <c r="AD288" s="166"/>
      <c r="AE288" s="258"/>
      <c r="AF288" s="7"/>
      <c r="AG288" s="7"/>
      <c r="AH288" s="166"/>
      <c r="AI288" s="13"/>
      <c r="AJ288" s="3"/>
      <c r="AK288" s="13"/>
      <c r="AL288" s="3"/>
      <c r="AM288" s="3"/>
      <c r="AN288" s="3"/>
      <c r="AO288" s="3"/>
      <c r="AP288" s="3"/>
      <c r="AQ288" s="3"/>
      <c r="AR288" s="3"/>
      <c r="AS288" s="98"/>
      <c r="AT288" s="98"/>
      <c r="AU288" s="98"/>
      <c r="AV288" s="98"/>
      <c r="AW288" s="98"/>
      <c r="AX288" s="98"/>
      <c r="AY288" s="98"/>
      <c r="AZ288" s="98"/>
    </row>
    <row r="289">
      <c r="A289" s="3"/>
      <c r="B289" s="36"/>
      <c r="C289" s="91"/>
      <c r="D289" s="13"/>
      <c r="E289" s="13"/>
      <c r="F289" s="3"/>
      <c r="G289" s="3"/>
      <c r="H289" s="3"/>
      <c r="I289" s="13"/>
      <c r="J289" s="13"/>
      <c r="K289" s="13"/>
      <c r="L289" s="36"/>
      <c r="M289" s="91"/>
      <c r="N289" s="3"/>
      <c r="O289" s="3"/>
      <c r="P289" s="7"/>
      <c r="Q289" s="7"/>
      <c r="R289" s="166"/>
      <c r="S289" s="166"/>
      <c r="T289" s="7"/>
      <c r="U289" s="3"/>
      <c r="V289" s="13"/>
      <c r="W289" s="3"/>
      <c r="X289" s="166"/>
      <c r="Y289" s="7"/>
      <c r="Z289" s="13"/>
      <c r="AA289" s="7"/>
      <c r="AB289" s="7"/>
      <c r="AC289" s="257"/>
      <c r="AD289" s="166"/>
      <c r="AE289" s="258"/>
      <c r="AF289" s="7"/>
      <c r="AG289" s="7"/>
      <c r="AH289" s="166"/>
      <c r="AI289" s="13"/>
      <c r="AJ289" s="3"/>
      <c r="AK289" s="13"/>
      <c r="AL289" s="3"/>
      <c r="AM289" s="3"/>
      <c r="AN289" s="3"/>
      <c r="AO289" s="3"/>
      <c r="AP289" s="3"/>
      <c r="AQ289" s="3"/>
      <c r="AR289" s="3"/>
      <c r="AS289" s="98"/>
      <c r="AT289" s="98"/>
      <c r="AU289" s="98"/>
      <c r="AV289" s="98"/>
      <c r="AW289" s="98"/>
      <c r="AX289" s="98"/>
      <c r="AY289" s="98"/>
      <c r="AZ289" s="98"/>
    </row>
    <row r="290">
      <c r="A290" s="3"/>
      <c r="B290" s="36"/>
      <c r="C290" s="91"/>
      <c r="D290" s="13"/>
      <c r="E290" s="13"/>
      <c r="F290" s="3"/>
      <c r="G290" s="3"/>
      <c r="H290" s="3"/>
      <c r="I290" s="13"/>
      <c r="J290" s="13"/>
      <c r="K290" s="13"/>
      <c r="L290" s="36"/>
      <c r="M290" s="91"/>
      <c r="N290" s="3"/>
      <c r="O290" s="3"/>
      <c r="P290" s="7"/>
      <c r="Q290" s="7"/>
      <c r="R290" s="166"/>
      <c r="S290" s="166"/>
      <c r="T290" s="7"/>
      <c r="U290" s="3"/>
      <c r="V290" s="13"/>
      <c r="W290" s="3"/>
      <c r="X290" s="166"/>
      <c r="Y290" s="7"/>
      <c r="Z290" s="13"/>
      <c r="AA290" s="7"/>
      <c r="AB290" s="7"/>
      <c r="AC290" s="257"/>
      <c r="AD290" s="166"/>
      <c r="AE290" s="258"/>
      <c r="AF290" s="7"/>
      <c r="AG290" s="7"/>
      <c r="AH290" s="166"/>
      <c r="AI290" s="13"/>
      <c r="AJ290" s="3"/>
      <c r="AK290" s="13"/>
      <c r="AL290" s="3"/>
      <c r="AM290" s="3"/>
      <c r="AN290" s="3"/>
      <c r="AO290" s="3"/>
      <c r="AP290" s="3"/>
      <c r="AQ290" s="3"/>
      <c r="AR290" s="3"/>
      <c r="AS290" s="98"/>
      <c r="AT290" s="98"/>
      <c r="AU290" s="98"/>
      <c r="AV290" s="98"/>
      <c r="AW290" s="98"/>
      <c r="AX290" s="98"/>
      <c r="AY290" s="98"/>
      <c r="AZ290" s="98"/>
    </row>
    <row r="291">
      <c r="A291" s="3"/>
      <c r="B291" s="36"/>
      <c r="C291" s="91"/>
      <c r="D291" s="13"/>
      <c r="E291" s="13"/>
      <c r="F291" s="3"/>
      <c r="G291" s="3"/>
      <c r="H291" s="3"/>
      <c r="I291" s="13"/>
      <c r="J291" s="13"/>
      <c r="K291" s="13"/>
      <c r="L291" s="36"/>
      <c r="M291" s="91"/>
      <c r="N291" s="3"/>
      <c r="O291" s="3"/>
      <c r="P291" s="7"/>
      <c r="Q291" s="7"/>
      <c r="R291" s="166"/>
      <c r="S291" s="166"/>
      <c r="T291" s="7"/>
      <c r="U291" s="3"/>
      <c r="V291" s="13"/>
      <c r="W291" s="3"/>
      <c r="X291" s="166"/>
      <c r="Y291" s="7"/>
      <c r="Z291" s="13"/>
      <c r="AA291" s="7"/>
      <c r="AB291" s="7"/>
      <c r="AC291" s="257"/>
      <c r="AD291" s="166"/>
      <c r="AE291" s="258"/>
      <c r="AF291" s="7"/>
      <c r="AG291" s="7"/>
      <c r="AH291" s="166"/>
      <c r="AI291" s="13"/>
      <c r="AJ291" s="3"/>
      <c r="AK291" s="13"/>
      <c r="AL291" s="3"/>
      <c r="AM291" s="3"/>
      <c r="AN291" s="3"/>
      <c r="AO291" s="3"/>
      <c r="AP291" s="3"/>
      <c r="AQ291" s="3"/>
      <c r="AR291" s="3"/>
      <c r="AS291" s="98"/>
      <c r="AT291" s="98"/>
      <c r="AU291" s="98"/>
      <c r="AV291" s="98"/>
      <c r="AW291" s="98"/>
      <c r="AX291" s="98"/>
      <c r="AY291" s="98"/>
      <c r="AZ291" s="98"/>
    </row>
    <row r="292">
      <c r="A292" s="3"/>
      <c r="B292" s="36"/>
      <c r="C292" s="91"/>
      <c r="D292" s="13"/>
      <c r="E292" s="13"/>
      <c r="F292" s="3"/>
      <c r="G292" s="3"/>
      <c r="H292" s="3"/>
      <c r="I292" s="13"/>
      <c r="J292" s="13"/>
      <c r="K292" s="13"/>
      <c r="L292" s="36"/>
      <c r="M292" s="91"/>
      <c r="N292" s="3"/>
      <c r="O292" s="3"/>
      <c r="P292" s="7"/>
      <c r="Q292" s="7"/>
      <c r="R292" s="166"/>
      <c r="S292" s="166"/>
      <c r="T292" s="7"/>
      <c r="U292" s="3"/>
      <c r="V292" s="13"/>
      <c r="W292" s="3"/>
      <c r="X292" s="166"/>
      <c r="Y292" s="7"/>
      <c r="Z292" s="13"/>
      <c r="AA292" s="7"/>
      <c r="AB292" s="7"/>
      <c r="AC292" s="257"/>
      <c r="AD292" s="166"/>
      <c r="AE292" s="258"/>
      <c r="AF292" s="7"/>
      <c r="AG292" s="7"/>
      <c r="AH292" s="166"/>
      <c r="AI292" s="13"/>
      <c r="AJ292" s="3"/>
      <c r="AK292" s="13"/>
      <c r="AL292" s="3"/>
      <c r="AM292" s="3"/>
      <c r="AN292" s="3"/>
      <c r="AO292" s="3"/>
      <c r="AP292" s="3"/>
      <c r="AQ292" s="3"/>
      <c r="AR292" s="3"/>
      <c r="AS292" s="98"/>
      <c r="AT292" s="98"/>
      <c r="AU292" s="98"/>
      <c r="AV292" s="98"/>
      <c r="AW292" s="98"/>
      <c r="AX292" s="98"/>
      <c r="AY292" s="98"/>
      <c r="AZ292" s="98"/>
    </row>
    <row r="293">
      <c r="A293" s="3"/>
      <c r="B293" s="36"/>
      <c r="C293" s="91"/>
      <c r="D293" s="13"/>
      <c r="E293" s="13"/>
      <c r="F293" s="3"/>
      <c r="G293" s="3"/>
      <c r="H293" s="3"/>
      <c r="I293" s="13"/>
      <c r="J293" s="13"/>
      <c r="K293" s="13"/>
      <c r="L293" s="36"/>
      <c r="M293" s="91"/>
      <c r="N293" s="3"/>
      <c r="O293" s="3"/>
      <c r="P293" s="7"/>
      <c r="Q293" s="7"/>
      <c r="R293" s="166"/>
      <c r="S293" s="166"/>
      <c r="T293" s="7"/>
      <c r="U293" s="3"/>
      <c r="V293" s="13"/>
      <c r="W293" s="3"/>
      <c r="X293" s="166"/>
      <c r="Y293" s="7"/>
      <c r="Z293" s="13"/>
      <c r="AA293" s="7"/>
      <c r="AB293" s="7"/>
      <c r="AC293" s="257"/>
      <c r="AD293" s="166"/>
      <c r="AE293" s="258"/>
      <c r="AF293" s="7"/>
      <c r="AG293" s="7"/>
      <c r="AH293" s="166"/>
      <c r="AI293" s="13"/>
      <c r="AJ293" s="3"/>
      <c r="AK293" s="13"/>
      <c r="AL293" s="3"/>
      <c r="AM293" s="3"/>
      <c r="AN293" s="3"/>
      <c r="AO293" s="3"/>
      <c r="AP293" s="3"/>
      <c r="AQ293" s="3"/>
      <c r="AR293" s="3"/>
      <c r="AS293" s="98"/>
      <c r="AT293" s="98"/>
      <c r="AU293" s="98"/>
      <c r="AV293" s="98"/>
      <c r="AW293" s="98"/>
      <c r="AX293" s="98"/>
      <c r="AY293" s="98"/>
      <c r="AZ293" s="98"/>
    </row>
    <row r="294">
      <c r="A294" s="3"/>
      <c r="B294" s="36"/>
      <c r="C294" s="91"/>
      <c r="D294" s="13"/>
      <c r="E294" s="13"/>
      <c r="F294" s="3"/>
      <c r="G294" s="3"/>
      <c r="H294" s="3"/>
      <c r="I294" s="13"/>
      <c r="J294" s="13"/>
      <c r="K294" s="13"/>
      <c r="L294" s="36"/>
      <c r="M294" s="91"/>
      <c r="N294" s="3"/>
      <c r="O294" s="3"/>
      <c r="P294" s="7"/>
      <c r="Q294" s="7"/>
      <c r="R294" s="166"/>
      <c r="S294" s="166"/>
      <c r="T294" s="7"/>
      <c r="U294" s="3"/>
      <c r="V294" s="13"/>
      <c r="W294" s="3"/>
      <c r="X294" s="166"/>
      <c r="Y294" s="7"/>
      <c r="Z294" s="13"/>
      <c r="AA294" s="7"/>
      <c r="AB294" s="7"/>
      <c r="AC294" s="257"/>
      <c r="AD294" s="166"/>
      <c r="AE294" s="258"/>
      <c r="AF294" s="7"/>
      <c r="AG294" s="7"/>
      <c r="AH294" s="166"/>
      <c r="AI294" s="13"/>
      <c r="AJ294" s="3"/>
      <c r="AK294" s="13"/>
      <c r="AL294" s="3"/>
      <c r="AM294" s="3"/>
      <c r="AN294" s="3"/>
      <c r="AO294" s="3"/>
      <c r="AP294" s="3"/>
      <c r="AQ294" s="3"/>
      <c r="AR294" s="3"/>
      <c r="AS294" s="98"/>
      <c r="AT294" s="98"/>
      <c r="AU294" s="98"/>
      <c r="AV294" s="98"/>
      <c r="AW294" s="98"/>
      <c r="AX294" s="98"/>
      <c r="AY294" s="98"/>
      <c r="AZ294" s="98"/>
    </row>
    <row r="295">
      <c r="A295" s="3"/>
      <c r="B295" s="36"/>
      <c r="C295" s="91"/>
      <c r="D295" s="13"/>
      <c r="E295" s="13"/>
      <c r="F295" s="3"/>
      <c r="G295" s="3"/>
      <c r="H295" s="3"/>
      <c r="I295" s="13"/>
      <c r="J295" s="13"/>
      <c r="K295" s="13"/>
      <c r="L295" s="36"/>
      <c r="M295" s="91"/>
      <c r="N295" s="3"/>
      <c r="O295" s="3"/>
      <c r="P295" s="7"/>
      <c r="Q295" s="7"/>
      <c r="R295" s="166"/>
      <c r="S295" s="166"/>
      <c r="T295" s="7"/>
      <c r="U295" s="3"/>
      <c r="V295" s="13"/>
      <c r="W295" s="3"/>
      <c r="X295" s="166"/>
      <c r="Y295" s="7"/>
      <c r="Z295" s="13"/>
      <c r="AA295" s="7"/>
      <c r="AB295" s="7"/>
      <c r="AC295" s="257"/>
      <c r="AD295" s="166"/>
      <c r="AE295" s="258"/>
      <c r="AF295" s="7"/>
      <c r="AG295" s="7"/>
      <c r="AH295" s="166"/>
      <c r="AI295" s="13"/>
      <c r="AJ295" s="3"/>
      <c r="AK295" s="13"/>
      <c r="AL295" s="3"/>
      <c r="AM295" s="3"/>
      <c r="AN295" s="3"/>
      <c r="AO295" s="3"/>
      <c r="AP295" s="3"/>
      <c r="AQ295" s="3"/>
      <c r="AR295" s="3"/>
      <c r="AS295" s="98"/>
      <c r="AT295" s="98"/>
      <c r="AU295" s="98"/>
      <c r="AV295" s="98"/>
      <c r="AW295" s="98"/>
      <c r="AX295" s="98"/>
      <c r="AY295" s="98"/>
      <c r="AZ295" s="98"/>
    </row>
    <row r="296">
      <c r="A296" s="3"/>
      <c r="B296" s="36"/>
      <c r="C296" s="91"/>
      <c r="D296" s="13"/>
      <c r="E296" s="13"/>
      <c r="F296" s="3"/>
      <c r="G296" s="3"/>
      <c r="H296" s="3"/>
      <c r="I296" s="13"/>
      <c r="J296" s="13"/>
      <c r="K296" s="13"/>
      <c r="L296" s="36"/>
      <c r="M296" s="91"/>
      <c r="N296" s="3"/>
      <c r="O296" s="3"/>
      <c r="P296" s="7"/>
      <c r="Q296" s="7"/>
      <c r="R296" s="166"/>
      <c r="S296" s="166"/>
      <c r="T296" s="7"/>
      <c r="U296" s="3"/>
      <c r="V296" s="13"/>
      <c r="W296" s="3"/>
      <c r="X296" s="166"/>
      <c r="Y296" s="7"/>
      <c r="Z296" s="13"/>
      <c r="AA296" s="7"/>
      <c r="AB296" s="7"/>
      <c r="AC296" s="257"/>
      <c r="AD296" s="166"/>
      <c r="AE296" s="258"/>
      <c r="AF296" s="7"/>
      <c r="AG296" s="7"/>
      <c r="AH296" s="166"/>
      <c r="AI296" s="13"/>
      <c r="AJ296" s="3"/>
      <c r="AK296" s="13"/>
      <c r="AL296" s="3"/>
      <c r="AM296" s="3"/>
      <c r="AN296" s="3"/>
      <c r="AO296" s="3"/>
      <c r="AP296" s="3"/>
      <c r="AQ296" s="3"/>
      <c r="AR296" s="3"/>
      <c r="AS296" s="98"/>
      <c r="AT296" s="98"/>
      <c r="AU296" s="98"/>
      <c r="AV296" s="98"/>
      <c r="AW296" s="98"/>
      <c r="AX296" s="98"/>
      <c r="AY296" s="98"/>
      <c r="AZ296" s="98"/>
    </row>
    <row r="297">
      <c r="A297" s="3"/>
      <c r="B297" s="36"/>
      <c r="C297" s="91"/>
      <c r="D297" s="13"/>
      <c r="E297" s="13"/>
      <c r="F297" s="3"/>
      <c r="G297" s="3"/>
      <c r="H297" s="3"/>
      <c r="I297" s="13"/>
      <c r="J297" s="13"/>
      <c r="K297" s="13"/>
      <c r="L297" s="36"/>
      <c r="M297" s="91"/>
      <c r="N297" s="3"/>
      <c r="O297" s="3"/>
      <c r="P297" s="7"/>
      <c r="Q297" s="7"/>
      <c r="R297" s="166"/>
      <c r="S297" s="166"/>
      <c r="T297" s="7"/>
      <c r="U297" s="3"/>
      <c r="V297" s="13"/>
      <c r="W297" s="3"/>
      <c r="X297" s="166"/>
      <c r="Y297" s="7"/>
      <c r="Z297" s="13"/>
      <c r="AA297" s="7"/>
      <c r="AB297" s="7"/>
      <c r="AC297" s="257"/>
      <c r="AD297" s="166"/>
      <c r="AE297" s="258"/>
      <c r="AF297" s="7"/>
      <c r="AG297" s="7"/>
      <c r="AH297" s="166"/>
      <c r="AI297" s="13"/>
      <c r="AJ297" s="3"/>
      <c r="AK297" s="13"/>
      <c r="AL297" s="3"/>
      <c r="AM297" s="3"/>
      <c r="AN297" s="3"/>
      <c r="AO297" s="3"/>
      <c r="AP297" s="3"/>
      <c r="AQ297" s="3"/>
      <c r="AR297" s="3"/>
      <c r="AS297" s="98"/>
      <c r="AT297" s="98"/>
      <c r="AU297" s="98"/>
      <c r="AV297" s="98"/>
      <c r="AW297" s="98"/>
      <c r="AX297" s="98"/>
      <c r="AY297" s="98"/>
      <c r="AZ297" s="98"/>
    </row>
    <row r="298">
      <c r="A298" s="3"/>
      <c r="B298" s="36"/>
      <c r="C298" s="91"/>
      <c r="D298" s="13"/>
      <c r="E298" s="13"/>
      <c r="F298" s="3"/>
      <c r="G298" s="3"/>
      <c r="H298" s="3"/>
      <c r="I298" s="13"/>
      <c r="J298" s="13"/>
      <c r="K298" s="13"/>
      <c r="L298" s="36"/>
      <c r="M298" s="91"/>
      <c r="N298" s="3"/>
      <c r="O298" s="3"/>
      <c r="P298" s="7"/>
      <c r="Q298" s="7"/>
      <c r="R298" s="166"/>
      <c r="S298" s="166"/>
      <c r="T298" s="7"/>
      <c r="U298" s="3"/>
      <c r="V298" s="13"/>
      <c r="W298" s="3"/>
      <c r="X298" s="166"/>
      <c r="Y298" s="7"/>
      <c r="Z298" s="13"/>
      <c r="AA298" s="7"/>
      <c r="AB298" s="7"/>
      <c r="AC298" s="257"/>
      <c r="AD298" s="166"/>
      <c r="AE298" s="258"/>
      <c r="AF298" s="7"/>
      <c r="AG298" s="7"/>
      <c r="AH298" s="166"/>
      <c r="AI298" s="13"/>
      <c r="AJ298" s="3"/>
      <c r="AK298" s="13"/>
      <c r="AL298" s="3"/>
      <c r="AM298" s="3"/>
      <c r="AN298" s="3"/>
      <c r="AO298" s="3"/>
      <c r="AP298" s="3"/>
      <c r="AQ298" s="3"/>
      <c r="AR298" s="3"/>
      <c r="AS298" s="98"/>
      <c r="AT298" s="98"/>
      <c r="AU298" s="98"/>
      <c r="AV298" s="98"/>
      <c r="AW298" s="98"/>
      <c r="AX298" s="98"/>
      <c r="AY298" s="98"/>
      <c r="AZ298" s="98"/>
    </row>
    <row r="299">
      <c r="A299" s="3"/>
      <c r="B299" s="36"/>
      <c r="C299" s="91"/>
      <c r="D299" s="13"/>
      <c r="E299" s="13"/>
      <c r="F299" s="3"/>
      <c r="G299" s="3"/>
      <c r="H299" s="3"/>
      <c r="I299" s="13"/>
      <c r="J299" s="13"/>
      <c r="K299" s="13"/>
      <c r="L299" s="36"/>
      <c r="M299" s="91"/>
      <c r="N299" s="3"/>
      <c r="O299" s="3"/>
      <c r="P299" s="7"/>
      <c r="Q299" s="7"/>
      <c r="R299" s="166"/>
      <c r="S299" s="166"/>
      <c r="T299" s="7"/>
      <c r="U299" s="3"/>
      <c r="V299" s="13"/>
      <c r="W299" s="3"/>
      <c r="X299" s="166"/>
      <c r="Y299" s="7"/>
      <c r="Z299" s="13"/>
      <c r="AA299" s="7"/>
      <c r="AB299" s="7"/>
      <c r="AC299" s="257"/>
      <c r="AD299" s="166"/>
      <c r="AE299" s="258"/>
      <c r="AF299" s="7"/>
      <c r="AG299" s="7"/>
      <c r="AH299" s="166"/>
      <c r="AI299" s="13"/>
      <c r="AJ299" s="3"/>
      <c r="AK299" s="13"/>
      <c r="AL299" s="3"/>
      <c r="AM299" s="3"/>
      <c r="AN299" s="3"/>
      <c r="AO299" s="3"/>
      <c r="AP299" s="3"/>
      <c r="AQ299" s="3"/>
      <c r="AR299" s="3"/>
      <c r="AS299" s="98"/>
      <c r="AT299" s="98"/>
      <c r="AU299" s="98"/>
      <c r="AV299" s="98"/>
      <c r="AW299" s="98"/>
      <c r="AX299" s="98"/>
      <c r="AY299" s="98"/>
      <c r="AZ299" s="98"/>
    </row>
    <row r="300">
      <c r="A300" s="3"/>
      <c r="B300" s="36"/>
      <c r="C300" s="91"/>
      <c r="D300" s="13"/>
      <c r="E300" s="13"/>
      <c r="F300" s="3"/>
      <c r="G300" s="3"/>
      <c r="H300" s="3"/>
      <c r="I300" s="13"/>
      <c r="J300" s="13"/>
      <c r="K300" s="13"/>
      <c r="L300" s="36"/>
      <c r="M300" s="91"/>
      <c r="N300" s="3"/>
      <c r="O300" s="3"/>
      <c r="P300" s="7"/>
      <c r="Q300" s="7"/>
      <c r="R300" s="166"/>
      <c r="S300" s="166"/>
      <c r="T300" s="7"/>
      <c r="U300" s="3"/>
      <c r="V300" s="13"/>
      <c r="W300" s="3"/>
      <c r="X300" s="166"/>
      <c r="Y300" s="7"/>
      <c r="Z300" s="13"/>
      <c r="AA300" s="7"/>
      <c r="AB300" s="7"/>
      <c r="AC300" s="257"/>
      <c r="AD300" s="166"/>
      <c r="AE300" s="258"/>
      <c r="AF300" s="7"/>
      <c r="AG300" s="7"/>
      <c r="AH300" s="166"/>
      <c r="AI300" s="13"/>
      <c r="AJ300" s="3"/>
      <c r="AK300" s="13"/>
      <c r="AL300" s="3"/>
      <c r="AM300" s="3"/>
      <c r="AN300" s="3"/>
      <c r="AO300" s="3"/>
      <c r="AP300" s="3"/>
      <c r="AQ300" s="3"/>
      <c r="AR300" s="3"/>
      <c r="AS300" s="98"/>
      <c r="AT300" s="98"/>
      <c r="AU300" s="98"/>
      <c r="AV300" s="98"/>
      <c r="AW300" s="98"/>
      <c r="AX300" s="98"/>
      <c r="AY300" s="98"/>
      <c r="AZ300" s="98"/>
    </row>
    <row r="301">
      <c r="A301" s="3"/>
      <c r="B301" s="36"/>
      <c r="C301" s="91"/>
      <c r="D301" s="13"/>
      <c r="E301" s="13"/>
      <c r="F301" s="3"/>
      <c r="G301" s="3"/>
      <c r="H301" s="3"/>
      <c r="I301" s="13"/>
      <c r="J301" s="13"/>
      <c r="K301" s="13"/>
      <c r="L301" s="36"/>
      <c r="M301" s="91"/>
      <c r="N301" s="3"/>
      <c r="O301" s="3"/>
      <c r="P301" s="7"/>
      <c r="Q301" s="7"/>
      <c r="R301" s="166"/>
      <c r="S301" s="166"/>
      <c r="T301" s="7"/>
      <c r="U301" s="3"/>
      <c r="V301" s="13"/>
      <c r="W301" s="3"/>
      <c r="X301" s="166"/>
      <c r="Y301" s="7"/>
      <c r="Z301" s="13"/>
      <c r="AA301" s="7"/>
      <c r="AB301" s="7"/>
      <c r="AC301" s="257"/>
      <c r="AD301" s="166"/>
      <c r="AE301" s="258"/>
      <c r="AF301" s="7"/>
      <c r="AG301" s="7"/>
      <c r="AH301" s="166"/>
      <c r="AI301" s="13"/>
      <c r="AJ301" s="3"/>
      <c r="AK301" s="13"/>
      <c r="AL301" s="3"/>
      <c r="AM301" s="3"/>
      <c r="AN301" s="3"/>
      <c r="AO301" s="3"/>
      <c r="AP301" s="3"/>
      <c r="AQ301" s="3"/>
      <c r="AR301" s="3"/>
      <c r="AS301" s="98"/>
      <c r="AT301" s="98"/>
      <c r="AU301" s="98"/>
      <c r="AV301" s="98"/>
      <c r="AW301" s="98"/>
      <c r="AX301" s="98"/>
      <c r="AY301" s="98"/>
      <c r="AZ301" s="98"/>
    </row>
    <row r="302">
      <c r="A302" s="3"/>
      <c r="B302" s="36"/>
      <c r="C302" s="91"/>
      <c r="D302" s="13"/>
      <c r="E302" s="13"/>
      <c r="F302" s="3"/>
      <c r="G302" s="3"/>
      <c r="H302" s="3"/>
      <c r="I302" s="13"/>
      <c r="J302" s="13"/>
      <c r="K302" s="13"/>
      <c r="L302" s="36"/>
      <c r="M302" s="91"/>
      <c r="N302" s="3"/>
      <c r="O302" s="3"/>
      <c r="P302" s="7"/>
      <c r="Q302" s="7"/>
      <c r="R302" s="166"/>
      <c r="S302" s="166"/>
      <c r="T302" s="7"/>
      <c r="U302" s="3"/>
      <c r="V302" s="13"/>
      <c r="W302" s="3"/>
      <c r="X302" s="166"/>
      <c r="Y302" s="7"/>
      <c r="Z302" s="13"/>
      <c r="AA302" s="7"/>
      <c r="AB302" s="7"/>
      <c r="AC302" s="257"/>
      <c r="AD302" s="166"/>
      <c r="AE302" s="258"/>
      <c r="AF302" s="7"/>
      <c r="AG302" s="7"/>
      <c r="AH302" s="166"/>
      <c r="AI302" s="13"/>
      <c r="AJ302" s="3"/>
      <c r="AK302" s="13"/>
      <c r="AL302" s="3"/>
      <c r="AM302" s="3"/>
      <c r="AN302" s="3"/>
      <c r="AO302" s="3"/>
      <c r="AP302" s="3"/>
      <c r="AQ302" s="3"/>
      <c r="AR302" s="3"/>
      <c r="AS302" s="98"/>
      <c r="AT302" s="98"/>
      <c r="AU302" s="98"/>
      <c r="AV302" s="98"/>
      <c r="AW302" s="98"/>
      <c r="AX302" s="98"/>
      <c r="AY302" s="98"/>
      <c r="AZ302" s="98"/>
    </row>
    <row r="303">
      <c r="A303" s="3"/>
      <c r="B303" s="36"/>
      <c r="C303" s="91"/>
      <c r="D303" s="13"/>
      <c r="E303" s="13"/>
      <c r="F303" s="3"/>
      <c r="G303" s="3"/>
      <c r="H303" s="3"/>
      <c r="I303" s="13"/>
      <c r="J303" s="13"/>
      <c r="K303" s="13"/>
      <c r="L303" s="36"/>
      <c r="M303" s="91"/>
      <c r="N303" s="3"/>
      <c r="O303" s="3"/>
      <c r="P303" s="7"/>
      <c r="Q303" s="7"/>
      <c r="R303" s="166"/>
      <c r="S303" s="166"/>
      <c r="T303" s="7"/>
      <c r="U303" s="3"/>
      <c r="V303" s="13"/>
      <c r="W303" s="3"/>
      <c r="X303" s="166"/>
      <c r="Y303" s="7"/>
      <c r="Z303" s="13"/>
      <c r="AA303" s="7"/>
      <c r="AB303" s="7"/>
      <c r="AC303" s="257"/>
      <c r="AD303" s="166"/>
      <c r="AE303" s="258"/>
      <c r="AF303" s="7"/>
      <c r="AG303" s="7"/>
      <c r="AH303" s="166"/>
      <c r="AI303" s="13"/>
      <c r="AJ303" s="3"/>
      <c r="AK303" s="13"/>
      <c r="AL303" s="3"/>
      <c r="AM303" s="3"/>
      <c r="AN303" s="3"/>
      <c r="AO303" s="3"/>
      <c r="AP303" s="3"/>
      <c r="AQ303" s="3"/>
      <c r="AR303" s="3"/>
      <c r="AS303" s="98"/>
      <c r="AT303" s="98"/>
      <c r="AU303" s="98"/>
      <c r="AV303" s="98"/>
      <c r="AW303" s="98"/>
      <c r="AX303" s="98"/>
      <c r="AY303" s="98"/>
      <c r="AZ303" s="98"/>
    </row>
    <row r="304">
      <c r="A304" s="3"/>
      <c r="B304" s="36"/>
      <c r="C304" s="91"/>
      <c r="D304" s="13"/>
      <c r="E304" s="13"/>
      <c r="F304" s="3"/>
      <c r="G304" s="3"/>
      <c r="H304" s="3"/>
      <c r="I304" s="13"/>
      <c r="J304" s="13"/>
      <c r="K304" s="13"/>
      <c r="L304" s="36"/>
      <c r="M304" s="91"/>
      <c r="N304" s="3"/>
      <c r="O304" s="3"/>
      <c r="P304" s="7"/>
      <c r="Q304" s="7"/>
      <c r="R304" s="166"/>
      <c r="S304" s="166"/>
      <c r="T304" s="7"/>
      <c r="U304" s="3"/>
      <c r="V304" s="13"/>
      <c r="W304" s="3"/>
      <c r="X304" s="166"/>
      <c r="Y304" s="7"/>
      <c r="Z304" s="13"/>
      <c r="AA304" s="7"/>
      <c r="AB304" s="7"/>
      <c r="AC304" s="257"/>
      <c r="AD304" s="166"/>
      <c r="AE304" s="258"/>
      <c r="AF304" s="7"/>
      <c r="AG304" s="7"/>
      <c r="AH304" s="166"/>
      <c r="AI304" s="13"/>
      <c r="AJ304" s="3"/>
      <c r="AK304" s="13"/>
      <c r="AL304" s="3"/>
      <c r="AM304" s="3"/>
      <c r="AN304" s="3"/>
      <c r="AO304" s="3"/>
      <c r="AP304" s="3"/>
      <c r="AQ304" s="3"/>
      <c r="AR304" s="3"/>
      <c r="AS304" s="98"/>
      <c r="AT304" s="98"/>
      <c r="AU304" s="98"/>
      <c r="AV304" s="98"/>
      <c r="AW304" s="98"/>
      <c r="AX304" s="98"/>
      <c r="AY304" s="98"/>
      <c r="AZ304" s="98"/>
    </row>
    <row r="305">
      <c r="A305" s="3"/>
      <c r="B305" s="36"/>
      <c r="C305" s="91"/>
      <c r="D305" s="13"/>
      <c r="E305" s="13"/>
      <c r="F305" s="3"/>
      <c r="G305" s="3"/>
      <c r="H305" s="3"/>
      <c r="I305" s="13"/>
      <c r="J305" s="13"/>
      <c r="K305" s="13"/>
      <c r="L305" s="36"/>
      <c r="M305" s="91"/>
      <c r="N305" s="3"/>
      <c r="O305" s="3"/>
      <c r="P305" s="7"/>
      <c r="Q305" s="7"/>
      <c r="R305" s="166"/>
      <c r="S305" s="166"/>
      <c r="T305" s="7"/>
      <c r="U305" s="3"/>
      <c r="V305" s="13"/>
      <c r="W305" s="3"/>
      <c r="X305" s="166"/>
      <c r="Y305" s="7"/>
      <c r="Z305" s="13"/>
      <c r="AA305" s="7"/>
      <c r="AB305" s="7"/>
      <c r="AC305" s="257"/>
      <c r="AD305" s="166"/>
      <c r="AE305" s="258"/>
      <c r="AF305" s="7"/>
      <c r="AG305" s="7"/>
      <c r="AH305" s="166"/>
      <c r="AI305" s="13"/>
      <c r="AJ305" s="3"/>
      <c r="AK305" s="13"/>
      <c r="AL305" s="3"/>
      <c r="AM305" s="3"/>
      <c r="AN305" s="3"/>
      <c r="AO305" s="3"/>
      <c r="AP305" s="3"/>
      <c r="AQ305" s="3"/>
      <c r="AR305" s="3"/>
      <c r="AS305" s="98"/>
      <c r="AT305" s="98"/>
      <c r="AU305" s="98"/>
      <c r="AV305" s="98"/>
      <c r="AW305" s="98"/>
      <c r="AX305" s="98"/>
      <c r="AY305" s="98"/>
      <c r="AZ305" s="98"/>
    </row>
    <row r="306">
      <c r="A306" s="3"/>
      <c r="B306" s="36"/>
      <c r="C306" s="91"/>
      <c r="D306" s="13"/>
      <c r="E306" s="13"/>
      <c r="F306" s="3"/>
      <c r="G306" s="3"/>
      <c r="H306" s="3"/>
      <c r="I306" s="13"/>
      <c r="J306" s="13"/>
      <c r="K306" s="13"/>
      <c r="L306" s="36"/>
      <c r="M306" s="91"/>
      <c r="N306" s="3"/>
      <c r="O306" s="3"/>
      <c r="P306" s="7"/>
      <c r="Q306" s="7"/>
      <c r="R306" s="166"/>
      <c r="S306" s="166"/>
      <c r="T306" s="7"/>
      <c r="U306" s="3"/>
      <c r="V306" s="13"/>
      <c r="W306" s="3"/>
      <c r="X306" s="166"/>
      <c r="Y306" s="7"/>
      <c r="Z306" s="13"/>
      <c r="AA306" s="7"/>
      <c r="AB306" s="7"/>
      <c r="AC306" s="257"/>
      <c r="AD306" s="166"/>
      <c r="AE306" s="258"/>
      <c r="AF306" s="7"/>
      <c r="AG306" s="7"/>
      <c r="AH306" s="166"/>
      <c r="AI306" s="13"/>
      <c r="AJ306" s="3"/>
      <c r="AK306" s="13"/>
      <c r="AL306" s="3"/>
      <c r="AM306" s="3"/>
      <c r="AN306" s="3"/>
      <c r="AO306" s="3"/>
      <c r="AP306" s="3"/>
      <c r="AQ306" s="3"/>
      <c r="AR306" s="3"/>
      <c r="AS306" s="98"/>
      <c r="AT306" s="98"/>
      <c r="AU306" s="98"/>
      <c r="AV306" s="98"/>
      <c r="AW306" s="98"/>
      <c r="AX306" s="98"/>
      <c r="AY306" s="98"/>
      <c r="AZ306" s="98"/>
    </row>
    <row r="307">
      <c r="A307" s="3"/>
      <c r="B307" s="36"/>
      <c r="C307" s="91"/>
      <c r="D307" s="13"/>
      <c r="E307" s="13"/>
      <c r="F307" s="3"/>
      <c r="G307" s="3"/>
      <c r="H307" s="3"/>
      <c r="I307" s="13"/>
      <c r="J307" s="13"/>
      <c r="K307" s="13"/>
      <c r="L307" s="36"/>
      <c r="M307" s="91"/>
      <c r="N307" s="3"/>
      <c r="O307" s="3"/>
      <c r="P307" s="7"/>
      <c r="Q307" s="7"/>
      <c r="R307" s="166"/>
      <c r="S307" s="166"/>
      <c r="T307" s="7"/>
      <c r="U307" s="3"/>
      <c r="V307" s="13"/>
      <c r="W307" s="3"/>
      <c r="X307" s="166"/>
      <c r="Y307" s="7"/>
      <c r="Z307" s="13"/>
      <c r="AA307" s="7"/>
      <c r="AB307" s="7"/>
      <c r="AC307" s="257"/>
      <c r="AD307" s="166"/>
      <c r="AE307" s="258"/>
      <c r="AF307" s="7"/>
      <c r="AG307" s="7"/>
      <c r="AH307" s="166"/>
      <c r="AI307" s="13"/>
      <c r="AJ307" s="3"/>
      <c r="AK307" s="13"/>
      <c r="AL307" s="3"/>
      <c r="AM307" s="3"/>
      <c r="AN307" s="3"/>
      <c r="AO307" s="3"/>
      <c r="AP307" s="3"/>
      <c r="AQ307" s="3"/>
      <c r="AR307" s="3"/>
      <c r="AS307" s="98"/>
      <c r="AT307" s="98"/>
      <c r="AU307" s="98"/>
      <c r="AV307" s="98"/>
      <c r="AW307" s="98"/>
      <c r="AX307" s="98"/>
      <c r="AY307" s="98"/>
      <c r="AZ307" s="98"/>
    </row>
    <row r="308">
      <c r="A308" s="3"/>
      <c r="B308" s="36"/>
      <c r="C308" s="91"/>
      <c r="D308" s="13"/>
      <c r="E308" s="13"/>
      <c r="F308" s="3"/>
      <c r="G308" s="3"/>
      <c r="H308" s="3"/>
      <c r="I308" s="13"/>
      <c r="J308" s="13"/>
      <c r="K308" s="13"/>
      <c r="L308" s="36"/>
      <c r="M308" s="91"/>
      <c r="N308" s="3"/>
      <c r="O308" s="3"/>
      <c r="P308" s="7"/>
      <c r="Q308" s="7"/>
      <c r="R308" s="166"/>
      <c r="S308" s="166"/>
      <c r="T308" s="7"/>
      <c r="U308" s="3"/>
      <c r="V308" s="13"/>
      <c r="W308" s="3"/>
      <c r="X308" s="166"/>
      <c r="Y308" s="7"/>
      <c r="Z308" s="13"/>
      <c r="AA308" s="7"/>
      <c r="AB308" s="7"/>
      <c r="AC308" s="257"/>
      <c r="AD308" s="166"/>
      <c r="AE308" s="258"/>
      <c r="AF308" s="7"/>
      <c r="AG308" s="7"/>
      <c r="AH308" s="166"/>
      <c r="AI308" s="13"/>
      <c r="AJ308" s="3"/>
      <c r="AK308" s="13"/>
      <c r="AL308" s="3"/>
      <c r="AM308" s="3"/>
      <c r="AN308" s="3"/>
      <c r="AO308" s="3"/>
      <c r="AP308" s="3"/>
      <c r="AQ308" s="3"/>
      <c r="AR308" s="3"/>
      <c r="AS308" s="98"/>
      <c r="AT308" s="98"/>
      <c r="AU308" s="98"/>
      <c r="AV308" s="98"/>
      <c r="AW308" s="98"/>
      <c r="AX308" s="98"/>
      <c r="AY308" s="98"/>
      <c r="AZ308" s="98"/>
    </row>
    <row r="309">
      <c r="A309" s="3"/>
      <c r="B309" s="36"/>
      <c r="C309" s="91"/>
      <c r="D309" s="13"/>
      <c r="E309" s="13"/>
      <c r="F309" s="3"/>
      <c r="G309" s="3"/>
      <c r="H309" s="3"/>
      <c r="I309" s="13"/>
      <c r="J309" s="13"/>
      <c r="K309" s="13"/>
      <c r="L309" s="36"/>
      <c r="M309" s="91"/>
      <c r="N309" s="3"/>
      <c r="O309" s="3"/>
      <c r="P309" s="7"/>
      <c r="Q309" s="7"/>
      <c r="R309" s="166"/>
      <c r="S309" s="166"/>
      <c r="T309" s="7"/>
      <c r="U309" s="3"/>
      <c r="V309" s="13"/>
      <c r="W309" s="3"/>
      <c r="X309" s="166"/>
      <c r="Y309" s="7"/>
      <c r="Z309" s="13"/>
      <c r="AA309" s="7"/>
      <c r="AB309" s="7"/>
      <c r="AC309" s="257"/>
      <c r="AD309" s="166"/>
      <c r="AE309" s="258"/>
      <c r="AF309" s="7"/>
      <c r="AG309" s="7"/>
      <c r="AH309" s="166"/>
      <c r="AI309" s="13"/>
      <c r="AJ309" s="3"/>
      <c r="AK309" s="13"/>
      <c r="AL309" s="3"/>
      <c r="AM309" s="3"/>
      <c r="AN309" s="3"/>
      <c r="AO309" s="3"/>
      <c r="AP309" s="3"/>
      <c r="AQ309" s="3"/>
      <c r="AR309" s="3"/>
      <c r="AS309" s="98"/>
      <c r="AT309" s="98"/>
      <c r="AU309" s="98"/>
      <c r="AV309" s="98"/>
      <c r="AW309" s="98"/>
      <c r="AX309" s="98"/>
      <c r="AY309" s="98"/>
      <c r="AZ309" s="98"/>
    </row>
    <row r="310">
      <c r="A310" s="3"/>
      <c r="B310" s="36"/>
      <c r="C310" s="91"/>
      <c r="D310" s="13"/>
      <c r="E310" s="13"/>
      <c r="F310" s="3"/>
      <c r="G310" s="3"/>
      <c r="H310" s="3"/>
      <c r="I310" s="13"/>
      <c r="J310" s="13"/>
      <c r="K310" s="13"/>
      <c r="L310" s="36"/>
      <c r="M310" s="91"/>
      <c r="N310" s="3"/>
      <c r="O310" s="3"/>
      <c r="P310" s="7"/>
      <c r="Q310" s="7"/>
      <c r="R310" s="166"/>
      <c r="S310" s="166"/>
      <c r="T310" s="7"/>
      <c r="U310" s="3"/>
      <c r="V310" s="13"/>
      <c r="W310" s="3"/>
      <c r="X310" s="166"/>
      <c r="Y310" s="7"/>
      <c r="Z310" s="13"/>
      <c r="AA310" s="7"/>
      <c r="AB310" s="7"/>
      <c r="AC310" s="257"/>
      <c r="AD310" s="166"/>
      <c r="AE310" s="258"/>
      <c r="AF310" s="7"/>
      <c r="AG310" s="7"/>
      <c r="AH310" s="166"/>
      <c r="AI310" s="13"/>
      <c r="AJ310" s="3"/>
      <c r="AK310" s="13"/>
      <c r="AL310" s="3"/>
      <c r="AM310" s="3"/>
      <c r="AN310" s="3"/>
      <c r="AO310" s="3"/>
      <c r="AP310" s="3"/>
      <c r="AQ310" s="3"/>
      <c r="AR310" s="3"/>
      <c r="AS310" s="98"/>
      <c r="AT310" s="98"/>
      <c r="AU310" s="98"/>
      <c r="AV310" s="98"/>
      <c r="AW310" s="98"/>
      <c r="AX310" s="98"/>
      <c r="AY310" s="98"/>
      <c r="AZ310" s="98"/>
    </row>
    <row r="311">
      <c r="A311" s="3"/>
      <c r="B311" s="36"/>
      <c r="C311" s="91"/>
      <c r="D311" s="13"/>
      <c r="E311" s="13"/>
      <c r="F311" s="3"/>
      <c r="G311" s="3"/>
      <c r="H311" s="3"/>
      <c r="I311" s="13"/>
      <c r="J311" s="13"/>
      <c r="K311" s="13"/>
      <c r="L311" s="36"/>
      <c r="M311" s="91"/>
      <c r="N311" s="3"/>
      <c r="O311" s="3"/>
      <c r="P311" s="7"/>
      <c r="Q311" s="7"/>
      <c r="R311" s="166"/>
      <c r="S311" s="166"/>
      <c r="T311" s="7"/>
      <c r="U311" s="3"/>
      <c r="V311" s="13"/>
      <c r="W311" s="3"/>
      <c r="X311" s="166"/>
      <c r="Y311" s="7"/>
      <c r="Z311" s="13"/>
      <c r="AA311" s="7"/>
      <c r="AB311" s="7"/>
      <c r="AC311" s="257"/>
      <c r="AD311" s="166"/>
      <c r="AE311" s="258"/>
      <c r="AF311" s="7"/>
      <c r="AG311" s="7"/>
      <c r="AH311" s="166"/>
      <c r="AI311" s="13"/>
      <c r="AJ311" s="3"/>
      <c r="AK311" s="13"/>
      <c r="AL311" s="3"/>
      <c r="AM311" s="3"/>
      <c r="AN311" s="3"/>
      <c r="AO311" s="3"/>
      <c r="AP311" s="3"/>
      <c r="AQ311" s="3"/>
      <c r="AR311" s="3"/>
      <c r="AS311" s="98"/>
      <c r="AT311" s="98"/>
      <c r="AU311" s="98"/>
      <c r="AV311" s="98"/>
      <c r="AW311" s="98"/>
      <c r="AX311" s="98"/>
      <c r="AY311" s="98"/>
      <c r="AZ311" s="98"/>
    </row>
    <row r="312">
      <c r="A312" s="3"/>
      <c r="B312" s="36"/>
      <c r="C312" s="91"/>
      <c r="D312" s="13"/>
      <c r="E312" s="13"/>
      <c r="F312" s="3"/>
      <c r="G312" s="3"/>
      <c r="H312" s="3"/>
      <c r="I312" s="13"/>
      <c r="J312" s="13"/>
      <c r="K312" s="13"/>
      <c r="L312" s="36"/>
      <c r="M312" s="91"/>
      <c r="N312" s="3"/>
      <c r="O312" s="3"/>
      <c r="P312" s="7"/>
      <c r="Q312" s="7"/>
      <c r="R312" s="166"/>
      <c r="S312" s="166"/>
      <c r="T312" s="7"/>
      <c r="U312" s="3"/>
      <c r="V312" s="13"/>
      <c r="W312" s="3"/>
      <c r="X312" s="166"/>
      <c r="Y312" s="7"/>
      <c r="Z312" s="13"/>
      <c r="AA312" s="7"/>
      <c r="AB312" s="7"/>
      <c r="AC312" s="257"/>
      <c r="AD312" s="166"/>
      <c r="AE312" s="258"/>
      <c r="AF312" s="7"/>
      <c r="AG312" s="7"/>
      <c r="AH312" s="166"/>
      <c r="AI312" s="13"/>
      <c r="AJ312" s="3"/>
      <c r="AK312" s="13"/>
      <c r="AL312" s="3"/>
      <c r="AM312" s="3"/>
      <c r="AN312" s="3"/>
      <c r="AO312" s="3"/>
      <c r="AP312" s="3"/>
      <c r="AQ312" s="3"/>
      <c r="AR312" s="3"/>
      <c r="AS312" s="98"/>
      <c r="AT312" s="98"/>
      <c r="AU312" s="98"/>
      <c r="AV312" s="98"/>
      <c r="AW312" s="98"/>
      <c r="AX312" s="98"/>
      <c r="AY312" s="98"/>
      <c r="AZ312" s="98"/>
    </row>
    <row r="313">
      <c r="A313" s="3"/>
      <c r="B313" s="36"/>
      <c r="C313" s="91"/>
      <c r="D313" s="13"/>
      <c r="E313" s="13"/>
      <c r="F313" s="3"/>
      <c r="G313" s="3"/>
      <c r="H313" s="3"/>
      <c r="I313" s="13"/>
      <c r="J313" s="13"/>
      <c r="K313" s="13"/>
      <c r="L313" s="36"/>
      <c r="M313" s="91"/>
      <c r="N313" s="3"/>
      <c r="O313" s="3"/>
      <c r="P313" s="7"/>
      <c r="Q313" s="7"/>
      <c r="R313" s="166"/>
      <c r="S313" s="166"/>
      <c r="T313" s="7"/>
      <c r="U313" s="3"/>
      <c r="V313" s="13"/>
      <c r="W313" s="3"/>
      <c r="X313" s="166"/>
      <c r="Y313" s="7"/>
      <c r="Z313" s="13"/>
      <c r="AA313" s="7"/>
      <c r="AB313" s="7"/>
      <c r="AC313" s="257"/>
      <c r="AD313" s="166"/>
      <c r="AE313" s="258"/>
      <c r="AF313" s="7"/>
      <c r="AG313" s="7"/>
      <c r="AH313" s="166"/>
      <c r="AI313" s="13"/>
      <c r="AJ313" s="3"/>
      <c r="AK313" s="13"/>
      <c r="AL313" s="3"/>
      <c r="AM313" s="3"/>
      <c r="AN313" s="3"/>
      <c r="AO313" s="3"/>
      <c r="AP313" s="3"/>
      <c r="AQ313" s="3"/>
      <c r="AR313" s="3"/>
      <c r="AS313" s="98"/>
      <c r="AT313" s="98"/>
      <c r="AU313" s="98"/>
      <c r="AV313" s="98"/>
      <c r="AW313" s="98"/>
      <c r="AX313" s="98"/>
      <c r="AY313" s="98"/>
      <c r="AZ313" s="98"/>
    </row>
    <row r="314">
      <c r="A314" s="3"/>
      <c r="B314" s="36"/>
      <c r="C314" s="91"/>
      <c r="D314" s="13"/>
      <c r="E314" s="13"/>
      <c r="F314" s="3"/>
      <c r="G314" s="3"/>
      <c r="H314" s="3"/>
      <c r="I314" s="13"/>
      <c r="J314" s="13"/>
      <c r="K314" s="13"/>
      <c r="L314" s="36"/>
      <c r="M314" s="91"/>
      <c r="N314" s="3"/>
      <c r="O314" s="3"/>
      <c r="P314" s="7"/>
      <c r="Q314" s="7"/>
      <c r="R314" s="166"/>
      <c r="S314" s="166"/>
      <c r="T314" s="7"/>
      <c r="U314" s="3"/>
      <c r="V314" s="13"/>
      <c r="W314" s="3"/>
      <c r="X314" s="166"/>
      <c r="Y314" s="7"/>
      <c r="Z314" s="13"/>
      <c r="AA314" s="7"/>
      <c r="AB314" s="7"/>
      <c r="AC314" s="257"/>
      <c r="AD314" s="166"/>
      <c r="AE314" s="258"/>
      <c r="AF314" s="7"/>
      <c r="AG314" s="7"/>
      <c r="AH314" s="166"/>
      <c r="AI314" s="13"/>
      <c r="AJ314" s="3"/>
      <c r="AK314" s="13"/>
      <c r="AL314" s="3"/>
      <c r="AM314" s="3"/>
      <c r="AN314" s="3"/>
      <c r="AO314" s="3"/>
      <c r="AP314" s="3"/>
      <c r="AQ314" s="3"/>
      <c r="AR314" s="3"/>
      <c r="AS314" s="98"/>
      <c r="AT314" s="98"/>
      <c r="AU314" s="98"/>
      <c r="AV314" s="98"/>
      <c r="AW314" s="98"/>
      <c r="AX314" s="98"/>
      <c r="AY314" s="98"/>
      <c r="AZ314" s="98"/>
    </row>
    <row r="315">
      <c r="A315" s="3"/>
      <c r="B315" s="36"/>
      <c r="C315" s="91"/>
      <c r="D315" s="13"/>
      <c r="E315" s="13"/>
      <c r="F315" s="3"/>
      <c r="G315" s="3"/>
      <c r="H315" s="3"/>
      <c r="I315" s="13"/>
      <c r="J315" s="13"/>
      <c r="K315" s="13"/>
      <c r="L315" s="36"/>
      <c r="M315" s="91"/>
      <c r="N315" s="3"/>
      <c r="O315" s="3"/>
      <c r="P315" s="7"/>
      <c r="Q315" s="7"/>
      <c r="R315" s="166"/>
      <c r="S315" s="166"/>
      <c r="T315" s="7"/>
      <c r="U315" s="3"/>
      <c r="V315" s="13"/>
      <c r="W315" s="3"/>
      <c r="X315" s="166"/>
      <c r="Y315" s="7"/>
      <c r="Z315" s="13"/>
      <c r="AA315" s="7"/>
      <c r="AB315" s="7"/>
      <c r="AC315" s="257"/>
      <c r="AD315" s="166"/>
      <c r="AE315" s="258"/>
      <c r="AF315" s="7"/>
      <c r="AG315" s="7"/>
      <c r="AH315" s="166"/>
      <c r="AI315" s="13"/>
      <c r="AJ315" s="3"/>
      <c r="AK315" s="13"/>
      <c r="AL315" s="3"/>
      <c r="AM315" s="3"/>
      <c r="AN315" s="3"/>
      <c r="AO315" s="3"/>
      <c r="AP315" s="3"/>
      <c r="AQ315" s="3"/>
      <c r="AR315" s="3"/>
      <c r="AS315" s="98"/>
      <c r="AT315" s="98"/>
      <c r="AU315" s="98"/>
      <c r="AV315" s="98"/>
      <c r="AW315" s="98"/>
      <c r="AX315" s="98"/>
      <c r="AY315" s="98"/>
      <c r="AZ315" s="98"/>
    </row>
    <row r="316">
      <c r="A316" s="3"/>
      <c r="B316" s="36"/>
      <c r="C316" s="91"/>
      <c r="D316" s="13"/>
      <c r="E316" s="13"/>
      <c r="F316" s="3"/>
      <c r="G316" s="3"/>
      <c r="H316" s="3"/>
      <c r="I316" s="13"/>
      <c r="J316" s="13"/>
      <c r="K316" s="13"/>
      <c r="L316" s="36"/>
      <c r="M316" s="91"/>
      <c r="N316" s="3"/>
      <c r="O316" s="3"/>
      <c r="P316" s="7"/>
      <c r="Q316" s="7"/>
      <c r="R316" s="166"/>
      <c r="S316" s="166"/>
      <c r="T316" s="7"/>
      <c r="U316" s="3"/>
      <c r="V316" s="13"/>
      <c r="W316" s="3"/>
      <c r="X316" s="166"/>
      <c r="Y316" s="7"/>
      <c r="Z316" s="13"/>
      <c r="AA316" s="7"/>
      <c r="AB316" s="7"/>
      <c r="AC316" s="257"/>
      <c r="AD316" s="166"/>
      <c r="AE316" s="258"/>
      <c r="AF316" s="7"/>
      <c r="AG316" s="7"/>
      <c r="AH316" s="166"/>
      <c r="AI316" s="13"/>
      <c r="AJ316" s="3"/>
      <c r="AK316" s="13"/>
      <c r="AL316" s="3"/>
      <c r="AM316" s="3"/>
      <c r="AN316" s="3"/>
      <c r="AO316" s="3"/>
      <c r="AP316" s="3"/>
      <c r="AQ316" s="3"/>
      <c r="AR316" s="3"/>
      <c r="AS316" s="98"/>
      <c r="AT316" s="98"/>
      <c r="AU316" s="98"/>
      <c r="AV316" s="98"/>
      <c r="AW316" s="98"/>
      <c r="AX316" s="98"/>
      <c r="AY316" s="98"/>
      <c r="AZ316" s="98"/>
    </row>
    <row r="317">
      <c r="A317" s="3"/>
      <c r="B317" s="36"/>
      <c r="C317" s="91"/>
      <c r="D317" s="13"/>
      <c r="E317" s="13"/>
      <c r="F317" s="3"/>
      <c r="G317" s="3"/>
      <c r="H317" s="3"/>
      <c r="I317" s="13"/>
      <c r="J317" s="13"/>
      <c r="K317" s="13"/>
      <c r="L317" s="36"/>
      <c r="M317" s="91"/>
      <c r="N317" s="3"/>
      <c r="O317" s="3"/>
      <c r="P317" s="7"/>
      <c r="Q317" s="7"/>
      <c r="R317" s="166"/>
      <c r="S317" s="166"/>
      <c r="T317" s="7"/>
      <c r="U317" s="3"/>
      <c r="V317" s="13"/>
      <c r="W317" s="3"/>
      <c r="X317" s="166"/>
      <c r="Y317" s="7"/>
      <c r="Z317" s="13"/>
      <c r="AA317" s="7"/>
      <c r="AB317" s="7"/>
      <c r="AC317" s="257"/>
      <c r="AD317" s="166"/>
      <c r="AE317" s="258"/>
      <c r="AF317" s="7"/>
      <c r="AG317" s="7"/>
      <c r="AH317" s="166"/>
      <c r="AI317" s="13"/>
      <c r="AJ317" s="3"/>
      <c r="AK317" s="13"/>
      <c r="AL317" s="3"/>
      <c r="AM317" s="3"/>
      <c r="AN317" s="3"/>
      <c r="AO317" s="3"/>
      <c r="AP317" s="3"/>
      <c r="AQ317" s="3"/>
      <c r="AR317" s="3"/>
      <c r="AS317" s="98"/>
      <c r="AT317" s="98"/>
      <c r="AU317" s="98"/>
      <c r="AV317" s="98"/>
      <c r="AW317" s="98"/>
      <c r="AX317" s="98"/>
      <c r="AY317" s="98"/>
      <c r="AZ317" s="98"/>
    </row>
    <row r="318">
      <c r="A318" s="3"/>
      <c r="B318" s="36"/>
      <c r="C318" s="91"/>
      <c r="D318" s="13"/>
      <c r="E318" s="13"/>
      <c r="F318" s="3"/>
      <c r="G318" s="3"/>
      <c r="H318" s="3"/>
      <c r="I318" s="13"/>
      <c r="J318" s="13"/>
      <c r="K318" s="13"/>
      <c r="L318" s="36"/>
      <c r="M318" s="91"/>
      <c r="N318" s="3"/>
      <c r="O318" s="3"/>
      <c r="P318" s="7"/>
      <c r="Q318" s="7"/>
      <c r="R318" s="166"/>
      <c r="S318" s="166"/>
      <c r="T318" s="7"/>
      <c r="U318" s="3"/>
      <c r="V318" s="13"/>
      <c r="W318" s="3"/>
      <c r="X318" s="166"/>
      <c r="Y318" s="7"/>
      <c r="Z318" s="13"/>
      <c r="AA318" s="7"/>
      <c r="AB318" s="7"/>
      <c r="AC318" s="257"/>
      <c r="AD318" s="166"/>
      <c r="AE318" s="258"/>
      <c r="AF318" s="7"/>
      <c r="AG318" s="7"/>
      <c r="AH318" s="166"/>
      <c r="AI318" s="13"/>
      <c r="AJ318" s="3"/>
      <c r="AK318" s="13"/>
      <c r="AL318" s="3"/>
      <c r="AM318" s="3"/>
      <c r="AN318" s="3"/>
      <c r="AO318" s="3"/>
      <c r="AP318" s="3"/>
      <c r="AQ318" s="3"/>
      <c r="AR318" s="3"/>
      <c r="AS318" s="98"/>
      <c r="AT318" s="98"/>
      <c r="AU318" s="98"/>
      <c r="AV318" s="98"/>
      <c r="AW318" s="98"/>
      <c r="AX318" s="98"/>
      <c r="AY318" s="98"/>
      <c r="AZ318" s="98"/>
    </row>
    <row r="319">
      <c r="A319" s="3"/>
      <c r="B319" s="36"/>
      <c r="C319" s="91"/>
      <c r="D319" s="13"/>
      <c r="E319" s="13"/>
      <c r="F319" s="3"/>
      <c r="G319" s="3"/>
      <c r="H319" s="3"/>
      <c r="I319" s="13"/>
      <c r="J319" s="13"/>
      <c r="K319" s="13"/>
      <c r="L319" s="36"/>
      <c r="M319" s="91"/>
      <c r="N319" s="3"/>
      <c r="O319" s="3"/>
      <c r="P319" s="7"/>
      <c r="Q319" s="7"/>
      <c r="R319" s="166"/>
      <c r="S319" s="166"/>
      <c r="T319" s="7"/>
      <c r="U319" s="3"/>
      <c r="V319" s="13"/>
      <c r="W319" s="3"/>
      <c r="X319" s="166"/>
      <c r="Y319" s="7"/>
      <c r="Z319" s="13"/>
      <c r="AA319" s="7"/>
      <c r="AB319" s="7"/>
      <c r="AC319" s="257"/>
      <c r="AD319" s="166"/>
      <c r="AE319" s="258"/>
      <c r="AF319" s="7"/>
      <c r="AG319" s="7"/>
      <c r="AH319" s="166"/>
      <c r="AI319" s="13"/>
      <c r="AJ319" s="3"/>
      <c r="AK319" s="13"/>
      <c r="AL319" s="3"/>
      <c r="AM319" s="3"/>
      <c r="AN319" s="3"/>
      <c r="AO319" s="3"/>
      <c r="AP319" s="3"/>
      <c r="AQ319" s="3"/>
      <c r="AR319" s="3"/>
      <c r="AS319" s="98"/>
      <c r="AT319" s="98"/>
      <c r="AU319" s="98"/>
      <c r="AV319" s="98"/>
      <c r="AW319" s="98"/>
      <c r="AX319" s="98"/>
      <c r="AY319" s="98"/>
      <c r="AZ319" s="98"/>
    </row>
    <row r="320">
      <c r="A320" s="3"/>
      <c r="B320" s="36"/>
      <c r="C320" s="91"/>
      <c r="D320" s="13"/>
      <c r="E320" s="13"/>
      <c r="F320" s="3"/>
      <c r="G320" s="3"/>
      <c r="H320" s="3"/>
      <c r="I320" s="13"/>
      <c r="J320" s="13"/>
      <c r="K320" s="13"/>
      <c r="L320" s="36"/>
      <c r="M320" s="91"/>
      <c r="N320" s="3"/>
      <c r="O320" s="3"/>
      <c r="P320" s="7"/>
      <c r="Q320" s="7"/>
      <c r="R320" s="166"/>
      <c r="S320" s="166"/>
      <c r="T320" s="7"/>
      <c r="U320" s="3"/>
      <c r="V320" s="13"/>
      <c r="W320" s="3"/>
      <c r="X320" s="166"/>
      <c r="Y320" s="7"/>
      <c r="Z320" s="13"/>
      <c r="AA320" s="7"/>
      <c r="AB320" s="7"/>
      <c r="AC320" s="257"/>
      <c r="AD320" s="166"/>
      <c r="AE320" s="258"/>
      <c r="AF320" s="7"/>
      <c r="AG320" s="7"/>
      <c r="AH320" s="166"/>
      <c r="AI320" s="13"/>
      <c r="AJ320" s="3"/>
      <c r="AK320" s="13"/>
      <c r="AL320" s="3"/>
      <c r="AM320" s="3"/>
      <c r="AN320" s="3"/>
      <c r="AO320" s="3"/>
      <c r="AP320" s="3"/>
      <c r="AQ320" s="3"/>
      <c r="AR320" s="3"/>
      <c r="AS320" s="98"/>
      <c r="AT320" s="98"/>
      <c r="AU320" s="98"/>
      <c r="AV320" s="98"/>
      <c r="AW320" s="98"/>
      <c r="AX320" s="98"/>
      <c r="AY320" s="98"/>
      <c r="AZ320" s="98"/>
    </row>
    <row r="321">
      <c r="A321" s="3"/>
      <c r="B321" s="36"/>
      <c r="C321" s="91"/>
      <c r="D321" s="13"/>
      <c r="E321" s="13"/>
      <c r="F321" s="3"/>
      <c r="G321" s="3"/>
      <c r="H321" s="3"/>
      <c r="I321" s="13"/>
      <c r="J321" s="13"/>
      <c r="K321" s="13"/>
      <c r="L321" s="36"/>
      <c r="M321" s="91"/>
      <c r="N321" s="3"/>
      <c r="O321" s="3"/>
      <c r="P321" s="7"/>
      <c r="Q321" s="7"/>
      <c r="R321" s="166"/>
      <c r="S321" s="166"/>
      <c r="T321" s="7"/>
      <c r="U321" s="3"/>
      <c r="V321" s="13"/>
      <c r="W321" s="3"/>
      <c r="X321" s="166"/>
      <c r="Y321" s="7"/>
      <c r="Z321" s="13"/>
      <c r="AA321" s="7"/>
      <c r="AB321" s="7"/>
      <c r="AC321" s="257"/>
      <c r="AD321" s="166"/>
      <c r="AE321" s="258"/>
      <c r="AF321" s="7"/>
      <c r="AG321" s="7"/>
      <c r="AH321" s="166"/>
      <c r="AI321" s="13"/>
      <c r="AJ321" s="3"/>
      <c r="AK321" s="13"/>
      <c r="AL321" s="3"/>
      <c r="AM321" s="3"/>
      <c r="AN321" s="3"/>
      <c r="AO321" s="3"/>
      <c r="AP321" s="3"/>
      <c r="AQ321" s="3"/>
      <c r="AR321" s="3"/>
      <c r="AS321" s="98"/>
      <c r="AT321" s="98"/>
      <c r="AU321" s="98"/>
      <c r="AV321" s="98"/>
      <c r="AW321" s="98"/>
      <c r="AX321" s="98"/>
      <c r="AY321" s="98"/>
      <c r="AZ321" s="98"/>
    </row>
    <row r="322">
      <c r="A322" s="3"/>
      <c r="B322" s="36"/>
      <c r="C322" s="91"/>
      <c r="D322" s="13"/>
      <c r="E322" s="13"/>
      <c r="F322" s="3"/>
      <c r="G322" s="3"/>
      <c r="H322" s="3"/>
      <c r="I322" s="13"/>
      <c r="J322" s="13"/>
      <c r="K322" s="13"/>
      <c r="L322" s="36"/>
      <c r="M322" s="91"/>
      <c r="N322" s="3"/>
      <c r="O322" s="3"/>
      <c r="P322" s="7"/>
      <c r="Q322" s="7"/>
      <c r="R322" s="166"/>
      <c r="S322" s="166"/>
      <c r="T322" s="7"/>
      <c r="U322" s="3"/>
      <c r="V322" s="13"/>
      <c r="W322" s="3"/>
      <c r="X322" s="166"/>
      <c r="Y322" s="7"/>
      <c r="Z322" s="13"/>
      <c r="AA322" s="7"/>
      <c r="AB322" s="7"/>
      <c r="AC322" s="257"/>
      <c r="AD322" s="166"/>
      <c r="AE322" s="258"/>
      <c r="AF322" s="7"/>
      <c r="AG322" s="7"/>
      <c r="AH322" s="166"/>
      <c r="AI322" s="13"/>
      <c r="AJ322" s="3"/>
      <c r="AK322" s="13"/>
      <c r="AL322" s="3"/>
      <c r="AM322" s="3"/>
      <c r="AN322" s="3"/>
      <c r="AO322" s="3"/>
      <c r="AP322" s="3"/>
      <c r="AQ322" s="3"/>
      <c r="AR322" s="3"/>
      <c r="AS322" s="98"/>
      <c r="AT322" s="98"/>
      <c r="AU322" s="98"/>
      <c r="AV322" s="98"/>
      <c r="AW322" s="98"/>
      <c r="AX322" s="98"/>
      <c r="AY322" s="98"/>
      <c r="AZ322" s="98"/>
    </row>
    <row r="323">
      <c r="A323" s="3"/>
      <c r="B323" s="36"/>
      <c r="C323" s="91"/>
      <c r="D323" s="13"/>
      <c r="E323" s="13"/>
      <c r="F323" s="3"/>
      <c r="G323" s="3"/>
      <c r="H323" s="3"/>
      <c r="I323" s="13"/>
      <c r="J323" s="13"/>
      <c r="K323" s="13"/>
      <c r="L323" s="36"/>
      <c r="M323" s="91"/>
      <c r="N323" s="3"/>
      <c r="O323" s="3"/>
      <c r="P323" s="7"/>
      <c r="Q323" s="7"/>
      <c r="R323" s="166"/>
      <c r="S323" s="166"/>
      <c r="T323" s="7"/>
      <c r="U323" s="3"/>
      <c r="V323" s="13"/>
      <c r="W323" s="3"/>
      <c r="X323" s="166"/>
      <c r="Y323" s="7"/>
      <c r="Z323" s="13"/>
      <c r="AA323" s="7"/>
      <c r="AB323" s="7"/>
      <c r="AC323" s="257"/>
      <c r="AD323" s="166"/>
      <c r="AE323" s="258"/>
      <c r="AF323" s="7"/>
      <c r="AG323" s="7"/>
      <c r="AH323" s="166"/>
      <c r="AI323" s="13"/>
      <c r="AJ323" s="3"/>
      <c r="AK323" s="13"/>
      <c r="AL323" s="3"/>
      <c r="AM323" s="3"/>
      <c r="AN323" s="3"/>
      <c r="AO323" s="3"/>
      <c r="AP323" s="3"/>
      <c r="AQ323" s="3"/>
      <c r="AR323" s="3"/>
      <c r="AS323" s="98"/>
      <c r="AT323" s="98"/>
      <c r="AU323" s="98"/>
      <c r="AV323" s="98"/>
      <c r="AW323" s="98"/>
      <c r="AX323" s="98"/>
      <c r="AY323" s="98"/>
      <c r="AZ323" s="98"/>
    </row>
    <row r="324">
      <c r="A324" s="3"/>
      <c r="B324" s="36"/>
      <c r="C324" s="91"/>
      <c r="D324" s="13"/>
      <c r="E324" s="13"/>
      <c r="F324" s="3"/>
      <c r="G324" s="3"/>
      <c r="H324" s="3"/>
      <c r="I324" s="13"/>
      <c r="J324" s="13"/>
      <c r="K324" s="13"/>
      <c r="L324" s="36"/>
      <c r="M324" s="91"/>
      <c r="N324" s="3"/>
      <c r="O324" s="3"/>
      <c r="P324" s="7"/>
      <c r="Q324" s="7"/>
      <c r="R324" s="166"/>
      <c r="S324" s="166"/>
      <c r="T324" s="7"/>
      <c r="U324" s="3"/>
      <c r="V324" s="13"/>
      <c r="W324" s="3"/>
      <c r="X324" s="166"/>
      <c r="Y324" s="7"/>
      <c r="Z324" s="13"/>
      <c r="AA324" s="7"/>
      <c r="AB324" s="7"/>
      <c r="AC324" s="257"/>
      <c r="AD324" s="166"/>
      <c r="AE324" s="258"/>
      <c r="AF324" s="7"/>
      <c r="AG324" s="7"/>
      <c r="AH324" s="166"/>
      <c r="AI324" s="13"/>
      <c r="AJ324" s="3"/>
      <c r="AK324" s="13"/>
      <c r="AL324" s="3"/>
      <c r="AM324" s="3"/>
      <c r="AN324" s="3"/>
      <c r="AO324" s="3"/>
      <c r="AP324" s="3"/>
      <c r="AQ324" s="3"/>
      <c r="AR324" s="3"/>
      <c r="AS324" s="98"/>
      <c r="AT324" s="98"/>
      <c r="AU324" s="98"/>
      <c r="AV324" s="98"/>
      <c r="AW324" s="98"/>
      <c r="AX324" s="98"/>
      <c r="AY324" s="98"/>
      <c r="AZ324" s="98"/>
    </row>
    <row r="325">
      <c r="A325" s="3"/>
      <c r="B325" s="36"/>
      <c r="C325" s="91"/>
      <c r="D325" s="13"/>
      <c r="E325" s="13"/>
      <c r="F325" s="3"/>
      <c r="G325" s="3"/>
      <c r="H325" s="3"/>
      <c r="I325" s="13"/>
      <c r="J325" s="13"/>
      <c r="K325" s="13"/>
      <c r="L325" s="36"/>
      <c r="M325" s="91"/>
      <c r="N325" s="3"/>
      <c r="O325" s="3"/>
      <c r="P325" s="7"/>
      <c r="Q325" s="7"/>
      <c r="R325" s="166"/>
      <c r="S325" s="166"/>
      <c r="T325" s="7"/>
      <c r="U325" s="3"/>
      <c r="V325" s="13"/>
      <c r="W325" s="3"/>
      <c r="X325" s="166"/>
      <c r="Y325" s="7"/>
      <c r="Z325" s="13"/>
      <c r="AA325" s="7"/>
      <c r="AB325" s="7"/>
      <c r="AC325" s="257"/>
      <c r="AD325" s="166"/>
      <c r="AE325" s="258"/>
      <c r="AF325" s="7"/>
      <c r="AG325" s="7"/>
      <c r="AH325" s="166"/>
      <c r="AI325" s="13"/>
      <c r="AJ325" s="3"/>
      <c r="AK325" s="13"/>
      <c r="AL325" s="3"/>
      <c r="AM325" s="3"/>
      <c r="AN325" s="3"/>
      <c r="AO325" s="3"/>
      <c r="AP325" s="3"/>
      <c r="AQ325" s="3"/>
      <c r="AR325" s="3"/>
      <c r="AS325" s="98"/>
      <c r="AT325" s="98"/>
      <c r="AU325" s="98"/>
      <c r="AV325" s="98"/>
      <c r="AW325" s="98"/>
      <c r="AX325" s="98"/>
      <c r="AY325" s="98"/>
      <c r="AZ325" s="98"/>
    </row>
    <row r="326">
      <c r="A326" s="3"/>
      <c r="B326" s="36"/>
      <c r="C326" s="91"/>
      <c r="D326" s="13"/>
      <c r="E326" s="13"/>
      <c r="F326" s="3"/>
      <c r="G326" s="3"/>
      <c r="H326" s="3"/>
      <c r="I326" s="13"/>
      <c r="J326" s="13"/>
      <c r="K326" s="13"/>
      <c r="L326" s="36"/>
      <c r="M326" s="91"/>
      <c r="N326" s="3"/>
      <c r="O326" s="3"/>
      <c r="P326" s="7"/>
      <c r="Q326" s="7"/>
      <c r="R326" s="166"/>
      <c r="S326" s="166"/>
      <c r="T326" s="7"/>
      <c r="U326" s="3"/>
      <c r="V326" s="13"/>
      <c r="W326" s="3"/>
      <c r="X326" s="166"/>
      <c r="Y326" s="7"/>
      <c r="Z326" s="13"/>
      <c r="AA326" s="7"/>
      <c r="AB326" s="7"/>
      <c r="AC326" s="257"/>
      <c r="AD326" s="166"/>
      <c r="AE326" s="258"/>
      <c r="AF326" s="7"/>
      <c r="AG326" s="7"/>
      <c r="AH326" s="166"/>
      <c r="AI326" s="13"/>
      <c r="AJ326" s="3"/>
      <c r="AK326" s="13"/>
      <c r="AL326" s="3"/>
      <c r="AM326" s="3"/>
      <c r="AN326" s="3"/>
      <c r="AO326" s="3"/>
      <c r="AP326" s="3"/>
      <c r="AQ326" s="3"/>
      <c r="AR326" s="3"/>
      <c r="AS326" s="98"/>
      <c r="AT326" s="98"/>
      <c r="AU326" s="98"/>
      <c r="AV326" s="98"/>
      <c r="AW326" s="98"/>
      <c r="AX326" s="98"/>
      <c r="AY326" s="98"/>
      <c r="AZ326" s="98"/>
    </row>
    <row r="327">
      <c r="A327" s="3"/>
      <c r="B327" s="36"/>
      <c r="C327" s="91"/>
      <c r="D327" s="13"/>
      <c r="E327" s="13"/>
      <c r="F327" s="3"/>
      <c r="G327" s="3"/>
      <c r="H327" s="3"/>
      <c r="I327" s="13"/>
      <c r="J327" s="13"/>
      <c r="K327" s="13"/>
      <c r="L327" s="36"/>
      <c r="M327" s="91"/>
      <c r="N327" s="3"/>
      <c r="O327" s="3"/>
      <c r="P327" s="7"/>
      <c r="Q327" s="7"/>
      <c r="R327" s="166"/>
      <c r="S327" s="166"/>
      <c r="T327" s="7"/>
      <c r="U327" s="3"/>
      <c r="V327" s="13"/>
      <c r="W327" s="3"/>
      <c r="X327" s="166"/>
      <c r="Y327" s="7"/>
      <c r="Z327" s="13"/>
      <c r="AA327" s="7"/>
      <c r="AB327" s="7"/>
      <c r="AC327" s="257"/>
      <c r="AD327" s="166"/>
      <c r="AE327" s="258"/>
      <c r="AF327" s="7"/>
      <c r="AG327" s="7"/>
      <c r="AH327" s="166"/>
      <c r="AI327" s="13"/>
      <c r="AJ327" s="3"/>
      <c r="AK327" s="13"/>
      <c r="AL327" s="3"/>
      <c r="AM327" s="3"/>
      <c r="AN327" s="3"/>
      <c r="AO327" s="3"/>
      <c r="AP327" s="3"/>
      <c r="AQ327" s="3"/>
      <c r="AR327" s="3"/>
      <c r="AS327" s="98"/>
      <c r="AT327" s="98"/>
      <c r="AU327" s="98"/>
      <c r="AV327" s="98"/>
      <c r="AW327" s="98"/>
      <c r="AX327" s="98"/>
      <c r="AY327" s="98"/>
      <c r="AZ327" s="98"/>
    </row>
    <row r="328">
      <c r="A328" s="3"/>
      <c r="B328" s="36"/>
      <c r="C328" s="91"/>
      <c r="D328" s="13"/>
      <c r="E328" s="13"/>
      <c r="F328" s="3"/>
      <c r="G328" s="3"/>
      <c r="H328" s="3"/>
      <c r="I328" s="13"/>
      <c r="J328" s="13"/>
      <c r="K328" s="13"/>
      <c r="L328" s="36"/>
      <c r="M328" s="91"/>
      <c r="N328" s="3"/>
      <c r="O328" s="3"/>
      <c r="P328" s="7"/>
      <c r="Q328" s="7"/>
      <c r="R328" s="166"/>
      <c r="S328" s="166"/>
      <c r="T328" s="7"/>
      <c r="U328" s="3"/>
      <c r="V328" s="13"/>
      <c r="W328" s="3"/>
      <c r="X328" s="166"/>
      <c r="Y328" s="7"/>
      <c r="Z328" s="13"/>
      <c r="AA328" s="7"/>
      <c r="AB328" s="7"/>
      <c r="AC328" s="257"/>
      <c r="AD328" s="166"/>
      <c r="AE328" s="258"/>
      <c r="AF328" s="7"/>
      <c r="AG328" s="7"/>
      <c r="AH328" s="166"/>
      <c r="AI328" s="13"/>
      <c r="AJ328" s="3"/>
      <c r="AK328" s="13"/>
      <c r="AL328" s="3"/>
      <c r="AM328" s="3"/>
      <c r="AN328" s="3"/>
      <c r="AO328" s="3"/>
      <c r="AP328" s="3"/>
      <c r="AQ328" s="3"/>
      <c r="AR328" s="3"/>
      <c r="AS328" s="98"/>
      <c r="AT328" s="98"/>
      <c r="AU328" s="98"/>
      <c r="AV328" s="98"/>
      <c r="AW328" s="98"/>
      <c r="AX328" s="98"/>
      <c r="AY328" s="98"/>
      <c r="AZ328" s="98"/>
    </row>
    <row r="329">
      <c r="A329" s="3"/>
      <c r="B329" s="36"/>
      <c r="C329" s="91"/>
      <c r="D329" s="13"/>
      <c r="E329" s="13"/>
      <c r="F329" s="3"/>
      <c r="G329" s="3"/>
      <c r="H329" s="3"/>
      <c r="I329" s="13"/>
      <c r="J329" s="13"/>
      <c r="K329" s="13"/>
      <c r="L329" s="36"/>
      <c r="M329" s="91"/>
      <c r="N329" s="3"/>
      <c r="O329" s="3"/>
      <c r="P329" s="7"/>
      <c r="Q329" s="7"/>
      <c r="R329" s="166"/>
      <c r="S329" s="166"/>
      <c r="T329" s="7"/>
      <c r="U329" s="3"/>
      <c r="V329" s="13"/>
      <c r="W329" s="3"/>
      <c r="X329" s="166"/>
      <c r="Y329" s="7"/>
      <c r="Z329" s="13"/>
      <c r="AA329" s="7"/>
      <c r="AB329" s="7"/>
      <c r="AC329" s="257"/>
      <c r="AD329" s="166"/>
      <c r="AE329" s="258"/>
      <c r="AF329" s="7"/>
      <c r="AG329" s="7"/>
      <c r="AH329" s="166"/>
      <c r="AI329" s="13"/>
      <c r="AJ329" s="3"/>
      <c r="AK329" s="13"/>
      <c r="AL329" s="3"/>
      <c r="AM329" s="3"/>
      <c r="AN329" s="3"/>
      <c r="AO329" s="3"/>
      <c r="AP329" s="3"/>
      <c r="AQ329" s="3"/>
      <c r="AR329" s="3"/>
      <c r="AS329" s="98"/>
      <c r="AT329" s="98"/>
      <c r="AU329" s="98"/>
      <c r="AV329" s="98"/>
      <c r="AW329" s="98"/>
      <c r="AX329" s="98"/>
      <c r="AY329" s="98"/>
      <c r="AZ329" s="98"/>
    </row>
    <row r="330">
      <c r="A330" s="3"/>
      <c r="B330" s="36"/>
      <c r="C330" s="91"/>
      <c r="D330" s="13"/>
      <c r="E330" s="13"/>
      <c r="F330" s="3"/>
      <c r="G330" s="3"/>
      <c r="H330" s="3"/>
      <c r="I330" s="13"/>
      <c r="J330" s="13"/>
      <c r="K330" s="13"/>
      <c r="L330" s="36"/>
      <c r="M330" s="91"/>
      <c r="N330" s="3"/>
      <c r="O330" s="3"/>
      <c r="P330" s="7"/>
      <c r="Q330" s="7"/>
      <c r="R330" s="166"/>
      <c r="S330" s="166"/>
      <c r="T330" s="7"/>
      <c r="U330" s="3"/>
      <c r="V330" s="13"/>
      <c r="W330" s="3"/>
      <c r="X330" s="166"/>
      <c r="Y330" s="7"/>
      <c r="Z330" s="13"/>
      <c r="AA330" s="7"/>
      <c r="AB330" s="7"/>
      <c r="AC330" s="257"/>
      <c r="AD330" s="166"/>
      <c r="AE330" s="258"/>
      <c r="AF330" s="7"/>
      <c r="AG330" s="7"/>
      <c r="AH330" s="166"/>
      <c r="AI330" s="13"/>
      <c r="AJ330" s="3"/>
      <c r="AK330" s="13"/>
      <c r="AL330" s="3"/>
      <c r="AM330" s="3"/>
      <c r="AN330" s="3"/>
      <c r="AO330" s="3"/>
      <c r="AP330" s="3"/>
      <c r="AQ330" s="3"/>
      <c r="AR330" s="3"/>
      <c r="AS330" s="98"/>
      <c r="AT330" s="98"/>
      <c r="AU330" s="98"/>
      <c r="AV330" s="98"/>
      <c r="AW330" s="98"/>
      <c r="AX330" s="98"/>
      <c r="AY330" s="98"/>
      <c r="AZ330" s="98"/>
    </row>
    <row r="331">
      <c r="A331" s="3"/>
      <c r="B331" s="36"/>
      <c r="C331" s="91"/>
      <c r="D331" s="13"/>
      <c r="E331" s="13"/>
      <c r="F331" s="3"/>
      <c r="G331" s="3"/>
      <c r="H331" s="3"/>
      <c r="I331" s="13"/>
      <c r="J331" s="13"/>
      <c r="K331" s="13"/>
      <c r="L331" s="36"/>
      <c r="M331" s="91"/>
      <c r="N331" s="3"/>
      <c r="O331" s="3"/>
      <c r="P331" s="7"/>
      <c r="Q331" s="7"/>
      <c r="R331" s="166"/>
      <c r="S331" s="166"/>
      <c r="T331" s="7"/>
      <c r="U331" s="3"/>
      <c r="V331" s="13"/>
      <c r="W331" s="3"/>
      <c r="X331" s="166"/>
      <c r="Y331" s="7"/>
      <c r="Z331" s="13"/>
      <c r="AA331" s="7"/>
      <c r="AB331" s="7"/>
      <c r="AC331" s="257"/>
      <c r="AD331" s="166"/>
      <c r="AE331" s="258"/>
      <c r="AF331" s="7"/>
      <c r="AG331" s="7"/>
      <c r="AH331" s="166"/>
      <c r="AI331" s="13"/>
      <c r="AJ331" s="3"/>
      <c r="AK331" s="13"/>
      <c r="AL331" s="3"/>
      <c r="AM331" s="3"/>
      <c r="AN331" s="3"/>
      <c r="AO331" s="3"/>
      <c r="AP331" s="3"/>
      <c r="AQ331" s="3"/>
      <c r="AR331" s="3"/>
      <c r="AS331" s="98"/>
      <c r="AT331" s="98"/>
      <c r="AU331" s="98"/>
      <c r="AV331" s="98"/>
      <c r="AW331" s="98"/>
      <c r="AX331" s="98"/>
      <c r="AY331" s="98"/>
      <c r="AZ331" s="98"/>
    </row>
    <row r="332">
      <c r="A332" s="3"/>
      <c r="B332" s="36"/>
      <c r="C332" s="91"/>
      <c r="D332" s="13"/>
      <c r="E332" s="13"/>
      <c r="F332" s="3"/>
      <c r="G332" s="3"/>
      <c r="H332" s="3"/>
      <c r="I332" s="13"/>
      <c r="J332" s="13"/>
      <c r="K332" s="13"/>
      <c r="L332" s="36"/>
      <c r="M332" s="91"/>
      <c r="N332" s="3"/>
      <c r="O332" s="3"/>
      <c r="P332" s="7"/>
      <c r="Q332" s="7"/>
      <c r="R332" s="166"/>
      <c r="S332" s="166"/>
      <c r="T332" s="7"/>
      <c r="U332" s="3"/>
      <c r="V332" s="13"/>
      <c r="W332" s="3"/>
      <c r="X332" s="166"/>
      <c r="Y332" s="7"/>
      <c r="Z332" s="13"/>
      <c r="AA332" s="7"/>
      <c r="AB332" s="7"/>
      <c r="AC332" s="257"/>
      <c r="AD332" s="166"/>
      <c r="AE332" s="258"/>
      <c r="AF332" s="7"/>
      <c r="AG332" s="7"/>
      <c r="AH332" s="166"/>
      <c r="AI332" s="13"/>
      <c r="AJ332" s="3"/>
      <c r="AK332" s="13"/>
      <c r="AL332" s="3"/>
      <c r="AM332" s="3"/>
      <c r="AN332" s="3"/>
      <c r="AO332" s="3"/>
      <c r="AP332" s="3"/>
      <c r="AQ332" s="3"/>
      <c r="AR332" s="3"/>
      <c r="AS332" s="98"/>
      <c r="AT332" s="98"/>
      <c r="AU332" s="98"/>
      <c r="AV332" s="98"/>
      <c r="AW332" s="98"/>
      <c r="AX332" s="98"/>
      <c r="AY332" s="98"/>
      <c r="AZ332" s="98"/>
    </row>
    <row r="333">
      <c r="A333" s="3"/>
      <c r="B333" s="36"/>
      <c r="C333" s="91"/>
      <c r="D333" s="13"/>
      <c r="E333" s="13"/>
      <c r="F333" s="3"/>
      <c r="G333" s="3"/>
      <c r="H333" s="3"/>
      <c r="I333" s="13"/>
      <c r="J333" s="13"/>
      <c r="K333" s="13"/>
      <c r="L333" s="36"/>
      <c r="M333" s="91"/>
      <c r="N333" s="3"/>
      <c r="O333" s="3"/>
      <c r="P333" s="7"/>
      <c r="Q333" s="7"/>
      <c r="R333" s="166"/>
      <c r="S333" s="166"/>
      <c r="T333" s="7"/>
      <c r="U333" s="3"/>
      <c r="V333" s="13"/>
      <c r="W333" s="3"/>
      <c r="X333" s="166"/>
      <c r="Y333" s="7"/>
      <c r="Z333" s="13"/>
      <c r="AA333" s="7"/>
      <c r="AB333" s="7"/>
      <c r="AC333" s="257"/>
      <c r="AD333" s="166"/>
      <c r="AE333" s="258"/>
      <c r="AF333" s="7"/>
      <c r="AG333" s="7"/>
      <c r="AH333" s="166"/>
      <c r="AI333" s="13"/>
      <c r="AJ333" s="3"/>
      <c r="AK333" s="13"/>
      <c r="AL333" s="3"/>
      <c r="AM333" s="3"/>
      <c r="AN333" s="3"/>
      <c r="AO333" s="3"/>
      <c r="AP333" s="3"/>
      <c r="AQ333" s="3"/>
      <c r="AR333" s="3"/>
      <c r="AS333" s="98"/>
      <c r="AT333" s="98"/>
      <c r="AU333" s="98"/>
      <c r="AV333" s="98"/>
      <c r="AW333" s="98"/>
      <c r="AX333" s="98"/>
      <c r="AY333" s="98"/>
      <c r="AZ333" s="98"/>
    </row>
    <row r="334">
      <c r="A334" s="3"/>
      <c r="B334" s="36"/>
      <c r="C334" s="91"/>
      <c r="D334" s="13"/>
      <c r="E334" s="13"/>
      <c r="F334" s="3"/>
      <c r="G334" s="3"/>
      <c r="H334" s="3"/>
      <c r="I334" s="13"/>
      <c r="J334" s="13"/>
      <c r="K334" s="13"/>
      <c r="L334" s="36"/>
      <c r="M334" s="91"/>
      <c r="N334" s="3"/>
      <c r="O334" s="3"/>
      <c r="P334" s="7"/>
      <c r="Q334" s="7"/>
      <c r="R334" s="166"/>
      <c r="S334" s="166"/>
      <c r="T334" s="7"/>
      <c r="U334" s="3"/>
      <c r="V334" s="13"/>
      <c r="W334" s="3"/>
      <c r="X334" s="166"/>
      <c r="Y334" s="7"/>
      <c r="Z334" s="13"/>
      <c r="AA334" s="7"/>
      <c r="AB334" s="7"/>
      <c r="AC334" s="257"/>
      <c r="AD334" s="166"/>
      <c r="AE334" s="258"/>
      <c r="AF334" s="7"/>
      <c r="AG334" s="7"/>
      <c r="AH334" s="166"/>
      <c r="AI334" s="13"/>
      <c r="AJ334" s="3"/>
      <c r="AK334" s="13"/>
      <c r="AL334" s="3"/>
      <c r="AM334" s="3"/>
      <c r="AN334" s="3"/>
      <c r="AO334" s="3"/>
      <c r="AP334" s="3"/>
      <c r="AQ334" s="3"/>
      <c r="AR334" s="3"/>
      <c r="AS334" s="98"/>
      <c r="AT334" s="98"/>
      <c r="AU334" s="98"/>
      <c r="AV334" s="98"/>
      <c r="AW334" s="98"/>
      <c r="AX334" s="98"/>
      <c r="AY334" s="98"/>
      <c r="AZ334" s="98"/>
    </row>
    <row r="335">
      <c r="A335" s="3"/>
      <c r="B335" s="36"/>
      <c r="C335" s="91"/>
      <c r="D335" s="13"/>
      <c r="E335" s="13"/>
      <c r="F335" s="3"/>
      <c r="G335" s="3"/>
      <c r="H335" s="3"/>
      <c r="I335" s="13"/>
      <c r="J335" s="13"/>
      <c r="K335" s="13"/>
      <c r="L335" s="36"/>
      <c r="M335" s="91"/>
      <c r="N335" s="3"/>
      <c r="O335" s="3"/>
      <c r="P335" s="7"/>
      <c r="Q335" s="7"/>
      <c r="R335" s="166"/>
      <c r="S335" s="166"/>
      <c r="T335" s="7"/>
      <c r="U335" s="3"/>
      <c r="V335" s="13"/>
      <c r="W335" s="3"/>
      <c r="X335" s="166"/>
      <c r="Y335" s="7"/>
      <c r="Z335" s="13"/>
      <c r="AA335" s="7"/>
      <c r="AB335" s="7"/>
      <c r="AC335" s="257"/>
      <c r="AD335" s="166"/>
      <c r="AE335" s="258"/>
      <c r="AF335" s="7"/>
      <c r="AG335" s="7"/>
      <c r="AH335" s="166"/>
      <c r="AI335" s="13"/>
      <c r="AJ335" s="3"/>
      <c r="AK335" s="13"/>
      <c r="AL335" s="3"/>
      <c r="AM335" s="3"/>
      <c r="AN335" s="3"/>
      <c r="AO335" s="3"/>
      <c r="AP335" s="3"/>
      <c r="AQ335" s="3"/>
      <c r="AR335" s="3"/>
      <c r="AS335" s="98"/>
      <c r="AT335" s="98"/>
      <c r="AU335" s="98"/>
      <c r="AV335" s="98"/>
      <c r="AW335" s="98"/>
      <c r="AX335" s="98"/>
      <c r="AY335" s="98"/>
      <c r="AZ335" s="98"/>
    </row>
    <row r="336">
      <c r="A336" s="3"/>
      <c r="B336" s="36"/>
      <c r="C336" s="91"/>
      <c r="D336" s="13"/>
      <c r="E336" s="13"/>
      <c r="F336" s="3"/>
      <c r="G336" s="3"/>
      <c r="H336" s="3"/>
      <c r="I336" s="13"/>
      <c r="J336" s="13"/>
      <c r="K336" s="13"/>
      <c r="L336" s="36"/>
      <c r="M336" s="91"/>
      <c r="N336" s="3"/>
      <c r="O336" s="3"/>
      <c r="P336" s="7"/>
      <c r="Q336" s="7"/>
      <c r="R336" s="166"/>
      <c r="S336" s="166"/>
      <c r="T336" s="7"/>
      <c r="U336" s="3"/>
      <c r="V336" s="13"/>
      <c r="W336" s="3"/>
      <c r="X336" s="166"/>
      <c r="Y336" s="7"/>
      <c r="Z336" s="13"/>
      <c r="AA336" s="7"/>
      <c r="AB336" s="7"/>
      <c r="AC336" s="257"/>
      <c r="AD336" s="166"/>
      <c r="AE336" s="258"/>
      <c r="AF336" s="7"/>
      <c r="AG336" s="7"/>
      <c r="AH336" s="166"/>
      <c r="AI336" s="13"/>
      <c r="AJ336" s="3"/>
      <c r="AK336" s="13"/>
      <c r="AL336" s="3"/>
      <c r="AM336" s="3"/>
      <c r="AN336" s="3"/>
      <c r="AO336" s="3"/>
      <c r="AP336" s="3"/>
      <c r="AQ336" s="3"/>
      <c r="AR336" s="3"/>
      <c r="AS336" s="98"/>
      <c r="AT336" s="98"/>
      <c r="AU336" s="98"/>
      <c r="AV336" s="98"/>
      <c r="AW336" s="98"/>
      <c r="AX336" s="98"/>
      <c r="AY336" s="98"/>
      <c r="AZ336" s="98"/>
    </row>
    <row r="337">
      <c r="A337" s="3"/>
      <c r="B337" s="36"/>
      <c r="C337" s="91"/>
      <c r="D337" s="13"/>
      <c r="E337" s="13"/>
      <c r="F337" s="3"/>
      <c r="G337" s="3"/>
      <c r="H337" s="3"/>
      <c r="I337" s="13"/>
      <c r="J337" s="13"/>
      <c r="K337" s="13"/>
      <c r="L337" s="36"/>
      <c r="M337" s="91"/>
      <c r="N337" s="3"/>
      <c r="O337" s="3"/>
      <c r="P337" s="7"/>
      <c r="Q337" s="7"/>
      <c r="R337" s="166"/>
      <c r="S337" s="166"/>
      <c r="T337" s="7"/>
      <c r="U337" s="3"/>
      <c r="V337" s="13"/>
      <c r="W337" s="3"/>
      <c r="X337" s="166"/>
      <c r="Y337" s="7"/>
      <c r="Z337" s="13"/>
      <c r="AA337" s="7"/>
      <c r="AB337" s="7"/>
      <c r="AC337" s="257"/>
      <c r="AD337" s="166"/>
      <c r="AE337" s="258"/>
      <c r="AF337" s="7"/>
      <c r="AG337" s="7"/>
      <c r="AH337" s="166"/>
      <c r="AI337" s="13"/>
      <c r="AJ337" s="3"/>
      <c r="AK337" s="13"/>
      <c r="AL337" s="3"/>
      <c r="AM337" s="3"/>
      <c r="AN337" s="3"/>
      <c r="AO337" s="3"/>
      <c r="AP337" s="3"/>
      <c r="AQ337" s="3"/>
      <c r="AR337" s="3"/>
      <c r="AS337" s="98"/>
      <c r="AT337" s="98"/>
      <c r="AU337" s="98"/>
      <c r="AV337" s="98"/>
      <c r="AW337" s="98"/>
      <c r="AX337" s="98"/>
      <c r="AY337" s="98"/>
      <c r="AZ337" s="98"/>
    </row>
    <row r="338">
      <c r="A338" s="3"/>
      <c r="B338" s="36"/>
      <c r="C338" s="91"/>
      <c r="D338" s="13"/>
      <c r="E338" s="13"/>
      <c r="F338" s="3"/>
      <c r="G338" s="3"/>
      <c r="H338" s="3"/>
      <c r="I338" s="13"/>
      <c r="J338" s="13"/>
      <c r="K338" s="13"/>
      <c r="L338" s="36"/>
      <c r="M338" s="91"/>
      <c r="N338" s="3"/>
      <c r="O338" s="3"/>
      <c r="P338" s="7"/>
      <c r="Q338" s="7"/>
      <c r="R338" s="166"/>
      <c r="S338" s="166"/>
      <c r="T338" s="7"/>
      <c r="U338" s="3"/>
      <c r="V338" s="13"/>
      <c r="W338" s="3"/>
      <c r="X338" s="166"/>
      <c r="Y338" s="7"/>
      <c r="Z338" s="13"/>
      <c r="AA338" s="7"/>
      <c r="AB338" s="7"/>
      <c r="AC338" s="257"/>
      <c r="AD338" s="166"/>
      <c r="AE338" s="258"/>
      <c r="AF338" s="7"/>
      <c r="AG338" s="7"/>
      <c r="AH338" s="166"/>
      <c r="AI338" s="13"/>
      <c r="AJ338" s="3"/>
      <c r="AK338" s="13"/>
      <c r="AL338" s="3"/>
      <c r="AM338" s="3"/>
      <c r="AN338" s="3"/>
      <c r="AO338" s="3"/>
      <c r="AP338" s="3"/>
      <c r="AQ338" s="3"/>
      <c r="AR338" s="3"/>
      <c r="AS338" s="98"/>
      <c r="AT338" s="98"/>
      <c r="AU338" s="98"/>
      <c r="AV338" s="98"/>
      <c r="AW338" s="98"/>
      <c r="AX338" s="98"/>
      <c r="AY338" s="98"/>
      <c r="AZ338" s="98"/>
    </row>
    <row r="339">
      <c r="A339" s="3"/>
      <c r="B339" s="36"/>
      <c r="C339" s="91"/>
      <c r="D339" s="13"/>
      <c r="E339" s="13"/>
      <c r="F339" s="3"/>
      <c r="G339" s="3"/>
      <c r="H339" s="3"/>
      <c r="I339" s="13"/>
      <c r="J339" s="13"/>
      <c r="K339" s="13"/>
      <c r="L339" s="36"/>
      <c r="M339" s="91"/>
      <c r="N339" s="3"/>
      <c r="O339" s="3"/>
      <c r="P339" s="7"/>
      <c r="Q339" s="7"/>
      <c r="R339" s="166"/>
      <c r="S339" s="166"/>
      <c r="T339" s="7"/>
      <c r="U339" s="3"/>
      <c r="V339" s="13"/>
      <c r="W339" s="3"/>
      <c r="X339" s="166"/>
      <c r="Y339" s="7"/>
      <c r="Z339" s="13"/>
      <c r="AA339" s="7"/>
      <c r="AB339" s="7"/>
      <c r="AC339" s="257"/>
      <c r="AD339" s="166"/>
      <c r="AE339" s="258"/>
      <c r="AF339" s="7"/>
      <c r="AG339" s="7"/>
      <c r="AH339" s="166"/>
      <c r="AI339" s="13"/>
      <c r="AJ339" s="3"/>
      <c r="AK339" s="13"/>
      <c r="AL339" s="3"/>
      <c r="AM339" s="3"/>
      <c r="AN339" s="3"/>
      <c r="AO339" s="3"/>
      <c r="AP339" s="3"/>
      <c r="AQ339" s="3"/>
      <c r="AR339" s="3"/>
      <c r="AS339" s="98"/>
      <c r="AT339" s="98"/>
      <c r="AU339" s="98"/>
      <c r="AV339" s="98"/>
      <c r="AW339" s="98"/>
      <c r="AX339" s="98"/>
      <c r="AY339" s="98"/>
      <c r="AZ339" s="98"/>
    </row>
    <row r="340">
      <c r="A340" s="3"/>
      <c r="B340" s="36"/>
      <c r="C340" s="91"/>
      <c r="D340" s="13"/>
      <c r="E340" s="13"/>
      <c r="F340" s="3"/>
      <c r="G340" s="3"/>
      <c r="H340" s="3"/>
      <c r="I340" s="13"/>
      <c r="J340" s="13"/>
      <c r="K340" s="13"/>
      <c r="L340" s="36"/>
      <c r="M340" s="91"/>
      <c r="N340" s="3"/>
      <c r="O340" s="3"/>
      <c r="P340" s="7"/>
      <c r="Q340" s="7"/>
      <c r="R340" s="166"/>
      <c r="S340" s="166"/>
      <c r="T340" s="7"/>
      <c r="U340" s="3"/>
      <c r="V340" s="13"/>
      <c r="W340" s="3"/>
      <c r="X340" s="166"/>
      <c r="Y340" s="7"/>
      <c r="Z340" s="13"/>
      <c r="AA340" s="7"/>
      <c r="AB340" s="7"/>
      <c r="AC340" s="257"/>
      <c r="AD340" s="166"/>
      <c r="AE340" s="258"/>
      <c r="AF340" s="7"/>
      <c r="AG340" s="7"/>
      <c r="AH340" s="166"/>
      <c r="AI340" s="13"/>
      <c r="AJ340" s="3"/>
      <c r="AK340" s="13"/>
      <c r="AL340" s="3"/>
      <c r="AM340" s="3"/>
      <c r="AN340" s="3"/>
      <c r="AO340" s="3"/>
      <c r="AP340" s="3"/>
      <c r="AQ340" s="3"/>
      <c r="AR340" s="3"/>
      <c r="AS340" s="98"/>
      <c r="AT340" s="98"/>
      <c r="AU340" s="98"/>
      <c r="AV340" s="98"/>
      <c r="AW340" s="98"/>
      <c r="AX340" s="98"/>
      <c r="AY340" s="98"/>
      <c r="AZ340" s="98"/>
    </row>
    <row r="341">
      <c r="A341" s="3"/>
      <c r="B341" s="36"/>
      <c r="C341" s="91"/>
      <c r="D341" s="13"/>
      <c r="E341" s="13"/>
      <c r="F341" s="3"/>
      <c r="G341" s="3"/>
      <c r="H341" s="3"/>
      <c r="I341" s="13"/>
      <c r="J341" s="13"/>
      <c r="K341" s="13"/>
      <c r="L341" s="36"/>
      <c r="M341" s="91"/>
      <c r="N341" s="3"/>
      <c r="O341" s="3"/>
      <c r="P341" s="7"/>
      <c r="Q341" s="7"/>
      <c r="R341" s="166"/>
      <c r="S341" s="166"/>
      <c r="T341" s="7"/>
      <c r="U341" s="3"/>
      <c r="V341" s="13"/>
      <c r="W341" s="3"/>
      <c r="X341" s="166"/>
      <c r="Y341" s="7"/>
      <c r="Z341" s="13"/>
      <c r="AA341" s="7"/>
      <c r="AB341" s="7"/>
      <c r="AC341" s="257"/>
      <c r="AD341" s="166"/>
      <c r="AE341" s="258"/>
      <c r="AF341" s="7"/>
      <c r="AG341" s="7"/>
      <c r="AH341" s="166"/>
      <c r="AI341" s="13"/>
      <c r="AJ341" s="3"/>
      <c r="AK341" s="13"/>
      <c r="AL341" s="3"/>
      <c r="AM341" s="3"/>
      <c r="AN341" s="3"/>
      <c r="AO341" s="3"/>
      <c r="AP341" s="3"/>
      <c r="AQ341" s="3"/>
      <c r="AR341" s="3"/>
      <c r="AS341" s="98"/>
      <c r="AT341" s="98"/>
      <c r="AU341" s="98"/>
      <c r="AV341" s="98"/>
      <c r="AW341" s="98"/>
      <c r="AX341" s="98"/>
      <c r="AY341" s="98"/>
      <c r="AZ341" s="98"/>
    </row>
    <row r="342">
      <c r="A342" s="3"/>
      <c r="B342" s="36"/>
      <c r="C342" s="91"/>
      <c r="D342" s="13"/>
      <c r="E342" s="13"/>
      <c r="F342" s="3"/>
      <c r="G342" s="3"/>
      <c r="H342" s="3"/>
      <c r="I342" s="13"/>
      <c r="J342" s="13"/>
      <c r="K342" s="13"/>
      <c r="L342" s="36"/>
      <c r="M342" s="91"/>
      <c r="N342" s="3"/>
      <c r="O342" s="3"/>
      <c r="P342" s="7"/>
      <c r="Q342" s="7"/>
      <c r="R342" s="166"/>
      <c r="S342" s="166"/>
      <c r="T342" s="7"/>
      <c r="U342" s="3"/>
      <c r="V342" s="13"/>
      <c r="W342" s="3"/>
      <c r="X342" s="166"/>
      <c r="Y342" s="7"/>
      <c r="Z342" s="13"/>
      <c r="AA342" s="7"/>
      <c r="AB342" s="7"/>
      <c r="AC342" s="257"/>
      <c r="AD342" s="166"/>
      <c r="AE342" s="258"/>
      <c r="AF342" s="7"/>
      <c r="AG342" s="7"/>
      <c r="AH342" s="166"/>
      <c r="AI342" s="13"/>
      <c r="AJ342" s="3"/>
      <c r="AK342" s="13"/>
      <c r="AL342" s="3"/>
      <c r="AM342" s="3"/>
      <c r="AN342" s="3"/>
      <c r="AO342" s="3"/>
      <c r="AP342" s="3"/>
      <c r="AQ342" s="3"/>
      <c r="AR342" s="3"/>
      <c r="AS342" s="98"/>
      <c r="AT342" s="98"/>
      <c r="AU342" s="98"/>
      <c r="AV342" s="98"/>
      <c r="AW342" s="98"/>
      <c r="AX342" s="98"/>
      <c r="AY342" s="98"/>
      <c r="AZ342" s="98"/>
    </row>
    <row r="343">
      <c r="A343" s="3"/>
      <c r="B343" s="36"/>
      <c r="C343" s="91"/>
      <c r="D343" s="13"/>
      <c r="E343" s="13"/>
      <c r="F343" s="3"/>
      <c r="G343" s="3"/>
      <c r="H343" s="3"/>
      <c r="I343" s="13"/>
      <c r="J343" s="13"/>
      <c r="K343" s="13"/>
      <c r="L343" s="36"/>
      <c r="M343" s="91"/>
      <c r="N343" s="3"/>
      <c r="O343" s="3"/>
      <c r="P343" s="7"/>
      <c r="Q343" s="7"/>
      <c r="R343" s="166"/>
      <c r="S343" s="166"/>
      <c r="T343" s="7"/>
      <c r="U343" s="3"/>
      <c r="V343" s="13"/>
      <c r="W343" s="3"/>
      <c r="X343" s="166"/>
      <c r="Y343" s="7"/>
      <c r="Z343" s="13"/>
      <c r="AA343" s="7"/>
      <c r="AB343" s="7"/>
      <c r="AC343" s="257"/>
      <c r="AD343" s="166"/>
      <c r="AE343" s="258"/>
      <c r="AF343" s="7"/>
      <c r="AG343" s="7"/>
      <c r="AH343" s="166"/>
      <c r="AI343" s="13"/>
      <c r="AJ343" s="3"/>
      <c r="AK343" s="13"/>
      <c r="AL343" s="3"/>
      <c r="AM343" s="3"/>
      <c r="AN343" s="3"/>
      <c r="AO343" s="3"/>
      <c r="AP343" s="3"/>
      <c r="AQ343" s="3"/>
      <c r="AR343" s="3"/>
      <c r="AS343" s="98"/>
      <c r="AT343" s="98"/>
      <c r="AU343" s="98"/>
      <c r="AV343" s="98"/>
      <c r="AW343" s="98"/>
      <c r="AX343" s="98"/>
      <c r="AY343" s="98"/>
      <c r="AZ343" s="98"/>
    </row>
    <row r="344">
      <c r="A344" s="3"/>
      <c r="B344" s="36"/>
      <c r="C344" s="91"/>
      <c r="D344" s="13"/>
      <c r="E344" s="13"/>
      <c r="F344" s="3"/>
      <c r="G344" s="3"/>
      <c r="H344" s="3"/>
      <c r="I344" s="13"/>
      <c r="J344" s="13"/>
      <c r="K344" s="13"/>
      <c r="L344" s="36"/>
      <c r="M344" s="91"/>
      <c r="N344" s="3"/>
      <c r="O344" s="3"/>
      <c r="P344" s="7"/>
      <c r="Q344" s="7"/>
      <c r="R344" s="166"/>
      <c r="S344" s="166"/>
      <c r="T344" s="7"/>
      <c r="U344" s="3"/>
      <c r="V344" s="13"/>
      <c r="W344" s="3"/>
      <c r="X344" s="166"/>
      <c r="Y344" s="7"/>
      <c r="Z344" s="13"/>
      <c r="AA344" s="7"/>
      <c r="AB344" s="7"/>
      <c r="AC344" s="257"/>
      <c r="AD344" s="166"/>
      <c r="AE344" s="258"/>
      <c r="AF344" s="7"/>
      <c r="AG344" s="7"/>
      <c r="AH344" s="166"/>
      <c r="AI344" s="13"/>
      <c r="AJ344" s="3"/>
      <c r="AK344" s="13"/>
      <c r="AL344" s="3"/>
      <c r="AM344" s="3"/>
      <c r="AN344" s="3"/>
      <c r="AO344" s="3"/>
      <c r="AP344" s="3"/>
      <c r="AQ344" s="3"/>
      <c r="AR344" s="3"/>
      <c r="AS344" s="98"/>
      <c r="AT344" s="98"/>
      <c r="AU344" s="98"/>
      <c r="AV344" s="98"/>
      <c r="AW344" s="98"/>
      <c r="AX344" s="98"/>
      <c r="AY344" s="98"/>
      <c r="AZ344" s="98"/>
    </row>
    <row r="345">
      <c r="A345" s="3"/>
      <c r="B345" s="36"/>
      <c r="C345" s="91"/>
      <c r="D345" s="13"/>
      <c r="E345" s="13"/>
      <c r="F345" s="3"/>
      <c r="G345" s="3"/>
      <c r="H345" s="3"/>
      <c r="I345" s="13"/>
      <c r="J345" s="13"/>
      <c r="K345" s="13"/>
      <c r="L345" s="36"/>
      <c r="M345" s="91"/>
      <c r="N345" s="3"/>
      <c r="O345" s="3"/>
      <c r="P345" s="7"/>
      <c r="Q345" s="7"/>
      <c r="R345" s="166"/>
      <c r="S345" s="166"/>
      <c r="T345" s="7"/>
      <c r="U345" s="3"/>
      <c r="V345" s="13"/>
      <c r="W345" s="3"/>
      <c r="X345" s="166"/>
      <c r="Y345" s="7"/>
      <c r="Z345" s="13"/>
      <c r="AA345" s="7"/>
      <c r="AB345" s="7"/>
      <c r="AC345" s="257"/>
      <c r="AD345" s="166"/>
      <c r="AE345" s="258"/>
      <c r="AF345" s="7"/>
      <c r="AG345" s="7"/>
      <c r="AH345" s="166"/>
      <c r="AI345" s="13"/>
      <c r="AJ345" s="3"/>
      <c r="AK345" s="13"/>
      <c r="AL345" s="3"/>
      <c r="AM345" s="3"/>
      <c r="AN345" s="3"/>
      <c r="AO345" s="3"/>
      <c r="AP345" s="3"/>
      <c r="AQ345" s="3"/>
      <c r="AR345" s="3"/>
      <c r="AS345" s="98"/>
      <c r="AT345" s="98"/>
      <c r="AU345" s="98"/>
      <c r="AV345" s="98"/>
      <c r="AW345" s="98"/>
      <c r="AX345" s="98"/>
      <c r="AY345" s="98"/>
      <c r="AZ345" s="98"/>
    </row>
    <row r="346">
      <c r="A346" s="3"/>
      <c r="B346" s="36"/>
      <c r="C346" s="91"/>
      <c r="D346" s="13"/>
      <c r="E346" s="13"/>
      <c r="F346" s="3"/>
      <c r="G346" s="3"/>
      <c r="H346" s="3"/>
      <c r="I346" s="13"/>
      <c r="J346" s="13"/>
      <c r="K346" s="13"/>
      <c r="L346" s="36"/>
      <c r="M346" s="91"/>
      <c r="N346" s="3"/>
      <c r="O346" s="3"/>
      <c r="P346" s="7"/>
      <c r="Q346" s="7"/>
      <c r="R346" s="166"/>
      <c r="S346" s="166"/>
      <c r="T346" s="7"/>
      <c r="U346" s="3"/>
      <c r="V346" s="13"/>
      <c r="W346" s="3"/>
      <c r="X346" s="166"/>
      <c r="Y346" s="7"/>
      <c r="Z346" s="13"/>
      <c r="AA346" s="7"/>
      <c r="AB346" s="7"/>
      <c r="AC346" s="257"/>
      <c r="AD346" s="166"/>
      <c r="AE346" s="258"/>
      <c r="AF346" s="7"/>
      <c r="AG346" s="7"/>
      <c r="AH346" s="166"/>
      <c r="AI346" s="13"/>
      <c r="AJ346" s="3"/>
      <c r="AK346" s="13"/>
      <c r="AL346" s="3"/>
      <c r="AM346" s="3"/>
      <c r="AN346" s="3"/>
      <c r="AO346" s="3"/>
      <c r="AP346" s="3"/>
      <c r="AQ346" s="3"/>
      <c r="AR346" s="3"/>
      <c r="AS346" s="98"/>
      <c r="AT346" s="98"/>
      <c r="AU346" s="98"/>
      <c r="AV346" s="98"/>
      <c r="AW346" s="98"/>
      <c r="AX346" s="98"/>
      <c r="AY346" s="98"/>
      <c r="AZ346" s="98"/>
    </row>
    <row r="347">
      <c r="A347" s="3"/>
      <c r="B347" s="36"/>
      <c r="C347" s="91"/>
      <c r="D347" s="13"/>
      <c r="E347" s="13"/>
      <c r="F347" s="3"/>
      <c r="G347" s="3"/>
      <c r="H347" s="3"/>
      <c r="I347" s="13"/>
      <c r="J347" s="13"/>
      <c r="K347" s="13"/>
      <c r="L347" s="36"/>
      <c r="M347" s="91"/>
      <c r="N347" s="3"/>
      <c r="O347" s="3"/>
      <c r="P347" s="7"/>
      <c r="Q347" s="7"/>
      <c r="R347" s="166"/>
      <c r="S347" s="166"/>
      <c r="T347" s="7"/>
      <c r="U347" s="3"/>
      <c r="V347" s="13"/>
      <c r="W347" s="3"/>
      <c r="X347" s="166"/>
      <c r="Y347" s="7"/>
      <c r="Z347" s="13"/>
      <c r="AA347" s="7"/>
      <c r="AB347" s="7"/>
      <c r="AC347" s="257"/>
      <c r="AD347" s="166"/>
      <c r="AE347" s="258"/>
      <c r="AF347" s="7"/>
      <c r="AG347" s="7"/>
      <c r="AH347" s="166"/>
      <c r="AI347" s="13"/>
      <c r="AJ347" s="3"/>
      <c r="AK347" s="13"/>
      <c r="AL347" s="3"/>
      <c r="AM347" s="3"/>
      <c r="AN347" s="3"/>
      <c r="AO347" s="3"/>
      <c r="AP347" s="3"/>
      <c r="AQ347" s="3"/>
      <c r="AR347" s="3"/>
      <c r="AS347" s="98"/>
      <c r="AT347" s="98"/>
      <c r="AU347" s="98"/>
      <c r="AV347" s="98"/>
      <c r="AW347" s="98"/>
      <c r="AX347" s="98"/>
      <c r="AY347" s="98"/>
      <c r="AZ347" s="98"/>
    </row>
    <row r="348">
      <c r="A348" s="3"/>
      <c r="B348" s="36"/>
      <c r="C348" s="91"/>
      <c r="D348" s="13"/>
      <c r="E348" s="13"/>
      <c r="F348" s="3"/>
      <c r="G348" s="3"/>
      <c r="H348" s="3"/>
      <c r="I348" s="13"/>
      <c r="J348" s="13"/>
      <c r="K348" s="13"/>
      <c r="L348" s="36"/>
      <c r="M348" s="91"/>
      <c r="N348" s="3"/>
      <c r="O348" s="3"/>
      <c r="P348" s="7"/>
      <c r="Q348" s="7"/>
      <c r="R348" s="166"/>
      <c r="S348" s="166"/>
      <c r="T348" s="7"/>
      <c r="U348" s="3"/>
      <c r="V348" s="13"/>
      <c r="W348" s="3"/>
      <c r="X348" s="166"/>
      <c r="Y348" s="7"/>
      <c r="Z348" s="13"/>
      <c r="AA348" s="7"/>
      <c r="AB348" s="7"/>
      <c r="AC348" s="257"/>
      <c r="AD348" s="166"/>
      <c r="AE348" s="258"/>
      <c r="AF348" s="7"/>
      <c r="AG348" s="7"/>
      <c r="AH348" s="166"/>
      <c r="AI348" s="13"/>
      <c r="AJ348" s="3"/>
      <c r="AK348" s="13"/>
      <c r="AL348" s="3"/>
      <c r="AM348" s="3"/>
      <c r="AN348" s="3"/>
      <c r="AO348" s="3"/>
      <c r="AP348" s="3"/>
      <c r="AQ348" s="3"/>
      <c r="AR348" s="3"/>
      <c r="AS348" s="98"/>
      <c r="AT348" s="98"/>
      <c r="AU348" s="98"/>
      <c r="AV348" s="98"/>
      <c r="AW348" s="98"/>
      <c r="AX348" s="98"/>
      <c r="AY348" s="98"/>
      <c r="AZ348" s="98"/>
    </row>
    <row r="349">
      <c r="A349" s="3"/>
      <c r="B349" s="36"/>
      <c r="C349" s="91"/>
      <c r="D349" s="13"/>
      <c r="E349" s="13"/>
      <c r="F349" s="3"/>
      <c r="G349" s="3"/>
      <c r="H349" s="3"/>
      <c r="I349" s="13"/>
      <c r="J349" s="13"/>
      <c r="K349" s="13"/>
      <c r="L349" s="36"/>
      <c r="M349" s="91"/>
      <c r="N349" s="3"/>
      <c r="O349" s="3"/>
      <c r="P349" s="7"/>
      <c r="Q349" s="7"/>
      <c r="R349" s="166"/>
      <c r="S349" s="166"/>
      <c r="T349" s="7"/>
      <c r="U349" s="3"/>
      <c r="V349" s="13"/>
      <c r="W349" s="3"/>
      <c r="X349" s="166"/>
      <c r="Y349" s="7"/>
      <c r="Z349" s="13"/>
      <c r="AA349" s="7"/>
      <c r="AB349" s="7"/>
      <c r="AC349" s="257"/>
      <c r="AD349" s="166"/>
      <c r="AE349" s="258"/>
      <c r="AF349" s="7"/>
      <c r="AG349" s="7"/>
      <c r="AH349" s="166"/>
      <c r="AI349" s="13"/>
      <c r="AJ349" s="3"/>
      <c r="AK349" s="13"/>
      <c r="AL349" s="3"/>
      <c r="AM349" s="3"/>
      <c r="AN349" s="3"/>
      <c r="AO349" s="3"/>
      <c r="AP349" s="3"/>
      <c r="AQ349" s="3"/>
      <c r="AR349" s="3"/>
      <c r="AS349" s="98"/>
      <c r="AT349" s="98"/>
      <c r="AU349" s="98"/>
      <c r="AV349" s="98"/>
      <c r="AW349" s="98"/>
      <c r="AX349" s="98"/>
      <c r="AY349" s="98"/>
      <c r="AZ349" s="98"/>
    </row>
    <row r="350">
      <c r="A350" s="3"/>
      <c r="B350" s="36"/>
      <c r="C350" s="91"/>
      <c r="D350" s="13"/>
      <c r="E350" s="13"/>
      <c r="F350" s="3"/>
      <c r="G350" s="3"/>
      <c r="H350" s="3"/>
      <c r="I350" s="13"/>
      <c r="J350" s="13"/>
      <c r="K350" s="13"/>
      <c r="L350" s="36"/>
      <c r="M350" s="91"/>
      <c r="N350" s="3"/>
      <c r="O350" s="3"/>
      <c r="P350" s="7"/>
      <c r="Q350" s="7"/>
      <c r="R350" s="166"/>
      <c r="S350" s="166"/>
      <c r="T350" s="7"/>
      <c r="U350" s="3"/>
      <c r="V350" s="13"/>
      <c r="W350" s="3"/>
      <c r="X350" s="166"/>
      <c r="Y350" s="7"/>
      <c r="Z350" s="13"/>
      <c r="AA350" s="7"/>
      <c r="AB350" s="7"/>
      <c r="AC350" s="257"/>
      <c r="AD350" s="166"/>
      <c r="AE350" s="258"/>
      <c r="AF350" s="7"/>
      <c r="AG350" s="7"/>
      <c r="AH350" s="166"/>
      <c r="AI350" s="13"/>
      <c r="AJ350" s="3"/>
      <c r="AK350" s="13"/>
      <c r="AL350" s="3"/>
      <c r="AM350" s="3"/>
      <c r="AN350" s="3"/>
      <c r="AO350" s="3"/>
      <c r="AP350" s="3"/>
      <c r="AQ350" s="3"/>
      <c r="AR350" s="3"/>
      <c r="AS350" s="98"/>
      <c r="AT350" s="98"/>
      <c r="AU350" s="98"/>
      <c r="AV350" s="98"/>
      <c r="AW350" s="98"/>
      <c r="AX350" s="98"/>
      <c r="AY350" s="98"/>
      <c r="AZ350" s="98"/>
    </row>
    <row r="351">
      <c r="A351" s="3"/>
      <c r="B351" s="36"/>
      <c r="C351" s="91"/>
      <c r="D351" s="13"/>
      <c r="E351" s="13"/>
      <c r="F351" s="3"/>
      <c r="G351" s="3"/>
      <c r="H351" s="3"/>
      <c r="I351" s="13"/>
      <c r="J351" s="13"/>
      <c r="K351" s="13"/>
      <c r="L351" s="36"/>
      <c r="M351" s="91"/>
      <c r="N351" s="3"/>
      <c r="O351" s="3"/>
      <c r="P351" s="7"/>
      <c r="Q351" s="7"/>
      <c r="R351" s="166"/>
      <c r="S351" s="166"/>
      <c r="T351" s="7"/>
      <c r="U351" s="3"/>
      <c r="V351" s="13"/>
      <c r="W351" s="3"/>
      <c r="X351" s="166"/>
      <c r="Y351" s="7"/>
      <c r="Z351" s="13"/>
      <c r="AA351" s="7"/>
      <c r="AB351" s="7"/>
      <c r="AC351" s="257"/>
      <c r="AD351" s="166"/>
      <c r="AE351" s="258"/>
      <c r="AF351" s="7"/>
      <c r="AG351" s="7"/>
      <c r="AH351" s="166"/>
      <c r="AI351" s="13"/>
      <c r="AJ351" s="3"/>
      <c r="AK351" s="13"/>
      <c r="AL351" s="3"/>
      <c r="AM351" s="3"/>
      <c r="AN351" s="3"/>
      <c r="AO351" s="3"/>
      <c r="AP351" s="3"/>
      <c r="AQ351" s="3"/>
      <c r="AR351" s="3"/>
      <c r="AS351" s="98"/>
      <c r="AT351" s="98"/>
      <c r="AU351" s="98"/>
      <c r="AV351" s="98"/>
      <c r="AW351" s="98"/>
      <c r="AX351" s="98"/>
      <c r="AY351" s="98"/>
      <c r="AZ351" s="98"/>
    </row>
    <row r="352">
      <c r="A352" s="3"/>
      <c r="B352" s="36"/>
      <c r="C352" s="91"/>
      <c r="D352" s="13"/>
      <c r="E352" s="13"/>
      <c r="F352" s="3"/>
      <c r="G352" s="3"/>
      <c r="H352" s="3"/>
      <c r="I352" s="13"/>
      <c r="J352" s="13"/>
      <c r="K352" s="13"/>
      <c r="L352" s="36"/>
      <c r="M352" s="91"/>
      <c r="N352" s="3"/>
      <c r="O352" s="3"/>
      <c r="P352" s="7"/>
      <c r="Q352" s="7"/>
      <c r="R352" s="166"/>
      <c r="S352" s="166"/>
      <c r="T352" s="7"/>
      <c r="U352" s="3"/>
      <c r="V352" s="13"/>
      <c r="W352" s="3"/>
      <c r="X352" s="166"/>
      <c r="Y352" s="7"/>
      <c r="Z352" s="13"/>
      <c r="AA352" s="7"/>
      <c r="AB352" s="7"/>
      <c r="AC352" s="257"/>
      <c r="AD352" s="166"/>
      <c r="AE352" s="258"/>
      <c r="AF352" s="7"/>
      <c r="AG352" s="7"/>
      <c r="AH352" s="166"/>
      <c r="AI352" s="13"/>
      <c r="AJ352" s="3"/>
      <c r="AK352" s="13"/>
      <c r="AL352" s="3"/>
      <c r="AM352" s="3"/>
      <c r="AN352" s="3"/>
      <c r="AO352" s="3"/>
      <c r="AP352" s="3"/>
      <c r="AQ352" s="3"/>
      <c r="AR352" s="3"/>
      <c r="AS352" s="98"/>
      <c r="AT352" s="98"/>
      <c r="AU352" s="98"/>
      <c r="AV352" s="98"/>
      <c r="AW352" s="98"/>
      <c r="AX352" s="98"/>
      <c r="AY352" s="98"/>
      <c r="AZ352" s="98"/>
    </row>
    <row r="353">
      <c r="A353" s="3"/>
      <c r="B353" s="36"/>
      <c r="C353" s="91"/>
      <c r="D353" s="13"/>
      <c r="E353" s="13"/>
      <c r="F353" s="3"/>
      <c r="G353" s="3"/>
      <c r="H353" s="3"/>
      <c r="I353" s="13"/>
      <c r="J353" s="13"/>
      <c r="K353" s="13"/>
      <c r="L353" s="36"/>
      <c r="M353" s="91"/>
      <c r="N353" s="3"/>
      <c r="O353" s="3"/>
      <c r="P353" s="7"/>
      <c r="Q353" s="7"/>
      <c r="R353" s="166"/>
      <c r="S353" s="166"/>
      <c r="T353" s="7"/>
      <c r="U353" s="3"/>
      <c r="V353" s="13"/>
      <c r="W353" s="3"/>
      <c r="X353" s="166"/>
      <c r="Y353" s="7"/>
      <c r="Z353" s="13"/>
      <c r="AA353" s="7"/>
      <c r="AB353" s="7"/>
      <c r="AC353" s="257"/>
      <c r="AD353" s="166"/>
      <c r="AE353" s="258"/>
      <c r="AF353" s="7"/>
      <c r="AG353" s="7"/>
      <c r="AH353" s="166"/>
      <c r="AI353" s="13"/>
      <c r="AJ353" s="3"/>
      <c r="AK353" s="13"/>
      <c r="AL353" s="3"/>
      <c r="AM353" s="3"/>
      <c r="AN353" s="3"/>
      <c r="AO353" s="3"/>
      <c r="AP353" s="3"/>
      <c r="AQ353" s="3"/>
      <c r="AR353" s="3"/>
      <c r="AS353" s="98"/>
      <c r="AT353" s="98"/>
      <c r="AU353" s="98"/>
      <c r="AV353" s="98"/>
      <c r="AW353" s="98"/>
      <c r="AX353" s="98"/>
      <c r="AY353" s="98"/>
      <c r="AZ353" s="98"/>
    </row>
    <row r="354">
      <c r="A354" s="3"/>
      <c r="B354" s="36"/>
      <c r="C354" s="91"/>
      <c r="D354" s="13"/>
      <c r="E354" s="13"/>
      <c r="F354" s="3"/>
      <c r="G354" s="3"/>
      <c r="H354" s="3"/>
      <c r="I354" s="13"/>
      <c r="J354" s="13"/>
      <c r="K354" s="13"/>
      <c r="L354" s="36"/>
      <c r="M354" s="91"/>
      <c r="N354" s="3"/>
      <c r="O354" s="3"/>
      <c r="P354" s="7"/>
      <c r="Q354" s="7"/>
      <c r="R354" s="166"/>
      <c r="S354" s="166"/>
      <c r="T354" s="7"/>
      <c r="U354" s="3"/>
      <c r="V354" s="13"/>
      <c r="W354" s="3"/>
      <c r="X354" s="166"/>
      <c r="Y354" s="7"/>
      <c r="Z354" s="13"/>
      <c r="AA354" s="7"/>
      <c r="AB354" s="7"/>
      <c r="AC354" s="257"/>
      <c r="AD354" s="166"/>
      <c r="AE354" s="258"/>
      <c r="AF354" s="7"/>
      <c r="AG354" s="7"/>
      <c r="AH354" s="166"/>
      <c r="AI354" s="13"/>
      <c r="AJ354" s="3"/>
      <c r="AK354" s="13"/>
      <c r="AL354" s="3"/>
      <c r="AM354" s="3"/>
      <c r="AN354" s="3"/>
      <c r="AO354" s="3"/>
      <c r="AP354" s="3"/>
      <c r="AQ354" s="3"/>
      <c r="AR354" s="3"/>
      <c r="AS354" s="98"/>
      <c r="AT354" s="98"/>
      <c r="AU354" s="98"/>
      <c r="AV354" s="98"/>
      <c r="AW354" s="98"/>
      <c r="AX354" s="98"/>
      <c r="AY354" s="98"/>
      <c r="AZ354" s="98"/>
    </row>
    <row r="355">
      <c r="A355" s="3"/>
      <c r="B355" s="36"/>
      <c r="C355" s="91"/>
      <c r="D355" s="13"/>
      <c r="E355" s="13"/>
      <c r="F355" s="3"/>
      <c r="G355" s="3"/>
      <c r="H355" s="3"/>
      <c r="I355" s="13"/>
      <c r="J355" s="13"/>
      <c r="K355" s="13"/>
      <c r="L355" s="36"/>
      <c r="M355" s="91"/>
      <c r="N355" s="3"/>
      <c r="O355" s="3"/>
      <c r="P355" s="7"/>
      <c r="Q355" s="7"/>
      <c r="R355" s="166"/>
      <c r="S355" s="166"/>
      <c r="T355" s="7"/>
      <c r="U355" s="3"/>
      <c r="V355" s="13"/>
      <c r="W355" s="3"/>
      <c r="X355" s="166"/>
      <c r="Y355" s="7"/>
      <c r="Z355" s="13"/>
      <c r="AA355" s="7"/>
      <c r="AB355" s="7"/>
      <c r="AC355" s="257"/>
      <c r="AD355" s="166"/>
      <c r="AE355" s="258"/>
      <c r="AF355" s="7"/>
      <c r="AG355" s="7"/>
      <c r="AH355" s="166"/>
      <c r="AI355" s="13"/>
      <c r="AJ355" s="3"/>
      <c r="AK355" s="13"/>
      <c r="AL355" s="3"/>
      <c r="AM355" s="3"/>
      <c r="AN355" s="3"/>
      <c r="AO355" s="3"/>
      <c r="AP355" s="3"/>
      <c r="AQ355" s="3"/>
      <c r="AR355" s="3"/>
      <c r="AS355" s="98"/>
      <c r="AT355" s="98"/>
      <c r="AU355" s="98"/>
      <c r="AV355" s="98"/>
      <c r="AW355" s="98"/>
      <c r="AX355" s="98"/>
      <c r="AY355" s="98"/>
      <c r="AZ355" s="98"/>
    </row>
    <row r="356">
      <c r="A356" s="3"/>
      <c r="B356" s="36"/>
      <c r="C356" s="91"/>
      <c r="D356" s="13"/>
      <c r="E356" s="13"/>
      <c r="F356" s="3"/>
      <c r="G356" s="3"/>
      <c r="H356" s="3"/>
      <c r="I356" s="13"/>
      <c r="J356" s="13"/>
      <c r="K356" s="13"/>
      <c r="L356" s="36"/>
      <c r="M356" s="91"/>
      <c r="N356" s="3"/>
      <c r="O356" s="3"/>
      <c r="P356" s="7"/>
      <c r="Q356" s="7"/>
      <c r="R356" s="166"/>
      <c r="S356" s="166"/>
      <c r="T356" s="7"/>
      <c r="U356" s="3"/>
      <c r="V356" s="13"/>
      <c r="W356" s="3"/>
      <c r="X356" s="166"/>
      <c r="Y356" s="7"/>
      <c r="Z356" s="13"/>
      <c r="AA356" s="7"/>
      <c r="AB356" s="7"/>
      <c r="AC356" s="257"/>
      <c r="AD356" s="166"/>
      <c r="AE356" s="258"/>
      <c r="AF356" s="7"/>
      <c r="AG356" s="7"/>
      <c r="AH356" s="166"/>
      <c r="AI356" s="13"/>
      <c r="AJ356" s="3"/>
      <c r="AK356" s="13"/>
      <c r="AL356" s="3"/>
      <c r="AM356" s="3"/>
      <c r="AN356" s="3"/>
      <c r="AO356" s="3"/>
      <c r="AP356" s="3"/>
      <c r="AQ356" s="3"/>
      <c r="AR356" s="3"/>
      <c r="AS356" s="98"/>
      <c r="AT356" s="98"/>
      <c r="AU356" s="98"/>
      <c r="AV356" s="98"/>
      <c r="AW356" s="98"/>
      <c r="AX356" s="98"/>
      <c r="AY356" s="98"/>
      <c r="AZ356" s="98"/>
    </row>
    <row r="357">
      <c r="A357" s="3"/>
      <c r="B357" s="36"/>
      <c r="C357" s="91"/>
      <c r="D357" s="13"/>
      <c r="E357" s="13"/>
      <c r="F357" s="3"/>
      <c r="G357" s="3"/>
      <c r="H357" s="3"/>
      <c r="I357" s="13"/>
      <c r="J357" s="13"/>
      <c r="K357" s="13"/>
      <c r="L357" s="36"/>
      <c r="M357" s="91"/>
      <c r="N357" s="3"/>
      <c r="O357" s="3"/>
      <c r="P357" s="7"/>
      <c r="Q357" s="7"/>
      <c r="R357" s="166"/>
      <c r="S357" s="166"/>
      <c r="T357" s="7"/>
      <c r="U357" s="3"/>
      <c r="V357" s="13"/>
      <c r="W357" s="3"/>
      <c r="X357" s="166"/>
      <c r="Y357" s="7"/>
      <c r="Z357" s="13"/>
      <c r="AA357" s="7"/>
      <c r="AB357" s="7"/>
      <c r="AC357" s="257"/>
      <c r="AD357" s="166"/>
      <c r="AE357" s="258"/>
      <c r="AF357" s="7"/>
      <c r="AG357" s="7"/>
      <c r="AH357" s="166"/>
      <c r="AI357" s="13"/>
      <c r="AJ357" s="3"/>
      <c r="AK357" s="13"/>
      <c r="AL357" s="3"/>
      <c r="AM357" s="3"/>
      <c r="AN357" s="3"/>
      <c r="AO357" s="3"/>
      <c r="AP357" s="3"/>
      <c r="AQ357" s="3"/>
      <c r="AR357" s="3"/>
      <c r="AS357" s="98"/>
      <c r="AT357" s="98"/>
      <c r="AU357" s="98"/>
      <c r="AV357" s="98"/>
      <c r="AW357" s="98"/>
      <c r="AX357" s="98"/>
      <c r="AY357" s="98"/>
      <c r="AZ357" s="98"/>
    </row>
    <row r="358">
      <c r="A358" s="3"/>
      <c r="B358" s="36"/>
      <c r="C358" s="91"/>
      <c r="D358" s="13"/>
      <c r="E358" s="13"/>
      <c r="F358" s="3"/>
      <c r="G358" s="3"/>
      <c r="H358" s="3"/>
      <c r="I358" s="13"/>
      <c r="J358" s="13"/>
      <c r="K358" s="13"/>
      <c r="L358" s="36"/>
      <c r="M358" s="91"/>
      <c r="N358" s="3"/>
      <c r="O358" s="3"/>
      <c r="P358" s="7"/>
      <c r="Q358" s="7"/>
      <c r="R358" s="166"/>
      <c r="S358" s="166"/>
      <c r="T358" s="7"/>
      <c r="U358" s="3"/>
      <c r="V358" s="13"/>
      <c r="W358" s="3"/>
      <c r="X358" s="166"/>
      <c r="Y358" s="7"/>
      <c r="Z358" s="13"/>
      <c r="AA358" s="7"/>
      <c r="AB358" s="7"/>
      <c r="AC358" s="257"/>
      <c r="AD358" s="166"/>
      <c r="AE358" s="258"/>
      <c r="AF358" s="7"/>
      <c r="AG358" s="7"/>
      <c r="AH358" s="166"/>
      <c r="AI358" s="13"/>
      <c r="AJ358" s="3"/>
      <c r="AK358" s="13"/>
      <c r="AL358" s="3"/>
      <c r="AM358" s="3"/>
      <c r="AN358" s="3"/>
      <c r="AO358" s="3"/>
      <c r="AP358" s="3"/>
      <c r="AQ358" s="3"/>
      <c r="AR358" s="3"/>
      <c r="AS358" s="98"/>
      <c r="AT358" s="98"/>
      <c r="AU358" s="98"/>
      <c r="AV358" s="98"/>
      <c r="AW358" s="98"/>
      <c r="AX358" s="98"/>
      <c r="AY358" s="98"/>
      <c r="AZ358" s="98"/>
    </row>
    <row r="359">
      <c r="A359" s="3"/>
      <c r="B359" s="36"/>
      <c r="C359" s="91"/>
      <c r="D359" s="13"/>
      <c r="E359" s="13"/>
      <c r="F359" s="3"/>
      <c r="G359" s="3"/>
      <c r="H359" s="3"/>
      <c r="I359" s="13"/>
      <c r="J359" s="13"/>
      <c r="K359" s="13"/>
      <c r="L359" s="36"/>
      <c r="M359" s="91"/>
      <c r="N359" s="3"/>
      <c r="O359" s="3"/>
      <c r="P359" s="7"/>
      <c r="Q359" s="7"/>
      <c r="R359" s="166"/>
      <c r="S359" s="166"/>
      <c r="T359" s="7"/>
      <c r="U359" s="3"/>
      <c r="V359" s="13"/>
      <c r="W359" s="3"/>
      <c r="X359" s="166"/>
      <c r="Y359" s="7"/>
      <c r="Z359" s="13"/>
      <c r="AA359" s="7"/>
      <c r="AB359" s="7"/>
      <c r="AC359" s="257"/>
      <c r="AD359" s="166"/>
      <c r="AE359" s="258"/>
      <c r="AF359" s="7"/>
      <c r="AG359" s="7"/>
      <c r="AH359" s="166"/>
      <c r="AI359" s="13"/>
      <c r="AJ359" s="3"/>
      <c r="AK359" s="13"/>
      <c r="AL359" s="3"/>
      <c r="AM359" s="3"/>
      <c r="AN359" s="3"/>
      <c r="AO359" s="3"/>
      <c r="AP359" s="3"/>
      <c r="AQ359" s="3"/>
      <c r="AR359" s="3"/>
      <c r="AS359" s="98"/>
      <c r="AT359" s="98"/>
      <c r="AU359" s="98"/>
      <c r="AV359" s="98"/>
      <c r="AW359" s="98"/>
      <c r="AX359" s="98"/>
      <c r="AY359" s="98"/>
      <c r="AZ359" s="98"/>
    </row>
    <row r="360">
      <c r="A360" s="3"/>
      <c r="B360" s="36"/>
      <c r="C360" s="91"/>
      <c r="D360" s="13"/>
      <c r="E360" s="13"/>
      <c r="F360" s="3"/>
      <c r="G360" s="3"/>
      <c r="H360" s="3"/>
      <c r="I360" s="13"/>
      <c r="J360" s="13"/>
      <c r="K360" s="13"/>
      <c r="L360" s="36"/>
      <c r="M360" s="91"/>
      <c r="N360" s="3"/>
      <c r="O360" s="3"/>
      <c r="P360" s="7"/>
      <c r="Q360" s="7"/>
      <c r="R360" s="166"/>
      <c r="S360" s="166"/>
      <c r="T360" s="7"/>
      <c r="U360" s="3"/>
      <c r="V360" s="13"/>
      <c r="W360" s="3"/>
      <c r="X360" s="166"/>
      <c r="Y360" s="7"/>
      <c r="Z360" s="13"/>
      <c r="AA360" s="7"/>
      <c r="AB360" s="7"/>
      <c r="AC360" s="257"/>
      <c r="AD360" s="166"/>
      <c r="AE360" s="258"/>
      <c r="AF360" s="7"/>
      <c r="AG360" s="7"/>
      <c r="AH360" s="166"/>
      <c r="AI360" s="13"/>
      <c r="AJ360" s="3"/>
      <c r="AK360" s="13"/>
      <c r="AL360" s="3"/>
      <c r="AM360" s="3"/>
      <c r="AN360" s="3"/>
      <c r="AO360" s="3"/>
      <c r="AP360" s="3"/>
      <c r="AQ360" s="3"/>
      <c r="AR360" s="3"/>
      <c r="AS360" s="98"/>
      <c r="AT360" s="98"/>
      <c r="AU360" s="98"/>
      <c r="AV360" s="98"/>
      <c r="AW360" s="98"/>
      <c r="AX360" s="98"/>
      <c r="AY360" s="98"/>
      <c r="AZ360" s="98"/>
    </row>
    <row r="361">
      <c r="A361" s="3"/>
      <c r="B361" s="36"/>
      <c r="C361" s="91"/>
      <c r="D361" s="13"/>
      <c r="E361" s="13"/>
      <c r="F361" s="3"/>
      <c r="G361" s="3"/>
      <c r="H361" s="3"/>
      <c r="I361" s="13"/>
      <c r="J361" s="13"/>
      <c r="K361" s="13"/>
      <c r="L361" s="36"/>
      <c r="M361" s="91"/>
      <c r="N361" s="3"/>
      <c r="O361" s="3"/>
      <c r="P361" s="7"/>
      <c r="Q361" s="7"/>
      <c r="R361" s="166"/>
      <c r="S361" s="166"/>
      <c r="T361" s="7"/>
      <c r="U361" s="3"/>
      <c r="V361" s="13"/>
      <c r="W361" s="3"/>
      <c r="X361" s="166"/>
      <c r="Y361" s="7"/>
      <c r="Z361" s="13"/>
      <c r="AA361" s="7"/>
      <c r="AB361" s="7"/>
      <c r="AC361" s="257"/>
      <c r="AD361" s="166"/>
      <c r="AE361" s="258"/>
      <c r="AF361" s="7"/>
      <c r="AG361" s="7"/>
      <c r="AH361" s="166"/>
      <c r="AI361" s="13"/>
      <c r="AJ361" s="3"/>
      <c r="AK361" s="13"/>
      <c r="AL361" s="3"/>
      <c r="AM361" s="3"/>
      <c r="AN361" s="3"/>
      <c r="AO361" s="3"/>
      <c r="AP361" s="3"/>
      <c r="AQ361" s="3"/>
      <c r="AR361" s="3"/>
      <c r="AS361" s="98"/>
      <c r="AT361" s="98"/>
      <c r="AU361" s="98"/>
      <c r="AV361" s="98"/>
      <c r="AW361" s="98"/>
      <c r="AX361" s="98"/>
      <c r="AY361" s="98"/>
      <c r="AZ361" s="98"/>
    </row>
    <row r="362">
      <c r="A362" s="3"/>
      <c r="B362" s="36"/>
      <c r="C362" s="91"/>
      <c r="D362" s="13"/>
      <c r="E362" s="13"/>
      <c r="F362" s="3"/>
      <c r="G362" s="3"/>
      <c r="H362" s="3"/>
      <c r="I362" s="13"/>
      <c r="J362" s="13"/>
      <c r="K362" s="13"/>
      <c r="L362" s="36"/>
      <c r="M362" s="91"/>
      <c r="N362" s="3"/>
      <c r="O362" s="3"/>
      <c r="P362" s="7"/>
      <c r="Q362" s="7"/>
      <c r="R362" s="166"/>
      <c r="S362" s="166"/>
      <c r="T362" s="7"/>
      <c r="U362" s="3"/>
      <c r="V362" s="13"/>
      <c r="W362" s="3"/>
      <c r="X362" s="166"/>
      <c r="Y362" s="7"/>
      <c r="Z362" s="13"/>
      <c r="AA362" s="7"/>
      <c r="AB362" s="7"/>
      <c r="AC362" s="257"/>
      <c r="AD362" s="166"/>
      <c r="AE362" s="258"/>
      <c r="AF362" s="7"/>
      <c r="AG362" s="7"/>
      <c r="AH362" s="166"/>
      <c r="AI362" s="13"/>
      <c r="AJ362" s="3"/>
      <c r="AK362" s="13"/>
      <c r="AL362" s="3"/>
      <c r="AM362" s="3"/>
      <c r="AN362" s="3"/>
      <c r="AO362" s="3"/>
      <c r="AP362" s="3"/>
      <c r="AQ362" s="3"/>
      <c r="AR362" s="3"/>
      <c r="AS362" s="98"/>
      <c r="AT362" s="98"/>
      <c r="AU362" s="98"/>
      <c r="AV362" s="98"/>
      <c r="AW362" s="98"/>
      <c r="AX362" s="98"/>
      <c r="AY362" s="98"/>
      <c r="AZ362" s="98"/>
    </row>
    <row r="363">
      <c r="A363" s="3"/>
      <c r="B363" s="36"/>
      <c r="C363" s="91"/>
      <c r="D363" s="13"/>
      <c r="E363" s="13"/>
      <c r="F363" s="3"/>
      <c r="G363" s="3"/>
      <c r="H363" s="3"/>
      <c r="I363" s="13"/>
      <c r="J363" s="13"/>
      <c r="K363" s="13"/>
      <c r="L363" s="36"/>
      <c r="M363" s="91"/>
      <c r="N363" s="3"/>
      <c r="O363" s="3"/>
      <c r="P363" s="7"/>
      <c r="Q363" s="7"/>
      <c r="R363" s="166"/>
      <c r="S363" s="166"/>
      <c r="T363" s="7"/>
      <c r="U363" s="3"/>
      <c r="V363" s="13"/>
      <c r="W363" s="3"/>
      <c r="X363" s="166"/>
      <c r="Y363" s="7"/>
      <c r="Z363" s="13"/>
      <c r="AA363" s="7"/>
      <c r="AB363" s="7"/>
      <c r="AC363" s="257"/>
      <c r="AD363" s="166"/>
      <c r="AE363" s="258"/>
      <c r="AF363" s="7"/>
      <c r="AG363" s="7"/>
      <c r="AH363" s="166"/>
      <c r="AI363" s="13"/>
      <c r="AJ363" s="3"/>
      <c r="AK363" s="13"/>
      <c r="AL363" s="3"/>
      <c r="AM363" s="3"/>
      <c r="AN363" s="3"/>
      <c r="AO363" s="3"/>
      <c r="AP363" s="3"/>
      <c r="AQ363" s="3"/>
      <c r="AR363" s="3"/>
      <c r="AS363" s="98"/>
      <c r="AT363" s="98"/>
      <c r="AU363" s="98"/>
      <c r="AV363" s="98"/>
      <c r="AW363" s="98"/>
      <c r="AX363" s="98"/>
      <c r="AY363" s="98"/>
      <c r="AZ363" s="98"/>
    </row>
    <row r="364">
      <c r="A364" s="3"/>
      <c r="B364" s="36"/>
      <c r="C364" s="91"/>
      <c r="D364" s="13"/>
      <c r="E364" s="13"/>
      <c r="F364" s="3"/>
      <c r="G364" s="3"/>
      <c r="H364" s="3"/>
      <c r="I364" s="13"/>
      <c r="J364" s="13"/>
      <c r="K364" s="13"/>
      <c r="L364" s="36"/>
      <c r="M364" s="91"/>
      <c r="N364" s="3"/>
      <c r="O364" s="3"/>
      <c r="P364" s="7"/>
      <c r="Q364" s="7"/>
      <c r="R364" s="166"/>
      <c r="S364" s="166"/>
      <c r="T364" s="7"/>
      <c r="U364" s="3"/>
      <c r="V364" s="13"/>
      <c r="W364" s="3"/>
      <c r="X364" s="166"/>
      <c r="Y364" s="7"/>
      <c r="Z364" s="13"/>
      <c r="AA364" s="7"/>
      <c r="AB364" s="7"/>
      <c r="AC364" s="257"/>
      <c r="AD364" s="166"/>
      <c r="AE364" s="258"/>
      <c r="AF364" s="7"/>
      <c r="AG364" s="7"/>
      <c r="AH364" s="166"/>
      <c r="AI364" s="13"/>
      <c r="AJ364" s="3"/>
      <c r="AK364" s="13"/>
      <c r="AL364" s="3"/>
      <c r="AM364" s="3"/>
      <c r="AN364" s="3"/>
      <c r="AO364" s="3"/>
      <c r="AP364" s="3"/>
      <c r="AQ364" s="3"/>
      <c r="AR364" s="3"/>
      <c r="AS364" s="98"/>
      <c r="AT364" s="98"/>
      <c r="AU364" s="98"/>
      <c r="AV364" s="98"/>
      <c r="AW364" s="98"/>
      <c r="AX364" s="98"/>
      <c r="AY364" s="98"/>
      <c r="AZ364" s="98"/>
    </row>
    <row r="365">
      <c r="A365" s="3"/>
      <c r="B365" s="36"/>
      <c r="C365" s="91"/>
      <c r="D365" s="13"/>
      <c r="E365" s="13"/>
      <c r="F365" s="3"/>
      <c r="G365" s="3"/>
      <c r="H365" s="3"/>
      <c r="I365" s="13"/>
      <c r="J365" s="13"/>
      <c r="K365" s="13"/>
      <c r="L365" s="36"/>
      <c r="M365" s="91"/>
      <c r="N365" s="3"/>
      <c r="O365" s="3"/>
      <c r="P365" s="7"/>
      <c r="Q365" s="7"/>
      <c r="R365" s="166"/>
      <c r="S365" s="166"/>
      <c r="T365" s="7"/>
      <c r="U365" s="3"/>
      <c r="V365" s="13"/>
      <c r="W365" s="3"/>
      <c r="X365" s="166"/>
      <c r="Y365" s="7"/>
      <c r="Z365" s="13"/>
      <c r="AA365" s="7"/>
      <c r="AB365" s="7"/>
      <c r="AC365" s="257"/>
      <c r="AD365" s="166"/>
      <c r="AE365" s="258"/>
      <c r="AF365" s="7"/>
      <c r="AG365" s="7"/>
      <c r="AH365" s="166"/>
      <c r="AI365" s="13"/>
      <c r="AJ365" s="3"/>
      <c r="AK365" s="13"/>
      <c r="AL365" s="3"/>
      <c r="AM365" s="3"/>
      <c r="AN365" s="3"/>
      <c r="AO365" s="3"/>
      <c r="AP365" s="3"/>
      <c r="AQ365" s="3"/>
      <c r="AR365" s="3"/>
      <c r="AS365" s="98"/>
      <c r="AT365" s="98"/>
      <c r="AU365" s="98"/>
      <c r="AV365" s="98"/>
      <c r="AW365" s="98"/>
      <c r="AX365" s="98"/>
      <c r="AY365" s="98"/>
      <c r="AZ365" s="98"/>
    </row>
    <row r="366">
      <c r="A366" s="3"/>
      <c r="B366" s="36"/>
      <c r="C366" s="91"/>
      <c r="D366" s="13"/>
      <c r="E366" s="13"/>
      <c r="F366" s="3"/>
      <c r="G366" s="3"/>
      <c r="H366" s="3"/>
      <c r="I366" s="13"/>
      <c r="J366" s="13"/>
      <c r="K366" s="13"/>
      <c r="L366" s="36"/>
      <c r="M366" s="91"/>
      <c r="N366" s="3"/>
      <c r="O366" s="3"/>
      <c r="P366" s="7"/>
      <c r="Q366" s="7"/>
      <c r="R366" s="166"/>
      <c r="S366" s="166"/>
      <c r="T366" s="7"/>
      <c r="U366" s="3"/>
      <c r="V366" s="13"/>
      <c r="W366" s="3"/>
      <c r="X366" s="166"/>
      <c r="Y366" s="7"/>
      <c r="Z366" s="13"/>
      <c r="AA366" s="7"/>
      <c r="AB366" s="7"/>
      <c r="AC366" s="257"/>
      <c r="AD366" s="166"/>
      <c r="AE366" s="258"/>
      <c r="AF366" s="7"/>
      <c r="AG366" s="7"/>
      <c r="AH366" s="166"/>
      <c r="AI366" s="13"/>
      <c r="AJ366" s="3"/>
      <c r="AK366" s="13"/>
      <c r="AL366" s="3"/>
      <c r="AM366" s="3"/>
      <c r="AN366" s="3"/>
      <c r="AO366" s="3"/>
      <c r="AP366" s="3"/>
      <c r="AQ366" s="3"/>
      <c r="AR366" s="3"/>
      <c r="AS366" s="98"/>
      <c r="AT366" s="98"/>
      <c r="AU366" s="98"/>
      <c r="AV366" s="98"/>
      <c r="AW366" s="98"/>
      <c r="AX366" s="98"/>
      <c r="AY366" s="98"/>
      <c r="AZ366" s="98"/>
    </row>
    <row r="367">
      <c r="A367" s="3"/>
      <c r="B367" s="36"/>
      <c r="C367" s="91"/>
      <c r="D367" s="13"/>
      <c r="E367" s="13"/>
      <c r="F367" s="3"/>
      <c r="G367" s="3"/>
      <c r="H367" s="3"/>
      <c r="I367" s="13"/>
      <c r="J367" s="13"/>
      <c r="K367" s="13"/>
      <c r="L367" s="36"/>
      <c r="M367" s="91"/>
      <c r="N367" s="3"/>
      <c r="O367" s="3"/>
      <c r="P367" s="7"/>
      <c r="Q367" s="7"/>
      <c r="R367" s="166"/>
      <c r="S367" s="166"/>
      <c r="T367" s="7"/>
      <c r="U367" s="3"/>
      <c r="V367" s="13"/>
      <c r="W367" s="3"/>
      <c r="X367" s="166"/>
      <c r="Y367" s="7"/>
      <c r="Z367" s="13"/>
      <c r="AA367" s="7"/>
      <c r="AB367" s="7"/>
      <c r="AC367" s="257"/>
      <c r="AD367" s="166"/>
      <c r="AE367" s="258"/>
      <c r="AF367" s="7"/>
      <c r="AG367" s="7"/>
      <c r="AH367" s="166"/>
      <c r="AI367" s="13"/>
      <c r="AJ367" s="3"/>
      <c r="AK367" s="13"/>
      <c r="AL367" s="3"/>
      <c r="AM367" s="3"/>
      <c r="AN367" s="3"/>
      <c r="AO367" s="3"/>
      <c r="AP367" s="3"/>
      <c r="AQ367" s="3"/>
      <c r="AR367" s="3"/>
      <c r="AS367" s="98"/>
      <c r="AT367" s="98"/>
      <c r="AU367" s="98"/>
      <c r="AV367" s="98"/>
      <c r="AW367" s="98"/>
      <c r="AX367" s="98"/>
      <c r="AY367" s="98"/>
      <c r="AZ367" s="98"/>
    </row>
    <row r="368">
      <c r="A368" s="3"/>
      <c r="B368" s="36"/>
      <c r="C368" s="91"/>
      <c r="D368" s="13"/>
      <c r="E368" s="13"/>
      <c r="F368" s="3"/>
      <c r="G368" s="3"/>
      <c r="H368" s="3"/>
      <c r="I368" s="13"/>
      <c r="J368" s="13"/>
      <c r="K368" s="13"/>
      <c r="L368" s="36"/>
      <c r="M368" s="91"/>
      <c r="N368" s="3"/>
      <c r="O368" s="3"/>
      <c r="P368" s="7"/>
      <c r="Q368" s="7"/>
      <c r="R368" s="166"/>
      <c r="S368" s="166"/>
      <c r="T368" s="7"/>
      <c r="U368" s="3"/>
      <c r="V368" s="13"/>
      <c r="W368" s="3"/>
      <c r="X368" s="166"/>
      <c r="Y368" s="7"/>
      <c r="Z368" s="13"/>
      <c r="AA368" s="7"/>
      <c r="AB368" s="7"/>
      <c r="AC368" s="257"/>
      <c r="AD368" s="166"/>
      <c r="AE368" s="258"/>
      <c r="AF368" s="7"/>
      <c r="AG368" s="7"/>
      <c r="AH368" s="166"/>
      <c r="AI368" s="13"/>
      <c r="AJ368" s="3"/>
      <c r="AK368" s="13"/>
      <c r="AL368" s="3"/>
      <c r="AM368" s="3"/>
      <c r="AN368" s="3"/>
      <c r="AO368" s="3"/>
      <c r="AP368" s="3"/>
      <c r="AQ368" s="3"/>
      <c r="AR368" s="3"/>
      <c r="AS368" s="98"/>
      <c r="AT368" s="98"/>
      <c r="AU368" s="98"/>
      <c r="AV368" s="98"/>
      <c r="AW368" s="98"/>
      <c r="AX368" s="98"/>
      <c r="AY368" s="98"/>
      <c r="AZ368" s="98"/>
    </row>
    <row r="369">
      <c r="A369" s="3"/>
      <c r="B369" s="36"/>
      <c r="C369" s="91"/>
      <c r="D369" s="13"/>
      <c r="E369" s="13"/>
      <c r="F369" s="3"/>
      <c r="G369" s="3"/>
      <c r="H369" s="3"/>
      <c r="I369" s="13"/>
      <c r="J369" s="13"/>
      <c r="K369" s="13"/>
      <c r="L369" s="36"/>
      <c r="M369" s="91"/>
      <c r="N369" s="3"/>
      <c r="O369" s="3"/>
      <c r="P369" s="7"/>
      <c r="Q369" s="7"/>
      <c r="R369" s="166"/>
      <c r="S369" s="166"/>
      <c r="T369" s="7"/>
      <c r="U369" s="3"/>
      <c r="V369" s="13"/>
      <c r="W369" s="3"/>
      <c r="X369" s="166"/>
      <c r="Y369" s="7"/>
      <c r="Z369" s="13"/>
      <c r="AA369" s="7"/>
      <c r="AB369" s="7"/>
      <c r="AC369" s="257"/>
      <c r="AD369" s="166"/>
      <c r="AE369" s="258"/>
      <c r="AF369" s="7"/>
      <c r="AG369" s="7"/>
      <c r="AH369" s="166"/>
      <c r="AI369" s="13"/>
      <c r="AJ369" s="3"/>
      <c r="AK369" s="13"/>
      <c r="AL369" s="3"/>
      <c r="AM369" s="3"/>
      <c r="AN369" s="3"/>
      <c r="AO369" s="3"/>
      <c r="AP369" s="3"/>
      <c r="AQ369" s="3"/>
      <c r="AR369" s="3"/>
      <c r="AS369" s="98"/>
      <c r="AT369" s="98"/>
      <c r="AU369" s="98"/>
      <c r="AV369" s="98"/>
      <c r="AW369" s="98"/>
      <c r="AX369" s="98"/>
      <c r="AY369" s="98"/>
      <c r="AZ369" s="98"/>
    </row>
    <row r="370">
      <c r="A370" s="3"/>
      <c r="B370" s="36"/>
      <c r="C370" s="91"/>
      <c r="D370" s="13"/>
      <c r="E370" s="13"/>
      <c r="F370" s="3"/>
      <c r="G370" s="3"/>
      <c r="H370" s="3"/>
      <c r="I370" s="13"/>
      <c r="J370" s="13"/>
      <c r="K370" s="13"/>
      <c r="L370" s="36"/>
      <c r="M370" s="91"/>
      <c r="N370" s="3"/>
      <c r="O370" s="3"/>
      <c r="P370" s="7"/>
      <c r="Q370" s="7"/>
      <c r="R370" s="166"/>
      <c r="S370" s="166"/>
      <c r="T370" s="7"/>
      <c r="U370" s="3"/>
      <c r="V370" s="13"/>
      <c r="W370" s="3"/>
      <c r="X370" s="166"/>
      <c r="Y370" s="7"/>
      <c r="Z370" s="13"/>
      <c r="AA370" s="7"/>
      <c r="AB370" s="7"/>
      <c r="AC370" s="257"/>
      <c r="AD370" s="166"/>
      <c r="AE370" s="258"/>
      <c r="AF370" s="7"/>
      <c r="AG370" s="7"/>
      <c r="AH370" s="166"/>
      <c r="AI370" s="13"/>
      <c r="AJ370" s="3"/>
      <c r="AK370" s="13"/>
      <c r="AL370" s="3"/>
      <c r="AM370" s="3"/>
      <c r="AN370" s="3"/>
      <c r="AO370" s="3"/>
      <c r="AP370" s="3"/>
      <c r="AQ370" s="3"/>
      <c r="AR370" s="3"/>
      <c r="AS370" s="98"/>
      <c r="AT370" s="98"/>
      <c r="AU370" s="98"/>
      <c r="AV370" s="98"/>
      <c r="AW370" s="98"/>
      <c r="AX370" s="98"/>
      <c r="AY370" s="98"/>
      <c r="AZ370" s="98"/>
    </row>
    <row r="371">
      <c r="A371" s="3"/>
      <c r="B371" s="36"/>
      <c r="C371" s="91"/>
      <c r="D371" s="13"/>
      <c r="E371" s="13"/>
      <c r="F371" s="3"/>
      <c r="G371" s="3"/>
      <c r="H371" s="3"/>
      <c r="I371" s="13"/>
      <c r="J371" s="13"/>
      <c r="K371" s="13"/>
      <c r="L371" s="36"/>
      <c r="M371" s="91"/>
      <c r="N371" s="3"/>
      <c r="O371" s="3"/>
      <c r="P371" s="7"/>
      <c r="Q371" s="7"/>
      <c r="R371" s="166"/>
      <c r="S371" s="166"/>
      <c r="T371" s="7"/>
      <c r="U371" s="3"/>
      <c r="V371" s="13"/>
      <c r="W371" s="3"/>
      <c r="X371" s="166"/>
      <c r="Y371" s="7"/>
      <c r="Z371" s="13"/>
      <c r="AA371" s="7"/>
      <c r="AB371" s="7"/>
      <c r="AC371" s="257"/>
      <c r="AD371" s="166"/>
      <c r="AE371" s="258"/>
      <c r="AF371" s="7"/>
      <c r="AG371" s="7"/>
      <c r="AH371" s="166"/>
      <c r="AI371" s="13"/>
      <c r="AJ371" s="3"/>
      <c r="AK371" s="13"/>
      <c r="AL371" s="3"/>
      <c r="AM371" s="3"/>
      <c r="AN371" s="3"/>
      <c r="AO371" s="3"/>
      <c r="AP371" s="3"/>
      <c r="AQ371" s="3"/>
      <c r="AR371" s="3"/>
      <c r="AS371" s="98"/>
      <c r="AT371" s="98"/>
      <c r="AU371" s="98"/>
      <c r="AV371" s="98"/>
      <c r="AW371" s="98"/>
      <c r="AX371" s="98"/>
      <c r="AY371" s="98"/>
      <c r="AZ371" s="98"/>
    </row>
    <row r="372">
      <c r="A372" s="3"/>
      <c r="B372" s="36"/>
      <c r="C372" s="91"/>
      <c r="D372" s="13"/>
      <c r="E372" s="13"/>
      <c r="F372" s="3"/>
      <c r="G372" s="3"/>
      <c r="H372" s="3"/>
      <c r="I372" s="13"/>
      <c r="J372" s="13"/>
      <c r="K372" s="13"/>
      <c r="L372" s="36"/>
      <c r="M372" s="91"/>
      <c r="N372" s="3"/>
      <c r="O372" s="3"/>
      <c r="P372" s="7"/>
      <c r="Q372" s="7"/>
      <c r="R372" s="166"/>
      <c r="S372" s="166"/>
      <c r="T372" s="7"/>
      <c r="U372" s="3"/>
      <c r="V372" s="13"/>
      <c r="W372" s="3"/>
      <c r="X372" s="166"/>
      <c r="Y372" s="7"/>
      <c r="Z372" s="13"/>
      <c r="AA372" s="7"/>
      <c r="AB372" s="7"/>
      <c r="AC372" s="257"/>
      <c r="AD372" s="166"/>
      <c r="AE372" s="258"/>
      <c r="AF372" s="7"/>
      <c r="AG372" s="7"/>
      <c r="AH372" s="166"/>
      <c r="AI372" s="13"/>
      <c r="AJ372" s="3"/>
      <c r="AK372" s="13"/>
      <c r="AL372" s="3"/>
      <c r="AM372" s="3"/>
      <c r="AN372" s="3"/>
      <c r="AO372" s="3"/>
      <c r="AP372" s="3"/>
      <c r="AQ372" s="3"/>
      <c r="AR372" s="3"/>
      <c r="AS372" s="98"/>
      <c r="AT372" s="98"/>
      <c r="AU372" s="98"/>
      <c r="AV372" s="98"/>
      <c r="AW372" s="98"/>
      <c r="AX372" s="98"/>
      <c r="AY372" s="98"/>
      <c r="AZ372" s="98"/>
    </row>
    <row r="373">
      <c r="A373" s="3"/>
      <c r="B373" s="36"/>
      <c r="C373" s="91"/>
      <c r="D373" s="13"/>
      <c r="E373" s="13"/>
      <c r="F373" s="3"/>
      <c r="G373" s="3"/>
      <c r="H373" s="3"/>
      <c r="I373" s="13"/>
      <c r="J373" s="13"/>
      <c r="K373" s="13"/>
      <c r="L373" s="36"/>
      <c r="M373" s="91"/>
      <c r="N373" s="3"/>
      <c r="O373" s="3"/>
      <c r="P373" s="7"/>
      <c r="Q373" s="7"/>
      <c r="R373" s="166"/>
      <c r="S373" s="166"/>
      <c r="T373" s="7"/>
      <c r="U373" s="3"/>
      <c r="V373" s="13"/>
      <c r="W373" s="3"/>
      <c r="X373" s="166"/>
      <c r="Y373" s="7"/>
      <c r="Z373" s="13"/>
      <c r="AA373" s="7"/>
      <c r="AB373" s="7"/>
      <c r="AC373" s="257"/>
      <c r="AD373" s="166"/>
      <c r="AE373" s="258"/>
      <c r="AF373" s="7"/>
      <c r="AG373" s="7"/>
      <c r="AH373" s="166"/>
      <c r="AI373" s="13"/>
      <c r="AJ373" s="3"/>
      <c r="AK373" s="13"/>
      <c r="AL373" s="3"/>
      <c r="AM373" s="3"/>
      <c r="AN373" s="3"/>
      <c r="AO373" s="3"/>
      <c r="AP373" s="3"/>
      <c r="AQ373" s="3"/>
      <c r="AR373" s="3"/>
      <c r="AS373" s="98"/>
      <c r="AT373" s="98"/>
      <c r="AU373" s="98"/>
      <c r="AV373" s="98"/>
      <c r="AW373" s="98"/>
      <c r="AX373" s="98"/>
      <c r="AY373" s="98"/>
      <c r="AZ373" s="98"/>
    </row>
    <row r="374">
      <c r="A374" s="3"/>
      <c r="B374" s="36"/>
      <c r="C374" s="91"/>
      <c r="D374" s="13"/>
      <c r="E374" s="13"/>
      <c r="F374" s="3"/>
      <c r="G374" s="3"/>
      <c r="H374" s="3"/>
      <c r="I374" s="13"/>
      <c r="J374" s="13"/>
      <c r="K374" s="13"/>
      <c r="L374" s="36"/>
      <c r="M374" s="91"/>
      <c r="N374" s="3"/>
      <c r="O374" s="3"/>
      <c r="P374" s="7"/>
      <c r="Q374" s="7"/>
      <c r="R374" s="166"/>
      <c r="S374" s="166"/>
      <c r="T374" s="7"/>
      <c r="U374" s="3"/>
      <c r="V374" s="13"/>
      <c r="W374" s="3"/>
      <c r="X374" s="166"/>
      <c r="Y374" s="7"/>
      <c r="Z374" s="13"/>
      <c r="AA374" s="7"/>
      <c r="AB374" s="7"/>
      <c r="AC374" s="257"/>
      <c r="AD374" s="166"/>
      <c r="AE374" s="258"/>
      <c r="AF374" s="7"/>
      <c r="AG374" s="7"/>
      <c r="AH374" s="166"/>
      <c r="AI374" s="13"/>
      <c r="AJ374" s="3"/>
      <c r="AK374" s="13"/>
      <c r="AL374" s="3"/>
      <c r="AM374" s="3"/>
      <c r="AN374" s="3"/>
      <c r="AO374" s="3"/>
      <c r="AP374" s="3"/>
      <c r="AQ374" s="3"/>
      <c r="AR374" s="3"/>
      <c r="AS374" s="98"/>
      <c r="AT374" s="98"/>
      <c r="AU374" s="98"/>
      <c r="AV374" s="98"/>
      <c r="AW374" s="98"/>
      <c r="AX374" s="98"/>
      <c r="AY374" s="98"/>
      <c r="AZ374" s="98"/>
    </row>
    <row r="375">
      <c r="A375" s="3"/>
      <c r="B375" s="36"/>
      <c r="C375" s="91"/>
      <c r="D375" s="13"/>
      <c r="E375" s="13"/>
      <c r="F375" s="3"/>
      <c r="G375" s="3"/>
      <c r="H375" s="3"/>
      <c r="I375" s="13"/>
      <c r="J375" s="13"/>
      <c r="K375" s="13"/>
      <c r="L375" s="36"/>
      <c r="M375" s="91"/>
      <c r="N375" s="3"/>
      <c r="O375" s="3"/>
      <c r="P375" s="7"/>
      <c r="Q375" s="7"/>
      <c r="R375" s="166"/>
      <c r="S375" s="166"/>
      <c r="T375" s="7"/>
      <c r="U375" s="3"/>
      <c r="V375" s="13"/>
      <c r="W375" s="3"/>
      <c r="X375" s="166"/>
      <c r="Y375" s="7"/>
      <c r="Z375" s="13"/>
      <c r="AA375" s="7"/>
      <c r="AB375" s="7"/>
      <c r="AC375" s="257"/>
      <c r="AD375" s="166"/>
      <c r="AE375" s="258"/>
      <c r="AF375" s="7"/>
      <c r="AG375" s="7"/>
      <c r="AH375" s="166"/>
      <c r="AI375" s="13"/>
      <c r="AJ375" s="3"/>
      <c r="AK375" s="13"/>
      <c r="AL375" s="3"/>
      <c r="AM375" s="3"/>
      <c r="AN375" s="3"/>
      <c r="AO375" s="3"/>
      <c r="AP375" s="3"/>
      <c r="AQ375" s="3"/>
      <c r="AR375" s="3"/>
      <c r="AS375" s="98"/>
      <c r="AT375" s="98"/>
      <c r="AU375" s="98"/>
      <c r="AV375" s="98"/>
      <c r="AW375" s="98"/>
      <c r="AX375" s="98"/>
      <c r="AY375" s="98"/>
      <c r="AZ375" s="98"/>
    </row>
    <row r="376">
      <c r="A376" s="3"/>
      <c r="B376" s="36"/>
      <c r="C376" s="91"/>
      <c r="D376" s="13"/>
      <c r="E376" s="13"/>
      <c r="F376" s="3"/>
      <c r="G376" s="3"/>
      <c r="H376" s="3"/>
      <c r="I376" s="13"/>
      <c r="J376" s="13"/>
      <c r="K376" s="13"/>
      <c r="L376" s="36"/>
      <c r="M376" s="91"/>
      <c r="N376" s="3"/>
      <c r="O376" s="3"/>
      <c r="P376" s="7"/>
      <c r="Q376" s="7"/>
      <c r="R376" s="166"/>
      <c r="S376" s="166"/>
      <c r="T376" s="7"/>
      <c r="U376" s="3"/>
      <c r="V376" s="13"/>
      <c r="W376" s="3"/>
      <c r="X376" s="166"/>
      <c r="Y376" s="7"/>
      <c r="Z376" s="13"/>
      <c r="AA376" s="7"/>
      <c r="AB376" s="7"/>
      <c r="AC376" s="257"/>
      <c r="AD376" s="166"/>
      <c r="AE376" s="258"/>
      <c r="AF376" s="7"/>
      <c r="AG376" s="7"/>
      <c r="AH376" s="166"/>
      <c r="AI376" s="13"/>
      <c r="AJ376" s="3"/>
      <c r="AK376" s="13"/>
      <c r="AL376" s="3"/>
      <c r="AM376" s="3"/>
      <c r="AN376" s="3"/>
      <c r="AO376" s="3"/>
      <c r="AP376" s="3"/>
      <c r="AQ376" s="3"/>
      <c r="AR376" s="3"/>
      <c r="AS376" s="98"/>
      <c r="AT376" s="98"/>
      <c r="AU376" s="98"/>
      <c r="AV376" s="98"/>
      <c r="AW376" s="98"/>
      <c r="AX376" s="98"/>
      <c r="AY376" s="98"/>
      <c r="AZ376" s="98"/>
    </row>
    <row r="377">
      <c r="A377" s="3"/>
      <c r="B377" s="36"/>
      <c r="C377" s="91"/>
      <c r="D377" s="13"/>
      <c r="E377" s="13"/>
      <c r="F377" s="3"/>
      <c r="G377" s="3"/>
      <c r="H377" s="3"/>
      <c r="I377" s="13"/>
      <c r="J377" s="13"/>
      <c r="K377" s="13"/>
      <c r="L377" s="36"/>
      <c r="M377" s="91"/>
      <c r="N377" s="3"/>
      <c r="O377" s="3"/>
      <c r="P377" s="7"/>
      <c r="Q377" s="7"/>
      <c r="R377" s="166"/>
      <c r="S377" s="166"/>
      <c r="T377" s="7"/>
      <c r="U377" s="3"/>
      <c r="V377" s="13"/>
      <c r="W377" s="3"/>
      <c r="X377" s="166"/>
      <c r="Y377" s="7"/>
      <c r="Z377" s="13"/>
      <c r="AA377" s="7"/>
      <c r="AB377" s="7"/>
      <c r="AC377" s="257"/>
      <c r="AD377" s="166"/>
      <c r="AE377" s="258"/>
      <c r="AF377" s="7"/>
      <c r="AG377" s="7"/>
      <c r="AH377" s="166"/>
      <c r="AI377" s="13"/>
      <c r="AJ377" s="3"/>
      <c r="AK377" s="13"/>
      <c r="AL377" s="3"/>
      <c r="AM377" s="3"/>
      <c r="AN377" s="3"/>
      <c r="AO377" s="3"/>
      <c r="AP377" s="3"/>
      <c r="AQ377" s="3"/>
      <c r="AR377" s="3"/>
      <c r="AS377" s="98"/>
      <c r="AT377" s="98"/>
      <c r="AU377" s="98"/>
      <c r="AV377" s="98"/>
      <c r="AW377" s="98"/>
      <c r="AX377" s="98"/>
      <c r="AY377" s="98"/>
      <c r="AZ377" s="98"/>
    </row>
    <row r="378">
      <c r="A378" s="3"/>
      <c r="B378" s="36"/>
      <c r="C378" s="91"/>
      <c r="D378" s="13"/>
      <c r="E378" s="13"/>
      <c r="F378" s="3"/>
      <c r="G378" s="3"/>
      <c r="H378" s="3"/>
      <c r="I378" s="13"/>
      <c r="J378" s="13"/>
      <c r="K378" s="13"/>
      <c r="L378" s="36"/>
      <c r="M378" s="91"/>
      <c r="N378" s="3"/>
      <c r="O378" s="3"/>
      <c r="P378" s="7"/>
      <c r="Q378" s="7"/>
      <c r="R378" s="166"/>
      <c r="S378" s="166"/>
      <c r="T378" s="7"/>
      <c r="U378" s="3"/>
      <c r="V378" s="13"/>
      <c r="W378" s="3"/>
      <c r="X378" s="166"/>
      <c r="Y378" s="7"/>
      <c r="Z378" s="13"/>
      <c r="AA378" s="7"/>
      <c r="AB378" s="7"/>
      <c r="AC378" s="257"/>
      <c r="AD378" s="166"/>
      <c r="AE378" s="258"/>
      <c r="AF378" s="7"/>
      <c r="AG378" s="7"/>
      <c r="AH378" s="166"/>
      <c r="AI378" s="13"/>
      <c r="AJ378" s="3"/>
      <c r="AK378" s="13"/>
      <c r="AL378" s="3"/>
      <c r="AM378" s="3"/>
      <c r="AN378" s="3"/>
      <c r="AO378" s="3"/>
      <c r="AP378" s="3"/>
      <c r="AQ378" s="3"/>
      <c r="AR378" s="3"/>
      <c r="AS378" s="98"/>
      <c r="AT378" s="98"/>
      <c r="AU378" s="98"/>
      <c r="AV378" s="98"/>
      <c r="AW378" s="98"/>
      <c r="AX378" s="98"/>
      <c r="AY378" s="98"/>
      <c r="AZ378" s="98"/>
    </row>
    <row r="379">
      <c r="A379" s="3"/>
      <c r="B379" s="36"/>
      <c r="C379" s="91"/>
      <c r="D379" s="13"/>
      <c r="E379" s="13"/>
      <c r="F379" s="3"/>
      <c r="G379" s="3"/>
      <c r="H379" s="3"/>
      <c r="I379" s="13"/>
      <c r="J379" s="13"/>
      <c r="K379" s="13"/>
      <c r="L379" s="36"/>
      <c r="M379" s="91"/>
      <c r="N379" s="3"/>
      <c r="O379" s="3"/>
      <c r="P379" s="7"/>
      <c r="Q379" s="7"/>
      <c r="R379" s="166"/>
      <c r="S379" s="166"/>
      <c r="T379" s="7"/>
      <c r="U379" s="3"/>
      <c r="V379" s="13"/>
      <c r="W379" s="3"/>
      <c r="X379" s="166"/>
      <c r="Y379" s="7"/>
      <c r="Z379" s="13"/>
      <c r="AA379" s="7"/>
      <c r="AB379" s="7"/>
      <c r="AC379" s="257"/>
      <c r="AD379" s="166"/>
      <c r="AE379" s="258"/>
      <c r="AF379" s="7"/>
      <c r="AG379" s="7"/>
      <c r="AH379" s="166"/>
      <c r="AI379" s="13"/>
      <c r="AJ379" s="3"/>
      <c r="AK379" s="13"/>
      <c r="AL379" s="3"/>
      <c r="AM379" s="3"/>
      <c r="AN379" s="3"/>
      <c r="AO379" s="3"/>
      <c r="AP379" s="3"/>
      <c r="AQ379" s="3"/>
      <c r="AR379" s="3"/>
      <c r="AS379" s="98"/>
      <c r="AT379" s="98"/>
      <c r="AU379" s="98"/>
      <c r="AV379" s="98"/>
      <c r="AW379" s="98"/>
      <c r="AX379" s="98"/>
      <c r="AY379" s="98"/>
      <c r="AZ379" s="98"/>
    </row>
    <row r="380">
      <c r="A380" s="3"/>
      <c r="B380" s="36"/>
      <c r="C380" s="91"/>
      <c r="D380" s="13"/>
      <c r="E380" s="13"/>
      <c r="F380" s="3"/>
      <c r="G380" s="3"/>
      <c r="H380" s="3"/>
      <c r="I380" s="13"/>
      <c r="J380" s="13"/>
      <c r="K380" s="13"/>
      <c r="L380" s="36"/>
      <c r="M380" s="91"/>
      <c r="N380" s="3"/>
      <c r="O380" s="3"/>
      <c r="P380" s="7"/>
      <c r="Q380" s="7"/>
      <c r="R380" s="166"/>
      <c r="S380" s="166"/>
      <c r="T380" s="7"/>
      <c r="U380" s="3"/>
      <c r="V380" s="13"/>
      <c r="W380" s="3"/>
      <c r="X380" s="166"/>
      <c r="Y380" s="7"/>
      <c r="Z380" s="13"/>
      <c r="AA380" s="7"/>
      <c r="AB380" s="7"/>
      <c r="AC380" s="257"/>
      <c r="AD380" s="166"/>
      <c r="AE380" s="258"/>
      <c r="AF380" s="7"/>
      <c r="AG380" s="7"/>
      <c r="AH380" s="166"/>
      <c r="AI380" s="13"/>
      <c r="AJ380" s="3"/>
      <c r="AK380" s="13"/>
      <c r="AL380" s="3"/>
      <c r="AM380" s="3"/>
      <c r="AN380" s="3"/>
      <c r="AO380" s="3"/>
      <c r="AP380" s="3"/>
      <c r="AQ380" s="3"/>
      <c r="AR380" s="3"/>
      <c r="AS380" s="98"/>
      <c r="AT380" s="98"/>
      <c r="AU380" s="98"/>
      <c r="AV380" s="98"/>
      <c r="AW380" s="98"/>
      <c r="AX380" s="98"/>
      <c r="AY380" s="98"/>
      <c r="AZ380" s="98"/>
    </row>
    <row r="381">
      <c r="A381" s="3"/>
      <c r="B381" s="36"/>
      <c r="C381" s="91"/>
      <c r="D381" s="13"/>
      <c r="E381" s="13"/>
      <c r="F381" s="3"/>
      <c r="G381" s="3"/>
      <c r="H381" s="3"/>
      <c r="I381" s="13"/>
      <c r="J381" s="13"/>
      <c r="K381" s="13"/>
      <c r="L381" s="36"/>
      <c r="M381" s="91"/>
      <c r="N381" s="3"/>
      <c r="O381" s="3"/>
      <c r="P381" s="7"/>
      <c r="Q381" s="7"/>
      <c r="R381" s="166"/>
      <c r="S381" s="166"/>
      <c r="T381" s="7"/>
      <c r="U381" s="3"/>
      <c r="V381" s="13"/>
      <c r="W381" s="3"/>
      <c r="X381" s="166"/>
      <c r="Y381" s="7"/>
      <c r="Z381" s="13"/>
      <c r="AA381" s="7"/>
      <c r="AB381" s="7"/>
      <c r="AC381" s="257"/>
      <c r="AD381" s="166"/>
      <c r="AE381" s="258"/>
      <c r="AF381" s="7"/>
      <c r="AG381" s="7"/>
      <c r="AH381" s="166"/>
      <c r="AI381" s="13"/>
      <c r="AJ381" s="3"/>
      <c r="AK381" s="13"/>
      <c r="AL381" s="3"/>
      <c r="AM381" s="3"/>
      <c r="AN381" s="3"/>
      <c r="AO381" s="3"/>
      <c r="AP381" s="3"/>
      <c r="AQ381" s="3"/>
      <c r="AR381" s="3"/>
      <c r="AS381" s="98"/>
      <c r="AT381" s="98"/>
      <c r="AU381" s="98"/>
      <c r="AV381" s="98"/>
      <c r="AW381" s="98"/>
      <c r="AX381" s="98"/>
      <c r="AY381" s="98"/>
      <c r="AZ381" s="98"/>
    </row>
    <row r="382">
      <c r="A382" s="3"/>
      <c r="B382" s="36"/>
      <c r="C382" s="91"/>
      <c r="D382" s="13"/>
      <c r="E382" s="13"/>
      <c r="F382" s="3"/>
      <c r="G382" s="3"/>
      <c r="H382" s="3"/>
      <c r="I382" s="13"/>
      <c r="J382" s="13"/>
      <c r="K382" s="13"/>
      <c r="L382" s="36"/>
      <c r="M382" s="91"/>
      <c r="N382" s="3"/>
      <c r="O382" s="3"/>
      <c r="P382" s="7"/>
      <c r="Q382" s="7"/>
      <c r="R382" s="166"/>
      <c r="S382" s="166"/>
      <c r="T382" s="7"/>
      <c r="U382" s="3"/>
      <c r="V382" s="13"/>
      <c r="W382" s="3"/>
      <c r="X382" s="166"/>
      <c r="Y382" s="7"/>
      <c r="Z382" s="13"/>
      <c r="AA382" s="7"/>
      <c r="AB382" s="7"/>
      <c r="AC382" s="257"/>
      <c r="AD382" s="166"/>
      <c r="AE382" s="258"/>
      <c r="AF382" s="7"/>
      <c r="AG382" s="7"/>
      <c r="AH382" s="166"/>
      <c r="AI382" s="13"/>
      <c r="AJ382" s="3"/>
      <c r="AK382" s="13"/>
      <c r="AL382" s="3"/>
      <c r="AM382" s="3"/>
      <c r="AN382" s="3"/>
      <c r="AO382" s="3"/>
      <c r="AP382" s="3"/>
      <c r="AQ382" s="3"/>
      <c r="AR382" s="3"/>
      <c r="AS382" s="98"/>
      <c r="AT382" s="98"/>
      <c r="AU382" s="98"/>
      <c r="AV382" s="98"/>
      <c r="AW382" s="98"/>
      <c r="AX382" s="98"/>
      <c r="AY382" s="98"/>
      <c r="AZ382" s="98"/>
    </row>
    <row r="383">
      <c r="A383" s="3"/>
      <c r="B383" s="36"/>
      <c r="C383" s="91"/>
      <c r="D383" s="13"/>
      <c r="E383" s="13"/>
      <c r="F383" s="3"/>
      <c r="G383" s="3"/>
      <c r="H383" s="3"/>
      <c r="I383" s="13"/>
      <c r="J383" s="13"/>
      <c r="K383" s="13"/>
      <c r="L383" s="36"/>
      <c r="M383" s="91"/>
      <c r="N383" s="3"/>
      <c r="O383" s="3"/>
      <c r="P383" s="7"/>
      <c r="Q383" s="7"/>
      <c r="R383" s="166"/>
      <c r="S383" s="166"/>
      <c r="T383" s="7"/>
      <c r="U383" s="3"/>
      <c r="V383" s="13"/>
      <c r="W383" s="3"/>
      <c r="X383" s="166"/>
      <c r="Y383" s="7"/>
      <c r="Z383" s="13"/>
      <c r="AA383" s="7"/>
      <c r="AB383" s="7"/>
      <c r="AC383" s="257"/>
      <c r="AD383" s="166"/>
      <c r="AE383" s="258"/>
      <c r="AF383" s="7"/>
      <c r="AG383" s="7"/>
      <c r="AH383" s="166"/>
      <c r="AI383" s="13"/>
      <c r="AJ383" s="3"/>
      <c r="AK383" s="13"/>
      <c r="AL383" s="3"/>
      <c r="AM383" s="3"/>
      <c r="AN383" s="3"/>
      <c r="AO383" s="3"/>
      <c r="AP383" s="3"/>
      <c r="AQ383" s="3"/>
      <c r="AR383" s="3"/>
      <c r="AS383" s="98"/>
      <c r="AT383" s="98"/>
      <c r="AU383" s="98"/>
      <c r="AV383" s="98"/>
      <c r="AW383" s="98"/>
      <c r="AX383" s="98"/>
      <c r="AY383" s="98"/>
      <c r="AZ383" s="98"/>
    </row>
    <row r="384">
      <c r="A384" s="3"/>
      <c r="B384" s="36"/>
      <c r="C384" s="91"/>
      <c r="D384" s="13"/>
      <c r="E384" s="13"/>
      <c r="F384" s="3"/>
      <c r="G384" s="3"/>
      <c r="H384" s="3"/>
      <c r="I384" s="13"/>
      <c r="J384" s="13"/>
      <c r="K384" s="13"/>
      <c r="L384" s="36"/>
      <c r="M384" s="91"/>
      <c r="N384" s="3"/>
      <c r="O384" s="3"/>
      <c r="P384" s="7"/>
      <c r="Q384" s="7"/>
      <c r="R384" s="166"/>
      <c r="S384" s="166"/>
      <c r="T384" s="7"/>
      <c r="U384" s="3"/>
      <c r="V384" s="13"/>
      <c r="W384" s="3"/>
      <c r="X384" s="166"/>
      <c r="Y384" s="7"/>
      <c r="Z384" s="13"/>
      <c r="AA384" s="7"/>
      <c r="AB384" s="7"/>
      <c r="AC384" s="257"/>
      <c r="AD384" s="166"/>
      <c r="AE384" s="258"/>
      <c r="AF384" s="7"/>
      <c r="AG384" s="7"/>
      <c r="AH384" s="166"/>
      <c r="AI384" s="13"/>
      <c r="AJ384" s="3"/>
      <c r="AK384" s="13"/>
      <c r="AL384" s="3"/>
      <c r="AM384" s="3"/>
      <c r="AN384" s="3"/>
      <c r="AO384" s="3"/>
      <c r="AP384" s="3"/>
      <c r="AQ384" s="3"/>
      <c r="AR384" s="3"/>
      <c r="AS384" s="98"/>
      <c r="AT384" s="98"/>
      <c r="AU384" s="98"/>
      <c r="AV384" s="98"/>
      <c r="AW384" s="98"/>
      <c r="AX384" s="98"/>
      <c r="AY384" s="98"/>
      <c r="AZ384" s="98"/>
    </row>
    <row r="385">
      <c r="A385" s="3"/>
      <c r="B385" s="36"/>
      <c r="C385" s="91"/>
      <c r="D385" s="13"/>
      <c r="E385" s="13"/>
      <c r="F385" s="3"/>
      <c r="G385" s="3"/>
      <c r="H385" s="3"/>
      <c r="I385" s="13"/>
      <c r="J385" s="13"/>
      <c r="K385" s="13"/>
      <c r="L385" s="36"/>
      <c r="M385" s="91"/>
      <c r="N385" s="3"/>
      <c r="O385" s="3"/>
      <c r="P385" s="7"/>
      <c r="Q385" s="7"/>
      <c r="R385" s="166"/>
      <c r="S385" s="166"/>
      <c r="T385" s="7"/>
      <c r="U385" s="3"/>
      <c r="V385" s="13"/>
      <c r="W385" s="3"/>
      <c r="X385" s="166"/>
      <c r="Y385" s="7"/>
      <c r="Z385" s="13"/>
      <c r="AA385" s="7"/>
      <c r="AB385" s="7"/>
      <c r="AC385" s="257"/>
      <c r="AD385" s="166"/>
      <c r="AE385" s="258"/>
      <c r="AF385" s="7"/>
      <c r="AG385" s="7"/>
      <c r="AH385" s="166"/>
      <c r="AI385" s="13"/>
      <c r="AJ385" s="3"/>
      <c r="AK385" s="13"/>
      <c r="AL385" s="3"/>
      <c r="AM385" s="3"/>
      <c r="AN385" s="3"/>
      <c r="AO385" s="3"/>
      <c r="AP385" s="3"/>
      <c r="AQ385" s="3"/>
      <c r="AR385" s="3"/>
      <c r="AS385" s="98"/>
      <c r="AT385" s="98"/>
      <c r="AU385" s="98"/>
      <c r="AV385" s="98"/>
      <c r="AW385" s="98"/>
      <c r="AX385" s="98"/>
      <c r="AY385" s="98"/>
      <c r="AZ385" s="98"/>
    </row>
    <row r="386">
      <c r="A386" s="3"/>
      <c r="B386" s="36"/>
      <c r="C386" s="91"/>
      <c r="D386" s="13"/>
      <c r="E386" s="13"/>
      <c r="F386" s="3"/>
      <c r="G386" s="3"/>
      <c r="H386" s="3"/>
      <c r="I386" s="13"/>
      <c r="J386" s="13"/>
      <c r="K386" s="13"/>
      <c r="L386" s="36"/>
      <c r="M386" s="91"/>
      <c r="N386" s="3"/>
      <c r="O386" s="3"/>
      <c r="P386" s="7"/>
      <c r="Q386" s="7"/>
      <c r="R386" s="166"/>
      <c r="S386" s="166"/>
      <c r="T386" s="7"/>
      <c r="U386" s="3"/>
      <c r="V386" s="13"/>
      <c r="W386" s="3"/>
      <c r="X386" s="166"/>
      <c r="Y386" s="7"/>
      <c r="Z386" s="13"/>
      <c r="AA386" s="7"/>
      <c r="AB386" s="7"/>
      <c r="AC386" s="257"/>
      <c r="AD386" s="166"/>
      <c r="AE386" s="258"/>
      <c r="AF386" s="7"/>
      <c r="AG386" s="7"/>
      <c r="AH386" s="166"/>
      <c r="AI386" s="13"/>
      <c r="AJ386" s="3"/>
      <c r="AK386" s="13"/>
      <c r="AL386" s="3"/>
      <c r="AM386" s="3"/>
      <c r="AN386" s="3"/>
      <c r="AO386" s="3"/>
      <c r="AP386" s="3"/>
      <c r="AQ386" s="3"/>
      <c r="AR386" s="3"/>
      <c r="AS386" s="98"/>
      <c r="AT386" s="98"/>
      <c r="AU386" s="98"/>
      <c r="AV386" s="98"/>
      <c r="AW386" s="98"/>
      <c r="AX386" s="98"/>
      <c r="AY386" s="98"/>
      <c r="AZ386" s="98"/>
    </row>
    <row r="387">
      <c r="A387" s="3"/>
      <c r="B387" s="36"/>
      <c r="C387" s="91"/>
      <c r="D387" s="13"/>
      <c r="E387" s="13"/>
      <c r="F387" s="3"/>
      <c r="G387" s="3"/>
      <c r="H387" s="3"/>
      <c r="I387" s="13"/>
      <c r="J387" s="13"/>
      <c r="K387" s="13"/>
      <c r="L387" s="36"/>
      <c r="M387" s="91"/>
      <c r="N387" s="3"/>
      <c r="O387" s="3"/>
      <c r="P387" s="7"/>
      <c r="Q387" s="7"/>
      <c r="R387" s="166"/>
      <c r="S387" s="166"/>
      <c r="T387" s="7"/>
      <c r="U387" s="3"/>
      <c r="V387" s="13"/>
      <c r="W387" s="3"/>
      <c r="X387" s="166"/>
      <c r="Y387" s="7"/>
      <c r="Z387" s="13"/>
      <c r="AA387" s="7"/>
      <c r="AB387" s="7"/>
      <c r="AC387" s="257"/>
      <c r="AD387" s="166"/>
      <c r="AE387" s="258"/>
      <c r="AF387" s="7"/>
      <c r="AG387" s="7"/>
      <c r="AH387" s="166"/>
      <c r="AI387" s="13"/>
      <c r="AJ387" s="3"/>
      <c r="AK387" s="13"/>
      <c r="AL387" s="3"/>
      <c r="AM387" s="3"/>
      <c r="AN387" s="3"/>
      <c r="AO387" s="3"/>
      <c r="AP387" s="3"/>
      <c r="AQ387" s="3"/>
      <c r="AR387" s="3"/>
      <c r="AS387" s="98"/>
      <c r="AT387" s="98"/>
      <c r="AU387" s="98"/>
      <c r="AV387" s="98"/>
      <c r="AW387" s="98"/>
      <c r="AX387" s="98"/>
      <c r="AY387" s="98"/>
      <c r="AZ387" s="98"/>
    </row>
    <row r="388">
      <c r="A388" s="3"/>
      <c r="B388" s="36"/>
      <c r="C388" s="91"/>
      <c r="D388" s="13"/>
      <c r="E388" s="13"/>
      <c r="F388" s="3"/>
      <c r="G388" s="3"/>
      <c r="H388" s="3"/>
      <c r="I388" s="13"/>
      <c r="J388" s="13"/>
      <c r="K388" s="13"/>
      <c r="L388" s="36"/>
      <c r="M388" s="91"/>
      <c r="N388" s="3"/>
      <c r="O388" s="3"/>
      <c r="P388" s="7"/>
      <c r="Q388" s="7"/>
      <c r="R388" s="166"/>
      <c r="S388" s="166"/>
      <c r="T388" s="7"/>
      <c r="U388" s="3"/>
      <c r="V388" s="13"/>
      <c r="W388" s="3"/>
      <c r="X388" s="166"/>
      <c r="Y388" s="7"/>
      <c r="Z388" s="13"/>
      <c r="AA388" s="7"/>
      <c r="AB388" s="7"/>
      <c r="AC388" s="257"/>
      <c r="AD388" s="166"/>
      <c r="AE388" s="258"/>
      <c r="AF388" s="7"/>
      <c r="AG388" s="7"/>
      <c r="AH388" s="166"/>
      <c r="AI388" s="13"/>
      <c r="AJ388" s="3"/>
      <c r="AK388" s="13"/>
      <c r="AL388" s="3"/>
      <c r="AM388" s="3"/>
      <c r="AN388" s="3"/>
      <c r="AO388" s="3"/>
      <c r="AP388" s="3"/>
      <c r="AQ388" s="3"/>
      <c r="AR388" s="3"/>
      <c r="AS388" s="98"/>
      <c r="AT388" s="98"/>
      <c r="AU388" s="98"/>
      <c r="AV388" s="98"/>
      <c r="AW388" s="98"/>
      <c r="AX388" s="98"/>
      <c r="AY388" s="98"/>
      <c r="AZ388" s="98"/>
    </row>
    <row r="389">
      <c r="A389" s="3"/>
      <c r="B389" s="36"/>
      <c r="C389" s="91"/>
      <c r="D389" s="13"/>
      <c r="E389" s="13"/>
      <c r="F389" s="3"/>
      <c r="G389" s="3"/>
      <c r="H389" s="3"/>
      <c r="I389" s="13"/>
      <c r="J389" s="13"/>
      <c r="K389" s="13"/>
      <c r="L389" s="36"/>
      <c r="M389" s="91"/>
      <c r="N389" s="3"/>
      <c r="O389" s="3"/>
      <c r="P389" s="7"/>
      <c r="Q389" s="7"/>
      <c r="R389" s="166"/>
      <c r="S389" s="166"/>
      <c r="T389" s="7"/>
      <c r="U389" s="3"/>
      <c r="V389" s="13"/>
      <c r="W389" s="3"/>
      <c r="X389" s="166"/>
      <c r="Y389" s="7"/>
      <c r="Z389" s="13"/>
      <c r="AA389" s="7"/>
      <c r="AB389" s="7"/>
      <c r="AC389" s="257"/>
      <c r="AD389" s="166"/>
      <c r="AE389" s="258"/>
      <c r="AF389" s="7"/>
      <c r="AG389" s="7"/>
      <c r="AH389" s="166"/>
      <c r="AI389" s="13"/>
      <c r="AJ389" s="3"/>
      <c r="AK389" s="13"/>
      <c r="AL389" s="3"/>
      <c r="AM389" s="3"/>
      <c r="AN389" s="3"/>
      <c r="AO389" s="3"/>
      <c r="AP389" s="3"/>
      <c r="AQ389" s="3"/>
      <c r="AR389" s="3"/>
      <c r="AS389" s="98"/>
      <c r="AT389" s="98"/>
      <c r="AU389" s="98"/>
      <c r="AV389" s="98"/>
      <c r="AW389" s="98"/>
      <c r="AX389" s="98"/>
      <c r="AY389" s="98"/>
      <c r="AZ389" s="98"/>
    </row>
    <row r="390">
      <c r="A390" s="3"/>
      <c r="B390" s="36"/>
      <c r="C390" s="91"/>
      <c r="D390" s="13"/>
      <c r="E390" s="13"/>
      <c r="F390" s="3"/>
      <c r="G390" s="3"/>
      <c r="H390" s="3"/>
      <c r="I390" s="13"/>
      <c r="J390" s="13"/>
      <c r="K390" s="13"/>
      <c r="L390" s="36"/>
      <c r="M390" s="91"/>
      <c r="N390" s="3"/>
      <c r="O390" s="3"/>
      <c r="P390" s="7"/>
      <c r="Q390" s="7"/>
      <c r="R390" s="166"/>
      <c r="S390" s="166"/>
      <c r="T390" s="7"/>
      <c r="U390" s="3"/>
      <c r="V390" s="13"/>
      <c r="W390" s="3"/>
      <c r="X390" s="166"/>
      <c r="Y390" s="7"/>
      <c r="Z390" s="13"/>
      <c r="AA390" s="7"/>
      <c r="AB390" s="7"/>
      <c r="AC390" s="257"/>
      <c r="AD390" s="166"/>
      <c r="AE390" s="258"/>
      <c r="AF390" s="7"/>
      <c r="AG390" s="7"/>
      <c r="AH390" s="166"/>
      <c r="AI390" s="13"/>
      <c r="AJ390" s="3"/>
      <c r="AK390" s="13"/>
      <c r="AL390" s="3"/>
      <c r="AM390" s="3"/>
      <c r="AN390" s="3"/>
      <c r="AO390" s="3"/>
      <c r="AP390" s="3"/>
      <c r="AQ390" s="3"/>
      <c r="AR390" s="3"/>
      <c r="AS390" s="98"/>
      <c r="AT390" s="98"/>
      <c r="AU390" s="98"/>
      <c r="AV390" s="98"/>
      <c r="AW390" s="98"/>
      <c r="AX390" s="98"/>
      <c r="AY390" s="98"/>
      <c r="AZ390" s="98"/>
    </row>
    <row r="391">
      <c r="A391" s="3"/>
      <c r="B391" s="36"/>
      <c r="C391" s="91"/>
      <c r="D391" s="13"/>
      <c r="E391" s="13"/>
      <c r="F391" s="3"/>
      <c r="G391" s="3"/>
      <c r="H391" s="3"/>
      <c r="I391" s="13"/>
      <c r="J391" s="13"/>
      <c r="K391" s="13"/>
      <c r="L391" s="36"/>
      <c r="M391" s="91"/>
      <c r="N391" s="3"/>
      <c r="O391" s="3"/>
      <c r="P391" s="7"/>
      <c r="Q391" s="7"/>
      <c r="R391" s="166"/>
      <c r="S391" s="166"/>
      <c r="T391" s="7"/>
      <c r="U391" s="3"/>
      <c r="V391" s="13"/>
      <c r="W391" s="3"/>
      <c r="X391" s="166"/>
      <c r="Y391" s="7"/>
      <c r="Z391" s="13"/>
      <c r="AA391" s="7"/>
      <c r="AB391" s="7"/>
      <c r="AC391" s="257"/>
      <c r="AD391" s="166"/>
      <c r="AE391" s="258"/>
      <c r="AF391" s="7"/>
      <c r="AG391" s="7"/>
      <c r="AH391" s="166"/>
      <c r="AI391" s="13"/>
      <c r="AJ391" s="3"/>
      <c r="AK391" s="13"/>
      <c r="AL391" s="3"/>
      <c r="AM391" s="3"/>
      <c r="AN391" s="3"/>
      <c r="AO391" s="3"/>
      <c r="AP391" s="3"/>
      <c r="AQ391" s="3"/>
      <c r="AR391" s="3"/>
      <c r="AS391" s="98"/>
      <c r="AT391" s="98"/>
      <c r="AU391" s="98"/>
      <c r="AV391" s="98"/>
      <c r="AW391" s="98"/>
      <c r="AX391" s="98"/>
      <c r="AY391" s="98"/>
      <c r="AZ391" s="98"/>
    </row>
    <row r="392">
      <c r="A392" s="3"/>
      <c r="B392" s="36"/>
      <c r="C392" s="91"/>
      <c r="D392" s="13"/>
      <c r="E392" s="13"/>
      <c r="F392" s="3"/>
      <c r="G392" s="3"/>
      <c r="H392" s="3"/>
      <c r="I392" s="13"/>
      <c r="J392" s="13"/>
      <c r="K392" s="13"/>
      <c r="L392" s="36"/>
      <c r="M392" s="91"/>
      <c r="N392" s="3"/>
      <c r="O392" s="3"/>
      <c r="P392" s="7"/>
      <c r="Q392" s="7"/>
      <c r="R392" s="166"/>
      <c r="S392" s="166"/>
      <c r="T392" s="7"/>
      <c r="U392" s="3"/>
      <c r="V392" s="13"/>
      <c r="W392" s="3"/>
      <c r="X392" s="166"/>
      <c r="Y392" s="7"/>
      <c r="Z392" s="13"/>
      <c r="AA392" s="7"/>
      <c r="AB392" s="7"/>
      <c r="AC392" s="257"/>
      <c r="AD392" s="166"/>
      <c r="AE392" s="258"/>
      <c r="AF392" s="7"/>
      <c r="AG392" s="7"/>
      <c r="AH392" s="166"/>
      <c r="AI392" s="13"/>
      <c r="AJ392" s="3"/>
      <c r="AK392" s="13"/>
      <c r="AL392" s="3"/>
      <c r="AM392" s="3"/>
      <c r="AN392" s="3"/>
      <c r="AO392" s="3"/>
      <c r="AP392" s="3"/>
      <c r="AQ392" s="3"/>
      <c r="AR392" s="3"/>
      <c r="AS392" s="98"/>
      <c r="AT392" s="98"/>
      <c r="AU392" s="98"/>
      <c r="AV392" s="98"/>
      <c r="AW392" s="98"/>
      <c r="AX392" s="98"/>
      <c r="AY392" s="98"/>
      <c r="AZ392" s="98"/>
    </row>
    <row r="393">
      <c r="A393" s="3"/>
      <c r="B393" s="36"/>
      <c r="C393" s="91"/>
      <c r="D393" s="13"/>
      <c r="E393" s="13"/>
      <c r="F393" s="3"/>
      <c r="G393" s="3"/>
      <c r="H393" s="3"/>
      <c r="I393" s="13"/>
      <c r="J393" s="13"/>
      <c r="K393" s="13"/>
      <c r="L393" s="36"/>
      <c r="M393" s="91"/>
      <c r="N393" s="3"/>
      <c r="O393" s="3"/>
      <c r="P393" s="7"/>
      <c r="Q393" s="7"/>
      <c r="R393" s="166"/>
      <c r="S393" s="166"/>
      <c r="T393" s="7"/>
      <c r="U393" s="3"/>
      <c r="V393" s="13"/>
      <c r="W393" s="3"/>
      <c r="X393" s="166"/>
      <c r="Y393" s="7"/>
      <c r="Z393" s="13"/>
      <c r="AA393" s="7"/>
      <c r="AB393" s="7"/>
      <c r="AC393" s="257"/>
      <c r="AD393" s="166"/>
      <c r="AE393" s="258"/>
      <c r="AF393" s="7"/>
      <c r="AG393" s="7"/>
      <c r="AH393" s="166"/>
      <c r="AI393" s="13"/>
      <c r="AJ393" s="3"/>
      <c r="AK393" s="13"/>
      <c r="AL393" s="3"/>
      <c r="AM393" s="3"/>
      <c r="AN393" s="3"/>
      <c r="AO393" s="3"/>
      <c r="AP393" s="3"/>
      <c r="AQ393" s="3"/>
      <c r="AR393" s="3"/>
      <c r="AS393" s="98"/>
      <c r="AT393" s="98"/>
      <c r="AU393" s="98"/>
      <c r="AV393" s="98"/>
      <c r="AW393" s="98"/>
      <c r="AX393" s="98"/>
      <c r="AY393" s="98"/>
      <c r="AZ393" s="98"/>
    </row>
    <row r="394">
      <c r="A394" s="3"/>
      <c r="B394" s="36"/>
      <c r="C394" s="91"/>
      <c r="D394" s="13"/>
      <c r="E394" s="13"/>
      <c r="F394" s="3"/>
      <c r="G394" s="3"/>
      <c r="H394" s="3"/>
      <c r="I394" s="13"/>
      <c r="J394" s="13"/>
      <c r="K394" s="13"/>
      <c r="L394" s="36"/>
      <c r="M394" s="91"/>
      <c r="N394" s="3"/>
      <c r="O394" s="3"/>
      <c r="P394" s="7"/>
      <c r="Q394" s="7"/>
      <c r="R394" s="166"/>
      <c r="S394" s="166"/>
      <c r="T394" s="7"/>
      <c r="U394" s="3"/>
      <c r="V394" s="13"/>
      <c r="W394" s="3"/>
      <c r="X394" s="166"/>
      <c r="Y394" s="7"/>
      <c r="Z394" s="13"/>
      <c r="AA394" s="7"/>
      <c r="AB394" s="7"/>
      <c r="AC394" s="257"/>
      <c r="AD394" s="166"/>
      <c r="AE394" s="258"/>
      <c r="AF394" s="7"/>
      <c r="AG394" s="7"/>
      <c r="AH394" s="166"/>
      <c r="AI394" s="13"/>
      <c r="AJ394" s="3"/>
      <c r="AK394" s="13"/>
      <c r="AL394" s="3"/>
      <c r="AM394" s="3"/>
      <c r="AN394" s="3"/>
      <c r="AO394" s="3"/>
      <c r="AP394" s="3"/>
      <c r="AQ394" s="3"/>
      <c r="AR394" s="3"/>
      <c r="AS394" s="98"/>
      <c r="AT394" s="98"/>
      <c r="AU394" s="98"/>
      <c r="AV394" s="98"/>
      <c r="AW394" s="98"/>
      <c r="AX394" s="98"/>
      <c r="AY394" s="98"/>
      <c r="AZ394" s="98"/>
    </row>
    <row r="395">
      <c r="A395" s="3"/>
      <c r="B395" s="36"/>
      <c r="C395" s="91"/>
      <c r="D395" s="13"/>
      <c r="E395" s="13"/>
      <c r="F395" s="3"/>
      <c r="G395" s="3"/>
      <c r="H395" s="3"/>
      <c r="I395" s="13"/>
      <c r="J395" s="13"/>
      <c r="K395" s="13"/>
      <c r="L395" s="36"/>
      <c r="M395" s="91"/>
      <c r="N395" s="3"/>
      <c r="O395" s="3"/>
      <c r="P395" s="7"/>
      <c r="Q395" s="7"/>
      <c r="R395" s="166"/>
      <c r="S395" s="166"/>
      <c r="T395" s="7"/>
      <c r="U395" s="3"/>
      <c r="V395" s="13"/>
      <c r="W395" s="3"/>
      <c r="X395" s="166"/>
      <c r="Y395" s="7"/>
      <c r="Z395" s="13"/>
      <c r="AA395" s="7"/>
      <c r="AB395" s="7"/>
      <c r="AC395" s="257"/>
      <c r="AD395" s="166"/>
      <c r="AE395" s="258"/>
      <c r="AF395" s="7"/>
      <c r="AG395" s="7"/>
      <c r="AH395" s="166"/>
      <c r="AI395" s="13"/>
      <c r="AJ395" s="3"/>
      <c r="AK395" s="13"/>
      <c r="AL395" s="3"/>
      <c r="AM395" s="3"/>
      <c r="AN395" s="3"/>
      <c r="AO395" s="3"/>
      <c r="AP395" s="3"/>
      <c r="AQ395" s="3"/>
      <c r="AR395" s="3"/>
      <c r="AS395" s="98"/>
      <c r="AT395" s="98"/>
      <c r="AU395" s="98"/>
      <c r="AV395" s="98"/>
      <c r="AW395" s="98"/>
      <c r="AX395" s="98"/>
      <c r="AY395" s="98"/>
      <c r="AZ395" s="98"/>
    </row>
    <row r="396">
      <c r="A396" s="3"/>
      <c r="B396" s="36"/>
      <c r="C396" s="91"/>
      <c r="D396" s="13"/>
      <c r="E396" s="13"/>
      <c r="F396" s="3"/>
      <c r="G396" s="3"/>
      <c r="H396" s="3"/>
      <c r="I396" s="13"/>
      <c r="J396" s="13"/>
      <c r="K396" s="13"/>
      <c r="L396" s="36"/>
      <c r="M396" s="91"/>
      <c r="N396" s="3"/>
      <c r="O396" s="3"/>
      <c r="P396" s="7"/>
      <c r="Q396" s="7"/>
      <c r="R396" s="166"/>
      <c r="S396" s="166"/>
      <c r="T396" s="7"/>
      <c r="U396" s="3"/>
      <c r="V396" s="13"/>
      <c r="W396" s="3"/>
      <c r="X396" s="166"/>
      <c r="Y396" s="7"/>
      <c r="Z396" s="13"/>
      <c r="AA396" s="7"/>
      <c r="AB396" s="7"/>
      <c r="AC396" s="257"/>
      <c r="AD396" s="166"/>
      <c r="AE396" s="258"/>
      <c r="AF396" s="7"/>
      <c r="AG396" s="7"/>
      <c r="AH396" s="166"/>
      <c r="AI396" s="13"/>
      <c r="AJ396" s="3"/>
      <c r="AK396" s="13"/>
      <c r="AL396" s="3"/>
      <c r="AM396" s="3"/>
      <c r="AN396" s="3"/>
      <c r="AO396" s="3"/>
      <c r="AP396" s="3"/>
      <c r="AQ396" s="3"/>
      <c r="AR396" s="3"/>
      <c r="AS396" s="98"/>
      <c r="AT396" s="98"/>
      <c r="AU396" s="98"/>
      <c r="AV396" s="98"/>
      <c r="AW396" s="98"/>
      <c r="AX396" s="98"/>
      <c r="AY396" s="98"/>
      <c r="AZ396" s="98"/>
    </row>
    <row r="397">
      <c r="A397" s="3"/>
      <c r="B397" s="36"/>
      <c r="C397" s="91"/>
      <c r="D397" s="13"/>
      <c r="E397" s="13"/>
      <c r="F397" s="3"/>
      <c r="G397" s="3"/>
      <c r="H397" s="3"/>
      <c r="I397" s="13"/>
      <c r="J397" s="13"/>
      <c r="K397" s="13"/>
      <c r="L397" s="36"/>
      <c r="M397" s="91"/>
      <c r="N397" s="3"/>
      <c r="O397" s="3"/>
      <c r="P397" s="7"/>
      <c r="Q397" s="7"/>
      <c r="R397" s="166"/>
      <c r="S397" s="166"/>
      <c r="T397" s="7"/>
      <c r="U397" s="3"/>
      <c r="V397" s="13"/>
      <c r="W397" s="3"/>
      <c r="X397" s="166"/>
      <c r="Y397" s="7"/>
      <c r="Z397" s="13"/>
      <c r="AA397" s="7"/>
      <c r="AB397" s="7"/>
      <c r="AC397" s="257"/>
      <c r="AD397" s="166"/>
      <c r="AE397" s="258"/>
      <c r="AF397" s="7"/>
      <c r="AG397" s="7"/>
      <c r="AH397" s="166"/>
      <c r="AI397" s="13"/>
      <c r="AJ397" s="3"/>
      <c r="AK397" s="13"/>
      <c r="AL397" s="3"/>
      <c r="AM397" s="3"/>
      <c r="AN397" s="3"/>
      <c r="AO397" s="3"/>
      <c r="AP397" s="3"/>
      <c r="AQ397" s="3"/>
      <c r="AR397" s="3"/>
      <c r="AS397" s="98"/>
      <c r="AT397" s="98"/>
      <c r="AU397" s="98"/>
      <c r="AV397" s="98"/>
      <c r="AW397" s="98"/>
      <c r="AX397" s="98"/>
      <c r="AY397" s="98"/>
      <c r="AZ397" s="98"/>
    </row>
    <row r="398">
      <c r="A398" s="3"/>
      <c r="B398" s="36"/>
      <c r="C398" s="91"/>
      <c r="D398" s="13"/>
      <c r="E398" s="13"/>
      <c r="F398" s="3"/>
      <c r="G398" s="3"/>
      <c r="H398" s="3"/>
      <c r="I398" s="13"/>
      <c r="J398" s="13"/>
      <c r="K398" s="13"/>
      <c r="L398" s="36"/>
      <c r="M398" s="91"/>
      <c r="N398" s="3"/>
      <c r="O398" s="3"/>
      <c r="P398" s="7"/>
      <c r="Q398" s="7"/>
      <c r="R398" s="166"/>
      <c r="S398" s="166"/>
      <c r="T398" s="7"/>
      <c r="U398" s="3"/>
      <c r="V398" s="13"/>
      <c r="W398" s="3"/>
      <c r="X398" s="166"/>
      <c r="Y398" s="7"/>
      <c r="Z398" s="13"/>
      <c r="AA398" s="7"/>
      <c r="AB398" s="7"/>
      <c r="AC398" s="257"/>
      <c r="AD398" s="166"/>
      <c r="AE398" s="258"/>
      <c r="AF398" s="7"/>
      <c r="AG398" s="7"/>
      <c r="AH398" s="166"/>
      <c r="AI398" s="13"/>
      <c r="AJ398" s="3"/>
      <c r="AK398" s="13"/>
      <c r="AL398" s="3"/>
      <c r="AM398" s="3"/>
      <c r="AN398" s="3"/>
      <c r="AO398" s="3"/>
      <c r="AP398" s="3"/>
      <c r="AQ398" s="3"/>
      <c r="AR398" s="3"/>
      <c r="AS398" s="98"/>
      <c r="AT398" s="98"/>
      <c r="AU398" s="98"/>
      <c r="AV398" s="98"/>
      <c r="AW398" s="98"/>
      <c r="AX398" s="98"/>
      <c r="AY398" s="98"/>
      <c r="AZ398" s="98"/>
    </row>
    <row r="399">
      <c r="A399" s="3"/>
      <c r="B399" s="36"/>
      <c r="C399" s="91"/>
      <c r="D399" s="13"/>
      <c r="E399" s="13"/>
      <c r="F399" s="3"/>
      <c r="G399" s="3"/>
      <c r="H399" s="3"/>
      <c r="I399" s="13"/>
      <c r="J399" s="13"/>
      <c r="K399" s="13"/>
      <c r="L399" s="36"/>
      <c r="M399" s="91"/>
      <c r="N399" s="3"/>
      <c r="O399" s="3"/>
      <c r="P399" s="7"/>
      <c r="Q399" s="7"/>
      <c r="R399" s="166"/>
      <c r="S399" s="166"/>
      <c r="T399" s="7"/>
      <c r="U399" s="3"/>
      <c r="V399" s="13"/>
      <c r="W399" s="3"/>
      <c r="X399" s="166"/>
      <c r="Y399" s="7"/>
      <c r="Z399" s="13"/>
      <c r="AA399" s="7"/>
      <c r="AB399" s="7"/>
      <c r="AC399" s="257"/>
      <c r="AD399" s="166"/>
      <c r="AE399" s="258"/>
      <c r="AF399" s="7"/>
      <c r="AG399" s="7"/>
      <c r="AH399" s="166"/>
      <c r="AI399" s="13"/>
      <c r="AJ399" s="3"/>
      <c r="AK399" s="13"/>
      <c r="AL399" s="3"/>
      <c r="AM399" s="3"/>
      <c r="AN399" s="3"/>
      <c r="AO399" s="3"/>
      <c r="AP399" s="3"/>
      <c r="AQ399" s="3"/>
      <c r="AR399" s="3"/>
      <c r="AS399" s="98"/>
      <c r="AT399" s="98"/>
      <c r="AU399" s="98"/>
      <c r="AV399" s="98"/>
      <c r="AW399" s="98"/>
      <c r="AX399" s="98"/>
      <c r="AY399" s="98"/>
      <c r="AZ399" s="98"/>
    </row>
    <row r="400">
      <c r="A400" s="3"/>
      <c r="B400" s="36"/>
      <c r="C400" s="91"/>
      <c r="D400" s="13"/>
      <c r="E400" s="13"/>
      <c r="F400" s="3"/>
      <c r="G400" s="3"/>
      <c r="H400" s="3"/>
      <c r="I400" s="13"/>
      <c r="J400" s="13"/>
      <c r="K400" s="13"/>
      <c r="L400" s="36"/>
      <c r="M400" s="91"/>
      <c r="N400" s="3"/>
      <c r="O400" s="3"/>
      <c r="P400" s="7"/>
      <c r="Q400" s="7"/>
      <c r="R400" s="166"/>
      <c r="S400" s="166"/>
      <c r="T400" s="7"/>
      <c r="U400" s="3"/>
      <c r="V400" s="13"/>
      <c r="W400" s="3"/>
      <c r="X400" s="166"/>
      <c r="Y400" s="7"/>
      <c r="Z400" s="13"/>
      <c r="AA400" s="7"/>
      <c r="AB400" s="7"/>
      <c r="AC400" s="257"/>
      <c r="AD400" s="166"/>
      <c r="AE400" s="258"/>
      <c r="AF400" s="7"/>
      <c r="AG400" s="7"/>
      <c r="AH400" s="166"/>
      <c r="AI400" s="13"/>
      <c r="AJ400" s="3"/>
      <c r="AK400" s="13"/>
      <c r="AL400" s="3"/>
      <c r="AM400" s="3"/>
      <c r="AN400" s="3"/>
      <c r="AO400" s="3"/>
      <c r="AP400" s="3"/>
      <c r="AQ400" s="3"/>
      <c r="AR400" s="3"/>
      <c r="AS400" s="98"/>
      <c r="AT400" s="98"/>
      <c r="AU400" s="98"/>
      <c r="AV400" s="98"/>
      <c r="AW400" s="98"/>
      <c r="AX400" s="98"/>
      <c r="AY400" s="98"/>
      <c r="AZ400" s="98"/>
    </row>
    <row r="401">
      <c r="A401" s="3"/>
      <c r="B401" s="36"/>
      <c r="C401" s="91"/>
      <c r="D401" s="13"/>
      <c r="E401" s="13"/>
      <c r="F401" s="3"/>
      <c r="G401" s="3"/>
      <c r="H401" s="3"/>
      <c r="I401" s="13"/>
      <c r="J401" s="13"/>
      <c r="K401" s="13"/>
      <c r="L401" s="36"/>
      <c r="M401" s="91"/>
      <c r="N401" s="3"/>
      <c r="O401" s="3"/>
      <c r="P401" s="7"/>
      <c r="Q401" s="7"/>
      <c r="R401" s="166"/>
      <c r="S401" s="166"/>
      <c r="T401" s="7"/>
      <c r="U401" s="3"/>
      <c r="V401" s="13"/>
      <c r="W401" s="3"/>
      <c r="X401" s="166"/>
      <c r="Y401" s="7"/>
      <c r="Z401" s="13"/>
      <c r="AA401" s="7"/>
      <c r="AB401" s="7"/>
      <c r="AC401" s="257"/>
      <c r="AD401" s="166"/>
      <c r="AE401" s="258"/>
      <c r="AF401" s="7"/>
      <c r="AG401" s="7"/>
      <c r="AH401" s="166"/>
      <c r="AI401" s="13"/>
      <c r="AJ401" s="3"/>
      <c r="AK401" s="13"/>
      <c r="AL401" s="3"/>
      <c r="AM401" s="3"/>
      <c r="AN401" s="3"/>
      <c r="AO401" s="3"/>
      <c r="AP401" s="3"/>
      <c r="AQ401" s="3"/>
      <c r="AR401" s="3"/>
      <c r="AS401" s="98"/>
      <c r="AT401" s="98"/>
      <c r="AU401" s="98"/>
      <c r="AV401" s="98"/>
      <c r="AW401" s="98"/>
      <c r="AX401" s="98"/>
      <c r="AY401" s="98"/>
      <c r="AZ401" s="98"/>
    </row>
    <row r="402">
      <c r="A402" s="3"/>
      <c r="B402" s="36"/>
      <c r="C402" s="91"/>
      <c r="D402" s="13"/>
      <c r="E402" s="13"/>
      <c r="F402" s="3"/>
      <c r="G402" s="3"/>
      <c r="H402" s="3"/>
      <c r="I402" s="13"/>
      <c r="J402" s="13"/>
      <c r="K402" s="13"/>
      <c r="L402" s="36"/>
      <c r="M402" s="91"/>
      <c r="N402" s="3"/>
      <c r="O402" s="3"/>
      <c r="P402" s="7"/>
      <c r="Q402" s="7"/>
      <c r="R402" s="166"/>
      <c r="S402" s="166"/>
      <c r="T402" s="7"/>
      <c r="U402" s="3"/>
      <c r="V402" s="13"/>
      <c r="W402" s="3"/>
      <c r="X402" s="166"/>
      <c r="Y402" s="7"/>
      <c r="Z402" s="13"/>
      <c r="AA402" s="7"/>
      <c r="AB402" s="7"/>
      <c r="AC402" s="257"/>
      <c r="AD402" s="166"/>
      <c r="AE402" s="258"/>
      <c r="AF402" s="7"/>
      <c r="AG402" s="7"/>
      <c r="AH402" s="166"/>
      <c r="AI402" s="13"/>
      <c r="AJ402" s="3"/>
      <c r="AK402" s="13"/>
      <c r="AL402" s="3"/>
      <c r="AM402" s="3"/>
      <c r="AN402" s="3"/>
      <c r="AO402" s="3"/>
      <c r="AP402" s="3"/>
      <c r="AQ402" s="3"/>
      <c r="AR402" s="3"/>
      <c r="AS402" s="98"/>
      <c r="AT402" s="98"/>
      <c r="AU402" s="98"/>
      <c r="AV402" s="98"/>
      <c r="AW402" s="98"/>
      <c r="AX402" s="98"/>
      <c r="AY402" s="98"/>
      <c r="AZ402" s="98"/>
    </row>
    <row r="403">
      <c r="A403" s="3"/>
      <c r="B403" s="36"/>
      <c r="C403" s="91"/>
      <c r="D403" s="13"/>
      <c r="E403" s="13"/>
      <c r="F403" s="3"/>
      <c r="G403" s="3"/>
      <c r="H403" s="3"/>
      <c r="I403" s="13"/>
      <c r="J403" s="13"/>
      <c r="K403" s="13"/>
      <c r="L403" s="36"/>
      <c r="M403" s="91"/>
      <c r="N403" s="3"/>
      <c r="O403" s="3"/>
      <c r="P403" s="7"/>
      <c r="Q403" s="7"/>
      <c r="R403" s="166"/>
      <c r="S403" s="166"/>
      <c r="T403" s="7"/>
      <c r="U403" s="3"/>
      <c r="V403" s="13"/>
      <c r="W403" s="3"/>
      <c r="X403" s="166"/>
      <c r="Y403" s="7"/>
      <c r="Z403" s="13"/>
      <c r="AA403" s="7"/>
      <c r="AB403" s="7"/>
      <c r="AC403" s="257"/>
      <c r="AD403" s="166"/>
      <c r="AE403" s="258"/>
      <c r="AF403" s="7"/>
      <c r="AG403" s="7"/>
      <c r="AH403" s="166"/>
      <c r="AI403" s="13"/>
      <c r="AJ403" s="3"/>
      <c r="AK403" s="13"/>
      <c r="AL403" s="3"/>
      <c r="AM403" s="3"/>
      <c r="AN403" s="3"/>
      <c r="AO403" s="3"/>
      <c r="AP403" s="3"/>
      <c r="AQ403" s="3"/>
      <c r="AR403" s="3"/>
      <c r="AS403" s="98"/>
      <c r="AT403" s="98"/>
      <c r="AU403" s="98"/>
      <c r="AV403" s="98"/>
      <c r="AW403" s="98"/>
      <c r="AX403" s="98"/>
      <c r="AY403" s="98"/>
      <c r="AZ403" s="98"/>
    </row>
    <row r="404">
      <c r="A404" s="3"/>
      <c r="B404" s="36"/>
      <c r="C404" s="91"/>
      <c r="D404" s="13"/>
      <c r="E404" s="13"/>
      <c r="F404" s="3"/>
      <c r="G404" s="3"/>
      <c r="H404" s="3"/>
      <c r="I404" s="13"/>
      <c r="J404" s="13"/>
      <c r="K404" s="13"/>
      <c r="L404" s="36"/>
      <c r="M404" s="91"/>
      <c r="N404" s="3"/>
      <c r="O404" s="3"/>
      <c r="P404" s="7"/>
      <c r="Q404" s="7"/>
      <c r="R404" s="166"/>
      <c r="S404" s="166"/>
      <c r="T404" s="7"/>
      <c r="U404" s="3"/>
      <c r="V404" s="13"/>
      <c r="W404" s="3"/>
      <c r="X404" s="166"/>
      <c r="Y404" s="7"/>
      <c r="Z404" s="13"/>
      <c r="AA404" s="7"/>
      <c r="AB404" s="7"/>
      <c r="AC404" s="257"/>
      <c r="AD404" s="166"/>
      <c r="AE404" s="258"/>
      <c r="AF404" s="7"/>
      <c r="AG404" s="7"/>
      <c r="AH404" s="166"/>
      <c r="AI404" s="13"/>
      <c r="AJ404" s="3"/>
      <c r="AK404" s="13"/>
      <c r="AL404" s="3"/>
      <c r="AM404" s="3"/>
      <c r="AN404" s="3"/>
      <c r="AO404" s="3"/>
      <c r="AP404" s="3"/>
      <c r="AQ404" s="3"/>
      <c r="AR404" s="3"/>
      <c r="AS404" s="98"/>
      <c r="AT404" s="98"/>
      <c r="AU404" s="98"/>
      <c r="AV404" s="98"/>
      <c r="AW404" s="98"/>
      <c r="AX404" s="98"/>
      <c r="AY404" s="98"/>
      <c r="AZ404" s="98"/>
    </row>
    <row r="405">
      <c r="A405" s="3"/>
      <c r="B405" s="36"/>
      <c r="C405" s="91"/>
      <c r="D405" s="13"/>
      <c r="E405" s="13"/>
      <c r="F405" s="3"/>
      <c r="G405" s="3"/>
      <c r="H405" s="3"/>
      <c r="I405" s="13"/>
      <c r="J405" s="13"/>
      <c r="K405" s="13"/>
      <c r="L405" s="36"/>
      <c r="M405" s="91"/>
      <c r="N405" s="3"/>
      <c r="O405" s="3"/>
      <c r="P405" s="7"/>
      <c r="Q405" s="7"/>
      <c r="R405" s="166"/>
      <c r="S405" s="166"/>
      <c r="T405" s="7"/>
      <c r="U405" s="3"/>
      <c r="V405" s="13"/>
      <c r="W405" s="3"/>
      <c r="X405" s="166"/>
      <c r="Y405" s="7"/>
      <c r="Z405" s="13"/>
      <c r="AA405" s="7"/>
      <c r="AB405" s="7"/>
      <c r="AC405" s="257"/>
      <c r="AD405" s="166"/>
      <c r="AE405" s="258"/>
      <c r="AF405" s="7"/>
      <c r="AG405" s="7"/>
      <c r="AH405" s="166"/>
      <c r="AI405" s="13"/>
      <c r="AJ405" s="3"/>
      <c r="AK405" s="13"/>
      <c r="AL405" s="3"/>
      <c r="AM405" s="3"/>
      <c r="AN405" s="3"/>
      <c r="AO405" s="3"/>
      <c r="AP405" s="3"/>
      <c r="AQ405" s="3"/>
      <c r="AR405" s="3"/>
      <c r="AS405" s="98"/>
      <c r="AT405" s="98"/>
      <c r="AU405" s="98"/>
      <c r="AV405" s="98"/>
      <c r="AW405" s="98"/>
      <c r="AX405" s="98"/>
      <c r="AY405" s="98"/>
      <c r="AZ405" s="98"/>
    </row>
    <row r="406">
      <c r="A406" s="3"/>
      <c r="B406" s="36"/>
      <c r="C406" s="91"/>
      <c r="D406" s="13"/>
      <c r="E406" s="13"/>
      <c r="F406" s="3"/>
      <c r="G406" s="3"/>
      <c r="H406" s="3"/>
      <c r="I406" s="13"/>
      <c r="J406" s="13"/>
      <c r="K406" s="13"/>
      <c r="L406" s="36"/>
      <c r="M406" s="91"/>
      <c r="N406" s="3"/>
      <c r="O406" s="3"/>
      <c r="P406" s="7"/>
      <c r="Q406" s="7"/>
      <c r="R406" s="166"/>
      <c r="S406" s="166"/>
      <c r="T406" s="7"/>
      <c r="U406" s="3"/>
      <c r="V406" s="13"/>
      <c r="W406" s="3"/>
      <c r="X406" s="166"/>
      <c r="Y406" s="7"/>
      <c r="Z406" s="13"/>
      <c r="AA406" s="7"/>
      <c r="AB406" s="7"/>
      <c r="AC406" s="257"/>
      <c r="AD406" s="166"/>
      <c r="AE406" s="258"/>
      <c r="AF406" s="7"/>
      <c r="AG406" s="7"/>
      <c r="AH406" s="166"/>
      <c r="AI406" s="13"/>
      <c r="AJ406" s="3"/>
      <c r="AK406" s="13"/>
      <c r="AL406" s="3"/>
      <c r="AM406" s="3"/>
      <c r="AN406" s="3"/>
      <c r="AO406" s="3"/>
      <c r="AP406" s="3"/>
      <c r="AQ406" s="3"/>
      <c r="AR406" s="3"/>
      <c r="AS406" s="98"/>
      <c r="AT406" s="98"/>
      <c r="AU406" s="98"/>
      <c r="AV406" s="98"/>
      <c r="AW406" s="98"/>
      <c r="AX406" s="98"/>
      <c r="AY406" s="98"/>
      <c r="AZ406" s="98"/>
    </row>
    <row r="407">
      <c r="A407" s="3"/>
      <c r="B407" s="36"/>
      <c r="C407" s="91"/>
      <c r="D407" s="13"/>
      <c r="E407" s="13"/>
      <c r="F407" s="3"/>
      <c r="G407" s="3"/>
      <c r="H407" s="3"/>
      <c r="I407" s="13"/>
      <c r="J407" s="13"/>
      <c r="K407" s="13"/>
      <c r="L407" s="36"/>
      <c r="M407" s="91"/>
      <c r="N407" s="3"/>
      <c r="O407" s="3"/>
      <c r="P407" s="7"/>
      <c r="Q407" s="7"/>
      <c r="R407" s="166"/>
      <c r="S407" s="166"/>
      <c r="T407" s="7"/>
      <c r="U407" s="3"/>
      <c r="V407" s="13"/>
      <c r="W407" s="3"/>
      <c r="X407" s="166"/>
      <c r="Y407" s="7"/>
      <c r="Z407" s="13"/>
      <c r="AA407" s="7"/>
      <c r="AB407" s="7"/>
      <c r="AC407" s="257"/>
      <c r="AD407" s="166"/>
      <c r="AE407" s="258"/>
      <c r="AF407" s="7"/>
      <c r="AG407" s="7"/>
      <c r="AH407" s="166"/>
      <c r="AI407" s="13"/>
      <c r="AJ407" s="3"/>
      <c r="AK407" s="13"/>
      <c r="AL407" s="3"/>
      <c r="AM407" s="3"/>
      <c r="AN407" s="3"/>
      <c r="AO407" s="3"/>
      <c r="AP407" s="3"/>
      <c r="AQ407" s="3"/>
      <c r="AR407" s="3"/>
      <c r="AS407" s="98"/>
      <c r="AT407" s="98"/>
      <c r="AU407" s="98"/>
      <c r="AV407" s="98"/>
      <c r="AW407" s="98"/>
      <c r="AX407" s="98"/>
      <c r="AY407" s="98"/>
      <c r="AZ407" s="98"/>
    </row>
    <row r="408">
      <c r="A408" s="3"/>
      <c r="B408" s="36"/>
      <c r="C408" s="91"/>
      <c r="D408" s="13"/>
      <c r="E408" s="13"/>
      <c r="F408" s="3"/>
      <c r="G408" s="3"/>
      <c r="H408" s="3"/>
      <c r="I408" s="13"/>
      <c r="J408" s="13"/>
      <c r="K408" s="13"/>
      <c r="L408" s="36"/>
      <c r="M408" s="91"/>
      <c r="N408" s="3"/>
      <c r="O408" s="3"/>
      <c r="P408" s="7"/>
      <c r="Q408" s="7"/>
      <c r="R408" s="166"/>
      <c r="S408" s="166"/>
      <c r="T408" s="7"/>
      <c r="U408" s="3"/>
      <c r="V408" s="13"/>
      <c r="W408" s="3"/>
      <c r="X408" s="166"/>
      <c r="Y408" s="7"/>
      <c r="Z408" s="13"/>
      <c r="AA408" s="7"/>
      <c r="AB408" s="7"/>
      <c r="AC408" s="257"/>
      <c r="AD408" s="166"/>
      <c r="AE408" s="258"/>
      <c r="AF408" s="7"/>
      <c r="AG408" s="7"/>
      <c r="AH408" s="166"/>
      <c r="AI408" s="13"/>
      <c r="AJ408" s="3"/>
      <c r="AK408" s="13"/>
      <c r="AL408" s="3"/>
      <c r="AM408" s="3"/>
      <c r="AN408" s="3"/>
      <c r="AO408" s="3"/>
      <c r="AP408" s="3"/>
      <c r="AQ408" s="3"/>
      <c r="AR408" s="3"/>
      <c r="AS408" s="98"/>
      <c r="AT408" s="98"/>
      <c r="AU408" s="98"/>
      <c r="AV408" s="98"/>
      <c r="AW408" s="98"/>
      <c r="AX408" s="98"/>
      <c r="AY408" s="98"/>
      <c r="AZ408" s="98"/>
    </row>
    <row r="409">
      <c r="A409" s="3"/>
      <c r="B409" s="36"/>
      <c r="C409" s="91"/>
      <c r="D409" s="13"/>
      <c r="E409" s="13"/>
      <c r="F409" s="3"/>
      <c r="G409" s="3"/>
      <c r="H409" s="3"/>
      <c r="I409" s="13"/>
      <c r="J409" s="13"/>
      <c r="K409" s="13"/>
      <c r="L409" s="36"/>
      <c r="M409" s="91"/>
      <c r="N409" s="3"/>
      <c r="O409" s="3"/>
      <c r="P409" s="7"/>
      <c r="Q409" s="7"/>
      <c r="R409" s="166"/>
      <c r="S409" s="166"/>
      <c r="T409" s="7"/>
      <c r="U409" s="3"/>
      <c r="V409" s="13"/>
      <c r="W409" s="3"/>
      <c r="X409" s="166"/>
      <c r="Y409" s="7"/>
      <c r="Z409" s="13"/>
      <c r="AA409" s="7"/>
      <c r="AB409" s="7"/>
      <c r="AC409" s="257"/>
      <c r="AD409" s="166"/>
      <c r="AE409" s="258"/>
      <c r="AF409" s="7"/>
      <c r="AG409" s="7"/>
      <c r="AH409" s="166"/>
      <c r="AI409" s="13"/>
      <c r="AJ409" s="3"/>
      <c r="AK409" s="13"/>
      <c r="AL409" s="3"/>
      <c r="AM409" s="3"/>
      <c r="AN409" s="3"/>
      <c r="AO409" s="3"/>
      <c r="AP409" s="3"/>
      <c r="AQ409" s="3"/>
      <c r="AR409" s="3"/>
      <c r="AS409" s="98"/>
      <c r="AT409" s="98"/>
      <c r="AU409" s="98"/>
      <c r="AV409" s="98"/>
      <c r="AW409" s="98"/>
      <c r="AX409" s="98"/>
      <c r="AY409" s="98"/>
      <c r="AZ409" s="98"/>
    </row>
    <row r="410">
      <c r="A410" s="3"/>
      <c r="B410" s="36"/>
      <c r="C410" s="91"/>
      <c r="D410" s="13"/>
      <c r="E410" s="13"/>
      <c r="F410" s="3"/>
      <c r="G410" s="3"/>
      <c r="H410" s="3"/>
      <c r="I410" s="13"/>
      <c r="J410" s="13"/>
      <c r="K410" s="13"/>
      <c r="L410" s="36"/>
      <c r="M410" s="91"/>
      <c r="N410" s="3"/>
      <c r="O410" s="3"/>
      <c r="P410" s="7"/>
      <c r="Q410" s="7"/>
      <c r="R410" s="166"/>
      <c r="S410" s="166"/>
      <c r="T410" s="7"/>
      <c r="U410" s="3"/>
      <c r="V410" s="13"/>
      <c r="W410" s="3"/>
      <c r="X410" s="166"/>
      <c r="Y410" s="7"/>
      <c r="Z410" s="13"/>
      <c r="AA410" s="7"/>
      <c r="AB410" s="7"/>
      <c r="AC410" s="257"/>
      <c r="AD410" s="166"/>
      <c r="AE410" s="258"/>
      <c r="AF410" s="7"/>
      <c r="AG410" s="7"/>
      <c r="AH410" s="166"/>
      <c r="AI410" s="13"/>
      <c r="AJ410" s="3"/>
      <c r="AK410" s="13"/>
      <c r="AL410" s="3"/>
      <c r="AM410" s="3"/>
      <c r="AN410" s="3"/>
      <c r="AO410" s="3"/>
      <c r="AP410" s="3"/>
      <c r="AQ410" s="3"/>
      <c r="AR410" s="3"/>
      <c r="AS410" s="98"/>
      <c r="AT410" s="98"/>
      <c r="AU410" s="98"/>
      <c r="AV410" s="98"/>
      <c r="AW410" s="98"/>
      <c r="AX410" s="98"/>
      <c r="AY410" s="98"/>
      <c r="AZ410" s="98"/>
    </row>
    <row r="411">
      <c r="A411" s="3"/>
      <c r="B411" s="36"/>
      <c r="C411" s="91"/>
      <c r="D411" s="13"/>
      <c r="E411" s="13"/>
      <c r="F411" s="3"/>
      <c r="G411" s="3"/>
      <c r="H411" s="3"/>
      <c r="I411" s="13"/>
      <c r="J411" s="13"/>
      <c r="K411" s="13"/>
      <c r="L411" s="36"/>
      <c r="M411" s="91"/>
      <c r="N411" s="3"/>
      <c r="O411" s="3"/>
      <c r="P411" s="7"/>
      <c r="Q411" s="7"/>
      <c r="R411" s="166"/>
      <c r="S411" s="166"/>
      <c r="T411" s="7"/>
      <c r="U411" s="3"/>
      <c r="V411" s="13"/>
      <c r="W411" s="3"/>
      <c r="X411" s="166"/>
      <c r="Y411" s="7"/>
      <c r="Z411" s="13"/>
      <c r="AA411" s="7"/>
      <c r="AB411" s="7"/>
      <c r="AC411" s="257"/>
      <c r="AD411" s="166"/>
      <c r="AE411" s="258"/>
      <c r="AF411" s="7"/>
      <c r="AG411" s="7"/>
      <c r="AH411" s="166"/>
      <c r="AI411" s="13"/>
      <c r="AJ411" s="3"/>
      <c r="AK411" s="13"/>
      <c r="AL411" s="3"/>
      <c r="AM411" s="3"/>
      <c r="AN411" s="3"/>
      <c r="AO411" s="3"/>
      <c r="AP411" s="3"/>
      <c r="AQ411" s="3"/>
      <c r="AR411" s="3"/>
      <c r="AS411" s="98"/>
      <c r="AT411" s="98"/>
      <c r="AU411" s="98"/>
      <c r="AV411" s="98"/>
      <c r="AW411" s="98"/>
      <c r="AX411" s="98"/>
      <c r="AY411" s="98"/>
      <c r="AZ411" s="98"/>
    </row>
    <row r="412">
      <c r="A412" s="3"/>
      <c r="B412" s="36"/>
      <c r="C412" s="91"/>
      <c r="D412" s="13"/>
      <c r="E412" s="13"/>
      <c r="F412" s="3"/>
      <c r="G412" s="3"/>
      <c r="H412" s="3"/>
      <c r="I412" s="13"/>
      <c r="J412" s="13"/>
      <c r="K412" s="13"/>
      <c r="L412" s="36"/>
      <c r="M412" s="91"/>
      <c r="N412" s="3"/>
      <c r="O412" s="3"/>
      <c r="P412" s="7"/>
      <c r="Q412" s="7"/>
      <c r="R412" s="166"/>
      <c r="S412" s="166"/>
      <c r="T412" s="7"/>
      <c r="U412" s="3"/>
      <c r="V412" s="13"/>
      <c r="W412" s="3"/>
      <c r="X412" s="166"/>
      <c r="Y412" s="7"/>
      <c r="Z412" s="13"/>
      <c r="AA412" s="7"/>
      <c r="AB412" s="7"/>
      <c r="AC412" s="257"/>
      <c r="AD412" s="166"/>
      <c r="AE412" s="258"/>
      <c r="AF412" s="7"/>
      <c r="AG412" s="7"/>
      <c r="AH412" s="166"/>
      <c r="AI412" s="13"/>
      <c r="AJ412" s="3"/>
      <c r="AK412" s="13"/>
      <c r="AL412" s="3"/>
      <c r="AM412" s="3"/>
      <c r="AN412" s="3"/>
      <c r="AO412" s="3"/>
      <c r="AP412" s="3"/>
      <c r="AQ412" s="3"/>
      <c r="AR412" s="3"/>
      <c r="AS412" s="98"/>
      <c r="AT412" s="98"/>
      <c r="AU412" s="98"/>
      <c r="AV412" s="98"/>
      <c r="AW412" s="98"/>
      <c r="AX412" s="98"/>
      <c r="AY412" s="98"/>
      <c r="AZ412" s="98"/>
    </row>
    <row r="413">
      <c r="A413" s="3"/>
      <c r="B413" s="36"/>
      <c r="C413" s="91"/>
      <c r="D413" s="13"/>
      <c r="E413" s="13"/>
      <c r="F413" s="3"/>
      <c r="G413" s="3"/>
      <c r="H413" s="3"/>
      <c r="I413" s="13"/>
      <c r="J413" s="13"/>
      <c r="K413" s="13"/>
      <c r="L413" s="36"/>
      <c r="M413" s="91"/>
      <c r="N413" s="3"/>
      <c r="O413" s="3"/>
      <c r="P413" s="7"/>
      <c r="Q413" s="7"/>
      <c r="R413" s="166"/>
      <c r="S413" s="166"/>
      <c r="T413" s="7"/>
      <c r="U413" s="3"/>
      <c r="V413" s="13"/>
      <c r="W413" s="3"/>
      <c r="X413" s="166"/>
      <c r="Y413" s="7"/>
      <c r="Z413" s="13"/>
      <c r="AA413" s="7"/>
      <c r="AB413" s="7"/>
      <c r="AC413" s="257"/>
      <c r="AD413" s="166"/>
      <c r="AE413" s="258"/>
      <c r="AF413" s="7"/>
      <c r="AG413" s="7"/>
      <c r="AH413" s="166"/>
      <c r="AI413" s="13"/>
      <c r="AJ413" s="3"/>
      <c r="AK413" s="13"/>
      <c r="AL413" s="3"/>
      <c r="AM413" s="3"/>
      <c r="AN413" s="3"/>
      <c r="AO413" s="3"/>
      <c r="AP413" s="3"/>
      <c r="AQ413" s="3"/>
      <c r="AR413" s="3"/>
      <c r="AS413" s="98"/>
      <c r="AT413" s="98"/>
      <c r="AU413" s="98"/>
      <c r="AV413" s="98"/>
      <c r="AW413" s="98"/>
      <c r="AX413" s="98"/>
      <c r="AY413" s="98"/>
      <c r="AZ413" s="98"/>
    </row>
    <row r="414">
      <c r="A414" s="3"/>
      <c r="B414" s="36"/>
      <c r="C414" s="91"/>
      <c r="D414" s="13"/>
      <c r="E414" s="13"/>
      <c r="F414" s="3"/>
      <c r="G414" s="3"/>
      <c r="H414" s="3"/>
      <c r="I414" s="13"/>
      <c r="J414" s="13"/>
      <c r="K414" s="13"/>
      <c r="L414" s="36"/>
      <c r="M414" s="91"/>
      <c r="N414" s="3"/>
      <c r="O414" s="3"/>
      <c r="P414" s="7"/>
      <c r="Q414" s="7"/>
      <c r="R414" s="166"/>
      <c r="S414" s="166"/>
      <c r="T414" s="7"/>
      <c r="U414" s="3"/>
      <c r="V414" s="13"/>
      <c r="W414" s="3"/>
      <c r="X414" s="166"/>
      <c r="Y414" s="7"/>
      <c r="Z414" s="13"/>
      <c r="AA414" s="7"/>
      <c r="AB414" s="7"/>
      <c r="AC414" s="257"/>
      <c r="AD414" s="166"/>
      <c r="AE414" s="258"/>
      <c r="AF414" s="7"/>
      <c r="AG414" s="7"/>
      <c r="AH414" s="166"/>
      <c r="AI414" s="13"/>
      <c r="AJ414" s="3"/>
      <c r="AK414" s="13"/>
      <c r="AL414" s="3"/>
      <c r="AM414" s="3"/>
      <c r="AN414" s="3"/>
      <c r="AO414" s="3"/>
      <c r="AP414" s="3"/>
      <c r="AQ414" s="3"/>
      <c r="AR414" s="3"/>
      <c r="AS414" s="98"/>
      <c r="AT414" s="98"/>
      <c r="AU414" s="98"/>
      <c r="AV414" s="98"/>
      <c r="AW414" s="98"/>
      <c r="AX414" s="98"/>
      <c r="AY414" s="98"/>
      <c r="AZ414" s="98"/>
    </row>
    <row r="415">
      <c r="A415" s="3"/>
      <c r="B415" s="36"/>
      <c r="C415" s="91"/>
      <c r="D415" s="13"/>
      <c r="E415" s="13"/>
      <c r="F415" s="3"/>
      <c r="G415" s="3"/>
      <c r="H415" s="3"/>
      <c r="I415" s="13"/>
      <c r="J415" s="13"/>
      <c r="K415" s="13"/>
      <c r="L415" s="36"/>
      <c r="M415" s="91"/>
      <c r="N415" s="3"/>
      <c r="O415" s="3"/>
      <c r="P415" s="7"/>
      <c r="Q415" s="7"/>
      <c r="R415" s="166"/>
      <c r="S415" s="166"/>
      <c r="T415" s="7"/>
      <c r="U415" s="3"/>
      <c r="V415" s="13"/>
      <c r="W415" s="3"/>
      <c r="X415" s="166"/>
      <c r="Y415" s="7"/>
      <c r="Z415" s="13"/>
      <c r="AA415" s="7"/>
      <c r="AB415" s="7"/>
      <c r="AC415" s="257"/>
      <c r="AD415" s="166"/>
      <c r="AE415" s="258"/>
      <c r="AF415" s="7"/>
      <c r="AG415" s="7"/>
      <c r="AH415" s="166"/>
      <c r="AI415" s="13"/>
      <c r="AJ415" s="3"/>
      <c r="AK415" s="13"/>
      <c r="AL415" s="3"/>
      <c r="AM415" s="3"/>
      <c r="AN415" s="3"/>
      <c r="AO415" s="3"/>
      <c r="AP415" s="3"/>
      <c r="AQ415" s="3"/>
      <c r="AR415" s="3"/>
      <c r="AS415" s="98"/>
      <c r="AT415" s="98"/>
      <c r="AU415" s="98"/>
      <c r="AV415" s="98"/>
      <c r="AW415" s="98"/>
      <c r="AX415" s="98"/>
      <c r="AY415" s="98"/>
      <c r="AZ415" s="98"/>
    </row>
    <row r="416">
      <c r="A416" s="3"/>
      <c r="B416" s="36"/>
      <c r="C416" s="91"/>
      <c r="D416" s="13"/>
      <c r="E416" s="13"/>
      <c r="F416" s="3"/>
      <c r="G416" s="3"/>
      <c r="H416" s="3"/>
      <c r="I416" s="13"/>
      <c r="J416" s="13"/>
      <c r="K416" s="13"/>
      <c r="L416" s="36"/>
      <c r="M416" s="91"/>
      <c r="N416" s="3"/>
      <c r="O416" s="3"/>
      <c r="P416" s="7"/>
      <c r="Q416" s="7"/>
      <c r="R416" s="166"/>
      <c r="S416" s="166"/>
      <c r="T416" s="7"/>
      <c r="U416" s="3"/>
      <c r="V416" s="13"/>
      <c r="W416" s="3"/>
      <c r="X416" s="166"/>
      <c r="Y416" s="7"/>
      <c r="Z416" s="13"/>
      <c r="AA416" s="7"/>
      <c r="AB416" s="7"/>
      <c r="AC416" s="257"/>
      <c r="AD416" s="166"/>
      <c r="AE416" s="258"/>
      <c r="AF416" s="7"/>
      <c r="AG416" s="7"/>
      <c r="AH416" s="166"/>
      <c r="AI416" s="13"/>
      <c r="AJ416" s="3"/>
      <c r="AK416" s="13"/>
      <c r="AL416" s="3"/>
      <c r="AM416" s="3"/>
      <c r="AN416" s="3"/>
      <c r="AO416" s="3"/>
      <c r="AP416" s="3"/>
      <c r="AQ416" s="3"/>
      <c r="AR416" s="3"/>
      <c r="AS416" s="98"/>
      <c r="AT416" s="98"/>
      <c r="AU416" s="98"/>
      <c r="AV416" s="98"/>
      <c r="AW416" s="98"/>
      <c r="AX416" s="98"/>
      <c r="AY416" s="98"/>
      <c r="AZ416" s="98"/>
    </row>
    <row r="417">
      <c r="A417" s="3"/>
      <c r="B417" s="36"/>
      <c r="C417" s="91"/>
      <c r="D417" s="13"/>
      <c r="E417" s="13"/>
      <c r="F417" s="3"/>
      <c r="G417" s="3"/>
      <c r="H417" s="3"/>
      <c r="I417" s="13"/>
      <c r="J417" s="13"/>
      <c r="K417" s="13"/>
      <c r="L417" s="36"/>
      <c r="M417" s="91"/>
      <c r="N417" s="3"/>
      <c r="O417" s="3"/>
      <c r="P417" s="7"/>
      <c r="Q417" s="7"/>
      <c r="R417" s="166"/>
      <c r="S417" s="166"/>
      <c r="T417" s="7"/>
      <c r="U417" s="3"/>
      <c r="V417" s="13"/>
      <c r="W417" s="3"/>
      <c r="X417" s="166"/>
      <c r="Y417" s="7"/>
      <c r="Z417" s="13"/>
      <c r="AA417" s="7"/>
      <c r="AB417" s="7"/>
      <c r="AC417" s="257"/>
      <c r="AD417" s="166"/>
      <c r="AE417" s="258"/>
      <c r="AF417" s="7"/>
      <c r="AG417" s="7"/>
      <c r="AH417" s="166"/>
      <c r="AI417" s="13"/>
      <c r="AJ417" s="3"/>
      <c r="AK417" s="13"/>
      <c r="AL417" s="3"/>
      <c r="AM417" s="3"/>
      <c r="AN417" s="3"/>
      <c r="AO417" s="3"/>
      <c r="AP417" s="3"/>
      <c r="AQ417" s="3"/>
      <c r="AR417" s="3"/>
      <c r="AS417" s="98"/>
      <c r="AT417" s="98"/>
      <c r="AU417" s="98"/>
      <c r="AV417" s="98"/>
      <c r="AW417" s="98"/>
      <c r="AX417" s="98"/>
      <c r="AY417" s="98"/>
      <c r="AZ417" s="98"/>
    </row>
    <row r="418">
      <c r="A418" s="3"/>
      <c r="B418" s="36"/>
      <c r="C418" s="91"/>
      <c r="D418" s="13"/>
      <c r="E418" s="13"/>
      <c r="F418" s="3"/>
      <c r="G418" s="3"/>
      <c r="H418" s="3"/>
      <c r="I418" s="13"/>
      <c r="J418" s="13"/>
      <c r="K418" s="13"/>
      <c r="L418" s="36"/>
      <c r="M418" s="91"/>
      <c r="N418" s="3"/>
      <c r="O418" s="3"/>
      <c r="P418" s="7"/>
      <c r="Q418" s="7"/>
      <c r="R418" s="166"/>
      <c r="S418" s="166"/>
      <c r="T418" s="7"/>
      <c r="U418" s="3"/>
      <c r="V418" s="13"/>
      <c r="W418" s="3"/>
      <c r="X418" s="166"/>
      <c r="Y418" s="7"/>
      <c r="Z418" s="13"/>
      <c r="AA418" s="7"/>
      <c r="AB418" s="7"/>
      <c r="AC418" s="257"/>
      <c r="AD418" s="166"/>
      <c r="AE418" s="258"/>
      <c r="AF418" s="7"/>
      <c r="AG418" s="7"/>
      <c r="AH418" s="166"/>
      <c r="AI418" s="13"/>
      <c r="AJ418" s="3"/>
      <c r="AK418" s="13"/>
      <c r="AL418" s="3"/>
      <c r="AM418" s="3"/>
      <c r="AN418" s="3"/>
      <c r="AO418" s="3"/>
      <c r="AP418" s="3"/>
      <c r="AQ418" s="3"/>
      <c r="AR418" s="3"/>
      <c r="AS418" s="98"/>
      <c r="AT418" s="98"/>
      <c r="AU418" s="98"/>
      <c r="AV418" s="98"/>
      <c r="AW418" s="98"/>
      <c r="AX418" s="98"/>
      <c r="AY418" s="98"/>
      <c r="AZ418" s="98"/>
    </row>
    <row r="419">
      <c r="A419" s="3"/>
      <c r="B419" s="36"/>
      <c r="C419" s="91"/>
      <c r="D419" s="13"/>
      <c r="E419" s="13"/>
      <c r="F419" s="3"/>
      <c r="G419" s="3"/>
      <c r="H419" s="3"/>
      <c r="I419" s="13"/>
      <c r="J419" s="13"/>
      <c r="K419" s="13"/>
      <c r="L419" s="36"/>
      <c r="M419" s="91"/>
      <c r="N419" s="3"/>
      <c r="O419" s="3"/>
      <c r="P419" s="7"/>
      <c r="Q419" s="7"/>
      <c r="R419" s="166"/>
      <c r="S419" s="166"/>
      <c r="T419" s="7"/>
      <c r="U419" s="3"/>
      <c r="V419" s="13"/>
      <c r="W419" s="3"/>
      <c r="X419" s="166"/>
      <c r="Y419" s="7"/>
      <c r="Z419" s="13"/>
      <c r="AA419" s="7"/>
      <c r="AB419" s="7"/>
      <c r="AC419" s="257"/>
      <c r="AD419" s="166"/>
      <c r="AE419" s="258"/>
      <c r="AF419" s="7"/>
      <c r="AG419" s="7"/>
      <c r="AH419" s="166"/>
      <c r="AI419" s="13"/>
      <c r="AJ419" s="3"/>
      <c r="AK419" s="13"/>
      <c r="AL419" s="3"/>
      <c r="AM419" s="3"/>
      <c r="AN419" s="3"/>
      <c r="AO419" s="3"/>
      <c r="AP419" s="3"/>
      <c r="AQ419" s="3"/>
      <c r="AR419" s="3"/>
      <c r="AS419" s="98"/>
      <c r="AT419" s="98"/>
      <c r="AU419" s="98"/>
      <c r="AV419" s="98"/>
      <c r="AW419" s="98"/>
      <c r="AX419" s="98"/>
      <c r="AY419" s="98"/>
      <c r="AZ419" s="98"/>
    </row>
    <row r="420">
      <c r="A420" s="3"/>
      <c r="B420" s="36"/>
      <c r="C420" s="91"/>
      <c r="D420" s="13"/>
      <c r="E420" s="13"/>
      <c r="F420" s="3"/>
      <c r="G420" s="3"/>
      <c r="H420" s="3"/>
      <c r="I420" s="13"/>
      <c r="J420" s="13"/>
      <c r="K420" s="13"/>
      <c r="L420" s="36"/>
      <c r="M420" s="91"/>
      <c r="N420" s="3"/>
      <c r="O420" s="3"/>
      <c r="P420" s="7"/>
      <c r="Q420" s="7"/>
      <c r="R420" s="166"/>
      <c r="S420" s="166"/>
      <c r="T420" s="7"/>
      <c r="U420" s="3"/>
      <c r="V420" s="13"/>
      <c r="W420" s="3"/>
      <c r="X420" s="166"/>
      <c r="Y420" s="7"/>
      <c r="Z420" s="13"/>
      <c r="AA420" s="7"/>
      <c r="AB420" s="7"/>
      <c r="AC420" s="257"/>
      <c r="AD420" s="166"/>
      <c r="AE420" s="258"/>
      <c r="AF420" s="7"/>
      <c r="AG420" s="7"/>
      <c r="AH420" s="166"/>
      <c r="AI420" s="13"/>
      <c r="AJ420" s="3"/>
      <c r="AK420" s="13"/>
      <c r="AL420" s="3"/>
      <c r="AM420" s="3"/>
      <c r="AN420" s="3"/>
      <c r="AO420" s="3"/>
      <c r="AP420" s="3"/>
      <c r="AQ420" s="3"/>
      <c r="AR420" s="3"/>
      <c r="AS420" s="98"/>
      <c r="AT420" s="98"/>
      <c r="AU420" s="98"/>
      <c r="AV420" s="98"/>
      <c r="AW420" s="98"/>
      <c r="AX420" s="98"/>
      <c r="AY420" s="98"/>
      <c r="AZ420" s="98"/>
    </row>
    <row r="421">
      <c r="A421" s="3"/>
      <c r="B421" s="36"/>
      <c r="C421" s="91"/>
      <c r="D421" s="13"/>
      <c r="E421" s="13"/>
      <c r="F421" s="3"/>
      <c r="G421" s="3"/>
      <c r="H421" s="3"/>
      <c r="I421" s="13"/>
      <c r="J421" s="13"/>
      <c r="K421" s="13"/>
      <c r="L421" s="36"/>
      <c r="M421" s="91"/>
      <c r="N421" s="3"/>
      <c r="O421" s="3"/>
      <c r="P421" s="7"/>
      <c r="Q421" s="7"/>
      <c r="R421" s="166"/>
      <c r="S421" s="166"/>
      <c r="T421" s="7"/>
      <c r="U421" s="3"/>
      <c r="V421" s="13"/>
      <c r="W421" s="3"/>
      <c r="X421" s="166"/>
      <c r="Y421" s="7"/>
      <c r="Z421" s="13"/>
      <c r="AA421" s="7"/>
      <c r="AB421" s="7"/>
      <c r="AC421" s="257"/>
      <c r="AD421" s="166"/>
      <c r="AE421" s="258"/>
      <c r="AF421" s="7"/>
      <c r="AG421" s="7"/>
      <c r="AH421" s="166"/>
      <c r="AI421" s="13"/>
      <c r="AJ421" s="3"/>
      <c r="AK421" s="13"/>
      <c r="AL421" s="3"/>
      <c r="AM421" s="3"/>
      <c r="AN421" s="3"/>
      <c r="AO421" s="3"/>
      <c r="AP421" s="3"/>
      <c r="AQ421" s="3"/>
      <c r="AR421" s="3"/>
      <c r="AS421" s="98"/>
      <c r="AT421" s="98"/>
      <c r="AU421" s="98"/>
      <c r="AV421" s="98"/>
      <c r="AW421" s="98"/>
      <c r="AX421" s="98"/>
      <c r="AY421" s="98"/>
      <c r="AZ421" s="98"/>
    </row>
    <row r="422">
      <c r="A422" s="3"/>
      <c r="B422" s="36"/>
      <c r="C422" s="91"/>
      <c r="D422" s="13"/>
      <c r="E422" s="13"/>
      <c r="F422" s="3"/>
      <c r="G422" s="3"/>
      <c r="H422" s="3"/>
      <c r="I422" s="13"/>
      <c r="J422" s="13"/>
      <c r="K422" s="13"/>
      <c r="L422" s="36"/>
      <c r="M422" s="91"/>
      <c r="N422" s="3"/>
      <c r="O422" s="3"/>
      <c r="P422" s="7"/>
      <c r="Q422" s="7"/>
      <c r="R422" s="166"/>
      <c r="S422" s="166"/>
      <c r="T422" s="7"/>
      <c r="U422" s="3"/>
      <c r="V422" s="13"/>
      <c r="W422" s="3"/>
      <c r="X422" s="166"/>
      <c r="Y422" s="7"/>
      <c r="Z422" s="13"/>
      <c r="AA422" s="7"/>
      <c r="AB422" s="7"/>
      <c r="AC422" s="257"/>
      <c r="AD422" s="166"/>
      <c r="AE422" s="258"/>
      <c r="AF422" s="7"/>
      <c r="AG422" s="7"/>
      <c r="AH422" s="166"/>
      <c r="AI422" s="13"/>
      <c r="AJ422" s="3"/>
      <c r="AK422" s="13"/>
      <c r="AL422" s="3"/>
      <c r="AM422" s="3"/>
      <c r="AN422" s="3"/>
      <c r="AO422" s="3"/>
      <c r="AP422" s="3"/>
      <c r="AQ422" s="3"/>
      <c r="AR422" s="3"/>
      <c r="AS422" s="98"/>
      <c r="AT422" s="98"/>
      <c r="AU422" s="98"/>
      <c r="AV422" s="98"/>
      <c r="AW422" s="98"/>
      <c r="AX422" s="98"/>
      <c r="AY422" s="98"/>
      <c r="AZ422" s="98"/>
    </row>
    <row r="423">
      <c r="A423" s="3"/>
      <c r="B423" s="36"/>
      <c r="C423" s="91"/>
      <c r="D423" s="13"/>
      <c r="E423" s="13"/>
      <c r="F423" s="3"/>
      <c r="G423" s="3"/>
      <c r="H423" s="3"/>
      <c r="I423" s="13"/>
      <c r="J423" s="13"/>
      <c r="K423" s="13"/>
      <c r="L423" s="36"/>
      <c r="M423" s="91"/>
      <c r="N423" s="3"/>
      <c r="O423" s="3"/>
      <c r="P423" s="7"/>
      <c r="Q423" s="7"/>
      <c r="R423" s="166"/>
      <c r="S423" s="166"/>
      <c r="T423" s="7"/>
      <c r="U423" s="3"/>
      <c r="V423" s="13"/>
      <c r="W423" s="3"/>
      <c r="X423" s="166"/>
      <c r="Y423" s="7"/>
      <c r="Z423" s="13"/>
      <c r="AA423" s="7"/>
      <c r="AB423" s="7"/>
      <c r="AC423" s="257"/>
      <c r="AD423" s="166"/>
      <c r="AE423" s="258"/>
      <c r="AF423" s="7"/>
      <c r="AG423" s="7"/>
      <c r="AH423" s="166"/>
      <c r="AI423" s="13"/>
      <c r="AJ423" s="3"/>
      <c r="AK423" s="13"/>
      <c r="AL423" s="3"/>
      <c r="AM423" s="3"/>
      <c r="AN423" s="3"/>
      <c r="AO423" s="3"/>
      <c r="AP423" s="3"/>
      <c r="AQ423" s="3"/>
      <c r="AR423" s="3"/>
      <c r="AS423" s="98"/>
      <c r="AT423" s="98"/>
      <c r="AU423" s="98"/>
      <c r="AV423" s="98"/>
      <c r="AW423" s="98"/>
      <c r="AX423" s="98"/>
      <c r="AY423" s="98"/>
      <c r="AZ423" s="98"/>
    </row>
    <row r="424">
      <c r="A424" s="3"/>
      <c r="B424" s="36"/>
      <c r="C424" s="91"/>
      <c r="D424" s="13"/>
      <c r="E424" s="13"/>
      <c r="F424" s="3"/>
      <c r="G424" s="3"/>
      <c r="H424" s="3"/>
      <c r="I424" s="13"/>
      <c r="J424" s="13"/>
      <c r="K424" s="13"/>
      <c r="L424" s="36"/>
      <c r="M424" s="91"/>
      <c r="N424" s="3"/>
      <c r="O424" s="3"/>
      <c r="P424" s="7"/>
      <c r="Q424" s="7"/>
      <c r="R424" s="166"/>
      <c r="S424" s="166"/>
      <c r="T424" s="7"/>
      <c r="U424" s="3"/>
      <c r="V424" s="13"/>
      <c r="W424" s="3"/>
      <c r="X424" s="166"/>
      <c r="Y424" s="7"/>
      <c r="Z424" s="13"/>
      <c r="AA424" s="7"/>
      <c r="AB424" s="7"/>
      <c r="AC424" s="257"/>
      <c r="AD424" s="166"/>
      <c r="AE424" s="258"/>
      <c r="AF424" s="7"/>
      <c r="AG424" s="7"/>
      <c r="AH424" s="166"/>
      <c r="AI424" s="13"/>
      <c r="AJ424" s="3"/>
      <c r="AK424" s="13"/>
      <c r="AL424" s="3"/>
      <c r="AM424" s="3"/>
      <c r="AN424" s="3"/>
      <c r="AO424" s="3"/>
      <c r="AP424" s="3"/>
      <c r="AQ424" s="3"/>
      <c r="AR424" s="3"/>
      <c r="AS424" s="98"/>
      <c r="AT424" s="98"/>
      <c r="AU424" s="98"/>
      <c r="AV424" s="98"/>
      <c r="AW424" s="98"/>
      <c r="AX424" s="98"/>
      <c r="AY424" s="98"/>
      <c r="AZ424" s="98"/>
    </row>
    <row r="425">
      <c r="A425" s="3"/>
      <c r="B425" s="36"/>
      <c r="C425" s="91"/>
      <c r="D425" s="13"/>
      <c r="E425" s="13"/>
      <c r="F425" s="3"/>
      <c r="G425" s="3"/>
      <c r="H425" s="3"/>
      <c r="I425" s="13"/>
      <c r="J425" s="13"/>
      <c r="K425" s="13"/>
      <c r="L425" s="36"/>
      <c r="M425" s="91"/>
      <c r="N425" s="3"/>
      <c r="O425" s="3"/>
      <c r="P425" s="7"/>
      <c r="Q425" s="7"/>
      <c r="R425" s="166"/>
      <c r="S425" s="166"/>
      <c r="T425" s="7"/>
      <c r="U425" s="3"/>
      <c r="V425" s="13"/>
      <c r="W425" s="3"/>
      <c r="X425" s="166"/>
      <c r="Y425" s="7"/>
      <c r="Z425" s="13"/>
      <c r="AA425" s="7"/>
      <c r="AB425" s="7"/>
      <c r="AC425" s="257"/>
      <c r="AD425" s="166"/>
      <c r="AE425" s="258"/>
      <c r="AF425" s="7"/>
      <c r="AG425" s="7"/>
      <c r="AH425" s="166"/>
      <c r="AI425" s="13"/>
      <c r="AJ425" s="3"/>
      <c r="AK425" s="13"/>
      <c r="AL425" s="3"/>
      <c r="AM425" s="3"/>
      <c r="AN425" s="3"/>
      <c r="AO425" s="3"/>
      <c r="AP425" s="3"/>
      <c r="AQ425" s="3"/>
      <c r="AR425" s="3"/>
      <c r="AS425" s="98"/>
      <c r="AT425" s="98"/>
      <c r="AU425" s="98"/>
      <c r="AV425" s="98"/>
      <c r="AW425" s="98"/>
      <c r="AX425" s="98"/>
      <c r="AY425" s="98"/>
      <c r="AZ425" s="98"/>
    </row>
    <row r="426">
      <c r="A426" s="3"/>
      <c r="B426" s="36"/>
      <c r="C426" s="91"/>
      <c r="D426" s="13"/>
      <c r="E426" s="13"/>
      <c r="F426" s="3"/>
      <c r="G426" s="3"/>
      <c r="H426" s="3"/>
      <c r="I426" s="13"/>
      <c r="J426" s="13"/>
      <c r="K426" s="13"/>
      <c r="L426" s="36"/>
      <c r="M426" s="91"/>
      <c r="N426" s="3"/>
      <c r="O426" s="3"/>
      <c r="P426" s="7"/>
      <c r="Q426" s="7"/>
      <c r="R426" s="166"/>
      <c r="S426" s="166"/>
      <c r="T426" s="7"/>
      <c r="U426" s="3"/>
      <c r="V426" s="13"/>
      <c r="W426" s="3"/>
      <c r="X426" s="166"/>
      <c r="Y426" s="7"/>
      <c r="Z426" s="13"/>
      <c r="AA426" s="7"/>
      <c r="AB426" s="7"/>
      <c r="AC426" s="257"/>
      <c r="AD426" s="166"/>
      <c r="AE426" s="258"/>
      <c r="AF426" s="7"/>
      <c r="AG426" s="7"/>
      <c r="AH426" s="166"/>
      <c r="AI426" s="13"/>
      <c r="AJ426" s="3"/>
      <c r="AK426" s="13"/>
      <c r="AL426" s="3"/>
      <c r="AM426" s="3"/>
      <c r="AN426" s="3"/>
      <c r="AO426" s="3"/>
      <c r="AP426" s="3"/>
      <c r="AQ426" s="3"/>
      <c r="AR426" s="3"/>
      <c r="AS426" s="98"/>
      <c r="AT426" s="98"/>
      <c r="AU426" s="98"/>
      <c r="AV426" s="98"/>
      <c r="AW426" s="98"/>
      <c r="AX426" s="98"/>
      <c r="AY426" s="98"/>
      <c r="AZ426" s="98"/>
    </row>
    <row r="427">
      <c r="A427" s="3"/>
      <c r="B427" s="36"/>
      <c r="C427" s="91"/>
      <c r="D427" s="13"/>
      <c r="E427" s="13"/>
      <c r="F427" s="3"/>
      <c r="G427" s="3"/>
      <c r="H427" s="3"/>
      <c r="I427" s="13"/>
      <c r="J427" s="13"/>
      <c r="K427" s="13"/>
      <c r="L427" s="36"/>
      <c r="M427" s="91"/>
      <c r="N427" s="3"/>
      <c r="O427" s="3"/>
      <c r="P427" s="7"/>
      <c r="Q427" s="7"/>
      <c r="R427" s="166"/>
      <c r="S427" s="166"/>
      <c r="T427" s="7"/>
      <c r="U427" s="3"/>
      <c r="V427" s="13"/>
      <c r="W427" s="3"/>
      <c r="X427" s="166"/>
      <c r="Y427" s="7"/>
      <c r="Z427" s="13"/>
      <c r="AA427" s="7"/>
      <c r="AB427" s="7"/>
      <c r="AC427" s="257"/>
      <c r="AD427" s="166"/>
      <c r="AE427" s="258"/>
      <c r="AF427" s="7"/>
      <c r="AG427" s="7"/>
      <c r="AH427" s="166"/>
      <c r="AI427" s="13"/>
      <c r="AJ427" s="3"/>
      <c r="AK427" s="13"/>
      <c r="AL427" s="3"/>
      <c r="AM427" s="3"/>
      <c r="AN427" s="3"/>
      <c r="AO427" s="3"/>
      <c r="AP427" s="3"/>
      <c r="AQ427" s="3"/>
      <c r="AR427" s="3"/>
      <c r="AS427" s="98"/>
      <c r="AT427" s="98"/>
      <c r="AU427" s="98"/>
      <c r="AV427" s="98"/>
      <c r="AW427" s="98"/>
      <c r="AX427" s="98"/>
      <c r="AY427" s="98"/>
      <c r="AZ427" s="98"/>
    </row>
    <row r="428">
      <c r="A428" s="3"/>
      <c r="B428" s="36"/>
      <c r="C428" s="91"/>
      <c r="D428" s="13"/>
      <c r="E428" s="13"/>
      <c r="F428" s="3"/>
      <c r="G428" s="3"/>
      <c r="H428" s="3"/>
      <c r="I428" s="13"/>
      <c r="J428" s="13"/>
      <c r="K428" s="13"/>
      <c r="L428" s="36"/>
      <c r="M428" s="91"/>
      <c r="N428" s="3"/>
      <c r="O428" s="3"/>
      <c r="P428" s="7"/>
      <c r="Q428" s="7"/>
      <c r="R428" s="166"/>
      <c r="S428" s="166"/>
      <c r="T428" s="7"/>
      <c r="U428" s="3"/>
      <c r="V428" s="13"/>
      <c r="W428" s="3"/>
      <c r="X428" s="166"/>
      <c r="Y428" s="7"/>
      <c r="Z428" s="13"/>
      <c r="AA428" s="7"/>
      <c r="AB428" s="7"/>
      <c r="AC428" s="257"/>
      <c r="AD428" s="166"/>
      <c r="AE428" s="258"/>
      <c r="AF428" s="7"/>
      <c r="AG428" s="7"/>
      <c r="AH428" s="166"/>
      <c r="AI428" s="13"/>
      <c r="AJ428" s="3"/>
      <c r="AK428" s="13"/>
      <c r="AL428" s="3"/>
      <c r="AM428" s="3"/>
      <c r="AN428" s="3"/>
      <c r="AO428" s="3"/>
      <c r="AP428" s="3"/>
      <c r="AQ428" s="3"/>
      <c r="AR428" s="3"/>
      <c r="AS428" s="98"/>
      <c r="AT428" s="98"/>
      <c r="AU428" s="98"/>
      <c r="AV428" s="98"/>
      <c r="AW428" s="98"/>
      <c r="AX428" s="98"/>
      <c r="AY428" s="98"/>
      <c r="AZ428" s="98"/>
    </row>
    <row r="429">
      <c r="A429" s="3"/>
      <c r="B429" s="36"/>
      <c r="C429" s="91"/>
      <c r="D429" s="13"/>
      <c r="E429" s="13"/>
      <c r="F429" s="3"/>
      <c r="G429" s="3"/>
      <c r="H429" s="3"/>
      <c r="I429" s="13"/>
      <c r="J429" s="13"/>
      <c r="K429" s="13"/>
      <c r="L429" s="36"/>
      <c r="M429" s="91"/>
      <c r="N429" s="3"/>
      <c r="O429" s="3"/>
      <c r="P429" s="7"/>
      <c r="Q429" s="7"/>
      <c r="R429" s="166"/>
      <c r="S429" s="166"/>
      <c r="T429" s="7"/>
      <c r="U429" s="3"/>
      <c r="V429" s="13"/>
      <c r="W429" s="3"/>
      <c r="X429" s="166"/>
      <c r="Y429" s="7"/>
      <c r="Z429" s="13"/>
      <c r="AA429" s="7"/>
      <c r="AB429" s="7"/>
      <c r="AC429" s="257"/>
      <c r="AD429" s="166"/>
      <c r="AE429" s="258"/>
      <c r="AF429" s="7"/>
      <c r="AG429" s="7"/>
      <c r="AH429" s="166"/>
      <c r="AI429" s="13"/>
      <c r="AJ429" s="3"/>
      <c r="AK429" s="13"/>
      <c r="AL429" s="3"/>
      <c r="AM429" s="3"/>
      <c r="AN429" s="3"/>
      <c r="AO429" s="3"/>
      <c r="AP429" s="3"/>
      <c r="AQ429" s="3"/>
      <c r="AR429" s="3"/>
      <c r="AS429" s="98"/>
      <c r="AT429" s="98"/>
      <c r="AU429" s="98"/>
      <c r="AV429" s="98"/>
      <c r="AW429" s="98"/>
      <c r="AX429" s="98"/>
      <c r="AY429" s="98"/>
      <c r="AZ429" s="98"/>
    </row>
    <row r="430">
      <c r="A430" s="3"/>
      <c r="B430" s="36"/>
      <c r="C430" s="91"/>
      <c r="D430" s="13"/>
      <c r="E430" s="13"/>
      <c r="F430" s="3"/>
      <c r="G430" s="3"/>
      <c r="H430" s="3"/>
      <c r="I430" s="13"/>
      <c r="J430" s="13"/>
      <c r="K430" s="13"/>
      <c r="L430" s="36"/>
      <c r="M430" s="91"/>
      <c r="N430" s="3"/>
      <c r="O430" s="3"/>
      <c r="P430" s="7"/>
      <c r="Q430" s="7"/>
      <c r="R430" s="166"/>
      <c r="S430" s="166"/>
      <c r="T430" s="7"/>
      <c r="U430" s="3"/>
      <c r="V430" s="13"/>
      <c r="W430" s="3"/>
      <c r="X430" s="166"/>
      <c r="Y430" s="7"/>
      <c r="Z430" s="13"/>
      <c r="AA430" s="7"/>
      <c r="AB430" s="7"/>
      <c r="AC430" s="257"/>
      <c r="AD430" s="166"/>
      <c r="AE430" s="258"/>
      <c r="AF430" s="7"/>
      <c r="AG430" s="7"/>
      <c r="AH430" s="166"/>
      <c r="AI430" s="13"/>
      <c r="AJ430" s="3"/>
      <c r="AK430" s="13"/>
      <c r="AL430" s="3"/>
      <c r="AM430" s="3"/>
      <c r="AN430" s="3"/>
      <c r="AO430" s="3"/>
      <c r="AP430" s="3"/>
      <c r="AQ430" s="3"/>
      <c r="AR430" s="3"/>
      <c r="AS430" s="98"/>
      <c r="AT430" s="98"/>
      <c r="AU430" s="98"/>
      <c r="AV430" s="98"/>
      <c r="AW430" s="98"/>
      <c r="AX430" s="98"/>
      <c r="AY430" s="98"/>
      <c r="AZ430" s="98"/>
    </row>
    <row r="431">
      <c r="A431" s="3"/>
      <c r="B431" s="36"/>
      <c r="C431" s="91"/>
      <c r="D431" s="13"/>
      <c r="E431" s="13"/>
      <c r="F431" s="3"/>
      <c r="G431" s="3"/>
      <c r="H431" s="3"/>
      <c r="I431" s="13"/>
      <c r="J431" s="13"/>
      <c r="K431" s="13"/>
      <c r="L431" s="36"/>
      <c r="M431" s="91"/>
      <c r="N431" s="3"/>
      <c r="O431" s="3"/>
      <c r="P431" s="7"/>
      <c r="Q431" s="7"/>
      <c r="R431" s="166"/>
      <c r="S431" s="166"/>
      <c r="T431" s="7"/>
      <c r="U431" s="3"/>
      <c r="V431" s="13"/>
      <c r="W431" s="3"/>
      <c r="X431" s="166"/>
      <c r="Y431" s="7"/>
      <c r="Z431" s="13"/>
      <c r="AA431" s="7"/>
      <c r="AB431" s="7"/>
      <c r="AC431" s="257"/>
      <c r="AD431" s="166"/>
      <c r="AE431" s="258"/>
      <c r="AF431" s="7"/>
      <c r="AG431" s="7"/>
      <c r="AH431" s="166"/>
      <c r="AI431" s="13"/>
      <c r="AJ431" s="3"/>
      <c r="AK431" s="13"/>
      <c r="AL431" s="3"/>
      <c r="AM431" s="3"/>
      <c r="AN431" s="3"/>
      <c r="AO431" s="3"/>
      <c r="AP431" s="3"/>
      <c r="AQ431" s="3"/>
      <c r="AR431" s="3"/>
      <c r="AS431" s="98"/>
      <c r="AT431" s="98"/>
      <c r="AU431" s="98"/>
      <c r="AV431" s="98"/>
      <c r="AW431" s="98"/>
      <c r="AX431" s="98"/>
      <c r="AY431" s="98"/>
      <c r="AZ431" s="98"/>
    </row>
    <row r="432">
      <c r="A432" s="3"/>
      <c r="B432" s="36"/>
      <c r="C432" s="91"/>
      <c r="D432" s="13"/>
      <c r="E432" s="13"/>
      <c r="F432" s="3"/>
      <c r="G432" s="3"/>
      <c r="H432" s="3"/>
      <c r="I432" s="13"/>
      <c r="J432" s="13"/>
      <c r="K432" s="13"/>
      <c r="L432" s="36"/>
      <c r="M432" s="91"/>
      <c r="N432" s="3"/>
      <c r="O432" s="3"/>
      <c r="P432" s="7"/>
      <c r="Q432" s="7"/>
      <c r="R432" s="166"/>
      <c r="S432" s="166"/>
      <c r="T432" s="7"/>
      <c r="U432" s="3"/>
      <c r="V432" s="13"/>
      <c r="W432" s="3"/>
      <c r="X432" s="166"/>
      <c r="Y432" s="7"/>
      <c r="Z432" s="13"/>
      <c r="AA432" s="7"/>
      <c r="AB432" s="7"/>
      <c r="AC432" s="257"/>
      <c r="AD432" s="166"/>
      <c r="AE432" s="258"/>
      <c r="AF432" s="7"/>
      <c r="AG432" s="7"/>
      <c r="AH432" s="166"/>
      <c r="AI432" s="13"/>
      <c r="AJ432" s="3"/>
      <c r="AK432" s="13"/>
      <c r="AL432" s="3"/>
      <c r="AM432" s="3"/>
      <c r="AN432" s="3"/>
      <c r="AO432" s="3"/>
      <c r="AP432" s="3"/>
      <c r="AQ432" s="3"/>
      <c r="AR432" s="3"/>
      <c r="AS432" s="98"/>
      <c r="AT432" s="98"/>
      <c r="AU432" s="98"/>
      <c r="AV432" s="98"/>
      <c r="AW432" s="98"/>
      <c r="AX432" s="98"/>
      <c r="AY432" s="98"/>
      <c r="AZ432" s="98"/>
    </row>
    <row r="433">
      <c r="A433" s="3"/>
      <c r="B433" s="36"/>
      <c r="C433" s="91"/>
      <c r="D433" s="13"/>
      <c r="E433" s="13"/>
      <c r="F433" s="3"/>
      <c r="G433" s="3"/>
      <c r="H433" s="3"/>
      <c r="I433" s="13"/>
      <c r="J433" s="13"/>
      <c r="K433" s="13"/>
      <c r="L433" s="36"/>
      <c r="M433" s="91"/>
      <c r="N433" s="3"/>
      <c r="O433" s="3"/>
      <c r="P433" s="7"/>
      <c r="Q433" s="7"/>
      <c r="R433" s="166"/>
      <c r="S433" s="166"/>
      <c r="T433" s="7"/>
      <c r="U433" s="3"/>
      <c r="V433" s="13"/>
      <c r="W433" s="3"/>
      <c r="X433" s="166"/>
      <c r="Y433" s="7"/>
      <c r="Z433" s="13"/>
      <c r="AA433" s="7"/>
      <c r="AB433" s="7"/>
      <c r="AC433" s="257"/>
      <c r="AD433" s="166"/>
      <c r="AE433" s="258"/>
      <c r="AF433" s="7"/>
      <c r="AG433" s="7"/>
      <c r="AH433" s="166"/>
      <c r="AI433" s="13"/>
      <c r="AJ433" s="3"/>
      <c r="AK433" s="13"/>
      <c r="AL433" s="3"/>
      <c r="AM433" s="3"/>
      <c r="AN433" s="3"/>
      <c r="AO433" s="3"/>
      <c r="AP433" s="3"/>
      <c r="AQ433" s="3"/>
      <c r="AR433" s="3"/>
      <c r="AS433" s="98"/>
      <c r="AT433" s="98"/>
      <c r="AU433" s="98"/>
      <c r="AV433" s="98"/>
      <c r="AW433" s="98"/>
      <c r="AX433" s="98"/>
      <c r="AY433" s="98"/>
      <c r="AZ433" s="98"/>
    </row>
    <row r="434">
      <c r="A434" s="3"/>
      <c r="B434" s="36"/>
      <c r="C434" s="91"/>
      <c r="D434" s="13"/>
      <c r="E434" s="13"/>
      <c r="F434" s="3"/>
      <c r="G434" s="3"/>
      <c r="H434" s="3"/>
      <c r="I434" s="13"/>
      <c r="J434" s="13"/>
      <c r="K434" s="13"/>
      <c r="L434" s="36"/>
      <c r="M434" s="91"/>
      <c r="N434" s="3"/>
      <c r="O434" s="3"/>
      <c r="P434" s="7"/>
      <c r="Q434" s="7"/>
      <c r="R434" s="166"/>
      <c r="S434" s="166"/>
      <c r="T434" s="7"/>
      <c r="U434" s="3"/>
      <c r="V434" s="13"/>
      <c r="W434" s="3"/>
      <c r="X434" s="166"/>
      <c r="Y434" s="7"/>
      <c r="Z434" s="13"/>
      <c r="AA434" s="7"/>
      <c r="AB434" s="7"/>
      <c r="AC434" s="257"/>
      <c r="AD434" s="166"/>
      <c r="AE434" s="258"/>
      <c r="AF434" s="7"/>
      <c r="AG434" s="7"/>
      <c r="AH434" s="166"/>
      <c r="AI434" s="13"/>
      <c r="AJ434" s="3"/>
      <c r="AK434" s="13"/>
      <c r="AL434" s="3"/>
      <c r="AM434" s="3"/>
      <c r="AN434" s="3"/>
      <c r="AO434" s="3"/>
      <c r="AP434" s="3"/>
      <c r="AQ434" s="3"/>
      <c r="AR434" s="3"/>
      <c r="AS434" s="98"/>
      <c r="AT434" s="98"/>
      <c r="AU434" s="98"/>
      <c r="AV434" s="98"/>
      <c r="AW434" s="98"/>
      <c r="AX434" s="98"/>
      <c r="AY434" s="98"/>
      <c r="AZ434" s="98"/>
    </row>
    <row r="435">
      <c r="A435" s="3"/>
      <c r="B435" s="36"/>
      <c r="C435" s="91"/>
      <c r="D435" s="13"/>
      <c r="E435" s="13"/>
      <c r="F435" s="3"/>
      <c r="G435" s="3"/>
      <c r="H435" s="3"/>
      <c r="I435" s="13"/>
      <c r="J435" s="13"/>
      <c r="K435" s="13"/>
      <c r="L435" s="36"/>
      <c r="M435" s="91"/>
      <c r="N435" s="3"/>
      <c r="O435" s="3"/>
      <c r="P435" s="7"/>
      <c r="Q435" s="7"/>
      <c r="R435" s="166"/>
      <c r="S435" s="166"/>
      <c r="T435" s="7"/>
      <c r="U435" s="3"/>
      <c r="V435" s="13"/>
      <c r="W435" s="3"/>
      <c r="X435" s="166"/>
      <c r="Y435" s="7"/>
      <c r="Z435" s="13"/>
      <c r="AA435" s="7"/>
      <c r="AB435" s="7"/>
      <c r="AC435" s="257"/>
      <c r="AD435" s="166"/>
      <c r="AE435" s="258"/>
      <c r="AF435" s="7"/>
      <c r="AG435" s="7"/>
      <c r="AH435" s="166"/>
      <c r="AI435" s="13"/>
      <c r="AJ435" s="3"/>
      <c r="AK435" s="13"/>
      <c r="AL435" s="3"/>
      <c r="AM435" s="3"/>
      <c r="AN435" s="3"/>
      <c r="AO435" s="3"/>
      <c r="AP435" s="3"/>
      <c r="AQ435" s="3"/>
      <c r="AR435" s="3"/>
      <c r="AS435" s="98"/>
      <c r="AT435" s="98"/>
      <c r="AU435" s="98"/>
      <c r="AV435" s="98"/>
      <c r="AW435" s="98"/>
      <c r="AX435" s="98"/>
      <c r="AY435" s="98"/>
      <c r="AZ435" s="98"/>
    </row>
    <row r="436">
      <c r="A436" s="3"/>
      <c r="B436" s="36"/>
      <c r="C436" s="91"/>
      <c r="D436" s="13"/>
      <c r="E436" s="13"/>
      <c r="F436" s="3"/>
      <c r="G436" s="3"/>
      <c r="H436" s="3"/>
      <c r="I436" s="13"/>
      <c r="J436" s="13"/>
      <c r="K436" s="13"/>
      <c r="L436" s="36"/>
      <c r="M436" s="91"/>
      <c r="N436" s="3"/>
      <c r="O436" s="3"/>
      <c r="P436" s="7"/>
      <c r="Q436" s="7"/>
      <c r="R436" s="166"/>
      <c r="S436" s="166"/>
      <c r="T436" s="7"/>
      <c r="U436" s="3"/>
      <c r="V436" s="13"/>
      <c r="W436" s="3"/>
      <c r="X436" s="166"/>
      <c r="Y436" s="7"/>
      <c r="Z436" s="13"/>
      <c r="AA436" s="7"/>
      <c r="AB436" s="7"/>
      <c r="AC436" s="257"/>
      <c r="AD436" s="166"/>
      <c r="AE436" s="258"/>
      <c r="AF436" s="7"/>
      <c r="AG436" s="7"/>
      <c r="AH436" s="166"/>
      <c r="AI436" s="13"/>
      <c r="AJ436" s="3"/>
      <c r="AK436" s="13"/>
      <c r="AL436" s="3"/>
      <c r="AM436" s="3"/>
      <c r="AN436" s="3"/>
      <c r="AO436" s="3"/>
      <c r="AP436" s="3"/>
      <c r="AQ436" s="3"/>
      <c r="AR436" s="3"/>
      <c r="AS436" s="98"/>
      <c r="AT436" s="98"/>
      <c r="AU436" s="98"/>
      <c r="AV436" s="98"/>
      <c r="AW436" s="98"/>
      <c r="AX436" s="98"/>
      <c r="AY436" s="98"/>
      <c r="AZ436" s="98"/>
    </row>
    <row r="437">
      <c r="A437" s="3"/>
      <c r="B437" s="36"/>
      <c r="C437" s="91"/>
      <c r="D437" s="13"/>
      <c r="E437" s="13"/>
      <c r="F437" s="3"/>
      <c r="G437" s="3"/>
      <c r="H437" s="3"/>
      <c r="I437" s="13"/>
      <c r="J437" s="13"/>
      <c r="K437" s="13"/>
      <c r="L437" s="36"/>
      <c r="M437" s="91"/>
      <c r="N437" s="3"/>
      <c r="O437" s="3"/>
      <c r="P437" s="7"/>
      <c r="Q437" s="7"/>
      <c r="R437" s="166"/>
      <c r="S437" s="166"/>
      <c r="T437" s="7"/>
      <c r="U437" s="3"/>
      <c r="V437" s="13"/>
      <c r="W437" s="3"/>
      <c r="X437" s="166"/>
      <c r="Y437" s="7"/>
      <c r="Z437" s="13"/>
      <c r="AA437" s="7"/>
      <c r="AB437" s="7"/>
      <c r="AC437" s="257"/>
      <c r="AD437" s="166"/>
      <c r="AE437" s="258"/>
      <c r="AF437" s="7"/>
      <c r="AG437" s="7"/>
      <c r="AH437" s="166"/>
      <c r="AI437" s="13"/>
      <c r="AJ437" s="3"/>
      <c r="AK437" s="13"/>
      <c r="AL437" s="3"/>
      <c r="AM437" s="3"/>
      <c r="AN437" s="3"/>
      <c r="AO437" s="3"/>
      <c r="AP437" s="3"/>
      <c r="AQ437" s="3"/>
      <c r="AR437" s="3"/>
      <c r="AS437" s="98"/>
      <c r="AT437" s="98"/>
      <c r="AU437" s="98"/>
      <c r="AV437" s="98"/>
      <c r="AW437" s="98"/>
      <c r="AX437" s="98"/>
      <c r="AY437" s="98"/>
      <c r="AZ437" s="98"/>
    </row>
    <row r="438">
      <c r="A438" s="3"/>
      <c r="B438" s="36"/>
      <c r="C438" s="91"/>
      <c r="D438" s="13"/>
      <c r="E438" s="13"/>
      <c r="F438" s="3"/>
      <c r="G438" s="3"/>
      <c r="H438" s="3"/>
      <c r="I438" s="13"/>
      <c r="J438" s="13"/>
      <c r="K438" s="13"/>
      <c r="L438" s="36"/>
      <c r="M438" s="91"/>
      <c r="N438" s="3"/>
      <c r="O438" s="3"/>
      <c r="P438" s="7"/>
      <c r="Q438" s="7"/>
      <c r="R438" s="166"/>
      <c r="S438" s="166"/>
      <c r="T438" s="7"/>
      <c r="U438" s="3"/>
      <c r="V438" s="13"/>
      <c r="W438" s="3"/>
      <c r="X438" s="166"/>
      <c r="Y438" s="7"/>
      <c r="Z438" s="13"/>
      <c r="AA438" s="7"/>
      <c r="AB438" s="7"/>
      <c r="AC438" s="257"/>
      <c r="AD438" s="166"/>
      <c r="AE438" s="258"/>
      <c r="AF438" s="7"/>
      <c r="AG438" s="7"/>
      <c r="AH438" s="166"/>
      <c r="AI438" s="13"/>
      <c r="AJ438" s="3"/>
      <c r="AK438" s="13"/>
      <c r="AL438" s="3"/>
      <c r="AM438" s="3"/>
      <c r="AN438" s="3"/>
      <c r="AO438" s="3"/>
      <c r="AP438" s="3"/>
      <c r="AQ438" s="3"/>
      <c r="AR438" s="3"/>
      <c r="AS438" s="98"/>
      <c r="AT438" s="98"/>
      <c r="AU438" s="98"/>
      <c r="AV438" s="98"/>
      <c r="AW438" s="98"/>
      <c r="AX438" s="98"/>
      <c r="AY438" s="98"/>
      <c r="AZ438" s="98"/>
    </row>
    <row r="439">
      <c r="A439" s="3"/>
      <c r="B439" s="36"/>
      <c r="C439" s="91"/>
      <c r="D439" s="13"/>
      <c r="E439" s="13"/>
      <c r="F439" s="3"/>
      <c r="G439" s="3"/>
      <c r="H439" s="3"/>
      <c r="I439" s="13"/>
      <c r="J439" s="13"/>
      <c r="K439" s="13"/>
      <c r="L439" s="36"/>
      <c r="M439" s="91"/>
      <c r="N439" s="3"/>
      <c r="O439" s="3"/>
      <c r="P439" s="7"/>
      <c r="Q439" s="7"/>
      <c r="R439" s="166"/>
      <c r="S439" s="166"/>
      <c r="T439" s="7"/>
      <c r="U439" s="3"/>
      <c r="V439" s="13"/>
      <c r="W439" s="3"/>
      <c r="X439" s="166"/>
      <c r="Y439" s="7"/>
      <c r="Z439" s="13"/>
      <c r="AA439" s="7"/>
      <c r="AB439" s="7"/>
      <c r="AC439" s="257"/>
      <c r="AD439" s="166"/>
      <c r="AE439" s="258"/>
      <c r="AF439" s="7"/>
      <c r="AG439" s="7"/>
      <c r="AH439" s="166"/>
      <c r="AI439" s="13"/>
      <c r="AJ439" s="3"/>
      <c r="AK439" s="13"/>
      <c r="AL439" s="3"/>
      <c r="AM439" s="3"/>
      <c r="AN439" s="3"/>
      <c r="AO439" s="3"/>
      <c r="AP439" s="3"/>
      <c r="AQ439" s="3"/>
      <c r="AR439" s="3"/>
      <c r="AS439" s="98"/>
      <c r="AT439" s="98"/>
      <c r="AU439" s="98"/>
      <c r="AV439" s="98"/>
      <c r="AW439" s="98"/>
      <c r="AX439" s="98"/>
      <c r="AY439" s="98"/>
      <c r="AZ439" s="98"/>
    </row>
    <row r="440">
      <c r="A440" s="3"/>
      <c r="B440" s="36"/>
      <c r="C440" s="91"/>
      <c r="D440" s="13"/>
      <c r="E440" s="13"/>
      <c r="F440" s="3"/>
      <c r="G440" s="3"/>
      <c r="H440" s="3"/>
      <c r="I440" s="13"/>
      <c r="J440" s="13"/>
      <c r="K440" s="13"/>
      <c r="L440" s="36"/>
      <c r="M440" s="91"/>
      <c r="N440" s="3"/>
      <c r="O440" s="3"/>
      <c r="P440" s="7"/>
      <c r="Q440" s="7"/>
      <c r="R440" s="166"/>
      <c r="S440" s="166"/>
      <c r="T440" s="7"/>
      <c r="U440" s="3"/>
      <c r="V440" s="13"/>
      <c r="W440" s="3"/>
      <c r="X440" s="166"/>
      <c r="Y440" s="7"/>
      <c r="Z440" s="13"/>
      <c r="AA440" s="7"/>
      <c r="AB440" s="7"/>
      <c r="AC440" s="257"/>
      <c r="AD440" s="166"/>
      <c r="AE440" s="258"/>
      <c r="AF440" s="7"/>
      <c r="AG440" s="7"/>
      <c r="AH440" s="166"/>
      <c r="AI440" s="13"/>
      <c r="AJ440" s="3"/>
      <c r="AK440" s="13"/>
      <c r="AL440" s="3"/>
      <c r="AM440" s="3"/>
      <c r="AN440" s="3"/>
      <c r="AO440" s="3"/>
      <c r="AP440" s="3"/>
      <c r="AQ440" s="3"/>
      <c r="AR440" s="3"/>
      <c r="AS440" s="98"/>
      <c r="AT440" s="98"/>
      <c r="AU440" s="98"/>
      <c r="AV440" s="98"/>
      <c r="AW440" s="98"/>
      <c r="AX440" s="98"/>
      <c r="AY440" s="98"/>
      <c r="AZ440" s="98"/>
    </row>
    <row r="441">
      <c r="A441" s="3"/>
      <c r="B441" s="36"/>
      <c r="C441" s="91"/>
      <c r="D441" s="13"/>
      <c r="E441" s="13"/>
      <c r="F441" s="3"/>
      <c r="G441" s="3"/>
      <c r="H441" s="3"/>
      <c r="I441" s="13"/>
      <c r="J441" s="13"/>
      <c r="K441" s="13"/>
      <c r="L441" s="36"/>
      <c r="M441" s="91"/>
      <c r="N441" s="3"/>
      <c r="O441" s="3"/>
      <c r="P441" s="7"/>
      <c r="Q441" s="7"/>
      <c r="R441" s="166"/>
      <c r="S441" s="166"/>
      <c r="T441" s="7"/>
      <c r="U441" s="3"/>
      <c r="V441" s="13"/>
      <c r="W441" s="3"/>
      <c r="X441" s="166"/>
      <c r="Y441" s="7"/>
      <c r="Z441" s="13"/>
      <c r="AA441" s="7"/>
      <c r="AB441" s="7"/>
      <c r="AC441" s="257"/>
      <c r="AD441" s="166"/>
      <c r="AE441" s="258"/>
      <c r="AF441" s="7"/>
      <c r="AG441" s="7"/>
      <c r="AH441" s="166"/>
      <c r="AI441" s="13"/>
      <c r="AJ441" s="3"/>
      <c r="AK441" s="13"/>
      <c r="AL441" s="3"/>
      <c r="AM441" s="3"/>
      <c r="AN441" s="3"/>
      <c r="AO441" s="3"/>
      <c r="AP441" s="3"/>
      <c r="AQ441" s="3"/>
      <c r="AR441" s="3"/>
      <c r="AS441" s="98"/>
      <c r="AT441" s="98"/>
      <c r="AU441" s="98"/>
      <c r="AV441" s="98"/>
      <c r="AW441" s="98"/>
      <c r="AX441" s="98"/>
      <c r="AY441" s="98"/>
      <c r="AZ441" s="98"/>
    </row>
    <row r="442">
      <c r="A442" s="3"/>
      <c r="B442" s="36"/>
      <c r="C442" s="91"/>
      <c r="D442" s="13"/>
      <c r="E442" s="13"/>
      <c r="F442" s="3"/>
      <c r="G442" s="3"/>
      <c r="H442" s="3"/>
      <c r="I442" s="13"/>
      <c r="J442" s="13"/>
      <c r="K442" s="13"/>
      <c r="L442" s="36"/>
      <c r="M442" s="91"/>
      <c r="N442" s="3"/>
      <c r="O442" s="3"/>
      <c r="P442" s="7"/>
      <c r="Q442" s="7"/>
      <c r="R442" s="166"/>
      <c r="S442" s="166"/>
      <c r="T442" s="7"/>
      <c r="U442" s="3"/>
      <c r="V442" s="13"/>
      <c r="W442" s="3"/>
      <c r="X442" s="166"/>
      <c r="Y442" s="7"/>
      <c r="Z442" s="13"/>
      <c r="AA442" s="7"/>
      <c r="AB442" s="7"/>
      <c r="AC442" s="257"/>
      <c r="AD442" s="166"/>
      <c r="AE442" s="258"/>
      <c r="AF442" s="7"/>
      <c r="AG442" s="7"/>
      <c r="AH442" s="166"/>
      <c r="AI442" s="13"/>
      <c r="AJ442" s="3"/>
      <c r="AK442" s="13"/>
      <c r="AL442" s="3"/>
      <c r="AM442" s="3"/>
      <c r="AN442" s="3"/>
      <c r="AO442" s="3"/>
      <c r="AP442" s="3"/>
      <c r="AQ442" s="3"/>
      <c r="AR442" s="3"/>
      <c r="AS442" s="98"/>
      <c r="AT442" s="98"/>
      <c r="AU442" s="98"/>
      <c r="AV442" s="98"/>
      <c r="AW442" s="98"/>
      <c r="AX442" s="98"/>
      <c r="AY442" s="98"/>
      <c r="AZ442" s="98"/>
    </row>
    <row r="443">
      <c r="A443" s="3"/>
      <c r="B443" s="36"/>
      <c r="C443" s="91"/>
      <c r="D443" s="13"/>
      <c r="E443" s="13"/>
      <c r="F443" s="3"/>
      <c r="G443" s="3"/>
      <c r="H443" s="3"/>
      <c r="I443" s="13"/>
      <c r="J443" s="13"/>
      <c r="K443" s="13"/>
      <c r="L443" s="36"/>
      <c r="M443" s="91"/>
      <c r="N443" s="3"/>
      <c r="O443" s="3"/>
      <c r="P443" s="7"/>
      <c r="Q443" s="7"/>
      <c r="R443" s="166"/>
      <c r="S443" s="166"/>
      <c r="T443" s="7"/>
      <c r="U443" s="3"/>
      <c r="V443" s="13"/>
      <c r="W443" s="3"/>
      <c r="X443" s="166"/>
      <c r="Y443" s="7"/>
      <c r="Z443" s="13"/>
      <c r="AA443" s="7"/>
      <c r="AB443" s="7"/>
      <c r="AC443" s="257"/>
      <c r="AD443" s="166"/>
      <c r="AE443" s="258"/>
      <c r="AF443" s="7"/>
      <c r="AG443" s="7"/>
      <c r="AH443" s="166"/>
      <c r="AI443" s="13"/>
      <c r="AJ443" s="3"/>
      <c r="AK443" s="13"/>
      <c r="AL443" s="3"/>
      <c r="AM443" s="3"/>
      <c r="AN443" s="3"/>
      <c r="AO443" s="3"/>
      <c r="AP443" s="3"/>
      <c r="AQ443" s="3"/>
      <c r="AR443" s="3"/>
      <c r="AS443" s="98"/>
      <c r="AT443" s="98"/>
      <c r="AU443" s="98"/>
      <c r="AV443" s="98"/>
      <c r="AW443" s="98"/>
      <c r="AX443" s="98"/>
      <c r="AY443" s="98"/>
      <c r="AZ443" s="98"/>
    </row>
    <row r="444">
      <c r="A444" s="3"/>
      <c r="B444" s="36"/>
      <c r="C444" s="91"/>
      <c r="D444" s="13"/>
      <c r="E444" s="13"/>
      <c r="F444" s="3"/>
      <c r="G444" s="3"/>
      <c r="H444" s="3"/>
      <c r="I444" s="13"/>
      <c r="J444" s="13"/>
      <c r="K444" s="13"/>
      <c r="L444" s="36"/>
      <c r="M444" s="91"/>
      <c r="N444" s="3"/>
      <c r="O444" s="3"/>
      <c r="P444" s="7"/>
      <c r="Q444" s="7"/>
      <c r="R444" s="166"/>
      <c r="S444" s="166"/>
      <c r="T444" s="7"/>
      <c r="U444" s="3"/>
      <c r="V444" s="13"/>
      <c r="W444" s="3"/>
      <c r="X444" s="166"/>
      <c r="Y444" s="7"/>
      <c r="Z444" s="13"/>
      <c r="AA444" s="7"/>
      <c r="AB444" s="7"/>
      <c r="AC444" s="257"/>
      <c r="AD444" s="166"/>
      <c r="AE444" s="258"/>
      <c r="AF444" s="7"/>
      <c r="AG444" s="7"/>
      <c r="AH444" s="166"/>
      <c r="AI444" s="13"/>
      <c r="AJ444" s="3"/>
      <c r="AK444" s="13"/>
      <c r="AL444" s="3"/>
      <c r="AM444" s="3"/>
      <c r="AN444" s="3"/>
      <c r="AO444" s="3"/>
      <c r="AP444" s="3"/>
      <c r="AQ444" s="3"/>
      <c r="AR444" s="3"/>
      <c r="AS444" s="98"/>
      <c r="AT444" s="98"/>
      <c r="AU444" s="98"/>
      <c r="AV444" s="98"/>
      <c r="AW444" s="98"/>
      <c r="AX444" s="98"/>
      <c r="AY444" s="98"/>
      <c r="AZ444" s="98"/>
    </row>
    <row r="445">
      <c r="A445" s="3"/>
      <c r="B445" s="36"/>
      <c r="C445" s="91"/>
      <c r="D445" s="13"/>
      <c r="E445" s="13"/>
      <c r="F445" s="3"/>
      <c r="G445" s="3"/>
      <c r="H445" s="3"/>
      <c r="I445" s="13"/>
      <c r="J445" s="13"/>
      <c r="K445" s="13"/>
      <c r="L445" s="36"/>
      <c r="M445" s="91"/>
      <c r="N445" s="3"/>
      <c r="O445" s="3"/>
      <c r="P445" s="7"/>
      <c r="Q445" s="7"/>
      <c r="R445" s="166"/>
      <c r="S445" s="166"/>
      <c r="T445" s="7"/>
      <c r="U445" s="3"/>
      <c r="V445" s="13"/>
      <c r="W445" s="3"/>
      <c r="X445" s="166"/>
      <c r="Y445" s="7"/>
      <c r="Z445" s="13"/>
      <c r="AA445" s="7"/>
      <c r="AB445" s="7"/>
      <c r="AC445" s="257"/>
      <c r="AD445" s="166"/>
      <c r="AE445" s="258"/>
      <c r="AF445" s="7"/>
      <c r="AG445" s="7"/>
      <c r="AH445" s="166"/>
      <c r="AI445" s="13"/>
      <c r="AJ445" s="3"/>
      <c r="AK445" s="13"/>
      <c r="AL445" s="3"/>
      <c r="AM445" s="3"/>
      <c r="AN445" s="3"/>
      <c r="AO445" s="3"/>
      <c r="AP445" s="3"/>
      <c r="AQ445" s="3"/>
      <c r="AR445" s="3"/>
      <c r="AS445" s="98"/>
      <c r="AT445" s="98"/>
      <c r="AU445" s="98"/>
      <c r="AV445" s="98"/>
      <c r="AW445" s="98"/>
      <c r="AX445" s="98"/>
      <c r="AY445" s="98"/>
      <c r="AZ445" s="98"/>
    </row>
    <row r="446">
      <c r="A446" s="3"/>
      <c r="B446" s="36"/>
      <c r="C446" s="91"/>
      <c r="D446" s="13"/>
      <c r="E446" s="13"/>
      <c r="F446" s="3"/>
      <c r="G446" s="3"/>
      <c r="H446" s="3"/>
      <c r="I446" s="13"/>
      <c r="J446" s="13"/>
      <c r="K446" s="13"/>
      <c r="L446" s="36"/>
      <c r="M446" s="91"/>
      <c r="N446" s="3"/>
      <c r="O446" s="3"/>
      <c r="P446" s="7"/>
      <c r="Q446" s="7"/>
      <c r="R446" s="166"/>
      <c r="S446" s="166"/>
      <c r="T446" s="7"/>
      <c r="U446" s="3"/>
      <c r="V446" s="13"/>
      <c r="W446" s="3"/>
      <c r="X446" s="166"/>
      <c r="Y446" s="7"/>
      <c r="Z446" s="13"/>
      <c r="AA446" s="7"/>
      <c r="AB446" s="7"/>
      <c r="AC446" s="257"/>
      <c r="AD446" s="166"/>
      <c r="AE446" s="258"/>
      <c r="AF446" s="7"/>
      <c r="AG446" s="7"/>
      <c r="AH446" s="166"/>
      <c r="AI446" s="13"/>
      <c r="AJ446" s="3"/>
      <c r="AK446" s="13"/>
      <c r="AL446" s="3"/>
      <c r="AM446" s="3"/>
      <c r="AN446" s="3"/>
      <c r="AO446" s="3"/>
      <c r="AP446" s="3"/>
      <c r="AQ446" s="3"/>
      <c r="AR446" s="3"/>
      <c r="AS446" s="98"/>
      <c r="AT446" s="98"/>
      <c r="AU446" s="98"/>
      <c r="AV446" s="98"/>
      <c r="AW446" s="98"/>
      <c r="AX446" s="98"/>
      <c r="AY446" s="98"/>
      <c r="AZ446" s="98"/>
    </row>
    <row r="447">
      <c r="A447" s="3"/>
      <c r="B447" s="36"/>
      <c r="C447" s="91"/>
      <c r="D447" s="13"/>
      <c r="E447" s="13"/>
      <c r="F447" s="3"/>
      <c r="G447" s="3"/>
      <c r="H447" s="3"/>
      <c r="I447" s="13"/>
      <c r="J447" s="13"/>
      <c r="K447" s="13"/>
      <c r="L447" s="36"/>
      <c r="M447" s="91"/>
      <c r="N447" s="3"/>
      <c r="O447" s="3"/>
      <c r="P447" s="7"/>
      <c r="Q447" s="7"/>
      <c r="R447" s="166"/>
      <c r="S447" s="166"/>
      <c r="T447" s="7"/>
      <c r="U447" s="3"/>
      <c r="V447" s="13"/>
      <c r="W447" s="3"/>
      <c r="X447" s="166"/>
      <c r="Y447" s="7"/>
      <c r="Z447" s="13"/>
      <c r="AA447" s="7"/>
      <c r="AB447" s="7"/>
      <c r="AC447" s="257"/>
      <c r="AD447" s="166"/>
      <c r="AE447" s="258"/>
      <c r="AF447" s="7"/>
      <c r="AG447" s="7"/>
      <c r="AH447" s="166"/>
      <c r="AI447" s="13"/>
      <c r="AJ447" s="3"/>
      <c r="AK447" s="13"/>
      <c r="AL447" s="3"/>
      <c r="AM447" s="3"/>
      <c r="AN447" s="3"/>
      <c r="AO447" s="3"/>
      <c r="AP447" s="3"/>
      <c r="AQ447" s="3"/>
      <c r="AR447" s="3"/>
      <c r="AS447" s="98"/>
      <c r="AT447" s="98"/>
      <c r="AU447" s="98"/>
      <c r="AV447" s="98"/>
      <c r="AW447" s="98"/>
      <c r="AX447" s="98"/>
      <c r="AY447" s="98"/>
      <c r="AZ447" s="98"/>
    </row>
    <row r="448">
      <c r="A448" s="3"/>
      <c r="B448" s="36"/>
      <c r="C448" s="91"/>
      <c r="D448" s="13"/>
      <c r="E448" s="13"/>
      <c r="F448" s="3"/>
      <c r="G448" s="3"/>
      <c r="H448" s="3"/>
      <c r="I448" s="13"/>
      <c r="J448" s="13"/>
      <c r="K448" s="13"/>
      <c r="L448" s="36"/>
      <c r="M448" s="91"/>
      <c r="N448" s="3"/>
      <c r="O448" s="3"/>
      <c r="P448" s="7"/>
      <c r="Q448" s="7"/>
      <c r="R448" s="166"/>
      <c r="S448" s="166"/>
      <c r="T448" s="7"/>
      <c r="U448" s="3"/>
      <c r="V448" s="13"/>
      <c r="W448" s="3"/>
      <c r="X448" s="166"/>
      <c r="Y448" s="7"/>
      <c r="Z448" s="13"/>
      <c r="AA448" s="7"/>
      <c r="AB448" s="7"/>
      <c r="AC448" s="257"/>
      <c r="AD448" s="166"/>
      <c r="AE448" s="258"/>
      <c r="AF448" s="7"/>
      <c r="AG448" s="7"/>
      <c r="AH448" s="166"/>
      <c r="AI448" s="13"/>
      <c r="AJ448" s="3"/>
      <c r="AK448" s="13"/>
      <c r="AL448" s="3"/>
      <c r="AM448" s="3"/>
      <c r="AN448" s="3"/>
      <c r="AO448" s="3"/>
      <c r="AP448" s="3"/>
      <c r="AQ448" s="3"/>
      <c r="AR448" s="3"/>
      <c r="AS448" s="98"/>
      <c r="AT448" s="98"/>
      <c r="AU448" s="98"/>
      <c r="AV448" s="98"/>
      <c r="AW448" s="98"/>
      <c r="AX448" s="98"/>
      <c r="AY448" s="98"/>
      <c r="AZ448" s="98"/>
    </row>
    <row r="449">
      <c r="A449" s="3"/>
      <c r="B449" s="36"/>
      <c r="C449" s="91"/>
      <c r="D449" s="13"/>
      <c r="E449" s="13"/>
      <c r="F449" s="3"/>
      <c r="G449" s="3"/>
      <c r="H449" s="3"/>
      <c r="I449" s="13"/>
      <c r="J449" s="13"/>
      <c r="K449" s="13"/>
      <c r="L449" s="36"/>
      <c r="M449" s="91"/>
      <c r="N449" s="3"/>
      <c r="O449" s="3"/>
      <c r="P449" s="7"/>
      <c r="Q449" s="7"/>
      <c r="R449" s="166"/>
      <c r="S449" s="166"/>
      <c r="T449" s="7"/>
      <c r="U449" s="3"/>
      <c r="V449" s="13"/>
      <c r="W449" s="3"/>
      <c r="X449" s="166"/>
      <c r="Y449" s="7"/>
      <c r="Z449" s="13"/>
      <c r="AA449" s="7"/>
      <c r="AB449" s="7"/>
      <c r="AC449" s="257"/>
      <c r="AD449" s="166"/>
      <c r="AE449" s="258"/>
      <c r="AF449" s="7"/>
      <c r="AG449" s="7"/>
      <c r="AH449" s="166"/>
      <c r="AI449" s="13"/>
      <c r="AJ449" s="3"/>
      <c r="AK449" s="13"/>
      <c r="AL449" s="3"/>
      <c r="AM449" s="3"/>
      <c r="AN449" s="3"/>
      <c r="AO449" s="3"/>
      <c r="AP449" s="3"/>
      <c r="AQ449" s="3"/>
      <c r="AR449" s="3"/>
      <c r="AS449" s="98"/>
      <c r="AT449" s="98"/>
      <c r="AU449" s="98"/>
      <c r="AV449" s="98"/>
      <c r="AW449" s="98"/>
      <c r="AX449" s="98"/>
      <c r="AY449" s="98"/>
      <c r="AZ449" s="98"/>
    </row>
    <row r="450">
      <c r="A450" s="3"/>
      <c r="B450" s="36"/>
      <c r="C450" s="91"/>
      <c r="D450" s="13"/>
      <c r="E450" s="13"/>
      <c r="F450" s="3"/>
      <c r="G450" s="3"/>
      <c r="H450" s="3"/>
      <c r="I450" s="13"/>
      <c r="J450" s="13"/>
      <c r="K450" s="13"/>
      <c r="L450" s="36"/>
      <c r="M450" s="91"/>
      <c r="N450" s="3"/>
      <c r="O450" s="3"/>
      <c r="P450" s="7"/>
      <c r="Q450" s="7"/>
      <c r="R450" s="166"/>
      <c r="S450" s="166"/>
      <c r="T450" s="7"/>
      <c r="U450" s="3"/>
      <c r="V450" s="13"/>
      <c r="W450" s="3"/>
      <c r="X450" s="166"/>
      <c r="Y450" s="7"/>
      <c r="Z450" s="13"/>
      <c r="AA450" s="7"/>
      <c r="AB450" s="7"/>
      <c r="AC450" s="257"/>
      <c r="AD450" s="166"/>
      <c r="AE450" s="258"/>
      <c r="AF450" s="7"/>
      <c r="AG450" s="7"/>
      <c r="AH450" s="166"/>
      <c r="AI450" s="13"/>
      <c r="AJ450" s="3"/>
      <c r="AK450" s="13"/>
      <c r="AL450" s="3"/>
      <c r="AM450" s="3"/>
      <c r="AN450" s="3"/>
      <c r="AO450" s="3"/>
      <c r="AP450" s="3"/>
      <c r="AQ450" s="3"/>
      <c r="AR450" s="3"/>
      <c r="AS450" s="98"/>
      <c r="AT450" s="98"/>
      <c r="AU450" s="98"/>
      <c r="AV450" s="98"/>
      <c r="AW450" s="98"/>
      <c r="AX450" s="98"/>
      <c r="AY450" s="98"/>
      <c r="AZ450" s="98"/>
    </row>
    <row r="451">
      <c r="A451" s="3"/>
      <c r="B451" s="36"/>
      <c r="C451" s="91"/>
      <c r="D451" s="13"/>
      <c r="E451" s="13"/>
      <c r="F451" s="3"/>
      <c r="G451" s="3"/>
      <c r="H451" s="3"/>
      <c r="I451" s="13"/>
      <c r="J451" s="13"/>
      <c r="K451" s="13"/>
      <c r="L451" s="36"/>
      <c r="M451" s="91"/>
      <c r="N451" s="3"/>
      <c r="O451" s="3"/>
      <c r="P451" s="7"/>
      <c r="Q451" s="7"/>
      <c r="R451" s="166"/>
      <c r="S451" s="166"/>
      <c r="T451" s="7"/>
      <c r="U451" s="3"/>
      <c r="V451" s="13"/>
      <c r="W451" s="3"/>
      <c r="X451" s="166"/>
      <c r="Y451" s="7"/>
      <c r="Z451" s="13"/>
      <c r="AA451" s="7"/>
      <c r="AB451" s="7"/>
      <c r="AC451" s="257"/>
      <c r="AD451" s="166"/>
      <c r="AE451" s="258"/>
      <c r="AF451" s="7"/>
      <c r="AG451" s="7"/>
      <c r="AH451" s="166"/>
      <c r="AI451" s="13"/>
      <c r="AJ451" s="3"/>
      <c r="AK451" s="13"/>
      <c r="AL451" s="3"/>
      <c r="AM451" s="3"/>
      <c r="AN451" s="3"/>
      <c r="AO451" s="3"/>
      <c r="AP451" s="3"/>
      <c r="AQ451" s="3"/>
      <c r="AR451" s="3"/>
      <c r="AS451" s="98"/>
      <c r="AT451" s="98"/>
      <c r="AU451" s="98"/>
      <c r="AV451" s="98"/>
      <c r="AW451" s="98"/>
      <c r="AX451" s="98"/>
      <c r="AY451" s="98"/>
      <c r="AZ451" s="98"/>
    </row>
    <row r="452">
      <c r="A452" s="3"/>
      <c r="B452" s="36"/>
      <c r="C452" s="91"/>
      <c r="D452" s="13"/>
      <c r="E452" s="13"/>
      <c r="F452" s="3"/>
      <c r="G452" s="3"/>
      <c r="H452" s="3"/>
      <c r="I452" s="13"/>
      <c r="J452" s="13"/>
      <c r="K452" s="13"/>
      <c r="L452" s="36"/>
      <c r="M452" s="91"/>
      <c r="N452" s="3"/>
      <c r="O452" s="3"/>
      <c r="P452" s="7"/>
      <c r="Q452" s="7"/>
      <c r="R452" s="166"/>
      <c r="S452" s="166"/>
      <c r="T452" s="7"/>
      <c r="U452" s="3"/>
      <c r="V452" s="13"/>
      <c r="W452" s="3"/>
      <c r="X452" s="166"/>
      <c r="Y452" s="7"/>
      <c r="Z452" s="13"/>
      <c r="AA452" s="7"/>
      <c r="AB452" s="7"/>
      <c r="AC452" s="257"/>
      <c r="AD452" s="166"/>
      <c r="AE452" s="258"/>
      <c r="AF452" s="7"/>
      <c r="AG452" s="7"/>
      <c r="AH452" s="166"/>
      <c r="AI452" s="13"/>
      <c r="AJ452" s="3"/>
      <c r="AK452" s="13"/>
      <c r="AL452" s="3"/>
      <c r="AM452" s="3"/>
      <c r="AN452" s="3"/>
      <c r="AO452" s="3"/>
      <c r="AP452" s="3"/>
      <c r="AQ452" s="3"/>
      <c r="AR452" s="3"/>
      <c r="AS452" s="98"/>
      <c r="AT452" s="98"/>
      <c r="AU452" s="98"/>
      <c r="AV452" s="98"/>
      <c r="AW452" s="98"/>
      <c r="AX452" s="98"/>
      <c r="AY452" s="98"/>
      <c r="AZ452" s="98"/>
    </row>
    <row r="453">
      <c r="A453" s="3"/>
      <c r="B453" s="36"/>
      <c r="C453" s="91"/>
      <c r="D453" s="13"/>
      <c r="E453" s="13"/>
      <c r="F453" s="3"/>
      <c r="G453" s="3"/>
      <c r="H453" s="3"/>
      <c r="I453" s="13"/>
      <c r="J453" s="13"/>
      <c r="K453" s="13"/>
      <c r="L453" s="36"/>
      <c r="M453" s="91"/>
      <c r="N453" s="3"/>
      <c r="O453" s="3"/>
      <c r="P453" s="7"/>
      <c r="Q453" s="7"/>
      <c r="R453" s="166"/>
      <c r="S453" s="166"/>
      <c r="T453" s="7"/>
      <c r="U453" s="3"/>
      <c r="V453" s="13"/>
      <c r="W453" s="3"/>
      <c r="X453" s="166"/>
      <c r="Y453" s="7"/>
      <c r="Z453" s="13"/>
      <c r="AA453" s="7"/>
      <c r="AB453" s="7"/>
      <c r="AC453" s="257"/>
      <c r="AD453" s="166"/>
      <c r="AE453" s="258"/>
      <c r="AF453" s="7"/>
      <c r="AG453" s="7"/>
      <c r="AH453" s="166"/>
      <c r="AI453" s="13"/>
      <c r="AJ453" s="3"/>
      <c r="AK453" s="13"/>
      <c r="AL453" s="3"/>
      <c r="AM453" s="3"/>
      <c r="AN453" s="3"/>
      <c r="AO453" s="3"/>
      <c r="AP453" s="3"/>
      <c r="AQ453" s="3"/>
      <c r="AR453" s="3"/>
      <c r="AS453" s="98"/>
      <c r="AT453" s="98"/>
      <c r="AU453" s="98"/>
      <c r="AV453" s="98"/>
      <c r="AW453" s="98"/>
      <c r="AX453" s="98"/>
      <c r="AY453" s="98"/>
      <c r="AZ453" s="98"/>
    </row>
    <row r="454">
      <c r="A454" s="3"/>
      <c r="B454" s="36"/>
      <c r="C454" s="91"/>
      <c r="D454" s="13"/>
      <c r="E454" s="13"/>
      <c r="F454" s="3"/>
      <c r="G454" s="3"/>
      <c r="H454" s="3"/>
      <c r="I454" s="13"/>
      <c r="J454" s="13"/>
      <c r="K454" s="13"/>
      <c r="L454" s="36"/>
      <c r="M454" s="91"/>
      <c r="N454" s="3"/>
      <c r="O454" s="3"/>
      <c r="P454" s="7"/>
      <c r="Q454" s="7"/>
      <c r="R454" s="166"/>
      <c r="S454" s="166"/>
      <c r="T454" s="7"/>
      <c r="U454" s="3"/>
      <c r="V454" s="13"/>
      <c r="W454" s="3"/>
      <c r="X454" s="166"/>
      <c r="Y454" s="7"/>
      <c r="Z454" s="13"/>
      <c r="AA454" s="7"/>
      <c r="AB454" s="7"/>
      <c r="AC454" s="257"/>
      <c r="AD454" s="166"/>
      <c r="AE454" s="258"/>
      <c r="AF454" s="7"/>
      <c r="AG454" s="7"/>
      <c r="AH454" s="166"/>
      <c r="AI454" s="13"/>
      <c r="AJ454" s="3"/>
      <c r="AK454" s="13"/>
      <c r="AL454" s="3"/>
      <c r="AM454" s="3"/>
      <c r="AN454" s="3"/>
      <c r="AO454" s="3"/>
      <c r="AP454" s="3"/>
      <c r="AQ454" s="3"/>
      <c r="AR454" s="3"/>
      <c r="AS454" s="98"/>
      <c r="AT454" s="98"/>
      <c r="AU454" s="98"/>
      <c r="AV454" s="98"/>
      <c r="AW454" s="98"/>
      <c r="AX454" s="98"/>
      <c r="AY454" s="98"/>
      <c r="AZ454" s="98"/>
    </row>
    <row r="455">
      <c r="A455" s="3"/>
      <c r="B455" s="36"/>
      <c r="C455" s="91"/>
      <c r="D455" s="13"/>
      <c r="E455" s="13"/>
      <c r="F455" s="3"/>
      <c r="G455" s="3"/>
      <c r="H455" s="3"/>
      <c r="I455" s="13"/>
      <c r="J455" s="13"/>
      <c r="K455" s="13"/>
      <c r="L455" s="36"/>
      <c r="M455" s="91"/>
      <c r="N455" s="3"/>
      <c r="O455" s="3"/>
      <c r="P455" s="7"/>
      <c r="Q455" s="7"/>
      <c r="R455" s="166"/>
      <c r="S455" s="166"/>
      <c r="T455" s="7"/>
      <c r="U455" s="3"/>
      <c r="V455" s="13"/>
      <c r="W455" s="3"/>
      <c r="X455" s="166"/>
      <c r="Y455" s="7"/>
      <c r="Z455" s="13"/>
      <c r="AA455" s="7"/>
      <c r="AB455" s="7"/>
      <c r="AC455" s="257"/>
      <c r="AD455" s="166"/>
      <c r="AE455" s="258"/>
      <c r="AF455" s="7"/>
      <c r="AG455" s="7"/>
      <c r="AH455" s="166"/>
      <c r="AI455" s="13"/>
      <c r="AJ455" s="3"/>
      <c r="AK455" s="13"/>
      <c r="AL455" s="3"/>
      <c r="AM455" s="3"/>
      <c r="AN455" s="3"/>
      <c r="AO455" s="3"/>
      <c r="AP455" s="3"/>
      <c r="AQ455" s="3"/>
      <c r="AR455" s="3"/>
      <c r="AS455" s="98"/>
      <c r="AT455" s="98"/>
      <c r="AU455" s="98"/>
      <c r="AV455" s="98"/>
      <c r="AW455" s="98"/>
      <c r="AX455" s="98"/>
      <c r="AY455" s="98"/>
      <c r="AZ455" s="98"/>
    </row>
    <row r="456">
      <c r="A456" s="3"/>
      <c r="B456" s="36"/>
      <c r="C456" s="91"/>
      <c r="D456" s="13"/>
      <c r="E456" s="13"/>
      <c r="F456" s="3"/>
      <c r="G456" s="3"/>
      <c r="H456" s="3"/>
      <c r="I456" s="13"/>
      <c r="J456" s="13"/>
      <c r="K456" s="13"/>
      <c r="L456" s="36"/>
      <c r="M456" s="91"/>
      <c r="N456" s="3"/>
      <c r="O456" s="3"/>
      <c r="P456" s="7"/>
      <c r="Q456" s="7"/>
      <c r="R456" s="166"/>
      <c r="S456" s="166"/>
      <c r="T456" s="7"/>
      <c r="U456" s="3"/>
      <c r="V456" s="13"/>
      <c r="W456" s="3"/>
      <c r="X456" s="166"/>
      <c r="Y456" s="7"/>
      <c r="Z456" s="13"/>
      <c r="AA456" s="7"/>
      <c r="AB456" s="7"/>
      <c r="AC456" s="257"/>
      <c r="AD456" s="166"/>
      <c r="AE456" s="258"/>
      <c r="AF456" s="7"/>
      <c r="AG456" s="7"/>
      <c r="AH456" s="166"/>
      <c r="AI456" s="13"/>
      <c r="AJ456" s="3"/>
      <c r="AK456" s="13"/>
      <c r="AL456" s="3"/>
      <c r="AM456" s="3"/>
      <c r="AN456" s="3"/>
      <c r="AO456" s="3"/>
      <c r="AP456" s="3"/>
      <c r="AQ456" s="3"/>
      <c r="AR456" s="3"/>
      <c r="AS456" s="98"/>
      <c r="AT456" s="98"/>
      <c r="AU456" s="98"/>
      <c r="AV456" s="98"/>
      <c r="AW456" s="98"/>
      <c r="AX456" s="98"/>
      <c r="AY456" s="98"/>
      <c r="AZ456" s="98"/>
    </row>
    <row r="457">
      <c r="A457" s="3"/>
      <c r="B457" s="36"/>
      <c r="C457" s="91"/>
      <c r="D457" s="13"/>
      <c r="E457" s="13"/>
      <c r="F457" s="3"/>
      <c r="G457" s="3"/>
      <c r="H457" s="3"/>
      <c r="I457" s="13"/>
      <c r="J457" s="13"/>
      <c r="K457" s="13"/>
      <c r="L457" s="36"/>
      <c r="M457" s="91"/>
      <c r="N457" s="3"/>
      <c r="O457" s="3"/>
      <c r="P457" s="7"/>
      <c r="Q457" s="7"/>
      <c r="R457" s="166"/>
      <c r="S457" s="166"/>
      <c r="T457" s="7"/>
      <c r="U457" s="3"/>
      <c r="V457" s="13"/>
      <c r="W457" s="3"/>
      <c r="X457" s="166"/>
      <c r="Y457" s="7"/>
      <c r="Z457" s="13"/>
      <c r="AA457" s="7"/>
      <c r="AB457" s="7"/>
      <c r="AC457" s="257"/>
      <c r="AD457" s="166"/>
      <c r="AE457" s="258"/>
      <c r="AF457" s="7"/>
      <c r="AG457" s="7"/>
      <c r="AH457" s="166"/>
      <c r="AI457" s="13"/>
      <c r="AJ457" s="3"/>
      <c r="AK457" s="13"/>
      <c r="AL457" s="3"/>
      <c r="AM457" s="3"/>
      <c r="AN457" s="3"/>
      <c r="AO457" s="3"/>
      <c r="AP457" s="3"/>
      <c r="AQ457" s="3"/>
      <c r="AR457" s="3"/>
      <c r="AS457" s="98"/>
      <c r="AT457" s="98"/>
      <c r="AU457" s="98"/>
      <c r="AV457" s="98"/>
      <c r="AW457" s="98"/>
      <c r="AX457" s="98"/>
      <c r="AY457" s="98"/>
      <c r="AZ457" s="98"/>
    </row>
    <row r="458">
      <c r="A458" s="3"/>
      <c r="B458" s="36"/>
      <c r="C458" s="91"/>
      <c r="D458" s="13"/>
      <c r="E458" s="13"/>
      <c r="F458" s="3"/>
      <c r="G458" s="3"/>
      <c r="H458" s="3"/>
      <c r="I458" s="13"/>
      <c r="J458" s="13"/>
      <c r="K458" s="13"/>
      <c r="L458" s="36"/>
      <c r="M458" s="91"/>
      <c r="N458" s="3"/>
      <c r="O458" s="3"/>
      <c r="P458" s="7"/>
      <c r="Q458" s="7"/>
      <c r="R458" s="166"/>
      <c r="S458" s="166"/>
      <c r="T458" s="7"/>
      <c r="U458" s="3"/>
      <c r="V458" s="13"/>
      <c r="W458" s="3"/>
      <c r="X458" s="166"/>
      <c r="Y458" s="7"/>
      <c r="Z458" s="13"/>
      <c r="AA458" s="7"/>
      <c r="AB458" s="7"/>
      <c r="AC458" s="257"/>
      <c r="AD458" s="166"/>
      <c r="AE458" s="258"/>
      <c r="AF458" s="7"/>
      <c r="AG458" s="7"/>
      <c r="AH458" s="166"/>
      <c r="AI458" s="13"/>
      <c r="AJ458" s="3"/>
      <c r="AK458" s="13"/>
      <c r="AL458" s="3"/>
      <c r="AM458" s="3"/>
      <c r="AN458" s="3"/>
      <c r="AO458" s="3"/>
      <c r="AP458" s="3"/>
      <c r="AQ458" s="3"/>
      <c r="AR458" s="3"/>
      <c r="AS458" s="98"/>
      <c r="AT458" s="98"/>
      <c r="AU458" s="98"/>
      <c r="AV458" s="98"/>
      <c r="AW458" s="98"/>
      <c r="AX458" s="98"/>
      <c r="AY458" s="98"/>
      <c r="AZ458" s="98"/>
    </row>
    <row r="459">
      <c r="A459" s="3"/>
      <c r="B459" s="36"/>
      <c r="C459" s="91"/>
      <c r="D459" s="13"/>
      <c r="E459" s="13"/>
      <c r="F459" s="3"/>
      <c r="G459" s="3"/>
      <c r="H459" s="3"/>
      <c r="I459" s="13"/>
      <c r="J459" s="13"/>
      <c r="K459" s="13"/>
      <c r="L459" s="36"/>
      <c r="M459" s="91"/>
      <c r="N459" s="3"/>
      <c r="O459" s="3"/>
      <c r="P459" s="7"/>
      <c r="Q459" s="7"/>
      <c r="R459" s="166"/>
      <c r="S459" s="166"/>
      <c r="T459" s="7"/>
      <c r="U459" s="3"/>
      <c r="V459" s="13"/>
      <c r="W459" s="3"/>
      <c r="X459" s="166"/>
      <c r="Y459" s="7"/>
      <c r="Z459" s="13"/>
      <c r="AA459" s="7"/>
      <c r="AB459" s="7"/>
      <c r="AC459" s="257"/>
      <c r="AD459" s="166"/>
      <c r="AE459" s="258"/>
      <c r="AF459" s="7"/>
      <c r="AG459" s="7"/>
      <c r="AH459" s="166"/>
      <c r="AI459" s="13"/>
      <c r="AJ459" s="3"/>
      <c r="AK459" s="13"/>
      <c r="AL459" s="3"/>
      <c r="AM459" s="3"/>
      <c r="AN459" s="3"/>
      <c r="AO459" s="3"/>
      <c r="AP459" s="3"/>
      <c r="AQ459" s="3"/>
      <c r="AR459" s="3"/>
      <c r="AS459" s="98"/>
      <c r="AT459" s="98"/>
      <c r="AU459" s="98"/>
      <c r="AV459" s="98"/>
      <c r="AW459" s="98"/>
      <c r="AX459" s="98"/>
      <c r="AY459" s="98"/>
      <c r="AZ459" s="98"/>
    </row>
    <row r="460">
      <c r="A460" s="3"/>
      <c r="B460" s="36"/>
      <c r="C460" s="91"/>
      <c r="D460" s="13"/>
      <c r="E460" s="13"/>
      <c r="F460" s="3"/>
      <c r="G460" s="3"/>
      <c r="H460" s="3"/>
      <c r="I460" s="13"/>
      <c r="J460" s="13"/>
      <c r="K460" s="13"/>
      <c r="L460" s="36"/>
      <c r="M460" s="91"/>
      <c r="N460" s="3"/>
      <c r="O460" s="3"/>
      <c r="P460" s="7"/>
      <c r="Q460" s="7"/>
      <c r="R460" s="166"/>
      <c r="S460" s="166"/>
      <c r="T460" s="7"/>
      <c r="U460" s="3"/>
      <c r="V460" s="13"/>
      <c r="W460" s="3"/>
      <c r="X460" s="166"/>
      <c r="Y460" s="7"/>
      <c r="Z460" s="13"/>
      <c r="AA460" s="7"/>
      <c r="AB460" s="7"/>
      <c r="AC460" s="257"/>
      <c r="AD460" s="166"/>
      <c r="AE460" s="258"/>
      <c r="AF460" s="7"/>
      <c r="AG460" s="7"/>
      <c r="AH460" s="166"/>
      <c r="AI460" s="13"/>
      <c r="AJ460" s="3"/>
      <c r="AK460" s="13"/>
      <c r="AL460" s="3"/>
      <c r="AM460" s="3"/>
      <c r="AN460" s="3"/>
      <c r="AO460" s="3"/>
      <c r="AP460" s="3"/>
      <c r="AQ460" s="3"/>
      <c r="AR460" s="3"/>
      <c r="AS460" s="98"/>
      <c r="AT460" s="98"/>
      <c r="AU460" s="98"/>
      <c r="AV460" s="98"/>
      <c r="AW460" s="98"/>
      <c r="AX460" s="98"/>
      <c r="AY460" s="98"/>
      <c r="AZ460" s="98"/>
    </row>
    <row r="461">
      <c r="A461" s="3"/>
      <c r="B461" s="36"/>
      <c r="C461" s="91"/>
      <c r="D461" s="13"/>
      <c r="E461" s="13"/>
      <c r="F461" s="3"/>
      <c r="G461" s="3"/>
      <c r="H461" s="3"/>
      <c r="I461" s="13"/>
      <c r="J461" s="13"/>
      <c r="K461" s="13"/>
      <c r="L461" s="36"/>
      <c r="M461" s="91"/>
      <c r="N461" s="3"/>
      <c r="O461" s="3"/>
      <c r="P461" s="7"/>
      <c r="Q461" s="7"/>
      <c r="R461" s="166"/>
      <c r="S461" s="166"/>
      <c r="T461" s="7"/>
      <c r="U461" s="3"/>
      <c r="V461" s="13"/>
      <c r="W461" s="3"/>
      <c r="X461" s="166"/>
      <c r="Y461" s="7"/>
      <c r="Z461" s="13"/>
      <c r="AA461" s="7"/>
      <c r="AB461" s="7"/>
      <c r="AC461" s="257"/>
      <c r="AD461" s="166"/>
      <c r="AE461" s="258"/>
      <c r="AF461" s="7"/>
      <c r="AG461" s="7"/>
      <c r="AH461" s="166"/>
      <c r="AI461" s="13"/>
      <c r="AJ461" s="3"/>
      <c r="AK461" s="13"/>
      <c r="AL461" s="3"/>
      <c r="AM461" s="3"/>
      <c r="AN461" s="3"/>
      <c r="AO461" s="3"/>
      <c r="AP461" s="3"/>
      <c r="AQ461" s="3"/>
      <c r="AR461" s="3"/>
      <c r="AS461" s="98"/>
      <c r="AT461" s="98"/>
      <c r="AU461" s="98"/>
      <c r="AV461" s="98"/>
      <c r="AW461" s="98"/>
      <c r="AX461" s="98"/>
      <c r="AY461" s="98"/>
      <c r="AZ461" s="98"/>
    </row>
    <row r="462">
      <c r="A462" s="3"/>
      <c r="B462" s="36"/>
      <c r="C462" s="91"/>
      <c r="D462" s="13"/>
      <c r="E462" s="13"/>
      <c r="F462" s="3"/>
      <c r="G462" s="3"/>
      <c r="H462" s="3"/>
      <c r="I462" s="13"/>
      <c r="J462" s="13"/>
      <c r="K462" s="13"/>
      <c r="L462" s="36"/>
      <c r="M462" s="91"/>
      <c r="N462" s="3"/>
      <c r="O462" s="3"/>
      <c r="P462" s="7"/>
      <c r="Q462" s="7"/>
      <c r="R462" s="166"/>
      <c r="S462" s="166"/>
      <c r="T462" s="7"/>
      <c r="U462" s="3"/>
      <c r="V462" s="13"/>
      <c r="W462" s="3"/>
      <c r="X462" s="166"/>
      <c r="Y462" s="7"/>
      <c r="Z462" s="13"/>
      <c r="AA462" s="7"/>
      <c r="AB462" s="7"/>
      <c r="AC462" s="257"/>
      <c r="AD462" s="166"/>
      <c r="AE462" s="258"/>
      <c r="AF462" s="7"/>
      <c r="AG462" s="7"/>
      <c r="AH462" s="166"/>
      <c r="AI462" s="13"/>
      <c r="AJ462" s="3"/>
      <c r="AK462" s="13"/>
      <c r="AL462" s="3"/>
      <c r="AM462" s="3"/>
      <c r="AN462" s="3"/>
      <c r="AO462" s="3"/>
      <c r="AP462" s="3"/>
      <c r="AQ462" s="3"/>
      <c r="AR462" s="3"/>
      <c r="AS462" s="98"/>
      <c r="AT462" s="98"/>
      <c r="AU462" s="98"/>
      <c r="AV462" s="98"/>
      <c r="AW462" s="98"/>
      <c r="AX462" s="98"/>
      <c r="AY462" s="98"/>
      <c r="AZ462" s="98"/>
    </row>
    <row r="463">
      <c r="A463" s="3"/>
      <c r="B463" s="36"/>
      <c r="C463" s="91"/>
      <c r="D463" s="13"/>
      <c r="E463" s="13"/>
      <c r="F463" s="3"/>
      <c r="G463" s="3"/>
      <c r="H463" s="3"/>
      <c r="I463" s="13"/>
      <c r="J463" s="13"/>
      <c r="K463" s="13"/>
      <c r="L463" s="36"/>
      <c r="M463" s="91"/>
      <c r="N463" s="3"/>
      <c r="O463" s="3"/>
      <c r="P463" s="7"/>
      <c r="Q463" s="7"/>
      <c r="R463" s="166"/>
      <c r="S463" s="166"/>
      <c r="T463" s="7"/>
      <c r="U463" s="3"/>
      <c r="V463" s="13"/>
      <c r="W463" s="3"/>
      <c r="X463" s="166"/>
      <c r="Y463" s="7"/>
      <c r="Z463" s="13"/>
      <c r="AA463" s="7"/>
      <c r="AB463" s="7"/>
      <c r="AC463" s="257"/>
      <c r="AD463" s="166"/>
      <c r="AE463" s="258"/>
      <c r="AF463" s="7"/>
      <c r="AG463" s="7"/>
      <c r="AH463" s="166"/>
      <c r="AI463" s="13"/>
      <c r="AJ463" s="3"/>
      <c r="AK463" s="13"/>
      <c r="AL463" s="3"/>
      <c r="AM463" s="3"/>
      <c r="AN463" s="3"/>
      <c r="AO463" s="3"/>
      <c r="AP463" s="3"/>
      <c r="AQ463" s="3"/>
      <c r="AR463" s="3"/>
      <c r="AS463" s="98"/>
      <c r="AT463" s="98"/>
      <c r="AU463" s="98"/>
      <c r="AV463" s="98"/>
      <c r="AW463" s="98"/>
      <c r="AX463" s="98"/>
      <c r="AY463" s="98"/>
      <c r="AZ463" s="98"/>
    </row>
    <row r="464">
      <c r="A464" s="3"/>
      <c r="B464" s="36"/>
      <c r="C464" s="91"/>
      <c r="D464" s="13"/>
      <c r="E464" s="13"/>
      <c r="F464" s="3"/>
      <c r="G464" s="3"/>
      <c r="H464" s="3"/>
      <c r="I464" s="13"/>
      <c r="J464" s="13"/>
      <c r="K464" s="13"/>
      <c r="L464" s="36"/>
      <c r="M464" s="91"/>
      <c r="N464" s="3"/>
      <c r="O464" s="3"/>
      <c r="P464" s="7"/>
      <c r="Q464" s="7"/>
      <c r="R464" s="166"/>
      <c r="S464" s="166"/>
      <c r="T464" s="7"/>
      <c r="U464" s="3"/>
      <c r="V464" s="13"/>
      <c r="W464" s="3"/>
      <c r="X464" s="166"/>
      <c r="Y464" s="7"/>
      <c r="Z464" s="13"/>
      <c r="AA464" s="7"/>
      <c r="AB464" s="7"/>
      <c r="AC464" s="257"/>
      <c r="AD464" s="166"/>
      <c r="AE464" s="258"/>
      <c r="AF464" s="7"/>
      <c r="AG464" s="7"/>
      <c r="AH464" s="166"/>
      <c r="AI464" s="13"/>
      <c r="AJ464" s="3"/>
      <c r="AK464" s="13"/>
      <c r="AL464" s="3"/>
      <c r="AM464" s="3"/>
      <c r="AN464" s="3"/>
      <c r="AO464" s="3"/>
      <c r="AP464" s="3"/>
      <c r="AQ464" s="3"/>
      <c r="AR464" s="3"/>
      <c r="AS464" s="98"/>
      <c r="AT464" s="98"/>
      <c r="AU464" s="98"/>
      <c r="AV464" s="98"/>
      <c r="AW464" s="98"/>
      <c r="AX464" s="98"/>
      <c r="AY464" s="98"/>
      <c r="AZ464" s="98"/>
    </row>
    <row r="465">
      <c r="A465" s="3"/>
      <c r="B465" s="36"/>
      <c r="C465" s="91"/>
      <c r="D465" s="13"/>
      <c r="E465" s="13"/>
      <c r="F465" s="3"/>
      <c r="G465" s="3"/>
      <c r="H465" s="3"/>
      <c r="I465" s="13"/>
      <c r="J465" s="13"/>
      <c r="K465" s="13"/>
      <c r="L465" s="36"/>
      <c r="M465" s="91"/>
      <c r="N465" s="3"/>
      <c r="O465" s="3"/>
      <c r="P465" s="7"/>
      <c r="Q465" s="7"/>
      <c r="R465" s="166"/>
      <c r="S465" s="166"/>
      <c r="T465" s="7"/>
      <c r="U465" s="3"/>
      <c r="V465" s="13"/>
      <c r="W465" s="3"/>
      <c r="X465" s="166"/>
      <c r="Y465" s="7"/>
      <c r="Z465" s="13"/>
      <c r="AA465" s="7"/>
      <c r="AB465" s="7"/>
      <c r="AC465" s="257"/>
      <c r="AD465" s="166"/>
      <c r="AE465" s="258"/>
      <c r="AF465" s="7"/>
      <c r="AG465" s="7"/>
      <c r="AH465" s="166"/>
      <c r="AI465" s="13"/>
      <c r="AJ465" s="3"/>
      <c r="AK465" s="13"/>
      <c r="AL465" s="3"/>
      <c r="AM465" s="3"/>
      <c r="AN465" s="3"/>
      <c r="AO465" s="3"/>
      <c r="AP465" s="3"/>
      <c r="AQ465" s="3"/>
      <c r="AR465" s="3"/>
      <c r="AS465" s="98"/>
      <c r="AT465" s="98"/>
      <c r="AU465" s="98"/>
      <c r="AV465" s="98"/>
      <c r="AW465" s="98"/>
      <c r="AX465" s="98"/>
      <c r="AY465" s="98"/>
      <c r="AZ465" s="98"/>
    </row>
    <row r="466">
      <c r="A466" s="3"/>
      <c r="B466" s="36"/>
      <c r="C466" s="91"/>
      <c r="D466" s="13"/>
      <c r="E466" s="13"/>
      <c r="F466" s="3"/>
      <c r="G466" s="3"/>
      <c r="H466" s="3"/>
      <c r="I466" s="13"/>
      <c r="J466" s="13"/>
      <c r="K466" s="13"/>
      <c r="L466" s="36"/>
      <c r="M466" s="91"/>
      <c r="N466" s="3"/>
      <c r="O466" s="3"/>
      <c r="P466" s="7"/>
      <c r="Q466" s="7"/>
      <c r="R466" s="166"/>
      <c r="S466" s="166"/>
      <c r="T466" s="7"/>
      <c r="U466" s="3"/>
      <c r="V466" s="13"/>
      <c r="W466" s="3"/>
      <c r="X466" s="166"/>
      <c r="Y466" s="7"/>
      <c r="Z466" s="13"/>
      <c r="AA466" s="7"/>
      <c r="AB466" s="7"/>
      <c r="AC466" s="257"/>
      <c r="AD466" s="166"/>
      <c r="AE466" s="258"/>
      <c r="AF466" s="7"/>
      <c r="AG466" s="7"/>
      <c r="AH466" s="166"/>
      <c r="AI466" s="13"/>
      <c r="AJ466" s="3"/>
      <c r="AK466" s="13"/>
      <c r="AL466" s="3"/>
      <c r="AM466" s="3"/>
      <c r="AN466" s="3"/>
      <c r="AO466" s="3"/>
      <c r="AP466" s="3"/>
      <c r="AQ466" s="3"/>
      <c r="AR466" s="3"/>
      <c r="AS466" s="98"/>
      <c r="AT466" s="98"/>
      <c r="AU466" s="98"/>
      <c r="AV466" s="98"/>
      <c r="AW466" s="98"/>
      <c r="AX466" s="98"/>
      <c r="AY466" s="98"/>
      <c r="AZ466" s="98"/>
    </row>
    <row r="467">
      <c r="A467" s="3"/>
      <c r="B467" s="36"/>
      <c r="C467" s="91"/>
      <c r="D467" s="13"/>
      <c r="E467" s="13"/>
      <c r="F467" s="3"/>
      <c r="G467" s="3"/>
      <c r="H467" s="3"/>
      <c r="I467" s="13"/>
      <c r="J467" s="13"/>
      <c r="K467" s="13"/>
      <c r="L467" s="36"/>
      <c r="M467" s="91"/>
      <c r="N467" s="3"/>
      <c r="O467" s="3"/>
      <c r="P467" s="7"/>
      <c r="Q467" s="7"/>
      <c r="R467" s="166"/>
      <c r="S467" s="166"/>
      <c r="T467" s="7"/>
      <c r="U467" s="3"/>
      <c r="V467" s="13"/>
      <c r="W467" s="3"/>
      <c r="X467" s="166"/>
      <c r="Y467" s="7"/>
      <c r="Z467" s="13"/>
      <c r="AA467" s="7"/>
      <c r="AB467" s="7"/>
      <c r="AC467" s="257"/>
      <c r="AD467" s="166"/>
      <c r="AE467" s="258"/>
      <c r="AF467" s="7"/>
      <c r="AG467" s="7"/>
      <c r="AH467" s="166"/>
      <c r="AI467" s="13"/>
      <c r="AJ467" s="3"/>
      <c r="AK467" s="13"/>
      <c r="AL467" s="3"/>
      <c r="AM467" s="3"/>
      <c r="AN467" s="3"/>
      <c r="AO467" s="3"/>
      <c r="AP467" s="3"/>
      <c r="AQ467" s="3"/>
      <c r="AR467" s="3"/>
      <c r="AS467" s="98"/>
      <c r="AT467" s="98"/>
      <c r="AU467" s="98"/>
      <c r="AV467" s="98"/>
      <c r="AW467" s="98"/>
      <c r="AX467" s="98"/>
      <c r="AY467" s="98"/>
      <c r="AZ467" s="98"/>
    </row>
    <row r="468">
      <c r="A468" s="3"/>
      <c r="B468" s="36"/>
      <c r="C468" s="91"/>
      <c r="D468" s="13"/>
      <c r="E468" s="13"/>
      <c r="F468" s="3"/>
      <c r="G468" s="3"/>
      <c r="H468" s="3"/>
      <c r="I468" s="13"/>
      <c r="J468" s="13"/>
      <c r="K468" s="13"/>
      <c r="L468" s="36"/>
      <c r="M468" s="91"/>
      <c r="N468" s="3"/>
      <c r="O468" s="3"/>
      <c r="P468" s="7"/>
      <c r="Q468" s="7"/>
      <c r="R468" s="166"/>
      <c r="S468" s="166"/>
      <c r="T468" s="7"/>
      <c r="U468" s="3"/>
      <c r="V468" s="13"/>
      <c r="W468" s="3"/>
      <c r="X468" s="166"/>
      <c r="Y468" s="7"/>
      <c r="Z468" s="13"/>
      <c r="AA468" s="7"/>
      <c r="AB468" s="7"/>
      <c r="AC468" s="257"/>
      <c r="AD468" s="166"/>
      <c r="AE468" s="258"/>
      <c r="AF468" s="7"/>
      <c r="AG468" s="7"/>
      <c r="AH468" s="166"/>
      <c r="AI468" s="13"/>
      <c r="AJ468" s="3"/>
      <c r="AK468" s="13"/>
      <c r="AL468" s="3"/>
      <c r="AM468" s="3"/>
      <c r="AN468" s="3"/>
      <c r="AO468" s="3"/>
      <c r="AP468" s="3"/>
      <c r="AQ468" s="3"/>
      <c r="AR468" s="3"/>
      <c r="AS468" s="98"/>
      <c r="AT468" s="98"/>
      <c r="AU468" s="98"/>
      <c r="AV468" s="98"/>
      <c r="AW468" s="98"/>
      <c r="AX468" s="98"/>
      <c r="AY468" s="98"/>
      <c r="AZ468" s="98"/>
    </row>
    <row r="469">
      <c r="A469" s="3"/>
      <c r="B469" s="36"/>
      <c r="C469" s="91"/>
      <c r="D469" s="13"/>
      <c r="E469" s="13"/>
      <c r="F469" s="3"/>
      <c r="G469" s="3"/>
      <c r="H469" s="3"/>
      <c r="I469" s="13"/>
      <c r="J469" s="13"/>
      <c r="K469" s="13"/>
      <c r="L469" s="36"/>
      <c r="M469" s="91"/>
      <c r="N469" s="3"/>
      <c r="O469" s="3"/>
      <c r="P469" s="7"/>
      <c r="Q469" s="7"/>
      <c r="R469" s="166"/>
      <c r="S469" s="166"/>
      <c r="T469" s="7"/>
      <c r="U469" s="3"/>
      <c r="V469" s="13"/>
      <c r="W469" s="3"/>
      <c r="X469" s="166"/>
      <c r="Y469" s="7"/>
      <c r="Z469" s="13"/>
      <c r="AA469" s="7"/>
      <c r="AB469" s="7"/>
      <c r="AC469" s="257"/>
      <c r="AD469" s="166"/>
      <c r="AE469" s="258"/>
      <c r="AF469" s="7"/>
      <c r="AG469" s="7"/>
      <c r="AH469" s="166"/>
      <c r="AI469" s="13"/>
      <c r="AJ469" s="3"/>
      <c r="AK469" s="13"/>
      <c r="AL469" s="3"/>
      <c r="AM469" s="3"/>
      <c r="AN469" s="3"/>
      <c r="AO469" s="3"/>
      <c r="AP469" s="3"/>
      <c r="AQ469" s="3"/>
      <c r="AR469" s="3"/>
      <c r="AS469" s="98"/>
      <c r="AT469" s="98"/>
      <c r="AU469" s="98"/>
      <c r="AV469" s="98"/>
      <c r="AW469" s="98"/>
      <c r="AX469" s="98"/>
      <c r="AY469" s="98"/>
      <c r="AZ469" s="98"/>
    </row>
    <row r="470">
      <c r="A470" s="3"/>
      <c r="B470" s="36"/>
      <c r="C470" s="91"/>
      <c r="D470" s="13"/>
      <c r="E470" s="13"/>
      <c r="F470" s="3"/>
      <c r="G470" s="3"/>
      <c r="H470" s="3"/>
      <c r="I470" s="13"/>
      <c r="J470" s="13"/>
      <c r="K470" s="13"/>
      <c r="L470" s="36"/>
      <c r="M470" s="91"/>
      <c r="N470" s="3"/>
      <c r="O470" s="3"/>
      <c r="P470" s="7"/>
      <c r="Q470" s="7"/>
      <c r="R470" s="166"/>
      <c r="S470" s="166"/>
      <c r="T470" s="7"/>
      <c r="U470" s="3"/>
      <c r="V470" s="13"/>
      <c r="W470" s="3"/>
      <c r="X470" s="166"/>
      <c r="Y470" s="7"/>
      <c r="Z470" s="13"/>
      <c r="AA470" s="7"/>
      <c r="AB470" s="7"/>
      <c r="AC470" s="257"/>
      <c r="AD470" s="166"/>
      <c r="AE470" s="258"/>
      <c r="AF470" s="7"/>
      <c r="AG470" s="7"/>
      <c r="AH470" s="166"/>
      <c r="AI470" s="13"/>
      <c r="AJ470" s="3"/>
      <c r="AK470" s="13"/>
      <c r="AL470" s="3"/>
      <c r="AM470" s="3"/>
      <c r="AN470" s="3"/>
      <c r="AO470" s="3"/>
      <c r="AP470" s="3"/>
      <c r="AQ470" s="3"/>
      <c r="AR470" s="3"/>
      <c r="AS470" s="98"/>
      <c r="AT470" s="98"/>
      <c r="AU470" s="98"/>
      <c r="AV470" s="98"/>
      <c r="AW470" s="98"/>
      <c r="AX470" s="98"/>
      <c r="AY470" s="98"/>
      <c r="AZ470" s="98"/>
    </row>
    <row r="471">
      <c r="A471" s="3"/>
      <c r="B471" s="36"/>
      <c r="C471" s="91"/>
      <c r="D471" s="13"/>
      <c r="E471" s="13"/>
      <c r="F471" s="3"/>
      <c r="G471" s="3"/>
      <c r="H471" s="3"/>
      <c r="I471" s="13"/>
      <c r="J471" s="13"/>
      <c r="K471" s="13"/>
      <c r="L471" s="36"/>
      <c r="M471" s="91"/>
      <c r="N471" s="3"/>
      <c r="O471" s="3"/>
      <c r="P471" s="7"/>
      <c r="Q471" s="7"/>
      <c r="R471" s="166"/>
      <c r="S471" s="166"/>
      <c r="T471" s="7"/>
      <c r="U471" s="3"/>
      <c r="V471" s="13"/>
      <c r="W471" s="3"/>
      <c r="X471" s="166"/>
      <c r="Y471" s="7"/>
      <c r="Z471" s="13"/>
      <c r="AA471" s="7"/>
      <c r="AB471" s="7"/>
      <c r="AC471" s="257"/>
      <c r="AD471" s="166"/>
      <c r="AE471" s="258"/>
      <c r="AF471" s="7"/>
      <c r="AG471" s="7"/>
      <c r="AH471" s="166"/>
      <c r="AI471" s="13"/>
      <c r="AJ471" s="3"/>
      <c r="AK471" s="13"/>
      <c r="AL471" s="3"/>
      <c r="AM471" s="3"/>
      <c r="AN471" s="3"/>
      <c r="AO471" s="3"/>
      <c r="AP471" s="3"/>
      <c r="AQ471" s="3"/>
      <c r="AR471" s="3"/>
      <c r="AS471" s="98"/>
      <c r="AT471" s="98"/>
      <c r="AU471" s="98"/>
      <c r="AV471" s="98"/>
      <c r="AW471" s="98"/>
      <c r="AX471" s="98"/>
      <c r="AY471" s="98"/>
      <c r="AZ471" s="98"/>
    </row>
    <row r="472">
      <c r="A472" s="3"/>
      <c r="B472" s="36"/>
      <c r="C472" s="91"/>
      <c r="D472" s="13"/>
      <c r="E472" s="13"/>
      <c r="F472" s="3"/>
      <c r="G472" s="3"/>
      <c r="H472" s="3"/>
      <c r="I472" s="13"/>
      <c r="J472" s="13"/>
      <c r="K472" s="13"/>
      <c r="L472" s="36"/>
      <c r="M472" s="91"/>
      <c r="N472" s="3"/>
      <c r="O472" s="3"/>
      <c r="P472" s="7"/>
      <c r="Q472" s="7"/>
      <c r="R472" s="166"/>
      <c r="S472" s="166"/>
      <c r="T472" s="7"/>
      <c r="U472" s="3"/>
      <c r="V472" s="13"/>
      <c r="W472" s="3"/>
      <c r="X472" s="166"/>
      <c r="Y472" s="7"/>
      <c r="Z472" s="13"/>
      <c r="AA472" s="7"/>
      <c r="AB472" s="7"/>
      <c r="AC472" s="257"/>
      <c r="AD472" s="166"/>
      <c r="AE472" s="258"/>
      <c r="AF472" s="7"/>
      <c r="AG472" s="7"/>
      <c r="AH472" s="166"/>
      <c r="AI472" s="13"/>
      <c r="AJ472" s="3"/>
      <c r="AK472" s="13"/>
      <c r="AL472" s="3"/>
      <c r="AM472" s="3"/>
      <c r="AN472" s="3"/>
      <c r="AO472" s="3"/>
      <c r="AP472" s="3"/>
      <c r="AQ472" s="3"/>
      <c r="AR472" s="3"/>
      <c r="AS472" s="98"/>
      <c r="AT472" s="98"/>
      <c r="AU472" s="98"/>
      <c r="AV472" s="98"/>
      <c r="AW472" s="98"/>
      <c r="AX472" s="98"/>
      <c r="AY472" s="98"/>
      <c r="AZ472" s="98"/>
    </row>
    <row r="473">
      <c r="A473" s="3"/>
      <c r="B473" s="36"/>
      <c r="C473" s="91"/>
      <c r="D473" s="13"/>
      <c r="E473" s="13"/>
      <c r="F473" s="3"/>
      <c r="G473" s="3"/>
      <c r="H473" s="3"/>
      <c r="I473" s="13"/>
      <c r="J473" s="13"/>
      <c r="K473" s="13"/>
      <c r="L473" s="36"/>
      <c r="M473" s="91"/>
      <c r="N473" s="3"/>
      <c r="O473" s="3"/>
      <c r="P473" s="7"/>
      <c r="Q473" s="7"/>
      <c r="R473" s="166"/>
      <c r="S473" s="166"/>
      <c r="T473" s="7"/>
      <c r="U473" s="3"/>
      <c r="V473" s="13"/>
      <c r="W473" s="3"/>
      <c r="X473" s="166"/>
      <c r="Y473" s="7"/>
      <c r="Z473" s="13"/>
      <c r="AA473" s="7"/>
      <c r="AB473" s="7"/>
      <c r="AC473" s="257"/>
      <c r="AD473" s="166"/>
      <c r="AE473" s="258"/>
      <c r="AF473" s="7"/>
      <c r="AG473" s="7"/>
      <c r="AH473" s="166"/>
      <c r="AI473" s="13"/>
      <c r="AJ473" s="3"/>
      <c r="AK473" s="13"/>
      <c r="AL473" s="3"/>
      <c r="AM473" s="3"/>
      <c r="AN473" s="3"/>
      <c r="AO473" s="3"/>
      <c r="AP473" s="3"/>
      <c r="AQ473" s="3"/>
      <c r="AR473" s="3"/>
      <c r="AS473" s="98"/>
      <c r="AT473" s="98"/>
      <c r="AU473" s="98"/>
      <c r="AV473" s="98"/>
      <c r="AW473" s="98"/>
      <c r="AX473" s="98"/>
      <c r="AY473" s="98"/>
      <c r="AZ473" s="98"/>
    </row>
    <row r="474">
      <c r="A474" s="3"/>
      <c r="B474" s="36"/>
      <c r="C474" s="91"/>
      <c r="D474" s="13"/>
      <c r="E474" s="13"/>
      <c r="F474" s="3"/>
      <c r="G474" s="3"/>
      <c r="H474" s="3"/>
      <c r="I474" s="13"/>
      <c r="J474" s="13"/>
      <c r="K474" s="13"/>
      <c r="L474" s="36"/>
      <c r="M474" s="91"/>
      <c r="N474" s="3"/>
      <c r="O474" s="3"/>
      <c r="P474" s="7"/>
      <c r="Q474" s="7"/>
      <c r="R474" s="166"/>
      <c r="S474" s="166"/>
      <c r="T474" s="7"/>
      <c r="U474" s="3"/>
      <c r="V474" s="13"/>
      <c r="W474" s="3"/>
      <c r="X474" s="166"/>
      <c r="Y474" s="7"/>
      <c r="Z474" s="13"/>
      <c r="AA474" s="7"/>
      <c r="AB474" s="7"/>
      <c r="AC474" s="257"/>
      <c r="AD474" s="166"/>
      <c r="AE474" s="258"/>
      <c r="AF474" s="7"/>
      <c r="AG474" s="7"/>
      <c r="AH474" s="166"/>
      <c r="AI474" s="13"/>
      <c r="AJ474" s="3"/>
      <c r="AK474" s="13"/>
      <c r="AL474" s="3"/>
      <c r="AM474" s="3"/>
      <c r="AN474" s="3"/>
      <c r="AO474" s="3"/>
      <c r="AP474" s="3"/>
      <c r="AQ474" s="3"/>
      <c r="AR474" s="3"/>
      <c r="AS474" s="98"/>
      <c r="AT474" s="98"/>
      <c r="AU474" s="98"/>
      <c r="AV474" s="98"/>
      <c r="AW474" s="98"/>
      <c r="AX474" s="98"/>
      <c r="AY474" s="98"/>
      <c r="AZ474" s="98"/>
    </row>
    <row r="475">
      <c r="A475" s="3"/>
      <c r="B475" s="36"/>
      <c r="C475" s="91"/>
      <c r="D475" s="13"/>
      <c r="E475" s="13"/>
      <c r="F475" s="3"/>
      <c r="G475" s="3"/>
      <c r="H475" s="3"/>
      <c r="I475" s="13"/>
      <c r="J475" s="13"/>
      <c r="K475" s="13"/>
      <c r="L475" s="36"/>
      <c r="M475" s="91"/>
      <c r="N475" s="3"/>
      <c r="O475" s="3"/>
      <c r="P475" s="7"/>
      <c r="Q475" s="7"/>
      <c r="R475" s="166"/>
      <c r="S475" s="166"/>
      <c r="T475" s="7"/>
      <c r="U475" s="3"/>
      <c r="V475" s="13"/>
      <c r="W475" s="3"/>
      <c r="X475" s="166"/>
      <c r="Y475" s="7"/>
      <c r="Z475" s="13"/>
      <c r="AA475" s="7"/>
      <c r="AB475" s="7"/>
      <c r="AC475" s="257"/>
      <c r="AD475" s="166"/>
      <c r="AE475" s="258"/>
      <c r="AF475" s="7"/>
      <c r="AG475" s="7"/>
      <c r="AH475" s="166"/>
      <c r="AI475" s="13"/>
      <c r="AJ475" s="3"/>
      <c r="AK475" s="13"/>
      <c r="AL475" s="3"/>
      <c r="AM475" s="3"/>
      <c r="AN475" s="3"/>
      <c r="AO475" s="3"/>
      <c r="AP475" s="3"/>
      <c r="AQ475" s="3"/>
      <c r="AR475" s="3"/>
      <c r="AS475" s="98"/>
      <c r="AT475" s="98"/>
      <c r="AU475" s="98"/>
      <c r="AV475" s="98"/>
      <c r="AW475" s="98"/>
      <c r="AX475" s="98"/>
      <c r="AY475" s="98"/>
      <c r="AZ475" s="98"/>
    </row>
    <row r="476">
      <c r="A476" s="3"/>
      <c r="B476" s="36"/>
      <c r="C476" s="91"/>
      <c r="D476" s="13"/>
      <c r="E476" s="13"/>
      <c r="F476" s="3"/>
      <c r="G476" s="3"/>
      <c r="H476" s="3"/>
      <c r="I476" s="13"/>
      <c r="J476" s="13"/>
      <c r="K476" s="13"/>
      <c r="L476" s="36"/>
      <c r="M476" s="91"/>
      <c r="N476" s="3"/>
      <c r="O476" s="3"/>
      <c r="P476" s="7"/>
      <c r="Q476" s="7"/>
      <c r="R476" s="166"/>
      <c r="S476" s="166"/>
      <c r="T476" s="7"/>
      <c r="U476" s="3"/>
      <c r="V476" s="13"/>
      <c r="W476" s="3"/>
      <c r="X476" s="166"/>
      <c r="Y476" s="7"/>
      <c r="Z476" s="13"/>
      <c r="AA476" s="7"/>
      <c r="AB476" s="7"/>
      <c r="AC476" s="257"/>
      <c r="AD476" s="166"/>
      <c r="AE476" s="258"/>
      <c r="AF476" s="7"/>
      <c r="AG476" s="7"/>
      <c r="AH476" s="166"/>
      <c r="AI476" s="13"/>
      <c r="AJ476" s="3"/>
      <c r="AK476" s="13"/>
      <c r="AL476" s="3"/>
      <c r="AM476" s="3"/>
      <c r="AN476" s="3"/>
      <c r="AO476" s="3"/>
      <c r="AP476" s="3"/>
      <c r="AQ476" s="3"/>
      <c r="AR476" s="3"/>
      <c r="AS476" s="98"/>
      <c r="AT476" s="98"/>
      <c r="AU476" s="98"/>
      <c r="AV476" s="98"/>
      <c r="AW476" s="98"/>
      <c r="AX476" s="98"/>
      <c r="AY476" s="98"/>
      <c r="AZ476" s="98"/>
    </row>
    <row r="477">
      <c r="A477" s="3"/>
      <c r="B477" s="36"/>
      <c r="C477" s="91"/>
      <c r="D477" s="13"/>
      <c r="E477" s="13"/>
      <c r="F477" s="3"/>
      <c r="G477" s="3"/>
      <c r="H477" s="3"/>
      <c r="I477" s="13"/>
      <c r="J477" s="13"/>
      <c r="K477" s="13"/>
      <c r="L477" s="36"/>
      <c r="M477" s="91"/>
      <c r="N477" s="3"/>
      <c r="O477" s="3"/>
      <c r="P477" s="7"/>
      <c r="Q477" s="7"/>
      <c r="R477" s="166"/>
      <c r="S477" s="166"/>
      <c r="T477" s="7"/>
      <c r="U477" s="3"/>
      <c r="V477" s="13"/>
      <c r="W477" s="3"/>
      <c r="X477" s="166"/>
      <c r="Y477" s="7"/>
      <c r="Z477" s="13"/>
      <c r="AA477" s="7"/>
      <c r="AB477" s="7"/>
      <c r="AC477" s="257"/>
      <c r="AD477" s="166"/>
      <c r="AE477" s="258"/>
      <c r="AF477" s="7"/>
      <c r="AG477" s="7"/>
      <c r="AH477" s="166"/>
      <c r="AI477" s="13"/>
      <c r="AJ477" s="3"/>
      <c r="AK477" s="13"/>
      <c r="AL477" s="3"/>
      <c r="AM477" s="3"/>
      <c r="AN477" s="3"/>
      <c r="AO477" s="3"/>
      <c r="AP477" s="3"/>
      <c r="AQ477" s="3"/>
      <c r="AR477" s="3"/>
      <c r="AS477" s="98"/>
      <c r="AT477" s="98"/>
      <c r="AU477" s="98"/>
      <c r="AV477" s="98"/>
      <c r="AW477" s="98"/>
      <c r="AX477" s="98"/>
      <c r="AY477" s="98"/>
      <c r="AZ477" s="98"/>
    </row>
    <row r="478">
      <c r="A478" s="3"/>
      <c r="B478" s="36"/>
      <c r="C478" s="91"/>
      <c r="D478" s="13"/>
      <c r="E478" s="13"/>
      <c r="F478" s="3"/>
      <c r="G478" s="3"/>
      <c r="H478" s="3"/>
      <c r="I478" s="13"/>
      <c r="J478" s="13"/>
      <c r="K478" s="13"/>
      <c r="L478" s="36"/>
      <c r="M478" s="91"/>
      <c r="N478" s="3"/>
      <c r="O478" s="3"/>
      <c r="P478" s="7"/>
      <c r="Q478" s="7"/>
      <c r="R478" s="166"/>
      <c r="S478" s="166"/>
      <c r="T478" s="7"/>
      <c r="U478" s="3"/>
      <c r="V478" s="13"/>
      <c r="W478" s="3"/>
      <c r="X478" s="166"/>
      <c r="Y478" s="7"/>
      <c r="Z478" s="13"/>
      <c r="AA478" s="7"/>
      <c r="AB478" s="7"/>
      <c r="AC478" s="257"/>
      <c r="AD478" s="166"/>
      <c r="AE478" s="258"/>
      <c r="AF478" s="7"/>
      <c r="AG478" s="7"/>
      <c r="AH478" s="166"/>
      <c r="AI478" s="13"/>
      <c r="AJ478" s="3"/>
      <c r="AK478" s="13"/>
      <c r="AL478" s="3"/>
      <c r="AM478" s="3"/>
      <c r="AN478" s="3"/>
      <c r="AO478" s="3"/>
      <c r="AP478" s="3"/>
      <c r="AQ478" s="3"/>
      <c r="AR478" s="3"/>
      <c r="AS478" s="98"/>
      <c r="AT478" s="98"/>
      <c r="AU478" s="98"/>
      <c r="AV478" s="98"/>
      <c r="AW478" s="98"/>
      <c r="AX478" s="98"/>
      <c r="AY478" s="98"/>
      <c r="AZ478" s="98"/>
    </row>
    <row r="479">
      <c r="A479" s="3"/>
      <c r="B479" s="36"/>
      <c r="C479" s="91"/>
      <c r="D479" s="13"/>
      <c r="E479" s="13"/>
      <c r="F479" s="3"/>
      <c r="G479" s="3"/>
      <c r="H479" s="3"/>
      <c r="I479" s="13"/>
      <c r="J479" s="13"/>
      <c r="K479" s="13"/>
      <c r="L479" s="36"/>
      <c r="M479" s="91"/>
      <c r="N479" s="3"/>
      <c r="O479" s="3"/>
      <c r="P479" s="7"/>
      <c r="Q479" s="7"/>
      <c r="R479" s="166"/>
      <c r="S479" s="166"/>
      <c r="T479" s="7"/>
      <c r="U479" s="3"/>
      <c r="V479" s="13"/>
      <c r="W479" s="3"/>
      <c r="X479" s="166"/>
      <c r="Y479" s="7"/>
      <c r="Z479" s="13"/>
      <c r="AA479" s="7"/>
      <c r="AB479" s="7"/>
      <c r="AC479" s="257"/>
      <c r="AD479" s="166"/>
      <c r="AE479" s="258"/>
      <c r="AF479" s="7"/>
      <c r="AG479" s="7"/>
      <c r="AH479" s="166"/>
      <c r="AI479" s="13"/>
      <c r="AJ479" s="3"/>
      <c r="AK479" s="13"/>
      <c r="AL479" s="3"/>
      <c r="AM479" s="3"/>
      <c r="AN479" s="3"/>
      <c r="AO479" s="3"/>
      <c r="AP479" s="3"/>
      <c r="AQ479" s="3"/>
      <c r="AR479" s="3"/>
      <c r="AS479" s="98"/>
      <c r="AT479" s="98"/>
      <c r="AU479" s="98"/>
      <c r="AV479" s="98"/>
      <c r="AW479" s="98"/>
      <c r="AX479" s="98"/>
      <c r="AY479" s="98"/>
      <c r="AZ479" s="98"/>
    </row>
    <row r="480">
      <c r="A480" s="3"/>
      <c r="B480" s="36"/>
      <c r="C480" s="91"/>
      <c r="D480" s="13"/>
      <c r="E480" s="13"/>
      <c r="F480" s="3"/>
      <c r="G480" s="3"/>
      <c r="H480" s="3"/>
      <c r="I480" s="13"/>
      <c r="J480" s="13"/>
      <c r="K480" s="13"/>
      <c r="L480" s="36"/>
      <c r="M480" s="91"/>
      <c r="N480" s="3"/>
      <c r="O480" s="3"/>
      <c r="P480" s="7"/>
      <c r="Q480" s="7"/>
      <c r="R480" s="166"/>
      <c r="S480" s="166"/>
      <c r="T480" s="7"/>
      <c r="U480" s="3"/>
      <c r="V480" s="13"/>
      <c r="W480" s="3"/>
      <c r="X480" s="166"/>
      <c r="Y480" s="7"/>
      <c r="Z480" s="13"/>
      <c r="AA480" s="7"/>
      <c r="AB480" s="7"/>
      <c r="AC480" s="257"/>
      <c r="AD480" s="166"/>
      <c r="AE480" s="258"/>
      <c r="AF480" s="7"/>
      <c r="AG480" s="7"/>
      <c r="AH480" s="166"/>
      <c r="AI480" s="13"/>
      <c r="AJ480" s="3"/>
      <c r="AK480" s="13"/>
      <c r="AL480" s="3"/>
      <c r="AM480" s="3"/>
      <c r="AN480" s="3"/>
      <c r="AO480" s="3"/>
      <c r="AP480" s="3"/>
      <c r="AQ480" s="3"/>
      <c r="AR480" s="3"/>
      <c r="AS480" s="98"/>
      <c r="AT480" s="98"/>
      <c r="AU480" s="98"/>
      <c r="AV480" s="98"/>
      <c r="AW480" s="98"/>
      <c r="AX480" s="98"/>
      <c r="AY480" s="98"/>
      <c r="AZ480" s="98"/>
    </row>
    <row r="481">
      <c r="A481" s="3"/>
      <c r="B481" s="36"/>
      <c r="C481" s="91"/>
      <c r="D481" s="13"/>
      <c r="E481" s="13"/>
      <c r="F481" s="3"/>
      <c r="G481" s="3"/>
      <c r="H481" s="3"/>
      <c r="I481" s="13"/>
      <c r="J481" s="13"/>
      <c r="K481" s="13"/>
      <c r="L481" s="36"/>
      <c r="M481" s="91"/>
      <c r="N481" s="3"/>
      <c r="O481" s="3"/>
      <c r="P481" s="7"/>
      <c r="Q481" s="7"/>
      <c r="R481" s="166"/>
      <c r="S481" s="166"/>
      <c r="T481" s="7"/>
      <c r="U481" s="3"/>
      <c r="V481" s="13"/>
      <c r="W481" s="3"/>
      <c r="X481" s="166"/>
      <c r="Y481" s="7"/>
      <c r="Z481" s="13"/>
      <c r="AA481" s="7"/>
      <c r="AB481" s="7"/>
      <c r="AC481" s="257"/>
      <c r="AD481" s="166"/>
      <c r="AE481" s="258"/>
      <c r="AF481" s="7"/>
      <c r="AG481" s="7"/>
      <c r="AH481" s="166"/>
      <c r="AI481" s="13"/>
      <c r="AJ481" s="3"/>
      <c r="AK481" s="13"/>
      <c r="AL481" s="3"/>
      <c r="AM481" s="3"/>
      <c r="AN481" s="3"/>
      <c r="AO481" s="3"/>
      <c r="AP481" s="3"/>
      <c r="AQ481" s="3"/>
      <c r="AR481" s="3"/>
      <c r="AS481" s="98"/>
      <c r="AT481" s="98"/>
      <c r="AU481" s="98"/>
      <c r="AV481" s="98"/>
      <c r="AW481" s="98"/>
      <c r="AX481" s="98"/>
      <c r="AY481" s="98"/>
      <c r="AZ481" s="98"/>
    </row>
    <row r="482">
      <c r="A482" s="3"/>
      <c r="B482" s="36"/>
      <c r="C482" s="91"/>
      <c r="D482" s="13"/>
      <c r="E482" s="13"/>
      <c r="F482" s="3"/>
      <c r="G482" s="3"/>
      <c r="H482" s="3"/>
      <c r="I482" s="13"/>
      <c r="J482" s="13"/>
      <c r="K482" s="13"/>
      <c r="L482" s="36"/>
      <c r="M482" s="91"/>
      <c r="N482" s="3"/>
      <c r="O482" s="3"/>
      <c r="P482" s="7"/>
      <c r="Q482" s="7"/>
      <c r="R482" s="166"/>
      <c r="S482" s="166"/>
      <c r="T482" s="7"/>
      <c r="U482" s="3"/>
      <c r="V482" s="13"/>
      <c r="W482" s="3"/>
      <c r="X482" s="166"/>
      <c r="Y482" s="7"/>
      <c r="Z482" s="13"/>
      <c r="AA482" s="7"/>
      <c r="AB482" s="7"/>
      <c r="AC482" s="257"/>
      <c r="AD482" s="166"/>
      <c r="AE482" s="258"/>
      <c r="AF482" s="7"/>
      <c r="AG482" s="7"/>
      <c r="AH482" s="166"/>
      <c r="AI482" s="13"/>
      <c r="AJ482" s="3"/>
      <c r="AK482" s="13"/>
      <c r="AL482" s="3"/>
      <c r="AM482" s="3"/>
      <c r="AN482" s="3"/>
      <c r="AO482" s="3"/>
      <c r="AP482" s="3"/>
      <c r="AQ482" s="3"/>
      <c r="AR482" s="3"/>
      <c r="AS482" s="98"/>
      <c r="AT482" s="98"/>
      <c r="AU482" s="98"/>
      <c r="AV482" s="98"/>
      <c r="AW482" s="98"/>
      <c r="AX482" s="98"/>
      <c r="AY482" s="98"/>
      <c r="AZ482" s="98"/>
    </row>
    <row r="483">
      <c r="A483" s="3"/>
      <c r="B483" s="36"/>
      <c r="C483" s="91"/>
      <c r="D483" s="13"/>
      <c r="E483" s="13"/>
      <c r="F483" s="3"/>
      <c r="G483" s="3"/>
      <c r="H483" s="3"/>
      <c r="I483" s="13"/>
      <c r="J483" s="13"/>
      <c r="K483" s="13"/>
      <c r="L483" s="36"/>
      <c r="M483" s="91"/>
      <c r="N483" s="3"/>
      <c r="O483" s="3"/>
      <c r="P483" s="7"/>
      <c r="Q483" s="7"/>
      <c r="R483" s="166"/>
      <c r="S483" s="166"/>
      <c r="T483" s="7"/>
      <c r="U483" s="3"/>
      <c r="V483" s="13"/>
      <c r="W483" s="3"/>
      <c r="X483" s="166"/>
      <c r="Y483" s="7"/>
      <c r="Z483" s="13"/>
      <c r="AA483" s="7"/>
      <c r="AB483" s="7"/>
      <c r="AC483" s="257"/>
      <c r="AD483" s="166"/>
      <c r="AE483" s="258"/>
      <c r="AF483" s="7"/>
      <c r="AG483" s="7"/>
      <c r="AH483" s="166"/>
      <c r="AI483" s="13"/>
      <c r="AJ483" s="3"/>
      <c r="AK483" s="13"/>
      <c r="AL483" s="3"/>
      <c r="AM483" s="3"/>
      <c r="AN483" s="3"/>
      <c r="AO483" s="3"/>
      <c r="AP483" s="3"/>
      <c r="AQ483" s="3"/>
      <c r="AR483" s="3"/>
      <c r="AS483" s="98"/>
      <c r="AT483" s="98"/>
      <c r="AU483" s="98"/>
      <c r="AV483" s="98"/>
      <c r="AW483" s="98"/>
      <c r="AX483" s="98"/>
      <c r="AY483" s="98"/>
      <c r="AZ483" s="98"/>
    </row>
    <row r="484">
      <c r="A484" s="3"/>
      <c r="B484" s="36"/>
      <c r="C484" s="91"/>
      <c r="D484" s="13"/>
      <c r="E484" s="13"/>
      <c r="F484" s="3"/>
      <c r="G484" s="3"/>
      <c r="H484" s="3"/>
      <c r="I484" s="13"/>
      <c r="J484" s="13"/>
      <c r="K484" s="13"/>
      <c r="L484" s="36"/>
      <c r="M484" s="91"/>
      <c r="N484" s="3"/>
      <c r="O484" s="3"/>
      <c r="P484" s="7"/>
      <c r="Q484" s="7"/>
      <c r="R484" s="166"/>
      <c r="S484" s="166"/>
      <c r="T484" s="7"/>
      <c r="U484" s="3"/>
      <c r="V484" s="13"/>
      <c r="W484" s="3"/>
      <c r="X484" s="166"/>
      <c r="Y484" s="7"/>
      <c r="Z484" s="13"/>
      <c r="AA484" s="7"/>
      <c r="AB484" s="7"/>
      <c r="AC484" s="257"/>
      <c r="AD484" s="166"/>
      <c r="AE484" s="258"/>
      <c r="AF484" s="7"/>
      <c r="AG484" s="7"/>
      <c r="AH484" s="166"/>
      <c r="AI484" s="13"/>
      <c r="AJ484" s="3"/>
      <c r="AK484" s="13"/>
      <c r="AL484" s="3"/>
      <c r="AM484" s="3"/>
      <c r="AN484" s="3"/>
      <c r="AO484" s="3"/>
      <c r="AP484" s="3"/>
      <c r="AQ484" s="3"/>
      <c r="AR484" s="3"/>
      <c r="AS484" s="98"/>
      <c r="AT484" s="98"/>
      <c r="AU484" s="98"/>
      <c r="AV484" s="98"/>
      <c r="AW484" s="98"/>
      <c r="AX484" s="98"/>
      <c r="AY484" s="98"/>
      <c r="AZ484" s="98"/>
    </row>
    <row r="485">
      <c r="A485" s="3"/>
      <c r="B485" s="36"/>
      <c r="C485" s="91"/>
      <c r="D485" s="13"/>
      <c r="E485" s="13"/>
      <c r="F485" s="3"/>
      <c r="G485" s="3"/>
      <c r="H485" s="3"/>
      <c r="I485" s="13"/>
      <c r="J485" s="13"/>
      <c r="K485" s="13"/>
      <c r="L485" s="36"/>
      <c r="M485" s="91"/>
      <c r="N485" s="3"/>
      <c r="O485" s="3"/>
      <c r="P485" s="7"/>
      <c r="Q485" s="7"/>
      <c r="R485" s="166"/>
      <c r="S485" s="166"/>
      <c r="T485" s="7"/>
      <c r="U485" s="3"/>
      <c r="V485" s="13"/>
      <c r="W485" s="3"/>
      <c r="X485" s="166"/>
      <c r="Y485" s="7"/>
      <c r="Z485" s="13"/>
      <c r="AA485" s="7"/>
      <c r="AB485" s="7"/>
      <c r="AC485" s="257"/>
      <c r="AD485" s="166"/>
      <c r="AE485" s="258"/>
      <c r="AF485" s="7"/>
      <c r="AG485" s="7"/>
      <c r="AH485" s="166"/>
      <c r="AI485" s="13"/>
      <c r="AJ485" s="3"/>
      <c r="AK485" s="13"/>
      <c r="AL485" s="3"/>
      <c r="AM485" s="3"/>
      <c r="AN485" s="3"/>
      <c r="AO485" s="3"/>
      <c r="AP485" s="3"/>
      <c r="AQ485" s="3"/>
      <c r="AR485" s="3"/>
      <c r="AS485" s="98"/>
      <c r="AT485" s="98"/>
      <c r="AU485" s="98"/>
      <c r="AV485" s="98"/>
      <c r="AW485" s="98"/>
      <c r="AX485" s="98"/>
      <c r="AY485" s="98"/>
      <c r="AZ485" s="98"/>
    </row>
    <row r="486">
      <c r="A486" s="3"/>
      <c r="B486" s="36"/>
      <c r="C486" s="91"/>
      <c r="D486" s="13"/>
      <c r="E486" s="13"/>
      <c r="F486" s="3"/>
      <c r="G486" s="3"/>
      <c r="H486" s="3"/>
      <c r="I486" s="13"/>
      <c r="J486" s="13"/>
      <c r="K486" s="13"/>
      <c r="L486" s="36"/>
      <c r="M486" s="91"/>
      <c r="N486" s="3"/>
      <c r="O486" s="3"/>
      <c r="P486" s="7"/>
      <c r="Q486" s="7"/>
      <c r="R486" s="166"/>
      <c r="S486" s="166"/>
      <c r="T486" s="7"/>
      <c r="U486" s="3"/>
      <c r="V486" s="13"/>
      <c r="W486" s="3"/>
      <c r="X486" s="166"/>
      <c r="Y486" s="7"/>
      <c r="Z486" s="13"/>
      <c r="AA486" s="7"/>
      <c r="AB486" s="7"/>
      <c r="AC486" s="257"/>
      <c r="AD486" s="166"/>
      <c r="AE486" s="258"/>
      <c r="AF486" s="7"/>
      <c r="AG486" s="7"/>
      <c r="AH486" s="166"/>
      <c r="AI486" s="13"/>
      <c r="AJ486" s="3"/>
      <c r="AK486" s="13"/>
      <c r="AL486" s="3"/>
      <c r="AM486" s="3"/>
      <c r="AN486" s="3"/>
      <c r="AO486" s="3"/>
      <c r="AP486" s="3"/>
      <c r="AQ486" s="3"/>
      <c r="AR486" s="3"/>
      <c r="AS486" s="98"/>
      <c r="AT486" s="98"/>
      <c r="AU486" s="98"/>
      <c r="AV486" s="98"/>
      <c r="AW486" s="98"/>
      <c r="AX486" s="98"/>
      <c r="AY486" s="98"/>
      <c r="AZ486" s="98"/>
    </row>
    <row r="487">
      <c r="A487" s="3"/>
      <c r="B487" s="36"/>
      <c r="C487" s="91"/>
      <c r="D487" s="13"/>
      <c r="E487" s="13"/>
      <c r="F487" s="3"/>
      <c r="G487" s="3"/>
      <c r="H487" s="3"/>
      <c r="I487" s="13"/>
      <c r="J487" s="13"/>
      <c r="K487" s="13"/>
      <c r="L487" s="36"/>
      <c r="M487" s="91"/>
      <c r="N487" s="3"/>
      <c r="O487" s="3"/>
      <c r="P487" s="7"/>
      <c r="Q487" s="7"/>
      <c r="R487" s="166"/>
      <c r="S487" s="166"/>
      <c r="T487" s="7"/>
      <c r="U487" s="3"/>
      <c r="V487" s="13"/>
      <c r="W487" s="3"/>
      <c r="X487" s="166"/>
      <c r="Y487" s="7"/>
      <c r="Z487" s="13"/>
      <c r="AA487" s="7"/>
      <c r="AB487" s="7"/>
      <c r="AC487" s="257"/>
      <c r="AD487" s="166"/>
      <c r="AE487" s="258"/>
      <c r="AF487" s="7"/>
      <c r="AG487" s="7"/>
      <c r="AH487" s="166"/>
      <c r="AI487" s="13"/>
      <c r="AJ487" s="3"/>
      <c r="AK487" s="13"/>
      <c r="AL487" s="3"/>
      <c r="AM487" s="3"/>
      <c r="AN487" s="3"/>
      <c r="AO487" s="3"/>
      <c r="AP487" s="3"/>
      <c r="AQ487" s="3"/>
      <c r="AR487" s="3"/>
      <c r="AS487" s="98"/>
      <c r="AT487" s="98"/>
      <c r="AU487" s="98"/>
      <c r="AV487" s="98"/>
      <c r="AW487" s="98"/>
      <c r="AX487" s="98"/>
      <c r="AY487" s="98"/>
      <c r="AZ487" s="98"/>
    </row>
    <row r="488">
      <c r="A488" s="3"/>
      <c r="B488" s="36"/>
      <c r="C488" s="91"/>
      <c r="D488" s="13"/>
      <c r="E488" s="13"/>
      <c r="F488" s="3"/>
      <c r="G488" s="3"/>
      <c r="H488" s="3"/>
      <c r="I488" s="13"/>
      <c r="J488" s="13"/>
      <c r="K488" s="13"/>
      <c r="L488" s="36"/>
      <c r="M488" s="91"/>
      <c r="N488" s="3"/>
      <c r="O488" s="3"/>
      <c r="P488" s="7"/>
      <c r="Q488" s="7"/>
      <c r="R488" s="166"/>
      <c r="S488" s="166"/>
      <c r="T488" s="7"/>
      <c r="U488" s="3"/>
      <c r="V488" s="13"/>
      <c r="W488" s="3"/>
      <c r="X488" s="166"/>
      <c r="Y488" s="7"/>
      <c r="Z488" s="13"/>
      <c r="AA488" s="7"/>
      <c r="AB488" s="7"/>
      <c r="AC488" s="257"/>
      <c r="AD488" s="166"/>
      <c r="AE488" s="258"/>
      <c r="AF488" s="7"/>
      <c r="AG488" s="7"/>
      <c r="AH488" s="166"/>
      <c r="AI488" s="13"/>
      <c r="AJ488" s="3"/>
      <c r="AK488" s="13"/>
      <c r="AL488" s="3"/>
      <c r="AM488" s="3"/>
      <c r="AN488" s="3"/>
      <c r="AO488" s="3"/>
      <c r="AP488" s="3"/>
      <c r="AQ488" s="3"/>
      <c r="AR488" s="3"/>
      <c r="AS488" s="98"/>
      <c r="AT488" s="98"/>
      <c r="AU488" s="98"/>
      <c r="AV488" s="98"/>
      <c r="AW488" s="98"/>
      <c r="AX488" s="98"/>
      <c r="AY488" s="98"/>
      <c r="AZ488" s="98"/>
    </row>
    <row r="489">
      <c r="A489" s="3"/>
      <c r="B489" s="36"/>
      <c r="C489" s="91"/>
      <c r="D489" s="13"/>
      <c r="E489" s="13"/>
      <c r="F489" s="3"/>
      <c r="G489" s="3"/>
      <c r="H489" s="3"/>
      <c r="I489" s="13"/>
      <c r="J489" s="13"/>
      <c r="K489" s="13"/>
      <c r="L489" s="36"/>
      <c r="M489" s="91"/>
      <c r="N489" s="3"/>
      <c r="O489" s="3"/>
      <c r="P489" s="7"/>
      <c r="Q489" s="7"/>
      <c r="R489" s="166"/>
      <c r="S489" s="166"/>
      <c r="T489" s="7"/>
      <c r="U489" s="3"/>
      <c r="V489" s="13"/>
      <c r="W489" s="3"/>
      <c r="X489" s="166"/>
      <c r="Y489" s="7"/>
      <c r="Z489" s="13"/>
      <c r="AA489" s="7"/>
      <c r="AB489" s="7"/>
      <c r="AC489" s="257"/>
      <c r="AD489" s="166"/>
      <c r="AE489" s="258"/>
      <c r="AF489" s="7"/>
      <c r="AG489" s="7"/>
      <c r="AH489" s="166"/>
      <c r="AI489" s="13"/>
      <c r="AJ489" s="3"/>
      <c r="AK489" s="13"/>
      <c r="AL489" s="3"/>
      <c r="AM489" s="3"/>
      <c r="AN489" s="3"/>
      <c r="AO489" s="3"/>
      <c r="AP489" s="3"/>
      <c r="AQ489" s="3"/>
      <c r="AR489" s="3"/>
      <c r="AS489" s="98"/>
      <c r="AT489" s="98"/>
      <c r="AU489" s="98"/>
      <c r="AV489" s="98"/>
      <c r="AW489" s="98"/>
      <c r="AX489" s="98"/>
      <c r="AY489" s="98"/>
      <c r="AZ489" s="98"/>
    </row>
    <row r="490">
      <c r="A490" s="3"/>
      <c r="B490" s="36"/>
      <c r="C490" s="91"/>
      <c r="D490" s="13"/>
      <c r="E490" s="13"/>
      <c r="F490" s="3"/>
      <c r="G490" s="3"/>
      <c r="H490" s="3"/>
      <c r="I490" s="13"/>
      <c r="J490" s="13"/>
      <c r="K490" s="13"/>
      <c r="L490" s="36"/>
      <c r="M490" s="91"/>
      <c r="N490" s="3"/>
      <c r="O490" s="3"/>
      <c r="P490" s="7"/>
      <c r="Q490" s="7"/>
      <c r="R490" s="166"/>
      <c r="S490" s="166"/>
      <c r="T490" s="7"/>
      <c r="U490" s="3"/>
      <c r="V490" s="13"/>
      <c r="W490" s="3"/>
      <c r="X490" s="166"/>
      <c r="Y490" s="7"/>
      <c r="Z490" s="13"/>
      <c r="AA490" s="7"/>
      <c r="AB490" s="7"/>
      <c r="AC490" s="257"/>
      <c r="AD490" s="166"/>
      <c r="AE490" s="258"/>
      <c r="AF490" s="7"/>
      <c r="AG490" s="7"/>
      <c r="AH490" s="166"/>
      <c r="AI490" s="13"/>
      <c r="AJ490" s="3"/>
      <c r="AK490" s="13"/>
      <c r="AL490" s="3"/>
      <c r="AM490" s="3"/>
      <c r="AN490" s="3"/>
      <c r="AO490" s="3"/>
      <c r="AP490" s="3"/>
      <c r="AQ490" s="3"/>
      <c r="AR490" s="3"/>
      <c r="AS490" s="98"/>
      <c r="AT490" s="98"/>
      <c r="AU490" s="98"/>
      <c r="AV490" s="98"/>
      <c r="AW490" s="98"/>
      <c r="AX490" s="98"/>
      <c r="AY490" s="98"/>
      <c r="AZ490" s="98"/>
    </row>
    <row r="491">
      <c r="A491" s="3"/>
      <c r="B491" s="36"/>
      <c r="C491" s="91"/>
      <c r="D491" s="13"/>
      <c r="E491" s="13"/>
      <c r="F491" s="3"/>
      <c r="G491" s="3"/>
      <c r="H491" s="3"/>
      <c r="I491" s="13"/>
      <c r="J491" s="13"/>
      <c r="K491" s="13"/>
      <c r="L491" s="36"/>
      <c r="M491" s="91"/>
      <c r="N491" s="3"/>
      <c r="O491" s="3"/>
      <c r="P491" s="7"/>
      <c r="Q491" s="7"/>
      <c r="R491" s="166"/>
      <c r="S491" s="166"/>
      <c r="T491" s="7"/>
      <c r="U491" s="3"/>
      <c r="V491" s="13"/>
      <c r="W491" s="3"/>
      <c r="X491" s="166"/>
      <c r="Y491" s="7"/>
      <c r="Z491" s="13"/>
      <c r="AA491" s="7"/>
      <c r="AB491" s="7"/>
      <c r="AC491" s="257"/>
      <c r="AD491" s="166"/>
      <c r="AE491" s="258"/>
      <c r="AF491" s="7"/>
      <c r="AG491" s="7"/>
      <c r="AH491" s="166"/>
      <c r="AI491" s="13"/>
      <c r="AJ491" s="3"/>
      <c r="AK491" s="13"/>
      <c r="AL491" s="3"/>
      <c r="AM491" s="3"/>
      <c r="AN491" s="3"/>
      <c r="AO491" s="3"/>
      <c r="AP491" s="3"/>
      <c r="AQ491" s="3"/>
      <c r="AR491" s="3"/>
      <c r="AS491" s="98"/>
      <c r="AT491" s="98"/>
      <c r="AU491" s="98"/>
      <c r="AV491" s="98"/>
      <c r="AW491" s="98"/>
      <c r="AX491" s="98"/>
      <c r="AY491" s="98"/>
      <c r="AZ491" s="98"/>
    </row>
    <row r="492">
      <c r="A492" s="3"/>
      <c r="B492" s="36"/>
      <c r="C492" s="91"/>
      <c r="D492" s="13"/>
      <c r="E492" s="13"/>
      <c r="F492" s="3"/>
      <c r="G492" s="3"/>
      <c r="H492" s="3"/>
      <c r="I492" s="13"/>
      <c r="J492" s="13"/>
      <c r="K492" s="13"/>
      <c r="L492" s="36"/>
      <c r="M492" s="91"/>
      <c r="N492" s="3"/>
      <c r="O492" s="3"/>
      <c r="P492" s="7"/>
      <c r="Q492" s="7"/>
      <c r="R492" s="166"/>
      <c r="S492" s="166"/>
      <c r="T492" s="7"/>
      <c r="U492" s="3"/>
      <c r="V492" s="13"/>
      <c r="W492" s="3"/>
      <c r="X492" s="166"/>
      <c r="Y492" s="7"/>
      <c r="Z492" s="13"/>
      <c r="AA492" s="7"/>
      <c r="AB492" s="7"/>
      <c r="AC492" s="257"/>
      <c r="AD492" s="166"/>
      <c r="AE492" s="258"/>
      <c r="AF492" s="7"/>
      <c r="AG492" s="7"/>
      <c r="AH492" s="166"/>
      <c r="AI492" s="13"/>
      <c r="AJ492" s="3"/>
      <c r="AK492" s="13"/>
      <c r="AL492" s="3"/>
      <c r="AM492" s="3"/>
      <c r="AN492" s="3"/>
      <c r="AO492" s="3"/>
      <c r="AP492" s="3"/>
      <c r="AQ492" s="3"/>
      <c r="AR492" s="3"/>
      <c r="AS492" s="98"/>
      <c r="AT492" s="98"/>
      <c r="AU492" s="98"/>
      <c r="AV492" s="98"/>
      <c r="AW492" s="98"/>
      <c r="AX492" s="98"/>
      <c r="AY492" s="98"/>
      <c r="AZ492" s="98"/>
    </row>
    <row r="493">
      <c r="A493" s="3"/>
      <c r="B493" s="36"/>
      <c r="C493" s="91"/>
      <c r="D493" s="13"/>
      <c r="E493" s="13"/>
      <c r="F493" s="3"/>
      <c r="G493" s="3"/>
      <c r="H493" s="3"/>
      <c r="I493" s="13"/>
      <c r="J493" s="13"/>
      <c r="K493" s="13"/>
      <c r="L493" s="36"/>
      <c r="M493" s="91"/>
      <c r="N493" s="3"/>
      <c r="O493" s="3"/>
      <c r="P493" s="7"/>
      <c r="Q493" s="7"/>
      <c r="R493" s="166"/>
      <c r="S493" s="166"/>
      <c r="T493" s="7"/>
      <c r="U493" s="3"/>
      <c r="V493" s="13"/>
      <c r="W493" s="3"/>
      <c r="X493" s="166"/>
      <c r="Y493" s="7"/>
      <c r="Z493" s="13"/>
      <c r="AA493" s="7"/>
      <c r="AB493" s="7"/>
      <c r="AC493" s="257"/>
      <c r="AD493" s="166"/>
      <c r="AE493" s="258"/>
      <c r="AF493" s="7"/>
      <c r="AG493" s="7"/>
      <c r="AH493" s="166"/>
      <c r="AI493" s="13"/>
      <c r="AJ493" s="3"/>
      <c r="AK493" s="13"/>
      <c r="AL493" s="3"/>
      <c r="AM493" s="3"/>
      <c r="AN493" s="3"/>
      <c r="AO493" s="3"/>
      <c r="AP493" s="3"/>
      <c r="AQ493" s="3"/>
      <c r="AR493" s="3"/>
      <c r="AS493" s="98"/>
      <c r="AT493" s="98"/>
      <c r="AU493" s="98"/>
      <c r="AV493" s="98"/>
      <c r="AW493" s="98"/>
      <c r="AX493" s="98"/>
      <c r="AY493" s="98"/>
      <c r="AZ493" s="98"/>
    </row>
    <row r="494">
      <c r="A494" s="3"/>
      <c r="B494" s="36"/>
      <c r="C494" s="91"/>
      <c r="D494" s="13"/>
      <c r="E494" s="13"/>
      <c r="F494" s="3"/>
      <c r="G494" s="3"/>
      <c r="H494" s="3"/>
      <c r="I494" s="13"/>
      <c r="J494" s="13"/>
      <c r="K494" s="13"/>
      <c r="L494" s="36"/>
      <c r="M494" s="91"/>
      <c r="N494" s="3"/>
      <c r="O494" s="3"/>
      <c r="P494" s="7"/>
      <c r="Q494" s="7"/>
      <c r="R494" s="166"/>
      <c r="S494" s="166"/>
      <c r="T494" s="7"/>
      <c r="U494" s="3"/>
      <c r="V494" s="13"/>
      <c r="W494" s="3"/>
      <c r="X494" s="166"/>
      <c r="Y494" s="7"/>
      <c r="Z494" s="13"/>
      <c r="AA494" s="7"/>
      <c r="AB494" s="7"/>
      <c r="AC494" s="257"/>
      <c r="AD494" s="166"/>
      <c r="AE494" s="258"/>
      <c r="AF494" s="7"/>
      <c r="AG494" s="7"/>
      <c r="AH494" s="166"/>
      <c r="AI494" s="13"/>
      <c r="AJ494" s="3"/>
      <c r="AK494" s="13"/>
      <c r="AL494" s="3"/>
      <c r="AM494" s="3"/>
      <c r="AN494" s="3"/>
      <c r="AO494" s="3"/>
      <c r="AP494" s="3"/>
      <c r="AQ494" s="3"/>
      <c r="AR494" s="3"/>
      <c r="AS494" s="98"/>
      <c r="AT494" s="98"/>
      <c r="AU494" s="98"/>
      <c r="AV494" s="98"/>
      <c r="AW494" s="98"/>
      <c r="AX494" s="98"/>
      <c r="AY494" s="98"/>
      <c r="AZ494" s="98"/>
    </row>
    <row r="495">
      <c r="A495" s="3"/>
      <c r="B495" s="36"/>
      <c r="C495" s="91"/>
      <c r="D495" s="13"/>
      <c r="E495" s="13"/>
      <c r="F495" s="3"/>
      <c r="G495" s="3"/>
      <c r="H495" s="3"/>
      <c r="I495" s="13"/>
      <c r="J495" s="13"/>
      <c r="K495" s="13"/>
      <c r="L495" s="36"/>
      <c r="M495" s="91"/>
      <c r="N495" s="3"/>
      <c r="O495" s="3"/>
      <c r="P495" s="7"/>
      <c r="Q495" s="7"/>
      <c r="R495" s="166"/>
      <c r="S495" s="166"/>
      <c r="T495" s="7"/>
      <c r="U495" s="3"/>
      <c r="V495" s="13"/>
      <c r="W495" s="3"/>
      <c r="X495" s="166"/>
      <c r="Y495" s="7"/>
      <c r="Z495" s="13"/>
      <c r="AA495" s="7"/>
      <c r="AB495" s="7"/>
      <c r="AC495" s="257"/>
      <c r="AD495" s="166"/>
      <c r="AE495" s="258"/>
      <c r="AF495" s="7"/>
      <c r="AG495" s="7"/>
      <c r="AH495" s="166"/>
      <c r="AI495" s="13"/>
      <c r="AJ495" s="3"/>
      <c r="AK495" s="13"/>
      <c r="AL495" s="3"/>
      <c r="AM495" s="3"/>
      <c r="AN495" s="3"/>
      <c r="AO495" s="3"/>
      <c r="AP495" s="3"/>
      <c r="AQ495" s="3"/>
      <c r="AR495" s="3"/>
      <c r="AS495" s="98"/>
      <c r="AT495" s="98"/>
      <c r="AU495" s="98"/>
      <c r="AV495" s="98"/>
      <c r="AW495" s="98"/>
      <c r="AX495" s="98"/>
      <c r="AY495" s="98"/>
      <c r="AZ495" s="98"/>
    </row>
    <row r="496">
      <c r="A496" s="3"/>
      <c r="B496" s="36"/>
      <c r="C496" s="91"/>
      <c r="D496" s="13"/>
      <c r="E496" s="13"/>
      <c r="F496" s="3"/>
      <c r="G496" s="3"/>
      <c r="H496" s="3"/>
      <c r="I496" s="13"/>
      <c r="J496" s="13"/>
      <c r="K496" s="13"/>
      <c r="L496" s="36"/>
      <c r="M496" s="91"/>
      <c r="N496" s="3"/>
      <c r="O496" s="3"/>
      <c r="P496" s="7"/>
      <c r="Q496" s="7"/>
      <c r="R496" s="166"/>
      <c r="S496" s="166"/>
      <c r="T496" s="7"/>
      <c r="U496" s="3"/>
      <c r="V496" s="13"/>
      <c r="W496" s="3"/>
      <c r="X496" s="166"/>
      <c r="Y496" s="7"/>
      <c r="Z496" s="13"/>
      <c r="AA496" s="7"/>
      <c r="AB496" s="7"/>
      <c r="AC496" s="257"/>
      <c r="AD496" s="166"/>
      <c r="AE496" s="258"/>
      <c r="AF496" s="7"/>
      <c r="AG496" s="7"/>
      <c r="AH496" s="166"/>
      <c r="AI496" s="13"/>
      <c r="AJ496" s="3"/>
      <c r="AK496" s="13"/>
      <c r="AL496" s="3"/>
      <c r="AM496" s="3"/>
      <c r="AN496" s="3"/>
      <c r="AO496" s="3"/>
      <c r="AP496" s="3"/>
      <c r="AQ496" s="3"/>
      <c r="AR496" s="3"/>
      <c r="AS496" s="98"/>
      <c r="AT496" s="98"/>
      <c r="AU496" s="98"/>
      <c r="AV496" s="98"/>
      <c r="AW496" s="98"/>
      <c r="AX496" s="98"/>
      <c r="AY496" s="98"/>
      <c r="AZ496" s="98"/>
    </row>
    <row r="497">
      <c r="A497" s="3"/>
      <c r="B497" s="36"/>
      <c r="C497" s="91"/>
      <c r="D497" s="13"/>
      <c r="E497" s="13"/>
      <c r="F497" s="3"/>
      <c r="G497" s="3"/>
      <c r="H497" s="3"/>
      <c r="I497" s="13"/>
      <c r="J497" s="13"/>
      <c r="K497" s="13"/>
      <c r="L497" s="36"/>
      <c r="M497" s="91"/>
      <c r="N497" s="3"/>
      <c r="O497" s="3"/>
      <c r="P497" s="7"/>
      <c r="Q497" s="7"/>
      <c r="R497" s="166"/>
      <c r="S497" s="166"/>
      <c r="T497" s="7"/>
      <c r="U497" s="3"/>
      <c r="V497" s="13"/>
      <c r="W497" s="3"/>
      <c r="X497" s="166"/>
      <c r="Y497" s="7"/>
      <c r="Z497" s="13"/>
      <c r="AA497" s="7"/>
      <c r="AB497" s="7"/>
      <c r="AC497" s="257"/>
      <c r="AD497" s="166"/>
      <c r="AE497" s="258"/>
      <c r="AF497" s="7"/>
      <c r="AG497" s="7"/>
      <c r="AH497" s="166"/>
      <c r="AI497" s="13"/>
      <c r="AJ497" s="3"/>
      <c r="AK497" s="13"/>
      <c r="AL497" s="3"/>
      <c r="AM497" s="3"/>
      <c r="AN497" s="3"/>
      <c r="AO497" s="3"/>
      <c r="AP497" s="3"/>
      <c r="AQ497" s="3"/>
      <c r="AR497" s="3"/>
      <c r="AS497" s="98"/>
      <c r="AT497" s="98"/>
      <c r="AU497" s="98"/>
      <c r="AV497" s="98"/>
      <c r="AW497" s="98"/>
      <c r="AX497" s="98"/>
      <c r="AY497" s="98"/>
      <c r="AZ497" s="98"/>
    </row>
    <row r="498">
      <c r="A498" s="3"/>
      <c r="B498" s="36"/>
      <c r="C498" s="91"/>
      <c r="D498" s="13"/>
      <c r="E498" s="13"/>
      <c r="F498" s="3"/>
      <c r="G498" s="3"/>
      <c r="H498" s="3"/>
      <c r="I498" s="13"/>
      <c r="J498" s="13"/>
      <c r="K498" s="13"/>
      <c r="L498" s="36"/>
      <c r="M498" s="91"/>
      <c r="N498" s="3"/>
      <c r="O498" s="3"/>
      <c r="P498" s="7"/>
      <c r="Q498" s="7"/>
      <c r="R498" s="166"/>
      <c r="S498" s="166"/>
      <c r="T498" s="7"/>
      <c r="U498" s="3"/>
      <c r="V498" s="13"/>
      <c r="W498" s="3"/>
      <c r="X498" s="166"/>
      <c r="Y498" s="7"/>
      <c r="Z498" s="13"/>
      <c r="AA498" s="7"/>
      <c r="AB498" s="7"/>
      <c r="AC498" s="257"/>
      <c r="AD498" s="166"/>
      <c r="AE498" s="258"/>
      <c r="AF498" s="7"/>
      <c r="AG498" s="7"/>
      <c r="AH498" s="166"/>
      <c r="AI498" s="13"/>
      <c r="AJ498" s="3"/>
      <c r="AK498" s="13"/>
      <c r="AL498" s="3"/>
      <c r="AM498" s="3"/>
      <c r="AN498" s="3"/>
      <c r="AO498" s="3"/>
      <c r="AP498" s="3"/>
      <c r="AQ498" s="3"/>
      <c r="AR498" s="3"/>
      <c r="AS498" s="98"/>
      <c r="AT498" s="98"/>
      <c r="AU498" s="98"/>
      <c r="AV498" s="98"/>
      <c r="AW498" s="98"/>
      <c r="AX498" s="98"/>
      <c r="AY498" s="98"/>
      <c r="AZ498" s="98"/>
    </row>
    <row r="499">
      <c r="A499" s="3"/>
      <c r="B499" s="36"/>
      <c r="C499" s="91"/>
      <c r="D499" s="13"/>
      <c r="E499" s="13"/>
      <c r="F499" s="3"/>
      <c r="G499" s="3"/>
      <c r="H499" s="3"/>
      <c r="I499" s="13"/>
      <c r="J499" s="13"/>
      <c r="K499" s="13"/>
      <c r="L499" s="36"/>
      <c r="M499" s="91"/>
      <c r="N499" s="3"/>
      <c r="O499" s="3"/>
      <c r="P499" s="7"/>
      <c r="Q499" s="7"/>
      <c r="R499" s="166"/>
      <c r="S499" s="166"/>
      <c r="T499" s="7"/>
      <c r="U499" s="3"/>
      <c r="V499" s="13"/>
      <c r="W499" s="3"/>
      <c r="X499" s="166"/>
      <c r="Y499" s="7"/>
      <c r="Z499" s="13"/>
      <c r="AA499" s="7"/>
      <c r="AB499" s="7"/>
      <c r="AC499" s="257"/>
      <c r="AD499" s="166"/>
      <c r="AE499" s="258"/>
      <c r="AF499" s="7"/>
      <c r="AG499" s="7"/>
      <c r="AH499" s="166"/>
      <c r="AI499" s="13"/>
      <c r="AJ499" s="3"/>
      <c r="AK499" s="13"/>
      <c r="AL499" s="3"/>
      <c r="AM499" s="3"/>
      <c r="AN499" s="3"/>
      <c r="AO499" s="3"/>
      <c r="AP499" s="3"/>
      <c r="AQ499" s="3"/>
      <c r="AR499" s="3"/>
      <c r="AS499" s="98"/>
      <c r="AT499" s="98"/>
      <c r="AU499" s="98"/>
      <c r="AV499" s="98"/>
      <c r="AW499" s="98"/>
      <c r="AX499" s="98"/>
      <c r="AY499" s="98"/>
      <c r="AZ499" s="98"/>
    </row>
    <row r="500">
      <c r="A500" s="3"/>
      <c r="B500" s="36"/>
      <c r="C500" s="91"/>
      <c r="D500" s="13"/>
      <c r="E500" s="13"/>
      <c r="F500" s="3"/>
      <c r="G500" s="3"/>
      <c r="H500" s="3"/>
      <c r="I500" s="13"/>
      <c r="J500" s="13"/>
      <c r="K500" s="13"/>
      <c r="L500" s="36"/>
      <c r="M500" s="91"/>
      <c r="N500" s="3"/>
      <c r="O500" s="3"/>
      <c r="P500" s="7"/>
      <c r="Q500" s="7"/>
      <c r="R500" s="166"/>
      <c r="S500" s="166"/>
      <c r="T500" s="7"/>
      <c r="U500" s="3"/>
      <c r="V500" s="13"/>
      <c r="W500" s="3"/>
      <c r="X500" s="166"/>
      <c r="Y500" s="7"/>
      <c r="Z500" s="13"/>
      <c r="AA500" s="7"/>
      <c r="AB500" s="7"/>
      <c r="AC500" s="257"/>
      <c r="AD500" s="166"/>
      <c r="AE500" s="258"/>
      <c r="AF500" s="7"/>
      <c r="AG500" s="7"/>
      <c r="AH500" s="166"/>
      <c r="AI500" s="13"/>
      <c r="AJ500" s="3"/>
      <c r="AK500" s="13"/>
      <c r="AL500" s="3"/>
      <c r="AM500" s="3"/>
      <c r="AN500" s="3"/>
      <c r="AO500" s="3"/>
      <c r="AP500" s="3"/>
      <c r="AQ500" s="3"/>
      <c r="AR500" s="3"/>
      <c r="AS500" s="98"/>
      <c r="AT500" s="98"/>
      <c r="AU500" s="98"/>
      <c r="AV500" s="98"/>
      <c r="AW500" s="98"/>
      <c r="AX500" s="98"/>
      <c r="AY500" s="98"/>
      <c r="AZ500" s="98"/>
    </row>
    <row r="501">
      <c r="A501" s="3"/>
      <c r="B501" s="36"/>
      <c r="C501" s="91"/>
      <c r="D501" s="13"/>
      <c r="E501" s="13"/>
      <c r="F501" s="3"/>
      <c r="G501" s="3"/>
      <c r="H501" s="3"/>
      <c r="I501" s="13"/>
      <c r="J501" s="13"/>
      <c r="K501" s="13"/>
      <c r="L501" s="36"/>
      <c r="M501" s="91"/>
      <c r="N501" s="3"/>
      <c r="O501" s="3"/>
      <c r="P501" s="7"/>
      <c r="Q501" s="7"/>
      <c r="R501" s="166"/>
      <c r="S501" s="166"/>
      <c r="T501" s="7"/>
      <c r="U501" s="3"/>
      <c r="V501" s="13"/>
      <c r="W501" s="3"/>
      <c r="X501" s="166"/>
      <c r="Y501" s="7"/>
      <c r="Z501" s="13"/>
      <c r="AA501" s="7"/>
      <c r="AB501" s="7"/>
      <c r="AC501" s="257"/>
      <c r="AD501" s="166"/>
      <c r="AE501" s="258"/>
      <c r="AF501" s="7"/>
      <c r="AG501" s="7"/>
      <c r="AH501" s="166"/>
      <c r="AI501" s="13"/>
      <c r="AJ501" s="3"/>
      <c r="AK501" s="13"/>
      <c r="AL501" s="3"/>
      <c r="AM501" s="3"/>
      <c r="AN501" s="3"/>
      <c r="AO501" s="3"/>
      <c r="AP501" s="3"/>
      <c r="AQ501" s="3"/>
      <c r="AR501" s="3"/>
      <c r="AS501" s="98"/>
      <c r="AT501" s="98"/>
      <c r="AU501" s="98"/>
      <c r="AV501" s="98"/>
      <c r="AW501" s="98"/>
      <c r="AX501" s="98"/>
      <c r="AY501" s="98"/>
      <c r="AZ501" s="98"/>
    </row>
    <row r="502">
      <c r="A502" s="3"/>
      <c r="B502" s="36"/>
      <c r="C502" s="91"/>
      <c r="D502" s="13"/>
      <c r="E502" s="13"/>
      <c r="F502" s="3"/>
      <c r="G502" s="3"/>
      <c r="H502" s="3"/>
      <c r="I502" s="13"/>
      <c r="J502" s="13"/>
      <c r="K502" s="13"/>
      <c r="L502" s="36"/>
      <c r="M502" s="91"/>
      <c r="N502" s="3"/>
      <c r="O502" s="3"/>
      <c r="P502" s="7"/>
      <c r="Q502" s="7"/>
      <c r="R502" s="166"/>
      <c r="S502" s="166"/>
      <c r="T502" s="7"/>
      <c r="U502" s="3"/>
      <c r="V502" s="13"/>
      <c r="W502" s="3"/>
      <c r="X502" s="166"/>
      <c r="Y502" s="7"/>
      <c r="Z502" s="13"/>
      <c r="AA502" s="7"/>
      <c r="AB502" s="7"/>
      <c r="AC502" s="257"/>
      <c r="AD502" s="166"/>
      <c r="AE502" s="258"/>
      <c r="AF502" s="7"/>
      <c r="AG502" s="7"/>
      <c r="AH502" s="166"/>
      <c r="AI502" s="13"/>
      <c r="AJ502" s="3"/>
      <c r="AK502" s="13"/>
      <c r="AL502" s="3"/>
      <c r="AM502" s="3"/>
      <c r="AN502" s="3"/>
      <c r="AO502" s="3"/>
      <c r="AP502" s="3"/>
      <c r="AQ502" s="3"/>
      <c r="AR502" s="3"/>
      <c r="AS502" s="98"/>
      <c r="AT502" s="98"/>
      <c r="AU502" s="98"/>
      <c r="AV502" s="98"/>
      <c r="AW502" s="98"/>
      <c r="AX502" s="98"/>
      <c r="AY502" s="98"/>
      <c r="AZ502" s="98"/>
    </row>
    <row r="503">
      <c r="A503" s="3"/>
      <c r="B503" s="36"/>
      <c r="C503" s="91"/>
      <c r="D503" s="13"/>
      <c r="E503" s="13"/>
      <c r="F503" s="3"/>
      <c r="G503" s="3"/>
      <c r="H503" s="3"/>
      <c r="I503" s="13"/>
      <c r="J503" s="13"/>
      <c r="K503" s="13"/>
      <c r="L503" s="36"/>
      <c r="M503" s="91"/>
      <c r="N503" s="3"/>
      <c r="O503" s="3"/>
      <c r="P503" s="7"/>
      <c r="Q503" s="7"/>
      <c r="R503" s="166"/>
      <c r="S503" s="166"/>
      <c r="T503" s="7"/>
      <c r="U503" s="3"/>
      <c r="V503" s="13"/>
      <c r="W503" s="3"/>
      <c r="X503" s="166"/>
      <c r="Y503" s="7"/>
      <c r="Z503" s="13"/>
      <c r="AA503" s="7"/>
      <c r="AB503" s="7"/>
      <c r="AC503" s="257"/>
      <c r="AD503" s="166"/>
      <c r="AE503" s="258"/>
      <c r="AF503" s="7"/>
      <c r="AG503" s="7"/>
      <c r="AH503" s="166"/>
      <c r="AI503" s="13"/>
      <c r="AJ503" s="3"/>
      <c r="AK503" s="13"/>
      <c r="AL503" s="3"/>
      <c r="AM503" s="3"/>
      <c r="AN503" s="3"/>
      <c r="AO503" s="3"/>
      <c r="AP503" s="3"/>
      <c r="AQ503" s="3"/>
      <c r="AR503" s="3"/>
      <c r="AS503" s="98"/>
      <c r="AT503" s="98"/>
      <c r="AU503" s="98"/>
      <c r="AV503" s="98"/>
      <c r="AW503" s="98"/>
      <c r="AX503" s="98"/>
      <c r="AY503" s="98"/>
      <c r="AZ503" s="98"/>
    </row>
    <row r="504">
      <c r="A504" s="3"/>
      <c r="B504" s="36"/>
      <c r="C504" s="91"/>
      <c r="D504" s="13"/>
      <c r="E504" s="13"/>
      <c r="F504" s="3"/>
      <c r="G504" s="3"/>
      <c r="H504" s="3"/>
      <c r="I504" s="13"/>
      <c r="J504" s="13"/>
      <c r="K504" s="13"/>
      <c r="L504" s="36"/>
      <c r="M504" s="91"/>
      <c r="N504" s="3"/>
      <c r="O504" s="3"/>
      <c r="P504" s="7"/>
      <c r="Q504" s="7"/>
      <c r="R504" s="166"/>
      <c r="S504" s="166"/>
      <c r="T504" s="7"/>
      <c r="U504" s="3"/>
      <c r="V504" s="13"/>
      <c r="W504" s="3"/>
      <c r="X504" s="166"/>
      <c r="Y504" s="7"/>
      <c r="Z504" s="13"/>
      <c r="AA504" s="7"/>
      <c r="AB504" s="7"/>
      <c r="AC504" s="257"/>
      <c r="AD504" s="166"/>
      <c r="AE504" s="258"/>
      <c r="AF504" s="7"/>
      <c r="AG504" s="7"/>
      <c r="AH504" s="166"/>
      <c r="AI504" s="13"/>
      <c r="AJ504" s="3"/>
      <c r="AK504" s="13"/>
      <c r="AL504" s="3"/>
      <c r="AM504" s="3"/>
      <c r="AN504" s="3"/>
      <c r="AO504" s="3"/>
      <c r="AP504" s="3"/>
      <c r="AQ504" s="3"/>
      <c r="AR504" s="3"/>
      <c r="AS504" s="98"/>
      <c r="AT504" s="98"/>
      <c r="AU504" s="98"/>
      <c r="AV504" s="98"/>
      <c r="AW504" s="98"/>
      <c r="AX504" s="98"/>
      <c r="AY504" s="98"/>
      <c r="AZ504" s="98"/>
    </row>
    <row r="505">
      <c r="A505" s="3"/>
      <c r="B505" s="36"/>
      <c r="C505" s="91"/>
      <c r="D505" s="13"/>
      <c r="E505" s="13"/>
      <c r="F505" s="3"/>
      <c r="G505" s="3"/>
      <c r="H505" s="3"/>
      <c r="I505" s="13"/>
      <c r="J505" s="13"/>
      <c r="K505" s="13"/>
      <c r="L505" s="36"/>
      <c r="M505" s="91"/>
      <c r="N505" s="3"/>
      <c r="O505" s="3"/>
      <c r="P505" s="7"/>
      <c r="Q505" s="7"/>
      <c r="R505" s="166"/>
      <c r="S505" s="166"/>
      <c r="T505" s="7"/>
      <c r="U505" s="3"/>
      <c r="V505" s="13"/>
      <c r="W505" s="3"/>
      <c r="X505" s="166"/>
      <c r="Y505" s="7"/>
      <c r="Z505" s="13"/>
      <c r="AA505" s="7"/>
      <c r="AB505" s="7"/>
      <c r="AC505" s="257"/>
      <c r="AD505" s="166"/>
      <c r="AE505" s="258"/>
      <c r="AF505" s="7"/>
      <c r="AG505" s="7"/>
      <c r="AH505" s="166"/>
      <c r="AI505" s="13"/>
      <c r="AJ505" s="3"/>
      <c r="AK505" s="13"/>
      <c r="AL505" s="3"/>
      <c r="AM505" s="3"/>
      <c r="AN505" s="3"/>
      <c r="AO505" s="3"/>
      <c r="AP505" s="3"/>
      <c r="AQ505" s="3"/>
      <c r="AR505" s="3"/>
      <c r="AS505" s="98"/>
      <c r="AT505" s="98"/>
      <c r="AU505" s="98"/>
      <c r="AV505" s="98"/>
      <c r="AW505" s="98"/>
      <c r="AX505" s="98"/>
      <c r="AY505" s="98"/>
      <c r="AZ505" s="98"/>
    </row>
    <row r="506">
      <c r="A506" s="3"/>
      <c r="B506" s="36"/>
      <c r="C506" s="91"/>
      <c r="D506" s="13"/>
      <c r="E506" s="13"/>
      <c r="F506" s="3"/>
      <c r="G506" s="3"/>
      <c r="H506" s="3"/>
      <c r="I506" s="13"/>
      <c r="J506" s="13"/>
      <c r="K506" s="13"/>
      <c r="L506" s="36"/>
      <c r="M506" s="91"/>
      <c r="N506" s="3"/>
      <c r="O506" s="3"/>
      <c r="P506" s="7"/>
      <c r="Q506" s="7"/>
      <c r="R506" s="166"/>
      <c r="S506" s="166"/>
      <c r="T506" s="7"/>
      <c r="U506" s="3"/>
      <c r="V506" s="13"/>
      <c r="W506" s="3"/>
      <c r="X506" s="166"/>
      <c r="Y506" s="7"/>
      <c r="Z506" s="13"/>
      <c r="AA506" s="7"/>
      <c r="AB506" s="7"/>
      <c r="AC506" s="257"/>
      <c r="AD506" s="166"/>
      <c r="AE506" s="258"/>
      <c r="AF506" s="7"/>
      <c r="AG506" s="7"/>
      <c r="AH506" s="166"/>
      <c r="AI506" s="13"/>
      <c r="AJ506" s="3"/>
      <c r="AK506" s="13"/>
      <c r="AL506" s="3"/>
      <c r="AM506" s="3"/>
      <c r="AN506" s="3"/>
      <c r="AO506" s="3"/>
      <c r="AP506" s="3"/>
      <c r="AQ506" s="3"/>
      <c r="AR506" s="3"/>
      <c r="AS506" s="98"/>
      <c r="AT506" s="98"/>
      <c r="AU506" s="98"/>
      <c r="AV506" s="98"/>
      <c r="AW506" s="98"/>
      <c r="AX506" s="98"/>
      <c r="AY506" s="98"/>
      <c r="AZ506" s="98"/>
    </row>
    <row r="507">
      <c r="A507" s="3"/>
      <c r="B507" s="36"/>
      <c r="C507" s="91"/>
      <c r="D507" s="13"/>
      <c r="E507" s="13"/>
      <c r="F507" s="3"/>
      <c r="G507" s="3"/>
      <c r="H507" s="3"/>
      <c r="I507" s="13"/>
      <c r="J507" s="13"/>
      <c r="K507" s="13"/>
      <c r="L507" s="36"/>
      <c r="M507" s="91"/>
      <c r="N507" s="3"/>
      <c r="O507" s="3"/>
      <c r="P507" s="7"/>
      <c r="Q507" s="7"/>
      <c r="R507" s="166"/>
      <c r="S507" s="166"/>
      <c r="T507" s="7"/>
      <c r="U507" s="3"/>
      <c r="V507" s="13"/>
      <c r="W507" s="3"/>
      <c r="X507" s="166"/>
      <c r="Y507" s="7"/>
      <c r="Z507" s="13"/>
      <c r="AA507" s="7"/>
      <c r="AB507" s="7"/>
      <c r="AC507" s="257"/>
      <c r="AD507" s="166"/>
      <c r="AE507" s="258"/>
      <c r="AF507" s="7"/>
      <c r="AG507" s="7"/>
      <c r="AH507" s="166"/>
      <c r="AI507" s="13"/>
      <c r="AJ507" s="3"/>
      <c r="AK507" s="13"/>
      <c r="AL507" s="3"/>
      <c r="AM507" s="3"/>
      <c r="AN507" s="3"/>
      <c r="AO507" s="3"/>
      <c r="AP507" s="3"/>
      <c r="AQ507" s="3"/>
      <c r="AR507" s="3"/>
      <c r="AS507" s="98"/>
      <c r="AT507" s="98"/>
      <c r="AU507" s="98"/>
      <c r="AV507" s="98"/>
      <c r="AW507" s="98"/>
      <c r="AX507" s="98"/>
      <c r="AY507" s="98"/>
      <c r="AZ507" s="98"/>
    </row>
    <row r="508">
      <c r="A508" s="3"/>
      <c r="B508" s="36"/>
      <c r="C508" s="91"/>
      <c r="D508" s="13"/>
      <c r="E508" s="13"/>
      <c r="F508" s="3"/>
      <c r="G508" s="3"/>
      <c r="H508" s="3"/>
      <c r="I508" s="13"/>
      <c r="J508" s="13"/>
      <c r="K508" s="13"/>
      <c r="L508" s="36"/>
      <c r="M508" s="91"/>
      <c r="N508" s="3"/>
      <c r="O508" s="3"/>
      <c r="P508" s="7"/>
      <c r="Q508" s="7"/>
      <c r="R508" s="166"/>
      <c r="S508" s="166"/>
      <c r="T508" s="7"/>
      <c r="U508" s="3"/>
      <c r="V508" s="13"/>
      <c r="W508" s="3"/>
      <c r="X508" s="166"/>
      <c r="Y508" s="7"/>
      <c r="Z508" s="13"/>
      <c r="AA508" s="7"/>
      <c r="AB508" s="7"/>
      <c r="AC508" s="257"/>
      <c r="AD508" s="166"/>
      <c r="AE508" s="258"/>
      <c r="AF508" s="7"/>
      <c r="AG508" s="7"/>
      <c r="AH508" s="166"/>
      <c r="AI508" s="13"/>
      <c r="AJ508" s="3"/>
      <c r="AK508" s="13"/>
      <c r="AL508" s="3"/>
      <c r="AM508" s="3"/>
      <c r="AN508" s="3"/>
      <c r="AO508" s="3"/>
      <c r="AP508" s="3"/>
      <c r="AQ508" s="3"/>
      <c r="AR508" s="3"/>
      <c r="AS508" s="98"/>
      <c r="AT508" s="98"/>
      <c r="AU508" s="98"/>
      <c r="AV508" s="98"/>
      <c r="AW508" s="98"/>
      <c r="AX508" s="98"/>
      <c r="AY508" s="98"/>
      <c r="AZ508" s="98"/>
    </row>
    <row r="509">
      <c r="A509" s="3"/>
      <c r="B509" s="36"/>
      <c r="C509" s="91"/>
      <c r="D509" s="13"/>
      <c r="E509" s="13"/>
      <c r="F509" s="3"/>
      <c r="G509" s="3"/>
      <c r="H509" s="3"/>
      <c r="I509" s="13"/>
      <c r="J509" s="13"/>
      <c r="K509" s="13"/>
      <c r="L509" s="36"/>
      <c r="M509" s="91"/>
      <c r="N509" s="3"/>
      <c r="O509" s="3"/>
      <c r="P509" s="7"/>
      <c r="Q509" s="7"/>
      <c r="R509" s="166"/>
      <c r="S509" s="166"/>
      <c r="T509" s="7"/>
      <c r="U509" s="3"/>
      <c r="V509" s="13"/>
      <c r="W509" s="3"/>
      <c r="X509" s="166"/>
      <c r="Y509" s="7"/>
      <c r="Z509" s="13"/>
      <c r="AA509" s="7"/>
      <c r="AB509" s="7"/>
      <c r="AC509" s="257"/>
      <c r="AD509" s="166"/>
      <c r="AE509" s="258"/>
      <c r="AF509" s="7"/>
      <c r="AG509" s="7"/>
      <c r="AH509" s="166"/>
      <c r="AI509" s="13"/>
      <c r="AJ509" s="3"/>
      <c r="AK509" s="13"/>
      <c r="AL509" s="3"/>
      <c r="AM509" s="3"/>
      <c r="AN509" s="3"/>
      <c r="AO509" s="3"/>
      <c r="AP509" s="3"/>
      <c r="AQ509" s="3"/>
      <c r="AR509" s="3"/>
      <c r="AS509" s="98"/>
      <c r="AT509" s="98"/>
      <c r="AU509" s="98"/>
      <c r="AV509" s="98"/>
      <c r="AW509" s="98"/>
      <c r="AX509" s="98"/>
      <c r="AY509" s="98"/>
      <c r="AZ509" s="98"/>
    </row>
    <row r="510">
      <c r="A510" s="3"/>
      <c r="B510" s="36"/>
      <c r="C510" s="91"/>
      <c r="D510" s="13"/>
      <c r="E510" s="13"/>
      <c r="F510" s="3"/>
      <c r="G510" s="3"/>
      <c r="H510" s="3"/>
      <c r="I510" s="13"/>
      <c r="J510" s="13"/>
      <c r="K510" s="13"/>
      <c r="L510" s="36"/>
      <c r="M510" s="91"/>
      <c r="N510" s="3"/>
      <c r="O510" s="3"/>
      <c r="P510" s="7"/>
      <c r="Q510" s="7"/>
      <c r="R510" s="166"/>
      <c r="S510" s="166"/>
      <c r="T510" s="7"/>
      <c r="U510" s="3"/>
      <c r="V510" s="13"/>
      <c r="W510" s="3"/>
      <c r="X510" s="166"/>
      <c r="Y510" s="7"/>
      <c r="Z510" s="13"/>
      <c r="AA510" s="7"/>
      <c r="AB510" s="7"/>
      <c r="AC510" s="257"/>
      <c r="AD510" s="166"/>
      <c r="AE510" s="258"/>
      <c r="AF510" s="7"/>
      <c r="AG510" s="7"/>
      <c r="AH510" s="166"/>
      <c r="AI510" s="13"/>
      <c r="AJ510" s="3"/>
      <c r="AK510" s="13"/>
      <c r="AL510" s="3"/>
      <c r="AM510" s="3"/>
      <c r="AN510" s="3"/>
      <c r="AO510" s="3"/>
      <c r="AP510" s="3"/>
      <c r="AQ510" s="3"/>
      <c r="AR510" s="3"/>
      <c r="AS510" s="98"/>
      <c r="AT510" s="98"/>
      <c r="AU510" s="98"/>
      <c r="AV510" s="98"/>
      <c r="AW510" s="98"/>
      <c r="AX510" s="98"/>
      <c r="AY510" s="98"/>
      <c r="AZ510" s="98"/>
    </row>
    <row r="511">
      <c r="A511" s="3"/>
      <c r="B511" s="36"/>
      <c r="C511" s="91"/>
      <c r="D511" s="13"/>
      <c r="E511" s="13"/>
      <c r="F511" s="3"/>
      <c r="G511" s="3"/>
      <c r="H511" s="3"/>
      <c r="I511" s="13"/>
      <c r="J511" s="13"/>
      <c r="K511" s="13"/>
      <c r="L511" s="36"/>
      <c r="M511" s="91"/>
      <c r="N511" s="3"/>
      <c r="O511" s="3"/>
      <c r="P511" s="7"/>
      <c r="Q511" s="7"/>
      <c r="R511" s="166"/>
      <c r="S511" s="166"/>
      <c r="T511" s="7"/>
      <c r="U511" s="3"/>
      <c r="V511" s="13"/>
      <c r="W511" s="3"/>
      <c r="X511" s="166"/>
      <c r="Y511" s="7"/>
      <c r="Z511" s="13"/>
      <c r="AA511" s="7"/>
      <c r="AB511" s="7"/>
      <c r="AC511" s="257"/>
      <c r="AD511" s="166"/>
      <c r="AE511" s="258"/>
      <c r="AF511" s="7"/>
      <c r="AG511" s="7"/>
      <c r="AH511" s="166"/>
      <c r="AI511" s="13"/>
      <c r="AJ511" s="3"/>
      <c r="AK511" s="13"/>
      <c r="AL511" s="3"/>
      <c r="AM511" s="3"/>
      <c r="AN511" s="3"/>
      <c r="AO511" s="3"/>
      <c r="AP511" s="3"/>
      <c r="AQ511" s="3"/>
      <c r="AR511" s="3"/>
      <c r="AS511" s="98"/>
      <c r="AT511" s="98"/>
      <c r="AU511" s="98"/>
      <c r="AV511" s="98"/>
      <c r="AW511" s="98"/>
      <c r="AX511" s="98"/>
      <c r="AY511" s="98"/>
      <c r="AZ511" s="98"/>
    </row>
    <row r="512">
      <c r="A512" s="3"/>
      <c r="B512" s="36"/>
      <c r="C512" s="91"/>
      <c r="D512" s="13"/>
      <c r="E512" s="13"/>
      <c r="F512" s="3"/>
      <c r="G512" s="3"/>
      <c r="H512" s="3"/>
      <c r="I512" s="13"/>
      <c r="J512" s="13"/>
      <c r="K512" s="13"/>
      <c r="L512" s="36"/>
      <c r="M512" s="91"/>
      <c r="N512" s="3"/>
      <c r="O512" s="3"/>
      <c r="P512" s="7"/>
      <c r="Q512" s="7"/>
      <c r="R512" s="166"/>
      <c r="S512" s="166"/>
      <c r="T512" s="7"/>
      <c r="U512" s="3"/>
      <c r="V512" s="13"/>
      <c r="W512" s="3"/>
      <c r="X512" s="166"/>
      <c r="Y512" s="7"/>
      <c r="Z512" s="13"/>
      <c r="AA512" s="7"/>
      <c r="AB512" s="7"/>
      <c r="AC512" s="257"/>
      <c r="AD512" s="166"/>
      <c r="AE512" s="258"/>
      <c r="AF512" s="7"/>
      <c r="AG512" s="7"/>
      <c r="AH512" s="166"/>
      <c r="AI512" s="13"/>
      <c r="AJ512" s="3"/>
      <c r="AK512" s="13"/>
      <c r="AL512" s="3"/>
      <c r="AM512" s="3"/>
      <c r="AN512" s="3"/>
      <c r="AO512" s="3"/>
      <c r="AP512" s="3"/>
      <c r="AQ512" s="3"/>
      <c r="AR512" s="3"/>
      <c r="AS512" s="98"/>
      <c r="AT512" s="98"/>
      <c r="AU512" s="98"/>
      <c r="AV512" s="98"/>
      <c r="AW512" s="98"/>
      <c r="AX512" s="98"/>
      <c r="AY512" s="98"/>
      <c r="AZ512" s="98"/>
    </row>
    <row r="513">
      <c r="A513" s="3"/>
      <c r="B513" s="36"/>
      <c r="C513" s="91"/>
      <c r="D513" s="13"/>
      <c r="E513" s="13"/>
      <c r="F513" s="3"/>
      <c r="G513" s="3"/>
      <c r="H513" s="3"/>
      <c r="I513" s="13"/>
      <c r="J513" s="13"/>
      <c r="K513" s="13"/>
      <c r="L513" s="36"/>
      <c r="M513" s="91"/>
      <c r="N513" s="3"/>
      <c r="O513" s="3"/>
      <c r="P513" s="7"/>
      <c r="Q513" s="7"/>
      <c r="R513" s="166"/>
      <c r="S513" s="166"/>
      <c r="T513" s="7"/>
      <c r="U513" s="3"/>
      <c r="V513" s="13"/>
      <c r="W513" s="3"/>
      <c r="X513" s="166"/>
      <c r="Y513" s="7"/>
      <c r="Z513" s="13"/>
      <c r="AA513" s="7"/>
      <c r="AB513" s="7"/>
      <c r="AC513" s="257"/>
      <c r="AD513" s="166"/>
      <c r="AE513" s="258"/>
      <c r="AF513" s="7"/>
      <c r="AG513" s="7"/>
      <c r="AH513" s="166"/>
      <c r="AI513" s="13"/>
      <c r="AJ513" s="3"/>
      <c r="AK513" s="13"/>
      <c r="AL513" s="3"/>
      <c r="AM513" s="3"/>
      <c r="AN513" s="3"/>
      <c r="AO513" s="3"/>
      <c r="AP513" s="3"/>
      <c r="AQ513" s="3"/>
      <c r="AR513" s="3"/>
      <c r="AS513" s="98"/>
      <c r="AT513" s="98"/>
      <c r="AU513" s="98"/>
      <c r="AV513" s="98"/>
      <c r="AW513" s="98"/>
      <c r="AX513" s="98"/>
      <c r="AY513" s="98"/>
      <c r="AZ513" s="98"/>
    </row>
    <row r="514">
      <c r="A514" s="3"/>
      <c r="B514" s="36"/>
      <c r="C514" s="91"/>
      <c r="D514" s="13"/>
      <c r="E514" s="13"/>
      <c r="F514" s="3"/>
      <c r="G514" s="3"/>
      <c r="H514" s="3"/>
      <c r="I514" s="13"/>
      <c r="J514" s="13"/>
      <c r="K514" s="13"/>
      <c r="L514" s="36"/>
      <c r="M514" s="91"/>
      <c r="N514" s="3"/>
      <c r="O514" s="3"/>
      <c r="P514" s="7"/>
      <c r="Q514" s="7"/>
      <c r="R514" s="166"/>
      <c r="S514" s="166"/>
      <c r="T514" s="7"/>
      <c r="U514" s="3"/>
      <c r="V514" s="13"/>
      <c r="W514" s="3"/>
      <c r="X514" s="166"/>
      <c r="Y514" s="7"/>
      <c r="Z514" s="13"/>
      <c r="AA514" s="7"/>
      <c r="AB514" s="7"/>
      <c r="AC514" s="257"/>
      <c r="AD514" s="166"/>
      <c r="AE514" s="258"/>
      <c r="AF514" s="7"/>
      <c r="AG514" s="7"/>
      <c r="AH514" s="166"/>
      <c r="AI514" s="13"/>
      <c r="AJ514" s="3"/>
      <c r="AK514" s="13"/>
      <c r="AL514" s="3"/>
      <c r="AM514" s="3"/>
      <c r="AN514" s="3"/>
      <c r="AO514" s="3"/>
      <c r="AP514" s="3"/>
      <c r="AQ514" s="3"/>
      <c r="AR514" s="3"/>
      <c r="AS514" s="98"/>
      <c r="AT514" s="98"/>
      <c r="AU514" s="98"/>
      <c r="AV514" s="98"/>
      <c r="AW514" s="98"/>
      <c r="AX514" s="98"/>
      <c r="AY514" s="98"/>
      <c r="AZ514" s="98"/>
    </row>
    <row r="515">
      <c r="A515" s="3"/>
      <c r="B515" s="36"/>
      <c r="C515" s="91"/>
      <c r="D515" s="13"/>
      <c r="E515" s="13"/>
      <c r="F515" s="3"/>
      <c r="G515" s="3"/>
      <c r="H515" s="3"/>
      <c r="I515" s="13"/>
      <c r="J515" s="13"/>
      <c r="K515" s="13"/>
      <c r="L515" s="36"/>
      <c r="M515" s="91"/>
      <c r="N515" s="3"/>
      <c r="O515" s="3"/>
      <c r="P515" s="7"/>
      <c r="Q515" s="7"/>
      <c r="R515" s="166"/>
      <c r="S515" s="166"/>
      <c r="T515" s="7"/>
      <c r="U515" s="3"/>
      <c r="V515" s="13"/>
      <c r="W515" s="3"/>
      <c r="X515" s="166"/>
      <c r="Y515" s="7"/>
      <c r="Z515" s="13"/>
      <c r="AA515" s="7"/>
      <c r="AB515" s="7"/>
      <c r="AC515" s="257"/>
      <c r="AD515" s="166"/>
      <c r="AE515" s="258"/>
      <c r="AF515" s="7"/>
      <c r="AG515" s="7"/>
      <c r="AH515" s="166"/>
      <c r="AI515" s="13"/>
      <c r="AJ515" s="3"/>
      <c r="AK515" s="13"/>
      <c r="AL515" s="3"/>
      <c r="AM515" s="3"/>
      <c r="AN515" s="3"/>
      <c r="AO515" s="3"/>
      <c r="AP515" s="3"/>
      <c r="AQ515" s="3"/>
      <c r="AR515" s="3"/>
      <c r="AS515" s="98"/>
      <c r="AT515" s="98"/>
      <c r="AU515" s="98"/>
      <c r="AV515" s="98"/>
      <c r="AW515" s="98"/>
      <c r="AX515" s="98"/>
      <c r="AY515" s="98"/>
      <c r="AZ515" s="98"/>
    </row>
    <row r="516">
      <c r="A516" s="3"/>
      <c r="B516" s="36"/>
      <c r="C516" s="91"/>
      <c r="D516" s="13"/>
      <c r="E516" s="13"/>
      <c r="F516" s="3"/>
      <c r="G516" s="3"/>
      <c r="H516" s="3"/>
      <c r="I516" s="13"/>
      <c r="J516" s="13"/>
      <c r="K516" s="13"/>
      <c r="L516" s="36"/>
      <c r="M516" s="91"/>
      <c r="N516" s="3"/>
      <c r="O516" s="3"/>
      <c r="P516" s="7"/>
      <c r="Q516" s="7"/>
      <c r="R516" s="166"/>
      <c r="S516" s="166"/>
      <c r="T516" s="7"/>
      <c r="U516" s="3"/>
      <c r="V516" s="13"/>
      <c r="W516" s="3"/>
      <c r="X516" s="166"/>
      <c r="Y516" s="7"/>
      <c r="Z516" s="13"/>
      <c r="AA516" s="7"/>
      <c r="AB516" s="7"/>
      <c r="AC516" s="257"/>
      <c r="AD516" s="166"/>
      <c r="AE516" s="258"/>
      <c r="AF516" s="7"/>
      <c r="AG516" s="7"/>
      <c r="AH516" s="166"/>
      <c r="AI516" s="13"/>
      <c r="AJ516" s="3"/>
      <c r="AK516" s="13"/>
      <c r="AL516" s="3"/>
      <c r="AM516" s="3"/>
      <c r="AN516" s="3"/>
      <c r="AO516" s="3"/>
      <c r="AP516" s="3"/>
      <c r="AQ516" s="3"/>
      <c r="AR516" s="3"/>
      <c r="AS516" s="98"/>
      <c r="AT516" s="98"/>
      <c r="AU516" s="98"/>
      <c r="AV516" s="98"/>
      <c r="AW516" s="98"/>
      <c r="AX516" s="98"/>
      <c r="AY516" s="98"/>
      <c r="AZ516" s="98"/>
    </row>
    <row r="517">
      <c r="A517" s="3"/>
      <c r="B517" s="36"/>
      <c r="C517" s="91"/>
      <c r="D517" s="13"/>
      <c r="E517" s="13"/>
      <c r="F517" s="3"/>
      <c r="G517" s="3"/>
      <c r="H517" s="3"/>
      <c r="I517" s="13"/>
      <c r="J517" s="13"/>
      <c r="K517" s="13"/>
      <c r="L517" s="36"/>
      <c r="M517" s="91"/>
      <c r="N517" s="3"/>
      <c r="O517" s="3"/>
      <c r="P517" s="7"/>
      <c r="Q517" s="7"/>
      <c r="R517" s="166"/>
      <c r="S517" s="166"/>
      <c r="T517" s="7"/>
      <c r="U517" s="3"/>
      <c r="V517" s="13"/>
      <c r="W517" s="3"/>
      <c r="X517" s="166"/>
      <c r="Y517" s="7"/>
      <c r="Z517" s="13"/>
      <c r="AA517" s="7"/>
      <c r="AB517" s="7"/>
      <c r="AC517" s="257"/>
      <c r="AD517" s="166"/>
      <c r="AE517" s="258"/>
      <c r="AF517" s="7"/>
      <c r="AG517" s="7"/>
      <c r="AH517" s="166"/>
      <c r="AI517" s="13"/>
      <c r="AJ517" s="3"/>
      <c r="AK517" s="13"/>
      <c r="AL517" s="3"/>
      <c r="AM517" s="3"/>
      <c r="AN517" s="3"/>
      <c r="AO517" s="3"/>
      <c r="AP517" s="3"/>
      <c r="AQ517" s="3"/>
      <c r="AR517" s="3"/>
      <c r="AS517" s="98"/>
      <c r="AT517" s="98"/>
      <c r="AU517" s="98"/>
      <c r="AV517" s="98"/>
      <c r="AW517" s="98"/>
      <c r="AX517" s="98"/>
      <c r="AY517" s="98"/>
      <c r="AZ517" s="98"/>
    </row>
    <row r="518">
      <c r="A518" s="3"/>
      <c r="B518" s="36"/>
      <c r="C518" s="91"/>
      <c r="D518" s="13"/>
      <c r="E518" s="13"/>
      <c r="F518" s="3"/>
      <c r="G518" s="3"/>
      <c r="H518" s="3"/>
      <c r="I518" s="13"/>
      <c r="J518" s="13"/>
      <c r="K518" s="13"/>
      <c r="L518" s="36"/>
      <c r="M518" s="91"/>
      <c r="N518" s="3"/>
      <c r="O518" s="3"/>
      <c r="P518" s="7"/>
      <c r="Q518" s="7"/>
      <c r="R518" s="166"/>
      <c r="S518" s="166"/>
      <c r="T518" s="7"/>
      <c r="U518" s="3"/>
      <c r="V518" s="13"/>
      <c r="W518" s="3"/>
      <c r="X518" s="166"/>
      <c r="Y518" s="7"/>
      <c r="Z518" s="13"/>
      <c r="AA518" s="7"/>
      <c r="AB518" s="7"/>
      <c r="AC518" s="257"/>
      <c r="AD518" s="166"/>
      <c r="AE518" s="258"/>
      <c r="AF518" s="7"/>
      <c r="AG518" s="7"/>
      <c r="AH518" s="166"/>
      <c r="AI518" s="13"/>
      <c r="AJ518" s="3"/>
      <c r="AK518" s="13"/>
      <c r="AL518" s="3"/>
      <c r="AM518" s="3"/>
      <c r="AN518" s="3"/>
      <c r="AO518" s="3"/>
      <c r="AP518" s="3"/>
      <c r="AQ518" s="3"/>
      <c r="AR518" s="3"/>
      <c r="AS518" s="98"/>
      <c r="AT518" s="98"/>
      <c r="AU518" s="98"/>
      <c r="AV518" s="98"/>
      <c r="AW518" s="98"/>
      <c r="AX518" s="98"/>
      <c r="AY518" s="98"/>
      <c r="AZ518" s="98"/>
    </row>
    <row r="519">
      <c r="A519" s="3"/>
      <c r="B519" s="36"/>
      <c r="C519" s="91"/>
      <c r="D519" s="13"/>
      <c r="E519" s="13"/>
      <c r="F519" s="3"/>
      <c r="G519" s="3"/>
      <c r="H519" s="3"/>
      <c r="I519" s="13"/>
      <c r="J519" s="13"/>
      <c r="K519" s="13"/>
      <c r="L519" s="36"/>
      <c r="M519" s="91"/>
      <c r="N519" s="3"/>
      <c r="O519" s="3"/>
      <c r="P519" s="7"/>
      <c r="Q519" s="7"/>
      <c r="R519" s="166"/>
      <c r="S519" s="166"/>
      <c r="T519" s="7"/>
      <c r="U519" s="3"/>
      <c r="V519" s="13"/>
      <c r="W519" s="3"/>
      <c r="X519" s="166"/>
      <c r="Y519" s="7"/>
      <c r="Z519" s="13"/>
      <c r="AA519" s="7"/>
      <c r="AB519" s="7"/>
      <c r="AC519" s="257"/>
      <c r="AD519" s="166"/>
      <c r="AE519" s="258"/>
      <c r="AF519" s="7"/>
      <c r="AG519" s="7"/>
      <c r="AH519" s="166"/>
      <c r="AI519" s="13"/>
      <c r="AJ519" s="3"/>
      <c r="AK519" s="13"/>
      <c r="AL519" s="3"/>
      <c r="AM519" s="3"/>
      <c r="AN519" s="3"/>
      <c r="AO519" s="3"/>
      <c r="AP519" s="3"/>
      <c r="AQ519" s="3"/>
      <c r="AR519" s="3"/>
      <c r="AS519" s="98"/>
      <c r="AT519" s="98"/>
      <c r="AU519" s="98"/>
      <c r="AV519" s="98"/>
      <c r="AW519" s="98"/>
      <c r="AX519" s="98"/>
      <c r="AY519" s="98"/>
      <c r="AZ519" s="98"/>
    </row>
    <row r="520">
      <c r="A520" s="3"/>
      <c r="B520" s="36"/>
      <c r="C520" s="91"/>
      <c r="D520" s="13"/>
      <c r="E520" s="13"/>
      <c r="F520" s="3"/>
      <c r="G520" s="3"/>
      <c r="H520" s="3"/>
      <c r="I520" s="13"/>
      <c r="J520" s="13"/>
      <c r="K520" s="13"/>
      <c r="L520" s="36"/>
      <c r="M520" s="91"/>
      <c r="N520" s="3"/>
      <c r="O520" s="3"/>
      <c r="P520" s="7"/>
      <c r="Q520" s="7"/>
      <c r="R520" s="166"/>
      <c r="S520" s="166"/>
      <c r="T520" s="7"/>
      <c r="U520" s="3"/>
      <c r="V520" s="13"/>
      <c r="W520" s="3"/>
      <c r="X520" s="166"/>
      <c r="Y520" s="7"/>
      <c r="Z520" s="13"/>
      <c r="AA520" s="7"/>
      <c r="AB520" s="7"/>
      <c r="AC520" s="257"/>
      <c r="AD520" s="166"/>
      <c r="AE520" s="258"/>
      <c r="AF520" s="7"/>
      <c r="AG520" s="7"/>
      <c r="AH520" s="166"/>
      <c r="AI520" s="13"/>
      <c r="AJ520" s="3"/>
      <c r="AK520" s="13"/>
      <c r="AL520" s="3"/>
      <c r="AM520" s="3"/>
      <c r="AN520" s="3"/>
      <c r="AO520" s="3"/>
      <c r="AP520" s="3"/>
      <c r="AQ520" s="3"/>
      <c r="AR520" s="3"/>
      <c r="AS520" s="98"/>
      <c r="AT520" s="98"/>
      <c r="AU520" s="98"/>
      <c r="AV520" s="98"/>
      <c r="AW520" s="98"/>
      <c r="AX520" s="98"/>
      <c r="AY520" s="98"/>
      <c r="AZ520" s="98"/>
    </row>
    <row r="521">
      <c r="A521" s="3"/>
      <c r="B521" s="36"/>
      <c r="C521" s="91"/>
      <c r="D521" s="13"/>
      <c r="E521" s="13"/>
      <c r="F521" s="3"/>
      <c r="G521" s="3"/>
      <c r="H521" s="3"/>
      <c r="I521" s="13"/>
      <c r="J521" s="13"/>
      <c r="K521" s="13"/>
      <c r="L521" s="36"/>
      <c r="M521" s="91"/>
      <c r="N521" s="3"/>
      <c r="O521" s="3"/>
      <c r="P521" s="7"/>
      <c r="Q521" s="7"/>
      <c r="R521" s="166"/>
      <c r="S521" s="166"/>
      <c r="T521" s="7"/>
      <c r="U521" s="3"/>
      <c r="V521" s="13"/>
      <c r="W521" s="3"/>
      <c r="X521" s="166"/>
      <c r="Y521" s="7"/>
      <c r="Z521" s="13"/>
      <c r="AA521" s="7"/>
      <c r="AB521" s="7"/>
      <c r="AC521" s="257"/>
      <c r="AD521" s="166"/>
      <c r="AE521" s="258"/>
      <c r="AF521" s="7"/>
      <c r="AG521" s="7"/>
      <c r="AH521" s="166"/>
      <c r="AI521" s="13"/>
      <c r="AJ521" s="3"/>
      <c r="AK521" s="13"/>
      <c r="AL521" s="3"/>
      <c r="AM521" s="3"/>
      <c r="AN521" s="3"/>
      <c r="AO521" s="3"/>
      <c r="AP521" s="3"/>
      <c r="AQ521" s="3"/>
      <c r="AR521" s="3"/>
      <c r="AS521" s="98"/>
      <c r="AT521" s="98"/>
      <c r="AU521" s="98"/>
      <c r="AV521" s="98"/>
      <c r="AW521" s="98"/>
      <c r="AX521" s="98"/>
      <c r="AY521" s="98"/>
      <c r="AZ521" s="98"/>
    </row>
    <row r="522">
      <c r="A522" s="3"/>
      <c r="B522" s="36"/>
      <c r="C522" s="91"/>
      <c r="D522" s="13"/>
      <c r="E522" s="13"/>
      <c r="F522" s="3"/>
      <c r="G522" s="3"/>
      <c r="H522" s="3"/>
      <c r="I522" s="13"/>
      <c r="J522" s="13"/>
      <c r="K522" s="13"/>
      <c r="L522" s="36"/>
      <c r="M522" s="91"/>
      <c r="N522" s="3"/>
      <c r="O522" s="3"/>
      <c r="P522" s="7"/>
      <c r="Q522" s="7"/>
      <c r="R522" s="166"/>
      <c r="S522" s="166"/>
      <c r="T522" s="7"/>
      <c r="U522" s="3"/>
      <c r="V522" s="13"/>
      <c r="W522" s="3"/>
      <c r="X522" s="166"/>
      <c r="Y522" s="7"/>
      <c r="Z522" s="13"/>
      <c r="AA522" s="7"/>
      <c r="AB522" s="7"/>
      <c r="AC522" s="257"/>
      <c r="AD522" s="166"/>
      <c r="AE522" s="258"/>
      <c r="AF522" s="7"/>
      <c r="AG522" s="7"/>
      <c r="AH522" s="166"/>
      <c r="AI522" s="13"/>
      <c r="AJ522" s="3"/>
      <c r="AK522" s="13"/>
      <c r="AL522" s="3"/>
      <c r="AM522" s="3"/>
      <c r="AN522" s="3"/>
      <c r="AO522" s="3"/>
      <c r="AP522" s="3"/>
      <c r="AQ522" s="3"/>
      <c r="AR522" s="3"/>
      <c r="AS522" s="98"/>
      <c r="AT522" s="98"/>
      <c r="AU522" s="98"/>
      <c r="AV522" s="98"/>
      <c r="AW522" s="98"/>
      <c r="AX522" s="98"/>
      <c r="AY522" s="98"/>
      <c r="AZ522" s="98"/>
    </row>
    <row r="523">
      <c r="A523" s="3"/>
      <c r="B523" s="36"/>
      <c r="C523" s="91"/>
      <c r="D523" s="13"/>
      <c r="E523" s="13"/>
      <c r="F523" s="3"/>
      <c r="G523" s="3"/>
      <c r="H523" s="3"/>
      <c r="I523" s="13"/>
      <c r="J523" s="13"/>
      <c r="K523" s="13"/>
      <c r="L523" s="36"/>
      <c r="M523" s="91"/>
      <c r="N523" s="3"/>
      <c r="O523" s="3"/>
      <c r="P523" s="7"/>
      <c r="Q523" s="7"/>
      <c r="R523" s="166"/>
      <c r="S523" s="166"/>
      <c r="T523" s="7"/>
      <c r="U523" s="3"/>
      <c r="V523" s="13"/>
      <c r="W523" s="3"/>
      <c r="X523" s="166"/>
      <c r="Y523" s="7"/>
      <c r="Z523" s="13"/>
      <c r="AA523" s="7"/>
      <c r="AB523" s="7"/>
      <c r="AC523" s="257"/>
      <c r="AD523" s="166"/>
      <c r="AE523" s="258"/>
      <c r="AF523" s="7"/>
      <c r="AG523" s="7"/>
      <c r="AH523" s="166"/>
      <c r="AI523" s="13"/>
      <c r="AJ523" s="3"/>
      <c r="AK523" s="13"/>
      <c r="AL523" s="3"/>
      <c r="AM523" s="3"/>
      <c r="AN523" s="3"/>
      <c r="AO523" s="3"/>
      <c r="AP523" s="3"/>
      <c r="AQ523" s="3"/>
      <c r="AR523" s="3"/>
      <c r="AS523" s="98"/>
      <c r="AT523" s="98"/>
      <c r="AU523" s="98"/>
      <c r="AV523" s="98"/>
      <c r="AW523" s="98"/>
      <c r="AX523" s="98"/>
      <c r="AY523" s="98"/>
      <c r="AZ523" s="98"/>
    </row>
    <row r="524">
      <c r="A524" s="3"/>
      <c r="B524" s="36"/>
      <c r="C524" s="91"/>
      <c r="D524" s="13"/>
      <c r="E524" s="13"/>
      <c r="F524" s="3"/>
      <c r="G524" s="3"/>
      <c r="H524" s="3"/>
      <c r="I524" s="13"/>
      <c r="J524" s="13"/>
      <c r="K524" s="13"/>
      <c r="L524" s="36"/>
      <c r="M524" s="91"/>
      <c r="N524" s="3"/>
      <c r="O524" s="3"/>
      <c r="P524" s="7"/>
      <c r="Q524" s="7"/>
      <c r="R524" s="166"/>
      <c r="S524" s="166"/>
      <c r="T524" s="7"/>
      <c r="U524" s="3"/>
      <c r="V524" s="13"/>
      <c r="W524" s="3"/>
      <c r="X524" s="166"/>
      <c r="Y524" s="7"/>
      <c r="Z524" s="13"/>
      <c r="AA524" s="7"/>
      <c r="AB524" s="7"/>
      <c r="AC524" s="257"/>
      <c r="AD524" s="166"/>
      <c r="AE524" s="258"/>
      <c r="AF524" s="7"/>
      <c r="AG524" s="7"/>
      <c r="AH524" s="166"/>
      <c r="AI524" s="13"/>
      <c r="AJ524" s="3"/>
      <c r="AK524" s="13"/>
      <c r="AL524" s="3"/>
      <c r="AM524" s="3"/>
      <c r="AN524" s="3"/>
      <c r="AO524" s="3"/>
      <c r="AP524" s="3"/>
      <c r="AQ524" s="3"/>
      <c r="AR524" s="3"/>
      <c r="AS524" s="98"/>
      <c r="AT524" s="98"/>
      <c r="AU524" s="98"/>
      <c r="AV524" s="98"/>
      <c r="AW524" s="98"/>
      <c r="AX524" s="98"/>
      <c r="AY524" s="98"/>
      <c r="AZ524" s="98"/>
    </row>
    <row r="525">
      <c r="A525" s="3"/>
      <c r="B525" s="36"/>
      <c r="C525" s="91"/>
      <c r="D525" s="13"/>
      <c r="E525" s="13"/>
      <c r="F525" s="3"/>
      <c r="G525" s="3"/>
      <c r="H525" s="3"/>
      <c r="I525" s="13"/>
      <c r="J525" s="13"/>
      <c r="K525" s="13"/>
      <c r="L525" s="36"/>
      <c r="M525" s="91"/>
      <c r="N525" s="3"/>
      <c r="O525" s="3"/>
      <c r="P525" s="7"/>
      <c r="Q525" s="7"/>
      <c r="R525" s="166"/>
      <c r="S525" s="166"/>
      <c r="T525" s="7"/>
      <c r="U525" s="3"/>
      <c r="V525" s="13"/>
      <c r="W525" s="3"/>
      <c r="X525" s="166"/>
      <c r="Y525" s="7"/>
      <c r="Z525" s="13"/>
      <c r="AA525" s="7"/>
      <c r="AB525" s="7"/>
      <c r="AC525" s="257"/>
      <c r="AD525" s="166"/>
      <c r="AE525" s="258"/>
      <c r="AF525" s="7"/>
      <c r="AG525" s="7"/>
      <c r="AH525" s="166"/>
      <c r="AI525" s="13"/>
      <c r="AJ525" s="3"/>
      <c r="AK525" s="13"/>
      <c r="AL525" s="3"/>
      <c r="AM525" s="3"/>
      <c r="AN525" s="3"/>
      <c r="AO525" s="3"/>
      <c r="AP525" s="3"/>
      <c r="AQ525" s="3"/>
      <c r="AR525" s="3"/>
      <c r="AS525" s="98"/>
      <c r="AT525" s="98"/>
      <c r="AU525" s="98"/>
      <c r="AV525" s="98"/>
      <c r="AW525" s="98"/>
      <c r="AX525" s="98"/>
      <c r="AY525" s="98"/>
      <c r="AZ525" s="98"/>
    </row>
    <row r="526">
      <c r="A526" s="3"/>
      <c r="B526" s="36"/>
      <c r="C526" s="91"/>
      <c r="D526" s="13"/>
      <c r="E526" s="13"/>
      <c r="F526" s="3"/>
      <c r="G526" s="3"/>
      <c r="H526" s="3"/>
      <c r="I526" s="13"/>
      <c r="J526" s="13"/>
      <c r="K526" s="13"/>
      <c r="L526" s="36"/>
      <c r="M526" s="91"/>
      <c r="N526" s="3"/>
      <c r="O526" s="3"/>
      <c r="P526" s="7"/>
      <c r="Q526" s="7"/>
      <c r="R526" s="166"/>
      <c r="S526" s="166"/>
      <c r="T526" s="7"/>
      <c r="U526" s="3"/>
      <c r="V526" s="13"/>
      <c r="W526" s="3"/>
      <c r="X526" s="166"/>
      <c r="Y526" s="7"/>
      <c r="Z526" s="13"/>
      <c r="AA526" s="7"/>
      <c r="AB526" s="7"/>
      <c r="AC526" s="257"/>
      <c r="AD526" s="166"/>
      <c r="AE526" s="258"/>
      <c r="AF526" s="7"/>
      <c r="AG526" s="7"/>
      <c r="AH526" s="166"/>
      <c r="AI526" s="13"/>
      <c r="AJ526" s="3"/>
      <c r="AK526" s="13"/>
      <c r="AL526" s="3"/>
      <c r="AM526" s="3"/>
      <c r="AN526" s="3"/>
      <c r="AO526" s="3"/>
      <c r="AP526" s="3"/>
      <c r="AQ526" s="3"/>
      <c r="AR526" s="3"/>
      <c r="AS526" s="98"/>
      <c r="AT526" s="98"/>
      <c r="AU526" s="98"/>
      <c r="AV526" s="98"/>
      <c r="AW526" s="98"/>
      <c r="AX526" s="98"/>
      <c r="AY526" s="98"/>
      <c r="AZ526" s="98"/>
    </row>
    <row r="527">
      <c r="A527" s="3"/>
      <c r="B527" s="36"/>
      <c r="C527" s="91"/>
      <c r="D527" s="13"/>
      <c r="E527" s="13"/>
      <c r="F527" s="3"/>
      <c r="G527" s="3"/>
      <c r="H527" s="3"/>
      <c r="I527" s="13"/>
      <c r="J527" s="13"/>
      <c r="K527" s="13"/>
      <c r="L527" s="36"/>
      <c r="M527" s="91"/>
      <c r="N527" s="3"/>
      <c r="O527" s="3"/>
      <c r="P527" s="7"/>
      <c r="Q527" s="7"/>
      <c r="R527" s="166"/>
      <c r="S527" s="166"/>
      <c r="T527" s="7"/>
      <c r="U527" s="3"/>
      <c r="V527" s="13"/>
      <c r="W527" s="3"/>
      <c r="X527" s="166"/>
      <c r="Y527" s="7"/>
      <c r="Z527" s="13"/>
      <c r="AA527" s="7"/>
      <c r="AB527" s="7"/>
      <c r="AC527" s="257"/>
      <c r="AD527" s="166"/>
      <c r="AE527" s="258"/>
      <c r="AF527" s="7"/>
      <c r="AG527" s="7"/>
      <c r="AH527" s="166"/>
      <c r="AI527" s="13"/>
      <c r="AJ527" s="3"/>
      <c r="AK527" s="13"/>
      <c r="AL527" s="3"/>
      <c r="AM527" s="3"/>
      <c r="AN527" s="3"/>
      <c r="AO527" s="3"/>
      <c r="AP527" s="3"/>
      <c r="AQ527" s="3"/>
      <c r="AR527" s="3"/>
      <c r="AS527" s="98"/>
      <c r="AT527" s="98"/>
      <c r="AU527" s="98"/>
      <c r="AV527" s="98"/>
      <c r="AW527" s="98"/>
      <c r="AX527" s="98"/>
      <c r="AY527" s="98"/>
      <c r="AZ527" s="98"/>
    </row>
    <row r="528">
      <c r="A528" s="3"/>
      <c r="B528" s="36"/>
      <c r="C528" s="91"/>
      <c r="D528" s="13"/>
      <c r="E528" s="13"/>
      <c r="F528" s="3"/>
      <c r="G528" s="3"/>
      <c r="H528" s="3"/>
      <c r="I528" s="13"/>
      <c r="J528" s="13"/>
      <c r="K528" s="13"/>
      <c r="L528" s="36"/>
      <c r="M528" s="91"/>
      <c r="N528" s="3"/>
      <c r="O528" s="3"/>
      <c r="P528" s="7"/>
      <c r="Q528" s="7"/>
      <c r="R528" s="166"/>
      <c r="S528" s="166"/>
      <c r="T528" s="7"/>
      <c r="U528" s="3"/>
      <c r="V528" s="13"/>
      <c r="W528" s="3"/>
      <c r="X528" s="166"/>
      <c r="Y528" s="7"/>
      <c r="Z528" s="13"/>
      <c r="AA528" s="7"/>
      <c r="AB528" s="7"/>
      <c r="AC528" s="257"/>
      <c r="AD528" s="166"/>
      <c r="AE528" s="258"/>
      <c r="AF528" s="7"/>
      <c r="AG528" s="7"/>
      <c r="AH528" s="166"/>
      <c r="AI528" s="13"/>
      <c r="AJ528" s="3"/>
      <c r="AK528" s="13"/>
      <c r="AL528" s="3"/>
      <c r="AM528" s="3"/>
      <c r="AN528" s="3"/>
      <c r="AO528" s="3"/>
      <c r="AP528" s="3"/>
      <c r="AQ528" s="3"/>
      <c r="AR528" s="3"/>
      <c r="AS528" s="98"/>
      <c r="AT528" s="98"/>
      <c r="AU528" s="98"/>
      <c r="AV528" s="98"/>
      <c r="AW528" s="98"/>
      <c r="AX528" s="98"/>
      <c r="AY528" s="98"/>
      <c r="AZ528" s="98"/>
    </row>
    <row r="529">
      <c r="A529" s="3"/>
      <c r="B529" s="36"/>
      <c r="C529" s="91"/>
      <c r="D529" s="13"/>
      <c r="E529" s="13"/>
      <c r="F529" s="3"/>
      <c r="G529" s="3"/>
      <c r="H529" s="3"/>
      <c r="I529" s="13"/>
      <c r="J529" s="13"/>
      <c r="K529" s="13"/>
      <c r="L529" s="36"/>
      <c r="M529" s="91"/>
      <c r="N529" s="3"/>
      <c r="O529" s="3"/>
      <c r="P529" s="7"/>
      <c r="Q529" s="7"/>
      <c r="R529" s="166"/>
      <c r="S529" s="166"/>
      <c r="T529" s="7"/>
      <c r="U529" s="3"/>
      <c r="V529" s="13"/>
      <c r="W529" s="3"/>
      <c r="X529" s="166"/>
      <c r="Y529" s="7"/>
      <c r="Z529" s="13"/>
      <c r="AA529" s="7"/>
      <c r="AB529" s="7"/>
      <c r="AC529" s="257"/>
      <c r="AD529" s="166"/>
      <c r="AE529" s="258"/>
      <c r="AF529" s="7"/>
      <c r="AG529" s="7"/>
      <c r="AH529" s="166"/>
      <c r="AI529" s="13"/>
      <c r="AJ529" s="3"/>
      <c r="AK529" s="13"/>
      <c r="AL529" s="3"/>
      <c r="AM529" s="3"/>
      <c r="AN529" s="3"/>
      <c r="AO529" s="3"/>
      <c r="AP529" s="3"/>
      <c r="AQ529" s="3"/>
      <c r="AR529" s="3"/>
      <c r="AS529" s="98"/>
      <c r="AT529" s="98"/>
      <c r="AU529" s="98"/>
      <c r="AV529" s="98"/>
      <c r="AW529" s="98"/>
      <c r="AX529" s="98"/>
      <c r="AY529" s="98"/>
      <c r="AZ529" s="98"/>
    </row>
    <row r="530">
      <c r="A530" s="3"/>
      <c r="B530" s="36"/>
      <c r="C530" s="91"/>
      <c r="D530" s="13"/>
      <c r="E530" s="13"/>
      <c r="F530" s="3"/>
      <c r="G530" s="3"/>
      <c r="H530" s="3"/>
      <c r="I530" s="13"/>
      <c r="J530" s="13"/>
      <c r="K530" s="13"/>
      <c r="L530" s="36"/>
      <c r="M530" s="91"/>
      <c r="N530" s="3"/>
      <c r="O530" s="3"/>
      <c r="P530" s="7"/>
      <c r="Q530" s="7"/>
      <c r="R530" s="166"/>
      <c r="S530" s="166"/>
      <c r="T530" s="7"/>
      <c r="U530" s="3"/>
      <c r="V530" s="13"/>
      <c r="W530" s="3"/>
      <c r="X530" s="166"/>
      <c r="Y530" s="7"/>
      <c r="Z530" s="13"/>
      <c r="AA530" s="7"/>
      <c r="AB530" s="7"/>
      <c r="AC530" s="257"/>
      <c r="AD530" s="166"/>
      <c r="AE530" s="258"/>
      <c r="AF530" s="7"/>
      <c r="AG530" s="7"/>
      <c r="AH530" s="166"/>
      <c r="AI530" s="13"/>
      <c r="AJ530" s="3"/>
      <c r="AK530" s="13"/>
      <c r="AL530" s="3"/>
      <c r="AM530" s="3"/>
      <c r="AN530" s="3"/>
      <c r="AO530" s="3"/>
      <c r="AP530" s="3"/>
      <c r="AQ530" s="3"/>
      <c r="AR530" s="3"/>
      <c r="AS530" s="98"/>
      <c r="AT530" s="98"/>
      <c r="AU530" s="98"/>
      <c r="AV530" s="98"/>
      <c r="AW530" s="98"/>
      <c r="AX530" s="98"/>
      <c r="AY530" s="98"/>
      <c r="AZ530" s="98"/>
    </row>
    <row r="531">
      <c r="A531" s="3"/>
      <c r="B531" s="36"/>
      <c r="C531" s="91"/>
      <c r="D531" s="13"/>
      <c r="E531" s="13"/>
      <c r="F531" s="3"/>
      <c r="G531" s="3"/>
      <c r="H531" s="3"/>
      <c r="I531" s="13"/>
      <c r="J531" s="13"/>
      <c r="K531" s="13"/>
      <c r="L531" s="36"/>
      <c r="M531" s="91"/>
      <c r="N531" s="3"/>
      <c r="O531" s="3"/>
      <c r="P531" s="7"/>
      <c r="Q531" s="7"/>
      <c r="R531" s="166"/>
      <c r="S531" s="166"/>
      <c r="T531" s="7"/>
      <c r="U531" s="3"/>
      <c r="V531" s="13"/>
      <c r="W531" s="3"/>
      <c r="X531" s="166"/>
      <c r="Y531" s="7"/>
      <c r="Z531" s="13"/>
      <c r="AA531" s="7"/>
      <c r="AB531" s="7"/>
      <c r="AC531" s="257"/>
      <c r="AD531" s="166"/>
      <c r="AE531" s="258"/>
      <c r="AF531" s="7"/>
      <c r="AG531" s="7"/>
      <c r="AH531" s="166"/>
      <c r="AI531" s="13"/>
      <c r="AJ531" s="3"/>
      <c r="AK531" s="13"/>
      <c r="AL531" s="3"/>
      <c r="AM531" s="3"/>
      <c r="AN531" s="3"/>
      <c r="AO531" s="3"/>
      <c r="AP531" s="3"/>
      <c r="AQ531" s="3"/>
      <c r="AR531" s="3"/>
      <c r="AS531" s="98"/>
      <c r="AT531" s="98"/>
      <c r="AU531" s="98"/>
      <c r="AV531" s="98"/>
      <c r="AW531" s="98"/>
      <c r="AX531" s="98"/>
      <c r="AY531" s="98"/>
      <c r="AZ531" s="98"/>
    </row>
    <row r="532">
      <c r="A532" s="3"/>
      <c r="B532" s="36"/>
      <c r="C532" s="91"/>
      <c r="D532" s="13"/>
      <c r="E532" s="13"/>
      <c r="F532" s="3"/>
      <c r="G532" s="3"/>
      <c r="H532" s="3"/>
      <c r="I532" s="13"/>
      <c r="J532" s="13"/>
      <c r="K532" s="13"/>
      <c r="L532" s="36"/>
      <c r="M532" s="91"/>
      <c r="N532" s="3"/>
      <c r="O532" s="3"/>
      <c r="P532" s="7"/>
      <c r="Q532" s="7"/>
      <c r="R532" s="166"/>
      <c r="S532" s="166"/>
      <c r="T532" s="7"/>
      <c r="U532" s="3"/>
      <c r="V532" s="13"/>
      <c r="W532" s="3"/>
      <c r="X532" s="166"/>
      <c r="Y532" s="7"/>
      <c r="Z532" s="13"/>
      <c r="AA532" s="7"/>
      <c r="AB532" s="7"/>
      <c r="AC532" s="257"/>
      <c r="AD532" s="166"/>
      <c r="AE532" s="258"/>
      <c r="AF532" s="7"/>
      <c r="AG532" s="7"/>
      <c r="AH532" s="166"/>
      <c r="AI532" s="13"/>
      <c r="AJ532" s="3"/>
      <c r="AK532" s="13"/>
      <c r="AL532" s="3"/>
      <c r="AM532" s="3"/>
      <c r="AN532" s="3"/>
      <c r="AO532" s="3"/>
      <c r="AP532" s="3"/>
      <c r="AQ532" s="3"/>
      <c r="AR532" s="3"/>
      <c r="AS532" s="98"/>
      <c r="AT532" s="98"/>
      <c r="AU532" s="98"/>
      <c r="AV532" s="98"/>
      <c r="AW532" s="98"/>
      <c r="AX532" s="98"/>
      <c r="AY532" s="98"/>
      <c r="AZ532" s="98"/>
    </row>
    <row r="533">
      <c r="A533" s="3"/>
      <c r="B533" s="36"/>
      <c r="C533" s="91"/>
      <c r="D533" s="13"/>
      <c r="E533" s="13"/>
      <c r="F533" s="3"/>
      <c r="G533" s="3"/>
      <c r="H533" s="3"/>
      <c r="I533" s="13"/>
      <c r="J533" s="13"/>
      <c r="K533" s="13"/>
      <c r="L533" s="36"/>
      <c r="M533" s="91"/>
      <c r="N533" s="3"/>
      <c r="O533" s="3"/>
      <c r="P533" s="7"/>
      <c r="Q533" s="7"/>
      <c r="R533" s="166"/>
      <c r="S533" s="166"/>
      <c r="T533" s="7"/>
      <c r="U533" s="3"/>
      <c r="V533" s="13"/>
      <c r="W533" s="3"/>
      <c r="X533" s="166"/>
      <c r="Y533" s="7"/>
      <c r="Z533" s="13"/>
      <c r="AA533" s="7"/>
      <c r="AB533" s="7"/>
      <c r="AC533" s="257"/>
      <c r="AD533" s="166"/>
      <c r="AE533" s="258"/>
      <c r="AF533" s="7"/>
      <c r="AG533" s="7"/>
      <c r="AH533" s="166"/>
      <c r="AI533" s="13"/>
      <c r="AJ533" s="3"/>
      <c r="AK533" s="13"/>
      <c r="AL533" s="3"/>
      <c r="AM533" s="3"/>
      <c r="AN533" s="3"/>
      <c r="AO533" s="3"/>
      <c r="AP533" s="3"/>
      <c r="AQ533" s="3"/>
      <c r="AR533" s="3"/>
      <c r="AS533" s="98"/>
      <c r="AT533" s="98"/>
      <c r="AU533" s="98"/>
      <c r="AV533" s="98"/>
      <c r="AW533" s="98"/>
      <c r="AX533" s="98"/>
      <c r="AY533" s="98"/>
      <c r="AZ533" s="98"/>
    </row>
    <row r="534">
      <c r="A534" s="3"/>
      <c r="B534" s="36"/>
      <c r="C534" s="91"/>
      <c r="D534" s="13"/>
      <c r="E534" s="13"/>
      <c r="F534" s="3"/>
      <c r="G534" s="3"/>
      <c r="H534" s="3"/>
      <c r="I534" s="13"/>
      <c r="J534" s="13"/>
      <c r="K534" s="13"/>
      <c r="L534" s="36"/>
      <c r="M534" s="91"/>
      <c r="N534" s="3"/>
      <c r="O534" s="3"/>
      <c r="P534" s="7"/>
      <c r="Q534" s="7"/>
      <c r="R534" s="166"/>
      <c r="S534" s="166"/>
      <c r="T534" s="7"/>
      <c r="U534" s="3"/>
      <c r="V534" s="13"/>
      <c r="W534" s="3"/>
      <c r="X534" s="166"/>
      <c r="Y534" s="7"/>
      <c r="Z534" s="13"/>
      <c r="AA534" s="7"/>
      <c r="AB534" s="7"/>
      <c r="AC534" s="257"/>
      <c r="AD534" s="166"/>
      <c r="AE534" s="258"/>
      <c r="AF534" s="7"/>
      <c r="AG534" s="7"/>
      <c r="AH534" s="166"/>
      <c r="AI534" s="13"/>
      <c r="AJ534" s="3"/>
      <c r="AK534" s="13"/>
      <c r="AL534" s="3"/>
      <c r="AM534" s="3"/>
      <c r="AN534" s="3"/>
      <c r="AO534" s="3"/>
      <c r="AP534" s="3"/>
      <c r="AQ534" s="3"/>
      <c r="AR534" s="3"/>
      <c r="AS534" s="98"/>
      <c r="AT534" s="98"/>
      <c r="AU534" s="98"/>
      <c r="AV534" s="98"/>
      <c r="AW534" s="98"/>
      <c r="AX534" s="98"/>
      <c r="AY534" s="98"/>
      <c r="AZ534" s="98"/>
    </row>
    <row r="535">
      <c r="A535" s="3"/>
      <c r="B535" s="36"/>
      <c r="C535" s="91"/>
      <c r="D535" s="13"/>
      <c r="E535" s="13"/>
      <c r="F535" s="3"/>
      <c r="G535" s="3"/>
      <c r="H535" s="3"/>
      <c r="I535" s="13"/>
      <c r="J535" s="13"/>
      <c r="K535" s="13"/>
      <c r="L535" s="36"/>
      <c r="M535" s="91"/>
      <c r="N535" s="3"/>
      <c r="O535" s="3"/>
      <c r="P535" s="7"/>
      <c r="Q535" s="7"/>
      <c r="R535" s="166"/>
      <c r="S535" s="166"/>
      <c r="T535" s="7"/>
      <c r="U535" s="3"/>
      <c r="V535" s="13"/>
      <c r="W535" s="3"/>
      <c r="X535" s="166"/>
      <c r="Y535" s="7"/>
      <c r="Z535" s="13"/>
      <c r="AA535" s="7"/>
      <c r="AB535" s="7"/>
      <c r="AC535" s="257"/>
      <c r="AD535" s="166"/>
      <c r="AE535" s="258"/>
      <c r="AF535" s="7"/>
      <c r="AG535" s="7"/>
      <c r="AH535" s="166"/>
      <c r="AI535" s="13"/>
      <c r="AJ535" s="3"/>
      <c r="AK535" s="13"/>
      <c r="AL535" s="3"/>
      <c r="AM535" s="3"/>
      <c r="AN535" s="3"/>
      <c r="AO535" s="3"/>
      <c r="AP535" s="3"/>
      <c r="AQ535" s="3"/>
      <c r="AR535" s="3"/>
      <c r="AS535" s="98"/>
      <c r="AT535" s="98"/>
      <c r="AU535" s="98"/>
      <c r="AV535" s="98"/>
      <c r="AW535" s="98"/>
      <c r="AX535" s="98"/>
      <c r="AY535" s="98"/>
      <c r="AZ535" s="98"/>
    </row>
    <row r="536">
      <c r="A536" s="3"/>
      <c r="B536" s="36"/>
      <c r="C536" s="91"/>
      <c r="D536" s="13"/>
      <c r="E536" s="13"/>
      <c r="F536" s="3"/>
      <c r="G536" s="3"/>
      <c r="H536" s="3"/>
      <c r="I536" s="13"/>
      <c r="J536" s="13"/>
      <c r="K536" s="13"/>
      <c r="L536" s="36"/>
      <c r="M536" s="91"/>
      <c r="N536" s="3"/>
      <c r="O536" s="3"/>
      <c r="P536" s="7"/>
      <c r="Q536" s="7"/>
      <c r="R536" s="166"/>
      <c r="S536" s="166"/>
      <c r="T536" s="7"/>
      <c r="U536" s="3"/>
      <c r="V536" s="13"/>
      <c r="W536" s="3"/>
      <c r="X536" s="166"/>
      <c r="Y536" s="7"/>
      <c r="Z536" s="13"/>
      <c r="AA536" s="7"/>
      <c r="AB536" s="7"/>
      <c r="AC536" s="257"/>
      <c r="AD536" s="166"/>
      <c r="AE536" s="258"/>
      <c r="AF536" s="7"/>
      <c r="AG536" s="7"/>
      <c r="AH536" s="166"/>
      <c r="AI536" s="13"/>
      <c r="AJ536" s="3"/>
      <c r="AK536" s="13"/>
      <c r="AL536" s="3"/>
      <c r="AM536" s="3"/>
      <c r="AN536" s="3"/>
      <c r="AO536" s="3"/>
      <c r="AP536" s="3"/>
      <c r="AQ536" s="3"/>
      <c r="AR536" s="3"/>
      <c r="AS536" s="98"/>
      <c r="AT536" s="98"/>
      <c r="AU536" s="98"/>
      <c r="AV536" s="98"/>
      <c r="AW536" s="98"/>
      <c r="AX536" s="98"/>
      <c r="AY536" s="98"/>
      <c r="AZ536" s="98"/>
    </row>
    <row r="537">
      <c r="A537" s="3"/>
      <c r="B537" s="36"/>
      <c r="C537" s="91"/>
      <c r="D537" s="13"/>
      <c r="E537" s="13"/>
      <c r="F537" s="3"/>
      <c r="G537" s="3"/>
      <c r="H537" s="3"/>
      <c r="I537" s="13"/>
      <c r="J537" s="13"/>
      <c r="K537" s="13"/>
      <c r="L537" s="36"/>
      <c r="M537" s="91"/>
      <c r="N537" s="3"/>
      <c r="O537" s="3"/>
      <c r="P537" s="7"/>
      <c r="Q537" s="7"/>
      <c r="R537" s="166"/>
      <c r="S537" s="166"/>
      <c r="T537" s="7"/>
      <c r="U537" s="3"/>
      <c r="V537" s="13"/>
      <c r="W537" s="3"/>
      <c r="X537" s="166"/>
      <c r="Y537" s="7"/>
      <c r="Z537" s="13"/>
      <c r="AA537" s="7"/>
      <c r="AB537" s="7"/>
      <c r="AC537" s="257"/>
      <c r="AD537" s="166"/>
      <c r="AE537" s="258"/>
      <c r="AF537" s="7"/>
      <c r="AG537" s="7"/>
      <c r="AH537" s="166"/>
      <c r="AI537" s="13"/>
      <c r="AJ537" s="3"/>
      <c r="AK537" s="13"/>
      <c r="AL537" s="3"/>
      <c r="AM537" s="3"/>
      <c r="AN537" s="3"/>
      <c r="AO537" s="3"/>
      <c r="AP537" s="3"/>
      <c r="AQ537" s="3"/>
      <c r="AR537" s="3"/>
      <c r="AS537" s="98"/>
      <c r="AT537" s="98"/>
      <c r="AU537" s="98"/>
      <c r="AV537" s="98"/>
      <c r="AW537" s="98"/>
      <c r="AX537" s="98"/>
      <c r="AY537" s="98"/>
      <c r="AZ537" s="98"/>
    </row>
    <row r="538">
      <c r="A538" s="3"/>
      <c r="B538" s="36"/>
      <c r="C538" s="91"/>
      <c r="D538" s="13"/>
      <c r="E538" s="13"/>
      <c r="F538" s="3"/>
      <c r="G538" s="3"/>
      <c r="H538" s="3"/>
      <c r="I538" s="13"/>
      <c r="J538" s="13"/>
      <c r="K538" s="13"/>
      <c r="L538" s="36"/>
      <c r="M538" s="91"/>
      <c r="N538" s="3"/>
      <c r="O538" s="3"/>
      <c r="P538" s="7"/>
      <c r="Q538" s="7"/>
      <c r="R538" s="166"/>
      <c r="S538" s="166"/>
      <c r="T538" s="7"/>
      <c r="U538" s="3"/>
      <c r="V538" s="13"/>
      <c r="W538" s="3"/>
      <c r="X538" s="166"/>
      <c r="Y538" s="7"/>
      <c r="Z538" s="13"/>
      <c r="AA538" s="7"/>
      <c r="AB538" s="7"/>
      <c r="AC538" s="257"/>
      <c r="AD538" s="166"/>
      <c r="AE538" s="258"/>
      <c r="AF538" s="7"/>
      <c r="AG538" s="7"/>
      <c r="AH538" s="166"/>
      <c r="AI538" s="13"/>
      <c r="AJ538" s="3"/>
      <c r="AK538" s="13"/>
      <c r="AL538" s="3"/>
      <c r="AM538" s="3"/>
      <c r="AN538" s="3"/>
      <c r="AO538" s="3"/>
      <c r="AP538" s="3"/>
      <c r="AQ538" s="3"/>
      <c r="AR538" s="3"/>
      <c r="AS538" s="98"/>
      <c r="AT538" s="98"/>
      <c r="AU538" s="98"/>
      <c r="AV538" s="98"/>
      <c r="AW538" s="98"/>
      <c r="AX538" s="98"/>
      <c r="AY538" s="98"/>
      <c r="AZ538" s="98"/>
    </row>
    <row r="539">
      <c r="A539" s="3"/>
      <c r="B539" s="36"/>
      <c r="C539" s="91"/>
      <c r="D539" s="13"/>
      <c r="E539" s="13"/>
      <c r="F539" s="3"/>
      <c r="G539" s="3"/>
      <c r="H539" s="3"/>
      <c r="I539" s="13"/>
      <c r="J539" s="13"/>
      <c r="K539" s="13"/>
      <c r="L539" s="36"/>
      <c r="M539" s="91"/>
      <c r="N539" s="3"/>
      <c r="O539" s="3"/>
      <c r="P539" s="7"/>
      <c r="Q539" s="7"/>
      <c r="R539" s="166"/>
      <c r="S539" s="166"/>
      <c r="T539" s="7"/>
      <c r="U539" s="3"/>
      <c r="V539" s="13"/>
      <c r="W539" s="3"/>
      <c r="X539" s="166"/>
      <c r="Y539" s="7"/>
      <c r="Z539" s="13"/>
      <c r="AA539" s="7"/>
      <c r="AB539" s="7"/>
      <c r="AC539" s="257"/>
      <c r="AD539" s="166"/>
      <c r="AE539" s="258"/>
      <c r="AF539" s="7"/>
      <c r="AG539" s="7"/>
      <c r="AH539" s="166"/>
      <c r="AI539" s="13"/>
      <c r="AJ539" s="3"/>
      <c r="AK539" s="13"/>
      <c r="AL539" s="3"/>
      <c r="AM539" s="3"/>
      <c r="AN539" s="3"/>
      <c r="AO539" s="3"/>
      <c r="AP539" s="3"/>
      <c r="AQ539" s="3"/>
      <c r="AR539" s="3"/>
      <c r="AS539" s="98"/>
      <c r="AT539" s="98"/>
      <c r="AU539" s="98"/>
      <c r="AV539" s="98"/>
      <c r="AW539" s="98"/>
      <c r="AX539" s="98"/>
      <c r="AY539" s="98"/>
      <c r="AZ539" s="98"/>
    </row>
    <row r="540">
      <c r="A540" s="3"/>
      <c r="B540" s="36"/>
      <c r="C540" s="91"/>
      <c r="D540" s="13"/>
      <c r="E540" s="13"/>
      <c r="F540" s="3"/>
      <c r="G540" s="3"/>
      <c r="H540" s="3"/>
      <c r="I540" s="13"/>
      <c r="J540" s="13"/>
      <c r="K540" s="13"/>
      <c r="L540" s="36"/>
      <c r="M540" s="91"/>
      <c r="N540" s="3"/>
      <c r="O540" s="3"/>
      <c r="P540" s="7"/>
      <c r="Q540" s="7"/>
      <c r="R540" s="166"/>
      <c r="S540" s="166"/>
      <c r="T540" s="7"/>
      <c r="U540" s="3"/>
      <c r="V540" s="13"/>
      <c r="W540" s="3"/>
      <c r="X540" s="166"/>
      <c r="Y540" s="7"/>
      <c r="Z540" s="13"/>
      <c r="AA540" s="7"/>
      <c r="AB540" s="7"/>
      <c r="AC540" s="257"/>
      <c r="AD540" s="166"/>
      <c r="AE540" s="258"/>
      <c r="AF540" s="7"/>
      <c r="AG540" s="7"/>
      <c r="AH540" s="166"/>
      <c r="AI540" s="13"/>
      <c r="AJ540" s="3"/>
      <c r="AK540" s="13"/>
      <c r="AL540" s="3"/>
      <c r="AM540" s="3"/>
      <c r="AN540" s="3"/>
      <c r="AO540" s="3"/>
      <c r="AP540" s="3"/>
      <c r="AQ540" s="3"/>
      <c r="AR540" s="3"/>
      <c r="AS540" s="98"/>
      <c r="AT540" s="98"/>
      <c r="AU540" s="98"/>
      <c r="AV540" s="98"/>
      <c r="AW540" s="98"/>
      <c r="AX540" s="98"/>
      <c r="AY540" s="98"/>
      <c r="AZ540" s="98"/>
    </row>
    <row r="541">
      <c r="A541" s="3"/>
      <c r="B541" s="36"/>
      <c r="C541" s="91"/>
      <c r="D541" s="13"/>
      <c r="E541" s="13"/>
      <c r="F541" s="3"/>
      <c r="G541" s="3"/>
      <c r="H541" s="3"/>
      <c r="I541" s="13"/>
      <c r="J541" s="13"/>
      <c r="K541" s="13"/>
      <c r="L541" s="36"/>
      <c r="M541" s="91"/>
      <c r="N541" s="3"/>
      <c r="O541" s="3"/>
      <c r="P541" s="7"/>
      <c r="Q541" s="7"/>
      <c r="R541" s="166"/>
      <c r="S541" s="166"/>
      <c r="T541" s="7"/>
      <c r="U541" s="3"/>
      <c r="V541" s="13"/>
      <c r="W541" s="3"/>
      <c r="X541" s="166"/>
      <c r="Y541" s="7"/>
      <c r="Z541" s="13"/>
      <c r="AA541" s="7"/>
      <c r="AB541" s="7"/>
      <c r="AC541" s="257"/>
      <c r="AD541" s="166"/>
      <c r="AE541" s="258"/>
      <c r="AF541" s="7"/>
      <c r="AG541" s="7"/>
      <c r="AH541" s="166"/>
      <c r="AI541" s="13"/>
      <c r="AJ541" s="3"/>
      <c r="AK541" s="13"/>
      <c r="AL541" s="3"/>
      <c r="AM541" s="3"/>
      <c r="AN541" s="3"/>
      <c r="AO541" s="3"/>
      <c r="AP541" s="3"/>
      <c r="AQ541" s="3"/>
      <c r="AR541" s="3"/>
      <c r="AS541" s="98"/>
      <c r="AT541" s="98"/>
      <c r="AU541" s="98"/>
      <c r="AV541" s="98"/>
      <c r="AW541" s="98"/>
      <c r="AX541" s="98"/>
      <c r="AY541" s="98"/>
      <c r="AZ541" s="98"/>
    </row>
    <row r="542">
      <c r="A542" s="3"/>
      <c r="B542" s="36"/>
      <c r="C542" s="91"/>
      <c r="D542" s="13"/>
      <c r="E542" s="13"/>
      <c r="F542" s="3"/>
      <c r="G542" s="3"/>
      <c r="H542" s="3"/>
      <c r="I542" s="13"/>
      <c r="J542" s="13"/>
      <c r="K542" s="13"/>
      <c r="L542" s="36"/>
      <c r="M542" s="91"/>
      <c r="N542" s="3"/>
      <c r="O542" s="3"/>
      <c r="P542" s="7"/>
      <c r="Q542" s="7"/>
      <c r="R542" s="166"/>
      <c r="S542" s="166"/>
      <c r="T542" s="7"/>
      <c r="U542" s="3"/>
      <c r="V542" s="13"/>
      <c r="W542" s="3"/>
      <c r="X542" s="166"/>
      <c r="Y542" s="7"/>
      <c r="Z542" s="13"/>
      <c r="AA542" s="7"/>
      <c r="AB542" s="7"/>
      <c r="AC542" s="257"/>
      <c r="AD542" s="166"/>
      <c r="AE542" s="258"/>
      <c r="AF542" s="7"/>
      <c r="AG542" s="7"/>
      <c r="AH542" s="166"/>
      <c r="AI542" s="13"/>
      <c r="AJ542" s="3"/>
      <c r="AK542" s="13"/>
      <c r="AL542" s="3"/>
      <c r="AM542" s="3"/>
      <c r="AN542" s="3"/>
      <c r="AO542" s="3"/>
      <c r="AP542" s="3"/>
      <c r="AQ542" s="3"/>
      <c r="AR542" s="3"/>
      <c r="AS542" s="98"/>
      <c r="AT542" s="98"/>
      <c r="AU542" s="98"/>
      <c r="AV542" s="98"/>
      <c r="AW542" s="98"/>
      <c r="AX542" s="98"/>
      <c r="AY542" s="98"/>
      <c r="AZ542" s="98"/>
    </row>
    <row r="543">
      <c r="A543" s="3"/>
      <c r="B543" s="36"/>
      <c r="C543" s="91"/>
      <c r="D543" s="13"/>
      <c r="E543" s="13"/>
      <c r="F543" s="3"/>
      <c r="G543" s="3"/>
      <c r="H543" s="3"/>
      <c r="I543" s="13"/>
      <c r="J543" s="13"/>
      <c r="K543" s="13"/>
      <c r="L543" s="36"/>
      <c r="M543" s="91"/>
      <c r="N543" s="3"/>
      <c r="O543" s="3"/>
      <c r="P543" s="7"/>
      <c r="Q543" s="7"/>
      <c r="R543" s="166"/>
      <c r="S543" s="166"/>
      <c r="T543" s="7"/>
      <c r="U543" s="3"/>
      <c r="V543" s="13"/>
      <c r="W543" s="3"/>
      <c r="X543" s="166"/>
      <c r="Y543" s="7"/>
      <c r="Z543" s="13"/>
      <c r="AA543" s="7"/>
      <c r="AB543" s="7"/>
      <c r="AC543" s="257"/>
      <c r="AD543" s="166"/>
      <c r="AE543" s="258"/>
      <c r="AF543" s="7"/>
      <c r="AG543" s="7"/>
      <c r="AH543" s="166"/>
      <c r="AI543" s="13"/>
      <c r="AJ543" s="3"/>
      <c r="AK543" s="13"/>
      <c r="AL543" s="3"/>
      <c r="AM543" s="3"/>
      <c r="AN543" s="3"/>
      <c r="AO543" s="3"/>
      <c r="AP543" s="3"/>
      <c r="AQ543" s="3"/>
      <c r="AR543" s="3"/>
      <c r="AS543" s="98"/>
      <c r="AT543" s="98"/>
      <c r="AU543" s="98"/>
      <c r="AV543" s="98"/>
      <c r="AW543" s="98"/>
      <c r="AX543" s="98"/>
      <c r="AY543" s="98"/>
      <c r="AZ543" s="98"/>
    </row>
    <row r="544">
      <c r="A544" s="3"/>
      <c r="B544" s="36"/>
      <c r="C544" s="91"/>
      <c r="D544" s="13"/>
      <c r="E544" s="13"/>
      <c r="F544" s="3"/>
      <c r="G544" s="3"/>
      <c r="H544" s="3"/>
      <c r="I544" s="13"/>
      <c r="J544" s="13"/>
      <c r="K544" s="13"/>
      <c r="L544" s="36"/>
      <c r="M544" s="91"/>
      <c r="N544" s="3"/>
      <c r="O544" s="3"/>
      <c r="P544" s="7"/>
      <c r="Q544" s="7"/>
      <c r="R544" s="166"/>
      <c r="S544" s="166"/>
      <c r="T544" s="7"/>
      <c r="U544" s="3"/>
      <c r="V544" s="13"/>
      <c r="W544" s="3"/>
      <c r="X544" s="166"/>
      <c r="Y544" s="7"/>
      <c r="Z544" s="13"/>
      <c r="AA544" s="7"/>
      <c r="AB544" s="7"/>
      <c r="AC544" s="257"/>
      <c r="AD544" s="166"/>
      <c r="AE544" s="258"/>
      <c r="AF544" s="7"/>
      <c r="AG544" s="7"/>
      <c r="AH544" s="166"/>
      <c r="AI544" s="13"/>
      <c r="AJ544" s="3"/>
      <c r="AK544" s="13"/>
      <c r="AL544" s="3"/>
      <c r="AM544" s="3"/>
      <c r="AN544" s="3"/>
      <c r="AO544" s="3"/>
      <c r="AP544" s="3"/>
      <c r="AQ544" s="3"/>
      <c r="AR544" s="3"/>
      <c r="AS544" s="98"/>
      <c r="AT544" s="98"/>
      <c r="AU544" s="98"/>
      <c r="AV544" s="98"/>
      <c r="AW544" s="98"/>
      <c r="AX544" s="98"/>
      <c r="AY544" s="98"/>
      <c r="AZ544" s="98"/>
    </row>
    <row r="545">
      <c r="A545" s="3"/>
      <c r="B545" s="36"/>
      <c r="C545" s="91"/>
      <c r="D545" s="13"/>
      <c r="E545" s="13"/>
      <c r="F545" s="3"/>
      <c r="G545" s="3"/>
      <c r="H545" s="3"/>
      <c r="I545" s="13"/>
      <c r="J545" s="13"/>
      <c r="K545" s="13"/>
      <c r="L545" s="36"/>
      <c r="M545" s="91"/>
      <c r="N545" s="3"/>
      <c r="O545" s="3"/>
      <c r="P545" s="7"/>
      <c r="Q545" s="7"/>
      <c r="R545" s="166"/>
      <c r="S545" s="166"/>
      <c r="T545" s="7"/>
      <c r="U545" s="3"/>
      <c r="V545" s="13"/>
      <c r="W545" s="3"/>
      <c r="X545" s="166"/>
      <c r="Y545" s="7"/>
      <c r="Z545" s="13"/>
      <c r="AA545" s="7"/>
      <c r="AB545" s="7"/>
      <c r="AC545" s="257"/>
      <c r="AD545" s="166"/>
      <c r="AE545" s="258"/>
      <c r="AF545" s="7"/>
      <c r="AG545" s="7"/>
      <c r="AH545" s="166"/>
      <c r="AI545" s="13"/>
      <c r="AJ545" s="3"/>
      <c r="AK545" s="13"/>
      <c r="AL545" s="3"/>
      <c r="AM545" s="3"/>
      <c r="AN545" s="3"/>
      <c r="AO545" s="3"/>
      <c r="AP545" s="3"/>
      <c r="AQ545" s="3"/>
      <c r="AR545" s="3"/>
      <c r="AS545" s="98"/>
      <c r="AT545" s="98"/>
      <c r="AU545" s="98"/>
      <c r="AV545" s="98"/>
      <c r="AW545" s="98"/>
      <c r="AX545" s="98"/>
      <c r="AY545" s="98"/>
      <c r="AZ545" s="98"/>
    </row>
    <row r="546">
      <c r="A546" s="3"/>
      <c r="B546" s="36"/>
      <c r="C546" s="91"/>
      <c r="D546" s="13"/>
      <c r="E546" s="13"/>
      <c r="F546" s="3"/>
      <c r="G546" s="3"/>
      <c r="H546" s="3"/>
      <c r="I546" s="13"/>
      <c r="J546" s="13"/>
      <c r="K546" s="13"/>
      <c r="L546" s="36"/>
      <c r="M546" s="91"/>
      <c r="N546" s="3"/>
      <c r="O546" s="3"/>
      <c r="P546" s="7"/>
      <c r="Q546" s="7"/>
      <c r="R546" s="166"/>
      <c r="S546" s="166"/>
      <c r="T546" s="7"/>
      <c r="U546" s="3"/>
      <c r="V546" s="13"/>
      <c r="W546" s="3"/>
      <c r="X546" s="166"/>
      <c r="Y546" s="7"/>
      <c r="Z546" s="13"/>
      <c r="AA546" s="7"/>
      <c r="AB546" s="7"/>
      <c r="AC546" s="257"/>
      <c r="AD546" s="166"/>
      <c r="AE546" s="258"/>
      <c r="AF546" s="7"/>
      <c r="AG546" s="7"/>
      <c r="AH546" s="166"/>
      <c r="AI546" s="13"/>
      <c r="AJ546" s="3"/>
      <c r="AK546" s="13"/>
      <c r="AL546" s="3"/>
      <c r="AM546" s="3"/>
      <c r="AN546" s="3"/>
      <c r="AO546" s="3"/>
      <c r="AP546" s="3"/>
      <c r="AQ546" s="3"/>
      <c r="AR546" s="3"/>
      <c r="AS546" s="98"/>
      <c r="AT546" s="98"/>
      <c r="AU546" s="98"/>
      <c r="AV546" s="98"/>
      <c r="AW546" s="98"/>
      <c r="AX546" s="98"/>
      <c r="AY546" s="98"/>
      <c r="AZ546" s="98"/>
    </row>
    <row r="547">
      <c r="A547" s="3"/>
      <c r="B547" s="36"/>
      <c r="C547" s="91"/>
      <c r="D547" s="13"/>
      <c r="E547" s="13"/>
      <c r="F547" s="3"/>
      <c r="G547" s="3"/>
      <c r="H547" s="3"/>
      <c r="I547" s="13"/>
      <c r="J547" s="13"/>
      <c r="K547" s="13"/>
      <c r="L547" s="36"/>
      <c r="M547" s="91"/>
      <c r="N547" s="3"/>
      <c r="O547" s="3"/>
      <c r="P547" s="7"/>
      <c r="Q547" s="7"/>
      <c r="R547" s="166"/>
      <c r="S547" s="166"/>
      <c r="T547" s="7"/>
      <c r="U547" s="3"/>
      <c r="V547" s="13"/>
      <c r="W547" s="3"/>
      <c r="X547" s="166"/>
      <c r="Y547" s="7"/>
      <c r="Z547" s="13"/>
      <c r="AA547" s="7"/>
      <c r="AB547" s="7"/>
      <c r="AC547" s="257"/>
      <c r="AD547" s="166"/>
      <c r="AE547" s="258"/>
      <c r="AF547" s="7"/>
      <c r="AG547" s="7"/>
      <c r="AH547" s="166"/>
      <c r="AI547" s="13"/>
      <c r="AJ547" s="3"/>
      <c r="AK547" s="13"/>
      <c r="AL547" s="3"/>
      <c r="AM547" s="3"/>
      <c r="AN547" s="3"/>
      <c r="AO547" s="3"/>
      <c r="AP547" s="3"/>
      <c r="AQ547" s="3"/>
      <c r="AR547" s="3"/>
      <c r="AS547" s="98"/>
      <c r="AT547" s="98"/>
      <c r="AU547" s="98"/>
      <c r="AV547" s="98"/>
      <c r="AW547" s="98"/>
      <c r="AX547" s="98"/>
      <c r="AY547" s="98"/>
      <c r="AZ547" s="98"/>
    </row>
    <row r="548">
      <c r="A548" s="3"/>
      <c r="B548" s="36"/>
      <c r="C548" s="91"/>
      <c r="D548" s="13"/>
      <c r="E548" s="13"/>
      <c r="F548" s="3"/>
      <c r="G548" s="3"/>
      <c r="H548" s="3"/>
      <c r="I548" s="13"/>
      <c r="J548" s="13"/>
      <c r="K548" s="13"/>
      <c r="L548" s="36"/>
      <c r="M548" s="91"/>
      <c r="N548" s="3"/>
      <c r="O548" s="3"/>
      <c r="P548" s="7"/>
      <c r="Q548" s="7"/>
      <c r="R548" s="166"/>
      <c r="S548" s="166"/>
      <c r="T548" s="7"/>
      <c r="U548" s="3"/>
      <c r="V548" s="13"/>
      <c r="W548" s="3"/>
      <c r="X548" s="166"/>
      <c r="Y548" s="7"/>
      <c r="Z548" s="13"/>
      <c r="AA548" s="7"/>
      <c r="AB548" s="7"/>
      <c r="AC548" s="257"/>
      <c r="AD548" s="166"/>
      <c r="AE548" s="258"/>
      <c r="AF548" s="7"/>
      <c r="AG548" s="7"/>
      <c r="AH548" s="166"/>
      <c r="AI548" s="13"/>
      <c r="AJ548" s="3"/>
      <c r="AK548" s="13"/>
      <c r="AL548" s="3"/>
      <c r="AM548" s="3"/>
      <c r="AN548" s="3"/>
      <c r="AO548" s="3"/>
      <c r="AP548" s="3"/>
      <c r="AQ548" s="3"/>
      <c r="AR548" s="3"/>
      <c r="AS548" s="98"/>
      <c r="AT548" s="98"/>
      <c r="AU548" s="98"/>
      <c r="AV548" s="98"/>
      <c r="AW548" s="98"/>
      <c r="AX548" s="98"/>
      <c r="AY548" s="98"/>
      <c r="AZ548" s="98"/>
    </row>
    <row r="549">
      <c r="A549" s="3"/>
      <c r="B549" s="36"/>
      <c r="C549" s="91"/>
      <c r="D549" s="13"/>
      <c r="E549" s="13"/>
      <c r="F549" s="3"/>
      <c r="G549" s="3"/>
      <c r="H549" s="3"/>
      <c r="I549" s="13"/>
      <c r="J549" s="13"/>
      <c r="K549" s="13"/>
      <c r="L549" s="36"/>
      <c r="M549" s="91"/>
      <c r="N549" s="3"/>
      <c r="O549" s="3"/>
      <c r="P549" s="7"/>
      <c r="Q549" s="7"/>
      <c r="R549" s="166"/>
      <c r="S549" s="166"/>
      <c r="T549" s="7"/>
      <c r="U549" s="3"/>
      <c r="V549" s="13"/>
      <c r="W549" s="3"/>
      <c r="X549" s="166"/>
      <c r="Y549" s="7"/>
      <c r="Z549" s="13"/>
      <c r="AA549" s="7"/>
      <c r="AB549" s="7"/>
      <c r="AC549" s="257"/>
      <c r="AD549" s="166"/>
      <c r="AE549" s="258"/>
      <c r="AF549" s="7"/>
      <c r="AG549" s="7"/>
      <c r="AH549" s="166"/>
      <c r="AI549" s="13"/>
      <c r="AJ549" s="3"/>
      <c r="AK549" s="13"/>
      <c r="AL549" s="3"/>
      <c r="AM549" s="3"/>
      <c r="AN549" s="3"/>
      <c r="AO549" s="3"/>
      <c r="AP549" s="3"/>
      <c r="AQ549" s="3"/>
      <c r="AR549" s="3"/>
      <c r="AS549" s="98"/>
      <c r="AT549" s="98"/>
      <c r="AU549" s="98"/>
      <c r="AV549" s="98"/>
      <c r="AW549" s="98"/>
      <c r="AX549" s="98"/>
      <c r="AY549" s="98"/>
      <c r="AZ549" s="98"/>
    </row>
    <row r="550">
      <c r="A550" s="3"/>
      <c r="B550" s="36"/>
      <c r="C550" s="91"/>
      <c r="D550" s="13"/>
      <c r="E550" s="13"/>
      <c r="F550" s="3"/>
      <c r="G550" s="3"/>
      <c r="H550" s="3"/>
      <c r="I550" s="13"/>
      <c r="J550" s="13"/>
      <c r="K550" s="13"/>
      <c r="L550" s="36"/>
      <c r="M550" s="91"/>
      <c r="N550" s="3"/>
      <c r="O550" s="3"/>
      <c r="P550" s="7"/>
      <c r="Q550" s="7"/>
      <c r="R550" s="166"/>
      <c r="S550" s="166"/>
      <c r="T550" s="7"/>
      <c r="U550" s="3"/>
      <c r="V550" s="13"/>
      <c r="W550" s="3"/>
      <c r="X550" s="166"/>
      <c r="Y550" s="7"/>
      <c r="Z550" s="13"/>
      <c r="AA550" s="7"/>
      <c r="AB550" s="7"/>
      <c r="AC550" s="257"/>
      <c r="AD550" s="166"/>
      <c r="AE550" s="258"/>
      <c r="AF550" s="7"/>
      <c r="AG550" s="7"/>
      <c r="AH550" s="166"/>
      <c r="AI550" s="13"/>
      <c r="AJ550" s="3"/>
      <c r="AK550" s="13"/>
      <c r="AL550" s="3"/>
      <c r="AM550" s="3"/>
      <c r="AN550" s="3"/>
      <c r="AO550" s="3"/>
      <c r="AP550" s="3"/>
      <c r="AQ550" s="3"/>
      <c r="AR550" s="3"/>
      <c r="AS550" s="98"/>
      <c r="AT550" s="98"/>
      <c r="AU550" s="98"/>
      <c r="AV550" s="98"/>
      <c r="AW550" s="98"/>
      <c r="AX550" s="98"/>
      <c r="AY550" s="98"/>
      <c r="AZ550" s="98"/>
    </row>
    <row r="551">
      <c r="A551" s="3"/>
      <c r="B551" s="36"/>
      <c r="C551" s="91"/>
      <c r="D551" s="13"/>
      <c r="E551" s="13"/>
      <c r="F551" s="3"/>
      <c r="G551" s="3"/>
      <c r="H551" s="3"/>
      <c r="I551" s="13"/>
      <c r="J551" s="13"/>
      <c r="K551" s="13"/>
      <c r="L551" s="36"/>
      <c r="M551" s="91"/>
      <c r="N551" s="3"/>
      <c r="O551" s="3"/>
      <c r="P551" s="7"/>
      <c r="Q551" s="7"/>
      <c r="R551" s="166"/>
      <c r="S551" s="166"/>
      <c r="T551" s="7"/>
      <c r="U551" s="3"/>
      <c r="V551" s="13"/>
      <c r="W551" s="3"/>
      <c r="X551" s="166"/>
      <c r="Y551" s="7"/>
      <c r="Z551" s="13"/>
      <c r="AA551" s="7"/>
      <c r="AB551" s="7"/>
      <c r="AC551" s="257"/>
      <c r="AD551" s="166"/>
      <c r="AE551" s="258"/>
      <c r="AF551" s="7"/>
      <c r="AG551" s="7"/>
      <c r="AH551" s="166"/>
      <c r="AI551" s="13"/>
      <c r="AJ551" s="3"/>
      <c r="AK551" s="13"/>
      <c r="AL551" s="3"/>
      <c r="AM551" s="3"/>
      <c r="AN551" s="3"/>
      <c r="AO551" s="3"/>
      <c r="AP551" s="3"/>
      <c r="AQ551" s="3"/>
      <c r="AR551" s="3"/>
      <c r="AS551" s="98"/>
      <c r="AT551" s="98"/>
      <c r="AU551" s="98"/>
      <c r="AV551" s="98"/>
      <c r="AW551" s="98"/>
      <c r="AX551" s="98"/>
      <c r="AY551" s="98"/>
      <c r="AZ551" s="98"/>
    </row>
    <row r="552">
      <c r="A552" s="3"/>
      <c r="B552" s="36"/>
      <c r="C552" s="91"/>
      <c r="D552" s="13"/>
      <c r="E552" s="13"/>
      <c r="F552" s="3"/>
      <c r="G552" s="3"/>
      <c r="H552" s="3"/>
      <c r="I552" s="13"/>
      <c r="J552" s="13"/>
      <c r="K552" s="13"/>
      <c r="L552" s="36"/>
      <c r="M552" s="91"/>
      <c r="N552" s="3"/>
      <c r="O552" s="3"/>
      <c r="P552" s="7"/>
      <c r="Q552" s="7"/>
      <c r="R552" s="166"/>
      <c r="S552" s="166"/>
      <c r="T552" s="7"/>
      <c r="U552" s="3"/>
      <c r="V552" s="13"/>
      <c r="W552" s="3"/>
      <c r="X552" s="166"/>
      <c r="Y552" s="7"/>
      <c r="Z552" s="13"/>
      <c r="AA552" s="7"/>
      <c r="AB552" s="7"/>
      <c r="AC552" s="257"/>
      <c r="AD552" s="166"/>
      <c r="AE552" s="258"/>
      <c r="AF552" s="7"/>
      <c r="AG552" s="7"/>
      <c r="AH552" s="166"/>
      <c r="AI552" s="13"/>
      <c r="AJ552" s="3"/>
      <c r="AK552" s="13"/>
      <c r="AL552" s="3"/>
      <c r="AM552" s="3"/>
      <c r="AN552" s="3"/>
      <c r="AO552" s="3"/>
      <c r="AP552" s="3"/>
      <c r="AQ552" s="3"/>
      <c r="AR552" s="3"/>
      <c r="AS552" s="98"/>
      <c r="AT552" s="98"/>
      <c r="AU552" s="98"/>
      <c r="AV552" s="98"/>
      <c r="AW552" s="98"/>
      <c r="AX552" s="98"/>
      <c r="AY552" s="98"/>
      <c r="AZ552" s="98"/>
    </row>
    <row r="553">
      <c r="A553" s="3"/>
      <c r="B553" s="36"/>
      <c r="C553" s="91"/>
      <c r="D553" s="13"/>
      <c r="E553" s="13"/>
      <c r="F553" s="3"/>
      <c r="G553" s="3"/>
      <c r="H553" s="3"/>
      <c r="I553" s="13"/>
      <c r="J553" s="13"/>
      <c r="K553" s="13"/>
      <c r="L553" s="36"/>
      <c r="M553" s="91"/>
      <c r="N553" s="3"/>
      <c r="O553" s="3"/>
      <c r="P553" s="7"/>
      <c r="Q553" s="7"/>
      <c r="R553" s="166"/>
      <c r="S553" s="166"/>
      <c r="T553" s="7"/>
      <c r="U553" s="3"/>
      <c r="V553" s="13"/>
      <c r="W553" s="3"/>
      <c r="X553" s="166"/>
      <c r="Y553" s="7"/>
      <c r="Z553" s="13"/>
      <c r="AA553" s="7"/>
      <c r="AB553" s="7"/>
      <c r="AC553" s="257"/>
      <c r="AD553" s="166"/>
      <c r="AE553" s="258"/>
      <c r="AF553" s="7"/>
      <c r="AG553" s="7"/>
      <c r="AH553" s="166"/>
      <c r="AI553" s="13"/>
      <c r="AJ553" s="3"/>
      <c r="AK553" s="13"/>
      <c r="AL553" s="3"/>
      <c r="AM553" s="3"/>
      <c r="AN553" s="3"/>
      <c r="AO553" s="3"/>
      <c r="AP553" s="3"/>
      <c r="AQ553" s="3"/>
      <c r="AR553" s="3"/>
      <c r="AS553" s="98"/>
      <c r="AT553" s="98"/>
      <c r="AU553" s="98"/>
      <c r="AV553" s="98"/>
      <c r="AW553" s="98"/>
      <c r="AX553" s="98"/>
      <c r="AY553" s="98"/>
      <c r="AZ553" s="98"/>
    </row>
    <row r="554">
      <c r="A554" s="3"/>
      <c r="B554" s="36"/>
      <c r="C554" s="91"/>
      <c r="D554" s="13"/>
      <c r="E554" s="13"/>
      <c r="F554" s="3"/>
      <c r="G554" s="3"/>
      <c r="H554" s="3"/>
      <c r="I554" s="13"/>
      <c r="J554" s="13"/>
      <c r="K554" s="13"/>
      <c r="L554" s="36"/>
      <c r="M554" s="91"/>
      <c r="N554" s="3"/>
      <c r="O554" s="3"/>
      <c r="P554" s="7"/>
      <c r="Q554" s="7"/>
      <c r="R554" s="166"/>
      <c r="S554" s="166"/>
      <c r="T554" s="7"/>
      <c r="U554" s="3"/>
      <c r="V554" s="13"/>
      <c r="W554" s="3"/>
      <c r="X554" s="166"/>
      <c r="Y554" s="7"/>
      <c r="Z554" s="13"/>
      <c r="AA554" s="7"/>
      <c r="AB554" s="7"/>
      <c r="AC554" s="257"/>
      <c r="AD554" s="166"/>
      <c r="AE554" s="258"/>
      <c r="AF554" s="7"/>
      <c r="AG554" s="7"/>
      <c r="AH554" s="166"/>
      <c r="AI554" s="13"/>
      <c r="AJ554" s="3"/>
      <c r="AK554" s="13"/>
      <c r="AL554" s="3"/>
      <c r="AM554" s="3"/>
      <c r="AN554" s="3"/>
      <c r="AO554" s="3"/>
      <c r="AP554" s="3"/>
      <c r="AQ554" s="3"/>
      <c r="AR554" s="3"/>
      <c r="AS554" s="98"/>
      <c r="AT554" s="98"/>
      <c r="AU554" s="98"/>
      <c r="AV554" s="98"/>
      <c r="AW554" s="98"/>
      <c r="AX554" s="98"/>
      <c r="AY554" s="98"/>
      <c r="AZ554" s="98"/>
    </row>
    <row r="555">
      <c r="A555" s="3"/>
      <c r="B555" s="36"/>
      <c r="C555" s="91"/>
      <c r="D555" s="13"/>
      <c r="E555" s="13"/>
      <c r="F555" s="3"/>
      <c r="G555" s="3"/>
      <c r="H555" s="3"/>
      <c r="I555" s="13"/>
      <c r="J555" s="13"/>
      <c r="K555" s="13"/>
      <c r="L555" s="36"/>
      <c r="M555" s="91"/>
      <c r="N555" s="3"/>
      <c r="O555" s="3"/>
      <c r="P555" s="7"/>
      <c r="Q555" s="7"/>
      <c r="R555" s="166"/>
      <c r="S555" s="166"/>
      <c r="T555" s="7"/>
      <c r="U555" s="3"/>
      <c r="V555" s="13"/>
      <c r="W555" s="3"/>
      <c r="X555" s="166"/>
      <c r="Y555" s="7"/>
      <c r="Z555" s="13"/>
      <c r="AA555" s="7"/>
      <c r="AB555" s="7"/>
      <c r="AC555" s="257"/>
      <c r="AD555" s="166"/>
      <c r="AE555" s="258"/>
      <c r="AF555" s="7"/>
      <c r="AG555" s="7"/>
      <c r="AH555" s="166"/>
      <c r="AI555" s="13"/>
      <c r="AJ555" s="3"/>
      <c r="AK555" s="13"/>
      <c r="AL555" s="3"/>
      <c r="AM555" s="3"/>
      <c r="AN555" s="3"/>
      <c r="AO555" s="3"/>
      <c r="AP555" s="3"/>
      <c r="AQ555" s="3"/>
      <c r="AR555" s="3"/>
      <c r="AS555" s="98"/>
      <c r="AT555" s="98"/>
      <c r="AU555" s="98"/>
      <c r="AV555" s="98"/>
      <c r="AW555" s="98"/>
      <c r="AX555" s="98"/>
      <c r="AY555" s="98"/>
      <c r="AZ555" s="98"/>
    </row>
    <row r="556">
      <c r="A556" s="3"/>
      <c r="B556" s="36"/>
      <c r="C556" s="91"/>
      <c r="D556" s="13"/>
      <c r="E556" s="13"/>
      <c r="F556" s="3"/>
      <c r="G556" s="3"/>
      <c r="H556" s="3"/>
      <c r="I556" s="13"/>
      <c r="J556" s="13"/>
      <c r="K556" s="13"/>
      <c r="L556" s="36"/>
      <c r="M556" s="91"/>
      <c r="N556" s="3"/>
      <c r="O556" s="3"/>
      <c r="P556" s="7"/>
      <c r="Q556" s="7"/>
      <c r="R556" s="166"/>
      <c r="S556" s="166"/>
      <c r="T556" s="7"/>
      <c r="U556" s="3"/>
      <c r="V556" s="13"/>
      <c r="W556" s="3"/>
      <c r="X556" s="166"/>
      <c r="Y556" s="7"/>
      <c r="Z556" s="13"/>
      <c r="AA556" s="7"/>
      <c r="AB556" s="7"/>
      <c r="AC556" s="257"/>
      <c r="AD556" s="166"/>
      <c r="AE556" s="258"/>
      <c r="AF556" s="7"/>
      <c r="AG556" s="7"/>
      <c r="AH556" s="166"/>
      <c r="AI556" s="13"/>
      <c r="AJ556" s="3"/>
      <c r="AK556" s="13"/>
      <c r="AL556" s="3"/>
      <c r="AM556" s="3"/>
      <c r="AN556" s="3"/>
      <c r="AO556" s="3"/>
      <c r="AP556" s="3"/>
      <c r="AQ556" s="3"/>
      <c r="AR556" s="3"/>
      <c r="AS556" s="98"/>
      <c r="AT556" s="98"/>
      <c r="AU556" s="98"/>
      <c r="AV556" s="98"/>
      <c r="AW556" s="98"/>
      <c r="AX556" s="98"/>
      <c r="AY556" s="98"/>
      <c r="AZ556" s="98"/>
    </row>
    <row r="557">
      <c r="A557" s="3"/>
      <c r="B557" s="36"/>
      <c r="C557" s="91"/>
      <c r="D557" s="13"/>
      <c r="E557" s="13"/>
      <c r="F557" s="3"/>
      <c r="G557" s="3"/>
      <c r="H557" s="3"/>
      <c r="I557" s="13"/>
      <c r="J557" s="13"/>
      <c r="K557" s="13"/>
      <c r="L557" s="36"/>
      <c r="M557" s="91"/>
      <c r="N557" s="3"/>
      <c r="O557" s="3"/>
      <c r="P557" s="7"/>
      <c r="Q557" s="7"/>
      <c r="R557" s="166"/>
      <c r="S557" s="166"/>
      <c r="T557" s="7"/>
      <c r="U557" s="3"/>
      <c r="V557" s="13"/>
      <c r="W557" s="3"/>
      <c r="X557" s="166"/>
      <c r="Y557" s="7"/>
      <c r="Z557" s="13"/>
      <c r="AA557" s="7"/>
      <c r="AB557" s="7"/>
      <c r="AC557" s="257"/>
      <c r="AD557" s="166"/>
      <c r="AE557" s="258"/>
      <c r="AF557" s="7"/>
      <c r="AG557" s="7"/>
      <c r="AH557" s="166"/>
      <c r="AI557" s="13"/>
      <c r="AJ557" s="3"/>
      <c r="AK557" s="13"/>
      <c r="AL557" s="3"/>
      <c r="AM557" s="3"/>
      <c r="AN557" s="3"/>
      <c r="AO557" s="3"/>
      <c r="AP557" s="3"/>
      <c r="AQ557" s="3"/>
      <c r="AR557" s="3"/>
      <c r="AS557" s="98"/>
      <c r="AT557" s="98"/>
      <c r="AU557" s="98"/>
      <c r="AV557" s="98"/>
      <c r="AW557" s="98"/>
      <c r="AX557" s="98"/>
      <c r="AY557" s="98"/>
      <c r="AZ557" s="98"/>
    </row>
    <row r="558">
      <c r="A558" s="3"/>
      <c r="B558" s="36"/>
      <c r="C558" s="91"/>
      <c r="D558" s="13"/>
      <c r="E558" s="13"/>
      <c r="F558" s="3"/>
      <c r="G558" s="3"/>
      <c r="H558" s="3"/>
      <c r="I558" s="13"/>
      <c r="J558" s="13"/>
      <c r="K558" s="13"/>
      <c r="L558" s="36"/>
      <c r="M558" s="91"/>
      <c r="N558" s="3"/>
      <c r="O558" s="3"/>
      <c r="P558" s="7"/>
      <c r="Q558" s="7"/>
      <c r="R558" s="166"/>
      <c r="S558" s="166"/>
      <c r="T558" s="7"/>
      <c r="U558" s="3"/>
      <c r="V558" s="13"/>
      <c r="W558" s="3"/>
      <c r="X558" s="166"/>
      <c r="Y558" s="7"/>
      <c r="Z558" s="13"/>
      <c r="AA558" s="7"/>
      <c r="AB558" s="7"/>
      <c r="AC558" s="257"/>
      <c r="AD558" s="166"/>
      <c r="AE558" s="258"/>
      <c r="AF558" s="7"/>
      <c r="AG558" s="7"/>
      <c r="AH558" s="166"/>
      <c r="AI558" s="13"/>
      <c r="AJ558" s="3"/>
      <c r="AK558" s="13"/>
      <c r="AL558" s="3"/>
      <c r="AM558" s="3"/>
      <c r="AN558" s="3"/>
      <c r="AO558" s="3"/>
      <c r="AP558" s="3"/>
      <c r="AQ558" s="3"/>
      <c r="AR558" s="3"/>
      <c r="AS558" s="98"/>
      <c r="AT558" s="98"/>
      <c r="AU558" s="98"/>
      <c r="AV558" s="98"/>
      <c r="AW558" s="98"/>
      <c r="AX558" s="98"/>
      <c r="AY558" s="98"/>
      <c r="AZ558" s="98"/>
    </row>
    <row r="559">
      <c r="A559" s="3"/>
      <c r="B559" s="36"/>
      <c r="C559" s="91"/>
      <c r="D559" s="13"/>
      <c r="E559" s="13"/>
      <c r="F559" s="3"/>
      <c r="G559" s="3"/>
      <c r="H559" s="3"/>
      <c r="I559" s="13"/>
      <c r="J559" s="13"/>
      <c r="K559" s="13"/>
      <c r="L559" s="36"/>
      <c r="M559" s="91"/>
      <c r="N559" s="3"/>
      <c r="O559" s="3"/>
      <c r="P559" s="7"/>
      <c r="Q559" s="7"/>
      <c r="R559" s="166"/>
      <c r="S559" s="166"/>
      <c r="T559" s="7"/>
      <c r="U559" s="3"/>
      <c r="V559" s="13"/>
      <c r="W559" s="3"/>
      <c r="X559" s="166"/>
      <c r="Y559" s="7"/>
      <c r="Z559" s="13"/>
      <c r="AA559" s="7"/>
      <c r="AB559" s="7"/>
      <c r="AC559" s="257"/>
      <c r="AD559" s="166"/>
      <c r="AE559" s="258"/>
      <c r="AF559" s="7"/>
      <c r="AG559" s="7"/>
      <c r="AH559" s="166"/>
      <c r="AI559" s="13"/>
      <c r="AJ559" s="3"/>
      <c r="AK559" s="13"/>
      <c r="AL559" s="3"/>
      <c r="AM559" s="3"/>
      <c r="AN559" s="3"/>
      <c r="AO559" s="3"/>
      <c r="AP559" s="3"/>
      <c r="AQ559" s="3"/>
      <c r="AR559" s="3"/>
      <c r="AS559" s="98"/>
      <c r="AT559" s="98"/>
      <c r="AU559" s="98"/>
      <c r="AV559" s="98"/>
      <c r="AW559" s="98"/>
      <c r="AX559" s="98"/>
      <c r="AY559" s="98"/>
      <c r="AZ559" s="98"/>
    </row>
    <row r="560">
      <c r="A560" s="3"/>
      <c r="B560" s="36"/>
      <c r="C560" s="91"/>
      <c r="D560" s="13"/>
      <c r="E560" s="13"/>
      <c r="F560" s="3"/>
      <c r="G560" s="3"/>
      <c r="H560" s="3"/>
      <c r="I560" s="13"/>
      <c r="J560" s="13"/>
      <c r="K560" s="13"/>
      <c r="L560" s="36"/>
      <c r="M560" s="91"/>
      <c r="N560" s="3"/>
      <c r="O560" s="3"/>
      <c r="P560" s="7"/>
      <c r="Q560" s="7"/>
      <c r="R560" s="166"/>
      <c r="S560" s="166"/>
      <c r="T560" s="7"/>
      <c r="U560" s="3"/>
      <c r="V560" s="13"/>
      <c r="W560" s="3"/>
      <c r="X560" s="166"/>
      <c r="Y560" s="7"/>
      <c r="Z560" s="13"/>
      <c r="AA560" s="7"/>
      <c r="AB560" s="7"/>
      <c r="AC560" s="257"/>
      <c r="AD560" s="166"/>
      <c r="AE560" s="258"/>
      <c r="AF560" s="7"/>
      <c r="AG560" s="7"/>
      <c r="AH560" s="166"/>
      <c r="AI560" s="13"/>
      <c r="AJ560" s="3"/>
      <c r="AK560" s="13"/>
      <c r="AL560" s="3"/>
      <c r="AM560" s="3"/>
      <c r="AN560" s="3"/>
      <c r="AO560" s="3"/>
      <c r="AP560" s="3"/>
      <c r="AQ560" s="3"/>
      <c r="AR560" s="3"/>
      <c r="AS560" s="98"/>
      <c r="AT560" s="98"/>
      <c r="AU560" s="98"/>
      <c r="AV560" s="98"/>
      <c r="AW560" s="98"/>
      <c r="AX560" s="98"/>
      <c r="AY560" s="98"/>
      <c r="AZ560" s="98"/>
    </row>
    <row r="561">
      <c r="A561" s="3"/>
      <c r="B561" s="36"/>
      <c r="C561" s="91"/>
      <c r="D561" s="13"/>
      <c r="E561" s="13"/>
      <c r="F561" s="3"/>
      <c r="G561" s="3"/>
      <c r="H561" s="3"/>
      <c r="I561" s="13"/>
      <c r="J561" s="13"/>
      <c r="K561" s="13"/>
      <c r="L561" s="36"/>
      <c r="M561" s="91"/>
      <c r="N561" s="3"/>
      <c r="O561" s="3"/>
      <c r="P561" s="7"/>
      <c r="Q561" s="7"/>
      <c r="R561" s="166"/>
      <c r="S561" s="166"/>
      <c r="T561" s="7"/>
      <c r="U561" s="3"/>
      <c r="V561" s="13"/>
      <c r="W561" s="3"/>
      <c r="X561" s="166"/>
      <c r="Y561" s="7"/>
      <c r="Z561" s="13"/>
      <c r="AA561" s="7"/>
      <c r="AB561" s="7"/>
      <c r="AC561" s="257"/>
      <c r="AD561" s="166"/>
      <c r="AE561" s="258"/>
      <c r="AF561" s="7"/>
      <c r="AG561" s="7"/>
      <c r="AH561" s="166"/>
      <c r="AI561" s="13"/>
      <c r="AJ561" s="3"/>
      <c r="AK561" s="13"/>
      <c r="AL561" s="3"/>
      <c r="AM561" s="3"/>
      <c r="AN561" s="3"/>
      <c r="AO561" s="3"/>
      <c r="AP561" s="3"/>
      <c r="AQ561" s="3"/>
      <c r="AR561" s="3"/>
      <c r="AS561" s="98"/>
      <c r="AT561" s="98"/>
      <c r="AU561" s="98"/>
      <c r="AV561" s="98"/>
      <c r="AW561" s="98"/>
      <c r="AX561" s="98"/>
      <c r="AY561" s="98"/>
      <c r="AZ561" s="98"/>
    </row>
    <row r="562">
      <c r="A562" s="3"/>
      <c r="B562" s="36"/>
      <c r="C562" s="91"/>
      <c r="D562" s="13"/>
      <c r="E562" s="13"/>
      <c r="F562" s="3"/>
      <c r="G562" s="3"/>
      <c r="H562" s="3"/>
      <c r="I562" s="13"/>
      <c r="J562" s="13"/>
      <c r="K562" s="13"/>
      <c r="L562" s="36"/>
      <c r="M562" s="91"/>
      <c r="N562" s="3"/>
      <c r="O562" s="3"/>
      <c r="P562" s="7"/>
      <c r="Q562" s="7"/>
      <c r="R562" s="166"/>
      <c r="S562" s="166"/>
      <c r="T562" s="7"/>
      <c r="U562" s="3"/>
      <c r="V562" s="13"/>
      <c r="W562" s="3"/>
      <c r="X562" s="166"/>
      <c r="Y562" s="7"/>
      <c r="Z562" s="13"/>
      <c r="AA562" s="7"/>
      <c r="AB562" s="7"/>
      <c r="AC562" s="257"/>
      <c r="AD562" s="166"/>
      <c r="AE562" s="258"/>
      <c r="AF562" s="7"/>
      <c r="AG562" s="7"/>
      <c r="AH562" s="166"/>
      <c r="AI562" s="13"/>
      <c r="AJ562" s="3"/>
      <c r="AK562" s="13"/>
      <c r="AL562" s="3"/>
      <c r="AM562" s="3"/>
      <c r="AN562" s="3"/>
      <c r="AO562" s="3"/>
      <c r="AP562" s="3"/>
      <c r="AQ562" s="3"/>
      <c r="AR562" s="3"/>
      <c r="AS562" s="98"/>
      <c r="AT562" s="98"/>
      <c r="AU562" s="98"/>
      <c r="AV562" s="98"/>
      <c r="AW562" s="98"/>
      <c r="AX562" s="98"/>
      <c r="AY562" s="98"/>
      <c r="AZ562" s="98"/>
    </row>
    <row r="563">
      <c r="A563" s="3"/>
      <c r="B563" s="36"/>
      <c r="C563" s="91"/>
      <c r="D563" s="13"/>
      <c r="E563" s="13"/>
      <c r="F563" s="3"/>
      <c r="G563" s="3"/>
      <c r="H563" s="3"/>
      <c r="I563" s="13"/>
      <c r="J563" s="13"/>
      <c r="K563" s="13"/>
      <c r="L563" s="36"/>
      <c r="M563" s="91"/>
      <c r="N563" s="3"/>
      <c r="O563" s="3"/>
      <c r="P563" s="7"/>
      <c r="Q563" s="7"/>
      <c r="R563" s="166"/>
      <c r="S563" s="166"/>
      <c r="T563" s="7"/>
      <c r="U563" s="3"/>
      <c r="V563" s="13"/>
      <c r="W563" s="3"/>
      <c r="X563" s="166"/>
      <c r="Y563" s="7"/>
      <c r="Z563" s="13"/>
      <c r="AA563" s="7"/>
      <c r="AB563" s="7"/>
      <c r="AC563" s="257"/>
      <c r="AD563" s="166"/>
      <c r="AE563" s="258"/>
      <c r="AF563" s="7"/>
      <c r="AG563" s="7"/>
      <c r="AH563" s="166"/>
      <c r="AI563" s="13"/>
      <c r="AJ563" s="3"/>
      <c r="AK563" s="13"/>
      <c r="AL563" s="3"/>
      <c r="AM563" s="3"/>
      <c r="AN563" s="3"/>
      <c r="AO563" s="3"/>
      <c r="AP563" s="3"/>
      <c r="AQ563" s="3"/>
      <c r="AR563" s="3"/>
      <c r="AS563" s="98"/>
      <c r="AT563" s="98"/>
      <c r="AU563" s="98"/>
      <c r="AV563" s="98"/>
      <c r="AW563" s="98"/>
      <c r="AX563" s="98"/>
      <c r="AY563" s="98"/>
      <c r="AZ563" s="98"/>
    </row>
    <row r="564">
      <c r="A564" s="3"/>
      <c r="B564" s="36"/>
      <c r="C564" s="91"/>
      <c r="D564" s="13"/>
      <c r="E564" s="13"/>
      <c r="F564" s="3"/>
      <c r="G564" s="3"/>
      <c r="H564" s="3"/>
      <c r="I564" s="13"/>
      <c r="J564" s="13"/>
      <c r="K564" s="13"/>
      <c r="L564" s="36"/>
      <c r="M564" s="91"/>
      <c r="N564" s="3"/>
      <c r="O564" s="3"/>
      <c r="P564" s="7"/>
      <c r="Q564" s="7"/>
      <c r="R564" s="166"/>
      <c r="S564" s="166"/>
      <c r="T564" s="7"/>
      <c r="U564" s="3"/>
      <c r="V564" s="13"/>
      <c r="W564" s="3"/>
      <c r="X564" s="166"/>
      <c r="Y564" s="7"/>
      <c r="Z564" s="13"/>
      <c r="AA564" s="7"/>
      <c r="AB564" s="7"/>
      <c r="AC564" s="257"/>
      <c r="AD564" s="166"/>
      <c r="AE564" s="258"/>
      <c r="AF564" s="7"/>
      <c r="AG564" s="7"/>
      <c r="AH564" s="166"/>
      <c r="AI564" s="13"/>
      <c r="AJ564" s="3"/>
      <c r="AK564" s="13"/>
      <c r="AL564" s="3"/>
      <c r="AM564" s="3"/>
      <c r="AN564" s="3"/>
      <c r="AO564" s="3"/>
      <c r="AP564" s="3"/>
      <c r="AQ564" s="3"/>
      <c r="AR564" s="3"/>
      <c r="AS564" s="98"/>
      <c r="AT564" s="98"/>
      <c r="AU564" s="98"/>
      <c r="AV564" s="98"/>
      <c r="AW564" s="98"/>
      <c r="AX564" s="98"/>
      <c r="AY564" s="98"/>
      <c r="AZ564" s="98"/>
    </row>
    <row r="565">
      <c r="A565" s="3"/>
      <c r="B565" s="36"/>
      <c r="C565" s="91"/>
      <c r="D565" s="13"/>
      <c r="E565" s="13"/>
      <c r="F565" s="3"/>
      <c r="G565" s="3"/>
      <c r="H565" s="3"/>
      <c r="I565" s="13"/>
      <c r="J565" s="13"/>
      <c r="K565" s="13"/>
      <c r="L565" s="36"/>
      <c r="M565" s="91"/>
      <c r="N565" s="3"/>
      <c r="O565" s="3"/>
      <c r="P565" s="7"/>
      <c r="Q565" s="7"/>
      <c r="R565" s="166"/>
      <c r="S565" s="166"/>
      <c r="T565" s="7"/>
      <c r="U565" s="3"/>
      <c r="V565" s="13"/>
      <c r="W565" s="3"/>
      <c r="X565" s="166"/>
      <c r="Y565" s="7"/>
      <c r="Z565" s="13"/>
      <c r="AA565" s="7"/>
      <c r="AB565" s="7"/>
      <c r="AC565" s="257"/>
      <c r="AD565" s="166"/>
      <c r="AE565" s="258"/>
      <c r="AF565" s="7"/>
      <c r="AG565" s="7"/>
      <c r="AH565" s="166"/>
      <c r="AI565" s="13"/>
      <c r="AJ565" s="3"/>
      <c r="AK565" s="13"/>
      <c r="AL565" s="3"/>
      <c r="AM565" s="3"/>
      <c r="AN565" s="3"/>
      <c r="AO565" s="3"/>
      <c r="AP565" s="3"/>
      <c r="AQ565" s="3"/>
      <c r="AR565" s="3"/>
      <c r="AS565" s="98"/>
      <c r="AT565" s="98"/>
      <c r="AU565" s="98"/>
      <c r="AV565" s="98"/>
      <c r="AW565" s="98"/>
      <c r="AX565" s="98"/>
      <c r="AY565" s="98"/>
      <c r="AZ565" s="98"/>
    </row>
    <row r="566">
      <c r="A566" s="3"/>
      <c r="B566" s="36"/>
      <c r="C566" s="91"/>
      <c r="D566" s="13"/>
      <c r="E566" s="13"/>
      <c r="F566" s="3"/>
      <c r="G566" s="3"/>
      <c r="H566" s="3"/>
      <c r="I566" s="13"/>
      <c r="J566" s="13"/>
      <c r="K566" s="13"/>
      <c r="L566" s="36"/>
      <c r="M566" s="91"/>
      <c r="N566" s="3"/>
      <c r="O566" s="3"/>
      <c r="P566" s="7"/>
      <c r="Q566" s="7"/>
      <c r="R566" s="166"/>
      <c r="S566" s="166"/>
      <c r="T566" s="7"/>
      <c r="U566" s="3"/>
      <c r="V566" s="13"/>
      <c r="W566" s="3"/>
      <c r="X566" s="166"/>
      <c r="Y566" s="7"/>
      <c r="Z566" s="13"/>
      <c r="AA566" s="7"/>
      <c r="AB566" s="7"/>
      <c r="AC566" s="257"/>
      <c r="AD566" s="166"/>
      <c r="AE566" s="258"/>
      <c r="AF566" s="7"/>
      <c r="AG566" s="7"/>
      <c r="AH566" s="166"/>
      <c r="AI566" s="13"/>
      <c r="AJ566" s="3"/>
      <c r="AK566" s="13"/>
      <c r="AL566" s="3"/>
      <c r="AM566" s="3"/>
      <c r="AN566" s="3"/>
      <c r="AO566" s="3"/>
      <c r="AP566" s="3"/>
      <c r="AQ566" s="3"/>
      <c r="AR566" s="3"/>
      <c r="AS566" s="98"/>
      <c r="AT566" s="98"/>
      <c r="AU566" s="98"/>
      <c r="AV566" s="98"/>
      <c r="AW566" s="98"/>
      <c r="AX566" s="98"/>
      <c r="AY566" s="98"/>
      <c r="AZ566" s="98"/>
    </row>
    <row r="567">
      <c r="A567" s="3"/>
      <c r="B567" s="36"/>
      <c r="C567" s="91"/>
      <c r="D567" s="13"/>
      <c r="E567" s="13"/>
      <c r="F567" s="3"/>
      <c r="G567" s="3"/>
      <c r="H567" s="3"/>
      <c r="I567" s="13"/>
      <c r="J567" s="13"/>
      <c r="K567" s="13"/>
      <c r="L567" s="36"/>
      <c r="M567" s="91"/>
      <c r="N567" s="3"/>
      <c r="O567" s="3"/>
      <c r="P567" s="7"/>
      <c r="Q567" s="7"/>
      <c r="R567" s="166"/>
      <c r="S567" s="166"/>
      <c r="T567" s="7"/>
      <c r="U567" s="3"/>
      <c r="V567" s="13"/>
      <c r="W567" s="3"/>
      <c r="X567" s="166"/>
      <c r="Y567" s="7"/>
      <c r="Z567" s="13"/>
      <c r="AA567" s="7"/>
      <c r="AB567" s="7"/>
      <c r="AC567" s="257"/>
      <c r="AD567" s="166"/>
      <c r="AE567" s="258"/>
      <c r="AF567" s="7"/>
      <c r="AG567" s="7"/>
      <c r="AH567" s="166"/>
      <c r="AI567" s="13"/>
      <c r="AJ567" s="3"/>
      <c r="AK567" s="13"/>
      <c r="AL567" s="3"/>
      <c r="AM567" s="3"/>
      <c r="AN567" s="3"/>
      <c r="AO567" s="3"/>
      <c r="AP567" s="3"/>
      <c r="AQ567" s="3"/>
      <c r="AR567" s="3"/>
      <c r="AS567" s="98"/>
      <c r="AT567" s="98"/>
      <c r="AU567" s="98"/>
      <c r="AV567" s="98"/>
      <c r="AW567" s="98"/>
      <c r="AX567" s="98"/>
      <c r="AY567" s="98"/>
      <c r="AZ567" s="98"/>
    </row>
    <row r="568">
      <c r="A568" s="3"/>
      <c r="B568" s="36"/>
      <c r="C568" s="91"/>
      <c r="D568" s="13"/>
      <c r="E568" s="13"/>
      <c r="F568" s="3"/>
      <c r="G568" s="3"/>
      <c r="H568" s="3"/>
      <c r="I568" s="13"/>
      <c r="J568" s="13"/>
      <c r="K568" s="13"/>
      <c r="L568" s="36"/>
      <c r="M568" s="91"/>
      <c r="N568" s="3"/>
      <c r="O568" s="3"/>
      <c r="P568" s="7"/>
      <c r="Q568" s="7"/>
      <c r="R568" s="166"/>
      <c r="S568" s="166"/>
      <c r="T568" s="7"/>
      <c r="U568" s="3"/>
      <c r="V568" s="13"/>
      <c r="W568" s="3"/>
      <c r="X568" s="166"/>
      <c r="Y568" s="7"/>
      <c r="Z568" s="13"/>
      <c r="AA568" s="7"/>
      <c r="AB568" s="7"/>
      <c r="AC568" s="257"/>
      <c r="AD568" s="166"/>
      <c r="AE568" s="258"/>
      <c r="AF568" s="7"/>
      <c r="AG568" s="7"/>
      <c r="AH568" s="166"/>
      <c r="AI568" s="13"/>
      <c r="AJ568" s="3"/>
      <c r="AK568" s="13"/>
      <c r="AL568" s="3"/>
      <c r="AM568" s="3"/>
      <c r="AN568" s="3"/>
      <c r="AO568" s="3"/>
      <c r="AP568" s="3"/>
      <c r="AQ568" s="3"/>
      <c r="AR568" s="3"/>
      <c r="AS568" s="98"/>
      <c r="AT568" s="98"/>
      <c r="AU568" s="98"/>
      <c r="AV568" s="98"/>
      <c r="AW568" s="98"/>
      <c r="AX568" s="98"/>
      <c r="AY568" s="98"/>
      <c r="AZ568" s="98"/>
    </row>
    <row r="569">
      <c r="A569" s="3"/>
      <c r="B569" s="36"/>
      <c r="C569" s="91"/>
      <c r="D569" s="13"/>
      <c r="E569" s="13"/>
      <c r="F569" s="3"/>
      <c r="G569" s="3"/>
      <c r="H569" s="3"/>
      <c r="I569" s="13"/>
      <c r="J569" s="13"/>
      <c r="K569" s="13"/>
      <c r="L569" s="36"/>
      <c r="M569" s="91"/>
      <c r="N569" s="3"/>
      <c r="O569" s="3"/>
      <c r="P569" s="7"/>
      <c r="Q569" s="7"/>
      <c r="R569" s="166"/>
      <c r="S569" s="166"/>
      <c r="T569" s="7"/>
      <c r="U569" s="3"/>
      <c r="V569" s="13"/>
      <c r="W569" s="3"/>
      <c r="X569" s="166"/>
      <c r="Y569" s="7"/>
      <c r="Z569" s="13"/>
      <c r="AA569" s="7"/>
      <c r="AB569" s="7"/>
      <c r="AC569" s="257"/>
      <c r="AD569" s="166"/>
      <c r="AE569" s="258"/>
      <c r="AF569" s="7"/>
      <c r="AG569" s="7"/>
      <c r="AH569" s="166"/>
      <c r="AI569" s="13"/>
      <c r="AJ569" s="3"/>
      <c r="AK569" s="13"/>
      <c r="AL569" s="3"/>
      <c r="AM569" s="3"/>
      <c r="AN569" s="3"/>
      <c r="AO569" s="3"/>
      <c r="AP569" s="3"/>
      <c r="AQ569" s="3"/>
      <c r="AR569" s="3"/>
      <c r="AS569" s="98"/>
      <c r="AT569" s="98"/>
      <c r="AU569" s="98"/>
      <c r="AV569" s="98"/>
      <c r="AW569" s="98"/>
      <c r="AX569" s="98"/>
      <c r="AY569" s="98"/>
      <c r="AZ569" s="98"/>
    </row>
    <row r="570">
      <c r="A570" s="3"/>
      <c r="B570" s="36"/>
      <c r="C570" s="91"/>
      <c r="D570" s="13"/>
      <c r="E570" s="13"/>
      <c r="F570" s="3"/>
      <c r="G570" s="3"/>
      <c r="H570" s="3"/>
      <c r="I570" s="13"/>
      <c r="J570" s="13"/>
      <c r="K570" s="13"/>
      <c r="L570" s="36"/>
      <c r="M570" s="91"/>
      <c r="N570" s="3"/>
      <c r="O570" s="3"/>
      <c r="P570" s="7"/>
      <c r="Q570" s="7"/>
      <c r="R570" s="166"/>
      <c r="S570" s="166"/>
      <c r="T570" s="7"/>
      <c r="U570" s="3"/>
      <c r="V570" s="13"/>
      <c r="W570" s="3"/>
      <c r="X570" s="166"/>
      <c r="Y570" s="7"/>
      <c r="Z570" s="13"/>
      <c r="AA570" s="7"/>
      <c r="AB570" s="7"/>
      <c r="AC570" s="257"/>
      <c r="AD570" s="166"/>
      <c r="AE570" s="258"/>
      <c r="AF570" s="7"/>
      <c r="AG570" s="7"/>
      <c r="AH570" s="166"/>
      <c r="AI570" s="13"/>
      <c r="AJ570" s="3"/>
      <c r="AK570" s="13"/>
      <c r="AL570" s="3"/>
      <c r="AM570" s="3"/>
      <c r="AN570" s="3"/>
      <c r="AO570" s="3"/>
      <c r="AP570" s="3"/>
      <c r="AQ570" s="3"/>
      <c r="AR570" s="3"/>
      <c r="AS570" s="98"/>
      <c r="AT570" s="98"/>
      <c r="AU570" s="98"/>
      <c r="AV570" s="98"/>
      <c r="AW570" s="98"/>
      <c r="AX570" s="98"/>
      <c r="AY570" s="98"/>
      <c r="AZ570" s="98"/>
    </row>
    <row r="571">
      <c r="A571" s="3"/>
      <c r="B571" s="36"/>
      <c r="C571" s="91"/>
      <c r="D571" s="13"/>
      <c r="E571" s="13"/>
      <c r="F571" s="3"/>
      <c r="G571" s="3"/>
      <c r="H571" s="3"/>
      <c r="I571" s="13"/>
      <c r="J571" s="13"/>
      <c r="K571" s="13"/>
      <c r="L571" s="36"/>
      <c r="M571" s="91"/>
      <c r="N571" s="3"/>
      <c r="O571" s="3"/>
      <c r="P571" s="7"/>
      <c r="Q571" s="7"/>
      <c r="R571" s="166"/>
      <c r="S571" s="166"/>
      <c r="T571" s="7"/>
      <c r="U571" s="3"/>
      <c r="V571" s="13"/>
      <c r="W571" s="3"/>
      <c r="X571" s="166"/>
      <c r="Y571" s="7"/>
      <c r="Z571" s="13"/>
      <c r="AA571" s="7"/>
      <c r="AB571" s="7"/>
      <c r="AC571" s="257"/>
      <c r="AD571" s="166"/>
      <c r="AE571" s="258"/>
      <c r="AF571" s="7"/>
      <c r="AG571" s="7"/>
      <c r="AH571" s="166"/>
      <c r="AI571" s="13"/>
      <c r="AJ571" s="3"/>
      <c r="AK571" s="13"/>
      <c r="AL571" s="3"/>
      <c r="AM571" s="3"/>
      <c r="AN571" s="3"/>
      <c r="AO571" s="3"/>
      <c r="AP571" s="3"/>
      <c r="AQ571" s="3"/>
      <c r="AR571" s="3"/>
      <c r="AS571" s="98"/>
      <c r="AT571" s="98"/>
      <c r="AU571" s="98"/>
      <c r="AV571" s="98"/>
      <c r="AW571" s="98"/>
      <c r="AX571" s="98"/>
      <c r="AY571" s="98"/>
      <c r="AZ571" s="98"/>
    </row>
    <row r="572">
      <c r="A572" s="3"/>
      <c r="B572" s="36"/>
      <c r="C572" s="91"/>
      <c r="D572" s="13"/>
      <c r="E572" s="13"/>
      <c r="F572" s="3"/>
      <c r="G572" s="3"/>
      <c r="H572" s="3"/>
      <c r="I572" s="13"/>
      <c r="J572" s="13"/>
      <c r="K572" s="13"/>
      <c r="L572" s="36"/>
      <c r="M572" s="91"/>
      <c r="N572" s="3"/>
      <c r="O572" s="3"/>
      <c r="P572" s="7"/>
      <c r="Q572" s="7"/>
      <c r="R572" s="166"/>
      <c r="S572" s="166"/>
      <c r="T572" s="7"/>
      <c r="U572" s="3"/>
      <c r="V572" s="13"/>
      <c r="W572" s="3"/>
      <c r="X572" s="166"/>
      <c r="Y572" s="7"/>
      <c r="Z572" s="13"/>
      <c r="AA572" s="7"/>
      <c r="AB572" s="7"/>
      <c r="AC572" s="257"/>
      <c r="AD572" s="166"/>
      <c r="AE572" s="258"/>
      <c r="AF572" s="7"/>
      <c r="AG572" s="7"/>
      <c r="AH572" s="166"/>
      <c r="AI572" s="13"/>
      <c r="AJ572" s="3"/>
      <c r="AK572" s="13"/>
      <c r="AL572" s="3"/>
      <c r="AM572" s="3"/>
      <c r="AN572" s="3"/>
      <c r="AO572" s="3"/>
      <c r="AP572" s="3"/>
      <c r="AQ572" s="3"/>
      <c r="AR572" s="3"/>
      <c r="AS572" s="98"/>
      <c r="AT572" s="98"/>
      <c r="AU572" s="98"/>
      <c r="AV572" s="98"/>
      <c r="AW572" s="98"/>
      <c r="AX572" s="98"/>
      <c r="AY572" s="98"/>
      <c r="AZ572" s="98"/>
    </row>
    <row r="573">
      <c r="A573" s="3"/>
      <c r="B573" s="36"/>
      <c r="C573" s="91"/>
      <c r="D573" s="13"/>
      <c r="E573" s="13"/>
      <c r="F573" s="3"/>
      <c r="G573" s="3"/>
      <c r="H573" s="3"/>
      <c r="I573" s="13"/>
      <c r="J573" s="13"/>
      <c r="K573" s="13"/>
      <c r="L573" s="36"/>
      <c r="M573" s="91"/>
      <c r="N573" s="3"/>
      <c r="O573" s="3"/>
      <c r="P573" s="7"/>
      <c r="Q573" s="7"/>
      <c r="R573" s="166"/>
      <c r="S573" s="166"/>
      <c r="T573" s="7"/>
      <c r="U573" s="3"/>
      <c r="V573" s="13"/>
      <c r="W573" s="3"/>
      <c r="X573" s="166"/>
      <c r="Y573" s="7"/>
      <c r="Z573" s="13"/>
      <c r="AA573" s="7"/>
      <c r="AB573" s="7"/>
      <c r="AC573" s="257"/>
      <c r="AD573" s="166"/>
      <c r="AE573" s="258"/>
      <c r="AF573" s="7"/>
      <c r="AG573" s="7"/>
      <c r="AH573" s="166"/>
      <c r="AI573" s="13"/>
      <c r="AJ573" s="3"/>
      <c r="AK573" s="13"/>
      <c r="AL573" s="3"/>
      <c r="AM573" s="3"/>
      <c r="AN573" s="3"/>
      <c r="AO573" s="3"/>
      <c r="AP573" s="3"/>
      <c r="AQ573" s="3"/>
      <c r="AR573" s="3"/>
      <c r="AS573" s="98"/>
      <c r="AT573" s="98"/>
      <c r="AU573" s="98"/>
      <c r="AV573" s="98"/>
      <c r="AW573" s="98"/>
      <c r="AX573" s="98"/>
      <c r="AY573" s="98"/>
      <c r="AZ573" s="98"/>
    </row>
    <row r="574">
      <c r="A574" s="3"/>
      <c r="B574" s="36"/>
      <c r="C574" s="91"/>
      <c r="D574" s="13"/>
      <c r="E574" s="13"/>
      <c r="F574" s="3"/>
      <c r="G574" s="3"/>
      <c r="H574" s="3"/>
      <c r="I574" s="13"/>
      <c r="J574" s="13"/>
      <c r="K574" s="13"/>
      <c r="L574" s="36"/>
      <c r="M574" s="91"/>
      <c r="N574" s="3"/>
      <c r="O574" s="3"/>
      <c r="P574" s="7"/>
      <c r="Q574" s="7"/>
      <c r="R574" s="166"/>
      <c r="S574" s="166"/>
      <c r="T574" s="7"/>
      <c r="U574" s="3"/>
      <c r="V574" s="13"/>
      <c r="W574" s="3"/>
      <c r="X574" s="166"/>
      <c r="Y574" s="7"/>
      <c r="Z574" s="13"/>
      <c r="AA574" s="7"/>
      <c r="AB574" s="7"/>
      <c r="AC574" s="257"/>
      <c r="AD574" s="166"/>
      <c r="AE574" s="258"/>
      <c r="AF574" s="7"/>
      <c r="AG574" s="7"/>
      <c r="AH574" s="166"/>
      <c r="AI574" s="13"/>
      <c r="AJ574" s="3"/>
      <c r="AK574" s="13"/>
      <c r="AL574" s="3"/>
      <c r="AM574" s="3"/>
      <c r="AN574" s="3"/>
      <c r="AO574" s="3"/>
      <c r="AP574" s="3"/>
      <c r="AQ574" s="3"/>
      <c r="AR574" s="3"/>
      <c r="AS574" s="98"/>
      <c r="AT574" s="98"/>
      <c r="AU574" s="98"/>
      <c r="AV574" s="98"/>
      <c r="AW574" s="98"/>
      <c r="AX574" s="98"/>
      <c r="AY574" s="98"/>
      <c r="AZ574" s="98"/>
    </row>
    <row r="575">
      <c r="A575" s="3"/>
      <c r="B575" s="36"/>
      <c r="C575" s="91"/>
      <c r="D575" s="13"/>
      <c r="E575" s="13"/>
      <c r="F575" s="3"/>
      <c r="G575" s="3"/>
      <c r="H575" s="3"/>
      <c r="I575" s="13"/>
      <c r="J575" s="13"/>
      <c r="K575" s="13"/>
      <c r="L575" s="36"/>
      <c r="M575" s="91"/>
      <c r="N575" s="3"/>
      <c r="O575" s="3"/>
      <c r="P575" s="7"/>
      <c r="Q575" s="7"/>
      <c r="R575" s="166"/>
      <c r="S575" s="166"/>
      <c r="T575" s="7"/>
      <c r="U575" s="3"/>
      <c r="V575" s="13"/>
      <c r="W575" s="3"/>
      <c r="X575" s="166"/>
      <c r="Y575" s="7"/>
      <c r="Z575" s="13"/>
      <c r="AA575" s="7"/>
      <c r="AB575" s="7"/>
      <c r="AC575" s="257"/>
      <c r="AD575" s="166"/>
      <c r="AE575" s="258"/>
      <c r="AF575" s="7"/>
      <c r="AG575" s="7"/>
      <c r="AH575" s="166"/>
      <c r="AI575" s="13"/>
      <c r="AJ575" s="3"/>
      <c r="AK575" s="13"/>
      <c r="AL575" s="3"/>
      <c r="AM575" s="3"/>
      <c r="AN575" s="3"/>
      <c r="AO575" s="3"/>
      <c r="AP575" s="3"/>
      <c r="AQ575" s="3"/>
      <c r="AR575" s="3"/>
      <c r="AS575" s="98"/>
      <c r="AT575" s="98"/>
      <c r="AU575" s="98"/>
      <c r="AV575" s="98"/>
      <c r="AW575" s="98"/>
      <c r="AX575" s="98"/>
      <c r="AY575" s="98"/>
      <c r="AZ575" s="98"/>
    </row>
    <row r="576">
      <c r="A576" s="3"/>
      <c r="B576" s="36"/>
      <c r="C576" s="91"/>
      <c r="D576" s="13"/>
      <c r="E576" s="13"/>
      <c r="F576" s="3"/>
      <c r="G576" s="3"/>
      <c r="H576" s="3"/>
      <c r="I576" s="13"/>
      <c r="J576" s="13"/>
      <c r="K576" s="13"/>
      <c r="L576" s="36"/>
      <c r="M576" s="91"/>
      <c r="N576" s="3"/>
      <c r="O576" s="3"/>
      <c r="P576" s="7"/>
      <c r="Q576" s="7"/>
      <c r="R576" s="166"/>
      <c r="S576" s="166"/>
      <c r="T576" s="7"/>
      <c r="U576" s="3"/>
      <c r="V576" s="13"/>
      <c r="W576" s="3"/>
      <c r="X576" s="166"/>
      <c r="Y576" s="7"/>
      <c r="Z576" s="13"/>
      <c r="AA576" s="7"/>
      <c r="AB576" s="7"/>
      <c r="AC576" s="257"/>
      <c r="AD576" s="166"/>
      <c r="AE576" s="258"/>
      <c r="AF576" s="7"/>
      <c r="AG576" s="7"/>
      <c r="AH576" s="166"/>
      <c r="AI576" s="13"/>
      <c r="AJ576" s="3"/>
      <c r="AK576" s="13"/>
      <c r="AL576" s="3"/>
      <c r="AM576" s="3"/>
      <c r="AN576" s="3"/>
      <c r="AO576" s="3"/>
      <c r="AP576" s="3"/>
      <c r="AQ576" s="3"/>
      <c r="AR576" s="3"/>
      <c r="AS576" s="98"/>
      <c r="AT576" s="98"/>
      <c r="AU576" s="98"/>
      <c r="AV576" s="98"/>
      <c r="AW576" s="98"/>
      <c r="AX576" s="98"/>
      <c r="AY576" s="98"/>
      <c r="AZ576" s="98"/>
    </row>
    <row r="577">
      <c r="A577" s="3"/>
      <c r="B577" s="36"/>
      <c r="C577" s="91"/>
      <c r="D577" s="13"/>
      <c r="E577" s="13"/>
      <c r="F577" s="3"/>
      <c r="G577" s="3"/>
      <c r="H577" s="3"/>
      <c r="I577" s="13"/>
      <c r="J577" s="13"/>
      <c r="K577" s="13"/>
      <c r="L577" s="36"/>
      <c r="M577" s="91"/>
      <c r="N577" s="3"/>
      <c r="O577" s="3"/>
      <c r="P577" s="7"/>
      <c r="Q577" s="7"/>
      <c r="R577" s="166"/>
      <c r="S577" s="166"/>
      <c r="T577" s="7"/>
      <c r="U577" s="3"/>
      <c r="V577" s="13"/>
      <c r="W577" s="3"/>
      <c r="X577" s="166"/>
      <c r="Y577" s="7"/>
      <c r="Z577" s="13"/>
      <c r="AA577" s="7"/>
      <c r="AB577" s="7"/>
      <c r="AC577" s="257"/>
      <c r="AD577" s="166"/>
      <c r="AE577" s="258"/>
      <c r="AF577" s="7"/>
      <c r="AG577" s="7"/>
      <c r="AH577" s="166"/>
      <c r="AI577" s="13"/>
      <c r="AJ577" s="3"/>
      <c r="AK577" s="13"/>
      <c r="AL577" s="3"/>
      <c r="AM577" s="3"/>
      <c r="AN577" s="3"/>
      <c r="AO577" s="3"/>
      <c r="AP577" s="3"/>
      <c r="AQ577" s="3"/>
      <c r="AR577" s="3"/>
      <c r="AS577" s="98"/>
      <c r="AT577" s="98"/>
      <c r="AU577" s="98"/>
      <c r="AV577" s="98"/>
      <c r="AW577" s="98"/>
      <c r="AX577" s="98"/>
      <c r="AY577" s="98"/>
      <c r="AZ577" s="98"/>
    </row>
    <row r="578">
      <c r="A578" s="3"/>
      <c r="B578" s="36"/>
      <c r="C578" s="91"/>
      <c r="D578" s="13"/>
      <c r="E578" s="13"/>
      <c r="F578" s="3"/>
      <c r="G578" s="3"/>
      <c r="H578" s="3"/>
      <c r="I578" s="13"/>
      <c r="J578" s="13"/>
      <c r="K578" s="13"/>
      <c r="L578" s="36"/>
      <c r="M578" s="91"/>
      <c r="N578" s="3"/>
      <c r="O578" s="3"/>
      <c r="P578" s="7"/>
      <c r="Q578" s="7"/>
      <c r="R578" s="166"/>
      <c r="S578" s="166"/>
      <c r="T578" s="7"/>
      <c r="U578" s="3"/>
      <c r="V578" s="13"/>
      <c r="W578" s="3"/>
      <c r="X578" s="166"/>
      <c r="Y578" s="7"/>
      <c r="Z578" s="13"/>
      <c r="AA578" s="7"/>
      <c r="AB578" s="7"/>
      <c r="AC578" s="257"/>
      <c r="AD578" s="166"/>
      <c r="AE578" s="258"/>
      <c r="AF578" s="7"/>
      <c r="AG578" s="7"/>
      <c r="AH578" s="166"/>
      <c r="AI578" s="13"/>
      <c r="AJ578" s="3"/>
      <c r="AK578" s="13"/>
      <c r="AL578" s="3"/>
      <c r="AM578" s="3"/>
      <c r="AN578" s="3"/>
      <c r="AO578" s="3"/>
      <c r="AP578" s="3"/>
      <c r="AQ578" s="3"/>
      <c r="AR578" s="3"/>
      <c r="AS578" s="98"/>
      <c r="AT578" s="98"/>
      <c r="AU578" s="98"/>
      <c r="AV578" s="98"/>
      <c r="AW578" s="98"/>
      <c r="AX578" s="98"/>
      <c r="AY578" s="98"/>
      <c r="AZ578" s="98"/>
    </row>
    <row r="579">
      <c r="A579" s="3"/>
      <c r="B579" s="36"/>
      <c r="C579" s="91"/>
      <c r="D579" s="13"/>
      <c r="E579" s="13"/>
      <c r="F579" s="3"/>
      <c r="G579" s="3"/>
      <c r="H579" s="3"/>
      <c r="I579" s="13"/>
      <c r="J579" s="13"/>
      <c r="K579" s="13"/>
      <c r="L579" s="36"/>
      <c r="M579" s="91"/>
      <c r="N579" s="3"/>
      <c r="O579" s="3"/>
      <c r="P579" s="7"/>
      <c r="Q579" s="7"/>
      <c r="R579" s="166"/>
      <c r="S579" s="166"/>
      <c r="T579" s="7"/>
      <c r="U579" s="3"/>
      <c r="V579" s="13"/>
      <c r="W579" s="3"/>
      <c r="X579" s="166"/>
      <c r="Y579" s="7"/>
      <c r="Z579" s="13"/>
      <c r="AA579" s="7"/>
      <c r="AB579" s="7"/>
      <c r="AC579" s="257"/>
      <c r="AD579" s="166"/>
      <c r="AE579" s="258"/>
      <c r="AF579" s="7"/>
      <c r="AG579" s="7"/>
      <c r="AH579" s="166"/>
      <c r="AI579" s="13"/>
      <c r="AJ579" s="3"/>
      <c r="AK579" s="13"/>
      <c r="AL579" s="3"/>
      <c r="AM579" s="3"/>
      <c r="AN579" s="3"/>
      <c r="AO579" s="3"/>
      <c r="AP579" s="3"/>
      <c r="AQ579" s="3"/>
      <c r="AR579" s="3"/>
      <c r="AS579" s="98"/>
      <c r="AT579" s="98"/>
      <c r="AU579" s="98"/>
      <c r="AV579" s="98"/>
      <c r="AW579" s="98"/>
      <c r="AX579" s="98"/>
      <c r="AY579" s="98"/>
      <c r="AZ579" s="98"/>
    </row>
    <row r="580">
      <c r="A580" s="3"/>
      <c r="B580" s="36"/>
      <c r="C580" s="91"/>
      <c r="D580" s="13"/>
      <c r="E580" s="13"/>
      <c r="F580" s="3"/>
      <c r="G580" s="3"/>
      <c r="H580" s="3"/>
      <c r="I580" s="13"/>
      <c r="J580" s="13"/>
      <c r="K580" s="13"/>
      <c r="L580" s="36"/>
      <c r="M580" s="91"/>
      <c r="N580" s="3"/>
      <c r="O580" s="3"/>
      <c r="P580" s="7"/>
      <c r="Q580" s="7"/>
      <c r="R580" s="166"/>
      <c r="S580" s="166"/>
      <c r="T580" s="7"/>
      <c r="U580" s="3"/>
      <c r="V580" s="13"/>
      <c r="W580" s="3"/>
      <c r="X580" s="166"/>
      <c r="Y580" s="7"/>
      <c r="Z580" s="13"/>
      <c r="AA580" s="7"/>
      <c r="AB580" s="7"/>
      <c r="AC580" s="257"/>
      <c r="AD580" s="166"/>
      <c r="AE580" s="258"/>
      <c r="AF580" s="7"/>
      <c r="AG580" s="7"/>
      <c r="AH580" s="166"/>
      <c r="AI580" s="13"/>
      <c r="AJ580" s="3"/>
      <c r="AK580" s="13"/>
      <c r="AL580" s="3"/>
      <c r="AM580" s="3"/>
      <c r="AN580" s="3"/>
      <c r="AO580" s="3"/>
      <c r="AP580" s="3"/>
      <c r="AQ580" s="3"/>
      <c r="AR580" s="3"/>
      <c r="AS580" s="98"/>
      <c r="AT580" s="98"/>
      <c r="AU580" s="98"/>
      <c r="AV580" s="98"/>
      <c r="AW580" s="98"/>
      <c r="AX580" s="98"/>
      <c r="AY580" s="98"/>
      <c r="AZ580" s="98"/>
    </row>
    <row r="581">
      <c r="A581" s="3"/>
      <c r="B581" s="36"/>
      <c r="C581" s="91"/>
      <c r="D581" s="13"/>
      <c r="E581" s="13"/>
      <c r="F581" s="3"/>
      <c r="G581" s="3"/>
      <c r="H581" s="3"/>
      <c r="I581" s="13"/>
      <c r="J581" s="13"/>
      <c r="K581" s="13"/>
      <c r="L581" s="36"/>
      <c r="M581" s="91"/>
      <c r="N581" s="3"/>
      <c r="O581" s="3"/>
      <c r="P581" s="7"/>
      <c r="Q581" s="7"/>
      <c r="R581" s="166"/>
      <c r="S581" s="166"/>
      <c r="T581" s="7"/>
      <c r="U581" s="3"/>
      <c r="V581" s="13"/>
      <c r="W581" s="3"/>
      <c r="X581" s="166"/>
      <c r="Y581" s="7"/>
      <c r="Z581" s="13"/>
      <c r="AA581" s="7"/>
      <c r="AB581" s="7"/>
      <c r="AC581" s="257"/>
      <c r="AD581" s="166"/>
      <c r="AE581" s="258"/>
      <c r="AF581" s="7"/>
      <c r="AG581" s="7"/>
      <c r="AH581" s="166"/>
      <c r="AI581" s="13"/>
      <c r="AJ581" s="3"/>
      <c r="AK581" s="13"/>
      <c r="AL581" s="3"/>
      <c r="AM581" s="3"/>
      <c r="AN581" s="3"/>
      <c r="AO581" s="3"/>
      <c r="AP581" s="3"/>
      <c r="AQ581" s="3"/>
      <c r="AR581" s="3"/>
      <c r="AS581" s="98"/>
      <c r="AT581" s="98"/>
      <c r="AU581" s="98"/>
      <c r="AV581" s="98"/>
      <c r="AW581" s="98"/>
      <c r="AX581" s="98"/>
      <c r="AY581" s="98"/>
      <c r="AZ581" s="98"/>
    </row>
    <row r="582">
      <c r="A582" s="3"/>
      <c r="B582" s="36"/>
      <c r="C582" s="91"/>
      <c r="D582" s="13"/>
      <c r="E582" s="13"/>
      <c r="F582" s="3"/>
      <c r="G582" s="3"/>
      <c r="H582" s="3"/>
      <c r="I582" s="13"/>
      <c r="J582" s="13"/>
      <c r="K582" s="13"/>
      <c r="L582" s="36"/>
      <c r="M582" s="91"/>
      <c r="N582" s="3"/>
      <c r="O582" s="3"/>
      <c r="P582" s="7"/>
      <c r="Q582" s="7"/>
      <c r="R582" s="166"/>
      <c r="S582" s="166"/>
      <c r="T582" s="7"/>
      <c r="U582" s="3"/>
      <c r="V582" s="13"/>
      <c r="W582" s="3"/>
      <c r="X582" s="166"/>
      <c r="Y582" s="7"/>
      <c r="Z582" s="13"/>
      <c r="AA582" s="7"/>
      <c r="AB582" s="7"/>
      <c r="AC582" s="257"/>
      <c r="AD582" s="166"/>
      <c r="AE582" s="258"/>
      <c r="AF582" s="7"/>
      <c r="AG582" s="7"/>
      <c r="AH582" s="166"/>
      <c r="AI582" s="13"/>
      <c r="AJ582" s="3"/>
      <c r="AK582" s="13"/>
      <c r="AL582" s="3"/>
      <c r="AM582" s="3"/>
      <c r="AN582" s="3"/>
      <c r="AO582" s="3"/>
      <c r="AP582" s="3"/>
      <c r="AQ582" s="3"/>
      <c r="AR582" s="3"/>
      <c r="AS582" s="98"/>
      <c r="AT582" s="98"/>
      <c r="AU582" s="98"/>
      <c r="AV582" s="98"/>
      <c r="AW582" s="98"/>
      <c r="AX582" s="98"/>
      <c r="AY582" s="98"/>
      <c r="AZ582" s="98"/>
    </row>
    <row r="583">
      <c r="A583" s="3"/>
      <c r="B583" s="36"/>
      <c r="C583" s="91"/>
      <c r="D583" s="13"/>
      <c r="E583" s="13"/>
      <c r="F583" s="3"/>
      <c r="G583" s="3"/>
      <c r="H583" s="3"/>
      <c r="I583" s="13"/>
      <c r="J583" s="13"/>
      <c r="K583" s="13"/>
      <c r="L583" s="36"/>
      <c r="M583" s="91"/>
      <c r="N583" s="3"/>
      <c r="O583" s="3"/>
      <c r="P583" s="7"/>
      <c r="Q583" s="7"/>
      <c r="R583" s="166"/>
      <c r="S583" s="166"/>
      <c r="T583" s="7"/>
      <c r="U583" s="3"/>
      <c r="V583" s="13"/>
      <c r="W583" s="3"/>
      <c r="X583" s="166"/>
      <c r="Y583" s="7"/>
      <c r="Z583" s="13"/>
      <c r="AA583" s="7"/>
      <c r="AB583" s="7"/>
      <c r="AC583" s="257"/>
      <c r="AD583" s="166"/>
      <c r="AE583" s="258"/>
      <c r="AF583" s="7"/>
      <c r="AG583" s="7"/>
      <c r="AH583" s="166"/>
      <c r="AI583" s="13"/>
      <c r="AJ583" s="3"/>
      <c r="AK583" s="13"/>
      <c r="AL583" s="3"/>
      <c r="AM583" s="3"/>
      <c r="AN583" s="3"/>
      <c r="AO583" s="3"/>
      <c r="AP583" s="3"/>
      <c r="AQ583" s="3"/>
      <c r="AR583" s="3"/>
      <c r="AS583" s="98"/>
      <c r="AT583" s="98"/>
      <c r="AU583" s="98"/>
      <c r="AV583" s="98"/>
      <c r="AW583" s="98"/>
      <c r="AX583" s="98"/>
      <c r="AY583" s="98"/>
      <c r="AZ583" s="98"/>
    </row>
    <row r="584">
      <c r="A584" s="3"/>
      <c r="B584" s="36"/>
      <c r="C584" s="91"/>
      <c r="D584" s="13"/>
      <c r="E584" s="13"/>
      <c r="F584" s="3"/>
      <c r="G584" s="3"/>
      <c r="H584" s="3"/>
      <c r="I584" s="13"/>
      <c r="J584" s="13"/>
      <c r="K584" s="13"/>
      <c r="L584" s="36"/>
      <c r="M584" s="91"/>
      <c r="N584" s="3"/>
      <c r="O584" s="3"/>
      <c r="P584" s="7"/>
      <c r="Q584" s="7"/>
      <c r="R584" s="166"/>
      <c r="S584" s="166"/>
      <c r="T584" s="7"/>
      <c r="U584" s="3"/>
      <c r="V584" s="13"/>
      <c r="W584" s="3"/>
      <c r="X584" s="166"/>
      <c r="Y584" s="7"/>
      <c r="Z584" s="13"/>
      <c r="AA584" s="7"/>
      <c r="AB584" s="7"/>
      <c r="AC584" s="257"/>
      <c r="AD584" s="166"/>
      <c r="AE584" s="258"/>
      <c r="AF584" s="7"/>
      <c r="AG584" s="7"/>
      <c r="AH584" s="166"/>
      <c r="AI584" s="13"/>
      <c r="AJ584" s="3"/>
      <c r="AK584" s="13"/>
      <c r="AL584" s="3"/>
      <c r="AM584" s="3"/>
      <c r="AN584" s="3"/>
      <c r="AO584" s="3"/>
      <c r="AP584" s="3"/>
      <c r="AQ584" s="3"/>
      <c r="AR584" s="3"/>
      <c r="AS584" s="98"/>
      <c r="AT584" s="98"/>
      <c r="AU584" s="98"/>
      <c r="AV584" s="98"/>
      <c r="AW584" s="98"/>
      <c r="AX584" s="98"/>
      <c r="AY584" s="98"/>
      <c r="AZ584" s="98"/>
    </row>
    <row r="585">
      <c r="A585" s="3"/>
      <c r="B585" s="36"/>
      <c r="C585" s="91"/>
      <c r="D585" s="13"/>
      <c r="E585" s="13"/>
      <c r="F585" s="3"/>
      <c r="G585" s="3"/>
      <c r="H585" s="3"/>
      <c r="I585" s="13"/>
      <c r="J585" s="13"/>
      <c r="K585" s="13"/>
      <c r="L585" s="36"/>
      <c r="M585" s="91"/>
      <c r="N585" s="3"/>
      <c r="O585" s="3"/>
      <c r="P585" s="7"/>
      <c r="Q585" s="7"/>
      <c r="R585" s="166"/>
      <c r="S585" s="166"/>
      <c r="T585" s="7"/>
      <c r="U585" s="3"/>
      <c r="V585" s="13"/>
      <c r="W585" s="3"/>
      <c r="X585" s="166"/>
      <c r="Y585" s="7"/>
      <c r="Z585" s="13"/>
      <c r="AA585" s="7"/>
      <c r="AB585" s="7"/>
      <c r="AC585" s="257"/>
      <c r="AD585" s="166"/>
      <c r="AE585" s="258"/>
      <c r="AF585" s="7"/>
      <c r="AG585" s="7"/>
      <c r="AH585" s="166"/>
      <c r="AI585" s="13"/>
      <c r="AJ585" s="3"/>
      <c r="AK585" s="13"/>
      <c r="AL585" s="3"/>
      <c r="AM585" s="3"/>
      <c r="AN585" s="3"/>
      <c r="AO585" s="3"/>
      <c r="AP585" s="3"/>
      <c r="AQ585" s="3"/>
      <c r="AR585" s="3"/>
      <c r="AS585" s="98"/>
      <c r="AT585" s="98"/>
      <c r="AU585" s="98"/>
      <c r="AV585" s="98"/>
      <c r="AW585" s="98"/>
      <c r="AX585" s="98"/>
      <c r="AY585" s="98"/>
      <c r="AZ585" s="98"/>
    </row>
    <row r="586">
      <c r="A586" s="3"/>
      <c r="B586" s="36"/>
      <c r="C586" s="91"/>
      <c r="D586" s="13"/>
      <c r="E586" s="13"/>
      <c r="F586" s="3"/>
      <c r="G586" s="3"/>
      <c r="H586" s="3"/>
      <c r="I586" s="13"/>
      <c r="J586" s="13"/>
      <c r="K586" s="13"/>
      <c r="L586" s="36"/>
      <c r="M586" s="91"/>
      <c r="N586" s="3"/>
      <c r="O586" s="3"/>
      <c r="P586" s="7"/>
      <c r="Q586" s="7"/>
      <c r="R586" s="166"/>
      <c r="S586" s="166"/>
      <c r="T586" s="7"/>
      <c r="U586" s="3"/>
      <c r="V586" s="13"/>
      <c r="W586" s="3"/>
      <c r="X586" s="166"/>
      <c r="Y586" s="7"/>
      <c r="Z586" s="13"/>
      <c r="AA586" s="7"/>
      <c r="AB586" s="7"/>
      <c r="AC586" s="257"/>
      <c r="AD586" s="166"/>
      <c r="AE586" s="258"/>
      <c r="AF586" s="7"/>
      <c r="AG586" s="7"/>
      <c r="AH586" s="166"/>
      <c r="AI586" s="13"/>
      <c r="AJ586" s="3"/>
      <c r="AK586" s="13"/>
      <c r="AL586" s="3"/>
      <c r="AM586" s="3"/>
      <c r="AN586" s="3"/>
      <c r="AO586" s="3"/>
      <c r="AP586" s="3"/>
      <c r="AQ586" s="3"/>
      <c r="AR586" s="3"/>
      <c r="AS586" s="98"/>
      <c r="AT586" s="98"/>
      <c r="AU586" s="98"/>
      <c r="AV586" s="98"/>
      <c r="AW586" s="98"/>
      <c r="AX586" s="98"/>
      <c r="AY586" s="98"/>
      <c r="AZ586" s="98"/>
    </row>
    <row r="587">
      <c r="A587" s="3"/>
      <c r="B587" s="36"/>
      <c r="C587" s="91"/>
      <c r="D587" s="13"/>
      <c r="E587" s="13"/>
      <c r="F587" s="3"/>
      <c r="G587" s="3"/>
      <c r="H587" s="3"/>
      <c r="I587" s="13"/>
      <c r="J587" s="13"/>
      <c r="K587" s="13"/>
      <c r="L587" s="36"/>
      <c r="M587" s="91"/>
      <c r="N587" s="3"/>
      <c r="O587" s="3"/>
      <c r="P587" s="7"/>
      <c r="Q587" s="7"/>
      <c r="R587" s="166"/>
      <c r="S587" s="166"/>
      <c r="T587" s="7"/>
      <c r="U587" s="3"/>
      <c r="V587" s="13"/>
      <c r="W587" s="3"/>
      <c r="X587" s="166"/>
      <c r="Y587" s="7"/>
      <c r="Z587" s="13"/>
      <c r="AA587" s="7"/>
      <c r="AB587" s="7"/>
      <c r="AC587" s="257"/>
      <c r="AD587" s="166"/>
      <c r="AE587" s="258"/>
      <c r="AF587" s="7"/>
      <c r="AG587" s="7"/>
      <c r="AH587" s="166"/>
      <c r="AI587" s="13"/>
      <c r="AJ587" s="3"/>
      <c r="AK587" s="13"/>
      <c r="AL587" s="3"/>
      <c r="AM587" s="3"/>
      <c r="AN587" s="3"/>
      <c r="AO587" s="3"/>
      <c r="AP587" s="3"/>
      <c r="AQ587" s="3"/>
      <c r="AR587" s="3"/>
      <c r="AS587" s="98"/>
      <c r="AT587" s="98"/>
      <c r="AU587" s="98"/>
      <c r="AV587" s="98"/>
      <c r="AW587" s="98"/>
      <c r="AX587" s="98"/>
      <c r="AY587" s="98"/>
      <c r="AZ587" s="98"/>
    </row>
    <row r="588">
      <c r="A588" s="3"/>
      <c r="B588" s="36"/>
      <c r="C588" s="91"/>
      <c r="D588" s="13"/>
      <c r="E588" s="13"/>
      <c r="F588" s="3"/>
      <c r="G588" s="3"/>
      <c r="H588" s="3"/>
      <c r="I588" s="13"/>
      <c r="J588" s="13"/>
      <c r="K588" s="13"/>
      <c r="L588" s="36"/>
      <c r="M588" s="91"/>
      <c r="N588" s="3"/>
      <c r="O588" s="3"/>
      <c r="P588" s="7"/>
      <c r="Q588" s="7"/>
      <c r="R588" s="166"/>
      <c r="S588" s="166"/>
      <c r="T588" s="7"/>
      <c r="U588" s="3"/>
      <c r="V588" s="13"/>
      <c r="W588" s="3"/>
      <c r="X588" s="166"/>
      <c r="Y588" s="7"/>
      <c r="Z588" s="13"/>
      <c r="AA588" s="7"/>
      <c r="AB588" s="7"/>
      <c r="AC588" s="257"/>
      <c r="AD588" s="166"/>
      <c r="AE588" s="258"/>
      <c r="AF588" s="7"/>
      <c r="AG588" s="7"/>
      <c r="AH588" s="166"/>
      <c r="AI588" s="13"/>
      <c r="AJ588" s="3"/>
      <c r="AK588" s="13"/>
      <c r="AL588" s="3"/>
      <c r="AM588" s="3"/>
      <c r="AN588" s="3"/>
      <c r="AO588" s="3"/>
      <c r="AP588" s="3"/>
      <c r="AQ588" s="3"/>
      <c r="AR588" s="3"/>
      <c r="AS588" s="98"/>
      <c r="AT588" s="98"/>
      <c r="AU588" s="98"/>
      <c r="AV588" s="98"/>
      <c r="AW588" s="98"/>
      <c r="AX588" s="98"/>
      <c r="AY588" s="98"/>
      <c r="AZ588" s="98"/>
    </row>
    <row r="589">
      <c r="A589" s="3"/>
      <c r="B589" s="36"/>
      <c r="C589" s="91"/>
      <c r="D589" s="13"/>
      <c r="E589" s="13"/>
      <c r="F589" s="3"/>
      <c r="G589" s="3"/>
      <c r="H589" s="3"/>
      <c r="I589" s="13"/>
      <c r="J589" s="13"/>
      <c r="K589" s="13"/>
      <c r="L589" s="36"/>
      <c r="M589" s="91"/>
      <c r="N589" s="3"/>
      <c r="O589" s="3"/>
      <c r="P589" s="7"/>
      <c r="Q589" s="7"/>
      <c r="R589" s="166"/>
      <c r="S589" s="166"/>
      <c r="T589" s="7"/>
      <c r="U589" s="3"/>
      <c r="V589" s="13"/>
      <c r="W589" s="3"/>
      <c r="X589" s="166"/>
      <c r="Y589" s="7"/>
      <c r="Z589" s="13"/>
      <c r="AA589" s="7"/>
      <c r="AB589" s="7"/>
      <c r="AC589" s="257"/>
      <c r="AD589" s="166"/>
      <c r="AE589" s="258"/>
      <c r="AF589" s="7"/>
      <c r="AG589" s="7"/>
      <c r="AH589" s="166"/>
      <c r="AI589" s="13"/>
      <c r="AJ589" s="3"/>
      <c r="AK589" s="13"/>
      <c r="AL589" s="3"/>
      <c r="AM589" s="3"/>
      <c r="AN589" s="3"/>
      <c r="AO589" s="3"/>
      <c r="AP589" s="3"/>
      <c r="AQ589" s="3"/>
      <c r="AR589" s="3"/>
      <c r="AS589" s="98"/>
      <c r="AT589" s="98"/>
      <c r="AU589" s="98"/>
      <c r="AV589" s="98"/>
      <c r="AW589" s="98"/>
      <c r="AX589" s="98"/>
      <c r="AY589" s="98"/>
      <c r="AZ589" s="98"/>
    </row>
    <row r="590">
      <c r="A590" s="3"/>
      <c r="B590" s="36"/>
      <c r="C590" s="91"/>
      <c r="D590" s="13"/>
      <c r="E590" s="13"/>
      <c r="F590" s="3"/>
      <c r="G590" s="3"/>
      <c r="H590" s="3"/>
      <c r="I590" s="13"/>
      <c r="J590" s="13"/>
      <c r="K590" s="13"/>
      <c r="L590" s="36"/>
      <c r="M590" s="91"/>
      <c r="N590" s="3"/>
      <c r="O590" s="3"/>
      <c r="P590" s="7"/>
      <c r="Q590" s="7"/>
      <c r="R590" s="166"/>
      <c r="S590" s="166"/>
      <c r="T590" s="7"/>
      <c r="U590" s="3"/>
      <c r="V590" s="13"/>
      <c r="W590" s="3"/>
      <c r="X590" s="166"/>
      <c r="Y590" s="7"/>
      <c r="Z590" s="13"/>
      <c r="AA590" s="7"/>
      <c r="AB590" s="7"/>
      <c r="AC590" s="257"/>
      <c r="AD590" s="166"/>
      <c r="AE590" s="258"/>
      <c r="AF590" s="7"/>
      <c r="AG590" s="7"/>
      <c r="AH590" s="166"/>
      <c r="AI590" s="13"/>
      <c r="AJ590" s="3"/>
      <c r="AK590" s="13"/>
      <c r="AL590" s="3"/>
      <c r="AM590" s="3"/>
      <c r="AN590" s="3"/>
      <c r="AO590" s="3"/>
      <c r="AP590" s="3"/>
      <c r="AQ590" s="3"/>
      <c r="AR590" s="3"/>
      <c r="AS590" s="98"/>
      <c r="AT590" s="98"/>
      <c r="AU590" s="98"/>
      <c r="AV590" s="98"/>
      <c r="AW590" s="98"/>
      <c r="AX590" s="98"/>
      <c r="AY590" s="98"/>
      <c r="AZ590" s="98"/>
    </row>
    <row r="591">
      <c r="A591" s="3"/>
      <c r="B591" s="36"/>
      <c r="C591" s="91"/>
      <c r="D591" s="13"/>
      <c r="E591" s="13"/>
      <c r="F591" s="3"/>
      <c r="G591" s="3"/>
      <c r="H591" s="3"/>
      <c r="I591" s="13"/>
      <c r="J591" s="13"/>
      <c r="K591" s="13"/>
      <c r="L591" s="36"/>
      <c r="M591" s="91"/>
      <c r="N591" s="3"/>
      <c r="O591" s="3"/>
      <c r="P591" s="7"/>
      <c r="Q591" s="7"/>
      <c r="R591" s="166"/>
      <c r="S591" s="166"/>
      <c r="T591" s="7"/>
      <c r="U591" s="3"/>
      <c r="V591" s="13"/>
      <c r="W591" s="3"/>
      <c r="X591" s="166"/>
      <c r="Y591" s="7"/>
      <c r="Z591" s="13"/>
      <c r="AA591" s="7"/>
      <c r="AB591" s="7"/>
      <c r="AC591" s="257"/>
      <c r="AD591" s="166"/>
      <c r="AE591" s="258"/>
      <c r="AF591" s="7"/>
      <c r="AG591" s="7"/>
      <c r="AH591" s="166"/>
      <c r="AI591" s="13"/>
      <c r="AJ591" s="3"/>
      <c r="AK591" s="13"/>
      <c r="AL591" s="3"/>
      <c r="AM591" s="3"/>
      <c r="AN591" s="3"/>
      <c r="AO591" s="3"/>
      <c r="AP591" s="3"/>
      <c r="AQ591" s="3"/>
      <c r="AR591" s="3"/>
      <c r="AS591" s="98"/>
      <c r="AT591" s="98"/>
      <c r="AU591" s="98"/>
      <c r="AV591" s="98"/>
      <c r="AW591" s="98"/>
      <c r="AX591" s="98"/>
      <c r="AY591" s="98"/>
      <c r="AZ591" s="98"/>
    </row>
    <row r="592">
      <c r="A592" s="3"/>
      <c r="B592" s="36"/>
      <c r="C592" s="91"/>
      <c r="D592" s="13"/>
      <c r="E592" s="13"/>
      <c r="F592" s="3"/>
      <c r="G592" s="3"/>
      <c r="H592" s="3"/>
      <c r="I592" s="13"/>
      <c r="J592" s="13"/>
      <c r="K592" s="13"/>
      <c r="L592" s="36"/>
      <c r="M592" s="91"/>
      <c r="N592" s="3"/>
      <c r="O592" s="3"/>
      <c r="P592" s="7"/>
      <c r="Q592" s="7"/>
      <c r="R592" s="166"/>
      <c r="S592" s="166"/>
      <c r="T592" s="7"/>
      <c r="U592" s="3"/>
      <c r="V592" s="13"/>
      <c r="W592" s="3"/>
      <c r="X592" s="166"/>
      <c r="Y592" s="7"/>
      <c r="Z592" s="13"/>
      <c r="AA592" s="7"/>
      <c r="AB592" s="7"/>
      <c r="AC592" s="257"/>
      <c r="AD592" s="166"/>
      <c r="AE592" s="258"/>
      <c r="AF592" s="7"/>
      <c r="AG592" s="7"/>
      <c r="AH592" s="166"/>
      <c r="AI592" s="13"/>
      <c r="AJ592" s="3"/>
      <c r="AK592" s="13"/>
      <c r="AL592" s="3"/>
      <c r="AM592" s="3"/>
      <c r="AN592" s="3"/>
      <c r="AO592" s="3"/>
      <c r="AP592" s="3"/>
      <c r="AQ592" s="3"/>
      <c r="AR592" s="3"/>
      <c r="AS592" s="98"/>
      <c r="AT592" s="98"/>
      <c r="AU592" s="98"/>
      <c r="AV592" s="98"/>
      <c r="AW592" s="98"/>
      <c r="AX592" s="98"/>
      <c r="AY592" s="98"/>
      <c r="AZ592" s="98"/>
    </row>
    <row r="593">
      <c r="A593" s="3"/>
      <c r="B593" s="36"/>
      <c r="C593" s="91"/>
      <c r="D593" s="13"/>
      <c r="E593" s="13"/>
      <c r="F593" s="3"/>
      <c r="G593" s="3"/>
      <c r="H593" s="3"/>
      <c r="I593" s="13"/>
      <c r="J593" s="13"/>
      <c r="K593" s="13"/>
      <c r="L593" s="36"/>
      <c r="M593" s="91"/>
      <c r="N593" s="3"/>
      <c r="O593" s="3"/>
      <c r="P593" s="7"/>
      <c r="Q593" s="7"/>
      <c r="R593" s="166"/>
      <c r="S593" s="166"/>
      <c r="T593" s="7"/>
      <c r="U593" s="3"/>
      <c r="V593" s="13"/>
      <c r="W593" s="3"/>
      <c r="X593" s="166"/>
      <c r="Y593" s="7"/>
      <c r="Z593" s="13"/>
      <c r="AA593" s="7"/>
      <c r="AB593" s="7"/>
      <c r="AC593" s="257"/>
      <c r="AD593" s="166"/>
      <c r="AE593" s="258"/>
      <c r="AF593" s="7"/>
      <c r="AG593" s="7"/>
      <c r="AH593" s="166"/>
      <c r="AI593" s="13"/>
      <c r="AJ593" s="3"/>
      <c r="AK593" s="13"/>
      <c r="AL593" s="3"/>
      <c r="AM593" s="3"/>
      <c r="AN593" s="3"/>
      <c r="AO593" s="3"/>
      <c r="AP593" s="3"/>
      <c r="AQ593" s="3"/>
      <c r="AR593" s="3"/>
      <c r="AS593" s="98"/>
      <c r="AT593" s="98"/>
      <c r="AU593" s="98"/>
      <c r="AV593" s="98"/>
      <c r="AW593" s="98"/>
      <c r="AX593" s="98"/>
      <c r="AY593" s="98"/>
      <c r="AZ593" s="98"/>
    </row>
    <row r="594">
      <c r="A594" s="3"/>
      <c r="B594" s="36"/>
      <c r="C594" s="91"/>
      <c r="D594" s="13"/>
      <c r="E594" s="13"/>
      <c r="F594" s="3"/>
      <c r="G594" s="3"/>
      <c r="H594" s="3"/>
      <c r="I594" s="13"/>
      <c r="J594" s="13"/>
      <c r="K594" s="13"/>
      <c r="L594" s="36"/>
      <c r="M594" s="91"/>
      <c r="N594" s="3"/>
      <c r="O594" s="3"/>
      <c r="P594" s="7"/>
      <c r="Q594" s="7"/>
      <c r="R594" s="166"/>
      <c r="S594" s="166"/>
      <c r="T594" s="7"/>
      <c r="U594" s="3"/>
      <c r="V594" s="13"/>
      <c r="W594" s="3"/>
      <c r="X594" s="166"/>
      <c r="Y594" s="7"/>
      <c r="Z594" s="13"/>
      <c r="AA594" s="7"/>
      <c r="AB594" s="7"/>
      <c r="AC594" s="257"/>
      <c r="AD594" s="166"/>
      <c r="AE594" s="258"/>
      <c r="AF594" s="7"/>
      <c r="AG594" s="7"/>
      <c r="AH594" s="166"/>
      <c r="AI594" s="13"/>
      <c r="AJ594" s="3"/>
      <c r="AK594" s="13"/>
      <c r="AL594" s="3"/>
      <c r="AM594" s="3"/>
      <c r="AN594" s="3"/>
      <c r="AO594" s="3"/>
      <c r="AP594" s="3"/>
      <c r="AQ594" s="3"/>
      <c r="AR594" s="3"/>
      <c r="AS594" s="98"/>
      <c r="AT594" s="98"/>
      <c r="AU594" s="98"/>
      <c r="AV594" s="98"/>
      <c r="AW594" s="98"/>
      <c r="AX594" s="98"/>
      <c r="AY594" s="98"/>
      <c r="AZ594" s="98"/>
    </row>
    <row r="595">
      <c r="A595" s="3"/>
      <c r="B595" s="36"/>
      <c r="C595" s="91"/>
      <c r="D595" s="13"/>
      <c r="E595" s="13"/>
      <c r="F595" s="3"/>
      <c r="G595" s="3"/>
      <c r="H595" s="3"/>
      <c r="I595" s="13"/>
      <c r="J595" s="13"/>
      <c r="K595" s="13"/>
      <c r="L595" s="36"/>
      <c r="M595" s="91"/>
      <c r="N595" s="3"/>
      <c r="O595" s="3"/>
      <c r="P595" s="7"/>
      <c r="Q595" s="7"/>
      <c r="R595" s="166"/>
      <c r="S595" s="166"/>
      <c r="T595" s="7"/>
      <c r="U595" s="3"/>
      <c r="V595" s="13"/>
      <c r="W595" s="3"/>
      <c r="X595" s="166"/>
      <c r="Y595" s="7"/>
      <c r="Z595" s="13"/>
      <c r="AA595" s="7"/>
      <c r="AB595" s="7"/>
      <c r="AC595" s="257"/>
      <c r="AD595" s="166"/>
      <c r="AE595" s="258"/>
      <c r="AF595" s="7"/>
      <c r="AG595" s="7"/>
      <c r="AH595" s="166"/>
      <c r="AI595" s="13"/>
      <c r="AJ595" s="3"/>
      <c r="AK595" s="13"/>
      <c r="AL595" s="3"/>
      <c r="AM595" s="3"/>
      <c r="AN595" s="3"/>
      <c r="AO595" s="3"/>
      <c r="AP595" s="3"/>
      <c r="AQ595" s="3"/>
      <c r="AR595" s="3"/>
      <c r="AS595" s="98"/>
      <c r="AT595" s="98"/>
      <c r="AU595" s="98"/>
      <c r="AV595" s="98"/>
      <c r="AW595" s="98"/>
      <c r="AX595" s="98"/>
      <c r="AY595" s="98"/>
      <c r="AZ595" s="98"/>
    </row>
    <row r="596">
      <c r="A596" s="3"/>
      <c r="B596" s="36"/>
      <c r="C596" s="91"/>
      <c r="D596" s="13"/>
      <c r="E596" s="13"/>
      <c r="F596" s="3"/>
      <c r="G596" s="3"/>
      <c r="H596" s="3"/>
      <c r="I596" s="13"/>
      <c r="J596" s="13"/>
      <c r="K596" s="13"/>
      <c r="L596" s="36"/>
      <c r="M596" s="91"/>
      <c r="N596" s="3"/>
      <c r="O596" s="3"/>
      <c r="P596" s="7"/>
      <c r="Q596" s="7"/>
      <c r="R596" s="166"/>
      <c r="S596" s="166"/>
      <c r="T596" s="7"/>
      <c r="U596" s="3"/>
      <c r="V596" s="13"/>
      <c r="W596" s="3"/>
      <c r="X596" s="166"/>
      <c r="Y596" s="7"/>
      <c r="Z596" s="13"/>
      <c r="AA596" s="7"/>
      <c r="AB596" s="7"/>
      <c r="AC596" s="257"/>
      <c r="AD596" s="166"/>
      <c r="AE596" s="258"/>
      <c r="AF596" s="7"/>
      <c r="AG596" s="7"/>
      <c r="AH596" s="166"/>
      <c r="AI596" s="13"/>
      <c r="AJ596" s="3"/>
      <c r="AK596" s="13"/>
      <c r="AL596" s="3"/>
      <c r="AM596" s="3"/>
      <c r="AN596" s="3"/>
      <c r="AO596" s="3"/>
      <c r="AP596" s="3"/>
      <c r="AQ596" s="3"/>
      <c r="AR596" s="3"/>
      <c r="AS596" s="98"/>
      <c r="AT596" s="98"/>
      <c r="AU596" s="98"/>
      <c r="AV596" s="98"/>
      <c r="AW596" s="98"/>
      <c r="AX596" s="98"/>
      <c r="AY596" s="98"/>
      <c r="AZ596" s="98"/>
    </row>
    <row r="597">
      <c r="A597" s="3"/>
      <c r="B597" s="36"/>
      <c r="C597" s="91"/>
      <c r="D597" s="13"/>
      <c r="E597" s="13"/>
      <c r="F597" s="3"/>
      <c r="G597" s="3"/>
      <c r="H597" s="3"/>
      <c r="I597" s="13"/>
      <c r="J597" s="13"/>
      <c r="K597" s="13"/>
      <c r="L597" s="36"/>
      <c r="M597" s="91"/>
      <c r="N597" s="3"/>
      <c r="O597" s="3"/>
      <c r="P597" s="7"/>
      <c r="Q597" s="7"/>
      <c r="R597" s="166"/>
      <c r="S597" s="166"/>
      <c r="T597" s="7"/>
      <c r="U597" s="3"/>
      <c r="V597" s="13"/>
      <c r="W597" s="3"/>
      <c r="X597" s="166"/>
      <c r="Y597" s="7"/>
      <c r="Z597" s="13"/>
      <c r="AA597" s="7"/>
      <c r="AB597" s="7"/>
      <c r="AC597" s="257"/>
      <c r="AD597" s="166"/>
      <c r="AE597" s="258"/>
      <c r="AF597" s="7"/>
      <c r="AG597" s="7"/>
      <c r="AH597" s="166"/>
      <c r="AI597" s="13"/>
      <c r="AJ597" s="3"/>
      <c r="AK597" s="13"/>
      <c r="AL597" s="3"/>
      <c r="AM597" s="3"/>
      <c r="AN597" s="3"/>
      <c r="AO597" s="3"/>
      <c r="AP597" s="3"/>
      <c r="AQ597" s="3"/>
      <c r="AR597" s="3"/>
      <c r="AS597" s="98"/>
      <c r="AT597" s="98"/>
      <c r="AU597" s="98"/>
      <c r="AV597" s="98"/>
      <c r="AW597" s="98"/>
      <c r="AX597" s="98"/>
      <c r="AY597" s="98"/>
      <c r="AZ597" s="98"/>
    </row>
    <row r="598">
      <c r="A598" s="3"/>
      <c r="B598" s="36"/>
      <c r="C598" s="91"/>
      <c r="D598" s="13"/>
      <c r="E598" s="13"/>
      <c r="F598" s="3"/>
      <c r="G598" s="3"/>
      <c r="H598" s="3"/>
      <c r="I598" s="13"/>
      <c r="J598" s="13"/>
      <c r="K598" s="13"/>
      <c r="L598" s="36"/>
      <c r="M598" s="91"/>
      <c r="N598" s="3"/>
      <c r="O598" s="3"/>
      <c r="P598" s="7"/>
      <c r="Q598" s="7"/>
      <c r="R598" s="166"/>
      <c r="S598" s="166"/>
      <c r="T598" s="7"/>
      <c r="U598" s="3"/>
      <c r="V598" s="13"/>
      <c r="W598" s="3"/>
      <c r="X598" s="166"/>
      <c r="Y598" s="7"/>
      <c r="Z598" s="13"/>
      <c r="AA598" s="7"/>
      <c r="AB598" s="7"/>
      <c r="AC598" s="257"/>
      <c r="AD598" s="166"/>
      <c r="AE598" s="258"/>
      <c r="AF598" s="7"/>
      <c r="AG598" s="7"/>
      <c r="AH598" s="166"/>
      <c r="AI598" s="13"/>
      <c r="AJ598" s="3"/>
      <c r="AK598" s="13"/>
      <c r="AL598" s="3"/>
      <c r="AM598" s="3"/>
      <c r="AN598" s="3"/>
      <c r="AO598" s="3"/>
      <c r="AP598" s="3"/>
      <c r="AQ598" s="3"/>
      <c r="AR598" s="3"/>
      <c r="AS598" s="98"/>
      <c r="AT598" s="98"/>
      <c r="AU598" s="98"/>
      <c r="AV598" s="98"/>
      <c r="AW598" s="98"/>
      <c r="AX598" s="98"/>
      <c r="AY598" s="98"/>
      <c r="AZ598" s="98"/>
    </row>
    <row r="599">
      <c r="A599" s="3"/>
      <c r="B599" s="36"/>
      <c r="C599" s="91"/>
      <c r="D599" s="13"/>
      <c r="E599" s="13"/>
      <c r="F599" s="3"/>
      <c r="G599" s="3"/>
      <c r="H599" s="3"/>
      <c r="I599" s="13"/>
      <c r="J599" s="13"/>
      <c r="K599" s="13"/>
      <c r="L599" s="36"/>
      <c r="M599" s="91"/>
      <c r="N599" s="3"/>
      <c r="O599" s="3"/>
      <c r="P599" s="7"/>
      <c r="Q599" s="7"/>
      <c r="R599" s="166"/>
      <c r="S599" s="166"/>
      <c r="T599" s="7"/>
      <c r="U599" s="3"/>
      <c r="V599" s="13"/>
      <c r="W599" s="3"/>
      <c r="X599" s="166"/>
      <c r="Y599" s="7"/>
      <c r="Z599" s="13"/>
      <c r="AA599" s="7"/>
      <c r="AB599" s="7"/>
      <c r="AC599" s="257"/>
      <c r="AD599" s="166"/>
      <c r="AE599" s="258"/>
      <c r="AF599" s="7"/>
      <c r="AG599" s="7"/>
      <c r="AH599" s="166"/>
      <c r="AI599" s="13"/>
      <c r="AJ599" s="3"/>
      <c r="AK599" s="13"/>
      <c r="AL599" s="3"/>
      <c r="AM599" s="3"/>
      <c r="AN599" s="3"/>
      <c r="AO599" s="3"/>
      <c r="AP599" s="3"/>
      <c r="AQ599" s="3"/>
      <c r="AR599" s="3"/>
      <c r="AS599" s="98"/>
      <c r="AT599" s="98"/>
      <c r="AU599" s="98"/>
      <c r="AV599" s="98"/>
      <c r="AW599" s="98"/>
      <c r="AX599" s="98"/>
      <c r="AY599" s="98"/>
      <c r="AZ599" s="98"/>
    </row>
    <row r="600">
      <c r="A600" s="3"/>
      <c r="B600" s="36"/>
      <c r="C600" s="91"/>
      <c r="D600" s="13"/>
      <c r="E600" s="13"/>
      <c r="F600" s="3"/>
      <c r="G600" s="3"/>
      <c r="H600" s="3"/>
      <c r="I600" s="13"/>
      <c r="J600" s="13"/>
      <c r="K600" s="13"/>
      <c r="L600" s="36"/>
      <c r="M600" s="91"/>
      <c r="N600" s="3"/>
      <c r="O600" s="3"/>
      <c r="P600" s="7"/>
      <c r="Q600" s="7"/>
      <c r="R600" s="166"/>
      <c r="S600" s="166"/>
      <c r="T600" s="7"/>
      <c r="U600" s="3"/>
      <c r="V600" s="13"/>
      <c r="W600" s="3"/>
      <c r="X600" s="166"/>
      <c r="Y600" s="7"/>
      <c r="Z600" s="13"/>
      <c r="AA600" s="7"/>
      <c r="AB600" s="7"/>
      <c r="AC600" s="257"/>
      <c r="AD600" s="166"/>
      <c r="AE600" s="258"/>
      <c r="AF600" s="7"/>
      <c r="AG600" s="7"/>
      <c r="AH600" s="166"/>
      <c r="AI600" s="13"/>
      <c r="AJ600" s="3"/>
      <c r="AK600" s="13"/>
      <c r="AL600" s="3"/>
      <c r="AM600" s="3"/>
      <c r="AN600" s="3"/>
      <c r="AO600" s="3"/>
      <c r="AP600" s="3"/>
      <c r="AQ600" s="3"/>
      <c r="AR600" s="3"/>
      <c r="AS600" s="98"/>
      <c r="AT600" s="98"/>
      <c r="AU600" s="98"/>
      <c r="AV600" s="98"/>
      <c r="AW600" s="98"/>
      <c r="AX600" s="98"/>
      <c r="AY600" s="98"/>
      <c r="AZ600" s="98"/>
    </row>
    <row r="601">
      <c r="A601" s="3"/>
      <c r="B601" s="36"/>
      <c r="C601" s="91"/>
      <c r="D601" s="13"/>
      <c r="E601" s="13"/>
      <c r="F601" s="3"/>
      <c r="G601" s="3"/>
      <c r="H601" s="3"/>
      <c r="I601" s="13"/>
      <c r="J601" s="13"/>
      <c r="K601" s="13"/>
      <c r="L601" s="36"/>
      <c r="M601" s="91"/>
      <c r="N601" s="3"/>
      <c r="O601" s="3"/>
      <c r="P601" s="7"/>
      <c r="Q601" s="7"/>
      <c r="R601" s="166"/>
      <c r="S601" s="166"/>
      <c r="T601" s="7"/>
      <c r="U601" s="3"/>
      <c r="V601" s="13"/>
      <c r="W601" s="3"/>
      <c r="X601" s="166"/>
      <c r="Y601" s="7"/>
      <c r="Z601" s="13"/>
      <c r="AA601" s="7"/>
      <c r="AB601" s="7"/>
      <c r="AC601" s="257"/>
      <c r="AD601" s="166"/>
      <c r="AE601" s="258"/>
      <c r="AF601" s="7"/>
      <c r="AG601" s="7"/>
      <c r="AH601" s="166"/>
      <c r="AI601" s="13"/>
      <c r="AJ601" s="3"/>
      <c r="AK601" s="13"/>
      <c r="AL601" s="3"/>
      <c r="AM601" s="3"/>
      <c r="AN601" s="3"/>
      <c r="AO601" s="3"/>
      <c r="AP601" s="3"/>
      <c r="AQ601" s="3"/>
      <c r="AR601" s="3"/>
      <c r="AS601" s="98"/>
      <c r="AT601" s="98"/>
      <c r="AU601" s="98"/>
      <c r="AV601" s="98"/>
      <c r="AW601" s="98"/>
      <c r="AX601" s="98"/>
      <c r="AY601" s="98"/>
      <c r="AZ601" s="98"/>
    </row>
    <row r="602">
      <c r="A602" s="3"/>
      <c r="B602" s="36"/>
      <c r="C602" s="91"/>
      <c r="D602" s="13"/>
      <c r="E602" s="13"/>
      <c r="F602" s="3"/>
      <c r="G602" s="3"/>
      <c r="H602" s="3"/>
      <c r="I602" s="13"/>
      <c r="J602" s="13"/>
      <c r="K602" s="13"/>
      <c r="L602" s="36"/>
      <c r="M602" s="91"/>
      <c r="N602" s="3"/>
      <c r="O602" s="3"/>
      <c r="P602" s="7"/>
      <c r="Q602" s="7"/>
      <c r="R602" s="166"/>
      <c r="S602" s="166"/>
      <c r="T602" s="7"/>
      <c r="U602" s="3"/>
      <c r="V602" s="13"/>
      <c r="W602" s="3"/>
      <c r="X602" s="166"/>
      <c r="Y602" s="7"/>
      <c r="Z602" s="13"/>
      <c r="AA602" s="7"/>
      <c r="AB602" s="7"/>
      <c r="AC602" s="257"/>
      <c r="AD602" s="166"/>
      <c r="AE602" s="258"/>
      <c r="AF602" s="7"/>
      <c r="AG602" s="7"/>
      <c r="AH602" s="166"/>
      <c r="AI602" s="13"/>
      <c r="AJ602" s="3"/>
      <c r="AK602" s="13"/>
      <c r="AL602" s="3"/>
      <c r="AM602" s="3"/>
      <c r="AN602" s="3"/>
      <c r="AO602" s="3"/>
      <c r="AP602" s="3"/>
      <c r="AQ602" s="3"/>
      <c r="AR602" s="3"/>
      <c r="AS602" s="98"/>
      <c r="AT602" s="98"/>
      <c r="AU602" s="98"/>
      <c r="AV602" s="98"/>
      <c r="AW602" s="98"/>
      <c r="AX602" s="98"/>
      <c r="AY602" s="98"/>
      <c r="AZ602" s="98"/>
    </row>
    <row r="603">
      <c r="A603" s="3"/>
      <c r="B603" s="36"/>
      <c r="C603" s="91"/>
      <c r="D603" s="13"/>
      <c r="E603" s="13"/>
      <c r="F603" s="3"/>
      <c r="G603" s="3"/>
      <c r="H603" s="3"/>
      <c r="I603" s="13"/>
      <c r="J603" s="13"/>
      <c r="K603" s="13"/>
      <c r="L603" s="36"/>
      <c r="M603" s="91"/>
      <c r="N603" s="3"/>
      <c r="O603" s="3"/>
      <c r="P603" s="7"/>
      <c r="Q603" s="7"/>
      <c r="R603" s="166"/>
      <c r="S603" s="166"/>
      <c r="T603" s="7"/>
      <c r="U603" s="3"/>
      <c r="V603" s="13"/>
      <c r="W603" s="3"/>
      <c r="X603" s="166"/>
      <c r="Y603" s="7"/>
      <c r="Z603" s="13"/>
      <c r="AA603" s="7"/>
      <c r="AB603" s="7"/>
      <c r="AC603" s="257"/>
      <c r="AD603" s="166"/>
      <c r="AE603" s="258"/>
      <c r="AF603" s="7"/>
      <c r="AG603" s="7"/>
      <c r="AH603" s="166"/>
      <c r="AI603" s="13"/>
      <c r="AJ603" s="3"/>
      <c r="AK603" s="13"/>
      <c r="AL603" s="3"/>
      <c r="AM603" s="3"/>
      <c r="AN603" s="3"/>
      <c r="AO603" s="3"/>
      <c r="AP603" s="3"/>
      <c r="AQ603" s="3"/>
      <c r="AR603" s="3"/>
      <c r="AS603" s="98"/>
      <c r="AT603" s="98"/>
      <c r="AU603" s="98"/>
      <c r="AV603" s="98"/>
      <c r="AW603" s="98"/>
      <c r="AX603" s="98"/>
      <c r="AY603" s="98"/>
      <c r="AZ603" s="98"/>
    </row>
    <row r="604">
      <c r="A604" s="3"/>
      <c r="B604" s="36"/>
      <c r="C604" s="91"/>
      <c r="D604" s="13"/>
      <c r="E604" s="13"/>
      <c r="F604" s="3"/>
      <c r="G604" s="3"/>
      <c r="H604" s="3"/>
      <c r="I604" s="13"/>
      <c r="J604" s="13"/>
      <c r="K604" s="13"/>
      <c r="L604" s="36"/>
      <c r="M604" s="91"/>
      <c r="N604" s="3"/>
      <c r="O604" s="3"/>
      <c r="P604" s="7"/>
      <c r="Q604" s="7"/>
      <c r="R604" s="166"/>
      <c r="S604" s="166"/>
      <c r="T604" s="7"/>
      <c r="U604" s="3"/>
      <c r="V604" s="13"/>
      <c r="W604" s="3"/>
      <c r="X604" s="166"/>
      <c r="Y604" s="7"/>
      <c r="Z604" s="13"/>
      <c r="AA604" s="7"/>
      <c r="AB604" s="7"/>
      <c r="AC604" s="257"/>
      <c r="AD604" s="166"/>
      <c r="AE604" s="258"/>
      <c r="AF604" s="7"/>
      <c r="AG604" s="7"/>
      <c r="AH604" s="166"/>
      <c r="AI604" s="13"/>
      <c r="AJ604" s="3"/>
      <c r="AK604" s="13"/>
      <c r="AL604" s="3"/>
      <c r="AM604" s="3"/>
      <c r="AN604" s="3"/>
      <c r="AO604" s="3"/>
      <c r="AP604" s="3"/>
      <c r="AQ604" s="3"/>
      <c r="AR604" s="3"/>
      <c r="AS604" s="98"/>
      <c r="AT604" s="98"/>
      <c r="AU604" s="98"/>
      <c r="AV604" s="98"/>
      <c r="AW604" s="98"/>
      <c r="AX604" s="98"/>
      <c r="AY604" s="98"/>
      <c r="AZ604" s="98"/>
    </row>
    <row r="605">
      <c r="A605" s="3"/>
      <c r="B605" s="36"/>
      <c r="C605" s="91"/>
      <c r="D605" s="13"/>
      <c r="E605" s="13"/>
      <c r="F605" s="3"/>
      <c r="G605" s="3"/>
      <c r="H605" s="3"/>
      <c r="I605" s="13"/>
      <c r="J605" s="13"/>
      <c r="K605" s="13"/>
      <c r="L605" s="36"/>
      <c r="M605" s="91"/>
      <c r="N605" s="3"/>
      <c r="O605" s="3"/>
      <c r="P605" s="7"/>
      <c r="Q605" s="7"/>
      <c r="R605" s="166"/>
      <c r="S605" s="166"/>
      <c r="T605" s="7"/>
      <c r="U605" s="3"/>
      <c r="V605" s="13"/>
      <c r="W605" s="3"/>
      <c r="X605" s="166"/>
      <c r="Y605" s="7"/>
      <c r="Z605" s="13"/>
      <c r="AA605" s="7"/>
      <c r="AB605" s="7"/>
      <c r="AC605" s="257"/>
      <c r="AD605" s="166"/>
      <c r="AE605" s="258"/>
      <c r="AF605" s="7"/>
      <c r="AG605" s="7"/>
      <c r="AH605" s="166"/>
      <c r="AI605" s="13"/>
      <c r="AJ605" s="3"/>
      <c r="AK605" s="13"/>
      <c r="AL605" s="3"/>
      <c r="AM605" s="3"/>
      <c r="AN605" s="3"/>
      <c r="AO605" s="3"/>
      <c r="AP605" s="3"/>
      <c r="AQ605" s="3"/>
      <c r="AR605" s="3"/>
      <c r="AS605" s="98"/>
      <c r="AT605" s="98"/>
      <c r="AU605" s="98"/>
      <c r="AV605" s="98"/>
      <c r="AW605" s="98"/>
      <c r="AX605" s="98"/>
      <c r="AY605" s="98"/>
      <c r="AZ605" s="98"/>
    </row>
    <row r="606">
      <c r="A606" s="3"/>
      <c r="B606" s="36"/>
      <c r="C606" s="91"/>
      <c r="D606" s="13"/>
      <c r="E606" s="13"/>
      <c r="F606" s="3"/>
      <c r="G606" s="3"/>
      <c r="H606" s="3"/>
      <c r="I606" s="13"/>
      <c r="J606" s="13"/>
      <c r="K606" s="13"/>
      <c r="L606" s="36"/>
      <c r="M606" s="91"/>
      <c r="N606" s="3"/>
      <c r="O606" s="3"/>
      <c r="P606" s="7"/>
      <c r="Q606" s="7"/>
      <c r="R606" s="166"/>
      <c r="S606" s="166"/>
      <c r="T606" s="7"/>
      <c r="U606" s="3"/>
      <c r="V606" s="13"/>
      <c r="W606" s="3"/>
      <c r="X606" s="166"/>
      <c r="Y606" s="7"/>
      <c r="Z606" s="13"/>
      <c r="AA606" s="7"/>
      <c r="AB606" s="7"/>
      <c r="AC606" s="257"/>
      <c r="AD606" s="166"/>
      <c r="AE606" s="258"/>
      <c r="AF606" s="7"/>
      <c r="AG606" s="7"/>
      <c r="AH606" s="166"/>
      <c r="AI606" s="13"/>
      <c r="AJ606" s="3"/>
      <c r="AK606" s="13"/>
      <c r="AL606" s="3"/>
      <c r="AM606" s="3"/>
      <c r="AN606" s="3"/>
      <c r="AO606" s="3"/>
      <c r="AP606" s="3"/>
      <c r="AQ606" s="3"/>
      <c r="AR606" s="3"/>
      <c r="AS606" s="98"/>
      <c r="AT606" s="98"/>
      <c r="AU606" s="98"/>
      <c r="AV606" s="98"/>
      <c r="AW606" s="98"/>
      <c r="AX606" s="98"/>
      <c r="AY606" s="98"/>
      <c r="AZ606" s="98"/>
    </row>
    <row r="607">
      <c r="A607" s="3"/>
      <c r="B607" s="36"/>
      <c r="C607" s="91"/>
      <c r="D607" s="13"/>
      <c r="E607" s="13"/>
      <c r="F607" s="3"/>
      <c r="G607" s="3"/>
      <c r="H607" s="3"/>
      <c r="I607" s="13"/>
      <c r="J607" s="13"/>
      <c r="K607" s="13"/>
      <c r="L607" s="36"/>
      <c r="M607" s="91"/>
      <c r="N607" s="3"/>
      <c r="O607" s="3"/>
      <c r="P607" s="7"/>
      <c r="Q607" s="7"/>
      <c r="R607" s="166"/>
      <c r="S607" s="166"/>
      <c r="T607" s="7"/>
      <c r="U607" s="3"/>
      <c r="V607" s="13"/>
      <c r="W607" s="3"/>
      <c r="X607" s="166"/>
      <c r="Y607" s="7"/>
      <c r="Z607" s="13"/>
      <c r="AA607" s="7"/>
      <c r="AB607" s="7"/>
      <c r="AC607" s="257"/>
      <c r="AD607" s="166"/>
      <c r="AE607" s="258"/>
      <c r="AF607" s="7"/>
      <c r="AG607" s="7"/>
      <c r="AH607" s="166"/>
      <c r="AI607" s="13"/>
      <c r="AJ607" s="3"/>
      <c r="AK607" s="13"/>
      <c r="AL607" s="3"/>
      <c r="AM607" s="3"/>
      <c r="AN607" s="3"/>
      <c r="AO607" s="3"/>
      <c r="AP607" s="3"/>
      <c r="AQ607" s="3"/>
      <c r="AR607" s="3"/>
      <c r="AS607" s="98"/>
      <c r="AT607" s="98"/>
      <c r="AU607" s="98"/>
      <c r="AV607" s="98"/>
      <c r="AW607" s="98"/>
      <c r="AX607" s="98"/>
      <c r="AY607" s="98"/>
      <c r="AZ607" s="98"/>
    </row>
    <row r="608">
      <c r="A608" s="3"/>
      <c r="B608" s="36"/>
      <c r="C608" s="91"/>
      <c r="D608" s="13"/>
      <c r="E608" s="13"/>
      <c r="F608" s="3"/>
      <c r="G608" s="3"/>
      <c r="H608" s="3"/>
      <c r="I608" s="13"/>
      <c r="J608" s="13"/>
      <c r="K608" s="13"/>
      <c r="L608" s="36"/>
      <c r="M608" s="91"/>
      <c r="N608" s="3"/>
      <c r="O608" s="3"/>
      <c r="P608" s="7"/>
      <c r="Q608" s="7"/>
      <c r="R608" s="166"/>
      <c r="S608" s="166"/>
      <c r="T608" s="7"/>
      <c r="U608" s="3"/>
      <c r="V608" s="13"/>
      <c r="W608" s="3"/>
      <c r="X608" s="166"/>
      <c r="Y608" s="7"/>
      <c r="Z608" s="13"/>
      <c r="AA608" s="7"/>
      <c r="AB608" s="7"/>
      <c r="AC608" s="257"/>
      <c r="AD608" s="166"/>
      <c r="AE608" s="258"/>
      <c r="AF608" s="7"/>
      <c r="AG608" s="7"/>
      <c r="AH608" s="166"/>
      <c r="AI608" s="13"/>
      <c r="AJ608" s="3"/>
      <c r="AK608" s="13"/>
      <c r="AL608" s="3"/>
      <c r="AM608" s="3"/>
      <c r="AN608" s="3"/>
      <c r="AO608" s="3"/>
      <c r="AP608" s="3"/>
      <c r="AQ608" s="3"/>
      <c r="AR608" s="3"/>
      <c r="AS608" s="98"/>
      <c r="AT608" s="98"/>
      <c r="AU608" s="98"/>
      <c r="AV608" s="98"/>
      <c r="AW608" s="98"/>
      <c r="AX608" s="98"/>
      <c r="AY608" s="98"/>
      <c r="AZ608" s="98"/>
    </row>
    <row r="609">
      <c r="A609" s="3"/>
      <c r="B609" s="36"/>
      <c r="C609" s="91"/>
      <c r="D609" s="13"/>
      <c r="E609" s="13"/>
      <c r="F609" s="3"/>
      <c r="G609" s="3"/>
      <c r="H609" s="3"/>
      <c r="I609" s="13"/>
      <c r="J609" s="13"/>
      <c r="K609" s="13"/>
      <c r="L609" s="36"/>
      <c r="M609" s="91"/>
      <c r="N609" s="3"/>
      <c r="O609" s="3"/>
      <c r="P609" s="7"/>
      <c r="Q609" s="7"/>
      <c r="R609" s="166"/>
      <c r="S609" s="166"/>
      <c r="T609" s="7"/>
      <c r="U609" s="3"/>
      <c r="V609" s="13"/>
      <c r="W609" s="3"/>
      <c r="X609" s="166"/>
      <c r="Y609" s="7"/>
      <c r="Z609" s="13"/>
      <c r="AA609" s="7"/>
      <c r="AB609" s="7"/>
      <c r="AC609" s="257"/>
      <c r="AD609" s="166"/>
      <c r="AE609" s="258"/>
      <c r="AF609" s="7"/>
      <c r="AG609" s="7"/>
      <c r="AH609" s="166"/>
      <c r="AI609" s="13"/>
      <c r="AJ609" s="3"/>
      <c r="AK609" s="13"/>
      <c r="AL609" s="3"/>
      <c r="AM609" s="3"/>
      <c r="AN609" s="3"/>
      <c r="AO609" s="3"/>
      <c r="AP609" s="3"/>
      <c r="AQ609" s="3"/>
      <c r="AR609" s="3"/>
      <c r="AS609" s="98"/>
      <c r="AT609" s="98"/>
      <c r="AU609" s="98"/>
      <c r="AV609" s="98"/>
      <c r="AW609" s="98"/>
      <c r="AX609" s="98"/>
      <c r="AY609" s="98"/>
      <c r="AZ609" s="98"/>
    </row>
    <row r="610">
      <c r="A610" s="3"/>
      <c r="B610" s="36"/>
      <c r="C610" s="91"/>
      <c r="D610" s="13"/>
      <c r="E610" s="13"/>
      <c r="F610" s="3"/>
      <c r="G610" s="3"/>
      <c r="H610" s="3"/>
      <c r="I610" s="13"/>
      <c r="J610" s="13"/>
      <c r="K610" s="13"/>
      <c r="L610" s="36"/>
      <c r="M610" s="91"/>
      <c r="N610" s="3"/>
      <c r="O610" s="3"/>
      <c r="P610" s="7"/>
      <c r="Q610" s="7"/>
      <c r="R610" s="166"/>
      <c r="S610" s="166"/>
      <c r="T610" s="7"/>
      <c r="U610" s="3"/>
      <c r="V610" s="13"/>
      <c r="W610" s="3"/>
      <c r="X610" s="166"/>
      <c r="Y610" s="7"/>
      <c r="Z610" s="13"/>
      <c r="AA610" s="7"/>
      <c r="AB610" s="7"/>
      <c r="AC610" s="257"/>
      <c r="AD610" s="166"/>
      <c r="AE610" s="258"/>
      <c r="AF610" s="7"/>
      <c r="AG610" s="7"/>
      <c r="AH610" s="166"/>
      <c r="AI610" s="13"/>
      <c r="AJ610" s="3"/>
      <c r="AK610" s="13"/>
      <c r="AL610" s="3"/>
      <c r="AM610" s="3"/>
      <c r="AN610" s="3"/>
      <c r="AO610" s="3"/>
      <c r="AP610" s="3"/>
      <c r="AQ610" s="3"/>
      <c r="AR610" s="3"/>
      <c r="AS610" s="98"/>
      <c r="AT610" s="98"/>
      <c r="AU610" s="98"/>
      <c r="AV610" s="98"/>
      <c r="AW610" s="98"/>
      <c r="AX610" s="98"/>
      <c r="AY610" s="98"/>
      <c r="AZ610" s="98"/>
    </row>
    <row r="611">
      <c r="A611" s="3"/>
      <c r="B611" s="36"/>
      <c r="C611" s="91"/>
      <c r="D611" s="13"/>
      <c r="E611" s="13"/>
      <c r="F611" s="3"/>
      <c r="G611" s="3"/>
      <c r="H611" s="3"/>
      <c r="I611" s="13"/>
      <c r="J611" s="13"/>
      <c r="K611" s="13"/>
      <c r="L611" s="36"/>
      <c r="M611" s="91"/>
      <c r="N611" s="3"/>
      <c r="O611" s="3"/>
      <c r="P611" s="7"/>
      <c r="Q611" s="7"/>
      <c r="R611" s="166"/>
      <c r="S611" s="166"/>
      <c r="T611" s="7"/>
      <c r="U611" s="3"/>
      <c r="V611" s="13"/>
      <c r="W611" s="3"/>
      <c r="X611" s="166"/>
      <c r="Y611" s="7"/>
      <c r="Z611" s="13"/>
      <c r="AA611" s="7"/>
      <c r="AB611" s="7"/>
      <c r="AC611" s="257"/>
      <c r="AD611" s="166"/>
      <c r="AE611" s="258"/>
      <c r="AF611" s="7"/>
      <c r="AG611" s="7"/>
      <c r="AH611" s="166"/>
      <c r="AI611" s="13"/>
      <c r="AJ611" s="3"/>
      <c r="AK611" s="13"/>
      <c r="AL611" s="3"/>
      <c r="AM611" s="3"/>
      <c r="AN611" s="3"/>
      <c r="AO611" s="3"/>
      <c r="AP611" s="3"/>
      <c r="AQ611" s="3"/>
      <c r="AR611" s="3"/>
      <c r="AS611" s="98"/>
      <c r="AT611" s="98"/>
      <c r="AU611" s="98"/>
      <c r="AV611" s="98"/>
      <c r="AW611" s="98"/>
      <c r="AX611" s="98"/>
      <c r="AY611" s="98"/>
      <c r="AZ611" s="98"/>
    </row>
    <row r="612">
      <c r="A612" s="3"/>
      <c r="B612" s="36"/>
      <c r="C612" s="91"/>
      <c r="D612" s="13"/>
      <c r="E612" s="13"/>
      <c r="F612" s="3"/>
      <c r="G612" s="3"/>
      <c r="H612" s="3"/>
      <c r="I612" s="13"/>
      <c r="J612" s="13"/>
      <c r="K612" s="13"/>
      <c r="L612" s="36"/>
      <c r="M612" s="91"/>
      <c r="N612" s="3"/>
      <c r="O612" s="3"/>
      <c r="P612" s="7"/>
      <c r="Q612" s="7"/>
      <c r="R612" s="166"/>
      <c r="S612" s="166"/>
      <c r="T612" s="7"/>
      <c r="U612" s="3"/>
      <c r="V612" s="13"/>
      <c r="W612" s="3"/>
      <c r="X612" s="166"/>
      <c r="Y612" s="7"/>
      <c r="Z612" s="13"/>
      <c r="AA612" s="7"/>
      <c r="AB612" s="7"/>
      <c r="AC612" s="257"/>
      <c r="AD612" s="166"/>
      <c r="AE612" s="258"/>
      <c r="AF612" s="7"/>
      <c r="AG612" s="7"/>
      <c r="AH612" s="166"/>
      <c r="AI612" s="13"/>
      <c r="AJ612" s="3"/>
      <c r="AK612" s="13"/>
      <c r="AL612" s="3"/>
      <c r="AM612" s="3"/>
      <c r="AN612" s="3"/>
      <c r="AO612" s="3"/>
      <c r="AP612" s="3"/>
      <c r="AQ612" s="3"/>
      <c r="AR612" s="3"/>
      <c r="AS612" s="98"/>
      <c r="AT612" s="98"/>
      <c r="AU612" s="98"/>
      <c r="AV612" s="98"/>
      <c r="AW612" s="98"/>
      <c r="AX612" s="98"/>
      <c r="AY612" s="98"/>
      <c r="AZ612" s="98"/>
    </row>
    <row r="613">
      <c r="A613" s="3"/>
      <c r="B613" s="36"/>
      <c r="C613" s="91"/>
      <c r="D613" s="13"/>
      <c r="E613" s="13"/>
      <c r="F613" s="3"/>
      <c r="G613" s="3"/>
      <c r="H613" s="3"/>
      <c r="I613" s="13"/>
      <c r="J613" s="13"/>
      <c r="K613" s="13"/>
      <c r="L613" s="36"/>
      <c r="M613" s="91"/>
      <c r="N613" s="3"/>
      <c r="O613" s="3"/>
      <c r="P613" s="7"/>
      <c r="Q613" s="7"/>
      <c r="R613" s="166"/>
      <c r="S613" s="166"/>
      <c r="T613" s="7"/>
      <c r="U613" s="3"/>
      <c r="V613" s="13"/>
      <c r="W613" s="3"/>
      <c r="X613" s="166"/>
      <c r="Y613" s="7"/>
      <c r="Z613" s="13"/>
      <c r="AA613" s="7"/>
      <c r="AB613" s="7"/>
      <c r="AC613" s="257"/>
      <c r="AD613" s="166"/>
      <c r="AE613" s="258"/>
      <c r="AF613" s="7"/>
      <c r="AG613" s="7"/>
      <c r="AH613" s="166"/>
      <c r="AI613" s="13"/>
      <c r="AJ613" s="3"/>
      <c r="AK613" s="13"/>
      <c r="AL613" s="3"/>
      <c r="AM613" s="3"/>
      <c r="AN613" s="3"/>
      <c r="AO613" s="3"/>
      <c r="AP613" s="3"/>
      <c r="AQ613" s="3"/>
      <c r="AR613" s="3"/>
      <c r="AS613" s="98"/>
      <c r="AT613" s="98"/>
      <c r="AU613" s="98"/>
      <c r="AV613" s="98"/>
      <c r="AW613" s="98"/>
      <c r="AX613" s="98"/>
      <c r="AY613" s="98"/>
      <c r="AZ613" s="98"/>
    </row>
    <row r="614">
      <c r="A614" s="3"/>
      <c r="B614" s="36"/>
      <c r="C614" s="91"/>
      <c r="D614" s="13"/>
      <c r="E614" s="13"/>
      <c r="F614" s="3"/>
      <c r="G614" s="3"/>
      <c r="H614" s="3"/>
      <c r="I614" s="13"/>
      <c r="J614" s="13"/>
      <c r="K614" s="13"/>
      <c r="L614" s="36"/>
      <c r="M614" s="91"/>
      <c r="N614" s="3"/>
      <c r="O614" s="3"/>
      <c r="P614" s="7"/>
      <c r="Q614" s="7"/>
      <c r="R614" s="166"/>
      <c r="S614" s="166"/>
      <c r="T614" s="7"/>
      <c r="U614" s="3"/>
      <c r="V614" s="13"/>
      <c r="W614" s="3"/>
      <c r="X614" s="166"/>
      <c r="Y614" s="7"/>
      <c r="Z614" s="13"/>
      <c r="AA614" s="7"/>
      <c r="AB614" s="7"/>
      <c r="AC614" s="257"/>
      <c r="AD614" s="166"/>
      <c r="AE614" s="258"/>
      <c r="AF614" s="7"/>
      <c r="AG614" s="7"/>
      <c r="AH614" s="166"/>
      <c r="AI614" s="13"/>
      <c r="AJ614" s="3"/>
      <c r="AK614" s="13"/>
      <c r="AL614" s="3"/>
      <c r="AM614" s="3"/>
      <c r="AN614" s="3"/>
      <c r="AO614" s="3"/>
      <c r="AP614" s="3"/>
      <c r="AQ614" s="3"/>
      <c r="AR614" s="3"/>
      <c r="AS614" s="98"/>
      <c r="AT614" s="98"/>
      <c r="AU614" s="98"/>
      <c r="AV614" s="98"/>
      <c r="AW614" s="98"/>
      <c r="AX614" s="98"/>
      <c r="AY614" s="98"/>
      <c r="AZ614" s="98"/>
    </row>
    <row r="615">
      <c r="A615" s="3"/>
      <c r="B615" s="36"/>
      <c r="C615" s="91"/>
      <c r="D615" s="13"/>
      <c r="E615" s="13"/>
      <c r="F615" s="3"/>
      <c r="G615" s="3"/>
      <c r="H615" s="3"/>
      <c r="I615" s="13"/>
      <c r="J615" s="13"/>
      <c r="K615" s="13"/>
      <c r="L615" s="36"/>
      <c r="M615" s="91"/>
      <c r="N615" s="3"/>
      <c r="O615" s="3"/>
      <c r="P615" s="7"/>
      <c r="Q615" s="7"/>
      <c r="R615" s="166"/>
      <c r="S615" s="166"/>
      <c r="T615" s="7"/>
      <c r="U615" s="3"/>
      <c r="V615" s="13"/>
      <c r="W615" s="3"/>
      <c r="X615" s="166"/>
      <c r="Y615" s="7"/>
      <c r="Z615" s="13"/>
      <c r="AA615" s="7"/>
      <c r="AB615" s="7"/>
      <c r="AC615" s="257"/>
      <c r="AD615" s="166"/>
      <c r="AE615" s="258"/>
      <c r="AF615" s="7"/>
      <c r="AG615" s="7"/>
      <c r="AH615" s="166"/>
      <c r="AI615" s="13"/>
      <c r="AJ615" s="3"/>
      <c r="AK615" s="13"/>
      <c r="AL615" s="3"/>
      <c r="AM615" s="3"/>
      <c r="AN615" s="3"/>
      <c r="AO615" s="3"/>
      <c r="AP615" s="3"/>
      <c r="AQ615" s="3"/>
      <c r="AR615" s="3"/>
      <c r="AS615" s="98"/>
      <c r="AT615" s="98"/>
      <c r="AU615" s="98"/>
      <c r="AV615" s="98"/>
      <c r="AW615" s="98"/>
      <c r="AX615" s="98"/>
      <c r="AY615" s="98"/>
      <c r="AZ615" s="98"/>
    </row>
    <row r="616">
      <c r="A616" s="3"/>
      <c r="B616" s="36"/>
      <c r="C616" s="91"/>
      <c r="D616" s="13"/>
      <c r="E616" s="13"/>
      <c r="F616" s="3"/>
      <c r="G616" s="3"/>
      <c r="H616" s="3"/>
      <c r="I616" s="13"/>
      <c r="J616" s="13"/>
      <c r="K616" s="13"/>
      <c r="L616" s="36"/>
      <c r="M616" s="91"/>
      <c r="N616" s="3"/>
      <c r="O616" s="3"/>
      <c r="P616" s="7"/>
      <c r="Q616" s="7"/>
      <c r="R616" s="166"/>
      <c r="S616" s="166"/>
      <c r="T616" s="7"/>
      <c r="U616" s="3"/>
      <c r="V616" s="13"/>
      <c r="W616" s="3"/>
      <c r="X616" s="166"/>
      <c r="Y616" s="7"/>
      <c r="Z616" s="13"/>
      <c r="AA616" s="7"/>
      <c r="AB616" s="7"/>
      <c r="AC616" s="257"/>
      <c r="AD616" s="166"/>
      <c r="AE616" s="258"/>
      <c r="AF616" s="7"/>
      <c r="AG616" s="7"/>
      <c r="AH616" s="166"/>
      <c r="AI616" s="13"/>
      <c r="AJ616" s="3"/>
      <c r="AK616" s="13"/>
      <c r="AL616" s="3"/>
      <c r="AM616" s="3"/>
      <c r="AN616" s="3"/>
      <c r="AO616" s="3"/>
      <c r="AP616" s="3"/>
      <c r="AQ616" s="3"/>
      <c r="AR616" s="3"/>
      <c r="AS616" s="98"/>
      <c r="AT616" s="98"/>
      <c r="AU616" s="98"/>
      <c r="AV616" s="98"/>
      <c r="AW616" s="98"/>
      <c r="AX616" s="98"/>
      <c r="AY616" s="98"/>
      <c r="AZ616" s="98"/>
    </row>
    <row r="617">
      <c r="A617" s="3"/>
      <c r="B617" s="36"/>
      <c r="C617" s="91"/>
      <c r="D617" s="13"/>
      <c r="E617" s="13"/>
      <c r="F617" s="3"/>
      <c r="G617" s="3"/>
      <c r="H617" s="3"/>
      <c r="I617" s="13"/>
      <c r="J617" s="13"/>
      <c r="K617" s="13"/>
      <c r="L617" s="36"/>
      <c r="M617" s="91"/>
      <c r="N617" s="3"/>
      <c r="O617" s="3"/>
      <c r="P617" s="7"/>
      <c r="Q617" s="7"/>
      <c r="R617" s="166"/>
      <c r="S617" s="166"/>
      <c r="T617" s="7"/>
      <c r="U617" s="3"/>
      <c r="V617" s="13"/>
      <c r="W617" s="3"/>
      <c r="X617" s="166"/>
      <c r="Y617" s="7"/>
      <c r="Z617" s="13"/>
      <c r="AA617" s="7"/>
      <c r="AB617" s="7"/>
      <c r="AC617" s="257"/>
      <c r="AD617" s="166"/>
      <c r="AE617" s="258"/>
      <c r="AF617" s="7"/>
      <c r="AG617" s="7"/>
      <c r="AH617" s="166"/>
      <c r="AI617" s="13"/>
      <c r="AJ617" s="3"/>
      <c r="AK617" s="13"/>
      <c r="AL617" s="3"/>
      <c r="AM617" s="3"/>
      <c r="AN617" s="3"/>
      <c r="AO617" s="3"/>
      <c r="AP617" s="3"/>
      <c r="AQ617" s="3"/>
      <c r="AR617" s="3"/>
      <c r="AS617" s="98"/>
      <c r="AT617" s="98"/>
      <c r="AU617" s="98"/>
      <c r="AV617" s="98"/>
      <c r="AW617" s="98"/>
      <c r="AX617" s="98"/>
      <c r="AY617" s="98"/>
      <c r="AZ617" s="98"/>
    </row>
    <row r="618">
      <c r="A618" s="3"/>
      <c r="B618" s="36"/>
      <c r="C618" s="91"/>
      <c r="D618" s="13"/>
      <c r="E618" s="13"/>
      <c r="F618" s="3"/>
      <c r="G618" s="3"/>
      <c r="H618" s="3"/>
      <c r="I618" s="13"/>
      <c r="J618" s="13"/>
      <c r="K618" s="13"/>
      <c r="L618" s="36"/>
      <c r="M618" s="91"/>
      <c r="N618" s="3"/>
      <c r="O618" s="3"/>
      <c r="P618" s="7"/>
      <c r="Q618" s="7"/>
      <c r="R618" s="166"/>
      <c r="S618" s="166"/>
      <c r="T618" s="7"/>
      <c r="U618" s="3"/>
      <c r="V618" s="13"/>
      <c r="W618" s="3"/>
      <c r="X618" s="166"/>
      <c r="Y618" s="7"/>
      <c r="Z618" s="13"/>
      <c r="AA618" s="7"/>
      <c r="AB618" s="7"/>
      <c r="AC618" s="257"/>
      <c r="AD618" s="166"/>
      <c r="AE618" s="258"/>
      <c r="AF618" s="7"/>
      <c r="AG618" s="7"/>
      <c r="AH618" s="166"/>
      <c r="AI618" s="13"/>
      <c r="AJ618" s="3"/>
      <c r="AK618" s="13"/>
      <c r="AL618" s="3"/>
      <c r="AM618" s="3"/>
      <c r="AN618" s="3"/>
      <c r="AO618" s="3"/>
      <c r="AP618" s="3"/>
      <c r="AQ618" s="3"/>
      <c r="AR618" s="3"/>
      <c r="AS618" s="98"/>
      <c r="AT618" s="98"/>
      <c r="AU618" s="98"/>
      <c r="AV618" s="98"/>
      <c r="AW618" s="98"/>
      <c r="AX618" s="98"/>
      <c r="AY618" s="98"/>
      <c r="AZ618" s="98"/>
    </row>
    <row r="619">
      <c r="A619" s="3"/>
      <c r="B619" s="36"/>
      <c r="C619" s="91"/>
      <c r="D619" s="13"/>
      <c r="E619" s="13"/>
      <c r="F619" s="3"/>
      <c r="G619" s="3"/>
      <c r="H619" s="3"/>
      <c r="I619" s="13"/>
      <c r="J619" s="13"/>
      <c r="K619" s="13"/>
      <c r="L619" s="36"/>
      <c r="M619" s="91"/>
      <c r="N619" s="3"/>
      <c r="O619" s="3"/>
      <c r="P619" s="7"/>
      <c r="Q619" s="7"/>
      <c r="R619" s="166"/>
      <c r="S619" s="166"/>
      <c r="T619" s="7"/>
      <c r="U619" s="3"/>
      <c r="V619" s="13"/>
      <c r="W619" s="3"/>
      <c r="X619" s="166"/>
      <c r="Y619" s="7"/>
      <c r="Z619" s="13"/>
      <c r="AA619" s="7"/>
      <c r="AB619" s="7"/>
      <c r="AC619" s="257"/>
      <c r="AD619" s="166"/>
      <c r="AE619" s="258"/>
      <c r="AF619" s="7"/>
      <c r="AG619" s="7"/>
      <c r="AH619" s="166"/>
      <c r="AI619" s="13"/>
      <c r="AJ619" s="3"/>
      <c r="AK619" s="13"/>
      <c r="AL619" s="3"/>
      <c r="AM619" s="3"/>
      <c r="AN619" s="3"/>
      <c r="AO619" s="3"/>
      <c r="AP619" s="3"/>
      <c r="AQ619" s="3"/>
      <c r="AR619" s="3"/>
      <c r="AS619" s="98"/>
      <c r="AT619" s="98"/>
      <c r="AU619" s="98"/>
      <c r="AV619" s="98"/>
      <c r="AW619" s="98"/>
      <c r="AX619" s="98"/>
      <c r="AY619" s="98"/>
      <c r="AZ619" s="98"/>
    </row>
    <row r="620">
      <c r="A620" s="3"/>
      <c r="B620" s="36"/>
      <c r="C620" s="91"/>
      <c r="D620" s="13"/>
      <c r="E620" s="13"/>
      <c r="F620" s="3"/>
      <c r="G620" s="3"/>
      <c r="H620" s="3"/>
      <c r="I620" s="13"/>
      <c r="J620" s="13"/>
      <c r="K620" s="13"/>
      <c r="L620" s="36"/>
      <c r="M620" s="91"/>
      <c r="N620" s="3"/>
      <c r="O620" s="3"/>
      <c r="P620" s="7"/>
      <c r="Q620" s="7"/>
      <c r="R620" s="166"/>
      <c r="S620" s="166"/>
      <c r="T620" s="7"/>
      <c r="U620" s="3"/>
      <c r="V620" s="13"/>
      <c r="W620" s="3"/>
      <c r="X620" s="166"/>
      <c r="Y620" s="7"/>
      <c r="Z620" s="13"/>
      <c r="AA620" s="7"/>
      <c r="AB620" s="7"/>
      <c r="AC620" s="257"/>
      <c r="AD620" s="166"/>
      <c r="AE620" s="258"/>
      <c r="AF620" s="7"/>
      <c r="AG620" s="7"/>
      <c r="AH620" s="166"/>
      <c r="AI620" s="13"/>
      <c r="AJ620" s="3"/>
      <c r="AK620" s="13"/>
      <c r="AL620" s="3"/>
      <c r="AM620" s="3"/>
      <c r="AN620" s="3"/>
      <c r="AO620" s="3"/>
      <c r="AP620" s="3"/>
      <c r="AQ620" s="3"/>
      <c r="AR620" s="3"/>
      <c r="AS620" s="98"/>
      <c r="AT620" s="98"/>
      <c r="AU620" s="98"/>
      <c r="AV620" s="98"/>
      <c r="AW620" s="98"/>
      <c r="AX620" s="98"/>
      <c r="AY620" s="98"/>
      <c r="AZ620" s="98"/>
    </row>
    <row r="621">
      <c r="A621" s="3"/>
      <c r="B621" s="36"/>
      <c r="C621" s="91"/>
      <c r="D621" s="13"/>
      <c r="E621" s="13"/>
      <c r="F621" s="3"/>
      <c r="G621" s="3"/>
      <c r="H621" s="3"/>
      <c r="I621" s="13"/>
      <c r="J621" s="13"/>
      <c r="K621" s="13"/>
      <c r="L621" s="36"/>
      <c r="M621" s="91"/>
      <c r="N621" s="3"/>
      <c r="O621" s="3"/>
      <c r="P621" s="7"/>
      <c r="Q621" s="7"/>
      <c r="R621" s="166"/>
      <c r="S621" s="166"/>
      <c r="T621" s="7"/>
      <c r="U621" s="3"/>
      <c r="V621" s="13"/>
      <c r="W621" s="3"/>
      <c r="X621" s="166"/>
      <c r="Y621" s="7"/>
      <c r="Z621" s="13"/>
      <c r="AA621" s="7"/>
      <c r="AB621" s="7"/>
      <c r="AC621" s="257"/>
      <c r="AD621" s="166"/>
      <c r="AE621" s="258"/>
      <c r="AF621" s="7"/>
      <c r="AG621" s="7"/>
      <c r="AH621" s="166"/>
      <c r="AI621" s="13"/>
      <c r="AJ621" s="3"/>
      <c r="AK621" s="13"/>
      <c r="AL621" s="3"/>
      <c r="AM621" s="3"/>
      <c r="AN621" s="3"/>
      <c r="AO621" s="3"/>
      <c r="AP621" s="3"/>
      <c r="AQ621" s="3"/>
      <c r="AR621" s="3"/>
      <c r="AS621" s="98"/>
      <c r="AT621" s="98"/>
      <c r="AU621" s="98"/>
      <c r="AV621" s="98"/>
      <c r="AW621" s="98"/>
      <c r="AX621" s="98"/>
      <c r="AY621" s="98"/>
      <c r="AZ621" s="98"/>
    </row>
    <row r="622">
      <c r="A622" s="3"/>
      <c r="B622" s="36"/>
      <c r="C622" s="91"/>
      <c r="D622" s="13"/>
      <c r="E622" s="13"/>
      <c r="F622" s="3"/>
      <c r="G622" s="3"/>
      <c r="H622" s="3"/>
      <c r="I622" s="13"/>
      <c r="J622" s="13"/>
      <c r="K622" s="13"/>
      <c r="L622" s="36"/>
      <c r="M622" s="91"/>
      <c r="N622" s="3"/>
      <c r="O622" s="3"/>
      <c r="P622" s="7"/>
      <c r="Q622" s="7"/>
      <c r="R622" s="166"/>
      <c r="S622" s="166"/>
      <c r="T622" s="7"/>
      <c r="U622" s="3"/>
      <c r="V622" s="13"/>
      <c r="W622" s="3"/>
      <c r="X622" s="166"/>
      <c r="Y622" s="7"/>
      <c r="Z622" s="13"/>
      <c r="AA622" s="7"/>
      <c r="AB622" s="7"/>
      <c r="AC622" s="257"/>
      <c r="AD622" s="166"/>
      <c r="AE622" s="258"/>
      <c r="AF622" s="7"/>
      <c r="AG622" s="7"/>
      <c r="AH622" s="166"/>
      <c r="AI622" s="13"/>
      <c r="AJ622" s="3"/>
      <c r="AK622" s="13"/>
      <c r="AL622" s="3"/>
      <c r="AM622" s="3"/>
      <c r="AN622" s="3"/>
      <c r="AO622" s="3"/>
      <c r="AP622" s="3"/>
      <c r="AQ622" s="3"/>
      <c r="AR622" s="3"/>
      <c r="AS622" s="98"/>
      <c r="AT622" s="98"/>
      <c r="AU622" s="98"/>
      <c r="AV622" s="98"/>
      <c r="AW622" s="98"/>
      <c r="AX622" s="98"/>
      <c r="AY622" s="98"/>
      <c r="AZ622" s="98"/>
    </row>
    <row r="623">
      <c r="A623" s="3"/>
      <c r="B623" s="36"/>
      <c r="C623" s="91"/>
      <c r="D623" s="13"/>
      <c r="E623" s="13"/>
      <c r="F623" s="3"/>
      <c r="G623" s="3"/>
      <c r="H623" s="3"/>
      <c r="I623" s="13"/>
      <c r="J623" s="13"/>
      <c r="K623" s="13"/>
      <c r="L623" s="36"/>
      <c r="M623" s="91"/>
      <c r="N623" s="3"/>
      <c r="O623" s="3"/>
      <c r="P623" s="7"/>
      <c r="Q623" s="7"/>
      <c r="R623" s="166"/>
      <c r="S623" s="166"/>
      <c r="T623" s="7"/>
      <c r="U623" s="3"/>
      <c r="V623" s="13"/>
      <c r="W623" s="3"/>
      <c r="X623" s="166"/>
      <c r="Y623" s="7"/>
      <c r="Z623" s="13"/>
      <c r="AA623" s="7"/>
      <c r="AB623" s="7"/>
      <c r="AC623" s="257"/>
      <c r="AD623" s="166"/>
      <c r="AE623" s="258"/>
      <c r="AF623" s="7"/>
      <c r="AG623" s="7"/>
      <c r="AH623" s="166"/>
      <c r="AI623" s="13"/>
      <c r="AJ623" s="3"/>
      <c r="AK623" s="13"/>
      <c r="AL623" s="3"/>
      <c r="AM623" s="3"/>
      <c r="AN623" s="3"/>
      <c r="AO623" s="3"/>
      <c r="AP623" s="3"/>
      <c r="AQ623" s="3"/>
      <c r="AR623" s="3"/>
      <c r="AS623" s="98"/>
      <c r="AT623" s="98"/>
      <c r="AU623" s="98"/>
      <c r="AV623" s="98"/>
      <c r="AW623" s="98"/>
      <c r="AX623" s="98"/>
      <c r="AY623" s="98"/>
      <c r="AZ623" s="98"/>
    </row>
    <row r="624">
      <c r="A624" s="3"/>
      <c r="B624" s="36"/>
      <c r="C624" s="91"/>
      <c r="D624" s="13"/>
      <c r="E624" s="13"/>
      <c r="F624" s="3"/>
      <c r="G624" s="3"/>
      <c r="H624" s="3"/>
      <c r="I624" s="13"/>
      <c r="J624" s="13"/>
      <c r="K624" s="13"/>
      <c r="L624" s="36"/>
      <c r="M624" s="91"/>
      <c r="N624" s="3"/>
      <c r="O624" s="3"/>
      <c r="P624" s="7"/>
      <c r="Q624" s="7"/>
      <c r="R624" s="166"/>
      <c r="S624" s="166"/>
      <c r="T624" s="7"/>
      <c r="U624" s="3"/>
      <c r="V624" s="13"/>
      <c r="W624" s="3"/>
      <c r="X624" s="166"/>
      <c r="Y624" s="7"/>
      <c r="Z624" s="13"/>
      <c r="AA624" s="7"/>
      <c r="AB624" s="7"/>
      <c r="AC624" s="257"/>
      <c r="AD624" s="166"/>
      <c r="AE624" s="258"/>
      <c r="AF624" s="7"/>
      <c r="AG624" s="7"/>
      <c r="AH624" s="166"/>
      <c r="AI624" s="13"/>
      <c r="AJ624" s="3"/>
      <c r="AK624" s="13"/>
      <c r="AL624" s="3"/>
      <c r="AM624" s="3"/>
      <c r="AN624" s="3"/>
      <c r="AO624" s="3"/>
      <c r="AP624" s="3"/>
      <c r="AQ624" s="3"/>
      <c r="AR624" s="3"/>
      <c r="AS624" s="98"/>
      <c r="AT624" s="98"/>
      <c r="AU624" s="98"/>
      <c r="AV624" s="98"/>
      <c r="AW624" s="98"/>
      <c r="AX624" s="98"/>
      <c r="AY624" s="98"/>
      <c r="AZ624" s="98"/>
    </row>
    <row r="625">
      <c r="A625" s="3"/>
      <c r="B625" s="36"/>
      <c r="C625" s="91"/>
      <c r="D625" s="13"/>
      <c r="E625" s="13"/>
      <c r="F625" s="3"/>
      <c r="G625" s="3"/>
      <c r="H625" s="3"/>
      <c r="I625" s="13"/>
      <c r="J625" s="13"/>
      <c r="K625" s="13"/>
      <c r="L625" s="36"/>
      <c r="M625" s="91"/>
      <c r="N625" s="3"/>
      <c r="O625" s="3"/>
      <c r="P625" s="7"/>
      <c r="Q625" s="7"/>
      <c r="R625" s="166"/>
      <c r="S625" s="166"/>
      <c r="T625" s="7"/>
      <c r="U625" s="3"/>
      <c r="V625" s="13"/>
      <c r="W625" s="3"/>
      <c r="X625" s="166"/>
      <c r="Y625" s="7"/>
      <c r="Z625" s="13"/>
      <c r="AA625" s="7"/>
      <c r="AB625" s="7"/>
      <c r="AC625" s="257"/>
      <c r="AD625" s="166"/>
      <c r="AE625" s="258"/>
      <c r="AF625" s="7"/>
      <c r="AG625" s="7"/>
      <c r="AH625" s="166"/>
      <c r="AI625" s="13"/>
      <c r="AJ625" s="3"/>
      <c r="AK625" s="13"/>
      <c r="AL625" s="3"/>
      <c r="AM625" s="3"/>
      <c r="AN625" s="3"/>
      <c r="AO625" s="3"/>
      <c r="AP625" s="3"/>
      <c r="AQ625" s="3"/>
      <c r="AR625" s="3"/>
      <c r="AS625" s="98"/>
      <c r="AT625" s="98"/>
      <c r="AU625" s="98"/>
      <c r="AV625" s="98"/>
      <c r="AW625" s="98"/>
      <c r="AX625" s="98"/>
      <c r="AY625" s="98"/>
      <c r="AZ625" s="98"/>
    </row>
    <row r="626">
      <c r="A626" s="3"/>
      <c r="B626" s="36"/>
      <c r="C626" s="91"/>
      <c r="D626" s="13"/>
      <c r="E626" s="13"/>
      <c r="F626" s="3"/>
      <c r="G626" s="3"/>
      <c r="H626" s="3"/>
      <c r="I626" s="13"/>
      <c r="J626" s="13"/>
      <c r="K626" s="13"/>
      <c r="L626" s="36"/>
      <c r="M626" s="91"/>
      <c r="N626" s="3"/>
      <c r="O626" s="3"/>
      <c r="P626" s="7"/>
      <c r="Q626" s="7"/>
      <c r="R626" s="166"/>
      <c r="S626" s="166"/>
      <c r="T626" s="7"/>
      <c r="U626" s="3"/>
      <c r="V626" s="13"/>
      <c r="W626" s="3"/>
      <c r="X626" s="166"/>
      <c r="Y626" s="7"/>
      <c r="Z626" s="13"/>
      <c r="AA626" s="7"/>
      <c r="AB626" s="7"/>
      <c r="AC626" s="257"/>
      <c r="AD626" s="166"/>
      <c r="AE626" s="258"/>
      <c r="AF626" s="7"/>
      <c r="AG626" s="7"/>
      <c r="AH626" s="166"/>
      <c r="AI626" s="13"/>
      <c r="AJ626" s="3"/>
      <c r="AK626" s="13"/>
      <c r="AL626" s="3"/>
      <c r="AM626" s="3"/>
      <c r="AN626" s="3"/>
      <c r="AO626" s="3"/>
      <c r="AP626" s="3"/>
      <c r="AQ626" s="3"/>
      <c r="AR626" s="3"/>
      <c r="AS626" s="98"/>
      <c r="AT626" s="98"/>
      <c r="AU626" s="98"/>
      <c r="AV626" s="98"/>
      <c r="AW626" s="98"/>
      <c r="AX626" s="98"/>
      <c r="AY626" s="98"/>
      <c r="AZ626" s="98"/>
    </row>
    <row r="627">
      <c r="A627" s="3"/>
      <c r="B627" s="36"/>
      <c r="C627" s="91"/>
      <c r="D627" s="13"/>
      <c r="E627" s="13"/>
      <c r="F627" s="3"/>
      <c r="G627" s="3"/>
      <c r="H627" s="3"/>
      <c r="I627" s="13"/>
      <c r="J627" s="13"/>
      <c r="K627" s="13"/>
      <c r="L627" s="36"/>
      <c r="M627" s="91"/>
      <c r="N627" s="3"/>
      <c r="O627" s="3"/>
      <c r="P627" s="7"/>
      <c r="Q627" s="7"/>
      <c r="R627" s="166"/>
      <c r="S627" s="166"/>
      <c r="T627" s="7"/>
      <c r="U627" s="3"/>
      <c r="V627" s="13"/>
      <c r="W627" s="3"/>
      <c r="X627" s="166"/>
      <c r="Y627" s="7"/>
      <c r="Z627" s="13"/>
      <c r="AA627" s="7"/>
      <c r="AB627" s="7"/>
      <c r="AC627" s="257"/>
      <c r="AD627" s="166"/>
      <c r="AE627" s="258"/>
      <c r="AF627" s="7"/>
      <c r="AG627" s="7"/>
      <c r="AH627" s="166"/>
      <c r="AI627" s="13"/>
      <c r="AJ627" s="3"/>
      <c r="AK627" s="13"/>
      <c r="AL627" s="3"/>
      <c r="AM627" s="3"/>
      <c r="AN627" s="3"/>
      <c r="AO627" s="3"/>
      <c r="AP627" s="3"/>
      <c r="AQ627" s="3"/>
      <c r="AR627" s="3"/>
      <c r="AS627" s="98"/>
      <c r="AT627" s="98"/>
      <c r="AU627" s="98"/>
      <c r="AV627" s="98"/>
      <c r="AW627" s="98"/>
      <c r="AX627" s="98"/>
      <c r="AY627" s="98"/>
      <c r="AZ627" s="98"/>
    </row>
    <row r="628">
      <c r="A628" s="3"/>
      <c r="B628" s="36"/>
      <c r="C628" s="91"/>
      <c r="D628" s="13"/>
      <c r="E628" s="13"/>
      <c r="F628" s="3"/>
      <c r="G628" s="3"/>
      <c r="H628" s="3"/>
      <c r="I628" s="13"/>
      <c r="J628" s="13"/>
      <c r="K628" s="13"/>
      <c r="L628" s="36"/>
      <c r="M628" s="91"/>
      <c r="N628" s="3"/>
      <c r="O628" s="3"/>
      <c r="P628" s="7"/>
      <c r="Q628" s="7"/>
      <c r="R628" s="166"/>
      <c r="S628" s="166"/>
      <c r="T628" s="7"/>
      <c r="U628" s="3"/>
      <c r="V628" s="13"/>
      <c r="W628" s="3"/>
      <c r="X628" s="166"/>
      <c r="Y628" s="7"/>
      <c r="Z628" s="13"/>
      <c r="AA628" s="7"/>
      <c r="AB628" s="7"/>
      <c r="AC628" s="257"/>
      <c r="AD628" s="166"/>
      <c r="AE628" s="258"/>
      <c r="AF628" s="7"/>
      <c r="AG628" s="7"/>
      <c r="AH628" s="166"/>
      <c r="AI628" s="13"/>
      <c r="AJ628" s="3"/>
      <c r="AK628" s="13"/>
      <c r="AL628" s="3"/>
      <c r="AM628" s="3"/>
      <c r="AN628" s="3"/>
      <c r="AO628" s="3"/>
      <c r="AP628" s="3"/>
      <c r="AQ628" s="3"/>
      <c r="AR628" s="3"/>
      <c r="AS628" s="98"/>
      <c r="AT628" s="98"/>
      <c r="AU628" s="98"/>
      <c r="AV628" s="98"/>
      <c r="AW628" s="98"/>
      <c r="AX628" s="98"/>
      <c r="AY628" s="98"/>
      <c r="AZ628" s="98"/>
    </row>
    <row r="629">
      <c r="A629" s="3"/>
      <c r="B629" s="36"/>
      <c r="C629" s="91"/>
      <c r="D629" s="13"/>
      <c r="E629" s="13"/>
      <c r="F629" s="3"/>
      <c r="G629" s="3"/>
      <c r="H629" s="3"/>
      <c r="I629" s="13"/>
      <c r="J629" s="13"/>
      <c r="K629" s="13"/>
      <c r="L629" s="36"/>
      <c r="M629" s="91"/>
      <c r="N629" s="3"/>
      <c r="O629" s="3"/>
      <c r="P629" s="7"/>
      <c r="Q629" s="7"/>
      <c r="R629" s="166"/>
      <c r="S629" s="166"/>
      <c r="T629" s="7"/>
      <c r="U629" s="3"/>
      <c r="V629" s="13"/>
      <c r="W629" s="3"/>
      <c r="X629" s="166"/>
      <c r="Y629" s="7"/>
      <c r="Z629" s="13"/>
      <c r="AA629" s="7"/>
      <c r="AB629" s="7"/>
      <c r="AC629" s="257"/>
      <c r="AD629" s="166"/>
      <c r="AE629" s="258"/>
      <c r="AF629" s="7"/>
      <c r="AG629" s="7"/>
      <c r="AH629" s="166"/>
      <c r="AI629" s="13"/>
      <c r="AJ629" s="3"/>
      <c r="AK629" s="13"/>
      <c r="AL629" s="3"/>
      <c r="AM629" s="3"/>
      <c r="AN629" s="3"/>
      <c r="AO629" s="3"/>
      <c r="AP629" s="3"/>
      <c r="AQ629" s="3"/>
      <c r="AR629" s="3"/>
      <c r="AS629" s="98"/>
      <c r="AT629" s="98"/>
      <c r="AU629" s="98"/>
      <c r="AV629" s="98"/>
      <c r="AW629" s="98"/>
      <c r="AX629" s="98"/>
      <c r="AY629" s="98"/>
      <c r="AZ629" s="98"/>
    </row>
    <row r="630">
      <c r="A630" s="3"/>
      <c r="B630" s="36"/>
      <c r="C630" s="91"/>
      <c r="D630" s="13"/>
      <c r="E630" s="13"/>
      <c r="F630" s="3"/>
      <c r="G630" s="3"/>
      <c r="H630" s="3"/>
      <c r="I630" s="13"/>
      <c r="J630" s="13"/>
      <c r="K630" s="13"/>
      <c r="L630" s="36"/>
      <c r="M630" s="91"/>
      <c r="N630" s="3"/>
      <c r="O630" s="3"/>
      <c r="P630" s="7"/>
      <c r="Q630" s="7"/>
      <c r="R630" s="166"/>
      <c r="S630" s="166"/>
      <c r="T630" s="7"/>
      <c r="U630" s="3"/>
      <c r="V630" s="13"/>
      <c r="W630" s="3"/>
      <c r="X630" s="166"/>
      <c r="Y630" s="7"/>
      <c r="Z630" s="13"/>
      <c r="AA630" s="7"/>
      <c r="AB630" s="7"/>
      <c r="AC630" s="257"/>
      <c r="AD630" s="166"/>
      <c r="AE630" s="258"/>
      <c r="AF630" s="7"/>
      <c r="AG630" s="7"/>
      <c r="AH630" s="166"/>
      <c r="AI630" s="13"/>
      <c r="AJ630" s="3"/>
      <c r="AK630" s="13"/>
      <c r="AL630" s="3"/>
      <c r="AM630" s="3"/>
      <c r="AN630" s="3"/>
      <c r="AO630" s="3"/>
      <c r="AP630" s="3"/>
      <c r="AQ630" s="3"/>
      <c r="AR630" s="3"/>
      <c r="AS630" s="98"/>
      <c r="AT630" s="98"/>
      <c r="AU630" s="98"/>
      <c r="AV630" s="98"/>
      <c r="AW630" s="98"/>
      <c r="AX630" s="98"/>
      <c r="AY630" s="98"/>
      <c r="AZ630" s="98"/>
    </row>
    <row r="631">
      <c r="A631" s="3"/>
      <c r="B631" s="36"/>
      <c r="C631" s="91"/>
      <c r="D631" s="13"/>
      <c r="E631" s="13"/>
      <c r="F631" s="3"/>
      <c r="G631" s="3"/>
      <c r="H631" s="3"/>
      <c r="I631" s="13"/>
      <c r="J631" s="13"/>
      <c r="K631" s="13"/>
      <c r="L631" s="36"/>
      <c r="M631" s="91"/>
      <c r="N631" s="3"/>
      <c r="O631" s="3"/>
      <c r="P631" s="7"/>
      <c r="Q631" s="7"/>
      <c r="R631" s="166"/>
      <c r="S631" s="166"/>
      <c r="T631" s="7"/>
      <c r="U631" s="3"/>
      <c r="V631" s="13"/>
      <c r="W631" s="3"/>
      <c r="X631" s="166"/>
      <c r="Y631" s="7"/>
      <c r="Z631" s="13"/>
      <c r="AA631" s="7"/>
      <c r="AB631" s="7"/>
      <c r="AC631" s="257"/>
      <c r="AD631" s="166"/>
      <c r="AE631" s="258"/>
      <c r="AF631" s="7"/>
      <c r="AG631" s="7"/>
      <c r="AH631" s="166"/>
      <c r="AI631" s="13"/>
      <c r="AJ631" s="3"/>
      <c r="AK631" s="13"/>
      <c r="AL631" s="3"/>
      <c r="AM631" s="3"/>
      <c r="AN631" s="3"/>
      <c r="AO631" s="3"/>
      <c r="AP631" s="3"/>
      <c r="AQ631" s="3"/>
      <c r="AR631" s="3"/>
      <c r="AS631" s="98"/>
      <c r="AT631" s="98"/>
      <c r="AU631" s="98"/>
      <c r="AV631" s="98"/>
      <c r="AW631" s="98"/>
      <c r="AX631" s="98"/>
      <c r="AY631" s="98"/>
      <c r="AZ631" s="98"/>
    </row>
    <row r="632">
      <c r="A632" s="3"/>
      <c r="B632" s="36"/>
      <c r="C632" s="91"/>
      <c r="D632" s="13"/>
      <c r="E632" s="13"/>
      <c r="F632" s="3"/>
      <c r="G632" s="3"/>
      <c r="H632" s="3"/>
      <c r="I632" s="13"/>
      <c r="J632" s="13"/>
      <c r="K632" s="13"/>
      <c r="L632" s="36"/>
      <c r="M632" s="91"/>
      <c r="N632" s="3"/>
      <c r="O632" s="3"/>
      <c r="P632" s="7"/>
      <c r="Q632" s="7"/>
      <c r="R632" s="166"/>
      <c r="S632" s="166"/>
      <c r="T632" s="7"/>
      <c r="U632" s="3"/>
      <c r="V632" s="13"/>
      <c r="W632" s="3"/>
      <c r="X632" s="166"/>
      <c r="Y632" s="7"/>
      <c r="Z632" s="13"/>
      <c r="AA632" s="7"/>
      <c r="AB632" s="7"/>
      <c r="AC632" s="257"/>
      <c r="AD632" s="166"/>
      <c r="AE632" s="258"/>
      <c r="AF632" s="7"/>
      <c r="AG632" s="7"/>
      <c r="AH632" s="166"/>
      <c r="AI632" s="13"/>
      <c r="AJ632" s="3"/>
      <c r="AK632" s="13"/>
      <c r="AL632" s="3"/>
      <c r="AM632" s="3"/>
      <c r="AN632" s="3"/>
      <c r="AO632" s="3"/>
      <c r="AP632" s="3"/>
      <c r="AQ632" s="3"/>
      <c r="AR632" s="3"/>
      <c r="AS632" s="98"/>
      <c r="AT632" s="98"/>
      <c r="AU632" s="98"/>
      <c r="AV632" s="98"/>
      <c r="AW632" s="98"/>
      <c r="AX632" s="98"/>
      <c r="AY632" s="98"/>
      <c r="AZ632" s="98"/>
    </row>
    <row r="633">
      <c r="A633" s="3"/>
      <c r="B633" s="36"/>
      <c r="C633" s="91"/>
      <c r="D633" s="13"/>
      <c r="E633" s="13"/>
      <c r="F633" s="3"/>
      <c r="G633" s="3"/>
      <c r="H633" s="3"/>
      <c r="I633" s="13"/>
      <c r="J633" s="13"/>
      <c r="K633" s="13"/>
      <c r="L633" s="36"/>
      <c r="M633" s="91"/>
      <c r="N633" s="3"/>
      <c r="O633" s="3"/>
      <c r="P633" s="7"/>
      <c r="Q633" s="7"/>
      <c r="R633" s="166"/>
      <c r="S633" s="166"/>
      <c r="T633" s="7"/>
      <c r="U633" s="3"/>
      <c r="V633" s="13"/>
      <c r="W633" s="3"/>
      <c r="X633" s="166"/>
      <c r="Y633" s="7"/>
      <c r="Z633" s="13"/>
      <c r="AA633" s="7"/>
      <c r="AB633" s="7"/>
      <c r="AC633" s="257"/>
      <c r="AD633" s="166"/>
      <c r="AE633" s="258"/>
      <c r="AF633" s="7"/>
      <c r="AG633" s="7"/>
      <c r="AH633" s="166"/>
      <c r="AI633" s="13"/>
      <c r="AJ633" s="3"/>
      <c r="AK633" s="13"/>
      <c r="AL633" s="3"/>
      <c r="AM633" s="3"/>
      <c r="AN633" s="3"/>
      <c r="AO633" s="3"/>
      <c r="AP633" s="3"/>
      <c r="AQ633" s="3"/>
      <c r="AR633" s="3"/>
      <c r="AS633" s="98"/>
      <c r="AT633" s="98"/>
      <c r="AU633" s="98"/>
      <c r="AV633" s="98"/>
      <c r="AW633" s="98"/>
      <c r="AX633" s="98"/>
      <c r="AY633" s="98"/>
      <c r="AZ633" s="98"/>
    </row>
    <row r="634">
      <c r="A634" s="3"/>
      <c r="B634" s="36"/>
      <c r="C634" s="91"/>
      <c r="D634" s="13"/>
      <c r="E634" s="13"/>
      <c r="F634" s="3"/>
      <c r="G634" s="3"/>
      <c r="H634" s="3"/>
      <c r="I634" s="13"/>
      <c r="J634" s="13"/>
      <c r="K634" s="13"/>
      <c r="L634" s="36"/>
      <c r="M634" s="91"/>
      <c r="N634" s="3"/>
      <c r="O634" s="3"/>
      <c r="P634" s="7"/>
      <c r="Q634" s="7"/>
      <c r="R634" s="166"/>
      <c r="S634" s="166"/>
      <c r="T634" s="7"/>
      <c r="U634" s="3"/>
      <c r="V634" s="13"/>
      <c r="W634" s="3"/>
      <c r="X634" s="166"/>
      <c r="Y634" s="7"/>
      <c r="Z634" s="13"/>
      <c r="AA634" s="7"/>
      <c r="AB634" s="7"/>
      <c r="AC634" s="257"/>
      <c r="AD634" s="166"/>
      <c r="AE634" s="258"/>
      <c r="AF634" s="7"/>
      <c r="AG634" s="7"/>
      <c r="AH634" s="166"/>
      <c r="AI634" s="13"/>
      <c r="AJ634" s="3"/>
      <c r="AK634" s="13"/>
      <c r="AL634" s="3"/>
      <c r="AM634" s="3"/>
      <c r="AN634" s="3"/>
      <c r="AO634" s="3"/>
      <c r="AP634" s="3"/>
      <c r="AQ634" s="3"/>
      <c r="AR634" s="3"/>
      <c r="AS634" s="98"/>
      <c r="AT634" s="98"/>
      <c r="AU634" s="98"/>
      <c r="AV634" s="98"/>
      <c r="AW634" s="98"/>
      <c r="AX634" s="98"/>
      <c r="AY634" s="98"/>
      <c r="AZ634" s="98"/>
    </row>
    <row r="635">
      <c r="A635" s="3"/>
      <c r="B635" s="36"/>
      <c r="C635" s="91"/>
      <c r="D635" s="13"/>
      <c r="E635" s="13"/>
      <c r="F635" s="3"/>
      <c r="G635" s="3"/>
      <c r="H635" s="3"/>
      <c r="I635" s="13"/>
      <c r="J635" s="13"/>
      <c r="K635" s="13"/>
      <c r="L635" s="36"/>
      <c r="M635" s="91"/>
      <c r="N635" s="3"/>
      <c r="O635" s="3"/>
      <c r="P635" s="7"/>
      <c r="Q635" s="7"/>
      <c r="R635" s="166"/>
      <c r="S635" s="166"/>
      <c r="T635" s="7"/>
      <c r="U635" s="3"/>
      <c r="V635" s="13"/>
      <c r="W635" s="3"/>
      <c r="X635" s="166"/>
      <c r="Y635" s="7"/>
      <c r="Z635" s="13"/>
      <c r="AA635" s="7"/>
      <c r="AB635" s="7"/>
      <c r="AC635" s="257"/>
      <c r="AD635" s="166"/>
      <c r="AE635" s="258"/>
      <c r="AF635" s="7"/>
      <c r="AG635" s="7"/>
      <c r="AH635" s="166"/>
      <c r="AI635" s="13"/>
      <c r="AJ635" s="3"/>
      <c r="AK635" s="13"/>
      <c r="AL635" s="3"/>
      <c r="AM635" s="3"/>
      <c r="AN635" s="3"/>
      <c r="AO635" s="3"/>
      <c r="AP635" s="3"/>
      <c r="AQ635" s="3"/>
      <c r="AR635" s="3"/>
      <c r="AS635" s="98"/>
      <c r="AT635" s="98"/>
      <c r="AU635" s="98"/>
      <c r="AV635" s="98"/>
      <c r="AW635" s="98"/>
      <c r="AX635" s="98"/>
      <c r="AY635" s="98"/>
      <c r="AZ635" s="98"/>
    </row>
    <row r="636">
      <c r="A636" s="3"/>
      <c r="B636" s="36"/>
      <c r="C636" s="91"/>
      <c r="D636" s="13"/>
      <c r="E636" s="13"/>
      <c r="F636" s="3"/>
      <c r="G636" s="3"/>
      <c r="H636" s="3"/>
      <c r="I636" s="13"/>
      <c r="J636" s="13"/>
      <c r="K636" s="13"/>
      <c r="L636" s="36"/>
      <c r="M636" s="91"/>
      <c r="N636" s="3"/>
      <c r="O636" s="3"/>
      <c r="P636" s="7"/>
      <c r="Q636" s="7"/>
      <c r="R636" s="166"/>
      <c r="S636" s="166"/>
      <c r="T636" s="7"/>
      <c r="U636" s="3"/>
      <c r="V636" s="13"/>
      <c r="W636" s="3"/>
      <c r="X636" s="166"/>
      <c r="Y636" s="7"/>
      <c r="Z636" s="13"/>
      <c r="AA636" s="7"/>
      <c r="AB636" s="7"/>
      <c r="AC636" s="257"/>
      <c r="AD636" s="166"/>
      <c r="AE636" s="258"/>
      <c r="AF636" s="7"/>
      <c r="AG636" s="7"/>
      <c r="AH636" s="166"/>
      <c r="AI636" s="13"/>
      <c r="AJ636" s="3"/>
      <c r="AK636" s="13"/>
      <c r="AL636" s="3"/>
      <c r="AM636" s="3"/>
      <c r="AN636" s="3"/>
      <c r="AO636" s="3"/>
      <c r="AP636" s="3"/>
      <c r="AQ636" s="3"/>
      <c r="AR636" s="3"/>
      <c r="AS636" s="98"/>
      <c r="AT636" s="98"/>
      <c r="AU636" s="98"/>
      <c r="AV636" s="98"/>
      <c r="AW636" s="98"/>
      <c r="AX636" s="98"/>
      <c r="AY636" s="98"/>
      <c r="AZ636" s="98"/>
    </row>
    <row r="637">
      <c r="A637" s="3"/>
      <c r="B637" s="36"/>
      <c r="C637" s="91"/>
      <c r="D637" s="13"/>
      <c r="E637" s="13"/>
      <c r="F637" s="3"/>
      <c r="G637" s="3"/>
      <c r="H637" s="3"/>
      <c r="I637" s="13"/>
      <c r="J637" s="13"/>
      <c r="K637" s="13"/>
      <c r="L637" s="36"/>
      <c r="M637" s="91"/>
      <c r="N637" s="3"/>
      <c r="O637" s="3"/>
      <c r="P637" s="7"/>
      <c r="Q637" s="7"/>
      <c r="R637" s="166"/>
      <c r="S637" s="166"/>
      <c r="T637" s="7"/>
      <c r="U637" s="3"/>
      <c r="V637" s="13"/>
      <c r="W637" s="3"/>
      <c r="X637" s="166"/>
      <c r="Y637" s="7"/>
      <c r="Z637" s="13"/>
      <c r="AA637" s="7"/>
      <c r="AB637" s="7"/>
      <c r="AC637" s="257"/>
      <c r="AD637" s="166"/>
      <c r="AE637" s="258"/>
      <c r="AF637" s="7"/>
      <c r="AG637" s="7"/>
      <c r="AH637" s="166"/>
      <c r="AI637" s="13"/>
      <c r="AJ637" s="3"/>
      <c r="AK637" s="13"/>
      <c r="AL637" s="3"/>
      <c r="AM637" s="3"/>
      <c r="AN637" s="3"/>
      <c r="AO637" s="3"/>
      <c r="AP637" s="3"/>
      <c r="AQ637" s="3"/>
      <c r="AR637" s="3"/>
      <c r="AS637" s="98"/>
      <c r="AT637" s="98"/>
      <c r="AU637" s="98"/>
      <c r="AV637" s="98"/>
      <c r="AW637" s="98"/>
      <c r="AX637" s="98"/>
      <c r="AY637" s="98"/>
      <c r="AZ637" s="98"/>
    </row>
    <row r="638">
      <c r="A638" s="3"/>
      <c r="B638" s="36"/>
      <c r="C638" s="91"/>
      <c r="D638" s="13"/>
      <c r="E638" s="13"/>
      <c r="F638" s="3"/>
      <c r="G638" s="3"/>
      <c r="H638" s="3"/>
      <c r="I638" s="13"/>
      <c r="J638" s="13"/>
      <c r="K638" s="13"/>
      <c r="L638" s="36"/>
      <c r="M638" s="91"/>
      <c r="N638" s="3"/>
      <c r="O638" s="3"/>
      <c r="P638" s="7"/>
      <c r="Q638" s="7"/>
      <c r="R638" s="166"/>
      <c r="S638" s="166"/>
      <c r="T638" s="7"/>
      <c r="U638" s="3"/>
      <c r="V638" s="13"/>
      <c r="W638" s="3"/>
      <c r="X638" s="166"/>
      <c r="Y638" s="7"/>
      <c r="Z638" s="13"/>
      <c r="AA638" s="7"/>
      <c r="AB638" s="7"/>
      <c r="AC638" s="257"/>
      <c r="AD638" s="166"/>
      <c r="AE638" s="258"/>
      <c r="AF638" s="7"/>
      <c r="AG638" s="7"/>
      <c r="AH638" s="166"/>
      <c r="AI638" s="13"/>
      <c r="AJ638" s="3"/>
      <c r="AK638" s="13"/>
      <c r="AL638" s="3"/>
      <c r="AM638" s="3"/>
      <c r="AN638" s="3"/>
      <c r="AO638" s="3"/>
      <c r="AP638" s="3"/>
      <c r="AQ638" s="3"/>
      <c r="AR638" s="3"/>
      <c r="AS638" s="98"/>
      <c r="AT638" s="98"/>
      <c r="AU638" s="98"/>
      <c r="AV638" s="98"/>
      <c r="AW638" s="98"/>
      <c r="AX638" s="98"/>
      <c r="AY638" s="98"/>
      <c r="AZ638" s="98"/>
    </row>
    <row r="639">
      <c r="A639" s="3"/>
      <c r="B639" s="36"/>
      <c r="C639" s="91"/>
      <c r="D639" s="13"/>
      <c r="E639" s="13"/>
      <c r="F639" s="3"/>
      <c r="G639" s="3"/>
      <c r="H639" s="3"/>
      <c r="I639" s="13"/>
      <c r="J639" s="13"/>
      <c r="K639" s="13"/>
      <c r="L639" s="36"/>
      <c r="M639" s="91"/>
      <c r="N639" s="3"/>
      <c r="O639" s="3"/>
      <c r="P639" s="7"/>
      <c r="Q639" s="7"/>
      <c r="R639" s="166"/>
      <c r="S639" s="166"/>
      <c r="T639" s="7"/>
      <c r="U639" s="3"/>
      <c r="V639" s="13"/>
      <c r="W639" s="3"/>
      <c r="X639" s="166"/>
      <c r="Y639" s="7"/>
      <c r="Z639" s="13"/>
      <c r="AA639" s="7"/>
      <c r="AB639" s="7"/>
      <c r="AC639" s="257"/>
      <c r="AD639" s="166"/>
      <c r="AE639" s="258"/>
      <c r="AF639" s="7"/>
      <c r="AG639" s="7"/>
      <c r="AH639" s="166"/>
      <c r="AI639" s="13"/>
      <c r="AJ639" s="3"/>
      <c r="AK639" s="13"/>
      <c r="AL639" s="3"/>
      <c r="AM639" s="3"/>
      <c r="AN639" s="3"/>
      <c r="AO639" s="3"/>
      <c r="AP639" s="3"/>
      <c r="AQ639" s="3"/>
      <c r="AR639" s="3"/>
      <c r="AS639" s="98"/>
      <c r="AT639" s="98"/>
      <c r="AU639" s="98"/>
      <c r="AV639" s="98"/>
      <c r="AW639" s="98"/>
      <c r="AX639" s="98"/>
      <c r="AY639" s="98"/>
      <c r="AZ639" s="98"/>
    </row>
    <row r="640">
      <c r="A640" s="3"/>
      <c r="B640" s="36"/>
      <c r="C640" s="91"/>
      <c r="D640" s="13"/>
      <c r="E640" s="13"/>
      <c r="F640" s="3"/>
      <c r="G640" s="3"/>
      <c r="H640" s="3"/>
      <c r="I640" s="13"/>
      <c r="J640" s="13"/>
      <c r="K640" s="13"/>
      <c r="L640" s="36"/>
      <c r="M640" s="91"/>
      <c r="N640" s="3"/>
      <c r="O640" s="3"/>
      <c r="P640" s="7"/>
      <c r="Q640" s="7"/>
      <c r="R640" s="166"/>
      <c r="S640" s="166"/>
      <c r="T640" s="7"/>
      <c r="U640" s="3"/>
      <c r="V640" s="13"/>
      <c r="W640" s="3"/>
      <c r="X640" s="166"/>
      <c r="Y640" s="7"/>
      <c r="Z640" s="13"/>
      <c r="AA640" s="7"/>
      <c r="AB640" s="7"/>
      <c r="AC640" s="257"/>
      <c r="AD640" s="166"/>
      <c r="AE640" s="258"/>
      <c r="AF640" s="7"/>
      <c r="AG640" s="7"/>
      <c r="AH640" s="166"/>
      <c r="AI640" s="13"/>
      <c r="AJ640" s="3"/>
      <c r="AK640" s="13"/>
      <c r="AL640" s="3"/>
      <c r="AM640" s="3"/>
      <c r="AN640" s="3"/>
      <c r="AO640" s="3"/>
      <c r="AP640" s="3"/>
      <c r="AQ640" s="3"/>
      <c r="AR640" s="3"/>
      <c r="AS640" s="98"/>
      <c r="AT640" s="98"/>
      <c r="AU640" s="98"/>
      <c r="AV640" s="98"/>
      <c r="AW640" s="98"/>
      <c r="AX640" s="98"/>
      <c r="AY640" s="98"/>
      <c r="AZ640" s="98"/>
    </row>
    <row r="641">
      <c r="A641" s="3"/>
      <c r="B641" s="36"/>
      <c r="C641" s="91"/>
      <c r="D641" s="13"/>
      <c r="E641" s="13"/>
      <c r="F641" s="3"/>
      <c r="G641" s="3"/>
      <c r="H641" s="3"/>
      <c r="I641" s="13"/>
      <c r="J641" s="13"/>
      <c r="K641" s="13"/>
      <c r="L641" s="36"/>
      <c r="M641" s="91"/>
      <c r="N641" s="3"/>
      <c r="O641" s="3"/>
      <c r="P641" s="7"/>
      <c r="Q641" s="7"/>
      <c r="R641" s="166"/>
      <c r="S641" s="166"/>
      <c r="T641" s="7"/>
      <c r="U641" s="3"/>
      <c r="V641" s="13"/>
      <c r="W641" s="3"/>
      <c r="X641" s="166"/>
      <c r="Y641" s="7"/>
      <c r="Z641" s="13"/>
      <c r="AA641" s="7"/>
      <c r="AB641" s="7"/>
      <c r="AC641" s="257"/>
      <c r="AD641" s="166"/>
      <c r="AE641" s="258"/>
      <c r="AF641" s="7"/>
      <c r="AG641" s="7"/>
      <c r="AH641" s="166"/>
      <c r="AI641" s="13"/>
      <c r="AJ641" s="3"/>
      <c r="AK641" s="13"/>
      <c r="AL641" s="3"/>
      <c r="AM641" s="3"/>
      <c r="AN641" s="3"/>
      <c r="AO641" s="3"/>
      <c r="AP641" s="3"/>
      <c r="AQ641" s="3"/>
      <c r="AR641" s="3"/>
      <c r="AS641" s="98"/>
      <c r="AT641" s="98"/>
      <c r="AU641" s="98"/>
      <c r="AV641" s="98"/>
      <c r="AW641" s="98"/>
      <c r="AX641" s="98"/>
      <c r="AY641" s="98"/>
      <c r="AZ641" s="98"/>
    </row>
    <row r="642">
      <c r="A642" s="3"/>
      <c r="B642" s="36"/>
      <c r="C642" s="91"/>
      <c r="D642" s="13"/>
      <c r="E642" s="13"/>
      <c r="F642" s="3"/>
      <c r="G642" s="3"/>
      <c r="H642" s="3"/>
      <c r="I642" s="13"/>
      <c r="J642" s="13"/>
      <c r="K642" s="13"/>
      <c r="L642" s="36"/>
      <c r="M642" s="91"/>
      <c r="N642" s="3"/>
      <c r="O642" s="3"/>
      <c r="P642" s="7"/>
      <c r="Q642" s="7"/>
      <c r="R642" s="166"/>
      <c r="S642" s="166"/>
      <c r="T642" s="7"/>
      <c r="U642" s="3"/>
      <c r="V642" s="13"/>
      <c r="W642" s="3"/>
      <c r="X642" s="166"/>
      <c r="Y642" s="7"/>
      <c r="Z642" s="13"/>
      <c r="AA642" s="7"/>
      <c r="AB642" s="7"/>
      <c r="AC642" s="257"/>
      <c r="AD642" s="166"/>
      <c r="AE642" s="258"/>
      <c r="AF642" s="7"/>
      <c r="AG642" s="7"/>
      <c r="AH642" s="166"/>
      <c r="AI642" s="13"/>
      <c r="AJ642" s="3"/>
      <c r="AK642" s="13"/>
      <c r="AL642" s="3"/>
      <c r="AM642" s="3"/>
      <c r="AN642" s="3"/>
      <c r="AO642" s="3"/>
      <c r="AP642" s="3"/>
      <c r="AQ642" s="3"/>
      <c r="AR642" s="3"/>
      <c r="AS642" s="98"/>
      <c r="AT642" s="98"/>
      <c r="AU642" s="98"/>
      <c r="AV642" s="98"/>
      <c r="AW642" s="98"/>
      <c r="AX642" s="98"/>
      <c r="AY642" s="98"/>
      <c r="AZ642" s="98"/>
    </row>
    <row r="643">
      <c r="A643" s="3"/>
      <c r="B643" s="36"/>
      <c r="C643" s="91"/>
      <c r="D643" s="13"/>
      <c r="E643" s="13"/>
      <c r="F643" s="3"/>
      <c r="G643" s="3"/>
      <c r="H643" s="3"/>
      <c r="I643" s="13"/>
      <c r="J643" s="13"/>
      <c r="K643" s="13"/>
      <c r="L643" s="36"/>
      <c r="M643" s="91"/>
      <c r="N643" s="3"/>
      <c r="O643" s="3"/>
      <c r="P643" s="7"/>
      <c r="Q643" s="7"/>
      <c r="R643" s="166"/>
      <c r="S643" s="166"/>
      <c r="T643" s="7"/>
      <c r="U643" s="3"/>
      <c r="V643" s="13"/>
      <c r="W643" s="3"/>
      <c r="X643" s="166"/>
      <c r="Y643" s="7"/>
      <c r="Z643" s="13"/>
      <c r="AA643" s="7"/>
      <c r="AB643" s="7"/>
      <c r="AC643" s="257"/>
      <c r="AD643" s="166"/>
      <c r="AE643" s="258"/>
      <c r="AF643" s="7"/>
      <c r="AG643" s="7"/>
      <c r="AH643" s="166"/>
      <c r="AI643" s="13"/>
      <c r="AJ643" s="3"/>
      <c r="AK643" s="13"/>
      <c r="AL643" s="3"/>
      <c r="AM643" s="3"/>
      <c r="AN643" s="3"/>
      <c r="AO643" s="3"/>
      <c r="AP643" s="3"/>
      <c r="AQ643" s="3"/>
      <c r="AR643" s="3"/>
      <c r="AS643" s="98"/>
      <c r="AT643" s="98"/>
      <c r="AU643" s="98"/>
      <c r="AV643" s="98"/>
      <c r="AW643" s="98"/>
      <c r="AX643" s="98"/>
      <c r="AY643" s="98"/>
      <c r="AZ643" s="98"/>
    </row>
    <row r="644">
      <c r="A644" s="3"/>
      <c r="B644" s="36"/>
      <c r="C644" s="91"/>
      <c r="D644" s="13"/>
      <c r="E644" s="13"/>
      <c r="F644" s="3"/>
      <c r="G644" s="3"/>
      <c r="H644" s="3"/>
      <c r="I644" s="13"/>
      <c r="J644" s="13"/>
      <c r="K644" s="13"/>
      <c r="L644" s="36"/>
      <c r="M644" s="91"/>
      <c r="N644" s="3"/>
      <c r="O644" s="3"/>
      <c r="P644" s="7"/>
      <c r="Q644" s="7"/>
      <c r="R644" s="166"/>
      <c r="S644" s="166"/>
      <c r="T644" s="7"/>
      <c r="U644" s="3"/>
      <c r="V644" s="13"/>
      <c r="W644" s="3"/>
      <c r="X644" s="166"/>
      <c r="Y644" s="7"/>
      <c r="Z644" s="13"/>
      <c r="AA644" s="7"/>
      <c r="AB644" s="7"/>
      <c r="AC644" s="257"/>
      <c r="AD644" s="166"/>
      <c r="AE644" s="258"/>
      <c r="AF644" s="7"/>
      <c r="AG644" s="7"/>
      <c r="AH644" s="166"/>
      <c r="AI644" s="13"/>
      <c r="AJ644" s="3"/>
      <c r="AK644" s="13"/>
      <c r="AL644" s="3"/>
      <c r="AM644" s="3"/>
      <c r="AN644" s="3"/>
      <c r="AO644" s="3"/>
      <c r="AP644" s="3"/>
      <c r="AQ644" s="3"/>
      <c r="AR644" s="3"/>
      <c r="AS644" s="98"/>
      <c r="AT644" s="98"/>
      <c r="AU644" s="98"/>
      <c r="AV644" s="98"/>
      <c r="AW644" s="98"/>
      <c r="AX644" s="98"/>
      <c r="AY644" s="98"/>
      <c r="AZ644" s="98"/>
    </row>
    <row r="645">
      <c r="A645" s="3"/>
      <c r="B645" s="36"/>
      <c r="C645" s="91"/>
      <c r="D645" s="13"/>
      <c r="E645" s="13"/>
      <c r="F645" s="3"/>
      <c r="G645" s="3"/>
      <c r="H645" s="3"/>
      <c r="I645" s="13"/>
      <c r="J645" s="13"/>
      <c r="K645" s="13"/>
      <c r="L645" s="36"/>
      <c r="M645" s="91"/>
      <c r="N645" s="3"/>
      <c r="O645" s="3"/>
      <c r="P645" s="7"/>
      <c r="Q645" s="7"/>
      <c r="R645" s="166"/>
      <c r="S645" s="166"/>
      <c r="T645" s="7"/>
      <c r="U645" s="3"/>
      <c r="V645" s="13"/>
      <c r="W645" s="3"/>
      <c r="X645" s="166"/>
      <c r="Y645" s="7"/>
      <c r="Z645" s="13"/>
      <c r="AA645" s="7"/>
      <c r="AB645" s="7"/>
      <c r="AC645" s="257"/>
      <c r="AD645" s="166"/>
      <c r="AE645" s="258"/>
      <c r="AF645" s="7"/>
      <c r="AG645" s="7"/>
      <c r="AH645" s="166"/>
      <c r="AI645" s="13"/>
      <c r="AJ645" s="3"/>
      <c r="AK645" s="13"/>
      <c r="AL645" s="3"/>
      <c r="AM645" s="3"/>
      <c r="AN645" s="3"/>
      <c r="AO645" s="3"/>
      <c r="AP645" s="3"/>
      <c r="AQ645" s="3"/>
      <c r="AR645" s="3"/>
      <c r="AS645" s="98"/>
      <c r="AT645" s="98"/>
      <c r="AU645" s="98"/>
      <c r="AV645" s="98"/>
      <c r="AW645" s="98"/>
      <c r="AX645" s="98"/>
      <c r="AY645" s="98"/>
      <c r="AZ645" s="98"/>
    </row>
    <row r="646">
      <c r="A646" s="3"/>
      <c r="B646" s="36"/>
      <c r="C646" s="91"/>
      <c r="D646" s="13"/>
      <c r="E646" s="13"/>
      <c r="F646" s="3"/>
      <c r="G646" s="3"/>
      <c r="H646" s="3"/>
      <c r="I646" s="13"/>
      <c r="J646" s="13"/>
      <c r="K646" s="13"/>
      <c r="L646" s="36"/>
      <c r="M646" s="91"/>
      <c r="N646" s="3"/>
      <c r="O646" s="3"/>
      <c r="P646" s="7"/>
      <c r="Q646" s="7"/>
      <c r="R646" s="166"/>
      <c r="S646" s="166"/>
      <c r="T646" s="7"/>
      <c r="U646" s="3"/>
      <c r="V646" s="13"/>
      <c r="W646" s="3"/>
      <c r="X646" s="166"/>
      <c r="Y646" s="7"/>
      <c r="Z646" s="13"/>
      <c r="AA646" s="7"/>
      <c r="AB646" s="7"/>
      <c r="AC646" s="257"/>
      <c r="AD646" s="166"/>
      <c r="AE646" s="258"/>
      <c r="AF646" s="7"/>
      <c r="AG646" s="7"/>
      <c r="AH646" s="166"/>
      <c r="AI646" s="13"/>
      <c r="AJ646" s="3"/>
      <c r="AK646" s="13"/>
      <c r="AL646" s="3"/>
      <c r="AM646" s="3"/>
      <c r="AN646" s="3"/>
      <c r="AO646" s="3"/>
      <c r="AP646" s="3"/>
      <c r="AQ646" s="3"/>
      <c r="AR646" s="3"/>
      <c r="AS646" s="98"/>
      <c r="AT646" s="98"/>
      <c r="AU646" s="98"/>
      <c r="AV646" s="98"/>
      <c r="AW646" s="98"/>
      <c r="AX646" s="98"/>
      <c r="AY646" s="98"/>
      <c r="AZ646" s="98"/>
    </row>
    <row r="647">
      <c r="A647" s="3"/>
      <c r="B647" s="36"/>
      <c r="C647" s="91"/>
      <c r="D647" s="13"/>
      <c r="E647" s="13"/>
      <c r="F647" s="3"/>
      <c r="G647" s="3"/>
      <c r="H647" s="3"/>
      <c r="I647" s="13"/>
      <c r="J647" s="13"/>
      <c r="K647" s="13"/>
      <c r="L647" s="36"/>
      <c r="M647" s="91"/>
      <c r="N647" s="3"/>
      <c r="O647" s="3"/>
      <c r="P647" s="7"/>
      <c r="Q647" s="7"/>
      <c r="R647" s="166"/>
      <c r="S647" s="166"/>
      <c r="T647" s="7"/>
      <c r="U647" s="3"/>
      <c r="V647" s="13"/>
      <c r="W647" s="3"/>
      <c r="X647" s="166"/>
      <c r="Y647" s="7"/>
      <c r="Z647" s="13"/>
      <c r="AA647" s="7"/>
      <c r="AB647" s="7"/>
      <c r="AC647" s="257"/>
      <c r="AD647" s="166"/>
      <c r="AE647" s="258"/>
      <c r="AF647" s="7"/>
      <c r="AG647" s="7"/>
      <c r="AH647" s="166"/>
      <c r="AI647" s="13"/>
      <c r="AJ647" s="3"/>
      <c r="AK647" s="13"/>
      <c r="AL647" s="3"/>
      <c r="AM647" s="3"/>
      <c r="AN647" s="3"/>
      <c r="AO647" s="3"/>
      <c r="AP647" s="3"/>
      <c r="AQ647" s="3"/>
      <c r="AR647" s="3"/>
      <c r="AS647" s="98"/>
      <c r="AT647" s="98"/>
      <c r="AU647" s="98"/>
      <c r="AV647" s="98"/>
      <c r="AW647" s="98"/>
      <c r="AX647" s="98"/>
      <c r="AY647" s="98"/>
      <c r="AZ647" s="98"/>
    </row>
    <row r="648">
      <c r="A648" s="3"/>
      <c r="B648" s="36"/>
      <c r="C648" s="91"/>
      <c r="D648" s="13"/>
      <c r="E648" s="13"/>
      <c r="F648" s="3"/>
      <c r="G648" s="3"/>
      <c r="H648" s="3"/>
      <c r="I648" s="13"/>
      <c r="J648" s="13"/>
      <c r="K648" s="13"/>
      <c r="L648" s="36"/>
      <c r="M648" s="91"/>
      <c r="N648" s="3"/>
      <c r="O648" s="3"/>
      <c r="P648" s="7"/>
      <c r="Q648" s="7"/>
      <c r="R648" s="166"/>
      <c r="S648" s="166"/>
      <c r="T648" s="7"/>
      <c r="U648" s="3"/>
      <c r="V648" s="13"/>
      <c r="W648" s="3"/>
      <c r="X648" s="166"/>
      <c r="Y648" s="7"/>
      <c r="Z648" s="13"/>
      <c r="AA648" s="7"/>
      <c r="AB648" s="7"/>
      <c r="AC648" s="257"/>
      <c r="AD648" s="166"/>
      <c r="AE648" s="258"/>
      <c r="AF648" s="7"/>
      <c r="AG648" s="7"/>
      <c r="AH648" s="166"/>
      <c r="AI648" s="13"/>
      <c r="AJ648" s="3"/>
      <c r="AK648" s="13"/>
      <c r="AL648" s="3"/>
      <c r="AM648" s="3"/>
      <c r="AN648" s="3"/>
      <c r="AO648" s="3"/>
      <c r="AP648" s="3"/>
      <c r="AQ648" s="3"/>
      <c r="AR648" s="3"/>
      <c r="AS648" s="98"/>
      <c r="AT648" s="98"/>
      <c r="AU648" s="98"/>
      <c r="AV648" s="98"/>
      <c r="AW648" s="98"/>
      <c r="AX648" s="98"/>
      <c r="AY648" s="98"/>
      <c r="AZ648" s="98"/>
    </row>
    <row r="649">
      <c r="A649" s="3"/>
      <c r="B649" s="36"/>
      <c r="C649" s="91"/>
      <c r="D649" s="13"/>
      <c r="E649" s="13"/>
      <c r="F649" s="3"/>
      <c r="G649" s="3"/>
      <c r="H649" s="3"/>
      <c r="I649" s="13"/>
      <c r="J649" s="13"/>
      <c r="K649" s="13"/>
      <c r="L649" s="36"/>
      <c r="M649" s="91"/>
      <c r="N649" s="3"/>
      <c r="O649" s="3"/>
      <c r="P649" s="7"/>
      <c r="Q649" s="7"/>
      <c r="R649" s="166"/>
      <c r="S649" s="166"/>
      <c r="T649" s="7"/>
      <c r="U649" s="3"/>
      <c r="V649" s="13"/>
      <c r="W649" s="3"/>
      <c r="X649" s="166"/>
      <c r="Y649" s="7"/>
      <c r="Z649" s="13"/>
      <c r="AA649" s="7"/>
      <c r="AB649" s="7"/>
      <c r="AC649" s="257"/>
      <c r="AD649" s="166"/>
      <c r="AE649" s="258"/>
      <c r="AF649" s="7"/>
      <c r="AG649" s="7"/>
      <c r="AH649" s="166"/>
      <c r="AI649" s="13"/>
      <c r="AJ649" s="3"/>
      <c r="AK649" s="13"/>
      <c r="AL649" s="3"/>
      <c r="AM649" s="3"/>
      <c r="AN649" s="3"/>
      <c r="AO649" s="3"/>
      <c r="AP649" s="3"/>
      <c r="AQ649" s="3"/>
      <c r="AR649" s="3"/>
      <c r="AS649" s="98"/>
      <c r="AT649" s="98"/>
      <c r="AU649" s="98"/>
      <c r="AV649" s="98"/>
      <c r="AW649" s="98"/>
      <c r="AX649" s="98"/>
      <c r="AY649" s="98"/>
      <c r="AZ649" s="98"/>
    </row>
    <row r="650">
      <c r="A650" s="3"/>
      <c r="B650" s="36"/>
      <c r="C650" s="91"/>
      <c r="D650" s="13"/>
      <c r="E650" s="13"/>
      <c r="F650" s="3"/>
      <c r="G650" s="3"/>
      <c r="H650" s="3"/>
      <c r="I650" s="13"/>
      <c r="J650" s="13"/>
      <c r="K650" s="13"/>
      <c r="L650" s="36"/>
      <c r="M650" s="91"/>
      <c r="N650" s="3"/>
      <c r="O650" s="3"/>
      <c r="P650" s="7"/>
      <c r="Q650" s="7"/>
      <c r="R650" s="166"/>
      <c r="S650" s="166"/>
      <c r="T650" s="7"/>
      <c r="U650" s="3"/>
      <c r="V650" s="13"/>
      <c r="W650" s="3"/>
      <c r="X650" s="166"/>
      <c r="Y650" s="7"/>
      <c r="Z650" s="13"/>
      <c r="AA650" s="7"/>
      <c r="AB650" s="7"/>
      <c r="AC650" s="257"/>
      <c r="AD650" s="166"/>
      <c r="AE650" s="258"/>
      <c r="AF650" s="7"/>
      <c r="AG650" s="7"/>
      <c r="AH650" s="166"/>
      <c r="AI650" s="13"/>
      <c r="AJ650" s="3"/>
      <c r="AK650" s="13"/>
      <c r="AL650" s="3"/>
      <c r="AM650" s="3"/>
      <c r="AN650" s="3"/>
      <c r="AO650" s="3"/>
      <c r="AP650" s="3"/>
      <c r="AQ650" s="3"/>
      <c r="AR650" s="3"/>
      <c r="AS650" s="98"/>
      <c r="AT650" s="98"/>
      <c r="AU650" s="98"/>
      <c r="AV650" s="98"/>
      <c r="AW650" s="98"/>
      <c r="AX650" s="98"/>
      <c r="AY650" s="98"/>
      <c r="AZ650" s="98"/>
    </row>
    <row r="651">
      <c r="A651" s="3"/>
      <c r="B651" s="36"/>
      <c r="C651" s="91"/>
      <c r="D651" s="13"/>
      <c r="E651" s="13"/>
      <c r="F651" s="3"/>
      <c r="G651" s="3"/>
      <c r="H651" s="3"/>
      <c r="I651" s="13"/>
      <c r="J651" s="13"/>
      <c r="K651" s="13"/>
      <c r="L651" s="36"/>
      <c r="M651" s="91"/>
      <c r="N651" s="3"/>
      <c r="O651" s="3"/>
      <c r="P651" s="7"/>
      <c r="Q651" s="7"/>
      <c r="R651" s="166"/>
      <c r="S651" s="166"/>
      <c r="T651" s="7"/>
      <c r="U651" s="3"/>
      <c r="V651" s="13"/>
      <c r="W651" s="3"/>
      <c r="X651" s="166"/>
      <c r="Y651" s="7"/>
      <c r="Z651" s="13"/>
      <c r="AA651" s="7"/>
      <c r="AB651" s="7"/>
      <c r="AC651" s="257"/>
      <c r="AD651" s="166"/>
      <c r="AE651" s="258"/>
      <c r="AF651" s="7"/>
      <c r="AG651" s="7"/>
      <c r="AH651" s="166"/>
      <c r="AI651" s="13"/>
      <c r="AJ651" s="3"/>
      <c r="AK651" s="13"/>
      <c r="AL651" s="3"/>
      <c r="AM651" s="3"/>
      <c r="AN651" s="3"/>
      <c r="AO651" s="3"/>
      <c r="AP651" s="3"/>
      <c r="AQ651" s="3"/>
      <c r="AR651" s="3"/>
      <c r="AS651" s="98"/>
      <c r="AT651" s="98"/>
      <c r="AU651" s="98"/>
      <c r="AV651" s="98"/>
      <c r="AW651" s="98"/>
      <c r="AX651" s="98"/>
      <c r="AY651" s="98"/>
      <c r="AZ651" s="98"/>
    </row>
    <row r="652">
      <c r="A652" s="3"/>
      <c r="B652" s="36"/>
      <c r="C652" s="91"/>
      <c r="D652" s="13"/>
      <c r="E652" s="13"/>
      <c r="F652" s="3"/>
      <c r="G652" s="3"/>
      <c r="H652" s="3"/>
      <c r="I652" s="13"/>
      <c r="J652" s="13"/>
      <c r="K652" s="13"/>
      <c r="L652" s="36"/>
      <c r="M652" s="91"/>
      <c r="N652" s="3"/>
      <c r="O652" s="3"/>
      <c r="P652" s="7"/>
      <c r="Q652" s="7"/>
      <c r="R652" s="166"/>
      <c r="S652" s="166"/>
      <c r="T652" s="7"/>
      <c r="U652" s="3"/>
      <c r="V652" s="13"/>
      <c r="W652" s="3"/>
      <c r="X652" s="166"/>
      <c r="Y652" s="7"/>
      <c r="Z652" s="13"/>
      <c r="AA652" s="7"/>
      <c r="AB652" s="7"/>
      <c r="AC652" s="257"/>
      <c r="AD652" s="166"/>
      <c r="AE652" s="258"/>
      <c r="AF652" s="7"/>
      <c r="AG652" s="7"/>
      <c r="AH652" s="166"/>
      <c r="AI652" s="13"/>
      <c r="AJ652" s="3"/>
      <c r="AK652" s="13"/>
      <c r="AL652" s="3"/>
      <c r="AM652" s="3"/>
      <c r="AN652" s="3"/>
      <c r="AO652" s="3"/>
      <c r="AP652" s="3"/>
      <c r="AQ652" s="3"/>
      <c r="AR652" s="3"/>
      <c r="AS652" s="98"/>
      <c r="AT652" s="98"/>
      <c r="AU652" s="98"/>
      <c r="AV652" s="98"/>
      <c r="AW652" s="98"/>
      <c r="AX652" s="98"/>
      <c r="AY652" s="98"/>
      <c r="AZ652" s="98"/>
    </row>
    <row r="653">
      <c r="A653" s="3"/>
      <c r="B653" s="36"/>
      <c r="C653" s="91"/>
      <c r="D653" s="13"/>
      <c r="E653" s="13"/>
      <c r="F653" s="3"/>
      <c r="G653" s="3"/>
      <c r="H653" s="3"/>
      <c r="I653" s="13"/>
      <c r="J653" s="13"/>
      <c r="K653" s="13"/>
      <c r="L653" s="36"/>
      <c r="M653" s="91"/>
      <c r="N653" s="3"/>
      <c r="O653" s="3"/>
      <c r="P653" s="7"/>
      <c r="Q653" s="7"/>
      <c r="R653" s="166"/>
      <c r="S653" s="166"/>
      <c r="T653" s="7"/>
      <c r="U653" s="3"/>
      <c r="V653" s="13"/>
      <c r="W653" s="3"/>
      <c r="X653" s="166"/>
      <c r="Y653" s="7"/>
      <c r="Z653" s="13"/>
      <c r="AA653" s="7"/>
      <c r="AB653" s="7"/>
      <c r="AC653" s="257"/>
      <c r="AD653" s="166"/>
      <c r="AE653" s="258"/>
      <c r="AF653" s="7"/>
      <c r="AG653" s="7"/>
      <c r="AH653" s="166"/>
      <c r="AI653" s="13"/>
      <c r="AJ653" s="3"/>
      <c r="AK653" s="13"/>
      <c r="AL653" s="3"/>
      <c r="AM653" s="3"/>
      <c r="AN653" s="3"/>
      <c r="AO653" s="3"/>
      <c r="AP653" s="3"/>
      <c r="AQ653" s="3"/>
      <c r="AR653" s="3"/>
      <c r="AS653" s="98"/>
      <c r="AT653" s="98"/>
      <c r="AU653" s="98"/>
      <c r="AV653" s="98"/>
      <c r="AW653" s="98"/>
      <c r="AX653" s="98"/>
      <c r="AY653" s="98"/>
      <c r="AZ653" s="98"/>
    </row>
    <row r="654">
      <c r="A654" s="3"/>
      <c r="B654" s="36"/>
      <c r="C654" s="91"/>
      <c r="D654" s="13"/>
      <c r="E654" s="13"/>
      <c r="F654" s="3"/>
      <c r="G654" s="3"/>
      <c r="H654" s="3"/>
      <c r="I654" s="13"/>
      <c r="J654" s="13"/>
      <c r="K654" s="13"/>
      <c r="L654" s="36"/>
      <c r="M654" s="91"/>
      <c r="N654" s="3"/>
      <c r="O654" s="3"/>
      <c r="P654" s="7"/>
      <c r="Q654" s="7"/>
      <c r="R654" s="166"/>
      <c r="S654" s="166"/>
      <c r="T654" s="7"/>
      <c r="U654" s="3"/>
      <c r="V654" s="13"/>
      <c r="W654" s="3"/>
      <c r="X654" s="166"/>
      <c r="Y654" s="7"/>
      <c r="Z654" s="13"/>
      <c r="AA654" s="7"/>
      <c r="AB654" s="7"/>
      <c r="AC654" s="257"/>
      <c r="AD654" s="166"/>
      <c r="AE654" s="258"/>
      <c r="AF654" s="7"/>
      <c r="AG654" s="7"/>
      <c r="AH654" s="166"/>
      <c r="AI654" s="13"/>
      <c r="AJ654" s="3"/>
      <c r="AK654" s="13"/>
      <c r="AL654" s="3"/>
      <c r="AM654" s="3"/>
      <c r="AN654" s="3"/>
      <c r="AO654" s="3"/>
      <c r="AP654" s="3"/>
      <c r="AQ654" s="3"/>
      <c r="AR654" s="3"/>
      <c r="AS654" s="98"/>
      <c r="AT654" s="98"/>
      <c r="AU654" s="98"/>
      <c r="AV654" s="98"/>
      <c r="AW654" s="98"/>
      <c r="AX654" s="98"/>
      <c r="AY654" s="98"/>
      <c r="AZ654" s="98"/>
    </row>
    <row r="655">
      <c r="A655" s="3"/>
      <c r="B655" s="36"/>
      <c r="C655" s="91"/>
      <c r="D655" s="13"/>
      <c r="E655" s="13"/>
      <c r="F655" s="3"/>
      <c r="G655" s="3"/>
      <c r="H655" s="3"/>
      <c r="I655" s="13"/>
      <c r="J655" s="13"/>
      <c r="K655" s="13"/>
      <c r="L655" s="36"/>
      <c r="M655" s="91"/>
      <c r="N655" s="3"/>
      <c r="O655" s="3"/>
      <c r="P655" s="7"/>
      <c r="Q655" s="7"/>
      <c r="R655" s="166"/>
      <c r="S655" s="166"/>
      <c r="T655" s="7"/>
      <c r="U655" s="3"/>
      <c r="V655" s="13"/>
      <c r="W655" s="3"/>
      <c r="X655" s="166"/>
      <c r="Y655" s="7"/>
      <c r="Z655" s="13"/>
      <c r="AA655" s="7"/>
      <c r="AB655" s="7"/>
      <c r="AC655" s="257"/>
      <c r="AD655" s="166"/>
      <c r="AE655" s="258"/>
      <c r="AF655" s="7"/>
      <c r="AG655" s="7"/>
      <c r="AH655" s="166"/>
      <c r="AI655" s="13"/>
      <c r="AJ655" s="3"/>
      <c r="AK655" s="13"/>
      <c r="AL655" s="3"/>
      <c r="AM655" s="3"/>
      <c r="AN655" s="3"/>
      <c r="AO655" s="3"/>
      <c r="AP655" s="3"/>
      <c r="AQ655" s="3"/>
      <c r="AR655" s="3"/>
      <c r="AS655" s="98"/>
      <c r="AT655" s="98"/>
      <c r="AU655" s="98"/>
      <c r="AV655" s="98"/>
      <c r="AW655" s="98"/>
      <c r="AX655" s="98"/>
      <c r="AY655" s="98"/>
      <c r="AZ655" s="98"/>
    </row>
    <row r="656">
      <c r="A656" s="3"/>
      <c r="B656" s="36"/>
      <c r="C656" s="91"/>
      <c r="D656" s="13"/>
      <c r="E656" s="13"/>
      <c r="F656" s="3"/>
      <c r="G656" s="3"/>
      <c r="H656" s="3"/>
      <c r="I656" s="13"/>
      <c r="J656" s="13"/>
      <c r="K656" s="13"/>
      <c r="L656" s="36"/>
      <c r="M656" s="91"/>
      <c r="N656" s="3"/>
      <c r="O656" s="3"/>
      <c r="P656" s="7"/>
      <c r="Q656" s="7"/>
      <c r="R656" s="166"/>
      <c r="S656" s="166"/>
      <c r="T656" s="7"/>
      <c r="U656" s="3"/>
      <c r="V656" s="13"/>
      <c r="W656" s="3"/>
      <c r="X656" s="166"/>
      <c r="Y656" s="7"/>
      <c r="Z656" s="13"/>
      <c r="AA656" s="7"/>
      <c r="AB656" s="7"/>
      <c r="AC656" s="257"/>
      <c r="AD656" s="166"/>
      <c r="AE656" s="258"/>
      <c r="AF656" s="7"/>
      <c r="AG656" s="7"/>
      <c r="AH656" s="166"/>
      <c r="AI656" s="13"/>
      <c r="AJ656" s="3"/>
      <c r="AK656" s="13"/>
      <c r="AL656" s="3"/>
      <c r="AM656" s="3"/>
      <c r="AN656" s="3"/>
      <c r="AO656" s="3"/>
      <c r="AP656" s="3"/>
      <c r="AQ656" s="3"/>
      <c r="AR656" s="3"/>
      <c r="AS656" s="98"/>
      <c r="AT656" s="98"/>
      <c r="AU656" s="98"/>
      <c r="AV656" s="98"/>
      <c r="AW656" s="98"/>
      <c r="AX656" s="98"/>
      <c r="AY656" s="98"/>
      <c r="AZ656" s="98"/>
    </row>
    <row r="657">
      <c r="A657" s="3"/>
      <c r="B657" s="36"/>
      <c r="C657" s="91"/>
      <c r="D657" s="13"/>
      <c r="E657" s="13"/>
      <c r="F657" s="3"/>
      <c r="G657" s="3"/>
      <c r="H657" s="3"/>
      <c r="I657" s="13"/>
      <c r="J657" s="13"/>
      <c r="K657" s="13"/>
      <c r="L657" s="36"/>
      <c r="M657" s="91"/>
      <c r="N657" s="3"/>
      <c r="O657" s="3"/>
      <c r="P657" s="7"/>
      <c r="Q657" s="7"/>
      <c r="R657" s="166"/>
      <c r="S657" s="166"/>
      <c r="T657" s="7"/>
      <c r="U657" s="3"/>
      <c r="V657" s="13"/>
      <c r="W657" s="3"/>
      <c r="X657" s="166"/>
      <c r="Y657" s="7"/>
      <c r="Z657" s="13"/>
      <c r="AA657" s="7"/>
      <c r="AB657" s="7"/>
      <c r="AC657" s="257"/>
      <c r="AD657" s="166"/>
      <c r="AE657" s="258"/>
      <c r="AF657" s="7"/>
      <c r="AG657" s="7"/>
      <c r="AH657" s="166"/>
      <c r="AI657" s="13"/>
      <c r="AJ657" s="3"/>
      <c r="AK657" s="13"/>
      <c r="AL657" s="3"/>
      <c r="AM657" s="3"/>
      <c r="AN657" s="3"/>
      <c r="AO657" s="3"/>
      <c r="AP657" s="3"/>
      <c r="AQ657" s="3"/>
      <c r="AR657" s="3"/>
      <c r="AS657" s="98"/>
      <c r="AT657" s="98"/>
      <c r="AU657" s="98"/>
      <c r="AV657" s="98"/>
      <c r="AW657" s="98"/>
      <c r="AX657" s="98"/>
      <c r="AY657" s="98"/>
      <c r="AZ657" s="98"/>
    </row>
    <row r="658">
      <c r="A658" s="3"/>
      <c r="B658" s="36"/>
      <c r="C658" s="91"/>
      <c r="D658" s="13"/>
      <c r="E658" s="13"/>
      <c r="F658" s="3"/>
      <c r="G658" s="3"/>
      <c r="H658" s="3"/>
      <c r="I658" s="13"/>
      <c r="J658" s="13"/>
      <c r="K658" s="13"/>
      <c r="L658" s="36"/>
      <c r="M658" s="91"/>
      <c r="N658" s="3"/>
      <c r="O658" s="3"/>
      <c r="P658" s="7"/>
      <c r="Q658" s="7"/>
      <c r="R658" s="166"/>
      <c r="S658" s="166"/>
      <c r="T658" s="7"/>
      <c r="U658" s="3"/>
      <c r="V658" s="13"/>
      <c r="W658" s="3"/>
      <c r="X658" s="166"/>
      <c r="Y658" s="7"/>
      <c r="Z658" s="13"/>
      <c r="AA658" s="7"/>
      <c r="AB658" s="7"/>
      <c r="AC658" s="257"/>
      <c r="AD658" s="166"/>
      <c r="AE658" s="258"/>
      <c r="AF658" s="7"/>
      <c r="AG658" s="7"/>
      <c r="AH658" s="166"/>
      <c r="AI658" s="13"/>
      <c r="AJ658" s="3"/>
      <c r="AK658" s="13"/>
      <c r="AL658" s="3"/>
      <c r="AM658" s="3"/>
      <c r="AN658" s="3"/>
      <c r="AO658" s="3"/>
      <c r="AP658" s="3"/>
      <c r="AQ658" s="3"/>
      <c r="AR658" s="3"/>
      <c r="AS658" s="98"/>
      <c r="AT658" s="98"/>
      <c r="AU658" s="98"/>
      <c r="AV658" s="98"/>
      <c r="AW658" s="98"/>
      <c r="AX658" s="98"/>
      <c r="AY658" s="98"/>
      <c r="AZ658" s="98"/>
    </row>
    <row r="659">
      <c r="A659" s="3"/>
      <c r="B659" s="36"/>
      <c r="C659" s="91"/>
      <c r="D659" s="13"/>
      <c r="E659" s="13"/>
      <c r="F659" s="3"/>
      <c r="G659" s="3"/>
      <c r="H659" s="3"/>
      <c r="I659" s="13"/>
      <c r="J659" s="13"/>
      <c r="K659" s="13"/>
      <c r="L659" s="36"/>
      <c r="M659" s="91"/>
      <c r="N659" s="3"/>
      <c r="O659" s="3"/>
      <c r="P659" s="7"/>
      <c r="Q659" s="7"/>
      <c r="R659" s="166"/>
      <c r="S659" s="166"/>
      <c r="T659" s="7"/>
      <c r="U659" s="3"/>
      <c r="V659" s="13"/>
      <c r="W659" s="3"/>
      <c r="X659" s="166"/>
      <c r="Y659" s="7"/>
      <c r="Z659" s="13"/>
      <c r="AA659" s="7"/>
      <c r="AB659" s="7"/>
      <c r="AC659" s="257"/>
      <c r="AD659" s="166"/>
      <c r="AE659" s="258"/>
      <c r="AF659" s="7"/>
      <c r="AG659" s="7"/>
      <c r="AH659" s="166"/>
      <c r="AI659" s="13"/>
      <c r="AJ659" s="3"/>
      <c r="AK659" s="13"/>
      <c r="AL659" s="3"/>
      <c r="AM659" s="3"/>
      <c r="AN659" s="3"/>
      <c r="AO659" s="3"/>
      <c r="AP659" s="3"/>
      <c r="AQ659" s="3"/>
      <c r="AR659" s="3"/>
      <c r="AS659" s="98"/>
      <c r="AT659" s="98"/>
      <c r="AU659" s="98"/>
      <c r="AV659" s="98"/>
      <c r="AW659" s="98"/>
      <c r="AX659" s="98"/>
      <c r="AY659" s="98"/>
      <c r="AZ659" s="98"/>
    </row>
    <row r="660">
      <c r="A660" s="3"/>
      <c r="B660" s="36"/>
      <c r="C660" s="91"/>
      <c r="D660" s="13"/>
      <c r="E660" s="13"/>
      <c r="F660" s="3"/>
      <c r="G660" s="3"/>
      <c r="H660" s="3"/>
      <c r="I660" s="13"/>
      <c r="J660" s="13"/>
      <c r="K660" s="13"/>
      <c r="L660" s="36"/>
      <c r="M660" s="91"/>
      <c r="N660" s="3"/>
      <c r="O660" s="3"/>
      <c r="P660" s="7"/>
      <c r="Q660" s="7"/>
      <c r="R660" s="166"/>
      <c r="S660" s="166"/>
      <c r="T660" s="7"/>
      <c r="U660" s="3"/>
      <c r="V660" s="13"/>
      <c r="W660" s="3"/>
      <c r="X660" s="166"/>
      <c r="Y660" s="7"/>
      <c r="Z660" s="13"/>
      <c r="AA660" s="7"/>
      <c r="AB660" s="7"/>
      <c r="AC660" s="257"/>
      <c r="AD660" s="166"/>
      <c r="AE660" s="258"/>
      <c r="AF660" s="7"/>
      <c r="AG660" s="7"/>
      <c r="AH660" s="166"/>
      <c r="AI660" s="13"/>
      <c r="AJ660" s="3"/>
      <c r="AK660" s="13"/>
      <c r="AL660" s="3"/>
      <c r="AM660" s="3"/>
      <c r="AN660" s="3"/>
      <c r="AO660" s="3"/>
      <c r="AP660" s="3"/>
      <c r="AQ660" s="3"/>
      <c r="AR660" s="3"/>
      <c r="AS660" s="98"/>
      <c r="AT660" s="98"/>
      <c r="AU660" s="98"/>
      <c r="AV660" s="98"/>
      <c r="AW660" s="98"/>
      <c r="AX660" s="98"/>
      <c r="AY660" s="98"/>
      <c r="AZ660" s="98"/>
    </row>
    <row r="661">
      <c r="A661" s="3"/>
      <c r="B661" s="36"/>
      <c r="C661" s="91"/>
      <c r="D661" s="13"/>
      <c r="E661" s="13"/>
      <c r="F661" s="3"/>
      <c r="G661" s="3"/>
      <c r="H661" s="3"/>
      <c r="I661" s="13"/>
      <c r="J661" s="13"/>
      <c r="K661" s="13"/>
      <c r="L661" s="36"/>
      <c r="M661" s="91"/>
      <c r="N661" s="3"/>
      <c r="O661" s="3"/>
      <c r="P661" s="7"/>
      <c r="Q661" s="7"/>
      <c r="R661" s="166"/>
      <c r="S661" s="166"/>
      <c r="T661" s="7"/>
      <c r="U661" s="3"/>
      <c r="V661" s="13"/>
      <c r="W661" s="3"/>
      <c r="X661" s="166"/>
      <c r="Y661" s="7"/>
      <c r="Z661" s="13"/>
      <c r="AA661" s="7"/>
      <c r="AB661" s="7"/>
      <c r="AC661" s="257"/>
      <c r="AD661" s="166"/>
      <c r="AE661" s="258"/>
      <c r="AF661" s="7"/>
      <c r="AG661" s="7"/>
      <c r="AH661" s="166"/>
      <c r="AI661" s="13"/>
      <c r="AJ661" s="3"/>
      <c r="AK661" s="13"/>
      <c r="AL661" s="3"/>
      <c r="AM661" s="3"/>
      <c r="AN661" s="3"/>
      <c r="AO661" s="3"/>
      <c r="AP661" s="3"/>
      <c r="AQ661" s="3"/>
      <c r="AR661" s="3"/>
      <c r="AS661" s="98"/>
      <c r="AT661" s="98"/>
      <c r="AU661" s="98"/>
      <c r="AV661" s="98"/>
      <c r="AW661" s="98"/>
      <c r="AX661" s="98"/>
      <c r="AY661" s="98"/>
      <c r="AZ661" s="98"/>
    </row>
    <row r="662">
      <c r="A662" s="3"/>
      <c r="B662" s="36"/>
      <c r="C662" s="91"/>
      <c r="D662" s="13"/>
      <c r="E662" s="13"/>
      <c r="F662" s="3"/>
      <c r="G662" s="3"/>
      <c r="H662" s="3"/>
      <c r="I662" s="13"/>
      <c r="J662" s="13"/>
      <c r="K662" s="13"/>
      <c r="L662" s="36"/>
      <c r="M662" s="91"/>
      <c r="N662" s="3"/>
      <c r="O662" s="3"/>
      <c r="P662" s="7"/>
      <c r="Q662" s="7"/>
      <c r="R662" s="166"/>
      <c r="S662" s="166"/>
      <c r="T662" s="7"/>
      <c r="U662" s="3"/>
      <c r="V662" s="13"/>
      <c r="W662" s="3"/>
      <c r="X662" s="166"/>
      <c r="Y662" s="7"/>
      <c r="Z662" s="13"/>
      <c r="AA662" s="7"/>
      <c r="AB662" s="7"/>
      <c r="AC662" s="257"/>
      <c r="AD662" s="166"/>
      <c r="AE662" s="258"/>
      <c r="AF662" s="7"/>
      <c r="AG662" s="7"/>
      <c r="AH662" s="166"/>
      <c r="AI662" s="13"/>
      <c r="AJ662" s="3"/>
      <c r="AK662" s="13"/>
      <c r="AL662" s="3"/>
      <c r="AM662" s="3"/>
      <c r="AN662" s="3"/>
      <c r="AO662" s="3"/>
      <c r="AP662" s="3"/>
      <c r="AQ662" s="3"/>
      <c r="AR662" s="3"/>
      <c r="AS662" s="98"/>
      <c r="AT662" s="98"/>
      <c r="AU662" s="98"/>
      <c r="AV662" s="98"/>
      <c r="AW662" s="98"/>
      <c r="AX662" s="98"/>
      <c r="AY662" s="98"/>
      <c r="AZ662" s="98"/>
    </row>
    <row r="663">
      <c r="A663" s="3"/>
      <c r="B663" s="36"/>
      <c r="C663" s="91"/>
      <c r="D663" s="13"/>
      <c r="E663" s="13"/>
      <c r="F663" s="3"/>
      <c r="G663" s="3"/>
      <c r="H663" s="3"/>
      <c r="I663" s="13"/>
      <c r="J663" s="13"/>
      <c r="K663" s="13"/>
      <c r="L663" s="36"/>
      <c r="M663" s="91"/>
      <c r="N663" s="3"/>
      <c r="O663" s="3"/>
      <c r="P663" s="7"/>
      <c r="Q663" s="7"/>
      <c r="R663" s="166"/>
      <c r="S663" s="166"/>
      <c r="T663" s="7"/>
      <c r="U663" s="3"/>
      <c r="V663" s="13"/>
      <c r="W663" s="3"/>
      <c r="X663" s="166"/>
      <c r="Y663" s="7"/>
      <c r="Z663" s="13"/>
      <c r="AA663" s="7"/>
      <c r="AB663" s="7"/>
      <c r="AC663" s="257"/>
      <c r="AD663" s="166"/>
      <c r="AE663" s="258"/>
      <c r="AF663" s="7"/>
      <c r="AG663" s="7"/>
      <c r="AH663" s="166"/>
      <c r="AI663" s="13"/>
      <c r="AJ663" s="3"/>
      <c r="AK663" s="13"/>
      <c r="AL663" s="3"/>
      <c r="AM663" s="3"/>
      <c r="AN663" s="3"/>
      <c r="AO663" s="3"/>
      <c r="AP663" s="3"/>
      <c r="AQ663" s="3"/>
      <c r="AR663" s="3"/>
      <c r="AS663" s="98"/>
      <c r="AT663" s="98"/>
      <c r="AU663" s="98"/>
      <c r="AV663" s="98"/>
      <c r="AW663" s="98"/>
      <c r="AX663" s="98"/>
      <c r="AY663" s="98"/>
      <c r="AZ663" s="98"/>
    </row>
    <row r="664">
      <c r="A664" s="3"/>
      <c r="B664" s="36"/>
      <c r="C664" s="91"/>
      <c r="D664" s="13"/>
      <c r="E664" s="13"/>
      <c r="F664" s="3"/>
      <c r="G664" s="3"/>
      <c r="H664" s="3"/>
      <c r="I664" s="13"/>
      <c r="J664" s="13"/>
      <c r="K664" s="13"/>
      <c r="L664" s="36"/>
      <c r="M664" s="91"/>
      <c r="N664" s="3"/>
      <c r="O664" s="3"/>
      <c r="P664" s="7"/>
      <c r="Q664" s="7"/>
      <c r="R664" s="166"/>
      <c r="S664" s="166"/>
      <c r="T664" s="7"/>
      <c r="U664" s="3"/>
      <c r="V664" s="13"/>
      <c r="W664" s="3"/>
      <c r="X664" s="166"/>
      <c r="Y664" s="7"/>
      <c r="Z664" s="13"/>
      <c r="AA664" s="7"/>
      <c r="AB664" s="7"/>
      <c r="AC664" s="257"/>
      <c r="AD664" s="166"/>
      <c r="AE664" s="258"/>
      <c r="AF664" s="7"/>
      <c r="AG664" s="7"/>
      <c r="AH664" s="166"/>
      <c r="AI664" s="13"/>
      <c r="AJ664" s="3"/>
      <c r="AK664" s="13"/>
      <c r="AL664" s="3"/>
      <c r="AM664" s="3"/>
      <c r="AN664" s="3"/>
      <c r="AO664" s="3"/>
      <c r="AP664" s="3"/>
      <c r="AQ664" s="3"/>
      <c r="AR664" s="3"/>
      <c r="AS664" s="98"/>
      <c r="AT664" s="98"/>
      <c r="AU664" s="98"/>
      <c r="AV664" s="98"/>
      <c r="AW664" s="98"/>
      <c r="AX664" s="98"/>
      <c r="AY664" s="98"/>
      <c r="AZ664" s="98"/>
    </row>
    <row r="665">
      <c r="A665" s="3"/>
      <c r="B665" s="36"/>
      <c r="C665" s="91"/>
      <c r="D665" s="13"/>
      <c r="E665" s="13"/>
      <c r="F665" s="3"/>
      <c r="G665" s="3"/>
      <c r="H665" s="3"/>
      <c r="I665" s="13"/>
      <c r="J665" s="13"/>
      <c r="K665" s="13"/>
      <c r="L665" s="36"/>
      <c r="M665" s="91"/>
      <c r="N665" s="3"/>
      <c r="O665" s="3"/>
      <c r="P665" s="7"/>
      <c r="Q665" s="7"/>
      <c r="R665" s="166"/>
      <c r="S665" s="166"/>
      <c r="T665" s="7"/>
      <c r="U665" s="3"/>
      <c r="V665" s="13"/>
      <c r="W665" s="3"/>
      <c r="X665" s="166"/>
      <c r="Y665" s="7"/>
      <c r="Z665" s="13"/>
      <c r="AA665" s="7"/>
      <c r="AB665" s="7"/>
      <c r="AC665" s="257"/>
      <c r="AD665" s="166"/>
      <c r="AE665" s="258"/>
      <c r="AF665" s="7"/>
      <c r="AG665" s="7"/>
      <c r="AH665" s="166"/>
      <c r="AI665" s="13"/>
      <c r="AJ665" s="3"/>
      <c r="AK665" s="13"/>
      <c r="AL665" s="3"/>
      <c r="AM665" s="3"/>
      <c r="AN665" s="3"/>
      <c r="AO665" s="3"/>
      <c r="AP665" s="3"/>
      <c r="AQ665" s="3"/>
      <c r="AR665" s="3"/>
      <c r="AS665" s="98"/>
      <c r="AT665" s="98"/>
      <c r="AU665" s="98"/>
      <c r="AV665" s="98"/>
      <c r="AW665" s="98"/>
      <c r="AX665" s="98"/>
      <c r="AY665" s="98"/>
      <c r="AZ665" s="98"/>
    </row>
    <row r="666">
      <c r="A666" s="3"/>
      <c r="B666" s="36"/>
      <c r="C666" s="91"/>
      <c r="D666" s="13"/>
      <c r="E666" s="13"/>
      <c r="F666" s="3"/>
      <c r="G666" s="3"/>
      <c r="H666" s="3"/>
      <c r="I666" s="13"/>
      <c r="J666" s="13"/>
      <c r="K666" s="13"/>
      <c r="L666" s="36"/>
      <c r="M666" s="91"/>
      <c r="N666" s="3"/>
      <c r="O666" s="3"/>
      <c r="P666" s="7"/>
      <c r="Q666" s="7"/>
      <c r="R666" s="166"/>
      <c r="S666" s="166"/>
      <c r="T666" s="7"/>
      <c r="U666" s="3"/>
      <c r="V666" s="13"/>
      <c r="W666" s="3"/>
      <c r="X666" s="166"/>
      <c r="Y666" s="7"/>
      <c r="Z666" s="13"/>
      <c r="AA666" s="7"/>
      <c r="AB666" s="7"/>
      <c r="AC666" s="257"/>
      <c r="AD666" s="166"/>
      <c r="AE666" s="258"/>
      <c r="AF666" s="7"/>
      <c r="AG666" s="7"/>
      <c r="AH666" s="166"/>
      <c r="AI666" s="13"/>
      <c r="AJ666" s="3"/>
      <c r="AK666" s="13"/>
      <c r="AL666" s="3"/>
      <c r="AM666" s="3"/>
      <c r="AN666" s="3"/>
      <c r="AO666" s="3"/>
      <c r="AP666" s="3"/>
      <c r="AQ666" s="3"/>
      <c r="AR666" s="3"/>
      <c r="AS666" s="98"/>
      <c r="AT666" s="98"/>
      <c r="AU666" s="98"/>
      <c r="AV666" s="98"/>
      <c r="AW666" s="98"/>
      <c r="AX666" s="98"/>
      <c r="AY666" s="98"/>
      <c r="AZ666" s="98"/>
    </row>
    <row r="667">
      <c r="A667" s="3"/>
      <c r="B667" s="36"/>
      <c r="C667" s="91"/>
      <c r="D667" s="13"/>
      <c r="E667" s="13"/>
      <c r="F667" s="3"/>
      <c r="G667" s="3"/>
      <c r="H667" s="3"/>
      <c r="I667" s="13"/>
      <c r="J667" s="13"/>
      <c r="K667" s="13"/>
      <c r="L667" s="36"/>
      <c r="M667" s="91"/>
      <c r="N667" s="3"/>
      <c r="O667" s="3"/>
      <c r="P667" s="7"/>
      <c r="Q667" s="7"/>
      <c r="R667" s="166"/>
      <c r="S667" s="166"/>
      <c r="T667" s="7"/>
      <c r="U667" s="3"/>
      <c r="V667" s="13"/>
      <c r="W667" s="3"/>
      <c r="X667" s="166"/>
      <c r="Y667" s="7"/>
      <c r="Z667" s="13"/>
      <c r="AA667" s="7"/>
      <c r="AB667" s="7"/>
      <c r="AC667" s="257"/>
      <c r="AD667" s="166"/>
      <c r="AE667" s="258"/>
      <c r="AF667" s="7"/>
      <c r="AG667" s="7"/>
      <c r="AH667" s="166"/>
      <c r="AI667" s="13"/>
      <c r="AJ667" s="3"/>
      <c r="AK667" s="13"/>
      <c r="AL667" s="3"/>
      <c r="AM667" s="3"/>
      <c r="AN667" s="3"/>
      <c r="AO667" s="3"/>
      <c r="AP667" s="3"/>
      <c r="AQ667" s="3"/>
      <c r="AR667" s="3"/>
      <c r="AS667" s="98"/>
      <c r="AT667" s="98"/>
      <c r="AU667" s="98"/>
      <c r="AV667" s="98"/>
      <c r="AW667" s="98"/>
      <c r="AX667" s="98"/>
      <c r="AY667" s="98"/>
      <c r="AZ667" s="98"/>
    </row>
    <row r="668">
      <c r="A668" s="3"/>
      <c r="B668" s="36"/>
      <c r="C668" s="91"/>
      <c r="D668" s="13"/>
      <c r="E668" s="13"/>
      <c r="F668" s="3"/>
      <c r="G668" s="3"/>
      <c r="H668" s="3"/>
      <c r="I668" s="13"/>
      <c r="J668" s="13"/>
      <c r="K668" s="13"/>
      <c r="L668" s="36"/>
      <c r="M668" s="91"/>
      <c r="N668" s="3"/>
      <c r="O668" s="3"/>
      <c r="P668" s="7"/>
      <c r="Q668" s="7"/>
      <c r="R668" s="166"/>
      <c r="S668" s="166"/>
      <c r="T668" s="7"/>
      <c r="U668" s="3"/>
      <c r="V668" s="13"/>
      <c r="W668" s="3"/>
      <c r="X668" s="166"/>
      <c r="Y668" s="7"/>
      <c r="Z668" s="13"/>
      <c r="AA668" s="7"/>
      <c r="AB668" s="7"/>
      <c r="AC668" s="257"/>
      <c r="AD668" s="166"/>
      <c r="AE668" s="258"/>
      <c r="AF668" s="7"/>
      <c r="AG668" s="7"/>
      <c r="AH668" s="166"/>
      <c r="AI668" s="13"/>
      <c r="AJ668" s="3"/>
      <c r="AK668" s="13"/>
      <c r="AL668" s="3"/>
      <c r="AM668" s="3"/>
      <c r="AN668" s="3"/>
      <c r="AO668" s="3"/>
      <c r="AP668" s="3"/>
      <c r="AQ668" s="3"/>
      <c r="AR668" s="3"/>
      <c r="AS668" s="98"/>
      <c r="AT668" s="98"/>
      <c r="AU668" s="98"/>
      <c r="AV668" s="98"/>
      <c r="AW668" s="98"/>
      <c r="AX668" s="98"/>
      <c r="AY668" s="98"/>
      <c r="AZ668" s="98"/>
    </row>
    <row r="669">
      <c r="A669" s="3"/>
      <c r="B669" s="36"/>
      <c r="C669" s="91"/>
      <c r="D669" s="13"/>
      <c r="E669" s="13"/>
      <c r="F669" s="3"/>
      <c r="G669" s="3"/>
      <c r="H669" s="3"/>
      <c r="I669" s="13"/>
      <c r="J669" s="13"/>
      <c r="K669" s="13"/>
      <c r="L669" s="36"/>
      <c r="M669" s="91"/>
      <c r="N669" s="3"/>
      <c r="O669" s="3"/>
      <c r="P669" s="7"/>
      <c r="Q669" s="7"/>
      <c r="R669" s="166"/>
      <c r="S669" s="166"/>
      <c r="T669" s="7"/>
      <c r="U669" s="3"/>
      <c r="V669" s="13"/>
      <c r="W669" s="3"/>
      <c r="X669" s="166"/>
      <c r="Y669" s="7"/>
      <c r="Z669" s="13"/>
      <c r="AA669" s="7"/>
      <c r="AB669" s="7"/>
      <c r="AC669" s="257"/>
      <c r="AD669" s="166"/>
      <c r="AE669" s="258"/>
      <c r="AF669" s="7"/>
      <c r="AG669" s="7"/>
      <c r="AH669" s="166"/>
      <c r="AI669" s="13"/>
      <c r="AJ669" s="3"/>
      <c r="AK669" s="13"/>
      <c r="AL669" s="3"/>
      <c r="AM669" s="3"/>
      <c r="AN669" s="3"/>
      <c r="AO669" s="3"/>
      <c r="AP669" s="3"/>
      <c r="AQ669" s="3"/>
      <c r="AR669" s="3"/>
      <c r="AS669" s="98"/>
      <c r="AT669" s="98"/>
      <c r="AU669" s="98"/>
      <c r="AV669" s="98"/>
      <c r="AW669" s="98"/>
      <c r="AX669" s="98"/>
      <c r="AY669" s="98"/>
      <c r="AZ669" s="98"/>
    </row>
    <row r="670">
      <c r="A670" s="3"/>
      <c r="B670" s="36"/>
      <c r="C670" s="91"/>
      <c r="D670" s="13"/>
      <c r="E670" s="13"/>
      <c r="F670" s="3"/>
      <c r="G670" s="3"/>
      <c r="H670" s="3"/>
      <c r="I670" s="13"/>
      <c r="J670" s="13"/>
      <c r="K670" s="13"/>
      <c r="L670" s="36"/>
      <c r="M670" s="91"/>
      <c r="N670" s="3"/>
      <c r="O670" s="3"/>
      <c r="P670" s="7"/>
      <c r="Q670" s="7"/>
      <c r="R670" s="166"/>
      <c r="S670" s="166"/>
      <c r="T670" s="7"/>
      <c r="U670" s="3"/>
      <c r="V670" s="13"/>
      <c r="W670" s="3"/>
      <c r="X670" s="166"/>
      <c r="Y670" s="7"/>
      <c r="Z670" s="13"/>
      <c r="AA670" s="7"/>
      <c r="AB670" s="7"/>
      <c r="AC670" s="257"/>
      <c r="AD670" s="166"/>
      <c r="AE670" s="258"/>
      <c r="AF670" s="7"/>
      <c r="AG670" s="7"/>
      <c r="AH670" s="166"/>
      <c r="AI670" s="13"/>
      <c r="AJ670" s="3"/>
      <c r="AK670" s="13"/>
      <c r="AL670" s="3"/>
      <c r="AM670" s="3"/>
      <c r="AN670" s="3"/>
      <c r="AO670" s="3"/>
      <c r="AP670" s="3"/>
      <c r="AQ670" s="3"/>
      <c r="AR670" s="3"/>
      <c r="AS670" s="98"/>
      <c r="AT670" s="98"/>
      <c r="AU670" s="98"/>
      <c r="AV670" s="98"/>
      <c r="AW670" s="98"/>
      <c r="AX670" s="98"/>
      <c r="AY670" s="98"/>
      <c r="AZ670" s="98"/>
    </row>
    <row r="671">
      <c r="A671" s="3"/>
      <c r="B671" s="36"/>
      <c r="C671" s="91"/>
      <c r="D671" s="13"/>
      <c r="E671" s="13"/>
      <c r="F671" s="3"/>
      <c r="G671" s="3"/>
      <c r="H671" s="3"/>
      <c r="I671" s="13"/>
      <c r="J671" s="13"/>
      <c r="K671" s="13"/>
      <c r="L671" s="36"/>
      <c r="M671" s="91"/>
      <c r="N671" s="3"/>
      <c r="O671" s="3"/>
      <c r="P671" s="7"/>
      <c r="Q671" s="7"/>
      <c r="R671" s="166"/>
      <c r="S671" s="166"/>
      <c r="T671" s="7"/>
      <c r="U671" s="3"/>
      <c r="V671" s="13"/>
      <c r="W671" s="3"/>
      <c r="X671" s="166"/>
      <c r="Y671" s="7"/>
      <c r="Z671" s="13"/>
      <c r="AA671" s="7"/>
      <c r="AB671" s="7"/>
      <c r="AC671" s="257"/>
      <c r="AD671" s="166"/>
      <c r="AE671" s="258"/>
      <c r="AF671" s="7"/>
      <c r="AG671" s="7"/>
      <c r="AH671" s="166"/>
      <c r="AI671" s="13"/>
      <c r="AJ671" s="3"/>
      <c r="AK671" s="13"/>
      <c r="AL671" s="3"/>
      <c r="AM671" s="3"/>
      <c r="AN671" s="3"/>
      <c r="AO671" s="3"/>
      <c r="AP671" s="3"/>
      <c r="AQ671" s="3"/>
      <c r="AR671" s="3"/>
      <c r="AS671" s="98"/>
      <c r="AT671" s="98"/>
      <c r="AU671" s="98"/>
      <c r="AV671" s="98"/>
      <c r="AW671" s="98"/>
      <c r="AX671" s="98"/>
      <c r="AY671" s="98"/>
      <c r="AZ671" s="98"/>
    </row>
    <row r="672">
      <c r="A672" s="3"/>
      <c r="B672" s="36"/>
      <c r="C672" s="91"/>
      <c r="D672" s="13"/>
      <c r="E672" s="13"/>
      <c r="F672" s="3"/>
      <c r="G672" s="3"/>
      <c r="H672" s="3"/>
      <c r="I672" s="13"/>
      <c r="J672" s="13"/>
      <c r="K672" s="13"/>
      <c r="L672" s="36"/>
      <c r="M672" s="91"/>
      <c r="N672" s="3"/>
      <c r="O672" s="3"/>
      <c r="P672" s="7"/>
      <c r="Q672" s="7"/>
      <c r="R672" s="166"/>
      <c r="S672" s="166"/>
      <c r="T672" s="7"/>
      <c r="U672" s="3"/>
      <c r="V672" s="13"/>
      <c r="W672" s="3"/>
      <c r="X672" s="166"/>
      <c r="Y672" s="7"/>
      <c r="Z672" s="13"/>
      <c r="AA672" s="7"/>
      <c r="AB672" s="7"/>
      <c r="AC672" s="257"/>
      <c r="AD672" s="166"/>
      <c r="AE672" s="258"/>
      <c r="AF672" s="7"/>
      <c r="AG672" s="7"/>
      <c r="AH672" s="166"/>
      <c r="AI672" s="13"/>
      <c r="AJ672" s="3"/>
      <c r="AK672" s="13"/>
      <c r="AL672" s="3"/>
      <c r="AM672" s="3"/>
      <c r="AN672" s="3"/>
      <c r="AO672" s="3"/>
      <c r="AP672" s="3"/>
      <c r="AQ672" s="3"/>
      <c r="AR672" s="3"/>
      <c r="AS672" s="98"/>
      <c r="AT672" s="98"/>
      <c r="AU672" s="98"/>
      <c r="AV672" s="98"/>
      <c r="AW672" s="98"/>
      <c r="AX672" s="98"/>
      <c r="AY672" s="98"/>
      <c r="AZ672" s="98"/>
    </row>
    <row r="673">
      <c r="A673" s="3"/>
      <c r="B673" s="36"/>
      <c r="C673" s="91"/>
      <c r="D673" s="13"/>
      <c r="E673" s="13"/>
      <c r="F673" s="3"/>
      <c r="G673" s="3"/>
      <c r="H673" s="3"/>
      <c r="I673" s="13"/>
      <c r="J673" s="13"/>
      <c r="K673" s="13"/>
      <c r="L673" s="36"/>
      <c r="M673" s="91"/>
      <c r="N673" s="3"/>
      <c r="O673" s="3"/>
      <c r="P673" s="7"/>
      <c r="Q673" s="7"/>
      <c r="R673" s="166"/>
      <c r="S673" s="166"/>
      <c r="T673" s="7"/>
      <c r="U673" s="3"/>
      <c r="V673" s="13"/>
      <c r="W673" s="3"/>
      <c r="X673" s="166"/>
      <c r="Y673" s="7"/>
      <c r="Z673" s="13"/>
      <c r="AA673" s="7"/>
      <c r="AB673" s="7"/>
      <c r="AC673" s="257"/>
      <c r="AD673" s="166"/>
      <c r="AE673" s="258"/>
      <c r="AF673" s="7"/>
      <c r="AG673" s="7"/>
      <c r="AH673" s="166"/>
      <c r="AI673" s="13"/>
      <c r="AJ673" s="3"/>
      <c r="AK673" s="13"/>
      <c r="AL673" s="3"/>
      <c r="AM673" s="3"/>
      <c r="AN673" s="3"/>
      <c r="AO673" s="3"/>
      <c r="AP673" s="3"/>
      <c r="AQ673" s="3"/>
      <c r="AR673" s="3"/>
      <c r="AS673" s="98"/>
      <c r="AT673" s="98"/>
      <c r="AU673" s="98"/>
      <c r="AV673" s="98"/>
      <c r="AW673" s="98"/>
      <c r="AX673" s="98"/>
      <c r="AY673" s="98"/>
      <c r="AZ673" s="98"/>
    </row>
    <row r="674">
      <c r="A674" s="3"/>
      <c r="B674" s="36"/>
      <c r="C674" s="91"/>
      <c r="D674" s="13"/>
      <c r="E674" s="13"/>
      <c r="F674" s="3"/>
      <c r="G674" s="3"/>
      <c r="H674" s="3"/>
      <c r="I674" s="13"/>
      <c r="J674" s="13"/>
      <c r="K674" s="13"/>
      <c r="L674" s="36"/>
      <c r="M674" s="91"/>
      <c r="N674" s="3"/>
      <c r="O674" s="3"/>
      <c r="P674" s="7"/>
      <c r="Q674" s="7"/>
      <c r="R674" s="166"/>
      <c r="S674" s="166"/>
      <c r="T674" s="7"/>
      <c r="U674" s="3"/>
      <c r="V674" s="13"/>
      <c r="W674" s="3"/>
      <c r="X674" s="166"/>
      <c r="Y674" s="7"/>
      <c r="Z674" s="13"/>
      <c r="AA674" s="7"/>
      <c r="AB674" s="7"/>
      <c r="AC674" s="257"/>
      <c r="AD674" s="166"/>
      <c r="AE674" s="258"/>
      <c r="AF674" s="7"/>
      <c r="AG674" s="7"/>
      <c r="AH674" s="166"/>
      <c r="AI674" s="13"/>
      <c r="AJ674" s="3"/>
      <c r="AK674" s="13"/>
      <c r="AL674" s="3"/>
      <c r="AM674" s="3"/>
      <c r="AN674" s="3"/>
      <c r="AO674" s="3"/>
      <c r="AP674" s="3"/>
      <c r="AQ674" s="3"/>
      <c r="AR674" s="3"/>
      <c r="AS674" s="98"/>
      <c r="AT674" s="98"/>
      <c r="AU674" s="98"/>
      <c r="AV674" s="98"/>
      <c r="AW674" s="98"/>
      <c r="AX674" s="98"/>
      <c r="AY674" s="98"/>
      <c r="AZ674" s="98"/>
    </row>
    <row r="675">
      <c r="A675" s="3"/>
      <c r="B675" s="36"/>
      <c r="C675" s="91"/>
      <c r="D675" s="13"/>
      <c r="E675" s="13"/>
      <c r="F675" s="3"/>
      <c r="G675" s="3"/>
      <c r="H675" s="3"/>
      <c r="I675" s="13"/>
      <c r="J675" s="13"/>
      <c r="K675" s="13"/>
      <c r="L675" s="36"/>
      <c r="M675" s="91"/>
      <c r="N675" s="3"/>
      <c r="O675" s="3"/>
      <c r="P675" s="7"/>
      <c r="Q675" s="7"/>
      <c r="R675" s="166"/>
      <c r="S675" s="166"/>
      <c r="T675" s="7"/>
      <c r="U675" s="3"/>
      <c r="V675" s="13"/>
      <c r="W675" s="3"/>
      <c r="X675" s="166"/>
      <c r="Y675" s="7"/>
      <c r="Z675" s="13"/>
      <c r="AA675" s="7"/>
      <c r="AB675" s="7"/>
      <c r="AC675" s="257"/>
      <c r="AD675" s="166"/>
      <c r="AE675" s="258"/>
      <c r="AF675" s="7"/>
      <c r="AG675" s="7"/>
      <c r="AH675" s="166"/>
      <c r="AI675" s="13"/>
      <c r="AJ675" s="3"/>
      <c r="AK675" s="13"/>
      <c r="AL675" s="3"/>
      <c r="AM675" s="3"/>
      <c r="AN675" s="3"/>
      <c r="AO675" s="3"/>
      <c r="AP675" s="3"/>
      <c r="AQ675" s="3"/>
      <c r="AR675" s="3"/>
      <c r="AS675" s="98"/>
      <c r="AT675" s="98"/>
      <c r="AU675" s="98"/>
      <c r="AV675" s="98"/>
      <c r="AW675" s="98"/>
      <c r="AX675" s="98"/>
      <c r="AY675" s="98"/>
      <c r="AZ675" s="98"/>
    </row>
    <row r="676">
      <c r="A676" s="3"/>
      <c r="B676" s="36"/>
      <c r="C676" s="91"/>
      <c r="D676" s="13"/>
      <c r="E676" s="13"/>
      <c r="F676" s="3"/>
      <c r="G676" s="3"/>
      <c r="H676" s="3"/>
      <c r="I676" s="13"/>
      <c r="J676" s="13"/>
      <c r="K676" s="13"/>
      <c r="L676" s="36"/>
      <c r="M676" s="91"/>
      <c r="N676" s="3"/>
      <c r="O676" s="3"/>
      <c r="P676" s="7"/>
      <c r="Q676" s="7"/>
      <c r="R676" s="166"/>
      <c r="S676" s="166"/>
      <c r="T676" s="7"/>
      <c r="U676" s="3"/>
      <c r="V676" s="13"/>
      <c r="W676" s="3"/>
      <c r="X676" s="166"/>
      <c r="Y676" s="7"/>
      <c r="Z676" s="13"/>
      <c r="AA676" s="7"/>
      <c r="AB676" s="7"/>
      <c r="AC676" s="257"/>
      <c r="AD676" s="166"/>
      <c r="AE676" s="258"/>
      <c r="AF676" s="7"/>
      <c r="AG676" s="7"/>
      <c r="AH676" s="166"/>
      <c r="AI676" s="13"/>
      <c r="AJ676" s="3"/>
      <c r="AK676" s="13"/>
      <c r="AL676" s="3"/>
      <c r="AM676" s="3"/>
      <c r="AN676" s="3"/>
      <c r="AO676" s="3"/>
      <c r="AP676" s="3"/>
      <c r="AQ676" s="3"/>
      <c r="AR676" s="3"/>
      <c r="AS676" s="98"/>
      <c r="AT676" s="98"/>
      <c r="AU676" s="98"/>
      <c r="AV676" s="98"/>
      <c r="AW676" s="98"/>
      <c r="AX676" s="98"/>
      <c r="AY676" s="98"/>
      <c r="AZ676" s="98"/>
    </row>
    <row r="677">
      <c r="A677" s="3"/>
      <c r="B677" s="36"/>
      <c r="C677" s="91"/>
      <c r="D677" s="13"/>
      <c r="E677" s="13"/>
      <c r="F677" s="3"/>
      <c r="G677" s="3"/>
      <c r="H677" s="3"/>
      <c r="I677" s="13"/>
      <c r="J677" s="13"/>
      <c r="K677" s="13"/>
      <c r="L677" s="36"/>
      <c r="M677" s="91"/>
      <c r="N677" s="3"/>
      <c r="O677" s="3"/>
      <c r="P677" s="7"/>
      <c r="Q677" s="7"/>
      <c r="R677" s="166"/>
      <c r="S677" s="166"/>
      <c r="T677" s="7"/>
      <c r="U677" s="3"/>
      <c r="V677" s="13"/>
      <c r="W677" s="3"/>
      <c r="X677" s="166"/>
      <c r="Y677" s="7"/>
      <c r="Z677" s="13"/>
      <c r="AA677" s="7"/>
      <c r="AB677" s="7"/>
      <c r="AC677" s="257"/>
      <c r="AD677" s="166"/>
      <c r="AE677" s="258"/>
      <c r="AF677" s="7"/>
      <c r="AG677" s="7"/>
      <c r="AH677" s="166"/>
      <c r="AI677" s="13"/>
      <c r="AJ677" s="3"/>
      <c r="AK677" s="13"/>
      <c r="AL677" s="3"/>
      <c r="AM677" s="3"/>
      <c r="AN677" s="3"/>
      <c r="AO677" s="3"/>
      <c r="AP677" s="3"/>
      <c r="AQ677" s="3"/>
      <c r="AR677" s="3"/>
      <c r="AS677" s="98"/>
      <c r="AT677" s="98"/>
      <c r="AU677" s="98"/>
      <c r="AV677" s="98"/>
      <c r="AW677" s="98"/>
      <c r="AX677" s="98"/>
      <c r="AY677" s="98"/>
      <c r="AZ677" s="98"/>
    </row>
    <row r="678">
      <c r="A678" s="3"/>
      <c r="B678" s="36"/>
      <c r="C678" s="91"/>
      <c r="D678" s="13"/>
      <c r="E678" s="13"/>
      <c r="F678" s="3"/>
      <c r="G678" s="3"/>
      <c r="H678" s="3"/>
      <c r="I678" s="13"/>
      <c r="J678" s="13"/>
      <c r="K678" s="13"/>
      <c r="L678" s="36"/>
      <c r="M678" s="91"/>
      <c r="N678" s="3"/>
      <c r="O678" s="3"/>
      <c r="P678" s="7"/>
      <c r="Q678" s="7"/>
      <c r="R678" s="166"/>
      <c r="S678" s="166"/>
      <c r="T678" s="7"/>
      <c r="U678" s="3"/>
      <c r="V678" s="13"/>
      <c r="W678" s="3"/>
      <c r="X678" s="166"/>
      <c r="Y678" s="7"/>
      <c r="Z678" s="13"/>
      <c r="AA678" s="7"/>
      <c r="AB678" s="7"/>
      <c r="AC678" s="257"/>
      <c r="AD678" s="166"/>
      <c r="AE678" s="258"/>
      <c r="AF678" s="7"/>
      <c r="AG678" s="7"/>
      <c r="AH678" s="166"/>
      <c r="AI678" s="13"/>
      <c r="AJ678" s="3"/>
      <c r="AK678" s="13"/>
      <c r="AL678" s="3"/>
      <c r="AM678" s="3"/>
      <c r="AN678" s="3"/>
      <c r="AO678" s="3"/>
      <c r="AP678" s="3"/>
      <c r="AQ678" s="3"/>
      <c r="AR678" s="3"/>
      <c r="AS678" s="98"/>
      <c r="AT678" s="98"/>
      <c r="AU678" s="98"/>
      <c r="AV678" s="98"/>
      <c r="AW678" s="98"/>
      <c r="AX678" s="98"/>
      <c r="AY678" s="98"/>
      <c r="AZ678" s="98"/>
    </row>
    <row r="679">
      <c r="A679" s="3"/>
      <c r="B679" s="36"/>
      <c r="C679" s="91"/>
      <c r="D679" s="13"/>
      <c r="E679" s="13"/>
      <c r="F679" s="3"/>
      <c r="G679" s="3"/>
      <c r="H679" s="3"/>
      <c r="I679" s="13"/>
      <c r="J679" s="13"/>
      <c r="K679" s="13"/>
      <c r="L679" s="36"/>
      <c r="M679" s="91"/>
      <c r="N679" s="3"/>
      <c r="O679" s="3"/>
      <c r="P679" s="7"/>
      <c r="Q679" s="7"/>
      <c r="R679" s="166"/>
      <c r="S679" s="166"/>
      <c r="T679" s="7"/>
      <c r="U679" s="3"/>
      <c r="V679" s="13"/>
      <c r="W679" s="3"/>
      <c r="X679" s="166"/>
      <c r="Y679" s="7"/>
      <c r="Z679" s="13"/>
      <c r="AA679" s="7"/>
      <c r="AB679" s="7"/>
      <c r="AC679" s="257"/>
      <c r="AD679" s="166"/>
      <c r="AE679" s="258"/>
      <c r="AF679" s="7"/>
      <c r="AG679" s="7"/>
      <c r="AH679" s="166"/>
      <c r="AI679" s="13"/>
      <c r="AJ679" s="3"/>
      <c r="AK679" s="13"/>
      <c r="AL679" s="3"/>
      <c r="AM679" s="3"/>
      <c r="AN679" s="3"/>
      <c r="AO679" s="3"/>
      <c r="AP679" s="3"/>
      <c r="AQ679" s="3"/>
      <c r="AR679" s="3"/>
      <c r="AS679" s="98"/>
      <c r="AT679" s="98"/>
      <c r="AU679" s="98"/>
      <c r="AV679" s="98"/>
      <c r="AW679" s="98"/>
      <c r="AX679" s="98"/>
      <c r="AY679" s="98"/>
      <c r="AZ679" s="98"/>
    </row>
    <row r="680">
      <c r="A680" s="3"/>
      <c r="B680" s="36"/>
      <c r="C680" s="91"/>
      <c r="D680" s="13"/>
      <c r="E680" s="13"/>
      <c r="F680" s="3"/>
      <c r="G680" s="3"/>
      <c r="H680" s="3"/>
      <c r="I680" s="13"/>
      <c r="J680" s="13"/>
      <c r="K680" s="13"/>
      <c r="L680" s="36"/>
      <c r="M680" s="91"/>
      <c r="N680" s="3"/>
      <c r="O680" s="3"/>
      <c r="P680" s="7"/>
      <c r="Q680" s="7"/>
      <c r="R680" s="166"/>
      <c r="S680" s="166"/>
      <c r="T680" s="7"/>
      <c r="U680" s="3"/>
      <c r="V680" s="13"/>
      <c r="W680" s="3"/>
      <c r="X680" s="166"/>
      <c r="Y680" s="7"/>
      <c r="Z680" s="13"/>
      <c r="AA680" s="7"/>
      <c r="AB680" s="7"/>
      <c r="AC680" s="257"/>
      <c r="AD680" s="166"/>
      <c r="AE680" s="258"/>
      <c r="AF680" s="7"/>
      <c r="AG680" s="7"/>
      <c r="AH680" s="166"/>
      <c r="AI680" s="13"/>
      <c r="AJ680" s="3"/>
      <c r="AK680" s="13"/>
      <c r="AL680" s="3"/>
      <c r="AM680" s="3"/>
      <c r="AN680" s="3"/>
      <c r="AO680" s="3"/>
      <c r="AP680" s="3"/>
      <c r="AQ680" s="3"/>
      <c r="AR680" s="3"/>
      <c r="AS680" s="98"/>
      <c r="AT680" s="98"/>
      <c r="AU680" s="98"/>
      <c r="AV680" s="98"/>
      <c r="AW680" s="98"/>
      <c r="AX680" s="98"/>
      <c r="AY680" s="98"/>
      <c r="AZ680" s="98"/>
    </row>
    <row r="681">
      <c r="A681" s="3"/>
      <c r="B681" s="36"/>
      <c r="C681" s="91"/>
      <c r="D681" s="13"/>
      <c r="E681" s="13"/>
      <c r="F681" s="3"/>
      <c r="G681" s="3"/>
      <c r="H681" s="3"/>
      <c r="I681" s="13"/>
      <c r="J681" s="13"/>
      <c r="K681" s="13"/>
      <c r="L681" s="36"/>
      <c r="M681" s="91"/>
      <c r="N681" s="3"/>
      <c r="O681" s="3"/>
      <c r="P681" s="7"/>
      <c r="Q681" s="7"/>
      <c r="R681" s="166"/>
      <c r="S681" s="166"/>
      <c r="T681" s="7"/>
      <c r="U681" s="3"/>
      <c r="V681" s="13"/>
      <c r="W681" s="3"/>
      <c r="X681" s="166"/>
      <c r="Y681" s="7"/>
      <c r="Z681" s="13"/>
      <c r="AA681" s="7"/>
      <c r="AB681" s="7"/>
      <c r="AC681" s="257"/>
      <c r="AD681" s="166"/>
      <c r="AE681" s="258"/>
      <c r="AF681" s="7"/>
      <c r="AG681" s="7"/>
      <c r="AH681" s="166"/>
      <c r="AI681" s="13"/>
      <c r="AJ681" s="3"/>
      <c r="AK681" s="13"/>
      <c r="AL681" s="3"/>
      <c r="AM681" s="3"/>
      <c r="AN681" s="3"/>
      <c r="AO681" s="3"/>
      <c r="AP681" s="3"/>
      <c r="AQ681" s="3"/>
      <c r="AR681" s="3"/>
      <c r="AS681" s="98"/>
      <c r="AT681" s="98"/>
      <c r="AU681" s="98"/>
      <c r="AV681" s="98"/>
      <c r="AW681" s="98"/>
      <c r="AX681" s="98"/>
      <c r="AY681" s="98"/>
      <c r="AZ681" s="98"/>
    </row>
    <row r="682">
      <c r="A682" s="3"/>
      <c r="B682" s="36"/>
      <c r="C682" s="91"/>
      <c r="D682" s="13"/>
      <c r="E682" s="13"/>
      <c r="F682" s="3"/>
      <c r="G682" s="3"/>
      <c r="H682" s="3"/>
      <c r="I682" s="13"/>
      <c r="J682" s="13"/>
      <c r="K682" s="13"/>
      <c r="L682" s="36"/>
      <c r="M682" s="91"/>
      <c r="N682" s="3"/>
      <c r="O682" s="3"/>
      <c r="P682" s="7"/>
      <c r="Q682" s="7"/>
      <c r="R682" s="166"/>
      <c r="S682" s="166"/>
      <c r="T682" s="7"/>
      <c r="U682" s="3"/>
      <c r="V682" s="13"/>
      <c r="W682" s="3"/>
      <c r="X682" s="166"/>
      <c r="Y682" s="7"/>
      <c r="Z682" s="13"/>
      <c r="AA682" s="7"/>
      <c r="AB682" s="7"/>
      <c r="AC682" s="257"/>
      <c r="AD682" s="166"/>
      <c r="AE682" s="258"/>
      <c r="AF682" s="7"/>
      <c r="AG682" s="7"/>
      <c r="AH682" s="166"/>
      <c r="AI682" s="13"/>
      <c r="AJ682" s="3"/>
      <c r="AK682" s="13"/>
      <c r="AL682" s="3"/>
      <c r="AM682" s="3"/>
      <c r="AN682" s="3"/>
      <c r="AO682" s="3"/>
      <c r="AP682" s="3"/>
      <c r="AQ682" s="3"/>
      <c r="AR682" s="3"/>
      <c r="AS682" s="98"/>
      <c r="AT682" s="98"/>
      <c r="AU682" s="98"/>
      <c r="AV682" s="98"/>
      <c r="AW682" s="98"/>
      <c r="AX682" s="98"/>
      <c r="AY682" s="98"/>
      <c r="AZ682" s="98"/>
    </row>
    <row r="683">
      <c r="A683" s="3"/>
      <c r="B683" s="36"/>
      <c r="C683" s="91"/>
      <c r="D683" s="13"/>
      <c r="E683" s="13"/>
      <c r="F683" s="3"/>
      <c r="G683" s="3"/>
      <c r="H683" s="3"/>
      <c r="I683" s="13"/>
      <c r="J683" s="13"/>
      <c r="K683" s="13"/>
      <c r="L683" s="36"/>
      <c r="M683" s="91"/>
      <c r="N683" s="3"/>
      <c r="O683" s="3"/>
      <c r="P683" s="7"/>
      <c r="Q683" s="7"/>
      <c r="R683" s="166"/>
      <c r="S683" s="166"/>
      <c r="T683" s="7"/>
      <c r="U683" s="3"/>
      <c r="V683" s="13"/>
      <c r="W683" s="3"/>
      <c r="X683" s="166"/>
      <c r="Y683" s="7"/>
      <c r="Z683" s="13"/>
      <c r="AA683" s="7"/>
      <c r="AB683" s="7"/>
      <c r="AC683" s="257"/>
      <c r="AD683" s="166"/>
      <c r="AE683" s="258"/>
      <c r="AF683" s="7"/>
      <c r="AG683" s="7"/>
      <c r="AH683" s="166"/>
      <c r="AI683" s="13"/>
      <c r="AJ683" s="3"/>
      <c r="AK683" s="13"/>
      <c r="AL683" s="3"/>
      <c r="AM683" s="3"/>
      <c r="AN683" s="3"/>
      <c r="AO683" s="3"/>
      <c r="AP683" s="3"/>
      <c r="AQ683" s="3"/>
      <c r="AR683" s="3"/>
      <c r="AS683" s="98"/>
      <c r="AT683" s="98"/>
      <c r="AU683" s="98"/>
      <c r="AV683" s="98"/>
      <c r="AW683" s="98"/>
      <c r="AX683" s="98"/>
      <c r="AY683" s="98"/>
      <c r="AZ683" s="98"/>
    </row>
    <row r="684">
      <c r="A684" s="3"/>
      <c r="B684" s="36"/>
      <c r="C684" s="91"/>
      <c r="D684" s="13"/>
      <c r="E684" s="13"/>
      <c r="F684" s="3"/>
      <c r="G684" s="3"/>
      <c r="H684" s="3"/>
      <c r="I684" s="13"/>
      <c r="J684" s="13"/>
      <c r="K684" s="13"/>
      <c r="L684" s="36"/>
      <c r="M684" s="91"/>
      <c r="N684" s="3"/>
      <c r="O684" s="3"/>
      <c r="P684" s="7"/>
      <c r="Q684" s="7"/>
      <c r="R684" s="166"/>
      <c r="S684" s="166"/>
      <c r="T684" s="7"/>
      <c r="U684" s="3"/>
      <c r="V684" s="13"/>
      <c r="W684" s="3"/>
      <c r="X684" s="166"/>
      <c r="Y684" s="7"/>
      <c r="Z684" s="13"/>
      <c r="AA684" s="7"/>
      <c r="AB684" s="7"/>
      <c r="AC684" s="257"/>
      <c r="AD684" s="166"/>
      <c r="AE684" s="258"/>
      <c r="AF684" s="7"/>
      <c r="AG684" s="7"/>
      <c r="AH684" s="166"/>
      <c r="AI684" s="13"/>
      <c r="AJ684" s="3"/>
      <c r="AK684" s="13"/>
      <c r="AL684" s="3"/>
      <c r="AM684" s="3"/>
      <c r="AN684" s="3"/>
      <c r="AO684" s="3"/>
      <c r="AP684" s="3"/>
      <c r="AQ684" s="3"/>
      <c r="AR684" s="3"/>
      <c r="AS684" s="98"/>
      <c r="AT684" s="98"/>
      <c r="AU684" s="98"/>
      <c r="AV684" s="98"/>
      <c r="AW684" s="98"/>
      <c r="AX684" s="98"/>
      <c r="AY684" s="98"/>
      <c r="AZ684" s="98"/>
    </row>
    <row r="685">
      <c r="A685" s="3"/>
      <c r="B685" s="36"/>
      <c r="C685" s="91"/>
      <c r="D685" s="13"/>
      <c r="E685" s="13"/>
      <c r="F685" s="3"/>
      <c r="G685" s="3"/>
      <c r="H685" s="3"/>
      <c r="I685" s="13"/>
      <c r="J685" s="13"/>
      <c r="K685" s="13"/>
      <c r="L685" s="36"/>
      <c r="M685" s="91"/>
      <c r="N685" s="3"/>
      <c r="O685" s="3"/>
      <c r="P685" s="7"/>
      <c r="Q685" s="7"/>
      <c r="R685" s="166"/>
      <c r="S685" s="166"/>
      <c r="T685" s="7"/>
      <c r="U685" s="3"/>
      <c r="V685" s="13"/>
      <c r="W685" s="3"/>
      <c r="X685" s="166"/>
      <c r="Y685" s="7"/>
      <c r="Z685" s="13"/>
      <c r="AA685" s="7"/>
      <c r="AB685" s="7"/>
      <c r="AC685" s="257"/>
      <c r="AD685" s="166"/>
      <c r="AE685" s="258"/>
      <c r="AF685" s="7"/>
      <c r="AG685" s="7"/>
      <c r="AH685" s="166"/>
      <c r="AI685" s="13"/>
      <c r="AJ685" s="3"/>
      <c r="AK685" s="13"/>
      <c r="AL685" s="3"/>
      <c r="AM685" s="3"/>
      <c r="AN685" s="3"/>
      <c r="AO685" s="3"/>
      <c r="AP685" s="3"/>
      <c r="AQ685" s="3"/>
      <c r="AR685" s="3"/>
      <c r="AS685" s="98"/>
      <c r="AT685" s="98"/>
      <c r="AU685" s="98"/>
      <c r="AV685" s="98"/>
      <c r="AW685" s="98"/>
      <c r="AX685" s="98"/>
      <c r="AY685" s="98"/>
      <c r="AZ685" s="98"/>
    </row>
    <row r="686">
      <c r="A686" s="3"/>
      <c r="B686" s="36"/>
      <c r="C686" s="91"/>
      <c r="D686" s="13"/>
      <c r="E686" s="13"/>
      <c r="F686" s="3"/>
      <c r="G686" s="3"/>
      <c r="H686" s="3"/>
      <c r="I686" s="13"/>
      <c r="J686" s="13"/>
      <c r="K686" s="13"/>
      <c r="L686" s="36"/>
      <c r="M686" s="91"/>
      <c r="N686" s="3"/>
      <c r="O686" s="3"/>
      <c r="P686" s="7"/>
      <c r="Q686" s="7"/>
      <c r="R686" s="166"/>
      <c r="S686" s="166"/>
      <c r="T686" s="7"/>
      <c r="U686" s="3"/>
      <c r="V686" s="13"/>
      <c r="W686" s="3"/>
      <c r="X686" s="166"/>
      <c r="Y686" s="7"/>
      <c r="Z686" s="13"/>
      <c r="AA686" s="7"/>
      <c r="AB686" s="7"/>
      <c r="AC686" s="257"/>
      <c r="AD686" s="166"/>
      <c r="AE686" s="258"/>
      <c r="AF686" s="7"/>
      <c r="AG686" s="7"/>
      <c r="AH686" s="166"/>
      <c r="AI686" s="13"/>
      <c r="AJ686" s="3"/>
      <c r="AK686" s="13"/>
      <c r="AL686" s="3"/>
      <c r="AM686" s="3"/>
      <c r="AN686" s="3"/>
      <c r="AO686" s="3"/>
      <c r="AP686" s="3"/>
      <c r="AQ686" s="3"/>
      <c r="AR686" s="3"/>
      <c r="AS686" s="98"/>
      <c r="AT686" s="98"/>
      <c r="AU686" s="98"/>
      <c r="AV686" s="98"/>
      <c r="AW686" s="98"/>
      <c r="AX686" s="98"/>
      <c r="AY686" s="98"/>
      <c r="AZ686" s="98"/>
    </row>
    <row r="687">
      <c r="A687" s="3"/>
      <c r="B687" s="36"/>
      <c r="C687" s="91"/>
      <c r="D687" s="13"/>
      <c r="E687" s="13"/>
      <c r="F687" s="3"/>
      <c r="G687" s="3"/>
      <c r="H687" s="3"/>
      <c r="I687" s="13"/>
      <c r="J687" s="13"/>
      <c r="K687" s="13"/>
      <c r="L687" s="36"/>
      <c r="M687" s="91"/>
      <c r="N687" s="3"/>
      <c r="O687" s="3"/>
      <c r="P687" s="7"/>
      <c r="Q687" s="7"/>
      <c r="R687" s="166"/>
      <c r="S687" s="166"/>
      <c r="T687" s="7"/>
      <c r="U687" s="3"/>
      <c r="V687" s="13"/>
      <c r="W687" s="3"/>
      <c r="X687" s="166"/>
      <c r="Y687" s="7"/>
      <c r="Z687" s="13"/>
      <c r="AA687" s="7"/>
      <c r="AB687" s="7"/>
      <c r="AC687" s="257"/>
      <c r="AD687" s="166"/>
      <c r="AE687" s="258"/>
      <c r="AF687" s="7"/>
      <c r="AG687" s="7"/>
      <c r="AH687" s="166"/>
      <c r="AI687" s="13"/>
      <c r="AJ687" s="3"/>
      <c r="AK687" s="13"/>
      <c r="AL687" s="3"/>
      <c r="AM687" s="3"/>
      <c r="AN687" s="3"/>
      <c r="AO687" s="3"/>
      <c r="AP687" s="3"/>
      <c r="AQ687" s="3"/>
      <c r="AR687" s="3"/>
      <c r="AS687" s="98"/>
      <c r="AT687" s="98"/>
      <c r="AU687" s="98"/>
      <c r="AV687" s="98"/>
      <c r="AW687" s="98"/>
      <c r="AX687" s="98"/>
      <c r="AY687" s="98"/>
      <c r="AZ687" s="98"/>
    </row>
    <row r="688">
      <c r="A688" s="3"/>
      <c r="B688" s="36"/>
      <c r="C688" s="91"/>
      <c r="D688" s="13"/>
      <c r="E688" s="13"/>
      <c r="F688" s="3"/>
      <c r="G688" s="3"/>
      <c r="H688" s="3"/>
      <c r="I688" s="13"/>
      <c r="J688" s="13"/>
      <c r="K688" s="13"/>
      <c r="L688" s="36"/>
      <c r="M688" s="91"/>
      <c r="N688" s="3"/>
      <c r="O688" s="3"/>
      <c r="P688" s="7"/>
      <c r="Q688" s="7"/>
      <c r="R688" s="166"/>
      <c r="S688" s="166"/>
      <c r="T688" s="7"/>
      <c r="U688" s="3"/>
      <c r="V688" s="13"/>
      <c r="W688" s="3"/>
      <c r="X688" s="166"/>
      <c r="Y688" s="7"/>
      <c r="Z688" s="13"/>
      <c r="AA688" s="7"/>
      <c r="AB688" s="7"/>
      <c r="AC688" s="257"/>
      <c r="AD688" s="166"/>
      <c r="AE688" s="258"/>
      <c r="AF688" s="7"/>
      <c r="AG688" s="7"/>
      <c r="AH688" s="166"/>
      <c r="AI688" s="13"/>
      <c r="AJ688" s="3"/>
      <c r="AK688" s="13"/>
      <c r="AL688" s="3"/>
      <c r="AM688" s="3"/>
      <c r="AN688" s="3"/>
      <c r="AO688" s="3"/>
      <c r="AP688" s="3"/>
      <c r="AQ688" s="3"/>
      <c r="AR688" s="3"/>
      <c r="AS688" s="98"/>
      <c r="AT688" s="98"/>
      <c r="AU688" s="98"/>
      <c r="AV688" s="98"/>
      <c r="AW688" s="98"/>
      <c r="AX688" s="98"/>
      <c r="AY688" s="98"/>
      <c r="AZ688" s="98"/>
    </row>
    <row r="689">
      <c r="A689" s="3"/>
      <c r="B689" s="36"/>
      <c r="C689" s="91"/>
      <c r="D689" s="13"/>
      <c r="E689" s="13"/>
      <c r="F689" s="3"/>
      <c r="G689" s="3"/>
      <c r="H689" s="3"/>
      <c r="I689" s="13"/>
      <c r="J689" s="13"/>
      <c r="K689" s="13"/>
      <c r="L689" s="36"/>
      <c r="M689" s="91"/>
      <c r="N689" s="3"/>
      <c r="O689" s="3"/>
      <c r="P689" s="7"/>
      <c r="Q689" s="7"/>
      <c r="R689" s="166"/>
      <c r="S689" s="166"/>
      <c r="T689" s="7"/>
      <c r="U689" s="3"/>
      <c r="V689" s="13"/>
      <c r="W689" s="3"/>
      <c r="X689" s="166"/>
      <c r="Y689" s="7"/>
      <c r="Z689" s="13"/>
      <c r="AA689" s="7"/>
      <c r="AB689" s="7"/>
      <c r="AC689" s="257"/>
      <c r="AD689" s="166"/>
      <c r="AE689" s="258"/>
      <c r="AF689" s="7"/>
      <c r="AG689" s="7"/>
      <c r="AH689" s="166"/>
      <c r="AI689" s="13"/>
      <c r="AJ689" s="3"/>
      <c r="AK689" s="13"/>
      <c r="AL689" s="3"/>
      <c r="AM689" s="3"/>
      <c r="AN689" s="3"/>
      <c r="AO689" s="3"/>
      <c r="AP689" s="3"/>
      <c r="AQ689" s="3"/>
      <c r="AR689" s="3"/>
      <c r="AS689" s="98"/>
      <c r="AT689" s="98"/>
      <c r="AU689" s="98"/>
      <c r="AV689" s="98"/>
      <c r="AW689" s="98"/>
      <c r="AX689" s="98"/>
      <c r="AY689" s="98"/>
      <c r="AZ689" s="98"/>
    </row>
    <row r="690">
      <c r="A690" s="3"/>
      <c r="B690" s="36"/>
      <c r="C690" s="91"/>
      <c r="D690" s="13"/>
      <c r="E690" s="13"/>
      <c r="F690" s="3"/>
      <c r="G690" s="3"/>
      <c r="H690" s="3"/>
      <c r="I690" s="13"/>
      <c r="J690" s="13"/>
      <c r="K690" s="13"/>
      <c r="L690" s="36"/>
      <c r="M690" s="91"/>
      <c r="N690" s="3"/>
      <c r="O690" s="3"/>
      <c r="P690" s="7"/>
      <c r="Q690" s="7"/>
      <c r="R690" s="166"/>
      <c r="S690" s="166"/>
      <c r="T690" s="7"/>
      <c r="U690" s="3"/>
      <c r="V690" s="13"/>
      <c r="W690" s="3"/>
      <c r="X690" s="166"/>
      <c r="Y690" s="7"/>
      <c r="Z690" s="13"/>
      <c r="AA690" s="7"/>
      <c r="AB690" s="7"/>
      <c r="AC690" s="257"/>
      <c r="AD690" s="166"/>
      <c r="AE690" s="258"/>
      <c r="AF690" s="7"/>
      <c r="AG690" s="7"/>
      <c r="AH690" s="166"/>
      <c r="AI690" s="13"/>
      <c r="AJ690" s="3"/>
      <c r="AK690" s="13"/>
      <c r="AL690" s="3"/>
      <c r="AM690" s="3"/>
      <c r="AN690" s="3"/>
      <c r="AO690" s="3"/>
      <c r="AP690" s="3"/>
      <c r="AQ690" s="3"/>
      <c r="AR690" s="3"/>
      <c r="AS690" s="98"/>
      <c r="AT690" s="98"/>
      <c r="AU690" s="98"/>
      <c r="AV690" s="98"/>
      <c r="AW690" s="98"/>
      <c r="AX690" s="98"/>
      <c r="AY690" s="98"/>
      <c r="AZ690" s="98"/>
    </row>
    <row r="691">
      <c r="A691" s="3"/>
      <c r="B691" s="36"/>
      <c r="C691" s="91"/>
      <c r="D691" s="13"/>
      <c r="E691" s="13"/>
      <c r="F691" s="3"/>
      <c r="G691" s="3"/>
      <c r="H691" s="3"/>
      <c r="I691" s="13"/>
      <c r="J691" s="13"/>
      <c r="K691" s="13"/>
      <c r="L691" s="36"/>
      <c r="M691" s="91"/>
      <c r="N691" s="3"/>
      <c r="O691" s="3"/>
      <c r="P691" s="7"/>
      <c r="Q691" s="7"/>
      <c r="R691" s="166"/>
      <c r="S691" s="166"/>
      <c r="T691" s="7"/>
      <c r="U691" s="3"/>
      <c r="V691" s="13"/>
      <c r="W691" s="3"/>
      <c r="X691" s="166"/>
      <c r="Y691" s="7"/>
      <c r="Z691" s="13"/>
      <c r="AA691" s="7"/>
      <c r="AB691" s="7"/>
      <c r="AC691" s="257"/>
      <c r="AD691" s="166"/>
      <c r="AE691" s="258"/>
      <c r="AF691" s="7"/>
      <c r="AG691" s="7"/>
      <c r="AH691" s="166"/>
      <c r="AI691" s="13"/>
      <c r="AJ691" s="3"/>
      <c r="AK691" s="13"/>
      <c r="AL691" s="3"/>
      <c r="AM691" s="3"/>
      <c r="AN691" s="3"/>
      <c r="AO691" s="3"/>
      <c r="AP691" s="3"/>
      <c r="AQ691" s="3"/>
      <c r="AR691" s="3"/>
      <c r="AS691" s="98"/>
      <c r="AT691" s="98"/>
      <c r="AU691" s="98"/>
      <c r="AV691" s="98"/>
      <c r="AW691" s="98"/>
      <c r="AX691" s="98"/>
      <c r="AY691" s="98"/>
      <c r="AZ691" s="9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Col="1"/>
  <cols>
    <col customWidth="1" min="3" max="3" width="23.13"/>
    <col customWidth="1" min="4" max="4" width="14.63"/>
    <col customWidth="1" min="9" max="10" width="10.63"/>
    <col customWidth="1" min="11" max="11" width="14.0" outlineLevel="1"/>
    <col customWidth="1" min="12" max="12" width="10.5" outlineLevel="1"/>
    <col min="13" max="13" width="12.63" outlineLevel="1"/>
    <col customWidth="1" min="14" max="14" width="10.13" outlineLevel="1"/>
    <col min="15" max="16" width="12.63" outlineLevel="1"/>
    <col customWidth="1" min="17" max="18" width="12.38" outlineLevel="1"/>
    <col min="19" max="23" width="12.63" outlineLevel="1"/>
    <col customWidth="1" min="24" max="24" width="37.38"/>
    <col customWidth="1" min="25" max="25" width="10.5"/>
    <col customWidth="1" min="26" max="26" width="3.5"/>
    <col customWidth="1" min="27" max="27" width="15.38"/>
    <col customWidth="1" min="28" max="28" width="9.75"/>
    <col customWidth="1" min="29" max="29" width="5.88"/>
    <col customWidth="1" min="30" max="30" width="10.88"/>
    <col customWidth="1" min="31" max="31" width="24.13"/>
    <col customWidth="1" min="32" max="32" width="23.13"/>
    <col customWidth="1" min="33" max="33" width="25.38"/>
    <col customWidth="1" min="34" max="34" width="12.75"/>
    <col customWidth="1" min="35" max="35" width="8.25"/>
    <col customWidth="1" min="36" max="36" width="29.38"/>
    <col customWidth="1" min="37" max="37" width="3.5"/>
    <col customWidth="1" min="38" max="38" width="24.13"/>
    <col customWidth="1" min="39" max="39" width="24.25"/>
    <col customWidth="1" min="40" max="40" width="11.63"/>
    <col customWidth="1" min="41" max="41" width="11.5"/>
    <col customWidth="1" min="42" max="42" width="20.13"/>
    <col customWidth="1" min="43" max="44" width="13.88"/>
    <col customWidth="1" min="45" max="45" width="6.25"/>
    <col customWidth="1" min="46" max="46" width="7.88"/>
    <col customWidth="1" min="47" max="47" width="10.88"/>
    <col customWidth="1" min="48" max="48" width="24.13"/>
    <col customWidth="1" min="49" max="49" width="23.13"/>
    <col customWidth="1" min="50" max="50" width="25.38"/>
    <col customWidth="1" min="51" max="51" width="12.75"/>
    <col customWidth="1" min="52" max="52" width="8.25"/>
    <col customWidth="1" min="53" max="53" width="29.38"/>
    <col customWidth="1" min="54" max="54" width="24.25"/>
    <col customWidth="1" min="55" max="55" width="11.63"/>
    <col customWidth="1" min="56" max="56" width="11.5"/>
    <col customWidth="1" min="57" max="57" width="20.13"/>
    <col customWidth="1" min="58" max="58" width="6.63"/>
    <col customWidth="1" min="59" max="59" width="10.88"/>
    <col customWidth="1" min="60" max="60" width="24.13"/>
    <col customWidth="1" min="61" max="61" width="23.13"/>
    <col customWidth="1" min="62" max="62" width="25.38"/>
    <col customWidth="1" min="63" max="63" width="12.75"/>
    <col customWidth="1" min="64" max="64" width="8.25"/>
    <col customWidth="1" min="65" max="65" width="29.38"/>
    <col customWidth="1" min="66" max="66" width="24.25"/>
    <col customWidth="1" min="67" max="67" width="12.38"/>
    <col customWidth="1" min="68" max="68" width="10.25"/>
    <col customWidth="1" min="69" max="69" width="20.13"/>
  </cols>
  <sheetData>
    <row r="1">
      <c r="A1" s="63" t="s">
        <v>483</v>
      </c>
      <c r="B1" s="63" t="s">
        <v>484</v>
      </c>
      <c r="C1" s="63" t="s">
        <v>485</v>
      </c>
      <c r="D1" s="259" t="str">
        <f>IF(SUM($D$2:$D131)=ROWS(postDEL!$A$2:$A131)-COUNTBLANK(postDEL!$A$2:$A131),CONCATENATE("Num Person Samples = ",SUM($D$2:$D131)),CONCATENATE("ERROR!! Num Person Samples = ",SUM($D$2:$D131)))</f>
        <v>ERROR!! Num Person Samples = 0</v>
      </c>
      <c r="E1" s="63" t="s">
        <v>182</v>
      </c>
      <c r="F1" s="59" t="str">
        <f t="array" ref="F1">CONCATENATE(IF(COUNTA(UNIQUE(F2:F131))=COUNTA(F2:F131),"OK UNIQUE - ","ERROR! REPEATS - "), "Participant ID Number")</f>
        <v>OK UNIQUE - Participant ID Number</v>
      </c>
      <c r="G1" s="63"/>
      <c r="H1" s="63" t="s">
        <v>486</v>
      </c>
      <c r="I1" s="63" t="s">
        <v>487</v>
      </c>
      <c r="J1" s="58" t="s">
        <v>488</v>
      </c>
      <c r="K1" s="259" t="str">
        <f>IF(SUM(D2:D131)=ROWS(postDEL!$A$2:$A131)-COUNTBLANK(postDEL!$A$2:$A131),"Num Sponsored Tubes",CONCATENATE("ERROR!! Num Sponsored Tubes = ",SUM(D2:D131)))</f>
        <v>ERROR!! Num Sponsored Tubes = 0</v>
      </c>
      <c r="L1" s="63" t="s">
        <v>489</v>
      </c>
      <c r="M1" s="58" t="s">
        <v>490</v>
      </c>
      <c r="N1" s="51" t="s">
        <v>491</v>
      </c>
      <c r="O1" s="260" t="s">
        <v>492</v>
      </c>
      <c r="P1" s="63" t="s">
        <v>162</v>
      </c>
      <c r="Q1" s="63" t="s">
        <v>187</v>
      </c>
      <c r="R1" s="63" t="s">
        <v>493</v>
      </c>
      <c r="S1" s="58" t="s">
        <v>494</v>
      </c>
      <c r="T1" s="58" t="s">
        <v>495</v>
      </c>
      <c r="U1" s="58" t="s">
        <v>496</v>
      </c>
      <c r="V1" s="58" t="s">
        <v>497</v>
      </c>
      <c r="W1" s="58" t="s">
        <v>498</v>
      </c>
      <c r="X1" s="63" t="s">
        <v>499</v>
      </c>
      <c r="Y1" s="259" t="str">
        <f>IF(COUNTBLANK(Y2:Y131)=ROWS(Y2:Y131),"Values in Live","ERROR!! Values in Live")</f>
        <v>Values in Live</v>
      </c>
      <c r="Z1" s="238"/>
      <c r="AA1" s="51" t="s">
        <v>500</v>
      </c>
      <c r="AB1" s="261" t="str">
        <f>IF(SUM(AB2:AB131)=COUNTA(C2:C131), "Num Persons in Household", "ERROR!! Num Persons in Household")</f>
        <v>ERROR!! Num Persons in Household</v>
      </c>
      <c r="AC1" s="76" t="s">
        <v>501</v>
      </c>
      <c r="AD1" s="259" t="str">
        <f>IF(COUNTBLANK(AD2:AD131)=ROWS(AD2:AD131),"Live in Values","ERROR!! Live in Values")</f>
        <v>ERROR!! Live in Values</v>
      </c>
      <c r="AE1" s="51" t="s">
        <v>502</v>
      </c>
      <c r="AF1" s="51" t="s">
        <v>503</v>
      </c>
      <c r="AG1" s="51" t="s">
        <v>504</v>
      </c>
      <c r="AH1" s="259" t="str">
        <f>IF(SUM(AH2:AH131)=Rollup!$D$5,CONCATENATE("Num Person Samples = ",SUM(AH2:AH131)),CONCATENATE("ERROR!! Num Person Samples = ",SUM(AH2:AH131)))</f>
        <v>ERROR!! Num Person Samples = 690</v>
      </c>
      <c r="AI1" s="63" t="s">
        <v>505</v>
      </c>
      <c r="AJ1" s="63" t="s">
        <v>506</v>
      </c>
      <c r="AK1" s="262"/>
      <c r="AL1" s="59" t="str">
        <f>IFERROR(__xludf.DUMMYFUNCTION("IF(COUNTIF(ARRAYFORMULA(FILTER(AL2:AL131, AL2:AL131&lt;&gt;"""")=FILTER(AM2:AM131, AM2:AM131&lt;&gt;"""")), FALSE)=0, ""Sponsor Fullnames - All Match Live CHECK LENGTH SAME"", ""Sponsor Fullnames - ERROR Mismatch in Live Found"")
"),"Sponsor Fullnames - All Match Live CHECK LENGTH SAME")</f>
        <v>Sponsor Fullnames - All Match Live CHECK LENGTH SAME</v>
      </c>
      <c r="AM1" s="51" t="s">
        <v>507</v>
      </c>
      <c r="AN1" s="263" t="str">
        <f>IFS(ISERR(AND(AN2:AN131)),"ERROR!! Sponsors in Participants Live?",AND(AN2:AN131),"Sponsors in Participants Live?",TRUE,"ERROR!! Sponsors in Participants Live?")</f>
        <v>ERROR!! Sponsors in Participants Live?</v>
      </c>
      <c r="AO1" s="263" t="str">
        <f>IFS(ISERR(AND(AO2:AO131)),"ERROR!! Sponsors in Participants Values?",AND(AO2:AO131),"Sponsors in Participants Values?",TRUE,"ERROR!! Sponsors in Participants Values?")</f>
        <v>ERROR!! Sponsors in Participants Values?</v>
      </c>
      <c r="AP1" s="63" t="s">
        <v>508</v>
      </c>
      <c r="AQ1" s="63" t="s">
        <v>509</v>
      </c>
      <c r="AR1" s="59" t="str">
        <f t="array" ref="AR1">CONCATENATE(IF(COUNTA(UNIQUE(AR2:AR131))=COUNTA(AR2:AR131),"OK UNIQUE - ","ERROR! REPEATS - "), "Participant ID Number")</f>
        <v>OK UNIQUE - Participant ID Number</v>
      </c>
      <c r="AS1" s="76" t="s">
        <v>192</v>
      </c>
      <c r="AT1" s="264" t="s">
        <v>510</v>
      </c>
      <c r="AU1" s="259" t="s">
        <v>511</v>
      </c>
      <c r="AV1" s="63" t="s">
        <v>502</v>
      </c>
      <c r="AW1" s="63" t="s">
        <v>503</v>
      </c>
      <c r="AX1" s="63" t="s">
        <v>504</v>
      </c>
      <c r="AY1" s="259" t="s">
        <v>512</v>
      </c>
      <c r="AZ1" s="63" t="s">
        <v>505</v>
      </c>
      <c r="BA1" s="63" t="s">
        <v>506</v>
      </c>
      <c r="BB1" s="63" t="s">
        <v>507</v>
      </c>
      <c r="BC1" s="263" t="s">
        <v>513</v>
      </c>
      <c r="BD1" s="259" t="s">
        <v>514</v>
      </c>
      <c r="BE1" s="63" t="s">
        <v>508</v>
      </c>
      <c r="BF1" s="264" t="s">
        <v>515</v>
      </c>
      <c r="BG1" s="74" t="s">
        <v>516</v>
      </c>
      <c r="BH1" s="63" t="s">
        <v>502</v>
      </c>
      <c r="BI1" s="63" t="s">
        <v>503</v>
      </c>
      <c r="BJ1" s="63" t="s">
        <v>504</v>
      </c>
      <c r="BK1" s="259" t="s">
        <v>512</v>
      </c>
      <c r="BL1" s="63" t="s">
        <v>505</v>
      </c>
      <c r="BM1" s="63" t="s">
        <v>506</v>
      </c>
      <c r="BN1" s="63" t="s">
        <v>507</v>
      </c>
      <c r="BO1" s="259" t="s">
        <v>513</v>
      </c>
      <c r="BP1" s="74" t="s">
        <v>517</v>
      </c>
      <c r="BQ1" s="63" t="s">
        <v>508</v>
      </c>
    </row>
    <row r="2">
      <c r="D2" s="265">
        <f>COUNTIF(postDEL!$AR$2:$AR131,$C2)</f>
        <v>0</v>
      </c>
      <c r="E2" s="11" t="str">
        <f>CONCATENATE(Process!$A$1,F2)</f>
        <v>NDHM872314</v>
      </c>
      <c r="F2" s="11">
        <v>872314.0</v>
      </c>
      <c r="H2" s="9" t="s">
        <v>518</v>
      </c>
      <c r="I2" s="54">
        <v>1.0</v>
      </c>
      <c r="J2" s="266" t="s">
        <v>519</v>
      </c>
      <c r="K2" s="267">
        <f>COUNTIF(postDEL!$AO$2:$AO131,$C2)</f>
        <v>0</v>
      </c>
      <c r="L2" s="54" t="s">
        <v>520</v>
      </c>
      <c r="M2" s="266" t="s">
        <v>521</v>
      </c>
      <c r="N2" s="268" t="b">
        <f t="shared" ref="N2:N131" si="1">IF($D2=0,TRUE,IFERROR(0/0,""))</f>
        <v>1</v>
      </c>
      <c r="O2" s="57" t="s">
        <v>522</v>
      </c>
      <c r="P2" s="266" t="s">
        <v>208</v>
      </c>
      <c r="S2" s="2" t="s">
        <v>523</v>
      </c>
      <c r="U2" s="3"/>
      <c r="V2" s="3"/>
      <c r="W2" s="3"/>
      <c r="Y2" s="269" t="str">
        <f t="shared" ref="Y2:Y131" si="2">IF(OR(COUNTIF($AG$2:$AG131,$C2)=1,$N2),IFERROR(0/0,""),"NOT")</f>
        <v/>
      </c>
      <c r="Z2" s="238"/>
      <c r="AA2" s="270" t="str">
        <f t="array" ref="AA2:AA37">SORT(UNIQUE(H2:H131),1,TRUE)</f>
        <v>H_NDHM_0001</v>
      </c>
      <c r="AB2" s="265">
        <f t="shared" ref="AB2:AB37" si="3">COUNTIF(H$2:H131,AA2)</f>
        <v>2</v>
      </c>
      <c r="AC2" s="238"/>
      <c r="AD2" s="53" t="str">
        <f t="shared" ref="AD2:AD131" si="4">IF(COUNTIF(C$2:C131,AG2)=1,IFERROR(0/0,""),"NOT")</f>
        <v>NOT</v>
      </c>
      <c r="AE2" s="271" t="str">
        <f t="array" ref="AE2:AG3">SORT(UNIQUE(postDEL!$AP$2:$AR131),2,TRUE,1,TRUE)</f>
        <v/>
      </c>
      <c r="AF2" s="11" t="s">
        <v>482</v>
      </c>
      <c r="AG2" s="11" t="s">
        <v>482</v>
      </c>
      <c r="AH2" s="265">
        <f>COUNTIF(postDEL!$AR$2:$AR131,AG2)</f>
        <v>690</v>
      </c>
      <c r="AI2" s="272"/>
      <c r="AK2" s="273"/>
      <c r="AL2" s="131"/>
      <c r="AM2" s="274" t="str">
        <f t="array" ref="AM2:AM3">SORT(UNIQUE(postDEL!$AO$2:$AO131),1,TRUE)</f>
        <v/>
      </c>
      <c r="AN2" s="53" t="b">
        <f t="shared" ref="AN2:AN21" si="5">IF(NOT(ISBLANK(AM2)), IF(COUNTIF(AG$2:AG131,AM2)=1,TRUE,FALSE),IFERROR(0/0,""))</f>
        <v>0</v>
      </c>
      <c r="AO2" s="53" t="b">
        <f t="shared" ref="AO2:AO21" si="6">IF(NOT(ISBLANK(AM2)), IF(COUNTIF(C$2:C131,AM2)=1,TRUE,FALSE),IFERROR(0/0,""))</f>
        <v>0</v>
      </c>
      <c r="AQ2" s="249" t="str">
        <f>CONCATENATE("Sp",Process!$A$1,AR2)</f>
        <v>SpNDHM435885</v>
      </c>
      <c r="AR2" s="131">
        <v>435885.0</v>
      </c>
      <c r="AS2" s="275"/>
      <c r="AT2" s="275"/>
      <c r="AU2" s="53"/>
      <c r="AY2" s="53"/>
      <c r="AZ2" s="272"/>
      <c r="BC2" s="53"/>
      <c r="BD2" s="53"/>
      <c r="BF2" s="276"/>
      <c r="BG2" s="53"/>
      <c r="BK2" s="53"/>
      <c r="BL2" s="272"/>
      <c r="BO2" s="53"/>
      <c r="BP2" s="53"/>
    </row>
    <row r="3">
      <c r="D3" s="265">
        <f>COUNTIF(postDEL!$AR$2:$AR131,$C3)</f>
        <v>0</v>
      </c>
      <c r="E3" s="11" t="str">
        <f>CONCATENATE(Process!$A$1,F3)</f>
        <v>NDHM406316</v>
      </c>
      <c r="F3" s="11">
        <v>406316.0</v>
      </c>
      <c r="H3" s="9" t="s">
        <v>518</v>
      </c>
      <c r="I3" s="54">
        <v>1.0</v>
      </c>
      <c r="K3" s="267">
        <f>COUNTIF(postDEL!$AO$2:$AO131,$C3)</f>
        <v>0</v>
      </c>
      <c r="L3" s="54" t="s">
        <v>524</v>
      </c>
      <c r="M3" s="266" t="s">
        <v>525</v>
      </c>
      <c r="N3" s="268" t="b">
        <f t="shared" si="1"/>
        <v>1</v>
      </c>
      <c r="O3" s="57" t="s">
        <v>526</v>
      </c>
      <c r="P3" s="266" t="s">
        <v>208</v>
      </c>
      <c r="Q3" s="11"/>
      <c r="R3" s="11"/>
      <c r="S3" s="2" t="s">
        <v>523</v>
      </c>
      <c r="T3" s="11"/>
      <c r="U3" s="11"/>
      <c r="V3" s="11"/>
      <c r="W3" s="11"/>
      <c r="Y3" s="269" t="str">
        <f t="shared" si="2"/>
        <v/>
      </c>
      <c r="Z3" s="238"/>
      <c r="AA3" s="271" t="s">
        <v>527</v>
      </c>
      <c r="AB3" s="265">
        <f t="shared" si="3"/>
        <v>5</v>
      </c>
      <c r="AC3" s="238"/>
      <c r="AD3" s="53" t="str">
        <f t="shared" si="4"/>
        <v>NOT</v>
      </c>
      <c r="AE3" s="271"/>
      <c r="AF3" s="271"/>
      <c r="AG3" s="271"/>
      <c r="AH3" s="265">
        <f>COUNTIF(postDEL!$AR$2:$AR131,AG3)</f>
        <v>0</v>
      </c>
      <c r="AI3" s="271"/>
      <c r="AJ3" s="271"/>
      <c r="AK3" s="277"/>
      <c r="AL3" s="271"/>
      <c r="AM3" s="278"/>
      <c r="AN3" s="53" t="str">
        <f t="shared" si="5"/>
        <v/>
      </c>
      <c r="AO3" s="53" t="str">
        <f t="shared" si="6"/>
        <v/>
      </c>
      <c r="AP3" s="271" t="str">
        <f>IF(_xlfn.ISFORMULA(AP2),FORMULATEXT(AP2),IFERROR(0/0,""))</f>
        <v/>
      </c>
      <c r="AQ3" s="249" t="str">
        <f>CONCATENATE("Sp",Process!$A$1,AR3)</f>
        <v>SpNDHM762063</v>
      </c>
      <c r="AR3" s="131">
        <v>762063.0</v>
      </c>
      <c r="AS3" s="277" t="str">
        <f>IF(_xlfn.ISFORMULA(AS2),FORMULATEXT(AS2),IFERROR(0/0,""))</f>
        <v/>
      </c>
      <c r="AT3" s="275"/>
      <c r="AU3" s="271"/>
      <c r="AV3" s="271"/>
      <c r="AW3" s="271"/>
      <c r="AX3" s="271"/>
      <c r="AY3" s="271"/>
      <c r="AZ3" s="271"/>
      <c r="BA3" s="271"/>
      <c r="BB3" s="271"/>
      <c r="BC3" s="271"/>
      <c r="BD3" s="271"/>
      <c r="BE3" s="271"/>
      <c r="BF3" s="271"/>
      <c r="BG3" s="271"/>
      <c r="BH3" s="271"/>
      <c r="BI3" s="271"/>
      <c r="BJ3" s="271"/>
      <c r="BK3" s="271"/>
      <c r="BL3" s="271"/>
      <c r="BM3" s="271"/>
      <c r="BN3" s="271"/>
      <c r="BO3" s="271"/>
      <c r="BP3" s="271"/>
      <c r="BQ3" s="271"/>
    </row>
    <row r="4">
      <c r="D4" s="265">
        <f>COUNTIF(postDEL!$AR$2:$AR131,$C4)</f>
        <v>0</v>
      </c>
      <c r="E4" s="11" t="str">
        <f>CONCATENATE(Process!$A$1,F4)</f>
        <v>NDHM784418</v>
      </c>
      <c r="F4" s="11">
        <v>784418.0</v>
      </c>
      <c r="H4" s="9" t="s">
        <v>528</v>
      </c>
      <c r="I4" s="54">
        <v>1.0</v>
      </c>
      <c r="K4" s="267">
        <f>COUNTIF(postDEL!$AO$2:$AO131,$C4)</f>
        <v>0</v>
      </c>
      <c r="L4" s="54" t="s">
        <v>520</v>
      </c>
      <c r="M4" s="266" t="s">
        <v>521</v>
      </c>
      <c r="N4" s="268" t="b">
        <f t="shared" si="1"/>
        <v>1</v>
      </c>
      <c r="O4" s="57" t="s">
        <v>529</v>
      </c>
      <c r="P4" s="266" t="s">
        <v>208</v>
      </c>
      <c r="S4" s="2" t="s">
        <v>523</v>
      </c>
      <c r="X4" s="11"/>
      <c r="Y4" s="269" t="str">
        <f t="shared" si="2"/>
        <v/>
      </c>
      <c r="Z4" s="238"/>
      <c r="AA4" s="269" t="s">
        <v>530</v>
      </c>
      <c r="AB4" s="265">
        <f t="shared" si="3"/>
        <v>4</v>
      </c>
      <c r="AC4" s="238"/>
      <c r="AD4" s="53" t="str">
        <f t="shared" si="4"/>
        <v>NOT</v>
      </c>
      <c r="AE4" s="11"/>
      <c r="AF4" s="11"/>
      <c r="AG4" s="11"/>
      <c r="AH4" s="265">
        <f>COUNTIF(postDEL!$AR$2:$AR131,AG4)</f>
        <v>0</v>
      </c>
      <c r="AI4" s="272"/>
      <c r="AK4" s="279"/>
      <c r="AM4" s="47"/>
      <c r="AN4" s="53" t="str">
        <f t="shared" si="5"/>
        <v/>
      </c>
      <c r="AO4" s="53" t="str">
        <f t="shared" si="6"/>
        <v/>
      </c>
      <c r="AQ4" s="249" t="str">
        <f>CONCATENATE("Sp",Process!$A$1,AR4)</f>
        <v>SpNDHM957722</v>
      </c>
      <c r="AR4" s="131">
        <v>957722.0</v>
      </c>
      <c r="AS4" s="275"/>
      <c r="AT4" s="275"/>
      <c r="AU4" s="53"/>
      <c r="AY4" s="53"/>
      <c r="AZ4" s="280"/>
      <c r="BC4" s="53"/>
      <c r="BD4" s="53"/>
      <c r="BF4" s="276"/>
      <c r="BG4" s="53"/>
      <c r="BK4" s="53"/>
      <c r="BL4" s="272"/>
      <c r="BO4" s="53"/>
      <c r="BP4" s="53"/>
    </row>
    <row r="5">
      <c r="D5" s="265">
        <f>COUNTIF(postDEL!$AR$2:$AR131,$C5)</f>
        <v>0</v>
      </c>
      <c r="E5" s="11" t="str">
        <f>CONCATENATE(Process!$A$1,F5)</f>
        <v>NDHM577067</v>
      </c>
      <c r="F5" s="11">
        <v>577067.0</v>
      </c>
      <c r="H5" s="9" t="s">
        <v>518</v>
      </c>
      <c r="I5" s="54">
        <v>1.0</v>
      </c>
      <c r="K5" s="267">
        <f>COUNTIF(postDEL!$AO$2:$AO131,$C5)</f>
        <v>0</v>
      </c>
      <c r="L5" s="54" t="s">
        <v>531</v>
      </c>
      <c r="M5" s="266" t="s">
        <v>521</v>
      </c>
      <c r="N5" s="268" t="b">
        <f t="shared" si="1"/>
        <v>1</v>
      </c>
      <c r="O5" s="57" t="s">
        <v>529</v>
      </c>
      <c r="P5" s="266" t="s">
        <v>208</v>
      </c>
      <c r="S5" s="2" t="s">
        <v>523</v>
      </c>
      <c r="X5" s="11"/>
      <c r="Y5" s="269" t="str">
        <f t="shared" si="2"/>
        <v/>
      </c>
      <c r="Z5" s="238"/>
      <c r="AA5" s="269" t="s">
        <v>532</v>
      </c>
      <c r="AB5" s="265">
        <f t="shared" si="3"/>
        <v>3</v>
      </c>
      <c r="AC5" s="238"/>
      <c r="AD5" s="53" t="str">
        <f t="shared" si="4"/>
        <v>NOT</v>
      </c>
      <c r="AE5" s="11"/>
      <c r="AF5" s="11"/>
      <c r="AG5" s="11"/>
      <c r="AH5" s="265">
        <f>COUNTIF(postDEL!$AR$2:$AR131,AG5)</f>
        <v>0</v>
      </c>
      <c r="AI5" s="272"/>
      <c r="AK5" s="279"/>
      <c r="AM5" s="47"/>
      <c r="AN5" s="53" t="str">
        <f t="shared" si="5"/>
        <v/>
      </c>
      <c r="AO5" s="53" t="str">
        <f t="shared" si="6"/>
        <v/>
      </c>
      <c r="AQ5" s="249" t="str">
        <f>CONCATENATE("Sp",Process!$A$1,AR5)</f>
        <v>SpNDHM672043</v>
      </c>
      <c r="AR5" s="131">
        <v>672043.0</v>
      </c>
      <c r="AS5" s="275"/>
      <c r="AT5" s="275"/>
      <c r="AU5" s="53"/>
      <c r="AY5" s="53"/>
      <c r="AZ5" s="272"/>
      <c r="BC5" s="53"/>
      <c r="BD5" s="53"/>
      <c r="BF5" s="276"/>
      <c r="BG5" s="53"/>
      <c r="BK5" s="53"/>
      <c r="BL5" s="272"/>
      <c r="BO5" s="53"/>
      <c r="BP5" s="54"/>
    </row>
    <row r="6">
      <c r="D6" s="265">
        <f>COUNTIF(postDEL!$AR$2:$AR131,$C6)</f>
        <v>0</v>
      </c>
      <c r="E6" s="11" t="str">
        <f>CONCATENATE(Process!$A$1,F6)</f>
        <v>NDHM804847</v>
      </c>
      <c r="F6" s="11">
        <v>804847.0</v>
      </c>
      <c r="H6" s="9" t="s">
        <v>528</v>
      </c>
      <c r="I6" s="54">
        <v>1.0</v>
      </c>
      <c r="K6" s="267">
        <f>COUNTIF(postDEL!$AO$2:$AO131,$C6)</f>
        <v>0</v>
      </c>
      <c r="L6" s="54" t="s">
        <v>524</v>
      </c>
      <c r="M6" s="266" t="s">
        <v>525</v>
      </c>
      <c r="N6" s="268" t="b">
        <f t="shared" si="1"/>
        <v>1</v>
      </c>
      <c r="O6" s="57" t="s">
        <v>526</v>
      </c>
      <c r="P6" s="266" t="s">
        <v>208</v>
      </c>
      <c r="S6" s="2" t="s">
        <v>523</v>
      </c>
      <c r="X6" s="11"/>
      <c r="Y6" s="269" t="str">
        <f t="shared" si="2"/>
        <v/>
      </c>
      <c r="Z6" s="238"/>
      <c r="AA6" s="269" t="s">
        <v>533</v>
      </c>
      <c r="AB6" s="265">
        <f t="shared" si="3"/>
        <v>1</v>
      </c>
      <c r="AC6" s="238"/>
      <c r="AD6" s="53" t="str">
        <f t="shared" si="4"/>
        <v>NOT</v>
      </c>
      <c r="AE6" s="11"/>
      <c r="AF6" s="11"/>
      <c r="AG6" s="11"/>
      <c r="AH6" s="265">
        <f>COUNTIF(postDEL!$AR$2:$AR131,AG6)</f>
        <v>0</v>
      </c>
      <c r="AI6" s="272"/>
      <c r="AK6" s="279"/>
      <c r="AM6" s="47"/>
      <c r="AN6" s="53" t="str">
        <f t="shared" si="5"/>
        <v/>
      </c>
      <c r="AO6" s="53" t="str">
        <f t="shared" si="6"/>
        <v/>
      </c>
      <c r="AQ6" s="249" t="str">
        <f>CONCATENATE("Sp",Process!$A$1,AR6)</f>
        <v>SpNDHM394507</v>
      </c>
      <c r="AR6" s="131">
        <v>394507.0</v>
      </c>
      <c r="AS6" s="275"/>
      <c r="AT6" s="275"/>
      <c r="AU6" s="53"/>
      <c r="AY6" s="53"/>
      <c r="AZ6" s="272"/>
      <c r="BC6" s="53"/>
      <c r="BD6" s="53"/>
      <c r="BF6" s="276"/>
      <c r="BG6" s="53"/>
      <c r="BK6" s="53"/>
      <c r="BL6" s="272"/>
      <c r="BO6" s="53"/>
      <c r="BP6" s="53"/>
    </row>
    <row r="7">
      <c r="D7" s="265">
        <f>COUNTIF(postDEL!$AR$2:$AR131,$C7)</f>
        <v>0</v>
      </c>
      <c r="E7" s="11" t="str">
        <f>CONCATENATE(Process!$A$1,F7)</f>
        <v>NDHM730614</v>
      </c>
      <c r="F7" s="11">
        <v>730614.0</v>
      </c>
      <c r="H7" s="9" t="s">
        <v>528</v>
      </c>
      <c r="I7" s="54">
        <v>1.0</v>
      </c>
      <c r="K7" s="267">
        <f>COUNTIF(postDEL!$AO$2:$AO131,$C7)</f>
        <v>0</v>
      </c>
      <c r="L7" s="54" t="s">
        <v>531</v>
      </c>
      <c r="M7" s="266" t="s">
        <v>521</v>
      </c>
      <c r="N7" s="268" t="b">
        <f t="shared" si="1"/>
        <v>1</v>
      </c>
      <c r="O7" s="57" t="s">
        <v>529</v>
      </c>
      <c r="P7" s="266" t="s">
        <v>208</v>
      </c>
      <c r="S7" s="2" t="s">
        <v>534</v>
      </c>
      <c r="X7" s="11"/>
      <c r="Y7" s="269" t="str">
        <f t="shared" si="2"/>
        <v/>
      </c>
      <c r="Z7" s="238"/>
      <c r="AA7" s="269" t="s">
        <v>535</v>
      </c>
      <c r="AB7" s="265">
        <f t="shared" si="3"/>
        <v>4</v>
      </c>
      <c r="AC7" s="238"/>
      <c r="AD7" s="53" t="str">
        <f t="shared" si="4"/>
        <v>NOT</v>
      </c>
      <c r="AE7" s="11"/>
      <c r="AF7" s="11"/>
      <c r="AG7" s="11"/>
      <c r="AH7" s="265">
        <f>COUNTIF(postDEL!$AR$2:$AR131,AG7)</f>
        <v>0</v>
      </c>
      <c r="AI7" s="272"/>
      <c r="AK7" s="279"/>
      <c r="AM7" s="47"/>
      <c r="AN7" s="53" t="str">
        <f t="shared" si="5"/>
        <v/>
      </c>
      <c r="AO7" s="53" t="str">
        <f t="shared" si="6"/>
        <v/>
      </c>
      <c r="AQ7" s="249" t="str">
        <f>CONCATENATE("Sp",Process!$A$1,AR7)</f>
        <v>SpNDHM241897</v>
      </c>
      <c r="AR7" s="131">
        <v>241897.0</v>
      </c>
      <c r="AS7" s="275"/>
      <c r="AT7" s="275"/>
      <c r="AU7" s="53"/>
      <c r="AY7" s="53"/>
      <c r="AZ7" s="272"/>
      <c r="BC7" s="53"/>
      <c r="BD7" s="53"/>
      <c r="BF7" s="276"/>
      <c r="BG7" s="53"/>
      <c r="BK7" s="53"/>
      <c r="BL7" s="272"/>
      <c r="BO7" s="53"/>
      <c r="BP7" s="53"/>
    </row>
    <row r="8">
      <c r="D8" s="265">
        <f>COUNTIF(postDEL!$AR$2:$AR131,$C8)</f>
        <v>0</v>
      </c>
      <c r="E8" s="11" t="str">
        <f>CONCATENATE(Process!$A$1,F8)</f>
        <v>NDHM584295</v>
      </c>
      <c r="F8" s="11">
        <v>584295.0</v>
      </c>
      <c r="H8" s="9" t="s">
        <v>536</v>
      </c>
      <c r="I8" s="54">
        <v>1.0</v>
      </c>
      <c r="K8" s="267">
        <f>COUNTIF(postDEL!$AO$2:$AO131,$C8)</f>
        <v>0</v>
      </c>
      <c r="L8" s="54" t="s">
        <v>520</v>
      </c>
      <c r="M8" s="266" t="s">
        <v>521</v>
      </c>
      <c r="N8" s="268" t="b">
        <f t="shared" si="1"/>
        <v>1</v>
      </c>
      <c r="O8" s="57" t="s">
        <v>529</v>
      </c>
      <c r="P8" s="266" t="s">
        <v>208</v>
      </c>
      <c r="S8" s="2" t="s">
        <v>523</v>
      </c>
      <c r="X8" s="11"/>
      <c r="Y8" s="269" t="str">
        <f t="shared" si="2"/>
        <v/>
      </c>
      <c r="Z8" s="238"/>
      <c r="AA8" s="269" t="s">
        <v>537</v>
      </c>
      <c r="AB8" s="265">
        <f t="shared" si="3"/>
        <v>5</v>
      </c>
      <c r="AC8" s="238"/>
      <c r="AD8" s="53" t="str">
        <f t="shared" si="4"/>
        <v>NOT</v>
      </c>
      <c r="AE8" s="11"/>
      <c r="AF8" s="11"/>
      <c r="AG8" s="11"/>
      <c r="AH8" s="265">
        <f>COUNTIF(postDEL!$AR$2:$AR131,AG8)</f>
        <v>0</v>
      </c>
      <c r="AI8" s="272"/>
      <c r="AK8" s="279"/>
      <c r="AM8" s="47"/>
      <c r="AN8" s="53" t="str">
        <f t="shared" si="5"/>
        <v/>
      </c>
      <c r="AO8" s="53" t="str">
        <f t="shared" si="6"/>
        <v/>
      </c>
      <c r="AQ8" s="249" t="str">
        <f>CONCATENATE("Sp",Process!$A$1,AR8)</f>
        <v>SpNDHM118014</v>
      </c>
      <c r="AR8" s="131">
        <v>118014.0</v>
      </c>
      <c r="AS8" s="275"/>
      <c r="AT8" s="275"/>
      <c r="AU8" s="53"/>
      <c r="AY8" s="53"/>
      <c r="AZ8" s="272"/>
      <c r="BC8" s="53"/>
      <c r="BD8" s="53"/>
      <c r="BF8" s="276"/>
      <c r="BG8" s="53"/>
      <c r="BK8" s="53"/>
      <c r="BL8" s="272"/>
      <c r="BO8" s="53"/>
      <c r="BP8" s="53"/>
    </row>
    <row r="9">
      <c r="D9" s="265">
        <f>COUNTIF(postDEL!$AR$2:$AR131,$C9)</f>
        <v>0</v>
      </c>
      <c r="E9" s="11" t="str">
        <f>CONCATENATE(Process!$A$1,F9)</f>
        <v>NDHM976885</v>
      </c>
      <c r="F9" s="11">
        <v>976885.0</v>
      </c>
      <c r="H9" s="9" t="s">
        <v>537</v>
      </c>
      <c r="I9" s="54">
        <v>1.0</v>
      </c>
      <c r="K9" s="267">
        <f>COUNTIF(postDEL!$AO$2:$AO131,$C9)</f>
        <v>0</v>
      </c>
      <c r="L9" s="54" t="s">
        <v>520</v>
      </c>
      <c r="M9" s="266" t="s">
        <v>521</v>
      </c>
      <c r="N9" s="268" t="b">
        <f t="shared" si="1"/>
        <v>1</v>
      </c>
      <c r="O9" s="57" t="s">
        <v>529</v>
      </c>
      <c r="P9" s="266" t="s">
        <v>208</v>
      </c>
      <c r="S9" s="2" t="s">
        <v>523</v>
      </c>
      <c r="X9" s="11"/>
      <c r="Y9" s="269" t="str">
        <f t="shared" si="2"/>
        <v/>
      </c>
      <c r="Z9" s="238"/>
      <c r="AA9" s="269" t="s">
        <v>538</v>
      </c>
      <c r="AB9" s="265">
        <f t="shared" si="3"/>
        <v>5</v>
      </c>
      <c r="AC9" s="238"/>
      <c r="AD9" s="53" t="str">
        <f t="shared" si="4"/>
        <v>NOT</v>
      </c>
      <c r="AE9" s="11"/>
      <c r="AF9" s="11"/>
      <c r="AG9" s="11"/>
      <c r="AH9" s="265">
        <f>COUNTIF(postDEL!$AR$2:$AR131,AG9)</f>
        <v>0</v>
      </c>
      <c r="AI9" s="272"/>
      <c r="AK9" s="279"/>
      <c r="AM9" s="47"/>
      <c r="AN9" s="53" t="str">
        <f t="shared" si="5"/>
        <v/>
      </c>
      <c r="AO9" s="53" t="str">
        <f t="shared" si="6"/>
        <v/>
      </c>
      <c r="AQ9" s="249" t="str">
        <f>CONCATENATE("Sp",Process!$A$1,AR9)</f>
        <v>SpNDHM189649</v>
      </c>
      <c r="AR9" s="131">
        <v>189649.0</v>
      </c>
      <c r="AS9" s="275"/>
      <c r="AT9" s="275"/>
      <c r="AU9" s="53"/>
      <c r="AY9" s="53"/>
      <c r="AZ9" s="272"/>
      <c r="BC9" s="53"/>
      <c r="BD9" s="53"/>
      <c r="BF9" s="276"/>
      <c r="BG9" s="53"/>
      <c r="BK9" s="53"/>
      <c r="BL9" s="272"/>
      <c r="BO9" s="53"/>
      <c r="BP9" s="53"/>
    </row>
    <row r="10">
      <c r="D10" s="265">
        <f>COUNTIF(postDEL!$AR$2:$AR131,$C10)</f>
        <v>0</v>
      </c>
      <c r="E10" s="11" t="str">
        <f>CONCATENATE(Process!$A$1,F10)</f>
        <v>NDHM945507</v>
      </c>
      <c r="F10" s="11">
        <v>945507.0</v>
      </c>
      <c r="H10" s="9" t="s">
        <v>539</v>
      </c>
      <c r="I10" s="54">
        <v>1.0</v>
      </c>
      <c r="K10" s="267">
        <f>COUNTIF(postDEL!$AO$2:$AO131,$C10)</f>
        <v>0</v>
      </c>
      <c r="L10" s="54" t="s">
        <v>524</v>
      </c>
      <c r="M10" s="266" t="s">
        <v>525</v>
      </c>
      <c r="N10" s="268" t="b">
        <f t="shared" si="1"/>
        <v>1</v>
      </c>
      <c r="O10" s="57" t="s">
        <v>526</v>
      </c>
      <c r="P10" s="266" t="s">
        <v>208</v>
      </c>
      <c r="S10" s="2" t="s">
        <v>523</v>
      </c>
      <c r="X10" s="11"/>
      <c r="Y10" s="269" t="str">
        <f t="shared" si="2"/>
        <v/>
      </c>
      <c r="Z10" s="238"/>
      <c r="AA10" s="269" t="s">
        <v>540</v>
      </c>
      <c r="AB10" s="265">
        <f t="shared" si="3"/>
        <v>4</v>
      </c>
      <c r="AC10" s="238"/>
      <c r="AD10" s="53" t="str">
        <f t="shared" si="4"/>
        <v>NOT</v>
      </c>
      <c r="AE10" s="11"/>
      <c r="AF10" s="11"/>
      <c r="AG10" s="11"/>
      <c r="AH10" s="265">
        <f>COUNTIF(postDEL!$AR$2:$AR131,AG10)</f>
        <v>0</v>
      </c>
      <c r="AI10" s="272"/>
      <c r="AK10" s="279"/>
      <c r="AM10" s="47"/>
      <c r="AN10" s="53" t="str">
        <f t="shared" si="5"/>
        <v/>
      </c>
      <c r="AO10" s="53" t="str">
        <f t="shared" si="6"/>
        <v/>
      </c>
      <c r="AQ10" s="249" t="str">
        <f>CONCATENATE("Sp",Process!$A$1,AR10)</f>
        <v>SpNDHM645491</v>
      </c>
      <c r="AR10" s="131">
        <v>645491.0</v>
      </c>
      <c r="AS10" s="275"/>
      <c r="AT10" s="275"/>
      <c r="AU10" s="53"/>
      <c r="AY10" s="53"/>
      <c r="AZ10" s="272"/>
      <c r="BC10" s="53"/>
      <c r="BD10" s="53"/>
      <c r="BF10" s="276"/>
      <c r="BG10" s="53"/>
      <c r="BK10" s="53"/>
      <c r="BL10" s="272"/>
      <c r="BO10" s="53"/>
      <c r="BP10" s="53"/>
    </row>
    <row r="11">
      <c r="D11" s="265">
        <f>COUNTIF(postDEL!$AR$2:$AR131,$C11)</f>
        <v>0</v>
      </c>
      <c r="E11" s="11" t="str">
        <f>CONCATENATE(Process!$A$1,F11)</f>
        <v>NDHM304341</v>
      </c>
      <c r="F11" s="11">
        <v>304341.0</v>
      </c>
      <c r="H11" s="9" t="s">
        <v>539</v>
      </c>
      <c r="I11" s="54">
        <v>1.0</v>
      </c>
      <c r="J11" s="266" t="s">
        <v>541</v>
      </c>
      <c r="K11" s="267">
        <f>COUNTIF(postDEL!$AO$2:$AO131,$C11)</f>
        <v>0</v>
      </c>
      <c r="L11" s="54" t="s">
        <v>520</v>
      </c>
      <c r="M11" s="266" t="s">
        <v>521</v>
      </c>
      <c r="N11" s="268" t="b">
        <f t="shared" si="1"/>
        <v>1</v>
      </c>
      <c r="O11" s="57" t="s">
        <v>529</v>
      </c>
      <c r="P11" s="266" t="s">
        <v>208</v>
      </c>
      <c r="S11" s="2" t="s">
        <v>523</v>
      </c>
      <c r="X11" s="11"/>
      <c r="Y11" s="269" t="str">
        <f t="shared" si="2"/>
        <v/>
      </c>
      <c r="Z11" s="238"/>
      <c r="AA11" s="269" t="s">
        <v>518</v>
      </c>
      <c r="AB11" s="265">
        <f t="shared" si="3"/>
        <v>5</v>
      </c>
      <c r="AC11" s="238"/>
      <c r="AD11" s="53" t="str">
        <f t="shared" si="4"/>
        <v>NOT</v>
      </c>
      <c r="AE11" s="11"/>
      <c r="AF11" s="11"/>
      <c r="AG11" s="11"/>
      <c r="AH11" s="265">
        <f>COUNTIF(postDEL!$AR$2:$AR131,AG11)</f>
        <v>0</v>
      </c>
      <c r="AI11" s="272"/>
      <c r="AK11" s="279"/>
      <c r="AM11" s="47"/>
      <c r="AN11" s="53" t="str">
        <f t="shared" si="5"/>
        <v/>
      </c>
      <c r="AO11" s="53" t="str">
        <f t="shared" si="6"/>
        <v/>
      </c>
      <c r="AQ11" s="249" t="str">
        <f>CONCATENATE("Sp",Process!$A$1,AR11)</f>
        <v>SpNDHM400541</v>
      </c>
      <c r="AR11" s="131">
        <v>400541.0</v>
      </c>
      <c r="AS11" s="275"/>
      <c r="AT11" s="275"/>
      <c r="AU11" s="53"/>
      <c r="AY11" s="53"/>
      <c r="AZ11" s="280"/>
      <c r="BC11" s="53"/>
      <c r="BD11" s="53"/>
      <c r="BF11" s="276"/>
      <c r="BG11" s="53"/>
      <c r="BK11" s="53"/>
      <c r="BL11" s="272"/>
      <c r="BO11" s="53"/>
      <c r="BP11" s="53"/>
    </row>
    <row r="12">
      <c r="D12" s="265">
        <f>COUNTIF(postDEL!$AR$2:$AR131,$C12)</f>
        <v>0</v>
      </c>
      <c r="E12" s="11" t="str">
        <f>CONCATENATE(Process!$A$1,F12)</f>
        <v>NDHM806069</v>
      </c>
      <c r="F12" s="11">
        <v>806069.0</v>
      </c>
      <c r="H12" s="9" t="s">
        <v>536</v>
      </c>
      <c r="I12" s="54">
        <v>1.0</v>
      </c>
      <c r="J12" s="266" t="s">
        <v>542</v>
      </c>
      <c r="K12" s="267">
        <f>COUNTIF(postDEL!$AO$2:$AO131,$C12)</f>
        <v>0</v>
      </c>
      <c r="L12" s="54" t="s">
        <v>543</v>
      </c>
      <c r="M12" s="266" t="s">
        <v>521</v>
      </c>
      <c r="N12" s="268" t="b">
        <f t="shared" si="1"/>
        <v>1</v>
      </c>
      <c r="O12" s="57" t="s">
        <v>529</v>
      </c>
      <c r="P12" s="266" t="s">
        <v>208</v>
      </c>
      <c r="S12" s="2" t="s">
        <v>523</v>
      </c>
      <c r="X12" s="11"/>
      <c r="Y12" s="269" t="str">
        <f t="shared" si="2"/>
        <v/>
      </c>
      <c r="Z12" s="238"/>
      <c r="AA12" s="269" t="s">
        <v>539</v>
      </c>
      <c r="AB12" s="265">
        <f t="shared" si="3"/>
        <v>2</v>
      </c>
      <c r="AC12" s="238"/>
      <c r="AD12" s="53" t="str">
        <f t="shared" si="4"/>
        <v>NOT</v>
      </c>
      <c r="AE12" s="11"/>
      <c r="AF12" s="11"/>
      <c r="AG12" s="11"/>
      <c r="AH12" s="265">
        <f>COUNTIF(postDEL!$AR$2:$AR131,AG12)</f>
        <v>0</v>
      </c>
      <c r="AI12" s="272"/>
      <c r="AK12" s="279"/>
      <c r="AM12" s="47"/>
      <c r="AN12" s="53" t="str">
        <f t="shared" si="5"/>
        <v/>
      </c>
      <c r="AO12" s="53" t="str">
        <f t="shared" si="6"/>
        <v/>
      </c>
      <c r="AQ12" s="249" t="str">
        <f>CONCATENATE("Sp",Process!$A$1,AR12)</f>
        <v>SpNDHM463607</v>
      </c>
      <c r="AR12" s="131">
        <v>463607.0</v>
      </c>
      <c r="AS12" s="275"/>
      <c r="AT12" s="275"/>
      <c r="AU12" s="53"/>
      <c r="AY12" s="53"/>
      <c r="AZ12" s="272"/>
      <c r="BC12" s="53"/>
      <c r="BD12" s="53"/>
      <c r="BF12" s="276"/>
      <c r="BG12" s="53"/>
      <c r="BK12" s="53"/>
      <c r="BL12" s="272"/>
      <c r="BO12" s="53"/>
      <c r="BP12" s="53"/>
    </row>
    <row r="13">
      <c r="D13" s="265">
        <f>COUNTIF(postDEL!$AR$2:$AR131,$C13)</f>
        <v>0</v>
      </c>
      <c r="E13" s="11" t="str">
        <f>CONCATENATE(Process!$A$1,F13)</f>
        <v>NDHM144279</v>
      </c>
      <c r="F13" s="11">
        <v>144279.0</v>
      </c>
      <c r="H13" s="9" t="s">
        <v>544</v>
      </c>
      <c r="I13" s="54">
        <v>1.0</v>
      </c>
      <c r="J13" s="266" t="s">
        <v>545</v>
      </c>
      <c r="K13" s="267">
        <f>COUNTIF(postDEL!$AO$2:$AO131,$C13)</f>
        <v>0</v>
      </c>
      <c r="L13" s="54" t="s">
        <v>546</v>
      </c>
      <c r="M13" s="266" t="s">
        <v>547</v>
      </c>
      <c r="N13" s="268" t="b">
        <f t="shared" si="1"/>
        <v>1</v>
      </c>
      <c r="O13" s="57" t="s">
        <v>548</v>
      </c>
      <c r="P13" s="266" t="s">
        <v>208</v>
      </c>
      <c r="S13" s="2" t="s">
        <v>523</v>
      </c>
      <c r="X13" s="11"/>
      <c r="Y13" s="269" t="str">
        <f t="shared" si="2"/>
        <v/>
      </c>
      <c r="Z13" s="238"/>
      <c r="AA13" s="269" t="s">
        <v>544</v>
      </c>
      <c r="AB13" s="265">
        <f t="shared" si="3"/>
        <v>4</v>
      </c>
      <c r="AC13" s="238"/>
      <c r="AD13" s="53" t="str">
        <f t="shared" si="4"/>
        <v>NOT</v>
      </c>
      <c r="AE13" s="11"/>
      <c r="AF13" s="11"/>
      <c r="AG13" s="11"/>
      <c r="AH13" s="265">
        <f>COUNTIF(postDEL!$AR$2:$AR131,AG13)</f>
        <v>0</v>
      </c>
      <c r="AI13" s="272"/>
      <c r="AK13" s="279"/>
      <c r="AM13" s="47"/>
      <c r="AN13" s="53" t="str">
        <f t="shared" si="5"/>
        <v/>
      </c>
      <c r="AO13" s="53" t="str">
        <f t="shared" si="6"/>
        <v/>
      </c>
      <c r="AQ13" s="249" t="str">
        <f>CONCATENATE("Sp",Process!$A$1,AR13)</f>
        <v>SpNDHM966349</v>
      </c>
      <c r="AR13" s="131">
        <v>966349.0</v>
      </c>
      <c r="AS13" s="275"/>
      <c r="AT13" s="275"/>
      <c r="AU13" s="53"/>
      <c r="AY13" s="53"/>
      <c r="AZ13" s="272"/>
      <c r="BC13" s="53"/>
      <c r="BD13" s="53"/>
      <c r="BF13" s="276"/>
      <c r="BG13" s="53"/>
      <c r="BK13" s="53"/>
      <c r="BL13" s="272"/>
      <c r="BO13" s="53"/>
      <c r="BP13" s="53"/>
    </row>
    <row r="14">
      <c r="D14" s="265">
        <f>COUNTIF(postDEL!$AR$2:$AR131,$C14)</f>
        <v>0</v>
      </c>
      <c r="E14" s="11" t="str">
        <f>CONCATENATE(Process!$A$1,F14)</f>
        <v>NDHM831690</v>
      </c>
      <c r="F14" s="11">
        <v>831690.0</v>
      </c>
      <c r="H14" s="9" t="s">
        <v>544</v>
      </c>
      <c r="I14" s="54">
        <v>1.0</v>
      </c>
      <c r="K14" s="267">
        <f>COUNTIF(postDEL!$AO$2:$AO131,$C14)</f>
        <v>0</v>
      </c>
      <c r="L14" s="54" t="s">
        <v>520</v>
      </c>
      <c r="M14" s="266" t="s">
        <v>521</v>
      </c>
      <c r="N14" s="268" t="b">
        <f t="shared" si="1"/>
        <v>1</v>
      </c>
      <c r="O14" s="57" t="s">
        <v>529</v>
      </c>
      <c r="P14" s="266" t="s">
        <v>208</v>
      </c>
      <c r="S14" s="2" t="s">
        <v>523</v>
      </c>
      <c r="X14" s="11"/>
      <c r="Y14" s="269" t="str">
        <f t="shared" si="2"/>
        <v/>
      </c>
      <c r="Z14" s="238"/>
      <c r="AA14" s="269" t="s">
        <v>549</v>
      </c>
      <c r="AB14" s="265">
        <f t="shared" si="3"/>
        <v>4</v>
      </c>
      <c r="AC14" s="238"/>
      <c r="AD14" s="53" t="str">
        <f t="shared" si="4"/>
        <v>NOT</v>
      </c>
      <c r="AE14" s="11"/>
      <c r="AF14" s="11"/>
      <c r="AG14" s="11"/>
      <c r="AH14" s="265">
        <f>COUNTIF(postDEL!$AR$2:$AR131,AG14)</f>
        <v>0</v>
      </c>
      <c r="AI14" s="272"/>
      <c r="AK14" s="279"/>
      <c r="AM14" s="47"/>
      <c r="AN14" s="53" t="str">
        <f t="shared" si="5"/>
        <v/>
      </c>
      <c r="AO14" s="53" t="str">
        <f t="shared" si="6"/>
        <v/>
      </c>
      <c r="AQ14" s="249" t="str">
        <f>CONCATENATE("Sp",Process!$A$1,AR14)</f>
        <v>SpNDHM122532</v>
      </c>
      <c r="AR14" s="131">
        <v>122532.0</v>
      </c>
      <c r="AS14" s="275"/>
      <c r="AT14" s="275"/>
      <c r="AU14" s="53"/>
      <c r="AY14" s="53"/>
      <c r="AZ14" s="272"/>
      <c r="BC14" s="53"/>
      <c r="BD14" s="53"/>
      <c r="BF14" s="276"/>
      <c r="BG14" s="53"/>
      <c r="BK14" s="53"/>
      <c r="BL14" s="272"/>
      <c r="BO14" s="53"/>
      <c r="BP14" s="53"/>
    </row>
    <row r="15">
      <c r="D15" s="265">
        <f>COUNTIF(postDEL!$AR$2:$AR131,$C15)</f>
        <v>0</v>
      </c>
      <c r="E15" s="11" t="str">
        <f>CONCATENATE(Process!$A$1,F15)</f>
        <v>NDHM572644</v>
      </c>
      <c r="F15" s="11">
        <v>572644.0</v>
      </c>
      <c r="H15" s="9" t="s">
        <v>544</v>
      </c>
      <c r="I15" s="54">
        <v>1.0</v>
      </c>
      <c r="K15" s="267">
        <f>COUNTIF(postDEL!$AO$2:$AO131,$C15)</f>
        <v>0</v>
      </c>
      <c r="L15" s="54" t="s">
        <v>531</v>
      </c>
      <c r="M15" s="266" t="s">
        <v>521</v>
      </c>
      <c r="N15" s="268" t="b">
        <f t="shared" si="1"/>
        <v>1</v>
      </c>
      <c r="O15" s="57" t="s">
        <v>529</v>
      </c>
      <c r="P15" s="266" t="s">
        <v>208</v>
      </c>
      <c r="S15" s="2" t="s">
        <v>523</v>
      </c>
      <c r="X15" s="11"/>
      <c r="Y15" s="269" t="str">
        <f t="shared" si="2"/>
        <v/>
      </c>
      <c r="Z15" s="238"/>
      <c r="AA15" s="269" t="s">
        <v>536</v>
      </c>
      <c r="AB15" s="265">
        <f t="shared" si="3"/>
        <v>4</v>
      </c>
      <c r="AC15" s="238"/>
      <c r="AD15" s="53" t="str">
        <f t="shared" si="4"/>
        <v>NOT</v>
      </c>
      <c r="AE15" s="11"/>
      <c r="AF15" s="11"/>
      <c r="AG15" s="11"/>
      <c r="AH15" s="265">
        <f>COUNTIF(postDEL!$AR$2:$AR131,AG15)</f>
        <v>0</v>
      </c>
      <c r="AI15" s="272"/>
      <c r="AK15" s="279"/>
      <c r="AM15" s="47"/>
      <c r="AN15" s="53" t="str">
        <f t="shared" si="5"/>
        <v/>
      </c>
      <c r="AO15" s="53" t="str">
        <f t="shared" si="6"/>
        <v/>
      </c>
      <c r="AQ15" s="249" t="str">
        <f>CONCATENATE("Sp",Process!$A$1,AR15)</f>
        <v>SpNDHM284552</v>
      </c>
      <c r="AR15" s="131">
        <v>284552.0</v>
      </c>
      <c r="AS15" s="275"/>
      <c r="AT15" s="275"/>
      <c r="AU15" s="53"/>
      <c r="AY15" s="53"/>
      <c r="AZ15" s="272"/>
      <c r="BC15" s="53"/>
      <c r="BD15" s="53"/>
      <c r="BF15" s="276"/>
      <c r="BG15" s="53"/>
      <c r="BK15" s="53"/>
      <c r="BL15" s="272"/>
      <c r="BO15" s="53"/>
      <c r="BP15" s="53"/>
    </row>
    <row r="16">
      <c r="D16" s="265">
        <f>COUNTIF(postDEL!$AR$2:$AR131,$C16)</f>
        <v>0</v>
      </c>
      <c r="E16" s="11" t="str">
        <f>CONCATENATE(Process!$A$1,F16)</f>
        <v>NDHM513495</v>
      </c>
      <c r="F16" s="11">
        <v>513495.0</v>
      </c>
      <c r="H16" s="9" t="s">
        <v>549</v>
      </c>
      <c r="I16" s="54">
        <v>1.0</v>
      </c>
      <c r="K16" s="267">
        <f>COUNTIF(postDEL!$AO$2:$AO131,$C16)</f>
        <v>0</v>
      </c>
      <c r="L16" s="54" t="s">
        <v>524</v>
      </c>
      <c r="M16" s="266" t="s">
        <v>525</v>
      </c>
      <c r="N16" s="268" t="b">
        <f t="shared" si="1"/>
        <v>1</v>
      </c>
      <c r="O16" s="57" t="s">
        <v>526</v>
      </c>
      <c r="P16" s="266" t="s">
        <v>208</v>
      </c>
      <c r="S16" s="2" t="s">
        <v>523</v>
      </c>
      <c r="X16" s="11"/>
      <c r="Y16" s="269" t="str">
        <f t="shared" si="2"/>
        <v/>
      </c>
      <c r="Z16" s="238"/>
      <c r="AA16" s="269" t="s">
        <v>528</v>
      </c>
      <c r="AB16" s="265">
        <f t="shared" si="3"/>
        <v>4</v>
      </c>
      <c r="AC16" s="238"/>
      <c r="AD16" s="53" t="str">
        <f t="shared" si="4"/>
        <v>NOT</v>
      </c>
      <c r="AE16" s="11"/>
      <c r="AF16" s="11"/>
      <c r="AG16" s="11"/>
      <c r="AH16" s="265">
        <f>COUNTIF(postDEL!$AR$2:$AR131,AG16)</f>
        <v>0</v>
      </c>
      <c r="AI16" s="272"/>
      <c r="AK16" s="279"/>
      <c r="AM16" s="47"/>
      <c r="AN16" s="53" t="str">
        <f t="shared" si="5"/>
        <v/>
      </c>
      <c r="AO16" s="53" t="str">
        <f t="shared" si="6"/>
        <v/>
      </c>
      <c r="AQ16" s="249" t="str">
        <f>CONCATENATE("Sp",Process!$A$1,AR16)</f>
        <v>SpNDHM955894</v>
      </c>
      <c r="AR16" s="131">
        <v>955894.0</v>
      </c>
      <c r="AS16" s="275"/>
      <c r="AT16" s="275"/>
      <c r="AU16" s="53"/>
      <c r="AY16" s="53"/>
      <c r="AZ16" s="272"/>
      <c r="BC16" s="53"/>
      <c r="BD16" s="53"/>
      <c r="BF16" s="276"/>
      <c r="BG16" s="53"/>
      <c r="BK16" s="53"/>
      <c r="BL16" s="272"/>
      <c r="BO16" s="53"/>
      <c r="BP16" s="53"/>
    </row>
    <row r="17">
      <c r="D17" s="265">
        <f>COUNTIF(postDEL!$AR$2:$AR131,$C17)</f>
        <v>0</v>
      </c>
      <c r="E17" s="11" t="str">
        <f>CONCATENATE(Process!$A$1,F17)</f>
        <v>NDHM432678</v>
      </c>
      <c r="F17" s="11">
        <v>432678.0</v>
      </c>
      <c r="H17" s="9" t="s">
        <v>549</v>
      </c>
      <c r="I17" s="54">
        <v>1.0</v>
      </c>
      <c r="J17" s="266" t="s">
        <v>550</v>
      </c>
      <c r="K17" s="267">
        <f>COUNTIF(postDEL!$AO$2:$AO131,$C17)</f>
        <v>0</v>
      </c>
      <c r="L17" s="54" t="s">
        <v>551</v>
      </c>
      <c r="M17" s="266" t="s">
        <v>525</v>
      </c>
      <c r="N17" s="268" t="b">
        <f t="shared" si="1"/>
        <v>1</v>
      </c>
      <c r="O17" s="57" t="s">
        <v>526</v>
      </c>
      <c r="P17" s="266" t="s">
        <v>208</v>
      </c>
      <c r="S17" s="2" t="s">
        <v>523</v>
      </c>
      <c r="X17" s="11"/>
      <c r="Y17" s="269" t="str">
        <f t="shared" si="2"/>
        <v/>
      </c>
      <c r="Z17" s="238"/>
      <c r="AA17" s="269" t="s">
        <v>552</v>
      </c>
      <c r="AB17" s="265">
        <f t="shared" si="3"/>
        <v>5</v>
      </c>
      <c r="AC17" s="238"/>
      <c r="AD17" s="53" t="str">
        <f t="shared" si="4"/>
        <v>NOT</v>
      </c>
      <c r="AE17" s="11"/>
      <c r="AF17" s="11"/>
      <c r="AG17" s="11"/>
      <c r="AH17" s="265">
        <f>COUNTIF(postDEL!$AR$2:$AR131,AG17)</f>
        <v>0</v>
      </c>
      <c r="AI17" s="272"/>
      <c r="AK17" s="279"/>
      <c r="AM17" s="47"/>
      <c r="AN17" s="53" t="str">
        <f t="shared" si="5"/>
        <v/>
      </c>
      <c r="AO17" s="53" t="str">
        <f t="shared" si="6"/>
        <v/>
      </c>
      <c r="AQ17" s="249" t="str">
        <f>CONCATENATE("Sp",Process!$A$1,AR17)</f>
        <v>SpNDHM842569</v>
      </c>
      <c r="AR17" s="131">
        <v>842569.0</v>
      </c>
      <c r="AS17" s="279"/>
      <c r="AT17" s="275"/>
      <c r="AU17" s="53"/>
      <c r="AY17" s="53"/>
      <c r="AZ17" s="272"/>
      <c r="BC17" s="53"/>
      <c r="BD17" s="53"/>
      <c r="BG17" s="53"/>
      <c r="BK17" s="53"/>
      <c r="BL17" s="272"/>
      <c r="BO17" s="53"/>
      <c r="BP17" s="53"/>
    </row>
    <row r="18">
      <c r="D18" s="265">
        <f>COUNTIF(postDEL!$AR$2:$AR131,$C18)</f>
        <v>0</v>
      </c>
      <c r="E18" s="11" t="str">
        <f>CONCATENATE(Process!$A$1,F18)</f>
        <v>NDHM107467</v>
      </c>
      <c r="F18" s="11">
        <v>107467.0</v>
      </c>
      <c r="H18" s="9" t="s">
        <v>549</v>
      </c>
      <c r="I18" s="54">
        <v>1.0</v>
      </c>
      <c r="K18" s="267">
        <f>COUNTIF(postDEL!$AO$2:$AO131,$C18)</f>
        <v>0</v>
      </c>
      <c r="L18" s="54" t="s">
        <v>531</v>
      </c>
      <c r="M18" s="266" t="s">
        <v>521</v>
      </c>
      <c r="N18" s="268" t="b">
        <f t="shared" si="1"/>
        <v>1</v>
      </c>
      <c r="O18" s="57" t="s">
        <v>529</v>
      </c>
      <c r="P18" s="266" t="s">
        <v>208</v>
      </c>
      <c r="S18" s="2" t="s">
        <v>534</v>
      </c>
      <c r="X18" s="11"/>
      <c r="Y18" s="269" t="str">
        <f t="shared" si="2"/>
        <v/>
      </c>
      <c r="Z18" s="238"/>
      <c r="AA18" s="269" t="s">
        <v>553</v>
      </c>
      <c r="AB18" s="265">
        <f t="shared" si="3"/>
        <v>2</v>
      </c>
      <c r="AC18" s="238"/>
      <c r="AD18" s="53" t="str">
        <f t="shared" si="4"/>
        <v>NOT</v>
      </c>
      <c r="AE18" s="11"/>
      <c r="AF18" s="11"/>
      <c r="AG18" s="11"/>
      <c r="AH18" s="265">
        <f>COUNTIF(postDEL!$AR$2:$AR131,AG18)</f>
        <v>0</v>
      </c>
      <c r="AI18" s="272"/>
      <c r="AK18" s="279"/>
      <c r="AM18" s="47"/>
      <c r="AN18" s="53" t="str">
        <f t="shared" si="5"/>
        <v/>
      </c>
      <c r="AO18" s="53" t="str">
        <f t="shared" si="6"/>
        <v/>
      </c>
      <c r="AQ18" s="249" t="str">
        <f>CONCATENATE("Sp",Process!$A$1,AR18)</f>
        <v>SpNDHM109523</v>
      </c>
      <c r="AR18" s="131">
        <v>109523.0</v>
      </c>
      <c r="AS18" s="279"/>
      <c r="AT18" s="275"/>
      <c r="AU18" s="53"/>
      <c r="AY18" s="53"/>
      <c r="AZ18" s="280"/>
      <c r="BC18" s="53"/>
      <c r="BD18" s="53"/>
      <c r="BG18" s="53"/>
      <c r="BK18" s="53"/>
      <c r="BL18" s="272"/>
      <c r="BO18" s="53"/>
      <c r="BP18" s="53"/>
    </row>
    <row r="19">
      <c r="D19" s="265">
        <f>COUNTIF(postDEL!$AR$2:$AR131,$C19)</f>
        <v>0</v>
      </c>
      <c r="E19" s="11" t="str">
        <f>CONCATENATE(Process!$A$1,F19)</f>
        <v>NDHM574415</v>
      </c>
      <c r="F19" s="11">
        <v>574415.0</v>
      </c>
      <c r="H19" s="9" t="s">
        <v>549</v>
      </c>
      <c r="I19" s="54">
        <v>1.0</v>
      </c>
      <c r="K19" s="267">
        <f>COUNTIF(postDEL!$AO$2:$AO131,$C19)</f>
        <v>0</v>
      </c>
      <c r="L19" s="54" t="s">
        <v>520</v>
      </c>
      <c r="M19" s="266" t="s">
        <v>521</v>
      </c>
      <c r="N19" s="268" t="b">
        <f t="shared" si="1"/>
        <v>1</v>
      </c>
      <c r="O19" s="57" t="s">
        <v>529</v>
      </c>
      <c r="P19" s="266" t="s">
        <v>208</v>
      </c>
      <c r="S19" s="2" t="s">
        <v>523</v>
      </c>
      <c r="X19" s="11"/>
      <c r="Y19" s="269" t="str">
        <f t="shared" si="2"/>
        <v/>
      </c>
      <c r="Z19" s="238"/>
      <c r="AA19" s="269" t="s">
        <v>554</v>
      </c>
      <c r="AB19" s="265">
        <f t="shared" si="3"/>
        <v>4</v>
      </c>
      <c r="AC19" s="238"/>
      <c r="AD19" s="53" t="str">
        <f t="shared" si="4"/>
        <v>NOT</v>
      </c>
      <c r="AE19" s="11"/>
      <c r="AF19" s="11"/>
      <c r="AG19" s="11"/>
      <c r="AH19" s="265">
        <f>COUNTIF(postDEL!$AR$2:$AR131,AG19)</f>
        <v>0</v>
      </c>
      <c r="AI19" s="272"/>
      <c r="AK19" s="279"/>
      <c r="AM19" s="47"/>
      <c r="AN19" s="53" t="str">
        <f t="shared" si="5"/>
        <v/>
      </c>
      <c r="AO19" s="53" t="str">
        <f t="shared" si="6"/>
        <v/>
      </c>
      <c r="AQ19" s="249" t="str">
        <f>CONCATENATE("Sp",Process!$A$1,AR19)</f>
        <v>SpNDHM768644</v>
      </c>
      <c r="AR19" s="131">
        <v>768644.0</v>
      </c>
      <c r="AS19" s="279"/>
      <c r="AT19" s="275"/>
      <c r="AU19" s="53"/>
      <c r="AY19" s="53"/>
      <c r="AZ19" s="272"/>
      <c r="BC19" s="53"/>
      <c r="BD19" s="53"/>
      <c r="BG19" s="53"/>
      <c r="BK19" s="53"/>
      <c r="BL19" s="272"/>
      <c r="BO19" s="53"/>
      <c r="BP19" s="53"/>
    </row>
    <row r="20">
      <c r="D20" s="265">
        <f>COUNTIF(postDEL!$AR$2:$AR131,$C20)</f>
        <v>0</v>
      </c>
      <c r="E20" s="11" t="str">
        <f>CONCATENATE(Process!$A$1,F20)</f>
        <v>NDHM894346</v>
      </c>
      <c r="F20" s="11">
        <v>894346.0</v>
      </c>
      <c r="H20" s="9" t="s">
        <v>554</v>
      </c>
      <c r="I20" s="54">
        <v>1.0</v>
      </c>
      <c r="K20" s="267">
        <f>COUNTIF(postDEL!$AO$2:$AO131,$C20)</f>
        <v>0</v>
      </c>
      <c r="L20" s="54" t="s">
        <v>520</v>
      </c>
      <c r="M20" s="266" t="s">
        <v>521</v>
      </c>
      <c r="N20" s="268" t="b">
        <f t="shared" si="1"/>
        <v>1</v>
      </c>
      <c r="O20" s="57" t="s">
        <v>529</v>
      </c>
      <c r="P20" s="266" t="s">
        <v>208</v>
      </c>
      <c r="S20" s="2" t="s">
        <v>523</v>
      </c>
      <c r="X20" s="11"/>
      <c r="Y20" s="269" t="str">
        <f t="shared" si="2"/>
        <v/>
      </c>
      <c r="Z20" s="238"/>
      <c r="AA20" s="269" t="s">
        <v>555</v>
      </c>
      <c r="AB20" s="265">
        <f t="shared" si="3"/>
        <v>4</v>
      </c>
      <c r="AC20" s="238"/>
      <c r="AD20" s="53" t="str">
        <f t="shared" si="4"/>
        <v>NOT</v>
      </c>
      <c r="AE20" s="11"/>
      <c r="AF20" s="11"/>
      <c r="AG20" s="11"/>
      <c r="AH20" s="265">
        <f>COUNTIF(postDEL!$AR$2:$AR131,AG20)</f>
        <v>0</v>
      </c>
      <c r="AI20" s="272"/>
      <c r="AK20" s="279"/>
      <c r="AM20" s="47"/>
      <c r="AN20" s="53" t="str">
        <f t="shared" si="5"/>
        <v/>
      </c>
      <c r="AO20" s="53" t="str">
        <f t="shared" si="6"/>
        <v/>
      </c>
      <c r="AQ20" s="249" t="str">
        <f>CONCATENATE("Sp",Process!$A$1,AR20)</f>
        <v>SpNDHM500119</v>
      </c>
      <c r="AR20" s="131">
        <v>500119.0</v>
      </c>
      <c r="AS20" s="279"/>
      <c r="AT20" s="275"/>
      <c r="AU20" s="53"/>
      <c r="AY20" s="53"/>
      <c r="AZ20" s="272"/>
      <c r="BC20" s="53"/>
      <c r="BD20" s="53"/>
      <c r="BG20" s="53"/>
      <c r="BK20" s="53"/>
      <c r="BL20" s="272"/>
      <c r="BO20" s="53"/>
      <c r="BP20" s="53"/>
    </row>
    <row r="21">
      <c r="D21" s="265">
        <f>COUNTIF(postDEL!$AR$2:$AR131,$C21)</f>
        <v>0</v>
      </c>
      <c r="E21" s="11" t="str">
        <f>CONCATENATE(Process!$A$1,F21)</f>
        <v>NDHM142305</v>
      </c>
      <c r="F21" s="11">
        <v>142305.0</v>
      </c>
      <c r="H21" s="9" t="s">
        <v>554</v>
      </c>
      <c r="I21" s="54">
        <v>1.0</v>
      </c>
      <c r="K21" s="267">
        <f>COUNTIF(postDEL!$AO$2:$AO131,$C21)</f>
        <v>0</v>
      </c>
      <c r="L21" s="54" t="s">
        <v>531</v>
      </c>
      <c r="M21" s="266" t="s">
        <v>521</v>
      </c>
      <c r="N21" s="268" t="b">
        <f t="shared" si="1"/>
        <v>1</v>
      </c>
      <c r="O21" s="57" t="s">
        <v>529</v>
      </c>
      <c r="P21" s="266" t="s">
        <v>208</v>
      </c>
      <c r="S21" s="2" t="s">
        <v>534</v>
      </c>
      <c r="X21" s="11"/>
      <c r="Y21" s="269" t="str">
        <f t="shared" si="2"/>
        <v/>
      </c>
      <c r="Z21" s="238"/>
      <c r="AA21" s="269" t="s">
        <v>556</v>
      </c>
      <c r="AB21" s="265">
        <f t="shared" si="3"/>
        <v>4</v>
      </c>
      <c r="AC21" s="238"/>
      <c r="AD21" s="53" t="str">
        <f t="shared" si="4"/>
        <v>NOT</v>
      </c>
      <c r="AE21" s="11"/>
      <c r="AF21" s="11"/>
      <c r="AG21" s="11"/>
      <c r="AH21" s="265">
        <f>COUNTIF(postDEL!$AR$2:$AR131,AG21)</f>
        <v>0</v>
      </c>
      <c r="AI21" s="272"/>
      <c r="AK21" s="279"/>
      <c r="AN21" s="53" t="str">
        <f t="shared" si="5"/>
        <v/>
      </c>
      <c r="AO21" s="53" t="str">
        <f t="shared" si="6"/>
        <v/>
      </c>
      <c r="AS21" s="279"/>
      <c r="AT21" s="275"/>
      <c r="AU21" s="53"/>
      <c r="AY21" s="53"/>
      <c r="AZ21" s="272"/>
      <c r="BC21" s="53"/>
      <c r="BD21" s="53"/>
      <c r="BG21" s="53"/>
      <c r="BK21" s="53"/>
      <c r="BL21" s="272"/>
      <c r="BO21" s="53"/>
      <c r="BP21" s="53"/>
    </row>
    <row r="22">
      <c r="D22" s="265">
        <f>COUNTIF(postDEL!$AR$2:$AR131,$C22)</f>
        <v>0</v>
      </c>
      <c r="E22" s="11" t="str">
        <f>CONCATENATE(Process!$A$1,F22)</f>
        <v>NDHM133624</v>
      </c>
      <c r="F22" s="11">
        <v>133624.0</v>
      </c>
      <c r="H22" s="9" t="s">
        <v>532</v>
      </c>
      <c r="I22" s="54">
        <v>1.0</v>
      </c>
      <c r="K22" s="267">
        <f>COUNTIF(postDEL!$AO$2:$AO131,$C22)</f>
        <v>0</v>
      </c>
      <c r="L22" s="54" t="s">
        <v>531</v>
      </c>
      <c r="M22" s="266" t="s">
        <v>521</v>
      </c>
      <c r="N22" s="268" t="b">
        <f t="shared" si="1"/>
        <v>1</v>
      </c>
      <c r="O22" s="57" t="s">
        <v>529</v>
      </c>
      <c r="P22" s="266" t="s">
        <v>208</v>
      </c>
      <c r="S22" s="2" t="s">
        <v>523</v>
      </c>
      <c r="X22" s="11"/>
      <c r="Y22" s="269" t="str">
        <f t="shared" si="2"/>
        <v/>
      </c>
      <c r="Z22" s="238"/>
      <c r="AA22" s="269" t="s">
        <v>557</v>
      </c>
      <c r="AB22" s="265">
        <f t="shared" si="3"/>
        <v>4</v>
      </c>
      <c r="AC22" s="238"/>
      <c r="AD22" s="53" t="str">
        <f t="shared" si="4"/>
        <v>NOT</v>
      </c>
      <c r="AE22" s="11"/>
      <c r="AF22" s="11"/>
      <c r="AG22" s="11"/>
      <c r="AH22" s="265">
        <f>COUNTIF(postDEL!$AR$2:$AR131,AG22)</f>
        <v>0</v>
      </c>
      <c r="AI22" s="272"/>
      <c r="AK22" s="279"/>
      <c r="AN22" s="53"/>
      <c r="AO22" s="53"/>
      <c r="AS22" s="279"/>
      <c r="AT22" s="275"/>
      <c r="AU22" s="53"/>
      <c r="AY22" s="53"/>
      <c r="AZ22" s="272"/>
      <c r="BC22" s="53"/>
      <c r="BD22" s="53"/>
      <c r="BG22" s="53"/>
      <c r="BK22" s="53"/>
      <c r="BL22" s="272"/>
      <c r="BO22" s="53"/>
      <c r="BP22" s="53"/>
    </row>
    <row r="23">
      <c r="D23" s="265">
        <f>COUNTIF(postDEL!$AR$2:$AR131,$C23)</f>
        <v>0</v>
      </c>
      <c r="E23" s="11" t="str">
        <f>CONCATENATE(Process!$A$1,F23)</f>
        <v>NDHM711288</v>
      </c>
      <c r="F23" s="11">
        <v>711288.0</v>
      </c>
      <c r="H23" s="9" t="s">
        <v>537</v>
      </c>
      <c r="I23" s="54">
        <v>1.0</v>
      </c>
      <c r="J23" s="266" t="s">
        <v>542</v>
      </c>
      <c r="K23" s="267">
        <f>COUNTIF(postDEL!$AO$2:$AO131,$C23)</f>
        <v>0</v>
      </c>
      <c r="L23" s="54" t="s">
        <v>551</v>
      </c>
      <c r="M23" s="266" t="s">
        <v>525</v>
      </c>
      <c r="N23" s="268" t="b">
        <f t="shared" si="1"/>
        <v>1</v>
      </c>
      <c r="O23" s="57" t="s">
        <v>526</v>
      </c>
      <c r="P23" s="266" t="s">
        <v>208</v>
      </c>
      <c r="S23" s="2" t="s">
        <v>523</v>
      </c>
      <c r="X23" s="11"/>
      <c r="Y23" s="269" t="str">
        <f t="shared" si="2"/>
        <v/>
      </c>
      <c r="Z23" s="238"/>
      <c r="AA23" s="269" t="s">
        <v>558</v>
      </c>
      <c r="AB23" s="265">
        <f t="shared" si="3"/>
        <v>5</v>
      </c>
      <c r="AC23" s="238"/>
      <c r="AD23" s="53" t="str">
        <f t="shared" si="4"/>
        <v>NOT</v>
      </c>
      <c r="AE23" s="11"/>
      <c r="AF23" s="11"/>
      <c r="AG23" s="11"/>
      <c r="AH23" s="265">
        <f>COUNTIF(postDEL!$AR$2:$AR131,AG23)</f>
        <v>0</v>
      </c>
      <c r="AI23" s="272"/>
      <c r="AK23" s="279"/>
      <c r="AN23" s="53"/>
      <c r="AO23" s="53"/>
      <c r="AS23" s="279"/>
      <c r="AT23" s="275"/>
      <c r="AU23" s="53"/>
      <c r="AY23" s="53"/>
      <c r="AZ23" s="272"/>
      <c r="BC23" s="53"/>
      <c r="BD23" s="53"/>
      <c r="BG23" s="53"/>
      <c r="BK23" s="53"/>
      <c r="BL23" s="272"/>
      <c r="BO23" s="53"/>
      <c r="BP23" s="53"/>
    </row>
    <row r="24">
      <c r="D24" s="265">
        <f>COUNTIF(postDEL!$AR$2:$AR131,$C24)</f>
        <v>0</v>
      </c>
      <c r="E24" s="11" t="str">
        <f>CONCATENATE(Process!$A$1,F24)</f>
        <v>NDHM404468</v>
      </c>
      <c r="F24" s="11">
        <v>404468.0</v>
      </c>
      <c r="H24" s="9" t="s">
        <v>518</v>
      </c>
      <c r="I24" s="54">
        <v>1.0</v>
      </c>
      <c r="J24" s="266" t="s">
        <v>545</v>
      </c>
      <c r="K24" s="267">
        <f>COUNTIF(postDEL!$AO$2:$AO131,$C24)</f>
        <v>0</v>
      </c>
      <c r="L24" s="54" t="s">
        <v>551</v>
      </c>
      <c r="M24" s="266" t="s">
        <v>525</v>
      </c>
      <c r="N24" s="268" t="b">
        <f t="shared" si="1"/>
        <v>1</v>
      </c>
      <c r="O24" s="57" t="s">
        <v>526</v>
      </c>
      <c r="P24" s="266" t="s">
        <v>208</v>
      </c>
      <c r="S24" s="2" t="s">
        <v>523</v>
      </c>
      <c r="X24" s="11"/>
      <c r="Y24" s="269" t="str">
        <f t="shared" si="2"/>
        <v/>
      </c>
      <c r="Z24" s="238"/>
      <c r="AA24" s="269" t="s">
        <v>559</v>
      </c>
      <c r="AB24" s="265">
        <f t="shared" si="3"/>
        <v>8</v>
      </c>
      <c r="AC24" s="238"/>
      <c r="AD24" s="53" t="str">
        <f t="shared" si="4"/>
        <v>NOT</v>
      </c>
      <c r="AE24" s="11"/>
      <c r="AF24" s="11"/>
      <c r="AG24" s="11"/>
      <c r="AH24" s="265">
        <f>COUNTIF(postDEL!$AR$2:$AR131,AG24)</f>
        <v>0</v>
      </c>
      <c r="AI24" s="272"/>
      <c r="AK24" s="279"/>
      <c r="AN24" s="53"/>
      <c r="AO24" s="53"/>
      <c r="AS24" s="279"/>
      <c r="AT24" s="275"/>
      <c r="AU24" s="53"/>
      <c r="AY24" s="53"/>
      <c r="AZ24" s="272"/>
      <c r="BC24" s="53"/>
      <c r="BD24" s="53"/>
      <c r="BG24" s="53"/>
      <c r="BK24" s="53"/>
      <c r="BL24" s="272"/>
      <c r="BO24" s="53"/>
      <c r="BP24" s="53"/>
    </row>
    <row r="25">
      <c r="D25" s="265">
        <f>COUNTIF(postDEL!$AR$2:$AR131,$C25)</f>
        <v>0</v>
      </c>
      <c r="E25" s="11" t="str">
        <f>CONCATENATE(Process!$A$1,F25)</f>
        <v>NDHM436958</v>
      </c>
      <c r="F25" s="11">
        <v>436958.0</v>
      </c>
      <c r="H25" s="9" t="s">
        <v>518</v>
      </c>
      <c r="I25" s="54">
        <v>1.0</v>
      </c>
      <c r="K25" s="267">
        <f>COUNTIF(postDEL!$AO$2:$AO131,$C25)</f>
        <v>0</v>
      </c>
      <c r="L25" s="54" t="s">
        <v>560</v>
      </c>
      <c r="M25" s="266" t="s">
        <v>547</v>
      </c>
      <c r="N25" s="268" t="b">
        <f t="shared" si="1"/>
        <v>1</v>
      </c>
      <c r="O25" s="57" t="s">
        <v>529</v>
      </c>
      <c r="P25" s="266" t="s">
        <v>208</v>
      </c>
      <c r="S25" s="2" t="s">
        <v>523</v>
      </c>
      <c r="X25" s="11"/>
      <c r="Y25" s="269" t="str">
        <f t="shared" si="2"/>
        <v/>
      </c>
      <c r="Z25" s="238"/>
      <c r="AA25" s="269" t="s">
        <v>561</v>
      </c>
      <c r="AB25" s="265">
        <f t="shared" si="3"/>
        <v>4</v>
      </c>
      <c r="AC25" s="238"/>
      <c r="AD25" s="53" t="str">
        <f t="shared" si="4"/>
        <v>NOT</v>
      </c>
      <c r="AE25" s="11"/>
      <c r="AF25" s="11"/>
      <c r="AG25" s="11"/>
      <c r="AH25" s="265">
        <f>COUNTIF(postDEL!$AR$2:$AR131,AG25)</f>
        <v>0</v>
      </c>
      <c r="AI25" s="272"/>
      <c r="AK25" s="279"/>
      <c r="AN25" s="53"/>
      <c r="AO25" s="53"/>
      <c r="AS25" s="279"/>
      <c r="AT25" s="275"/>
      <c r="AU25" s="53"/>
      <c r="AY25" s="53"/>
      <c r="AZ25" s="272"/>
      <c r="BC25" s="53"/>
      <c r="BD25" s="53"/>
      <c r="BG25" s="53"/>
      <c r="BK25" s="53"/>
      <c r="BL25" s="272"/>
      <c r="BO25" s="53"/>
      <c r="BP25" s="53"/>
    </row>
    <row r="26">
      <c r="D26" s="265">
        <f>COUNTIF(postDEL!$AR$2:$AR131,$C26)</f>
        <v>0</v>
      </c>
      <c r="E26" s="11" t="str">
        <f>CONCATENATE(Process!$A$1,F26)</f>
        <v>NDHM872246</v>
      </c>
      <c r="F26" s="11">
        <v>872246.0</v>
      </c>
      <c r="H26" s="9" t="s">
        <v>532</v>
      </c>
      <c r="I26" s="54">
        <v>1.0</v>
      </c>
      <c r="J26" s="266" t="s">
        <v>519</v>
      </c>
      <c r="K26" s="267">
        <f>COUNTIF(postDEL!$AO$2:$AO131,$C26)</f>
        <v>0</v>
      </c>
      <c r="L26" s="54" t="s">
        <v>520</v>
      </c>
      <c r="M26" s="266" t="s">
        <v>521</v>
      </c>
      <c r="N26" s="268" t="b">
        <f t="shared" si="1"/>
        <v>1</v>
      </c>
      <c r="O26" s="57" t="s">
        <v>529</v>
      </c>
      <c r="P26" s="266" t="s">
        <v>208</v>
      </c>
      <c r="S26" s="2" t="s">
        <v>534</v>
      </c>
      <c r="X26" s="11"/>
      <c r="Y26" s="269" t="str">
        <f t="shared" si="2"/>
        <v/>
      </c>
      <c r="Z26" s="238"/>
      <c r="AA26" s="269" t="s">
        <v>562</v>
      </c>
      <c r="AB26" s="265">
        <f t="shared" si="3"/>
        <v>2</v>
      </c>
      <c r="AC26" s="238"/>
      <c r="AD26" s="53" t="str">
        <f t="shared" si="4"/>
        <v>NOT</v>
      </c>
      <c r="AE26" s="11"/>
      <c r="AF26" s="11"/>
      <c r="AG26" s="11"/>
      <c r="AH26" s="265">
        <f>COUNTIF(postDEL!$AR$2:$AR131,AG26)</f>
        <v>0</v>
      </c>
      <c r="AI26" s="272"/>
      <c r="AK26" s="279"/>
      <c r="AN26" s="53"/>
      <c r="AO26" s="53"/>
      <c r="AS26" s="279"/>
      <c r="AT26" s="275"/>
      <c r="AU26" s="53"/>
      <c r="AY26" s="53"/>
      <c r="AZ26" s="272"/>
      <c r="BC26" s="53"/>
      <c r="BD26" s="53"/>
      <c r="BG26" s="53"/>
      <c r="BK26" s="53"/>
      <c r="BL26" s="272"/>
      <c r="BO26" s="53"/>
      <c r="BP26" s="53"/>
    </row>
    <row r="27">
      <c r="D27" s="265">
        <f>COUNTIF(postDEL!$AR$2:$AR131,$C27)</f>
        <v>0</v>
      </c>
      <c r="E27" s="11" t="str">
        <f>CONCATENATE(Process!$A$1,F27)</f>
        <v>NDHM586177</v>
      </c>
      <c r="F27" s="11">
        <v>586177.0</v>
      </c>
      <c r="H27" s="9" t="s">
        <v>537</v>
      </c>
      <c r="I27" s="54">
        <v>1.0</v>
      </c>
      <c r="K27" s="267">
        <f>COUNTIF(postDEL!$AO$2:$AO131,$C27)</f>
        <v>0</v>
      </c>
      <c r="L27" s="54" t="s">
        <v>563</v>
      </c>
      <c r="M27" s="266" t="s">
        <v>525</v>
      </c>
      <c r="N27" s="268" t="b">
        <f t="shared" si="1"/>
        <v>1</v>
      </c>
      <c r="O27" s="57" t="s">
        <v>526</v>
      </c>
      <c r="P27" s="266" t="s">
        <v>208</v>
      </c>
      <c r="S27" s="2" t="s">
        <v>523</v>
      </c>
      <c r="X27" s="11"/>
      <c r="Y27" s="269" t="str">
        <f t="shared" si="2"/>
        <v/>
      </c>
      <c r="Z27" s="238"/>
      <c r="AA27" s="269" t="s">
        <v>564</v>
      </c>
      <c r="AB27" s="265">
        <f t="shared" si="3"/>
        <v>4</v>
      </c>
      <c r="AC27" s="238"/>
      <c r="AD27" s="53" t="str">
        <f t="shared" si="4"/>
        <v>NOT</v>
      </c>
      <c r="AE27" s="11"/>
      <c r="AF27" s="11"/>
      <c r="AG27" s="11"/>
      <c r="AH27" s="265">
        <f>COUNTIF(postDEL!$AR$2:$AR131,AG27)</f>
        <v>0</v>
      </c>
      <c r="AI27" s="272"/>
      <c r="AK27" s="279"/>
      <c r="AN27" s="53"/>
      <c r="AO27" s="53"/>
      <c r="AS27" s="279"/>
      <c r="AT27" s="275"/>
      <c r="AU27" s="53"/>
      <c r="AY27" s="53"/>
      <c r="AZ27" s="272"/>
      <c r="BC27" s="53"/>
      <c r="BD27" s="53"/>
      <c r="BG27" s="53"/>
      <c r="BK27" s="53"/>
      <c r="BL27" s="272"/>
      <c r="BO27" s="53"/>
      <c r="BP27" s="53"/>
    </row>
    <row r="28">
      <c r="D28" s="265">
        <f>COUNTIF(postDEL!$AR$2:$AR131,$C28)</f>
        <v>0</v>
      </c>
      <c r="E28" s="11" t="str">
        <f>CONCATENATE(Process!$A$1,F28)</f>
        <v>NDHM953531</v>
      </c>
      <c r="F28" s="11">
        <v>953531.0</v>
      </c>
      <c r="H28" s="9" t="s">
        <v>537</v>
      </c>
      <c r="I28" s="54">
        <v>1.0</v>
      </c>
      <c r="K28" s="267">
        <f>COUNTIF(postDEL!$AO$2:$AO131,$C28)</f>
        <v>0</v>
      </c>
      <c r="L28" s="54" t="s">
        <v>524</v>
      </c>
      <c r="M28" s="266" t="s">
        <v>525</v>
      </c>
      <c r="N28" s="268" t="b">
        <f t="shared" si="1"/>
        <v>1</v>
      </c>
      <c r="O28" s="57" t="s">
        <v>526</v>
      </c>
      <c r="P28" s="266" t="s">
        <v>208</v>
      </c>
      <c r="S28" s="2" t="s">
        <v>523</v>
      </c>
      <c r="X28" s="11"/>
      <c r="Y28" s="269" t="str">
        <f t="shared" si="2"/>
        <v/>
      </c>
      <c r="Z28" s="238"/>
      <c r="AA28" s="269" t="s">
        <v>565</v>
      </c>
      <c r="AB28" s="265">
        <f t="shared" si="3"/>
        <v>3</v>
      </c>
      <c r="AC28" s="238"/>
      <c r="AD28" s="53" t="str">
        <f t="shared" si="4"/>
        <v>NOT</v>
      </c>
      <c r="AE28" s="11"/>
      <c r="AF28" s="11"/>
      <c r="AG28" s="11"/>
      <c r="AH28" s="265">
        <f>COUNTIF(postDEL!$AR$2:$AR131,AG28)</f>
        <v>0</v>
      </c>
      <c r="AI28" s="272"/>
      <c r="AK28" s="279"/>
      <c r="AN28" s="53"/>
      <c r="AO28" s="53"/>
      <c r="AS28" s="279"/>
      <c r="AT28" s="275"/>
      <c r="AU28" s="53"/>
      <c r="AY28" s="53"/>
      <c r="AZ28" s="272"/>
      <c r="BC28" s="53"/>
      <c r="BD28" s="53"/>
      <c r="BG28" s="53"/>
      <c r="BK28" s="53"/>
      <c r="BL28" s="272"/>
      <c r="BO28" s="53"/>
      <c r="BP28" s="53"/>
    </row>
    <row r="29">
      <c r="D29" s="265">
        <f>COUNTIF(postDEL!$AR$2:$AR131,$C29)</f>
        <v>0</v>
      </c>
      <c r="E29" s="11" t="str">
        <f>CONCATENATE(Process!$A$1,F29)</f>
        <v>NDHM291495</v>
      </c>
      <c r="F29" s="11">
        <v>291495.0</v>
      </c>
      <c r="H29" s="9" t="s">
        <v>540</v>
      </c>
      <c r="I29" s="54">
        <v>1.0</v>
      </c>
      <c r="J29" s="266" t="s">
        <v>566</v>
      </c>
      <c r="K29" s="267">
        <f>COUNTIF(postDEL!$AO$2:$AO131,$C29)</f>
        <v>0</v>
      </c>
      <c r="L29" s="54" t="s">
        <v>531</v>
      </c>
      <c r="M29" s="266" t="s">
        <v>521</v>
      </c>
      <c r="N29" s="268" t="b">
        <f t="shared" si="1"/>
        <v>1</v>
      </c>
      <c r="O29" s="57" t="s">
        <v>529</v>
      </c>
      <c r="P29" s="266" t="s">
        <v>208</v>
      </c>
      <c r="S29" s="2" t="s">
        <v>534</v>
      </c>
      <c r="X29" s="11"/>
      <c r="Y29" s="269" t="str">
        <f t="shared" si="2"/>
        <v/>
      </c>
      <c r="Z29" s="238"/>
      <c r="AA29" s="269" t="s">
        <v>567</v>
      </c>
      <c r="AB29" s="265">
        <f t="shared" si="3"/>
        <v>4</v>
      </c>
      <c r="AC29" s="238"/>
      <c r="AD29" s="53" t="str">
        <f t="shared" si="4"/>
        <v>NOT</v>
      </c>
      <c r="AE29" s="11"/>
      <c r="AF29" s="11"/>
      <c r="AG29" s="11"/>
      <c r="AH29" s="265">
        <f>COUNTIF(postDEL!$AR$2:$AR131,AG29)</f>
        <v>0</v>
      </c>
      <c r="AI29" s="272"/>
      <c r="AK29" s="279"/>
      <c r="AN29" s="53"/>
      <c r="AO29" s="53"/>
      <c r="AS29" s="279"/>
      <c r="AT29" s="275"/>
      <c r="AU29" s="53"/>
      <c r="AY29" s="53"/>
      <c r="AZ29" s="272"/>
      <c r="BC29" s="53"/>
      <c r="BD29" s="53"/>
      <c r="BG29" s="53"/>
      <c r="BK29" s="53"/>
      <c r="BL29" s="272"/>
      <c r="BO29" s="53"/>
      <c r="BP29" s="53"/>
    </row>
    <row r="30">
      <c r="D30" s="265">
        <f>COUNTIF(postDEL!$AR$2:$AR131,$C30)</f>
        <v>0</v>
      </c>
      <c r="E30" s="11" t="str">
        <f>CONCATENATE(Process!$A$1,F30)</f>
        <v>NDHM101082</v>
      </c>
      <c r="F30" s="11">
        <v>101082.0</v>
      </c>
      <c r="H30" s="9" t="s">
        <v>540</v>
      </c>
      <c r="I30" s="54">
        <v>1.0</v>
      </c>
      <c r="K30" s="267">
        <f>COUNTIF(postDEL!$AO$2:$AO131,$C30)</f>
        <v>0</v>
      </c>
      <c r="L30" s="54" t="s">
        <v>520</v>
      </c>
      <c r="M30" s="266" t="s">
        <v>521</v>
      </c>
      <c r="N30" s="268" t="b">
        <f t="shared" si="1"/>
        <v>1</v>
      </c>
      <c r="O30" s="57" t="s">
        <v>529</v>
      </c>
      <c r="P30" s="266" t="s">
        <v>208</v>
      </c>
      <c r="S30" s="2" t="s">
        <v>523</v>
      </c>
      <c r="X30" s="11"/>
      <c r="Y30" s="269" t="str">
        <f t="shared" si="2"/>
        <v/>
      </c>
      <c r="Z30" s="238"/>
      <c r="AA30" s="269" t="s">
        <v>568</v>
      </c>
      <c r="AB30" s="265">
        <f t="shared" si="3"/>
        <v>2</v>
      </c>
      <c r="AC30" s="238"/>
      <c r="AD30" s="53" t="str">
        <f t="shared" si="4"/>
        <v>NOT</v>
      </c>
      <c r="AE30" s="11"/>
      <c r="AF30" s="11"/>
      <c r="AG30" s="11"/>
      <c r="AH30" s="265">
        <f>COUNTIF(postDEL!$AR$2:$AR131,AG30)</f>
        <v>0</v>
      </c>
      <c r="AI30" s="272"/>
      <c r="AK30" s="279"/>
      <c r="AN30" s="53"/>
      <c r="AO30" s="53"/>
      <c r="AS30" s="279"/>
      <c r="AT30" s="275"/>
      <c r="AU30" s="53"/>
      <c r="AY30" s="53"/>
      <c r="AZ30" s="272"/>
      <c r="BC30" s="53"/>
      <c r="BD30" s="53"/>
      <c r="BG30" s="53"/>
      <c r="BK30" s="53"/>
      <c r="BL30" s="272"/>
      <c r="BO30" s="53"/>
      <c r="BP30" s="53"/>
    </row>
    <row r="31">
      <c r="D31" s="265">
        <f>COUNTIF(postDEL!$AR$2:$AR131,$C31)</f>
        <v>0</v>
      </c>
      <c r="E31" s="11" t="str">
        <f>CONCATENATE(Process!$A$1,F31)</f>
        <v>NDHM193086</v>
      </c>
      <c r="F31" s="11">
        <v>193086.0</v>
      </c>
      <c r="H31" s="9" t="s">
        <v>544</v>
      </c>
      <c r="I31" s="54">
        <v>1.0</v>
      </c>
      <c r="K31" s="267">
        <f>COUNTIF(postDEL!$AO$2:$AO131,$C31)</f>
        <v>0</v>
      </c>
      <c r="L31" s="54" t="s">
        <v>560</v>
      </c>
      <c r="M31" s="266" t="s">
        <v>547</v>
      </c>
      <c r="N31" s="268" t="b">
        <f t="shared" si="1"/>
        <v>1</v>
      </c>
      <c r="O31" s="57" t="s">
        <v>529</v>
      </c>
      <c r="P31" s="266" t="s">
        <v>208</v>
      </c>
      <c r="S31" s="2" t="s">
        <v>523</v>
      </c>
      <c r="X31" s="11"/>
      <c r="Y31" s="269" t="str">
        <f t="shared" si="2"/>
        <v/>
      </c>
      <c r="Z31" s="238"/>
      <c r="AA31" s="269" t="s">
        <v>569</v>
      </c>
      <c r="AB31" s="265">
        <f t="shared" si="3"/>
        <v>3</v>
      </c>
      <c r="AC31" s="238"/>
      <c r="AD31" s="53" t="str">
        <f t="shared" si="4"/>
        <v>NOT</v>
      </c>
      <c r="AE31" s="11"/>
      <c r="AF31" s="11"/>
      <c r="AG31" s="11"/>
      <c r="AH31" s="265">
        <f>COUNTIF(postDEL!$AR$2:$AR131,AG31)</f>
        <v>0</v>
      </c>
      <c r="AI31" s="272"/>
      <c r="AK31" s="279"/>
      <c r="AN31" s="53"/>
      <c r="AO31" s="53"/>
      <c r="AS31" s="279"/>
      <c r="AT31" s="275"/>
      <c r="AU31" s="53"/>
      <c r="AY31" s="53"/>
      <c r="AZ31" s="272"/>
      <c r="BC31" s="53"/>
      <c r="BD31" s="53"/>
      <c r="BG31" s="53"/>
      <c r="BK31" s="53"/>
      <c r="BL31" s="272"/>
      <c r="BO31" s="53"/>
      <c r="BP31" s="53"/>
    </row>
    <row r="32">
      <c r="D32" s="265">
        <f>COUNTIF(postDEL!$AR$2:$AR131,$C32)</f>
        <v>0</v>
      </c>
      <c r="E32" s="11" t="str">
        <f>CONCATENATE(Process!$A$1,F32)</f>
        <v>NDHM108068</v>
      </c>
      <c r="F32" s="11">
        <v>108068.0</v>
      </c>
      <c r="H32" s="9" t="s">
        <v>554</v>
      </c>
      <c r="I32" s="54">
        <v>1.0</v>
      </c>
      <c r="K32" s="267">
        <f>COUNTIF(postDEL!$AO$2:$AO131,$C32)</f>
        <v>0</v>
      </c>
      <c r="L32" s="54" t="s">
        <v>524</v>
      </c>
      <c r="M32" s="266" t="s">
        <v>525</v>
      </c>
      <c r="N32" s="268" t="b">
        <f t="shared" si="1"/>
        <v>1</v>
      </c>
      <c r="O32" s="57" t="s">
        <v>526</v>
      </c>
      <c r="P32" s="266" t="s">
        <v>208</v>
      </c>
      <c r="S32" s="2" t="s">
        <v>523</v>
      </c>
      <c r="X32" s="11"/>
      <c r="Y32" s="269" t="str">
        <f t="shared" si="2"/>
        <v/>
      </c>
      <c r="Z32" s="238"/>
      <c r="AA32" s="269" t="s">
        <v>570</v>
      </c>
      <c r="AB32" s="265">
        <f t="shared" si="3"/>
        <v>2</v>
      </c>
      <c r="AC32" s="238"/>
      <c r="AD32" s="53" t="str">
        <f t="shared" si="4"/>
        <v>NOT</v>
      </c>
      <c r="AE32" s="11"/>
      <c r="AF32" s="11"/>
      <c r="AG32" s="11"/>
      <c r="AH32" s="265">
        <f>COUNTIF(postDEL!$AR$2:$AR131,AG32)</f>
        <v>0</v>
      </c>
      <c r="AI32" s="272"/>
      <c r="AK32" s="279"/>
      <c r="AN32" s="53"/>
      <c r="AO32" s="53"/>
      <c r="AS32" s="279"/>
      <c r="AT32" s="275"/>
      <c r="AU32" s="53"/>
      <c r="AY32" s="53"/>
      <c r="AZ32" s="272"/>
      <c r="BC32" s="53"/>
      <c r="BD32" s="53"/>
      <c r="BG32" s="53"/>
      <c r="BK32" s="53"/>
      <c r="BL32" s="272"/>
      <c r="BO32" s="53"/>
      <c r="BP32" s="53"/>
    </row>
    <row r="33">
      <c r="D33" s="265">
        <f>COUNTIF(postDEL!$AR$2:$AR131,$C33)</f>
        <v>0</v>
      </c>
      <c r="E33" s="11" t="str">
        <f>CONCATENATE(Process!$A$1,F33)</f>
        <v>NDHM114675</v>
      </c>
      <c r="F33" s="11">
        <v>114675.0</v>
      </c>
      <c r="H33" s="9" t="s">
        <v>554</v>
      </c>
      <c r="I33" s="54">
        <v>1.0</v>
      </c>
      <c r="K33" s="267">
        <f>COUNTIF(postDEL!$AO$2:$AO131,$C33)</f>
        <v>0</v>
      </c>
      <c r="L33" s="54" t="s">
        <v>551</v>
      </c>
      <c r="M33" s="266" t="s">
        <v>525</v>
      </c>
      <c r="N33" s="268" t="b">
        <f t="shared" si="1"/>
        <v>1</v>
      </c>
      <c r="O33" s="57" t="s">
        <v>526</v>
      </c>
      <c r="P33" s="266" t="s">
        <v>208</v>
      </c>
      <c r="S33" s="2" t="s">
        <v>523</v>
      </c>
      <c r="X33" s="11"/>
      <c r="Y33" s="269" t="str">
        <f t="shared" si="2"/>
        <v/>
      </c>
      <c r="Z33" s="238"/>
      <c r="AA33" s="269" t="s">
        <v>571</v>
      </c>
      <c r="AB33" s="265">
        <f t="shared" si="3"/>
        <v>5</v>
      </c>
      <c r="AC33" s="238"/>
      <c r="AD33" s="53" t="str">
        <f t="shared" si="4"/>
        <v>NOT</v>
      </c>
      <c r="AE33" s="11"/>
      <c r="AF33" s="11"/>
      <c r="AG33" s="11"/>
      <c r="AH33" s="265">
        <f>COUNTIF(postDEL!$AR$2:$AR131,AG33)</f>
        <v>0</v>
      </c>
      <c r="AI33" s="272"/>
      <c r="AK33" s="279"/>
      <c r="AN33" s="53"/>
      <c r="AO33" s="53"/>
      <c r="AS33" s="279"/>
      <c r="AT33" s="275"/>
      <c r="AU33" s="53"/>
      <c r="AY33" s="53"/>
      <c r="AZ33" s="272"/>
      <c r="BC33" s="53"/>
      <c r="BD33" s="53"/>
      <c r="BG33" s="53"/>
      <c r="BK33" s="53"/>
      <c r="BL33" s="272"/>
      <c r="BO33" s="53"/>
      <c r="BP33" s="53"/>
    </row>
    <row r="34">
      <c r="D34" s="265">
        <f>COUNTIF(postDEL!$AR$2:$AR131,$C34)</f>
        <v>0</v>
      </c>
      <c r="E34" s="11" t="str">
        <f>CONCATENATE(Process!$A$1,F34)</f>
        <v>NDHM466905</v>
      </c>
      <c r="F34" s="11">
        <v>466905.0</v>
      </c>
      <c r="H34" s="9" t="s">
        <v>570</v>
      </c>
      <c r="I34" s="54">
        <v>1.0</v>
      </c>
      <c r="K34" s="267">
        <f>COUNTIF(postDEL!$AO$2:$AO131,$C34)</f>
        <v>0</v>
      </c>
      <c r="L34" s="54" t="s">
        <v>520</v>
      </c>
      <c r="M34" s="266" t="s">
        <v>547</v>
      </c>
      <c r="N34" s="268" t="b">
        <f t="shared" si="1"/>
        <v>1</v>
      </c>
      <c r="O34" s="57" t="s">
        <v>529</v>
      </c>
      <c r="P34" s="266" t="s">
        <v>208</v>
      </c>
      <c r="S34" s="2" t="s">
        <v>523</v>
      </c>
      <c r="X34" s="11"/>
      <c r="Y34" s="269" t="str">
        <f t="shared" si="2"/>
        <v/>
      </c>
      <c r="Z34" s="238"/>
      <c r="AA34" s="269" t="s">
        <v>572</v>
      </c>
      <c r="AB34" s="265">
        <f t="shared" si="3"/>
        <v>5</v>
      </c>
      <c r="AC34" s="238"/>
      <c r="AD34" s="53" t="str">
        <f t="shared" si="4"/>
        <v>NOT</v>
      </c>
      <c r="AE34" s="11"/>
      <c r="AF34" s="11"/>
      <c r="AG34" s="11"/>
      <c r="AH34" s="265">
        <f>COUNTIF(postDEL!$AR$2:$AR131,AG34)</f>
        <v>0</v>
      </c>
      <c r="AI34" s="272"/>
      <c r="AK34" s="279"/>
      <c r="AN34" s="53"/>
      <c r="AO34" s="53"/>
      <c r="AS34" s="279"/>
      <c r="AT34" s="275"/>
      <c r="AU34" s="53"/>
      <c r="AY34" s="53"/>
      <c r="AZ34" s="272"/>
      <c r="BC34" s="53"/>
      <c r="BD34" s="53"/>
      <c r="BG34" s="53"/>
      <c r="BK34" s="53"/>
      <c r="BL34" s="272"/>
      <c r="BO34" s="53"/>
      <c r="BP34" s="53"/>
    </row>
    <row r="35">
      <c r="D35" s="265">
        <f>COUNTIF(postDEL!$AR$2:$AR131,$C35)</f>
        <v>0</v>
      </c>
      <c r="E35" s="11" t="str">
        <f>CONCATENATE(Process!$A$1,F35)</f>
        <v>NDHM360307</v>
      </c>
      <c r="F35" s="11">
        <v>360307.0</v>
      </c>
      <c r="H35" s="9" t="s">
        <v>533</v>
      </c>
      <c r="I35" s="54">
        <v>1.0</v>
      </c>
      <c r="K35" s="267">
        <f>COUNTIF(postDEL!$AO$2:$AO131,$C35)</f>
        <v>0</v>
      </c>
      <c r="L35" s="54" t="s">
        <v>520</v>
      </c>
      <c r="M35" s="266" t="s">
        <v>547</v>
      </c>
      <c r="N35" s="268" t="b">
        <f t="shared" si="1"/>
        <v>1</v>
      </c>
      <c r="O35" s="57" t="s">
        <v>522</v>
      </c>
      <c r="P35" s="266" t="s">
        <v>208</v>
      </c>
      <c r="S35" s="2" t="s">
        <v>523</v>
      </c>
      <c r="X35" s="11"/>
      <c r="Y35" s="269" t="str">
        <f t="shared" si="2"/>
        <v/>
      </c>
      <c r="Z35" s="238"/>
      <c r="AA35" s="269" t="s">
        <v>573</v>
      </c>
      <c r="AB35" s="265">
        <f t="shared" si="3"/>
        <v>2</v>
      </c>
      <c r="AC35" s="238"/>
      <c r="AD35" s="53" t="str">
        <f t="shared" si="4"/>
        <v>NOT</v>
      </c>
      <c r="AE35" s="11"/>
      <c r="AF35" s="11"/>
      <c r="AG35" s="11"/>
      <c r="AH35" s="265">
        <f>COUNTIF(postDEL!$AR$2:$AR131,AG35)</f>
        <v>0</v>
      </c>
      <c r="AI35" s="272"/>
      <c r="AK35" s="279"/>
      <c r="AN35" s="53"/>
      <c r="AO35" s="53"/>
      <c r="AS35" s="279"/>
      <c r="AT35" s="275"/>
      <c r="AU35" s="53"/>
      <c r="AY35" s="53"/>
      <c r="AZ35" s="272"/>
      <c r="BC35" s="53"/>
      <c r="BD35" s="53"/>
      <c r="BG35" s="53"/>
      <c r="BK35" s="53"/>
      <c r="BL35" s="272"/>
      <c r="BO35" s="53"/>
      <c r="BP35" s="53"/>
    </row>
    <row r="36">
      <c r="D36" s="265">
        <f>COUNTIF(postDEL!$AR$2:$AR131,$C36)</f>
        <v>0</v>
      </c>
      <c r="E36" s="11" t="str">
        <f>CONCATENATE(Process!$A$1,F36)</f>
        <v>NDHM580463</v>
      </c>
      <c r="F36" s="11">
        <v>580463.0</v>
      </c>
      <c r="H36" s="9" t="s">
        <v>536</v>
      </c>
      <c r="I36" s="54">
        <v>2.3</v>
      </c>
      <c r="K36" s="267">
        <f>COUNTIF(postDEL!$AO$2:$AO131,$C36)</f>
        <v>0</v>
      </c>
      <c r="L36" s="281"/>
      <c r="M36" s="266" t="s">
        <v>525</v>
      </c>
      <c r="N36" s="268" t="b">
        <f t="shared" si="1"/>
        <v>1</v>
      </c>
      <c r="O36" s="57" t="s">
        <v>526</v>
      </c>
      <c r="P36" s="266" t="s">
        <v>208</v>
      </c>
      <c r="S36" s="2" t="s">
        <v>523</v>
      </c>
      <c r="X36" s="11"/>
      <c r="Y36" s="269" t="str">
        <f t="shared" si="2"/>
        <v/>
      </c>
      <c r="Z36" s="238"/>
      <c r="AA36" s="269" t="s">
        <v>574</v>
      </c>
      <c r="AB36" s="265">
        <f t="shared" si="3"/>
        <v>1</v>
      </c>
      <c r="AC36" s="238"/>
      <c r="AD36" s="53" t="str">
        <f t="shared" si="4"/>
        <v>NOT</v>
      </c>
      <c r="AE36" s="11"/>
      <c r="AF36" s="11"/>
      <c r="AG36" s="11"/>
      <c r="AH36" s="265">
        <f>COUNTIF(postDEL!$AR$2:$AR131,AG36)</f>
        <v>0</v>
      </c>
      <c r="AI36" s="272"/>
      <c r="AK36" s="279"/>
      <c r="AN36" s="53"/>
      <c r="AO36" s="53"/>
      <c r="AS36" s="279"/>
      <c r="AT36" s="275"/>
      <c r="AU36" s="53"/>
      <c r="AY36" s="53"/>
      <c r="AZ36" s="272"/>
      <c r="BC36" s="53"/>
      <c r="BD36" s="53"/>
      <c r="BG36" s="53"/>
      <c r="BK36" s="53"/>
      <c r="BL36" s="272"/>
      <c r="BO36" s="53"/>
      <c r="BP36" s="53"/>
    </row>
    <row r="37">
      <c r="D37" s="265">
        <f>COUNTIF(postDEL!$AR$2:$AR131,$C37)</f>
        <v>0</v>
      </c>
      <c r="E37" s="11" t="str">
        <f>CONCATENATE(Process!$A$1,F37)</f>
        <v>NDHM514003</v>
      </c>
      <c r="F37" s="11">
        <v>514003.0</v>
      </c>
      <c r="H37" s="9" t="s">
        <v>536</v>
      </c>
      <c r="I37" s="54">
        <v>1.0</v>
      </c>
      <c r="K37" s="267">
        <f>COUNTIF(postDEL!$AO$2:$AO131,$C37)</f>
        <v>0</v>
      </c>
      <c r="L37" s="54" t="s">
        <v>560</v>
      </c>
      <c r="M37" s="266" t="s">
        <v>547</v>
      </c>
      <c r="N37" s="268" t="b">
        <f t="shared" si="1"/>
        <v>1</v>
      </c>
      <c r="O37" s="57" t="s">
        <v>529</v>
      </c>
      <c r="P37" s="266" t="s">
        <v>208</v>
      </c>
      <c r="S37" s="2" t="s">
        <v>523</v>
      </c>
      <c r="X37" s="11"/>
      <c r="Y37" s="269" t="str">
        <f t="shared" si="2"/>
        <v/>
      </c>
      <c r="Z37" s="238"/>
      <c r="AA37" s="269" t="s">
        <v>575</v>
      </c>
      <c r="AB37" s="265">
        <f t="shared" si="3"/>
        <v>1</v>
      </c>
      <c r="AC37" s="238"/>
      <c r="AD37" s="53" t="str">
        <f t="shared" si="4"/>
        <v>NOT</v>
      </c>
      <c r="AE37" s="11"/>
      <c r="AF37" s="11"/>
      <c r="AG37" s="11"/>
      <c r="AH37" s="265">
        <f>COUNTIF(postDEL!$AR$2:$AR131,AG37)</f>
        <v>0</v>
      </c>
      <c r="AI37" s="272"/>
      <c r="AK37" s="279"/>
      <c r="AN37" s="53"/>
      <c r="AO37" s="53"/>
      <c r="AS37" s="279"/>
      <c r="AT37" s="275"/>
      <c r="AU37" s="53"/>
      <c r="AY37" s="53"/>
      <c r="AZ37" s="272"/>
      <c r="BC37" s="53"/>
      <c r="BD37" s="53"/>
      <c r="BG37" s="53"/>
      <c r="BK37" s="53"/>
      <c r="BL37" s="272"/>
      <c r="BO37" s="53"/>
      <c r="BP37" s="53"/>
    </row>
    <row r="38">
      <c r="D38" s="265">
        <f>COUNTIF(postDEL!$AR$2:$AR131,$C38)</f>
        <v>0</v>
      </c>
      <c r="E38" s="11" t="str">
        <f>CONCATENATE(Process!$A$1,F38)</f>
        <v>NDHM244255</v>
      </c>
      <c r="F38" s="11">
        <v>244255.0</v>
      </c>
      <c r="H38" s="9" t="s">
        <v>564</v>
      </c>
      <c r="I38" s="54">
        <v>1.0</v>
      </c>
      <c r="J38" s="11" t="s">
        <v>550</v>
      </c>
      <c r="K38" s="267">
        <f>COUNTIF(postDEL!$AO$2:$AO131,$C38)</f>
        <v>0</v>
      </c>
      <c r="L38" s="54" t="s">
        <v>524</v>
      </c>
      <c r="M38" s="266" t="s">
        <v>525</v>
      </c>
      <c r="N38" s="268" t="b">
        <f t="shared" si="1"/>
        <v>1</v>
      </c>
      <c r="O38" s="57" t="s">
        <v>526</v>
      </c>
      <c r="P38" s="266" t="s">
        <v>208</v>
      </c>
      <c r="S38" s="2" t="s">
        <v>523</v>
      </c>
      <c r="X38" s="11"/>
      <c r="Y38" s="269" t="str">
        <f t="shared" si="2"/>
        <v/>
      </c>
      <c r="Z38" s="238"/>
      <c r="AA38" s="269"/>
      <c r="AB38" s="265"/>
      <c r="AC38" s="238"/>
      <c r="AD38" s="53" t="str">
        <f t="shared" si="4"/>
        <v>NOT</v>
      </c>
      <c r="AE38" s="11"/>
      <c r="AF38" s="11"/>
      <c r="AG38" s="11"/>
      <c r="AH38" s="265">
        <f>COUNTIF(postDEL!$AR$2:$AR131,AG38)</f>
        <v>0</v>
      </c>
      <c r="AI38" s="272"/>
      <c r="AK38" s="279"/>
      <c r="AN38" s="53"/>
      <c r="AO38" s="53"/>
      <c r="AS38" s="279"/>
      <c r="AT38" s="275"/>
      <c r="AU38" s="53"/>
      <c r="AY38" s="53"/>
      <c r="AZ38" s="272"/>
      <c r="BC38" s="53"/>
      <c r="BD38" s="53"/>
      <c r="BG38" s="53"/>
      <c r="BK38" s="53"/>
      <c r="BL38" s="272"/>
      <c r="BO38" s="53"/>
      <c r="BP38" s="53"/>
    </row>
    <row r="39">
      <c r="D39" s="265">
        <f>COUNTIF(postDEL!$AR$2:$AR131,$C39)</f>
        <v>0</v>
      </c>
      <c r="E39" s="11" t="str">
        <f>CONCATENATE(Process!$A$1,F39)</f>
        <v>NDHM297665</v>
      </c>
      <c r="F39" s="11">
        <v>297665.0</v>
      </c>
      <c r="H39" s="9" t="s">
        <v>564</v>
      </c>
      <c r="I39" s="54">
        <v>1.0</v>
      </c>
      <c r="K39" s="267">
        <f>COUNTIF(postDEL!$AO$2:$AO131,$C39)</f>
        <v>0</v>
      </c>
      <c r="L39" s="54" t="s">
        <v>520</v>
      </c>
      <c r="M39" s="266" t="s">
        <v>521</v>
      </c>
      <c r="N39" s="268" t="b">
        <f t="shared" si="1"/>
        <v>1</v>
      </c>
      <c r="O39" s="57" t="s">
        <v>529</v>
      </c>
      <c r="P39" s="266" t="s">
        <v>208</v>
      </c>
      <c r="S39" s="2" t="s">
        <v>523</v>
      </c>
      <c r="X39" s="11"/>
      <c r="Y39" s="269" t="str">
        <f t="shared" si="2"/>
        <v/>
      </c>
      <c r="Z39" s="238"/>
      <c r="AA39" s="269"/>
      <c r="AB39" s="265"/>
      <c r="AC39" s="238"/>
      <c r="AD39" s="53" t="str">
        <f t="shared" si="4"/>
        <v>NOT</v>
      </c>
      <c r="AE39" s="11"/>
      <c r="AF39" s="11"/>
      <c r="AG39" s="11"/>
      <c r="AH39" s="265">
        <f>COUNTIF(postDEL!$AR$2:$AR131,AG39)</f>
        <v>0</v>
      </c>
      <c r="AI39" s="272"/>
      <c r="AK39" s="279"/>
      <c r="AN39" s="53"/>
      <c r="AO39" s="53"/>
      <c r="AS39" s="279"/>
      <c r="AT39" s="275"/>
      <c r="AU39" s="53"/>
      <c r="AY39" s="53"/>
      <c r="AZ39" s="272"/>
      <c r="BC39" s="53"/>
      <c r="BD39" s="53"/>
      <c r="BG39" s="53"/>
      <c r="BK39" s="53"/>
      <c r="BL39" s="272"/>
      <c r="BO39" s="53"/>
      <c r="BP39" s="53"/>
    </row>
    <row r="40">
      <c r="D40" s="265">
        <f>COUNTIF(postDEL!$AR$2:$AR131,$C40)</f>
        <v>0</v>
      </c>
      <c r="E40" s="11" t="str">
        <f>CONCATENATE(Process!$A$1,F40)</f>
        <v>NDHM618727</v>
      </c>
      <c r="F40" s="11">
        <v>618727.0</v>
      </c>
      <c r="H40" s="9" t="s">
        <v>570</v>
      </c>
      <c r="I40" s="54">
        <v>1.0</v>
      </c>
      <c r="J40" s="266" t="s">
        <v>545</v>
      </c>
      <c r="K40" s="267">
        <f>COUNTIF(postDEL!$AO$2:$AO131,$C40)</f>
        <v>0</v>
      </c>
      <c r="L40" s="54" t="s">
        <v>531</v>
      </c>
      <c r="M40" s="266" t="s">
        <v>547</v>
      </c>
      <c r="N40" s="268" t="b">
        <f t="shared" si="1"/>
        <v>1</v>
      </c>
      <c r="O40" s="57" t="s">
        <v>529</v>
      </c>
      <c r="P40" s="266" t="s">
        <v>208</v>
      </c>
      <c r="S40" s="2" t="s">
        <v>534</v>
      </c>
      <c r="X40" s="11"/>
      <c r="Y40" s="269" t="str">
        <f t="shared" si="2"/>
        <v/>
      </c>
      <c r="Z40" s="238"/>
      <c r="AA40" s="269"/>
      <c r="AB40" s="265"/>
      <c r="AC40" s="238"/>
      <c r="AD40" s="53" t="str">
        <f t="shared" si="4"/>
        <v>NOT</v>
      </c>
      <c r="AE40" s="11"/>
      <c r="AF40" s="11"/>
      <c r="AG40" s="11"/>
      <c r="AH40" s="265">
        <f>COUNTIF(postDEL!$AR$2:$AR131,AG40)</f>
        <v>0</v>
      </c>
      <c r="AI40" s="272"/>
      <c r="AK40" s="279"/>
      <c r="AN40" s="53"/>
      <c r="AO40" s="53"/>
      <c r="AS40" s="279"/>
      <c r="AT40" s="275"/>
      <c r="AU40" s="53"/>
      <c r="AY40" s="53"/>
      <c r="AZ40" s="272"/>
      <c r="BC40" s="53"/>
      <c r="BD40" s="53"/>
      <c r="BG40" s="53"/>
      <c r="BK40" s="53"/>
      <c r="BL40" s="272"/>
      <c r="BO40" s="53"/>
      <c r="BP40" s="53"/>
    </row>
    <row r="41">
      <c r="D41" s="265">
        <f>COUNTIF(postDEL!$AR$2:$AR131,$C41)</f>
        <v>0</v>
      </c>
      <c r="E41" s="11" t="str">
        <f>CONCATENATE(Process!$A$1,F41)</f>
        <v>NDHM269277</v>
      </c>
      <c r="F41" s="11">
        <v>269277.0</v>
      </c>
      <c r="H41" s="9" t="s">
        <v>571</v>
      </c>
      <c r="I41" s="54">
        <v>1.0</v>
      </c>
      <c r="K41" s="267">
        <f>COUNTIF(postDEL!$AO$2:$AO131,$C41)</f>
        <v>0</v>
      </c>
      <c r="L41" s="54" t="s">
        <v>520</v>
      </c>
      <c r="M41" s="266" t="s">
        <v>521</v>
      </c>
      <c r="N41" s="268" t="b">
        <f t="shared" si="1"/>
        <v>1</v>
      </c>
      <c r="O41" s="57" t="s">
        <v>529</v>
      </c>
      <c r="P41" s="266" t="s">
        <v>208</v>
      </c>
      <c r="S41" s="2" t="s">
        <v>523</v>
      </c>
      <c r="X41" s="11"/>
      <c r="Y41" s="269" t="str">
        <f t="shared" si="2"/>
        <v/>
      </c>
      <c r="Z41" s="238"/>
      <c r="AA41" s="269"/>
      <c r="AB41" s="265"/>
      <c r="AC41" s="238"/>
      <c r="AD41" s="53" t="str">
        <f t="shared" si="4"/>
        <v>NOT</v>
      </c>
      <c r="AE41" s="11"/>
      <c r="AF41" s="11"/>
      <c r="AG41" s="11"/>
      <c r="AH41" s="265">
        <f>COUNTIF(postDEL!$AR$2:$AR131,AG41)</f>
        <v>0</v>
      </c>
      <c r="AI41" s="272"/>
      <c r="AK41" s="279"/>
      <c r="AN41" s="53"/>
      <c r="AO41" s="53"/>
      <c r="AS41" s="279"/>
      <c r="AT41" s="275"/>
      <c r="AU41" s="53"/>
      <c r="AY41" s="53"/>
      <c r="AZ41" s="272"/>
      <c r="BC41" s="53"/>
      <c r="BD41" s="53"/>
      <c r="BG41" s="53"/>
      <c r="BK41" s="53"/>
      <c r="BL41" s="272"/>
      <c r="BO41" s="53"/>
      <c r="BP41" s="53"/>
    </row>
    <row r="42">
      <c r="D42" s="265">
        <f>COUNTIF(postDEL!$AR$2:$AR131,$C42)</f>
        <v>0</v>
      </c>
      <c r="E42" s="11" t="str">
        <f>CONCATENATE(Process!$A$1,F42)</f>
        <v>NDHM226149</v>
      </c>
      <c r="F42" s="11">
        <v>226149.0</v>
      </c>
      <c r="H42" s="9" t="s">
        <v>571</v>
      </c>
      <c r="I42" s="54">
        <v>1.0</v>
      </c>
      <c r="J42" s="266" t="s">
        <v>545</v>
      </c>
      <c r="K42" s="267">
        <f>COUNTIF(postDEL!$AO$2:$AO131,$C42)</f>
        <v>0</v>
      </c>
      <c r="L42" s="54" t="s">
        <v>551</v>
      </c>
      <c r="M42" s="266" t="s">
        <v>525</v>
      </c>
      <c r="N42" s="268" t="b">
        <f t="shared" si="1"/>
        <v>1</v>
      </c>
      <c r="O42" s="57" t="s">
        <v>526</v>
      </c>
      <c r="P42" s="266" t="s">
        <v>208</v>
      </c>
      <c r="S42" s="2" t="s">
        <v>523</v>
      </c>
      <c r="X42" s="11"/>
      <c r="Y42" s="269" t="str">
        <f t="shared" si="2"/>
        <v/>
      </c>
      <c r="Z42" s="238"/>
      <c r="AA42" s="269"/>
      <c r="AB42" s="265"/>
      <c r="AC42" s="238"/>
      <c r="AD42" s="53" t="str">
        <f t="shared" si="4"/>
        <v>NOT</v>
      </c>
      <c r="AE42" s="11"/>
      <c r="AF42" s="11"/>
      <c r="AG42" s="11"/>
      <c r="AH42" s="265">
        <f>COUNTIF(postDEL!$AR$2:$AR131,AG42)</f>
        <v>0</v>
      </c>
      <c r="AI42" s="272"/>
      <c r="AK42" s="279"/>
      <c r="AN42" s="53"/>
      <c r="AO42" s="53"/>
      <c r="AS42" s="279"/>
      <c r="AT42" s="275"/>
      <c r="AU42" s="53"/>
      <c r="AY42" s="53"/>
      <c r="AZ42" s="272"/>
      <c r="BC42" s="53"/>
      <c r="BD42" s="53"/>
      <c r="BG42" s="53"/>
      <c r="BK42" s="53"/>
      <c r="BL42" s="272"/>
      <c r="BO42" s="53"/>
      <c r="BP42" s="53"/>
    </row>
    <row r="43">
      <c r="D43" s="265">
        <f>COUNTIF(postDEL!$AR$2:$AR131,$C43)</f>
        <v>0</v>
      </c>
      <c r="E43" s="11" t="str">
        <f>CONCATENATE(Process!$A$1,F43)</f>
        <v>NDHM175150</v>
      </c>
      <c r="F43" s="11">
        <v>175150.0</v>
      </c>
      <c r="H43" s="9" t="s">
        <v>571</v>
      </c>
      <c r="I43" s="54">
        <v>1.0</v>
      </c>
      <c r="K43" s="267">
        <f>COUNTIF(postDEL!$AO$2:$AO131,$C43)</f>
        <v>0</v>
      </c>
      <c r="L43" s="54" t="s">
        <v>524</v>
      </c>
      <c r="M43" s="266" t="s">
        <v>525</v>
      </c>
      <c r="N43" s="268" t="b">
        <f t="shared" si="1"/>
        <v>1</v>
      </c>
      <c r="O43" s="57" t="s">
        <v>526</v>
      </c>
      <c r="P43" s="266" t="s">
        <v>208</v>
      </c>
      <c r="S43" s="2" t="s">
        <v>523</v>
      </c>
      <c r="X43" s="11"/>
      <c r="Y43" s="269" t="str">
        <f t="shared" si="2"/>
        <v/>
      </c>
      <c r="Z43" s="238"/>
      <c r="AA43" s="269"/>
      <c r="AB43" s="265"/>
      <c r="AC43" s="238"/>
      <c r="AD43" s="53" t="str">
        <f t="shared" si="4"/>
        <v>NOT</v>
      </c>
      <c r="AE43" s="11"/>
      <c r="AF43" s="11"/>
      <c r="AG43" s="11"/>
      <c r="AH43" s="265">
        <f>COUNTIF(postDEL!$AR$2:$AR131,AG43)</f>
        <v>0</v>
      </c>
      <c r="AI43" s="272"/>
      <c r="AK43" s="279"/>
      <c r="AN43" s="53"/>
      <c r="AO43" s="53"/>
      <c r="AS43" s="279"/>
      <c r="AT43" s="275"/>
      <c r="AU43" s="53"/>
      <c r="AY43" s="53"/>
      <c r="AZ43" s="272"/>
      <c r="BC43" s="53"/>
      <c r="BD43" s="53"/>
      <c r="BG43" s="53"/>
      <c r="BK43" s="53"/>
      <c r="BL43" s="272"/>
      <c r="BO43" s="53"/>
      <c r="BP43" s="53"/>
    </row>
    <row r="44">
      <c r="D44" s="265">
        <f>COUNTIF(postDEL!$AR$2:$AR131,$C44)</f>
        <v>0</v>
      </c>
      <c r="E44" s="11" t="str">
        <f>CONCATENATE(Process!$A$1,F44)</f>
        <v>NDHM111229</v>
      </c>
      <c r="F44" s="11">
        <v>111229.0</v>
      </c>
      <c r="H44" s="9" t="s">
        <v>571</v>
      </c>
      <c r="I44" s="54">
        <v>1.0</v>
      </c>
      <c r="K44" s="267">
        <f>COUNTIF(postDEL!$AO$2:$AO131,$C44)</f>
        <v>0</v>
      </c>
      <c r="L44" s="54" t="s">
        <v>560</v>
      </c>
      <c r="M44" s="266" t="s">
        <v>547</v>
      </c>
      <c r="N44" s="268" t="b">
        <f t="shared" si="1"/>
        <v>1</v>
      </c>
      <c r="O44" s="57" t="s">
        <v>529</v>
      </c>
      <c r="P44" s="266" t="s">
        <v>208</v>
      </c>
      <c r="S44" s="2" t="s">
        <v>523</v>
      </c>
      <c r="X44" s="11"/>
      <c r="Y44" s="269" t="str">
        <f t="shared" si="2"/>
        <v/>
      </c>
      <c r="Z44" s="238"/>
      <c r="AA44" s="269"/>
      <c r="AB44" s="265"/>
      <c r="AC44" s="238"/>
      <c r="AD44" s="53" t="str">
        <f t="shared" si="4"/>
        <v>NOT</v>
      </c>
      <c r="AE44" s="11"/>
      <c r="AF44" s="11"/>
      <c r="AG44" s="11"/>
      <c r="AH44" s="265">
        <f>COUNTIF(postDEL!$AR$2:$AR131,AG44)</f>
        <v>0</v>
      </c>
      <c r="AI44" s="272"/>
      <c r="AK44" s="279"/>
      <c r="AN44" s="53"/>
      <c r="AO44" s="53"/>
      <c r="AS44" s="279"/>
      <c r="AT44" s="275"/>
      <c r="AU44" s="53"/>
      <c r="AY44" s="53"/>
      <c r="AZ44" s="272"/>
      <c r="BC44" s="53"/>
      <c r="BD44" s="53"/>
      <c r="BG44" s="53"/>
      <c r="BK44" s="53"/>
      <c r="BL44" s="272"/>
      <c r="BO44" s="53"/>
      <c r="BP44" s="53"/>
    </row>
    <row r="45">
      <c r="D45" s="265">
        <f>COUNTIF(postDEL!$AR$2:$AR131,$C45)</f>
        <v>0</v>
      </c>
      <c r="E45" s="11" t="str">
        <f>CONCATENATE(Process!$A$1,F45)</f>
        <v>NDHM359812</v>
      </c>
      <c r="F45" s="11">
        <v>359812.0</v>
      </c>
      <c r="H45" s="9" t="s">
        <v>573</v>
      </c>
      <c r="I45" s="54">
        <v>3.0</v>
      </c>
      <c r="K45" s="267">
        <f>COUNTIF(postDEL!$AO$2:$AO131,$C45)</f>
        <v>0</v>
      </c>
      <c r="L45" s="281"/>
      <c r="M45" s="266" t="s">
        <v>547</v>
      </c>
      <c r="N45" s="268" t="b">
        <f t="shared" si="1"/>
        <v>1</v>
      </c>
      <c r="O45" s="57" t="s">
        <v>522</v>
      </c>
      <c r="P45" s="266" t="s">
        <v>208</v>
      </c>
      <c r="S45" s="2" t="s">
        <v>523</v>
      </c>
      <c r="X45" s="11"/>
      <c r="Y45" s="269" t="str">
        <f t="shared" si="2"/>
        <v/>
      </c>
      <c r="Z45" s="238"/>
      <c r="AA45" s="269"/>
      <c r="AB45" s="265"/>
      <c r="AC45" s="238"/>
      <c r="AD45" s="53" t="str">
        <f t="shared" si="4"/>
        <v>NOT</v>
      </c>
      <c r="AE45" s="11"/>
      <c r="AF45" s="11"/>
      <c r="AG45" s="11"/>
      <c r="AH45" s="265">
        <f>COUNTIF(postDEL!$AR$2:$AR131,AG45)</f>
        <v>0</v>
      </c>
      <c r="AI45" s="272"/>
      <c r="AK45" s="279"/>
      <c r="AN45" s="53"/>
      <c r="AO45" s="53"/>
      <c r="AS45" s="279"/>
      <c r="AT45" s="275"/>
      <c r="AU45" s="53"/>
      <c r="AY45" s="53"/>
      <c r="AZ45" s="272"/>
      <c r="BC45" s="53"/>
      <c r="BD45" s="53"/>
      <c r="BG45" s="53"/>
      <c r="BK45" s="53"/>
      <c r="BL45" s="272"/>
      <c r="BO45" s="53"/>
      <c r="BP45" s="53"/>
    </row>
    <row r="46">
      <c r="D46" s="265">
        <f>COUNTIF(postDEL!$AR$2:$AR131,$C46)</f>
        <v>0</v>
      </c>
      <c r="E46" s="11" t="str">
        <f>CONCATENATE(Process!$A$1,F46)</f>
        <v>NDHM336777</v>
      </c>
      <c r="F46" s="11">
        <v>336777.0</v>
      </c>
      <c r="H46" s="9" t="s">
        <v>530</v>
      </c>
      <c r="I46" s="54">
        <v>1.0</v>
      </c>
      <c r="J46" s="266" t="s">
        <v>541</v>
      </c>
      <c r="K46" s="267">
        <f>COUNTIF(postDEL!$AO$2:$AO131,$C46)</f>
        <v>0</v>
      </c>
      <c r="L46" s="282" t="s">
        <v>531</v>
      </c>
      <c r="M46" s="266" t="s">
        <v>521</v>
      </c>
      <c r="N46" s="268" t="b">
        <f t="shared" si="1"/>
        <v>1</v>
      </c>
      <c r="O46" s="57" t="s">
        <v>529</v>
      </c>
      <c r="P46" s="266" t="s">
        <v>208</v>
      </c>
      <c r="S46" s="2" t="s">
        <v>534</v>
      </c>
      <c r="X46" s="11"/>
      <c r="Y46" s="269" t="str">
        <f t="shared" si="2"/>
        <v/>
      </c>
      <c r="Z46" s="238"/>
      <c r="AA46" s="269"/>
      <c r="AB46" s="265"/>
      <c r="AC46" s="238"/>
      <c r="AD46" s="53" t="str">
        <f t="shared" si="4"/>
        <v>NOT</v>
      </c>
      <c r="AE46" s="11"/>
      <c r="AF46" s="11"/>
      <c r="AG46" s="11"/>
      <c r="AH46" s="265">
        <f>COUNTIF(postDEL!$AR$2:$AR131,AG46)</f>
        <v>0</v>
      </c>
      <c r="AI46" s="272"/>
      <c r="AK46" s="279"/>
      <c r="AN46" s="53"/>
      <c r="AO46" s="53"/>
      <c r="AS46" s="279"/>
      <c r="AT46" s="275"/>
      <c r="AU46" s="53"/>
      <c r="AY46" s="53"/>
      <c r="AZ46" s="272"/>
      <c r="BC46" s="53"/>
      <c r="BD46" s="53"/>
      <c r="BG46" s="53"/>
      <c r="BK46" s="53"/>
      <c r="BL46" s="272"/>
      <c r="BO46" s="53"/>
      <c r="BP46" s="53"/>
    </row>
    <row r="47">
      <c r="D47" s="265">
        <f>COUNTIF(postDEL!$AR$2:$AR131,$C47)</f>
        <v>0</v>
      </c>
      <c r="E47" s="11" t="str">
        <f>CONCATENATE(Process!$A$1,F47)</f>
        <v>NDHM665021</v>
      </c>
      <c r="F47" s="11">
        <v>665021.0</v>
      </c>
      <c r="H47" s="9" t="s">
        <v>532</v>
      </c>
      <c r="I47" s="54">
        <v>1.0</v>
      </c>
      <c r="K47" s="267">
        <f>COUNTIF(postDEL!$AO$2:$AO131,$C47)</f>
        <v>0</v>
      </c>
      <c r="L47" s="282" t="s">
        <v>524</v>
      </c>
      <c r="M47" s="266" t="s">
        <v>525</v>
      </c>
      <c r="N47" s="268" t="b">
        <f t="shared" si="1"/>
        <v>1</v>
      </c>
      <c r="O47" s="283"/>
      <c r="X47" s="11"/>
      <c r="Y47" s="269" t="str">
        <f t="shared" si="2"/>
        <v/>
      </c>
      <c r="Z47" s="238"/>
      <c r="AA47" s="269"/>
      <c r="AB47" s="265"/>
      <c r="AC47" s="238"/>
      <c r="AD47" s="53" t="str">
        <f t="shared" si="4"/>
        <v>NOT</v>
      </c>
      <c r="AE47" s="11"/>
      <c r="AF47" s="11"/>
      <c r="AG47" s="11"/>
      <c r="AH47" s="265">
        <f>COUNTIF(postDEL!$AR$2:$AR131,AG47)</f>
        <v>0</v>
      </c>
      <c r="AI47" s="272"/>
      <c r="AK47" s="279"/>
      <c r="AN47" s="53"/>
      <c r="AO47" s="53"/>
      <c r="AS47" s="279"/>
      <c r="AT47" s="275"/>
      <c r="AU47" s="53"/>
      <c r="AY47" s="53"/>
      <c r="AZ47" s="272"/>
      <c r="BC47" s="53"/>
      <c r="BD47" s="53"/>
      <c r="BG47" s="53"/>
      <c r="BK47" s="53"/>
      <c r="BL47" s="272"/>
      <c r="BO47" s="53"/>
      <c r="BP47" s="53"/>
    </row>
    <row r="48">
      <c r="D48" s="265">
        <f>COUNTIF(postDEL!$AR$2:$AR131,$C48)</f>
        <v>0</v>
      </c>
      <c r="E48" s="11" t="str">
        <f>CONCATENATE(Process!$A$1,F48)</f>
        <v>NDHM872984</v>
      </c>
      <c r="F48" s="11">
        <v>872984.0</v>
      </c>
      <c r="H48" s="9" t="s">
        <v>535</v>
      </c>
      <c r="I48" s="54">
        <v>1.0</v>
      </c>
      <c r="J48" s="266" t="s">
        <v>545</v>
      </c>
      <c r="K48" s="267">
        <f>COUNTIF(postDEL!$AO$2:$AO131,$C48)</f>
        <v>0</v>
      </c>
      <c r="L48" s="54" t="s">
        <v>524</v>
      </c>
      <c r="M48" s="266" t="s">
        <v>525</v>
      </c>
      <c r="N48" s="268" t="b">
        <f t="shared" si="1"/>
        <v>1</v>
      </c>
      <c r="O48" s="283"/>
      <c r="X48" s="11"/>
      <c r="Y48" s="269" t="str">
        <f t="shared" si="2"/>
        <v/>
      </c>
      <c r="Z48" s="238"/>
      <c r="AA48" s="269"/>
      <c r="AB48" s="265"/>
      <c r="AC48" s="238"/>
      <c r="AD48" s="53" t="str">
        <f t="shared" si="4"/>
        <v>NOT</v>
      </c>
      <c r="AE48" s="11"/>
      <c r="AF48" s="11"/>
      <c r="AG48" s="11"/>
      <c r="AH48" s="265">
        <f>COUNTIF(postDEL!$AR$2:$AR131,AG48)</f>
        <v>0</v>
      </c>
      <c r="AI48" s="272"/>
      <c r="AK48" s="279"/>
      <c r="AN48" s="53"/>
      <c r="AO48" s="53"/>
      <c r="AS48" s="279"/>
      <c r="AT48" s="275"/>
      <c r="AU48" s="53"/>
      <c r="AY48" s="53"/>
      <c r="AZ48" s="272"/>
      <c r="BC48" s="53"/>
      <c r="BD48" s="53"/>
      <c r="BG48" s="53"/>
      <c r="BK48" s="53"/>
      <c r="BL48" s="272"/>
      <c r="BO48" s="53"/>
      <c r="BP48" s="53"/>
    </row>
    <row r="49">
      <c r="D49" s="265">
        <f>COUNTIF(postDEL!$AR$2:$AR131,$C49)</f>
        <v>0</v>
      </c>
      <c r="E49" s="11" t="str">
        <f>CONCATENATE(Process!$A$1,F49)</f>
        <v>NDHM746624</v>
      </c>
      <c r="F49" s="11">
        <v>746624.0</v>
      </c>
      <c r="H49" s="9" t="s">
        <v>535</v>
      </c>
      <c r="I49" s="54">
        <v>1.0</v>
      </c>
      <c r="J49" s="266" t="s">
        <v>576</v>
      </c>
      <c r="K49" s="267">
        <f>COUNTIF(postDEL!$AO$2:$AO131,$C49)</f>
        <v>0</v>
      </c>
      <c r="L49" s="282" t="s">
        <v>531</v>
      </c>
      <c r="M49" s="266" t="s">
        <v>521</v>
      </c>
      <c r="N49" s="268" t="b">
        <f t="shared" si="1"/>
        <v>1</v>
      </c>
      <c r="O49" s="283"/>
      <c r="X49" s="11"/>
      <c r="Y49" s="269" t="str">
        <f t="shared" si="2"/>
        <v/>
      </c>
      <c r="Z49" s="238"/>
      <c r="AA49" s="269"/>
      <c r="AB49" s="265"/>
      <c r="AC49" s="238"/>
      <c r="AD49" s="53" t="str">
        <f t="shared" si="4"/>
        <v>NOT</v>
      </c>
      <c r="AE49" s="11"/>
      <c r="AF49" s="11"/>
      <c r="AG49" s="11"/>
      <c r="AH49" s="265">
        <f>COUNTIF(postDEL!$AR$2:$AR131,AG49)</f>
        <v>0</v>
      </c>
      <c r="AI49" s="272"/>
      <c r="AK49" s="279"/>
      <c r="AN49" s="53"/>
      <c r="AO49" s="53"/>
      <c r="AS49" s="279"/>
      <c r="AT49" s="275"/>
      <c r="AU49" s="53"/>
      <c r="AY49" s="53"/>
      <c r="AZ49" s="272"/>
      <c r="BC49" s="53"/>
      <c r="BD49" s="53"/>
      <c r="BG49" s="53"/>
      <c r="BK49" s="53"/>
      <c r="BL49" s="272"/>
      <c r="BO49" s="53"/>
      <c r="BP49" s="53"/>
    </row>
    <row r="50">
      <c r="D50" s="265">
        <f>COUNTIF(postDEL!$AR$2:$AR131,$C50)</f>
        <v>0</v>
      </c>
      <c r="E50" s="11" t="str">
        <f>CONCATENATE(Process!$A$1,F50)</f>
        <v>NDHM422663</v>
      </c>
      <c r="F50" s="11">
        <v>422663.0</v>
      </c>
      <c r="H50" s="9" t="s">
        <v>535</v>
      </c>
      <c r="I50" s="54">
        <v>1.0</v>
      </c>
      <c r="K50" s="267">
        <f>COUNTIF(postDEL!$AO$2:$AO131,$C50)</f>
        <v>0</v>
      </c>
      <c r="L50" s="54" t="s">
        <v>520</v>
      </c>
      <c r="M50" s="266" t="s">
        <v>521</v>
      </c>
      <c r="N50" s="268" t="b">
        <f t="shared" si="1"/>
        <v>1</v>
      </c>
      <c r="O50" s="57" t="s">
        <v>529</v>
      </c>
      <c r="P50" s="266" t="s">
        <v>208</v>
      </c>
      <c r="S50" s="2" t="s">
        <v>523</v>
      </c>
      <c r="X50" s="11"/>
      <c r="Y50" s="269" t="str">
        <f t="shared" si="2"/>
        <v/>
      </c>
      <c r="Z50" s="238"/>
      <c r="AA50" s="269"/>
      <c r="AB50" s="265"/>
      <c r="AC50" s="238"/>
      <c r="AD50" s="53" t="str">
        <f t="shared" si="4"/>
        <v>NOT</v>
      </c>
      <c r="AE50" s="11"/>
      <c r="AF50" s="11"/>
      <c r="AG50" s="11"/>
      <c r="AH50" s="265">
        <f>COUNTIF(postDEL!$AR$2:$AR131,AG50)</f>
        <v>0</v>
      </c>
      <c r="AI50" s="272"/>
      <c r="AK50" s="279"/>
      <c r="AN50" s="53"/>
      <c r="AO50" s="53"/>
      <c r="AS50" s="279"/>
      <c r="AT50" s="275"/>
      <c r="AU50" s="53"/>
      <c r="AY50" s="53"/>
      <c r="AZ50" s="272"/>
      <c r="BC50" s="53"/>
      <c r="BD50" s="53"/>
      <c r="BG50" s="53"/>
      <c r="BK50" s="53"/>
      <c r="BL50" s="272"/>
      <c r="BO50" s="53"/>
      <c r="BP50" s="53"/>
    </row>
    <row r="51">
      <c r="D51" s="265">
        <f>COUNTIF(postDEL!$AR$2:$AR131,$C51)</f>
        <v>0</v>
      </c>
      <c r="E51" s="11" t="str">
        <f>CONCATENATE(Process!$A$1,F51)</f>
        <v>NDHM612412</v>
      </c>
      <c r="F51" s="11">
        <v>612412.0</v>
      </c>
      <c r="H51" s="9" t="s">
        <v>535</v>
      </c>
      <c r="I51" s="54">
        <v>1.0</v>
      </c>
      <c r="K51" s="267">
        <f>COUNTIF(postDEL!$AO$2:$AO131,$C51)</f>
        <v>0</v>
      </c>
      <c r="L51" s="54" t="s">
        <v>551</v>
      </c>
      <c r="M51" s="266" t="s">
        <v>525</v>
      </c>
      <c r="N51" s="268" t="b">
        <f t="shared" si="1"/>
        <v>1</v>
      </c>
      <c r="O51" s="283"/>
      <c r="X51" s="11"/>
      <c r="Y51" s="269" t="str">
        <f t="shared" si="2"/>
        <v/>
      </c>
      <c r="Z51" s="238"/>
      <c r="AA51" s="269"/>
      <c r="AB51" s="265"/>
      <c r="AC51" s="238"/>
      <c r="AD51" s="53" t="str">
        <f t="shared" si="4"/>
        <v>NOT</v>
      </c>
      <c r="AE51" s="11"/>
      <c r="AF51" s="11"/>
      <c r="AG51" s="11"/>
      <c r="AH51" s="265">
        <f>COUNTIF(postDEL!$AR$2:$AR131,AG51)</f>
        <v>0</v>
      </c>
      <c r="AI51" s="272"/>
      <c r="AK51" s="279"/>
      <c r="AN51" s="53"/>
      <c r="AO51" s="53"/>
      <c r="AS51" s="279"/>
      <c r="AT51" s="275"/>
      <c r="AU51" s="53"/>
      <c r="AY51" s="53"/>
      <c r="AZ51" s="272"/>
      <c r="BC51" s="53"/>
      <c r="BD51" s="53"/>
      <c r="BG51" s="53"/>
      <c r="BK51" s="53"/>
      <c r="BL51" s="272"/>
      <c r="BO51" s="53"/>
      <c r="BP51" s="53"/>
    </row>
    <row r="52">
      <c r="D52" s="265">
        <f>COUNTIF(postDEL!$AR$2:$AR131,$C52)</f>
        <v>0</v>
      </c>
      <c r="E52" s="11" t="str">
        <f>CONCATENATE(Process!$A$1,F52)</f>
        <v>NDHM885679</v>
      </c>
      <c r="F52" s="11">
        <v>885679.0</v>
      </c>
      <c r="H52" s="9" t="s">
        <v>538</v>
      </c>
      <c r="I52" s="54">
        <v>1.0</v>
      </c>
      <c r="K52" s="267">
        <f>COUNTIF(postDEL!$AO$2:$AO131,$C52)</f>
        <v>0</v>
      </c>
      <c r="L52" s="54" t="s">
        <v>551</v>
      </c>
      <c r="M52" s="266" t="s">
        <v>525</v>
      </c>
      <c r="N52" s="268" t="b">
        <f t="shared" si="1"/>
        <v>1</v>
      </c>
      <c r="O52" s="57" t="s">
        <v>526</v>
      </c>
      <c r="P52" s="266" t="s">
        <v>208</v>
      </c>
      <c r="S52" s="2" t="s">
        <v>523</v>
      </c>
      <c r="X52" s="11"/>
      <c r="Y52" s="269" t="str">
        <f t="shared" si="2"/>
        <v/>
      </c>
      <c r="Z52" s="238"/>
      <c r="AA52" s="269"/>
      <c r="AB52" s="265"/>
      <c r="AC52" s="238"/>
      <c r="AD52" s="53" t="str">
        <f t="shared" si="4"/>
        <v>NOT</v>
      </c>
      <c r="AE52" s="11"/>
      <c r="AF52" s="11"/>
      <c r="AG52" s="11"/>
      <c r="AH52" s="265">
        <f>COUNTIF(postDEL!$AR$2:$AR131,AG52)</f>
        <v>0</v>
      </c>
      <c r="AI52" s="272"/>
      <c r="AK52" s="279"/>
      <c r="AN52" s="53"/>
      <c r="AO52" s="53"/>
      <c r="AS52" s="279"/>
      <c r="AT52" s="275"/>
      <c r="AU52" s="53"/>
      <c r="AY52" s="53"/>
      <c r="AZ52" s="272"/>
      <c r="BC52" s="53"/>
      <c r="BD52" s="53"/>
      <c r="BG52" s="53"/>
      <c r="BK52" s="53"/>
      <c r="BL52" s="272"/>
      <c r="BO52" s="53"/>
      <c r="BP52" s="53"/>
    </row>
    <row r="53">
      <c r="D53" s="265">
        <f>COUNTIF(postDEL!$AR$2:$AR131,$C53)</f>
        <v>0</v>
      </c>
      <c r="E53" s="11" t="str">
        <f>CONCATENATE(Process!$A$1,F53)</f>
        <v>NDHM145349</v>
      </c>
      <c r="F53" s="11">
        <v>145349.0</v>
      </c>
      <c r="H53" s="9" t="s">
        <v>553</v>
      </c>
      <c r="I53" s="54">
        <v>1.0</v>
      </c>
      <c r="K53" s="267">
        <f>COUNTIF(postDEL!$AO$2:$AO131,$C53)</f>
        <v>0</v>
      </c>
      <c r="L53" s="54" t="s">
        <v>520</v>
      </c>
      <c r="M53" s="266" t="s">
        <v>521</v>
      </c>
      <c r="N53" s="268" t="b">
        <f t="shared" si="1"/>
        <v>1</v>
      </c>
      <c r="O53" s="57" t="s">
        <v>529</v>
      </c>
      <c r="P53" s="266" t="s">
        <v>208</v>
      </c>
      <c r="S53" s="2" t="s">
        <v>523</v>
      </c>
      <c r="X53" s="11"/>
      <c r="Y53" s="269" t="str">
        <f t="shared" si="2"/>
        <v/>
      </c>
      <c r="Z53" s="238"/>
      <c r="AA53" s="269"/>
      <c r="AB53" s="265"/>
      <c r="AC53" s="238"/>
      <c r="AD53" s="53" t="str">
        <f t="shared" si="4"/>
        <v>NOT</v>
      </c>
      <c r="AE53" s="11"/>
      <c r="AF53" s="11"/>
      <c r="AG53" s="11"/>
      <c r="AH53" s="265">
        <f>COUNTIF(postDEL!$AR$2:$AR131,AG53)</f>
        <v>0</v>
      </c>
      <c r="AI53" s="272"/>
      <c r="AK53" s="279"/>
      <c r="AN53" s="53"/>
      <c r="AO53" s="53"/>
      <c r="AS53" s="279"/>
      <c r="AT53" s="275"/>
      <c r="AU53" s="53"/>
      <c r="AY53" s="53"/>
      <c r="AZ53" s="272"/>
      <c r="BC53" s="53"/>
      <c r="BD53" s="53"/>
      <c r="BG53" s="53"/>
      <c r="BK53" s="53"/>
      <c r="BL53" s="272"/>
      <c r="BO53" s="53"/>
      <c r="BP53" s="53"/>
    </row>
    <row r="54">
      <c r="D54" s="265">
        <f>COUNTIF(postDEL!$AR$2:$AR131,$C54)</f>
        <v>0</v>
      </c>
      <c r="E54" s="11" t="str">
        <f>CONCATENATE(Process!$A$1,F54)</f>
        <v>NDHM948431</v>
      </c>
      <c r="F54" s="11">
        <v>948431.0</v>
      </c>
      <c r="H54" s="9" t="s">
        <v>555</v>
      </c>
      <c r="I54" s="54">
        <v>1.0</v>
      </c>
      <c r="K54" s="267">
        <f>COUNTIF(postDEL!$AO$2:$AO131,$C54)</f>
        <v>0</v>
      </c>
      <c r="L54" s="54" t="s">
        <v>524</v>
      </c>
      <c r="M54" s="266" t="s">
        <v>525</v>
      </c>
      <c r="N54" s="268" t="b">
        <f t="shared" si="1"/>
        <v>1</v>
      </c>
      <c r="O54" s="57" t="s">
        <v>526</v>
      </c>
      <c r="P54" s="266" t="s">
        <v>208</v>
      </c>
      <c r="S54" s="2" t="s">
        <v>523</v>
      </c>
      <c r="X54" s="11"/>
      <c r="Y54" s="269" t="str">
        <f t="shared" si="2"/>
        <v/>
      </c>
      <c r="Z54" s="238"/>
      <c r="AA54" s="269"/>
      <c r="AB54" s="265"/>
      <c r="AC54" s="238"/>
      <c r="AD54" s="53" t="str">
        <f t="shared" si="4"/>
        <v>NOT</v>
      </c>
      <c r="AE54" s="11"/>
      <c r="AF54" s="11"/>
      <c r="AG54" s="11"/>
      <c r="AH54" s="265">
        <f>COUNTIF(postDEL!$AR$2:$AR131,AG54)</f>
        <v>0</v>
      </c>
      <c r="AI54" s="272"/>
      <c r="AK54" s="279"/>
      <c r="AN54" s="53"/>
      <c r="AO54" s="53"/>
      <c r="AS54" s="279"/>
      <c r="AT54" s="275"/>
      <c r="AU54" s="53"/>
      <c r="AY54" s="53"/>
      <c r="AZ54" s="272"/>
      <c r="BC54" s="53"/>
      <c r="BD54" s="53"/>
      <c r="BG54" s="53"/>
      <c r="BK54" s="53"/>
      <c r="BL54" s="272"/>
      <c r="BO54" s="53"/>
      <c r="BP54" s="53"/>
    </row>
    <row r="55">
      <c r="D55" s="265">
        <f>COUNTIF(postDEL!$AR$2:$AR131,$C55)</f>
        <v>0</v>
      </c>
      <c r="E55" s="11" t="str">
        <f>CONCATENATE(Process!$A$1,F55)</f>
        <v>NDHM560499</v>
      </c>
      <c r="F55" s="11">
        <v>560499.0</v>
      </c>
      <c r="H55" s="9" t="s">
        <v>555</v>
      </c>
      <c r="I55" s="54">
        <v>1.0</v>
      </c>
      <c r="J55" s="266" t="s">
        <v>545</v>
      </c>
      <c r="K55" s="267">
        <f>COUNTIF(postDEL!$AO$2:$AO131,$C55)</f>
        <v>0</v>
      </c>
      <c r="L55" s="54" t="s">
        <v>551</v>
      </c>
      <c r="M55" s="266" t="s">
        <v>525</v>
      </c>
      <c r="N55" s="268" t="b">
        <f t="shared" si="1"/>
        <v>1</v>
      </c>
      <c r="O55" s="57" t="s">
        <v>526</v>
      </c>
      <c r="P55" s="266" t="s">
        <v>208</v>
      </c>
      <c r="S55" s="2" t="s">
        <v>523</v>
      </c>
      <c r="X55" s="11"/>
      <c r="Y55" s="269" t="str">
        <f t="shared" si="2"/>
        <v/>
      </c>
      <c r="Z55" s="238"/>
      <c r="AA55" s="269"/>
      <c r="AB55" s="265"/>
      <c r="AC55" s="238"/>
      <c r="AD55" s="53" t="str">
        <f t="shared" si="4"/>
        <v>NOT</v>
      </c>
      <c r="AE55" s="11"/>
      <c r="AF55" s="11"/>
      <c r="AG55" s="11"/>
      <c r="AH55" s="265">
        <f>COUNTIF(postDEL!$AR$2:$AR131,AG55)</f>
        <v>0</v>
      </c>
      <c r="AI55" s="272"/>
      <c r="AK55" s="279"/>
      <c r="AN55" s="53"/>
      <c r="AO55" s="53"/>
      <c r="AS55" s="279"/>
      <c r="AT55" s="275"/>
      <c r="AU55" s="53"/>
      <c r="AY55" s="53"/>
      <c r="AZ55" s="272"/>
      <c r="BC55" s="53"/>
      <c r="BD55" s="53"/>
      <c r="BG55" s="53"/>
      <c r="BK55" s="53"/>
      <c r="BL55" s="272"/>
      <c r="BO55" s="53"/>
      <c r="BP55" s="53"/>
    </row>
    <row r="56">
      <c r="D56" s="265">
        <f>COUNTIF(postDEL!$AR$2:$AR131,$C56)</f>
        <v>0</v>
      </c>
      <c r="E56" s="11" t="str">
        <f>CONCATENATE(Process!$A$1,F56)</f>
        <v>NDHM222279</v>
      </c>
      <c r="F56" s="11">
        <v>222279.0</v>
      </c>
      <c r="H56" s="9" t="s">
        <v>573</v>
      </c>
      <c r="I56" s="54">
        <v>2.2</v>
      </c>
      <c r="J56" s="266" t="s">
        <v>545</v>
      </c>
      <c r="K56" s="267">
        <f>COUNTIF(postDEL!$AO$2:$AO131,$C56)</f>
        <v>0</v>
      </c>
      <c r="L56" s="281"/>
      <c r="M56" s="266" t="s">
        <v>547</v>
      </c>
      <c r="N56" s="268" t="b">
        <f t="shared" si="1"/>
        <v>1</v>
      </c>
      <c r="O56" s="283"/>
      <c r="X56" s="11"/>
      <c r="Y56" s="269" t="str">
        <f t="shared" si="2"/>
        <v/>
      </c>
      <c r="Z56" s="238"/>
      <c r="AA56" s="269"/>
      <c r="AB56" s="265"/>
      <c r="AC56" s="238"/>
      <c r="AD56" s="53" t="str">
        <f t="shared" si="4"/>
        <v>NOT</v>
      </c>
      <c r="AE56" s="11"/>
      <c r="AF56" s="11"/>
      <c r="AG56" s="11"/>
      <c r="AH56" s="265">
        <f>COUNTIF(postDEL!$AR$2:$AR131,AG56)</f>
        <v>0</v>
      </c>
      <c r="AI56" s="272"/>
      <c r="AK56" s="279"/>
      <c r="AN56" s="53"/>
      <c r="AO56" s="53"/>
      <c r="AS56" s="279"/>
      <c r="AT56" s="275"/>
      <c r="AU56" s="53"/>
      <c r="AY56" s="53"/>
      <c r="AZ56" s="272"/>
      <c r="BC56" s="53"/>
      <c r="BD56" s="53"/>
      <c r="BG56" s="53"/>
      <c r="BK56" s="53"/>
      <c r="BL56" s="272"/>
      <c r="BO56" s="53"/>
      <c r="BP56" s="53"/>
    </row>
    <row r="57">
      <c r="D57" s="265">
        <f>COUNTIF(postDEL!$AR$2:$AR131,$C57)</f>
        <v>0</v>
      </c>
      <c r="E57" s="11" t="str">
        <f>CONCATENATE(Process!$A$1,F57)</f>
        <v>NDHM638263</v>
      </c>
      <c r="F57" s="11">
        <v>638263.0</v>
      </c>
      <c r="H57" s="9" t="s">
        <v>574</v>
      </c>
      <c r="I57" s="54">
        <v>5.1</v>
      </c>
      <c r="K57" s="267">
        <f>COUNTIF(postDEL!$AO$2:$AO131,$C57)</f>
        <v>0</v>
      </c>
      <c r="L57" s="281"/>
      <c r="N57" s="268" t="b">
        <f t="shared" si="1"/>
        <v>1</v>
      </c>
      <c r="O57" s="283"/>
      <c r="X57" s="11"/>
      <c r="Y57" s="269" t="str">
        <f t="shared" si="2"/>
        <v/>
      </c>
      <c r="Z57" s="238"/>
      <c r="AA57" s="269"/>
      <c r="AB57" s="265"/>
      <c r="AC57" s="238"/>
      <c r="AD57" s="53" t="str">
        <f t="shared" si="4"/>
        <v>NOT</v>
      </c>
      <c r="AE57" s="11"/>
      <c r="AF57" s="11"/>
      <c r="AG57" s="11"/>
      <c r="AH57" s="265">
        <f>COUNTIF(postDEL!$AR$2:$AR131,AG57)</f>
        <v>0</v>
      </c>
      <c r="AI57" s="272"/>
      <c r="AK57" s="279"/>
      <c r="AN57" s="53"/>
      <c r="AO57" s="53"/>
      <c r="AS57" s="279"/>
      <c r="AT57" s="275"/>
      <c r="AU57" s="53"/>
      <c r="AY57" s="53"/>
      <c r="AZ57" s="272"/>
      <c r="BC57" s="53"/>
      <c r="BD57" s="53"/>
      <c r="BG57" s="53"/>
      <c r="BK57" s="53"/>
      <c r="BL57" s="272"/>
      <c r="BO57" s="53"/>
      <c r="BP57" s="53"/>
    </row>
    <row r="58">
      <c r="D58" s="265">
        <f>COUNTIF(postDEL!$AR$2:$AR131,$C58)</f>
        <v>0</v>
      </c>
      <c r="E58" s="11" t="str">
        <f>CONCATENATE(Process!$A$1,F58)</f>
        <v>NDHM196042</v>
      </c>
      <c r="F58" s="11">
        <v>196042.0</v>
      </c>
      <c r="H58" s="9" t="s">
        <v>575</v>
      </c>
      <c r="I58" s="54">
        <v>5.1</v>
      </c>
      <c r="K58" s="267">
        <f>COUNTIF(postDEL!$AO$2:$AO131,$C58)</f>
        <v>0</v>
      </c>
      <c r="L58" s="281"/>
      <c r="N58" s="268" t="b">
        <f t="shared" si="1"/>
        <v>1</v>
      </c>
      <c r="O58" s="283"/>
      <c r="X58" s="11"/>
      <c r="Y58" s="269" t="str">
        <f t="shared" si="2"/>
        <v/>
      </c>
      <c r="Z58" s="238"/>
      <c r="AA58" s="269"/>
      <c r="AB58" s="265"/>
      <c r="AC58" s="238"/>
      <c r="AD58" s="53" t="str">
        <f t="shared" si="4"/>
        <v>NOT</v>
      </c>
      <c r="AE58" s="11"/>
      <c r="AF58" s="11"/>
      <c r="AG58" s="11"/>
      <c r="AH58" s="265">
        <f>COUNTIF(postDEL!$AR$2:$AR131,AG58)</f>
        <v>0</v>
      </c>
      <c r="AI58" s="272"/>
      <c r="AK58" s="279"/>
      <c r="AN58" s="53"/>
      <c r="AO58" s="53"/>
      <c r="AS58" s="279"/>
      <c r="AT58" s="275"/>
      <c r="AU58" s="53"/>
      <c r="AY58" s="53"/>
      <c r="AZ58" s="272"/>
      <c r="BC58" s="53"/>
      <c r="BD58" s="53"/>
      <c r="BG58" s="53"/>
      <c r="BK58" s="53"/>
      <c r="BL58" s="272"/>
      <c r="BO58" s="53"/>
      <c r="BP58" s="53"/>
    </row>
    <row r="59">
      <c r="D59" s="265">
        <f>COUNTIF(postDEL!$AR$2:$AR131,$C59)</f>
        <v>0</v>
      </c>
      <c r="E59" s="11" t="str">
        <f>CONCATENATE(Process!$A$1,F59)</f>
        <v>NDHM345424</v>
      </c>
      <c r="F59" s="11">
        <v>345424.0</v>
      </c>
      <c r="H59" s="9" t="s">
        <v>577</v>
      </c>
      <c r="I59" s="54">
        <v>1.0</v>
      </c>
      <c r="J59" s="14" t="s">
        <v>488</v>
      </c>
      <c r="K59" s="267">
        <f>COUNTIF(postDEL!$AO$2:$AO131,$C59)</f>
        <v>0</v>
      </c>
      <c r="L59" s="54" t="s">
        <v>520</v>
      </c>
      <c r="M59" s="2" t="s">
        <v>547</v>
      </c>
      <c r="N59" s="268" t="b">
        <f t="shared" si="1"/>
        <v>1</v>
      </c>
      <c r="O59" s="57" t="s">
        <v>522</v>
      </c>
      <c r="P59" s="2" t="s">
        <v>208</v>
      </c>
      <c r="S59" s="2" t="s">
        <v>523</v>
      </c>
      <c r="X59" s="2" t="s">
        <v>578</v>
      </c>
      <c r="Y59" s="269" t="str">
        <f t="shared" si="2"/>
        <v/>
      </c>
      <c r="Z59" s="238"/>
      <c r="AA59" s="269"/>
      <c r="AB59" s="265"/>
      <c r="AC59" s="238"/>
      <c r="AD59" s="53" t="str">
        <f t="shared" si="4"/>
        <v>NOT</v>
      </c>
      <c r="AE59" s="11"/>
      <c r="AF59" s="11"/>
      <c r="AG59" s="11"/>
      <c r="AH59" s="265">
        <f>COUNTIF(postDEL!$AR$2:$AR131,AG59)</f>
        <v>0</v>
      </c>
      <c r="AI59" s="272"/>
      <c r="AK59" s="279"/>
      <c r="AN59" s="53"/>
      <c r="AO59" s="53"/>
      <c r="AS59" s="279"/>
      <c r="AT59" s="275"/>
      <c r="AU59" s="53"/>
      <c r="AY59" s="53"/>
      <c r="AZ59" s="272"/>
      <c r="BC59" s="53"/>
      <c r="BD59" s="53"/>
      <c r="BG59" s="53"/>
      <c r="BK59" s="53"/>
      <c r="BL59" s="272"/>
      <c r="BO59" s="53"/>
      <c r="BP59" s="53"/>
    </row>
    <row r="60">
      <c r="D60" s="265">
        <f>COUNTIF(postDEL!$AR$2:$AR131,$C60)</f>
        <v>0</v>
      </c>
      <c r="E60" s="11" t="str">
        <f>CONCATENATE(Process!$A$1,F60)</f>
        <v>NDHM598916</v>
      </c>
      <c r="F60" s="11">
        <v>598916.0</v>
      </c>
      <c r="G60" s="98"/>
      <c r="H60" s="9" t="s">
        <v>577</v>
      </c>
      <c r="I60" s="54">
        <v>1.0</v>
      </c>
      <c r="J60" s="284" t="s">
        <v>545</v>
      </c>
      <c r="K60" s="267">
        <f>COUNTIF(postDEL!$AO$2:$AO131,$C60)</f>
        <v>0</v>
      </c>
      <c r="L60" s="285" t="s">
        <v>531</v>
      </c>
      <c r="M60" s="286" t="s">
        <v>547</v>
      </c>
      <c r="N60" s="2" t="b">
        <f t="shared" si="1"/>
        <v>1</v>
      </c>
      <c r="O60" s="286" t="s">
        <v>529</v>
      </c>
      <c r="P60" s="286" t="s">
        <v>208</v>
      </c>
      <c r="Q60" s="271" t="str">
        <f t="shared" ref="Q60:R60" si="7">IF(_xlfn.ISFORMULA(Q59),FORMULATEXT(Q59),IFERROR(0/0,""))</f>
        <v/>
      </c>
      <c r="R60" s="271" t="str">
        <f t="shared" si="7"/>
        <v/>
      </c>
      <c r="S60" s="2" t="s">
        <v>534</v>
      </c>
      <c r="T60" s="271" t="str">
        <f>IF(_xlfn.ISFORMULA(T59),FORMULATEXT(T59),IFERROR(0/0,""))</f>
        <v/>
      </c>
      <c r="U60" s="271"/>
      <c r="V60" s="271"/>
      <c r="W60" s="271"/>
      <c r="X60" s="2" t="s">
        <v>578</v>
      </c>
      <c r="Y60" s="269" t="str">
        <f t="shared" si="2"/>
        <v/>
      </c>
      <c r="Z60" s="238"/>
      <c r="AA60" s="269"/>
      <c r="AB60" s="265"/>
      <c r="AC60" s="238"/>
      <c r="AD60" s="53" t="str">
        <f t="shared" si="4"/>
        <v>NOT</v>
      </c>
      <c r="AE60" s="11"/>
      <c r="AF60" s="11"/>
      <c r="AG60" s="11"/>
      <c r="AH60" s="265">
        <f>COUNTIF(postDEL!$AR$2:$AR131,AG60)</f>
        <v>0</v>
      </c>
      <c r="AI60" s="272"/>
      <c r="AK60" s="279"/>
      <c r="AN60" s="53"/>
      <c r="AO60" s="53"/>
      <c r="AS60" s="279"/>
      <c r="AT60" s="275"/>
      <c r="AU60" s="53"/>
      <c r="AY60" s="53"/>
      <c r="AZ60" s="272"/>
      <c r="BC60" s="53"/>
      <c r="BD60" s="53"/>
      <c r="BG60" s="53"/>
      <c r="BK60" s="53"/>
      <c r="BL60" s="272"/>
      <c r="BO60" s="53"/>
      <c r="BP60" s="53"/>
    </row>
    <row r="61">
      <c r="D61" s="265">
        <f>COUNTIF(postDEL!$AR$2:$AR131,$C61)</f>
        <v>0</v>
      </c>
      <c r="E61" s="11" t="str">
        <f>CONCATENATE(Process!$A$1,F61)</f>
        <v>NDHM264488</v>
      </c>
      <c r="F61" s="11">
        <v>264488.0</v>
      </c>
      <c r="H61" s="9" t="s">
        <v>527</v>
      </c>
      <c r="I61" s="54">
        <v>1.0</v>
      </c>
      <c r="J61" s="266" t="s">
        <v>545</v>
      </c>
      <c r="K61" s="267">
        <f>COUNTIF(postDEL!$AO$2:$AO131,$C61)</f>
        <v>0</v>
      </c>
      <c r="L61" s="282" t="s">
        <v>524</v>
      </c>
      <c r="M61" s="266" t="s">
        <v>525</v>
      </c>
      <c r="N61" s="268" t="b">
        <f t="shared" si="1"/>
        <v>1</v>
      </c>
      <c r="O61" s="283"/>
      <c r="X61" s="11"/>
      <c r="Y61" s="269" t="str">
        <f t="shared" si="2"/>
        <v/>
      </c>
      <c r="Z61" s="238"/>
      <c r="AA61" s="269"/>
      <c r="AB61" s="265"/>
      <c r="AC61" s="238"/>
      <c r="AD61" s="53" t="str">
        <f t="shared" si="4"/>
        <v>NOT</v>
      </c>
      <c r="AE61" s="11"/>
      <c r="AF61" s="11"/>
      <c r="AG61" s="11"/>
      <c r="AH61" s="265">
        <f>COUNTIF(postDEL!$AR$2:$AR131,AG61)</f>
        <v>0</v>
      </c>
      <c r="AI61" s="272"/>
      <c r="AK61" s="279"/>
      <c r="AN61" s="53"/>
      <c r="AO61" s="53"/>
      <c r="AS61" s="279"/>
      <c r="AT61" s="275"/>
      <c r="AU61" s="53"/>
      <c r="AY61" s="53"/>
      <c r="AZ61" s="272"/>
      <c r="BC61" s="53"/>
      <c r="BD61" s="53"/>
      <c r="BG61" s="53"/>
      <c r="BK61" s="53"/>
      <c r="BL61" s="272"/>
      <c r="BO61" s="53"/>
      <c r="BP61" s="53"/>
    </row>
    <row r="62">
      <c r="D62" s="265">
        <f>COUNTIF(postDEL!$AR$2:$AR131,$C62)</f>
        <v>0</v>
      </c>
      <c r="E62" s="11" t="str">
        <f>CONCATENATE(Process!$A$1,F62)</f>
        <v>NDHM542271</v>
      </c>
      <c r="F62" s="11">
        <v>542271.0</v>
      </c>
      <c r="H62" s="9" t="s">
        <v>527</v>
      </c>
      <c r="I62" s="54">
        <v>1.0</v>
      </c>
      <c r="J62" s="11" t="s">
        <v>579</v>
      </c>
      <c r="K62" s="267">
        <f>COUNTIF(postDEL!$AO$2:$AO131,$C62)</f>
        <v>0</v>
      </c>
      <c r="L62" s="282" t="s">
        <v>520</v>
      </c>
      <c r="M62" s="266" t="s">
        <v>521</v>
      </c>
      <c r="N62" s="268" t="b">
        <f t="shared" si="1"/>
        <v>1</v>
      </c>
      <c r="O62" s="57" t="s">
        <v>548</v>
      </c>
      <c r="P62" s="266" t="s">
        <v>208</v>
      </c>
      <c r="S62" s="2" t="s">
        <v>523</v>
      </c>
      <c r="X62" s="11"/>
      <c r="Y62" s="269" t="str">
        <f t="shared" si="2"/>
        <v/>
      </c>
      <c r="Z62" s="238"/>
      <c r="AA62" s="269"/>
      <c r="AB62" s="265"/>
      <c r="AC62" s="238"/>
      <c r="AD62" s="53" t="str">
        <f t="shared" si="4"/>
        <v>NOT</v>
      </c>
      <c r="AE62" s="11"/>
      <c r="AF62" s="11"/>
      <c r="AG62" s="11"/>
      <c r="AH62" s="265">
        <f>COUNTIF(postDEL!$AR$2:$AR131,AG62)</f>
        <v>0</v>
      </c>
      <c r="AI62" s="272"/>
      <c r="AK62" s="279"/>
      <c r="AN62" s="53"/>
      <c r="AO62" s="53"/>
      <c r="AS62" s="279"/>
      <c r="AT62" s="275"/>
      <c r="AU62" s="53"/>
      <c r="AY62" s="53"/>
      <c r="AZ62" s="272"/>
      <c r="BC62" s="53"/>
      <c r="BD62" s="53"/>
      <c r="BG62" s="53"/>
      <c r="BK62" s="53"/>
      <c r="BL62" s="272"/>
      <c r="BO62" s="53"/>
      <c r="BP62" s="53"/>
    </row>
    <row r="63">
      <c r="B63" s="37"/>
      <c r="D63" s="265">
        <f>COUNTIF(postDEL!$AR$2:$AR131,$C63)</f>
        <v>0</v>
      </c>
      <c r="E63" s="11" t="str">
        <f>CONCATENATE(Process!$A$1,F63)</f>
        <v>NDHM893491</v>
      </c>
      <c r="F63" s="11">
        <v>893491.0</v>
      </c>
      <c r="H63" s="9" t="s">
        <v>527</v>
      </c>
      <c r="I63" s="54">
        <v>1.0</v>
      </c>
      <c r="K63" s="267">
        <f>COUNTIF(postDEL!$AO$2:$AO131,$C63)</f>
        <v>0</v>
      </c>
      <c r="L63" s="282" t="s">
        <v>531</v>
      </c>
      <c r="M63" s="266" t="s">
        <v>521</v>
      </c>
      <c r="N63" s="268" t="b">
        <f t="shared" si="1"/>
        <v>1</v>
      </c>
      <c r="O63" s="57" t="s">
        <v>548</v>
      </c>
      <c r="P63" s="266" t="s">
        <v>208</v>
      </c>
      <c r="S63" s="2" t="s">
        <v>534</v>
      </c>
      <c r="X63" s="11"/>
      <c r="Y63" s="269" t="str">
        <f t="shared" si="2"/>
        <v/>
      </c>
      <c r="Z63" s="238"/>
      <c r="AA63" s="269"/>
      <c r="AB63" s="265"/>
      <c r="AC63" s="238"/>
      <c r="AD63" s="53" t="str">
        <f t="shared" si="4"/>
        <v>NOT</v>
      </c>
      <c r="AE63" s="11"/>
      <c r="AF63" s="11"/>
      <c r="AG63" s="11"/>
      <c r="AH63" s="265">
        <f>COUNTIF(postDEL!$AR$2:$AR131,AG63)</f>
        <v>0</v>
      </c>
      <c r="AI63" s="272"/>
      <c r="AK63" s="279"/>
      <c r="AN63" s="53"/>
      <c r="AO63" s="53"/>
      <c r="AS63" s="279"/>
      <c r="AT63" s="275"/>
      <c r="AU63" s="53"/>
      <c r="AY63" s="53"/>
      <c r="AZ63" s="272"/>
      <c r="BC63" s="53"/>
      <c r="BD63" s="53"/>
      <c r="BG63" s="53"/>
      <c r="BK63" s="53"/>
      <c r="BL63" s="272"/>
      <c r="BO63" s="53"/>
      <c r="BP63" s="53"/>
    </row>
    <row r="64">
      <c r="D64" s="265">
        <f>COUNTIF(postDEL!$AR$2:$AR131,$C64)</f>
        <v>0</v>
      </c>
      <c r="E64" s="11" t="str">
        <f>CONCATENATE(Process!$A$1,F64)</f>
        <v>NDHM761663</v>
      </c>
      <c r="F64" s="11">
        <v>761663.0</v>
      </c>
      <c r="H64" s="9" t="s">
        <v>527</v>
      </c>
      <c r="I64" s="54">
        <v>1.0</v>
      </c>
      <c r="K64" s="267">
        <f>COUNTIF(postDEL!$AO$2:$AO131,$C64)</f>
        <v>0</v>
      </c>
      <c r="L64" s="282" t="s">
        <v>551</v>
      </c>
      <c r="M64" s="266" t="s">
        <v>525</v>
      </c>
      <c r="N64" s="268" t="b">
        <f t="shared" si="1"/>
        <v>1</v>
      </c>
      <c r="O64" s="283"/>
      <c r="X64" s="11"/>
      <c r="Y64" s="269" t="str">
        <f t="shared" si="2"/>
        <v/>
      </c>
      <c r="Z64" s="238"/>
      <c r="AA64" s="269"/>
      <c r="AB64" s="265"/>
      <c r="AC64" s="238"/>
      <c r="AD64" s="53" t="str">
        <f t="shared" si="4"/>
        <v>NOT</v>
      </c>
      <c r="AE64" s="11"/>
      <c r="AF64" s="11"/>
      <c r="AG64" s="11"/>
      <c r="AH64" s="265">
        <f>COUNTIF(postDEL!$AR$2:$AR131,AG64)</f>
        <v>0</v>
      </c>
      <c r="AI64" s="272"/>
      <c r="AK64" s="279"/>
      <c r="AN64" s="53"/>
      <c r="AO64" s="53"/>
      <c r="AS64" s="279"/>
      <c r="AT64" s="275"/>
      <c r="AU64" s="53"/>
      <c r="AY64" s="53"/>
      <c r="AZ64" s="272"/>
      <c r="BC64" s="53"/>
      <c r="BD64" s="53"/>
      <c r="BG64" s="53"/>
      <c r="BK64" s="53"/>
      <c r="BL64" s="272"/>
      <c r="BO64" s="53"/>
      <c r="BP64" s="53"/>
    </row>
    <row r="65">
      <c r="D65" s="265">
        <f>COUNTIF(postDEL!$AR$2:$AR131,$C65)</f>
        <v>0</v>
      </c>
      <c r="E65" s="11" t="str">
        <f>CONCATENATE(Process!$A$1,F65)</f>
        <v>NDHM596334</v>
      </c>
      <c r="F65" s="11">
        <v>596334.0</v>
      </c>
      <c r="H65" s="9" t="s">
        <v>527</v>
      </c>
      <c r="I65" s="54">
        <v>1.0</v>
      </c>
      <c r="K65" s="267">
        <f>COUNTIF(postDEL!$AO$2:$AO131,$C65)</f>
        <v>0</v>
      </c>
      <c r="L65" s="282" t="s">
        <v>563</v>
      </c>
      <c r="M65" s="266" t="s">
        <v>525</v>
      </c>
      <c r="N65" s="268" t="b">
        <f t="shared" si="1"/>
        <v>1</v>
      </c>
      <c r="O65" s="283"/>
      <c r="X65" s="11"/>
      <c r="Y65" s="269" t="str">
        <f t="shared" si="2"/>
        <v/>
      </c>
      <c r="Z65" s="238"/>
      <c r="AA65" s="269"/>
      <c r="AB65" s="265"/>
      <c r="AC65" s="238"/>
      <c r="AD65" s="53" t="str">
        <f t="shared" si="4"/>
        <v>NOT</v>
      </c>
      <c r="AE65" s="11"/>
      <c r="AF65" s="11"/>
      <c r="AG65" s="11"/>
      <c r="AH65" s="265">
        <f>COUNTIF(postDEL!$AR$2:$AR131,AG65)</f>
        <v>0</v>
      </c>
      <c r="AI65" s="272"/>
      <c r="AK65" s="279"/>
      <c r="AN65" s="53"/>
      <c r="AO65" s="53"/>
      <c r="AS65" s="279"/>
      <c r="AT65" s="275"/>
      <c r="AU65" s="53"/>
      <c r="AY65" s="53"/>
      <c r="AZ65" s="272"/>
      <c r="BC65" s="53"/>
      <c r="BD65" s="53"/>
      <c r="BG65" s="53"/>
      <c r="BK65" s="53"/>
      <c r="BL65" s="272"/>
      <c r="BO65" s="53"/>
      <c r="BP65" s="53"/>
    </row>
    <row r="66">
      <c r="D66" s="265">
        <f>COUNTIF(postDEL!$AR$2:$AR131,$C66)</f>
        <v>0</v>
      </c>
      <c r="E66" s="11" t="str">
        <f>CONCATENATE(Process!$A$1,F66)</f>
        <v>NDHM868191</v>
      </c>
      <c r="F66" s="11">
        <v>868191.0</v>
      </c>
      <c r="H66" s="9" t="s">
        <v>530</v>
      </c>
      <c r="I66" s="54">
        <v>1.0</v>
      </c>
      <c r="K66" s="267">
        <f>COUNTIF(postDEL!$AO$2:$AO131,$C66)</f>
        <v>0</v>
      </c>
      <c r="L66" s="282" t="s">
        <v>524</v>
      </c>
      <c r="M66" s="266" t="s">
        <v>525</v>
      </c>
      <c r="N66" s="268" t="b">
        <f t="shared" si="1"/>
        <v>1</v>
      </c>
      <c r="O66" s="57" t="s">
        <v>526</v>
      </c>
      <c r="P66" s="266" t="s">
        <v>208</v>
      </c>
      <c r="S66" s="2" t="s">
        <v>523</v>
      </c>
      <c r="X66" s="11"/>
      <c r="Y66" s="269" t="str">
        <f t="shared" si="2"/>
        <v/>
      </c>
      <c r="Z66" s="238"/>
      <c r="AA66" s="269"/>
      <c r="AB66" s="265"/>
      <c r="AC66" s="238"/>
      <c r="AD66" s="53" t="str">
        <f t="shared" si="4"/>
        <v>NOT</v>
      </c>
      <c r="AE66" s="11"/>
      <c r="AF66" s="11"/>
      <c r="AG66" s="11"/>
      <c r="AH66" s="265">
        <f>COUNTIF(postDEL!$AR$2:$AR131,AG66)</f>
        <v>0</v>
      </c>
      <c r="AI66" s="272"/>
      <c r="AK66" s="279"/>
      <c r="AN66" s="53"/>
      <c r="AO66" s="53"/>
      <c r="AS66" s="279"/>
      <c r="AT66" s="275"/>
      <c r="AU66" s="53"/>
      <c r="AY66" s="53"/>
      <c r="AZ66" s="272"/>
      <c r="BC66" s="53"/>
      <c r="BD66" s="53"/>
      <c r="BG66" s="53"/>
      <c r="BK66" s="53"/>
      <c r="BL66" s="272"/>
      <c r="BO66" s="53"/>
      <c r="BP66" s="53"/>
    </row>
    <row r="67">
      <c r="D67" s="265">
        <f>COUNTIF(postDEL!$AR$2:$AR131,$C67)</f>
        <v>0</v>
      </c>
      <c r="E67" s="11" t="str">
        <f>CONCATENATE(Process!$A$1,F67)</f>
        <v>NDHM898526</v>
      </c>
      <c r="F67" s="11">
        <v>898526.0</v>
      </c>
      <c r="H67" s="9" t="s">
        <v>530</v>
      </c>
      <c r="I67" s="54">
        <v>1.0</v>
      </c>
      <c r="J67" s="266" t="s">
        <v>542</v>
      </c>
      <c r="K67" s="267">
        <f>COUNTIF(postDEL!$AO$2:$AO131,$C67)</f>
        <v>0</v>
      </c>
      <c r="L67" s="282" t="s">
        <v>551</v>
      </c>
      <c r="M67" s="266" t="s">
        <v>525</v>
      </c>
      <c r="N67" s="268" t="b">
        <f t="shared" si="1"/>
        <v>1</v>
      </c>
      <c r="O67" s="57" t="s">
        <v>526</v>
      </c>
      <c r="P67" s="266" t="s">
        <v>208</v>
      </c>
      <c r="S67" s="2" t="s">
        <v>523</v>
      </c>
      <c r="X67" s="11"/>
      <c r="Y67" s="269" t="str">
        <f t="shared" si="2"/>
        <v/>
      </c>
      <c r="Z67" s="238"/>
      <c r="AA67" s="269"/>
      <c r="AB67" s="265"/>
      <c r="AC67" s="238"/>
      <c r="AD67" s="53" t="str">
        <f t="shared" si="4"/>
        <v>NOT</v>
      </c>
      <c r="AE67" s="11"/>
      <c r="AF67" s="11"/>
      <c r="AG67" s="11"/>
      <c r="AH67" s="265">
        <f>COUNTIF(postDEL!$AR$2:$AR131,AG67)</f>
        <v>0</v>
      </c>
      <c r="AI67" s="272"/>
      <c r="AK67" s="279"/>
      <c r="AN67" s="53"/>
      <c r="AO67" s="53"/>
      <c r="AS67" s="279"/>
      <c r="AT67" s="275"/>
      <c r="AU67" s="53"/>
      <c r="AY67" s="53"/>
      <c r="AZ67" s="272"/>
      <c r="BC67" s="53"/>
      <c r="BD67" s="53"/>
      <c r="BG67" s="53"/>
      <c r="BK67" s="53"/>
      <c r="BL67" s="272"/>
      <c r="BO67" s="53"/>
      <c r="BP67" s="53"/>
    </row>
    <row r="68">
      <c r="D68" s="265">
        <f>COUNTIF(postDEL!$AR$2:$AR131,$C68)</f>
        <v>0</v>
      </c>
      <c r="E68" s="11" t="str">
        <f>CONCATENATE(Process!$A$1,F68)</f>
        <v>NDHM533889</v>
      </c>
      <c r="F68" s="11">
        <v>533889.0</v>
      </c>
      <c r="H68" s="9" t="s">
        <v>530</v>
      </c>
      <c r="I68" s="54">
        <v>1.0</v>
      </c>
      <c r="K68" s="267">
        <f>COUNTIF(postDEL!$AO$2:$AO131,$C68)</f>
        <v>0</v>
      </c>
      <c r="L68" s="282" t="s">
        <v>520</v>
      </c>
      <c r="M68" s="266" t="s">
        <v>521</v>
      </c>
      <c r="N68" s="268" t="b">
        <f t="shared" si="1"/>
        <v>1</v>
      </c>
      <c r="O68" s="57" t="s">
        <v>529</v>
      </c>
      <c r="P68" s="266" t="s">
        <v>208</v>
      </c>
      <c r="S68" s="2" t="s">
        <v>523</v>
      </c>
      <c r="X68" s="11"/>
      <c r="Y68" s="269" t="str">
        <f t="shared" si="2"/>
        <v/>
      </c>
      <c r="Z68" s="238"/>
      <c r="AA68" s="269"/>
      <c r="AB68" s="265"/>
      <c r="AC68" s="238"/>
      <c r="AD68" s="53" t="str">
        <f t="shared" si="4"/>
        <v>NOT</v>
      </c>
      <c r="AE68" s="11"/>
      <c r="AF68" s="11"/>
      <c r="AG68" s="11"/>
      <c r="AH68" s="265">
        <f>COUNTIF(postDEL!$AR$2:$AR131,AG68)</f>
        <v>0</v>
      </c>
      <c r="AI68" s="272"/>
      <c r="AK68" s="279"/>
      <c r="AN68" s="53"/>
      <c r="AO68" s="53"/>
      <c r="AS68" s="279"/>
      <c r="AT68" s="275"/>
      <c r="AU68" s="53"/>
      <c r="AY68" s="53"/>
      <c r="AZ68" s="272"/>
      <c r="BC68" s="53"/>
      <c r="BD68" s="53"/>
      <c r="BG68" s="53"/>
      <c r="BK68" s="53"/>
      <c r="BL68" s="272"/>
      <c r="BO68" s="53"/>
      <c r="BP68" s="53"/>
    </row>
    <row r="69">
      <c r="D69" s="265">
        <f>COUNTIF(postDEL!$AR$2:$AR131,$C69)</f>
        <v>0</v>
      </c>
      <c r="E69" s="11" t="str">
        <f>CONCATENATE(Process!$A$1,F69)</f>
        <v>NDHM756671</v>
      </c>
      <c r="F69" s="11">
        <v>756671.0</v>
      </c>
      <c r="H69" s="9" t="s">
        <v>537</v>
      </c>
      <c r="I69" s="54">
        <v>1.0</v>
      </c>
      <c r="K69" s="267">
        <f>COUNTIF(postDEL!$AO$2:$AO131,$C69)</f>
        <v>0</v>
      </c>
      <c r="L69" s="54" t="s">
        <v>531</v>
      </c>
      <c r="M69" s="266" t="s">
        <v>521</v>
      </c>
      <c r="N69" s="268" t="b">
        <f t="shared" si="1"/>
        <v>1</v>
      </c>
      <c r="O69" s="57" t="s">
        <v>529</v>
      </c>
      <c r="P69" s="266" t="s">
        <v>208</v>
      </c>
      <c r="S69" s="2" t="s">
        <v>523</v>
      </c>
      <c r="X69" s="11"/>
      <c r="Y69" s="269" t="str">
        <f t="shared" si="2"/>
        <v/>
      </c>
      <c r="Z69" s="238"/>
      <c r="AA69" s="269"/>
      <c r="AB69" s="265"/>
      <c r="AC69" s="238"/>
      <c r="AD69" s="53" t="str">
        <f t="shared" si="4"/>
        <v>NOT</v>
      </c>
      <c r="AE69" s="11"/>
      <c r="AF69" s="11"/>
      <c r="AG69" s="11"/>
      <c r="AH69" s="265">
        <f>COUNTIF(postDEL!$AR$2:$AR131,AG69)</f>
        <v>0</v>
      </c>
      <c r="AI69" s="272"/>
      <c r="AK69" s="279"/>
      <c r="AN69" s="53"/>
      <c r="AO69" s="53"/>
      <c r="AS69" s="279"/>
      <c r="AT69" s="275"/>
      <c r="AU69" s="53"/>
      <c r="AY69" s="53"/>
      <c r="AZ69" s="272"/>
      <c r="BC69" s="53"/>
      <c r="BD69" s="53"/>
      <c r="BG69" s="53"/>
      <c r="BK69" s="53"/>
      <c r="BL69" s="272"/>
      <c r="BO69" s="53"/>
      <c r="BP69" s="53"/>
    </row>
    <row r="70">
      <c r="D70" s="265">
        <f>COUNTIF(postDEL!$AR$2:$AR131,$C70)</f>
        <v>0</v>
      </c>
      <c r="E70" s="11" t="str">
        <f>CONCATENATE(Process!$A$1,F70)</f>
        <v>NDHM136535</v>
      </c>
      <c r="F70" s="11">
        <v>136535.0</v>
      </c>
      <c r="H70" s="9" t="s">
        <v>538</v>
      </c>
      <c r="I70" s="54">
        <v>1.0</v>
      </c>
      <c r="K70" s="267">
        <f>COUNTIF(postDEL!$AO$2:$AO131,$C70)</f>
        <v>0</v>
      </c>
      <c r="L70" s="54" t="s">
        <v>520</v>
      </c>
      <c r="M70" s="266" t="s">
        <v>521</v>
      </c>
      <c r="N70" s="268" t="b">
        <f t="shared" si="1"/>
        <v>1</v>
      </c>
      <c r="O70" s="57" t="s">
        <v>529</v>
      </c>
      <c r="P70" s="266" t="s">
        <v>208</v>
      </c>
      <c r="S70" s="2" t="s">
        <v>523</v>
      </c>
      <c r="X70" s="11"/>
      <c r="Y70" s="269" t="str">
        <f t="shared" si="2"/>
        <v/>
      </c>
      <c r="Z70" s="238"/>
      <c r="AA70" s="269"/>
      <c r="AB70" s="265"/>
      <c r="AC70" s="238"/>
      <c r="AD70" s="53" t="str">
        <f t="shared" si="4"/>
        <v>NOT</v>
      </c>
      <c r="AE70" s="11"/>
      <c r="AF70" s="11"/>
      <c r="AG70" s="11"/>
      <c r="AH70" s="265">
        <f>COUNTIF(postDEL!$AR$2:$AR131,AG70)</f>
        <v>0</v>
      </c>
      <c r="AI70" s="272"/>
      <c r="AK70" s="279"/>
      <c r="AN70" s="53"/>
      <c r="AO70" s="53"/>
      <c r="AS70" s="279"/>
      <c r="AT70" s="275"/>
      <c r="AU70" s="53"/>
      <c r="AY70" s="53"/>
      <c r="AZ70" s="272"/>
      <c r="BC70" s="53"/>
      <c r="BD70" s="53"/>
      <c r="BG70" s="53"/>
      <c r="BK70" s="53"/>
      <c r="BL70" s="272"/>
      <c r="BO70" s="53"/>
      <c r="BP70" s="53"/>
    </row>
    <row r="71">
      <c r="D71" s="265">
        <f>COUNTIF(postDEL!$AR$2:$AR131,$C71)</f>
        <v>0</v>
      </c>
      <c r="E71" s="11" t="str">
        <f>CONCATENATE(Process!$A$1,F71)</f>
        <v>NDHM130866</v>
      </c>
      <c r="F71" s="11">
        <v>130866.0</v>
      </c>
      <c r="H71" s="9" t="s">
        <v>538</v>
      </c>
      <c r="I71" s="54">
        <v>1.0</v>
      </c>
      <c r="K71" s="267">
        <f>COUNTIF(postDEL!$AO$2:$AO131,$C71)</f>
        <v>0</v>
      </c>
      <c r="L71" s="54" t="s">
        <v>531</v>
      </c>
      <c r="M71" s="266" t="s">
        <v>521</v>
      </c>
      <c r="N71" s="268" t="b">
        <f t="shared" si="1"/>
        <v>1</v>
      </c>
      <c r="O71" s="57" t="s">
        <v>529</v>
      </c>
      <c r="P71" s="266" t="s">
        <v>208</v>
      </c>
      <c r="S71" s="2" t="s">
        <v>523</v>
      </c>
      <c r="X71" s="11"/>
      <c r="Y71" s="269" t="str">
        <f t="shared" si="2"/>
        <v/>
      </c>
      <c r="Z71" s="238"/>
      <c r="AA71" s="269"/>
      <c r="AB71" s="265"/>
      <c r="AC71" s="238"/>
      <c r="AD71" s="53" t="str">
        <f t="shared" si="4"/>
        <v>NOT</v>
      </c>
      <c r="AE71" s="11"/>
      <c r="AF71" s="11"/>
      <c r="AG71" s="11"/>
      <c r="AH71" s="265">
        <f>COUNTIF(postDEL!$AR$2:$AR131,AG71)</f>
        <v>0</v>
      </c>
      <c r="AI71" s="272"/>
      <c r="AK71" s="279"/>
      <c r="AN71" s="53"/>
      <c r="AO71" s="53"/>
      <c r="AS71" s="279"/>
      <c r="AT71" s="275"/>
      <c r="AU71" s="53"/>
      <c r="AY71" s="53"/>
      <c r="AZ71" s="272"/>
      <c r="BC71" s="53"/>
      <c r="BD71" s="53"/>
      <c r="BG71" s="53"/>
      <c r="BK71" s="53"/>
      <c r="BL71" s="272"/>
      <c r="BO71" s="53"/>
      <c r="BP71" s="53"/>
    </row>
    <row r="72">
      <c r="D72" s="265">
        <f>COUNTIF(postDEL!$AR$2:$AR131,$C72)</f>
        <v>0</v>
      </c>
      <c r="E72" s="11" t="str">
        <f>CONCATENATE(Process!$A$1,F72)</f>
        <v>NDHM321066</v>
      </c>
      <c r="F72" s="11">
        <v>321066.0</v>
      </c>
      <c r="H72" s="9" t="s">
        <v>538</v>
      </c>
      <c r="I72" s="54">
        <v>1.0</v>
      </c>
      <c r="K72" s="267">
        <f>COUNTIF(postDEL!$AO$2:$AO131,$C72)</f>
        <v>0</v>
      </c>
      <c r="L72" s="54" t="s">
        <v>560</v>
      </c>
      <c r="M72" s="266" t="s">
        <v>547</v>
      </c>
      <c r="N72" s="268" t="b">
        <f t="shared" si="1"/>
        <v>1</v>
      </c>
      <c r="O72" s="57" t="s">
        <v>529</v>
      </c>
      <c r="P72" s="266" t="s">
        <v>208</v>
      </c>
      <c r="S72" s="2" t="s">
        <v>534</v>
      </c>
      <c r="X72" s="11"/>
      <c r="Y72" s="269" t="str">
        <f t="shared" si="2"/>
        <v/>
      </c>
      <c r="Z72" s="238"/>
      <c r="AA72" s="269"/>
      <c r="AB72" s="265"/>
      <c r="AC72" s="238"/>
      <c r="AD72" s="53" t="str">
        <f t="shared" si="4"/>
        <v>NOT</v>
      </c>
      <c r="AE72" s="11"/>
      <c r="AF72" s="11"/>
      <c r="AG72" s="11"/>
      <c r="AH72" s="265">
        <f>COUNTIF(postDEL!$AR$2:$AR131,AG72)</f>
        <v>0</v>
      </c>
      <c r="AI72" s="272"/>
      <c r="AK72" s="279"/>
      <c r="AN72" s="53"/>
      <c r="AO72" s="53"/>
      <c r="AS72" s="279"/>
      <c r="AT72" s="275"/>
      <c r="AU72" s="53"/>
      <c r="AY72" s="53"/>
      <c r="AZ72" s="272"/>
      <c r="BC72" s="53"/>
      <c r="BD72" s="53"/>
      <c r="BG72" s="53"/>
      <c r="BK72" s="53"/>
      <c r="BL72" s="272"/>
      <c r="BO72" s="53"/>
      <c r="BP72" s="53"/>
    </row>
    <row r="73">
      <c r="D73" s="265">
        <f>COUNTIF(postDEL!$AR$2:$AR131,$C73)</f>
        <v>0</v>
      </c>
      <c r="E73" s="11" t="str">
        <f>CONCATENATE(Process!$A$1,F73)</f>
        <v>NDHM457359</v>
      </c>
      <c r="F73" s="11">
        <v>457359.0</v>
      </c>
      <c r="H73" s="9" t="s">
        <v>538</v>
      </c>
      <c r="I73" s="54">
        <v>1.0</v>
      </c>
      <c r="K73" s="267">
        <f>COUNTIF(postDEL!$AO$2:$AO131,$C73)</f>
        <v>0</v>
      </c>
      <c r="L73" s="54" t="s">
        <v>524</v>
      </c>
      <c r="M73" s="266" t="s">
        <v>525</v>
      </c>
      <c r="N73" s="268" t="b">
        <f t="shared" si="1"/>
        <v>1</v>
      </c>
      <c r="O73" s="283"/>
      <c r="X73" s="11"/>
      <c r="Y73" s="269" t="str">
        <f t="shared" si="2"/>
        <v/>
      </c>
      <c r="Z73" s="238"/>
      <c r="AA73" s="269"/>
      <c r="AB73" s="265"/>
      <c r="AC73" s="238"/>
      <c r="AD73" s="53" t="str">
        <f t="shared" si="4"/>
        <v>NOT</v>
      </c>
      <c r="AE73" s="11"/>
      <c r="AF73" s="11"/>
      <c r="AG73" s="11"/>
      <c r="AH73" s="265">
        <f>COUNTIF(postDEL!$AR$2:$AR131,AG73)</f>
        <v>0</v>
      </c>
      <c r="AI73" s="272"/>
      <c r="AK73" s="279"/>
      <c r="AN73" s="53"/>
      <c r="AO73" s="53"/>
      <c r="AS73" s="279"/>
      <c r="AT73" s="275"/>
      <c r="AU73" s="53"/>
      <c r="AY73" s="53"/>
      <c r="AZ73" s="272"/>
      <c r="BC73" s="53"/>
      <c r="BD73" s="53"/>
      <c r="BG73" s="53"/>
      <c r="BK73" s="53"/>
      <c r="BL73" s="272"/>
      <c r="BO73" s="53"/>
      <c r="BP73" s="53"/>
    </row>
    <row r="74">
      <c r="D74" s="265">
        <f>COUNTIF(postDEL!$AR$2:$AR131,$C74)</f>
        <v>0</v>
      </c>
      <c r="E74" s="11" t="str">
        <f>CONCATENATE(Process!$A$1,F74)</f>
        <v>NDHM358110</v>
      </c>
      <c r="F74" s="11">
        <v>358110.0</v>
      </c>
      <c r="H74" s="9" t="s">
        <v>540</v>
      </c>
      <c r="I74" s="54">
        <v>1.0</v>
      </c>
      <c r="K74" s="267">
        <f>COUNTIF(postDEL!$AO$2:$AO131,$C74)</f>
        <v>0</v>
      </c>
      <c r="L74" s="54" t="s">
        <v>551</v>
      </c>
      <c r="M74" s="266" t="s">
        <v>525</v>
      </c>
      <c r="N74" s="268" t="b">
        <f t="shared" si="1"/>
        <v>1</v>
      </c>
      <c r="O74" s="283"/>
      <c r="X74" s="11"/>
      <c r="Y74" s="269" t="str">
        <f t="shared" si="2"/>
        <v/>
      </c>
      <c r="Z74" s="238"/>
      <c r="AA74" s="269"/>
      <c r="AB74" s="265"/>
      <c r="AC74" s="238"/>
      <c r="AD74" s="53" t="str">
        <f t="shared" si="4"/>
        <v>NOT</v>
      </c>
      <c r="AE74" s="11"/>
      <c r="AF74" s="11"/>
      <c r="AG74" s="11"/>
      <c r="AH74" s="265">
        <f>COUNTIF(postDEL!$AR$2:$AR131,AG74)</f>
        <v>0</v>
      </c>
      <c r="AI74" s="272"/>
      <c r="AK74" s="279"/>
      <c r="AN74" s="53"/>
      <c r="AO74" s="53"/>
      <c r="AS74" s="279"/>
      <c r="AT74" s="275"/>
      <c r="AU74" s="53"/>
      <c r="AY74" s="53"/>
      <c r="AZ74" s="272"/>
      <c r="BC74" s="53"/>
      <c r="BD74" s="53"/>
      <c r="BG74" s="53"/>
      <c r="BK74" s="53"/>
      <c r="BL74" s="272"/>
      <c r="BO74" s="53"/>
      <c r="BP74" s="53"/>
    </row>
    <row r="75">
      <c r="D75" s="265">
        <f>COUNTIF(postDEL!$AR$2:$AR131,$C75)</f>
        <v>0</v>
      </c>
      <c r="E75" s="11" t="str">
        <f>CONCATENATE(Process!$A$1,F75)</f>
        <v>NDHM831052</v>
      </c>
      <c r="F75" s="11">
        <v>831052.0</v>
      </c>
      <c r="H75" s="9" t="s">
        <v>540</v>
      </c>
      <c r="I75" s="54">
        <v>1.0</v>
      </c>
      <c r="J75" s="266" t="s">
        <v>550</v>
      </c>
      <c r="K75" s="267">
        <f>COUNTIF(postDEL!$AO$2:$AO131,$C75)</f>
        <v>0</v>
      </c>
      <c r="L75" s="54" t="s">
        <v>524</v>
      </c>
      <c r="M75" s="266" t="s">
        <v>525</v>
      </c>
      <c r="N75" s="268" t="b">
        <f t="shared" si="1"/>
        <v>1</v>
      </c>
      <c r="O75" s="283"/>
      <c r="X75" s="11"/>
      <c r="Y75" s="269" t="str">
        <f t="shared" si="2"/>
        <v/>
      </c>
      <c r="Z75" s="238"/>
      <c r="AA75" s="269"/>
      <c r="AB75" s="265"/>
      <c r="AC75" s="238"/>
      <c r="AD75" s="53" t="str">
        <f t="shared" si="4"/>
        <v>NOT</v>
      </c>
      <c r="AE75" s="11"/>
      <c r="AF75" s="11"/>
      <c r="AG75" s="11"/>
      <c r="AH75" s="265">
        <f>COUNTIF(postDEL!$AR$2:$AR131,AG75)</f>
        <v>0</v>
      </c>
      <c r="AI75" s="272"/>
      <c r="AK75" s="279"/>
      <c r="AN75" s="53"/>
      <c r="AO75" s="53"/>
      <c r="AS75" s="279"/>
      <c r="AT75" s="275"/>
      <c r="AU75" s="53"/>
      <c r="AY75" s="53"/>
      <c r="AZ75" s="272"/>
      <c r="BC75" s="53"/>
      <c r="BD75" s="53"/>
      <c r="BG75" s="53"/>
      <c r="BK75" s="53"/>
      <c r="BL75" s="272"/>
      <c r="BO75" s="53"/>
      <c r="BP75" s="53"/>
    </row>
    <row r="76">
      <c r="D76" s="265">
        <f>COUNTIF(postDEL!$AR$2:$AR131,$C76)</f>
        <v>0</v>
      </c>
      <c r="E76" s="11" t="str">
        <f>CONCATENATE(Process!$A$1,F76)</f>
        <v>NDHM294237</v>
      </c>
      <c r="F76" s="11">
        <v>294237.0</v>
      </c>
      <c r="H76" s="9" t="s">
        <v>528</v>
      </c>
      <c r="I76" s="54">
        <v>1.0</v>
      </c>
      <c r="J76" s="266" t="s">
        <v>550</v>
      </c>
      <c r="K76" s="267">
        <f>COUNTIF(postDEL!$AO$2:$AO131,$C76)</f>
        <v>0</v>
      </c>
      <c r="L76" s="54" t="s">
        <v>551</v>
      </c>
      <c r="M76" s="266" t="s">
        <v>525</v>
      </c>
      <c r="N76" s="268" t="b">
        <f t="shared" si="1"/>
        <v>1</v>
      </c>
      <c r="O76" s="57" t="s">
        <v>526</v>
      </c>
      <c r="P76" s="266" t="s">
        <v>208</v>
      </c>
      <c r="S76" s="2" t="s">
        <v>523</v>
      </c>
      <c r="X76" s="11"/>
      <c r="Y76" s="269" t="str">
        <f t="shared" si="2"/>
        <v/>
      </c>
      <c r="Z76" s="238"/>
      <c r="AA76" s="269"/>
      <c r="AB76" s="265"/>
      <c r="AC76" s="238"/>
      <c r="AD76" s="53" t="str">
        <f t="shared" si="4"/>
        <v>NOT</v>
      </c>
      <c r="AE76" s="11"/>
      <c r="AF76" s="11"/>
      <c r="AG76" s="11"/>
      <c r="AH76" s="265">
        <f>COUNTIF(postDEL!$AR$2:$AR131,AG76)</f>
        <v>0</v>
      </c>
      <c r="AI76" s="272"/>
      <c r="AK76" s="279"/>
      <c r="AN76" s="53"/>
      <c r="AO76" s="53"/>
      <c r="AS76" s="279"/>
      <c r="AT76" s="275"/>
      <c r="AU76" s="53"/>
      <c r="AY76" s="53"/>
      <c r="AZ76" s="272"/>
      <c r="BC76" s="53"/>
      <c r="BD76" s="53"/>
      <c r="BG76" s="53"/>
      <c r="BK76" s="53"/>
      <c r="BL76" s="272"/>
      <c r="BO76" s="53"/>
      <c r="BP76" s="53"/>
    </row>
    <row r="77">
      <c r="D77" s="265">
        <f>COUNTIF(postDEL!$AR$2:$AR131,$C77)</f>
        <v>0</v>
      </c>
      <c r="E77" s="11" t="str">
        <f>CONCATENATE(Process!$A$1,F77)</f>
        <v>NDHM741940</v>
      </c>
      <c r="F77" s="11">
        <v>741940.0</v>
      </c>
      <c r="H77" s="9" t="s">
        <v>552</v>
      </c>
      <c r="I77" s="54">
        <v>1.0</v>
      </c>
      <c r="K77" s="267">
        <f>COUNTIF(postDEL!$AO$2:$AO131,$C77)</f>
        <v>0</v>
      </c>
      <c r="L77" s="54" t="s">
        <v>551</v>
      </c>
      <c r="M77" s="266" t="s">
        <v>525</v>
      </c>
      <c r="N77" s="268" t="b">
        <f t="shared" si="1"/>
        <v>1</v>
      </c>
      <c r="O77" s="57" t="s">
        <v>526</v>
      </c>
      <c r="P77" s="266" t="s">
        <v>208</v>
      </c>
      <c r="S77" s="2" t="s">
        <v>523</v>
      </c>
      <c r="X77" s="11"/>
      <c r="Y77" s="269" t="str">
        <f t="shared" si="2"/>
        <v/>
      </c>
      <c r="Z77" s="238"/>
      <c r="AA77" s="269"/>
      <c r="AB77" s="265"/>
      <c r="AC77" s="238"/>
      <c r="AD77" s="53" t="str">
        <f t="shared" si="4"/>
        <v>NOT</v>
      </c>
      <c r="AE77" s="11"/>
      <c r="AF77" s="11"/>
      <c r="AG77" s="11"/>
      <c r="AH77" s="265">
        <f>COUNTIF(postDEL!$AR$2:$AR131,AG77)</f>
        <v>0</v>
      </c>
      <c r="AI77" s="272"/>
      <c r="AK77" s="279"/>
      <c r="AN77" s="53"/>
      <c r="AO77" s="53"/>
      <c r="AS77" s="279"/>
      <c r="AT77" s="275"/>
      <c r="AU77" s="53"/>
      <c r="AY77" s="53"/>
      <c r="AZ77" s="272"/>
      <c r="BC77" s="53"/>
      <c r="BD77" s="53"/>
      <c r="BG77" s="53"/>
      <c r="BK77" s="53"/>
      <c r="BL77" s="272"/>
      <c r="BO77" s="53"/>
      <c r="BP77" s="53"/>
    </row>
    <row r="78">
      <c r="D78" s="265">
        <f>COUNTIF(postDEL!$AR$2:$AR131,$C78)</f>
        <v>0</v>
      </c>
      <c r="E78" s="11" t="str">
        <f>CONCATENATE(Process!$A$1,F78)</f>
        <v>NDHM656760</v>
      </c>
      <c r="F78" s="11">
        <v>656760.0</v>
      </c>
      <c r="H78" s="9" t="s">
        <v>552</v>
      </c>
      <c r="I78" s="54">
        <v>1.0</v>
      </c>
      <c r="J78" s="266" t="s">
        <v>542</v>
      </c>
      <c r="K78" s="267">
        <f>COUNTIF(postDEL!$AO$2:$AO131,$C78)</f>
        <v>0</v>
      </c>
      <c r="L78" s="54" t="s">
        <v>563</v>
      </c>
      <c r="M78" s="266" t="s">
        <v>525</v>
      </c>
      <c r="N78" s="268" t="b">
        <f t="shared" si="1"/>
        <v>1</v>
      </c>
      <c r="O78" s="57" t="s">
        <v>526</v>
      </c>
      <c r="P78" s="266" t="s">
        <v>208</v>
      </c>
      <c r="S78" s="2" t="s">
        <v>523</v>
      </c>
      <c r="X78" s="11"/>
      <c r="Y78" s="269" t="str">
        <f t="shared" si="2"/>
        <v/>
      </c>
      <c r="Z78" s="238"/>
      <c r="AA78" s="269"/>
      <c r="AB78" s="265"/>
      <c r="AC78" s="238"/>
      <c r="AD78" s="53" t="str">
        <f t="shared" si="4"/>
        <v>NOT</v>
      </c>
      <c r="AE78" s="11"/>
      <c r="AF78" s="11"/>
      <c r="AG78" s="11"/>
      <c r="AH78" s="265">
        <f>COUNTIF(postDEL!$AR$2:$AR131,AG78)</f>
        <v>0</v>
      </c>
      <c r="AI78" s="272"/>
      <c r="AK78" s="279"/>
      <c r="AN78" s="53"/>
      <c r="AO78" s="53"/>
      <c r="AS78" s="279"/>
      <c r="AT78" s="275"/>
      <c r="AU78" s="53"/>
      <c r="AY78" s="53"/>
      <c r="AZ78" s="272"/>
      <c r="BC78" s="53"/>
      <c r="BD78" s="53"/>
      <c r="BG78" s="53"/>
      <c r="BK78" s="53"/>
      <c r="BL78" s="272"/>
      <c r="BO78" s="53"/>
      <c r="BP78" s="53"/>
    </row>
    <row r="79">
      <c r="D79" s="265">
        <f>COUNTIF(postDEL!$AR$2:$AR131,$C79)</f>
        <v>0</v>
      </c>
      <c r="E79" s="11" t="str">
        <f>CONCATENATE(Process!$A$1,F79)</f>
        <v>NDHM871148</v>
      </c>
      <c r="F79" s="11">
        <v>871148.0</v>
      </c>
      <c r="H79" s="9" t="s">
        <v>552</v>
      </c>
      <c r="I79" s="54">
        <v>1.0</v>
      </c>
      <c r="J79" s="266" t="s">
        <v>579</v>
      </c>
      <c r="K79" s="267">
        <f>COUNTIF(postDEL!$AO$2:$AO131,$C79)</f>
        <v>0</v>
      </c>
      <c r="L79" s="54" t="s">
        <v>524</v>
      </c>
      <c r="M79" s="266" t="s">
        <v>525</v>
      </c>
      <c r="N79" s="268" t="b">
        <f t="shared" si="1"/>
        <v>1</v>
      </c>
      <c r="O79" s="57" t="s">
        <v>526</v>
      </c>
      <c r="P79" s="266" t="s">
        <v>208</v>
      </c>
      <c r="S79" s="2" t="s">
        <v>523</v>
      </c>
      <c r="X79" s="11"/>
      <c r="Y79" s="269" t="str">
        <f t="shared" si="2"/>
        <v/>
      </c>
      <c r="Z79" s="238"/>
      <c r="AA79" s="269"/>
      <c r="AB79" s="265"/>
      <c r="AC79" s="238"/>
      <c r="AD79" s="53" t="str">
        <f t="shared" si="4"/>
        <v>NOT</v>
      </c>
      <c r="AE79" s="11"/>
      <c r="AF79" s="11"/>
      <c r="AG79" s="11"/>
      <c r="AH79" s="265">
        <f>COUNTIF(postDEL!$AR$2:$AR131,AG79)</f>
        <v>0</v>
      </c>
      <c r="AI79" s="272"/>
      <c r="AK79" s="279"/>
      <c r="AN79" s="53"/>
      <c r="AO79" s="53"/>
      <c r="AS79" s="279"/>
      <c r="AT79" s="275"/>
      <c r="AU79" s="53"/>
      <c r="AY79" s="53"/>
      <c r="AZ79" s="272"/>
      <c r="BC79" s="53"/>
      <c r="BD79" s="53"/>
      <c r="BG79" s="53"/>
      <c r="BK79" s="53"/>
      <c r="BL79" s="272"/>
      <c r="BO79" s="53"/>
      <c r="BP79" s="53"/>
    </row>
    <row r="80">
      <c r="D80" s="265">
        <f>COUNTIF(postDEL!$AR$2:$AR131,$C80)</f>
        <v>0</v>
      </c>
      <c r="E80" s="11" t="str">
        <f>CONCATENATE(Process!$A$1,F80)</f>
        <v>NDHM450756</v>
      </c>
      <c r="F80" s="11">
        <v>450756.0</v>
      </c>
      <c r="H80" s="9" t="s">
        <v>552</v>
      </c>
      <c r="I80" s="54">
        <v>1.0</v>
      </c>
      <c r="K80" s="267">
        <f>COUNTIF(postDEL!$AO$2:$AO131,$C80)</f>
        <v>0</v>
      </c>
      <c r="L80" s="54" t="s">
        <v>520</v>
      </c>
      <c r="M80" s="266" t="s">
        <v>521</v>
      </c>
      <c r="N80" s="268" t="b">
        <f t="shared" si="1"/>
        <v>1</v>
      </c>
      <c r="O80" s="57" t="s">
        <v>529</v>
      </c>
      <c r="P80" s="266" t="s">
        <v>208</v>
      </c>
      <c r="S80" s="2" t="s">
        <v>523</v>
      </c>
      <c r="X80" s="11"/>
      <c r="Y80" s="269" t="str">
        <f t="shared" si="2"/>
        <v/>
      </c>
      <c r="Z80" s="238"/>
      <c r="AA80" s="269"/>
      <c r="AB80" s="265"/>
      <c r="AC80" s="238"/>
      <c r="AD80" s="53" t="str">
        <f t="shared" si="4"/>
        <v>NOT</v>
      </c>
      <c r="AE80" s="11"/>
      <c r="AF80" s="11"/>
      <c r="AG80" s="11"/>
      <c r="AH80" s="265">
        <f>COUNTIF(postDEL!$AR$2:$AR131,AG80)</f>
        <v>0</v>
      </c>
      <c r="AI80" s="272"/>
      <c r="AK80" s="279"/>
      <c r="AN80" s="53"/>
      <c r="AO80" s="53"/>
      <c r="AS80" s="279"/>
      <c r="AT80" s="275"/>
      <c r="AU80" s="53"/>
      <c r="AY80" s="53"/>
      <c r="AZ80" s="272"/>
      <c r="BC80" s="53"/>
      <c r="BD80" s="53"/>
      <c r="BG80" s="53"/>
      <c r="BK80" s="53"/>
      <c r="BL80" s="272"/>
      <c r="BO80" s="53"/>
      <c r="BP80" s="53"/>
    </row>
    <row r="81">
      <c r="D81" s="265">
        <f>COUNTIF(postDEL!$AR$2:$AR131,$C81)</f>
        <v>0</v>
      </c>
      <c r="E81" s="11" t="str">
        <f>CONCATENATE(Process!$A$1,F81)</f>
        <v>NDHM897201</v>
      </c>
      <c r="F81" s="11">
        <v>897201.0</v>
      </c>
      <c r="H81" s="9" t="s">
        <v>552</v>
      </c>
      <c r="I81" s="54">
        <v>1.0</v>
      </c>
      <c r="K81" s="267">
        <f>COUNTIF(postDEL!$AO$2:$AO131,$C81)</f>
        <v>0</v>
      </c>
      <c r="L81" s="54" t="s">
        <v>531</v>
      </c>
      <c r="M81" s="266" t="s">
        <v>521</v>
      </c>
      <c r="N81" s="268" t="b">
        <f t="shared" si="1"/>
        <v>1</v>
      </c>
      <c r="O81" s="57" t="s">
        <v>529</v>
      </c>
      <c r="P81" s="266" t="s">
        <v>208</v>
      </c>
      <c r="S81" s="2" t="s">
        <v>523</v>
      </c>
      <c r="X81" s="11"/>
      <c r="Y81" s="269" t="str">
        <f t="shared" si="2"/>
        <v/>
      </c>
      <c r="Z81" s="238"/>
      <c r="AA81" s="269"/>
      <c r="AB81" s="265"/>
      <c r="AC81" s="238"/>
      <c r="AD81" s="53" t="str">
        <f t="shared" si="4"/>
        <v>NOT</v>
      </c>
      <c r="AE81" s="11"/>
      <c r="AF81" s="11"/>
      <c r="AG81" s="11"/>
      <c r="AH81" s="265">
        <f>COUNTIF(postDEL!$AR$2:$AR131,AG81)</f>
        <v>0</v>
      </c>
      <c r="AI81" s="272"/>
      <c r="AK81" s="279"/>
      <c r="AN81" s="53"/>
      <c r="AO81" s="53"/>
      <c r="AS81" s="279"/>
      <c r="AT81" s="275"/>
      <c r="AU81" s="53"/>
      <c r="AY81" s="53"/>
      <c r="AZ81" s="272"/>
      <c r="BC81" s="53"/>
      <c r="BD81" s="53"/>
      <c r="BG81" s="53"/>
      <c r="BK81" s="53"/>
      <c r="BL81" s="272"/>
      <c r="BO81" s="53"/>
      <c r="BP81" s="53"/>
    </row>
    <row r="82">
      <c r="D82" s="265">
        <f>COUNTIF(postDEL!$AR$2:$AR131,$C82)</f>
        <v>0</v>
      </c>
      <c r="E82" s="11" t="str">
        <f>CONCATENATE(Process!$A$1,F82)</f>
        <v>NDHM833930</v>
      </c>
      <c r="F82" s="11">
        <v>833930.0</v>
      </c>
      <c r="H82" s="9" t="s">
        <v>553</v>
      </c>
      <c r="I82" s="54">
        <v>1.0</v>
      </c>
      <c r="K82" s="267">
        <f>COUNTIF(postDEL!$AO$2:$AO131,$C82)</f>
        <v>0</v>
      </c>
      <c r="L82" s="54" t="s">
        <v>531</v>
      </c>
      <c r="M82" s="266" t="s">
        <v>521</v>
      </c>
      <c r="N82" s="268" t="b">
        <f t="shared" si="1"/>
        <v>1</v>
      </c>
      <c r="O82" s="57" t="s">
        <v>529</v>
      </c>
      <c r="P82" s="266" t="s">
        <v>208</v>
      </c>
      <c r="S82" s="2" t="s">
        <v>534</v>
      </c>
      <c r="X82" s="11"/>
      <c r="Y82" s="269" t="str">
        <f t="shared" si="2"/>
        <v/>
      </c>
      <c r="Z82" s="238"/>
      <c r="AA82" s="269"/>
      <c r="AB82" s="265"/>
      <c r="AC82" s="238"/>
      <c r="AD82" s="53" t="str">
        <f t="shared" si="4"/>
        <v>NOT</v>
      </c>
      <c r="AE82" s="11"/>
      <c r="AF82" s="11"/>
      <c r="AG82" s="11"/>
      <c r="AH82" s="265">
        <f>COUNTIF(postDEL!$AR$2:$AR131,AG82)</f>
        <v>0</v>
      </c>
      <c r="AI82" s="272"/>
      <c r="AK82" s="279"/>
      <c r="AN82" s="53"/>
      <c r="AO82" s="53"/>
      <c r="AS82" s="279"/>
      <c r="AT82" s="275"/>
      <c r="AU82" s="53"/>
      <c r="AY82" s="53"/>
      <c r="AZ82" s="272"/>
      <c r="BC82" s="53"/>
      <c r="BD82" s="53"/>
      <c r="BG82" s="53"/>
      <c r="BK82" s="53"/>
      <c r="BL82" s="272"/>
      <c r="BO82" s="53"/>
      <c r="BP82" s="53"/>
    </row>
    <row r="83">
      <c r="D83" s="265">
        <f>COUNTIF(postDEL!$AR$2:$AR131,$C83)</f>
        <v>0</v>
      </c>
      <c r="E83" s="11" t="str">
        <f>CONCATENATE(Process!$A$1,F83)</f>
        <v>NDHM724451</v>
      </c>
      <c r="F83" s="11">
        <v>724451.0</v>
      </c>
      <c r="H83" s="9" t="s">
        <v>555</v>
      </c>
      <c r="I83" s="54">
        <v>1.0</v>
      </c>
      <c r="J83" s="266" t="s">
        <v>580</v>
      </c>
      <c r="K83" s="267">
        <f>COUNTIF(postDEL!$AO$2:$AO131,$C83)</f>
        <v>0</v>
      </c>
      <c r="L83" s="54" t="s">
        <v>520</v>
      </c>
      <c r="M83" s="266" t="s">
        <v>521</v>
      </c>
      <c r="N83" s="268" t="b">
        <f t="shared" si="1"/>
        <v>1</v>
      </c>
      <c r="O83" s="57" t="s">
        <v>529</v>
      </c>
      <c r="P83" s="266" t="s">
        <v>208</v>
      </c>
      <c r="S83" s="2" t="s">
        <v>523</v>
      </c>
      <c r="X83" s="11"/>
      <c r="Y83" s="269" t="str">
        <f t="shared" si="2"/>
        <v/>
      </c>
      <c r="Z83" s="238"/>
      <c r="AA83" s="269"/>
      <c r="AB83" s="265"/>
      <c r="AC83" s="238"/>
      <c r="AD83" s="53" t="str">
        <f t="shared" si="4"/>
        <v>NOT</v>
      </c>
      <c r="AE83" s="11"/>
      <c r="AF83" s="11"/>
      <c r="AG83" s="11"/>
      <c r="AH83" s="265">
        <f>COUNTIF(postDEL!$AR$2:$AR131,AG83)</f>
        <v>0</v>
      </c>
      <c r="AI83" s="272"/>
      <c r="AK83" s="279"/>
      <c r="AN83" s="53"/>
      <c r="AO83" s="53"/>
      <c r="AS83" s="279"/>
      <c r="AT83" s="275"/>
      <c r="AU83" s="53"/>
      <c r="AY83" s="53"/>
      <c r="AZ83" s="272"/>
      <c r="BC83" s="53"/>
      <c r="BD83" s="53"/>
      <c r="BG83" s="53"/>
      <c r="BK83" s="53"/>
      <c r="BL83" s="272"/>
      <c r="BO83" s="53"/>
      <c r="BP83" s="53"/>
    </row>
    <row r="84">
      <c r="D84" s="265">
        <f>COUNTIF(postDEL!$AR$2:$AR131,$C84)</f>
        <v>0</v>
      </c>
      <c r="E84" s="11" t="str">
        <f>CONCATENATE(Process!$A$1,F84)</f>
        <v>NDHM881532</v>
      </c>
      <c r="F84" s="11">
        <v>881532.0</v>
      </c>
      <c r="H84" s="9" t="s">
        <v>555</v>
      </c>
      <c r="I84" s="54">
        <v>1.0</v>
      </c>
      <c r="J84" s="266" t="s">
        <v>545</v>
      </c>
      <c r="K84" s="267">
        <f>COUNTIF(postDEL!$AO$2:$AO131,$C84)</f>
        <v>0</v>
      </c>
      <c r="L84" s="54" t="s">
        <v>531</v>
      </c>
      <c r="M84" s="266" t="s">
        <v>521</v>
      </c>
      <c r="N84" s="268" t="b">
        <f t="shared" si="1"/>
        <v>1</v>
      </c>
      <c r="O84" s="57" t="s">
        <v>529</v>
      </c>
      <c r="P84" s="266" t="s">
        <v>208</v>
      </c>
      <c r="S84" s="2" t="s">
        <v>523</v>
      </c>
      <c r="X84" s="11"/>
      <c r="Y84" s="269" t="str">
        <f t="shared" si="2"/>
        <v/>
      </c>
      <c r="Z84" s="238"/>
      <c r="AA84" s="269"/>
      <c r="AB84" s="265"/>
      <c r="AC84" s="238"/>
      <c r="AD84" s="53" t="str">
        <f t="shared" si="4"/>
        <v>NOT</v>
      </c>
      <c r="AE84" s="11"/>
      <c r="AF84" s="11"/>
      <c r="AG84" s="11"/>
      <c r="AH84" s="265">
        <f>COUNTIF(postDEL!$AR$2:$AR131,AG84)</f>
        <v>0</v>
      </c>
      <c r="AI84" s="272"/>
      <c r="AK84" s="279"/>
      <c r="AN84" s="53"/>
      <c r="AO84" s="53"/>
      <c r="AS84" s="279"/>
      <c r="AT84" s="275"/>
      <c r="AU84" s="53"/>
      <c r="AY84" s="53"/>
      <c r="AZ84" s="272"/>
      <c r="BC84" s="53"/>
      <c r="BD84" s="53"/>
      <c r="BG84" s="53"/>
      <c r="BK84" s="53"/>
      <c r="BL84" s="272"/>
      <c r="BO84" s="53"/>
      <c r="BP84" s="53"/>
    </row>
    <row r="85">
      <c r="D85" s="265">
        <f>COUNTIF(postDEL!$AR$2:$AR131,$C85)</f>
        <v>0</v>
      </c>
      <c r="E85" s="11" t="str">
        <f>CONCATENATE(Process!$A$1,F85)</f>
        <v>NDHM257632</v>
      </c>
      <c r="F85" s="11">
        <v>257632.0</v>
      </c>
      <c r="H85" s="9" t="s">
        <v>556</v>
      </c>
      <c r="I85" s="54">
        <v>1.0</v>
      </c>
      <c r="K85" s="267">
        <f>COUNTIF(postDEL!$AO$2:$AO131,$C85)</f>
        <v>0</v>
      </c>
      <c r="L85" s="54" t="s">
        <v>524</v>
      </c>
      <c r="M85" s="266" t="s">
        <v>525</v>
      </c>
      <c r="N85" s="268" t="b">
        <f t="shared" si="1"/>
        <v>1</v>
      </c>
      <c r="O85" s="283"/>
      <c r="X85" s="11"/>
      <c r="Y85" s="269" t="str">
        <f t="shared" si="2"/>
        <v/>
      </c>
      <c r="Z85" s="238"/>
      <c r="AA85" s="269"/>
      <c r="AB85" s="265"/>
      <c r="AC85" s="238"/>
      <c r="AD85" s="53" t="str">
        <f t="shared" si="4"/>
        <v>NOT</v>
      </c>
      <c r="AE85" s="11"/>
      <c r="AF85" s="11"/>
      <c r="AG85" s="11"/>
      <c r="AH85" s="265">
        <f>COUNTIF(postDEL!$AR$2:$AR131,AG85)</f>
        <v>0</v>
      </c>
      <c r="AI85" s="272"/>
      <c r="AK85" s="279"/>
      <c r="AN85" s="53"/>
      <c r="AO85" s="53"/>
      <c r="AS85" s="279"/>
      <c r="AT85" s="275"/>
      <c r="AU85" s="53"/>
      <c r="AY85" s="53"/>
      <c r="AZ85" s="272"/>
      <c r="BC85" s="53"/>
      <c r="BD85" s="53"/>
      <c r="BG85" s="53"/>
      <c r="BK85" s="53"/>
      <c r="BL85" s="272"/>
      <c r="BO85" s="53"/>
      <c r="BP85" s="53"/>
    </row>
    <row r="86">
      <c r="D86" s="265">
        <f>COUNTIF(postDEL!$AR$2:$AR131,$C86)</f>
        <v>0</v>
      </c>
      <c r="E86" s="11" t="str">
        <f>CONCATENATE(Process!$A$1,F86)</f>
        <v>NDHM828471</v>
      </c>
      <c r="F86" s="11">
        <v>828471.0</v>
      </c>
      <c r="H86" s="9" t="s">
        <v>556</v>
      </c>
      <c r="I86" s="54">
        <v>1.0</v>
      </c>
      <c r="J86" s="266" t="s">
        <v>581</v>
      </c>
      <c r="K86" s="267">
        <f>COUNTIF(postDEL!$AO$2:$AO131,$C86)</f>
        <v>0</v>
      </c>
      <c r="L86" s="54" t="s">
        <v>520</v>
      </c>
      <c r="M86" s="266" t="s">
        <v>521</v>
      </c>
      <c r="N86" s="268" t="b">
        <f t="shared" si="1"/>
        <v>1</v>
      </c>
      <c r="O86" s="57" t="s">
        <v>529</v>
      </c>
      <c r="P86" s="266" t="s">
        <v>208</v>
      </c>
      <c r="S86" s="2" t="s">
        <v>523</v>
      </c>
      <c r="X86" s="11"/>
      <c r="Y86" s="269" t="str">
        <f t="shared" si="2"/>
        <v/>
      </c>
      <c r="Z86" s="238"/>
      <c r="AA86" s="269"/>
      <c r="AB86" s="265"/>
      <c r="AC86" s="238"/>
      <c r="AD86" s="53" t="str">
        <f t="shared" si="4"/>
        <v>NOT</v>
      </c>
      <c r="AE86" s="11"/>
      <c r="AF86" s="11"/>
      <c r="AG86" s="11"/>
      <c r="AH86" s="265">
        <f>COUNTIF(postDEL!$AR$2:$AR131,AG86)</f>
        <v>0</v>
      </c>
      <c r="AI86" s="272"/>
      <c r="AK86" s="279"/>
      <c r="AN86" s="53"/>
      <c r="AO86" s="53"/>
      <c r="AS86" s="279"/>
      <c r="AT86" s="275"/>
      <c r="AU86" s="53"/>
      <c r="AY86" s="53"/>
      <c r="AZ86" s="272"/>
      <c r="BC86" s="53"/>
      <c r="BD86" s="53"/>
      <c r="BG86" s="53"/>
      <c r="BK86" s="53"/>
      <c r="BL86" s="272"/>
      <c r="BO86" s="53"/>
      <c r="BP86" s="53"/>
    </row>
    <row r="87">
      <c r="D87" s="265">
        <f>COUNTIF(postDEL!$AR$2:$AR131,$C87)</f>
        <v>0</v>
      </c>
      <c r="E87" s="11" t="str">
        <f>CONCATENATE(Process!$A$1,F87)</f>
        <v>NDHM870458</v>
      </c>
      <c r="F87" s="11">
        <v>870458.0</v>
      </c>
      <c r="H87" s="9" t="s">
        <v>556</v>
      </c>
      <c r="I87" s="54">
        <v>1.0</v>
      </c>
      <c r="K87" s="267">
        <f>COUNTIF(postDEL!$AO$2:$AO131,$C87)</f>
        <v>0</v>
      </c>
      <c r="L87" s="54" t="s">
        <v>531</v>
      </c>
      <c r="M87" s="266" t="s">
        <v>521</v>
      </c>
      <c r="N87" s="268" t="b">
        <f t="shared" si="1"/>
        <v>1</v>
      </c>
      <c r="O87" s="57" t="s">
        <v>529</v>
      </c>
      <c r="P87" s="266" t="s">
        <v>208</v>
      </c>
      <c r="S87" s="2" t="s">
        <v>534</v>
      </c>
      <c r="X87" s="11"/>
      <c r="Y87" s="269" t="str">
        <f t="shared" si="2"/>
        <v/>
      </c>
      <c r="Z87" s="238"/>
      <c r="AA87" s="269"/>
      <c r="AB87" s="265"/>
      <c r="AC87" s="238"/>
      <c r="AD87" s="53" t="str">
        <f t="shared" si="4"/>
        <v>NOT</v>
      </c>
      <c r="AE87" s="11"/>
      <c r="AF87" s="11"/>
      <c r="AG87" s="11"/>
      <c r="AH87" s="265">
        <f>COUNTIF(postDEL!$AR$2:$AR131,AG87)</f>
        <v>0</v>
      </c>
      <c r="AI87" s="272"/>
      <c r="AK87" s="279"/>
      <c r="AN87" s="53"/>
      <c r="AO87" s="53"/>
      <c r="AS87" s="279"/>
      <c r="AT87" s="275"/>
      <c r="AU87" s="53"/>
      <c r="AY87" s="53"/>
      <c r="AZ87" s="272"/>
      <c r="BC87" s="53"/>
      <c r="BD87" s="53"/>
      <c r="BG87" s="53"/>
      <c r="BK87" s="53"/>
      <c r="BL87" s="272"/>
      <c r="BO87" s="53"/>
      <c r="BP87" s="53"/>
    </row>
    <row r="88">
      <c r="D88" s="265">
        <f>COUNTIF(postDEL!$AR$2:$AR131,$C88)</f>
        <v>0</v>
      </c>
      <c r="E88" s="11" t="str">
        <f>CONCATENATE(Process!$A$1,F88)</f>
        <v>NDHM857640</v>
      </c>
      <c r="F88" s="11">
        <v>857640.0</v>
      </c>
      <c r="H88" s="9" t="s">
        <v>556</v>
      </c>
      <c r="I88" s="54">
        <v>1.0</v>
      </c>
      <c r="K88" s="267">
        <f>COUNTIF(postDEL!$AO$2:$AO131,$C88)</f>
        <v>0</v>
      </c>
      <c r="L88" s="54" t="s">
        <v>551</v>
      </c>
      <c r="M88" s="266" t="s">
        <v>525</v>
      </c>
      <c r="N88" s="268" t="b">
        <f t="shared" si="1"/>
        <v>1</v>
      </c>
      <c r="O88" s="283"/>
      <c r="X88" s="11"/>
      <c r="Y88" s="269" t="str">
        <f t="shared" si="2"/>
        <v/>
      </c>
      <c r="Z88" s="238"/>
      <c r="AA88" s="269"/>
      <c r="AB88" s="265"/>
      <c r="AC88" s="238"/>
      <c r="AD88" s="53" t="str">
        <f t="shared" si="4"/>
        <v>NOT</v>
      </c>
      <c r="AE88" s="11"/>
      <c r="AF88" s="11"/>
      <c r="AG88" s="11"/>
      <c r="AH88" s="265">
        <f>COUNTIF(postDEL!$AR$2:$AR131,AG88)</f>
        <v>0</v>
      </c>
      <c r="AI88" s="272"/>
      <c r="AK88" s="279"/>
      <c r="AN88" s="53"/>
      <c r="AO88" s="53"/>
      <c r="AS88" s="279"/>
      <c r="AT88" s="275"/>
      <c r="AU88" s="53"/>
      <c r="AY88" s="53"/>
      <c r="AZ88" s="272"/>
      <c r="BC88" s="53"/>
      <c r="BD88" s="53"/>
      <c r="BG88" s="53"/>
      <c r="BK88" s="53"/>
      <c r="BL88" s="272"/>
      <c r="BO88" s="53"/>
      <c r="BP88" s="53"/>
    </row>
    <row r="89">
      <c r="D89" s="265">
        <f>COUNTIF(postDEL!$AR$2:$AR131,$C89)</f>
        <v>0</v>
      </c>
      <c r="E89" s="11" t="str">
        <f>CONCATENATE(Process!$A$1,F89)</f>
        <v>NDHM964442</v>
      </c>
      <c r="F89" s="11">
        <v>964442.0</v>
      </c>
      <c r="H89" s="9" t="s">
        <v>557</v>
      </c>
      <c r="I89" s="54">
        <v>1.0</v>
      </c>
      <c r="K89" s="267">
        <f>COUNTIF(postDEL!$AO$2:$AO131,$C89)</f>
        <v>0</v>
      </c>
      <c r="L89" s="54" t="s">
        <v>524</v>
      </c>
      <c r="M89" s="266" t="s">
        <v>525</v>
      </c>
      <c r="N89" s="268" t="b">
        <f t="shared" si="1"/>
        <v>1</v>
      </c>
      <c r="O89" s="283"/>
      <c r="X89" s="11"/>
      <c r="Y89" s="269" t="str">
        <f t="shared" si="2"/>
        <v/>
      </c>
      <c r="Z89" s="238"/>
      <c r="AA89" s="269"/>
      <c r="AB89" s="265"/>
      <c r="AC89" s="238"/>
      <c r="AD89" s="53" t="str">
        <f t="shared" si="4"/>
        <v>NOT</v>
      </c>
      <c r="AE89" s="11"/>
      <c r="AF89" s="11"/>
      <c r="AG89" s="11"/>
      <c r="AH89" s="265">
        <f>COUNTIF(postDEL!$AR$2:$AR131,AG89)</f>
        <v>0</v>
      </c>
      <c r="AI89" s="272"/>
      <c r="AK89" s="279"/>
      <c r="AN89" s="53"/>
      <c r="AO89" s="53"/>
      <c r="AS89" s="279"/>
      <c r="AT89" s="275"/>
      <c r="AU89" s="53"/>
      <c r="AY89" s="53"/>
      <c r="AZ89" s="272"/>
      <c r="BC89" s="53"/>
      <c r="BD89" s="53"/>
      <c r="BG89" s="53"/>
      <c r="BK89" s="53"/>
      <c r="BL89" s="272"/>
      <c r="BO89" s="53"/>
      <c r="BP89" s="53"/>
    </row>
    <row r="90">
      <c r="D90" s="265">
        <f>COUNTIF(postDEL!$AR$2:$AR131,$C90)</f>
        <v>0</v>
      </c>
      <c r="E90" s="11" t="str">
        <f>CONCATENATE(Process!$A$1,F90)</f>
        <v>NDHM665108</v>
      </c>
      <c r="F90" s="11">
        <v>665108.0</v>
      </c>
      <c r="H90" s="9" t="s">
        <v>557</v>
      </c>
      <c r="I90" s="54">
        <v>1.0</v>
      </c>
      <c r="J90" s="11" t="s">
        <v>582</v>
      </c>
      <c r="K90" s="267">
        <f>COUNTIF(postDEL!$AO$2:$AO131,$C90)</f>
        <v>0</v>
      </c>
      <c r="L90" s="54" t="s">
        <v>520</v>
      </c>
      <c r="M90" s="266" t="s">
        <v>521</v>
      </c>
      <c r="N90" s="268" t="b">
        <f t="shared" si="1"/>
        <v>1</v>
      </c>
      <c r="O90" s="57" t="s">
        <v>529</v>
      </c>
      <c r="P90" s="266" t="s">
        <v>208</v>
      </c>
      <c r="S90" s="2" t="s">
        <v>523</v>
      </c>
      <c r="X90" s="11"/>
      <c r="Y90" s="269" t="str">
        <f t="shared" si="2"/>
        <v/>
      </c>
      <c r="Z90" s="238"/>
      <c r="AA90" s="269"/>
      <c r="AB90" s="265"/>
      <c r="AC90" s="238"/>
      <c r="AD90" s="53" t="str">
        <f t="shared" si="4"/>
        <v>NOT</v>
      </c>
      <c r="AE90" s="11"/>
      <c r="AF90" s="11"/>
      <c r="AG90" s="11"/>
      <c r="AH90" s="265">
        <f>COUNTIF(postDEL!$AR$2:$AR131,AG90)</f>
        <v>0</v>
      </c>
      <c r="AI90" s="272"/>
      <c r="AK90" s="279"/>
      <c r="AN90" s="53"/>
      <c r="AO90" s="53"/>
      <c r="AS90" s="279"/>
      <c r="AT90" s="275"/>
      <c r="AU90" s="53"/>
      <c r="AY90" s="53"/>
      <c r="AZ90" s="272"/>
      <c r="BC90" s="53"/>
      <c r="BD90" s="53"/>
      <c r="BG90" s="53"/>
      <c r="BK90" s="53"/>
      <c r="BL90" s="272"/>
      <c r="BO90" s="53"/>
      <c r="BP90" s="53"/>
    </row>
    <row r="91">
      <c r="D91" s="265">
        <f>COUNTIF(postDEL!$AR$2:$AR131,$C91)</f>
        <v>0</v>
      </c>
      <c r="E91" s="11" t="str">
        <f>CONCATENATE(Process!$A$1,F91)</f>
        <v>NDHM976056</v>
      </c>
      <c r="F91" s="11">
        <v>976056.0</v>
      </c>
      <c r="H91" s="9" t="s">
        <v>557</v>
      </c>
      <c r="I91" s="54">
        <v>1.0</v>
      </c>
      <c r="K91" s="267">
        <f>COUNTIF(postDEL!$AO$2:$AO131,$C91)</f>
        <v>0</v>
      </c>
      <c r="L91" s="54" t="s">
        <v>531</v>
      </c>
      <c r="M91" s="266" t="s">
        <v>521</v>
      </c>
      <c r="N91" s="268" t="b">
        <f t="shared" si="1"/>
        <v>1</v>
      </c>
      <c r="O91" s="57" t="s">
        <v>529</v>
      </c>
      <c r="P91" s="266" t="s">
        <v>208</v>
      </c>
      <c r="S91" s="2" t="s">
        <v>523</v>
      </c>
      <c r="X91" s="11"/>
      <c r="Y91" s="269" t="str">
        <f t="shared" si="2"/>
        <v/>
      </c>
      <c r="Z91" s="238"/>
      <c r="AA91" s="269"/>
      <c r="AB91" s="265"/>
      <c r="AC91" s="238"/>
      <c r="AD91" s="53" t="str">
        <f t="shared" si="4"/>
        <v>NOT</v>
      </c>
      <c r="AE91" s="11"/>
      <c r="AF91" s="11"/>
      <c r="AG91" s="11"/>
      <c r="AH91" s="265">
        <f>COUNTIF(postDEL!$AR$2:$AR131,AG91)</f>
        <v>0</v>
      </c>
      <c r="AI91" s="272"/>
      <c r="AK91" s="279"/>
      <c r="AN91" s="53"/>
      <c r="AO91" s="53"/>
      <c r="AS91" s="279"/>
      <c r="AT91" s="275"/>
      <c r="AU91" s="53"/>
      <c r="AY91" s="53"/>
      <c r="AZ91" s="272"/>
      <c r="BC91" s="53"/>
      <c r="BD91" s="53"/>
      <c r="BG91" s="53"/>
      <c r="BK91" s="53"/>
      <c r="BL91" s="272"/>
      <c r="BO91" s="53"/>
      <c r="BP91" s="53"/>
    </row>
    <row r="92">
      <c r="D92" s="265">
        <f>COUNTIF(postDEL!$AR$2:$AR131,$C92)</f>
        <v>0</v>
      </c>
      <c r="E92" s="11" t="str">
        <f>CONCATENATE(Process!$A$1,F92)</f>
        <v>NDHM286043</v>
      </c>
      <c r="F92" s="11">
        <v>286043.0</v>
      </c>
      <c r="H92" s="9" t="s">
        <v>557</v>
      </c>
      <c r="I92" s="54">
        <v>1.0</v>
      </c>
      <c r="K92" s="267">
        <f>COUNTIF(postDEL!$AO$2:$AO131,$C92)</f>
        <v>0</v>
      </c>
      <c r="L92" s="54" t="s">
        <v>551</v>
      </c>
      <c r="M92" s="266" t="s">
        <v>525</v>
      </c>
      <c r="N92" s="268" t="b">
        <f t="shared" si="1"/>
        <v>1</v>
      </c>
      <c r="O92" s="283"/>
      <c r="X92" s="11"/>
      <c r="Y92" s="269" t="str">
        <f t="shared" si="2"/>
        <v/>
      </c>
      <c r="Z92" s="238"/>
      <c r="AA92" s="269"/>
      <c r="AB92" s="265"/>
      <c r="AC92" s="238"/>
      <c r="AD92" s="53" t="str">
        <f t="shared" si="4"/>
        <v>NOT</v>
      </c>
      <c r="AE92" s="11"/>
      <c r="AF92" s="11"/>
      <c r="AG92" s="11"/>
      <c r="AH92" s="265">
        <f>COUNTIF(postDEL!$AR$2:$AR131,AG92)</f>
        <v>0</v>
      </c>
      <c r="AI92" s="272"/>
      <c r="AK92" s="279"/>
      <c r="AN92" s="53"/>
      <c r="AO92" s="53"/>
      <c r="AS92" s="279"/>
      <c r="AT92" s="275"/>
      <c r="AU92" s="53"/>
      <c r="AY92" s="53"/>
      <c r="AZ92" s="272"/>
      <c r="BC92" s="53"/>
      <c r="BD92" s="53"/>
      <c r="BG92" s="53"/>
      <c r="BK92" s="53"/>
      <c r="BL92" s="272"/>
      <c r="BO92" s="53"/>
      <c r="BP92" s="53"/>
    </row>
    <row r="93">
      <c r="D93" s="265">
        <f>COUNTIF(postDEL!$AR$2:$AR131,$C93)</f>
        <v>0</v>
      </c>
      <c r="E93" s="11" t="str">
        <f>CONCATENATE(Process!$A$1,F93)</f>
        <v>NDHM956506</v>
      </c>
      <c r="F93" s="11">
        <v>956506.0</v>
      </c>
      <c r="H93" s="9" t="s">
        <v>558</v>
      </c>
      <c r="I93" s="54">
        <v>1.0</v>
      </c>
      <c r="K93" s="267">
        <f>COUNTIF(postDEL!$AO$2:$AO131,$C93)</f>
        <v>0</v>
      </c>
      <c r="L93" s="54" t="s">
        <v>524</v>
      </c>
      <c r="M93" s="266" t="s">
        <v>525</v>
      </c>
      <c r="N93" s="268" t="b">
        <f t="shared" si="1"/>
        <v>1</v>
      </c>
      <c r="O93" s="283"/>
      <c r="X93" s="11"/>
      <c r="Y93" s="269" t="str">
        <f t="shared" si="2"/>
        <v/>
      </c>
      <c r="Z93" s="238"/>
      <c r="AA93" s="269"/>
      <c r="AB93" s="265"/>
      <c r="AC93" s="238"/>
      <c r="AD93" s="53" t="str">
        <f t="shared" si="4"/>
        <v>NOT</v>
      </c>
      <c r="AE93" s="11"/>
      <c r="AF93" s="11"/>
      <c r="AG93" s="11"/>
      <c r="AH93" s="265">
        <f>COUNTIF(postDEL!$AR$2:$AR131,AG93)</f>
        <v>0</v>
      </c>
      <c r="AI93" s="272"/>
      <c r="AK93" s="279"/>
      <c r="AN93" s="53"/>
      <c r="AO93" s="53"/>
      <c r="AS93" s="279"/>
      <c r="AT93" s="275"/>
      <c r="AU93" s="53"/>
      <c r="AY93" s="53"/>
      <c r="AZ93" s="272"/>
      <c r="BC93" s="53"/>
      <c r="BD93" s="53"/>
      <c r="BG93" s="53"/>
      <c r="BK93" s="53"/>
      <c r="BL93" s="272"/>
      <c r="BO93" s="53"/>
      <c r="BP93" s="53"/>
    </row>
    <row r="94">
      <c r="D94" s="265">
        <f>COUNTIF(postDEL!$AR$2:$AR131,$C94)</f>
        <v>0</v>
      </c>
      <c r="E94" s="11" t="str">
        <f>CONCATENATE(Process!$A$1,F94)</f>
        <v>NDHM985852</v>
      </c>
      <c r="F94" s="11">
        <v>985852.0</v>
      </c>
      <c r="H94" s="9" t="s">
        <v>558</v>
      </c>
      <c r="I94" s="54">
        <v>1.0</v>
      </c>
      <c r="J94" s="266" t="s">
        <v>519</v>
      </c>
      <c r="K94" s="267">
        <f>COUNTIF(postDEL!$AO$2:$AO131,$C94)</f>
        <v>0</v>
      </c>
      <c r="L94" s="54" t="s">
        <v>520</v>
      </c>
      <c r="M94" s="266" t="s">
        <v>521</v>
      </c>
      <c r="N94" s="268" t="b">
        <f t="shared" si="1"/>
        <v>1</v>
      </c>
      <c r="O94" s="57" t="s">
        <v>529</v>
      </c>
      <c r="P94" s="266" t="s">
        <v>208</v>
      </c>
      <c r="S94" s="2" t="s">
        <v>523</v>
      </c>
      <c r="X94" s="11"/>
      <c r="Y94" s="269" t="str">
        <f t="shared" si="2"/>
        <v/>
      </c>
      <c r="Z94" s="238"/>
      <c r="AA94" s="269"/>
      <c r="AB94" s="265"/>
      <c r="AC94" s="238"/>
      <c r="AD94" s="53" t="str">
        <f t="shared" si="4"/>
        <v>NOT</v>
      </c>
      <c r="AE94" s="11"/>
      <c r="AF94" s="11"/>
      <c r="AG94" s="11"/>
      <c r="AH94" s="265">
        <f>COUNTIF(postDEL!$AR$2:$AR131,AG94)</f>
        <v>0</v>
      </c>
      <c r="AI94" s="272"/>
      <c r="AK94" s="279"/>
      <c r="AN94" s="53"/>
      <c r="AO94" s="53"/>
      <c r="AS94" s="279"/>
      <c r="AT94" s="275"/>
      <c r="AU94" s="53"/>
      <c r="AY94" s="53"/>
      <c r="AZ94" s="272"/>
      <c r="BC94" s="53"/>
      <c r="BD94" s="53"/>
      <c r="BG94" s="53"/>
      <c r="BK94" s="53"/>
      <c r="BL94" s="272"/>
      <c r="BO94" s="53"/>
      <c r="BP94" s="53"/>
    </row>
    <row r="95">
      <c r="D95" s="265">
        <f>COUNTIF(postDEL!$AR$2:$AR131,$C95)</f>
        <v>0</v>
      </c>
      <c r="E95" s="11" t="str">
        <f>CONCATENATE(Process!$A$1,F95)</f>
        <v>NDHM136237</v>
      </c>
      <c r="F95" s="11">
        <v>136237.0</v>
      </c>
      <c r="H95" s="9" t="s">
        <v>558</v>
      </c>
      <c r="I95" s="54">
        <v>1.0</v>
      </c>
      <c r="K95" s="267">
        <f>COUNTIF(postDEL!$AO$2:$AO131,$C95)</f>
        <v>0</v>
      </c>
      <c r="L95" s="54" t="s">
        <v>531</v>
      </c>
      <c r="M95" s="266" t="s">
        <v>521</v>
      </c>
      <c r="N95" s="268" t="b">
        <f t="shared" si="1"/>
        <v>1</v>
      </c>
      <c r="O95" s="57" t="s">
        <v>529</v>
      </c>
      <c r="P95" s="266" t="s">
        <v>208</v>
      </c>
      <c r="S95" s="2" t="s">
        <v>534</v>
      </c>
      <c r="X95" s="11"/>
      <c r="Y95" s="269" t="str">
        <f t="shared" si="2"/>
        <v/>
      </c>
      <c r="Z95" s="238"/>
      <c r="AA95" s="269"/>
      <c r="AB95" s="265"/>
      <c r="AC95" s="238"/>
      <c r="AD95" s="53" t="str">
        <f t="shared" si="4"/>
        <v>NOT</v>
      </c>
      <c r="AE95" s="11"/>
      <c r="AF95" s="11"/>
      <c r="AG95" s="11"/>
      <c r="AH95" s="265">
        <f>COUNTIF(postDEL!$AR$2:$AR131,AG95)</f>
        <v>0</v>
      </c>
      <c r="AI95" s="272"/>
      <c r="AK95" s="279"/>
      <c r="AN95" s="53"/>
      <c r="AO95" s="53"/>
      <c r="AS95" s="279"/>
      <c r="AT95" s="275"/>
      <c r="AU95" s="53"/>
      <c r="AY95" s="53"/>
      <c r="AZ95" s="272"/>
      <c r="BC95" s="53"/>
      <c r="BD95" s="53"/>
      <c r="BG95" s="53"/>
      <c r="BK95" s="53"/>
      <c r="BL95" s="272"/>
      <c r="BO95" s="53"/>
      <c r="BP95" s="53"/>
    </row>
    <row r="96">
      <c r="D96" s="265">
        <f>COUNTIF(postDEL!$AR$2:$AR131,$C96)</f>
        <v>0</v>
      </c>
      <c r="E96" s="11" t="str">
        <f>CONCATENATE(Process!$A$1,F96)</f>
        <v>NDHM574037</v>
      </c>
      <c r="F96" s="11">
        <v>574037.0</v>
      </c>
      <c r="H96" s="9" t="s">
        <v>558</v>
      </c>
      <c r="I96" s="54">
        <v>1.0</v>
      </c>
      <c r="K96" s="267">
        <f>COUNTIF(postDEL!$AO$2:$AO131,$C96)</f>
        <v>0</v>
      </c>
      <c r="L96" s="54" t="s">
        <v>551</v>
      </c>
      <c r="M96" s="266" t="s">
        <v>525</v>
      </c>
      <c r="N96" s="268" t="b">
        <f t="shared" si="1"/>
        <v>1</v>
      </c>
      <c r="O96" s="283"/>
      <c r="X96" s="11"/>
      <c r="Y96" s="269" t="str">
        <f t="shared" si="2"/>
        <v/>
      </c>
      <c r="Z96" s="238"/>
      <c r="AA96" s="269"/>
      <c r="AB96" s="265"/>
      <c r="AC96" s="238"/>
      <c r="AD96" s="53" t="str">
        <f t="shared" si="4"/>
        <v>NOT</v>
      </c>
      <c r="AE96" s="11"/>
      <c r="AF96" s="11"/>
      <c r="AG96" s="11"/>
      <c r="AH96" s="265">
        <f>COUNTIF(postDEL!$AR$2:$AR131,AG96)</f>
        <v>0</v>
      </c>
      <c r="AI96" s="272"/>
      <c r="AK96" s="279"/>
      <c r="AN96" s="53"/>
      <c r="AO96" s="53"/>
      <c r="AS96" s="279"/>
      <c r="AT96" s="275"/>
      <c r="AU96" s="53"/>
      <c r="AY96" s="53"/>
      <c r="AZ96" s="272"/>
      <c r="BC96" s="53"/>
      <c r="BD96" s="53"/>
      <c r="BG96" s="53"/>
      <c r="BK96" s="53"/>
      <c r="BL96" s="272"/>
      <c r="BO96" s="53"/>
      <c r="BP96" s="53"/>
    </row>
    <row r="97">
      <c r="D97" s="265">
        <f>COUNTIF(postDEL!$AR$2:$AR131,$C97)</f>
        <v>0</v>
      </c>
      <c r="E97" s="11" t="str">
        <f>CONCATENATE(Process!$A$1,F97)</f>
        <v>NDHM664447</v>
      </c>
      <c r="F97" s="11">
        <v>664447.0</v>
      </c>
      <c r="H97" s="9" t="s">
        <v>558</v>
      </c>
      <c r="I97" s="54">
        <v>1.0</v>
      </c>
      <c r="K97" s="267">
        <f>COUNTIF(postDEL!$AO$2:$AO131,$C97)</f>
        <v>0</v>
      </c>
      <c r="L97" s="54" t="s">
        <v>563</v>
      </c>
      <c r="M97" s="266" t="s">
        <v>525</v>
      </c>
      <c r="N97" s="268" t="b">
        <f t="shared" si="1"/>
        <v>1</v>
      </c>
      <c r="O97" s="283"/>
      <c r="X97" s="11"/>
      <c r="Y97" s="269" t="str">
        <f t="shared" si="2"/>
        <v/>
      </c>
      <c r="Z97" s="238"/>
      <c r="AA97" s="269"/>
      <c r="AB97" s="265"/>
      <c r="AC97" s="238"/>
      <c r="AD97" s="53" t="str">
        <f t="shared" si="4"/>
        <v>NOT</v>
      </c>
      <c r="AE97" s="11"/>
      <c r="AF97" s="11"/>
      <c r="AG97" s="11"/>
      <c r="AH97" s="265">
        <f>COUNTIF(postDEL!$AR$2:$AR131,AG97)</f>
        <v>0</v>
      </c>
      <c r="AI97" s="272"/>
      <c r="AK97" s="279"/>
      <c r="AN97" s="53"/>
      <c r="AO97" s="53"/>
      <c r="AS97" s="279"/>
      <c r="AT97" s="275"/>
      <c r="AU97" s="53"/>
      <c r="AY97" s="53"/>
      <c r="AZ97" s="272"/>
      <c r="BC97" s="53"/>
      <c r="BD97" s="53"/>
      <c r="BG97" s="53"/>
      <c r="BK97" s="53"/>
      <c r="BL97" s="272"/>
      <c r="BO97" s="53"/>
      <c r="BP97" s="53"/>
    </row>
    <row r="98">
      <c r="D98" s="265">
        <f>COUNTIF(postDEL!$AR$2:$AR131,$C98)</f>
        <v>0</v>
      </c>
      <c r="E98" s="11" t="str">
        <f>CONCATENATE(Process!$A$1,F98)</f>
        <v>NDHM462662</v>
      </c>
      <c r="F98" s="11">
        <v>462662.0</v>
      </c>
      <c r="H98" s="9" t="s">
        <v>559</v>
      </c>
      <c r="I98" s="54">
        <v>1.0</v>
      </c>
      <c r="K98" s="267">
        <f>COUNTIF(postDEL!$AO$2:$AO131,$C98)</f>
        <v>0</v>
      </c>
      <c r="L98" s="54" t="s">
        <v>583</v>
      </c>
      <c r="M98" s="266" t="s">
        <v>525</v>
      </c>
      <c r="N98" s="268" t="b">
        <f t="shared" si="1"/>
        <v>1</v>
      </c>
      <c r="O98" s="57" t="s">
        <v>526</v>
      </c>
      <c r="P98" s="266" t="s">
        <v>208</v>
      </c>
      <c r="S98" s="2" t="s">
        <v>523</v>
      </c>
      <c r="X98" s="11"/>
      <c r="Y98" s="269" t="str">
        <f t="shared" si="2"/>
        <v/>
      </c>
      <c r="Z98" s="238"/>
      <c r="AA98" s="269"/>
      <c r="AB98" s="265"/>
      <c r="AC98" s="238"/>
      <c r="AD98" s="53" t="str">
        <f t="shared" si="4"/>
        <v>NOT</v>
      </c>
      <c r="AE98" s="11"/>
      <c r="AF98" s="11"/>
      <c r="AG98" s="11"/>
      <c r="AH98" s="265">
        <f>COUNTIF(postDEL!$AR$2:$AR131,AG98)</f>
        <v>0</v>
      </c>
      <c r="AI98" s="272"/>
      <c r="AK98" s="279"/>
      <c r="AN98" s="53"/>
      <c r="AO98" s="53"/>
      <c r="AS98" s="279"/>
      <c r="AT98" s="275"/>
      <c r="AU98" s="53"/>
      <c r="AY98" s="53"/>
      <c r="AZ98" s="272"/>
      <c r="BC98" s="53"/>
      <c r="BD98" s="53"/>
      <c r="BG98" s="53"/>
      <c r="BK98" s="53"/>
      <c r="BL98" s="272"/>
      <c r="BO98" s="53"/>
      <c r="BP98" s="53"/>
    </row>
    <row r="99">
      <c r="D99" s="265">
        <f>COUNTIF(postDEL!$AR$2:$AR131,$C99)</f>
        <v>0</v>
      </c>
      <c r="E99" s="11" t="str">
        <f>CONCATENATE(Process!$A$1,F99)</f>
        <v>NDHM728013</v>
      </c>
      <c r="F99" s="11">
        <v>728013.0</v>
      </c>
      <c r="H99" s="9" t="s">
        <v>559</v>
      </c>
      <c r="I99" s="54">
        <v>1.0</v>
      </c>
      <c r="J99" s="11" t="s">
        <v>584</v>
      </c>
      <c r="K99" s="267">
        <f>COUNTIF(postDEL!$AO$2:$AO131,$C99)</f>
        <v>0</v>
      </c>
      <c r="L99" s="54" t="s">
        <v>524</v>
      </c>
      <c r="M99" s="266" t="s">
        <v>525</v>
      </c>
      <c r="N99" s="268" t="b">
        <f t="shared" si="1"/>
        <v>1</v>
      </c>
      <c r="O99" s="57" t="s">
        <v>526</v>
      </c>
      <c r="P99" s="266" t="s">
        <v>208</v>
      </c>
      <c r="S99" s="2" t="s">
        <v>523</v>
      </c>
      <c r="X99" s="11"/>
      <c r="Y99" s="269" t="str">
        <f t="shared" si="2"/>
        <v/>
      </c>
      <c r="Z99" s="238"/>
      <c r="AA99" s="269"/>
      <c r="AB99" s="265"/>
      <c r="AC99" s="238"/>
      <c r="AD99" s="53" t="str">
        <f t="shared" si="4"/>
        <v>NOT</v>
      </c>
      <c r="AE99" s="11"/>
      <c r="AF99" s="11"/>
      <c r="AG99" s="11"/>
      <c r="AH99" s="265">
        <f>COUNTIF(postDEL!$AR$2:$AR131,AG99)</f>
        <v>0</v>
      </c>
      <c r="AI99" s="272"/>
      <c r="AK99" s="279"/>
      <c r="AN99" s="53"/>
      <c r="AO99" s="53"/>
      <c r="AS99" s="279"/>
      <c r="AT99" s="275"/>
      <c r="AU99" s="53"/>
      <c r="AY99" s="53"/>
      <c r="AZ99" s="272"/>
      <c r="BC99" s="53"/>
      <c r="BD99" s="53"/>
      <c r="BG99" s="53"/>
      <c r="BK99" s="53"/>
      <c r="BL99" s="272"/>
      <c r="BO99" s="53"/>
      <c r="BP99" s="53"/>
    </row>
    <row r="100">
      <c r="D100" s="265">
        <f>COUNTIF(postDEL!$AR$2:$AR131,$C100)</f>
        <v>0</v>
      </c>
      <c r="E100" s="11" t="str">
        <f>CONCATENATE(Process!$A$1,F100)</f>
        <v>NDHM185178</v>
      </c>
      <c r="F100" s="11">
        <v>185178.0</v>
      </c>
      <c r="H100" s="9" t="s">
        <v>559</v>
      </c>
      <c r="I100" s="54">
        <v>1.0</v>
      </c>
      <c r="K100" s="267">
        <f>COUNTIF(postDEL!$AO$2:$AO131,$C100)</f>
        <v>0</v>
      </c>
      <c r="L100" s="54" t="s">
        <v>551</v>
      </c>
      <c r="M100" s="266" t="s">
        <v>525</v>
      </c>
      <c r="N100" s="268" t="b">
        <f t="shared" si="1"/>
        <v>1</v>
      </c>
      <c r="O100" s="57" t="s">
        <v>526</v>
      </c>
      <c r="P100" s="266" t="s">
        <v>208</v>
      </c>
      <c r="S100" s="2" t="s">
        <v>523</v>
      </c>
      <c r="X100" s="11"/>
      <c r="Y100" s="269" t="str">
        <f t="shared" si="2"/>
        <v/>
      </c>
      <c r="Z100" s="238"/>
      <c r="AA100" s="269"/>
      <c r="AB100" s="265"/>
      <c r="AC100" s="238"/>
      <c r="AD100" s="53" t="str">
        <f t="shared" si="4"/>
        <v>NOT</v>
      </c>
      <c r="AE100" s="11"/>
      <c r="AF100" s="11"/>
      <c r="AG100" s="11"/>
      <c r="AH100" s="265">
        <f>COUNTIF(postDEL!$AR$2:$AR131,AG100)</f>
        <v>0</v>
      </c>
      <c r="AI100" s="272"/>
      <c r="AK100" s="279"/>
      <c r="AN100" s="53"/>
      <c r="AO100" s="53"/>
      <c r="AS100" s="279"/>
      <c r="AT100" s="275"/>
      <c r="AU100" s="53"/>
      <c r="AY100" s="53"/>
      <c r="AZ100" s="272"/>
      <c r="BC100" s="53"/>
      <c r="BD100" s="53"/>
      <c r="BG100" s="53"/>
      <c r="BK100" s="53"/>
      <c r="BL100" s="272"/>
      <c r="BO100" s="53"/>
      <c r="BP100" s="53"/>
    </row>
    <row r="101">
      <c r="D101" s="265">
        <f>COUNTIF(postDEL!$AR$2:$AR131,$C101)</f>
        <v>0</v>
      </c>
      <c r="E101" s="11" t="str">
        <f>CONCATENATE(Process!$A$1,F101)</f>
        <v>NDHM551067</v>
      </c>
      <c r="F101" s="11">
        <v>551067.0</v>
      </c>
      <c r="H101" s="9" t="s">
        <v>559</v>
      </c>
      <c r="I101" s="54">
        <v>1.0</v>
      </c>
      <c r="K101" s="267">
        <f>COUNTIF(postDEL!$AO$2:$AO131,$C101)</f>
        <v>0</v>
      </c>
      <c r="L101" s="54" t="s">
        <v>563</v>
      </c>
      <c r="M101" s="266" t="s">
        <v>525</v>
      </c>
      <c r="N101" s="268" t="b">
        <f t="shared" si="1"/>
        <v>1</v>
      </c>
      <c r="O101" s="57" t="s">
        <v>526</v>
      </c>
      <c r="P101" s="266" t="s">
        <v>208</v>
      </c>
      <c r="S101" s="2" t="s">
        <v>523</v>
      </c>
      <c r="X101" s="11"/>
      <c r="Y101" s="269" t="str">
        <f t="shared" si="2"/>
        <v/>
      </c>
      <c r="Z101" s="238"/>
      <c r="AA101" s="269"/>
      <c r="AB101" s="265"/>
      <c r="AC101" s="238"/>
      <c r="AD101" s="53" t="str">
        <f t="shared" si="4"/>
        <v>NOT</v>
      </c>
      <c r="AE101" s="11"/>
      <c r="AF101" s="11"/>
      <c r="AG101" s="11"/>
      <c r="AH101" s="265">
        <f>COUNTIF(postDEL!$AR$2:$AR131,AG101)</f>
        <v>0</v>
      </c>
      <c r="AI101" s="272"/>
      <c r="AK101" s="279"/>
      <c r="AN101" s="53"/>
      <c r="AO101" s="53"/>
      <c r="AS101" s="279"/>
      <c r="AT101" s="275"/>
      <c r="AU101" s="53"/>
      <c r="AY101" s="53"/>
      <c r="AZ101" s="272"/>
      <c r="BC101" s="53"/>
      <c r="BD101" s="53"/>
      <c r="BG101" s="53"/>
      <c r="BK101" s="53"/>
      <c r="BL101" s="272"/>
      <c r="BO101" s="53"/>
      <c r="BP101" s="53"/>
    </row>
    <row r="102">
      <c r="D102" s="265">
        <f>COUNTIF(postDEL!$AR$2:$AR131,$C102)</f>
        <v>0</v>
      </c>
      <c r="E102" s="11" t="str">
        <f>CONCATENATE(Process!$A$1,F102)</f>
        <v>NDHM396768</v>
      </c>
      <c r="F102" s="11">
        <v>396768.0</v>
      </c>
      <c r="H102" s="9" t="s">
        <v>559</v>
      </c>
      <c r="I102" s="54">
        <v>1.0</v>
      </c>
      <c r="K102" s="267">
        <f>COUNTIF(postDEL!$AO$2:$AO131,$C102)</f>
        <v>0</v>
      </c>
      <c r="L102" s="54" t="s">
        <v>520</v>
      </c>
      <c r="M102" s="266" t="s">
        <v>521</v>
      </c>
      <c r="N102" s="268" t="b">
        <f t="shared" si="1"/>
        <v>1</v>
      </c>
      <c r="O102" s="57" t="s">
        <v>529</v>
      </c>
      <c r="P102" s="266" t="s">
        <v>208</v>
      </c>
      <c r="S102" s="2" t="s">
        <v>523</v>
      </c>
      <c r="X102" s="11"/>
      <c r="Y102" s="269" t="str">
        <f t="shared" si="2"/>
        <v/>
      </c>
      <c r="Z102" s="238"/>
      <c r="AA102" s="269"/>
      <c r="AB102" s="265"/>
      <c r="AC102" s="238"/>
      <c r="AD102" s="53" t="str">
        <f t="shared" si="4"/>
        <v>NOT</v>
      </c>
      <c r="AE102" s="11"/>
      <c r="AF102" s="11"/>
      <c r="AG102" s="11"/>
      <c r="AH102" s="265">
        <f>COUNTIF(postDEL!$AR$2:$AR131,AG102)</f>
        <v>0</v>
      </c>
      <c r="AI102" s="272"/>
      <c r="AK102" s="279"/>
      <c r="AN102" s="53"/>
      <c r="AO102" s="53"/>
      <c r="AS102" s="279"/>
      <c r="AT102" s="275"/>
      <c r="AU102" s="53"/>
      <c r="AY102" s="53"/>
      <c r="AZ102" s="272"/>
      <c r="BC102" s="53"/>
      <c r="BD102" s="53"/>
      <c r="BG102" s="53"/>
      <c r="BK102" s="53"/>
      <c r="BL102" s="272"/>
      <c r="BO102" s="53"/>
      <c r="BP102" s="53"/>
    </row>
    <row r="103">
      <c r="D103" s="265">
        <f>COUNTIF(postDEL!$AR$2:$AR131,$C103)</f>
        <v>0</v>
      </c>
      <c r="E103" s="11" t="str">
        <f>CONCATENATE(Process!$A$1,F103)</f>
        <v>NDHM129762</v>
      </c>
      <c r="F103" s="11">
        <v>129762.0</v>
      </c>
      <c r="H103" s="9" t="s">
        <v>559</v>
      </c>
      <c r="I103" s="54">
        <v>1.0</v>
      </c>
      <c r="K103" s="267">
        <f>COUNTIF(postDEL!$AO$2:$AO131,$C103)</f>
        <v>0</v>
      </c>
      <c r="L103" s="54" t="s">
        <v>531</v>
      </c>
      <c r="M103" s="266" t="s">
        <v>521</v>
      </c>
      <c r="N103" s="268" t="b">
        <f t="shared" si="1"/>
        <v>1</v>
      </c>
      <c r="O103" s="57" t="s">
        <v>529</v>
      </c>
      <c r="P103" s="266" t="s">
        <v>208</v>
      </c>
      <c r="S103" s="2" t="s">
        <v>534</v>
      </c>
      <c r="X103" s="11"/>
      <c r="Y103" s="269" t="str">
        <f t="shared" si="2"/>
        <v/>
      </c>
      <c r="Z103" s="238"/>
      <c r="AA103" s="269"/>
      <c r="AB103" s="265"/>
      <c r="AC103" s="238"/>
      <c r="AD103" s="53" t="str">
        <f t="shared" si="4"/>
        <v>NOT</v>
      </c>
      <c r="AE103" s="11"/>
      <c r="AF103" s="11"/>
      <c r="AG103" s="11"/>
      <c r="AH103" s="265">
        <f>COUNTIF(postDEL!$AR$2:$AR131,AG103)</f>
        <v>0</v>
      </c>
      <c r="AI103" s="272"/>
      <c r="AK103" s="279"/>
      <c r="AN103" s="53"/>
      <c r="AO103" s="53"/>
      <c r="AS103" s="279"/>
      <c r="AT103" s="275"/>
      <c r="AU103" s="53"/>
      <c r="AY103" s="53"/>
      <c r="AZ103" s="272"/>
      <c r="BC103" s="53"/>
      <c r="BD103" s="53"/>
      <c r="BG103" s="53"/>
      <c r="BK103" s="53"/>
      <c r="BL103" s="272"/>
      <c r="BO103" s="53"/>
      <c r="BP103" s="53"/>
    </row>
    <row r="104">
      <c r="D104" s="265">
        <f>COUNTIF(postDEL!$AR$2:$AR131,$C104)</f>
        <v>0</v>
      </c>
      <c r="E104" s="11" t="str">
        <f>CONCATENATE(Process!$A$1,F104)</f>
        <v>NDHM265567</v>
      </c>
      <c r="F104" s="11">
        <v>265567.0</v>
      </c>
      <c r="H104" s="9" t="s">
        <v>559</v>
      </c>
      <c r="I104" s="54">
        <v>1.0</v>
      </c>
      <c r="K104" s="267">
        <f>COUNTIF(postDEL!$AO$2:$AO131,$C104)</f>
        <v>0</v>
      </c>
      <c r="L104" s="54" t="s">
        <v>560</v>
      </c>
      <c r="M104" s="266" t="s">
        <v>547</v>
      </c>
      <c r="N104" s="268" t="b">
        <f t="shared" si="1"/>
        <v>1</v>
      </c>
      <c r="O104" s="57" t="s">
        <v>529</v>
      </c>
      <c r="P104" s="266" t="s">
        <v>208</v>
      </c>
      <c r="S104" s="2" t="s">
        <v>534</v>
      </c>
      <c r="X104" s="11"/>
      <c r="Y104" s="269" t="str">
        <f t="shared" si="2"/>
        <v/>
      </c>
      <c r="Z104" s="238"/>
      <c r="AA104" s="269"/>
      <c r="AB104" s="265"/>
      <c r="AC104" s="238"/>
      <c r="AD104" s="53" t="str">
        <f t="shared" si="4"/>
        <v>NOT</v>
      </c>
      <c r="AE104" s="11"/>
      <c r="AF104" s="11"/>
      <c r="AG104" s="11"/>
      <c r="AH104" s="265">
        <f>COUNTIF(postDEL!$AR$2:$AR131,AG104)</f>
        <v>0</v>
      </c>
      <c r="AI104" s="272"/>
      <c r="AK104" s="279"/>
      <c r="AN104" s="53"/>
      <c r="AO104" s="53"/>
      <c r="AS104" s="279"/>
      <c r="AT104" s="275"/>
      <c r="AU104" s="53"/>
      <c r="AY104" s="53"/>
      <c r="AZ104" s="272"/>
      <c r="BC104" s="53"/>
      <c r="BD104" s="53"/>
      <c r="BG104" s="53"/>
      <c r="BK104" s="53"/>
      <c r="BL104" s="272"/>
      <c r="BO104" s="53"/>
      <c r="BP104" s="53"/>
    </row>
    <row r="105">
      <c r="D105" s="265">
        <f>COUNTIF(postDEL!$AR$2:$AR131,$C105)</f>
        <v>0</v>
      </c>
      <c r="E105" s="11" t="str">
        <f>CONCATENATE(Process!$A$1,F105)</f>
        <v>NDHM891390</v>
      </c>
      <c r="F105" s="11">
        <v>891390.0</v>
      </c>
      <c r="H105" s="9" t="s">
        <v>559</v>
      </c>
      <c r="I105" s="54">
        <v>1.0</v>
      </c>
      <c r="K105" s="267">
        <f>COUNTIF(postDEL!$AO$2:$AO131,$C105)</f>
        <v>0</v>
      </c>
      <c r="L105" s="54" t="s">
        <v>546</v>
      </c>
      <c r="M105" s="266" t="s">
        <v>547</v>
      </c>
      <c r="N105" s="268" t="b">
        <f t="shared" si="1"/>
        <v>1</v>
      </c>
      <c r="O105" s="57" t="s">
        <v>529</v>
      </c>
      <c r="P105" s="266" t="s">
        <v>208</v>
      </c>
      <c r="S105" s="2" t="s">
        <v>534</v>
      </c>
      <c r="X105" s="11"/>
      <c r="Y105" s="269" t="str">
        <f t="shared" si="2"/>
        <v/>
      </c>
      <c r="Z105" s="238"/>
      <c r="AA105" s="269"/>
      <c r="AB105" s="265"/>
      <c r="AC105" s="238"/>
      <c r="AD105" s="53" t="str">
        <f t="shared" si="4"/>
        <v>NOT</v>
      </c>
      <c r="AE105" s="11"/>
      <c r="AF105" s="11"/>
      <c r="AG105" s="11"/>
      <c r="AH105" s="265">
        <f>COUNTIF(postDEL!$AR$2:$AR131,AG105)</f>
        <v>0</v>
      </c>
      <c r="AI105" s="272"/>
      <c r="AK105" s="279"/>
      <c r="AN105" s="53"/>
      <c r="AO105" s="53"/>
      <c r="AS105" s="279"/>
      <c r="AT105" s="275"/>
      <c r="AU105" s="53"/>
      <c r="AY105" s="53"/>
      <c r="AZ105" s="272"/>
      <c r="BC105" s="53"/>
      <c r="BD105" s="53"/>
      <c r="BG105" s="53"/>
      <c r="BK105" s="53"/>
      <c r="BL105" s="272"/>
      <c r="BO105" s="53"/>
      <c r="BP105" s="53"/>
    </row>
    <row r="106">
      <c r="D106" s="265">
        <f>COUNTIF(postDEL!$AR$2:$AR131,$C106)</f>
        <v>0</v>
      </c>
      <c r="E106" s="11" t="str">
        <f>CONCATENATE(Process!$A$1,F106)</f>
        <v>NDHM120340</v>
      </c>
      <c r="F106" s="11">
        <v>120340.0</v>
      </c>
      <c r="H106" s="9" t="s">
        <v>561</v>
      </c>
      <c r="I106" s="54">
        <v>1.0</v>
      </c>
      <c r="K106" s="267">
        <f>COUNTIF(postDEL!$AO$2:$AO131,$C106)</f>
        <v>0</v>
      </c>
      <c r="L106" s="54" t="s">
        <v>524</v>
      </c>
      <c r="M106" s="266" t="s">
        <v>525</v>
      </c>
      <c r="N106" s="268" t="b">
        <f t="shared" si="1"/>
        <v>1</v>
      </c>
      <c r="O106" s="283"/>
      <c r="X106" s="11"/>
      <c r="Y106" s="269" t="str">
        <f t="shared" si="2"/>
        <v/>
      </c>
      <c r="Z106" s="238"/>
      <c r="AA106" s="269"/>
      <c r="AB106" s="265"/>
      <c r="AC106" s="238"/>
      <c r="AD106" s="53" t="str">
        <f t="shared" si="4"/>
        <v>NOT</v>
      </c>
      <c r="AE106" s="11"/>
      <c r="AF106" s="11"/>
      <c r="AG106" s="11"/>
      <c r="AH106" s="265">
        <f>COUNTIF(postDEL!$AR$2:$AR131,AG106)</f>
        <v>0</v>
      </c>
      <c r="AI106" s="272"/>
      <c r="AK106" s="279"/>
      <c r="AN106" s="53"/>
      <c r="AO106" s="53"/>
      <c r="AS106" s="279"/>
      <c r="AT106" s="275"/>
      <c r="AU106" s="53"/>
      <c r="AY106" s="53"/>
      <c r="AZ106" s="272"/>
      <c r="BC106" s="53"/>
      <c r="BD106" s="53"/>
      <c r="BG106" s="53"/>
      <c r="BK106" s="53"/>
      <c r="BL106" s="272"/>
      <c r="BO106" s="53"/>
      <c r="BP106" s="53"/>
    </row>
    <row r="107">
      <c r="D107" s="265">
        <f>COUNTIF(postDEL!$AR$2:$AR131,$C107)</f>
        <v>0</v>
      </c>
      <c r="E107" s="11" t="str">
        <f>CONCATENATE(Process!$A$1,F107)</f>
        <v>NDHM184889</v>
      </c>
      <c r="F107" s="11">
        <v>184889.0</v>
      </c>
      <c r="H107" s="9" t="s">
        <v>561</v>
      </c>
      <c r="I107" s="54">
        <v>1.0</v>
      </c>
      <c r="J107" s="266" t="s">
        <v>519</v>
      </c>
      <c r="K107" s="267">
        <f>COUNTIF(postDEL!$AO$2:$AO131,$C107)</f>
        <v>0</v>
      </c>
      <c r="L107" s="54" t="s">
        <v>551</v>
      </c>
      <c r="M107" s="266" t="s">
        <v>525</v>
      </c>
      <c r="N107" s="268" t="b">
        <f t="shared" si="1"/>
        <v>1</v>
      </c>
      <c r="O107" s="283"/>
      <c r="X107" s="11"/>
      <c r="Y107" s="269" t="str">
        <f t="shared" si="2"/>
        <v/>
      </c>
      <c r="Z107" s="238"/>
      <c r="AA107" s="269"/>
      <c r="AB107" s="265"/>
      <c r="AC107" s="238"/>
      <c r="AD107" s="53" t="str">
        <f t="shared" si="4"/>
        <v>NOT</v>
      </c>
      <c r="AE107" s="11"/>
      <c r="AF107" s="11"/>
      <c r="AG107" s="11"/>
      <c r="AH107" s="265">
        <f>COUNTIF(postDEL!$AR$2:$AR131,AG107)</f>
        <v>0</v>
      </c>
      <c r="AI107" s="272"/>
      <c r="AK107" s="279"/>
      <c r="AN107" s="53"/>
      <c r="AO107" s="53"/>
      <c r="AS107" s="279"/>
      <c r="AT107" s="275"/>
      <c r="AU107" s="53"/>
      <c r="AY107" s="53"/>
      <c r="AZ107" s="272"/>
      <c r="BC107" s="53"/>
      <c r="BD107" s="53"/>
      <c r="BG107" s="53"/>
      <c r="BK107" s="53"/>
      <c r="BL107" s="272"/>
      <c r="BO107" s="53"/>
      <c r="BP107" s="53"/>
    </row>
    <row r="108">
      <c r="D108" s="265">
        <f>COUNTIF(postDEL!$AR$2:$AR131,$C108)</f>
        <v>0</v>
      </c>
      <c r="E108" s="11" t="str">
        <f>CONCATENATE(Process!$A$1,F108)</f>
        <v>NDHM268738</v>
      </c>
      <c r="F108" s="11">
        <v>268738.0</v>
      </c>
      <c r="H108" s="9" t="s">
        <v>561</v>
      </c>
      <c r="I108" s="54">
        <v>1.0</v>
      </c>
      <c r="J108" s="11" t="s">
        <v>579</v>
      </c>
      <c r="K108" s="267">
        <f>COUNTIF(postDEL!$AO$2:$AO131,$C108)</f>
        <v>0</v>
      </c>
      <c r="L108" s="54" t="s">
        <v>520</v>
      </c>
      <c r="M108" s="266" t="s">
        <v>521</v>
      </c>
      <c r="N108" s="268" t="b">
        <f t="shared" si="1"/>
        <v>1</v>
      </c>
      <c r="O108" s="57" t="s">
        <v>529</v>
      </c>
      <c r="P108" s="266" t="s">
        <v>208</v>
      </c>
      <c r="S108" s="2" t="s">
        <v>523</v>
      </c>
      <c r="X108" s="11"/>
      <c r="Y108" s="269" t="str">
        <f t="shared" si="2"/>
        <v/>
      </c>
      <c r="Z108" s="238"/>
      <c r="AA108" s="269"/>
      <c r="AB108" s="265"/>
      <c r="AC108" s="238"/>
      <c r="AD108" s="53" t="str">
        <f t="shared" si="4"/>
        <v>NOT</v>
      </c>
      <c r="AE108" s="11"/>
      <c r="AF108" s="11"/>
      <c r="AG108" s="11"/>
      <c r="AH108" s="265">
        <f>COUNTIF(postDEL!$AR$2:$AR131,AG108)</f>
        <v>0</v>
      </c>
      <c r="AI108" s="272"/>
      <c r="AK108" s="279"/>
      <c r="AN108" s="53"/>
      <c r="AO108" s="53"/>
      <c r="AS108" s="279"/>
      <c r="AT108" s="275"/>
      <c r="AU108" s="53"/>
      <c r="AY108" s="53"/>
      <c r="AZ108" s="272"/>
      <c r="BC108" s="53"/>
      <c r="BD108" s="53"/>
      <c r="BG108" s="53"/>
      <c r="BK108" s="53"/>
      <c r="BL108" s="272"/>
      <c r="BO108" s="53"/>
      <c r="BP108" s="53"/>
    </row>
    <row r="109">
      <c r="D109" s="265">
        <f>COUNTIF(postDEL!$AR$2:$AR131,$C109)</f>
        <v>0</v>
      </c>
      <c r="E109" s="11" t="str">
        <f>CONCATENATE(Process!$A$1,F109)</f>
        <v>NDHM413855</v>
      </c>
      <c r="F109" s="11">
        <v>413855.0</v>
      </c>
      <c r="H109" s="9" t="s">
        <v>561</v>
      </c>
      <c r="I109" s="54">
        <v>1.0</v>
      </c>
      <c r="K109" s="267">
        <f>COUNTIF(postDEL!$AO$2:$AO131,$C109)</f>
        <v>0</v>
      </c>
      <c r="L109" s="54" t="s">
        <v>531</v>
      </c>
      <c r="M109" s="266" t="s">
        <v>521</v>
      </c>
      <c r="N109" s="268" t="b">
        <f t="shared" si="1"/>
        <v>1</v>
      </c>
      <c r="O109" s="57" t="s">
        <v>529</v>
      </c>
      <c r="P109" s="266" t="s">
        <v>208</v>
      </c>
      <c r="S109" s="2" t="s">
        <v>534</v>
      </c>
      <c r="X109" s="11"/>
      <c r="Y109" s="269" t="str">
        <f t="shared" si="2"/>
        <v/>
      </c>
      <c r="Z109" s="238"/>
      <c r="AA109" s="269"/>
      <c r="AB109" s="265"/>
      <c r="AC109" s="238"/>
      <c r="AD109" s="53" t="str">
        <f t="shared" si="4"/>
        <v>NOT</v>
      </c>
      <c r="AE109" s="11"/>
      <c r="AF109" s="11"/>
      <c r="AG109" s="11"/>
      <c r="AH109" s="265">
        <f>COUNTIF(postDEL!$AR$2:$AR131,AG109)</f>
        <v>0</v>
      </c>
      <c r="AI109" s="272"/>
      <c r="AK109" s="279"/>
      <c r="AN109" s="53"/>
      <c r="AO109" s="53"/>
      <c r="AS109" s="279"/>
      <c r="AT109" s="275"/>
      <c r="AU109" s="53"/>
      <c r="AY109" s="53"/>
      <c r="AZ109" s="272"/>
      <c r="BC109" s="53"/>
      <c r="BD109" s="53"/>
      <c r="BG109" s="53"/>
      <c r="BK109" s="53"/>
      <c r="BL109" s="272"/>
      <c r="BO109" s="53"/>
      <c r="BP109" s="53"/>
    </row>
    <row r="110">
      <c r="D110" s="265">
        <f>COUNTIF(postDEL!$AR$2:$AR131,$C110)</f>
        <v>0</v>
      </c>
      <c r="E110" s="11" t="str">
        <f>CONCATENATE(Process!$A$1,F110)</f>
        <v>NDHM229554</v>
      </c>
      <c r="F110" s="11">
        <v>229554.0</v>
      </c>
      <c r="H110" s="9" t="s">
        <v>562</v>
      </c>
      <c r="I110" s="54">
        <v>1.0</v>
      </c>
      <c r="K110" s="267">
        <f>COUNTIF(postDEL!$AO$2:$AO131,$C110)</f>
        <v>0</v>
      </c>
      <c r="L110" s="54" t="s">
        <v>524</v>
      </c>
      <c r="M110" s="266" t="s">
        <v>525</v>
      </c>
      <c r="N110" s="268" t="b">
        <f t="shared" si="1"/>
        <v>1</v>
      </c>
      <c r="O110" s="283"/>
      <c r="X110" s="11"/>
      <c r="Y110" s="269" t="str">
        <f t="shared" si="2"/>
        <v/>
      </c>
      <c r="Z110" s="238"/>
      <c r="AA110" s="269"/>
      <c r="AB110" s="265"/>
      <c r="AC110" s="238"/>
      <c r="AD110" s="53" t="str">
        <f t="shared" si="4"/>
        <v>NOT</v>
      </c>
      <c r="AE110" s="11"/>
      <c r="AF110" s="11"/>
      <c r="AG110" s="11"/>
      <c r="AH110" s="265">
        <f>COUNTIF(postDEL!$AR$2:$AR131,AG110)</f>
        <v>0</v>
      </c>
      <c r="AI110" s="272"/>
      <c r="AK110" s="279"/>
      <c r="AN110" s="53"/>
      <c r="AO110" s="53"/>
      <c r="AS110" s="279"/>
      <c r="AT110" s="275"/>
      <c r="AU110" s="53"/>
      <c r="AY110" s="53"/>
      <c r="AZ110" s="272"/>
      <c r="BC110" s="53"/>
      <c r="BD110" s="53"/>
      <c r="BG110" s="53"/>
      <c r="BK110" s="53"/>
      <c r="BL110" s="272"/>
      <c r="BO110" s="53"/>
      <c r="BP110" s="53"/>
    </row>
    <row r="111">
      <c r="D111" s="265">
        <f>COUNTIF(postDEL!$AR$2:$AR131,$C111)</f>
        <v>0</v>
      </c>
      <c r="E111" s="11" t="str">
        <f>CONCATENATE(Process!$A$1,F111)</f>
        <v>NDHM143474</v>
      </c>
      <c r="F111" s="11">
        <v>143474.0</v>
      </c>
      <c r="H111" s="9" t="s">
        <v>562</v>
      </c>
      <c r="I111" s="54">
        <v>1.0</v>
      </c>
      <c r="J111" s="266" t="s">
        <v>576</v>
      </c>
      <c r="K111" s="267">
        <f>COUNTIF(postDEL!$AO$2:$AO131,$C111)</f>
        <v>0</v>
      </c>
      <c r="L111" s="54" t="s">
        <v>520</v>
      </c>
      <c r="M111" s="266" t="s">
        <v>521</v>
      </c>
      <c r="N111" s="268" t="b">
        <f t="shared" si="1"/>
        <v>1</v>
      </c>
      <c r="O111" s="57" t="s">
        <v>529</v>
      </c>
      <c r="P111" s="266" t="s">
        <v>208</v>
      </c>
      <c r="S111" s="2" t="s">
        <v>534</v>
      </c>
      <c r="X111" s="11"/>
      <c r="Y111" s="269" t="str">
        <f t="shared" si="2"/>
        <v/>
      </c>
      <c r="Z111" s="238"/>
      <c r="AA111" s="269"/>
      <c r="AB111" s="265"/>
      <c r="AC111" s="238"/>
      <c r="AD111" s="53" t="str">
        <f t="shared" si="4"/>
        <v>NOT</v>
      </c>
      <c r="AE111" s="11"/>
      <c r="AF111" s="11"/>
      <c r="AG111" s="11"/>
      <c r="AH111" s="265">
        <f>COUNTIF(postDEL!$AR$2:$AR131,AG111)</f>
        <v>0</v>
      </c>
      <c r="AI111" s="272"/>
      <c r="AK111" s="279"/>
      <c r="AN111" s="53"/>
      <c r="AO111" s="53"/>
      <c r="AS111" s="279"/>
      <c r="AT111" s="275"/>
      <c r="AU111" s="53"/>
      <c r="AY111" s="53"/>
      <c r="AZ111" s="272"/>
      <c r="BC111" s="53"/>
      <c r="BD111" s="53"/>
      <c r="BG111" s="53"/>
      <c r="BK111" s="53"/>
      <c r="BL111" s="272"/>
      <c r="BO111" s="53"/>
      <c r="BP111" s="53"/>
    </row>
    <row r="112">
      <c r="D112" s="265">
        <f>COUNTIF(postDEL!$AR$2:$AR131,$C112)</f>
        <v>0</v>
      </c>
      <c r="E112" s="11" t="str">
        <f>CONCATENATE(Process!$A$1,F112)</f>
        <v>NDHM309808</v>
      </c>
      <c r="F112" s="11">
        <v>309808.0</v>
      </c>
      <c r="H112" s="9" t="s">
        <v>564</v>
      </c>
      <c r="I112" s="54">
        <v>1.0</v>
      </c>
      <c r="K112" s="267">
        <f>COUNTIF(postDEL!$AO$2:$AO131,$C112)</f>
        <v>0</v>
      </c>
      <c r="L112" s="54" t="s">
        <v>551</v>
      </c>
      <c r="M112" s="266" t="s">
        <v>525</v>
      </c>
      <c r="N112" s="268" t="b">
        <f t="shared" si="1"/>
        <v>1</v>
      </c>
      <c r="O112" s="57" t="s">
        <v>526</v>
      </c>
      <c r="P112" s="266" t="s">
        <v>208</v>
      </c>
      <c r="S112" s="2" t="s">
        <v>523</v>
      </c>
      <c r="X112" s="11"/>
      <c r="Y112" s="269" t="str">
        <f t="shared" si="2"/>
        <v/>
      </c>
      <c r="Z112" s="238"/>
      <c r="AA112" s="269"/>
      <c r="AB112" s="265"/>
      <c r="AC112" s="238"/>
      <c r="AD112" s="53" t="str">
        <f t="shared" si="4"/>
        <v>NOT</v>
      </c>
      <c r="AE112" s="11"/>
      <c r="AF112" s="11"/>
      <c r="AG112" s="11"/>
      <c r="AH112" s="265">
        <f>COUNTIF(postDEL!$AR$2:$AR131,AG112)</f>
        <v>0</v>
      </c>
      <c r="AI112" s="272"/>
      <c r="AK112" s="279"/>
      <c r="AN112" s="53"/>
      <c r="AO112" s="53"/>
      <c r="AS112" s="279"/>
      <c r="AT112" s="275"/>
      <c r="AU112" s="53"/>
      <c r="AY112" s="53"/>
      <c r="AZ112" s="272"/>
      <c r="BC112" s="53"/>
      <c r="BD112" s="53"/>
      <c r="BG112" s="53"/>
      <c r="BK112" s="53"/>
      <c r="BL112" s="272"/>
      <c r="BO112" s="53"/>
      <c r="BP112" s="53"/>
    </row>
    <row r="113">
      <c r="D113" s="265">
        <f>COUNTIF(postDEL!$AR$2:$AR131,$C113)</f>
        <v>0</v>
      </c>
      <c r="E113" s="11" t="str">
        <f>CONCATENATE(Process!$A$1,F113)</f>
        <v>NDHM430496</v>
      </c>
      <c r="F113" s="11">
        <v>430496.0</v>
      </c>
      <c r="H113" s="9" t="s">
        <v>564</v>
      </c>
      <c r="I113" s="54">
        <v>1.0</v>
      </c>
      <c r="K113" s="267">
        <f>COUNTIF(postDEL!$AO$2:$AO131,$C113)</f>
        <v>0</v>
      </c>
      <c r="L113" s="54" t="s">
        <v>531</v>
      </c>
      <c r="M113" s="266" t="s">
        <v>521</v>
      </c>
      <c r="N113" s="268" t="b">
        <f t="shared" si="1"/>
        <v>1</v>
      </c>
      <c r="O113" s="57" t="s">
        <v>529</v>
      </c>
      <c r="P113" s="266" t="s">
        <v>208</v>
      </c>
      <c r="S113" s="2" t="s">
        <v>534</v>
      </c>
      <c r="X113" s="11"/>
      <c r="Y113" s="269" t="str">
        <f t="shared" si="2"/>
        <v/>
      </c>
      <c r="Z113" s="238"/>
      <c r="AA113" s="269"/>
      <c r="AB113" s="265"/>
      <c r="AC113" s="238"/>
      <c r="AD113" s="53" t="str">
        <f t="shared" si="4"/>
        <v>NOT</v>
      </c>
      <c r="AE113" s="11"/>
      <c r="AF113" s="11"/>
      <c r="AG113" s="11"/>
      <c r="AH113" s="265">
        <f>COUNTIF(postDEL!$AR$2:$AR131,AG113)</f>
        <v>0</v>
      </c>
      <c r="AI113" s="272"/>
      <c r="AK113" s="279"/>
      <c r="AN113" s="53"/>
      <c r="AO113" s="53"/>
      <c r="AS113" s="279"/>
      <c r="AT113" s="275"/>
      <c r="AU113" s="53"/>
      <c r="AY113" s="53"/>
      <c r="AZ113" s="272"/>
      <c r="BC113" s="53"/>
      <c r="BD113" s="53"/>
      <c r="BG113" s="53"/>
      <c r="BK113" s="53"/>
      <c r="BL113" s="272"/>
      <c r="BO113" s="53"/>
      <c r="BP113" s="53"/>
    </row>
    <row r="114">
      <c r="D114" s="265">
        <f>COUNTIF(postDEL!$AR$2:$AR131,$C114)</f>
        <v>0</v>
      </c>
      <c r="E114" s="11" t="str">
        <f>CONCATENATE(Process!$A$1,F114)</f>
        <v>NDHM894617</v>
      </c>
      <c r="F114" s="11">
        <v>894617.0</v>
      </c>
      <c r="H114" s="9" t="s">
        <v>565</v>
      </c>
      <c r="I114" s="54">
        <v>1.0</v>
      </c>
      <c r="K114" s="267">
        <f>COUNTIF(postDEL!$AO$2:$AO131,$C114)</f>
        <v>0</v>
      </c>
      <c r="L114" s="54" t="s">
        <v>524</v>
      </c>
      <c r="M114" s="266" t="s">
        <v>525</v>
      </c>
      <c r="N114" s="268" t="b">
        <f t="shared" si="1"/>
        <v>1</v>
      </c>
      <c r="O114" s="283"/>
      <c r="X114" s="11"/>
      <c r="Y114" s="269" t="str">
        <f t="shared" si="2"/>
        <v/>
      </c>
      <c r="Z114" s="238"/>
      <c r="AA114" s="269"/>
      <c r="AB114" s="265"/>
      <c r="AC114" s="238"/>
      <c r="AD114" s="53" t="str">
        <f t="shared" si="4"/>
        <v>NOT</v>
      </c>
      <c r="AE114" s="11"/>
      <c r="AF114" s="11"/>
      <c r="AG114" s="11"/>
      <c r="AH114" s="265">
        <f>COUNTIF(postDEL!$AR$2:$AR131,AG114)</f>
        <v>0</v>
      </c>
      <c r="AI114" s="272"/>
      <c r="AK114" s="279"/>
      <c r="AN114" s="53"/>
      <c r="AO114" s="53"/>
      <c r="AS114" s="279"/>
      <c r="AT114" s="275"/>
      <c r="AU114" s="53"/>
      <c r="AY114" s="53"/>
      <c r="AZ114" s="272"/>
      <c r="BC114" s="53"/>
      <c r="BD114" s="53"/>
      <c r="BG114" s="53"/>
      <c r="BK114" s="53"/>
      <c r="BL114" s="272"/>
      <c r="BO114" s="53"/>
      <c r="BP114" s="53"/>
    </row>
    <row r="115">
      <c r="D115" s="265">
        <f>COUNTIF(postDEL!$AR$2:$AR131,$C115)</f>
        <v>0</v>
      </c>
      <c r="E115" s="11" t="str">
        <f>CONCATENATE(Process!$A$1,F115)</f>
        <v>NDHM698477</v>
      </c>
      <c r="F115" s="11">
        <v>698477.0</v>
      </c>
      <c r="H115" s="9" t="s">
        <v>565</v>
      </c>
      <c r="I115" s="54">
        <v>1.0</v>
      </c>
      <c r="J115" s="11" t="s">
        <v>566</v>
      </c>
      <c r="K115" s="267">
        <f>COUNTIF(postDEL!$AO$2:$AO131,$C115)</f>
        <v>0</v>
      </c>
      <c r="L115" s="54" t="s">
        <v>520</v>
      </c>
      <c r="M115" s="266" t="s">
        <v>521</v>
      </c>
      <c r="N115" s="268" t="b">
        <f t="shared" si="1"/>
        <v>1</v>
      </c>
      <c r="O115" s="57" t="s">
        <v>529</v>
      </c>
      <c r="P115" s="266" t="s">
        <v>208</v>
      </c>
      <c r="S115" s="2" t="s">
        <v>534</v>
      </c>
      <c r="X115" s="11"/>
      <c r="Y115" s="269" t="str">
        <f t="shared" si="2"/>
        <v/>
      </c>
      <c r="Z115" s="238"/>
      <c r="AA115" s="269"/>
      <c r="AB115" s="265"/>
      <c r="AC115" s="238"/>
      <c r="AD115" s="53" t="str">
        <f t="shared" si="4"/>
        <v>NOT</v>
      </c>
      <c r="AE115" s="11"/>
      <c r="AF115" s="11"/>
      <c r="AG115" s="11"/>
      <c r="AH115" s="265">
        <f>COUNTIF(postDEL!$AR$2:$AR131,AG115)</f>
        <v>0</v>
      </c>
      <c r="AI115" s="272"/>
      <c r="AK115" s="279"/>
      <c r="AN115" s="53"/>
      <c r="AO115" s="53"/>
      <c r="AS115" s="279"/>
      <c r="AT115" s="275"/>
      <c r="AU115" s="53"/>
      <c r="AY115" s="53"/>
      <c r="AZ115" s="272"/>
      <c r="BC115" s="53"/>
      <c r="BD115" s="53"/>
      <c r="BG115" s="53"/>
      <c r="BK115" s="53"/>
      <c r="BL115" s="272"/>
      <c r="BO115" s="53"/>
      <c r="BP115" s="53"/>
    </row>
    <row r="116">
      <c r="D116" s="265">
        <f>COUNTIF(postDEL!$AR$2:$AR131,$C116)</f>
        <v>0</v>
      </c>
      <c r="E116" s="11" t="str">
        <f>CONCATENATE(Process!$A$1,F116)</f>
        <v>NDHM135123</v>
      </c>
      <c r="F116" s="11">
        <v>135123.0</v>
      </c>
      <c r="H116" s="9" t="s">
        <v>565</v>
      </c>
      <c r="I116" s="54">
        <v>1.0</v>
      </c>
      <c r="K116" s="267">
        <f>COUNTIF(postDEL!$AO$2:$AO131,$C116)</f>
        <v>0</v>
      </c>
      <c r="L116" s="54" t="s">
        <v>560</v>
      </c>
      <c r="M116" s="266" t="s">
        <v>547</v>
      </c>
      <c r="N116" s="268" t="b">
        <f t="shared" si="1"/>
        <v>1</v>
      </c>
      <c r="O116" s="57" t="s">
        <v>529</v>
      </c>
      <c r="P116" s="266" t="s">
        <v>208</v>
      </c>
      <c r="S116" s="2" t="s">
        <v>534</v>
      </c>
      <c r="X116" s="11"/>
      <c r="Y116" s="269" t="str">
        <f t="shared" si="2"/>
        <v/>
      </c>
      <c r="Z116" s="238"/>
      <c r="AA116" s="269"/>
      <c r="AB116" s="265"/>
      <c r="AC116" s="238"/>
      <c r="AD116" s="53" t="str">
        <f t="shared" si="4"/>
        <v>NOT</v>
      </c>
      <c r="AE116" s="11"/>
      <c r="AF116" s="11"/>
      <c r="AG116" s="11"/>
      <c r="AH116" s="265">
        <f>COUNTIF(postDEL!$AR$2:$AR131,AG116)</f>
        <v>0</v>
      </c>
      <c r="AI116" s="272"/>
      <c r="AK116" s="279"/>
      <c r="AN116" s="53"/>
      <c r="AO116" s="53"/>
      <c r="AS116" s="279"/>
      <c r="AT116" s="275"/>
      <c r="AU116" s="53"/>
      <c r="AY116" s="53"/>
      <c r="AZ116" s="272"/>
      <c r="BC116" s="53"/>
      <c r="BD116" s="53"/>
      <c r="BG116" s="53"/>
      <c r="BK116" s="53"/>
      <c r="BL116" s="272"/>
      <c r="BO116" s="53"/>
      <c r="BP116" s="53"/>
    </row>
    <row r="117">
      <c r="D117" s="265">
        <f>COUNTIF(postDEL!$AR$2:$AR131,$C117)</f>
        <v>0</v>
      </c>
      <c r="E117" s="11" t="str">
        <f>CONCATENATE(Process!$A$1,F117)</f>
        <v>NDHM968460</v>
      </c>
      <c r="F117" s="11">
        <v>968460.0</v>
      </c>
      <c r="H117" s="9" t="s">
        <v>567</v>
      </c>
      <c r="I117" s="54">
        <v>1.0</v>
      </c>
      <c r="K117" s="267">
        <f>COUNTIF(postDEL!$AO$2:$AO131,$C117)</f>
        <v>0</v>
      </c>
      <c r="L117" s="54" t="s">
        <v>520</v>
      </c>
      <c r="M117" s="266" t="s">
        <v>521</v>
      </c>
      <c r="N117" s="268" t="b">
        <f t="shared" si="1"/>
        <v>1</v>
      </c>
      <c r="O117" s="57" t="s">
        <v>529</v>
      </c>
      <c r="P117" s="266" t="s">
        <v>208</v>
      </c>
      <c r="S117" s="2" t="s">
        <v>523</v>
      </c>
      <c r="X117" s="11"/>
      <c r="Y117" s="269" t="str">
        <f t="shared" si="2"/>
        <v/>
      </c>
      <c r="Z117" s="238"/>
      <c r="AA117" s="269"/>
      <c r="AB117" s="265"/>
      <c r="AC117" s="238"/>
      <c r="AD117" s="53" t="str">
        <f t="shared" si="4"/>
        <v>NOT</v>
      </c>
      <c r="AE117" s="11"/>
      <c r="AF117" s="11"/>
      <c r="AG117" s="11"/>
      <c r="AH117" s="265">
        <f>COUNTIF(postDEL!$AR$2:$AR131,AG117)</f>
        <v>0</v>
      </c>
      <c r="AI117" s="272"/>
      <c r="AK117" s="279"/>
      <c r="AN117" s="53"/>
      <c r="AO117" s="53"/>
      <c r="AS117" s="279"/>
      <c r="AT117" s="275"/>
      <c r="AU117" s="53"/>
      <c r="AY117" s="53"/>
      <c r="AZ117" s="272"/>
      <c r="BC117" s="53"/>
      <c r="BD117" s="53"/>
      <c r="BG117" s="53"/>
      <c r="BK117" s="53"/>
      <c r="BL117" s="272"/>
      <c r="BO117" s="53"/>
      <c r="BP117" s="53"/>
    </row>
    <row r="118">
      <c r="D118" s="265">
        <f>COUNTIF(postDEL!$AR$2:$AR131,$C118)</f>
        <v>0</v>
      </c>
      <c r="E118" s="11" t="str">
        <f>CONCATENATE(Process!$A$1,F118)</f>
        <v>NDHM211940</v>
      </c>
      <c r="F118" s="11">
        <v>211940.0</v>
      </c>
      <c r="H118" s="9" t="s">
        <v>567</v>
      </c>
      <c r="I118" s="54">
        <v>1.0</v>
      </c>
      <c r="K118" s="267">
        <f>COUNTIF(postDEL!$AO$2:$AO131,$C118)</f>
        <v>0</v>
      </c>
      <c r="L118" s="54" t="s">
        <v>531</v>
      </c>
      <c r="M118" s="266" t="s">
        <v>521</v>
      </c>
      <c r="N118" s="268" t="b">
        <f t="shared" si="1"/>
        <v>1</v>
      </c>
      <c r="O118" s="57" t="s">
        <v>529</v>
      </c>
      <c r="P118" s="266" t="s">
        <v>208</v>
      </c>
      <c r="S118" s="2" t="s">
        <v>523</v>
      </c>
      <c r="X118" s="11"/>
      <c r="Y118" s="269" t="str">
        <f t="shared" si="2"/>
        <v/>
      </c>
      <c r="Z118" s="238"/>
      <c r="AA118" s="269"/>
      <c r="AB118" s="265"/>
      <c r="AC118" s="238"/>
      <c r="AD118" s="53" t="str">
        <f t="shared" si="4"/>
        <v>NOT</v>
      </c>
      <c r="AE118" s="11"/>
      <c r="AF118" s="11"/>
      <c r="AG118" s="11"/>
      <c r="AH118" s="265">
        <f>COUNTIF(postDEL!$AR$2:$AR131,AG118)</f>
        <v>0</v>
      </c>
      <c r="AI118" s="272"/>
      <c r="AK118" s="279"/>
      <c r="AN118" s="53"/>
      <c r="AO118" s="53"/>
      <c r="AS118" s="279"/>
      <c r="AT118" s="275"/>
      <c r="AU118" s="53"/>
      <c r="AY118" s="53"/>
      <c r="AZ118" s="272"/>
      <c r="BC118" s="53"/>
      <c r="BD118" s="53"/>
      <c r="BG118" s="53"/>
      <c r="BK118" s="53"/>
      <c r="BL118" s="272"/>
      <c r="BO118" s="53"/>
      <c r="BP118" s="53"/>
    </row>
    <row r="119">
      <c r="D119" s="265">
        <f>COUNTIF(postDEL!$AR$2:$AR131,$C119)</f>
        <v>0</v>
      </c>
      <c r="E119" s="11" t="str">
        <f>CONCATENATE(Process!$A$1,F119)</f>
        <v>NDHM644133</v>
      </c>
      <c r="F119" s="11">
        <v>644133.0</v>
      </c>
      <c r="H119" s="9" t="s">
        <v>567</v>
      </c>
      <c r="I119" s="54">
        <v>1.0</v>
      </c>
      <c r="K119" s="267">
        <f>COUNTIF(postDEL!$AO$2:$AO131,$C119)</f>
        <v>0</v>
      </c>
      <c r="L119" s="54" t="s">
        <v>524</v>
      </c>
      <c r="M119" s="266" t="s">
        <v>525</v>
      </c>
      <c r="N119" s="268" t="b">
        <f t="shared" si="1"/>
        <v>1</v>
      </c>
      <c r="O119" s="283"/>
      <c r="X119" s="11"/>
      <c r="Y119" s="269" t="str">
        <f t="shared" si="2"/>
        <v/>
      </c>
      <c r="Z119" s="238"/>
      <c r="AA119" s="269"/>
      <c r="AB119" s="265"/>
      <c r="AC119" s="238"/>
      <c r="AD119" s="53" t="str">
        <f t="shared" si="4"/>
        <v>NOT</v>
      </c>
      <c r="AE119" s="11"/>
      <c r="AF119" s="11"/>
      <c r="AG119" s="11"/>
      <c r="AH119" s="265">
        <f>COUNTIF(postDEL!$AR$2:$AR131,AG119)</f>
        <v>0</v>
      </c>
      <c r="AI119" s="272"/>
      <c r="AK119" s="279"/>
      <c r="AN119" s="53"/>
      <c r="AO119" s="53"/>
      <c r="AS119" s="279"/>
      <c r="AT119" s="275"/>
      <c r="AU119" s="53"/>
      <c r="AY119" s="53"/>
      <c r="AZ119" s="272"/>
      <c r="BC119" s="53"/>
      <c r="BD119" s="53"/>
      <c r="BG119" s="53"/>
      <c r="BK119" s="53"/>
      <c r="BL119" s="272"/>
      <c r="BO119" s="53"/>
      <c r="BP119" s="53"/>
    </row>
    <row r="120">
      <c r="D120" s="265">
        <f>COUNTIF(postDEL!$AR$2:$AR131,$C120)</f>
        <v>0</v>
      </c>
      <c r="E120" s="11" t="str">
        <f>CONCATENATE(Process!$A$1,F120)</f>
        <v>NDHM302335</v>
      </c>
      <c r="F120" s="11">
        <v>302335.0</v>
      </c>
      <c r="H120" s="9" t="s">
        <v>567</v>
      </c>
      <c r="I120" s="54">
        <v>1.0</v>
      </c>
      <c r="K120" s="267">
        <f>COUNTIF(postDEL!$AO$2:$AO131,$C120)</f>
        <v>0</v>
      </c>
      <c r="L120" s="54" t="s">
        <v>551</v>
      </c>
      <c r="M120" s="266" t="s">
        <v>525</v>
      </c>
      <c r="N120" s="268" t="b">
        <f t="shared" si="1"/>
        <v>1</v>
      </c>
      <c r="O120" s="283"/>
      <c r="X120" s="11"/>
      <c r="Y120" s="269" t="str">
        <f t="shared" si="2"/>
        <v/>
      </c>
      <c r="Z120" s="238"/>
      <c r="AA120" s="269"/>
      <c r="AB120" s="265"/>
      <c r="AC120" s="238"/>
      <c r="AD120" s="53" t="str">
        <f t="shared" si="4"/>
        <v>NOT</v>
      </c>
      <c r="AE120" s="11"/>
      <c r="AF120" s="11"/>
      <c r="AG120" s="11"/>
      <c r="AH120" s="265">
        <f>COUNTIF(postDEL!$AR$2:$AR131,AG120)</f>
        <v>0</v>
      </c>
      <c r="AI120" s="272"/>
      <c r="AK120" s="279"/>
      <c r="AN120" s="53"/>
      <c r="AO120" s="53"/>
      <c r="AS120" s="279"/>
      <c r="AT120" s="275"/>
      <c r="AU120" s="53"/>
      <c r="AY120" s="53"/>
      <c r="AZ120" s="272"/>
      <c r="BC120" s="53"/>
      <c r="BD120" s="53"/>
      <c r="BG120" s="53"/>
      <c r="BK120" s="53"/>
      <c r="BL120" s="272"/>
      <c r="BO120" s="53"/>
      <c r="BP120" s="53"/>
    </row>
    <row r="121">
      <c r="D121" s="265">
        <f>COUNTIF(postDEL!$AR$2:$AR131,$C121)</f>
        <v>0</v>
      </c>
      <c r="E121" s="11" t="str">
        <f>CONCATENATE(Process!$A$1,F121)</f>
        <v>NDHM777774</v>
      </c>
      <c r="F121" s="11">
        <v>777774.0</v>
      </c>
      <c r="H121" s="9" t="s">
        <v>568</v>
      </c>
      <c r="I121" s="54">
        <v>1.0</v>
      </c>
      <c r="K121" s="267">
        <f>COUNTIF(postDEL!$AO$2:$AO131,$C121)</f>
        <v>0</v>
      </c>
      <c r="L121" s="54" t="s">
        <v>524</v>
      </c>
      <c r="M121" s="266" t="s">
        <v>525</v>
      </c>
      <c r="N121" s="268" t="b">
        <f t="shared" si="1"/>
        <v>1</v>
      </c>
      <c r="O121" s="283"/>
      <c r="X121" s="11"/>
      <c r="Y121" s="269" t="str">
        <f t="shared" si="2"/>
        <v/>
      </c>
      <c r="Z121" s="238"/>
      <c r="AA121" s="269"/>
      <c r="AB121" s="265"/>
      <c r="AC121" s="238"/>
      <c r="AD121" s="53" t="str">
        <f t="shared" si="4"/>
        <v>NOT</v>
      </c>
      <c r="AE121" s="11"/>
      <c r="AF121" s="11"/>
      <c r="AG121" s="11"/>
      <c r="AH121" s="265">
        <f>COUNTIF(postDEL!$AR$2:$AR131,AG121)</f>
        <v>0</v>
      </c>
      <c r="AI121" s="272"/>
      <c r="AK121" s="279"/>
      <c r="AN121" s="53"/>
      <c r="AO121" s="53"/>
      <c r="AS121" s="279"/>
      <c r="AT121" s="275"/>
      <c r="AU121" s="53"/>
      <c r="AY121" s="53"/>
      <c r="AZ121" s="272"/>
      <c r="BC121" s="53"/>
      <c r="BD121" s="53"/>
      <c r="BG121" s="53"/>
      <c r="BK121" s="53"/>
      <c r="BL121" s="272"/>
      <c r="BO121" s="53"/>
      <c r="BP121" s="53"/>
    </row>
    <row r="122">
      <c r="D122" s="265">
        <f>COUNTIF(postDEL!$AR$2:$AR131,$C122)</f>
        <v>0</v>
      </c>
      <c r="E122" s="11" t="str">
        <f>CONCATENATE(Process!$A$1,F122)</f>
        <v>NDHM686401</v>
      </c>
      <c r="F122" s="11">
        <v>686401.0</v>
      </c>
      <c r="H122" s="9" t="s">
        <v>568</v>
      </c>
      <c r="I122" s="54">
        <v>1.0</v>
      </c>
      <c r="J122" s="266" t="s">
        <v>541</v>
      </c>
      <c r="K122" s="267">
        <f>COUNTIF(postDEL!$AO$2:$AO131,$C122)</f>
        <v>0</v>
      </c>
      <c r="L122" s="54" t="s">
        <v>520</v>
      </c>
      <c r="M122" s="266" t="s">
        <v>521</v>
      </c>
      <c r="N122" s="268" t="b">
        <f t="shared" si="1"/>
        <v>1</v>
      </c>
      <c r="O122" s="57" t="s">
        <v>529</v>
      </c>
      <c r="P122" s="266" t="s">
        <v>208</v>
      </c>
      <c r="S122" s="2" t="s">
        <v>534</v>
      </c>
      <c r="X122" s="11"/>
      <c r="Y122" s="269" t="str">
        <f t="shared" si="2"/>
        <v/>
      </c>
      <c r="Z122" s="238"/>
      <c r="AA122" s="269"/>
      <c r="AB122" s="265"/>
      <c r="AC122" s="238"/>
      <c r="AD122" s="53" t="str">
        <f t="shared" si="4"/>
        <v>NOT</v>
      </c>
      <c r="AE122" s="11"/>
      <c r="AF122" s="11"/>
      <c r="AG122" s="11"/>
      <c r="AH122" s="265">
        <f>COUNTIF(postDEL!$AR$2:$AR131,AG122)</f>
        <v>0</v>
      </c>
      <c r="AI122" s="272"/>
      <c r="AK122" s="279"/>
      <c r="AN122" s="53"/>
      <c r="AO122" s="53"/>
      <c r="AS122" s="279"/>
      <c r="AT122" s="275"/>
      <c r="AU122" s="53"/>
      <c r="AY122" s="53"/>
      <c r="AZ122" s="272"/>
      <c r="BC122" s="53"/>
      <c r="BD122" s="53"/>
      <c r="BG122" s="53"/>
      <c r="BK122" s="53"/>
      <c r="BL122" s="272"/>
      <c r="BO122" s="53"/>
      <c r="BP122" s="53"/>
    </row>
    <row r="123">
      <c r="D123" s="265">
        <f>COUNTIF(postDEL!$AR$2:$AR131,$C123)</f>
        <v>0</v>
      </c>
      <c r="E123" s="11" t="str">
        <f>CONCATENATE(Process!$A$1,F123)</f>
        <v>NDHM823299</v>
      </c>
      <c r="F123" s="11">
        <v>823299.0</v>
      </c>
      <c r="H123" s="9" t="s">
        <v>569</v>
      </c>
      <c r="I123" s="54">
        <v>1.0</v>
      </c>
      <c r="K123" s="267">
        <f>COUNTIF(postDEL!$AO$2:$AO131,$C123)</f>
        <v>0</v>
      </c>
      <c r="L123" s="54" t="s">
        <v>524</v>
      </c>
      <c r="M123" s="266" t="s">
        <v>525</v>
      </c>
      <c r="N123" s="268" t="b">
        <f t="shared" si="1"/>
        <v>1</v>
      </c>
      <c r="O123" s="283"/>
      <c r="X123" s="11"/>
      <c r="Y123" s="269" t="str">
        <f t="shared" si="2"/>
        <v/>
      </c>
      <c r="Z123" s="238"/>
      <c r="AA123" s="269"/>
      <c r="AB123" s="265"/>
      <c r="AC123" s="238"/>
      <c r="AD123" s="53" t="str">
        <f t="shared" si="4"/>
        <v>NOT</v>
      </c>
      <c r="AE123" s="11"/>
      <c r="AF123" s="11"/>
      <c r="AG123" s="11"/>
      <c r="AH123" s="265">
        <f>COUNTIF(postDEL!$AR$2:$AR131,AG123)</f>
        <v>0</v>
      </c>
      <c r="AI123" s="272"/>
      <c r="AK123" s="279"/>
      <c r="AN123" s="53"/>
      <c r="AO123" s="53"/>
      <c r="AS123" s="279"/>
      <c r="AT123" s="275"/>
      <c r="AU123" s="53"/>
      <c r="AY123" s="53"/>
      <c r="AZ123" s="272"/>
      <c r="BC123" s="53"/>
      <c r="BD123" s="53"/>
      <c r="BG123" s="53"/>
      <c r="BK123" s="53"/>
      <c r="BL123" s="272"/>
      <c r="BO123" s="53"/>
      <c r="BP123" s="53"/>
    </row>
    <row r="124">
      <c r="D124" s="265">
        <f>COUNTIF(postDEL!$AR$2:$AR131,$C124)</f>
        <v>0</v>
      </c>
      <c r="E124" s="11" t="str">
        <f>CONCATENATE(Process!$A$1,F124)</f>
        <v>NDHM127632</v>
      </c>
      <c r="F124" s="11">
        <v>127632.0</v>
      </c>
      <c r="H124" s="9" t="s">
        <v>569</v>
      </c>
      <c r="I124" s="54">
        <v>1.0</v>
      </c>
      <c r="J124" s="266" t="s">
        <v>541</v>
      </c>
      <c r="K124" s="267">
        <f>COUNTIF(postDEL!$AO$2:$AO131,$C124)</f>
        <v>0</v>
      </c>
      <c r="L124" s="54" t="s">
        <v>520</v>
      </c>
      <c r="M124" s="266" t="s">
        <v>521</v>
      </c>
      <c r="N124" s="268" t="b">
        <f t="shared" si="1"/>
        <v>1</v>
      </c>
      <c r="O124" s="57" t="s">
        <v>529</v>
      </c>
      <c r="P124" s="266" t="s">
        <v>208</v>
      </c>
      <c r="S124" s="2" t="s">
        <v>523</v>
      </c>
      <c r="X124" s="11"/>
      <c r="Y124" s="269" t="str">
        <f t="shared" si="2"/>
        <v/>
      </c>
      <c r="Z124" s="238"/>
      <c r="AA124" s="269"/>
      <c r="AB124" s="265"/>
      <c r="AC124" s="238"/>
      <c r="AD124" s="53" t="str">
        <f t="shared" si="4"/>
        <v>NOT</v>
      </c>
      <c r="AE124" s="11"/>
      <c r="AF124" s="11"/>
      <c r="AG124" s="11"/>
      <c r="AH124" s="265">
        <f>COUNTIF(postDEL!$AR$2:$AR131,AG124)</f>
        <v>0</v>
      </c>
      <c r="AI124" s="272"/>
      <c r="AK124" s="279"/>
      <c r="AN124" s="53"/>
      <c r="AO124" s="53"/>
      <c r="AS124" s="279"/>
      <c r="AT124" s="275"/>
      <c r="AU124" s="53"/>
      <c r="AY124" s="53"/>
      <c r="AZ124" s="272"/>
      <c r="BC124" s="53"/>
      <c r="BD124" s="53"/>
      <c r="BG124" s="53"/>
      <c r="BK124" s="53"/>
      <c r="BL124" s="272"/>
      <c r="BO124" s="53"/>
      <c r="BP124" s="53"/>
    </row>
    <row r="125">
      <c r="D125" s="265">
        <f>COUNTIF(postDEL!$AR$2:$AR131,$C125)</f>
        <v>0</v>
      </c>
      <c r="E125" s="11" t="str">
        <f>CONCATENATE(Process!$A$1,F125)</f>
        <v>NDHM231033</v>
      </c>
      <c r="F125" s="11">
        <v>231033.0</v>
      </c>
      <c r="H125" s="9" t="s">
        <v>569</v>
      </c>
      <c r="I125" s="54">
        <v>1.0</v>
      </c>
      <c r="K125" s="267">
        <f>COUNTIF(postDEL!$AO$2:$AO131,$C125)</f>
        <v>0</v>
      </c>
      <c r="L125" s="54" t="s">
        <v>531</v>
      </c>
      <c r="M125" s="266" t="s">
        <v>521</v>
      </c>
      <c r="N125" s="268" t="b">
        <f t="shared" si="1"/>
        <v>1</v>
      </c>
      <c r="O125" s="57" t="s">
        <v>529</v>
      </c>
      <c r="P125" s="266" t="s">
        <v>208</v>
      </c>
      <c r="S125" s="2" t="s">
        <v>534</v>
      </c>
      <c r="X125" s="11"/>
      <c r="Y125" s="269" t="str">
        <f t="shared" si="2"/>
        <v/>
      </c>
      <c r="Z125" s="238"/>
      <c r="AA125" s="269"/>
      <c r="AB125" s="265"/>
      <c r="AC125" s="238"/>
      <c r="AD125" s="53" t="str">
        <f t="shared" si="4"/>
        <v>NOT</v>
      </c>
      <c r="AE125" s="11"/>
      <c r="AF125" s="11"/>
      <c r="AG125" s="11"/>
      <c r="AH125" s="265">
        <f>COUNTIF(postDEL!$AR$2:$AR131,AG125)</f>
        <v>0</v>
      </c>
      <c r="AI125" s="272"/>
      <c r="AK125" s="279"/>
      <c r="AN125" s="53"/>
      <c r="AO125" s="53"/>
      <c r="AS125" s="279"/>
      <c r="AT125" s="275"/>
      <c r="AU125" s="53"/>
      <c r="AY125" s="53"/>
      <c r="AZ125" s="272"/>
      <c r="BC125" s="53"/>
      <c r="BD125" s="53"/>
      <c r="BG125" s="53"/>
      <c r="BK125" s="53"/>
      <c r="BL125" s="272"/>
      <c r="BO125" s="53"/>
      <c r="BP125" s="53"/>
    </row>
    <row r="126">
      <c r="D126" s="265">
        <f>COUNTIF(postDEL!$AR$2:$AR131,$C126)</f>
        <v>0</v>
      </c>
      <c r="E126" s="11" t="str">
        <f>CONCATENATE(Process!$A$1,F126)</f>
        <v>NDHM657515</v>
      </c>
      <c r="F126" s="11">
        <v>657515.0</v>
      </c>
      <c r="H126" s="9" t="s">
        <v>571</v>
      </c>
      <c r="I126" s="54">
        <v>1.0</v>
      </c>
      <c r="K126" s="267">
        <f>COUNTIF(postDEL!$AO$2:$AO131,$C126)</f>
        <v>0</v>
      </c>
      <c r="L126" s="54" t="s">
        <v>531</v>
      </c>
      <c r="M126" s="266" t="s">
        <v>521</v>
      </c>
      <c r="N126" s="268" t="b">
        <f t="shared" si="1"/>
        <v>1</v>
      </c>
      <c r="O126" s="57" t="s">
        <v>529</v>
      </c>
      <c r="P126" s="266" t="s">
        <v>208</v>
      </c>
      <c r="S126" s="2" t="s">
        <v>534</v>
      </c>
      <c r="X126" s="11"/>
      <c r="Y126" s="269" t="str">
        <f t="shared" si="2"/>
        <v/>
      </c>
      <c r="Z126" s="238"/>
      <c r="AA126" s="269"/>
      <c r="AB126" s="265"/>
      <c r="AC126" s="238"/>
      <c r="AD126" s="53" t="str">
        <f t="shared" si="4"/>
        <v>NOT</v>
      </c>
      <c r="AE126" s="11"/>
      <c r="AF126" s="11"/>
      <c r="AG126" s="11"/>
      <c r="AH126" s="265">
        <f>COUNTIF(postDEL!$AR$2:$AR131,AG126)</f>
        <v>0</v>
      </c>
      <c r="AI126" s="272"/>
      <c r="AK126" s="279"/>
      <c r="AN126" s="53"/>
      <c r="AO126" s="53"/>
      <c r="AS126" s="279"/>
      <c r="AT126" s="275"/>
      <c r="AU126" s="53"/>
      <c r="AY126" s="53"/>
      <c r="AZ126" s="272"/>
      <c r="BC126" s="53"/>
      <c r="BD126" s="53"/>
      <c r="BG126" s="53"/>
      <c r="BK126" s="53"/>
      <c r="BL126" s="272"/>
      <c r="BO126" s="53"/>
      <c r="BP126" s="53"/>
    </row>
    <row r="127">
      <c r="D127" s="265">
        <f>COUNTIF(postDEL!$AR$2:$AR131,$C127)</f>
        <v>0</v>
      </c>
      <c r="E127" s="11" t="str">
        <f>CONCATENATE(Process!$A$1,F127)</f>
        <v>NDHM197813</v>
      </c>
      <c r="F127" s="11">
        <v>197813.0</v>
      </c>
      <c r="H127" s="9" t="s">
        <v>572</v>
      </c>
      <c r="I127" s="54">
        <v>1.0</v>
      </c>
      <c r="K127" s="267">
        <f>COUNTIF(postDEL!$AO$2:$AO131,$C127)</f>
        <v>0</v>
      </c>
      <c r="L127" s="54" t="s">
        <v>563</v>
      </c>
      <c r="M127" s="266" t="s">
        <v>525</v>
      </c>
      <c r="N127" s="268" t="b">
        <f t="shared" si="1"/>
        <v>1</v>
      </c>
      <c r="O127" s="57" t="s">
        <v>526</v>
      </c>
      <c r="P127" s="266" t="s">
        <v>208</v>
      </c>
      <c r="S127" s="2" t="s">
        <v>523</v>
      </c>
      <c r="X127" s="11"/>
      <c r="Y127" s="269" t="str">
        <f t="shared" si="2"/>
        <v/>
      </c>
      <c r="Z127" s="238"/>
      <c r="AA127" s="269"/>
      <c r="AB127" s="265"/>
      <c r="AC127" s="238"/>
      <c r="AD127" s="53" t="str">
        <f t="shared" si="4"/>
        <v>NOT</v>
      </c>
      <c r="AE127" s="11"/>
      <c r="AF127" s="11"/>
      <c r="AG127" s="11"/>
      <c r="AH127" s="265">
        <f>COUNTIF(postDEL!$AR$2:$AR131,AG127)</f>
        <v>0</v>
      </c>
      <c r="AI127" s="272"/>
      <c r="AK127" s="279"/>
      <c r="AN127" s="53"/>
      <c r="AO127" s="53"/>
      <c r="AS127" s="279"/>
      <c r="AT127" s="275"/>
      <c r="AU127" s="53"/>
      <c r="AY127" s="53"/>
      <c r="AZ127" s="272"/>
      <c r="BC127" s="53"/>
      <c r="BD127" s="53"/>
      <c r="BG127" s="53"/>
      <c r="BK127" s="53"/>
      <c r="BL127" s="272"/>
      <c r="BO127" s="53"/>
      <c r="BP127" s="53"/>
    </row>
    <row r="128">
      <c r="D128" s="265">
        <f>COUNTIF(postDEL!$AR$2:$AR131,$C128)</f>
        <v>0</v>
      </c>
      <c r="E128" s="11" t="str">
        <f>CONCATENATE(Process!$A$1,F128)</f>
        <v>NDHM471819</v>
      </c>
      <c r="F128" s="11">
        <v>471819.0</v>
      </c>
      <c r="H128" s="9" t="s">
        <v>572</v>
      </c>
      <c r="I128" s="54">
        <v>1.0</v>
      </c>
      <c r="J128" s="11" t="s">
        <v>585</v>
      </c>
      <c r="K128" s="267">
        <f>COUNTIF(postDEL!$AO$2:$AO131,$C128)</f>
        <v>0</v>
      </c>
      <c r="L128" s="54" t="s">
        <v>520</v>
      </c>
      <c r="M128" s="266" t="s">
        <v>521</v>
      </c>
      <c r="N128" s="268" t="b">
        <f t="shared" si="1"/>
        <v>1</v>
      </c>
      <c r="O128" s="57" t="s">
        <v>529</v>
      </c>
      <c r="P128" s="266" t="s">
        <v>208</v>
      </c>
      <c r="S128" s="2" t="s">
        <v>523</v>
      </c>
      <c r="X128" s="11"/>
      <c r="Y128" s="269" t="str">
        <f t="shared" si="2"/>
        <v/>
      </c>
      <c r="Z128" s="238"/>
      <c r="AA128" s="269"/>
      <c r="AB128" s="265"/>
      <c r="AC128" s="238"/>
      <c r="AD128" s="53" t="str">
        <f t="shared" si="4"/>
        <v>NOT</v>
      </c>
      <c r="AE128" s="11"/>
      <c r="AF128" s="11"/>
      <c r="AG128" s="11"/>
      <c r="AH128" s="265">
        <f>COUNTIF(postDEL!$AR$2:$AR131,AG128)</f>
        <v>0</v>
      </c>
      <c r="AI128" s="272"/>
      <c r="AK128" s="279"/>
      <c r="AN128" s="53"/>
      <c r="AO128" s="53"/>
      <c r="AS128" s="279"/>
      <c r="AT128" s="275"/>
      <c r="AU128" s="53"/>
      <c r="AY128" s="53"/>
      <c r="AZ128" s="272"/>
      <c r="BC128" s="53"/>
      <c r="BD128" s="53"/>
      <c r="BG128" s="53"/>
      <c r="BK128" s="53"/>
      <c r="BL128" s="272"/>
      <c r="BO128" s="53"/>
      <c r="BP128" s="53"/>
    </row>
    <row r="129">
      <c r="D129" s="265">
        <f>COUNTIF(postDEL!$AR$2:$AR131,$C129)</f>
        <v>0</v>
      </c>
      <c r="E129" s="11" t="str">
        <f>CONCATENATE(Process!$A$1,F129)</f>
        <v>NDHM949496</v>
      </c>
      <c r="F129" s="11">
        <v>949496.0</v>
      </c>
      <c r="H129" s="9" t="s">
        <v>572</v>
      </c>
      <c r="I129" s="54">
        <v>1.0</v>
      </c>
      <c r="J129" s="266" t="s">
        <v>545</v>
      </c>
      <c r="K129" s="267">
        <f>COUNTIF(postDEL!$AO$2:$AO131,$C129)</f>
        <v>0</v>
      </c>
      <c r="L129" s="54" t="s">
        <v>524</v>
      </c>
      <c r="M129" s="266" t="s">
        <v>525</v>
      </c>
      <c r="N129" s="268" t="b">
        <f t="shared" si="1"/>
        <v>1</v>
      </c>
      <c r="O129" s="57" t="s">
        <v>526</v>
      </c>
      <c r="P129" s="266" t="s">
        <v>208</v>
      </c>
      <c r="S129" s="2" t="s">
        <v>523</v>
      </c>
      <c r="X129" s="11"/>
      <c r="Y129" s="269" t="str">
        <f t="shared" si="2"/>
        <v/>
      </c>
      <c r="Z129" s="238"/>
      <c r="AA129" s="269"/>
      <c r="AB129" s="265"/>
      <c r="AC129" s="238"/>
      <c r="AD129" s="53" t="str">
        <f t="shared" si="4"/>
        <v>NOT</v>
      </c>
      <c r="AE129" s="11"/>
      <c r="AF129" s="11"/>
      <c r="AG129" s="11"/>
      <c r="AH129" s="265">
        <f>COUNTIF(postDEL!$AR$2:$AR131,AG129)</f>
        <v>0</v>
      </c>
      <c r="AI129" s="272"/>
      <c r="AK129" s="279"/>
      <c r="AN129" s="53"/>
      <c r="AO129" s="53"/>
      <c r="AS129" s="279"/>
      <c r="AT129" s="275"/>
      <c r="AU129" s="53"/>
      <c r="AY129" s="53"/>
      <c r="AZ129" s="272"/>
      <c r="BC129" s="53"/>
      <c r="BD129" s="53"/>
      <c r="BG129" s="53"/>
      <c r="BK129" s="53"/>
      <c r="BL129" s="272"/>
      <c r="BO129" s="53"/>
      <c r="BP129" s="53"/>
    </row>
    <row r="130">
      <c r="D130" s="265">
        <f>COUNTIF(postDEL!$AR$2:$AR131,$C130)</f>
        <v>0</v>
      </c>
      <c r="E130" s="11" t="str">
        <f>CONCATENATE(Process!$A$1,F130)</f>
        <v>NDHM612350</v>
      </c>
      <c r="F130" s="11">
        <v>612350.0</v>
      </c>
      <c r="H130" s="9" t="s">
        <v>572</v>
      </c>
      <c r="I130" s="54">
        <v>1.0</v>
      </c>
      <c r="K130" s="267">
        <f>COUNTIF(postDEL!$AO$2:$AO131,$C130)</f>
        <v>0</v>
      </c>
      <c r="L130" s="54" t="s">
        <v>551</v>
      </c>
      <c r="M130" s="266" t="s">
        <v>525</v>
      </c>
      <c r="N130" s="268" t="b">
        <f t="shared" si="1"/>
        <v>1</v>
      </c>
      <c r="O130" s="57" t="s">
        <v>526</v>
      </c>
      <c r="P130" s="266" t="s">
        <v>208</v>
      </c>
      <c r="S130" s="2" t="s">
        <v>523</v>
      </c>
      <c r="X130" s="11"/>
      <c r="Y130" s="269" t="str">
        <f t="shared" si="2"/>
        <v/>
      </c>
      <c r="Z130" s="238"/>
      <c r="AA130" s="269"/>
      <c r="AB130" s="265"/>
      <c r="AC130" s="238"/>
      <c r="AD130" s="53" t="str">
        <f t="shared" si="4"/>
        <v>NOT</v>
      </c>
      <c r="AE130" s="11"/>
      <c r="AF130" s="11"/>
      <c r="AG130" s="11"/>
      <c r="AH130" s="265">
        <f>COUNTIF(postDEL!$AR$2:$AR131,AG130)</f>
        <v>0</v>
      </c>
      <c r="AI130" s="272"/>
      <c r="AK130" s="279"/>
      <c r="AN130" s="53"/>
      <c r="AO130" s="53"/>
      <c r="AS130" s="279"/>
      <c r="AT130" s="275"/>
      <c r="AU130" s="53"/>
      <c r="AY130" s="53"/>
      <c r="AZ130" s="272"/>
      <c r="BC130" s="53"/>
      <c r="BD130" s="53"/>
      <c r="BG130" s="53"/>
      <c r="BK130" s="53"/>
      <c r="BL130" s="272"/>
      <c r="BO130" s="53"/>
      <c r="BP130" s="53"/>
    </row>
    <row r="131">
      <c r="D131" s="265">
        <f>COUNTIF(postDEL!$AR$2:$AR131,$C131)</f>
        <v>0</v>
      </c>
      <c r="E131" s="11" t="str">
        <f>CONCATENATE(Process!$A$1,F131)</f>
        <v>NDHM271350</v>
      </c>
      <c r="F131" s="11">
        <v>271350.0</v>
      </c>
      <c r="H131" s="9" t="s">
        <v>572</v>
      </c>
      <c r="I131" s="54">
        <v>1.0</v>
      </c>
      <c r="K131" s="267">
        <f>COUNTIF(postDEL!$AO$2:$AO131,$C131)</f>
        <v>0</v>
      </c>
      <c r="L131" s="54" t="s">
        <v>531</v>
      </c>
      <c r="M131" s="266" t="s">
        <v>521</v>
      </c>
      <c r="N131" s="268" t="b">
        <f t="shared" si="1"/>
        <v>1</v>
      </c>
      <c r="O131" s="57" t="s">
        <v>529</v>
      </c>
      <c r="P131" s="266" t="s">
        <v>208</v>
      </c>
      <c r="S131" s="2" t="s">
        <v>534</v>
      </c>
      <c r="X131" s="11"/>
      <c r="Y131" s="269" t="str">
        <f t="shared" si="2"/>
        <v/>
      </c>
      <c r="Z131" s="238"/>
      <c r="AA131" s="269"/>
      <c r="AB131" s="265"/>
      <c r="AC131" s="238"/>
      <c r="AD131" s="53" t="str">
        <f t="shared" si="4"/>
        <v>NOT</v>
      </c>
      <c r="AE131" s="11"/>
      <c r="AF131" s="11"/>
      <c r="AG131" s="11"/>
      <c r="AH131" s="265">
        <f>COUNTIF(postDEL!$AR$2:$AR131,AG131)</f>
        <v>0</v>
      </c>
      <c r="AI131" s="272"/>
      <c r="AK131" s="279"/>
      <c r="AN131" s="53"/>
      <c r="AO131" s="53"/>
      <c r="AS131" s="279"/>
      <c r="AT131" s="275"/>
      <c r="AU131" s="53"/>
      <c r="AY131" s="53"/>
      <c r="AZ131" s="272"/>
      <c r="BC131" s="53"/>
      <c r="BD131" s="53"/>
      <c r="BG131" s="53"/>
      <c r="BK131" s="53"/>
      <c r="BL131" s="272"/>
      <c r="BO131" s="53"/>
      <c r="BP131" s="53"/>
    </row>
  </sheetData>
  <conditionalFormatting sqref="A1 B1 C1">
    <cfRule type="expression" dxfId="0" priority="1">
      <formula>AND($Y1,$AD1)</formula>
    </cfRule>
  </conditionalFormatting>
  <conditionalFormatting sqref="A1 B1 C1">
    <cfRule type="expression" dxfId="1" priority="2">
      <formula>NOT(AND($Y1,$AD1))</formula>
    </cfRule>
  </conditionalFormatting>
  <conditionalFormatting sqref="Y2:Y131 AD2:AD131 AU2:AU131 BG2:BG131">
    <cfRule type="notContainsBlanks" dxfId="1" priority="3">
      <formula>LEN(TRIM(Y2))&gt;0</formula>
    </cfRule>
  </conditionalFormatting>
  <conditionalFormatting sqref="D1 F1 K1 Y1 AD1 AH1 AL1 AN1:AO1 AR1 AU1 AY1 BC1:BD1 BG1 BK1 BO1:BP1">
    <cfRule type="notContainsText" dxfId="0" priority="4" operator="notContains" text="ERROR">
      <formula>ISERROR(SEARCH(("ERROR"),(D1)))</formula>
    </cfRule>
  </conditionalFormatting>
  <conditionalFormatting sqref="D1 F1 K1 Y1 AB1 AD1 AH1 AL1 AN1:AO1 AR1 AU1 AY1 BC1:BD1 BG1 BK1 BO1:BP1">
    <cfRule type="containsText" dxfId="1" priority="5" operator="containsText" text="ERROR">
      <formula>NOT(ISERROR(SEARCH(("ERROR"),(D1))))</formula>
    </cfRule>
  </conditionalFormatting>
  <conditionalFormatting sqref="AE2:AG131">
    <cfRule type="expression" dxfId="1" priority="6">
      <formula>$AD2="NOT"</formula>
    </cfRule>
  </conditionalFormatting>
  <conditionalFormatting sqref="D2:D131 N2:N131 AE2:AE3 M3 O3:R3 T3:W3 Y3 AA3 AD3 AF3:AG3 AI3:AP3 AS3 AU3:BQ3 X4:X131">
    <cfRule type="expression" dxfId="3" priority="7">
      <formula>$N2</formula>
    </cfRule>
  </conditionalFormatting>
  <conditionalFormatting sqref="AN2:AO131 BC2:BD131 BO2:BP131">
    <cfRule type="cellIs" dxfId="1" priority="8" operator="equal">
      <formula>"FALSE"</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3.0" topLeftCell="D1" activePane="topRight" state="frozen"/>
      <selection activeCell="E2" sqref="E2" pane="topRight"/>
    </sheetView>
  </sheetViews>
  <sheetFormatPr customHeight="1" defaultColWidth="12.63" defaultRowHeight="15.75" outlineLevelCol="1"/>
  <cols>
    <col customWidth="1" min="1" max="1" width="10.63"/>
    <col customWidth="1" min="2" max="2" width="12.38"/>
    <col customWidth="1" min="4" max="4" width="15.75" outlineLevel="1"/>
    <col min="5" max="9" width="12.63" outlineLevel="1"/>
    <col customWidth="1" min="10" max="10" width="11.88" outlineLevel="1"/>
    <col customWidth="1" min="11" max="11" width="23.38"/>
    <col customWidth="1" min="12" max="12" width="17.88"/>
    <col customWidth="1" min="13" max="13" width="26.88" outlineLevel="1"/>
    <col customWidth="1" min="14" max="14" width="11.0" outlineLevel="1"/>
    <col customWidth="1" min="15" max="15" width="14.63" outlineLevel="1"/>
    <col min="16" max="18" width="12.63" outlineLevel="1"/>
  </cols>
  <sheetData>
    <row r="1">
      <c r="A1" s="58" t="s">
        <v>156</v>
      </c>
      <c r="B1" s="58" t="s">
        <v>133</v>
      </c>
      <c r="C1" s="58" t="s">
        <v>134</v>
      </c>
      <c r="D1" s="63" t="s">
        <v>135</v>
      </c>
      <c r="E1" s="58" t="s">
        <v>136</v>
      </c>
      <c r="F1" s="58" t="s">
        <v>137</v>
      </c>
      <c r="G1" s="63" t="s">
        <v>138</v>
      </c>
      <c r="H1" s="58" t="s">
        <v>139</v>
      </c>
      <c r="I1" s="58" t="s">
        <v>140</v>
      </c>
      <c r="J1" s="63" t="s">
        <v>141</v>
      </c>
      <c r="K1" s="58" t="s">
        <v>142</v>
      </c>
      <c r="L1" s="63" t="s">
        <v>143</v>
      </c>
      <c r="M1" s="63" t="s">
        <v>144</v>
      </c>
      <c r="N1" s="71" t="s">
        <v>145</v>
      </c>
      <c r="O1" s="59" t="s">
        <v>146</v>
      </c>
      <c r="P1" s="63" t="s">
        <v>586</v>
      </c>
      <c r="Q1" s="51" t="s">
        <v>587</v>
      </c>
      <c r="R1" s="59"/>
      <c r="S1" s="3"/>
      <c r="T1" s="3"/>
      <c r="U1" s="3"/>
      <c r="V1" s="3"/>
      <c r="W1" s="3"/>
      <c r="X1" s="3"/>
      <c r="Y1" s="3"/>
      <c r="Z1" s="3"/>
      <c r="AA1" s="3"/>
    </row>
    <row r="2">
      <c r="A2" s="287" t="str">
        <f t="array" ref="A2:A80">UNIQUE(postDEL!$A$2:$A89)</f>
        <v>AG575</v>
      </c>
      <c r="B2" s="288">
        <f t="array" ref="B2">INDEX(postDEL!$A$2:$P89,$O2,2)</f>
        <v>44683</v>
      </c>
      <c r="C2" s="289">
        <f t="array" ref="C2">INDEX(postDEL!$A$2:$P89,$O2,3)</f>
        <v>0.1749768519</v>
      </c>
      <c r="D2" s="290" t="str">
        <f t="array" ref="D2">INDEX(postDEL!$A$2:$AN89,$O2,39)</f>
        <v>SpNDHM955894</v>
      </c>
      <c r="E2" s="290" t="str">
        <f t="array" ref="E2">INDEX(postDEL!$A$2:$P89,$O2,4)</f>
        <v/>
      </c>
      <c r="F2" s="290" t="str">
        <f t="array" ref="F2">INDEX(postDEL!$A$2:$P89,$O2,5)</f>
        <v/>
      </c>
      <c r="G2" s="290" t="str">
        <f t="array" ref="G2">INDEX(postDEL!$A$2:$P89,$O2,11)</f>
        <v>Negative</v>
      </c>
      <c r="H2" s="290" t="str">
        <f t="array" ref="H2">INDEX(postDEL!$A$2:$AL89,$O2,37)</f>
        <v>Negative</v>
      </c>
      <c r="I2" s="288">
        <f t="array" ref="I2">INDEX(postDEL!$A$2:$AL89,$O2,12)</f>
        <v>44683</v>
      </c>
      <c r="J2" s="289">
        <f t="array" ref="J2">INDEX(postDEL!$A$2:$AL89,$O2,13)</f>
        <v>0.3578125</v>
      </c>
      <c r="K2" s="290" t="str">
        <f t="array" ref="K2">INDEX(postDEL!$A$2:$AL89,$O2,36)</f>
        <v/>
      </c>
      <c r="L2" s="290" t="str">
        <f t="array" ref="L2">INDEX(postDEL!$A$2:$AL89,$O2,38)</f>
        <v/>
      </c>
      <c r="M2" s="290" t="str">
        <f t="array" ref="M2">INDEX(postDEL!$A$2:$AL89,$O2,15)</f>
        <v/>
      </c>
      <c r="N2" s="93">
        <f>COUNTIF(postDEL!$A$2:$A89,A2)</f>
        <v>4</v>
      </c>
      <c r="O2" s="8">
        <f>MATCH(A2,postDEL!A$2:A89,0)</f>
        <v>1</v>
      </c>
      <c r="P2" s="7" t="b">
        <f t="shared" ref="P2:P79" si="1">IF(B2&lt;&gt;B1,TRUE,IFERROR(0/0,""))</f>
        <v>1</v>
      </c>
      <c r="Q2" s="291">
        <f t="shared" ref="Q2:Q79" si="2">IF(ISBLANK(I2),-1,(I2-B2))</f>
        <v>0</v>
      </c>
      <c r="R2" s="3"/>
      <c r="S2" s="3"/>
      <c r="T2" s="3"/>
      <c r="U2" s="3"/>
      <c r="V2" s="3"/>
      <c r="W2" s="3"/>
      <c r="X2" s="3"/>
      <c r="Y2" s="3"/>
      <c r="Z2" s="3"/>
      <c r="AA2" s="3"/>
    </row>
    <row r="3">
      <c r="A3" s="292" t="s">
        <v>283</v>
      </c>
      <c r="B3" s="288">
        <f t="array" ref="B3">INDEX(postDEL!$A$2:$P89,$O3,2)</f>
        <v>44683</v>
      </c>
      <c r="C3" s="289">
        <f t="array" ref="C3">INDEX(postDEL!$A$2:$P89,$O3,3)</f>
        <v>0.1772106481</v>
      </c>
      <c r="D3" s="290" t="str">
        <f t="array" ref="D3">INDEX(postDEL!$A$2:$AN89,$O3,39)</f>
        <v>SpNDHM118014</v>
      </c>
      <c r="E3" s="290" t="str">
        <f t="array" ref="E3">INDEX(postDEL!$A$2:$P89,$O3,4)</f>
        <v/>
      </c>
      <c r="F3" s="290" t="str">
        <f t="array" ref="F3">INDEX(postDEL!$A$2:$P89,$O3,5)</f>
        <v/>
      </c>
      <c r="G3" s="290" t="str">
        <f t="array" ref="G3">INDEX(postDEL!$A$2:$P89,$O3,11)</f>
        <v>Negative</v>
      </c>
      <c r="H3" s="290" t="str">
        <f t="array" ref="H3">INDEX(postDEL!$A$2:$AL89,$O3,37)</f>
        <v>Negative</v>
      </c>
      <c r="I3" s="288">
        <f t="array" ref="I3">INDEX(postDEL!$A$2:$AL89,$O3,12)</f>
        <v>44683</v>
      </c>
      <c r="J3" s="289">
        <f t="array" ref="J3">INDEX(postDEL!$A$2:$AL89,$O3,13)</f>
        <v>0.3578125</v>
      </c>
      <c r="K3" s="290" t="str">
        <f t="array" ref="K3">INDEX(postDEL!$A$2:$AL89,$O3,36)</f>
        <v/>
      </c>
      <c r="L3" s="290" t="str">
        <f t="array" ref="L3">INDEX(postDEL!$A$2:$AL89,$O3,38)</f>
        <v/>
      </c>
      <c r="M3" s="290" t="str">
        <f t="array" ref="M3">INDEX(postDEL!$A$2:$AL89,$O3,15)</f>
        <v/>
      </c>
      <c r="N3" s="93">
        <f>COUNTIF(postDEL!$A$2:$A89,A3)</f>
        <v>2</v>
      </c>
      <c r="O3" s="8">
        <f>MATCH(A3,postDEL!A$2:A89,0)</f>
        <v>5</v>
      </c>
      <c r="P3" s="7" t="str">
        <f t="shared" si="1"/>
        <v/>
      </c>
      <c r="Q3" s="291">
        <f t="shared" si="2"/>
        <v>0</v>
      </c>
      <c r="R3" s="3"/>
      <c r="S3" s="3"/>
      <c r="T3" s="3"/>
      <c r="U3" s="3"/>
      <c r="V3" s="3"/>
      <c r="W3" s="3"/>
      <c r="X3" s="3"/>
      <c r="Y3" s="3"/>
      <c r="Z3" s="3"/>
      <c r="AA3" s="3"/>
    </row>
    <row r="4">
      <c r="A4" s="292" t="s">
        <v>289</v>
      </c>
      <c r="B4" s="288">
        <f t="array" ref="B4">INDEX(postDEL!$A$2:$P89,$O4,2)</f>
        <v>44683</v>
      </c>
      <c r="C4" s="289">
        <f t="array" ref="C4">INDEX(postDEL!$A$2:$P89,$O4,3)</f>
        <v>0.1777083333</v>
      </c>
      <c r="D4" s="290" t="str">
        <f t="array" ref="D4">INDEX(postDEL!$A$2:$AN89,$O4,39)</f>
        <v>SpNDHM118014</v>
      </c>
      <c r="E4" s="290" t="str">
        <f t="array" ref="E4">INDEX(postDEL!$A$2:$P89,$O4,4)</f>
        <v/>
      </c>
      <c r="F4" s="290" t="str">
        <f t="array" ref="F4">INDEX(postDEL!$A$2:$P89,$O4,5)</f>
        <v/>
      </c>
      <c r="G4" s="290" t="str">
        <f t="array" ref="G4">INDEX(postDEL!$A$2:$P89,$O4,11)</f>
        <v>Negative</v>
      </c>
      <c r="H4" s="290" t="str">
        <f t="array" ref="H4">INDEX(postDEL!$A$2:$AL89,$O4,37)</f>
        <v>Negative</v>
      </c>
      <c r="I4" s="288">
        <f t="array" ref="I4">INDEX(postDEL!$A$2:$AL89,$O4,12)</f>
        <v>44683</v>
      </c>
      <c r="J4" s="289">
        <f t="array" ref="J4">INDEX(postDEL!$A$2:$AL89,$O4,13)</f>
        <v>0.3578125</v>
      </c>
      <c r="K4" s="290" t="str">
        <f t="array" ref="K4">INDEX(postDEL!$A$2:$AL89,$O4,36)</f>
        <v/>
      </c>
      <c r="L4" s="290" t="str">
        <f t="array" ref="L4">INDEX(postDEL!$A$2:$AL89,$O4,38)</f>
        <v/>
      </c>
      <c r="M4" s="290" t="str">
        <f t="array" ref="M4">INDEX(postDEL!$A$2:$AL89,$O4,15)</f>
        <v/>
      </c>
      <c r="N4" s="93">
        <f>COUNTIF(postDEL!$A$2:$A89,A4)</f>
        <v>2</v>
      </c>
      <c r="O4" s="8">
        <f>MATCH(A4,postDEL!A$2:A89,0)</f>
        <v>7</v>
      </c>
      <c r="P4" s="7" t="str">
        <f t="shared" si="1"/>
        <v/>
      </c>
      <c r="Q4" s="291">
        <f t="shared" si="2"/>
        <v>0</v>
      </c>
      <c r="R4" s="3"/>
      <c r="S4" s="3"/>
      <c r="T4" s="3"/>
      <c r="U4" s="3"/>
      <c r="V4" s="3"/>
      <c r="W4" s="3"/>
      <c r="X4" s="3"/>
      <c r="Y4" s="3"/>
      <c r="Z4" s="3"/>
      <c r="AA4" s="3"/>
    </row>
    <row r="5">
      <c r="A5" s="292" t="s">
        <v>293</v>
      </c>
      <c r="B5" s="288">
        <f t="array" ref="B5">INDEX(postDEL!$A$2:$P89,$O5,2)</f>
        <v>44683</v>
      </c>
      <c r="C5" s="289">
        <f t="array" ref="C5">INDEX(postDEL!$A$2:$P89,$O5,3)</f>
        <v>0.1780671296</v>
      </c>
      <c r="D5" s="290" t="str">
        <f t="array" ref="D5">INDEX(postDEL!$A$2:$AN89,$O5,39)</f>
        <v>SpNDHM118014</v>
      </c>
      <c r="E5" s="290" t="str">
        <f t="array" ref="E5">INDEX(postDEL!$A$2:$P89,$O5,4)</f>
        <v/>
      </c>
      <c r="F5" s="290" t="str">
        <f t="array" ref="F5">INDEX(postDEL!$A$2:$P89,$O5,5)</f>
        <v/>
      </c>
      <c r="G5" s="290" t="str">
        <f t="array" ref="G5">INDEX(postDEL!$A$2:$P89,$O5,11)</f>
        <v>Negative</v>
      </c>
      <c r="H5" s="290" t="str">
        <f t="array" ref="H5">INDEX(postDEL!$A$2:$AL89,$O5,37)</f>
        <v>Negative</v>
      </c>
      <c r="I5" s="288">
        <f t="array" ref="I5">INDEX(postDEL!$A$2:$AL89,$O5,12)</f>
        <v>44683</v>
      </c>
      <c r="J5" s="289">
        <f t="array" ref="J5">INDEX(postDEL!$A$2:$AL89,$O5,13)</f>
        <v>0.3578125</v>
      </c>
      <c r="K5" s="290" t="str">
        <f t="array" ref="K5">INDEX(postDEL!$A$2:$AL89,$O5,36)</f>
        <v/>
      </c>
      <c r="L5" s="290" t="str">
        <f t="array" ref="L5">INDEX(postDEL!$A$2:$AL89,$O5,38)</f>
        <v/>
      </c>
      <c r="M5" s="290" t="str">
        <f t="array" ref="M5">INDEX(postDEL!$A$2:$AL89,$O5,15)</f>
        <v/>
      </c>
      <c r="N5" s="93">
        <f>COUNTIF(postDEL!$A$2:$A89,A5)</f>
        <v>2</v>
      </c>
      <c r="O5" s="8">
        <f>MATCH(A5,postDEL!A$2:A89,0)</f>
        <v>9</v>
      </c>
      <c r="P5" s="7" t="str">
        <f t="shared" si="1"/>
        <v/>
      </c>
      <c r="Q5" s="291">
        <f t="shared" si="2"/>
        <v>0</v>
      </c>
      <c r="R5" s="3"/>
      <c r="S5" s="3"/>
      <c r="T5" s="3"/>
      <c r="U5" s="3"/>
      <c r="V5" s="3"/>
      <c r="W5" s="3"/>
      <c r="X5" s="3"/>
      <c r="Y5" s="3"/>
      <c r="Z5" s="3"/>
      <c r="AA5" s="3"/>
    </row>
    <row r="6">
      <c r="A6" s="292" t="s">
        <v>297</v>
      </c>
      <c r="B6" s="288">
        <f t="array" ref="B6">INDEX(postDEL!$A$2:$P89,$O6,2)</f>
        <v>44683</v>
      </c>
      <c r="C6" s="289">
        <f t="array" ref="C6">INDEX(postDEL!$A$2:$P89,$O6,3)</f>
        <v>0.1783217593</v>
      </c>
      <c r="D6" s="290" t="str">
        <f t="array" ref="D6">INDEX(postDEL!$A$2:$AN89,$O6,39)</f>
        <v>SpNDHM118014</v>
      </c>
      <c r="E6" s="290" t="str">
        <f t="array" ref="E6">INDEX(postDEL!$A$2:$P89,$O6,4)</f>
        <v/>
      </c>
      <c r="F6" s="290" t="str">
        <f t="array" ref="F6">INDEX(postDEL!$A$2:$P89,$O6,5)</f>
        <v/>
      </c>
      <c r="G6" s="290" t="str">
        <f t="array" ref="G6">INDEX(postDEL!$A$2:$P89,$O6,11)</f>
        <v>Negative</v>
      </c>
      <c r="H6" s="290" t="str">
        <f t="array" ref="H6">INDEX(postDEL!$A$2:$AL89,$O6,37)</f>
        <v>Negative</v>
      </c>
      <c r="I6" s="288">
        <f t="array" ref="I6">INDEX(postDEL!$A$2:$AL89,$O6,12)</f>
        <v>44683</v>
      </c>
      <c r="J6" s="289">
        <f t="array" ref="J6">INDEX(postDEL!$A$2:$AL89,$O6,13)</f>
        <v>0.3578125</v>
      </c>
      <c r="K6" s="290" t="str">
        <f t="array" ref="K6">INDEX(postDEL!$A$2:$AL89,$O6,36)</f>
        <v/>
      </c>
      <c r="L6" s="290" t="str">
        <f t="array" ref="L6">INDEX(postDEL!$A$2:$AL89,$O6,38)</f>
        <v/>
      </c>
      <c r="M6" s="290" t="str">
        <f t="array" ref="M6">INDEX(postDEL!$A$2:$AL89,$O6,15)</f>
        <v/>
      </c>
      <c r="N6" s="93">
        <f>COUNTIF(postDEL!$A$2:$A89,A6)</f>
        <v>1</v>
      </c>
      <c r="O6" s="8">
        <f>MATCH(A6,postDEL!A$2:A89,0)</f>
        <v>11</v>
      </c>
      <c r="P6" s="7" t="str">
        <f t="shared" si="1"/>
        <v/>
      </c>
      <c r="Q6" s="291">
        <f t="shared" si="2"/>
        <v>0</v>
      </c>
      <c r="R6" s="3"/>
      <c r="S6" s="3"/>
      <c r="T6" s="3"/>
      <c r="U6" s="3"/>
      <c r="V6" s="3"/>
      <c r="W6" s="3"/>
      <c r="X6" s="3"/>
      <c r="Y6" s="3"/>
      <c r="Z6" s="3"/>
      <c r="AA6" s="3"/>
    </row>
    <row r="7">
      <c r="A7" s="292" t="s">
        <v>299</v>
      </c>
      <c r="B7" s="288">
        <f t="array" ref="B7">INDEX(postDEL!$A$2:$P89,$O7,2)</f>
        <v>44683</v>
      </c>
      <c r="C7" s="289">
        <f t="array" ref="C7">INDEX(postDEL!$A$2:$P89,$O7,3)</f>
        <v>0.1799421296</v>
      </c>
      <c r="D7" s="290" t="str">
        <f t="array" ref="D7">INDEX(postDEL!$A$2:$AN89,$O7,39)</f>
        <v>SpNDHM842569</v>
      </c>
      <c r="E7" s="290" t="str">
        <f t="array" ref="E7">INDEX(postDEL!$A$2:$P89,$O7,4)</f>
        <v/>
      </c>
      <c r="F7" s="290" t="str">
        <f t="array" ref="F7">INDEX(postDEL!$A$2:$P89,$O7,5)</f>
        <v/>
      </c>
      <c r="G7" s="290" t="str">
        <f t="array" ref="G7">INDEX(postDEL!$A$2:$P89,$O7,11)</f>
        <v>Negative</v>
      </c>
      <c r="H7" s="290" t="str">
        <f t="array" ref="H7">INDEX(postDEL!$A$2:$AL89,$O7,37)</f>
        <v>Negative</v>
      </c>
      <c r="I7" s="288">
        <f t="array" ref="I7">INDEX(postDEL!$A$2:$AL89,$O7,12)</f>
        <v>44683</v>
      </c>
      <c r="J7" s="289">
        <f t="array" ref="J7">INDEX(postDEL!$A$2:$AL89,$O7,13)</f>
        <v>0.3578240741</v>
      </c>
      <c r="K7" s="290" t="str">
        <f t="array" ref="K7">INDEX(postDEL!$A$2:$AL89,$O7,36)</f>
        <v/>
      </c>
      <c r="L7" s="290" t="str">
        <f t="array" ref="L7">INDEX(postDEL!$A$2:$AL89,$O7,38)</f>
        <v/>
      </c>
      <c r="M7" s="290" t="str">
        <f t="array" ref="M7">INDEX(postDEL!$A$2:$AL89,$O7,15)</f>
        <v/>
      </c>
      <c r="N7" s="93">
        <f>COUNTIF(postDEL!$A$2:$A89,A7)</f>
        <v>2</v>
      </c>
      <c r="O7" s="8">
        <f>MATCH(A7,postDEL!A$2:A89,0)</f>
        <v>12</v>
      </c>
      <c r="P7" s="7" t="str">
        <f t="shared" si="1"/>
        <v/>
      </c>
      <c r="Q7" s="291">
        <f t="shared" si="2"/>
        <v>0</v>
      </c>
      <c r="R7" s="3"/>
      <c r="S7" s="3"/>
      <c r="T7" s="3"/>
      <c r="U7" s="3"/>
      <c r="V7" s="3"/>
      <c r="W7" s="3"/>
      <c r="X7" s="3"/>
      <c r="Y7" s="3"/>
      <c r="Z7" s="3"/>
      <c r="AA7" s="3"/>
    </row>
    <row r="8">
      <c r="A8" s="292" t="s">
        <v>305</v>
      </c>
      <c r="B8" s="288">
        <f t="array" ref="B8">INDEX(postDEL!$A$2:$P89,$O8,2)</f>
        <v>44683</v>
      </c>
      <c r="C8" s="289">
        <f t="array" ref="C8">INDEX(postDEL!$A$2:$P89,$O8,3)</f>
        <v>0.197025463</v>
      </c>
      <c r="D8" s="290" t="str">
        <f t="array" ref="D8">INDEX(postDEL!$A$2:$AN89,$O8,39)</f>
        <v>SpNDHM394507</v>
      </c>
      <c r="E8" s="290" t="str">
        <f t="array" ref="E8">INDEX(postDEL!$A$2:$P89,$O8,4)</f>
        <v/>
      </c>
      <c r="F8" s="290" t="str">
        <f t="array" ref="F8">INDEX(postDEL!$A$2:$P89,$O8,5)</f>
        <v/>
      </c>
      <c r="G8" s="290" t="str">
        <f t="array" ref="G8">INDEX(postDEL!$A$2:$P89,$O8,11)</f>
        <v>Negative</v>
      </c>
      <c r="H8" s="290" t="str">
        <f t="array" ref="H8">INDEX(postDEL!$A$2:$AL89,$O8,37)</f>
        <v>Negative</v>
      </c>
      <c r="I8" s="288">
        <f t="array" ref="I8">INDEX(postDEL!$A$2:$AL89,$O8,12)</f>
        <v>44690</v>
      </c>
      <c r="J8" s="289">
        <f t="array" ref="J8">INDEX(postDEL!$A$2:$AL89,$O8,13)</f>
        <v>0.3232291667</v>
      </c>
      <c r="K8" s="290" t="str">
        <f t="array" ref="K8">INDEX(postDEL!$A$2:$AL89,$O8,36)</f>
        <v/>
      </c>
      <c r="L8" s="290" t="str">
        <f t="array" ref="L8">INDEX(postDEL!$A$2:$AL89,$O8,38)</f>
        <v/>
      </c>
      <c r="M8" s="290" t="str">
        <f t="array" ref="M8">INDEX(postDEL!$A$2:$AL89,$O8,15)</f>
        <v/>
      </c>
      <c r="N8" s="93">
        <f>COUNTIF(postDEL!$A$2:$A89,A8)</f>
        <v>4</v>
      </c>
      <c r="O8" s="8">
        <f>MATCH(A8,postDEL!A$2:A89,0)</f>
        <v>14</v>
      </c>
      <c r="P8" s="7" t="str">
        <f t="shared" si="1"/>
        <v/>
      </c>
      <c r="Q8" s="291">
        <f t="shared" si="2"/>
        <v>7</v>
      </c>
      <c r="R8" s="3"/>
      <c r="S8" s="3"/>
      <c r="T8" s="3"/>
      <c r="U8" s="3"/>
      <c r="V8" s="3"/>
      <c r="W8" s="3"/>
      <c r="X8" s="3"/>
      <c r="Y8" s="3"/>
      <c r="Z8" s="3"/>
      <c r="AA8" s="3"/>
    </row>
    <row r="9">
      <c r="A9" s="292" t="s">
        <v>315</v>
      </c>
      <c r="B9" s="288">
        <f t="array" ref="B9">INDEX(postDEL!$A$2:$P89,$O9,2)</f>
        <v>44683</v>
      </c>
      <c r="C9" s="289">
        <f t="array" ref="C9">INDEX(postDEL!$A$2:$P89,$O9,3)</f>
        <v>0.2021875</v>
      </c>
      <c r="D9" s="290" t="str">
        <f t="array" ref="D9">INDEX(postDEL!$A$2:$AN89,$O9,39)</f>
        <v>SpNDHM645491</v>
      </c>
      <c r="E9" s="290" t="str">
        <f t="array" ref="E9">INDEX(postDEL!$A$2:$P89,$O9,4)</f>
        <v/>
      </c>
      <c r="F9" s="290" t="str">
        <f t="array" ref="F9">INDEX(postDEL!$A$2:$P89,$O9,5)</f>
        <v/>
      </c>
      <c r="G9" s="290" t="str">
        <f t="array" ref="G9">INDEX(postDEL!$A$2:$P89,$O9,11)</f>
        <v>Negative</v>
      </c>
      <c r="H9" s="290" t="str">
        <f t="array" ref="H9">INDEX(postDEL!$A$2:$AL89,$O9,37)</f>
        <v>Negative</v>
      </c>
      <c r="I9" s="288">
        <f t="array" ref="I9">INDEX(postDEL!$A$2:$AL89,$O9,12)</f>
        <v>44683</v>
      </c>
      <c r="J9" s="289">
        <f t="array" ref="J9">INDEX(postDEL!$A$2:$AL89,$O9,13)</f>
        <v>0.3578240741</v>
      </c>
      <c r="K9" s="290" t="str">
        <f t="array" ref="K9">INDEX(postDEL!$A$2:$AL89,$O9,36)</f>
        <v/>
      </c>
      <c r="L9" s="290" t="str">
        <f t="array" ref="L9">INDEX(postDEL!$A$2:$AL89,$O9,38)</f>
        <v/>
      </c>
      <c r="M9" s="290" t="str">
        <f t="array" ref="M9">INDEX(postDEL!$A$2:$AL89,$O9,15)</f>
        <v/>
      </c>
      <c r="N9" s="93">
        <f>COUNTIF(postDEL!$A$2:$A89,A9)</f>
        <v>2</v>
      </c>
      <c r="O9" s="8">
        <f>MATCH(A9,postDEL!A$2:A89,0)</f>
        <v>18</v>
      </c>
      <c r="P9" s="7" t="str">
        <f t="shared" si="1"/>
        <v/>
      </c>
      <c r="Q9" s="291">
        <f t="shared" si="2"/>
        <v>0</v>
      </c>
      <c r="R9" s="3"/>
      <c r="S9" s="3"/>
      <c r="T9" s="3"/>
      <c r="U9" s="3"/>
      <c r="V9" s="3"/>
      <c r="W9" s="3"/>
      <c r="X9" s="3"/>
      <c r="Y9" s="3"/>
      <c r="Z9" s="3"/>
      <c r="AA9" s="3"/>
    </row>
    <row r="10">
      <c r="A10" s="292" t="s">
        <v>321</v>
      </c>
      <c r="B10" s="288">
        <f t="array" ref="B10">INDEX(postDEL!$A$2:$P89,$O10,2)</f>
        <v>44683</v>
      </c>
      <c r="C10" s="289">
        <f t="array" ref="C10">INDEX(postDEL!$A$2:$P89,$O10,3)</f>
        <v>0.2090393519</v>
      </c>
      <c r="D10" s="290" t="str">
        <f t="array" ref="D10">INDEX(postDEL!$A$2:$AN89,$O10,39)</f>
        <v>SpNDHM189649</v>
      </c>
      <c r="E10" s="290" t="str">
        <f t="array" ref="E10">INDEX(postDEL!$A$2:$P89,$O10,4)</f>
        <v/>
      </c>
      <c r="F10" s="290" t="str">
        <f t="array" ref="F10">INDEX(postDEL!$A$2:$P89,$O10,5)</f>
        <v/>
      </c>
      <c r="G10" s="290" t="str">
        <f t="array" ref="G10">INDEX(postDEL!$A$2:$P89,$O10,11)</f>
        <v>Negative</v>
      </c>
      <c r="H10" s="290" t="str">
        <f t="array" ref="H10">INDEX(postDEL!$A$2:$AL89,$O10,37)</f>
        <v>Negative</v>
      </c>
      <c r="I10" s="288">
        <f t="array" ref="I10">INDEX(postDEL!$A$2:$AL89,$O10,12)</f>
        <v>44683</v>
      </c>
      <c r="J10" s="289">
        <f t="array" ref="J10">INDEX(postDEL!$A$2:$AL89,$O10,13)</f>
        <v>0.3578240741</v>
      </c>
      <c r="K10" s="290" t="str">
        <f t="array" ref="K10">INDEX(postDEL!$A$2:$AL89,$O10,36)</f>
        <v/>
      </c>
      <c r="L10" s="290" t="str">
        <f t="array" ref="L10">INDEX(postDEL!$A$2:$AL89,$O10,38)</f>
        <v/>
      </c>
      <c r="M10" s="290" t="str">
        <f t="array" ref="M10">INDEX(postDEL!$A$2:$AL89,$O10,15)</f>
        <v/>
      </c>
      <c r="N10" s="93">
        <f>COUNTIF(postDEL!$A$2:$A89,A10)</f>
        <v>4</v>
      </c>
      <c r="O10" s="8">
        <f>MATCH(A10,postDEL!A$2:A89,0)</f>
        <v>20</v>
      </c>
      <c r="P10" s="7" t="str">
        <f t="shared" si="1"/>
        <v/>
      </c>
      <c r="Q10" s="291">
        <f t="shared" si="2"/>
        <v>0</v>
      </c>
      <c r="R10" s="3"/>
      <c r="S10" s="3"/>
      <c r="T10" s="3"/>
      <c r="U10" s="3"/>
      <c r="V10" s="3"/>
      <c r="W10" s="3"/>
      <c r="X10" s="3"/>
      <c r="Y10" s="3"/>
      <c r="Z10" s="3"/>
      <c r="AA10" s="3"/>
    </row>
    <row r="11">
      <c r="A11" s="292" t="s">
        <v>331</v>
      </c>
      <c r="B11" s="288">
        <f t="array" ref="B11">INDEX(postDEL!$A$2:$P89,$O11,2)</f>
        <v>44683</v>
      </c>
      <c r="C11" s="289">
        <f t="array" ref="C11">INDEX(postDEL!$A$2:$P89,$O11,3)</f>
        <v>0.2125694444</v>
      </c>
      <c r="D11" s="290" t="str">
        <f t="array" ref="D11">INDEX(postDEL!$A$2:$AN89,$O11,39)</f>
        <v>SpNDHM966349</v>
      </c>
      <c r="E11" s="290" t="str">
        <f t="array" ref="E11">INDEX(postDEL!$A$2:$P89,$O11,4)</f>
        <v/>
      </c>
      <c r="F11" s="290" t="str">
        <f t="array" ref="F11">INDEX(postDEL!$A$2:$P89,$O11,5)</f>
        <v/>
      </c>
      <c r="G11" s="290" t="str">
        <f t="array" ref="G11">INDEX(postDEL!$A$2:$P89,$O11,11)</f>
        <v>Negative</v>
      </c>
      <c r="H11" s="290" t="str">
        <f t="array" ref="H11">INDEX(postDEL!$A$2:$AL89,$O11,37)</f>
        <v>Negative</v>
      </c>
      <c r="I11" s="288">
        <f t="array" ref="I11">INDEX(postDEL!$A$2:$AL89,$O11,12)</f>
        <v>44683</v>
      </c>
      <c r="J11" s="289">
        <f t="array" ref="J11">INDEX(postDEL!$A$2:$AL89,$O11,13)</f>
        <v>0.3578240741</v>
      </c>
      <c r="K11" s="290" t="str">
        <f t="array" ref="K11">INDEX(postDEL!$A$2:$AL89,$O11,36)</f>
        <v/>
      </c>
      <c r="L11" s="290" t="str">
        <f t="array" ref="L11">INDEX(postDEL!$A$2:$AL89,$O11,38)</f>
        <v/>
      </c>
      <c r="M11" s="290" t="str">
        <f t="array" ref="M11">INDEX(postDEL!$A$2:$AL89,$O11,15)</f>
        <v/>
      </c>
      <c r="N11" s="93">
        <f>COUNTIF(postDEL!$A$2:$A89,A11)</f>
        <v>4</v>
      </c>
      <c r="O11" s="8">
        <f>MATCH(A11,postDEL!A$2:A89,0)</f>
        <v>24</v>
      </c>
      <c r="P11" s="7" t="str">
        <f t="shared" si="1"/>
        <v/>
      </c>
      <c r="Q11" s="291">
        <f t="shared" si="2"/>
        <v>0</v>
      </c>
      <c r="R11" s="3"/>
      <c r="S11" s="3"/>
      <c r="T11" s="3"/>
      <c r="U11" s="3"/>
      <c r="V11" s="3"/>
      <c r="W11" s="3"/>
      <c r="X11" s="3"/>
      <c r="Y11" s="3"/>
      <c r="Z11" s="3"/>
      <c r="AA11" s="3"/>
    </row>
    <row r="12">
      <c r="A12" s="292" t="s">
        <v>341</v>
      </c>
      <c r="B12" s="288">
        <f t="array" ref="B12">INDEX(postDEL!$A$2:$P89,$O12,2)</f>
        <v>44683</v>
      </c>
      <c r="C12" s="289">
        <f t="array" ref="C12">INDEX(postDEL!$A$2:$P89,$O12,3)</f>
        <v>0.2363541667</v>
      </c>
      <c r="D12" s="290" t="str">
        <f t="array" ref="D12">INDEX(postDEL!$A$2:$AN89,$O12,39)</f>
        <v>SpNDHM241897</v>
      </c>
      <c r="E12" s="290" t="str">
        <f t="array" ref="E12">INDEX(postDEL!$A$2:$P89,$O12,4)</f>
        <v/>
      </c>
      <c r="F12" s="290" t="str">
        <f t="array" ref="F12">INDEX(postDEL!$A$2:$P89,$O12,5)</f>
        <v/>
      </c>
      <c r="G12" s="290" t="str">
        <f t="array" ref="G12">INDEX(postDEL!$A$2:$P89,$O12,11)</f>
        <v>Negative</v>
      </c>
      <c r="H12" s="290" t="str">
        <f t="array" ref="H12">INDEX(postDEL!$A$2:$AL89,$O12,37)</f>
        <v>Negative</v>
      </c>
      <c r="I12" s="288">
        <f t="array" ref="I12">INDEX(postDEL!$A$2:$AL89,$O12,12)</f>
        <v>44683</v>
      </c>
      <c r="J12" s="289">
        <f t="array" ref="J12">INDEX(postDEL!$A$2:$AL89,$O12,13)</f>
        <v>0.3578240741</v>
      </c>
      <c r="K12" s="290" t="str">
        <f t="array" ref="K12">INDEX(postDEL!$A$2:$AL89,$O12,36)</f>
        <v/>
      </c>
      <c r="L12" s="290" t="str">
        <f t="array" ref="L12">INDEX(postDEL!$A$2:$AL89,$O12,38)</f>
        <v/>
      </c>
      <c r="M12" s="290" t="str">
        <f t="array" ref="M12">INDEX(postDEL!$A$2:$AL89,$O12,15)</f>
        <v/>
      </c>
      <c r="N12" s="93">
        <f>COUNTIF(postDEL!$A$2:$A89,A12)</f>
        <v>1</v>
      </c>
      <c r="O12" s="8">
        <f>MATCH(A12,postDEL!A$2:A89,0)</f>
        <v>28</v>
      </c>
      <c r="P12" s="7" t="str">
        <f t="shared" si="1"/>
        <v/>
      </c>
      <c r="Q12" s="291">
        <f t="shared" si="2"/>
        <v>0</v>
      </c>
      <c r="R12" s="3"/>
      <c r="S12" s="3"/>
      <c r="T12" s="3"/>
      <c r="U12" s="3"/>
      <c r="V12" s="3"/>
      <c r="W12" s="3"/>
      <c r="X12" s="3"/>
      <c r="Y12" s="3"/>
      <c r="Z12" s="3"/>
      <c r="AA12" s="3"/>
    </row>
    <row r="13">
      <c r="A13" s="292" t="s">
        <v>346</v>
      </c>
      <c r="B13" s="288">
        <f t="array" ref="B13">INDEX(postDEL!$A$2:$P89,$O13,2)</f>
        <v>44683</v>
      </c>
      <c r="C13" s="289">
        <f t="array" ref="C13">INDEX(postDEL!$A$2:$P89,$O13,3)</f>
        <v>0.2382638889</v>
      </c>
      <c r="D13" s="290" t="str">
        <f t="array" ref="D13">INDEX(postDEL!$A$2:$AN89,$O13,39)</f>
        <v>SpNDHM241897</v>
      </c>
      <c r="E13" s="290" t="str">
        <f t="array" ref="E13">INDEX(postDEL!$A$2:$P89,$O13,4)</f>
        <v/>
      </c>
      <c r="F13" s="290" t="str">
        <f t="array" ref="F13">INDEX(postDEL!$A$2:$P89,$O13,5)</f>
        <v/>
      </c>
      <c r="G13" s="290" t="str">
        <f t="array" ref="G13">INDEX(postDEL!$A$2:$P89,$O13,11)</f>
        <v>Negative</v>
      </c>
      <c r="H13" s="290" t="str">
        <f t="array" ref="H13">INDEX(postDEL!$A$2:$AL89,$O13,37)</f>
        <v>Negative</v>
      </c>
      <c r="I13" s="288">
        <f t="array" ref="I13">INDEX(postDEL!$A$2:$AL89,$O13,12)</f>
        <v>44683</v>
      </c>
      <c r="J13" s="289">
        <f t="array" ref="J13">INDEX(postDEL!$A$2:$AL89,$O13,13)</f>
        <v>0.3578240741</v>
      </c>
      <c r="K13" s="290" t="str">
        <f t="array" ref="K13">INDEX(postDEL!$A$2:$AL89,$O13,36)</f>
        <v/>
      </c>
      <c r="L13" s="290" t="str">
        <f t="array" ref="L13">INDEX(postDEL!$A$2:$AL89,$O13,38)</f>
        <v/>
      </c>
      <c r="M13" s="290" t="str">
        <f t="array" ref="M13">INDEX(postDEL!$A$2:$AL89,$O13,15)</f>
        <v/>
      </c>
      <c r="N13" s="93">
        <f>COUNTIF(postDEL!$A$2:$A89,A13)</f>
        <v>1</v>
      </c>
      <c r="O13" s="8">
        <f>MATCH(A13,postDEL!A$2:A89,0)</f>
        <v>29</v>
      </c>
      <c r="P13" s="7" t="str">
        <f t="shared" si="1"/>
        <v/>
      </c>
      <c r="Q13" s="291">
        <f t="shared" si="2"/>
        <v>0</v>
      </c>
      <c r="R13" s="3"/>
      <c r="S13" s="3"/>
      <c r="T13" s="3"/>
      <c r="U13" s="3"/>
      <c r="V13" s="3"/>
      <c r="W13" s="3"/>
      <c r="X13" s="3"/>
      <c r="Y13" s="3"/>
      <c r="Z13" s="3"/>
      <c r="AA13" s="3"/>
    </row>
    <row r="14">
      <c r="A14" s="292" t="s">
        <v>350</v>
      </c>
      <c r="B14" s="288">
        <f t="array" ref="B14">INDEX(postDEL!$A$2:$P89,$O14,2)</f>
        <v>44683</v>
      </c>
      <c r="C14" s="289">
        <f t="array" ref="C14">INDEX(postDEL!$A$2:$P89,$O14,3)</f>
        <v>0.2399074074</v>
      </c>
      <c r="D14" s="290" t="str">
        <f t="array" ref="D14">INDEX(postDEL!$A$2:$AN89,$O14,39)</f>
        <v>SpNDHM241897</v>
      </c>
      <c r="E14" s="290" t="str">
        <f t="array" ref="E14">INDEX(postDEL!$A$2:$P89,$O14,4)</f>
        <v/>
      </c>
      <c r="F14" s="290" t="str">
        <f t="array" ref="F14">INDEX(postDEL!$A$2:$P89,$O14,5)</f>
        <v/>
      </c>
      <c r="G14" s="290" t="str">
        <f t="array" ref="G14">INDEX(postDEL!$A$2:$P89,$O14,11)</f>
        <v>Negative</v>
      </c>
      <c r="H14" s="290" t="str">
        <f t="array" ref="H14">INDEX(postDEL!$A$2:$AL89,$O14,37)</f>
        <v>Negative</v>
      </c>
      <c r="I14" s="288">
        <f t="array" ref="I14">INDEX(postDEL!$A$2:$AL89,$O14,12)</f>
        <v>44683</v>
      </c>
      <c r="J14" s="289">
        <f t="array" ref="J14">INDEX(postDEL!$A$2:$AL89,$O14,13)</f>
        <v>0.3578240741</v>
      </c>
      <c r="K14" s="290" t="str">
        <f t="array" ref="K14">INDEX(postDEL!$A$2:$AL89,$O14,36)</f>
        <v/>
      </c>
      <c r="L14" s="290" t="str">
        <f t="array" ref="L14">INDEX(postDEL!$A$2:$AL89,$O14,38)</f>
        <v>Even though in reality they collected individually, for all individual tubes, they've accidentally recorded all participants in each tube. So I'm removing previously added ad note names.</v>
      </c>
      <c r="M14" s="290" t="str">
        <f t="array" ref="M14">INDEX(postDEL!$A$2:$AL89,$O14,15)</f>
        <v/>
      </c>
      <c r="N14" s="93">
        <f>COUNTIF(postDEL!$A$2:$A89,A14)</f>
        <v>1</v>
      </c>
      <c r="O14" s="8">
        <f>MATCH(A14,postDEL!A$2:A89,0)</f>
        <v>30</v>
      </c>
      <c r="P14" s="7" t="str">
        <f t="shared" si="1"/>
        <v/>
      </c>
      <c r="Q14" s="291">
        <f t="shared" si="2"/>
        <v>0</v>
      </c>
      <c r="R14" s="3"/>
      <c r="S14" s="3"/>
      <c r="T14" s="3"/>
      <c r="U14" s="3"/>
      <c r="V14" s="3"/>
      <c r="W14" s="3"/>
      <c r="X14" s="3"/>
      <c r="Y14" s="3"/>
      <c r="Z14" s="3"/>
      <c r="AA14" s="3"/>
    </row>
    <row r="15">
      <c r="A15" s="292" t="s">
        <v>356</v>
      </c>
      <c r="B15" s="288">
        <f t="array" ref="B15">INDEX(postDEL!$A$2:$P89,$O15,2)</f>
        <v>44683</v>
      </c>
      <c r="C15" s="289">
        <f t="array" ref="C15">INDEX(postDEL!$A$2:$P89,$O15,3)</f>
        <v>0.2581712963</v>
      </c>
      <c r="D15" s="290" t="str">
        <f t="array" ref="D15">INDEX(postDEL!$A$2:$AN89,$O15,39)</f>
        <v>SpNDHM463607</v>
      </c>
      <c r="E15" s="290" t="str">
        <f t="array" ref="E15">INDEX(postDEL!$A$2:$P89,$O15,4)</f>
        <v/>
      </c>
      <c r="F15" s="290" t="str">
        <f t="array" ref="F15">INDEX(postDEL!$A$2:$P89,$O15,5)</f>
        <v/>
      </c>
      <c r="G15" s="290" t="str">
        <f t="array" ref="G15">INDEX(postDEL!$A$2:$P89,$O15,11)</f>
        <v>Negative</v>
      </c>
      <c r="H15" s="290" t="str">
        <f t="array" ref="H15">INDEX(postDEL!$A$2:$AL89,$O15,37)</f>
        <v>Negative</v>
      </c>
      <c r="I15" s="288">
        <f t="array" ref="I15">INDEX(postDEL!$A$2:$AL89,$O15,12)</f>
        <v>44683</v>
      </c>
      <c r="J15" s="289">
        <f t="array" ref="J15">INDEX(postDEL!$A$2:$AL89,$O15,13)</f>
        <v>0.3578240741</v>
      </c>
      <c r="K15" s="290" t="str">
        <f t="array" ref="K15">INDEX(postDEL!$A$2:$AL89,$O15,36)</f>
        <v/>
      </c>
      <c r="L15" s="290" t="str">
        <f t="array" ref="L15">INDEX(postDEL!$A$2:$AL89,$O15,38)</f>
        <v/>
      </c>
      <c r="M15" s="290" t="str">
        <f t="array" ref="M15">INDEX(postDEL!$A$2:$AL89,$O15,15)</f>
        <v/>
      </c>
      <c r="N15" s="93">
        <f>COUNTIF(postDEL!$A$2:$A89,A15)</f>
        <v>1</v>
      </c>
      <c r="O15" s="8">
        <f>MATCH(A15,postDEL!A$2:A89,0)</f>
        <v>31</v>
      </c>
      <c r="P15" s="7" t="str">
        <f t="shared" si="1"/>
        <v/>
      </c>
      <c r="Q15" s="291">
        <f t="shared" si="2"/>
        <v>0</v>
      </c>
      <c r="R15" s="3"/>
      <c r="S15" s="3"/>
      <c r="T15" s="3"/>
      <c r="U15" s="3"/>
      <c r="V15" s="3"/>
      <c r="W15" s="3"/>
      <c r="X15" s="3"/>
      <c r="Y15" s="3"/>
      <c r="Z15" s="3"/>
      <c r="AA15" s="3"/>
    </row>
    <row r="16">
      <c r="A16" s="292" t="s">
        <v>360</v>
      </c>
      <c r="B16" s="288">
        <f t="array" ref="B16">INDEX(postDEL!$A$2:$P89,$O16,2)</f>
        <v>44683</v>
      </c>
      <c r="C16" s="289">
        <f t="array" ref="C16">INDEX(postDEL!$A$2:$P89,$O16,3)</f>
        <v>0.2757638889</v>
      </c>
      <c r="D16" s="290" t="str">
        <f t="array" ref="D16">INDEX(postDEL!$A$2:$AN89,$O16,39)</f>
        <v>SpNDHM672043</v>
      </c>
      <c r="E16" s="290" t="str">
        <f t="array" ref="E16">INDEX(postDEL!$A$2:$P89,$O16,4)</f>
        <v/>
      </c>
      <c r="F16" s="290" t="str">
        <f t="array" ref="F16">INDEX(postDEL!$A$2:$P89,$O16,5)</f>
        <v/>
      </c>
      <c r="G16" s="290" t="str">
        <f t="array" ref="G16">INDEX(postDEL!$A$2:$P89,$O16,11)</f>
        <v>Negative</v>
      </c>
      <c r="H16" s="290" t="str">
        <f t="array" ref="H16">INDEX(postDEL!$A$2:$AL89,$O16,37)</f>
        <v>Negative</v>
      </c>
      <c r="I16" s="288">
        <f t="array" ref="I16">INDEX(postDEL!$A$2:$AL89,$O16,12)</f>
        <v>44683</v>
      </c>
      <c r="J16" s="289">
        <f t="array" ref="J16">INDEX(postDEL!$A$2:$AL89,$O16,13)</f>
        <v>0.3578356481</v>
      </c>
      <c r="K16" s="290" t="str">
        <f t="array" ref="K16">INDEX(postDEL!$A$2:$AL89,$O16,36)</f>
        <v/>
      </c>
      <c r="L16" s="290" t="str">
        <f t="array" ref="L16">INDEX(postDEL!$A$2:$AL89,$O16,38)</f>
        <v/>
      </c>
      <c r="M16" s="290" t="str">
        <f t="array" ref="M16">INDEX(postDEL!$A$2:$AL89,$O16,15)</f>
        <v/>
      </c>
      <c r="N16" s="93">
        <f>COUNTIF(postDEL!$A$2:$A89,A16)</f>
        <v>1</v>
      </c>
      <c r="O16" s="8">
        <f>MATCH(A16,postDEL!A$2:A89,0)</f>
        <v>32</v>
      </c>
      <c r="P16" s="7" t="str">
        <f t="shared" si="1"/>
        <v/>
      </c>
      <c r="Q16" s="291">
        <f t="shared" si="2"/>
        <v>0</v>
      </c>
      <c r="R16" s="3"/>
      <c r="S16" s="3"/>
      <c r="T16" s="3"/>
      <c r="U16" s="3"/>
      <c r="V16" s="3"/>
      <c r="W16" s="3"/>
      <c r="X16" s="3"/>
      <c r="Y16" s="3"/>
      <c r="Z16" s="3"/>
      <c r="AA16" s="3"/>
    </row>
    <row r="17">
      <c r="A17" s="292" t="s">
        <v>364</v>
      </c>
      <c r="B17" s="288">
        <f t="array" ref="B17">INDEX(postDEL!$A$2:$P89,$O17,2)</f>
        <v>44683</v>
      </c>
      <c r="C17" s="289">
        <f t="array" ref="C17">INDEX(postDEL!$A$2:$P89,$O17,3)</f>
        <v>0.2781018519</v>
      </c>
      <c r="D17" s="290" t="str">
        <f t="array" ref="D17">INDEX(postDEL!$A$2:$AN89,$O17,39)</f>
        <v>SpNDHM122532</v>
      </c>
      <c r="E17" s="290" t="str">
        <f t="array" ref="E17">INDEX(postDEL!$A$2:$P89,$O17,4)</f>
        <v/>
      </c>
      <c r="F17" s="290" t="str">
        <f t="array" ref="F17">INDEX(postDEL!$A$2:$P89,$O17,5)</f>
        <v/>
      </c>
      <c r="G17" s="290" t="str">
        <f t="array" ref="G17">INDEX(postDEL!$A$2:$P89,$O17,11)</f>
        <v>Negative</v>
      </c>
      <c r="H17" s="290" t="str">
        <f t="array" ref="H17">INDEX(postDEL!$A$2:$AL89,$O17,37)</f>
        <v>Negative</v>
      </c>
      <c r="I17" s="288">
        <f t="array" ref="I17">INDEX(postDEL!$A$2:$AL89,$O17,12)</f>
        <v>44683</v>
      </c>
      <c r="J17" s="289">
        <f t="array" ref="J17">INDEX(postDEL!$A$2:$AL89,$O17,13)</f>
        <v>0.3578125</v>
      </c>
      <c r="K17" s="290" t="str">
        <f t="array" ref="K17">INDEX(postDEL!$A$2:$AL89,$O17,36)</f>
        <v/>
      </c>
      <c r="L17" s="290" t="str">
        <f t="array" ref="L17">INDEX(postDEL!$A$2:$AL89,$O17,38)</f>
        <v/>
      </c>
      <c r="M17" s="290" t="str">
        <f t="array" ref="M17">INDEX(postDEL!$A$2:$AL89,$O17,15)</f>
        <v/>
      </c>
      <c r="N17" s="93">
        <f>COUNTIF(postDEL!$A$2:$A89,A17)</f>
        <v>1</v>
      </c>
      <c r="O17" s="8">
        <f>MATCH(A17,postDEL!A$2:A89,0)</f>
        <v>33</v>
      </c>
      <c r="P17" s="7" t="str">
        <f t="shared" si="1"/>
        <v/>
      </c>
      <c r="Q17" s="291">
        <f t="shared" si="2"/>
        <v>0</v>
      </c>
      <c r="R17" s="3"/>
      <c r="S17" s="3"/>
      <c r="T17" s="3"/>
      <c r="U17" s="3"/>
      <c r="V17" s="3"/>
      <c r="W17" s="3"/>
      <c r="X17" s="3"/>
      <c r="Y17" s="3"/>
      <c r="Z17" s="3"/>
      <c r="AA17" s="3"/>
    </row>
    <row r="18">
      <c r="A18" s="292" t="s">
        <v>367</v>
      </c>
      <c r="B18" s="288">
        <f t="array" ref="B18">INDEX(postDEL!$A$2:$P89,$O18,2)</f>
        <v>44683</v>
      </c>
      <c r="C18" s="289">
        <f t="array" ref="C18">INDEX(postDEL!$A$2:$P89,$O18,3)</f>
        <v>0.3842013889</v>
      </c>
      <c r="D18" s="290" t="str">
        <f t="array" ref="D18">INDEX(postDEL!$A$2:$AN89,$O18,39)</f>
        <v>SpNDHM500119</v>
      </c>
      <c r="E18" s="290" t="str">
        <f t="array" ref="E18">INDEX(postDEL!$A$2:$P89,$O18,4)</f>
        <v/>
      </c>
      <c r="F18" s="290" t="str">
        <f t="array" ref="F18">INDEX(postDEL!$A$2:$P89,$O18,5)</f>
        <v/>
      </c>
      <c r="G18" s="290" t="str">
        <f t="array" ref="G18">INDEX(postDEL!$A$2:$P89,$O18,11)</f>
        <v>Negative</v>
      </c>
      <c r="H18" s="290" t="str">
        <f t="array" ref="H18">INDEX(postDEL!$A$2:$AL89,$O18,37)</f>
        <v>Negative</v>
      </c>
      <c r="I18" s="288">
        <f t="array" ref="I18">INDEX(postDEL!$A$2:$AL89,$O18,12)</f>
        <v>44683</v>
      </c>
      <c r="J18" s="289">
        <f t="array" ref="J18">INDEX(postDEL!$A$2:$AL89,$O18,13)</f>
        <v>0.6373958333</v>
      </c>
      <c r="K18" s="290" t="str">
        <f t="array" ref="K18">INDEX(postDEL!$A$2:$AL89,$O18,36)</f>
        <v/>
      </c>
      <c r="L18" s="290" t="str">
        <f t="array" ref="L18">INDEX(postDEL!$A$2:$AL89,$O18,38)</f>
        <v/>
      </c>
      <c r="M18" s="290" t="str">
        <f t="array" ref="M18">INDEX(postDEL!$A$2:$AL89,$O18,15)</f>
        <v/>
      </c>
      <c r="N18" s="93">
        <f>COUNTIF(postDEL!$A$2:$A89,A18)</f>
        <v>1</v>
      </c>
      <c r="O18" s="8">
        <f>MATCH(A18,postDEL!A$2:A89,0)</f>
        <v>34</v>
      </c>
      <c r="P18" s="7" t="str">
        <f t="shared" si="1"/>
        <v/>
      </c>
      <c r="Q18" s="291">
        <f t="shared" si="2"/>
        <v>0</v>
      </c>
      <c r="R18" s="3"/>
      <c r="S18" s="3"/>
      <c r="T18" s="3"/>
      <c r="U18" s="3"/>
      <c r="V18" s="3"/>
      <c r="W18" s="3"/>
      <c r="X18" s="3"/>
      <c r="Y18" s="3"/>
      <c r="Z18" s="3"/>
      <c r="AA18" s="3"/>
    </row>
    <row r="19">
      <c r="A19" s="292" t="s">
        <v>371</v>
      </c>
      <c r="B19" s="288">
        <f t="array" ref="B19">INDEX(postDEL!$A$2:$P89,$O19,2)</f>
        <v>44689</v>
      </c>
      <c r="C19" s="289">
        <f t="array" ref="C19">INDEX(postDEL!$A$2:$P89,$O19,3)</f>
        <v>0.8260300926</v>
      </c>
      <c r="D19" s="290" t="str">
        <f t="array" ref="D19">INDEX(postDEL!$A$2:$AN89,$O19,39)</f>
        <v>SpNDHM435885</v>
      </c>
      <c r="E19" s="290" t="str">
        <f t="array" ref="E19">INDEX(postDEL!$A$2:$P89,$O19,4)</f>
        <v/>
      </c>
      <c r="F19" s="290" t="str">
        <f t="array" ref="F19">INDEX(postDEL!$A$2:$P89,$O19,5)</f>
        <v/>
      </c>
      <c r="G19" s="290" t="str">
        <f t="array" ref="G19">INDEX(postDEL!$A$2:$P89,$O19,11)</f>
        <v>Negative</v>
      </c>
      <c r="H19" s="290" t="str">
        <f t="array" ref="H19">INDEX(postDEL!$A$2:$AL89,$O19,37)</f>
        <v>Negative</v>
      </c>
      <c r="I19" s="288">
        <f t="array" ref="I19">INDEX(postDEL!$A$2:$AL89,$O19,12)</f>
        <v>44690</v>
      </c>
      <c r="J19" s="289">
        <f t="array" ref="J19">INDEX(postDEL!$A$2:$AL89,$O19,13)</f>
        <v>0.3232291667</v>
      </c>
      <c r="K19" s="290" t="str">
        <f t="array" ref="K19">INDEX(postDEL!$A$2:$AL89,$O19,36)</f>
        <v/>
      </c>
      <c r="L19" s="290" t="str">
        <f t="array" ref="L19">INDEX(postDEL!$A$2:$AL89,$O19,38)</f>
        <v/>
      </c>
      <c r="M19" s="290" t="str">
        <f t="array" ref="M19">INDEX(postDEL!$A$2:$AL89,$O19,15)</f>
        <v/>
      </c>
      <c r="N19" s="93">
        <f>COUNTIF(postDEL!$A$2:$A89,A19)</f>
        <v>4</v>
      </c>
      <c r="O19" s="8">
        <f>MATCH(A19,postDEL!A$2:A89,0)</f>
        <v>35</v>
      </c>
      <c r="P19" s="7" t="b">
        <f t="shared" si="1"/>
        <v>1</v>
      </c>
      <c r="Q19" s="291">
        <f t="shared" si="2"/>
        <v>1</v>
      </c>
      <c r="R19" s="3"/>
      <c r="S19" s="3"/>
      <c r="T19" s="3"/>
      <c r="U19" s="3"/>
      <c r="V19" s="3"/>
      <c r="W19" s="3"/>
      <c r="X19" s="3"/>
      <c r="Y19" s="3"/>
      <c r="Z19" s="3"/>
      <c r="AA19" s="3"/>
    </row>
    <row r="20">
      <c r="A20" s="292" t="s">
        <v>378</v>
      </c>
      <c r="B20" s="288">
        <f t="array" ref="B20">INDEX(postDEL!$A$2:$P89,$O20,2)</f>
        <v>44690</v>
      </c>
      <c r="C20" s="289">
        <f t="array" ref="C20">INDEX(postDEL!$A$2:$P89,$O20,3)</f>
        <v>0.1700231481</v>
      </c>
      <c r="D20" s="290" t="str">
        <f t="array" ref="D20">INDEX(postDEL!$A$2:$AN89,$O20,39)</f>
        <v>SpNDHM955894</v>
      </c>
      <c r="E20" s="290" t="str">
        <f t="array" ref="E20">INDEX(postDEL!$A$2:$P89,$O20,4)</f>
        <v/>
      </c>
      <c r="F20" s="290" t="str">
        <f t="array" ref="F20">INDEX(postDEL!$A$2:$P89,$O20,5)</f>
        <v/>
      </c>
      <c r="G20" s="290" t="str">
        <f t="array" ref="G20">INDEX(postDEL!$A$2:$P89,$O20,11)</f>
        <v>Negative</v>
      </c>
      <c r="H20" s="290" t="str">
        <f t="array" ref="H20">INDEX(postDEL!$A$2:$AL89,$O20,37)</f>
        <v>Negative</v>
      </c>
      <c r="I20" s="288">
        <f t="array" ref="I20">INDEX(postDEL!$A$2:$AL89,$O20,12)</f>
        <v>44690</v>
      </c>
      <c r="J20" s="289">
        <f t="array" ref="J20">INDEX(postDEL!$A$2:$AL89,$O20,13)</f>
        <v>0.3232291667</v>
      </c>
      <c r="K20" s="290" t="str">
        <f t="array" ref="K20">INDEX(postDEL!$A$2:$AL89,$O20,36)</f>
        <v/>
      </c>
      <c r="L20" s="290" t="str">
        <f t="array" ref="L20">INDEX(postDEL!$A$2:$AL89,$O20,38)</f>
        <v/>
      </c>
      <c r="M20" s="290" t="str">
        <f t="array" ref="M20">INDEX(postDEL!$A$2:$AL89,$O20,15)</f>
        <v/>
      </c>
      <c r="N20" s="93">
        <f>COUNTIF(postDEL!$A$2:$A89,A20)</f>
        <v>4</v>
      </c>
      <c r="O20" s="8">
        <f>MATCH(A20,postDEL!A$2:A89,0)</f>
        <v>39</v>
      </c>
      <c r="P20" s="7" t="b">
        <f t="shared" si="1"/>
        <v>1</v>
      </c>
      <c r="Q20" s="291">
        <f t="shared" si="2"/>
        <v>0</v>
      </c>
      <c r="R20" s="3"/>
      <c r="S20" s="3"/>
      <c r="T20" s="3"/>
      <c r="U20" s="3"/>
      <c r="V20" s="3"/>
      <c r="W20" s="3"/>
      <c r="X20" s="3"/>
      <c r="Y20" s="3"/>
      <c r="Z20" s="3"/>
      <c r="AA20" s="3"/>
    </row>
    <row r="21">
      <c r="A21" s="292" t="s">
        <v>379</v>
      </c>
      <c r="B21" s="288">
        <f t="array" ref="B21">INDEX(postDEL!$A$2:$P89,$O21,2)</f>
        <v>44690</v>
      </c>
      <c r="C21" s="289">
        <f t="array" ref="C21">INDEX(postDEL!$A$2:$P89,$O21,3)</f>
        <v>0.1787037037</v>
      </c>
      <c r="D21" s="290" t="str">
        <f t="array" ref="D21">INDEX(postDEL!$A$2:$AN89,$O21,39)</f>
        <v>SpNDHM966349</v>
      </c>
      <c r="E21" s="290" t="str">
        <f t="array" ref="E21">INDEX(postDEL!$A$2:$P89,$O21,4)</f>
        <v/>
      </c>
      <c r="F21" s="290" t="str">
        <f t="array" ref="F21">INDEX(postDEL!$A$2:$P89,$O21,5)</f>
        <v/>
      </c>
      <c r="G21" s="290" t="str">
        <f t="array" ref="G21">INDEX(postDEL!$A$2:$P89,$O21,11)</f>
        <v>Negative</v>
      </c>
      <c r="H21" s="290" t="str">
        <f t="array" ref="H21">INDEX(postDEL!$A$2:$AL89,$O21,37)</f>
        <v>Negative</v>
      </c>
      <c r="I21" s="288">
        <f t="array" ref="I21">INDEX(postDEL!$A$2:$AL89,$O21,12)</f>
        <v>44690</v>
      </c>
      <c r="J21" s="289">
        <f t="array" ref="J21">INDEX(postDEL!$A$2:$AL89,$O21,13)</f>
        <v>0.3232407407</v>
      </c>
      <c r="K21" s="290" t="str">
        <f t="array" ref="K21">INDEX(postDEL!$A$2:$AL89,$O21,36)</f>
        <v/>
      </c>
      <c r="L21" s="290" t="str">
        <f t="array" ref="L21">INDEX(postDEL!$A$2:$AL89,$O21,38)</f>
        <v/>
      </c>
      <c r="M21" s="290" t="str">
        <f t="array" ref="M21">INDEX(postDEL!$A$2:$AL89,$O21,15)</f>
        <v/>
      </c>
      <c r="N21" s="93">
        <f>COUNTIF(postDEL!$A$2:$A89,A21)</f>
        <v>3</v>
      </c>
      <c r="O21" s="8">
        <f>MATCH(A21,postDEL!A$2:A89,0)</f>
        <v>43</v>
      </c>
      <c r="P21" s="7" t="str">
        <f t="shared" si="1"/>
        <v/>
      </c>
      <c r="Q21" s="291">
        <f t="shared" si="2"/>
        <v>0</v>
      </c>
      <c r="R21" s="3"/>
      <c r="S21" s="3"/>
      <c r="T21" s="3"/>
      <c r="U21" s="3"/>
      <c r="V21" s="3"/>
      <c r="W21" s="3"/>
      <c r="X21" s="3"/>
      <c r="Y21" s="3"/>
      <c r="Z21" s="3"/>
      <c r="AA21" s="3"/>
    </row>
    <row r="22">
      <c r="A22" s="292" t="s">
        <v>380</v>
      </c>
      <c r="B22" s="288">
        <f t="array" ref="B22">INDEX(postDEL!$A$2:$P89,$O22,2)</f>
        <v>44690</v>
      </c>
      <c r="C22" s="289">
        <f t="array" ref="C22">INDEX(postDEL!$A$2:$P89,$O22,3)</f>
        <v>0.2029050926</v>
      </c>
      <c r="D22" s="290" t="str">
        <f t="array" ref="D22">INDEX(postDEL!$A$2:$AN89,$O22,39)</f>
        <v>SpNDHM189649</v>
      </c>
      <c r="E22" s="290" t="str">
        <f t="array" ref="E22">INDEX(postDEL!$A$2:$P89,$O22,4)</f>
        <v/>
      </c>
      <c r="F22" s="290" t="str">
        <f t="array" ref="F22">INDEX(postDEL!$A$2:$P89,$O22,5)</f>
        <v/>
      </c>
      <c r="G22" s="290" t="str">
        <f t="array" ref="G22">INDEX(postDEL!$A$2:$P89,$O22,11)</f>
        <v>Negative</v>
      </c>
      <c r="H22" s="290" t="str">
        <f t="array" ref="H22">INDEX(postDEL!$A$2:$AL89,$O22,37)</f>
        <v>Negative</v>
      </c>
      <c r="I22" s="288">
        <f t="array" ref="I22">INDEX(postDEL!$A$2:$AL89,$O22,12)</f>
        <v>44690</v>
      </c>
      <c r="J22" s="289">
        <f t="array" ref="J22">INDEX(postDEL!$A$2:$AL89,$O22,13)</f>
        <v>0.3232407407</v>
      </c>
      <c r="K22" s="290" t="str">
        <f t="array" ref="K22">INDEX(postDEL!$A$2:$AL89,$O22,36)</f>
        <v/>
      </c>
      <c r="L22" s="290" t="str">
        <f t="array" ref="L22">INDEX(postDEL!$A$2:$AL89,$O22,38)</f>
        <v/>
      </c>
      <c r="M22" s="290" t="str">
        <f t="array" ref="M22">INDEX(postDEL!$A$2:$AL89,$O22,15)</f>
        <v/>
      </c>
      <c r="N22" s="93">
        <f>COUNTIF(postDEL!$A$2:$A89,A22)</f>
        <v>3</v>
      </c>
      <c r="O22" s="8">
        <f>MATCH(A22,postDEL!A$2:A89,0)</f>
        <v>46</v>
      </c>
      <c r="P22" s="7" t="str">
        <f t="shared" si="1"/>
        <v/>
      </c>
      <c r="Q22" s="291">
        <f t="shared" si="2"/>
        <v>0</v>
      </c>
      <c r="R22" s="3"/>
      <c r="S22" s="3"/>
      <c r="T22" s="3"/>
      <c r="U22" s="3"/>
      <c r="V22" s="3"/>
      <c r="W22" s="3"/>
      <c r="X22" s="3"/>
      <c r="Y22" s="3"/>
      <c r="Z22" s="3"/>
      <c r="AA22" s="3"/>
    </row>
    <row r="23">
      <c r="A23" s="292" t="s">
        <v>381</v>
      </c>
      <c r="B23" s="288">
        <f t="array" ref="B23">INDEX(postDEL!$A$2:$P89,$O23,2)</f>
        <v>44690</v>
      </c>
      <c r="C23" s="289">
        <f t="array" ref="C23">INDEX(postDEL!$A$2:$P89,$O23,3)</f>
        <v>0.2135300926</v>
      </c>
      <c r="D23" s="290" t="str">
        <f t="array" ref="D23">INDEX(postDEL!$A$2:$AN89,$O23,39)</f>
        <v>SpNDHM118014</v>
      </c>
      <c r="E23" s="290" t="str">
        <f t="array" ref="E23">INDEX(postDEL!$A$2:$P89,$O23,4)</f>
        <v/>
      </c>
      <c r="F23" s="290" t="str">
        <f t="array" ref="F23">INDEX(postDEL!$A$2:$P89,$O23,5)</f>
        <v/>
      </c>
      <c r="G23" s="290" t="str">
        <f t="array" ref="G23">INDEX(postDEL!$A$2:$P89,$O23,11)</f>
        <v>Negative</v>
      </c>
      <c r="H23" s="290" t="str">
        <f t="array" ref="H23">INDEX(postDEL!$A$2:$AL89,$O23,37)</f>
        <v>Negative</v>
      </c>
      <c r="I23" s="288">
        <f t="array" ref="I23">INDEX(postDEL!$A$2:$AL89,$O23,12)</f>
        <v>44690</v>
      </c>
      <c r="J23" s="289">
        <f t="array" ref="J23">INDEX(postDEL!$A$2:$AL89,$O23,13)</f>
        <v>0.3232407407</v>
      </c>
      <c r="K23" s="290" t="str">
        <f t="array" ref="K23">INDEX(postDEL!$A$2:$AL89,$O23,36)</f>
        <v/>
      </c>
      <c r="L23" s="290" t="str">
        <f t="array" ref="L23">INDEX(postDEL!$A$2:$AL89,$O23,38)</f>
        <v/>
      </c>
      <c r="M23" s="290" t="str">
        <f t="array" ref="M23">INDEX(postDEL!$A$2:$AL89,$O23,15)</f>
        <v/>
      </c>
      <c r="N23" s="93">
        <f>COUNTIF(postDEL!$A$2:$A89,A23)</f>
        <v>4</v>
      </c>
      <c r="O23" s="8">
        <f>MATCH(A23,postDEL!A$2:A89,0)</f>
        <v>49</v>
      </c>
      <c r="P23" s="7" t="str">
        <f t="shared" si="1"/>
        <v/>
      </c>
      <c r="Q23" s="291">
        <f t="shared" si="2"/>
        <v>0</v>
      </c>
      <c r="R23" s="3"/>
      <c r="S23" s="3"/>
      <c r="T23" s="3"/>
      <c r="U23" s="3"/>
      <c r="V23" s="3"/>
      <c r="W23" s="3"/>
      <c r="X23" s="3"/>
      <c r="Y23" s="3"/>
      <c r="Z23" s="3"/>
      <c r="AA23" s="3"/>
    </row>
    <row r="24">
      <c r="A24" s="292" t="s">
        <v>382</v>
      </c>
      <c r="B24" s="288">
        <f t="array" ref="B24">INDEX(postDEL!$A$2:$P89,$O24,2)</f>
        <v>44690</v>
      </c>
      <c r="C24" s="289">
        <f t="array" ref="C24">INDEX(postDEL!$A$2:$P89,$O24,3)</f>
        <v>0.2437037037</v>
      </c>
      <c r="D24" s="290" t="str">
        <f t="array" ref="D24">INDEX(postDEL!$A$2:$AN89,$O24,39)</f>
        <v>SpNDHM122532</v>
      </c>
      <c r="E24" s="290" t="str">
        <f t="array" ref="E24">INDEX(postDEL!$A$2:$P89,$O24,4)</f>
        <v/>
      </c>
      <c r="F24" s="290" t="str">
        <f t="array" ref="F24">INDEX(postDEL!$A$2:$P89,$O24,5)</f>
        <v/>
      </c>
      <c r="G24" s="290" t="str">
        <f t="array" ref="G24">INDEX(postDEL!$A$2:$P89,$O24,11)</f>
        <v>Negative</v>
      </c>
      <c r="H24" s="290" t="str">
        <f t="array" ref="H24">INDEX(postDEL!$A$2:$AL89,$O24,37)</f>
        <v>Negative</v>
      </c>
      <c r="I24" s="288">
        <f t="array" ref="I24">INDEX(postDEL!$A$2:$AL89,$O24,12)</f>
        <v>44690</v>
      </c>
      <c r="J24" s="289">
        <f t="array" ref="J24">INDEX(postDEL!$A$2:$AL89,$O24,13)</f>
        <v>0.3232523148</v>
      </c>
      <c r="K24" s="290" t="str">
        <f t="array" ref="K24">INDEX(postDEL!$A$2:$AL89,$O24,36)</f>
        <v/>
      </c>
      <c r="L24" s="290" t="str">
        <f t="array" ref="L24">INDEX(postDEL!$A$2:$AL89,$O24,38)</f>
        <v/>
      </c>
      <c r="M24" s="290" t="str">
        <f t="array" ref="M24">INDEX(postDEL!$A$2:$AL89,$O24,15)</f>
        <v/>
      </c>
      <c r="N24" s="93">
        <f>COUNTIF(postDEL!$A$2:$A89,A24)</f>
        <v>1</v>
      </c>
      <c r="O24" s="8">
        <f>MATCH(A24,postDEL!A$2:A89,0)</f>
        <v>53</v>
      </c>
      <c r="P24" s="7" t="str">
        <f t="shared" si="1"/>
        <v/>
      </c>
      <c r="Q24" s="291">
        <f t="shared" si="2"/>
        <v>0</v>
      </c>
      <c r="R24" s="3"/>
      <c r="S24" s="3"/>
      <c r="T24" s="3"/>
      <c r="U24" s="3"/>
      <c r="V24" s="3"/>
      <c r="W24" s="3"/>
      <c r="X24" s="3"/>
      <c r="Y24" s="3"/>
      <c r="Z24" s="3"/>
      <c r="AA24" s="3"/>
    </row>
    <row r="25">
      <c r="A25" s="292" t="s">
        <v>384</v>
      </c>
      <c r="B25" s="288">
        <f t="array" ref="B25">INDEX(postDEL!$A$2:$P89,$O25,2)</f>
        <v>44690</v>
      </c>
      <c r="C25" s="289">
        <f t="array" ref="C25">INDEX(postDEL!$A$2:$P89,$O25,3)</f>
        <v>0.2795138889</v>
      </c>
      <c r="D25" s="290" t="str">
        <f t="array" ref="D25">INDEX(postDEL!$A$2:$AN89,$O25,39)</f>
        <v>SpNDHM122532</v>
      </c>
      <c r="E25" s="290" t="str">
        <f t="array" ref="E25">INDEX(postDEL!$A$2:$P89,$O25,4)</f>
        <v/>
      </c>
      <c r="F25" s="290" t="str">
        <f t="array" ref="F25">INDEX(postDEL!$A$2:$P89,$O25,5)</f>
        <v/>
      </c>
      <c r="G25" s="290" t="str">
        <f t="array" ref="G25">INDEX(postDEL!$A$2:$P89,$O25,11)</f>
        <v>Negative</v>
      </c>
      <c r="H25" s="290" t="str">
        <f t="array" ref="H25">INDEX(postDEL!$A$2:$AL89,$O25,37)</f>
        <v>Negative</v>
      </c>
      <c r="I25" s="288">
        <f t="array" ref="I25">INDEX(postDEL!$A$2:$AL89,$O25,12)</f>
        <v>44690</v>
      </c>
      <c r="J25" s="289">
        <f t="array" ref="J25">INDEX(postDEL!$A$2:$AL89,$O25,13)</f>
        <v>0.3232523148</v>
      </c>
      <c r="K25" s="290" t="str">
        <f t="array" ref="K25">INDEX(postDEL!$A$2:$AL89,$O25,36)</f>
        <v/>
      </c>
      <c r="L25" s="290" t="str">
        <f t="array" ref="L25">INDEX(postDEL!$A$2:$AL89,$O25,38)</f>
        <v/>
      </c>
      <c r="M25" s="290" t="str">
        <f t="array" ref="M25">INDEX(postDEL!$A$2:$AL89,$O25,15)</f>
        <v/>
      </c>
      <c r="N25" s="93">
        <f>COUNTIF(postDEL!$A$2:$A89,A25)</f>
        <v>1</v>
      </c>
      <c r="O25" s="8">
        <f>MATCH(A25,postDEL!A$2:A89,0)</f>
        <v>54</v>
      </c>
      <c r="P25" s="7" t="str">
        <f t="shared" si="1"/>
        <v/>
      </c>
      <c r="Q25" s="291">
        <f t="shared" si="2"/>
        <v>0</v>
      </c>
      <c r="R25" s="3"/>
      <c r="S25" s="3"/>
      <c r="T25" s="3"/>
      <c r="U25" s="3"/>
      <c r="V25" s="3"/>
      <c r="W25" s="3"/>
      <c r="X25" s="3"/>
      <c r="Y25" s="3"/>
      <c r="Z25" s="3"/>
      <c r="AA25" s="3"/>
    </row>
    <row r="26">
      <c r="A26" s="292" t="s">
        <v>385</v>
      </c>
      <c r="B26" s="288">
        <f t="array" ref="B26">INDEX(postDEL!$A$2:$P89,$O26,2)</f>
        <v>44690</v>
      </c>
      <c r="C26" s="289">
        <f t="array" ref="C26">INDEX(postDEL!$A$2:$P89,$O26,3)</f>
        <v>0.280162037</v>
      </c>
      <c r="D26" s="290" t="str">
        <f t="array" ref="D26">INDEX(postDEL!$A$2:$AN89,$O26,39)</f>
        <v>SpNDHM122532</v>
      </c>
      <c r="E26" s="290" t="str">
        <f t="array" ref="E26">INDEX(postDEL!$A$2:$P89,$O26,4)</f>
        <v/>
      </c>
      <c r="F26" s="290" t="str">
        <f t="array" ref="F26">INDEX(postDEL!$A$2:$P89,$O26,5)</f>
        <v/>
      </c>
      <c r="G26" s="290" t="str">
        <f t="array" ref="G26">INDEX(postDEL!$A$2:$P89,$O26,11)</f>
        <v>Negative</v>
      </c>
      <c r="H26" s="290" t="str">
        <f t="array" ref="H26">INDEX(postDEL!$A$2:$AL89,$O26,37)</f>
        <v>Negative</v>
      </c>
      <c r="I26" s="288">
        <f t="array" ref="I26">INDEX(postDEL!$A$2:$AL89,$O26,12)</f>
        <v>44690</v>
      </c>
      <c r="J26" s="289">
        <f t="array" ref="J26">INDEX(postDEL!$A$2:$AL89,$O26,13)</f>
        <v>0.3232523148</v>
      </c>
      <c r="K26" s="290" t="str">
        <f t="array" ref="K26">INDEX(postDEL!$A$2:$AL89,$O26,36)</f>
        <v/>
      </c>
      <c r="L26" s="290" t="str">
        <f t="array" ref="L26">INDEX(postDEL!$A$2:$AL89,$O26,38)</f>
        <v/>
      </c>
      <c r="M26" s="290" t="str">
        <f t="array" ref="M26">INDEX(postDEL!$A$2:$AL89,$O26,15)</f>
        <v/>
      </c>
      <c r="N26" s="93">
        <f>COUNTIF(postDEL!$A$2:$A89,A26)</f>
        <v>2</v>
      </c>
      <c r="O26" s="8">
        <f>MATCH(A26,postDEL!A$2:A89,0)</f>
        <v>55</v>
      </c>
      <c r="P26" s="7" t="str">
        <f t="shared" si="1"/>
        <v/>
      </c>
      <c r="Q26" s="291">
        <f t="shared" si="2"/>
        <v>0</v>
      </c>
      <c r="R26" s="3"/>
      <c r="S26" s="3"/>
      <c r="T26" s="3"/>
      <c r="U26" s="3"/>
      <c r="V26" s="3"/>
      <c r="W26" s="3"/>
      <c r="X26" s="3"/>
      <c r="Y26" s="3"/>
      <c r="Z26" s="3"/>
      <c r="AA26" s="3"/>
    </row>
    <row r="27">
      <c r="A27" s="292" t="s">
        <v>388</v>
      </c>
      <c r="B27" s="288">
        <f t="array" ref="B27">INDEX(postDEL!$A$2:$P89,$O27,2)</f>
        <v>44696</v>
      </c>
      <c r="C27" s="289">
        <f t="array" ref="C27">INDEX(postDEL!$A$2:$P89,$O27,3)</f>
        <v>0.7482523148</v>
      </c>
      <c r="D27" s="290" t="str">
        <f t="array" ref="D27">INDEX(postDEL!$A$2:$AN89,$O27,39)</f>
        <v>SpNDHM768644</v>
      </c>
      <c r="E27" s="290" t="str">
        <f t="array" ref="E27">INDEX(postDEL!$A$2:$P89,$O27,4)</f>
        <v/>
      </c>
      <c r="F27" s="290" t="str">
        <f t="array" ref="F27">INDEX(postDEL!$A$2:$P89,$O27,5)</f>
        <v/>
      </c>
      <c r="G27" s="290" t="str">
        <f t="array" ref="G27">INDEX(postDEL!$A$2:$P89,$O27,11)</f>
        <v>Negative</v>
      </c>
      <c r="H27" s="290" t="str">
        <f t="array" ref="H27">INDEX(postDEL!$A$2:$AL89,$O27,37)</f>
        <v>Negative</v>
      </c>
      <c r="I27" s="288">
        <f t="array" ref="I27">INDEX(postDEL!$A$2:$AL89,$O27,12)</f>
        <v>44697</v>
      </c>
      <c r="J27" s="289">
        <f t="array" ref="J27">INDEX(postDEL!$A$2:$AL89,$O27,13)</f>
        <v>0.361099537</v>
      </c>
      <c r="K27" s="290" t="str">
        <f t="array" ref="K27">INDEX(postDEL!$A$2:$AL89,$O27,36)</f>
        <v/>
      </c>
      <c r="L27" s="290" t="str">
        <f t="array" ref="L27">INDEX(postDEL!$A$2:$AL89,$O27,38)</f>
        <v/>
      </c>
      <c r="M27" s="290" t="str">
        <f t="array" ref="M27">INDEX(postDEL!$A$2:$AL89,$O27,15)</f>
        <v/>
      </c>
      <c r="N27" s="93">
        <f>COUNTIF(postDEL!$A$2:$A89,A27)</f>
        <v>2</v>
      </c>
      <c r="O27" s="8">
        <f>MATCH(A27,postDEL!A$2:A89,0)</f>
        <v>57</v>
      </c>
      <c r="P27" s="7" t="b">
        <f t="shared" si="1"/>
        <v>1</v>
      </c>
      <c r="Q27" s="291">
        <f t="shared" si="2"/>
        <v>1</v>
      </c>
      <c r="R27" s="3"/>
      <c r="S27" s="3"/>
      <c r="T27" s="3"/>
      <c r="U27" s="3"/>
      <c r="V27" s="3"/>
      <c r="W27" s="3"/>
      <c r="X27" s="3"/>
      <c r="Y27" s="3"/>
      <c r="Z27" s="3"/>
      <c r="AA27" s="3"/>
    </row>
    <row r="28">
      <c r="A28" s="292" t="s">
        <v>390</v>
      </c>
      <c r="B28" s="288">
        <f t="array" ref="B28">INDEX(postDEL!$A$2:$P89,$O28,2)</f>
        <v>44697</v>
      </c>
      <c r="C28" s="289">
        <f t="array" ref="C28">INDEX(postDEL!$A$2:$P89,$O28,3)</f>
        <v>0.1536111111</v>
      </c>
      <c r="D28" s="290" t="str">
        <f t="array" ref="D28">INDEX(postDEL!$A$2:$AN89,$O28,39)</f>
        <v>SpNDHM842569</v>
      </c>
      <c r="E28" s="290" t="str">
        <f t="array" ref="E28">INDEX(postDEL!$A$2:$P89,$O28,4)</f>
        <v/>
      </c>
      <c r="F28" s="290" t="str">
        <f t="array" ref="F28">INDEX(postDEL!$A$2:$P89,$O28,5)</f>
        <v/>
      </c>
      <c r="G28" s="290" t="str">
        <f t="array" ref="G28">INDEX(postDEL!$A$2:$P89,$O28,11)</f>
        <v>Negative</v>
      </c>
      <c r="H28" s="290" t="str">
        <f t="array" ref="H28">INDEX(postDEL!$A$2:$AL89,$O28,37)</f>
        <v>Negative</v>
      </c>
      <c r="I28" s="288">
        <f t="array" ref="I28">INDEX(postDEL!$A$2:$AL89,$O28,12)</f>
        <v>44697</v>
      </c>
      <c r="J28" s="289">
        <f t="array" ref="J28">INDEX(postDEL!$A$2:$AL89,$O28,13)</f>
        <v>0.361099537</v>
      </c>
      <c r="K28" s="290" t="str">
        <f t="array" ref="K28">INDEX(postDEL!$A$2:$AL89,$O28,36)</f>
        <v/>
      </c>
      <c r="L28" s="290" t="str">
        <f t="array" ref="L28">INDEX(postDEL!$A$2:$AL89,$O28,38)</f>
        <v/>
      </c>
      <c r="M28" s="290" t="str">
        <f t="array" ref="M28">INDEX(postDEL!$A$2:$AL89,$O28,15)</f>
        <v/>
      </c>
      <c r="N28" s="93">
        <f>COUNTIF(postDEL!$A$2:$A89,A28)</f>
        <v>2</v>
      </c>
      <c r="O28" s="8">
        <f>MATCH(A28,postDEL!A$2:A89,0)</f>
        <v>59</v>
      </c>
      <c r="P28" s="7" t="b">
        <f t="shared" si="1"/>
        <v>1</v>
      </c>
      <c r="Q28" s="291">
        <f t="shared" si="2"/>
        <v>0</v>
      </c>
      <c r="R28" s="3"/>
      <c r="S28" s="3"/>
      <c r="T28" s="3"/>
      <c r="U28" s="3"/>
      <c r="V28" s="3"/>
      <c r="W28" s="3"/>
      <c r="X28" s="3"/>
      <c r="Y28" s="3"/>
      <c r="Z28" s="3"/>
      <c r="AA28" s="3"/>
    </row>
    <row r="29">
      <c r="A29" s="292" t="s">
        <v>391</v>
      </c>
      <c r="B29" s="288">
        <f t="array" ref="B29">INDEX(postDEL!$A$2:$P89,$O29,2)</f>
        <v>44697</v>
      </c>
      <c r="C29" s="289">
        <f t="array" ref="C29">INDEX(postDEL!$A$2:$P89,$O29,3)</f>
        <v>0.1767592593</v>
      </c>
      <c r="D29" s="290" t="str">
        <f t="array" ref="D29">INDEX(postDEL!$A$2:$AN89,$O29,39)</f>
        <v>SpNDHM955894</v>
      </c>
      <c r="E29" s="290" t="str">
        <f t="array" ref="E29">INDEX(postDEL!$A$2:$P89,$O29,4)</f>
        <v/>
      </c>
      <c r="F29" s="290" t="str">
        <f t="array" ref="F29">INDEX(postDEL!$A$2:$P89,$O29,5)</f>
        <v/>
      </c>
      <c r="G29" s="290" t="str">
        <f t="array" ref="G29">INDEX(postDEL!$A$2:$P89,$O29,11)</f>
        <v>Negative</v>
      </c>
      <c r="H29" s="290" t="str">
        <f t="array" ref="H29">INDEX(postDEL!$A$2:$AL89,$O29,37)</f>
        <v>Negative</v>
      </c>
      <c r="I29" s="288">
        <f t="array" ref="I29">INDEX(postDEL!$A$2:$AL89,$O29,12)</f>
        <v>44697</v>
      </c>
      <c r="J29" s="289">
        <f t="array" ref="J29">INDEX(postDEL!$A$2:$AL89,$O29,13)</f>
        <v>0.361099537</v>
      </c>
      <c r="K29" s="290" t="str">
        <f t="array" ref="K29">INDEX(postDEL!$A$2:$AL89,$O29,36)</f>
        <v/>
      </c>
      <c r="L29" s="290" t="str">
        <f t="array" ref="L29">INDEX(postDEL!$A$2:$AL89,$O29,38)</f>
        <v/>
      </c>
      <c r="M29" s="290" t="str">
        <f t="array" ref="M29">INDEX(postDEL!$A$2:$AL89,$O29,15)</f>
        <v/>
      </c>
      <c r="N29" s="93">
        <f>COUNTIF(postDEL!$A$2:$A89,A29)</f>
        <v>4</v>
      </c>
      <c r="O29" s="8">
        <f>MATCH(A29,postDEL!A$2:A89,0)</f>
        <v>61</v>
      </c>
      <c r="P29" s="7" t="str">
        <f t="shared" si="1"/>
        <v/>
      </c>
      <c r="Q29" s="291">
        <f t="shared" si="2"/>
        <v>0</v>
      </c>
      <c r="R29" s="3"/>
      <c r="S29" s="3"/>
      <c r="T29" s="3"/>
      <c r="U29" s="3"/>
      <c r="V29" s="3"/>
      <c r="W29" s="3"/>
      <c r="X29" s="3"/>
      <c r="Y29" s="3"/>
      <c r="Z29" s="3"/>
      <c r="AA29" s="3"/>
    </row>
    <row r="30">
      <c r="A30" s="292" t="s">
        <v>392</v>
      </c>
      <c r="B30" s="288">
        <f t="array" ref="B30">INDEX(postDEL!$A$2:$P89,$O30,2)</f>
        <v>44697</v>
      </c>
      <c r="C30" s="289">
        <f t="array" ref="C30">INDEX(postDEL!$A$2:$P89,$O30,3)</f>
        <v>0.1903009259</v>
      </c>
      <c r="D30" s="290" t="str">
        <f t="array" ref="D30">INDEX(postDEL!$A$2:$AN89,$O30,39)</f>
        <v>SpNDHM189649</v>
      </c>
      <c r="E30" s="290" t="str">
        <f t="array" ref="E30">INDEX(postDEL!$A$2:$P89,$O30,4)</f>
        <v/>
      </c>
      <c r="F30" s="290" t="str">
        <f t="array" ref="F30">INDEX(postDEL!$A$2:$P89,$O30,5)</f>
        <v/>
      </c>
      <c r="G30" s="290" t="str">
        <f t="array" ref="G30">INDEX(postDEL!$A$2:$P89,$O30,11)</f>
        <v>Negative</v>
      </c>
      <c r="H30" s="290" t="str">
        <f t="array" ref="H30">INDEX(postDEL!$A$2:$AL89,$O30,37)</f>
        <v>Negative</v>
      </c>
      <c r="I30" s="288">
        <f t="array" ref="I30">INDEX(postDEL!$A$2:$AL89,$O30,12)</f>
        <v>44697</v>
      </c>
      <c r="J30" s="289">
        <f t="array" ref="J30">INDEX(postDEL!$A$2:$AL89,$O30,13)</f>
        <v>0.361099537</v>
      </c>
      <c r="K30" s="290" t="str">
        <f t="array" ref="K30">INDEX(postDEL!$A$2:$AL89,$O30,36)</f>
        <v/>
      </c>
      <c r="L30" s="290" t="str">
        <f t="array" ref="L30">INDEX(postDEL!$A$2:$AL89,$O30,38)</f>
        <v/>
      </c>
      <c r="M30" s="290" t="str">
        <f t="array" ref="M30">INDEX(postDEL!$A$2:$AL89,$O30,15)</f>
        <v/>
      </c>
      <c r="N30" s="93">
        <f>COUNTIF(postDEL!$A$2:$A89,A30)</f>
        <v>4</v>
      </c>
      <c r="O30" s="8">
        <f>MATCH(A30,postDEL!A$2:A89,0)</f>
        <v>65</v>
      </c>
      <c r="P30" s="7" t="str">
        <f t="shared" si="1"/>
        <v/>
      </c>
      <c r="Q30" s="291">
        <f t="shared" si="2"/>
        <v>0</v>
      </c>
      <c r="R30" s="3"/>
      <c r="S30" s="3"/>
      <c r="T30" s="3"/>
      <c r="U30" s="3"/>
      <c r="V30" s="3"/>
      <c r="W30" s="3"/>
      <c r="X30" s="3"/>
      <c r="Y30" s="3"/>
      <c r="Z30" s="3"/>
      <c r="AA30" s="3"/>
    </row>
    <row r="31">
      <c r="A31" s="292" t="s">
        <v>394</v>
      </c>
      <c r="B31" s="288">
        <f t="array" ref="B31">INDEX(postDEL!$A$2:$P89,$O31,2)</f>
        <v>44697</v>
      </c>
      <c r="C31" s="289">
        <f t="array" ref="C31">INDEX(postDEL!$A$2:$P89,$O31,3)</f>
        <v>0.2023611111</v>
      </c>
      <c r="D31" s="290" t="str">
        <f t="array" ref="D31">INDEX(postDEL!$A$2:$AN89,$O31,39)</f>
        <v>SpNDHM966349</v>
      </c>
      <c r="E31" s="290" t="str">
        <f t="array" ref="E31">INDEX(postDEL!$A$2:$P89,$O31,4)</f>
        <v/>
      </c>
      <c r="F31" s="290" t="str">
        <f t="array" ref="F31">INDEX(postDEL!$A$2:$P89,$O31,5)</f>
        <v/>
      </c>
      <c r="G31" s="290" t="str">
        <f t="array" ref="G31">INDEX(postDEL!$A$2:$P89,$O31,11)</f>
        <v>Negative</v>
      </c>
      <c r="H31" s="290" t="str">
        <f t="array" ref="H31">INDEX(postDEL!$A$2:$AL89,$O31,37)</f>
        <v>Negative</v>
      </c>
      <c r="I31" s="288">
        <f t="array" ref="I31">INDEX(postDEL!$A$2:$AL89,$O31,12)</f>
        <v>44697</v>
      </c>
      <c r="J31" s="289">
        <f t="array" ref="J31">INDEX(postDEL!$A$2:$AL89,$O31,13)</f>
        <v>0.3611111111</v>
      </c>
      <c r="K31" s="290" t="str">
        <f t="array" ref="K31">INDEX(postDEL!$A$2:$AL89,$O31,36)</f>
        <v/>
      </c>
      <c r="L31" s="290" t="str">
        <f t="array" ref="L31">INDEX(postDEL!$A$2:$AL89,$O31,38)</f>
        <v/>
      </c>
      <c r="M31" s="290" t="str">
        <f t="array" ref="M31">INDEX(postDEL!$A$2:$AL89,$O31,15)</f>
        <v/>
      </c>
      <c r="N31" s="93">
        <f>COUNTIF(postDEL!$A$2:$A89,A31)</f>
        <v>3</v>
      </c>
      <c r="O31" s="8">
        <f>MATCH(A31,postDEL!A$2:A89,0)</f>
        <v>69</v>
      </c>
      <c r="P31" s="7" t="str">
        <f t="shared" si="1"/>
        <v/>
      </c>
      <c r="Q31" s="291">
        <f t="shared" si="2"/>
        <v>0</v>
      </c>
      <c r="R31" s="3"/>
      <c r="S31" s="3"/>
      <c r="T31" s="3"/>
      <c r="U31" s="3"/>
      <c r="V31" s="3"/>
      <c r="W31" s="3"/>
      <c r="X31" s="3"/>
      <c r="Y31" s="3"/>
      <c r="Z31" s="3"/>
      <c r="AA31" s="3"/>
    </row>
    <row r="32">
      <c r="A32" s="292" t="s">
        <v>395</v>
      </c>
      <c r="B32" s="288">
        <f t="array" ref="B32">INDEX(postDEL!$A$2:$P89,$O32,2)</f>
        <v>44697</v>
      </c>
      <c r="C32" s="289">
        <f t="array" ref="C32">INDEX(postDEL!$A$2:$P89,$O32,3)</f>
        <v>0.2068402778</v>
      </c>
      <c r="D32" s="290" t="str">
        <f t="array" ref="D32">INDEX(postDEL!$A$2:$AN89,$O32,39)</f>
        <v>SpNDHM645491</v>
      </c>
      <c r="E32" s="290" t="str">
        <f t="array" ref="E32">INDEX(postDEL!$A$2:$P89,$O32,4)</f>
        <v/>
      </c>
      <c r="F32" s="290" t="str">
        <f t="array" ref="F32">INDEX(postDEL!$A$2:$P89,$O32,5)</f>
        <v/>
      </c>
      <c r="G32" s="290" t="str">
        <f t="array" ref="G32">INDEX(postDEL!$A$2:$P89,$O32,11)</f>
        <v>Negative</v>
      </c>
      <c r="H32" s="290" t="str">
        <f t="array" ref="H32">INDEX(postDEL!$A$2:$AL89,$O32,37)</f>
        <v>Negative</v>
      </c>
      <c r="I32" s="288">
        <f t="array" ref="I32">INDEX(postDEL!$A$2:$AL89,$O32,12)</f>
        <v>44697</v>
      </c>
      <c r="J32" s="289">
        <f t="array" ref="J32">INDEX(postDEL!$A$2:$AL89,$O32,13)</f>
        <v>0.3611111111</v>
      </c>
      <c r="K32" s="290" t="str">
        <f t="array" ref="K32">INDEX(postDEL!$A$2:$AL89,$O32,36)</f>
        <v/>
      </c>
      <c r="L32" s="290" t="str">
        <f t="array" ref="L32">INDEX(postDEL!$A$2:$AL89,$O32,38)</f>
        <v/>
      </c>
      <c r="M32" s="290" t="str">
        <f t="array" ref="M32">INDEX(postDEL!$A$2:$AL89,$O32,15)</f>
        <v/>
      </c>
      <c r="N32" s="93">
        <f>COUNTIF(postDEL!$A$2:$A89,A32)</f>
        <v>2</v>
      </c>
      <c r="O32" s="8">
        <f>MATCH(A32,postDEL!A$2:A89,0)</f>
        <v>72</v>
      </c>
      <c r="P32" s="7" t="str">
        <f t="shared" si="1"/>
        <v/>
      </c>
      <c r="Q32" s="291">
        <f t="shared" si="2"/>
        <v>0</v>
      </c>
      <c r="R32" s="3"/>
      <c r="S32" s="3"/>
      <c r="T32" s="3"/>
      <c r="U32" s="3"/>
      <c r="V32" s="3"/>
      <c r="W32" s="3"/>
      <c r="X32" s="3"/>
      <c r="Y32" s="3"/>
      <c r="Z32" s="3"/>
      <c r="AA32" s="3"/>
    </row>
    <row r="33">
      <c r="A33" s="292" t="s">
        <v>396</v>
      </c>
      <c r="B33" s="288">
        <f t="array" ref="B33">INDEX(postDEL!$A$2:$P89,$O33,2)</f>
        <v>44697</v>
      </c>
      <c r="C33" s="289">
        <f t="array" ref="C33">INDEX(postDEL!$A$2:$P89,$O33,3)</f>
        <v>0.2090393519</v>
      </c>
      <c r="D33" s="290" t="str">
        <f t="array" ref="D33">INDEX(postDEL!$A$2:$AN89,$O33,39)</f>
        <v>SpNDHM284552</v>
      </c>
      <c r="E33" s="290" t="str">
        <f t="array" ref="E33">INDEX(postDEL!$A$2:$P89,$O33,4)</f>
        <v/>
      </c>
      <c r="F33" s="290" t="str">
        <f t="array" ref="F33">INDEX(postDEL!$A$2:$P89,$O33,5)</f>
        <v/>
      </c>
      <c r="G33" s="290" t="str">
        <f t="array" ref="G33">INDEX(postDEL!$A$2:$P89,$O33,11)</f>
        <v>Negative</v>
      </c>
      <c r="H33" s="290" t="str">
        <f t="array" ref="H33">INDEX(postDEL!$A$2:$AL89,$O33,37)</f>
        <v>Negative</v>
      </c>
      <c r="I33" s="288">
        <f t="array" ref="I33">INDEX(postDEL!$A$2:$AL89,$O33,12)</f>
        <v>44697</v>
      </c>
      <c r="J33" s="289">
        <f t="array" ref="J33">INDEX(postDEL!$A$2:$AL89,$O33,13)</f>
        <v>0.3611111111</v>
      </c>
      <c r="K33" s="290" t="str">
        <f t="array" ref="K33">INDEX(postDEL!$A$2:$AL89,$O33,36)</f>
        <v/>
      </c>
      <c r="L33" s="290" t="str">
        <f t="array" ref="L33">INDEX(postDEL!$A$2:$AL89,$O33,38)</f>
        <v/>
      </c>
      <c r="M33" s="290" t="str">
        <f t="array" ref="M33">INDEX(postDEL!$A$2:$AL89,$O33,15)</f>
        <v/>
      </c>
      <c r="N33" s="93">
        <f>COUNTIF(postDEL!$A$2:$A89,A33)</f>
        <v>4</v>
      </c>
      <c r="O33" s="8">
        <f>MATCH(A33,postDEL!A$2:A89,0)</f>
        <v>74</v>
      </c>
      <c r="P33" s="7" t="str">
        <f t="shared" si="1"/>
        <v/>
      </c>
      <c r="Q33" s="291">
        <f t="shared" si="2"/>
        <v>0</v>
      </c>
      <c r="R33" s="3"/>
      <c r="S33" s="3"/>
      <c r="T33" s="3"/>
      <c r="U33" s="3"/>
      <c r="V33" s="3"/>
      <c r="W33" s="3"/>
      <c r="X33" s="3"/>
      <c r="Y33" s="3"/>
      <c r="Z33" s="3"/>
      <c r="AA33" s="3"/>
    </row>
    <row r="34">
      <c r="A34" s="292" t="s">
        <v>402</v>
      </c>
      <c r="B34" s="288">
        <f t="array" ref="B34">INDEX(postDEL!$A$2:$P89,$O34,2)</f>
        <v>44697</v>
      </c>
      <c r="C34" s="289">
        <f t="array" ref="C34">INDEX(postDEL!$A$2:$P89,$O34,3)</f>
        <v>0.2689351852</v>
      </c>
      <c r="D34" s="290" t="str">
        <f t="array" ref="D34">INDEX(postDEL!$A$2:$AN89,$O34,39)</f>
        <v>SpNDHM672043</v>
      </c>
      <c r="E34" s="290" t="str">
        <f t="array" ref="E34">INDEX(postDEL!$A$2:$P89,$O34,4)</f>
        <v/>
      </c>
      <c r="F34" s="290" t="str">
        <f t="array" ref="F34">INDEX(postDEL!$A$2:$P89,$O34,5)</f>
        <v/>
      </c>
      <c r="G34" s="290" t="str">
        <f t="array" ref="G34">INDEX(postDEL!$A$2:$P89,$O34,11)</f>
        <v>Negative</v>
      </c>
      <c r="H34" s="290" t="str">
        <f t="array" ref="H34">INDEX(postDEL!$A$2:$AL89,$O34,37)</f>
        <v>Negative</v>
      </c>
      <c r="I34" s="288">
        <f t="array" ref="I34">INDEX(postDEL!$A$2:$AL89,$O34,12)</f>
        <v>44697</v>
      </c>
      <c r="J34" s="289">
        <f t="array" ref="J34">INDEX(postDEL!$A$2:$AL89,$O34,13)</f>
        <v>0.3611111111</v>
      </c>
      <c r="K34" s="290" t="str">
        <f t="array" ref="K34">INDEX(postDEL!$A$2:$AL89,$O34,36)</f>
        <v/>
      </c>
      <c r="L34" s="290" t="str">
        <f t="array" ref="L34">INDEX(postDEL!$A$2:$AL89,$O34,38)</f>
        <v/>
      </c>
      <c r="M34" s="290" t="str">
        <f t="array" ref="M34">INDEX(postDEL!$A$2:$AL89,$O34,15)</f>
        <v/>
      </c>
      <c r="N34" s="93">
        <f>COUNTIF(postDEL!$A$2:$A89,A34)</f>
        <v>1</v>
      </c>
      <c r="O34" s="8">
        <f>MATCH(A34,postDEL!A$2:A89,0)</f>
        <v>78</v>
      </c>
      <c r="P34" s="7" t="str">
        <f t="shared" si="1"/>
        <v/>
      </c>
      <c r="Q34" s="291">
        <f t="shared" si="2"/>
        <v>0</v>
      </c>
      <c r="R34" s="3"/>
      <c r="S34" s="3"/>
      <c r="T34" s="3"/>
      <c r="U34" s="3"/>
      <c r="V34" s="3"/>
      <c r="W34" s="3"/>
      <c r="X34" s="3"/>
      <c r="Y34" s="3"/>
      <c r="Z34" s="3"/>
      <c r="AA34" s="3"/>
    </row>
    <row r="35">
      <c r="A35" s="292" t="s">
        <v>403</v>
      </c>
      <c r="B35" s="288">
        <f t="array" ref="B35">INDEX(postDEL!$A$2:$P89,$O35,2)</f>
        <v>44697</v>
      </c>
      <c r="C35" s="289">
        <f t="array" ref="C35">INDEX(postDEL!$A$2:$P89,$O35,3)</f>
        <v>0.3187152778</v>
      </c>
      <c r="D35" s="290" t="str">
        <f t="array" ref="D35">INDEX(postDEL!$A$2:$AN89,$O35,39)</f>
        <v>SpNDHM122532</v>
      </c>
      <c r="E35" s="290" t="str">
        <f t="array" ref="E35">INDEX(postDEL!$A$2:$P89,$O35,4)</f>
        <v/>
      </c>
      <c r="F35" s="290" t="str">
        <f t="array" ref="F35">INDEX(postDEL!$A$2:$P89,$O35,5)</f>
        <v/>
      </c>
      <c r="G35" s="290" t="str">
        <f t="array" ref="G35">INDEX(postDEL!$A$2:$P89,$O35,11)</f>
        <v>Negative</v>
      </c>
      <c r="H35" s="290" t="str">
        <f t="array" ref="H35">INDEX(postDEL!$A$2:$AL89,$O35,37)</f>
        <v>Negative</v>
      </c>
      <c r="I35" s="288">
        <f t="array" ref="I35">INDEX(postDEL!$A$2:$AL89,$O35,12)</f>
        <v>44697</v>
      </c>
      <c r="J35" s="289">
        <f t="array" ref="J35">INDEX(postDEL!$A$2:$AL89,$O35,13)</f>
        <v>0.3611111111</v>
      </c>
      <c r="K35" s="290" t="str">
        <f t="array" ref="K35">INDEX(postDEL!$A$2:$AL89,$O35,36)</f>
        <v/>
      </c>
      <c r="L35" s="290" t="str">
        <f t="array" ref="L35">INDEX(postDEL!$A$2:$AL89,$O35,38)</f>
        <v/>
      </c>
      <c r="M35" s="290" t="str">
        <f t="array" ref="M35">INDEX(postDEL!$A$2:$AL89,$O35,15)</f>
        <v/>
      </c>
      <c r="N35" s="93">
        <f>COUNTIF(postDEL!$A$2:$A89,A35)</f>
        <v>1</v>
      </c>
      <c r="O35" s="8">
        <f>MATCH(A35,postDEL!A$2:A89,0)</f>
        <v>79</v>
      </c>
      <c r="P35" s="7" t="str">
        <f t="shared" si="1"/>
        <v/>
      </c>
      <c r="Q35" s="291">
        <f t="shared" si="2"/>
        <v>0</v>
      </c>
      <c r="R35" s="3"/>
      <c r="S35" s="3"/>
      <c r="T35" s="3"/>
      <c r="U35" s="3"/>
      <c r="V35" s="3"/>
      <c r="W35" s="3"/>
      <c r="X35" s="3"/>
      <c r="Y35" s="3"/>
      <c r="Z35" s="3"/>
      <c r="AA35" s="3"/>
    </row>
    <row r="36">
      <c r="A36" s="292" t="s">
        <v>405</v>
      </c>
      <c r="B36" s="288">
        <f t="array" ref="B36">INDEX(postDEL!$A$2:$P89,$O36,2)</f>
        <v>44697</v>
      </c>
      <c r="C36" s="289">
        <f t="array" ref="C36">INDEX(postDEL!$A$2:$P89,$O36,3)</f>
        <v>0.3221527778</v>
      </c>
      <c r="D36" s="290" t="str">
        <f t="array" ref="D36">INDEX(postDEL!$A$2:$AN89,$O36,39)</f>
        <v>SpNDHM957722</v>
      </c>
      <c r="E36" s="290" t="str">
        <f t="array" ref="E36">INDEX(postDEL!$A$2:$P89,$O36,4)</f>
        <v/>
      </c>
      <c r="F36" s="290" t="str">
        <f t="array" ref="F36">INDEX(postDEL!$A$2:$P89,$O36,5)</f>
        <v/>
      </c>
      <c r="G36" s="290" t="str">
        <f t="array" ref="G36">INDEX(postDEL!$A$2:$P89,$O36,11)</f>
        <v>Negative</v>
      </c>
      <c r="H36" s="290" t="str">
        <f t="array" ref="H36">INDEX(postDEL!$A$2:$AL89,$O36,37)</f>
        <v>Negative</v>
      </c>
      <c r="I36" s="288">
        <f t="array" ref="I36">INDEX(postDEL!$A$2:$AL89,$O36,12)</f>
        <v>44697</v>
      </c>
      <c r="J36" s="289">
        <f t="array" ref="J36">INDEX(postDEL!$A$2:$AL89,$O36,13)</f>
        <v>0.3611226852</v>
      </c>
      <c r="K36" s="290" t="str">
        <f t="array" ref="K36">INDEX(postDEL!$A$2:$AL89,$O36,36)</f>
        <v/>
      </c>
      <c r="L36" s="290" t="str">
        <f t="array" ref="L36">INDEX(postDEL!$A$2:$AL89,$O36,38)</f>
        <v/>
      </c>
      <c r="M36" s="290" t="str">
        <f t="array" ref="M36">INDEX(postDEL!$A$2:$AL89,$O36,15)</f>
        <v/>
      </c>
      <c r="N36" s="93">
        <f>COUNTIF(postDEL!$A$2:$A89,A36)</f>
        <v>3</v>
      </c>
      <c r="O36" s="8">
        <f>MATCH(A36,postDEL!A$2:A89,0)</f>
        <v>80</v>
      </c>
      <c r="P36" s="7" t="str">
        <f t="shared" si="1"/>
        <v/>
      </c>
      <c r="Q36" s="291">
        <f t="shared" si="2"/>
        <v>0</v>
      </c>
      <c r="R36" s="3"/>
      <c r="S36" s="3"/>
      <c r="T36" s="3"/>
      <c r="U36" s="3"/>
      <c r="V36" s="3"/>
      <c r="W36" s="3"/>
      <c r="X36" s="3"/>
      <c r="Y36" s="3"/>
      <c r="Z36" s="3"/>
      <c r="AA36" s="3"/>
    </row>
    <row r="37">
      <c r="A37" s="292" t="s">
        <v>409</v>
      </c>
      <c r="B37" s="288">
        <f t="array" ref="B37">INDEX(postDEL!$A$2:$P89,$O37,2)</f>
        <v>44704</v>
      </c>
      <c r="C37" s="289">
        <f t="array" ref="C37">INDEX(postDEL!$A$2:$P89,$O37,3)</f>
        <v>0.1565393519</v>
      </c>
      <c r="D37" s="290" t="str">
        <f t="array" ref="D37">INDEX(postDEL!$A$2:$AN89,$O37,39)</f>
        <v>SpNDHM955894</v>
      </c>
      <c r="E37" s="290" t="str">
        <f t="array" ref="E37">INDEX(postDEL!$A$2:$P89,$O37,4)</f>
        <v/>
      </c>
      <c r="F37" s="290" t="str">
        <f t="array" ref="F37">INDEX(postDEL!$A$2:$P89,$O37,5)</f>
        <v/>
      </c>
      <c r="G37" s="290" t="str">
        <f t="array" ref="G37">INDEX(postDEL!$A$2:$P89,$O37,11)</f>
        <v>Negative</v>
      </c>
      <c r="H37" s="290" t="str">
        <f t="array" ref="H37">INDEX(postDEL!$A$2:$AL89,$O37,37)</f>
        <v>Negative</v>
      </c>
      <c r="I37" s="288">
        <f t="array" ref="I37">INDEX(postDEL!$A$2:$AL89,$O37,12)</f>
        <v>44704</v>
      </c>
      <c r="J37" s="289">
        <f t="array" ref="J37">INDEX(postDEL!$A$2:$AL89,$O37,13)</f>
        <v>0.3948958333</v>
      </c>
      <c r="K37" s="290" t="str">
        <f t="array" ref="K37">INDEX(postDEL!$A$2:$AL89,$O37,36)</f>
        <v/>
      </c>
      <c r="L37" s="290" t="str">
        <f t="array" ref="L37">INDEX(postDEL!$A$2:$AL89,$O37,38)</f>
        <v/>
      </c>
      <c r="M37" s="290" t="str">
        <f t="array" ref="M37">INDEX(postDEL!$A$2:$AL89,$O37,15)</f>
        <v/>
      </c>
      <c r="N37" s="93">
        <f>COUNTIF(postDEL!$A$2:$A89,A37)</f>
        <v>4</v>
      </c>
      <c r="O37" s="8">
        <f>MATCH(A37,postDEL!A$2:A89,0)</f>
        <v>83</v>
      </c>
      <c r="P37" s="7" t="b">
        <f t="shared" si="1"/>
        <v>1</v>
      </c>
      <c r="Q37" s="291">
        <f t="shared" si="2"/>
        <v>0</v>
      </c>
      <c r="R37" s="3"/>
      <c r="S37" s="3"/>
      <c r="T37" s="3"/>
      <c r="U37" s="3"/>
      <c r="V37" s="3"/>
      <c r="W37" s="3"/>
      <c r="X37" s="3"/>
      <c r="Y37" s="3"/>
      <c r="Z37" s="3"/>
      <c r="AA37" s="3"/>
    </row>
    <row r="38">
      <c r="A38" s="292" t="s">
        <v>410</v>
      </c>
      <c r="B38" s="288">
        <f t="array" ref="B38">INDEX(postDEL!$A$2:$P89,$O38,2)</f>
        <v>44704</v>
      </c>
      <c r="C38" s="289">
        <f t="array" ref="C38">INDEX(postDEL!$A$2:$P89,$O38,3)</f>
        <v>0.1784606481</v>
      </c>
      <c r="D38" s="290" t="str">
        <f t="array" ref="D38">INDEX(postDEL!$A$2:$AN89,$O38,39)</f>
        <v>SpNDHM118014</v>
      </c>
      <c r="E38" s="290" t="str">
        <f t="array" ref="E38">INDEX(postDEL!$A$2:$P89,$O38,4)</f>
        <v/>
      </c>
      <c r="F38" s="290" t="str">
        <f t="array" ref="F38">INDEX(postDEL!$A$2:$P89,$O38,5)</f>
        <v/>
      </c>
      <c r="G38" s="290" t="str">
        <f t="array" ref="G38">INDEX(postDEL!$A$2:$P89,$O38,11)</f>
        <v>Negative</v>
      </c>
      <c r="H38" s="290" t="str">
        <f t="array" ref="H38">INDEX(postDEL!$A$2:$AL89,$O38,37)</f>
        <v>Negative</v>
      </c>
      <c r="I38" s="288">
        <f t="array" ref="I38">INDEX(postDEL!$A$2:$AL89,$O38,12)</f>
        <v>44704</v>
      </c>
      <c r="J38" s="289">
        <f t="array" ref="J38">INDEX(postDEL!$A$2:$AL89,$O38,13)</f>
        <v>0.3949074074</v>
      </c>
      <c r="K38" s="290" t="str">
        <f t="array" ref="K38">INDEX(postDEL!$A$2:$AL89,$O38,36)</f>
        <v/>
      </c>
      <c r="L38" s="290" t="str">
        <f t="array" ref="L38">INDEX(postDEL!$A$2:$AL89,$O38,38)</f>
        <v/>
      </c>
      <c r="M38" s="290" t="str">
        <f t="array" ref="M38">INDEX(postDEL!$A$2:$AL89,$O38,15)</f>
        <v/>
      </c>
      <c r="N38" s="93">
        <f>COUNTIF(postDEL!$A$2:$A89,A38)</f>
        <v>4</v>
      </c>
      <c r="O38" s="8">
        <f>MATCH(A38,postDEL!A$2:A89,0)</f>
        <v>87</v>
      </c>
      <c r="P38" s="7" t="str">
        <f t="shared" si="1"/>
        <v/>
      </c>
      <c r="Q38" s="291">
        <f t="shared" si="2"/>
        <v>0</v>
      </c>
      <c r="R38" s="3"/>
      <c r="S38" s="3"/>
      <c r="T38" s="3"/>
      <c r="U38" s="3"/>
      <c r="V38" s="3"/>
      <c r="W38" s="3"/>
      <c r="X38" s="3"/>
      <c r="Y38" s="3"/>
      <c r="Z38" s="3"/>
      <c r="AA38" s="3"/>
    </row>
    <row r="39">
      <c r="A39" s="292" t="s">
        <v>411</v>
      </c>
      <c r="B39" s="288">
        <f t="array" ref="B39">INDEX(postDEL!$A$2:$P89,$O39,2)</f>
        <v>44704</v>
      </c>
      <c r="C39" s="289">
        <f t="array" ref="C39">INDEX(postDEL!$A$2:$P89,$O39,3)</f>
        <v>0.1878240741</v>
      </c>
      <c r="D39" s="290" t="str">
        <f t="array" ref="D39">INDEX(postDEL!$A$2:$AN89,$O39,39)</f>
        <v>SpNDHM189649</v>
      </c>
      <c r="E39" s="290" t="str">
        <f t="array" ref="E39">INDEX(postDEL!$A$2:$P89,$O39,4)</f>
        <v/>
      </c>
      <c r="F39" s="290" t="str">
        <f t="array" ref="F39">INDEX(postDEL!$A$2:$P89,$O39,5)</f>
        <v/>
      </c>
      <c r="G39" s="290" t="str">
        <f t="array" ref="G39">INDEX(postDEL!$A$2:$P89,$O39,11)</f>
        <v>Negative</v>
      </c>
      <c r="H39" s="290" t="str">
        <f t="array" ref="H39">INDEX(postDEL!$A$2:$AL89,$O39,37)</f>
        <v>Negative</v>
      </c>
      <c r="I39" s="288">
        <f t="array" ref="I39">INDEX(postDEL!$A$2:$AL89,$O39,12)</f>
        <v>44704</v>
      </c>
      <c r="J39" s="289">
        <f t="array" ref="J39">INDEX(postDEL!$A$2:$AL89,$O39,13)</f>
        <v>0.3949074074</v>
      </c>
      <c r="K39" s="290" t="str">
        <f t="array" ref="K39">INDEX(postDEL!$A$2:$AL89,$O39,36)</f>
        <v/>
      </c>
      <c r="L39" s="290" t="str">
        <f t="array" ref="L39">INDEX(postDEL!$A$2:$AL89,$O39,38)</f>
        <v/>
      </c>
      <c r="M39" s="290" t="str">
        <f t="array" ref="M39">INDEX(postDEL!$A$2:$AL89,$O39,15)</f>
        <v/>
      </c>
      <c r="N39" s="93">
        <f>COUNTIF(postDEL!$A$2:$A89,A39)</f>
        <v>4</v>
      </c>
      <c r="O39" s="8">
        <f>MATCH(A39,postDEL!A$2:A89,0)</f>
        <v>91</v>
      </c>
      <c r="P39" s="7" t="str">
        <f t="shared" si="1"/>
        <v/>
      </c>
      <c r="Q39" s="291">
        <f t="shared" si="2"/>
        <v>0</v>
      </c>
      <c r="R39" s="3"/>
      <c r="S39" s="3"/>
      <c r="T39" s="3"/>
      <c r="U39" s="3"/>
      <c r="V39" s="3"/>
      <c r="W39" s="3"/>
      <c r="X39" s="3"/>
      <c r="Y39" s="3"/>
      <c r="Z39" s="3"/>
      <c r="AA39" s="3"/>
    </row>
    <row r="40">
      <c r="A40" s="292" t="s">
        <v>412</v>
      </c>
      <c r="B40" s="288">
        <f t="array" ref="B40">INDEX(postDEL!$A$2:$P89,$O40,2)</f>
        <v>44704</v>
      </c>
      <c r="C40" s="289">
        <f t="array" ref="C40">INDEX(postDEL!$A$2:$P89,$O40,3)</f>
        <v>0.1905439815</v>
      </c>
      <c r="D40" s="290" t="str">
        <f t="array" ref="D40">INDEX(postDEL!$A$2:$AN89,$O40,39)</f>
        <v>SpNDHM645491</v>
      </c>
      <c r="E40" s="290" t="str">
        <f t="array" ref="E40">INDEX(postDEL!$A$2:$P89,$O40,4)</f>
        <v/>
      </c>
      <c r="F40" s="290" t="str">
        <f t="array" ref="F40">INDEX(postDEL!$A$2:$P89,$O40,5)</f>
        <v/>
      </c>
      <c r="G40" s="290" t="str">
        <f t="array" ref="G40">INDEX(postDEL!$A$2:$P89,$O40,11)</f>
        <v>Negative</v>
      </c>
      <c r="H40" s="290" t="str">
        <f t="array" ref="H40">INDEX(postDEL!$A$2:$AL89,$O40,37)</f>
        <v>Negative</v>
      </c>
      <c r="I40" s="288">
        <f t="array" ref="I40">INDEX(postDEL!$A$2:$AL89,$O40,12)</f>
        <v>44704</v>
      </c>
      <c r="J40" s="289">
        <f t="array" ref="J40">INDEX(postDEL!$A$2:$AL89,$O40,13)</f>
        <v>0.3949074074</v>
      </c>
      <c r="K40" s="290" t="str">
        <f t="array" ref="K40">INDEX(postDEL!$A$2:$AL89,$O40,36)</f>
        <v/>
      </c>
      <c r="L40" s="290" t="str">
        <f t="array" ref="L40">INDEX(postDEL!$A$2:$AL89,$O40,38)</f>
        <v/>
      </c>
      <c r="M40" s="290" t="str">
        <f t="array" ref="M40">INDEX(postDEL!$A$2:$AL89,$O40,15)</f>
        <v/>
      </c>
      <c r="N40" s="93">
        <f>COUNTIF(postDEL!$A$2:$A89,A40)</f>
        <v>2</v>
      </c>
      <c r="O40" s="8">
        <f>MATCH(A40,postDEL!A$2:A89,0)</f>
        <v>95</v>
      </c>
      <c r="P40" s="7" t="str">
        <f t="shared" si="1"/>
        <v/>
      </c>
      <c r="Q40" s="291">
        <f t="shared" si="2"/>
        <v>0</v>
      </c>
      <c r="R40" s="3"/>
      <c r="S40" s="3"/>
      <c r="T40" s="3"/>
      <c r="U40" s="3"/>
      <c r="V40" s="3"/>
      <c r="W40" s="3"/>
      <c r="X40" s="3"/>
      <c r="Y40" s="3"/>
      <c r="Z40" s="3"/>
      <c r="AA40" s="3"/>
    </row>
    <row r="41">
      <c r="A41" s="292" t="s">
        <v>413</v>
      </c>
      <c r="B41" s="288">
        <f t="array" ref="B41">INDEX(postDEL!$A$2:$P89,$O41,2)</f>
        <v>44704</v>
      </c>
      <c r="C41" s="289">
        <f t="array" ref="C41">INDEX(postDEL!$A$2:$P89,$O41,3)</f>
        <v>0.2182638889</v>
      </c>
      <c r="D41" s="290" t="str">
        <f t="array" ref="D41">INDEX(postDEL!$A$2:$AN89,$O41,39)</f>
        <v>SpNDHM109523</v>
      </c>
      <c r="E41" s="290" t="str">
        <f t="array" ref="E41">INDEX(postDEL!$A$2:$P89,$O41,4)</f>
        <v/>
      </c>
      <c r="F41" s="290" t="str">
        <f t="array" ref="F41">INDEX(postDEL!$A$2:$P89,$O41,5)</f>
        <v/>
      </c>
      <c r="G41" s="290" t="str">
        <f t="array" ref="G41">INDEX(postDEL!$A$2:$P89,$O41,11)</f>
        <v>Negative</v>
      </c>
      <c r="H41" s="290" t="str">
        <f t="array" ref="H41">INDEX(postDEL!$A$2:$AL89,$O41,37)</f>
        <v>Negative</v>
      </c>
      <c r="I41" s="288">
        <f t="array" ref="I41">INDEX(postDEL!$A$2:$AL89,$O41,12)</f>
        <v>44704</v>
      </c>
      <c r="J41" s="289">
        <f t="array" ref="J41">INDEX(postDEL!$A$2:$AL89,$O41,13)</f>
        <v>0.3949074074</v>
      </c>
      <c r="K41" s="290" t="str">
        <f t="array" ref="K41">INDEX(postDEL!$A$2:$AL89,$O41,36)</f>
        <v/>
      </c>
      <c r="L41" s="290" t="str">
        <f t="array" ref="L41">INDEX(postDEL!$A$2:$AL89,$O41,38)</f>
        <v/>
      </c>
      <c r="M41" s="290" t="str">
        <f t="array" ref="M41">INDEX(postDEL!$A$2:$AL89,$O41,15)</f>
        <v/>
      </c>
      <c r="N41" s="93">
        <f>COUNTIF(postDEL!$A$2:$A89,A41)</f>
        <v>2</v>
      </c>
      <c r="O41" s="8">
        <f>MATCH(A41,postDEL!A$2:A89,0)</f>
        <v>97</v>
      </c>
      <c r="P41" s="7" t="str">
        <f t="shared" si="1"/>
        <v/>
      </c>
      <c r="Q41" s="291">
        <f t="shared" si="2"/>
        <v>0</v>
      </c>
      <c r="R41" s="3"/>
      <c r="S41" s="3"/>
      <c r="T41" s="3"/>
      <c r="U41" s="3"/>
      <c r="V41" s="3"/>
      <c r="W41" s="3"/>
      <c r="X41" s="3"/>
      <c r="Y41" s="3"/>
      <c r="Z41" s="3"/>
      <c r="AA41" s="3"/>
    </row>
    <row r="42">
      <c r="A42" s="292" t="s">
        <v>417</v>
      </c>
      <c r="B42" s="288">
        <f t="array" ref="B42">INDEX(postDEL!$A$2:$P89,$O42,2)</f>
        <v>44704</v>
      </c>
      <c r="C42" s="289">
        <f t="array" ref="C42">INDEX(postDEL!$A$2:$P89,$O42,3)</f>
        <v>0.2188425926</v>
      </c>
      <c r="D42" s="290" t="str">
        <f t="array" ref="D42">INDEX(postDEL!$A$2:$AN89,$O42,39)</f>
        <v>SpNDHM957722</v>
      </c>
      <c r="E42" s="290" t="str">
        <f t="array" ref="E42">INDEX(postDEL!$A$2:$P89,$O42,4)</f>
        <v/>
      </c>
      <c r="F42" s="290" t="str">
        <f t="array" ref="F42">INDEX(postDEL!$A$2:$P89,$O42,5)</f>
        <v/>
      </c>
      <c r="G42" s="290" t="str">
        <f t="array" ref="G42">INDEX(postDEL!$A$2:$P89,$O42,11)</f>
        <v>Negative</v>
      </c>
      <c r="H42" s="290" t="str">
        <f t="array" ref="H42">INDEX(postDEL!$A$2:$AL89,$O42,37)</f>
        <v>Negative</v>
      </c>
      <c r="I42" s="288">
        <f t="array" ref="I42">INDEX(postDEL!$A$2:$AL89,$O42,12)</f>
        <v>44704</v>
      </c>
      <c r="J42" s="289">
        <f t="array" ref="J42">INDEX(postDEL!$A$2:$AL89,$O42,13)</f>
        <v>0.3949074074</v>
      </c>
      <c r="K42" s="290" t="str">
        <f t="array" ref="K42">INDEX(postDEL!$A$2:$AL89,$O42,36)</f>
        <v/>
      </c>
      <c r="L42" s="290" t="str">
        <f t="array" ref="L42">INDEX(postDEL!$A$2:$AL89,$O42,38)</f>
        <v/>
      </c>
      <c r="M42" s="290" t="str">
        <f t="array" ref="M42">INDEX(postDEL!$A$2:$AL89,$O42,15)</f>
        <v/>
      </c>
      <c r="N42" s="93">
        <f>COUNTIF(postDEL!$A$2:$A89,A42)</f>
        <v>3</v>
      </c>
      <c r="O42" s="8">
        <f>MATCH(A42,postDEL!A$2:A89,0)</f>
        <v>99</v>
      </c>
      <c r="P42" s="7" t="str">
        <f t="shared" si="1"/>
        <v/>
      </c>
      <c r="Q42" s="291">
        <f t="shared" si="2"/>
        <v>0</v>
      </c>
      <c r="R42" s="3"/>
      <c r="S42" s="3"/>
      <c r="T42" s="3"/>
      <c r="U42" s="3"/>
      <c r="V42" s="3"/>
      <c r="W42" s="3"/>
      <c r="X42" s="3"/>
      <c r="Y42" s="3"/>
      <c r="Z42" s="3"/>
      <c r="AA42" s="3"/>
    </row>
    <row r="43">
      <c r="A43" s="292" t="s">
        <v>418</v>
      </c>
      <c r="B43" s="288">
        <f t="array" ref="B43">INDEX(postDEL!$A$2:$P89,$O43,2)</f>
        <v>44704</v>
      </c>
      <c r="C43" s="289">
        <f t="array" ref="C43">INDEX(postDEL!$A$2:$P89,$O43,3)</f>
        <v>0.2244675926</v>
      </c>
      <c r="D43" s="290" t="str">
        <f t="array" ref="D43">INDEX(postDEL!$A$2:$AN89,$O43,39)</f>
        <v>SpNDHM284552</v>
      </c>
      <c r="E43" s="290" t="str">
        <f t="array" ref="E43">INDEX(postDEL!$A$2:$P89,$O43,4)</f>
        <v/>
      </c>
      <c r="F43" s="290" t="str">
        <f t="array" ref="F43">INDEX(postDEL!$A$2:$P89,$O43,5)</f>
        <v/>
      </c>
      <c r="G43" s="290" t="str">
        <f t="array" ref="G43">INDEX(postDEL!$A$2:$P89,$O43,11)</f>
        <v>Negative</v>
      </c>
      <c r="H43" s="290" t="str">
        <f t="array" ref="H43">INDEX(postDEL!$A$2:$AL89,$O43,37)</f>
        <v>Negative</v>
      </c>
      <c r="I43" s="288">
        <f t="array" ref="I43">INDEX(postDEL!$A$2:$AL89,$O43,12)</f>
        <v>44704</v>
      </c>
      <c r="J43" s="289">
        <f t="array" ref="J43">INDEX(postDEL!$A$2:$AL89,$O43,13)</f>
        <v>0.3949189815</v>
      </c>
      <c r="K43" s="290" t="str">
        <f t="array" ref="K43">INDEX(postDEL!$A$2:$AL89,$O43,36)</f>
        <v/>
      </c>
      <c r="L43" s="290" t="str">
        <f t="array" ref="L43">INDEX(postDEL!$A$2:$AL89,$O43,38)</f>
        <v/>
      </c>
      <c r="M43" s="290" t="str">
        <f t="array" ref="M43">INDEX(postDEL!$A$2:$AL89,$O43,15)</f>
        <v/>
      </c>
      <c r="N43" s="93">
        <f>COUNTIF(postDEL!$A$2:$A89,A43)</f>
        <v>2</v>
      </c>
      <c r="O43" s="8">
        <f>MATCH(A43,postDEL!A$2:A89,0)</f>
        <v>102</v>
      </c>
      <c r="P43" s="7" t="str">
        <f t="shared" si="1"/>
        <v/>
      </c>
      <c r="Q43" s="291">
        <f t="shared" si="2"/>
        <v>0</v>
      </c>
      <c r="R43" s="3"/>
      <c r="S43" s="3"/>
      <c r="T43" s="3"/>
      <c r="U43" s="3"/>
      <c r="V43" s="3"/>
      <c r="W43" s="3"/>
      <c r="X43" s="3"/>
      <c r="Y43" s="3"/>
      <c r="Z43" s="3"/>
      <c r="AA43" s="3"/>
    </row>
    <row r="44">
      <c r="A44" s="292" t="s">
        <v>419</v>
      </c>
      <c r="B44" s="288">
        <f t="array" ref="B44">INDEX(postDEL!$A$2:$P89,$O44,2)</f>
        <v>44704</v>
      </c>
      <c r="C44" s="289">
        <f t="array" ref="C44">INDEX(postDEL!$A$2:$P89,$O44,3)</f>
        <v>0.3195138889</v>
      </c>
      <c r="D44" s="290" t="str">
        <f t="array" ref="D44">INDEX(postDEL!$A$2:$AN89,$O44,39)</f>
        <v>SpNDHM122532</v>
      </c>
      <c r="E44" s="290" t="str">
        <f t="array" ref="E44">INDEX(postDEL!$A$2:$P89,$O44,4)</f>
        <v/>
      </c>
      <c r="F44" s="290" t="str">
        <f t="array" ref="F44">INDEX(postDEL!$A$2:$P89,$O44,5)</f>
        <v/>
      </c>
      <c r="G44" s="290" t="str">
        <f t="array" ref="G44">INDEX(postDEL!$A$2:$P89,$O44,11)</f>
        <v>Negative</v>
      </c>
      <c r="H44" s="290" t="str">
        <f t="array" ref="H44">INDEX(postDEL!$A$2:$AL89,$O44,37)</f>
        <v>Negative</v>
      </c>
      <c r="I44" s="288">
        <f t="array" ref="I44">INDEX(postDEL!$A$2:$AL89,$O44,12)</f>
        <v>44704</v>
      </c>
      <c r="J44" s="289">
        <f t="array" ref="J44">INDEX(postDEL!$A$2:$AL89,$O44,13)</f>
        <v>0.3949189815</v>
      </c>
      <c r="K44" s="290" t="str">
        <f t="array" ref="K44">INDEX(postDEL!$A$2:$AL89,$O44,36)</f>
        <v/>
      </c>
      <c r="L44" s="290" t="str">
        <f t="array" ref="L44">INDEX(postDEL!$A$2:$AL89,$O44,38)</f>
        <v/>
      </c>
      <c r="M44" s="290" t="str">
        <f t="array" ref="M44">INDEX(postDEL!$A$2:$AL89,$O44,15)</f>
        <v/>
      </c>
      <c r="N44" s="93">
        <f>COUNTIF(postDEL!$A$2:$A89,A44)</f>
        <v>1</v>
      </c>
      <c r="O44" s="8">
        <f>MATCH(A44,postDEL!A$2:A89,0)</f>
        <v>104</v>
      </c>
      <c r="P44" s="7" t="str">
        <f t="shared" si="1"/>
        <v/>
      </c>
      <c r="Q44" s="291">
        <f t="shared" si="2"/>
        <v>0</v>
      </c>
      <c r="R44" s="3"/>
      <c r="S44" s="3"/>
      <c r="T44" s="3"/>
      <c r="U44" s="3"/>
      <c r="V44" s="3"/>
      <c r="W44" s="3"/>
      <c r="X44" s="3"/>
      <c r="Y44" s="3"/>
      <c r="Z44" s="3"/>
      <c r="AA44" s="3"/>
    </row>
    <row r="45">
      <c r="A45" s="292" t="s">
        <v>420</v>
      </c>
      <c r="B45" s="288">
        <f t="array" ref="B45">INDEX(postDEL!$A$2:$P89,$O45,2)</f>
        <v>44712</v>
      </c>
      <c r="C45" s="289">
        <f t="array" ref="C45">INDEX(postDEL!$A$2:$P89,$O45,3)</f>
        <v>0.1867592593</v>
      </c>
      <c r="D45" s="290" t="str">
        <f t="array" ref="D45">INDEX(postDEL!$A$2:$AN89,$O45,39)</f>
        <v>SpNDHM109523</v>
      </c>
      <c r="E45" s="290" t="str">
        <f t="array" ref="E45">INDEX(postDEL!$A$2:$P89,$O45,4)</f>
        <v/>
      </c>
      <c r="F45" s="290" t="str">
        <f t="array" ref="F45">INDEX(postDEL!$A$2:$P89,$O45,5)</f>
        <v/>
      </c>
      <c r="G45" s="290" t="str">
        <f t="array" ref="G45">INDEX(postDEL!$A$2:$P89,$O45,11)</f>
        <v>Negative</v>
      </c>
      <c r="H45" s="290" t="str">
        <f t="array" ref="H45">INDEX(postDEL!$A$2:$AL89,$O45,37)</f>
        <v>Negative</v>
      </c>
      <c r="I45" s="288">
        <f t="array" ref="I45">INDEX(postDEL!$A$2:$AL89,$O45,12)</f>
        <v>44713</v>
      </c>
      <c r="J45" s="289">
        <f t="array" ref="J45">INDEX(postDEL!$A$2:$AL89,$O45,13)</f>
        <v>0.3414814815</v>
      </c>
      <c r="K45" s="290" t="str">
        <f t="array" ref="K45">INDEX(postDEL!$A$2:$AL89,$O45,36)</f>
        <v/>
      </c>
      <c r="L45" s="290" t="str">
        <f t="array" ref="L45">INDEX(postDEL!$A$2:$AL89,$O45,38)</f>
        <v/>
      </c>
      <c r="M45" s="290" t="str">
        <f t="array" ref="M45">INDEX(postDEL!$A$2:$AL89,$O45,15)</f>
        <v/>
      </c>
      <c r="N45" s="93">
        <f>COUNTIF(postDEL!$A$2:$A89,A45)</f>
        <v>1</v>
      </c>
      <c r="O45" s="8">
        <f>MATCH(A45,postDEL!A$2:A89,0)</f>
        <v>105</v>
      </c>
      <c r="P45" s="7" t="b">
        <f t="shared" si="1"/>
        <v>1</v>
      </c>
      <c r="Q45" s="291">
        <f t="shared" si="2"/>
        <v>1</v>
      </c>
      <c r="R45" s="3"/>
      <c r="S45" s="3"/>
      <c r="T45" s="3"/>
      <c r="U45" s="3"/>
      <c r="V45" s="3"/>
      <c r="W45" s="3"/>
      <c r="X45" s="3"/>
      <c r="Y45" s="3"/>
      <c r="Z45" s="3"/>
      <c r="AA45" s="3"/>
    </row>
    <row r="46">
      <c r="A46" s="292" t="s">
        <v>421</v>
      </c>
      <c r="B46" s="288">
        <f t="array" ref="B46">INDEX(postDEL!$A$2:$P89,$O46,2)</f>
        <v>44712</v>
      </c>
      <c r="C46" s="289">
        <f t="array" ref="C46">INDEX(postDEL!$A$2:$P89,$O46,3)</f>
        <v>0.192650463</v>
      </c>
      <c r="D46" s="290" t="str">
        <f t="array" ref="D46">INDEX(postDEL!$A$2:$AN89,$O46,39)</f>
        <v>SpNDHM400541</v>
      </c>
      <c r="E46" s="290" t="str">
        <f t="array" ref="E46">INDEX(postDEL!$A$2:$P89,$O46,4)</f>
        <v/>
      </c>
      <c r="F46" s="290" t="str">
        <f t="array" ref="F46">INDEX(postDEL!$A$2:$P89,$O46,5)</f>
        <v/>
      </c>
      <c r="G46" s="290" t="str">
        <f t="array" ref="G46">INDEX(postDEL!$A$2:$P89,$O46,11)</f>
        <v>Negative</v>
      </c>
      <c r="H46" s="290" t="str">
        <f t="array" ref="H46">INDEX(postDEL!$A$2:$AL89,$O46,37)</f>
        <v>Negative</v>
      </c>
      <c r="I46" s="288">
        <f t="array" ref="I46">INDEX(postDEL!$A$2:$AL89,$O46,12)</f>
        <v>44713</v>
      </c>
      <c r="J46" s="289">
        <f t="array" ref="J46">INDEX(postDEL!$A$2:$AL89,$O46,13)</f>
        <v>0.3414814815</v>
      </c>
      <c r="K46" s="290" t="str">
        <f t="array" ref="K46">INDEX(postDEL!$A$2:$AL89,$O46,36)</f>
        <v/>
      </c>
      <c r="L46" s="290" t="str">
        <f t="array" ref="L46">INDEX(postDEL!$A$2:$AL89,$O46,38)</f>
        <v/>
      </c>
      <c r="M46" s="290" t="str">
        <f t="array" ref="M46">INDEX(postDEL!$A$2:$AL89,$O46,15)</f>
        <v/>
      </c>
      <c r="N46" s="93">
        <f>COUNTIF(postDEL!$A$2:$A89,A46)</f>
        <v>4</v>
      </c>
      <c r="O46" s="8">
        <f>MATCH(A46,postDEL!A$2:A89,0)</f>
        <v>106</v>
      </c>
      <c r="P46" s="7" t="str">
        <f t="shared" si="1"/>
        <v/>
      </c>
      <c r="Q46" s="291">
        <f t="shared" si="2"/>
        <v>1</v>
      </c>
      <c r="R46" s="3"/>
      <c r="S46" s="3"/>
      <c r="T46" s="3"/>
      <c r="U46" s="3"/>
      <c r="V46" s="3"/>
      <c r="W46" s="3"/>
      <c r="X46" s="3"/>
      <c r="Y46" s="3"/>
      <c r="Z46" s="3"/>
      <c r="AA46" s="3"/>
    </row>
    <row r="47">
      <c r="A47" s="292" t="s">
        <v>427</v>
      </c>
      <c r="B47" s="288">
        <f t="array" ref="B47">INDEX(postDEL!$A$2:$P89,$O47,2)</f>
        <v>44712</v>
      </c>
      <c r="C47" s="289">
        <f t="array" ref="C47">INDEX(postDEL!$A$2:$P89,$O47,3)</f>
        <v>0.7929166667</v>
      </c>
      <c r="D47" s="290" t="str">
        <f t="array" ref="D47">INDEX(postDEL!$A$2:$AN89,$O47,39)</f>
        <v>SpNDHM122532</v>
      </c>
      <c r="E47" s="290" t="str">
        <f t="array" ref="E47">INDEX(postDEL!$A$2:$P89,$O47,4)</f>
        <v/>
      </c>
      <c r="F47" s="290" t="str">
        <f t="array" ref="F47">INDEX(postDEL!$A$2:$P89,$O47,5)</f>
        <v/>
      </c>
      <c r="G47" s="290" t="str">
        <f t="array" ref="G47">INDEX(postDEL!$A$2:$P89,$O47,11)</f>
        <v>Negative</v>
      </c>
      <c r="H47" s="290" t="str">
        <f t="array" ref="H47">INDEX(postDEL!$A$2:$AL89,$O47,37)</f>
        <v>Negative</v>
      </c>
      <c r="I47" s="288">
        <f t="array" ref="I47">INDEX(postDEL!$A$2:$AL89,$O47,12)</f>
        <v>44713</v>
      </c>
      <c r="J47" s="289">
        <f t="array" ref="J47">INDEX(postDEL!$A$2:$AL89,$O47,13)</f>
        <v>0.3414814815</v>
      </c>
      <c r="K47" s="290" t="str">
        <f t="array" ref="K47">INDEX(postDEL!$A$2:$AL89,$O47,36)</f>
        <v/>
      </c>
      <c r="L47" s="290" t="str">
        <f t="array" ref="L47">INDEX(postDEL!$A$2:$AL89,$O47,38)</f>
        <v/>
      </c>
      <c r="M47" s="290" t="str">
        <f t="array" ref="M47">INDEX(postDEL!$A$2:$AL89,$O47,15)</f>
        <v/>
      </c>
      <c r="N47" s="93">
        <f>COUNTIF(postDEL!$A$2:$A89,A47)</f>
        <v>2</v>
      </c>
      <c r="O47" s="8">
        <f>MATCH(A47,postDEL!A$2:A89,0)</f>
        <v>110</v>
      </c>
      <c r="P47" s="7" t="str">
        <f t="shared" si="1"/>
        <v/>
      </c>
      <c r="Q47" s="291">
        <f t="shared" si="2"/>
        <v>1</v>
      </c>
      <c r="R47" s="3"/>
      <c r="S47" s="3"/>
      <c r="T47" s="3"/>
      <c r="U47" s="3"/>
      <c r="V47" s="3"/>
      <c r="W47" s="3"/>
      <c r="X47" s="3"/>
      <c r="Y47" s="3"/>
      <c r="Z47" s="3"/>
      <c r="AA47" s="3"/>
    </row>
    <row r="48">
      <c r="A48" s="292" t="s">
        <v>429</v>
      </c>
      <c r="B48" s="288">
        <f t="array" ref="B48">INDEX(postDEL!$A$2:$P89,$O48,2)</f>
        <v>44713</v>
      </c>
      <c r="C48" s="289">
        <f t="array" ref="C48">INDEX(postDEL!$A$2:$P89,$O48,3)</f>
        <v>0.1792592593</v>
      </c>
      <c r="D48" s="290" t="str">
        <f t="array" ref="D48">INDEX(postDEL!$A$2:$AN89,$O48,39)</f>
        <v>SpNDHM762063</v>
      </c>
      <c r="E48" s="290" t="str">
        <f t="array" ref="E48">INDEX(postDEL!$A$2:$P89,$O48,4)</f>
        <v/>
      </c>
      <c r="F48" s="290" t="str">
        <f t="array" ref="F48">INDEX(postDEL!$A$2:$P89,$O48,5)</f>
        <v/>
      </c>
      <c r="G48" s="290" t="str">
        <f t="array" ref="G48">INDEX(postDEL!$A$2:$P89,$O48,11)</f>
        <v>Negative</v>
      </c>
      <c r="H48" s="290" t="str">
        <f t="array" ref="H48">INDEX(postDEL!$A$2:$AL89,$O48,37)</f>
        <v>Negative</v>
      </c>
      <c r="I48" s="288">
        <f t="array" ref="I48">INDEX(postDEL!$A$2:$AL89,$O48,12)</f>
        <v>44713</v>
      </c>
      <c r="J48" s="289">
        <f t="array" ref="J48">INDEX(postDEL!$A$2:$AL89,$O48,13)</f>
        <v>0.3414814815</v>
      </c>
      <c r="K48" s="290" t="str">
        <f t="array" ref="K48">INDEX(postDEL!$A$2:$AL89,$O48,36)</f>
        <v/>
      </c>
      <c r="L48" s="290" t="str">
        <f t="array" ref="L48">INDEX(postDEL!$A$2:$AL89,$O48,38)</f>
        <v/>
      </c>
      <c r="M48" s="290" t="str">
        <f t="array" ref="M48">INDEX(postDEL!$A$2:$AL89,$O48,15)</f>
        <v/>
      </c>
      <c r="N48" s="93">
        <f>COUNTIF(postDEL!$A$2:$A89,A48)</f>
        <v>1</v>
      </c>
      <c r="O48" s="8">
        <f>MATCH(A48,postDEL!A$2:A89,0)</f>
        <v>112</v>
      </c>
      <c r="P48" s="7" t="b">
        <f t="shared" si="1"/>
        <v>1</v>
      </c>
      <c r="Q48" s="291">
        <f t="shared" si="2"/>
        <v>0</v>
      </c>
      <c r="R48" s="3"/>
      <c r="S48" s="3"/>
      <c r="T48" s="3"/>
      <c r="U48" s="3"/>
      <c r="V48" s="3"/>
      <c r="W48" s="3"/>
      <c r="X48" s="3"/>
      <c r="Y48" s="3"/>
      <c r="Z48" s="3"/>
      <c r="AA48" s="3"/>
    </row>
    <row r="49">
      <c r="A49" s="292" t="s">
        <v>432</v>
      </c>
      <c r="B49" s="288">
        <f t="array" ref="B49">INDEX(postDEL!$A$2:$P89,$O49,2)</f>
        <v>44713</v>
      </c>
      <c r="C49" s="289">
        <f t="array" ref="C49">INDEX(postDEL!$A$2:$P89,$O49,3)</f>
        <v>0.1832175926</v>
      </c>
      <c r="D49" s="290" t="str">
        <f t="array" ref="D49">INDEX(postDEL!$A$2:$AN89,$O49,39)</f>
        <v>SpNDHM109523</v>
      </c>
      <c r="E49" s="290" t="str">
        <f t="array" ref="E49">INDEX(postDEL!$A$2:$P89,$O49,4)</f>
        <v/>
      </c>
      <c r="F49" s="290" t="str">
        <f t="array" ref="F49">INDEX(postDEL!$A$2:$P89,$O49,5)</f>
        <v/>
      </c>
      <c r="G49" s="290" t="str">
        <f t="array" ref="G49">INDEX(postDEL!$A$2:$P89,$O49,11)</f>
        <v>Negative</v>
      </c>
      <c r="H49" s="290" t="str">
        <f t="array" ref="H49">INDEX(postDEL!$A$2:$AL89,$O49,37)</f>
        <v>Negative</v>
      </c>
      <c r="I49" s="288">
        <f t="array" ref="I49">INDEX(postDEL!$A$2:$AL89,$O49,12)</f>
        <v>44713</v>
      </c>
      <c r="J49" s="289">
        <f t="array" ref="J49">INDEX(postDEL!$A$2:$AL89,$O49,13)</f>
        <v>0.3414814815</v>
      </c>
      <c r="K49" s="290" t="str">
        <f t="array" ref="K49">INDEX(postDEL!$A$2:$AL89,$O49,36)</f>
        <v/>
      </c>
      <c r="L49" s="290" t="str">
        <f t="array" ref="L49">INDEX(postDEL!$A$2:$AL89,$O49,38)</f>
        <v/>
      </c>
      <c r="M49" s="290" t="str">
        <f t="array" ref="M49">INDEX(postDEL!$A$2:$AL89,$O49,15)</f>
        <v/>
      </c>
      <c r="N49" s="93">
        <f>COUNTIF(postDEL!$A$2:$A89,A49)</f>
        <v>1</v>
      </c>
      <c r="O49" s="8">
        <f>MATCH(A49,postDEL!A$2:A89,0)</f>
        <v>113</v>
      </c>
      <c r="P49" s="7" t="str">
        <f t="shared" si="1"/>
        <v/>
      </c>
      <c r="Q49" s="291">
        <f t="shared" si="2"/>
        <v>0</v>
      </c>
      <c r="R49" s="3"/>
      <c r="S49" s="3"/>
      <c r="T49" s="3"/>
      <c r="U49" s="3"/>
      <c r="V49" s="3"/>
      <c r="W49" s="3"/>
      <c r="X49" s="3"/>
      <c r="Y49" s="3"/>
      <c r="Z49" s="3"/>
      <c r="AA49" s="3"/>
    </row>
    <row r="50">
      <c r="A50" s="292" t="s">
        <v>433</v>
      </c>
      <c r="B50" s="288">
        <f t="array" ref="B50">INDEX(postDEL!$A$2:$P89,$O50,2)</f>
        <v>44713</v>
      </c>
      <c r="C50" s="289">
        <f t="array" ref="C50">INDEX(postDEL!$A$2:$P89,$O50,3)</f>
        <v>0.1966666667</v>
      </c>
      <c r="D50" s="290" t="str">
        <f t="array" ref="D50">INDEX(postDEL!$A$2:$AN89,$O50,39)</f>
        <v>SpNDHM966349</v>
      </c>
      <c r="E50" s="290" t="str">
        <f t="array" ref="E50">INDEX(postDEL!$A$2:$P89,$O50,4)</f>
        <v/>
      </c>
      <c r="F50" s="290" t="str">
        <f t="array" ref="F50">INDEX(postDEL!$A$2:$P89,$O50,5)</f>
        <v/>
      </c>
      <c r="G50" s="290" t="str">
        <f t="array" ref="G50">INDEX(postDEL!$A$2:$P89,$O50,11)</f>
        <v>Negative</v>
      </c>
      <c r="H50" s="290" t="str">
        <f t="array" ref="H50">INDEX(postDEL!$A$2:$AL89,$O50,37)</f>
        <v>Negative</v>
      </c>
      <c r="I50" s="288">
        <f t="array" ref="I50">INDEX(postDEL!$A$2:$AL89,$O50,12)</f>
        <v>44713</v>
      </c>
      <c r="J50" s="289">
        <f t="array" ref="J50">INDEX(postDEL!$A$2:$AL89,$O50,13)</f>
        <v>0.3414930556</v>
      </c>
      <c r="K50" s="290" t="str">
        <f t="array" ref="K50">INDEX(postDEL!$A$2:$AL89,$O50,36)</f>
        <v/>
      </c>
      <c r="L50" s="290" t="str">
        <f t="array" ref="L50">INDEX(postDEL!$A$2:$AL89,$O50,38)</f>
        <v/>
      </c>
      <c r="M50" s="290" t="str">
        <f t="array" ref="M50">INDEX(postDEL!$A$2:$AL89,$O50,15)</f>
        <v/>
      </c>
      <c r="N50" s="93">
        <f>COUNTIF(postDEL!$A$2:$A89,A50)</f>
        <v>2</v>
      </c>
      <c r="O50" s="8">
        <f>MATCH(A50,postDEL!A$2:A89,0)</f>
        <v>114</v>
      </c>
      <c r="P50" s="7" t="str">
        <f t="shared" si="1"/>
        <v/>
      </c>
      <c r="Q50" s="291">
        <f t="shared" si="2"/>
        <v>0</v>
      </c>
      <c r="R50" s="3"/>
      <c r="S50" s="3"/>
      <c r="T50" s="3"/>
      <c r="U50" s="3"/>
      <c r="V50" s="3"/>
      <c r="W50" s="3"/>
      <c r="X50" s="3"/>
      <c r="Y50" s="3"/>
      <c r="Z50" s="3"/>
      <c r="AA50" s="3"/>
    </row>
    <row r="51">
      <c r="A51" s="292" t="s">
        <v>434</v>
      </c>
      <c r="B51" s="288">
        <f t="array" ref="B51">INDEX(postDEL!$A$2:$P89,$O51,2)</f>
        <v>44713</v>
      </c>
      <c r="C51" s="289">
        <f t="array" ref="C51">INDEX(postDEL!$A$2:$P89,$O51,3)</f>
        <v>0.1976388889</v>
      </c>
      <c r="D51" s="290" t="str">
        <f t="array" ref="D51">INDEX(postDEL!$A$2:$AN89,$O51,39)</f>
        <v>SpNDHM189649</v>
      </c>
      <c r="E51" s="290" t="str">
        <f t="array" ref="E51">INDEX(postDEL!$A$2:$P89,$O51,4)</f>
        <v/>
      </c>
      <c r="F51" s="290" t="str">
        <f t="array" ref="F51">INDEX(postDEL!$A$2:$P89,$O51,5)</f>
        <v/>
      </c>
      <c r="G51" s="290" t="str">
        <f t="array" ref="G51">INDEX(postDEL!$A$2:$P89,$O51,11)</f>
        <v>Negative</v>
      </c>
      <c r="H51" s="290" t="str">
        <f t="array" ref="H51">INDEX(postDEL!$A$2:$AL89,$O51,37)</f>
        <v>Negative</v>
      </c>
      <c r="I51" s="288">
        <f t="array" ref="I51">INDEX(postDEL!$A$2:$AL89,$O51,12)</f>
        <v>44713</v>
      </c>
      <c r="J51" s="289">
        <f t="array" ref="J51">INDEX(postDEL!$A$2:$AL89,$O51,13)</f>
        <v>0.3414930556</v>
      </c>
      <c r="K51" s="290" t="str">
        <f t="array" ref="K51">INDEX(postDEL!$A$2:$AL89,$O51,36)</f>
        <v/>
      </c>
      <c r="L51" s="290" t="str">
        <f t="array" ref="L51">INDEX(postDEL!$A$2:$AL89,$O51,38)</f>
        <v/>
      </c>
      <c r="M51" s="290" t="str">
        <f t="array" ref="M51">INDEX(postDEL!$A$2:$AL89,$O51,15)</f>
        <v/>
      </c>
      <c r="N51" s="93">
        <f>COUNTIF(postDEL!$A$2:$A89,A51)</f>
        <v>4</v>
      </c>
      <c r="O51" s="8">
        <f>MATCH(A51,postDEL!A$2:A89,0)</f>
        <v>116</v>
      </c>
      <c r="P51" s="7" t="str">
        <f t="shared" si="1"/>
        <v/>
      </c>
      <c r="Q51" s="291">
        <f t="shared" si="2"/>
        <v>0</v>
      </c>
      <c r="R51" s="3"/>
      <c r="S51" s="3"/>
      <c r="T51" s="3"/>
      <c r="U51" s="3"/>
      <c r="V51" s="3"/>
      <c r="W51" s="3"/>
      <c r="X51" s="3"/>
      <c r="Y51" s="3"/>
      <c r="Z51" s="3"/>
      <c r="AA51" s="3"/>
    </row>
    <row r="52">
      <c r="A52" s="292" t="s">
        <v>435</v>
      </c>
      <c r="B52" s="288">
        <f t="array" ref="B52">INDEX(postDEL!$A$2:$P89,$O52,2)</f>
        <v>44713</v>
      </c>
      <c r="C52" s="289">
        <f t="array" ref="C52">INDEX(postDEL!$A$2:$P89,$O52,3)</f>
        <v>0.2007638889</v>
      </c>
      <c r="D52" s="290" t="str">
        <f t="array" ref="D52">INDEX(postDEL!$A$2:$AN89,$O52,39)</f>
        <v>SpNDHM118014</v>
      </c>
      <c r="E52" s="290" t="str">
        <f t="array" ref="E52">INDEX(postDEL!$A$2:$P89,$O52,4)</f>
        <v/>
      </c>
      <c r="F52" s="290" t="str">
        <f t="array" ref="F52">INDEX(postDEL!$A$2:$P89,$O52,5)</f>
        <v/>
      </c>
      <c r="G52" s="290" t="str">
        <f t="array" ref="G52">INDEX(postDEL!$A$2:$P89,$O52,11)</f>
        <v>Negative</v>
      </c>
      <c r="H52" s="290" t="str">
        <f t="array" ref="H52">INDEX(postDEL!$A$2:$AL89,$O52,37)</f>
        <v>Negative</v>
      </c>
      <c r="I52" s="288">
        <f t="array" ref="I52">INDEX(postDEL!$A$2:$AL89,$O52,12)</f>
        <v>44713</v>
      </c>
      <c r="J52" s="289">
        <f t="array" ref="J52">INDEX(postDEL!$A$2:$AL89,$O52,13)</f>
        <v>0.3414930556</v>
      </c>
      <c r="K52" s="290" t="str">
        <f t="array" ref="K52">INDEX(postDEL!$A$2:$AL89,$O52,36)</f>
        <v/>
      </c>
      <c r="L52" s="290" t="str">
        <f t="array" ref="L52">INDEX(postDEL!$A$2:$AL89,$O52,38)</f>
        <v/>
      </c>
      <c r="M52" s="290" t="str">
        <f t="array" ref="M52">INDEX(postDEL!$A$2:$AL89,$O52,15)</f>
        <v/>
      </c>
      <c r="N52" s="93">
        <f>COUNTIF(postDEL!$A$2:$A89,A52)</f>
        <v>2</v>
      </c>
      <c r="O52" s="8">
        <f>MATCH(A52,postDEL!A$2:A89,0)</f>
        <v>120</v>
      </c>
      <c r="P52" s="7" t="str">
        <f t="shared" si="1"/>
        <v/>
      </c>
      <c r="Q52" s="291">
        <f t="shared" si="2"/>
        <v>0</v>
      </c>
      <c r="R52" s="3"/>
      <c r="S52" s="3"/>
      <c r="T52" s="3"/>
      <c r="U52" s="3"/>
      <c r="V52" s="3"/>
      <c r="W52" s="3"/>
      <c r="X52" s="3"/>
      <c r="Y52" s="3"/>
      <c r="Z52" s="3"/>
      <c r="AA52" s="3"/>
    </row>
    <row r="53">
      <c r="A53" s="292" t="s">
        <v>436</v>
      </c>
      <c r="B53" s="288">
        <f t="array" ref="B53">INDEX(postDEL!$A$2:$P89,$O53,2)</f>
        <v>44713</v>
      </c>
      <c r="C53" s="289">
        <f t="array" ref="C53">INDEX(postDEL!$A$2:$P89,$O53,3)</f>
        <v>0.2039699074</v>
      </c>
      <c r="D53" s="290" t="str">
        <f t="array" ref="D53">INDEX(postDEL!$A$2:$AN89,$O53,39)</f>
        <v>SpNDHM842569</v>
      </c>
      <c r="E53" s="290" t="str">
        <f t="array" ref="E53">INDEX(postDEL!$A$2:$P89,$O53,4)</f>
        <v/>
      </c>
      <c r="F53" s="290" t="str">
        <f t="array" ref="F53">INDEX(postDEL!$A$2:$P89,$O53,5)</f>
        <v/>
      </c>
      <c r="G53" s="290" t="str">
        <f t="array" ref="G53">INDEX(postDEL!$A$2:$P89,$O53,11)</f>
        <v>Negative</v>
      </c>
      <c r="H53" s="290" t="str">
        <f t="array" ref="H53">INDEX(postDEL!$A$2:$AL89,$O53,37)</f>
        <v>Negative</v>
      </c>
      <c r="I53" s="288">
        <f t="array" ref="I53">INDEX(postDEL!$A$2:$AL89,$O53,12)</f>
        <v>44713</v>
      </c>
      <c r="J53" s="289">
        <f t="array" ref="J53">INDEX(postDEL!$A$2:$AL89,$O53,13)</f>
        <v>0.3414930556</v>
      </c>
      <c r="K53" s="290" t="str">
        <f t="array" ref="K53">INDEX(postDEL!$A$2:$AL89,$O53,36)</f>
        <v/>
      </c>
      <c r="L53" s="290" t="str">
        <f t="array" ref="L53">INDEX(postDEL!$A$2:$AL89,$O53,38)</f>
        <v/>
      </c>
      <c r="M53" s="290" t="str">
        <f t="array" ref="M53">INDEX(postDEL!$A$2:$AL89,$O53,15)</f>
        <v/>
      </c>
      <c r="N53" s="93">
        <f>COUNTIF(postDEL!$A$2:$A89,A53)</f>
        <v>2</v>
      </c>
      <c r="O53" s="8">
        <f>MATCH(A53,postDEL!A$2:A89,0)</f>
        <v>122</v>
      </c>
      <c r="P53" s="7" t="str">
        <f t="shared" si="1"/>
        <v/>
      </c>
      <c r="Q53" s="291">
        <f t="shared" si="2"/>
        <v>0</v>
      </c>
      <c r="R53" s="3"/>
      <c r="S53" s="3"/>
      <c r="T53" s="3"/>
      <c r="U53" s="3"/>
      <c r="V53" s="3"/>
      <c r="W53" s="3"/>
      <c r="X53" s="3"/>
      <c r="Y53" s="3"/>
      <c r="Z53" s="3"/>
      <c r="AA53" s="3"/>
    </row>
    <row r="54">
      <c r="A54" s="292" t="s">
        <v>437</v>
      </c>
      <c r="B54" s="288">
        <f t="array" ref="B54">INDEX(postDEL!$A$2:$P89,$O54,2)</f>
        <v>44713</v>
      </c>
      <c r="C54" s="289">
        <f t="array" ref="C54">INDEX(postDEL!$A$2:$P89,$O54,3)</f>
        <v>0.2053125</v>
      </c>
      <c r="D54" s="290" t="str">
        <f t="array" ref="D54">INDEX(postDEL!$A$2:$AN89,$O54,39)</f>
        <v>SpNDHM284552</v>
      </c>
      <c r="E54" s="290" t="str">
        <f t="array" ref="E54">INDEX(postDEL!$A$2:$P89,$O54,4)</f>
        <v/>
      </c>
      <c r="F54" s="290" t="str">
        <f t="array" ref="F54">INDEX(postDEL!$A$2:$P89,$O54,5)</f>
        <v/>
      </c>
      <c r="G54" s="290" t="str">
        <f t="array" ref="G54">INDEX(postDEL!$A$2:$P89,$O54,11)</f>
        <v>Negative</v>
      </c>
      <c r="H54" s="290" t="str">
        <f t="array" ref="H54">INDEX(postDEL!$A$2:$AL89,$O54,37)</f>
        <v>Negative</v>
      </c>
      <c r="I54" s="288">
        <f t="array" ref="I54">INDEX(postDEL!$A$2:$AL89,$O54,12)</f>
        <v>44713</v>
      </c>
      <c r="J54" s="289">
        <f t="array" ref="J54">INDEX(postDEL!$A$2:$AL89,$O54,13)</f>
        <v>0.3415046296</v>
      </c>
      <c r="K54" s="290" t="str">
        <f t="array" ref="K54">INDEX(postDEL!$A$2:$AL89,$O54,36)</f>
        <v/>
      </c>
      <c r="L54" s="290" t="str">
        <f t="array" ref="L54">INDEX(postDEL!$A$2:$AL89,$O54,38)</f>
        <v/>
      </c>
      <c r="M54" s="290" t="str">
        <f t="array" ref="M54">INDEX(postDEL!$A$2:$AL89,$O54,15)</f>
        <v/>
      </c>
      <c r="N54" s="93">
        <f>COUNTIF(postDEL!$A$2:$A89,A54)</f>
        <v>4</v>
      </c>
      <c r="O54" s="8">
        <f>MATCH(A54,postDEL!A$2:A89,0)</f>
        <v>124</v>
      </c>
      <c r="P54" s="7" t="str">
        <f t="shared" si="1"/>
        <v/>
      </c>
      <c r="Q54" s="291">
        <f t="shared" si="2"/>
        <v>0</v>
      </c>
      <c r="R54" s="3"/>
      <c r="S54" s="3"/>
      <c r="T54" s="3"/>
      <c r="U54" s="3"/>
      <c r="V54" s="3"/>
      <c r="W54" s="3"/>
      <c r="X54" s="3"/>
      <c r="Y54" s="3"/>
      <c r="Z54" s="3"/>
      <c r="AA54" s="3"/>
    </row>
    <row r="55">
      <c r="A55" s="292" t="s">
        <v>438</v>
      </c>
      <c r="B55" s="288">
        <f t="array" ref="B55">INDEX(postDEL!$A$2:$P89,$O55,2)</f>
        <v>44713</v>
      </c>
      <c r="C55" s="289">
        <f t="array" ref="C55">INDEX(postDEL!$A$2:$P89,$O55,3)</f>
        <v>0.208599537</v>
      </c>
      <c r="D55" s="290" t="str">
        <f t="array" ref="D55">INDEX(postDEL!$A$2:$AN89,$O55,39)</f>
        <v>SpNDHM957722</v>
      </c>
      <c r="E55" s="290" t="str">
        <f t="array" ref="E55">INDEX(postDEL!$A$2:$P89,$O55,4)</f>
        <v/>
      </c>
      <c r="F55" s="290" t="str">
        <f t="array" ref="F55">INDEX(postDEL!$A$2:$P89,$O55,5)</f>
        <v/>
      </c>
      <c r="G55" s="290" t="str">
        <f t="array" ref="G55">INDEX(postDEL!$A$2:$P89,$O55,11)</f>
        <v>Negative</v>
      </c>
      <c r="H55" s="290" t="str">
        <f t="array" ref="H55">INDEX(postDEL!$A$2:$AL89,$O55,37)</f>
        <v>Negative</v>
      </c>
      <c r="I55" s="288">
        <f t="array" ref="I55">INDEX(postDEL!$A$2:$AL89,$O55,12)</f>
        <v>44713</v>
      </c>
      <c r="J55" s="289">
        <f t="array" ref="J55">INDEX(postDEL!$A$2:$AL89,$O55,13)</f>
        <v>0.3415046296</v>
      </c>
      <c r="K55" s="290" t="str">
        <f t="array" ref="K55">INDEX(postDEL!$A$2:$AL89,$O55,36)</f>
        <v/>
      </c>
      <c r="L55" s="290" t="str">
        <f t="array" ref="L55">INDEX(postDEL!$A$2:$AL89,$O55,38)</f>
        <v/>
      </c>
      <c r="M55" s="290" t="str">
        <f t="array" ref="M55">INDEX(postDEL!$A$2:$AL89,$O55,15)</f>
        <v/>
      </c>
      <c r="N55" s="93">
        <f>COUNTIF(postDEL!$A$2:$A89,A55)</f>
        <v>3</v>
      </c>
      <c r="O55" s="8">
        <f>MATCH(A55,postDEL!A$2:A89,0)</f>
        <v>128</v>
      </c>
      <c r="P55" s="7" t="str">
        <f t="shared" si="1"/>
        <v/>
      </c>
      <c r="Q55" s="291">
        <f t="shared" si="2"/>
        <v>0</v>
      </c>
      <c r="R55" s="3"/>
      <c r="S55" s="3"/>
      <c r="T55" s="3"/>
      <c r="U55" s="3"/>
      <c r="V55" s="3"/>
      <c r="W55" s="3"/>
      <c r="X55" s="3"/>
      <c r="Y55" s="3"/>
      <c r="Z55" s="3"/>
      <c r="AA55" s="3"/>
    </row>
    <row r="56">
      <c r="A56" s="292" t="s">
        <v>439</v>
      </c>
      <c r="B56" s="288">
        <f t="array" ref="B56">INDEX(postDEL!$A$2:$P89,$O56,2)</f>
        <v>44713</v>
      </c>
      <c r="C56" s="289">
        <f t="array" ref="C56">INDEX(postDEL!$A$2:$P89,$O56,3)</f>
        <v>0.2517592593</v>
      </c>
      <c r="D56" s="290" t="str">
        <f t="array" ref="D56">INDEX(postDEL!$A$2:$AN89,$O56,39)</f>
        <v>SpNDHM189649</v>
      </c>
      <c r="E56" s="290" t="str">
        <f t="array" ref="E56">INDEX(postDEL!$A$2:$P89,$O56,4)</f>
        <v/>
      </c>
      <c r="F56" s="290" t="str">
        <f t="array" ref="F56">INDEX(postDEL!$A$2:$P89,$O56,5)</f>
        <v/>
      </c>
      <c r="G56" s="290" t="str">
        <f t="array" ref="G56">INDEX(postDEL!$A$2:$P89,$O56,11)</f>
        <v>Negative</v>
      </c>
      <c r="H56" s="290" t="str">
        <f t="array" ref="H56">INDEX(postDEL!$A$2:$AL89,$O56,37)</f>
        <v>Negative</v>
      </c>
      <c r="I56" s="288">
        <f t="array" ref="I56">INDEX(postDEL!$A$2:$AL89,$O56,12)</f>
        <v>44713</v>
      </c>
      <c r="J56" s="289">
        <f t="array" ref="J56">INDEX(postDEL!$A$2:$AL89,$O56,13)</f>
        <v>0.3415046296</v>
      </c>
      <c r="K56" s="290" t="str">
        <f t="array" ref="K56">INDEX(postDEL!$A$2:$AL89,$O56,36)</f>
        <v/>
      </c>
      <c r="L56" s="290" t="str">
        <f t="array" ref="L56">INDEX(postDEL!$A$2:$AL89,$O56,38)</f>
        <v/>
      </c>
      <c r="M56" s="290" t="str">
        <f t="array" ref="M56">INDEX(postDEL!$A$2:$AL89,$O56,15)</f>
        <v/>
      </c>
      <c r="N56" s="93">
        <f>COUNTIF(postDEL!$A$2:$A89,A56)</f>
        <v>1</v>
      </c>
      <c r="O56" s="8">
        <f>MATCH(A56,postDEL!A$2:A89,0)</f>
        <v>131</v>
      </c>
      <c r="P56" s="7" t="str">
        <f t="shared" si="1"/>
        <v/>
      </c>
      <c r="Q56" s="291">
        <f t="shared" si="2"/>
        <v>0</v>
      </c>
      <c r="R56" s="3"/>
      <c r="S56" s="3"/>
      <c r="T56" s="3"/>
      <c r="U56" s="3"/>
      <c r="V56" s="3"/>
      <c r="W56" s="3"/>
      <c r="X56" s="3"/>
      <c r="Y56" s="3"/>
      <c r="Z56" s="3"/>
      <c r="AA56" s="3"/>
    </row>
    <row r="57">
      <c r="A57" s="292" t="s">
        <v>440</v>
      </c>
      <c r="B57" s="288">
        <f t="array" ref="B57">INDEX(postDEL!$A$2:$P89,$O57,2)</f>
        <v>44713</v>
      </c>
      <c r="C57" s="289">
        <f t="array" ref="C57">INDEX(postDEL!$A$2:$P89,$O57,3)</f>
        <v>0.2727893519</v>
      </c>
      <c r="D57" s="290" t="str">
        <f t="array" ref="D57">INDEX(postDEL!$A$2:$AN89,$O57,39)</f>
        <v>SpNDHM122532</v>
      </c>
      <c r="E57" s="290" t="str">
        <f t="array" ref="E57">INDEX(postDEL!$A$2:$P89,$O57,4)</f>
        <v/>
      </c>
      <c r="F57" s="290" t="str">
        <f t="array" ref="F57">INDEX(postDEL!$A$2:$P89,$O57,5)</f>
        <v/>
      </c>
      <c r="G57" s="290" t="str">
        <f t="array" ref="G57">INDEX(postDEL!$A$2:$P89,$O57,11)</f>
        <v>Negative</v>
      </c>
      <c r="H57" s="290" t="str">
        <f t="array" ref="H57">INDEX(postDEL!$A$2:$AL89,$O57,37)</f>
        <v>Negative</v>
      </c>
      <c r="I57" s="288">
        <f t="array" ref="I57">INDEX(postDEL!$A$2:$AL89,$O57,12)</f>
        <v>44713</v>
      </c>
      <c r="J57" s="289">
        <f t="array" ref="J57">INDEX(postDEL!$A$2:$AL89,$O57,13)</f>
        <v>0.3415046296</v>
      </c>
      <c r="K57" s="290" t="str">
        <f t="array" ref="K57">INDEX(postDEL!$A$2:$AL89,$O57,36)</f>
        <v/>
      </c>
      <c r="L57" s="290" t="str">
        <f t="array" ref="L57">INDEX(postDEL!$A$2:$AL89,$O57,38)</f>
        <v/>
      </c>
      <c r="M57" s="290" t="str">
        <f t="array" ref="M57">INDEX(postDEL!$A$2:$AL89,$O57,15)</f>
        <v/>
      </c>
      <c r="N57" s="93">
        <f>COUNTIF(postDEL!$A$2:$A89,A57)</f>
        <v>1</v>
      </c>
      <c r="O57" s="8">
        <f>MATCH(A57,postDEL!A$2:A89,0)</f>
        <v>132</v>
      </c>
      <c r="P57" s="7" t="str">
        <f t="shared" si="1"/>
        <v/>
      </c>
      <c r="Q57" s="291">
        <f t="shared" si="2"/>
        <v>0</v>
      </c>
      <c r="R57" s="3"/>
      <c r="S57" s="3"/>
      <c r="T57" s="3"/>
      <c r="U57" s="3"/>
      <c r="V57" s="3"/>
      <c r="W57" s="3"/>
      <c r="X57" s="3"/>
      <c r="Y57" s="3"/>
      <c r="Z57" s="3"/>
      <c r="AA57" s="3"/>
    </row>
    <row r="58">
      <c r="A58" s="292" t="s">
        <v>444</v>
      </c>
      <c r="B58" s="288">
        <f t="array" ref="B58">INDEX(postDEL!$A$2:$P89,$O58,2)</f>
        <v>44718</v>
      </c>
      <c r="C58" s="289">
        <f t="array" ref="C58">INDEX(postDEL!$A$2:$P89,$O58,3)</f>
        <v>0.1569212963</v>
      </c>
      <c r="D58" s="290" t="str">
        <f t="array" ref="D58">INDEX(postDEL!$A$2:$AN89,$O58,39)</f>
        <v>SpNDHM435885</v>
      </c>
      <c r="E58" s="290" t="str">
        <f t="array" ref="E58">INDEX(postDEL!$A$2:$P89,$O58,4)</f>
        <v/>
      </c>
      <c r="F58" s="290" t="str">
        <f t="array" ref="F58">INDEX(postDEL!$A$2:$P89,$O58,5)</f>
        <v/>
      </c>
      <c r="G58" s="290" t="str">
        <f t="array" ref="G58">INDEX(postDEL!$A$2:$P89,$O58,11)</f>
        <v>Negative</v>
      </c>
      <c r="H58" s="290" t="str">
        <f t="array" ref="H58">INDEX(postDEL!$A$2:$AL89,$O58,37)</f>
        <v>Negative</v>
      </c>
      <c r="I58" s="288">
        <f t="array" ref="I58">INDEX(postDEL!$A$2:$AL89,$O58,12)</f>
        <v>44718</v>
      </c>
      <c r="J58" s="289">
        <f t="array" ref="J58">INDEX(postDEL!$A$2:$AL89,$O58,13)</f>
        <v>0.3649768519</v>
      </c>
      <c r="K58" s="290" t="str">
        <f t="array" ref="K58">INDEX(postDEL!$A$2:$AL89,$O58,36)</f>
        <v/>
      </c>
      <c r="L58" s="290" t="str">
        <f t="array" ref="L58">INDEX(postDEL!$A$2:$AL89,$O58,38)</f>
        <v/>
      </c>
      <c r="M58" s="290" t="str">
        <f t="array" ref="M58">INDEX(postDEL!$A$2:$AL89,$O58,15)</f>
        <v/>
      </c>
      <c r="N58" s="93">
        <f>COUNTIF(postDEL!$A$2:$A89,A58)</f>
        <v>3</v>
      </c>
      <c r="O58" s="8">
        <f>MATCH(A58,postDEL!A$2:A89,0)</f>
        <v>133</v>
      </c>
      <c r="P58" s="7" t="b">
        <f t="shared" si="1"/>
        <v>1</v>
      </c>
      <c r="Q58" s="291">
        <f t="shared" si="2"/>
        <v>0</v>
      </c>
      <c r="R58" s="3"/>
      <c r="S58" s="3"/>
      <c r="T58" s="3"/>
      <c r="U58" s="3"/>
      <c r="V58" s="3"/>
      <c r="W58" s="3"/>
      <c r="X58" s="3"/>
      <c r="Y58" s="3"/>
      <c r="Z58" s="3"/>
      <c r="AA58" s="3"/>
    </row>
    <row r="59">
      <c r="A59" s="292" t="s">
        <v>445</v>
      </c>
      <c r="B59" s="288">
        <f t="array" ref="B59">INDEX(postDEL!$A$2:$P89,$O59,2)</f>
        <v>44718</v>
      </c>
      <c r="C59" s="289">
        <f t="array" ref="C59">INDEX(postDEL!$A$2:$P89,$O59,3)</f>
        <v>0.1777546296</v>
      </c>
      <c r="D59" s="290" t="str">
        <f t="array" ref="D59">INDEX(postDEL!$A$2:$AN89,$O59,39)</f>
        <v>SpNDHM955894</v>
      </c>
      <c r="E59" s="290" t="str">
        <f t="array" ref="E59">INDEX(postDEL!$A$2:$P89,$O59,4)</f>
        <v/>
      </c>
      <c r="F59" s="290" t="str">
        <f t="array" ref="F59">INDEX(postDEL!$A$2:$P89,$O59,5)</f>
        <v/>
      </c>
      <c r="G59" s="290" t="str">
        <f t="array" ref="G59">INDEX(postDEL!$A$2:$P89,$O59,11)</f>
        <v>Negative</v>
      </c>
      <c r="H59" s="290" t="str">
        <f t="array" ref="H59">INDEX(postDEL!$A$2:$AL89,$O59,37)</f>
        <v>Negative</v>
      </c>
      <c r="I59" s="288">
        <f t="array" ref="I59">INDEX(postDEL!$A$2:$AL89,$O59,12)</f>
        <v>44718</v>
      </c>
      <c r="J59" s="289">
        <f t="array" ref="J59">INDEX(postDEL!$A$2:$AL89,$O59,13)</f>
        <v>0.3649768519</v>
      </c>
      <c r="K59" s="290" t="str">
        <f t="array" ref="K59">INDEX(postDEL!$A$2:$AL89,$O59,36)</f>
        <v/>
      </c>
      <c r="L59" s="290" t="str">
        <f t="array" ref="L59">INDEX(postDEL!$A$2:$AL89,$O59,38)</f>
        <v/>
      </c>
      <c r="M59" s="290" t="str">
        <f t="array" ref="M59">INDEX(postDEL!$A$2:$AL89,$O59,15)</f>
        <v/>
      </c>
      <c r="N59" s="93">
        <f>COUNTIF(postDEL!$A$2:$A89,A59)</f>
        <v>4</v>
      </c>
      <c r="O59" s="8">
        <f>MATCH(A59,postDEL!A$2:A89,0)</f>
        <v>136</v>
      </c>
      <c r="P59" s="7" t="str">
        <f t="shared" si="1"/>
        <v/>
      </c>
      <c r="Q59" s="291">
        <f t="shared" si="2"/>
        <v>0</v>
      </c>
      <c r="R59" s="3"/>
      <c r="S59" s="3"/>
      <c r="T59" s="3"/>
      <c r="U59" s="3"/>
      <c r="V59" s="3"/>
      <c r="W59" s="3"/>
      <c r="X59" s="3"/>
      <c r="Y59" s="3"/>
      <c r="Z59" s="3"/>
      <c r="AA59" s="3"/>
    </row>
    <row r="60">
      <c r="A60" s="292" t="s">
        <v>447</v>
      </c>
      <c r="B60" s="288">
        <f t="array" ref="B60">INDEX(postDEL!$A$2:$P89,$O60,2)</f>
        <v>44718</v>
      </c>
      <c r="C60" s="289">
        <f t="array" ref="C60">INDEX(postDEL!$A$2:$P89,$O60,3)</f>
        <v>0.202662037</v>
      </c>
      <c r="D60" s="290" t="str">
        <f t="array" ref="D60">INDEX(postDEL!$A$2:$AN89,$O60,39)</f>
        <v>SpNDHM966349</v>
      </c>
      <c r="E60" s="290" t="str">
        <f t="array" ref="E60">INDEX(postDEL!$A$2:$P89,$O60,4)</f>
        <v/>
      </c>
      <c r="F60" s="290" t="str">
        <f t="array" ref="F60">INDEX(postDEL!$A$2:$P89,$O60,5)</f>
        <v/>
      </c>
      <c r="G60" s="290" t="str">
        <f t="array" ref="G60">INDEX(postDEL!$A$2:$P89,$O60,11)</f>
        <v>Negative</v>
      </c>
      <c r="H60" s="290" t="str">
        <f t="array" ref="H60">INDEX(postDEL!$A$2:$AL89,$O60,37)</f>
        <v>Negative</v>
      </c>
      <c r="I60" s="288">
        <f t="array" ref="I60">INDEX(postDEL!$A$2:$AL89,$O60,12)</f>
        <v>44718</v>
      </c>
      <c r="J60" s="289">
        <f t="array" ref="J60">INDEX(postDEL!$A$2:$AL89,$O60,13)</f>
        <v>0.3649768519</v>
      </c>
      <c r="K60" s="290" t="str">
        <f t="array" ref="K60">INDEX(postDEL!$A$2:$AL89,$O60,36)</f>
        <v/>
      </c>
      <c r="L60" s="290" t="str">
        <f t="array" ref="L60">INDEX(postDEL!$A$2:$AL89,$O60,38)</f>
        <v/>
      </c>
      <c r="M60" s="290" t="str">
        <f t="array" ref="M60">INDEX(postDEL!$A$2:$AL89,$O60,15)</f>
        <v/>
      </c>
      <c r="N60" s="93">
        <f>COUNTIF(postDEL!$A$2:$A89,A60)</f>
        <v>2</v>
      </c>
      <c r="O60" s="8">
        <f>MATCH(A60,postDEL!A$2:A89,0)</f>
        <v>140</v>
      </c>
      <c r="P60" s="7" t="str">
        <f t="shared" si="1"/>
        <v/>
      </c>
      <c r="Q60" s="291">
        <f t="shared" si="2"/>
        <v>0</v>
      </c>
      <c r="R60" s="3"/>
      <c r="S60" s="3"/>
      <c r="T60" s="3"/>
      <c r="U60" s="3"/>
      <c r="V60" s="3"/>
      <c r="W60" s="3"/>
      <c r="X60" s="3"/>
      <c r="Y60" s="3"/>
      <c r="Z60" s="3"/>
      <c r="AA60" s="3"/>
    </row>
    <row r="61">
      <c r="A61" s="292" t="s">
        <v>448</v>
      </c>
      <c r="B61" s="288">
        <f t="array" ref="B61">INDEX(postDEL!$A$2:$P89,$O61,2)</f>
        <v>44718</v>
      </c>
      <c r="C61" s="289">
        <f t="array" ref="C61">INDEX(postDEL!$A$2:$P89,$O61,3)</f>
        <v>0.2116782407</v>
      </c>
      <c r="D61" s="290" t="str">
        <f t="array" ref="D61">INDEX(postDEL!$A$2:$AN89,$O61,39)</f>
        <v>SpNDHM957722</v>
      </c>
      <c r="E61" s="290" t="str">
        <f t="array" ref="E61">INDEX(postDEL!$A$2:$P89,$O61,4)</f>
        <v/>
      </c>
      <c r="F61" s="290" t="str">
        <f t="array" ref="F61">INDEX(postDEL!$A$2:$P89,$O61,5)</f>
        <v/>
      </c>
      <c r="G61" s="290" t="str">
        <f t="array" ref="G61">INDEX(postDEL!$A$2:$P89,$O61,11)</f>
        <v>Negative</v>
      </c>
      <c r="H61" s="290" t="str">
        <f t="array" ref="H61">INDEX(postDEL!$A$2:$AL89,$O61,37)</f>
        <v>Negative</v>
      </c>
      <c r="I61" s="288">
        <f t="array" ref="I61">INDEX(postDEL!$A$2:$AL89,$O61,12)</f>
        <v>44718</v>
      </c>
      <c r="J61" s="289">
        <f t="array" ref="J61">INDEX(postDEL!$A$2:$AL89,$O61,13)</f>
        <v>0.3649768519</v>
      </c>
      <c r="K61" s="290" t="str">
        <f t="array" ref="K61">INDEX(postDEL!$A$2:$AL89,$O61,36)</f>
        <v/>
      </c>
      <c r="L61" s="290" t="str">
        <f t="array" ref="L61">INDEX(postDEL!$A$2:$AL89,$O61,38)</f>
        <v/>
      </c>
      <c r="M61" s="290" t="str">
        <f t="array" ref="M61">INDEX(postDEL!$A$2:$AL89,$O61,15)</f>
        <v/>
      </c>
      <c r="N61" s="93">
        <f>COUNTIF(postDEL!$A$2:$A89,A61)</f>
        <v>3</v>
      </c>
      <c r="O61" s="8">
        <f>MATCH(A61,postDEL!A$2:A89,0)</f>
        <v>142</v>
      </c>
      <c r="P61" s="7" t="str">
        <f t="shared" si="1"/>
        <v/>
      </c>
      <c r="Q61" s="291">
        <f t="shared" si="2"/>
        <v>0</v>
      </c>
      <c r="R61" s="3"/>
      <c r="S61" s="3"/>
      <c r="T61" s="3"/>
      <c r="U61" s="3"/>
      <c r="V61" s="3"/>
      <c r="W61" s="3"/>
      <c r="X61" s="3"/>
      <c r="Y61" s="3"/>
      <c r="Z61" s="3"/>
      <c r="AA61" s="3"/>
    </row>
    <row r="62">
      <c r="A62" s="292" t="s">
        <v>449</v>
      </c>
      <c r="B62" s="288">
        <f t="array" ref="B62">INDEX(postDEL!$A$2:$P89,$O62,2)</f>
        <v>44718</v>
      </c>
      <c r="C62" s="289">
        <f t="array" ref="C62">INDEX(postDEL!$A$2:$P89,$O62,3)</f>
        <v>0.2136458333</v>
      </c>
      <c r="D62" s="290" t="str">
        <f t="array" ref="D62">INDEX(postDEL!$A$2:$AN89,$O62,39)</f>
        <v>SpNDHM284552</v>
      </c>
      <c r="E62" s="290" t="str">
        <f t="array" ref="E62">INDEX(postDEL!$A$2:$P89,$O62,4)</f>
        <v/>
      </c>
      <c r="F62" s="290" t="str">
        <f t="array" ref="F62">INDEX(postDEL!$A$2:$P89,$O62,5)</f>
        <v/>
      </c>
      <c r="G62" s="290" t="str">
        <f t="array" ref="G62">INDEX(postDEL!$A$2:$P89,$O62,11)</f>
        <v>Negative</v>
      </c>
      <c r="H62" s="290" t="str">
        <f t="array" ref="H62">INDEX(postDEL!$A$2:$AL89,$O62,37)</f>
        <v>Negative</v>
      </c>
      <c r="I62" s="288">
        <f t="array" ref="I62">INDEX(postDEL!$A$2:$AL89,$O62,12)</f>
        <v>44718</v>
      </c>
      <c r="J62" s="289">
        <f t="array" ref="J62">INDEX(postDEL!$A$2:$AL89,$O62,13)</f>
        <v>0.3649768519</v>
      </c>
      <c r="K62" s="290" t="str">
        <f t="array" ref="K62">INDEX(postDEL!$A$2:$AL89,$O62,36)</f>
        <v/>
      </c>
      <c r="L62" s="290" t="str">
        <f t="array" ref="L62">INDEX(postDEL!$A$2:$AL89,$O62,38)</f>
        <v/>
      </c>
      <c r="M62" s="290" t="str">
        <f t="array" ref="M62">INDEX(postDEL!$A$2:$AL89,$O62,15)</f>
        <v/>
      </c>
      <c r="N62" s="93">
        <f>COUNTIF(postDEL!$A$2:$A89,A62)</f>
        <v>2</v>
      </c>
      <c r="O62" s="8">
        <f>MATCH(A62,postDEL!A$2:A89,0)</f>
        <v>145</v>
      </c>
      <c r="P62" s="7" t="str">
        <f t="shared" si="1"/>
        <v/>
      </c>
      <c r="Q62" s="291">
        <f t="shared" si="2"/>
        <v>0</v>
      </c>
      <c r="R62" s="3"/>
      <c r="S62" s="3"/>
      <c r="T62" s="3"/>
      <c r="U62" s="3"/>
      <c r="V62" s="3"/>
      <c r="W62" s="3"/>
      <c r="X62" s="3"/>
      <c r="Y62" s="3"/>
      <c r="Z62" s="3"/>
      <c r="AA62" s="3"/>
    </row>
    <row r="63">
      <c r="A63" s="292" t="s">
        <v>450</v>
      </c>
      <c r="B63" s="288">
        <f t="array" ref="B63">INDEX(postDEL!$A$2:$P89,$O63,2)</f>
        <v>44718</v>
      </c>
      <c r="C63" s="289">
        <f t="array" ref="C63">INDEX(postDEL!$A$2:$P89,$O63,3)</f>
        <v>0.2365277778</v>
      </c>
      <c r="D63" s="290" t="str">
        <f t="array" ref="D63">INDEX(postDEL!$A$2:$AN89,$O63,39)</f>
        <v>SpNDHM189649</v>
      </c>
      <c r="E63" s="290" t="str">
        <f t="array" ref="E63">INDEX(postDEL!$A$2:$P89,$O63,4)</f>
        <v/>
      </c>
      <c r="F63" s="290" t="str">
        <f t="array" ref="F63">INDEX(postDEL!$A$2:$P89,$O63,5)</f>
        <v/>
      </c>
      <c r="G63" s="290" t="str">
        <f t="array" ref="G63">INDEX(postDEL!$A$2:$P89,$O63,11)</f>
        <v>Negative</v>
      </c>
      <c r="H63" s="290" t="str">
        <f t="array" ref="H63">INDEX(postDEL!$A$2:$AL89,$O63,37)</f>
        <v>Negative</v>
      </c>
      <c r="I63" s="288">
        <f t="array" ref="I63">INDEX(postDEL!$A$2:$AL89,$O63,12)</f>
        <v>44718</v>
      </c>
      <c r="J63" s="289">
        <f t="array" ref="J63">INDEX(postDEL!$A$2:$AL89,$O63,13)</f>
        <v>0.3649884259</v>
      </c>
      <c r="K63" s="290" t="str">
        <f t="array" ref="K63">INDEX(postDEL!$A$2:$AL89,$O63,36)</f>
        <v/>
      </c>
      <c r="L63" s="290" t="str">
        <f t="array" ref="L63">INDEX(postDEL!$A$2:$AL89,$O63,38)</f>
        <v/>
      </c>
      <c r="M63" s="290" t="str">
        <f t="array" ref="M63">INDEX(postDEL!$A$2:$AL89,$O63,15)</f>
        <v/>
      </c>
      <c r="N63" s="93">
        <f>COUNTIF(postDEL!$A$2:$A89,A63)</f>
        <v>3</v>
      </c>
      <c r="O63" s="8">
        <f>MATCH(A63,postDEL!A$2:A89,0)</f>
        <v>147</v>
      </c>
      <c r="P63" s="7" t="str">
        <f t="shared" si="1"/>
        <v/>
      </c>
      <c r="Q63" s="291">
        <f t="shared" si="2"/>
        <v>0</v>
      </c>
      <c r="R63" s="3"/>
      <c r="S63" s="3"/>
      <c r="T63" s="3"/>
      <c r="U63" s="3"/>
      <c r="V63" s="3"/>
      <c r="W63" s="3"/>
      <c r="X63" s="3"/>
      <c r="Y63" s="3"/>
      <c r="Z63" s="3"/>
      <c r="AA63" s="3"/>
    </row>
    <row r="64">
      <c r="A64" s="292" t="s">
        <v>451</v>
      </c>
      <c r="B64" s="288">
        <f t="array" ref="B64">INDEX(postDEL!$A$2:$P89,$O64,2)</f>
        <v>44718</v>
      </c>
      <c r="C64" s="289">
        <f t="array" ref="C64">INDEX(postDEL!$A$2:$P89,$O64,3)</f>
        <v>0.2998032407</v>
      </c>
      <c r="D64" s="290" t="str">
        <f t="array" ref="D64">INDEX(postDEL!$A$2:$AN89,$O64,39)</f>
        <v>SpNDHM122532</v>
      </c>
      <c r="E64" s="290" t="str">
        <f t="array" ref="E64">INDEX(postDEL!$A$2:$P89,$O64,4)</f>
        <v/>
      </c>
      <c r="F64" s="290" t="str">
        <f t="array" ref="F64">INDEX(postDEL!$A$2:$P89,$O64,5)</f>
        <v/>
      </c>
      <c r="G64" s="290" t="str">
        <f t="array" ref="G64">INDEX(postDEL!$A$2:$P89,$O64,11)</f>
        <v>Negative</v>
      </c>
      <c r="H64" s="290" t="str">
        <f t="array" ref="H64">INDEX(postDEL!$A$2:$AL89,$O64,37)</f>
        <v>Negative</v>
      </c>
      <c r="I64" s="288">
        <f t="array" ref="I64">INDEX(postDEL!$A$2:$AL89,$O64,12)</f>
        <v>44718</v>
      </c>
      <c r="J64" s="289">
        <f t="array" ref="J64">INDEX(postDEL!$A$2:$AL89,$O64,13)</f>
        <v>0.3649884259</v>
      </c>
      <c r="K64" s="290" t="str">
        <f t="array" ref="K64">INDEX(postDEL!$A$2:$AL89,$O64,36)</f>
        <v/>
      </c>
      <c r="L64" s="290" t="str">
        <f t="array" ref="L64">INDEX(postDEL!$A$2:$AL89,$O64,38)</f>
        <v/>
      </c>
      <c r="M64" s="290" t="str">
        <f t="array" ref="M64">INDEX(postDEL!$A$2:$AL89,$O64,15)</f>
        <v/>
      </c>
      <c r="N64" s="93">
        <f>COUNTIF(postDEL!$A$2:$A89,A64)</f>
        <v>2</v>
      </c>
      <c r="O64" s="8">
        <f>MATCH(A64,postDEL!A$2:A89,0)</f>
        <v>150</v>
      </c>
      <c r="P64" s="7" t="str">
        <f t="shared" si="1"/>
        <v/>
      </c>
      <c r="Q64" s="291">
        <f t="shared" si="2"/>
        <v>0</v>
      </c>
      <c r="R64" s="3"/>
      <c r="S64" s="3"/>
      <c r="T64" s="3"/>
      <c r="U64" s="3"/>
      <c r="V64" s="3"/>
      <c r="W64" s="3"/>
      <c r="X64" s="3"/>
      <c r="Y64" s="3"/>
      <c r="Z64" s="3"/>
      <c r="AA64" s="3"/>
    </row>
    <row r="65">
      <c r="A65" s="292" t="s">
        <v>458</v>
      </c>
      <c r="B65" s="288">
        <f t="array" ref="B65">INDEX(postDEL!$A$2:$P89,$O65,2)</f>
        <v>44725</v>
      </c>
      <c r="C65" s="289">
        <f t="array" ref="C65">INDEX(postDEL!$A$2:$P89,$O65,3)</f>
        <v>0.2010300926</v>
      </c>
      <c r="D65" s="290" t="str">
        <f t="array" ref="D65">INDEX(postDEL!$A$2:$AN89,$O65,39)</f>
        <v>SpNDHM284552</v>
      </c>
      <c r="E65" s="290" t="str">
        <f t="array" ref="E65">INDEX(postDEL!$A$2:$P89,$O65,4)</f>
        <v/>
      </c>
      <c r="F65" s="290" t="str">
        <f t="array" ref="F65">INDEX(postDEL!$A$2:$P89,$O65,5)</f>
        <v/>
      </c>
      <c r="G65" s="290" t="str">
        <f t="array" ref="G65">INDEX(postDEL!$A$2:$P89,$O65,11)</f>
        <v>Negative</v>
      </c>
      <c r="H65" s="290" t="str">
        <f t="array" ref="H65">INDEX(postDEL!$A$2:$AL89,$O65,37)</f>
        <v>Negative</v>
      </c>
      <c r="I65" s="288">
        <f t="array" ref="I65">INDEX(postDEL!$A$2:$AL89,$O65,12)</f>
        <v>44725</v>
      </c>
      <c r="J65" s="289">
        <f t="array" ref="J65">INDEX(postDEL!$A$2:$AL89,$O65,13)</f>
        <v>0.4122337963</v>
      </c>
      <c r="K65" s="290" t="str">
        <f t="array" ref="K65">INDEX(postDEL!$A$2:$AL89,$O65,36)</f>
        <v/>
      </c>
      <c r="L65" s="290" t="str">
        <f t="array" ref="L65">INDEX(postDEL!$A$2:$AL89,$O65,38)</f>
        <v/>
      </c>
      <c r="M65" s="290" t="str">
        <f t="array" ref="M65">INDEX(postDEL!$A$2:$AL89,$O65,15)</f>
        <v/>
      </c>
      <c r="N65" s="93">
        <f>COUNTIF(postDEL!$A$2:$A89,A65)</f>
        <v>4</v>
      </c>
      <c r="O65" s="8">
        <f>MATCH(A65,postDEL!A$2:A89,0)</f>
        <v>152</v>
      </c>
      <c r="P65" s="7" t="b">
        <f t="shared" si="1"/>
        <v>1</v>
      </c>
      <c r="Q65" s="291">
        <f t="shared" si="2"/>
        <v>0</v>
      </c>
      <c r="R65" s="3"/>
      <c r="S65" s="3"/>
      <c r="T65" s="3"/>
      <c r="U65" s="3"/>
      <c r="V65" s="3"/>
      <c r="W65" s="3"/>
      <c r="X65" s="3"/>
      <c r="Y65" s="3"/>
      <c r="Z65" s="3"/>
      <c r="AA65" s="3"/>
    </row>
    <row r="66">
      <c r="A66" s="292" t="s">
        <v>459</v>
      </c>
      <c r="B66" s="288">
        <f t="array" ref="B66">INDEX(postDEL!$A$2:$P89,$O66,2)</f>
        <v>44725</v>
      </c>
      <c r="C66" s="289">
        <f t="array" ref="C66">INDEX(postDEL!$A$2:$P89,$O66,3)</f>
        <v>0.2252314815</v>
      </c>
      <c r="D66" s="290" t="str">
        <f t="array" ref="D66">INDEX(postDEL!$A$2:$AN89,$O66,39)</f>
        <v>SpNDHM957722</v>
      </c>
      <c r="E66" s="290" t="str">
        <f t="array" ref="E66">INDEX(postDEL!$A$2:$P89,$O66,4)</f>
        <v/>
      </c>
      <c r="F66" s="290" t="str">
        <f t="array" ref="F66">INDEX(postDEL!$A$2:$P89,$O66,5)</f>
        <v/>
      </c>
      <c r="G66" s="290" t="str">
        <f t="array" ref="G66">INDEX(postDEL!$A$2:$P89,$O66,11)</f>
        <v>Negative</v>
      </c>
      <c r="H66" s="290" t="str">
        <f t="array" ref="H66">INDEX(postDEL!$A$2:$AL89,$O66,37)</f>
        <v>Negative</v>
      </c>
      <c r="I66" s="288">
        <f t="array" ref="I66">INDEX(postDEL!$A$2:$AL89,$O66,12)</f>
        <v>44725</v>
      </c>
      <c r="J66" s="289">
        <f t="array" ref="J66">INDEX(postDEL!$A$2:$AL89,$O66,13)</f>
        <v>0.4122453704</v>
      </c>
      <c r="K66" s="290" t="str">
        <f t="array" ref="K66">INDEX(postDEL!$A$2:$AL89,$O66,36)</f>
        <v/>
      </c>
      <c r="L66" s="290" t="str">
        <f t="array" ref="L66">INDEX(postDEL!$A$2:$AL89,$O66,38)</f>
        <v/>
      </c>
      <c r="M66" s="290" t="str">
        <f t="array" ref="M66">INDEX(postDEL!$A$2:$AL89,$O66,15)</f>
        <v/>
      </c>
      <c r="N66" s="93">
        <f>COUNTIF(postDEL!$A$2:$A89,A66)</f>
        <v>3</v>
      </c>
      <c r="O66" s="8">
        <f>MATCH(A66,postDEL!A$2:A89,0)</f>
        <v>156</v>
      </c>
      <c r="P66" s="7" t="str">
        <f t="shared" si="1"/>
        <v/>
      </c>
      <c r="Q66" s="291">
        <f t="shared" si="2"/>
        <v>0</v>
      </c>
      <c r="R66" s="3"/>
      <c r="S66" s="3"/>
      <c r="T66" s="3"/>
      <c r="U66" s="3"/>
      <c r="V66" s="3"/>
      <c r="W66" s="3"/>
      <c r="X66" s="3"/>
      <c r="Y66" s="3"/>
      <c r="Z66" s="3"/>
      <c r="AA66" s="3"/>
    </row>
    <row r="67">
      <c r="A67" s="292" t="s">
        <v>460</v>
      </c>
      <c r="B67" s="288">
        <f t="array" ref="B67">INDEX(postDEL!$A$2:$P89,$O67,2)</f>
        <v>44725</v>
      </c>
      <c r="C67" s="289">
        <f t="array" ref="C67">INDEX(postDEL!$A$2:$P89,$O67,3)</f>
        <v>0.2335069444</v>
      </c>
      <c r="D67" s="290" t="str">
        <f t="array" ref="D67">INDEX(postDEL!$A$2:$AN89,$O67,39)</f>
        <v>SpNDHM189649</v>
      </c>
      <c r="E67" s="290" t="str">
        <f t="array" ref="E67">INDEX(postDEL!$A$2:$P89,$O67,4)</f>
        <v/>
      </c>
      <c r="F67" s="290" t="str">
        <f t="array" ref="F67">INDEX(postDEL!$A$2:$P89,$O67,5)</f>
        <v/>
      </c>
      <c r="G67" s="290" t="str">
        <f t="array" ref="G67">INDEX(postDEL!$A$2:$P89,$O67,11)</f>
        <v>Negative</v>
      </c>
      <c r="H67" s="290" t="str">
        <f t="array" ref="H67">INDEX(postDEL!$A$2:$AL89,$O67,37)</f>
        <v>Negative</v>
      </c>
      <c r="I67" s="288">
        <f t="array" ref="I67">INDEX(postDEL!$A$2:$AL89,$O67,12)</f>
        <v>44725</v>
      </c>
      <c r="J67" s="289">
        <f t="array" ref="J67">INDEX(postDEL!$A$2:$AL89,$O67,13)</f>
        <v>0.4122453704</v>
      </c>
      <c r="K67" s="290" t="str">
        <f t="array" ref="K67">INDEX(postDEL!$A$2:$AL89,$O67,36)</f>
        <v/>
      </c>
      <c r="L67" s="290" t="str">
        <f t="array" ref="L67">INDEX(postDEL!$A$2:$AL89,$O67,38)</f>
        <v/>
      </c>
      <c r="M67" s="290" t="str">
        <f t="array" ref="M67">INDEX(postDEL!$A$2:$AL89,$O67,15)</f>
        <v/>
      </c>
      <c r="N67" s="93">
        <f>COUNTIF(postDEL!$A$2:$A89,A67)</f>
        <v>3</v>
      </c>
      <c r="O67" s="8">
        <f>MATCH(A67,postDEL!A$2:A89,0)</f>
        <v>159</v>
      </c>
      <c r="P67" s="7" t="str">
        <f t="shared" si="1"/>
        <v/>
      </c>
      <c r="Q67" s="291">
        <f t="shared" si="2"/>
        <v>0</v>
      </c>
      <c r="R67" s="3"/>
      <c r="S67" s="3"/>
      <c r="T67" s="3"/>
      <c r="U67" s="3"/>
      <c r="V67" s="3"/>
      <c r="W67" s="3"/>
      <c r="X67" s="3"/>
      <c r="Y67" s="3"/>
      <c r="Z67" s="3"/>
      <c r="AA67" s="3"/>
    </row>
    <row r="68">
      <c r="A68" s="292" t="s">
        <v>461</v>
      </c>
      <c r="B68" s="288">
        <f t="array" ref="B68">INDEX(postDEL!$A$2:$P89,$O68,2)</f>
        <v>44725</v>
      </c>
      <c r="C68" s="289">
        <f t="array" ref="C68">INDEX(postDEL!$A$2:$P89,$O68,3)</f>
        <v>0.2443518519</v>
      </c>
      <c r="D68" s="290" t="str">
        <f t="array" ref="D68">INDEX(postDEL!$A$2:$AN89,$O68,39)</f>
        <v>SpNDHM966349</v>
      </c>
      <c r="E68" s="290" t="str">
        <f t="array" ref="E68">INDEX(postDEL!$A$2:$P89,$O68,4)</f>
        <v/>
      </c>
      <c r="F68" s="290" t="str">
        <f t="array" ref="F68">INDEX(postDEL!$A$2:$P89,$O68,5)</f>
        <v/>
      </c>
      <c r="G68" s="290" t="str">
        <f t="array" ref="G68">INDEX(postDEL!$A$2:$P89,$O68,11)</f>
        <v>Negative</v>
      </c>
      <c r="H68" s="290" t="str">
        <f t="array" ref="H68">INDEX(postDEL!$A$2:$AL89,$O68,37)</f>
        <v>Negative</v>
      </c>
      <c r="I68" s="288">
        <f t="array" ref="I68">INDEX(postDEL!$A$2:$AL89,$O68,12)</f>
        <v>44725</v>
      </c>
      <c r="J68" s="289">
        <f t="array" ref="J68">INDEX(postDEL!$A$2:$AL89,$O68,13)</f>
        <v>0.4122453704</v>
      </c>
      <c r="K68" s="290" t="str">
        <f t="array" ref="K68">INDEX(postDEL!$A$2:$AL89,$O68,36)</f>
        <v/>
      </c>
      <c r="L68" s="290" t="str">
        <f t="array" ref="L68">INDEX(postDEL!$A$2:$AL89,$O68,38)</f>
        <v/>
      </c>
      <c r="M68" s="290" t="str">
        <f t="array" ref="M68">INDEX(postDEL!$A$2:$AL89,$O68,15)</f>
        <v/>
      </c>
      <c r="N68" s="93">
        <f>COUNTIF(postDEL!$A$2:$A89,A68)</f>
        <v>2</v>
      </c>
      <c r="O68" s="8">
        <f>MATCH(A68,postDEL!A$2:A89,0)</f>
        <v>162</v>
      </c>
      <c r="P68" s="7" t="str">
        <f t="shared" si="1"/>
        <v/>
      </c>
      <c r="Q68" s="291">
        <f t="shared" si="2"/>
        <v>0</v>
      </c>
      <c r="R68" s="3"/>
      <c r="S68" s="3"/>
      <c r="T68" s="3"/>
      <c r="U68" s="3"/>
      <c r="V68" s="3"/>
      <c r="W68" s="3"/>
      <c r="X68" s="3"/>
      <c r="Y68" s="3"/>
      <c r="Z68" s="3"/>
      <c r="AA68" s="3"/>
    </row>
    <row r="69">
      <c r="A69" s="292" t="s">
        <v>462</v>
      </c>
      <c r="B69" s="288">
        <f t="array" ref="B69">INDEX(postDEL!$A$2:$P89,$O69,2)</f>
        <v>44733</v>
      </c>
      <c r="C69" s="289">
        <f t="array" ref="C69">INDEX(postDEL!$A$2:$P89,$O69,3)</f>
        <v>0.2124768519</v>
      </c>
      <c r="D69" s="290" t="str">
        <f t="array" ref="D69">INDEX(postDEL!$A$2:$AN89,$O69,39)</f>
        <v>SpNDHM957722</v>
      </c>
      <c r="E69" s="290" t="str">
        <f t="array" ref="E69">INDEX(postDEL!$A$2:$P89,$O69,4)</f>
        <v/>
      </c>
      <c r="F69" s="290" t="str">
        <f t="array" ref="F69">INDEX(postDEL!$A$2:$P89,$O69,5)</f>
        <v/>
      </c>
      <c r="G69" s="290" t="str">
        <f t="array" ref="G69">INDEX(postDEL!$A$2:$P89,$O69,11)</f>
        <v>Negative</v>
      </c>
      <c r="H69" s="290" t="str">
        <f t="array" ref="H69">INDEX(postDEL!$A$2:$AL89,$O69,37)</f>
        <v>Negative</v>
      </c>
      <c r="I69" s="288">
        <f t="array" ref="I69">INDEX(postDEL!$A$2:$AL89,$O69,12)</f>
        <v>44733</v>
      </c>
      <c r="J69" s="289">
        <f t="array" ref="J69">INDEX(postDEL!$A$2:$AL89,$O69,13)</f>
        <v>0.4043402778</v>
      </c>
      <c r="K69" s="290" t="str">
        <f t="array" ref="K69">INDEX(postDEL!$A$2:$AL89,$O69,36)</f>
        <v/>
      </c>
      <c r="L69" s="290" t="str">
        <f t="array" ref="L69">INDEX(postDEL!$A$2:$AL89,$O69,38)</f>
        <v/>
      </c>
      <c r="M69" s="290" t="str">
        <f t="array" ref="M69">INDEX(postDEL!$A$2:$AL89,$O69,15)</f>
        <v/>
      </c>
      <c r="N69" s="93">
        <f>COUNTIF(postDEL!$A$2:$A89,A69)</f>
        <v>3</v>
      </c>
      <c r="O69" s="8">
        <f>MATCH(A69,postDEL!A$2:A89,0)</f>
        <v>164</v>
      </c>
      <c r="P69" s="7" t="b">
        <f t="shared" si="1"/>
        <v>1</v>
      </c>
      <c r="Q69" s="291">
        <f t="shared" si="2"/>
        <v>0</v>
      </c>
      <c r="R69" s="3"/>
      <c r="S69" s="3"/>
      <c r="T69" s="3"/>
      <c r="U69" s="3"/>
      <c r="V69" s="3"/>
      <c r="W69" s="3"/>
      <c r="X69" s="3"/>
      <c r="Y69" s="3"/>
      <c r="Z69" s="3"/>
      <c r="AA69" s="3"/>
    </row>
    <row r="70">
      <c r="A70" s="292" t="s">
        <v>463</v>
      </c>
      <c r="B70" s="288">
        <f t="array" ref="B70">INDEX(postDEL!$A$2:$P89,$O70,2)</f>
        <v>44733</v>
      </c>
      <c r="C70" s="289">
        <f t="array" ref="C70">INDEX(postDEL!$A$2:$P89,$O70,3)</f>
        <v>0.3403935185</v>
      </c>
      <c r="D70" s="290" t="str">
        <f t="array" ref="D70">INDEX(postDEL!$A$2:$AN89,$O70,39)</f>
        <v>SpNDHM122532</v>
      </c>
      <c r="E70" s="290" t="str">
        <f t="array" ref="E70">INDEX(postDEL!$A$2:$P89,$O70,4)</f>
        <v/>
      </c>
      <c r="F70" s="290" t="str">
        <f t="array" ref="F70">INDEX(postDEL!$A$2:$P89,$O70,5)</f>
        <v/>
      </c>
      <c r="G70" s="290" t="str">
        <f t="array" ref="G70">INDEX(postDEL!$A$2:$P89,$O70,11)</f>
        <v>Negative</v>
      </c>
      <c r="H70" s="290" t="str">
        <f t="array" ref="H70">INDEX(postDEL!$A$2:$AL89,$O70,37)</f>
        <v>Negative</v>
      </c>
      <c r="I70" s="288">
        <f t="array" ref="I70">INDEX(postDEL!$A$2:$AL89,$O70,12)</f>
        <v>44733</v>
      </c>
      <c r="J70" s="289">
        <f t="array" ref="J70">INDEX(postDEL!$A$2:$AL89,$O70,13)</f>
        <v>0.4043402778</v>
      </c>
      <c r="K70" s="290" t="str">
        <f t="array" ref="K70">INDEX(postDEL!$A$2:$AL89,$O70,36)</f>
        <v/>
      </c>
      <c r="L70" s="290" t="str">
        <f t="array" ref="L70">INDEX(postDEL!$A$2:$AL89,$O70,38)</f>
        <v/>
      </c>
      <c r="M70" s="290" t="str">
        <f t="array" ref="M70">INDEX(postDEL!$A$2:$AL89,$O70,15)</f>
        <v/>
      </c>
      <c r="N70" s="93">
        <f>COUNTIF(postDEL!$A$2:$A89,A70)</f>
        <v>1</v>
      </c>
      <c r="O70" s="8">
        <f>MATCH(A70,postDEL!A$2:A89,0)</f>
        <v>167</v>
      </c>
      <c r="P70" s="7" t="str">
        <f t="shared" si="1"/>
        <v/>
      </c>
      <c r="Q70" s="291">
        <f t="shared" si="2"/>
        <v>0</v>
      </c>
      <c r="R70" s="3"/>
      <c r="S70" s="3"/>
      <c r="T70" s="3"/>
      <c r="U70" s="3"/>
      <c r="V70" s="3"/>
      <c r="W70" s="3"/>
      <c r="X70" s="3"/>
      <c r="Y70" s="3"/>
      <c r="Z70" s="3"/>
      <c r="AA70" s="3"/>
    </row>
    <row r="71">
      <c r="A71" s="292" t="s">
        <v>467</v>
      </c>
      <c r="B71" s="288">
        <f t="array" ref="B71">INDEX(postDEL!$A$2:$P89,$O71,2)</f>
        <v>44739</v>
      </c>
      <c r="C71" s="289">
        <f t="array" ref="C71">INDEX(postDEL!$A$2:$P89,$O71,3)</f>
        <v>0.223287037</v>
      </c>
      <c r="D71" s="290" t="str">
        <f t="array" ref="D71">INDEX(postDEL!$A$2:$AN89,$O71,39)</f>
        <v>SpNDHM957722</v>
      </c>
      <c r="E71" s="290" t="str">
        <f t="array" ref="E71">INDEX(postDEL!$A$2:$P89,$O71,4)</f>
        <v/>
      </c>
      <c r="F71" s="290" t="str">
        <f t="array" ref="F71">INDEX(postDEL!$A$2:$P89,$O71,5)</f>
        <v/>
      </c>
      <c r="G71" s="290" t="str">
        <f t="array" ref="G71">INDEX(postDEL!$A$2:$P89,$O71,11)</f>
        <v>Negative</v>
      </c>
      <c r="H71" s="290" t="str">
        <f t="array" ref="H71">INDEX(postDEL!$A$2:$AL89,$O71,37)</f>
        <v>Negative</v>
      </c>
      <c r="I71" s="288">
        <f t="array" ref="I71">INDEX(postDEL!$A$2:$AL89,$O71,12)</f>
        <v>44739</v>
      </c>
      <c r="J71" s="289">
        <f t="array" ref="J71">INDEX(postDEL!$A$2:$AL89,$O71,13)</f>
        <v>0.3771875</v>
      </c>
      <c r="K71" s="290" t="str">
        <f t="array" ref="K71">INDEX(postDEL!$A$2:$AL89,$O71,36)</f>
        <v/>
      </c>
      <c r="L71" s="290" t="str">
        <f t="array" ref="L71">INDEX(postDEL!$A$2:$AL89,$O71,38)</f>
        <v/>
      </c>
      <c r="M71" s="290" t="str">
        <f t="array" ref="M71">INDEX(postDEL!$A$2:$AL89,$O71,15)</f>
        <v/>
      </c>
      <c r="N71" s="93">
        <f>COUNTIF(postDEL!$A$2:$A89,A71)</f>
        <v>3</v>
      </c>
      <c r="O71" s="8">
        <f>MATCH(A71,postDEL!A$2:A89,0)</f>
        <v>168</v>
      </c>
      <c r="P71" s="7" t="b">
        <f t="shared" si="1"/>
        <v>1</v>
      </c>
      <c r="Q71" s="291">
        <f t="shared" si="2"/>
        <v>0</v>
      </c>
      <c r="R71" s="3"/>
      <c r="S71" s="3"/>
      <c r="T71" s="3"/>
      <c r="U71" s="3"/>
      <c r="V71" s="3"/>
      <c r="W71" s="3"/>
      <c r="X71" s="3"/>
      <c r="Y71" s="3"/>
      <c r="Z71" s="3"/>
      <c r="AA71" s="3"/>
    </row>
    <row r="72">
      <c r="A72" s="292" t="s">
        <v>469</v>
      </c>
      <c r="B72" s="288">
        <f t="array" ref="B72">INDEX(postDEL!$A$2:$P89,$O72,2)</f>
        <v>44753</v>
      </c>
      <c r="C72" s="289">
        <f t="array" ref="C72">INDEX(postDEL!$A$2:$P89,$O72,3)</f>
        <v>0.2527199074</v>
      </c>
      <c r="D72" s="290" t="str">
        <f t="array" ref="D72">INDEX(postDEL!$A$2:$AN89,$O72,39)</f>
        <v>SpNDHM966349</v>
      </c>
      <c r="E72" s="290" t="str">
        <f t="array" ref="E72">INDEX(postDEL!$A$2:$P89,$O72,4)</f>
        <v/>
      </c>
      <c r="F72" s="290" t="str">
        <f t="array" ref="F72">INDEX(postDEL!$A$2:$P89,$O72,5)</f>
        <v/>
      </c>
      <c r="G72" s="290" t="str">
        <f t="array" ref="G72">INDEX(postDEL!$A$2:$P89,$O72,11)</f>
        <v>Negative</v>
      </c>
      <c r="H72" s="290" t="str">
        <f t="array" ref="H72">INDEX(postDEL!$A$2:$AL89,$O72,37)</f>
        <v>Negative</v>
      </c>
      <c r="I72" s="288">
        <f t="array" ref="I72">INDEX(postDEL!$A$2:$AL89,$O72,12)</f>
        <v>44753</v>
      </c>
      <c r="J72" s="289">
        <f t="array" ref="J72">INDEX(postDEL!$A$2:$AL89,$O72,13)</f>
        <v>0.3984027778</v>
      </c>
      <c r="K72" s="290" t="str">
        <f t="array" ref="K72">INDEX(postDEL!$A$2:$AL89,$O72,36)</f>
        <v/>
      </c>
      <c r="L72" s="290" t="str">
        <f t="array" ref="L72">INDEX(postDEL!$A$2:$AL89,$O72,38)</f>
        <v/>
      </c>
      <c r="M72" s="290" t="str">
        <f t="array" ref="M72">INDEX(postDEL!$A$2:$AL89,$O72,15)</f>
        <v/>
      </c>
      <c r="N72" s="93">
        <f>COUNTIF(postDEL!$A$2:$A89,A72)</f>
        <v>2</v>
      </c>
      <c r="O72" s="8">
        <f>MATCH(A72,postDEL!A$2:A89,0)</f>
        <v>171</v>
      </c>
      <c r="P72" s="7" t="b">
        <f t="shared" si="1"/>
        <v>1</v>
      </c>
      <c r="Q72" s="291">
        <f t="shared" si="2"/>
        <v>0</v>
      </c>
      <c r="R72" s="3"/>
      <c r="S72" s="3"/>
      <c r="T72" s="3"/>
      <c r="U72" s="3"/>
      <c r="V72" s="3"/>
      <c r="W72" s="3"/>
      <c r="X72" s="3"/>
      <c r="Y72" s="3"/>
      <c r="Z72" s="3"/>
      <c r="AA72" s="3"/>
    </row>
    <row r="73">
      <c r="A73" s="292" t="s">
        <v>471</v>
      </c>
      <c r="B73" s="288">
        <f t="array" ref="B73">INDEX(postDEL!$A$2:$P89,$O73,2)</f>
        <v>44760</v>
      </c>
      <c r="C73" s="289">
        <f t="array" ref="C73">INDEX(postDEL!$A$2:$P89,$O73,3)</f>
        <v>0.3808796296</v>
      </c>
      <c r="D73" s="290" t="str">
        <f t="array" ref="D73">INDEX(postDEL!$A$2:$AN89,$O73,39)</f>
        <v>SpNDHM122532</v>
      </c>
      <c r="E73" s="290" t="str">
        <f t="array" ref="E73">INDEX(postDEL!$A$2:$P89,$O73,4)</f>
        <v/>
      </c>
      <c r="F73" s="290" t="str">
        <f t="array" ref="F73">INDEX(postDEL!$A$2:$P89,$O73,5)</f>
        <v/>
      </c>
      <c r="G73" s="290" t="str">
        <f t="array" ref="G73">INDEX(postDEL!$A$2:$P89,$O73,11)</f>
        <v>Negative</v>
      </c>
      <c r="H73" s="290" t="str">
        <f t="array" ref="H73">INDEX(postDEL!$A$2:$AL89,$O73,37)</f>
        <v>Negative</v>
      </c>
      <c r="I73" s="288">
        <f t="array" ref="I73">INDEX(postDEL!$A$2:$AL89,$O73,12)</f>
        <v>44760</v>
      </c>
      <c r="J73" s="289">
        <f t="array" ref="J73">INDEX(postDEL!$A$2:$AL89,$O73,13)</f>
        <v>0.4209143519</v>
      </c>
      <c r="K73" s="290" t="str">
        <f t="array" ref="K73">INDEX(postDEL!$A$2:$AL89,$O73,36)</f>
        <v/>
      </c>
      <c r="L73" s="290" t="str">
        <f t="array" ref="L73">INDEX(postDEL!$A$2:$AL89,$O73,38)</f>
        <v/>
      </c>
      <c r="M73" s="290" t="str">
        <f t="array" ref="M73">INDEX(postDEL!$A$2:$AL89,$O73,15)</f>
        <v/>
      </c>
      <c r="N73" s="93">
        <f>COUNTIF(postDEL!$A$2:$A89,A73)</f>
        <v>2</v>
      </c>
      <c r="O73" s="8">
        <f>MATCH(A73,postDEL!A$2:A89,0)</f>
        <v>173</v>
      </c>
      <c r="P73" s="7" t="b">
        <f t="shared" si="1"/>
        <v>1</v>
      </c>
      <c r="Q73" s="291">
        <f t="shared" si="2"/>
        <v>0</v>
      </c>
      <c r="R73" s="3"/>
      <c r="S73" s="3"/>
      <c r="T73" s="3"/>
      <c r="U73" s="3"/>
      <c r="V73" s="3"/>
      <c r="W73" s="3"/>
      <c r="X73" s="3"/>
      <c r="Y73" s="3"/>
      <c r="Z73" s="3"/>
      <c r="AA73" s="3"/>
    </row>
    <row r="74">
      <c r="A74" s="292" t="s">
        <v>474</v>
      </c>
      <c r="B74" s="288">
        <f t="array" ref="B74">INDEX(postDEL!$A$2:$P89,$O74,2)</f>
        <v>44767</v>
      </c>
      <c r="C74" s="289">
        <f t="array" ref="C74">INDEX(postDEL!$A$2:$P89,$O74,3)</f>
        <v>0.2065277778</v>
      </c>
      <c r="D74" s="290" t="str">
        <f t="array" ref="D74">INDEX(postDEL!$A$2:$AN89,$O74,39)</f>
        <v>SpNDHM957722</v>
      </c>
      <c r="E74" s="290" t="str">
        <f t="array" ref="E74">INDEX(postDEL!$A$2:$P89,$O74,4)</f>
        <v/>
      </c>
      <c r="F74" s="290" t="str">
        <f t="array" ref="F74">INDEX(postDEL!$A$2:$P89,$O74,5)</f>
        <v/>
      </c>
      <c r="G74" s="290" t="str">
        <f t="array" ref="G74">INDEX(postDEL!$A$2:$P89,$O74,11)</f>
        <v>Negative</v>
      </c>
      <c r="H74" s="290" t="str">
        <f t="array" ref="H74">INDEX(postDEL!$A$2:$AL89,$O74,37)</f>
        <v>Negative</v>
      </c>
      <c r="I74" s="288">
        <f t="array" ref="I74">INDEX(postDEL!$A$2:$AL89,$O74,12)</f>
        <v>44767</v>
      </c>
      <c r="J74" s="289">
        <f t="array" ref="J74">INDEX(postDEL!$A$2:$AL89,$O74,13)</f>
        <v>0.4329282407</v>
      </c>
      <c r="K74" s="290" t="str">
        <f t="array" ref="K74">INDEX(postDEL!$A$2:$AL89,$O74,36)</f>
        <v/>
      </c>
      <c r="L74" s="290" t="str">
        <f t="array" ref="L74">INDEX(postDEL!$A$2:$AL89,$O74,38)</f>
        <v/>
      </c>
      <c r="M74" s="290" t="str">
        <f t="array" ref="M74">INDEX(postDEL!$A$2:$AL89,$O74,15)</f>
        <v/>
      </c>
      <c r="N74" s="93">
        <f>COUNTIF(postDEL!$A$2:$A89,A74)</f>
        <v>3</v>
      </c>
      <c r="O74" s="8">
        <f>MATCH(A74,postDEL!A$2:A89,0)</f>
        <v>175</v>
      </c>
      <c r="P74" s="7" t="b">
        <f t="shared" si="1"/>
        <v>1</v>
      </c>
      <c r="Q74" s="291">
        <f t="shared" si="2"/>
        <v>0</v>
      </c>
      <c r="R74" s="3"/>
      <c r="S74" s="3"/>
      <c r="T74" s="3"/>
      <c r="U74" s="3"/>
      <c r="V74" s="3"/>
      <c r="W74" s="3"/>
      <c r="X74" s="3"/>
      <c r="Y74" s="3"/>
      <c r="Z74" s="3"/>
      <c r="AA74" s="3"/>
    </row>
    <row r="75">
      <c r="A75" s="292" t="s">
        <v>475</v>
      </c>
      <c r="B75" s="288">
        <f t="array" ref="B75">INDEX(postDEL!$A$2:$P89,$O75,2)</f>
        <v>44767</v>
      </c>
      <c r="C75" s="289">
        <f t="array" ref="C75">INDEX(postDEL!$A$2:$P89,$O75,3)</f>
        <v>0.3024421296</v>
      </c>
      <c r="D75" s="290" t="str">
        <f t="array" ref="D75">INDEX(postDEL!$A$2:$AN89,$O75,39)</f>
        <v>SpNDHM189649</v>
      </c>
      <c r="E75" s="290" t="str">
        <f t="array" ref="E75">INDEX(postDEL!$A$2:$P89,$O75,4)</f>
        <v/>
      </c>
      <c r="F75" s="290" t="str">
        <f t="array" ref="F75">INDEX(postDEL!$A$2:$P89,$O75,5)</f>
        <v/>
      </c>
      <c r="G75" s="290" t="str">
        <f t="array" ref="G75">INDEX(postDEL!$A$2:$P89,$O75,11)</f>
        <v>Negative</v>
      </c>
      <c r="H75" s="290" t="str">
        <f t="array" ref="H75">INDEX(postDEL!$A$2:$AL89,$O75,37)</f>
        <v>Negative</v>
      </c>
      <c r="I75" s="288">
        <f t="array" ref="I75">INDEX(postDEL!$A$2:$AL89,$O75,12)</f>
        <v>44767</v>
      </c>
      <c r="J75" s="289">
        <f t="array" ref="J75">INDEX(postDEL!$A$2:$AL89,$O75,13)</f>
        <v>0.4329282407</v>
      </c>
      <c r="K75" s="290" t="str">
        <f t="array" ref="K75">INDEX(postDEL!$A$2:$AL89,$O75,36)</f>
        <v/>
      </c>
      <c r="L75" s="290" t="str">
        <f t="array" ref="L75">INDEX(postDEL!$A$2:$AL89,$O75,38)</f>
        <v/>
      </c>
      <c r="M75" s="290" t="str">
        <f t="array" ref="M75">INDEX(postDEL!$A$2:$AL89,$O75,15)</f>
        <v/>
      </c>
      <c r="N75" s="93">
        <f>COUNTIF(postDEL!$A$2:$A89,A75)</f>
        <v>1</v>
      </c>
      <c r="O75" s="8">
        <f>MATCH(A75,postDEL!A$2:A89,0)</f>
        <v>178</v>
      </c>
      <c r="P75" s="7" t="str">
        <f t="shared" si="1"/>
        <v/>
      </c>
      <c r="Q75" s="291">
        <f t="shared" si="2"/>
        <v>0</v>
      </c>
      <c r="R75" s="3"/>
      <c r="S75" s="3"/>
      <c r="T75" s="3"/>
      <c r="U75" s="3"/>
      <c r="V75" s="3"/>
      <c r="W75" s="3"/>
      <c r="X75" s="3"/>
      <c r="Y75" s="3"/>
      <c r="Z75" s="3"/>
      <c r="AA75" s="3"/>
    </row>
    <row r="76">
      <c r="A76" s="292" t="s">
        <v>476</v>
      </c>
      <c r="B76" s="288">
        <f t="array" ref="B76">INDEX(postDEL!$A$2:$P89,$O76,2)</f>
        <v>44767</v>
      </c>
      <c r="C76" s="289">
        <f t="array" ref="C76">INDEX(postDEL!$A$2:$P89,$O76,3)</f>
        <v>0.3788773148</v>
      </c>
      <c r="D76" s="290" t="str">
        <f t="array" ref="D76">INDEX(postDEL!$A$2:$AN89,$O76,39)</f>
        <v>SpNDHM122532</v>
      </c>
      <c r="E76" s="290" t="str">
        <f t="array" ref="E76">INDEX(postDEL!$A$2:$P89,$O76,4)</f>
        <v/>
      </c>
      <c r="F76" s="290" t="str">
        <f t="array" ref="F76">INDEX(postDEL!$A$2:$P89,$O76,5)</f>
        <v/>
      </c>
      <c r="G76" s="290" t="str">
        <f t="array" ref="G76">INDEX(postDEL!$A$2:$P89,$O76,11)</f>
        <v>Negative</v>
      </c>
      <c r="H76" s="290" t="str">
        <f t="array" ref="H76">INDEX(postDEL!$A$2:$AL89,$O76,37)</f>
        <v>Negative</v>
      </c>
      <c r="I76" s="288">
        <f t="array" ref="I76">INDEX(postDEL!$A$2:$AL89,$O76,12)</f>
        <v>44767</v>
      </c>
      <c r="J76" s="289">
        <f t="array" ref="J76">INDEX(postDEL!$A$2:$AL89,$O76,13)</f>
        <v>0.4329398148</v>
      </c>
      <c r="K76" s="290" t="str">
        <f t="array" ref="K76">INDEX(postDEL!$A$2:$AL89,$O76,36)</f>
        <v/>
      </c>
      <c r="L76" s="290" t="str">
        <f t="array" ref="L76">INDEX(postDEL!$A$2:$AL89,$O76,38)</f>
        <v/>
      </c>
      <c r="M76" s="290" t="str">
        <f t="array" ref="M76">INDEX(postDEL!$A$2:$AL89,$O76,15)</f>
        <v/>
      </c>
      <c r="N76" s="93">
        <f>COUNTIF(postDEL!$A$2:$A89,A76)</f>
        <v>2</v>
      </c>
      <c r="O76" s="8">
        <f>MATCH(A76,postDEL!A$2:A89,0)</f>
        <v>179</v>
      </c>
      <c r="P76" s="7" t="str">
        <f t="shared" si="1"/>
        <v/>
      </c>
      <c r="Q76" s="291">
        <f t="shared" si="2"/>
        <v>0</v>
      </c>
      <c r="R76" s="3"/>
      <c r="S76" s="3"/>
      <c r="T76" s="3"/>
      <c r="U76" s="3"/>
      <c r="V76" s="3"/>
      <c r="W76" s="3"/>
      <c r="X76" s="3"/>
      <c r="Y76" s="3"/>
      <c r="Z76" s="3"/>
      <c r="AA76" s="3"/>
    </row>
    <row r="77">
      <c r="A77" s="292" t="s">
        <v>477</v>
      </c>
      <c r="B77" s="288">
        <f t="array" ref="B77">INDEX(postDEL!$A$2:$P89,$O77,2)</f>
        <v>44774</v>
      </c>
      <c r="C77" s="289">
        <f t="array" ref="C77">INDEX(postDEL!$A$2:$P89,$O77,3)</f>
        <v>0.214212963</v>
      </c>
      <c r="D77" s="290" t="str">
        <f t="array" ref="D77">INDEX(postDEL!$A$2:$AN89,$O77,39)</f>
        <v>SpNDHM189649</v>
      </c>
      <c r="E77" s="290" t="str">
        <f t="array" ref="E77">INDEX(postDEL!$A$2:$P89,$O77,4)</f>
        <v/>
      </c>
      <c r="F77" s="290" t="str">
        <f t="array" ref="F77">INDEX(postDEL!$A$2:$P89,$O77,5)</f>
        <v/>
      </c>
      <c r="G77" s="290" t="str">
        <f t="array" ref="G77">INDEX(postDEL!$A$2:$P89,$O77,11)</f>
        <v>Negative</v>
      </c>
      <c r="H77" s="290" t="str">
        <f t="array" ref="H77">INDEX(postDEL!$A$2:$AL89,$O77,37)</f>
        <v>Negative</v>
      </c>
      <c r="I77" s="288">
        <f t="array" ref="I77">INDEX(postDEL!$A$2:$AL89,$O77,12)</f>
        <v>44816</v>
      </c>
      <c r="J77" s="289">
        <f t="array" ref="J77">INDEX(postDEL!$A$2:$AL89,$O77,13)</f>
        <v>0.3939814815</v>
      </c>
      <c r="K77" s="290" t="str">
        <f t="array" ref="K77">INDEX(postDEL!$A$2:$AL89,$O77,36)</f>
        <v/>
      </c>
      <c r="L77" s="290" t="str">
        <f t="array" ref="L77">INDEX(postDEL!$A$2:$AL89,$O77,38)</f>
        <v/>
      </c>
      <c r="M77" s="290" t="str">
        <f t="array" ref="M77">INDEX(postDEL!$A$2:$AL89,$O77,15)</f>
        <v/>
      </c>
      <c r="N77" s="93">
        <f>COUNTIF(postDEL!$A$2:$A89,A77)</f>
        <v>3</v>
      </c>
      <c r="O77" s="8">
        <f>MATCH(A77,postDEL!A$2:A89,0)</f>
        <v>181</v>
      </c>
      <c r="P77" s="7" t="b">
        <f t="shared" si="1"/>
        <v>1</v>
      </c>
      <c r="Q77" s="291">
        <f t="shared" si="2"/>
        <v>42</v>
      </c>
      <c r="R77" s="3"/>
      <c r="S77" s="3"/>
      <c r="T77" s="3"/>
      <c r="U77" s="3"/>
      <c r="V77" s="3"/>
      <c r="W77" s="3"/>
      <c r="X77" s="3"/>
      <c r="Y77" s="3"/>
      <c r="Z77" s="3"/>
      <c r="AA77" s="3"/>
    </row>
    <row r="78">
      <c r="A78" s="292" t="s">
        <v>478</v>
      </c>
      <c r="B78" s="288">
        <f t="array" ref="B78">INDEX(postDEL!$A$2:$P89,$O78,2)</f>
        <v>44816</v>
      </c>
      <c r="C78" s="289">
        <f t="array" ref="C78">INDEX(postDEL!$A$2:$P89,$O78,3)</f>
        <v>0.1690162037</v>
      </c>
      <c r="D78" s="290" t="str">
        <f t="array" ref="D78">INDEX(postDEL!$A$2:$AN89,$O78,39)</f>
        <v>SpNDHM189649</v>
      </c>
      <c r="E78" s="290" t="str">
        <f t="array" ref="E78">INDEX(postDEL!$A$2:$P89,$O78,4)</f>
        <v/>
      </c>
      <c r="F78" s="290" t="str">
        <f t="array" ref="F78">INDEX(postDEL!$A$2:$P89,$O78,5)</f>
        <v/>
      </c>
      <c r="G78" s="290" t="str">
        <f t="array" ref="G78">INDEX(postDEL!$A$2:$P89,$O78,11)</f>
        <v>Negative</v>
      </c>
      <c r="H78" s="290" t="str">
        <f t="array" ref="H78">INDEX(postDEL!$A$2:$AL89,$O78,37)</f>
        <v>Negative</v>
      </c>
      <c r="I78" s="288">
        <f t="array" ref="I78">INDEX(postDEL!$A$2:$AL89,$O78,12)</f>
        <v>44816</v>
      </c>
      <c r="J78" s="289">
        <f t="array" ref="J78">INDEX(postDEL!$A$2:$AL89,$O78,13)</f>
        <v>0.3939814815</v>
      </c>
      <c r="K78" s="290" t="str">
        <f t="array" ref="K78">INDEX(postDEL!$A$2:$AL89,$O78,36)</f>
        <v/>
      </c>
      <c r="L78" s="290" t="str">
        <f t="array" ref="L78">INDEX(postDEL!$A$2:$AL89,$O78,38)</f>
        <v/>
      </c>
      <c r="M78" s="290" t="str">
        <f t="array" ref="M78">INDEX(postDEL!$A$2:$AL89,$O78,15)</f>
        <v/>
      </c>
      <c r="N78" s="93">
        <f>COUNTIF(postDEL!$A$2:$A89,A78)</f>
        <v>4</v>
      </c>
      <c r="O78" s="8">
        <f>MATCH(A78,postDEL!A$2:A89,0)</f>
        <v>184</v>
      </c>
      <c r="P78" s="7" t="b">
        <f t="shared" si="1"/>
        <v>1</v>
      </c>
      <c r="Q78" s="291">
        <f t="shared" si="2"/>
        <v>0</v>
      </c>
      <c r="R78" s="3"/>
      <c r="S78" s="3"/>
      <c r="T78" s="3"/>
      <c r="U78" s="3"/>
      <c r="V78" s="3"/>
      <c r="W78" s="3"/>
      <c r="X78" s="3"/>
      <c r="Y78" s="3"/>
      <c r="Z78" s="3"/>
      <c r="AA78" s="3"/>
    </row>
    <row r="79">
      <c r="A79" s="292" t="s">
        <v>479</v>
      </c>
      <c r="B79" s="288">
        <f t="array" ref="B79">INDEX(postDEL!$A$2:$P89,$O79,2)</f>
        <v>44837</v>
      </c>
      <c r="C79" s="289">
        <f t="array" ref="C79">INDEX(postDEL!$A$2:$P89,$O79,3)</f>
        <v>0.198599537</v>
      </c>
      <c r="D79" s="290" t="str">
        <f t="array" ref="D79">INDEX(postDEL!$A$2:$AN89,$O79,39)</f>
        <v>SpNDHM189649</v>
      </c>
      <c r="E79" s="290" t="str">
        <f t="array" ref="E79">INDEX(postDEL!$A$2:$P89,$O79,4)</f>
        <v/>
      </c>
      <c r="F79" s="290" t="str">
        <f t="array" ref="F79">INDEX(postDEL!$A$2:$P89,$O79,5)</f>
        <v/>
      </c>
      <c r="G79" s="290" t="str">
        <f t="array" ref="G79">INDEX(postDEL!$A$2:$P89,$O79,11)</f>
        <v>Negative</v>
      </c>
      <c r="H79" s="290" t="str">
        <f t="array" ref="H79">INDEX(postDEL!$A$2:$AL89,$O79,37)</f>
        <v>Negative</v>
      </c>
      <c r="I79" s="288">
        <f t="array" ref="I79">INDEX(postDEL!$A$2:$AL89,$O79,12)</f>
        <v>44837</v>
      </c>
      <c r="J79" s="289">
        <f t="array" ref="J79">INDEX(postDEL!$A$2:$AL89,$O79,13)</f>
        <v>0.510150463</v>
      </c>
      <c r="K79" s="290" t="str">
        <f t="array" ref="K79">INDEX(postDEL!$A$2:$AL89,$O79,36)</f>
        <v/>
      </c>
      <c r="L79" s="290" t="str">
        <f t="array" ref="L79">INDEX(postDEL!$A$2:$AL89,$O79,38)</f>
        <v/>
      </c>
      <c r="M79" s="290" t="str">
        <f t="array" ref="M79">INDEX(postDEL!$A$2:$AL89,$O79,15)</f>
        <v/>
      </c>
      <c r="N79" s="93">
        <f>COUNTIF(postDEL!$A$2:$A89,A79)</f>
        <v>3</v>
      </c>
      <c r="O79" s="8">
        <f>MATCH(A79,postDEL!A$2:A89,0)</f>
        <v>188</v>
      </c>
      <c r="P79" s="7" t="b">
        <f t="shared" si="1"/>
        <v>1</v>
      </c>
      <c r="Q79" s="291">
        <f t="shared" si="2"/>
        <v>0</v>
      </c>
      <c r="R79" s="3"/>
      <c r="S79" s="3"/>
      <c r="T79" s="3"/>
      <c r="U79" s="3"/>
      <c r="V79" s="3"/>
      <c r="W79" s="3"/>
      <c r="X79" s="3"/>
      <c r="Y79" s="3"/>
      <c r="Z79" s="3"/>
      <c r="AA79" s="3"/>
    </row>
    <row r="80">
      <c r="A80" s="269"/>
      <c r="B80" s="36"/>
      <c r="C80" s="91"/>
      <c r="D80" s="3"/>
      <c r="E80" s="3"/>
      <c r="F80" s="3"/>
      <c r="G80" s="3"/>
      <c r="H80" s="3"/>
      <c r="I80" s="36"/>
      <c r="J80" s="91"/>
      <c r="K80" s="3"/>
      <c r="L80" s="3"/>
      <c r="M80" s="3"/>
      <c r="N80" s="93"/>
      <c r="O80" s="8"/>
      <c r="P80" s="7"/>
      <c r="Q80" s="291"/>
      <c r="R80" s="3"/>
      <c r="S80" s="3"/>
      <c r="T80" s="3"/>
      <c r="U80" s="3"/>
      <c r="V80" s="3"/>
      <c r="W80" s="3"/>
      <c r="X80" s="3"/>
      <c r="Y80" s="3"/>
      <c r="Z80" s="3"/>
      <c r="AA80" s="3"/>
    </row>
    <row r="81">
      <c r="A81" s="269"/>
      <c r="B81" s="36"/>
      <c r="C81" s="91"/>
      <c r="D81" s="3"/>
      <c r="E81" s="3"/>
      <c r="F81" s="3"/>
      <c r="G81" s="3"/>
      <c r="H81" s="3"/>
      <c r="I81" s="36"/>
      <c r="J81" s="91"/>
      <c r="K81" s="3"/>
      <c r="L81" s="3"/>
      <c r="M81" s="3"/>
      <c r="N81" s="93"/>
      <c r="O81" s="8"/>
      <c r="P81" s="7"/>
      <c r="Q81" s="291"/>
      <c r="R81" s="3"/>
      <c r="S81" s="3"/>
      <c r="T81" s="3"/>
      <c r="U81" s="3"/>
      <c r="V81" s="3"/>
      <c r="W81" s="3"/>
      <c r="X81" s="3"/>
      <c r="Y81" s="3"/>
      <c r="Z81" s="3"/>
      <c r="AA81" s="3"/>
    </row>
    <row r="82">
      <c r="A82" s="269"/>
      <c r="B82" s="36"/>
      <c r="C82" s="91"/>
      <c r="D82" s="3"/>
      <c r="E82" s="3"/>
      <c r="F82" s="3"/>
      <c r="G82" s="3"/>
      <c r="H82" s="3"/>
      <c r="I82" s="36"/>
      <c r="J82" s="91"/>
      <c r="K82" s="3"/>
      <c r="L82" s="3"/>
      <c r="M82" s="3"/>
      <c r="N82" s="93"/>
      <c r="O82" s="8"/>
      <c r="P82" s="7"/>
      <c r="Q82" s="291"/>
      <c r="R82" s="3"/>
      <c r="S82" s="3"/>
      <c r="T82" s="3"/>
      <c r="U82" s="3"/>
      <c r="V82" s="3"/>
      <c r="W82" s="3"/>
      <c r="X82" s="3"/>
      <c r="Y82" s="3"/>
      <c r="Z82" s="3"/>
      <c r="AA82" s="3"/>
    </row>
    <row r="83">
      <c r="A83" s="269"/>
      <c r="B83" s="36"/>
      <c r="C83" s="91"/>
      <c r="D83" s="3"/>
      <c r="E83" s="3"/>
      <c r="F83" s="3"/>
      <c r="G83" s="3"/>
      <c r="H83" s="3"/>
      <c r="I83" s="36"/>
      <c r="J83" s="91"/>
      <c r="K83" s="3"/>
      <c r="L83" s="3"/>
      <c r="M83" s="3"/>
      <c r="N83" s="93"/>
      <c r="O83" s="8"/>
      <c r="P83" s="7"/>
      <c r="Q83" s="291"/>
      <c r="R83" s="3"/>
      <c r="S83" s="3"/>
      <c r="T83" s="3"/>
      <c r="U83" s="3"/>
      <c r="V83" s="3"/>
      <c r="W83" s="3"/>
      <c r="X83" s="3"/>
      <c r="Y83" s="3"/>
      <c r="Z83" s="3"/>
      <c r="AA83" s="3"/>
    </row>
    <row r="84">
      <c r="A84" s="269"/>
      <c r="B84" s="36"/>
      <c r="C84" s="91"/>
      <c r="D84" s="3"/>
      <c r="E84" s="3"/>
      <c r="F84" s="3"/>
      <c r="G84" s="3"/>
      <c r="H84" s="3"/>
      <c r="I84" s="36"/>
      <c r="J84" s="91"/>
      <c r="K84" s="3"/>
      <c r="L84" s="3"/>
      <c r="M84" s="3"/>
      <c r="N84" s="93"/>
      <c r="O84" s="8"/>
      <c r="P84" s="7"/>
      <c r="Q84" s="291"/>
      <c r="R84" s="3"/>
      <c r="S84" s="3"/>
      <c r="T84" s="3"/>
      <c r="U84" s="3"/>
      <c r="V84" s="3"/>
      <c r="W84" s="3"/>
      <c r="X84" s="3"/>
      <c r="Y84" s="3"/>
      <c r="Z84" s="3"/>
      <c r="AA84" s="3"/>
    </row>
    <row r="85">
      <c r="A85" s="269"/>
      <c r="B85" s="36"/>
      <c r="C85" s="91"/>
      <c r="D85" s="3"/>
      <c r="E85" s="3"/>
      <c r="F85" s="3"/>
      <c r="G85" s="3"/>
      <c r="H85" s="3"/>
      <c r="I85" s="36"/>
      <c r="J85" s="91"/>
      <c r="K85" s="3"/>
      <c r="L85" s="3"/>
      <c r="M85" s="3"/>
      <c r="N85" s="93"/>
      <c r="O85" s="8"/>
      <c r="P85" s="7"/>
      <c r="Q85" s="291"/>
      <c r="R85" s="3"/>
      <c r="S85" s="3"/>
      <c r="T85" s="3"/>
      <c r="U85" s="3"/>
      <c r="V85" s="3"/>
      <c r="W85" s="3"/>
      <c r="X85" s="3"/>
      <c r="Y85" s="3"/>
      <c r="Z85" s="3"/>
      <c r="AA85" s="3"/>
    </row>
    <row r="86">
      <c r="A86" s="269"/>
      <c r="B86" s="36"/>
      <c r="C86" s="91"/>
      <c r="D86" s="3"/>
      <c r="E86" s="3"/>
      <c r="F86" s="3"/>
      <c r="G86" s="3"/>
      <c r="H86" s="3"/>
      <c r="I86" s="36"/>
      <c r="J86" s="91"/>
      <c r="K86" s="3"/>
      <c r="L86" s="3"/>
      <c r="M86" s="3"/>
      <c r="N86" s="93"/>
      <c r="O86" s="8"/>
      <c r="P86" s="7"/>
      <c r="Q86" s="291"/>
      <c r="R86" s="3"/>
      <c r="S86" s="3"/>
      <c r="T86" s="3"/>
      <c r="U86" s="3"/>
      <c r="V86" s="3"/>
      <c r="W86" s="3"/>
      <c r="X86" s="3"/>
      <c r="Y86" s="3"/>
      <c r="Z86" s="3"/>
      <c r="AA86" s="3"/>
    </row>
    <row r="87">
      <c r="A87" s="269"/>
      <c r="B87" s="36"/>
      <c r="C87" s="91"/>
      <c r="D87" s="3"/>
      <c r="E87" s="3"/>
      <c r="F87" s="3"/>
      <c r="G87" s="3"/>
      <c r="H87" s="3"/>
      <c r="I87" s="36"/>
      <c r="J87" s="91"/>
      <c r="K87" s="3"/>
      <c r="L87" s="3"/>
      <c r="M87" s="3"/>
      <c r="N87" s="93"/>
      <c r="O87" s="8"/>
      <c r="P87" s="7"/>
      <c r="Q87" s="291"/>
      <c r="R87" s="3"/>
      <c r="S87" s="3"/>
      <c r="T87" s="3"/>
      <c r="U87" s="3"/>
      <c r="V87" s="3"/>
      <c r="W87" s="3"/>
      <c r="X87" s="3"/>
      <c r="Y87" s="3"/>
      <c r="Z87" s="3"/>
      <c r="AA87" s="3"/>
    </row>
    <row r="88">
      <c r="A88" s="269"/>
      <c r="B88" s="36"/>
      <c r="C88" s="91"/>
      <c r="D88" s="3"/>
      <c r="E88" s="3"/>
      <c r="F88" s="3"/>
      <c r="G88" s="3"/>
      <c r="H88" s="3"/>
      <c r="I88" s="36"/>
      <c r="J88" s="91"/>
      <c r="K88" s="3"/>
      <c r="L88" s="3"/>
      <c r="M88" s="3"/>
      <c r="N88" s="93"/>
      <c r="O88" s="8"/>
      <c r="P88" s="7"/>
      <c r="Q88" s="291"/>
      <c r="R88" s="3"/>
      <c r="S88" s="3"/>
      <c r="T88" s="3"/>
      <c r="U88" s="3"/>
      <c r="V88" s="3"/>
      <c r="W88" s="3"/>
      <c r="X88" s="3"/>
      <c r="Y88" s="3"/>
      <c r="Z88" s="3"/>
      <c r="AA88" s="3"/>
    </row>
    <row r="89">
      <c r="A89" s="269"/>
      <c r="B89" s="36"/>
      <c r="C89" s="91"/>
      <c r="D89" s="3"/>
      <c r="E89" s="3"/>
      <c r="F89" s="3"/>
      <c r="G89" s="3"/>
      <c r="H89" s="3"/>
      <c r="I89" s="36"/>
      <c r="J89" s="91"/>
      <c r="K89" s="3"/>
      <c r="L89" s="3"/>
      <c r="M89" s="3"/>
      <c r="N89" s="93"/>
      <c r="O89" s="8"/>
      <c r="P89" s="7"/>
      <c r="Q89" s="291"/>
      <c r="R89" s="3"/>
      <c r="S89" s="3"/>
      <c r="T89" s="3"/>
      <c r="U89" s="3"/>
      <c r="V89" s="3"/>
      <c r="W89" s="3"/>
      <c r="X89" s="3"/>
      <c r="Y89" s="3"/>
      <c r="Z89" s="3"/>
      <c r="AA89" s="3"/>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10.63"/>
    <col customWidth="1" min="2" max="2" width="10.88"/>
    <col customWidth="1" min="3" max="8" width="6.0"/>
    <col customWidth="1" min="9" max="9" width="9.0"/>
    <col customWidth="1" min="10" max="10" width="8.63"/>
    <col customWidth="1" min="11" max="11" width="12.88"/>
    <col customWidth="1" min="12" max="12" width="11.0"/>
    <col customWidth="1" min="13" max="18" width="12.38"/>
    <col customWidth="1" min="19" max="19" width="2.0"/>
    <col customWidth="1" min="20" max="20" width="11.25" outlineLevel="1"/>
    <col customWidth="1" min="21" max="21" width="10.88" outlineLevel="1"/>
    <col customWidth="1" min="22" max="22" width="9.0" outlineLevel="1"/>
    <col customWidth="1" min="23" max="27" width="6.0" outlineLevel="1"/>
    <col customWidth="1" min="28" max="28" width="8.88" outlineLevel="1"/>
    <col customWidth="1" min="29" max="29" width="8.63" outlineLevel="1"/>
    <col customWidth="1" min="30" max="30" width="9.5"/>
    <col customWidth="1" min="31" max="31" width="13.5"/>
  </cols>
  <sheetData>
    <row r="1">
      <c r="A1" s="63" t="s">
        <v>588</v>
      </c>
      <c r="B1" s="63" t="str">
        <f>CONCATENATE("NUM TUBES ",SUM(B2:B522))</f>
        <v>NUM TUBES 78</v>
      </c>
      <c r="C1" s="63" t="str">
        <f>CONCATENATE("NEG ",SUM(C2:C522))</f>
        <v>NEG 78</v>
      </c>
      <c r="D1" s="63" t="str">
        <f>CONCATENATE("POS  ",SUM(D2:D522))</f>
        <v>POS  0</v>
      </c>
      <c r="E1" s="63" t="str">
        <f>CONCATENATE("INC  ",SUM(E2:E522))</f>
        <v>INC  0</v>
      </c>
      <c r="F1" s="63" t="str">
        <f>CONCATENATE("NULL  ",SUM(F2:F522))</f>
        <v>NULL  0</v>
      </c>
      <c r="G1" s="63" t="str">
        <f>CONCATENATE("INVL  ",SUM(G2:G522))</f>
        <v>INVL  0</v>
      </c>
      <c r="H1" s="63" t="str">
        <f>CONCATENATE("FAIL  ",SUM(H2:H522))</f>
        <v>FAIL  0</v>
      </c>
      <c r="I1" s="58" t="s">
        <v>589</v>
      </c>
      <c r="J1" s="259" t="str">
        <f>IF(COUNTIF(J2:J522,FALSE)&gt;0, "ERROR!! MATCH NUMS", "MATCH NUMS OK")</f>
        <v>MATCH NUMS OK</v>
      </c>
      <c r="K1" s="63" t="s">
        <v>590</v>
      </c>
      <c r="L1" s="63" t="s">
        <v>591</v>
      </c>
      <c r="M1" s="63" t="s">
        <v>592</v>
      </c>
      <c r="N1" s="63" t="s">
        <v>593</v>
      </c>
      <c r="O1" s="63" t="s">
        <v>594</v>
      </c>
      <c r="P1" s="63" t="s">
        <v>595</v>
      </c>
      <c r="Q1" s="63" t="str">
        <f>CONCATENATE("NUM TUBES ",SUM(Q2:Q522))</f>
        <v>NUM TUBES 78</v>
      </c>
      <c r="R1" s="63" t="s">
        <v>596</v>
      </c>
      <c r="S1" s="129"/>
      <c r="T1" s="63" t="s">
        <v>595</v>
      </c>
      <c r="U1" s="63" t="str">
        <f>CONCATENATE("NUM TUBES ",SUM(U2:U522))</f>
        <v>NUM TUBES 78</v>
      </c>
      <c r="V1" s="63" t="str">
        <f>CONCATENATE("NEG ",SUM(V2:V522))</f>
        <v>NEG 78</v>
      </c>
      <c r="W1" s="63" t="str">
        <f>CONCATENATE("POS  ",SUM(W2:W522))</f>
        <v>POS  0</v>
      </c>
      <c r="X1" s="63" t="str">
        <f>CONCATENATE("INC  ",SUM(X2:X522))</f>
        <v>INC  0</v>
      </c>
      <c r="Y1" s="63" t="str">
        <f>CONCATENATE("NULL  ",SUM(Y2:Y522))</f>
        <v>NULL  0</v>
      </c>
      <c r="Z1" s="63" t="str">
        <f>CONCATENATE("INVL  ",SUM(Z2:Z522))</f>
        <v>INVL  0</v>
      </c>
      <c r="AA1" s="63" t="str">
        <f>CONCATENATE("FAIL  ",SUM(AA2:AA522))</f>
        <v>FAIL  0</v>
      </c>
      <c r="AB1" s="58" t="s">
        <v>589</v>
      </c>
      <c r="AC1" s="259" t="str">
        <f>IF(COUNTIF(AC2:AC522,FALSE)&gt;0, "ERROR!! MATCH NUMS", "MATCH NUMS OK")</f>
        <v>MATCH NUMS OK</v>
      </c>
      <c r="AD1" s="13"/>
      <c r="AE1" s="13"/>
      <c r="AF1" s="3"/>
      <c r="AG1" s="3"/>
      <c r="AH1" s="3"/>
      <c r="AI1" s="3"/>
      <c r="AJ1" s="3"/>
      <c r="AK1" s="3"/>
      <c r="AL1" s="3"/>
    </row>
    <row r="2">
      <c r="A2" s="250">
        <f t="array" ref="A2:A20">SORT(UNIQUE('APS Tubes'!$B2:$B522))</f>
        <v>44683</v>
      </c>
      <c r="B2" s="7">
        <f>IFERROR(__xludf.DUMMYFUNCTION("COUNTUNIQUEIFS('APS Tubes'!$A$2:$A522,'APS Tubes'!$B$2:$B522,A2)"),17.0)</f>
        <v>17</v>
      </c>
      <c r="C2" s="7">
        <f>COUNTIFS('APS Tubes'!$B$2:$B522,A2,'APS Tubes'!$H$2:$H522,"Negative")</f>
        <v>17</v>
      </c>
      <c r="D2" s="7">
        <f>COUNTIFS('APS Tubes'!$B$2:$B522,$A2,'APS Tubes'!$H$2:$H522,"Positive")</f>
        <v>0</v>
      </c>
      <c r="E2" s="7">
        <f>COUNTIFS('APS Tubes'!$B$2:$B522,$A2,'APS Tubes'!$H$2:$H522,"Inconclusive")</f>
        <v>0</v>
      </c>
      <c r="F2" s="7">
        <f>COUNTIFS('APS Tubes'!$B$2:$B522,$A2,'APS Tubes'!$H$2:$H522,"Null")</f>
        <v>0</v>
      </c>
      <c r="G2" s="7">
        <f>COUNTIFS('APS Tubes'!$B$2:$B522,$A2,'APS Tubes'!$H$2:$H522,"Invalid")</f>
        <v>0</v>
      </c>
      <c r="H2" s="7">
        <f>COUNTIFS('APS Tubes'!$B$2:$B522,$A2,'APS Tubes'!$H$2:$H522,"Fail")</f>
        <v>0</v>
      </c>
      <c r="I2" s="7">
        <f t="shared" ref="I2:I19" si="1">SUM(C2:H2)</f>
        <v>17</v>
      </c>
      <c r="J2" s="7" t="b">
        <f t="shared" ref="J2:J19" si="2">IF(I2=B2,TRUE,FALSE)</f>
        <v>1</v>
      </c>
      <c r="K2" s="7">
        <f t="shared" ref="K2:K19" si="3">IFNA(VLOOKUP($A2,$T$2:$AA522,2,FALSE),"")</f>
        <v>16</v>
      </c>
      <c r="L2" s="7">
        <f t="shared" ref="L2:L19" si="4">IF(NOT(ISBLANK(K2)),K2-B2,IFERROR(0/0,""))</f>
        <v>-1</v>
      </c>
      <c r="M2" s="7" t="str">
        <f t="shared" ref="M2:M19" si="5">IF(AND(NOT(ISBLANK(L2)),L2=0),TRUE,IFERROR(0/0,""))</f>
        <v/>
      </c>
      <c r="N2" s="7">
        <f>COUNTIFS('APS Tubes'!$B$2:$B522,A2,'APS Tubes'!Q$2:Q522,"&lt;=0")</f>
        <v>16</v>
      </c>
      <c r="O2" s="7" t="str">
        <f t="shared" ref="O2:O19" si="6">IF(N2=B2,TRUE,IFERROR(0/0,""))</f>
        <v/>
      </c>
      <c r="P2" s="293">
        <f t="shared" ref="P2:P19" si="7">IF(IFNA(COUNTIF(T$2:T522,A2)&gt;0,""),A2,IFERROR(0/0,""))</f>
        <v>44683</v>
      </c>
      <c r="Q2" s="7">
        <f>IFERROR(__xludf.DUMMYFUNCTION("IF(COUNTUNIQUEIFS('APS Tubes'!$A$2:$A522,'APS Tubes'!$I$2:$I522,P2)&gt;0,COUNTUNIQUEIFS('APS Tubes'!$A$2:$A522,'APS Tubes'!$I$2:$I522,P2),IFERROR(0/0))"),16.0)</f>
        <v>16</v>
      </c>
      <c r="R2" s="7" t="str">
        <f t="shared" ref="R2:R19" si="8">IF(Q2=B2,TRUE,IFERROR(0/0,""))</f>
        <v/>
      </c>
      <c r="S2" s="129"/>
      <c r="T2" s="250">
        <f t="array" ref="T2:T16">SORT(UNIQUE('APS Tubes'!$I2:$I522))</f>
        <v>44683</v>
      </c>
      <c r="U2" s="7">
        <f>IFERROR(__xludf.DUMMYFUNCTION("COUNTUNIQUEIFS('APS Tubes'!$A$2:$A522,'APS Tubes'!$I$2:$I522,T2)"),16.0)</f>
        <v>16</v>
      </c>
      <c r="V2" s="7">
        <f>COUNTIFS('APS Tubes'!$I$2:$I522,T2,'APS Tubes'!$H$2:$H522,"Negative")</f>
        <v>16</v>
      </c>
      <c r="W2" s="7">
        <f>COUNTIFS('APS Tubes'!$I$2:$I522,T2,'APS Tubes'!$H$2:$H522,"Positive")</f>
        <v>0</v>
      </c>
      <c r="X2" s="7">
        <f>COUNTIFS('APS Tubes'!$I$2:$I522,T2,'APS Tubes'!$H$2:$H522,"Inconclusive")</f>
        <v>0</v>
      </c>
      <c r="Y2" s="7">
        <f>COUNTIFS('APS Tubes'!$I$2:$I522,T2,'APS Tubes'!$H$2:$H522,"Null")</f>
        <v>0</v>
      </c>
      <c r="Z2" s="7">
        <f>COUNTIFS('APS Tubes'!$I$2:$I522,T2,'APS Tubes'!$H$2:$H522,"Invalid")</f>
        <v>0</v>
      </c>
      <c r="AA2" s="7">
        <f>COUNTIFS('APS Tubes'!$I$2:$I522,T2,'APS Tubes'!$H$2:$H522,"Fail")</f>
        <v>0</v>
      </c>
      <c r="AB2" s="7">
        <f t="shared" ref="AB2:AB15" si="9">SUM(V2:AA2)</f>
        <v>16</v>
      </c>
      <c r="AC2" s="7" t="b">
        <f t="shared" ref="AC2:AC15" si="10">IF(AB2=U2,TRUE,FALSE)</f>
        <v>1</v>
      </c>
      <c r="AD2" s="294"/>
      <c r="AE2" s="294"/>
      <c r="AF2" s="3"/>
      <c r="AG2" s="3"/>
      <c r="AH2" s="3"/>
      <c r="AI2" s="3"/>
      <c r="AJ2" s="3"/>
      <c r="AK2" s="3"/>
      <c r="AL2" s="3"/>
    </row>
    <row r="3">
      <c r="A3" s="294">
        <v>44689.0</v>
      </c>
      <c r="B3" s="7">
        <f>IFERROR(__xludf.DUMMYFUNCTION("COUNTUNIQUEIFS('APS Tubes'!$A$2:$A522,'APS Tubes'!$B$2:$B522,A3)"),1.0)</f>
        <v>1</v>
      </c>
      <c r="C3" s="7">
        <f>COUNTIFS('APS Tubes'!$B$2:$B522,A3,'APS Tubes'!$H$2:$H522,"Negative")</f>
        <v>1</v>
      </c>
      <c r="D3" s="7">
        <f>COUNTIFS('APS Tubes'!$B$2:$B522,$A3,'APS Tubes'!$H$2:$H522,"Positive")</f>
        <v>0</v>
      </c>
      <c r="E3" s="7">
        <f>COUNTIFS('APS Tubes'!$B$2:$B522,$A3,'APS Tubes'!$H$2:$H522,"Inconclusive")</f>
        <v>0</v>
      </c>
      <c r="F3" s="7">
        <f>COUNTIFS('APS Tubes'!$B$2:$B522,$A3,'APS Tubes'!$H$2:$H522,"Null")</f>
        <v>0</v>
      </c>
      <c r="G3" s="7">
        <f>COUNTIFS('APS Tubes'!$B$2:$B522,$A3,'APS Tubes'!$H$2:$H522,"Invalid")</f>
        <v>0</v>
      </c>
      <c r="H3" s="7">
        <f>COUNTIFS('APS Tubes'!$B$2:$B522,$A3,'APS Tubes'!$H$2:$H522,"Fail")</f>
        <v>0</v>
      </c>
      <c r="I3" s="7">
        <f t="shared" si="1"/>
        <v>1</v>
      </c>
      <c r="J3" s="7" t="b">
        <f t="shared" si="2"/>
        <v>1</v>
      </c>
      <c r="K3" s="7" t="str">
        <f t="shared" si="3"/>
        <v/>
      </c>
      <c r="L3" s="7" t="str">
        <f t="shared" si="4"/>
        <v/>
      </c>
      <c r="M3" s="7" t="str">
        <f t="shared" si="5"/>
        <v/>
      </c>
      <c r="N3" s="7">
        <f>COUNTIFS('APS Tubes'!$B$2:$B522,A3,'APS Tubes'!Q$2:Q522,"&lt;=0")</f>
        <v>0</v>
      </c>
      <c r="O3" s="7" t="str">
        <f t="shared" si="6"/>
        <v/>
      </c>
      <c r="P3" s="293" t="str">
        <f t="shared" si="7"/>
        <v/>
      </c>
      <c r="Q3" s="7" t="str">
        <f>IFERROR(__xludf.DUMMYFUNCTION("IF(COUNTUNIQUEIFS('APS Tubes'!$A$2:$A522,'APS Tubes'!$I$2:$I522,P3)&gt;0,COUNTUNIQUEIFS('APS Tubes'!$A$2:$A522,'APS Tubes'!$I$2:$I522,P3),IFERROR(0/0))"),"")</f>
        <v/>
      </c>
      <c r="R3" s="7" t="str">
        <f t="shared" si="8"/>
        <v/>
      </c>
      <c r="S3" s="279"/>
      <c r="T3" s="36">
        <v>44690.0</v>
      </c>
      <c r="U3" s="7">
        <f>IFERROR(__xludf.DUMMYFUNCTION("COUNTUNIQUEIFS('APS Tubes'!$A$2:$A522,'APS Tubes'!$I$2:$I522,T3)"),9.0)</f>
        <v>9</v>
      </c>
      <c r="V3" s="7">
        <f>COUNTIFS('APS Tubes'!$I$2:$I522,T3,'APS Tubes'!$H$2:$H522,"Negative")</f>
        <v>9</v>
      </c>
      <c r="W3" s="7">
        <f>COUNTIFS('APS Tubes'!$I$2:$I522,T3,'APS Tubes'!$H$2:$H522,"Positive")</f>
        <v>0</v>
      </c>
      <c r="X3" s="7">
        <f>COUNTIFS('APS Tubes'!$I$2:$I522,T3,'APS Tubes'!$H$2:$H522,"Inconclusive")</f>
        <v>0</v>
      </c>
      <c r="Y3" s="7">
        <f>COUNTIFS('APS Tubes'!$I$2:$I522,T3,'APS Tubes'!$H$2:$H522,"Null")</f>
        <v>0</v>
      </c>
      <c r="Z3" s="7">
        <f>COUNTIFS('APS Tubes'!$I$2:$I522,T3,'APS Tubes'!$H$2:$H522,"Invalid")</f>
        <v>0</v>
      </c>
      <c r="AA3" s="7">
        <f>COUNTIFS('APS Tubes'!$I$2:$I522,T3,'APS Tubes'!$H$2:$H522,"Fail")</f>
        <v>0</v>
      </c>
      <c r="AB3" s="7">
        <f t="shared" si="9"/>
        <v>9</v>
      </c>
      <c r="AC3" s="7" t="b">
        <f t="shared" si="10"/>
        <v>1</v>
      </c>
      <c r="AD3" s="36"/>
      <c r="AE3" s="36"/>
    </row>
    <row r="4">
      <c r="A4" s="294">
        <v>44690.0</v>
      </c>
      <c r="B4" s="7">
        <f>IFERROR(__xludf.DUMMYFUNCTION("COUNTUNIQUEIFS('APS Tubes'!$A$2:$A522,'APS Tubes'!$B$2:$B522,A4)"),7.0)</f>
        <v>7</v>
      </c>
      <c r="C4" s="7">
        <f>COUNTIFS('APS Tubes'!$B$2:$B522,A4,'APS Tubes'!$H$2:$H522,"Negative")</f>
        <v>7</v>
      </c>
      <c r="D4" s="7">
        <f>COUNTIFS('APS Tubes'!$B$2:$B522,$A4,'APS Tubes'!$H$2:$H522,"Positive")</f>
        <v>0</v>
      </c>
      <c r="E4" s="7">
        <f>COUNTIFS('APS Tubes'!$B$2:$B522,$A4,'APS Tubes'!$H$2:$H522,"Inconclusive")</f>
        <v>0</v>
      </c>
      <c r="F4" s="7">
        <f>COUNTIFS('APS Tubes'!$B$2:$B522,$A4,'APS Tubes'!$H$2:$H522,"Null")</f>
        <v>0</v>
      </c>
      <c r="G4" s="7">
        <f>COUNTIFS('APS Tubes'!$B$2:$B522,$A4,'APS Tubes'!$H$2:$H522,"Invalid")</f>
        <v>0</v>
      </c>
      <c r="H4" s="7">
        <f>COUNTIFS('APS Tubes'!$B$2:$B522,$A4,'APS Tubes'!$H$2:$H522,"Fail")</f>
        <v>0</v>
      </c>
      <c r="I4" s="7">
        <f t="shared" si="1"/>
        <v>7</v>
      </c>
      <c r="J4" s="7" t="b">
        <f t="shared" si="2"/>
        <v>1</v>
      </c>
      <c r="K4" s="7">
        <f t="shared" si="3"/>
        <v>9</v>
      </c>
      <c r="L4" s="7">
        <f t="shared" si="4"/>
        <v>2</v>
      </c>
      <c r="M4" s="7" t="str">
        <f t="shared" si="5"/>
        <v/>
      </c>
      <c r="N4" s="7">
        <f>COUNTIFS('APS Tubes'!$B$2:$B522,A4,'APS Tubes'!Q$2:Q522,"&lt;=0")</f>
        <v>7</v>
      </c>
      <c r="O4" s="7" t="b">
        <f t="shared" si="6"/>
        <v>1</v>
      </c>
      <c r="P4" s="293">
        <f t="shared" si="7"/>
        <v>44690</v>
      </c>
      <c r="Q4" s="7">
        <f>IFERROR(__xludf.DUMMYFUNCTION("IF(COUNTUNIQUEIFS('APS Tubes'!$A$2:$A522,'APS Tubes'!$I$2:$I522,P4)&gt;0,COUNTUNIQUEIFS('APS Tubes'!$A$2:$A522,'APS Tubes'!$I$2:$I522,P4),IFERROR(0/0))"),9.0)</f>
        <v>9</v>
      </c>
      <c r="R4" s="7" t="str">
        <f t="shared" si="8"/>
        <v/>
      </c>
      <c r="S4" s="279"/>
      <c r="T4" s="36">
        <v>44697.0</v>
      </c>
      <c r="U4" s="7">
        <f>IFERROR(__xludf.DUMMYFUNCTION("COUNTUNIQUEIFS('APS Tubes'!$A$2:$A522,'APS Tubes'!$I$2:$I522,T4)"),10.0)</f>
        <v>10</v>
      </c>
      <c r="V4" s="7">
        <f>COUNTIFS('APS Tubes'!$I$2:$I522,T4,'APS Tubes'!$H$2:$H522,"Negative")</f>
        <v>10</v>
      </c>
      <c r="W4" s="7">
        <f>COUNTIFS('APS Tubes'!$I$2:$I522,T4,'APS Tubes'!$H$2:$H522,"Positive")</f>
        <v>0</v>
      </c>
      <c r="X4" s="7">
        <f>COUNTIFS('APS Tubes'!$I$2:$I522,T4,'APS Tubes'!$H$2:$H522,"Inconclusive")</f>
        <v>0</v>
      </c>
      <c r="Y4" s="7">
        <f>COUNTIFS('APS Tubes'!$I$2:$I522,T4,'APS Tubes'!$H$2:$H522,"Null")</f>
        <v>0</v>
      </c>
      <c r="Z4" s="7">
        <f>COUNTIFS('APS Tubes'!$I$2:$I522,T4,'APS Tubes'!$H$2:$H522,"Invalid")</f>
        <v>0</v>
      </c>
      <c r="AA4" s="7">
        <f>COUNTIFS('APS Tubes'!$I$2:$I522,T4,'APS Tubes'!$H$2:$H522,"Fail")</f>
        <v>0</v>
      </c>
      <c r="AB4" s="7">
        <f t="shared" si="9"/>
        <v>10</v>
      </c>
      <c r="AC4" s="7" t="b">
        <f t="shared" si="10"/>
        <v>1</v>
      </c>
      <c r="AD4" s="36"/>
      <c r="AE4" s="36"/>
    </row>
    <row r="5">
      <c r="A5" s="294">
        <v>44696.0</v>
      </c>
      <c r="B5" s="7">
        <f>IFERROR(__xludf.DUMMYFUNCTION("COUNTUNIQUEIFS('APS Tubes'!$A$2:$A522,'APS Tubes'!$B$2:$B522,A5)"),1.0)</f>
        <v>1</v>
      </c>
      <c r="C5" s="7">
        <f>COUNTIFS('APS Tubes'!$B$2:$B522,A5,'APS Tubes'!$H$2:$H522,"Negative")</f>
        <v>1</v>
      </c>
      <c r="D5" s="7">
        <f>COUNTIFS('APS Tubes'!$B$2:$B522,$A5,'APS Tubes'!$H$2:$H522,"Positive")</f>
        <v>0</v>
      </c>
      <c r="E5" s="7">
        <f>COUNTIFS('APS Tubes'!$B$2:$B522,$A5,'APS Tubes'!$H$2:$H522,"Inconclusive")</f>
        <v>0</v>
      </c>
      <c r="F5" s="7">
        <f>COUNTIFS('APS Tubes'!$B$2:$B522,$A5,'APS Tubes'!$H$2:$H522,"Null")</f>
        <v>0</v>
      </c>
      <c r="G5" s="7">
        <f>COUNTIFS('APS Tubes'!$B$2:$B522,$A5,'APS Tubes'!$H$2:$H522,"Invalid")</f>
        <v>0</v>
      </c>
      <c r="H5" s="7">
        <f>COUNTIFS('APS Tubes'!$B$2:$B522,$A5,'APS Tubes'!$H$2:$H522,"Fail")</f>
        <v>0</v>
      </c>
      <c r="I5" s="7">
        <f t="shared" si="1"/>
        <v>1</v>
      </c>
      <c r="J5" s="7" t="b">
        <f t="shared" si="2"/>
        <v>1</v>
      </c>
      <c r="K5" s="7" t="str">
        <f t="shared" si="3"/>
        <v/>
      </c>
      <c r="L5" s="7" t="str">
        <f t="shared" si="4"/>
        <v/>
      </c>
      <c r="M5" s="7" t="str">
        <f t="shared" si="5"/>
        <v/>
      </c>
      <c r="N5" s="7">
        <f>COUNTIFS('APS Tubes'!$B$2:$B522,A5,'APS Tubes'!Q$2:Q522,"&lt;=0")</f>
        <v>0</v>
      </c>
      <c r="O5" s="7" t="str">
        <f t="shared" si="6"/>
        <v/>
      </c>
      <c r="P5" s="293" t="str">
        <f t="shared" si="7"/>
        <v/>
      </c>
      <c r="Q5" s="7" t="str">
        <f>IFERROR(__xludf.DUMMYFUNCTION("IF(COUNTUNIQUEIFS('APS Tubes'!$A$2:$A522,'APS Tubes'!$I$2:$I522,P5)&gt;0,COUNTUNIQUEIFS('APS Tubes'!$A$2:$A522,'APS Tubes'!$I$2:$I522,P5),IFERROR(0/0))"),"")</f>
        <v/>
      </c>
      <c r="R5" s="7" t="str">
        <f t="shared" si="8"/>
        <v/>
      </c>
      <c r="S5" s="279"/>
      <c r="T5" s="36">
        <v>44704.0</v>
      </c>
      <c r="U5" s="7">
        <f>IFERROR(__xludf.DUMMYFUNCTION("COUNTUNIQUEIFS('APS Tubes'!$A$2:$A522,'APS Tubes'!$I$2:$I522,T5)"),8.0)</f>
        <v>8</v>
      </c>
      <c r="V5" s="7">
        <f>COUNTIFS('APS Tubes'!$I$2:$I522,T5,'APS Tubes'!$H$2:$H522,"Negative")</f>
        <v>8</v>
      </c>
      <c r="W5" s="7">
        <f>COUNTIFS('APS Tubes'!$I$2:$I522,T5,'APS Tubes'!$H$2:$H522,"Positive")</f>
        <v>0</v>
      </c>
      <c r="X5" s="7">
        <f>COUNTIFS('APS Tubes'!$I$2:$I522,T5,'APS Tubes'!$H$2:$H522,"Inconclusive")</f>
        <v>0</v>
      </c>
      <c r="Y5" s="7">
        <f>COUNTIFS('APS Tubes'!$I$2:$I522,T5,'APS Tubes'!$H$2:$H522,"Null")</f>
        <v>0</v>
      </c>
      <c r="Z5" s="7">
        <f>COUNTIFS('APS Tubes'!$I$2:$I522,T5,'APS Tubes'!$H$2:$H522,"Invalid")</f>
        <v>0</v>
      </c>
      <c r="AA5" s="7">
        <f>COUNTIFS('APS Tubes'!$I$2:$I522,T5,'APS Tubes'!$H$2:$H522,"Fail")</f>
        <v>0</v>
      </c>
      <c r="AB5" s="7">
        <f t="shared" si="9"/>
        <v>8</v>
      </c>
      <c r="AC5" s="7" t="b">
        <f t="shared" si="10"/>
        <v>1</v>
      </c>
      <c r="AD5" s="36"/>
      <c r="AE5" s="36"/>
    </row>
    <row r="6">
      <c r="A6" s="294">
        <v>44697.0</v>
      </c>
      <c r="B6" s="7">
        <f>IFERROR(__xludf.DUMMYFUNCTION("COUNTUNIQUEIFS('APS Tubes'!$A$2:$A522,'APS Tubes'!$B$2:$B522,A6)"),9.0)</f>
        <v>9</v>
      </c>
      <c r="C6" s="7">
        <f>COUNTIFS('APS Tubes'!$B$2:$B522,A6,'APS Tubes'!$H$2:$H522,"Negative")</f>
        <v>9</v>
      </c>
      <c r="D6" s="7">
        <f>COUNTIFS('APS Tubes'!$B$2:$B522,$A6,'APS Tubes'!$H$2:$H522,"Positive")</f>
        <v>0</v>
      </c>
      <c r="E6" s="7">
        <f>COUNTIFS('APS Tubes'!$B$2:$B522,$A6,'APS Tubes'!$H$2:$H522,"Inconclusive")</f>
        <v>0</v>
      </c>
      <c r="F6" s="7">
        <f>COUNTIFS('APS Tubes'!$B$2:$B522,$A6,'APS Tubes'!$H$2:$H522,"Null")</f>
        <v>0</v>
      </c>
      <c r="G6" s="7">
        <f>COUNTIFS('APS Tubes'!$B$2:$B522,$A6,'APS Tubes'!$H$2:$H522,"Invalid")</f>
        <v>0</v>
      </c>
      <c r="H6" s="7">
        <f>COUNTIFS('APS Tubes'!$B$2:$B522,$A6,'APS Tubes'!$H$2:$H522,"Fail")</f>
        <v>0</v>
      </c>
      <c r="I6" s="7">
        <f t="shared" si="1"/>
        <v>9</v>
      </c>
      <c r="J6" s="7" t="b">
        <f t="shared" si="2"/>
        <v>1</v>
      </c>
      <c r="K6" s="7">
        <f t="shared" si="3"/>
        <v>10</v>
      </c>
      <c r="L6" s="7">
        <f t="shared" si="4"/>
        <v>1</v>
      </c>
      <c r="M6" s="7" t="str">
        <f t="shared" si="5"/>
        <v/>
      </c>
      <c r="N6" s="7">
        <f>COUNTIFS('APS Tubes'!$B$2:$B522,A6,'APS Tubes'!Q$2:Q522,"&lt;=0")</f>
        <v>9</v>
      </c>
      <c r="O6" s="7" t="b">
        <f t="shared" si="6"/>
        <v>1</v>
      </c>
      <c r="P6" s="293">
        <f t="shared" si="7"/>
        <v>44697</v>
      </c>
      <c r="Q6" s="7">
        <f>IFERROR(__xludf.DUMMYFUNCTION("IF(COUNTUNIQUEIFS('APS Tubes'!$A$2:$A522,'APS Tubes'!$I$2:$I522,P6)&gt;0,COUNTUNIQUEIFS('APS Tubes'!$A$2:$A522,'APS Tubes'!$I$2:$I522,P6),IFERROR(0/0))"),10.0)</f>
        <v>10</v>
      </c>
      <c r="R6" s="7" t="str">
        <f t="shared" si="8"/>
        <v/>
      </c>
      <c r="S6" s="279"/>
      <c r="T6" s="36">
        <v>44713.0</v>
      </c>
      <c r="U6" s="7">
        <f>IFERROR(__xludf.DUMMYFUNCTION("COUNTUNIQUEIFS('APS Tubes'!$A$2:$A522,'APS Tubes'!$I$2:$I522,T6)"),13.0)</f>
        <v>13</v>
      </c>
      <c r="V6" s="7">
        <f>COUNTIFS('APS Tubes'!$I$2:$I522,T6,'APS Tubes'!$H$2:$H522,"Negative")</f>
        <v>13</v>
      </c>
      <c r="W6" s="7">
        <f>COUNTIFS('APS Tubes'!$I$2:$I522,T6,'APS Tubes'!$H$2:$H522,"Positive")</f>
        <v>0</v>
      </c>
      <c r="X6" s="7">
        <f>COUNTIFS('APS Tubes'!$I$2:$I522,T6,'APS Tubes'!$H$2:$H522,"Inconclusive")</f>
        <v>0</v>
      </c>
      <c r="Y6" s="7">
        <f>COUNTIFS('APS Tubes'!$I$2:$I522,T6,'APS Tubes'!$H$2:$H522,"Null")</f>
        <v>0</v>
      </c>
      <c r="Z6" s="7">
        <f>COUNTIFS('APS Tubes'!$I$2:$I522,T6,'APS Tubes'!$H$2:$H522,"Invalid")</f>
        <v>0</v>
      </c>
      <c r="AA6" s="7">
        <f>COUNTIFS('APS Tubes'!$I$2:$I522,T6,'APS Tubes'!$H$2:$H522,"Fail")</f>
        <v>0</v>
      </c>
      <c r="AB6" s="7">
        <f t="shared" si="9"/>
        <v>13</v>
      </c>
      <c r="AC6" s="7" t="b">
        <f t="shared" si="10"/>
        <v>1</v>
      </c>
      <c r="AD6" s="36"/>
      <c r="AE6" s="36"/>
    </row>
    <row r="7">
      <c r="A7" s="294">
        <v>44704.0</v>
      </c>
      <c r="B7" s="7">
        <f>IFERROR(__xludf.DUMMYFUNCTION("COUNTUNIQUEIFS('APS Tubes'!$A$2:$A522,'APS Tubes'!$B$2:$B522,A7)"),8.0)</f>
        <v>8</v>
      </c>
      <c r="C7" s="7">
        <f>COUNTIFS('APS Tubes'!$B$2:$B522,A7,'APS Tubes'!$H$2:$H522,"Negative")</f>
        <v>8</v>
      </c>
      <c r="D7" s="7">
        <f>COUNTIFS('APS Tubes'!$B$2:$B522,$A7,'APS Tubes'!$H$2:$H522,"Positive")</f>
        <v>0</v>
      </c>
      <c r="E7" s="7">
        <f>COUNTIFS('APS Tubes'!$B$2:$B522,$A7,'APS Tubes'!$H$2:$H522,"Inconclusive")</f>
        <v>0</v>
      </c>
      <c r="F7" s="7">
        <f>COUNTIFS('APS Tubes'!$B$2:$B522,$A7,'APS Tubes'!$H$2:$H522,"Null")</f>
        <v>0</v>
      </c>
      <c r="G7" s="7">
        <f>COUNTIFS('APS Tubes'!$B$2:$B522,$A7,'APS Tubes'!$H$2:$H522,"Invalid")</f>
        <v>0</v>
      </c>
      <c r="H7" s="7">
        <f>COUNTIFS('APS Tubes'!$B$2:$B522,$A7,'APS Tubes'!$H$2:$H522,"Fail")</f>
        <v>0</v>
      </c>
      <c r="I7" s="7">
        <f t="shared" si="1"/>
        <v>8</v>
      </c>
      <c r="J7" s="7" t="b">
        <f t="shared" si="2"/>
        <v>1</v>
      </c>
      <c r="K7" s="7">
        <f t="shared" si="3"/>
        <v>8</v>
      </c>
      <c r="L7" s="7">
        <f t="shared" si="4"/>
        <v>0</v>
      </c>
      <c r="M7" s="7" t="b">
        <f t="shared" si="5"/>
        <v>1</v>
      </c>
      <c r="N7" s="7">
        <f>COUNTIFS('APS Tubes'!$B$2:$B522,A7,'APS Tubes'!Q$2:Q522,"&lt;=0")</f>
        <v>8</v>
      </c>
      <c r="O7" s="7" t="b">
        <f t="shared" si="6"/>
        <v>1</v>
      </c>
      <c r="P7" s="293">
        <f t="shared" si="7"/>
        <v>44704</v>
      </c>
      <c r="Q7" s="7">
        <f>IFERROR(__xludf.DUMMYFUNCTION("IF(COUNTUNIQUEIFS('APS Tubes'!$A$2:$A522,'APS Tubes'!$I$2:$I522,P7)&gt;0,COUNTUNIQUEIFS('APS Tubes'!$A$2:$A522,'APS Tubes'!$I$2:$I522,P7),IFERROR(0/0))"),8.0)</f>
        <v>8</v>
      </c>
      <c r="R7" s="7" t="b">
        <f t="shared" si="8"/>
        <v>1</v>
      </c>
      <c r="S7" s="279"/>
      <c r="T7" s="36">
        <v>44718.0</v>
      </c>
      <c r="U7" s="7">
        <f>IFERROR(__xludf.DUMMYFUNCTION("COUNTUNIQUEIFS('APS Tubes'!$A$2:$A522,'APS Tubes'!$I$2:$I522,T7)"),7.0)</f>
        <v>7</v>
      </c>
      <c r="V7" s="7">
        <f>COUNTIFS('APS Tubes'!$I$2:$I522,T7,'APS Tubes'!$H$2:$H522,"Negative")</f>
        <v>7</v>
      </c>
      <c r="W7" s="7">
        <f>COUNTIFS('APS Tubes'!$I$2:$I522,T7,'APS Tubes'!$H$2:$H522,"Positive")</f>
        <v>0</v>
      </c>
      <c r="X7" s="7">
        <f>COUNTIFS('APS Tubes'!$I$2:$I522,T7,'APS Tubes'!$H$2:$H522,"Inconclusive")</f>
        <v>0</v>
      </c>
      <c r="Y7" s="7">
        <f>COUNTIFS('APS Tubes'!$I$2:$I522,T7,'APS Tubes'!$H$2:$H522,"Null")</f>
        <v>0</v>
      </c>
      <c r="Z7" s="7">
        <f>COUNTIFS('APS Tubes'!$I$2:$I522,T7,'APS Tubes'!$H$2:$H522,"Invalid")</f>
        <v>0</v>
      </c>
      <c r="AA7" s="7">
        <f>COUNTIFS('APS Tubes'!$I$2:$I522,T7,'APS Tubes'!$H$2:$H522,"Fail")</f>
        <v>0</v>
      </c>
      <c r="AB7" s="7">
        <f t="shared" si="9"/>
        <v>7</v>
      </c>
      <c r="AC7" s="7" t="b">
        <f t="shared" si="10"/>
        <v>1</v>
      </c>
      <c r="AD7" s="36"/>
      <c r="AE7" s="36"/>
    </row>
    <row r="8">
      <c r="A8" s="294">
        <v>44712.0</v>
      </c>
      <c r="B8" s="7">
        <f>IFERROR(__xludf.DUMMYFUNCTION("COUNTUNIQUEIFS('APS Tubes'!$A$2:$A522,'APS Tubes'!$B$2:$B522,A8)"),3.0)</f>
        <v>3</v>
      </c>
      <c r="C8" s="7">
        <f>COUNTIFS('APS Tubes'!$B$2:$B522,A8,'APS Tubes'!$H$2:$H522,"Negative")</f>
        <v>3</v>
      </c>
      <c r="D8" s="7">
        <f>COUNTIFS('APS Tubes'!$B$2:$B522,$A8,'APS Tubes'!$H$2:$H522,"Positive")</f>
        <v>0</v>
      </c>
      <c r="E8" s="7">
        <f>COUNTIFS('APS Tubes'!$B$2:$B522,$A8,'APS Tubes'!$H$2:$H522,"Inconclusive")</f>
        <v>0</v>
      </c>
      <c r="F8" s="7">
        <f>COUNTIFS('APS Tubes'!$B$2:$B522,$A8,'APS Tubes'!$H$2:$H522,"Null")</f>
        <v>0</v>
      </c>
      <c r="G8" s="7">
        <f>COUNTIFS('APS Tubes'!$B$2:$B522,$A8,'APS Tubes'!$H$2:$H522,"Invalid")</f>
        <v>0</v>
      </c>
      <c r="H8" s="7">
        <f>COUNTIFS('APS Tubes'!$B$2:$B522,$A8,'APS Tubes'!$H$2:$H522,"Fail")</f>
        <v>0</v>
      </c>
      <c r="I8" s="7">
        <f t="shared" si="1"/>
        <v>3</v>
      </c>
      <c r="J8" s="7" t="b">
        <f t="shared" si="2"/>
        <v>1</v>
      </c>
      <c r="K8" s="7" t="str">
        <f t="shared" si="3"/>
        <v/>
      </c>
      <c r="L8" s="7" t="str">
        <f t="shared" si="4"/>
        <v/>
      </c>
      <c r="M8" s="7" t="str">
        <f t="shared" si="5"/>
        <v/>
      </c>
      <c r="N8" s="7">
        <f>COUNTIFS('APS Tubes'!$B$2:$B522,A8,'APS Tubes'!Q$2:Q522,"&lt;=0")</f>
        <v>0</v>
      </c>
      <c r="O8" s="7" t="str">
        <f t="shared" si="6"/>
        <v/>
      </c>
      <c r="P8" s="293" t="str">
        <f t="shared" si="7"/>
        <v/>
      </c>
      <c r="Q8" s="7" t="str">
        <f>IFERROR(__xludf.DUMMYFUNCTION("IF(COUNTUNIQUEIFS('APS Tubes'!$A$2:$A522,'APS Tubes'!$I$2:$I522,P8)&gt;0,COUNTUNIQUEIFS('APS Tubes'!$A$2:$A522,'APS Tubes'!$I$2:$I522,P8),IFERROR(0/0))"),"")</f>
        <v/>
      </c>
      <c r="R8" s="7" t="str">
        <f t="shared" si="8"/>
        <v/>
      </c>
      <c r="S8" s="279"/>
      <c r="T8" s="36">
        <v>44725.0</v>
      </c>
      <c r="U8" s="7">
        <f>IFERROR(__xludf.DUMMYFUNCTION("COUNTUNIQUEIFS('APS Tubes'!$A$2:$A522,'APS Tubes'!$I$2:$I522,T8)"),4.0)</f>
        <v>4</v>
      </c>
      <c r="V8" s="7">
        <f>COUNTIFS('APS Tubes'!$I$2:$I522,T8,'APS Tubes'!$H$2:$H522,"Negative")</f>
        <v>4</v>
      </c>
      <c r="W8" s="7">
        <f>COUNTIFS('APS Tubes'!$I$2:$I522,T8,'APS Tubes'!$H$2:$H522,"Positive")</f>
        <v>0</v>
      </c>
      <c r="X8" s="7">
        <f>COUNTIFS('APS Tubes'!$I$2:$I522,T8,'APS Tubes'!$H$2:$H522,"Inconclusive")</f>
        <v>0</v>
      </c>
      <c r="Y8" s="7">
        <f>COUNTIFS('APS Tubes'!$I$2:$I522,T8,'APS Tubes'!$H$2:$H522,"Null")</f>
        <v>0</v>
      </c>
      <c r="Z8" s="7">
        <f>COUNTIFS('APS Tubes'!$I$2:$I522,T8,'APS Tubes'!$H$2:$H522,"Invalid")</f>
        <v>0</v>
      </c>
      <c r="AA8" s="7">
        <f>COUNTIFS('APS Tubes'!$I$2:$I522,T8,'APS Tubes'!$H$2:$H522,"Fail")</f>
        <v>0</v>
      </c>
      <c r="AB8" s="7">
        <f t="shared" si="9"/>
        <v>4</v>
      </c>
      <c r="AC8" s="7" t="b">
        <f t="shared" si="10"/>
        <v>1</v>
      </c>
      <c r="AD8" s="36"/>
      <c r="AE8" s="36"/>
    </row>
    <row r="9">
      <c r="A9" s="294">
        <v>44713.0</v>
      </c>
      <c r="B9" s="7">
        <f>IFERROR(__xludf.DUMMYFUNCTION("COUNTUNIQUEIFS('APS Tubes'!$A$2:$A522,'APS Tubes'!$B$2:$B522,A9)"),10.0)</f>
        <v>10</v>
      </c>
      <c r="C9" s="7">
        <f>COUNTIFS('APS Tubes'!$B$2:$B522,A9,'APS Tubes'!$H$2:$H522,"Negative")</f>
        <v>10</v>
      </c>
      <c r="D9" s="7">
        <f>COUNTIFS('APS Tubes'!$B$2:$B522,$A9,'APS Tubes'!$H$2:$H522,"Positive")</f>
        <v>0</v>
      </c>
      <c r="E9" s="7">
        <f>COUNTIFS('APS Tubes'!$B$2:$B522,$A9,'APS Tubes'!$H$2:$H522,"Inconclusive")</f>
        <v>0</v>
      </c>
      <c r="F9" s="7">
        <f>COUNTIFS('APS Tubes'!$B$2:$B522,$A9,'APS Tubes'!$H$2:$H522,"Null")</f>
        <v>0</v>
      </c>
      <c r="G9" s="7">
        <f>COUNTIFS('APS Tubes'!$B$2:$B522,$A9,'APS Tubes'!$H$2:$H522,"Invalid")</f>
        <v>0</v>
      </c>
      <c r="H9" s="7">
        <f>COUNTIFS('APS Tubes'!$B$2:$B522,$A9,'APS Tubes'!$H$2:$H522,"Fail")</f>
        <v>0</v>
      </c>
      <c r="I9" s="7">
        <f t="shared" si="1"/>
        <v>10</v>
      </c>
      <c r="J9" s="7" t="b">
        <f t="shared" si="2"/>
        <v>1</v>
      </c>
      <c r="K9" s="7">
        <f t="shared" si="3"/>
        <v>13</v>
      </c>
      <c r="L9" s="7">
        <f t="shared" si="4"/>
        <v>3</v>
      </c>
      <c r="M9" s="7" t="str">
        <f t="shared" si="5"/>
        <v/>
      </c>
      <c r="N9" s="7">
        <f>COUNTIFS('APS Tubes'!$B$2:$B522,A9,'APS Tubes'!Q$2:Q522,"&lt;=0")</f>
        <v>10</v>
      </c>
      <c r="O9" s="7" t="b">
        <f t="shared" si="6"/>
        <v>1</v>
      </c>
      <c r="P9" s="293">
        <f t="shared" si="7"/>
        <v>44713</v>
      </c>
      <c r="Q9" s="7">
        <f>IFERROR(__xludf.DUMMYFUNCTION("IF(COUNTUNIQUEIFS('APS Tubes'!$A$2:$A522,'APS Tubes'!$I$2:$I522,P9)&gt;0,COUNTUNIQUEIFS('APS Tubes'!$A$2:$A522,'APS Tubes'!$I$2:$I522,P9),IFERROR(0/0))"),13.0)</f>
        <v>13</v>
      </c>
      <c r="R9" s="7" t="str">
        <f t="shared" si="8"/>
        <v/>
      </c>
      <c r="S9" s="279"/>
      <c r="T9" s="36">
        <v>44733.0</v>
      </c>
      <c r="U9" s="7">
        <f>IFERROR(__xludf.DUMMYFUNCTION("COUNTUNIQUEIFS('APS Tubes'!$A$2:$A522,'APS Tubes'!$I$2:$I522,T9)"),2.0)</f>
        <v>2</v>
      </c>
      <c r="V9" s="7">
        <f>COUNTIFS('APS Tubes'!$I$2:$I522,T9,'APS Tubes'!$H$2:$H522,"Negative")</f>
        <v>2</v>
      </c>
      <c r="W9" s="7">
        <f>COUNTIFS('APS Tubes'!$I$2:$I522,T9,'APS Tubes'!$H$2:$H522,"Positive")</f>
        <v>0</v>
      </c>
      <c r="X9" s="7">
        <f>COUNTIFS('APS Tubes'!$I$2:$I522,T9,'APS Tubes'!$H$2:$H522,"Inconclusive")</f>
        <v>0</v>
      </c>
      <c r="Y9" s="7">
        <f>COUNTIFS('APS Tubes'!$I$2:$I522,T9,'APS Tubes'!$H$2:$H522,"Null")</f>
        <v>0</v>
      </c>
      <c r="Z9" s="7">
        <f>COUNTIFS('APS Tubes'!$I$2:$I522,T9,'APS Tubes'!$H$2:$H522,"Invalid")</f>
        <v>0</v>
      </c>
      <c r="AA9" s="7">
        <f>COUNTIFS('APS Tubes'!$I$2:$I522,T9,'APS Tubes'!$H$2:$H522,"Fail")</f>
        <v>0</v>
      </c>
      <c r="AB9" s="7">
        <f t="shared" si="9"/>
        <v>2</v>
      </c>
      <c r="AC9" s="7" t="b">
        <f t="shared" si="10"/>
        <v>1</v>
      </c>
      <c r="AD9" s="36"/>
      <c r="AE9" s="36"/>
    </row>
    <row r="10">
      <c r="A10" s="294">
        <v>44718.0</v>
      </c>
      <c r="B10" s="7">
        <f>IFERROR(__xludf.DUMMYFUNCTION("COUNTUNIQUEIFS('APS Tubes'!$A$2:$A522,'APS Tubes'!$B$2:$B522,A10)"),7.0)</f>
        <v>7</v>
      </c>
      <c r="C10" s="7">
        <f>COUNTIFS('APS Tubes'!$B$2:$B522,A10,'APS Tubes'!$H$2:$H522,"Negative")</f>
        <v>7</v>
      </c>
      <c r="D10" s="7">
        <f>COUNTIFS('APS Tubes'!$B$2:$B522,$A10,'APS Tubes'!$H$2:$H522,"Positive")</f>
        <v>0</v>
      </c>
      <c r="E10" s="7">
        <f>COUNTIFS('APS Tubes'!$B$2:$B522,$A10,'APS Tubes'!$H$2:$H522,"Inconclusive")</f>
        <v>0</v>
      </c>
      <c r="F10" s="7">
        <f>COUNTIFS('APS Tubes'!$B$2:$B522,$A10,'APS Tubes'!$H$2:$H522,"Null")</f>
        <v>0</v>
      </c>
      <c r="G10" s="7">
        <f>COUNTIFS('APS Tubes'!$B$2:$B522,$A10,'APS Tubes'!$H$2:$H522,"Invalid")</f>
        <v>0</v>
      </c>
      <c r="H10" s="7">
        <f>COUNTIFS('APS Tubes'!$B$2:$B522,$A10,'APS Tubes'!$H$2:$H522,"Fail")</f>
        <v>0</v>
      </c>
      <c r="I10" s="7">
        <f t="shared" si="1"/>
        <v>7</v>
      </c>
      <c r="J10" s="7" t="b">
        <f t="shared" si="2"/>
        <v>1</v>
      </c>
      <c r="K10" s="7">
        <f t="shared" si="3"/>
        <v>7</v>
      </c>
      <c r="L10" s="7">
        <f t="shared" si="4"/>
        <v>0</v>
      </c>
      <c r="M10" s="7" t="b">
        <f t="shared" si="5"/>
        <v>1</v>
      </c>
      <c r="N10" s="7">
        <f>COUNTIFS('APS Tubes'!$B$2:$B522,A10,'APS Tubes'!Q$2:Q522,"&lt;=0")</f>
        <v>7</v>
      </c>
      <c r="O10" s="7" t="b">
        <f t="shared" si="6"/>
        <v>1</v>
      </c>
      <c r="P10" s="293">
        <f t="shared" si="7"/>
        <v>44718</v>
      </c>
      <c r="Q10" s="7">
        <f>IFERROR(__xludf.DUMMYFUNCTION("IF(COUNTUNIQUEIFS('APS Tubes'!$A$2:$A522,'APS Tubes'!$I$2:$I522,P10)&gt;0,COUNTUNIQUEIFS('APS Tubes'!$A$2:$A522,'APS Tubes'!$I$2:$I522,P10),IFERROR(0/0))"),7.0)</f>
        <v>7</v>
      </c>
      <c r="R10" s="7" t="b">
        <f t="shared" si="8"/>
        <v>1</v>
      </c>
      <c r="S10" s="279"/>
      <c r="T10" s="36">
        <v>44739.0</v>
      </c>
      <c r="U10" s="7">
        <f>IFERROR(__xludf.DUMMYFUNCTION("COUNTUNIQUEIFS('APS Tubes'!$A$2:$A522,'APS Tubes'!$I$2:$I522,T10)"),1.0)</f>
        <v>1</v>
      </c>
      <c r="V10" s="7">
        <f>COUNTIFS('APS Tubes'!$I$2:$I522,T10,'APS Tubes'!$H$2:$H522,"Negative")</f>
        <v>1</v>
      </c>
      <c r="W10" s="7">
        <f>COUNTIFS('APS Tubes'!$I$2:$I522,T10,'APS Tubes'!$H$2:$H522,"Positive")</f>
        <v>0</v>
      </c>
      <c r="X10" s="7">
        <f>COUNTIFS('APS Tubes'!$I$2:$I522,T10,'APS Tubes'!$H$2:$H522,"Inconclusive")</f>
        <v>0</v>
      </c>
      <c r="Y10" s="7">
        <f>COUNTIFS('APS Tubes'!$I$2:$I522,T10,'APS Tubes'!$H$2:$H522,"Null")</f>
        <v>0</v>
      </c>
      <c r="Z10" s="7">
        <f>COUNTIFS('APS Tubes'!$I$2:$I522,T10,'APS Tubes'!$H$2:$H522,"Invalid")</f>
        <v>0</v>
      </c>
      <c r="AA10" s="7">
        <f>COUNTIFS('APS Tubes'!$I$2:$I522,T10,'APS Tubes'!$H$2:$H522,"Fail")</f>
        <v>0</v>
      </c>
      <c r="AB10" s="7">
        <f t="shared" si="9"/>
        <v>1</v>
      </c>
      <c r="AC10" s="7" t="b">
        <f t="shared" si="10"/>
        <v>1</v>
      </c>
      <c r="AD10" s="36"/>
      <c r="AE10" s="36"/>
    </row>
    <row r="11">
      <c r="A11" s="294">
        <v>44725.0</v>
      </c>
      <c r="B11" s="7">
        <f>IFERROR(__xludf.DUMMYFUNCTION("COUNTUNIQUEIFS('APS Tubes'!$A$2:$A522,'APS Tubes'!$B$2:$B522,A11)"),4.0)</f>
        <v>4</v>
      </c>
      <c r="C11" s="7">
        <f>COUNTIFS('APS Tubes'!$B$2:$B522,A11,'APS Tubes'!$H$2:$H522,"Negative")</f>
        <v>4</v>
      </c>
      <c r="D11" s="7">
        <f>COUNTIFS('APS Tubes'!$B$2:$B522,$A11,'APS Tubes'!$H$2:$H522,"Positive")</f>
        <v>0</v>
      </c>
      <c r="E11" s="7">
        <f>COUNTIFS('APS Tubes'!$B$2:$B522,$A11,'APS Tubes'!$H$2:$H522,"Inconclusive")</f>
        <v>0</v>
      </c>
      <c r="F11" s="7">
        <f>COUNTIFS('APS Tubes'!$B$2:$B522,$A11,'APS Tubes'!$H$2:$H522,"Null")</f>
        <v>0</v>
      </c>
      <c r="G11" s="7">
        <f>COUNTIFS('APS Tubes'!$B$2:$B522,$A11,'APS Tubes'!$H$2:$H522,"Invalid")</f>
        <v>0</v>
      </c>
      <c r="H11" s="7">
        <f>COUNTIFS('APS Tubes'!$B$2:$B522,$A11,'APS Tubes'!$H$2:$H522,"Fail")</f>
        <v>0</v>
      </c>
      <c r="I11" s="7">
        <f t="shared" si="1"/>
        <v>4</v>
      </c>
      <c r="J11" s="7" t="b">
        <f t="shared" si="2"/>
        <v>1</v>
      </c>
      <c r="K11" s="7">
        <f t="shared" si="3"/>
        <v>4</v>
      </c>
      <c r="L11" s="7">
        <f t="shared" si="4"/>
        <v>0</v>
      </c>
      <c r="M11" s="7" t="b">
        <f t="shared" si="5"/>
        <v>1</v>
      </c>
      <c r="N11" s="7">
        <f>COUNTIFS('APS Tubes'!$B$2:$B522,A11,'APS Tubes'!Q$2:Q522,"&lt;=0")</f>
        <v>4</v>
      </c>
      <c r="O11" s="7" t="b">
        <f t="shared" si="6"/>
        <v>1</v>
      </c>
      <c r="P11" s="293">
        <f t="shared" si="7"/>
        <v>44725</v>
      </c>
      <c r="Q11" s="7">
        <f>IFERROR(__xludf.DUMMYFUNCTION("IF(COUNTUNIQUEIFS('APS Tubes'!$A$2:$A522,'APS Tubes'!$I$2:$I522,P11)&gt;0,COUNTUNIQUEIFS('APS Tubes'!$A$2:$A522,'APS Tubes'!$I$2:$I522,P11),IFERROR(0/0))"),4.0)</f>
        <v>4</v>
      </c>
      <c r="R11" s="7" t="b">
        <f t="shared" si="8"/>
        <v>1</v>
      </c>
      <c r="S11" s="279"/>
      <c r="T11" s="36">
        <v>44753.0</v>
      </c>
      <c r="U11" s="7">
        <f>IFERROR(__xludf.DUMMYFUNCTION("COUNTUNIQUEIFS('APS Tubes'!$A$2:$A522,'APS Tubes'!$I$2:$I522,T11)"),1.0)</f>
        <v>1</v>
      </c>
      <c r="V11" s="7">
        <f>COUNTIFS('APS Tubes'!$I$2:$I522,T11,'APS Tubes'!$H$2:$H522,"Negative")</f>
        <v>1</v>
      </c>
      <c r="W11" s="7">
        <f>COUNTIFS('APS Tubes'!$I$2:$I522,T11,'APS Tubes'!$H$2:$H522,"Positive")</f>
        <v>0</v>
      </c>
      <c r="X11" s="7">
        <f>COUNTIFS('APS Tubes'!$I$2:$I522,T11,'APS Tubes'!$H$2:$H522,"Inconclusive")</f>
        <v>0</v>
      </c>
      <c r="Y11" s="7">
        <f>COUNTIFS('APS Tubes'!$I$2:$I522,T11,'APS Tubes'!$H$2:$H522,"Null")</f>
        <v>0</v>
      </c>
      <c r="Z11" s="7">
        <f>COUNTIFS('APS Tubes'!$I$2:$I522,T11,'APS Tubes'!$H$2:$H522,"Invalid")</f>
        <v>0</v>
      </c>
      <c r="AA11" s="7">
        <f>COUNTIFS('APS Tubes'!$I$2:$I522,T11,'APS Tubes'!$H$2:$H522,"Fail")</f>
        <v>0</v>
      </c>
      <c r="AB11" s="7">
        <f t="shared" si="9"/>
        <v>1</v>
      </c>
      <c r="AC11" s="7" t="b">
        <f t="shared" si="10"/>
        <v>1</v>
      </c>
      <c r="AD11" s="36"/>
      <c r="AE11" s="36"/>
    </row>
    <row r="12">
      <c r="A12" s="294">
        <v>44733.0</v>
      </c>
      <c r="B12" s="7">
        <f>IFERROR(__xludf.DUMMYFUNCTION("COUNTUNIQUEIFS('APS Tubes'!$A$2:$A522,'APS Tubes'!$B$2:$B522,A12)"),2.0)</f>
        <v>2</v>
      </c>
      <c r="C12" s="7">
        <f>COUNTIFS('APS Tubes'!$B$2:$B522,A12,'APS Tubes'!$H$2:$H522,"Negative")</f>
        <v>2</v>
      </c>
      <c r="D12" s="7">
        <f>COUNTIFS('APS Tubes'!$B$2:$B522,$A12,'APS Tubes'!$H$2:$H522,"Positive")</f>
        <v>0</v>
      </c>
      <c r="E12" s="7">
        <f>COUNTIFS('APS Tubes'!$B$2:$B522,$A12,'APS Tubes'!$H$2:$H522,"Inconclusive")</f>
        <v>0</v>
      </c>
      <c r="F12" s="7">
        <f>COUNTIFS('APS Tubes'!$B$2:$B522,$A12,'APS Tubes'!$H$2:$H522,"Null")</f>
        <v>0</v>
      </c>
      <c r="G12" s="7">
        <f>COUNTIFS('APS Tubes'!$B$2:$B522,$A12,'APS Tubes'!$H$2:$H522,"Invalid")</f>
        <v>0</v>
      </c>
      <c r="H12" s="7">
        <f>COUNTIFS('APS Tubes'!$B$2:$B522,$A12,'APS Tubes'!$H$2:$H522,"Fail")</f>
        <v>0</v>
      </c>
      <c r="I12" s="7">
        <f t="shared" si="1"/>
        <v>2</v>
      </c>
      <c r="J12" s="7" t="b">
        <f t="shared" si="2"/>
        <v>1</v>
      </c>
      <c r="K12" s="7">
        <f t="shared" si="3"/>
        <v>2</v>
      </c>
      <c r="L12" s="7">
        <f t="shared" si="4"/>
        <v>0</v>
      </c>
      <c r="M12" s="7" t="b">
        <f t="shared" si="5"/>
        <v>1</v>
      </c>
      <c r="N12" s="7">
        <f>COUNTIFS('APS Tubes'!$B$2:$B522,A12,'APS Tubes'!Q$2:Q522,"&lt;=0")</f>
        <v>2</v>
      </c>
      <c r="O12" s="7" t="b">
        <f t="shared" si="6"/>
        <v>1</v>
      </c>
      <c r="P12" s="293">
        <f t="shared" si="7"/>
        <v>44733</v>
      </c>
      <c r="Q12" s="7">
        <f>IFERROR(__xludf.DUMMYFUNCTION("IF(COUNTUNIQUEIFS('APS Tubes'!$A$2:$A522,'APS Tubes'!$I$2:$I522,P12)&gt;0,COUNTUNIQUEIFS('APS Tubes'!$A$2:$A522,'APS Tubes'!$I$2:$I522,P12),IFERROR(0/0))"),2.0)</f>
        <v>2</v>
      </c>
      <c r="R12" s="7" t="b">
        <f t="shared" si="8"/>
        <v>1</v>
      </c>
      <c r="S12" s="279"/>
      <c r="T12" s="36">
        <v>44760.0</v>
      </c>
      <c r="U12" s="7">
        <f>IFERROR(__xludf.DUMMYFUNCTION("COUNTUNIQUEIFS('APS Tubes'!$A$2:$A522,'APS Tubes'!$I$2:$I522,T12)"),1.0)</f>
        <v>1</v>
      </c>
      <c r="V12" s="7">
        <f>COUNTIFS('APS Tubes'!$I$2:$I522,T12,'APS Tubes'!$H$2:$H522,"Negative")</f>
        <v>1</v>
      </c>
      <c r="W12" s="7">
        <f>COUNTIFS('APS Tubes'!$I$2:$I522,T12,'APS Tubes'!$H$2:$H522,"Positive")</f>
        <v>0</v>
      </c>
      <c r="X12" s="7">
        <f>COUNTIFS('APS Tubes'!$I$2:$I522,T12,'APS Tubes'!$H$2:$H522,"Inconclusive")</f>
        <v>0</v>
      </c>
      <c r="Y12" s="7">
        <f>COUNTIFS('APS Tubes'!$I$2:$I522,T12,'APS Tubes'!$H$2:$H522,"Null")</f>
        <v>0</v>
      </c>
      <c r="Z12" s="7">
        <f>COUNTIFS('APS Tubes'!$I$2:$I522,T12,'APS Tubes'!$H$2:$H522,"Invalid")</f>
        <v>0</v>
      </c>
      <c r="AA12" s="7">
        <f>COUNTIFS('APS Tubes'!$I$2:$I522,T12,'APS Tubes'!$H$2:$H522,"Fail")</f>
        <v>0</v>
      </c>
      <c r="AB12" s="7">
        <f t="shared" si="9"/>
        <v>1</v>
      </c>
      <c r="AC12" s="7" t="b">
        <f t="shared" si="10"/>
        <v>1</v>
      </c>
      <c r="AD12" s="36"/>
      <c r="AE12" s="36"/>
    </row>
    <row r="13">
      <c r="A13" s="294">
        <v>44739.0</v>
      </c>
      <c r="B13" s="7">
        <f>IFERROR(__xludf.DUMMYFUNCTION("COUNTUNIQUEIFS('APS Tubes'!$A$2:$A522,'APS Tubes'!$B$2:$B522,A13)"),1.0)</f>
        <v>1</v>
      </c>
      <c r="C13" s="7">
        <f>COUNTIFS('APS Tubes'!$B$2:$B522,A13,'APS Tubes'!$H$2:$H522,"Negative")</f>
        <v>1</v>
      </c>
      <c r="D13" s="7">
        <f>COUNTIFS('APS Tubes'!$B$2:$B522,$A13,'APS Tubes'!$H$2:$H522,"Positive")</f>
        <v>0</v>
      </c>
      <c r="E13" s="7">
        <f>COUNTIFS('APS Tubes'!$B$2:$B522,$A13,'APS Tubes'!$H$2:$H522,"Inconclusive")</f>
        <v>0</v>
      </c>
      <c r="F13" s="7">
        <f>COUNTIFS('APS Tubes'!$B$2:$B522,$A13,'APS Tubes'!$H$2:$H522,"Null")</f>
        <v>0</v>
      </c>
      <c r="G13" s="7">
        <f>COUNTIFS('APS Tubes'!$B$2:$B522,$A13,'APS Tubes'!$H$2:$H522,"Invalid")</f>
        <v>0</v>
      </c>
      <c r="H13" s="7">
        <f>COUNTIFS('APS Tubes'!$B$2:$B522,$A13,'APS Tubes'!$H$2:$H522,"Fail")</f>
        <v>0</v>
      </c>
      <c r="I13" s="7">
        <f t="shared" si="1"/>
        <v>1</v>
      </c>
      <c r="J13" s="7" t="b">
        <f t="shared" si="2"/>
        <v>1</v>
      </c>
      <c r="K13" s="7">
        <f t="shared" si="3"/>
        <v>1</v>
      </c>
      <c r="L13" s="7">
        <f t="shared" si="4"/>
        <v>0</v>
      </c>
      <c r="M13" s="7" t="b">
        <f t="shared" si="5"/>
        <v>1</v>
      </c>
      <c r="N13" s="7">
        <f>COUNTIFS('APS Tubes'!$B$2:$B522,A13,'APS Tubes'!Q$2:Q522,"&lt;=0")</f>
        <v>1</v>
      </c>
      <c r="O13" s="7" t="b">
        <f t="shared" si="6"/>
        <v>1</v>
      </c>
      <c r="P13" s="293">
        <f t="shared" si="7"/>
        <v>44739</v>
      </c>
      <c r="Q13" s="7">
        <f>IFERROR(__xludf.DUMMYFUNCTION("IF(COUNTUNIQUEIFS('APS Tubes'!$A$2:$A522,'APS Tubes'!$I$2:$I522,P13)&gt;0,COUNTUNIQUEIFS('APS Tubes'!$A$2:$A522,'APS Tubes'!$I$2:$I522,P13),IFERROR(0/0))"),1.0)</f>
        <v>1</v>
      </c>
      <c r="R13" s="7" t="b">
        <f t="shared" si="8"/>
        <v>1</v>
      </c>
      <c r="S13" s="279"/>
      <c r="T13" s="36">
        <v>44767.0</v>
      </c>
      <c r="U13" s="7">
        <f>IFERROR(__xludf.DUMMYFUNCTION("COUNTUNIQUEIFS('APS Tubes'!$A$2:$A522,'APS Tubes'!$I$2:$I522,T13)"),3.0)</f>
        <v>3</v>
      </c>
      <c r="V13" s="7">
        <f>COUNTIFS('APS Tubes'!$I$2:$I522,T13,'APS Tubes'!$H$2:$H522,"Negative")</f>
        <v>3</v>
      </c>
      <c r="W13" s="7">
        <f>COUNTIFS('APS Tubes'!$I$2:$I522,T13,'APS Tubes'!$H$2:$H522,"Positive")</f>
        <v>0</v>
      </c>
      <c r="X13" s="7">
        <f>COUNTIFS('APS Tubes'!$I$2:$I522,T13,'APS Tubes'!$H$2:$H522,"Inconclusive")</f>
        <v>0</v>
      </c>
      <c r="Y13" s="7">
        <f>COUNTIFS('APS Tubes'!$I$2:$I522,T13,'APS Tubes'!$H$2:$H522,"Null")</f>
        <v>0</v>
      </c>
      <c r="Z13" s="7">
        <f>COUNTIFS('APS Tubes'!$I$2:$I522,T13,'APS Tubes'!$H$2:$H522,"Invalid")</f>
        <v>0</v>
      </c>
      <c r="AA13" s="7">
        <f>COUNTIFS('APS Tubes'!$I$2:$I522,T13,'APS Tubes'!$H$2:$H522,"Fail")</f>
        <v>0</v>
      </c>
      <c r="AB13" s="7">
        <f t="shared" si="9"/>
        <v>3</v>
      </c>
      <c r="AC13" s="7" t="b">
        <f t="shared" si="10"/>
        <v>1</v>
      </c>
      <c r="AD13" s="36"/>
      <c r="AE13" s="36"/>
    </row>
    <row r="14">
      <c r="A14" s="294">
        <v>44753.0</v>
      </c>
      <c r="B14" s="7">
        <f>IFERROR(__xludf.DUMMYFUNCTION("COUNTUNIQUEIFS('APS Tubes'!$A$2:$A522,'APS Tubes'!$B$2:$B522,A14)"),1.0)</f>
        <v>1</v>
      </c>
      <c r="C14" s="7">
        <f>COUNTIFS('APS Tubes'!$B$2:$B522,A14,'APS Tubes'!$H$2:$H522,"Negative")</f>
        <v>1</v>
      </c>
      <c r="D14" s="7">
        <f>COUNTIFS('APS Tubes'!$B$2:$B522,$A14,'APS Tubes'!$H$2:$H522,"Positive")</f>
        <v>0</v>
      </c>
      <c r="E14" s="7">
        <f>COUNTIFS('APS Tubes'!$B$2:$B522,$A14,'APS Tubes'!$H$2:$H522,"Inconclusive")</f>
        <v>0</v>
      </c>
      <c r="F14" s="7">
        <f>COUNTIFS('APS Tubes'!$B$2:$B522,$A14,'APS Tubes'!$H$2:$H522,"Null")</f>
        <v>0</v>
      </c>
      <c r="G14" s="7">
        <f>COUNTIFS('APS Tubes'!$B$2:$B522,$A14,'APS Tubes'!$H$2:$H522,"Invalid")</f>
        <v>0</v>
      </c>
      <c r="H14" s="7">
        <f>COUNTIFS('APS Tubes'!$B$2:$B522,$A14,'APS Tubes'!$H$2:$H522,"Fail")</f>
        <v>0</v>
      </c>
      <c r="I14" s="7">
        <f t="shared" si="1"/>
        <v>1</v>
      </c>
      <c r="J14" s="7" t="b">
        <f t="shared" si="2"/>
        <v>1</v>
      </c>
      <c r="K14" s="7">
        <f t="shared" si="3"/>
        <v>1</v>
      </c>
      <c r="L14" s="7">
        <f t="shared" si="4"/>
        <v>0</v>
      </c>
      <c r="M14" s="7" t="b">
        <f t="shared" si="5"/>
        <v>1</v>
      </c>
      <c r="N14" s="7">
        <f>COUNTIFS('APS Tubes'!$B$2:$B522,A14,'APS Tubes'!Q$2:Q522,"&lt;=0")</f>
        <v>1</v>
      </c>
      <c r="O14" s="7" t="b">
        <f t="shared" si="6"/>
        <v>1</v>
      </c>
      <c r="P14" s="293">
        <f t="shared" si="7"/>
        <v>44753</v>
      </c>
      <c r="Q14" s="7">
        <f>IFERROR(__xludf.DUMMYFUNCTION("IF(COUNTUNIQUEIFS('APS Tubes'!$A$2:$A522,'APS Tubes'!$I$2:$I522,P14)&gt;0,COUNTUNIQUEIFS('APS Tubes'!$A$2:$A522,'APS Tubes'!$I$2:$I522,P14),IFERROR(0/0))"),1.0)</f>
        <v>1</v>
      </c>
      <c r="R14" s="7" t="b">
        <f t="shared" si="8"/>
        <v>1</v>
      </c>
      <c r="S14" s="279"/>
      <c r="T14" s="36">
        <v>44816.0</v>
      </c>
      <c r="U14" s="7">
        <f>IFERROR(__xludf.DUMMYFUNCTION("COUNTUNIQUEIFS('APS Tubes'!$A$2:$A522,'APS Tubes'!$I$2:$I522,T14)"),2.0)</f>
        <v>2</v>
      </c>
      <c r="V14" s="7">
        <f>COUNTIFS('APS Tubes'!$I$2:$I522,T14,'APS Tubes'!$H$2:$H522,"Negative")</f>
        <v>2</v>
      </c>
      <c r="W14" s="7">
        <f>COUNTIFS('APS Tubes'!$I$2:$I522,T14,'APS Tubes'!$H$2:$H522,"Positive")</f>
        <v>0</v>
      </c>
      <c r="X14" s="7">
        <f>COUNTIFS('APS Tubes'!$I$2:$I522,T14,'APS Tubes'!$H$2:$H522,"Inconclusive")</f>
        <v>0</v>
      </c>
      <c r="Y14" s="7">
        <f>COUNTIFS('APS Tubes'!$I$2:$I522,T14,'APS Tubes'!$H$2:$H522,"Null")</f>
        <v>0</v>
      </c>
      <c r="Z14" s="7">
        <f>COUNTIFS('APS Tubes'!$I$2:$I522,T14,'APS Tubes'!$H$2:$H522,"Invalid")</f>
        <v>0</v>
      </c>
      <c r="AA14" s="7">
        <f>COUNTIFS('APS Tubes'!$I$2:$I522,T14,'APS Tubes'!$H$2:$H522,"Fail")</f>
        <v>0</v>
      </c>
      <c r="AB14" s="7">
        <f t="shared" si="9"/>
        <v>2</v>
      </c>
      <c r="AC14" s="7" t="b">
        <f t="shared" si="10"/>
        <v>1</v>
      </c>
      <c r="AD14" s="36"/>
      <c r="AE14" s="36"/>
    </row>
    <row r="15">
      <c r="A15" s="294">
        <v>44760.0</v>
      </c>
      <c r="B15" s="7">
        <f>IFERROR(__xludf.DUMMYFUNCTION("COUNTUNIQUEIFS('APS Tubes'!$A$2:$A522,'APS Tubes'!$B$2:$B522,A15)"),1.0)</f>
        <v>1</v>
      </c>
      <c r="C15" s="7">
        <f>COUNTIFS('APS Tubes'!$B$2:$B522,A15,'APS Tubes'!$H$2:$H522,"Negative")</f>
        <v>1</v>
      </c>
      <c r="D15" s="7">
        <f>COUNTIFS('APS Tubes'!$B$2:$B522,$A15,'APS Tubes'!$H$2:$H522,"Positive")</f>
        <v>0</v>
      </c>
      <c r="E15" s="7">
        <f>COUNTIFS('APS Tubes'!$B$2:$B522,$A15,'APS Tubes'!$H$2:$H522,"Inconclusive")</f>
        <v>0</v>
      </c>
      <c r="F15" s="7">
        <f>COUNTIFS('APS Tubes'!$B$2:$B522,$A15,'APS Tubes'!$H$2:$H522,"Null")</f>
        <v>0</v>
      </c>
      <c r="G15" s="7">
        <f>COUNTIFS('APS Tubes'!$B$2:$B522,$A15,'APS Tubes'!$H$2:$H522,"Invalid")</f>
        <v>0</v>
      </c>
      <c r="H15" s="7">
        <f>COUNTIFS('APS Tubes'!$B$2:$B522,$A15,'APS Tubes'!$H$2:$H522,"Fail")</f>
        <v>0</v>
      </c>
      <c r="I15" s="7">
        <f t="shared" si="1"/>
        <v>1</v>
      </c>
      <c r="J15" s="7" t="b">
        <f t="shared" si="2"/>
        <v>1</v>
      </c>
      <c r="K15" s="7">
        <f t="shared" si="3"/>
        <v>1</v>
      </c>
      <c r="L15" s="7">
        <f t="shared" si="4"/>
        <v>0</v>
      </c>
      <c r="M15" s="7" t="b">
        <f t="shared" si="5"/>
        <v>1</v>
      </c>
      <c r="N15" s="7">
        <f>COUNTIFS('APS Tubes'!$B$2:$B522,A15,'APS Tubes'!Q$2:Q522,"&lt;=0")</f>
        <v>1</v>
      </c>
      <c r="O15" s="7" t="b">
        <f t="shared" si="6"/>
        <v>1</v>
      </c>
      <c r="P15" s="293">
        <f t="shared" si="7"/>
        <v>44760</v>
      </c>
      <c r="Q15" s="7">
        <f>IFERROR(__xludf.DUMMYFUNCTION("IF(COUNTUNIQUEIFS('APS Tubes'!$A$2:$A522,'APS Tubes'!$I$2:$I522,P15)&gt;0,COUNTUNIQUEIFS('APS Tubes'!$A$2:$A522,'APS Tubes'!$I$2:$I522,P15),IFERROR(0/0))"),1.0)</f>
        <v>1</v>
      </c>
      <c r="R15" s="7" t="b">
        <f t="shared" si="8"/>
        <v>1</v>
      </c>
      <c r="S15" s="279"/>
      <c r="T15" s="36">
        <v>44837.0</v>
      </c>
      <c r="U15" s="7">
        <f>IFERROR(__xludf.DUMMYFUNCTION("COUNTUNIQUEIFS('APS Tubes'!$A$2:$A522,'APS Tubes'!$I$2:$I522,T15)"),1.0)</f>
        <v>1</v>
      </c>
      <c r="V15" s="7">
        <f>COUNTIFS('APS Tubes'!$I$2:$I522,T15,'APS Tubes'!$H$2:$H522,"Negative")</f>
        <v>1</v>
      </c>
      <c r="W15" s="7">
        <f>COUNTIFS('APS Tubes'!$I$2:$I522,T15,'APS Tubes'!$H$2:$H522,"Positive")</f>
        <v>0</v>
      </c>
      <c r="X15" s="7">
        <f>COUNTIFS('APS Tubes'!$I$2:$I522,T15,'APS Tubes'!$H$2:$H522,"Inconclusive")</f>
        <v>0</v>
      </c>
      <c r="Y15" s="7">
        <f>COUNTIFS('APS Tubes'!$I$2:$I522,T15,'APS Tubes'!$H$2:$H522,"Null")</f>
        <v>0</v>
      </c>
      <c r="Z15" s="7">
        <f>COUNTIFS('APS Tubes'!$I$2:$I522,T15,'APS Tubes'!$H$2:$H522,"Invalid")</f>
        <v>0</v>
      </c>
      <c r="AA15" s="7">
        <f>COUNTIFS('APS Tubes'!$I$2:$I522,T15,'APS Tubes'!$H$2:$H522,"Fail")</f>
        <v>0</v>
      </c>
      <c r="AB15" s="7">
        <f t="shared" si="9"/>
        <v>1</v>
      </c>
      <c r="AC15" s="7" t="b">
        <f t="shared" si="10"/>
        <v>1</v>
      </c>
      <c r="AD15" s="36"/>
      <c r="AE15" s="36"/>
    </row>
    <row r="16">
      <c r="A16" s="294">
        <v>44767.0</v>
      </c>
      <c r="B16" s="7">
        <f>IFERROR(__xludf.DUMMYFUNCTION("COUNTUNIQUEIFS('APS Tubes'!$A$2:$A522,'APS Tubes'!$B$2:$B522,A16)"),3.0)</f>
        <v>3</v>
      </c>
      <c r="C16" s="7">
        <f>COUNTIFS('APS Tubes'!$B$2:$B522,A16,'APS Tubes'!$H$2:$H522,"Negative")</f>
        <v>3</v>
      </c>
      <c r="D16" s="7">
        <f>COUNTIFS('APS Tubes'!$B$2:$B522,$A16,'APS Tubes'!$H$2:$H522,"Positive")</f>
        <v>0</v>
      </c>
      <c r="E16" s="7">
        <f>COUNTIFS('APS Tubes'!$B$2:$B522,$A16,'APS Tubes'!$H$2:$H522,"Inconclusive")</f>
        <v>0</v>
      </c>
      <c r="F16" s="7">
        <f>COUNTIFS('APS Tubes'!$B$2:$B522,$A16,'APS Tubes'!$H$2:$H522,"Null")</f>
        <v>0</v>
      </c>
      <c r="G16" s="7">
        <f>COUNTIFS('APS Tubes'!$B$2:$B522,$A16,'APS Tubes'!$H$2:$H522,"Invalid")</f>
        <v>0</v>
      </c>
      <c r="H16" s="7">
        <f>COUNTIFS('APS Tubes'!$B$2:$B522,$A16,'APS Tubes'!$H$2:$H522,"Fail")</f>
        <v>0</v>
      </c>
      <c r="I16" s="7">
        <f t="shared" si="1"/>
        <v>3</v>
      </c>
      <c r="J16" s="7" t="b">
        <f t="shared" si="2"/>
        <v>1</v>
      </c>
      <c r="K16" s="7">
        <f t="shared" si="3"/>
        <v>3</v>
      </c>
      <c r="L16" s="7">
        <f t="shared" si="4"/>
        <v>0</v>
      </c>
      <c r="M16" s="7" t="b">
        <f t="shared" si="5"/>
        <v>1</v>
      </c>
      <c r="N16" s="7">
        <f>COUNTIFS('APS Tubes'!$B$2:$B522,A16,'APS Tubes'!Q$2:Q522,"&lt;=0")</f>
        <v>3</v>
      </c>
      <c r="O16" s="7" t="b">
        <f t="shared" si="6"/>
        <v>1</v>
      </c>
      <c r="P16" s="293">
        <f t="shared" si="7"/>
        <v>44767</v>
      </c>
      <c r="Q16" s="7">
        <f>IFERROR(__xludf.DUMMYFUNCTION("IF(COUNTUNIQUEIFS('APS Tubes'!$A$2:$A522,'APS Tubes'!$I$2:$I522,P16)&gt;0,COUNTUNIQUEIFS('APS Tubes'!$A$2:$A522,'APS Tubes'!$I$2:$I522,P16),IFERROR(0/0))"),3.0)</f>
        <v>3</v>
      </c>
      <c r="R16" s="7" t="b">
        <f t="shared" si="8"/>
        <v>1</v>
      </c>
      <c r="S16" s="279"/>
      <c r="T16" s="36"/>
      <c r="U16" s="7"/>
      <c r="V16" s="7"/>
      <c r="W16" s="7"/>
      <c r="X16" s="7"/>
      <c r="Y16" s="7"/>
      <c r="Z16" s="7"/>
      <c r="AA16" s="7"/>
      <c r="AB16" s="7"/>
      <c r="AC16" s="7"/>
      <c r="AD16" s="36"/>
      <c r="AE16" s="36"/>
    </row>
    <row r="17">
      <c r="A17" s="294">
        <v>44774.0</v>
      </c>
      <c r="B17" s="7">
        <f>IFERROR(__xludf.DUMMYFUNCTION("COUNTUNIQUEIFS('APS Tubes'!$A$2:$A522,'APS Tubes'!$B$2:$B522,A17)"),1.0)</f>
        <v>1</v>
      </c>
      <c r="C17" s="7">
        <f>COUNTIFS('APS Tubes'!$B$2:$B522,A17,'APS Tubes'!$H$2:$H522,"Negative")</f>
        <v>1</v>
      </c>
      <c r="D17" s="7">
        <f>COUNTIFS('APS Tubes'!$B$2:$B522,$A17,'APS Tubes'!$H$2:$H522,"Positive")</f>
        <v>0</v>
      </c>
      <c r="E17" s="7">
        <f>COUNTIFS('APS Tubes'!$B$2:$B522,$A17,'APS Tubes'!$H$2:$H522,"Inconclusive")</f>
        <v>0</v>
      </c>
      <c r="F17" s="7">
        <f>COUNTIFS('APS Tubes'!$B$2:$B522,$A17,'APS Tubes'!$H$2:$H522,"Null")</f>
        <v>0</v>
      </c>
      <c r="G17" s="7">
        <f>COUNTIFS('APS Tubes'!$B$2:$B522,$A17,'APS Tubes'!$H$2:$H522,"Invalid")</f>
        <v>0</v>
      </c>
      <c r="H17" s="7">
        <f>COUNTIFS('APS Tubes'!$B$2:$B522,$A17,'APS Tubes'!$H$2:$H522,"Fail")</f>
        <v>0</v>
      </c>
      <c r="I17" s="7">
        <f t="shared" si="1"/>
        <v>1</v>
      </c>
      <c r="J17" s="7" t="b">
        <f t="shared" si="2"/>
        <v>1</v>
      </c>
      <c r="K17" s="7" t="str">
        <f t="shared" si="3"/>
        <v/>
      </c>
      <c r="L17" s="7" t="str">
        <f t="shared" si="4"/>
        <v/>
      </c>
      <c r="M17" s="7" t="str">
        <f t="shared" si="5"/>
        <v/>
      </c>
      <c r="N17" s="7">
        <f>COUNTIFS('APS Tubes'!$B$2:$B522,A17,'APS Tubes'!Q$2:Q522,"&lt;=0")</f>
        <v>0</v>
      </c>
      <c r="O17" s="7" t="str">
        <f t="shared" si="6"/>
        <v/>
      </c>
      <c r="P17" s="293" t="str">
        <f t="shared" si="7"/>
        <v/>
      </c>
      <c r="Q17" s="7" t="str">
        <f>IFERROR(__xludf.DUMMYFUNCTION("IF(COUNTUNIQUEIFS('APS Tubes'!$A$2:$A522,'APS Tubes'!$I$2:$I522,P17)&gt;0,COUNTUNIQUEIFS('APS Tubes'!$A$2:$A522,'APS Tubes'!$I$2:$I522,P17),IFERROR(0/0))"),"")</f>
        <v/>
      </c>
      <c r="R17" s="7" t="str">
        <f t="shared" si="8"/>
        <v/>
      </c>
      <c r="S17" s="279"/>
      <c r="T17" s="36"/>
      <c r="U17" s="7"/>
      <c r="V17" s="7"/>
      <c r="W17" s="7"/>
      <c r="X17" s="7"/>
      <c r="Y17" s="7"/>
      <c r="Z17" s="7"/>
      <c r="AA17" s="7"/>
      <c r="AB17" s="7"/>
      <c r="AC17" s="7"/>
      <c r="AD17" s="36"/>
      <c r="AE17" s="36"/>
    </row>
    <row r="18">
      <c r="A18" s="294">
        <v>44816.0</v>
      </c>
      <c r="B18" s="7">
        <f>IFERROR(__xludf.DUMMYFUNCTION("COUNTUNIQUEIFS('APS Tubes'!$A$2:$A522,'APS Tubes'!$B$2:$B522,A18)"),1.0)</f>
        <v>1</v>
      </c>
      <c r="C18" s="7">
        <f>COUNTIFS('APS Tubes'!$B$2:$B522,A18,'APS Tubes'!$H$2:$H522,"Negative")</f>
        <v>1</v>
      </c>
      <c r="D18" s="7">
        <f>COUNTIFS('APS Tubes'!$B$2:$B522,$A18,'APS Tubes'!$H$2:$H522,"Positive")</f>
        <v>0</v>
      </c>
      <c r="E18" s="7">
        <f>COUNTIFS('APS Tubes'!$B$2:$B522,$A18,'APS Tubes'!$H$2:$H522,"Inconclusive")</f>
        <v>0</v>
      </c>
      <c r="F18" s="7">
        <f>COUNTIFS('APS Tubes'!$B$2:$B522,$A18,'APS Tubes'!$H$2:$H522,"Null")</f>
        <v>0</v>
      </c>
      <c r="G18" s="7">
        <f>COUNTIFS('APS Tubes'!$B$2:$B522,$A18,'APS Tubes'!$H$2:$H522,"Invalid")</f>
        <v>0</v>
      </c>
      <c r="H18" s="7">
        <f>COUNTIFS('APS Tubes'!$B$2:$B522,$A18,'APS Tubes'!$H$2:$H522,"Fail")</f>
        <v>0</v>
      </c>
      <c r="I18" s="7">
        <f t="shared" si="1"/>
        <v>1</v>
      </c>
      <c r="J18" s="7" t="b">
        <f t="shared" si="2"/>
        <v>1</v>
      </c>
      <c r="K18" s="7">
        <f t="shared" si="3"/>
        <v>2</v>
      </c>
      <c r="L18" s="7">
        <f t="shared" si="4"/>
        <v>1</v>
      </c>
      <c r="M18" s="7" t="str">
        <f t="shared" si="5"/>
        <v/>
      </c>
      <c r="N18" s="7">
        <f>COUNTIFS('APS Tubes'!$B$2:$B522,A18,'APS Tubes'!Q$2:Q522,"&lt;=0")</f>
        <v>1</v>
      </c>
      <c r="O18" s="7" t="b">
        <f t="shared" si="6"/>
        <v>1</v>
      </c>
      <c r="P18" s="293">
        <f t="shared" si="7"/>
        <v>44816</v>
      </c>
      <c r="Q18" s="7">
        <f>IFERROR(__xludf.DUMMYFUNCTION("IF(COUNTUNIQUEIFS('APS Tubes'!$A$2:$A522,'APS Tubes'!$I$2:$I522,P18)&gt;0,COUNTUNIQUEIFS('APS Tubes'!$A$2:$A522,'APS Tubes'!$I$2:$I522,P18),IFERROR(0/0))"),2.0)</f>
        <v>2</v>
      </c>
      <c r="R18" s="7" t="str">
        <f t="shared" si="8"/>
        <v/>
      </c>
      <c r="S18" s="279"/>
      <c r="T18" s="36"/>
      <c r="U18" s="7"/>
      <c r="V18" s="7"/>
      <c r="W18" s="7"/>
      <c r="X18" s="7"/>
      <c r="Y18" s="7"/>
      <c r="Z18" s="7"/>
      <c r="AA18" s="7"/>
      <c r="AB18" s="7"/>
      <c r="AC18" s="7"/>
      <c r="AD18" s="36"/>
      <c r="AE18" s="36"/>
    </row>
    <row r="19">
      <c r="A19" s="294">
        <v>44837.0</v>
      </c>
      <c r="B19" s="7">
        <f>IFERROR(__xludf.DUMMYFUNCTION("COUNTUNIQUEIFS('APS Tubes'!$A$2:$A522,'APS Tubes'!$B$2:$B522,A19)"),1.0)</f>
        <v>1</v>
      </c>
      <c r="C19" s="7">
        <f>COUNTIFS('APS Tubes'!$B$2:$B522,A19,'APS Tubes'!$H$2:$H522,"Negative")</f>
        <v>1</v>
      </c>
      <c r="D19" s="7">
        <f>COUNTIFS('APS Tubes'!$B$2:$B522,$A19,'APS Tubes'!$H$2:$H522,"Positive")</f>
        <v>0</v>
      </c>
      <c r="E19" s="7">
        <f>COUNTIFS('APS Tubes'!$B$2:$B522,$A19,'APS Tubes'!$H$2:$H522,"Inconclusive")</f>
        <v>0</v>
      </c>
      <c r="F19" s="7">
        <f>COUNTIFS('APS Tubes'!$B$2:$B522,$A19,'APS Tubes'!$H$2:$H522,"Null")</f>
        <v>0</v>
      </c>
      <c r="G19" s="7">
        <f>COUNTIFS('APS Tubes'!$B$2:$B522,$A19,'APS Tubes'!$H$2:$H522,"Invalid")</f>
        <v>0</v>
      </c>
      <c r="H19" s="7">
        <f>COUNTIFS('APS Tubes'!$B$2:$B522,$A19,'APS Tubes'!$H$2:$H522,"Fail")</f>
        <v>0</v>
      </c>
      <c r="I19" s="7">
        <f t="shared" si="1"/>
        <v>1</v>
      </c>
      <c r="J19" s="7" t="b">
        <f t="shared" si="2"/>
        <v>1</v>
      </c>
      <c r="K19" s="7">
        <f t="shared" si="3"/>
        <v>1</v>
      </c>
      <c r="L19" s="7">
        <f t="shared" si="4"/>
        <v>0</v>
      </c>
      <c r="M19" s="7" t="b">
        <f t="shared" si="5"/>
        <v>1</v>
      </c>
      <c r="N19" s="7">
        <f>COUNTIFS('APS Tubes'!$B$2:$B522,A19,'APS Tubes'!Q$2:Q522,"&lt;=0")</f>
        <v>1</v>
      </c>
      <c r="O19" s="7" t="b">
        <f t="shared" si="6"/>
        <v>1</v>
      </c>
      <c r="P19" s="293">
        <f t="shared" si="7"/>
        <v>44837</v>
      </c>
      <c r="Q19" s="7">
        <f>IFERROR(__xludf.DUMMYFUNCTION("IF(COUNTUNIQUEIFS('APS Tubes'!$A$2:$A522,'APS Tubes'!$I$2:$I522,P19)&gt;0,COUNTUNIQUEIFS('APS Tubes'!$A$2:$A522,'APS Tubes'!$I$2:$I522,P19),IFERROR(0/0))"),1.0)</f>
        <v>1</v>
      </c>
      <c r="R19" s="7" t="b">
        <f t="shared" si="8"/>
        <v>1</v>
      </c>
      <c r="S19" s="279"/>
      <c r="T19" s="36"/>
      <c r="U19" s="7"/>
      <c r="V19" s="7"/>
      <c r="W19" s="7"/>
      <c r="X19" s="7"/>
      <c r="Y19" s="7"/>
      <c r="Z19" s="7"/>
      <c r="AA19" s="7"/>
      <c r="AB19" s="7"/>
      <c r="AC19" s="7"/>
      <c r="AD19" s="36"/>
      <c r="AE19" s="36"/>
    </row>
    <row r="20">
      <c r="A20" s="294"/>
      <c r="B20" s="7"/>
      <c r="C20" s="7"/>
      <c r="D20" s="7"/>
      <c r="E20" s="7"/>
      <c r="F20" s="7"/>
      <c r="G20" s="7"/>
      <c r="H20" s="7"/>
      <c r="I20" s="7"/>
      <c r="J20" s="7"/>
      <c r="K20" s="7"/>
      <c r="L20" s="7"/>
      <c r="M20" s="7"/>
      <c r="N20" s="7"/>
      <c r="O20" s="7"/>
      <c r="P20" s="293"/>
      <c r="Q20" s="7"/>
      <c r="R20" s="7"/>
      <c r="S20" s="279"/>
      <c r="T20" s="36"/>
      <c r="U20" s="7"/>
      <c r="V20" s="7"/>
      <c r="W20" s="7"/>
      <c r="X20" s="7"/>
      <c r="Y20" s="7"/>
      <c r="Z20" s="7"/>
      <c r="AA20" s="7"/>
      <c r="AB20" s="7"/>
      <c r="AC20" s="7"/>
      <c r="AD20" s="36"/>
      <c r="AE20" s="36"/>
    </row>
    <row r="21">
      <c r="A21" s="294"/>
      <c r="B21" s="7"/>
      <c r="C21" s="7"/>
      <c r="D21" s="7"/>
      <c r="E21" s="7"/>
      <c r="F21" s="7"/>
      <c r="G21" s="7"/>
      <c r="H21" s="7"/>
      <c r="I21" s="7"/>
      <c r="J21" s="7"/>
      <c r="K21" s="7"/>
      <c r="L21" s="7"/>
      <c r="M21" s="7"/>
      <c r="N21" s="7"/>
      <c r="O21" s="7"/>
      <c r="P21" s="293"/>
      <c r="Q21" s="7"/>
      <c r="R21" s="7"/>
      <c r="S21" s="279"/>
      <c r="T21" s="36"/>
      <c r="U21" s="7"/>
      <c r="V21" s="7"/>
      <c r="W21" s="7"/>
      <c r="X21" s="7"/>
      <c r="Y21" s="7"/>
      <c r="Z21" s="7"/>
      <c r="AA21" s="7"/>
      <c r="AB21" s="7"/>
      <c r="AC21" s="7"/>
      <c r="AD21" s="36"/>
      <c r="AE21" s="36"/>
    </row>
    <row r="22">
      <c r="A22" s="294"/>
      <c r="B22" s="7"/>
      <c r="C22" s="7"/>
      <c r="D22" s="7"/>
      <c r="E22" s="7"/>
      <c r="F22" s="7"/>
      <c r="G22" s="7"/>
      <c r="H22" s="7"/>
      <c r="I22" s="7"/>
      <c r="J22" s="7"/>
      <c r="K22" s="7"/>
      <c r="L22" s="7"/>
      <c r="M22" s="7"/>
      <c r="N22" s="7"/>
      <c r="O22" s="7"/>
      <c r="P22" s="293"/>
      <c r="Q22" s="7"/>
      <c r="R22" s="7"/>
      <c r="S22" s="279"/>
      <c r="T22" s="36"/>
      <c r="U22" s="7"/>
      <c r="V22" s="7"/>
      <c r="W22" s="7"/>
      <c r="X22" s="7"/>
      <c r="Y22" s="7"/>
      <c r="Z22" s="7"/>
      <c r="AA22" s="7"/>
      <c r="AB22" s="7"/>
      <c r="AC22" s="7"/>
      <c r="AD22" s="36"/>
      <c r="AE22" s="36"/>
    </row>
    <row r="23">
      <c r="A23" s="294"/>
      <c r="B23" s="7"/>
      <c r="C23" s="7"/>
      <c r="D23" s="7"/>
      <c r="E23" s="7"/>
      <c r="F23" s="7"/>
      <c r="G23" s="7"/>
      <c r="H23" s="7"/>
      <c r="I23" s="7"/>
      <c r="J23" s="7"/>
      <c r="K23" s="7"/>
      <c r="L23" s="7"/>
      <c r="M23" s="7"/>
      <c r="N23" s="7"/>
      <c r="O23" s="7"/>
      <c r="P23" s="293"/>
      <c r="Q23" s="7"/>
      <c r="R23" s="7"/>
      <c r="S23" s="279"/>
      <c r="T23" s="36"/>
      <c r="U23" s="7"/>
      <c r="V23" s="7"/>
      <c r="W23" s="7"/>
      <c r="X23" s="7"/>
      <c r="Y23" s="7"/>
      <c r="Z23" s="7"/>
      <c r="AA23" s="7"/>
      <c r="AB23" s="7"/>
      <c r="AC23" s="7"/>
      <c r="AD23" s="36"/>
      <c r="AE23" s="36"/>
    </row>
    <row r="24">
      <c r="A24" s="294"/>
      <c r="B24" s="7"/>
      <c r="C24" s="7"/>
      <c r="D24" s="7"/>
      <c r="E24" s="7"/>
      <c r="F24" s="7"/>
      <c r="G24" s="7"/>
      <c r="H24" s="7"/>
      <c r="I24" s="7"/>
      <c r="J24" s="7"/>
      <c r="K24" s="7"/>
      <c r="L24" s="7"/>
      <c r="M24" s="7"/>
      <c r="N24" s="7"/>
      <c r="O24" s="7"/>
      <c r="P24" s="293"/>
      <c r="Q24" s="7"/>
      <c r="R24" s="7"/>
      <c r="S24" s="279"/>
      <c r="T24" s="36"/>
      <c r="U24" s="7"/>
      <c r="V24" s="7"/>
      <c r="W24" s="7"/>
      <c r="X24" s="7"/>
      <c r="Y24" s="7"/>
      <c r="Z24" s="7"/>
      <c r="AA24" s="7"/>
      <c r="AB24" s="7"/>
      <c r="AC24" s="7"/>
      <c r="AD24" s="36"/>
      <c r="AE24" s="36"/>
    </row>
    <row r="25">
      <c r="A25" s="294"/>
      <c r="B25" s="7"/>
      <c r="C25" s="7"/>
      <c r="D25" s="7"/>
      <c r="E25" s="7"/>
      <c r="F25" s="7"/>
      <c r="G25" s="7"/>
      <c r="H25" s="7"/>
      <c r="I25" s="7"/>
      <c r="J25" s="7"/>
      <c r="K25" s="7"/>
      <c r="L25" s="7"/>
      <c r="M25" s="7"/>
      <c r="N25" s="7"/>
      <c r="O25" s="7"/>
      <c r="P25" s="293"/>
      <c r="Q25" s="7"/>
      <c r="R25" s="7"/>
      <c r="S25" s="279"/>
      <c r="T25" s="36"/>
      <c r="U25" s="7"/>
      <c r="V25" s="7"/>
      <c r="W25" s="7"/>
      <c r="X25" s="7"/>
      <c r="Y25" s="7"/>
      <c r="Z25" s="7"/>
      <c r="AA25" s="7"/>
      <c r="AB25" s="7"/>
      <c r="AC25" s="7"/>
      <c r="AD25" s="36"/>
      <c r="AE25" s="36"/>
    </row>
    <row r="26">
      <c r="A26" s="294"/>
      <c r="B26" s="7"/>
      <c r="C26" s="7"/>
      <c r="D26" s="7"/>
      <c r="E26" s="7"/>
      <c r="F26" s="7"/>
      <c r="G26" s="7"/>
      <c r="H26" s="7"/>
      <c r="I26" s="7"/>
      <c r="J26" s="7"/>
      <c r="K26" s="7"/>
      <c r="L26" s="7"/>
      <c r="M26" s="7"/>
      <c r="N26" s="7"/>
      <c r="O26" s="7"/>
      <c r="P26" s="293"/>
      <c r="Q26" s="7"/>
      <c r="R26" s="7"/>
      <c r="S26" s="279"/>
      <c r="T26" s="36"/>
      <c r="U26" s="7"/>
      <c r="V26" s="7"/>
      <c r="W26" s="7"/>
      <c r="X26" s="7"/>
      <c r="Y26" s="7"/>
      <c r="Z26" s="7"/>
      <c r="AA26" s="7"/>
      <c r="AB26" s="7"/>
      <c r="AC26" s="7"/>
      <c r="AD26" s="36"/>
      <c r="AE26" s="36"/>
    </row>
    <row r="27">
      <c r="A27" s="294"/>
      <c r="B27" s="7"/>
      <c r="C27" s="7"/>
      <c r="D27" s="7"/>
      <c r="E27" s="7"/>
      <c r="F27" s="7"/>
      <c r="G27" s="7"/>
      <c r="H27" s="7"/>
      <c r="I27" s="7"/>
      <c r="J27" s="7"/>
      <c r="K27" s="7"/>
      <c r="L27" s="7"/>
      <c r="M27" s="7"/>
      <c r="N27" s="7"/>
      <c r="O27" s="7"/>
      <c r="P27" s="293"/>
      <c r="Q27" s="7"/>
      <c r="R27" s="7"/>
      <c r="S27" s="279"/>
      <c r="T27" s="36"/>
      <c r="U27" s="7"/>
      <c r="V27" s="7"/>
      <c r="W27" s="7"/>
      <c r="X27" s="7"/>
      <c r="Y27" s="7"/>
      <c r="Z27" s="7"/>
      <c r="AA27" s="7"/>
      <c r="AB27" s="7"/>
      <c r="AC27" s="7"/>
      <c r="AD27" s="36"/>
      <c r="AE27" s="36"/>
    </row>
    <row r="28">
      <c r="A28" s="294"/>
      <c r="B28" s="7"/>
      <c r="C28" s="7"/>
      <c r="D28" s="7"/>
      <c r="E28" s="7"/>
      <c r="F28" s="7"/>
      <c r="G28" s="7"/>
      <c r="H28" s="7"/>
      <c r="I28" s="7"/>
      <c r="J28" s="7"/>
      <c r="K28" s="7"/>
      <c r="L28" s="7"/>
      <c r="M28" s="7"/>
      <c r="N28" s="7"/>
      <c r="O28" s="7"/>
      <c r="P28" s="293"/>
      <c r="Q28" s="7"/>
      <c r="R28" s="7"/>
      <c r="S28" s="279"/>
      <c r="T28" s="36"/>
      <c r="U28" s="7"/>
      <c r="V28" s="7"/>
      <c r="W28" s="7"/>
      <c r="X28" s="7"/>
      <c r="Y28" s="7"/>
      <c r="Z28" s="7"/>
      <c r="AA28" s="7"/>
      <c r="AB28" s="7"/>
      <c r="AC28" s="7"/>
      <c r="AD28" s="36"/>
      <c r="AE28" s="36"/>
    </row>
    <row r="29">
      <c r="A29" s="294"/>
      <c r="B29" s="7"/>
      <c r="C29" s="7"/>
      <c r="D29" s="7"/>
      <c r="E29" s="7"/>
      <c r="F29" s="7"/>
      <c r="G29" s="7"/>
      <c r="H29" s="7"/>
      <c r="I29" s="7"/>
      <c r="J29" s="7"/>
      <c r="K29" s="7"/>
      <c r="L29" s="7"/>
      <c r="M29" s="7"/>
      <c r="N29" s="7"/>
      <c r="O29" s="7"/>
      <c r="P29" s="293"/>
      <c r="Q29" s="7"/>
      <c r="R29" s="7"/>
      <c r="S29" s="279"/>
      <c r="T29" s="36"/>
      <c r="U29" s="7"/>
      <c r="V29" s="7"/>
      <c r="W29" s="7"/>
      <c r="X29" s="7"/>
      <c r="Y29" s="7"/>
      <c r="Z29" s="7"/>
      <c r="AA29" s="7"/>
      <c r="AB29" s="7"/>
      <c r="AC29" s="7"/>
      <c r="AD29" s="36"/>
      <c r="AE29" s="36"/>
    </row>
    <row r="30">
      <c r="A30" s="294"/>
      <c r="B30" s="7"/>
      <c r="C30" s="7"/>
      <c r="D30" s="7"/>
      <c r="E30" s="7"/>
      <c r="F30" s="7"/>
      <c r="G30" s="7"/>
      <c r="H30" s="7"/>
      <c r="I30" s="7"/>
      <c r="J30" s="7"/>
      <c r="K30" s="7"/>
      <c r="L30" s="7"/>
      <c r="M30" s="7"/>
      <c r="N30" s="7"/>
      <c r="O30" s="7"/>
      <c r="P30" s="293"/>
      <c r="Q30" s="7"/>
      <c r="R30" s="7"/>
      <c r="S30" s="279"/>
      <c r="T30" s="36"/>
      <c r="U30" s="7"/>
      <c r="V30" s="7"/>
      <c r="W30" s="7"/>
      <c r="X30" s="7"/>
      <c r="Y30" s="7"/>
      <c r="Z30" s="7"/>
      <c r="AA30" s="7"/>
      <c r="AB30" s="7"/>
      <c r="AC30" s="7"/>
      <c r="AD30" s="36"/>
      <c r="AE30" s="36"/>
    </row>
    <row r="31">
      <c r="A31" s="294"/>
      <c r="B31" s="7"/>
      <c r="C31" s="7"/>
      <c r="D31" s="7"/>
      <c r="E31" s="7"/>
      <c r="F31" s="7"/>
      <c r="G31" s="7"/>
      <c r="H31" s="7"/>
      <c r="I31" s="7"/>
      <c r="J31" s="7"/>
      <c r="K31" s="7"/>
      <c r="L31" s="7"/>
      <c r="M31" s="7"/>
      <c r="N31" s="7"/>
      <c r="O31" s="7"/>
      <c r="P31" s="293"/>
      <c r="Q31" s="7"/>
      <c r="R31" s="7"/>
      <c r="S31" s="279"/>
      <c r="T31" s="36"/>
      <c r="U31" s="7"/>
      <c r="V31" s="7"/>
      <c r="W31" s="7"/>
      <c r="X31" s="7"/>
      <c r="Y31" s="7"/>
      <c r="Z31" s="7"/>
      <c r="AA31" s="7"/>
      <c r="AB31" s="7"/>
      <c r="AC31" s="7"/>
      <c r="AD31" s="36"/>
      <c r="AE31" s="36"/>
    </row>
    <row r="32">
      <c r="A32" s="294"/>
      <c r="B32" s="7"/>
      <c r="C32" s="7"/>
      <c r="D32" s="7"/>
      <c r="E32" s="7"/>
      <c r="F32" s="7"/>
      <c r="G32" s="7"/>
      <c r="H32" s="7"/>
      <c r="I32" s="7"/>
      <c r="J32" s="7"/>
      <c r="K32" s="7"/>
      <c r="L32" s="7"/>
      <c r="M32" s="7"/>
      <c r="N32" s="7"/>
      <c r="O32" s="7"/>
      <c r="P32" s="293"/>
      <c r="Q32" s="7"/>
      <c r="R32" s="7"/>
      <c r="S32" s="279"/>
      <c r="T32" s="36"/>
      <c r="U32" s="7"/>
      <c r="V32" s="7"/>
      <c r="W32" s="7"/>
      <c r="X32" s="7"/>
      <c r="Y32" s="7"/>
      <c r="Z32" s="7"/>
      <c r="AA32" s="7"/>
      <c r="AB32" s="7"/>
      <c r="AC32" s="7"/>
      <c r="AD32" s="36"/>
      <c r="AE32" s="36"/>
    </row>
    <row r="33">
      <c r="A33" s="294"/>
      <c r="B33" s="7"/>
      <c r="C33" s="7"/>
      <c r="D33" s="7"/>
      <c r="E33" s="7"/>
      <c r="F33" s="7"/>
      <c r="G33" s="7"/>
      <c r="H33" s="7"/>
      <c r="I33" s="7"/>
      <c r="J33" s="7"/>
      <c r="K33" s="7"/>
      <c r="L33" s="7"/>
      <c r="M33" s="7"/>
      <c r="N33" s="7"/>
      <c r="O33" s="7"/>
      <c r="P33" s="293"/>
      <c r="Q33" s="7"/>
      <c r="R33" s="7"/>
      <c r="S33" s="279"/>
      <c r="T33" s="36"/>
      <c r="U33" s="7"/>
      <c r="V33" s="7"/>
      <c r="W33" s="7"/>
      <c r="X33" s="7"/>
      <c r="Y33" s="7"/>
      <c r="Z33" s="7"/>
      <c r="AA33" s="7"/>
      <c r="AB33" s="7"/>
      <c r="AC33" s="7"/>
      <c r="AD33" s="36"/>
      <c r="AE33" s="36"/>
    </row>
    <row r="34">
      <c r="A34" s="294"/>
      <c r="B34" s="7"/>
      <c r="C34" s="7"/>
      <c r="D34" s="7"/>
      <c r="E34" s="7"/>
      <c r="F34" s="7"/>
      <c r="G34" s="7"/>
      <c r="H34" s="7"/>
      <c r="I34" s="7"/>
      <c r="J34" s="7"/>
      <c r="K34" s="7"/>
      <c r="L34" s="7"/>
      <c r="M34" s="7"/>
      <c r="N34" s="7"/>
      <c r="O34" s="7"/>
      <c r="P34" s="293"/>
      <c r="Q34" s="7"/>
      <c r="R34" s="7"/>
      <c r="S34" s="279"/>
      <c r="T34" s="36"/>
      <c r="U34" s="7"/>
      <c r="V34" s="7"/>
      <c r="W34" s="7"/>
      <c r="X34" s="7"/>
      <c r="Y34" s="7"/>
      <c r="Z34" s="7"/>
      <c r="AA34" s="7"/>
      <c r="AB34" s="7"/>
      <c r="AC34" s="7"/>
      <c r="AD34" s="36"/>
      <c r="AE34" s="36"/>
    </row>
    <row r="35">
      <c r="A35" s="294"/>
      <c r="B35" s="7"/>
      <c r="C35" s="7"/>
      <c r="D35" s="7"/>
      <c r="E35" s="7"/>
      <c r="F35" s="7"/>
      <c r="G35" s="7"/>
      <c r="H35" s="7"/>
      <c r="I35" s="7"/>
      <c r="J35" s="7"/>
      <c r="K35" s="7"/>
      <c r="L35" s="7"/>
      <c r="M35" s="7"/>
      <c r="N35" s="7"/>
      <c r="O35" s="7"/>
      <c r="P35" s="293"/>
      <c r="Q35" s="7"/>
      <c r="R35" s="7"/>
      <c r="S35" s="279"/>
      <c r="T35" s="36"/>
      <c r="U35" s="7"/>
      <c r="V35" s="7"/>
      <c r="W35" s="7"/>
      <c r="X35" s="7"/>
      <c r="Y35" s="7"/>
      <c r="Z35" s="7"/>
      <c r="AA35" s="7"/>
      <c r="AB35" s="7"/>
      <c r="AC35" s="7"/>
      <c r="AD35" s="36"/>
      <c r="AE35" s="36"/>
    </row>
    <row r="36">
      <c r="A36" s="294"/>
      <c r="B36" s="7"/>
      <c r="C36" s="7"/>
      <c r="D36" s="7"/>
      <c r="E36" s="7"/>
      <c r="F36" s="7"/>
      <c r="G36" s="7"/>
      <c r="H36" s="7"/>
      <c r="I36" s="7"/>
      <c r="J36" s="7"/>
      <c r="K36" s="7"/>
      <c r="L36" s="7"/>
      <c r="M36" s="7"/>
      <c r="N36" s="7"/>
      <c r="O36" s="7"/>
      <c r="P36" s="293"/>
      <c r="Q36" s="7"/>
      <c r="R36" s="7"/>
      <c r="S36" s="279"/>
      <c r="T36" s="36"/>
      <c r="U36" s="7"/>
      <c r="V36" s="7"/>
      <c r="W36" s="7"/>
      <c r="X36" s="7"/>
      <c r="Y36" s="7"/>
      <c r="Z36" s="7"/>
      <c r="AA36" s="7"/>
      <c r="AB36" s="7"/>
      <c r="AC36" s="7"/>
      <c r="AD36" s="36"/>
      <c r="AE36" s="36"/>
    </row>
    <row r="37">
      <c r="A37" s="294"/>
      <c r="B37" s="7"/>
      <c r="C37" s="7"/>
      <c r="D37" s="7"/>
      <c r="E37" s="7"/>
      <c r="F37" s="7"/>
      <c r="G37" s="7"/>
      <c r="H37" s="7"/>
      <c r="I37" s="7"/>
      <c r="J37" s="7"/>
      <c r="K37" s="7"/>
      <c r="L37" s="7"/>
      <c r="M37" s="7"/>
      <c r="N37" s="7"/>
      <c r="O37" s="7"/>
      <c r="P37" s="293"/>
      <c r="Q37" s="7"/>
      <c r="R37" s="7"/>
      <c r="S37" s="279"/>
      <c r="T37" s="36"/>
      <c r="U37" s="7"/>
      <c r="V37" s="7"/>
      <c r="W37" s="7"/>
      <c r="X37" s="7"/>
      <c r="Y37" s="7"/>
      <c r="Z37" s="7"/>
      <c r="AA37" s="7"/>
      <c r="AB37" s="7"/>
      <c r="AC37" s="7"/>
      <c r="AD37" s="36"/>
      <c r="AE37" s="36"/>
    </row>
    <row r="38">
      <c r="A38" s="294"/>
      <c r="B38" s="7"/>
      <c r="C38" s="7"/>
      <c r="D38" s="7"/>
      <c r="E38" s="7"/>
      <c r="F38" s="7"/>
      <c r="G38" s="7"/>
      <c r="H38" s="7"/>
      <c r="I38" s="7"/>
      <c r="J38" s="7"/>
      <c r="K38" s="7"/>
      <c r="L38" s="7"/>
      <c r="M38" s="7"/>
      <c r="N38" s="7"/>
      <c r="O38" s="7"/>
      <c r="P38" s="293"/>
      <c r="Q38" s="7"/>
      <c r="R38" s="7"/>
      <c r="S38" s="279"/>
      <c r="T38" s="36"/>
      <c r="U38" s="7"/>
      <c r="V38" s="7"/>
      <c r="W38" s="7"/>
      <c r="X38" s="7"/>
      <c r="Y38" s="7"/>
      <c r="Z38" s="7"/>
      <c r="AA38" s="7"/>
      <c r="AB38" s="7"/>
      <c r="AC38" s="7"/>
      <c r="AD38" s="36"/>
      <c r="AE38" s="36"/>
    </row>
    <row r="39">
      <c r="A39" s="294"/>
      <c r="B39" s="7"/>
      <c r="C39" s="7"/>
      <c r="D39" s="7"/>
      <c r="E39" s="7"/>
      <c r="F39" s="7"/>
      <c r="G39" s="7"/>
      <c r="H39" s="7"/>
      <c r="I39" s="7"/>
      <c r="J39" s="7"/>
      <c r="K39" s="7"/>
      <c r="L39" s="7"/>
      <c r="M39" s="7"/>
      <c r="N39" s="7"/>
      <c r="O39" s="7"/>
      <c r="P39" s="293"/>
      <c r="Q39" s="7"/>
      <c r="R39" s="7"/>
      <c r="S39" s="279"/>
      <c r="T39" s="36"/>
      <c r="U39" s="7"/>
      <c r="V39" s="7"/>
      <c r="W39" s="7"/>
      <c r="X39" s="7"/>
      <c r="Y39" s="7"/>
      <c r="Z39" s="7"/>
      <c r="AA39" s="7"/>
      <c r="AB39" s="7"/>
      <c r="AC39" s="7"/>
      <c r="AD39" s="36"/>
      <c r="AE39" s="36"/>
    </row>
    <row r="40">
      <c r="A40" s="294"/>
      <c r="B40" s="7"/>
      <c r="C40" s="7"/>
      <c r="D40" s="7"/>
      <c r="E40" s="7"/>
      <c r="F40" s="7"/>
      <c r="G40" s="7"/>
      <c r="H40" s="7"/>
      <c r="I40" s="7"/>
      <c r="J40" s="7"/>
      <c r="K40" s="7"/>
      <c r="L40" s="7"/>
      <c r="M40" s="7"/>
      <c r="N40" s="7"/>
      <c r="O40" s="7"/>
      <c r="P40" s="293"/>
      <c r="Q40" s="7"/>
      <c r="R40" s="7"/>
      <c r="S40" s="279"/>
      <c r="T40" s="36"/>
      <c r="U40" s="7"/>
      <c r="V40" s="7"/>
      <c r="W40" s="7"/>
      <c r="X40" s="7"/>
      <c r="Y40" s="7"/>
      <c r="Z40" s="7"/>
      <c r="AA40" s="7"/>
      <c r="AB40" s="7"/>
      <c r="AC40" s="7"/>
      <c r="AD40" s="36"/>
      <c r="AE40" s="36"/>
    </row>
    <row r="41">
      <c r="A41" s="294"/>
      <c r="B41" s="7"/>
      <c r="C41" s="7"/>
      <c r="D41" s="7"/>
      <c r="E41" s="7"/>
      <c r="F41" s="7"/>
      <c r="G41" s="7"/>
      <c r="H41" s="7"/>
      <c r="I41" s="7"/>
      <c r="J41" s="7"/>
      <c r="K41" s="7"/>
      <c r="L41" s="7"/>
      <c r="M41" s="7"/>
      <c r="N41" s="7"/>
      <c r="O41" s="7"/>
      <c r="P41" s="293"/>
      <c r="Q41" s="7"/>
      <c r="R41" s="7"/>
      <c r="S41" s="279"/>
      <c r="T41" s="36"/>
      <c r="U41" s="7"/>
      <c r="V41" s="7"/>
      <c r="W41" s="7"/>
      <c r="X41" s="7"/>
      <c r="Y41" s="7"/>
      <c r="Z41" s="7"/>
      <c r="AA41" s="7"/>
      <c r="AB41" s="7"/>
      <c r="AC41" s="7"/>
      <c r="AD41" s="36"/>
      <c r="AE41" s="36"/>
    </row>
    <row r="42">
      <c r="A42" s="294"/>
      <c r="B42" s="7"/>
      <c r="C42" s="7"/>
      <c r="D42" s="7"/>
      <c r="E42" s="7"/>
      <c r="F42" s="7"/>
      <c r="G42" s="7"/>
      <c r="H42" s="7"/>
      <c r="I42" s="7"/>
      <c r="J42" s="7"/>
      <c r="K42" s="7"/>
      <c r="L42" s="7"/>
      <c r="M42" s="7"/>
      <c r="N42" s="7"/>
      <c r="O42" s="7"/>
      <c r="P42" s="293"/>
      <c r="Q42" s="7"/>
      <c r="R42" s="7"/>
      <c r="S42" s="279"/>
      <c r="T42" s="36"/>
      <c r="U42" s="7"/>
      <c r="V42" s="7"/>
      <c r="W42" s="7"/>
      <c r="X42" s="7"/>
      <c r="Y42" s="7"/>
      <c r="Z42" s="7"/>
      <c r="AA42" s="7"/>
      <c r="AB42" s="7"/>
      <c r="AC42" s="7"/>
      <c r="AD42" s="36"/>
      <c r="AE42" s="36"/>
    </row>
    <row r="43">
      <c r="A43" s="294"/>
      <c r="B43" s="7"/>
      <c r="C43" s="7"/>
      <c r="D43" s="7"/>
      <c r="E43" s="7"/>
      <c r="F43" s="7"/>
      <c r="G43" s="7"/>
      <c r="H43" s="7"/>
      <c r="I43" s="7"/>
      <c r="J43" s="7"/>
      <c r="K43" s="7"/>
      <c r="L43" s="7"/>
      <c r="M43" s="7"/>
      <c r="N43" s="7"/>
      <c r="O43" s="7"/>
      <c r="P43" s="293"/>
      <c r="Q43" s="7"/>
      <c r="R43" s="7"/>
      <c r="S43" s="279"/>
      <c r="T43" s="36"/>
      <c r="U43" s="7"/>
      <c r="V43" s="7"/>
      <c r="W43" s="7"/>
      <c r="X43" s="7"/>
      <c r="Y43" s="7"/>
      <c r="Z43" s="7"/>
      <c r="AA43" s="7"/>
      <c r="AB43" s="7"/>
      <c r="AC43" s="7"/>
      <c r="AD43" s="36"/>
      <c r="AE43" s="36"/>
    </row>
    <row r="44">
      <c r="A44" s="294"/>
      <c r="B44" s="7"/>
      <c r="C44" s="7"/>
      <c r="D44" s="7"/>
      <c r="E44" s="7"/>
      <c r="F44" s="7"/>
      <c r="G44" s="7"/>
      <c r="H44" s="7"/>
      <c r="I44" s="7"/>
      <c r="J44" s="7"/>
      <c r="K44" s="7"/>
      <c r="L44" s="7"/>
      <c r="M44" s="7"/>
      <c r="N44" s="7"/>
      <c r="O44" s="7"/>
      <c r="P44" s="293"/>
      <c r="Q44" s="7"/>
      <c r="R44" s="7"/>
      <c r="S44" s="279"/>
      <c r="T44" s="36"/>
      <c r="U44" s="7"/>
      <c r="V44" s="7"/>
      <c r="W44" s="7"/>
      <c r="X44" s="7"/>
      <c r="Y44" s="7"/>
      <c r="Z44" s="7"/>
      <c r="AA44" s="7"/>
      <c r="AB44" s="7"/>
      <c r="AC44" s="7"/>
      <c r="AD44" s="36"/>
      <c r="AE44" s="36"/>
    </row>
    <row r="45">
      <c r="A45" s="294"/>
      <c r="B45" s="7"/>
      <c r="C45" s="7"/>
      <c r="D45" s="7"/>
      <c r="E45" s="7"/>
      <c r="F45" s="7"/>
      <c r="G45" s="7"/>
      <c r="H45" s="7"/>
      <c r="I45" s="7"/>
      <c r="J45" s="7"/>
      <c r="K45" s="7"/>
      <c r="L45" s="7"/>
      <c r="M45" s="7"/>
      <c r="N45" s="7"/>
      <c r="O45" s="7"/>
      <c r="P45" s="293"/>
      <c r="Q45" s="7"/>
      <c r="R45" s="7"/>
      <c r="S45" s="279"/>
      <c r="T45" s="36"/>
      <c r="U45" s="7"/>
      <c r="V45" s="7"/>
      <c r="W45" s="7"/>
      <c r="X45" s="7"/>
      <c r="Y45" s="7"/>
      <c r="Z45" s="7"/>
      <c r="AA45" s="7"/>
      <c r="AB45" s="7"/>
      <c r="AC45" s="7"/>
      <c r="AD45" s="36"/>
      <c r="AE45" s="36"/>
    </row>
    <row r="46">
      <c r="A46" s="294"/>
      <c r="B46" s="7"/>
      <c r="C46" s="7"/>
      <c r="D46" s="7"/>
      <c r="E46" s="7"/>
      <c r="F46" s="7"/>
      <c r="G46" s="7"/>
      <c r="H46" s="7"/>
      <c r="I46" s="7"/>
      <c r="J46" s="7"/>
      <c r="K46" s="7"/>
      <c r="L46" s="7"/>
      <c r="M46" s="7"/>
      <c r="N46" s="7"/>
      <c r="O46" s="7"/>
      <c r="P46" s="293"/>
      <c r="Q46" s="7"/>
      <c r="R46" s="7"/>
      <c r="S46" s="279"/>
      <c r="T46" s="36"/>
      <c r="U46" s="7"/>
      <c r="V46" s="7"/>
      <c r="W46" s="7"/>
      <c r="X46" s="7"/>
      <c r="Y46" s="7"/>
      <c r="Z46" s="7"/>
      <c r="AA46" s="7"/>
      <c r="AB46" s="7"/>
      <c r="AC46" s="7"/>
      <c r="AD46" s="36"/>
      <c r="AE46" s="36"/>
    </row>
    <row r="47">
      <c r="A47" s="294"/>
      <c r="B47" s="7"/>
      <c r="C47" s="7"/>
      <c r="D47" s="7"/>
      <c r="E47" s="7"/>
      <c r="F47" s="7"/>
      <c r="G47" s="7"/>
      <c r="H47" s="7"/>
      <c r="I47" s="7"/>
      <c r="J47" s="7"/>
      <c r="K47" s="7"/>
      <c r="L47" s="7"/>
      <c r="M47" s="7"/>
      <c r="N47" s="7"/>
      <c r="O47" s="7"/>
      <c r="P47" s="293"/>
      <c r="Q47" s="7"/>
      <c r="R47" s="7"/>
      <c r="S47" s="279"/>
      <c r="T47" s="36"/>
      <c r="U47" s="7"/>
      <c r="V47" s="7"/>
      <c r="W47" s="7"/>
      <c r="X47" s="7"/>
      <c r="Y47" s="7"/>
      <c r="Z47" s="7"/>
      <c r="AA47" s="7"/>
      <c r="AB47" s="7"/>
      <c r="AC47" s="7"/>
      <c r="AD47" s="36"/>
      <c r="AE47" s="36"/>
    </row>
    <row r="48">
      <c r="A48" s="294"/>
      <c r="B48" s="7"/>
      <c r="C48" s="7"/>
      <c r="D48" s="7"/>
      <c r="E48" s="7"/>
      <c r="F48" s="7"/>
      <c r="G48" s="7"/>
      <c r="H48" s="7"/>
      <c r="I48" s="7"/>
      <c r="J48" s="7"/>
      <c r="K48" s="7"/>
      <c r="L48" s="7"/>
      <c r="M48" s="7"/>
      <c r="N48" s="7"/>
      <c r="O48" s="7"/>
      <c r="P48" s="293"/>
      <c r="Q48" s="7"/>
      <c r="R48" s="7"/>
      <c r="S48" s="279"/>
      <c r="T48" s="36"/>
      <c r="U48" s="7"/>
      <c r="V48" s="7"/>
      <c r="W48" s="7"/>
      <c r="X48" s="7"/>
      <c r="Y48" s="7"/>
      <c r="Z48" s="7"/>
      <c r="AA48" s="7"/>
      <c r="AB48" s="7"/>
      <c r="AC48" s="7"/>
      <c r="AD48" s="36"/>
      <c r="AE48" s="36"/>
    </row>
    <row r="49">
      <c r="A49" s="294"/>
      <c r="B49" s="7"/>
      <c r="C49" s="7"/>
      <c r="D49" s="7"/>
      <c r="E49" s="7"/>
      <c r="F49" s="7"/>
      <c r="G49" s="7"/>
      <c r="H49" s="7"/>
      <c r="I49" s="7"/>
      <c r="J49" s="7"/>
      <c r="K49" s="7"/>
      <c r="L49" s="7"/>
      <c r="M49" s="7"/>
      <c r="N49" s="7"/>
      <c r="O49" s="7"/>
      <c r="P49" s="293"/>
      <c r="Q49" s="7"/>
      <c r="R49" s="7"/>
      <c r="S49" s="279"/>
      <c r="T49" s="36"/>
      <c r="U49" s="7"/>
      <c r="V49" s="7"/>
      <c r="W49" s="7"/>
      <c r="X49" s="7"/>
      <c r="Y49" s="7"/>
      <c r="Z49" s="7"/>
      <c r="AA49" s="7"/>
      <c r="AB49" s="7"/>
      <c r="AC49" s="7"/>
      <c r="AD49" s="36"/>
      <c r="AE49" s="36"/>
    </row>
    <row r="50">
      <c r="A50" s="294"/>
      <c r="B50" s="7"/>
      <c r="C50" s="7"/>
      <c r="D50" s="7"/>
      <c r="E50" s="7"/>
      <c r="F50" s="7"/>
      <c r="G50" s="7"/>
      <c r="H50" s="7"/>
      <c r="I50" s="7"/>
      <c r="J50" s="7"/>
      <c r="K50" s="7"/>
      <c r="L50" s="7"/>
      <c r="M50" s="7"/>
      <c r="N50" s="7"/>
      <c r="O50" s="7"/>
      <c r="P50" s="293"/>
      <c r="Q50" s="7"/>
      <c r="R50" s="7"/>
      <c r="S50" s="279"/>
      <c r="T50" s="36"/>
      <c r="U50" s="7"/>
      <c r="V50" s="7"/>
      <c r="W50" s="7"/>
      <c r="X50" s="7"/>
      <c r="Y50" s="7"/>
      <c r="Z50" s="7"/>
      <c r="AA50" s="7"/>
      <c r="AB50" s="7"/>
      <c r="AC50" s="7"/>
      <c r="AD50" s="36"/>
      <c r="AE50" s="36"/>
    </row>
    <row r="51">
      <c r="A51" s="294"/>
      <c r="B51" s="7"/>
      <c r="C51" s="7"/>
      <c r="D51" s="7"/>
      <c r="E51" s="7"/>
      <c r="F51" s="7"/>
      <c r="G51" s="7"/>
      <c r="H51" s="7"/>
      <c r="I51" s="7"/>
      <c r="J51" s="7"/>
      <c r="K51" s="7"/>
      <c r="L51" s="7"/>
      <c r="M51" s="7"/>
      <c r="N51" s="7"/>
      <c r="O51" s="7"/>
      <c r="P51" s="293"/>
      <c r="Q51" s="7"/>
      <c r="R51" s="7"/>
      <c r="S51" s="279"/>
      <c r="T51" s="36"/>
      <c r="U51" s="7"/>
      <c r="V51" s="7"/>
      <c r="W51" s="7"/>
      <c r="X51" s="7"/>
      <c r="Y51" s="7"/>
      <c r="Z51" s="7"/>
      <c r="AA51" s="7"/>
      <c r="AB51" s="7"/>
      <c r="AC51" s="7"/>
      <c r="AD51" s="36"/>
      <c r="AE51" s="36"/>
    </row>
    <row r="52">
      <c r="A52" s="294"/>
      <c r="B52" s="7"/>
      <c r="C52" s="7"/>
      <c r="D52" s="7"/>
      <c r="E52" s="7"/>
      <c r="F52" s="7"/>
      <c r="G52" s="7"/>
      <c r="H52" s="7"/>
      <c r="I52" s="7"/>
      <c r="J52" s="7"/>
      <c r="K52" s="7"/>
      <c r="L52" s="7"/>
      <c r="M52" s="7"/>
      <c r="N52" s="7"/>
      <c r="O52" s="7"/>
      <c r="P52" s="293"/>
      <c r="Q52" s="7"/>
      <c r="R52" s="7"/>
      <c r="S52" s="279"/>
      <c r="T52" s="36"/>
      <c r="U52" s="7"/>
      <c r="V52" s="7"/>
      <c r="W52" s="7"/>
      <c r="X52" s="7"/>
      <c r="Y52" s="7"/>
      <c r="Z52" s="7"/>
      <c r="AA52" s="7"/>
      <c r="AB52" s="7"/>
      <c r="AC52" s="7"/>
      <c r="AD52" s="36"/>
      <c r="AE52" s="36"/>
    </row>
    <row r="53">
      <c r="A53" s="294"/>
      <c r="B53" s="7"/>
      <c r="C53" s="7"/>
      <c r="D53" s="7"/>
      <c r="E53" s="7"/>
      <c r="F53" s="7"/>
      <c r="G53" s="7"/>
      <c r="H53" s="7"/>
      <c r="I53" s="7"/>
      <c r="J53" s="7"/>
      <c r="K53" s="7"/>
      <c r="L53" s="7"/>
      <c r="M53" s="7"/>
      <c r="N53" s="7"/>
      <c r="O53" s="7"/>
      <c r="P53" s="293"/>
      <c r="Q53" s="7"/>
      <c r="R53" s="7"/>
      <c r="S53" s="279"/>
      <c r="T53" s="36"/>
      <c r="U53" s="7"/>
      <c r="V53" s="7"/>
      <c r="W53" s="7"/>
      <c r="X53" s="7"/>
      <c r="Y53" s="7"/>
      <c r="Z53" s="7"/>
      <c r="AA53" s="7"/>
      <c r="AB53" s="7"/>
      <c r="AC53" s="7"/>
      <c r="AD53" s="36"/>
      <c r="AE53" s="36"/>
    </row>
    <row r="54">
      <c r="A54" s="294"/>
      <c r="B54" s="7"/>
      <c r="C54" s="7"/>
      <c r="D54" s="7"/>
      <c r="E54" s="7"/>
      <c r="F54" s="7"/>
      <c r="G54" s="7"/>
      <c r="H54" s="7"/>
      <c r="I54" s="7"/>
      <c r="J54" s="7"/>
      <c r="K54" s="7"/>
      <c r="L54" s="7"/>
      <c r="M54" s="7"/>
      <c r="N54" s="7"/>
      <c r="O54" s="7"/>
      <c r="P54" s="293"/>
      <c r="Q54" s="7"/>
      <c r="R54" s="7"/>
      <c r="S54" s="279"/>
      <c r="T54" s="36"/>
      <c r="U54" s="7"/>
      <c r="V54" s="7"/>
      <c r="W54" s="7"/>
      <c r="X54" s="7"/>
      <c r="Y54" s="7"/>
      <c r="Z54" s="7"/>
      <c r="AA54" s="7"/>
      <c r="AB54" s="7"/>
      <c r="AC54" s="7"/>
      <c r="AD54" s="36"/>
      <c r="AE54" s="36"/>
    </row>
    <row r="55">
      <c r="A55" s="294"/>
      <c r="B55" s="7"/>
      <c r="C55" s="7"/>
      <c r="D55" s="7"/>
      <c r="E55" s="7"/>
      <c r="F55" s="7"/>
      <c r="G55" s="7"/>
      <c r="H55" s="7"/>
      <c r="I55" s="7"/>
      <c r="J55" s="7"/>
      <c r="K55" s="7"/>
      <c r="L55" s="7"/>
      <c r="M55" s="7"/>
      <c r="N55" s="7"/>
      <c r="O55" s="7"/>
      <c r="P55" s="293"/>
      <c r="Q55" s="7"/>
      <c r="R55" s="7"/>
      <c r="S55" s="279"/>
      <c r="T55" s="36"/>
      <c r="U55" s="7"/>
      <c r="V55" s="7"/>
      <c r="W55" s="7"/>
      <c r="X55" s="7"/>
      <c r="Y55" s="7"/>
      <c r="Z55" s="7"/>
      <c r="AA55" s="7"/>
      <c r="AB55" s="7"/>
      <c r="AC55" s="7"/>
      <c r="AD55" s="36"/>
      <c r="AE55" s="36"/>
    </row>
    <row r="56">
      <c r="A56" s="294"/>
      <c r="B56" s="7"/>
      <c r="C56" s="7"/>
      <c r="D56" s="7"/>
      <c r="E56" s="7"/>
      <c r="F56" s="7"/>
      <c r="G56" s="7"/>
      <c r="H56" s="7"/>
      <c r="I56" s="7"/>
      <c r="J56" s="7"/>
      <c r="K56" s="7"/>
      <c r="L56" s="7"/>
      <c r="M56" s="7"/>
      <c r="N56" s="7"/>
      <c r="O56" s="7"/>
      <c r="P56" s="293"/>
      <c r="Q56" s="7"/>
      <c r="R56" s="7"/>
      <c r="S56" s="279"/>
      <c r="T56" s="36"/>
      <c r="U56" s="7"/>
      <c r="V56" s="7"/>
      <c r="W56" s="7"/>
      <c r="X56" s="7"/>
      <c r="Y56" s="7"/>
      <c r="Z56" s="7"/>
      <c r="AA56" s="7"/>
      <c r="AB56" s="7"/>
      <c r="AC56" s="7"/>
      <c r="AD56" s="36"/>
      <c r="AE56" s="36"/>
    </row>
    <row r="57">
      <c r="A57" s="294"/>
      <c r="B57" s="7"/>
      <c r="C57" s="7"/>
      <c r="D57" s="7"/>
      <c r="E57" s="7"/>
      <c r="F57" s="7"/>
      <c r="G57" s="7"/>
      <c r="H57" s="7"/>
      <c r="I57" s="7"/>
      <c r="J57" s="7"/>
      <c r="K57" s="7"/>
      <c r="L57" s="7"/>
      <c r="M57" s="7"/>
      <c r="N57" s="7"/>
      <c r="O57" s="7"/>
      <c r="P57" s="293"/>
      <c r="Q57" s="7"/>
      <c r="R57" s="7"/>
      <c r="S57" s="279"/>
      <c r="T57" s="36"/>
      <c r="U57" s="7"/>
      <c r="V57" s="7"/>
      <c r="W57" s="7"/>
      <c r="X57" s="7"/>
      <c r="Y57" s="7"/>
      <c r="Z57" s="7"/>
      <c r="AA57" s="7"/>
      <c r="AB57" s="7"/>
      <c r="AC57" s="7"/>
      <c r="AD57" s="36"/>
      <c r="AE57" s="36"/>
    </row>
    <row r="58">
      <c r="A58" s="294"/>
      <c r="B58" s="7"/>
      <c r="C58" s="7"/>
      <c r="D58" s="7"/>
      <c r="E58" s="7"/>
      <c r="F58" s="7"/>
      <c r="G58" s="7"/>
      <c r="H58" s="7"/>
      <c r="I58" s="7"/>
      <c r="J58" s="7"/>
      <c r="K58" s="7"/>
      <c r="L58" s="7"/>
      <c r="M58" s="7"/>
      <c r="N58" s="7"/>
      <c r="O58" s="7"/>
      <c r="P58" s="293"/>
      <c r="Q58" s="7"/>
      <c r="R58" s="7"/>
      <c r="S58" s="279"/>
      <c r="T58" s="36"/>
      <c r="U58" s="7"/>
      <c r="V58" s="7"/>
      <c r="W58" s="7"/>
      <c r="X58" s="7"/>
      <c r="Y58" s="7"/>
      <c r="Z58" s="7"/>
      <c r="AA58" s="7"/>
      <c r="AB58" s="7"/>
      <c r="AC58" s="7"/>
      <c r="AD58" s="36"/>
      <c r="AE58" s="36"/>
    </row>
    <row r="59">
      <c r="A59" s="294"/>
      <c r="B59" s="7"/>
      <c r="C59" s="7"/>
      <c r="D59" s="7"/>
      <c r="E59" s="7"/>
      <c r="F59" s="7"/>
      <c r="G59" s="7"/>
      <c r="H59" s="7"/>
      <c r="I59" s="7"/>
      <c r="J59" s="7"/>
      <c r="K59" s="7"/>
      <c r="L59" s="7"/>
      <c r="M59" s="7"/>
      <c r="N59" s="7"/>
      <c r="O59" s="7"/>
      <c r="P59" s="293"/>
      <c r="Q59" s="7"/>
      <c r="R59" s="7"/>
      <c r="S59" s="279"/>
      <c r="T59" s="36"/>
      <c r="U59" s="7"/>
      <c r="V59" s="7"/>
      <c r="W59" s="7"/>
      <c r="X59" s="7"/>
      <c r="Y59" s="7"/>
      <c r="Z59" s="7"/>
      <c r="AA59" s="7"/>
      <c r="AB59" s="7"/>
      <c r="AC59" s="7"/>
      <c r="AD59" s="36"/>
      <c r="AE59" s="36"/>
    </row>
    <row r="60">
      <c r="A60" s="294"/>
      <c r="B60" s="7"/>
      <c r="C60" s="7"/>
      <c r="D60" s="7"/>
      <c r="E60" s="7"/>
      <c r="F60" s="7"/>
      <c r="G60" s="7"/>
      <c r="H60" s="7"/>
      <c r="I60" s="7"/>
      <c r="J60" s="7"/>
      <c r="K60" s="7"/>
      <c r="L60" s="7"/>
      <c r="M60" s="7"/>
      <c r="N60" s="7"/>
      <c r="O60" s="7"/>
      <c r="P60" s="293"/>
      <c r="Q60" s="7"/>
      <c r="R60" s="7"/>
      <c r="S60" s="279"/>
      <c r="T60" s="36"/>
      <c r="U60" s="7"/>
      <c r="V60" s="7"/>
      <c r="W60" s="7"/>
      <c r="X60" s="7"/>
      <c r="Y60" s="7"/>
      <c r="Z60" s="7"/>
      <c r="AA60" s="7"/>
      <c r="AB60" s="7"/>
      <c r="AC60" s="7"/>
      <c r="AD60" s="36"/>
      <c r="AE60" s="36"/>
    </row>
    <row r="61">
      <c r="A61" s="294"/>
      <c r="B61" s="7"/>
      <c r="C61" s="7"/>
      <c r="D61" s="7"/>
      <c r="E61" s="7"/>
      <c r="F61" s="7"/>
      <c r="G61" s="7"/>
      <c r="H61" s="7"/>
      <c r="I61" s="7"/>
      <c r="J61" s="7"/>
      <c r="K61" s="7"/>
      <c r="L61" s="7"/>
      <c r="M61" s="7"/>
      <c r="N61" s="7"/>
      <c r="O61" s="7"/>
      <c r="P61" s="293"/>
      <c r="Q61" s="7"/>
      <c r="R61" s="7"/>
      <c r="S61" s="279"/>
      <c r="T61" s="36"/>
      <c r="U61" s="7"/>
      <c r="V61" s="7"/>
      <c r="W61" s="7"/>
      <c r="X61" s="7"/>
      <c r="Y61" s="7"/>
      <c r="Z61" s="7"/>
      <c r="AA61" s="7"/>
      <c r="AB61" s="7"/>
      <c r="AC61" s="7"/>
      <c r="AD61" s="36"/>
      <c r="AE61" s="36"/>
    </row>
    <row r="62">
      <c r="A62" s="294"/>
      <c r="B62" s="7"/>
      <c r="C62" s="7"/>
      <c r="D62" s="7"/>
      <c r="E62" s="7"/>
      <c r="F62" s="7"/>
      <c r="G62" s="7"/>
      <c r="H62" s="7"/>
      <c r="I62" s="7"/>
      <c r="J62" s="7"/>
      <c r="K62" s="7"/>
      <c r="L62" s="7"/>
      <c r="M62" s="7"/>
      <c r="N62" s="7"/>
      <c r="O62" s="7"/>
      <c r="P62" s="293"/>
      <c r="Q62" s="7"/>
      <c r="R62" s="7"/>
      <c r="S62" s="279"/>
      <c r="T62" s="36"/>
      <c r="U62" s="7"/>
      <c r="V62" s="7"/>
      <c r="W62" s="7"/>
      <c r="X62" s="7"/>
      <c r="Y62" s="7"/>
      <c r="Z62" s="7"/>
      <c r="AA62" s="7"/>
      <c r="AB62" s="7"/>
      <c r="AC62" s="7"/>
      <c r="AD62" s="36"/>
      <c r="AE62" s="36"/>
    </row>
    <row r="63">
      <c r="A63" s="294"/>
      <c r="B63" s="7"/>
      <c r="C63" s="7"/>
      <c r="D63" s="7"/>
      <c r="E63" s="7"/>
      <c r="F63" s="7"/>
      <c r="G63" s="7"/>
      <c r="H63" s="7"/>
      <c r="I63" s="7"/>
      <c r="J63" s="7"/>
      <c r="K63" s="7"/>
      <c r="L63" s="7"/>
      <c r="M63" s="7"/>
      <c r="N63" s="7"/>
      <c r="O63" s="7"/>
      <c r="P63" s="293"/>
      <c r="Q63" s="7"/>
      <c r="R63" s="7"/>
      <c r="S63" s="279"/>
      <c r="T63" s="36"/>
      <c r="U63" s="7"/>
      <c r="V63" s="7"/>
      <c r="W63" s="7"/>
      <c r="X63" s="7"/>
      <c r="Y63" s="7"/>
      <c r="Z63" s="7"/>
      <c r="AA63" s="7"/>
      <c r="AB63" s="7"/>
      <c r="AC63" s="7"/>
      <c r="AD63" s="36"/>
      <c r="AE63" s="36"/>
    </row>
    <row r="64">
      <c r="A64" s="294"/>
      <c r="B64" s="7"/>
      <c r="C64" s="7"/>
      <c r="D64" s="7"/>
      <c r="E64" s="7"/>
      <c r="F64" s="7"/>
      <c r="G64" s="7"/>
      <c r="H64" s="7"/>
      <c r="I64" s="7"/>
      <c r="J64" s="7"/>
      <c r="K64" s="7"/>
      <c r="L64" s="7"/>
      <c r="M64" s="7"/>
      <c r="N64" s="7"/>
      <c r="O64" s="7"/>
      <c r="P64" s="293"/>
      <c r="Q64" s="7"/>
      <c r="R64" s="7"/>
      <c r="S64" s="279"/>
      <c r="T64" s="36"/>
      <c r="U64" s="7"/>
      <c r="V64" s="7"/>
      <c r="W64" s="7"/>
      <c r="X64" s="7"/>
      <c r="Y64" s="7"/>
      <c r="Z64" s="7"/>
      <c r="AA64" s="7"/>
      <c r="AB64" s="7"/>
      <c r="AC64" s="7"/>
      <c r="AD64" s="36"/>
      <c r="AE64" s="36"/>
    </row>
    <row r="65">
      <c r="A65" s="294"/>
      <c r="B65" s="7"/>
      <c r="C65" s="7"/>
      <c r="D65" s="7"/>
      <c r="E65" s="7"/>
      <c r="F65" s="7"/>
      <c r="G65" s="7"/>
      <c r="H65" s="7"/>
      <c r="I65" s="7"/>
      <c r="J65" s="7"/>
      <c r="K65" s="7"/>
      <c r="L65" s="7"/>
      <c r="M65" s="7"/>
      <c r="N65" s="7"/>
      <c r="O65" s="7"/>
      <c r="P65" s="293"/>
      <c r="Q65" s="7"/>
      <c r="R65" s="7"/>
      <c r="S65" s="279"/>
      <c r="T65" s="36"/>
      <c r="U65" s="7"/>
      <c r="V65" s="7"/>
      <c r="W65" s="7"/>
      <c r="X65" s="7"/>
      <c r="Y65" s="7"/>
      <c r="Z65" s="7"/>
      <c r="AA65" s="7"/>
      <c r="AB65" s="7"/>
      <c r="AC65" s="7"/>
      <c r="AD65" s="36"/>
      <c r="AE65" s="36"/>
    </row>
    <row r="66">
      <c r="A66" s="294"/>
      <c r="B66" s="7"/>
      <c r="C66" s="7"/>
      <c r="D66" s="7"/>
      <c r="E66" s="7"/>
      <c r="F66" s="7"/>
      <c r="G66" s="7"/>
      <c r="H66" s="7"/>
      <c r="I66" s="7"/>
      <c r="J66" s="7"/>
      <c r="K66" s="7"/>
      <c r="L66" s="7"/>
      <c r="M66" s="7"/>
      <c r="N66" s="7"/>
      <c r="O66" s="7"/>
      <c r="P66" s="293"/>
      <c r="Q66" s="7"/>
      <c r="R66" s="7"/>
      <c r="S66" s="279"/>
      <c r="T66" s="36"/>
      <c r="U66" s="7"/>
      <c r="V66" s="7"/>
      <c r="W66" s="7"/>
      <c r="X66" s="7"/>
      <c r="Y66" s="7"/>
      <c r="Z66" s="7"/>
      <c r="AA66" s="7"/>
      <c r="AB66" s="7"/>
      <c r="AC66" s="7"/>
      <c r="AD66" s="36"/>
      <c r="AE66" s="36"/>
    </row>
    <row r="67">
      <c r="A67" s="294"/>
      <c r="B67" s="7"/>
      <c r="C67" s="7"/>
      <c r="D67" s="7"/>
      <c r="E67" s="7"/>
      <c r="F67" s="7"/>
      <c r="G67" s="7"/>
      <c r="H67" s="7"/>
      <c r="I67" s="7"/>
      <c r="J67" s="7"/>
      <c r="K67" s="7"/>
      <c r="L67" s="7"/>
      <c r="M67" s="7"/>
      <c r="N67" s="7"/>
      <c r="O67" s="7"/>
      <c r="P67" s="293"/>
      <c r="Q67" s="7"/>
      <c r="R67" s="7"/>
      <c r="S67" s="279"/>
      <c r="T67" s="36"/>
      <c r="U67" s="7"/>
      <c r="V67" s="7"/>
      <c r="W67" s="7"/>
      <c r="X67" s="7"/>
      <c r="Y67" s="7"/>
      <c r="Z67" s="7"/>
      <c r="AA67" s="7"/>
      <c r="AB67" s="7"/>
      <c r="AC67" s="7"/>
      <c r="AD67" s="36"/>
      <c r="AE67" s="36"/>
    </row>
    <row r="68">
      <c r="A68" s="294"/>
      <c r="B68" s="7"/>
      <c r="C68" s="7"/>
      <c r="D68" s="7"/>
      <c r="E68" s="7"/>
      <c r="F68" s="7"/>
      <c r="G68" s="7"/>
      <c r="H68" s="7"/>
      <c r="I68" s="7"/>
      <c r="J68" s="7"/>
      <c r="K68" s="7"/>
      <c r="L68" s="7"/>
      <c r="M68" s="7"/>
      <c r="N68" s="7"/>
      <c r="O68" s="7"/>
      <c r="P68" s="293"/>
      <c r="Q68" s="7"/>
      <c r="R68" s="7"/>
      <c r="S68" s="279"/>
      <c r="T68" s="36"/>
      <c r="U68" s="7"/>
      <c r="V68" s="7"/>
      <c r="W68" s="7"/>
      <c r="X68" s="7"/>
      <c r="Y68" s="7"/>
      <c r="Z68" s="7"/>
      <c r="AA68" s="7"/>
      <c r="AB68" s="7"/>
      <c r="AC68" s="7"/>
      <c r="AD68" s="36"/>
      <c r="AE68" s="36"/>
    </row>
    <row r="69">
      <c r="A69" s="294"/>
      <c r="B69" s="7"/>
      <c r="C69" s="7"/>
      <c r="D69" s="7"/>
      <c r="E69" s="7"/>
      <c r="F69" s="7"/>
      <c r="G69" s="7"/>
      <c r="H69" s="7"/>
      <c r="I69" s="7"/>
      <c r="J69" s="7"/>
      <c r="K69" s="7"/>
      <c r="L69" s="7"/>
      <c r="M69" s="7"/>
      <c r="N69" s="7"/>
      <c r="O69" s="7"/>
      <c r="P69" s="293"/>
      <c r="Q69" s="7"/>
      <c r="R69" s="7"/>
      <c r="S69" s="279"/>
      <c r="T69" s="36"/>
      <c r="U69" s="7"/>
      <c r="V69" s="7"/>
      <c r="W69" s="7"/>
      <c r="X69" s="7"/>
      <c r="Y69" s="7"/>
      <c r="Z69" s="7"/>
      <c r="AA69" s="7"/>
      <c r="AB69" s="7"/>
      <c r="AC69" s="7"/>
      <c r="AD69" s="36"/>
      <c r="AE69" s="36"/>
    </row>
    <row r="70">
      <c r="A70" s="294"/>
      <c r="B70" s="7"/>
      <c r="C70" s="7"/>
      <c r="D70" s="7"/>
      <c r="E70" s="7"/>
      <c r="F70" s="7"/>
      <c r="G70" s="7"/>
      <c r="H70" s="7"/>
      <c r="I70" s="7"/>
      <c r="J70" s="7"/>
      <c r="K70" s="7"/>
      <c r="L70" s="7"/>
      <c r="M70" s="7"/>
      <c r="N70" s="7"/>
      <c r="O70" s="7"/>
      <c r="P70" s="293"/>
      <c r="Q70" s="7"/>
      <c r="R70" s="7"/>
      <c r="S70" s="279"/>
      <c r="T70" s="36"/>
      <c r="U70" s="7"/>
      <c r="V70" s="7"/>
      <c r="W70" s="7"/>
      <c r="X70" s="7"/>
      <c r="Y70" s="7"/>
      <c r="Z70" s="7"/>
      <c r="AA70" s="7"/>
      <c r="AB70" s="7"/>
      <c r="AC70" s="7"/>
      <c r="AD70" s="36"/>
      <c r="AE70" s="36"/>
    </row>
    <row r="71">
      <c r="A71" s="294"/>
      <c r="B71" s="7"/>
      <c r="C71" s="7"/>
      <c r="D71" s="7"/>
      <c r="E71" s="7"/>
      <c r="F71" s="7"/>
      <c r="G71" s="7"/>
      <c r="H71" s="7"/>
      <c r="I71" s="7"/>
      <c r="J71" s="7"/>
      <c r="K71" s="7"/>
      <c r="L71" s="7"/>
      <c r="M71" s="7"/>
      <c r="N71" s="7"/>
      <c r="O71" s="7"/>
      <c r="P71" s="293"/>
      <c r="Q71" s="7"/>
      <c r="R71" s="7"/>
      <c r="S71" s="279"/>
      <c r="T71" s="36"/>
      <c r="U71" s="7"/>
      <c r="V71" s="7"/>
      <c r="W71" s="7"/>
      <c r="X71" s="7"/>
      <c r="Y71" s="7"/>
      <c r="Z71" s="7"/>
      <c r="AA71" s="7"/>
      <c r="AB71" s="7"/>
      <c r="AC71" s="7"/>
      <c r="AD71" s="36"/>
      <c r="AE71" s="36"/>
    </row>
    <row r="72">
      <c r="A72" s="294"/>
      <c r="B72" s="7"/>
      <c r="C72" s="7"/>
      <c r="D72" s="7"/>
      <c r="E72" s="7"/>
      <c r="F72" s="7"/>
      <c r="G72" s="7"/>
      <c r="H72" s="7"/>
      <c r="I72" s="7"/>
      <c r="J72" s="7"/>
      <c r="K72" s="7"/>
      <c r="L72" s="7"/>
      <c r="M72" s="7"/>
      <c r="N72" s="7"/>
      <c r="O72" s="7"/>
      <c r="P72" s="293"/>
      <c r="Q72" s="7"/>
      <c r="R72" s="7"/>
      <c r="S72" s="279"/>
      <c r="T72" s="36"/>
      <c r="U72" s="7"/>
      <c r="V72" s="7"/>
      <c r="W72" s="7"/>
      <c r="X72" s="7"/>
      <c r="Y72" s="7"/>
      <c r="Z72" s="7"/>
      <c r="AA72" s="7"/>
      <c r="AB72" s="7"/>
      <c r="AC72" s="7"/>
      <c r="AD72" s="36"/>
      <c r="AE72" s="36"/>
    </row>
    <row r="73">
      <c r="A73" s="294"/>
      <c r="B73" s="7"/>
      <c r="C73" s="7"/>
      <c r="D73" s="7"/>
      <c r="E73" s="7"/>
      <c r="F73" s="7"/>
      <c r="G73" s="7"/>
      <c r="H73" s="7"/>
      <c r="I73" s="7"/>
      <c r="J73" s="7"/>
      <c r="K73" s="7"/>
      <c r="L73" s="7"/>
      <c r="M73" s="7"/>
      <c r="N73" s="7"/>
      <c r="O73" s="7"/>
      <c r="P73" s="293"/>
      <c r="Q73" s="7"/>
      <c r="R73" s="7"/>
      <c r="S73" s="279"/>
      <c r="T73" s="36"/>
      <c r="U73" s="7"/>
      <c r="V73" s="7"/>
      <c r="W73" s="7"/>
      <c r="X73" s="7"/>
      <c r="Y73" s="7"/>
      <c r="Z73" s="7"/>
      <c r="AA73" s="7"/>
      <c r="AB73" s="7"/>
      <c r="AC73" s="7"/>
      <c r="AD73" s="36"/>
      <c r="AE73" s="36"/>
    </row>
    <row r="74">
      <c r="A74" s="294"/>
      <c r="B74" s="7"/>
      <c r="C74" s="7"/>
      <c r="D74" s="7"/>
      <c r="E74" s="7"/>
      <c r="F74" s="7"/>
      <c r="G74" s="7"/>
      <c r="H74" s="7"/>
      <c r="I74" s="7"/>
      <c r="J74" s="7"/>
      <c r="K74" s="7"/>
      <c r="L74" s="7"/>
      <c r="M74" s="7"/>
      <c r="N74" s="7"/>
      <c r="O74" s="7"/>
      <c r="P74" s="293"/>
      <c r="Q74" s="7"/>
      <c r="R74" s="7"/>
      <c r="S74" s="279"/>
      <c r="T74" s="36"/>
      <c r="U74" s="7"/>
      <c r="V74" s="7"/>
      <c r="W74" s="7"/>
      <c r="X74" s="7"/>
      <c r="Y74" s="7"/>
      <c r="Z74" s="7"/>
      <c r="AA74" s="7"/>
      <c r="AB74" s="7"/>
      <c r="AC74" s="7"/>
      <c r="AD74" s="36"/>
      <c r="AE74" s="36"/>
    </row>
    <row r="75">
      <c r="A75" s="294"/>
      <c r="B75" s="7"/>
      <c r="C75" s="7"/>
      <c r="D75" s="7"/>
      <c r="E75" s="7"/>
      <c r="F75" s="7"/>
      <c r="G75" s="7"/>
      <c r="H75" s="7"/>
      <c r="I75" s="7"/>
      <c r="J75" s="7"/>
      <c r="K75" s="7"/>
      <c r="L75" s="7"/>
      <c r="M75" s="7"/>
      <c r="N75" s="7"/>
      <c r="O75" s="7"/>
      <c r="P75" s="293"/>
      <c r="Q75" s="7"/>
      <c r="R75" s="7"/>
      <c r="S75" s="279"/>
      <c r="T75" s="36"/>
      <c r="U75" s="7"/>
      <c r="V75" s="7"/>
      <c r="W75" s="7"/>
      <c r="X75" s="7"/>
      <c r="Y75" s="7"/>
      <c r="Z75" s="7"/>
      <c r="AA75" s="7"/>
      <c r="AB75" s="7"/>
      <c r="AC75" s="7"/>
      <c r="AD75" s="36"/>
      <c r="AE75" s="36"/>
    </row>
    <row r="76">
      <c r="A76" s="294"/>
      <c r="B76" s="7"/>
      <c r="C76" s="7"/>
      <c r="D76" s="7"/>
      <c r="E76" s="7"/>
      <c r="F76" s="7"/>
      <c r="G76" s="7"/>
      <c r="H76" s="7"/>
      <c r="I76" s="7"/>
      <c r="J76" s="7"/>
      <c r="K76" s="7"/>
      <c r="L76" s="7"/>
      <c r="M76" s="7"/>
      <c r="N76" s="7"/>
      <c r="O76" s="7"/>
      <c r="P76" s="293"/>
      <c r="Q76" s="7"/>
      <c r="R76" s="7"/>
      <c r="S76" s="279"/>
      <c r="T76" s="36"/>
      <c r="U76" s="7"/>
      <c r="V76" s="7"/>
      <c r="W76" s="7"/>
      <c r="X76" s="7"/>
      <c r="Y76" s="7"/>
      <c r="Z76" s="7"/>
      <c r="AA76" s="7"/>
      <c r="AB76" s="7"/>
      <c r="AC76" s="7"/>
      <c r="AD76" s="36"/>
      <c r="AE76" s="36"/>
    </row>
    <row r="77">
      <c r="A77" s="294"/>
      <c r="B77" s="7"/>
      <c r="C77" s="7"/>
      <c r="D77" s="7"/>
      <c r="E77" s="7"/>
      <c r="F77" s="7"/>
      <c r="G77" s="7"/>
      <c r="H77" s="7"/>
      <c r="I77" s="7"/>
      <c r="J77" s="7"/>
      <c r="K77" s="7"/>
      <c r="L77" s="7"/>
      <c r="M77" s="7"/>
      <c r="N77" s="7"/>
      <c r="O77" s="7"/>
      <c r="P77" s="293"/>
      <c r="Q77" s="7"/>
      <c r="R77" s="7"/>
      <c r="S77" s="279"/>
      <c r="T77" s="36"/>
      <c r="U77" s="7"/>
      <c r="V77" s="7"/>
      <c r="W77" s="7"/>
      <c r="X77" s="7"/>
      <c r="Y77" s="7"/>
      <c r="Z77" s="7"/>
      <c r="AA77" s="7"/>
      <c r="AB77" s="7"/>
      <c r="AC77" s="7"/>
      <c r="AD77" s="36"/>
      <c r="AE77" s="36"/>
    </row>
    <row r="78">
      <c r="A78" s="294"/>
      <c r="B78" s="7"/>
      <c r="C78" s="7"/>
      <c r="D78" s="7"/>
      <c r="E78" s="7"/>
      <c r="F78" s="7"/>
      <c r="G78" s="7"/>
      <c r="H78" s="7"/>
      <c r="I78" s="7"/>
      <c r="J78" s="7"/>
      <c r="K78" s="7"/>
      <c r="L78" s="7"/>
      <c r="M78" s="7"/>
      <c r="N78" s="7"/>
      <c r="O78" s="7"/>
      <c r="P78" s="293"/>
      <c r="Q78" s="7"/>
      <c r="R78" s="7"/>
      <c r="S78" s="279"/>
      <c r="T78" s="36"/>
      <c r="U78" s="7"/>
      <c r="V78" s="7"/>
      <c r="W78" s="7"/>
      <c r="X78" s="7"/>
      <c r="Y78" s="7"/>
      <c r="Z78" s="7"/>
      <c r="AA78" s="7"/>
      <c r="AB78" s="7"/>
      <c r="AC78" s="7"/>
      <c r="AD78" s="36"/>
      <c r="AE78" s="36"/>
    </row>
    <row r="79">
      <c r="A79" s="294"/>
      <c r="B79" s="7"/>
      <c r="C79" s="7"/>
      <c r="D79" s="7"/>
      <c r="E79" s="7"/>
      <c r="F79" s="7"/>
      <c r="G79" s="7"/>
      <c r="H79" s="7"/>
      <c r="I79" s="7"/>
      <c r="J79" s="7"/>
      <c r="K79" s="7"/>
      <c r="L79" s="7"/>
      <c r="M79" s="7"/>
      <c r="N79" s="7"/>
      <c r="O79" s="7"/>
      <c r="P79" s="293"/>
      <c r="Q79" s="7"/>
      <c r="R79" s="7"/>
      <c r="S79" s="279"/>
      <c r="T79" s="36"/>
      <c r="U79" s="7"/>
      <c r="V79" s="7"/>
      <c r="W79" s="7"/>
      <c r="X79" s="7"/>
      <c r="Y79" s="7"/>
      <c r="Z79" s="7"/>
      <c r="AA79" s="7"/>
      <c r="AB79" s="7"/>
      <c r="AC79" s="7"/>
      <c r="AD79" s="36"/>
      <c r="AE79" s="36"/>
    </row>
    <row r="80">
      <c r="A80" s="294"/>
      <c r="B80" s="7"/>
      <c r="C80" s="7"/>
      <c r="D80" s="7"/>
      <c r="E80" s="7"/>
      <c r="F80" s="7"/>
      <c r="G80" s="7"/>
      <c r="H80" s="7"/>
      <c r="I80" s="7"/>
      <c r="J80" s="7"/>
      <c r="K80" s="7"/>
      <c r="L80" s="7"/>
      <c r="M80" s="7"/>
      <c r="N80" s="7"/>
      <c r="O80" s="7"/>
      <c r="P80" s="293"/>
      <c r="Q80" s="7"/>
      <c r="R80" s="7"/>
      <c r="S80" s="279"/>
      <c r="T80" s="36"/>
      <c r="U80" s="7"/>
      <c r="V80" s="7"/>
      <c r="W80" s="7"/>
      <c r="X80" s="7"/>
      <c r="Y80" s="7"/>
      <c r="Z80" s="7"/>
      <c r="AA80" s="7"/>
      <c r="AB80" s="7"/>
      <c r="AC80" s="7"/>
      <c r="AD80" s="36"/>
      <c r="AE80" s="36"/>
    </row>
    <row r="81">
      <c r="A81" s="294"/>
      <c r="B81" s="7"/>
      <c r="C81" s="7"/>
      <c r="D81" s="7"/>
      <c r="E81" s="7"/>
      <c r="F81" s="7"/>
      <c r="G81" s="7"/>
      <c r="H81" s="7"/>
      <c r="I81" s="7"/>
      <c r="J81" s="7"/>
      <c r="K81" s="7"/>
      <c r="L81" s="7"/>
      <c r="M81" s="7"/>
      <c r="N81" s="7"/>
      <c r="O81" s="7"/>
      <c r="P81" s="293"/>
      <c r="Q81" s="7"/>
      <c r="R81" s="7"/>
      <c r="S81" s="279"/>
      <c r="T81" s="36"/>
      <c r="U81" s="7"/>
      <c r="V81" s="7"/>
      <c r="W81" s="7"/>
      <c r="X81" s="7"/>
      <c r="Y81" s="7"/>
      <c r="Z81" s="7"/>
      <c r="AA81" s="7"/>
      <c r="AB81" s="7"/>
      <c r="AC81" s="7"/>
      <c r="AD81" s="36"/>
      <c r="AE81" s="36"/>
    </row>
    <row r="82">
      <c r="A82" s="294"/>
      <c r="B82" s="7"/>
      <c r="C82" s="7"/>
      <c r="D82" s="7"/>
      <c r="E82" s="7"/>
      <c r="F82" s="7"/>
      <c r="G82" s="7"/>
      <c r="H82" s="7"/>
      <c r="I82" s="7"/>
      <c r="J82" s="7"/>
      <c r="K82" s="7"/>
      <c r="L82" s="7"/>
      <c r="M82" s="7"/>
      <c r="N82" s="7"/>
      <c r="O82" s="7"/>
      <c r="P82" s="293"/>
      <c r="Q82" s="7"/>
      <c r="R82" s="7"/>
      <c r="S82" s="279"/>
      <c r="T82" s="36"/>
      <c r="U82" s="7"/>
      <c r="V82" s="7"/>
      <c r="W82" s="7"/>
      <c r="X82" s="7"/>
      <c r="Y82" s="7"/>
      <c r="Z82" s="7"/>
      <c r="AA82" s="7"/>
      <c r="AB82" s="7"/>
      <c r="AC82" s="7"/>
      <c r="AD82" s="36"/>
      <c r="AE82" s="36"/>
    </row>
    <row r="83">
      <c r="A83" s="294"/>
      <c r="B83" s="7"/>
      <c r="C83" s="7"/>
      <c r="D83" s="7"/>
      <c r="E83" s="7"/>
      <c r="F83" s="7"/>
      <c r="G83" s="7"/>
      <c r="H83" s="7"/>
      <c r="I83" s="7"/>
      <c r="J83" s="7"/>
      <c r="K83" s="7"/>
      <c r="L83" s="7"/>
      <c r="M83" s="7"/>
      <c r="N83" s="7"/>
      <c r="O83" s="7"/>
      <c r="P83" s="293"/>
      <c r="Q83" s="7"/>
      <c r="R83" s="7"/>
      <c r="S83" s="279"/>
      <c r="T83" s="36"/>
      <c r="U83" s="7"/>
      <c r="V83" s="7"/>
      <c r="W83" s="7"/>
      <c r="X83" s="7"/>
      <c r="Y83" s="7"/>
      <c r="Z83" s="7"/>
      <c r="AA83" s="7"/>
      <c r="AB83" s="7"/>
      <c r="AC83" s="7"/>
      <c r="AD83" s="36"/>
      <c r="AE83" s="36"/>
    </row>
    <row r="84">
      <c r="A84" s="294"/>
      <c r="B84" s="7"/>
      <c r="C84" s="7"/>
      <c r="D84" s="7"/>
      <c r="E84" s="7"/>
      <c r="F84" s="7"/>
      <c r="G84" s="7"/>
      <c r="H84" s="7"/>
      <c r="I84" s="7"/>
      <c r="J84" s="7"/>
      <c r="K84" s="7"/>
      <c r="L84" s="7"/>
      <c r="M84" s="7"/>
      <c r="N84" s="7"/>
      <c r="O84" s="7"/>
      <c r="P84" s="293"/>
      <c r="Q84" s="7"/>
      <c r="R84" s="7"/>
      <c r="S84" s="279"/>
      <c r="T84" s="36"/>
      <c r="U84" s="7"/>
      <c r="V84" s="7"/>
      <c r="W84" s="7"/>
      <c r="X84" s="7"/>
      <c r="Y84" s="7"/>
      <c r="Z84" s="7"/>
      <c r="AA84" s="7"/>
      <c r="AB84" s="7"/>
      <c r="AC84" s="7"/>
      <c r="AD84" s="36"/>
      <c r="AE84" s="36"/>
    </row>
    <row r="85">
      <c r="A85" s="294"/>
      <c r="B85" s="7"/>
      <c r="C85" s="7"/>
      <c r="D85" s="7"/>
      <c r="E85" s="7"/>
      <c r="F85" s="7"/>
      <c r="G85" s="7"/>
      <c r="H85" s="7"/>
      <c r="I85" s="7"/>
      <c r="J85" s="7"/>
      <c r="K85" s="7"/>
      <c r="L85" s="7"/>
      <c r="M85" s="7"/>
      <c r="N85" s="7"/>
      <c r="O85" s="7"/>
      <c r="P85" s="293"/>
      <c r="Q85" s="7"/>
      <c r="R85" s="7"/>
      <c r="S85" s="279"/>
      <c r="T85" s="36"/>
      <c r="U85" s="7"/>
      <c r="V85" s="7"/>
      <c r="W85" s="7"/>
      <c r="X85" s="7"/>
      <c r="Y85" s="7"/>
      <c r="Z85" s="7"/>
      <c r="AA85" s="7"/>
      <c r="AB85" s="7"/>
      <c r="AC85" s="7"/>
      <c r="AD85" s="36"/>
      <c r="AE85" s="36"/>
    </row>
    <row r="86">
      <c r="A86" s="294"/>
      <c r="B86" s="7"/>
      <c r="C86" s="7"/>
      <c r="D86" s="7"/>
      <c r="E86" s="7"/>
      <c r="F86" s="7"/>
      <c r="G86" s="7"/>
      <c r="H86" s="7"/>
      <c r="I86" s="7"/>
      <c r="J86" s="7"/>
      <c r="K86" s="7"/>
      <c r="L86" s="7"/>
      <c r="M86" s="7"/>
      <c r="N86" s="7"/>
      <c r="O86" s="7"/>
      <c r="P86" s="293"/>
      <c r="Q86" s="7"/>
      <c r="R86" s="7"/>
      <c r="S86" s="279"/>
      <c r="T86" s="36"/>
      <c r="U86" s="7"/>
      <c r="V86" s="7"/>
      <c r="W86" s="7"/>
      <c r="X86" s="7"/>
      <c r="Y86" s="7"/>
      <c r="Z86" s="7"/>
      <c r="AA86" s="7"/>
      <c r="AB86" s="7"/>
      <c r="AC86" s="7"/>
      <c r="AD86" s="36"/>
      <c r="AE86" s="36"/>
    </row>
    <row r="87">
      <c r="A87" s="294"/>
      <c r="B87" s="7"/>
      <c r="C87" s="7"/>
      <c r="D87" s="7"/>
      <c r="E87" s="7"/>
      <c r="F87" s="7"/>
      <c r="G87" s="7"/>
      <c r="H87" s="7"/>
      <c r="I87" s="7"/>
      <c r="J87" s="7"/>
      <c r="K87" s="7"/>
      <c r="L87" s="7"/>
      <c r="M87" s="7"/>
      <c r="N87" s="7"/>
      <c r="O87" s="7"/>
      <c r="P87" s="293"/>
      <c r="Q87" s="7"/>
      <c r="R87" s="7"/>
      <c r="S87" s="279"/>
      <c r="T87" s="36"/>
      <c r="U87" s="7"/>
      <c r="V87" s="7"/>
      <c r="W87" s="7"/>
      <c r="X87" s="7"/>
      <c r="Y87" s="7"/>
      <c r="Z87" s="7"/>
      <c r="AA87" s="7"/>
      <c r="AB87" s="7"/>
      <c r="AC87" s="7"/>
      <c r="AD87" s="36"/>
      <c r="AE87" s="36"/>
    </row>
    <row r="88">
      <c r="A88" s="294"/>
      <c r="B88" s="7"/>
      <c r="C88" s="7"/>
      <c r="D88" s="7"/>
      <c r="E88" s="7"/>
      <c r="F88" s="7"/>
      <c r="G88" s="7"/>
      <c r="H88" s="7"/>
      <c r="I88" s="7"/>
      <c r="J88" s="7"/>
      <c r="K88" s="7"/>
      <c r="L88" s="7"/>
      <c r="M88" s="7"/>
      <c r="N88" s="7"/>
      <c r="O88" s="7"/>
      <c r="P88" s="293"/>
      <c r="Q88" s="7"/>
      <c r="R88" s="7"/>
      <c r="S88" s="279"/>
      <c r="T88" s="36"/>
      <c r="U88" s="7"/>
      <c r="V88" s="7"/>
      <c r="W88" s="7"/>
      <c r="X88" s="7"/>
      <c r="Y88" s="7"/>
      <c r="Z88" s="7"/>
      <c r="AA88" s="7"/>
      <c r="AB88" s="7"/>
      <c r="AC88" s="7"/>
      <c r="AD88" s="36"/>
      <c r="AE88" s="36"/>
    </row>
    <row r="89">
      <c r="A89" s="294"/>
      <c r="B89" s="7"/>
      <c r="C89" s="7"/>
      <c r="D89" s="7"/>
      <c r="E89" s="7"/>
      <c r="F89" s="7"/>
      <c r="G89" s="7"/>
      <c r="H89" s="7"/>
      <c r="I89" s="7"/>
      <c r="J89" s="7"/>
      <c r="K89" s="7"/>
      <c r="L89" s="7"/>
      <c r="M89" s="7"/>
      <c r="N89" s="7"/>
      <c r="O89" s="7"/>
      <c r="P89" s="293"/>
      <c r="Q89" s="7"/>
      <c r="R89" s="7"/>
      <c r="S89" s="279"/>
      <c r="T89" s="36"/>
      <c r="U89" s="7"/>
      <c r="V89" s="7"/>
      <c r="W89" s="7"/>
      <c r="X89" s="7"/>
      <c r="Y89" s="7"/>
      <c r="Z89" s="7"/>
      <c r="AA89" s="7"/>
      <c r="AB89" s="7"/>
      <c r="AC89" s="7"/>
      <c r="AD89" s="36"/>
      <c r="AE89" s="36"/>
    </row>
    <row r="90">
      <c r="A90" s="294"/>
      <c r="B90" s="7"/>
      <c r="C90" s="7"/>
      <c r="D90" s="7"/>
      <c r="E90" s="7"/>
      <c r="F90" s="7"/>
      <c r="G90" s="7"/>
      <c r="H90" s="7"/>
      <c r="I90" s="7"/>
      <c r="J90" s="7"/>
      <c r="K90" s="7"/>
      <c r="L90" s="7"/>
      <c r="M90" s="7"/>
      <c r="N90" s="7"/>
      <c r="O90" s="7"/>
      <c r="P90" s="293"/>
      <c r="Q90" s="7"/>
      <c r="R90" s="7"/>
      <c r="S90" s="279"/>
      <c r="T90" s="36"/>
      <c r="U90" s="7"/>
      <c r="V90" s="7"/>
      <c r="W90" s="7"/>
      <c r="X90" s="7"/>
      <c r="Y90" s="7"/>
      <c r="Z90" s="7"/>
      <c r="AA90" s="7"/>
      <c r="AB90" s="7"/>
      <c r="AC90" s="7"/>
      <c r="AD90" s="36"/>
      <c r="AE90" s="36"/>
    </row>
    <row r="91">
      <c r="A91" s="294"/>
      <c r="B91" s="7"/>
      <c r="C91" s="7"/>
      <c r="D91" s="7"/>
      <c r="E91" s="7"/>
      <c r="F91" s="7"/>
      <c r="G91" s="7"/>
      <c r="H91" s="7"/>
      <c r="I91" s="7"/>
      <c r="J91" s="7"/>
      <c r="K91" s="7"/>
      <c r="L91" s="7"/>
      <c r="M91" s="7"/>
      <c r="N91" s="7"/>
      <c r="O91" s="7"/>
      <c r="P91" s="293"/>
      <c r="Q91" s="7"/>
      <c r="R91" s="7"/>
      <c r="S91" s="279"/>
      <c r="T91" s="36"/>
      <c r="U91" s="7"/>
      <c r="V91" s="7"/>
      <c r="W91" s="7"/>
      <c r="X91" s="7"/>
      <c r="Y91" s="7"/>
      <c r="Z91" s="7"/>
      <c r="AA91" s="7"/>
      <c r="AB91" s="7"/>
      <c r="AC91" s="7"/>
      <c r="AD91" s="36"/>
      <c r="AE91" s="36"/>
    </row>
    <row r="92">
      <c r="A92" s="294"/>
      <c r="B92" s="7"/>
      <c r="C92" s="7"/>
      <c r="D92" s="7"/>
      <c r="E92" s="7"/>
      <c r="F92" s="7"/>
      <c r="G92" s="7"/>
      <c r="H92" s="7"/>
      <c r="I92" s="7"/>
      <c r="J92" s="7"/>
      <c r="K92" s="7"/>
      <c r="L92" s="7"/>
      <c r="M92" s="7"/>
      <c r="N92" s="7"/>
      <c r="O92" s="7"/>
      <c r="P92" s="293"/>
      <c r="Q92" s="7"/>
      <c r="R92" s="7"/>
      <c r="S92" s="279"/>
      <c r="T92" s="36"/>
      <c r="U92" s="7"/>
      <c r="V92" s="7"/>
      <c r="W92" s="7"/>
      <c r="X92" s="7"/>
      <c r="Y92" s="7"/>
      <c r="Z92" s="7"/>
      <c r="AA92" s="7"/>
      <c r="AB92" s="7"/>
      <c r="AC92" s="7"/>
      <c r="AD92" s="36"/>
      <c r="AE92" s="36"/>
    </row>
    <row r="93">
      <c r="A93" s="294"/>
      <c r="B93" s="7"/>
      <c r="C93" s="7"/>
      <c r="D93" s="7"/>
      <c r="E93" s="7"/>
      <c r="F93" s="7"/>
      <c r="G93" s="7"/>
      <c r="H93" s="7"/>
      <c r="I93" s="7"/>
      <c r="J93" s="7"/>
      <c r="K93" s="7"/>
      <c r="L93" s="7"/>
      <c r="M93" s="7"/>
      <c r="N93" s="7"/>
      <c r="O93" s="7"/>
      <c r="P93" s="293"/>
      <c r="Q93" s="7"/>
      <c r="R93" s="7"/>
      <c r="S93" s="279"/>
      <c r="T93" s="36"/>
      <c r="U93" s="7"/>
      <c r="V93" s="7"/>
      <c r="W93" s="7"/>
      <c r="X93" s="7"/>
      <c r="Y93" s="7"/>
      <c r="Z93" s="7"/>
      <c r="AA93" s="7"/>
      <c r="AB93" s="7"/>
      <c r="AC93" s="7"/>
      <c r="AD93" s="36"/>
      <c r="AE93" s="36"/>
    </row>
    <row r="94">
      <c r="A94" s="294"/>
      <c r="B94" s="7"/>
      <c r="C94" s="7"/>
      <c r="D94" s="7"/>
      <c r="E94" s="7"/>
      <c r="F94" s="7"/>
      <c r="G94" s="7"/>
      <c r="H94" s="7"/>
      <c r="I94" s="7"/>
      <c r="J94" s="7"/>
      <c r="K94" s="7"/>
      <c r="L94" s="7"/>
      <c r="M94" s="7"/>
      <c r="N94" s="7"/>
      <c r="O94" s="7"/>
      <c r="P94" s="293"/>
      <c r="Q94" s="7"/>
      <c r="R94" s="7"/>
      <c r="S94" s="279"/>
      <c r="T94" s="36"/>
      <c r="U94" s="7"/>
      <c r="V94" s="7"/>
      <c r="W94" s="7"/>
      <c r="X94" s="7"/>
      <c r="Y94" s="7"/>
      <c r="Z94" s="7"/>
      <c r="AA94" s="7"/>
      <c r="AB94" s="7"/>
      <c r="AC94" s="7"/>
      <c r="AD94" s="36"/>
      <c r="AE94" s="36"/>
    </row>
    <row r="95">
      <c r="A95" s="294"/>
      <c r="B95" s="7"/>
      <c r="C95" s="7"/>
      <c r="D95" s="7"/>
      <c r="E95" s="7"/>
      <c r="F95" s="7"/>
      <c r="G95" s="7"/>
      <c r="H95" s="7"/>
      <c r="I95" s="7"/>
      <c r="J95" s="7"/>
      <c r="K95" s="7"/>
      <c r="L95" s="7"/>
      <c r="M95" s="7"/>
      <c r="N95" s="7"/>
      <c r="O95" s="7"/>
      <c r="P95" s="293"/>
      <c r="Q95" s="7"/>
      <c r="R95" s="7"/>
      <c r="S95" s="279"/>
      <c r="T95" s="36"/>
      <c r="U95" s="7"/>
      <c r="V95" s="7"/>
      <c r="W95" s="7"/>
      <c r="X95" s="7"/>
      <c r="Y95" s="7"/>
      <c r="Z95" s="7"/>
      <c r="AA95" s="7"/>
      <c r="AB95" s="7"/>
      <c r="AC95" s="7"/>
      <c r="AD95" s="36"/>
      <c r="AE95" s="36"/>
    </row>
    <row r="96">
      <c r="A96" s="294"/>
      <c r="B96" s="7"/>
      <c r="C96" s="7"/>
      <c r="D96" s="7"/>
      <c r="E96" s="7"/>
      <c r="F96" s="7"/>
      <c r="G96" s="7"/>
      <c r="H96" s="7"/>
      <c r="I96" s="7"/>
      <c r="J96" s="7"/>
      <c r="K96" s="7"/>
      <c r="L96" s="7"/>
      <c r="M96" s="7"/>
      <c r="N96" s="7"/>
      <c r="O96" s="7"/>
      <c r="P96" s="293"/>
      <c r="Q96" s="7"/>
      <c r="R96" s="7"/>
      <c r="S96" s="279"/>
      <c r="T96" s="36"/>
      <c r="U96" s="7"/>
      <c r="V96" s="7"/>
      <c r="W96" s="7"/>
      <c r="X96" s="7"/>
      <c r="Y96" s="7"/>
      <c r="Z96" s="7"/>
      <c r="AA96" s="7"/>
      <c r="AB96" s="7"/>
      <c r="AC96" s="7"/>
      <c r="AD96" s="36"/>
      <c r="AE96" s="36"/>
    </row>
    <row r="97">
      <c r="A97" s="294"/>
      <c r="B97" s="7"/>
      <c r="C97" s="7"/>
      <c r="D97" s="7"/>
      <c r="E97" s="7"/>
      <c r="F97" s="7"/>
      <c r="G97" s="7"/>
      <c r="H97" s="7"/>
      <c r="I97" s="7"/>
      <c r="J97" s="7"/>
      <c r="K97" s="7"/>
      <c r="L97" s="7"/>
      <c r="M97" s="7"/>
      <c r="N97" s="7"/>
      <c r="O97" s="7"/>
      <c r="P97" s="293"/>
      <c r="Q97" s="7"/>
      <c r="R97" s="7"/>
      <c r="S97" s="279"/>
      <c r="T97" s="36"/>
      <c r="U97" s="7"/>
      <c r="V97" s="7"/>
      <c r="W97" s="7"/>
      <c r="X97" s="7"/>
      <c r="Y97" s="7"/>
      <c r="Z97" s="7"/>
      <c r="AA97" s="7"/>
      <c r="AB97" s="7"/>
      <c r="AC97" s="7"/>
      <c r="AD97" s="36"/>
      <c r="AE97" s="36"/>
    </row>
    <row r="98">
      <c r="A98" s="294"/>
      <c r="B98" s="7"/>
      <c r="C98" s="7"/>
      <c r="D98" s="7"/>
      <c r="E98" s="7"/>
      <c r="F98" s="7"/>
      <c r="G98" s="7"/>
      <c r="H98" s="7"/>
      <c r="I98" s="7"/>
      <c r="J98" s="7"/>
      <c r="K98" s="7"/>
      <c r="L98" s="7"/>
      <c r="M98" s="7"/>
      <c r="N98" s="7"/>
      <c r="O98" s="7"/>
      <c r="P98" s="293"/>
      <c r="Q98" s="7"/>
      <c r="R98" s="7"/>
      <c r="S98" s="279"/>
      <c r="T98" s="36"/>
      <c r="U98" s="7"/>
      <c r="V98" s="7"/>
      <c r="W98" s="7"/>
      <c r="X98" s="7"/>
      <c r="Y98" s="7"/>
      <c r="Z98" s="7"/>
      <c r="AA98" s="7"/>
      <c r="AB98" s="7"/>
      <c r="AC98" s="7"/>
      <c r="AD98" s="36"/>
      <c r="AE98" s="36"/>
    </row>
    <row r="99">
      <c r="A99" s="294"/>
      <c r="B99" s="7"/>
      <c r="C99" s="7"/>
      <c r="D99" s="7"/>
      <c r="E99" s="7"/>
      <c r="F99" s="7"/>
      <c r="G99" s="7"/>
      <c r="H99" s="7"/>
      <c r="I99" s="7"/>
      <c r="J99" s="7"/>
      <c r="K99" s="7"/>
      <c r="L99" s="7"/>
      <c r="M99" s="7"/>
      <c r="N99" s="7"/>
      <c r="O99" s="7"/>
      <c r="P99" s="293"/>
      <c r="Q99" s="7"/>
      <c r="R99" s="7"/>
      <c r="S99" s="279"/>
      <c r="T99" s="36"/>
      <c r="U99" s="7"/>
      <c r="V99" s="7"/>
      <c r="W99" s="7"/>
      <c r="X99" s="7"/>
      <c r="Y99" s="7"/>
      <c r="Z99" s="7"/>
      <c r="AA99" s="7"/>
      <c r="AB99" s="7"/>
      <c r="AC99" s="7"/>
      <c r="AD99" s="36"/>
      <c r="AE99" s="36"/>
    </row>
    <row r="100">
      <c r="A100" s="294"/>
      <c r="B100" s="7"/>
      <c r="C100" s="7"/>
      <c r="D100" s="7"/>
      <c r="E100" s="7"/>
      <c r="F100" s="7"/>
      <c r="G100" s="7"/>
      <c r="H100" s="7"/>
      <c r="I100" s="7"/>
      <c r="J100" s="7"/>
      <c r="K100" s="7"/>
      <c r="L100" s="7"/>
      <c r="M100" s="7"/>
      <c r="N100" s="7"/>
      <c r="O100" s="7"/>
      <c r="P100" s="293"/>
      <c r="Q100" s="7"/>
      <c r="R100" s="7"/>
      <c r="S100" s="279"/>
      <c r="T100" s="36"/>
      <c r="U100" s="7"/>
      <c r="V100" s="7"/>
      <c r="W100" s="7"/>
      <c r="X100" s="7"/>
      <c r="Y100" s="7"/>
      <c r="Z100" s="7"/>
      <c r="AA100" s="7"/>
      <c r="AB100" s="7"/>
      <c r="AC100" s="7"/>
      <c r="AD100" s="36"/>
      <c r="AE100" s="36"/>
    </row>
    <row r="101">
      <c r="A101" s="294"/>
      <c r="B101" s="7"/>
      <c r="C101" s="7"/>
      <c r="D101" s="7"/>
      <c r="E101" s="7"/>
      <c r="F101" s="7"/>
      <c r="G101" s="7"/>
      <c r="H101" s="7"/>
      <c r="I101" s="7"/>
      <c r="J101" s="7"/>
      <c r="K101" s="7"/>
      <c r="L101" s="7"/>
      <c r="M101" s="7"/>
      <c r="N101" s="7"/>
      <c r="O101" s="7"/>
      <c r="P101" s="293"/>
      <c r="Q101" s="7"/>
      <c r="R101" s="7"/>
      <c r="S101" s="279"/>
      <c r="T101" s="36"/>
      <c r="U101" s="7"/>
      <c r="V101" s="7"/>
      <c r="W101" s="7"/>
      <c r="X101" s="7"/>
      <c r="Y101" s="7"/>
      <c r="Z101" s="7"/>
      <c r="AA101" s="7"/>
      <c r="AB101" s="7"/>
      <c r="AC101" s="7"/>
      <c r="AD101" s="36"/>
      <c r="AE101" s="36"/>
    </row>
    <row r="102">
      <c r="A102" s="294"/>
      <c r="B102" s="7"/>
      <c r="C102" s="7"/>
      <c r="D102" s="7"/>
      <c r="E102" s="7"/>
      <c r="F102" s="7"/>
      <c r="G102" s="7"/>
      <c r="H102" s="7"/>
      <c r="I102" s="7"/>
      <c r="J102" s="7"/>
      <c r="K102" s="7"/>
      <c r="L102" s="7"/>
      <c r="M102" s="7"/>
      <c r="N102" s="7"/>
      <c r="O102" s="7"/>
      <c r="P102" s="293"/>
      <c r="Q102" s="7"/>
      <c r="R102" s="7"/>
      <c r="S102" s="279"/>
      <c r="T102" s="36"/>
      <c r="U102" s="7"/>
      <c r="V102" s="7"/>
      <c r="W102" s="7"/>
      <c r="X102" s="7"/>
      <c r="Y102" s="7"/>
      <c r="Z102" s="7"/>
      <c r="AA102" s="7"/>
      <c r="AB102" s="7"/>
      <c r="AC102" s="7"/>
      <c r="AD102" s="36"/>
      <c r="AE102" s="36"/>
    </row>
    <row r="103">
      <c r="A103" s="294"/>
      <c r="B103" s="7"/>
      <c r="C103" s="7"/>
      <c r="D103" s="7"/>
      <c r="E103" s="7"/>
      <c r="F103" s="7"/>
      <c r="G103" s="7"/>
      <c r="H103" s="7"/>
      <c r="I103" s="7"/>
      <c r="J103" s="7"/>
      <c r="K103" s="7"/>
      <c r="L103" s="7"/>
      <c r="M103" s="7"/>
      <c r="N103" s="7"/>
      <c r="O103" s="7"/>
      <c r="P103" s="293"/>
      <c r="Q103" s="7"/>
      <c r="R103" s="7"/>
      <c r="S103" s="279"/>
      <c r="T103" s="36"/>
      <c r="U103" s="7"/>
      <c r="V103" s="7"/>
      <c r="W103" s="7"/>
      <c r="X103" s="7"/>
      <c r="Y103" s="7"/>
      <c r="Z103" s="7"/>
      <c r="AA103" s="7"/>
      <c r="AB103" s="7"/>
      <c r="AC103" s="7"/>
      <c r="AD103" s="36"/>
      <c r="AE103" s="36"/>
    </row>
    <row r="104">
      <c r="A104" s="294"/>
      <c r="B104" s="7"/>
      <c r="C104" s="7"/>
      <c r="D104" s="7"/>
      <c r="E104" s="7"/>
      <c r="F104" s="7"/>
      <c r="G104" s="7"/>
      <c r="H104" s="7"/>
      <c r="I104" s="7"/>
      <c r="J104" s="7"/>
      <c r="K104" s="7"/>
      <c r="L104" s="7"/>
      <c r="M104" s="7"/>
      <c r="N104" s="7"/>
      <c r="O104" s="7"/>
      <c r="P104" s="293"/>
      <c r="Q104" s="7"/>
      <c r="R104" s="7"/>
      <c r="S104" s="279"/>
      <c r="T104" s="36"/>
      <c r="U104" s="7"/>
      <c r="V104" s="7"/>
      <c r="W104" s="7"/>
      <c r="X104" s="7"/>
      <c r="Y104" s="7"/>
      <c r="Z104" s="7"/>
      <c r="AA104" s="7"/>
      <c r="AB104" s="7"/>
      <c r="AC104" s="7"/>
      <c r="AD104" s="36"/>
      <c r="AE104" s="36"/>
    </row>
    <row r="105">
      <c r="A105" s="294"/>
      <c r="B105" s="7"/>
      <c r="C105" s="7"/>
      <c r="D105" s="7"/>
      <c r="E105" s="7"/>
      <c r="F105" s="7"/>
      <c r="G105" s="7"/>
      <c r="H105" s="7"/>
      <c r="I105" s="7"/>
      <c r="J105" s="7"/>
      <c r="K105" s="7"/>
      <c r="L105" s="7"/>
      <c r="M105" s="7"/>
      <c r="N105" s="7"/>
      <c r="O105" s="7"/>
      <c r="P105" s="293"/>
      <c r="Q105" s="7"/>
      <c r="R105" s="7"/>
      <c r="S105" s="279"/>
      <c r="T105" s="36"/>
      <c r="U105" s="7"/>
      <c r="V105" s="7"/>
      <c r="W105" s="7"/>
      <c r="X105" s="7"/>
      <c r="Y105" s="7"/>
      <c r="Z105" s="7"/>
      <c r="AA105" s="7"/>
      <c r="AB105" s="7"/>
      <c r="AC105" s="7"/>
      <c r="AD105" s="36"/>
      <c r="AE105" s="36"/>
    </row>
    <row r="106">
      <c r="A106" s="294"/>
      <c r="B106" s="7"/>
      <c r="C106" s="7"/>
      <c r="D106" s="7"/>
      <c r="E106" s="7"/>
      <c r="F106" s="7"/>
      <c r="G106" s="7"/>
      <c r="H106" s="7"/>
      <c r="I106" s="7"/>
      <c r="J106" s="7"/>
      <c r="K106" s="7"/>
      <c r="L106" s="7"/>
      <c r="M106" s="7"/>
      <c r="N106" s="7"/>
      <c r="O106" s="7"/>
      <c r="P106" s="293"/>
      <c r="Q106" s="7"/>
      <c r="R106" s="7"/>
      <c r="S106" s="279"/>
      <c r="T106" s="36"/>
      <c r="U106" s="7"/>
      <c r="V106" s="7"/>
      <c r="W106" s="7"/>
      <c r="X106" s="7"/>
      <c r="Y106" s="7"/>
      <c r="Z106" s="7"/>
      <c r="AA106" s="7"/>
      <c r="AB106" s="7"/>
      <c r="AC106" s="7"/>
      <c r="AD106" s="36"/>
      <c r="AE106" s="36"/>
    </row>
    <row r="107">
      <c r="A107" s="294"/>
      <c r="B107" s="7"/>
      <c r="C107" s="7"/>
      <c r="D107" s="7"/>
      <c r="E107" s="7"/>
      <c r="F107" s="7"/>
      <c r="G107" s="7"/>
      <c r="H107" s="7"/>
      <c r="I107" s="7"/>
      <c r="J107" s="7"/>
      <c r="K107" s="7"/>
      <c r="L107" s="7"/>
      <c r="M107" s="7"/>
      <c r="N107" s="7"/>
      <c r="O107" s="7"/>
      <c r="P107" s="293"/>
      <c r="Q107" s="7"/>
      <c r="R107" s="7"/>
      <c r="S107" s="279"/>
      <c r="T107" s="36"/>
      <c r="U107" s="7"/>
      <c r="V107" s="7"/>
      <c r="W107" s="7"/>
      <c r="X107" s="7"/>
      <c r="Y107" s="7"/>
      <c r="Z107" s="7"/>
      <c r="AA107" s="7"/>
      <c r="AB107" s="7"/>
      <c r="AC107" s="7"/>
      <c r="AD107" s="36"/>
      <c r="AE107" s="36"/>
    </row>
    <row r="108">
      <c r="A108" s="294"/>
      <c r="B108" s="7"/>
      <c r="C108" s="7"/>
      <c r="D108" s="7"/>
      <c r="E108" s="7"/>
      <c r="F108" s="7"/>
      <c r="G108" s="7"/>
      <c r="H108" s="7"/>
      <c r="I108" s="7"/>
      <c r="J108" s="7"/>
      <c r="K108" s="7"/>
      <c r="L108" s="7"/>
      <c r="M108" s="7"/>
      <c r="N108" s="7"/>
      <c r="O108" s="7"/>
      <c r="P108" s="293"/>
      <c r="Q108" s="7"/>
      <c r="R108" s="7"/>
      <c r="S108" s="279"/>
      <c r="T108" s="36"/>
      <c r="U108" s="7"/>
      <c r="V108" s="7"/>
      <c r="W108" s="7"/>
      <c r="X108" s="7"/>
      <c r="Y108" s="7"/>
      <c r="Z108" s="7"/>
      <c r="AA108" s="7"/>
      <c r="AB108" s="7"/>
      <c r="AC108" s="7"/>
      <c r="AD108" s="36"/>
      <c r="AE108" s="36"/>
    </row>
    <row r="109">
      <c r="A109" s="294"/>
      <c r="B109" s="7"/>
      <c r="C109" s="7"/>
      <c r="D109" s="7"/>
      <c r="E109" s="7"/>
      <c r="F109" s="7"/>
      <c r="G109" s="7"/>
      <c r="H109" s="7"/>
      <c r="I109" s="7"/>
      <c r="J109" s="7"/>
      <c r="K109" s="7"/>
      <c r="L109" s="7"/>
      <c r="M109" s="7"/>
      <c r="N109" s="7"/>
      <c r="O109" s="7"/>
      <c r="P109" s="293"/>
      <c r="Q109" s="7"/>
      <c r="R109" s="7"/>
      <c r="S109" s="279"/>
      <c r="T109" s="36"/>
      <c r="U109" s="7"/>
      <c r="V109" s="7"/>
      <c r="W109" s="7"/>
      <c r="X109" s="7"/>
      <c r="Y109" s="7"/>
      <c r="Z109" s="7"/>
      <c r="AA109" s="7"/>
      <c r="AB109" s="7"/>
      <c r="AC109" s="7"/>
      <c r="AD109" s="36"/>
      <c r="AE109" s="36"/>
    </row>
    <row r="110">
      <c r="A110" s="294"/>
      <c r="B110" s="7"/>
      <c r="C110" s="7"/>
      <c r="D110" s="7"/>
      <c r="E110" s="7"/>
      <c r="F110" s="7"/>
      <c r="G110" s="7"/>
      <c r="H110" s="7"/>
      <c r="I110" s="7"/>
      <c r="J110" s="7"/>
      <c r="K110" s="7"/>
      <c r="L110" s="7"/>
      <c r="M110" s="7"/>
      <c r="N110" s="7"/>
      <c r="O110" s="7"/>
      <c r="P110" s="293"/>
      <c r="Q110" s="7"/>
      <c r="R110" s="7"/>
      <c r="S110" s="279"/>
      <c r="T110" s="36"/>
      <c r="U110" s="7"/>
      <c r="V110" s="7"/>
      <c r="W110" s="7"/>
      <c r="X110" s="7"/>
      <c r="Y110" s="7"/>
      <c r="Z110" s="7"/>
      <c r="AA110" s="7"/>
      <c r="AB110" s="7"/>
      <c r="AC110" s="7"/>
      <c r="AD110" s="36"/>
      <c r="AE110" s="36"/>
    </row>
    <row r="111">
      <c r="A111" s="294"/>
      <c r="B111" s="7"/>
      <c r="C111" s="7"/>
      <c r="D111" s="7"/>
      <c r="E111" s="7"/>
      <c r="F111" s="7"/>
      <c r="G111" s="7"/>
      <c r="H111" s="7"/>
      <c r="I111" s="7"/>
      <c r="J111" s="7"/>
      <c r="K111" s="7"/>
      <c r="L111" s="7"/>
      <c r="M111" s="7"/>
      <c r="N111" s="7"/>
      <c r="O111" s="7"/>
      <c r="P111" s="293"/>
      <c r="Q111" s="7"/>
      <c r="R111" s="7"/>
      <c r="S111" s="279"/>
      <c r="T111" s="36"/>
      <c r="U111" s="7"/>
      <c r="V111" s="7"/>
      <c r="W111" s="7"/>
      <c r="X111" s="7"/>
      <c r="Y111" s="7"/>
      <c r="Z111" s="7"/>
      <c r="AA111" s="7"/>
      <c r="AB111" s="7"/>
      <c r="AC111" s="7"/>
      <c r="AD111" s="36"/>
      <c r="AE111" s="36"/>
    </row>
    <row r="112">
      <c r="A112" s="294"/>
      <c r="B112" s="7"/>
      <c r="C112" s="7"/>
      <c r="D112" s="7"/>
      <c r="E112" s="7"/>
      <c r="F112" s="7"/>
      <c r="G112" s="7"/>
      <c r="H112" s="7"/>
      <c r="I112" s="7"/>
      <c r="J112" s="7"/>
      <c r="K112" s="7"/>
      <c r="L112" s="7"/>
      <c r="M112" s="7"/>
      <c r="N112" s="7"/>
      <c r="O112" s="7"/>
      <c r="P112" s="293"/>
      <c r="Q112" s="7"/>
      <c r="R112" s="7"/>
      <c r="S112" s="279"/>
      <c r="T112" s="36"/>
      <c r="U112" s="7"/>
      <c r="V112" s="7"/>
      <c r="W112" s="7"/>
      <c r="X112" s="7"/>
      <c r="Y112" s="7"/>
      <c r="Z112" s="7"/>
      <c r="AA112" s="7"/>
      <c r="AB112" s="7"/>
      <c r="AC112" s="7"/>
      <c r="AD112" s="36"/>
      <c r="AE112" s="36"/>
    </row>
    <row r="113">
      <c r="A113" s="294"/>
      <c r="B113" s="7"/>
      <c r="C113" s="7"/>
      <c r="D113" s="7"/>
      <c r="E113" s="7"/>
      <c r="F113" s="7"/>
      <c r="G113" s="7"/>
      <c r="H113" s="7"/>
      <c r="I113" s="7"/>
      <c r="J113" s="7"/>
      <c r="K113" s="7"/>
      <c r="L113" s="7"/>
      <c r="M113" s="7"/>
      <c r="N113" s="7"/>
      <c r="O113" s="7"/>
      <c r="P113" s="293"/>
      <c r="Q113" s="7"/>
      <c r="R113" s="7"/>
      <c r="S113" s="279"/>
      <c r="T113" s="36"/>
      <c r="U113" s="7"/>
      <c r="V113" s="7"/>
      <c r="W113" s="7"/>
      <c r="X113" s="7"/>
      <c r="Y113" s="7"/>
      <c r="Z113" s="7"/>
      <c r="AA113" s="7"/>
      <c r="AB113" s="7"/>
      <c r="AC113" s="7"/>
      <c r="AD113" s="36"/>
      <c r="AE113" s="36"/>
    </row>
    <row r="114">
      <c r="A114" s="294"/>
      <c r="B114" s="7"/>
      <c r="C114" s="7"/>
      <c r="D114" s="7"/>
      <c r="E114" s="7"/>
      <c r="F114" s="7"/>
      <c r="G114" s="7"/>
      <c r="H114" s="7"/>
      <c r="I114" s="7"/>
      <c r="J114" s="7"/>
      <c r="K114" s="7"/>
      <c r="L114" s="7"/>
      <c r="M114" s="7"/>
      <c r="N114" s="7"/>
      <c r="O114" s="7"/>
      <c r="P114" s="293"/>
      <c r="Q114" s="7"/>
      <c r="R114" s="7"/>
      <c r="S114" s="279"/>
      <c r="T114" s="36"/>
      <c r="U114" s="7"/>
      <c r="V114" s="7"/>
      <c r="W114" s="7"/>
      <c r="X114" s="7"/>
      <c r="Y114" s="7"/>
      <c r="Z114" s="7"/>
      <c r="AA114" s="7"/>
      <c r="AB114" s="7"/>
      <c r="AC114" s="7"/>
      <c r="AD114" s="36"/>
      <c r="AE114" s="36"/>
    </row>
    <row r="115">
      <c r="A115" s="294"/>
      <c r="B115" s="7"/>
      <c r="C115" s="7"/>
      <c r="D115" s="7"/>
      <c r="E115" s="7"/>
      <c r="F115" s="7"/>
      <c r="G115" s="7"/>
      <c r="H115" s="7"/>
      <c r="I115" s="7"/>
      <c r="J115" s="7"/>
      <c r="K115" s="7"/>
      <c r="L115" s="7"/>
      <c r="M115" s="7"/>
      <c r="N115" s="7"/>
      <c r="O115" s="7"/>
      <c r="P115" s="293"/>
      <c r="Q115" s="7"/>
      <c r="R115" s="7"/>
      <c r="S115" s="279"/>
      <c r="T115" s="36"/>
      <c r="U115" s="7"/>
      <c r="V115" s="7"/>
      <c r="W115" s="7"/>
      <c r="X115" s="7"/>
      <c r="Y115" s="7"/>
      <c r="Z115" s="7"/>
      <c r="AA115" s="7"/>
      <c r="AB115" s="7"/>
      <c r="AC115" s="7"/>
      <c r="AD115" s="36"/>
      <c r="AE115" s="36"/>
    </row>
    <row r="116">
      <c r="A116" s="294"/>
      <c r="B116" s="7"/>
      <c r="C116" s="7"/>
      <c r="D116" s="7"/>
      <c r="E116" s="7"/>
      <c r="F116" s="7"/>
      <c r="G116" s="7"/>
      <c r="H116" s="7"/>
      <c r="I116" s="7"/>
      <c r="J116" s="7"/>
      <c r="K116" s="7"/>
      <c r="L116" s="7"/>
      <c r="M116" s="7"/>
      <c r="N116" s="7"/>
      <c r="O116" s="7"/>
      <c r="P116" s="293"/>
      <c r="Q116" s="7"/>
      <c r="R116" s="7"/>
      <c r="S116" s="279"/>
      <c r="T116" s="36"/>
      <c r="U116" s="7"/>
      <c r="V116" s="7"/>
      <c r="W116" s="7"/>
      <c r="X116" s="7"/>
      <c r="Y116" s="7"/>
      <c r="Z116" s="7"/>
      <c r="AA116" s="7"/>
      <c r="AB116" s="7"/>
      <c r="AC116" s="7"/>
      <c r="AD116" s="36"/>
      <c r="AE116" s="36"/>
    </row>
    <row r="117">
      <c r="A117" s="294"/>
      <c r="B117" s="7"/>
      <c r="C117" s="7"/>
      <c r="D117" s="7"/>
      <c r="E117" s="7"/>
      <c r="F117" s="7"/>
      <c r="G117" s="7"/>
      <c r="H117" s="7"/>
      <c r="I117" s="7"/>
      <c r="J117" s="7"/>
      <c r="K117" s="7"/>
      <c r="L117" s="7"/>
      <c r="M117" s="7"/>
      <c r="N117" s="7"/>
      <c r="O117" s="7"/>
      <c r="P117" s="293"/>
      <c r="Q117" s="7"/>
      <c r="R117" s="7"/>
      <c r="S117" s="279"/>
      <c r="T117" s="36"/>
      <c r="U117" s="7"/>
      <c r="V117" s="7"/>
      <c r="W117" s="7"/>
      <c r="X117" s="7"/>
      <c r="Y117" s="7"/>
      <c r="Z117" s="7"/>
      <c r="AA117" s="7"/>
      <c r="AB117" s="7"/>
      <c r="AC117" s="7"/>
      <c r="AD117" s="36"/>
      <c r="AE117" s="36"/>
    </row>
    <row r="118">
      <c r="A118" s="294"/>
      <c r="B118" s="7"/>
      <c r="C118" s="7"/>
      <c r="D118" s="7"/>
      <c r="E118" s="7"/>
      <c r="F118" s="7"/>
      <c r="G118" s="7"/>
      <c r="H118" s="7"/>
      <c r="I118" s="7"/>
      <c r="J118" s="7"/>
      <c r="K118" s="7"/>
      <c r="L118" s="7"/>
      <c r="M118" s="7"/>
      <c r="N118" s="7"/>
      <c r="O118" s="7"/>
      <c r="P118" s="293"/>
      <c r="Q118" s="7"/>
      <c r="R118" s="7"/>
      <c r="S118" s="279"/>
      <c r="T118" s="36"/>
      <c r="U118" s="7"/>
      <c r="V118" s="7"/>
      <c r="W118" s="7"/>
      <c r="X118" s="7"/>
      <c r="Y118" s="7"/>
      <c r="Z118" s="7"/>
      <c r="AA118" s="7"/>
      <c r="AB118" s="7"/>
      <c r="AC118" s="7"/>
      <c r="AD118" s="36"/>
      <c r="AE118" s="36"/>
    </row>
    <row r="119">
      <c r="A119" s="294"/>
      <c r="B119" s="7"/>
      <c r="C119" s="7"/>
      <c r="D119" s="7"/>
      <c r="E119" s="7"/>
      <c r="F119" s="7"/>
      <c r="G119" s="7"/>
      <c r="H119" s="7"/>
      <c r="I119" s="7"/>
      <c r="J119" s="7"/>
      <c r="K119" s="7"/>
      <c r="L119" s="7"/>
      <c r="M119" s="7"/>
      <c r="N119" s="7"/>
      <c r="O119" s="7"/>
      <c r="P119" s="293"/>
      <c r="Q119" s="7"/>
      <c r="R119" s="7"/>
      <c r="S119" s="279"/>
      <c r="T119" s="36"/>
      <c r="U119" s="7"/>
      <c r="V119" s="7"/>
      <c r="W119" s="7"/>
      <c r="X119" s="7"/>
      <c r="Y119" s="7"/>
      <c r="Z119" s="7"/>
      <c r="AA119" s="7"/>
      <c r="AB119" s="7"/>
      <c r="AC119" s="7"/>
      <c r="AD119" s="36"/>
      <c r="AE119" s="36"/>
    </row>
    <row r="120">
      <c r="A120" s="294"/>
      <c r="B120" s="7"/>
      <c r="C120" s="7"/>
      <c r="D120" s="7"/>
      <c r="E120" s="7"/>
      <c r="F120" s="7"/>
      <c r="G120" s="7"/>
      <c r="H120" s="7"/>
      <c r="I120" s="7"/>
      <c r="J120" s="7"/>
      <c r="K120" s="7"/>
      <c r="L120" s="7"/>
      <c r="M120" s="7"/>
      <c r="N120" s="7"/>
      <c r="O120" s="7"/>
      <c r="P120" s="293"/>
      <c r="Q120" s="7"/>
      <c r="R120" s="7"/>
      <c r="S120" s="279"/>
      <c r="T120" s="36"/>
      <c r="U120" s="7"/>
      <c r="V120" s="7"/>
      <c r="W120" s="7"/>
      <c r="X120" s="7"/>
      <c r="Y120" s="7"/>
      <c r="Z120" s="7"/>
      <c r="AA120" s="7"/>
      <c r="AB120" s="7"/>
      <c r="AC120" s="7"/>
      <c r="AD120" s="36"/>
      <c r="AE120" s="36"/>
    </row>
    <row r="121">
      <c r="A121" s="294"/>
      <c r="B121" s="7"/>
      <c r="C121" s="7"/>
      <c r="D121" s="7"/>
      <c r="E121" s="7"/>
      <c r="F121" s="7"/>
      <c r="G121" s="7"/>
      <c r="H121" s="7"/>
      <c r="I121" s="7"/>
      <c r="J121" s="7"/>
      <c r="K121" s="7"/>
      <c r="L121" s="7"/>
      <c r="M121" s="7"/>
      <c r="N121" s="7"/>
      <c r="O121" s="7"/>
      <c r="P121" s="293"/>
      <c r="Q121" s="7"/>
      <c r="R121" s="7"/>
      <c r="S121" s="279"/>
      <c r="T121" s="36"/>
      <c r="U121" s="7"/>
      <c r="V121" s="7"/>
      <c r="W121" s="7"/>
      <c r="X121" s="7"/>
      <c r="Y121" s="7"/>
      <c r="Z121" s="7"/>
      <c r="AA121" s="7"/>
      <c r="AB121" s="7"/>
      <c r="AC121" s="7"/>
      <c r="AD121" s="36"/>
      <c r="AE121" s="36"/>
    </row>
    <row r="122">
      <c r="A122" s="294"/>
      <c r="B122" s="7"/>
      <c r="C122" s="7"/>
      <c r="D122" s="7"/>
      <c r="E122" s="7"/>
      <c r="F122" s="7"/>
      <c r="G122" s="7"/>
      <c r="H122" s="7"/>
      <c r="I122" s="7"/>
      <c r="J122" s="7"/>
      <c r="K122" s="7"/>
      <c r="L122" s="7"/>
      <c r="M122" s="7"/>
      <c r="N122" s="7"/>
      <c r="O122" s="7"/>
      <c r="P122" s="293"/>
      <c r="Q122" s="7"/>
      <c r="R122" s="7"/>
      <c r="S122" s="279"/>
      <c r="T122" s="36"/>
      <c r="U122" s="7"/>
      <c r="V122" s="7"/>
      <c r="W122" s="7"/>
      <c r="X122" s="7"/>
      <c r="Y122" s="7"/>
      <c r="Z122" s="7"/>
      <c r="AA122" s="7"/>
      <c r="AB122" s="7"/>
      <c r="AC122" s="7"/>
      <c r="AD122" s="36"/>
      <c r="AE122" s="36"/>
    </row>
    <row r="123">
      <c r="A123" s="294"/>
      <c r="B123" s="7"/>
      <c r="C123" s="7"/>
      <c r="D123" s="7"/>
      <c r="E123" s="7"/>
      <c r="F123" s="7"/>
      <c r="G123" s="7"/>
      <c r="H123" s="7"/>
      <c r="I123" s="7"/>
      <c r="J123" s="7"/>
      <c r="K123" s="7"/>
      <c r="L123" s="7"/>
      <c r="M123" s="7"/>
      <c r="N123" s="7"/>
      <c r="O123" s="7"/>
      <c r="P123" s="293"/>
      <c r="Q123" s="7"/>
      <c r="R123" s="7"/>
      <c r="S123" s="279"/>
      <c r="T123" s="36"/>
      <c r="U123" s="7"/>
      <c r="V123" s="7"/>
      <c r="W123" s="7"/>
      <c r="X123" s="7"/>
      <c r="Y123" s="7"/>
      <c r="Z123" s="7"/>
      <c r="AA123" s="7"/>
      <c r="AB123" s="7"/>
      <c r="AC123" s="7"/>
      <c r="AD123" s="36"/>
      <c r="AE123" s="36"/>
    </row>
    <row r="124">
      <c r="A124" s="294"/>
      <c r="B124" s="7"/>
      <c r="C124" s="7"/>
      <c r="D124" s="7"/>
      <c r="E124" s="7"/>
      <c r="F124" s="7"/>
      <c r="G124" s="7"/>
      <c r="H124" s="7"/>
      <c r="I124" s="7"/>
      <c r="J124" s="7"/>
      <c r="K124" s="7"/>
      <c r="L124" s="7"/>
      <c r="M124" s="7"/>
      <c r="N124" s="7"/>
      <c r="O124" s="7"/>
      <c r="P124" s="293"/>
      <c r="Q124" s="7"/>
      <c r="R124" s="7"/>
      <c r="S124" s="279"/>
      <c r="T124" s="36"/>
      <c r="U124" s="7"/>
      <c r="V124" s="7"/>
      <c r="W124" s="7"/>
      <c r="X124" s="7"/>
      <c r="Y124" s="7"/>
      <c r="Z124" s="7"/>
      <c r="AA124" s="7"/>
      <c r="AB124" s="7"/>
      <c r="AC124" s="7"/>
      <c r="AD124" s="36"/>
      <c r="AE124" s="36"/>
    </row>
    <row r="125">
      <c r="A125" s="294"/>
      <c r="B125" s="7"/>
      <c r="C125" s="7"/>
      <c r="D125" s="7"/>
      <c r="E125" s="7"/>
      <c r="F125" s="7"/>
      <c r="G125" s="7"/>
      <c r="H125" s="7"/>
      <c r="I125" s="7"/>
      <c r="J125" s="7"/>
      <c r="K125" s="7"/>
      <c r="L125" s="7"/>
      <c r="M125" s="7"/>
      <c r="N125" s="7"/>
      <c r="O125" s="7"/>
      <c r="P125" s="293"/>
      <c r="Q125" s="7"/>
      <c r="R125" s="7"/>
      <c r="S125" s="279"/>
      <c r="T125" s="36"/>
      <c r="U125" s="7"/>
      <c r="V125" s="7"/>
      <c r="W125" s="7"/>
      <c r="X125" s="7"/>
      <c r="Y125" s="7"/>
      <c r="Z125" s="7"/>
      <c r="AA125" s="7"/>
      <c r="AB125" s="7"/>
      <c r="AC125" s="7"/>
      <c r="AD125" s="36"/>
      <c r="AE125" s="36"/>
    </row>
    <row r="126">
      <c r="A126" s="294"/>
      <c r="B126" s="7"/>
      <c r="C126" s="7"/>
      <c r="D126" s="7"/>
      <c r="E126" s="7"/>
      <c r="F126" s="7"/>
      <c r="G126" s="7"/>
      <c r="H126" s="7"/>
      <c r="I126" s="7"/>
      <c r="J126" s="7"/>
      <c r="K126" s="7"/>
      <c r="L126" s="7"/>
      <c r="M126" s="7"/>
      <c r="N126" s="7"/>
      <c r="O126" s="7"/>
      <c r="P126" s="293"/>
      <c r="Q126" s="7"/>
      <c r="R126" s="7"/>
      <c r="S126" s="279"/>
      <c r="T126" s="36"/>
      <c r="U126" s="7"/>
      <c r="V126" s="7"/>
      <c r="W126" s="7"/>
      <c r="X126" s="7"/>
      <c r="Y126" s="7"/>
      <c r="Z126" s="7"/>
      <c r="AA126" s="7"/>
      <c r="AB126" s="7"/>
      <c r="AC126" s="7"/>
      <c r="AD126" s="36"/>
      <c r="AE126" s="36"/>
    </row>
    <row r="127">
      <c r="A127" s="294"/>
      <c r="B127" s="7"/>
      <c r="C127" s="7"/>
      <c r="D127" s="7"/>
      <c r="E127" s="7"/>
      <c r="F127" s="7"/>
      <c r="G127" s="7"/>
      <c r="H127" s="7"/>
      <c r="I127" s="7"/>
      <c r="J127" s="7"/>
      <c r="K127" s="7"/>
      <c r="L127" s="7"/>
      <c r="M127" s="7"/>
      <c r="N127" s="7"/>
      <c r="O127" s="7"/>
      <c r="P127" s="293"/>
      <c r="Q127" s="7"/>
      <c r="R127" s="7"/>
      <c r="S127" s="279"/>
      <c r="T127" s="36"/>
      <c r="U127" s="7"/>
      <c r="V127" s="7"/>
      <c r="W127" s="7"/>
      <c r="X127" s="7"/>
      <c r="Y127" s="7"/>
      <c r="Z127" s="7"/>
      <c r="AA127" s="7"/>
      <c r="AB127" s="7"/>
      <c r="AC127" s="7"/>
      <c r="AD127" s="36"/>
      <c r="AE127" s="36"/>
    </row>
    <row r="128">
      <c r="A128" s="294"/>
      <c r="B128" s="7"/>
      <c r="C128" s="7"/>
      <c r="D128" s="7"/>
      <c r="E128" s="7"/>
      <c r="F128" s="7"/>
      <c r="G128" s="7"/>
      <c r="H128" s="7"/>
      <c r="I128" s="7"/>
      <c r="J128" s="7"/>
      <c r="K128" s="7"/>
      <c r="L128" s="7"/>
      <c r="M128" s="7"/>
      <c r="N128" s="7"/>
      <c r="O128" s="7"/>
      <c r="P128" s="293"/>
      <c r="Q128" s="7"/>
      <c r="R128" s="7"/>
      <c r="S128" s="279"/>
      <c r="T128" s="36"/>
      <c r="U128" s="7"/>
      <c r="V128" s="7"/>
      <c r="W128" s="7"/>
      <c r="X128" s="7"/>
      <c r="Y128" s="7"/>
      <c r="Z128" s="7"/>
      <c r="AA128" s="7"/>
      <c r="AB128" s="7"/>
      <c r="AC128" s="7"/>
      <c r="AD128" s="36"/>
      <c r="AE128" s="36"/>
    </row>
    <row r="129">
      <c r="A129" s="294"/>
      <c r="B129" s="7"/>
      <c r="C129" s="7"/>
      <c r="D129" s="7"/>
      <c r="E129" s="7"/>
      <c r="F129" s="7"/>
      <c r="G129" s="7"/>
      <c r="H129" s="7"/>
      <c r="I129" s="7"/>
      <c r="J129" s="7"/>
      <c r="K129" s="7"/>
      <c r="L129" s="7"/>
      <c r="M129" s="7"/>
      <c r="N129" s="7"/>
      <c r="O129" s="7"/>
      <c r="P129" s="293"/>
      <c r="Q129" s="7"/>
      <c r="R129" s="7"/>
      <c r="S129" s="279"/>
      <c r="T129" s="36"/>
      <c r="U129" s="7"/>
      <c r="V129" s="7"/>
      <c r="W129" s="7"/>
      <c r="X129" s="7"/>
      <c r="Y129" s="7"/>
      <c r="Z129" s="7"/>
      <c r="AA129" s="7"/>
      <c r="AB129" s="7"/>
      <c r="AC129" s="7"/>
      <c r="AD129" s="36"/>
      <c r="AE129" s="36"/>
    </row>
    <row r="130">
      <c r="A130" s="294"/>
      <c r="B130" s="7"/>
      <c r="C130" s="7"/>
      <c r="D130" s="7"/>
      <c r="E130" s="7"/>
      <c r="F130" s="7"/>
      <c r="G130" s="7"/>
      <c r="H130" s="7"/>
      <c r="I130" s="7"/>
      <c r="J130" s="7"/>
      <c r="K130" s="7"/>
      <c r="L130" s="7"/>
      <c r="M130" s="7"/>
      <c r="N130" s="7"/>
      <c r="O130" s="7"/>
      <c r="P130" s="293"/>
      <c r="Q130" s="7"/>
      <c r="R130" s="7"/>
      <c r="S130" s="279"/>
      <c r="T130" s="36"/>
      <c r="U130" s="7"/>
      <c r="V130" s="7"/>
      <c r="W130" s="7"/>
      <c r="X130" s="7"/>
      <c r="Y130" s="7"/>
      <c r="Z130" s="7"/>
      <c r="AA130" s="7"/>
      <c r="AB130" s="7"/>
      <c r="AC130" s="7"/>
      <c r="AD130" s="36"/>
      <c r="AE130" s="36"/>
    </row>
    <row r="131">
      <c r="A131" s="294"/>
      <c r="B131" s="7"/>
      <c r="C131" s="7"/>
      <c r="D131" s="7"/>
      <c r="E131" s="7"/>
      <c r="F131" s="7"/>
      <c r="G131" s="7"/>
      <c r="H131" s="7"/>
      <c r="I131" s="7"/>
      <c r="J131" s="7"/>
      <c r="K131" s="7"/>
      <c r="L131" s="7"/>
      <c r="M131" s="7"/>
      <c r="N131" s="7"/>
      <c r="O131" s="7"/>
      <c r="P131" s="293"/>
      <c r="Q131" s="7"/>
      <c r="R131" s="7"/>
      <c r="S131" s="279"/>
      <c r="T131" s="36"/>
      <c r="U131" s="7"/>
      <c r="V131" s="7"/>
      <c r="W131" s="7"/>
      <c r="X131" s="7"/>
      <c r="Y131" s="7"/>
      <c r="Z131" s="7"/>
      <c r="AA131" s="7"/>
      <c r="AB131" s="7"/>
      <c r="AC131" s="7"/>
      <c r="AD131" s="36"/>
      <c r="AE131" s="36"/>
    </row>
    <row r="132">
      <c r="A132" s="294"/>
      <c r="B132" s="7"/>
      <c r="C132" s="7"/>
      <c r="D132" s="7"/>
      <c r="E132" s="7"/>
      <c r="F132" s="7"/>
      <c r="G132" s="7"/>
      <c r="H132" s="7"/>
      <c r="I132" s="7"/>
      <c r="J132" s="7"/>
      <c r="K132" s="7"/>
      <c r="L132" s="7"/>
      <c r="M132" s="7"/>
      <c r="N132" s="7"/>
      <c r="O132" s="7"/>
      <c r="P132" s="293"/>
      <c r="Q132" s="7"/>
      <c r="R132" s="7"/>
      <c r="S132" s="279"/>
      <c r="T132" s="36"/>
      <c r="U132" s="7"/>
      <c r="V132" s="7"/>
      <c r="W132" s="7"/>
      <c r="X132" s="7"/>
      <c r="Y132" s="7"/>
      <c r="Z132" s="7"/>
      <c r="AA132" s="7"/>
      <c r="AB132" s="7"/>
      <c r="AC132" s="7"/>
      <c r="AD132" s="36"/>
      <c r="AE132" s="36"/>
    </row>
    <row r="133">
      <c r="A133" s="294"/>
      <c r="B133" s="7"/>
      <c r="C133" s="7"/>
      <c r="D133" s="7"/>
      <c r="E133" s="7"/>
      <c r="F133" s="7"/>
      <c r="G133" s="7"/>
      <c r="H133" s="7"/>
      <c r="I133" s="7"/>
      <c r="J133" s="7"/>
      <c r="K133" s="7"/>
      <c r="L133" s="7"/>
      <c r="M133" s="7"/>
      <c r="N133" s="7"/>
      <c r="O133" s="7"/>
      <c r="P133" s="293"/>
      <c r="Q133" s="7"/>
      <c r="R133" s="7"/>
      <c r="S133" s="279"/>
      <c r="T133" s="36"/>
      <c r="U133" s="7"/>
      <c r="V133" s="7"/>
      <c r="W133" s="7"/>
      <c r="X133" s="7"/>
      <c r="Y133" s="7"/>
      <c r="Z133" s="7"/>
      <c r="AA133" s="7"/>
      <c r="AB133" s="7"/>
      <c r="AC133" s="7"/>
      <c r="AD133" s="36"/>
      <c r="AE133" s="36"/>
    </row>
    <row r="134">
      <c r="A134" s="294"/>
      <c r="B134" s="7"/>
      <c r="C134" s="7"/>
      <c r="D134" s="7"/>
      <c r="E134" s="7"/>
      <c r="F134" s="7"/>
      <c r="G134" s="7"/>
      <c r="H134" s="7"/>
      <c r="I134" s="7"/>
      <c r="J134" s="7"/>
      <c r="K134" s="7"/>
      <c r="L134" s="7"/>
      <c r="M134" s="7"/>
      <c r="N134" s="7"/>
      <c r="O134" s="7"/>
      <c r="P134" s="293"/>
      <c r="Q134" s="7"/>
      <c r="R134" s="7"/>
      <c r="S134" s="279"/>
      <c r="T134" s="36"/>
      <c r="U134" s="7"/>
      <c r="V134" s="7"/>
      <c r="W134" s="7"/>
      <c r="X134" s="7"/>
      <c r="Y134" s="7"/>
      <c r="Z134" s="7"/>
      <c r="AA134" s="7"/>
      <c r="AB134" s="7"/>
      <c r="AC134" s="7"/>
      <c r="AD134" s="36"/>
      <c r="AE134" s="36"/>
    </row>
    <row r="135">
      <c r="A135" s="294"/>
      <c r="B135" s="7"/>
      <c r="C135" s="7"/>
      <c r="D135" s="7"/>
      <c r="E135" s="7"/>
      <c r="F135" s="7"/>
      <c r="G135" s="7"/>
      <c r="H135" s="7"/>
      <c r="I135" s="7"/>
      <c r="J135" s="7"/>
      <c r="K135" s="7"/>
      <c r="L135" s="7"/>
      <c r="M135" s="7"/>
      <c r="N135" s="7"/>
      <c r="O135" s="7"/>
      <c r="P135" s="293"/>
      <c r="Q135" s="7"/>
      <c r="R135" s="7"/>
      <c r="S135" s="279"/>
      <c r="T135" s="36"/>
      <c r="U135" s="7"/>
      <c r="V135" s="7"/>
      <c r="W135" s="7"/>
      <c r="X135" s="7"/>
      <c r="Y135" s="7"/>
      <c r="Z135" s="7"/>
      <c r="AA135" s="7"/>
      <c r="AB135" s="7"/>
      <c r="AC135" s="7"/>
      <c r="AD135" s="36"/>
      <c r="AE135" s="36"/>
    </row>
    <row r="136">
      <c r="A136" s="294"/>
      <c r="B136" s="7"/>
      <c r="C136" s="7"/>
      <c r="D136" s="7"/>
      <c r="E136" s="7"/>
      <c r="F136" s="7"/>
      <c r="G136" s="7"/>
      <c r="H136" s="7"/>
      <c r="I136" s="7"/>
      <c r="J136" s="7"/>
      <c r="K136" s="7"/>
      <c r="L136" s="7"/>
      <c r="M136" s="7"/>
      <c r="N136" s="7"/>
      <c r="O136" s="7"/>
      <c r="P136" s="293"/>
      <c r="Q136" s="7"/>
      <c r="R136" s="7"/>
      <c r="S136" s="279"/>
      <c r="T136" s="36"/>
      <c r="U136" s="7"/>
      <c r="V136" s="7"/>
      <c r="W136" s="7"/>
      <c r="X136" s="7"/>
      <c r="Y136" s="7"/>
      <c r="Z136" s="7"/>
      <c r="AA136" s="7"/>
      <c r="AB136" s="7"/>
      <c r="AC136" s="7"/>
      <c r="AD136" s="36"/>
      <c r="AE136" s="36"/>
    </row>
    <row r="137">
      <c r="A137" s="294"/>
      <c r="B137" s="7"/>
      <c r="C137" s="7"/>
      <c r="D137" s="7"/>
      <c r="E137" s="7"/>
      <c r="F137" s="7"/>
      <c r="G137" s="7"/>
      <c r="H137" s="7"/>
      <c r="I137" s="7"/>
      <c r="J137" s="7"/>
      <c r="K137" s="7"/>
      <c r="L137" s="7"/>
      <c r="M137" s="7"/>
      <c r="N137" s="7"/>
      <c r="O137" s="7"/>
      <c r="P137" s="293"/>
      <c r="Q137" s="7"/>
      <c r="R137" s="7"/>
      <c r="S137" s="279"/>
      <c r="T137" s="36"/>
      <c r="U137" s="7"/>
      <c r="V137" s="7"/>
      <c r="W137" s="7"/>
      <c r="X137" s="7"/>
      <c r="Y137" s="7"/>
      <c r="Z137" s="7"/>
      <c r="AA137" s="7"/>
      <c r="AB137" s="7"/>
      <c r="AC137" s="7"/>
      <c r="AD137" s="36"/>
      <c r="AE137" s="36"/>
    </row>
    <row r="138">
      <c r="A138" s="294"/>
      <c r="B138" s="7"/>
      <c r="C138" s="7"/>
      <c r="D138" s="7"/>
      <c r="E138" s="7"/>
      <c r="F138" s="7"/>
      <c r="G138" s="7"/>
      <c r="H138" s="7"/>
      <c r="I138" s="7"/>
      <c r="J138" s="7"/>
      <c r="K138" s="7"/>
      <c r="L138" s="7"/>
      <c r="M138" s="7"/>
      <c r="N138" s="7"/>
      <c r="O138" s="7"/>
      <c r="P138" s="293"/>
      <c r="Q138" s="7"/>
      <c r="R138" s="7"/>
      <c r="S138" s="279"/>
      <c r="T138" s="36"/>
      <c r="U138" s="7"/>
      <c r="V138" s="7"/>
      <c r="W138" s="7"/>
      <c r="X138" s="7"/>
      <c r="Y138" s="7"/>
      <c r="Z138" s="7"/>
      <c r="AA138" s="7"/>
      <c r="AB138" s="7"/>
      <c r="AC138" s="7"/>
      <c r="AD138" s="36"/>
      <c r="AE138" s="36"/>
    </row>
    <row r="139">
      <c r="A139" s="294"/>
      <c r="B139" s="7"/>
      <c r="C139" s="7"/>
      <c r="D139" s="7"/>
      <c r="E139" s="7"/>
      <c r="F139" s="7"/>
      <c r="G139" s="7"/>
      <c r="H139" s="7"/>
      <c r="I139" s="7"/>
      <c r="J139" s="7"/>
      <c r="K139" s="7"/>
      <c r="L139" s="7"/>
      <c r="M139" s="7"/>
      <c r="N139" s="7"/>
      <c r="O139" s="7"/>
      <c r="P139" s="293"/>
      <c r="Q139" s="7"/>
      <c r="R139" s="7"/>
      <c r="S139" s="279"/>
      <c r="T139" s="36"/>
      <c r="U139" s="7"/>
      <c r="V139" s="7"/>
      <c r="W139" s="7"/>
      <c r="X139" s="7"/>
      <c r="Y139" s="7"/>
      <c r="Z139" s="7"/>
      <c r="AA139" s="7"/>
      <c r="AB139" s="7"/>
      <c r="AC139" s="7"/>
      <c r="AD139" s="36"/>
      <c r="AE139" s="36"/>
    </row>
    <row r="140">
      <c r="A140" s="294"/>
      <c r="B140" s="7"/>
      <c r="C140" s="7"/>
      <c r="D140" s="7"/>
      <c r="E140" s="7"/>
      <c r="F140" s="7"/>
      <c r="G140" s="7"/>
      <c r="H140" s="7"/>
      <c r="I140" s="7"/>
      <c r="J140" s="7"/>
      <c r="K140" s="7"/>
      <c r="L140" s="7"/>
      <c r="M140" s="7"/>
      <c r="N140" s="7"/>
      <c r="O140" s="7"/>
      <c r="P140" s="293"/>
      <c r="Q140" s="7"/>
      <c r="R140" s="7"/>
      <c r="S140" s="279"/>
      <c r="T140" s="36"/>
      <c r="U140" s="7"/>
      <c r="V140" s="7"/>
      <c r="W140" s="7"/>
      <c r="X140" s="7"/>
      <c r="Y140" s="7"/>
      <c r="Z140" s="7"/>
      <c r="AA140" s="7"/>
      <c r="AB140" s="7"/>
      <c r="AC140" s="7"/>
      <c r="AD140" s="36"/>
      <c r="AE140" s="36"/>
    </row>
    <row r="141">
      <c r="A141" s="294"/>
      <c r="B141" s="7"/>
      <c r="C141" s="7"/>
      <c r="D141" s="7"/>
      <c r="E141" s="7"/>
      <c r="F141" s="7"/>
      <c r="G141" s="7"/>
      <c r="H141" s="7"/>
      <c r="I141" s="7"/>
      <c r="J141" s="7"/>
      <c r="K141" s="7"/>
      <c r="L141" s="7"/>
      <c r="M141" s="7"/>
      <c r="N141" s="7"/>
      <c r="O141" s="7"/>
      <c r="P141" s="293"/>
      <c r="Q141" s="7"/>
      <c r="R141" s="7"/>
      <c r="S141" s="279"/>
      <c r="T141" s="36"/>
      <c r="U141" s="7"/>
      <c r="V141" s="7"/>
      <c r="W141" s="7"/>
      <c r="X141" s="7"/>
      <c r="Y141" s="7"/>
      <c r="Z141" s="7"/>
      <c r="AA141" s="7"/>
      <c r="AB141" s="7"/>
      <c r="AC141" s="7"/>
      <c r="AD141" s="36"/>
      <c r="AE141" s="36"/>
    </row>
    <row r="142">
      <c r="A142" s="294"/>
      <c r="B142" s="7"/>
      <c r="C142" s="7"/>
      <c r="D142" s="7"/>
      <c r="E142" s="7"/>
      <c r="F142" s="7"/>
      <c r="G142" s="7"/>
      <c r="H142" s="7"/>
      <c r="I142" s="7"/>
      <c r="J142" s="7"/>
      <c r="K142" s="7"/>
      <c r="L142" s="7"/>
      <c r="M142" s="7"/>
      <c r="N142" s="7"/>
      <c r="O142" s="7"/>
      <c r="P142" s="293"/>
      <c r="Q142" s="7"/>
      <c r="R142" s="7"/>
      <c r="S142" s="279"/>
      <c r="T142" s="36"/>
      <c r="U142" s="7"/>
      <c r="V142" s="7"/>
      <c r="W142" s="7"/>
      <c r="X142" s="7"/>
      <c r="Y142" s="7"/>
      <c r="Z142" s="7"/>
      <c r="AA142" s="7"/>
      <c r="AB142" s="7"/>
      <c r="AC142" s="7"/>
      <c r="AD142" s="36"/>
      <c r="AE142" s="36"/>
    </row>
    <row r="143">
      <c r="A143" s="294"/>
      <c r="B143" s="7"/>
      <c r="C143" s="7"/>
      <c r="D143" s="7"/>
      <c r="E143" s="7"/>
      <c r="F143" s="7"/>
      <c r="G143" s="7"/>
      <c r="H143" s="7"/>
      <c r="I143" s="7"/>
      <c r="J143" s="7"/>
      <c r="K143" s="7"/>
      <c r="L143" s="7"/>
      <c r="M143" s="7"/>
      <c r="N143" s="7"/>
      <c r="O143" s="7"/>
      <c r="P143" s="293"/>
      <c r="Q143" s="7"/>
      <c r="R143" s="7"/>
      <c r="S143" s="279"/>
      <c r="T143" s="36"/>
      <c r="U143" s="7"/>
      <c r="V143" s="7"/>
      <c r="W143" s="7"/>
      <c r="X143" s="7"/>
      <c r="Y143" s="7"/>
      <c r="Z143" s="7"/>
      <c r="AA143" s="7"/>
      <c r="AB143" s="7"/>
      <c r="AC143" s="7"/>
      <c r="AD143" s="36"/>
      <c r="AE143" s="36"/>
    </row>
    <row r="144">
      <c r="A144" s="294"/>
      <c r="B144" s="7"/>
      <c r="C144" s="7"/>
      <c r="D144" s="7"/>
      <c r="E144" s="7"/>
      <c r="F144" s="7"/>
      <c r="G144" s="7"/>
      <c r="H144" s="7"/>
      <c r="I144" s="7"/>
      <c r="J144" s="7"/>
      <c r="K144" s="7"/>
      <c r="L144" s="7"/>
      <c r="M144" s="7"/>
      <c r="N144" s="7"/>
      <c r="O144" s="7"/>
      <c r="P144" s="293"/>
      <c r="Q144" s="7"/>
      <c r="R144" s="7"/>
      <c r="S144" s="279"/>
      <c r="T144" s="36"/>
      <c r="U144" s="7"/>
      <c r="V144" s="7"/>
      <c r="W144" s="7"/>
      <c r="X144" s="7"/>
      <c r="Y144" s="7"/>
      <c r="Z144" s="7"/>
      <c r="AA144" s="7"/>
      <c r="AB144" s="7"/>
      <c r="AC144" s="7"/>
      <c r="AD144" s="36"/>
      <c r="AE144" s="36"/>
    </row>
    <row r="145">
      <c r="A145" s="294"/>
      <c r="B145" s="7"/>
      <c r="C145" s="7"/>
      <c r="D145" s="7"/>
      <c r="E145" s="7"/>
      <c r="F145" s="7"/>
      <c r="G145" s="7"/>
      <c r="H145" s="7"/>
      <c r="I145" s="7"/>
      <c r="J145" s="7"/>
      <c r="K145" s="7"/>
      <c r="L145" s="7"/>
      <c r="M145" s="7"/>
      <c r="N145" s="7"/>
      <c r="O145" s="7"/>
      <c r="P145" s="293"/>
      <c r="Q145" s="7"/>
      <c r="R145" s="7"/>
      <c r="S145" s="279"/>
      <c r="T145" s="36"/>
      <c r="U145" s="7"/>
      <c r="V145" s="7"/>
      <c r="W145" s="7"/>
      <c r="X145" s="7"/>
      <c r="Y145" s="7"/>
      <c r="Z145" s="7"/>
      <c r="AA145" s="7"/>
      <c r="AB145" s="7"/>
      <c r="AC145" s="7"/>
      <c r="AD145" s="36"/>
      <c r="AE145" s="36"/>
    </row>
    <row r="146">
      <c r="A146" s="294"/>
      <c r="B146" s="7"/>
      <c r="C146" s="7"/>
      <c r="D146" s="7"/>
      <c r="E146" s="7"/>
      <c r="F146" s="7"/>
      <c r="G146" s="7"/>
      <c r="H146" s="7"/>
      <c r="I146" s="7"/>
      <c r="J146" s="7"/>
      <c r="K146" s="7"/>
      <c r="L146" s="7"/>
      <c r="M146" s="7"/>
      <c r="N146" s="7"/>
      <c r="O146" s="7"/>
      <c r="P146" s="293"/>
      <c r="Q146" s="7"/>
      <c r="R146" s="7"/>
      <c r="S146" s="279"/>
      <c r="T146" s="36"/>
      <c r="U146" s="7"/>
      <c r="V146" s="7"/>
      <c r="W146" s="7"/>
      <c r="X146" s="7"/>
      <c r="Y146" s="7"/>
      <c r="Z146" s="7"/>
      <c r="AA146" s="7"/>
      <c r="AB146" s="7"/>
      <c r="AC146" s="7"/>
      <c r="AD146" s="36"/>
      <c r="AE146" s="36"/>
    </row>
    <row r="147">
      <c r="A147" s="294"/>
      <c r="B147" s="7"/>
      <c r="C147" s="7"/>
      <c r="D147" s="7"/>
      <c r="E147" s="7"/>
      <c r="F147" s="7"/>
      <c r="G147" s="7"/>
      <c r="H147" s="7"/>
      <c r="I147" s="7"/>
      <c r="J147" s="7"/>
      <c r="K147" s="7"/>
      <c r="L147" s="7"/>
      <c r="M147" s="7"/>
      <c r="N147" s="7"/>
      <c r="O147" s="7"/>
      <c r="P147" s="293"/>
      <c r="Q147" s="7"/>
      <c r="R147" s="7"/>
      <c r="S147" s="279"/>
      <c r="T147" s="36"/>
      <c r="U147" s="7"/>
      <c r="V147" s="7"/>
      <c r="W147" s="7"/>
      <c r="X147" s="7"/>
      <c r="Y147" s="7"/>
      <c r="Z147" s="7"/>
      <c r="AA147" s="7"/>
      <c r="AB147" s="7"/>
      <c r="AC147" s="7"/>
      <c r="AD147" s="36"/>
      <c r="AE147" s="36"/>
    </row>
    <row r="148">
      <c r="A148" s="294"/>
      <c r="B148" s="7"/>
      <c r="C148" s="7"/>
      <c r="D148" s="7"/>
      <c r="E148" s="7"/>
      <c r="F148" s="7"/>
      <c r="G148" s="7"/>
      <c r="H148" s="7"/>
      <c r="I148" s="7"/>
      <c r="J148" s="7"/>
      <c r="K148" s="7"/>
      <c r="L148" s="7"/>
      <c r="M148" s="7"/>
      <c r="N148" s="7"/>
      <c r="O148" s="7"/>
      <c r="P148" s="293"/>
      <c r="Q148" s="7"/>
      <c r="R148" s="7"/>
      <c r="S148" s="279"/>
      <c r="T148" s="36"/>
      <c r="U148" s="7"/>
      <c r="V148" s="7"/>
      <c r="W148" s="7"/>
      <c r="X148" s="7"/>
      <c r="Y148" s="7"/>
      <c r="Z148" s="7"/>
      <c r="AA148" s="7"/>
      <c r="AB148" s="7"/>
      <c r="AC148" s="7"/>
      <c r="AD148" s="36"/>
      <c r="AE148" s="36"/>
    </row>
    <row r="149">
      <c r="A149" s="294"/>
      <c r="B149" s="7"/>
      <c r="C149" s="7"/>
      <c r="D149" s="7"/>
      <c r="E149" s="7"/>
      <c r="F149" s="7"/>
      <c r="G149" s="7"/>
      <c r="H149" s="7"/>
      <c r="I149" s="7"/>
      <c r="J149" s="7"/>
      <c r="K149" s="7"/>
      <c r="L149" s="7"/>
      <c r="M149" s="7"/>
      <c r="N149" s="7"/>
      <c r="O149" s="7"/>
      <c r="P149" s="293"/>
      <c r="Q149" s="7"/>
      <c r="R149" s="7"/>
      <c r="S149" s="279"/>
      <c r="T149" s="36"/>
      <c r="U149" s="7"/>
      <c r="V149" s="7"/>
      <c r="W149" s="7"/>
      <c r="X149" s="7"/>
      <c r="Y149" s="7"/>
      <c r="Z149" s="7"/>
      <c r="AA149" s="7"/>
      <c r="AB149" s="7"/>
      <c r="AC149" s="7"/>
      <c r="AD149" s="36"/>
      <c r="AE149" s="36"/>
    </row>
    <row r="150">
      <c r="A150" s="294"/>
      <c r="B150" s="7"/>
      <c r="C150" s="7"/>
      <c r="D150" s="7"/>
      <c r="E150" s="7"/>
      <c r="F150" s="7"/>
      <c r="G150" s="7"/>
      <c r="H150" s="7"/>
      <c r="I150" s="7"/>
      <c r="J150" s="7"/>
      <c r="K150" s="7"/>
      <c r="L150" s="7"/>
      <c r="M150" s="7"/>
      <c r="N150" s="7"/>
      <c r="O150" s="7"/>
      <c r="P150" s="293"/>
      <c r="Q150" s="7"/>
      <c r="R150" s="7"/>
      <c r="S150" s="279"/>
      <c r="T150" s="36"/>
      <c r="U150" s="7"/>
      <c r="V150" s="7"/>
      <c r="W150" s="7"/>
      <c r="X150" s="7"/>
      <c r="Y150" s="7"/>
      <c r="Z150" s="7"/>
      <c r="AA150" s="7"/>
      <c r="AB150" s="7"/>
      <c r="AC150" s="7"/>
      <c r="AD150" s="36"/>
      <c r="AE150" s="36"/>
    </row>
    <row r="151">
      <c r="A151" s="294"/>
      <c r="B151" s="7"/>
      <c r="C151" s="7"/>
      <c r="D151" s="7"/>
      <c r="E151" s="7"/>
      <c r="F151" s="7"/>
      <c r="G151" s="7"/>
      <c r="H151" s="7"/>
      <c r="I151" s="7"/>
      <c r="J151" s="7"/>
      <c r="K151" s="7"/>
      <c r="L151" s="7"/>
      <c r="M151" s="7"/>
      <c r="N151" s="7"/>
      <c r="O151" s="7"/>
      <c r="P151" s="293"/>
      <c r="Q151" s="7"/>
      <c r="R151" s="7"/>
      <c r="S151" s="279"/>
      <c r="T151" s="36"/>
      <c r="U151" s="7"/>
      <c r="V151" s="7"/>
      <c r="W151" s="7"/>
      <c r="X151" s="7"/>
      <c r="Y151" s="7"/>
      <c r="Z151" s="7"/>
      <c r="AA151" s="7"/>
      <c r="AB151" s="7"/>
      <c r="AC151" s="7"/>
      <c r="AD151" s="36"/>
      <c r="AE151" s="36"/>
    </row>
    <row r="152">
      <c r="A152" s="294"/>
      <c r="B152" s="7"/>
      <c r="C152" s="7"/>
      <c r="D152" s="7"/>
      <c r="E152" s="7"/>
      <c r="F152" s="7"/>
      <c r="G152" s="7"/>
      <c r="H152" s="7"/>
      <c r="I152" s="7"/>
      <c r="J152" s="7"/>
      <c r="K152" s="7"/>
      <c r="L152" s="7"/>
      <c r="M152" s="7"/>
      <c r="N152" s="7"/>
      <c r="O152" s="7"/>
      <c r="P152" s="293"/>
      <c r="Q152" s="7"/>
      <c r="R152" s="7"/>
      <c r="S152" s="279"/>
      <c r="T152" s="36"/>
      <c r="U152" s="7"/>
      <c r="V152" s="7"/>
      <c r="W152" s="7"/>
      <c r="X152" s="7"/>
      <c r="Y152" s="7"/>
      <c r="Z152" s="7"/>
      <c r="AA152" s="7"/>
      <c r="AB152" s="7"/>
      <c r="AC152" s="7"/>
      <c r="AD152" s="36"/>
      <c r="AE152" s="36"/>
    </row>
    <row r="153">
      <c r="A153" s="294"/>
      <c r="B153" s="7"/>
      <c r="C153" s="7"/>
      <c r="D153" s="7"/>
      <c r="E153" s="7"/>
      <c r="F153" s="7"/>
      <c r="G153" s="7"/>
      <c r="H153" s="7"/>
      <c r="I153" s="7"/>
      <c r="J153" s="7"/>
      <c r="K153" s="7"/>
      <c r="L153" s="7"/>
      <c r="M153" s="7"/>
      <c r="N153" s="7"/>
      <c r="O153" s="7"/>
      <c r="P153" s="293"/>
      <c r="Q153" s="7"/>
      <c r="R153" s="7"/>
      <c r="S153" s="279"/>
      <c r="T153" s="36"/>
      <c r="U153" s="7"/>
      <c r="V153" s="7"/>
      <c r="W153" s="7"/>
      <c r="X153" s="7"/>
      <c r="Y153" s="7"/>
      <c r="Z153" s="7"/>
      <c r="AA153" s="7"/>
      <c r="AB153" s="7"/>
      <c r="AC153" s="7"/>
      <c r="AD153" s="36"/>
      <c r="AE153" s="36"/>
    </row>
    <row r="154">
      <c r="A154" s="294"/>
      <c r="B154" s="7"/>
      <c r="C154" s="7"/>
      <c r="D154" s="7"/>
      <c r="E154" s="7"/>
      <c r="F154" s="7"/>
      <c r="G154" s="7"/>
      <c r="H154" s="7"/>
      <c r="I154" s="7"/>
      <c r="J154" s="7"/>
      <c r="K154" s="7"/>
      <c r="L154" s="7"/>
      <c r="M154" s="7"/>
      <c r="N154" s="7"/>
      <c r="O154" s="7"/>
      <c r="P154" s="293"/>
      <c r="Q154" s="7"/>
      <c r="R154" s="7"/>
      <c r="S154" s="279"/>
      <c r="T154" s="36"/>
      <c r="U154" s="7"/>
      <c r="V154" s="7"/>
      <c r="W154" s="7"/>
      <c r="X154" s="7"/>
      <c r="Y154" s="7"/>
      <c r="Z154" s="7"/>
      <c r="AA154" s="7"/>
      <c r="AB154" s="7"/>
      <c r="AC154" s="7"/>
      <c r="AD154" s="36"/>
      <c r="AE154" s="36"/>
    </row>
    <row r="155">
      <c r="A155" s="294"/>
      <c r="B155" s="7"/>
      <c r="C155" s="7"/>
      <c r="D155" s="7"/>
      <c r="E155" s="7"/>
      <c r="F155" s="7"/>
      <c r="G155" s="7"/>
      <c r="H155" s="7"/>
      <c r="I155" s="7"/>
      <c r="J155" s="7"/>
      <c r="K155" s="7"/>
      <c r="L155" s="7"/>
      <c r="M155" s="7"/>
      <c r="N155" s="7"/>
      <c r="O155" s="7"/>
      <c r="P155" s="293"/>
      <c r="Q155" s="7"/>
      <c r="R155" s="7"/>
      <c r="S155" s="279"/>
      <c r="T155" s="36"/>
      <c r="U155" s="7"/>
      <c r="V155" s="7"/>
      <c r="W155" s="7"/>
      <c r="X155" s="7"/>
      <c r="Y155" s="7"/>
      <c r="Z155" s="7"/>
      <c r="AA155" s="7"/>
      <c r="AB155" s="7"/>
      <c r="AC155" s="7"/>
      <c r="AD155" s="36"/>
      <c r="AE155" s="36"/>
    </row>
    <row r="156">
      <c r="A156" s="294"/>
      <c r="B156" s="7"/>
      <c r="C156" s="7"/>
      <c r="D156" s="7"/>
      <c r="E156" s="7"/>
      <c r="F156" s="7"/>
      <c r="G156" s="7"/>
      <c r="H156" s="7"/>
      <c r="I156" s="7"/>
      <c r="J156" s="7"/>
      <c r="K156" s="7"/>
      <c r="L156" s="7"/>
      <c r="M156" s="7"/>
      <c r="N156" s="7"/>
      <c r="O156" s="7"/>
      <c r="P156" s="293"/>
      <c r="Q156" s="7"/>
      <c r="R156" s="7"/>
      <c r="S156" s="279"/>
      <c r="T156" s="36"/>
      <c r="U156" s="7"/>
      <c r="V156" s="7"/>
      <c r="W156" s="7"/>
      <c r="X156" s="7"/>
      <c r="Y156" s="7"/>
      <c r="Z156" s="7"/>
      <c r="AA156" s="7"/>
      <c r="AB156" s="7"/>
      <c r="AC156" s="7"/>
      <c r="AD156" s="36"/>
      <c r="AE156" s="36"/>
    </row>
    <row r="157">
      <c r="A157" s="294"/>
      <c r="B157" s="7"/>
      <c r="C157" s="7"/>
      <c r="D157" s="7"/>
      <c r="E157" s="7"/>
      <c r="F157" s="7"/>
      <c r="G157" s="7"/>
      <c r="H157" s="7"/>
      <c r="I157" s="7"/>
      <c r="J157" s="7"/>
      <c r="K157" s="7"/>
      <c r="L157" s="7"/>
      <c r="M157" s="7"/>
      <c r="N157" s="7"/>
      <c r="O157" s="7"/>
      <c r="P157" s="293"/>
      <c r="Q157" s="7"/>
      <c r="R157" s="7"/>
      <c r="S157" s="279"/>
      <c r="T157" s="36"/>
      <c r="U157" s="7"/>
      <c r="V157" s="7"/>
      <c r="W157" s="7"/>
      <c r="X157" s="7"/>
      <c r="Y157" s="7"/>
      <c r="Z157" s="7"/>
      <c r="AA157" s="7"/>
      <c r="AB157" s="7"/>
      <c r="AC157" s="7"/>
      <c r="AD157" s="36"/>
      <c r="AE157" s="36"/>
    </row>
    <row r="158">
      <c r="A158" s="294"/>
      <c r="B158" s="7"/>
      <c r="C158" s="7"/>
      <c r="D158" s="7"/>
      <c r="E158" s="7"/>
      <c r="F158" s="7"/>
      <c r="G158" s="7"/>
      <c r="H158" s="7"/>
      <c r="I158" s="7"/>
      <c r="J158" s="7"/>
      <c r="K158" s="7"/>
      <c r="L158" s="7"/>
      <c r="M158" s="7"/>
      <c r="N158" s="7"/>
      <c r="O158" s="7"/>
      <c r="P158" s="293"/>
      <c r="Q158" s="7"/>
      <c r="R158" s="7"/>
      <c r="S158" s="279"/>
      <c r="T158" s="36"/>
      <c r="U158" s="7"/>
      <c r="V158" s="7"/>
      <c r="W158" s="7"/>
      <c r="X158" s="7"/>
      <c r="Y158" s="7"/>
      <c r="Z158" s="7"/>
      <c r="AA158" s="7"/>
      <c r="AB158" s="7"/>
      <c r="AC158" s="7"/>
      <c r="AD158" s="36"/>
      <c r="AE158" s="36"/>
    </row>
    <row r="159">
      <c r="A159" s="294"/>
      <c r="B159" s="7"/>
      <c r="C159" s="7"/>
      <c r="D159" s="7"/>
      <c r="E159" s="7"/>
      <c r="F159" s="7"/>
      <c r="G159" s="7"/>
      <c r="H159" s="7"/>
      <c r="I159" s="7"/>
      <c r="J159" s="7"/>
      <c r="K159" s="7"/>
      <c r="L159" s="7"/>
      <c r="M159" s="7"/>
      <c r="N159" s="7"/>
      <c r="O159" s="7"/>
      <c r="P159" s="293"/>
      <c r="Q159" s="7"/>
      <c r="R159" s="7"/>
      <c r="S159" s="279"/>
      <c r="T159" s="36"/>
      <c r="U159" s="7"/>
      <c r="V159" s="7"/>
      <c r="W159" s="7"/>
      <c r="X159" s="7"/>
      <c r="Y159" s="7"/>
      <c r="Z159" s="7"/>
      <c r="AA159" s="7"/>
      <c r="AB159" s="7"/>
      <c r="AC159" s="7"/>
      <c r="AD159" s="36"/>
      <c r="AE159" s="36"/>
    </row>
    <row r="160">
      <c r="A160" s="294"/>
      <c r="B160" s="7"/>
      <c r="C160" s="7"/>
      <c r="D160" s="7"/>
      <c r="E160" s="7"/>
      <c r="F160" s="7"/>
      <c r="G160" s="7"/>
      <c r="H160" s="7"/>
      <c r="I160" s="7"/>
      <c r="J160" s="7"/>
      <c r="K160" s="7"/>
      <c r="L160" s="7"/>
      <c r="M160" s="7"/>
      <c r="N160" s="7"/>
      <c r="O160" s="7"/>
      <c r="P160" s="293"/>
      <c r="Q160" s="7"/>
      <c r="R160" s="7"/>
      <c r="S160" s="279"/>
      <c r="T160" s="36"/>
      <c r="U160" s="7"/>
      <c r="V160" s="7"/>
      <c r="W160" s="7"/>
      <c r="X160" s="7"/>
      <c r="Y160" s="7"/>
      <c r="Z160" s="7"/>
      <c r="AA160" s="7"/>
      <c r="AB160" s="7"/>
      <c r="AC160" s="7"/>
      <c r="AD160" s="36"/>
      <c r="AE160" s="36"/>
    </row>
    <row r="161">
      <c r="A161" s="294"/>
      <c r="B161" s="7"/>
      <c r="C161" s="7"/>
      <c r="D161" s="7"/>
      <c r="E161" s="7"/>
      <c r="F161" s="7"/>
      <c r="G161" s="7"/>
      <c r="H161" s="7"/>
      <c r="I161" s="7"/>
      <c r="J161" s="7"/>
      <c r="K161" s="7"/>
      <c r="L161" s="7"/>
      <c r="M161" s="7"/>
      <c r="N161" s="7"/>
      <c r="O161" s="7"/>
      <c r="P161" s="293"/>
      <c r="Q161" s="7"/>
      <c r="R161" s="7"/>
      <c r="S161" s="279"/>
      <c r="T161" s="36"/>
      <c r="U161" s="7"/>
      <c r="V161" s="7"/>
      <c r="W161" s="7"/>
      <c r="X161" s="7"/>
      <c r="Y161" s="7"/>
      <c r="Z161" s="7"/>
      <c r="AA161" s="7"/>
      <c r="AB161" s="7"/>
      <c r="AC161" s="7"/>
      <c r="AD161" s="36"/>
      <c r="AE161" s="36"/>
    </row>
    <row r="162">
      <c r="A162" s="294"/>
      <c r="B162" s="7"/>
      <c r="C162" s="7"/>
      <c r="D162" s="7"/>
      <c r="E162" s="7"/>
      <c r="F162" s="7"/>
      <c r="G162" s="7"/>
      <c r="H162" s="7"/>
      <c r="I162" s="7"/>
      <c r="J162" s="7"/>
      <c r="K162" s="7"/>
      <c r="L162" s="7"/>
      <c r="M162" s="7"/>
      <c r="N162" s="7"/>
      <c r="O162" s="7"/>
      <c r="P162" s="293"/>
      <c r="Q162" s="7"/>
      <c r="R162" s="7"/>
      <c r="S162" s="279"/>
      <c r="T162" s="36"/>
      <c r="U162" s="7"/>
      <c r="V162" s="7"/>
      <c r="W162" s="7"/>
      <c r="X162" s="7"/>
      <c r="Y162" s="7"/>
      <c r="Z162" s="7"/>
      <c r="AA162" s="7"/>
      <c r="AB162" s="7"/>
      <c r="AC162" s="7"/>
      <c r="AD162" s="36"/>
      <c r="AE162" s="36"/>
    </row>
    <row r="163">
      <c r="A163" s="294"/>
      <c r="B163" s="7"/>
      <c r="C163" s="7"/>
      <c r="D163" s="7"/>
      <c r="E163" s="7"/>
      <c r="F163" s="7"/>
      <c r="G163" s="7"/>
      <c r="H163" s="7"/>
      <c r="I163" s="7"/>
      <c r="J163" s="7"/>
      <c r="K163" s="7"/>
      <c r="L163" s="7"/>
      <c r="M163" s="7"/>
      <c r="N163" s="7"/>
      <c r="O163" s="7"/>
      <c r="P163" s="293"/>
      <c r="Q163" s="7"/>
      <c r="R163" s="7"/>
      <c r="S163" s="279"/>
      <c r="T163" s="36"/>
      <c r="U163" s="7"/>
      <c r="V163" s="7"/>
      <c r="W163" s="7"/>
      <c r="X163" s="7"/>
      <c r="Y163" s="7"/>
      <c r="Z163" s="7"/>
      <c r="AA163" s="7"/>
      <c r="AB163" s="7"/>
      <c r="AC163" s="7"/>
      <c r="AD163" s="36"/>
      <c r="AE163" s="36"/>
    </row>
    <row r="164">
      <c r="A164" s="294"/>
      <c r="B164" s="7"/>
      <c r="C164" s="7"/>
      <c r="D164" s="7"/>
      <c r="E164" s="7"/>
      <c r="F164" s="7"/>
      <c r="G164" s="7"/>
      <c r="H164" s="7"/>
      <c r="I164" s="7"/>
      <c r="J164" s="7"/>
      <c r="K164" s="7"/>
      <c r="L164" s="7"/>
      <c r="M164" s="7"/>
      <c r="N164" s="7"/>
      <c r="O164" s="7"/>
      <c r="P164" s="293"/>
      <c r="Q164" s="7"/>
      <c r="R164" s="7"/>
      <c r="S164" s="279"/>
      <c r="T164" s="36"/>
      <c r="U164" s="7"/>
      <c r="V164" s="7"/>
      <c r="W164" s="7"/>
      <c r="X164" s="7"/>
      <c r="Y164" s="7"/>
      <c r="Z164" s="7"/>
      <c r="AA164" s="7"/>
      <c r="AB164" s="7"/>
      <c r="AC164" s="7"/>
      <c r="AD164" s="36"/>
      <c r="AE164" s="36"/>
    </row>
    <row r="165">
      <c r="A165" s="294"/>
      <c r="B165" s="7"/>
      <c r="C165" s="7"/>
      <c r="D165" s="7"/>
      <c r="E165" s="7"/>
      <c r="F165" s="7"/>
      <c r="G165" s="7"/>
      <c r="H165" s="7"/>
      <c r="I165" s="7"/>
      <c r="J165" s="7"/>
      <c r="K165" s="7"/>
      <c r="L165" s="7"/>
      <c r="M165" s="7"/>
      <c r="N165" s="7"/>
      <c r="O165" s="7"/>
      <c r="P165" s="293"/>
      <c r="Q165" s="7"/>
      <c r="R165" s="7"/>
      <c r="S165" s="279"/>
      <c r="T165" s="36"/>
      <c r="U165" s="7"/>
      <c r="V165" s="7"/>
      <c r="W165" s="7"/>
      <c r="X165" s="7"/>
      <c r="Y165" s="7"/>
      <c r="Z165" s="7"/>
      <c r="AA165" s="7"/>
      <c r="AB165" s="7"/>
      <c r="AC165" s="7"/>
      <c r="AD165" s="36"/>
      <c r="AE165" s="36"/>
    </row>
    <row r="166">
      <c r="A166" s="294"/>
      <c r="B166" s="7"/>
      <c r="C166" s="7"/>
      <c r="D166" s="7"/>
      <c r="E166" s="7"/>
      <c r="F166" s="7"/>
      <c r="G166" s="7"/>
      <c r="H166" s="7"/>
      <c r="I166" s="7"/>
      <c r="J166" s="7"/>
      <c r="K166" s="7"/>
      <c r="L166" s="7"/>
      <c r="M166" s="7"/>
      <c r="N166" s="7"/>
      <c r="O166" s="7"/>
      <c r="P166" s="293"/>
      <c r="Q166" s="7"/>
      <c r="R166" s="7"/>
      <c r="S166" s="279"/>
      <c r="T166" s="36"/>
      <c r="U166" s="7"/>
      <c r="V166" s="7"/>
      <c r="W166" s="7"/>
      <c r="X166" s="7"/>
      <c r="Y166" s="7"/>
      <c r="Z166" s="7"/>
      <c r="AA166" s="7"/>
      <c r="AB166" s="7"/>
      <c r="AC166" s="7"/>
      <c r="AD166" s="36"/>
      <c r="AE166" s="36"/>
    </row>
    <row r="167">
      <c r="A167" s="294"/>
      <c r="B167" s="7"/>
      <c r="C167" s="7"/>
      <c r="D167" s="7"/>
      <c r="E167" s="7"/>
      <c r="F167" s="7"/>
      <c r="G167" s="7"/>
      <c r="H167" s="7"/>
      <c r="I167" s="7"/>
      <c r="J167" s="7"/>
      <c r="K167" s="7"/>
      <c r="L167" s="7"/>
      <c r="M167" s="7"/>
      <c r="N167" s="7"/>
      <c r="O167" s="7"/>
      <c r="P167" s="293"/>
      <c r="Q167" s="7"/>
      <c r="R167" s="7"/>
      <c r="S167" s="279"/>
      <c r="T167" s="36"/>
      <c r="U167" s="7"/>
      <c r="V167" s="7"/>
      <c r="W167" s="7"/>
      <c r="X167" s="7"/>
      <c r="Y167" s="7"/>
      <c r="Z167" s="7"/>
      <c r="AA167" s="7"/>
      <c r="AB167" s="7"/>
      <c r="AC167" s="7"/>
      <c r="AD167" s="36"/>
      <c r="AE167" s="36"/>
    </row>
    <row r="168">
      <c r="A168" s="294"/>
      <c r="B168" s="7"/>
      <c r="C168" s="7"/>
      <c r="D168" s="7"/>
      <c r="E168" s="7"/>
      <c r="F168" s="7"/>
      <c r="G168" s="7"/>
      <c r="H168" s="7"/>
      <c r="I168" s="7"/>
      <c r="J168" s="7"/>
      <c r="K168" s="7"/>
      <c r="L168" s="7"/>
      <c r="M168" s="7"/>
      <c r="N168" s="7"/>
      <c r="O168" s="7"/>
      <c r="P168" s="293"/>
      <c r="Q168" s="7"/>
      <c r="R168" s="7"/>
      <c r="S168" s="279"/>
      <c r="T168" s="36"/>
      <c r="U168" s="7"/>
      <c r="V168" s="7"/>
      <c r="W168" s="7"/>
      <c r="X168" s="7"/>
      <c r="Y168" s="7"/>
      <c r="Z168" s="7"/>
      <c r="AA168" s="7"/>
      <c r="AB168" s="7"/>
      <c r="AC168" s="7"/>
      <c r="AD168" s="36"/>
      <c r="AE168" s="36"/>
    </row>
    <row r="169">
      <c r="A169" s="294"/>
      <c r="B169" s="7"/>
      <c r="C169" s="7"/>
      <c r="D169" s="7"/>
      <c r="E169" s="7"/>
      <c r="F169" s="7"/>
      <c r="G169" s="7"/>
      <c r="H169" s="7"/>
      <c r="I169" s="7"/>
      <c r="J169" s="7"/>
      <c r="K169" s="7"/>
      <c r="L169" s="7"/>
      <c r="M169" s="7"/>
      <c r="N169" s="7"/>
      <c r="O169" s="7"/>
      <c r="P169" s="293"/>
      <c r="Q169" s="7"/>
      <c r="R169" s="7"/>
      <c r="S169" s="279"/>
      <c r="T169" s="36"/>
      <c r="U169" s="7"/>
      <c r="V169" s="7"/>
      <c r="W169" s="7"/>
      <c r="X169" s="7"/>
      <c r="Y169" s="7"/>
      <c r="Z169" s="7"/>
      <c r="AA169" s="7"/>
      <c r="AB169" s="7"/>
      <c r="AC169" s="7"/>
      <c r="AD169" s="36"/>
      <c r="AE169" s="36"/>
    </row>
    <row r="170">
      <c r="A170" s="294"/>
      <c r="B170" s="7"/>
      <c r="C170" s="7"/>
      <c r="D170" s="7"/>
      <c r="E170" s="7"/>
      <c r="F170" s="7"/>
      <c r="G170" s="7"/>
      <c r="H170" s="7"/>
      <c r="I170" s="7"/>
      <c r="J170" s="7"/>
      <c r="K170" s="7"/>
      <c r="L170" s="7"/>
      <c r="M170" s="7"/>
      <c r="N170" s="7"/>
      <c r="O170" s="7"/>
      <c r="P170" s="293"/>
      <c r="Q170" s="7"/>
      <c r="R170" s="7"/>
      <c r="S170" s="279"/>
      <c r="T170" s="36"/>
      <c r="U170" s="7"/>
      <c r="V170" s="7"/>
      <c r="W170" s="7"/>
      <c r="X170" s="7"/>
      <c r="Y170" s="7"/>
      <c r="Z170" s="7"/>
      <c r="AA170" s="7"/>
      <c r="AB170" s="7"/>
      <c r="AC170" s="7"/>
      <c r="AD170" s="36"/>
      <c r="AE170" s="36"/>
    </row>
    <row r="171">
      <c r="A171" s="294"/>
      <c r="B171" s="7"/>
      <c r="C171" s="7"/>
      <c r="D171" s="7"/>
      <c r="E171" s="7"/>
      <c r="F171" s="7"/>
      <c r="G171" s="7"/>
      <c r="H171" s="7"/>
      <c r="I171" s="7"/>
      <c r="J171" s="7"/>
      <c r="K171" s="7"/>
      <c r="L171" s="7"/>
      <c r="M171" s="7"/>
      <c r="N171" s="7"/>
      <c r="O171" s="7"/>
      <c r="P171" s="293"/>
      <c r="Q171" s="7"/>
      <c r="R171" s="7"/>
      <c r="S171" s="279"/>
      <c r="T171" s="36"/>
      <c r="U171" s="7"/>
      <c r="V171" s="7"/>
      <c r="W171" s="7"/>
      <c r="X171" s="7"/>
      <c r="Y171" s="7"/>
      <c r="Z171" s="7"/>
      <c r="AA171" s="7"/>
      <c r="AB171" s="7"/>
      <c r="AC171" s="7"/>
      <c r="AD171" s="36"/>
      <c r="AE171" s="36"/>
    </row>
    <row r="172">
      <c r="A172" s="294"/>
      <c r="B172" s="7"/>
      <c r="C172" s="7"/>
      <c r="D172" s="7"/>
      <c r="E172" s="7"/>
      <c r="F172" s="7"/>
      <c r="G172" s="7"/>
      <c r="H172" s="7"/>
      <c r="I172" s="7"/>
      <c r="J172" s="7"/>
      <c r="K172" s="7"/>
      <c r="L172" s="7"/>
      <c r="M172" s="7"/>
      <c r="N172" s="7"/>
      <c r="O172" s="7"/>
      <c r="P172" s="293"/>
      <c r="Q172" s="7"/>
      <c r="R172" s="7"/>
      <c r="S172" s="279"/>
      <c r="T172" s="36"/>
      <c r="U172" s="7"/>
      <c r="V172" s="7"/>
      <c r="W172" s="7"/>
      <c r="X172" s="7"/>
      <c r="Y172" s="7"/>
      <c r="Z172" s="7"/>
      <c r="AA172" s="7"/>
      <c r="AB172" s="7"/>
      <c r="AC172" s="7"/>
      <c r="AD172" s="36"/>
      <c r="AE172" s="36"/>
    </row>
    <row r="173">
      <c r="A173" s="294"/>
      <c r="B173" s="7"/>
      <c r="C173" s="7"/>
      <c r="D173" s="7"/>
      <c r="E173" s="7"/>
      <c r="F173" s="7"/>
      <c r="G173" s="7"/>
      <c r="H173" s="7"/>
      <c r="I173" s="7"/>
      <c r="J173" s="7"/>
      <c r="K173" s="7"/>
      <c r="L173" s="7"/>
      <c r="M173" s="7"/>
      <c r="N173" s="7"/>
      <c r="O173" s="7"/>
      <c r="P173" s="293"/>
      <c r="Q173" s="7"/>
      <c r="R173" s="7"/>
      <c r="S173" s="279"/>
      <c r="T173" s="36"/>
      <c r="U173" s="7"/>
      <c r="V173" s="7"/>
      <c r="W173" s="7"/>
      <c r="X173" s="7"/>
      <c r="Y173" s="7"/>
      <c r="Z173" s="7"/>
      <c r="AA173" s="7"/>
      <c r="AB173" s="7"/>
      <c r="AC173" s="7"/>
      <c r="AD173" s="36"/>
      <c r="AE173" s="36"/>
    </row>
    <row r="174">
      <c r="A174" s="294"/>
      <c r="B174" s="7"/>
      <c r="C174" s="7"/>
      <c r="D174" s="7"/>
      <c r="E174" s="7"/>
      <c r="F174" s="7"/>
      <c r="G174" s="7"/>
      <c r="H174" s="7"/>
      <c r="I174" s="7"/>
      <c r="J174" s="7"/>
      <c r="K174" s="7"/>
      <c r="L174" s="7"/>
      <c r="M174" s="7"/>
      <c r="N174" s="7"/>
      <c r="O174" s="7"/>
      <c r="P174" s="293"/>
      <c r="Q174" s="7"/>
      <c r="R174" s="7"/>
      <c r="S174" s="279"/>
      <c r="T174" s="36"/>
      <c r="U174" s="7"/>
      <c r="V174" s="7"/>
      <c r="W174" s="7"/>
      <c r="X174" s="7"/>
      <c r="Y174" s="7"/>
      <c r="Z174" s="7"/>
      <c r="AA174" s="7"/>
      <c r="AB174" s="7"/>
      <c r="AC174" s="7"/>
      <c r="AD174" s="36"/>
      <c r="AE174" s="36"/>
    </row>
    <row r="175">
      <c r="A175" s="294"/>
      <c r="B175" s="7"/>
      <c r="C175" s="7"/>
      <c r="D175" s="7"/>
      <c r="E175" s="7"/>
      <c r="F175" s="7"/>
      <c r="G175" s="7"/>
      <c r="H175" s="7"/>
      <c r="I175" s="7"/>
      <c r="J175" s="7"/>
      <c r="K175" s="7"/>
      <c r="L175" s="7"/>
      <c r="M175" s="7"/>
      <c r="N175" s="7"/>
      <c r="O175" s="7"/>
      <c r="P175" s="293"/>
      <c r="Q175" s="7"/>
      <c r="R175" s="7"/>
      <c r="S175" s="279"/>
      <c r="T175" s="36"/>
      <c r="U175" s="7"/>
      <c r="V175" s="7"/>
      <c r="W175" s="7"/>
      <c r="X175" s="7"/>
      <c r="Y175" s="7"/>
      <c r="Z175" s="7"/>
      <c r="AA175" s="7"/>
      <c r="AB175" s="7"/>
      <c r="AC175" s="7"/>
      <c r="AD175" s="36"/>
      <c r="AE175" s="36"/>
    </row>
    <row r="176">
      <c r="A176" s="294"/>
      <c r="B176" s="7"/>
      <c r="C176" s="7"/>
      <c r="D176" s="7"/>
      <c r="E176" s="7"/>
      <c r="F176" s="7"/>
      <c r="G176" s="7"/>
      <c r="H176" s="7"/>
      <c r="I176" s="7"/>
      <c r="J176" s="7"/>
      <c r="K176" s="7"/>
      <c r="L176" s="7"/>
      <c r="M176" s="7"/>
      <c r="N176" s="7"/>
      <c r="O176" s="7"/>
      <c r="P176" s="293"/>
      <c r="Q176" s="7"/>
      <c r="R176" s="7"/>
      <c r="S176" s="279"/>
      <c r="T176" s="36"/>
      <c r="U176" s="7"/>
      <c r="V176" s="7"/>
      <c r="W176" s="7"/>
      <c r="X176" s="7"/>
      <c r="Y176" s="7"/>
      <c r="Z176" s="7"/>
      <c r="AA176" s="7"/>
      <c r="AB176" s="7"/>
      <c r="AC176" s="7"/>
      <c r="AD176" s="36"/>
      <c r="AE176" s="36"/>
    </row>
    <row r="177">
      <c r="A177" s="294"/>
      <c r="B177" s="7"/>
      <c r="C177" s="7"/>
      <c r="D177" s="7"/>
      <c r="E177" s="7"/>
      <c r="F177" s="7"/>
      <c r="G177" s="7"/>
      <c r="H177" s="7"/>
      <c r="I177" s="7"/>
      <c r="J177" s="7"/>
      <c r="K177" s="7"/>
      <c r="L177" s="7"/>
      <c r="M177" s="7"/>
      <c r="N177" s="7"/>
      <c r="O177" s="7"/>
      <c r="P177" s="293"/>
      <c r="Q177" s="7"/>
      <c r="R177" s="7"/>
      <c r="S177" s="279"/>
      <c r="T177" s="36"/>
      <c r="U177" s="7"/>
      <c r="V177" s="7"/>
      <c r="W177" s="7"/>
      <c r="X177" s="7"/>
      <c r="Y177" s="7"/>
      <c r="Z177" s="7"/>
      <c r="AA177" s="7"/>
      <c r="AB177" s="7"/>
      <c r="AC177" s="7"/>
      <c r="AD177" s="36"/>
      <c r="AE177" s="36"/>
    </row>
    <row r="178">
      <c r="A178" s="294"/>
      <c r="B178" s="7"/>
      <c r="C178" s="7"/>
      <c r="D178" s="7"/>
      <c r="E178" s="7"/>
      <c r="F178" s="7"/>
      <c r="G178" s="7"/>
      <c r="H178" s="7"/>
      <c r="I178" s="7"/>
      <c r="J178" s="7"/>
      <c r="K178" s="7"/>
      <c r="L178" s="7"/>
      <c r="M178" s="7"/>
      <c r="N178" s="7"/>
      <c r="O178" s="7"/>
      <c r="P178" s="293"/>
      <c r="Q178" s="7"/>
      <c r="R178" s="7"/>
      <c r="S178" s="279"/>
      <c r="T178" s="36"/>
      <c r="U178" s="7"/>
      <c r="V178" s="7"/>
      <c r="W178" s="7"/>
      <c r="X178" s="7"/>
      <c r="Y178" s="7"/>
      <c r="Z178" s="7"/>
      <c r="AA178" s="7"/>
      <c r="AB178" s="7"/>
      <c r="AC178" s="7"/>
      <c r="AD178" s="36"/>
      <c r="AE178" s="36"/>
    </row>
    <row r="179">
      <c r="A179" s="294"/>
      <c r="B179" s="7"/>
      <c r="C179" s="7"/>
      <c r="D179" s="7"/>
      <c r="E179" s="7"/>
      <c r="F179" s="7"/>
      <c r="G179" s="7"/>
      <c r="H179" s="7"/>
      <c r="I179" s="7"/>
      <c r="J179" s="7"/>
      <c r="K179" s="7"/>
      <c r="L179" s="7"/>
      <c r="M179" s="7"/>
      <c r="N179" s="7"/>
      <c r="O179" s="7"/>
      <c r="P179" s="293"/>
      <c r="Q179" s="7"/>
      <c r="R179" s="7"/>
      <c r="S179" s="279"/>
      <c r="T179" s="36"/>
      <c r="U179" s="7"/>
      <c r="V179" s="7"/>
      <c r="W179" s="7"/>
      <c r="X179" s="7"/>
      <c r="Y179" s="7"/>
      <c r="Z179" s="7"/>
      <c r="AA179" s="7"/>
      <c r="AB179" s="7"/>
      <c r="AC179" s="7"/>
      <c r="AD179" s="36"/>
      <c r="AE179" s="36"/>
    </row>
    <row r="180">
      <c r="A180" s="294"/>
      <c r="B180" s="7"/>
      <c r="C180" s="7"/>
      <c r="D180" s="7"/>
      <c r="E180" s="7"/>
      <c r="F180" s="7"/>
      <c r="G180" s="7"/>
      <c r="H180" s="7"/>
      <c r="I180" s="7"/>
      <c r="J180" s="7"/>
      <c r="K180" s="7"/>
      <c r="L180" s="7"/>
      <c r="M180" s="7"/>
      <c r="N180" s="7"/>
      <c r="O180" s="7"/>
      <c r="P180" s="293"/>
      <c r="Q180" s="7"/>
      <c r="R180" s="7"/>
      <c r="S180" s="279"/>
      <c r="T180" s="36"/>
      <c r="U180" s="7"/>
      <c r="V180" s="7"/>
      <c r="W180" s="7"/>
      <c r="X180" s="7"/>
      <c r="Y180" s="7"/>
      <c r="Z180" s="7"/>
      <c r="AA180" s="7"/>
      <c r="AB180" s="7"/>
      <c r="AC180" s="7"/>
      <c r="AD180" s="36"/>
      <c r="AE180" s="36"/>
    </row>
    <row r="181">
      <c r="A181" s="294"/>
      <c r="B181" s="7"/>
      <c r="C181" s="7"/>
      <c r="D181" s="7"/>
      <c r="E181" s="7"/>
      <c r="F181" s="7"/>
      <c r="G181" s="7"/>
      <c r="H181" s="7"/>
      <c r="I181" s="7"/>
      <c r="J181" s="7"/>
      <c r="K181" s="7"/>
      <c r="L181" s="7"/>
      <c r="M181" s="7"/>
      <c r="N181" s="7"/>
      <c r="O181" s="7"/>
      <c r="P181" s="293"/>
      <c r="Q181" s="7"/>
      <c r="R181" s="7"/>
      <c r="S181" s="279"/>
      <c r="T181" s="36"/>
      <c r="U181" s="7"/>
      <c r="V181" s="7"/>
      <c r="W181" s="7"/>
      <c r="X181" s="7"/>
      <c r="Y181" s="7"/>
      <c r="Z181" s="7"/>
      <c r="AA181" s="7"/>
      <c r="AB181" s="7"/>
      <c r="AC181" s="7"/>
      <c r="AD181" s="36"/>
      <c r="AE181" s="36"/>
    </row>
    <row r="182">
      <c r="A182" s="294"/>
      <c r="B182" s="7"/>
      <c r="C182" s="7"/>
      <c r="D182" s="7"/>
      <c r="E182" s="7"/>
      <c r="F182" s="7"/>
      <c r="G182" s="7"/>
      <c r="H182" s="7"/>
      <c r="I182" s="7"/>
      <c r="J182" s="7"/>
      <c r="K182" s="7"/>
      <c r="L182" s="7"/>
      <c r="M182" s="7"/>
      <c r="N182" s="7"/>
      <c r="O182" s="7"/>
      <c r="P182" s="293"/>
      <c r="Q182" s="7"/>
      <c r="R182" s="7"/>
      <c r="S182" s="279"/>
      <c r="T182" s="36"/>
      <c r="U182" s="7"/>
      <c r="V182" s="7"/>
      <c r="W182" s="7"/>
      <c r="X182" s="7"/>
      <c r="Y182" s="7"/>
      <c r="Z182" s="7"/>
      <c r="AA182" s="7"/>
      <c r="AB182" s="7"/>
      <c r="AC182" s="7"/>
      <c r="AD182" s="36"/>
      <c r="AE182" s="36"/>
    </row>
    <row r="183">
      <c r="A183" s="294"/>
      <c r="B183" s="7"/>
      <c r="C183" s="7"/>
      <c r="D183" s="7"/>
      <c r="E183" s="7"/>
      <c r="F183" s="7"/>
      <c r="G183" s="7"/>
      <c r="H183" s="7"/>
      <c r="I183" s="7"/>
      <c r="J183" s="7"/>
      <c r="K183" s="7"/>
      <c r="L183" s="7"/>
      <c r="M183" s="7"/>
      <c r="N183" s="7"/>
      <c r="O183" s="7"/>
      <c r="P183" s="293"/>
      <c r="Q183" s="7"/>
      <c r="R183" s="7"/>
      <c r="S183" s="279"/>
      <c r="T183" s="36"/>
      <c r="U183" s="7"/>
      <c r="V183" s="7"/>
      <c r="W183" s="7"/>
      <c r="X183" s="7"/>
      <c r="Y183" s="7"/>
      <c r="Z183" s="7"/>
      <c r="AA183" s="7"/>
      <c r="AB183" s="7"/>
      <c r="AC183" s="7"/>
      <c r="AD183" s="36"/>
      <c r="AE183" s="36"/>
    </row>
    <row r="184">
      <c r="A184" s="294"/>
      <c r="B184" s="7"/>
      <c r="C184" s="7"/>
      <c r="D184" s="7"/>
      <c r="E184" s="7"/>
      <c r="F184" s="7"/>
      <c r="G184" s="7"/>
      <c r="H184" s="7"/>
      <c r="I184" s="7"/>
      <c r="J184" s="7"/>
      <c r="K184" s="7"/>
      <c r="L184" s="7"/>
      <c r="M184" s="7"/>
      <c r="N184" s="7"/>
      <c r="O184" s="7"/>
      <c r="P184" s="293"/>
      <c r="Q184" s="7"/>
      <c r="R184" s="7"/>
      <c r="S184" s="279"/>
      <c r="T184" s="36"/>
      <c r="U184" s="7"/>
      <c r="V184" s="7"/>
      <c r="W184" s="7"/>
      <c r="X184" s="7"/>
      <c r="Y184" s="7"/>
      <c r="Z184" s="7"/>
      <c r="AA184" s="7"/>
      <c r="AB184" s="7"/>
      <c r="AC184" s="7"/>
      <c r="AD184" s="36"/>
      <c r="AE184" s="36"/>
    </row>
    <row r="185">
      <c r="A185" s="294"/>
      <c r="B185" s="7"/>
      <c r="C185" s="7"/>
      <c r="D185" s="7"/>
      <c r="E185" s="7"/>
      <c r="F185" s="7"/>
      <c r="G185" s="7"/>
      <c r="H185" s="7"/>
      <c r="I185" s="7"/>
      <c r="J185" s="7"/>
      <c r="K185" s="7"/>
      <c r="L185" s="7"/>
      <c r="M185" s="7"/>
      <c r="N185" s="7"/>
      <c r="O185" s="7"/>
      <c r="P185" s="293"/>
      <c r="Q185" s="7"/>
      <c r="R185" s="7"/>
      <c r="S185" s="279"/>
      <c r="T185" s="36"/>
      <c r="U185" s="7"/>
      <c r="V185" s="7"/>
      <c r="W185" s="7"/>
      <c r="X185" s="7"/>
      <c r="Y185" s="7"/>
      <c r="Z185" s="7"/>
      <c r="AA185" s="7"/>
      <c r="AB185" s="7"/>
      <c r="AC185" s="7"/>
      <c r="AD185" s="36"/>
      <c r="AE185" s="36"/>
    </row>
    <row r="186">
      <c r="A186" s="294"/>
      <c r="B186" s="7"/>
      <c r="C186" s="7"/>
      <c r="D186" s="7"/>
      <c r="E186" s="7"/>
      <c r="F186" s="7"/>
      <c r="G186" s="7"/>
      <c r="H186" s="7"/>
      <c r="I186" s="7"/>
      <c r="J186" s="7"/>
      <c r="K186" s="7"/>
      <c r="L186" s="7"/>
      <c r="M186" s="7"/>
      <c r="N186" s="7"/>
      <c r="O186" s="7"/>
      <c r="P186" s="293"/>
      <c r="Q186" s="7"/>
      <c r="R186" s="7"/>
      <c r="S186" s="279"/>
      <c r="T186" s="36"/>
      <c r="U186" s="7"/>
      <c r="V186" s="7"/>
      <c r="W186" s="7"/>
      <c r="X186" s="7"/>
      <c r="Y186" s="7"/>
      <c r="Z186" s="7"/>
      <c r="AA186" s="7"/>
      <c r="AB186" s="7"/>
      <c r="AC186" s="7"/>
      <c r="AD186" s="36"/>
      <c r="AE186" s="36"/>
    </row>
    <row r="187">
      <c r="A187" s="294"/>
      <c r="B187" s="7"/>
      <c r="C187" s="7"/>
      <c r="D187" s="7"/>
      <c r="E187" s="7"/>
      <c r="F187" s="7"/>
      <c r="G187" s="7"/>
      <c r="H187" s="7"/>
      <c r="I187" s="7"/>
      <c r="J187" s="7"/>
      <c r="K187" s="7"/>
      <c r="L187" s="7"/>
      <c r="M187" s="7"/>
      <c r="N187" s="7"/>
      <c r="O187" s="7"/>
      <c r="P187" s="293"/>
      <c r="Q187" s="7"/>
      <c r="R187" s="7"/>
      <c r="S187" s="279"/>
      <c r="T187" s="36"/>
      <c r="U187" s="7"/>
      <c r="V187" s="7"/>
      <c r="W187" s="7"/>
      <c r="X187" s="7"/>
      <c r="Y187" s="7"/>
      <c r="Z187" s="7"/>
      <c r="AA187" s="7"/>
      <c r="AB187" s="7"/>
      <c r="AC187" s="7"/>
      <c r="AD187" s="36"/>
      <c r="AE187" s="36"/>
    </row>
    <row r="188">
      <c r="A188" s="294"/>
      <c r="B188" s="7"/>
      <c r="C188" s="7"/>
      <c r="D188" s="7"/>
      <c r="E188" s="7"/>
      <c r="F188" s="7"/>
      <c r="G188" s="7"/>
      <c r="H188" s="7"/>
      <c r="I188" s="7"/>
      <c r="J188" s="7"/>
      <c r="K188" s="7"/>
      <c r="L188" s="7"/>
      <c r="M188" s="7"/>
      <c r="N188" s="7"/>
      <c r="O188" s="7"/>
      <c r="P188" s="293"/>
      <c r="Q188" s="7"/>
      <c r="R188" s="7"/>
      <c r="S188" s="279"/>
      <c r="T188" s="36"/>
      <c r="U188" s="7"/>
      <c r="V188" s="7"/>
      <c r="W188" s="7"/>
      <c r="X188" s="7"/>
      <c r="Y188" s="7"/>
      <c r="Z188" s="7"/>
      <c r="AA188" s="7"/>
      <c r="AB188" s="7"/>
      <c r="AC188" s="7"/>
      <c r="AD188" s="36"/>
      <c r="AE188" s="36"/>
    </row>
    <row r="189">
      <c r="A189" s="294"/>
      <c r="B189" s="7"/>
      <c r="C189" s="7"/>
      <c r="D189" s="7"/>
      <c r="E189" s="7"/>
      <c r="F189" s="7"/>
      <c r="G189" s="7"/>
      <c r="H189" s="7"/>
      <c r="I189" s="7"/>
      <c r="J189" s="7"/>
      <c r="K189" s="7"/>
      <c r="L189" s="7"/>
      <c r="M189" s="7"/>
      <c r="N189" s="7"/>
      <c r="O189" s="7"/>
      <c r="P189" s="293"/>
      <c r="Q189" s="7"/>
      <c r="R189" s="7"/>
      <c r="S189" s="279"/>
      <c r="T189" s="36"/>
      <c r="U189" s="7"/>
      <c r="V189" s="7"/>
      <c r="W189" s="7"/>
      <c r="X189" s="7"/>
      <c r="Y189" s="7"/>
      <c r="Z189" s="7"/>
      <c r="AA189" s="7"/>
      <c r="AB189" s="7"/>
      <c r="AC189" s="7"/>
      <c r="AD189" s="36"/>
      <c r="AE189" s="36"/>
    </row>
    <row r="190">
      <c r="A190" s="294"/>
      <c r="B190" s="7"/>
      <c r="C190" s="7"/>
      <c r="D190" s="7"/>
      <c r="E190" s="7"/>
      <c r="F190" s="7"/>
      <c r="G190" s="7"/>
      <c r="H190" s="7"/>
      <c r="I190" s="7"/>
      <c r="J190" s="7"/>
      <c r="K190" s="7"/>
      <c r="L190" s="7"/>
      <c r="M190" s="7"/>
      <c r="N190" s="7"/>
      <c r="O190" s="7"/>
      <c r="P190" s="293"/>
      <c r="Q190" s="7"/>
      <c r="R190" s="7"/>
      <c r="S190" s="279"/>
      <c r="T190" s="36"/>
      <c r="U190" s="7"/>
      <c r="V190" s="7"/>
      <c r="W190" s="7"/>
      <c r="X190" s="7"/>
      <c r="Y190" s="7"/>
      <c r="Z190" s="7"/>
      <c r="AA190" s="7"/>
      <c r="AB190" s="7"/>
      <c r="AC190" s="7"/>
      <c r="AD190" s="36"/>
      <c r="AE190" s="36"/>
    </row>
    <row r="191">
      <c r="A191" s="294"/>
      <c r="B191" s="7"/>
      <c r="C191" s="7"/>
      <c r="D191" s="7"/>
      <c r="E191" s="7"/>
      <c r="F191" s="7"/>
      <c r="G191" s="7"/>
      <c r="H191" s="7"/>
      <c r="I191" s="7"/>
      <c r="J191" s="7"/>
      <c r="K191" s="7"/>
      <c r="L191" s="7"/>
      <c r="M191" s="7"/>
      <c r="N191" s="7"/>
      <c r="O191" s="7"/>
      <c r="P191" s="293"/>
      <c r="Q191" s="7"/>
      <c r="R191" s="7"/>
      <c r="S191" s="279"/>
      <c r="T191" s="36"/>
      <c r="U191" s="7"/>
      <c r="V191" s="7"/>
      <c r="W191" s="7"/>
      <c r="X191" s="7"/>
      <c r="Y191" s="7"/>
      <c r="Z191" s="7"/>
      <c r="AA191" s="7"/>
      <c r="AB191" s="7"/>
      <c r="AC191" s="7"/>
      <c r="AD191" s="36"/>
      <c r="AE191" s="36"/>
    </row>
    <row r="192">
      <c r="A192" s="294"/>
      <c r="B192" s="7"/>
      <c r="C192" s="7"/>
      <c r="D192" s="7"/>
      <c r="E192" s="7"/>
      <c r="F192" s="7"/>
      <c r="G192" s="7"/>
      <c r="H192" s="7"/>
      <c r="I192" s="7"/>
      <c r="J192" s="7"/>
      <c r="K192" s="7"/>
      <c r="L192" s="7"/>
      <c r="M192" s="7"/>
      <c r="N192" s="7"/>
      <c r="O192" s="7"/>
      <c r="P192" s="293"/>
      <c r="Q192" s="7"/>
      <c r="R192" s="7"/>
      <c r="S192" s="279"/>
      <c r="T192" s="36"/>
      <c r="U192" s="7"/>
      <c r="V192" s="7"/>
      <c r="W192" s="7"/>
      <c r="X192" s="7"/>
      <c r="Y192" s="7"/>
      <c r="Z192" s="7"/>
      <c r="AA192" s="7"/>
      <c r="AB192" s="7"/>
      <c r="AC192" s="7"/>
      <c r="AD192" s="36"/>
      <c r="AE192" s="36"/>
    </row>
    <row r="193">
      <c r="A193" s="294"/>
      <c r="B193" s="7"/>
      <c r="C193" s="7"/>
      <c r="D193" s="7"/>
      <c r="E193" s="7"/>
      <c r="F193" s="7"/>
      <c r="G193" s="7"/>
      <c r="H193" s="7"/>
      <c r="I193" s="7"/>
      <c r="J193" s="7"/>
      <c r="K193" s="7"/>
      <c r="L193" s="7"/>
      <c r="M193" s="7"/>
      <c r="N193" s="7"/>
      <c r="O193" s="7"/>
      <c r="P193" s="293"/>
      <c r="Q193" s="7"/>
      <c r="R193" s="7"/>
      <c r="S193" s="279"/>
      <c r="T193" s="36"/>
      <c r="U193" s="7"/>
      <c r="V193" s="7"/>
      <c r="W193" s="7"/>
      <c r="X193" s="7"/>
      <c r="Y193" s="7"/>
      <c r="Z193" s="7"/>
      <c r="AA193" s="7"/>
      <c r="AB193" s="7"/>
      <c r="AC193" s="7"/>
      <c r="AD193" s="36"/>
      <c r="AE193" s="36"/>
    </row>
    <row r="194">
      <c r="A194" s="294"/>
      <c r="B194" s="7"/>
      <c r="C194" s="7"/>
      <c r="D194" s="7"/>
      <c r="E194" s="7"/>
      <c r="F194" s="7"/>
      <c r="G194" s="7"/>
      <c r="H194" s="7"/>
      <c r="I194" s="7"/>
      <c r="J194" s="7"/>
      <c r="K194" s="7"/>
      <c r="L194" s="7"/>
      <c r="M194" s="7"/>
      <c r="N194" s="7"/>
      <c r="O194" s="7"/>
      <c r="P194" s="293"/>
      <c r="Q194" s="7"/>
      <c r="R194" s="7"/>
      <c r="S194" s="279"/>
      <c r="T194" s="36"/>
      <c r="U194" s="7"/>
      <c r="V194" s="7"/>
      <c r="W194" s="7"/>
      <c r="X194" s="7"/>
      <c r="Y194" s="7"/>
      <c r="Z194" s="7"/>
      <c r="AA194" s="7"/>
      <c r="AB194" s="7"/>
      <c r="AC194" s="7"/>
      <c r="AD194" s="36"/>
      <c r="AE194" s="36"/>
    </row>
    <row r="195">
      <c r="A195" s="294"/>
      <c r="B195" s="7"/>
      <c r="C195" s="7"/>
      <c r="D195" s="7"/>
      <c r="E195" s="7"/>
      <c r="F195" s="7"/>
      <c r="G195" s="7"/>
      <c r="H195" s="7"/>
      <c r="I195" s="7"/>
      <c r="J195" s="7"/>
      <c r="K195" s="7"/>
      <c r="L195" s="7"/>
      <c r="M195" s="7"/>
      <c r="N195" s="7"/>
      <c r="O195" s="7"/>
      <c r="P195" s="293"/>
      <c r="Q195" s="7"/>
      <c r="R195" s="7"/>
      <c r="S195" s="279"/>
      <c r="T195" s="36"/>
      <c r="U195" s="7"/>
      <c r="V195" s="7"/>
      <c r="W195" s="7"/>
      <c r="X195" s="7"/>
      <c r="Y195" s="7"/>
      <c r="Z195" s="7"/>
      <c r="AA195" s="7"/>
      <c r="AB195" s="7"/>
      <c r="AC195" s="7"/>
      <c r="AD195" s="36"/>
      <c r="AE195" s="36"/>
    </row>
    <row r="196">
      <c r="A196" s="294"/>
      <c r="B196" s="7"/>
      <c r="C196" s="7"/>
      <c r="D196" s="7"/>
      <c r="E196" s="7"/>
      <c r="F196" s="7"/>
      <c r="G196" s="7"/>
      <c r="H196" s="7"/>
      <c r="I196" s="7"/>
      <c r="J196" s="7"/>
      <c r="K196" s="7"/>
      <c r="L196" s="7"/>
      <c r="M196" s="7"/>
      <c r="N196" s="7"/>
      <c r="O196" s="7"/>
      <c r="P196" s="293"/>
      <c r="Q196" s="7"/>
      <c r="R196" s="7"/>
      <c r="S196" s="279"/>
      <c r="T196" s="36"/>
      <c r="U196" s="7"/>
      <c r="V196" s="7"/>
      <c r="W196" s="7"/>
      <c r="X196" s="7"/>
      <c r="Y196" s="7"/>
      <c r="Z196" s="7"/>
      <c r="AA196" s="7"/>
      <c r="AB196" s="7"/>
      <c r="AC196" s="7"/>
      <c r="AD196" s="36"/>
      <c r="AE196" s="36"/>
    </row>
    <row r="197">
      <c r="A197" s="294"/>
      <c r="B197" s="7"/>
      <c r="C197" s="7"/>
      <c r="D197" s="7"/>
      <c r="E197" s="7"/>
      <c r="F197" s="7"/>
      <c r="G197" s="7"/>
      <c r="H197" s="7"/>
      <c r="I197" s="7"/>
      <c r="J197" s="7"/>
      <c r="K197" s="7"/>
      <c r="L197" s="7"/>
      <c r="M197" s="7"/>
      <c r="N197" s="7"/>
      <c r="O197" s="7"/>
      <c r="P197" s="293"/>
      <c r="Q197" s="7"/>
      <c r="R197" s="7"/>
      <c r="S197" s="279"/>
      <c r="T197" s="36"/>
      <c r="U197" s="7"/>
      <c r="V197" s="7"/>
      <c r="W197" s="7"/>
      <c r="X197" s="7"/>
      <c r="Y197" s="7"/>
      <c r="Z197" s="7"/>
      <c r="AA197" s="7"/>
      <c r="AB197" s="7"/>
      <c r="AC197" s="7"/>
      <c r="AD197" s="36"/>
      <c r="AE197" s="36"/>
    </row>
    <row r="198">
      <c r="A198" s="294"/>
      <c r="B198" s="7"/>
      <c r="C198" s="7"/>
      <c r="D198" s="7"/>
      <c r="E198" s="7"/>
      <c r="F198" s="7"/>
      <c r="G198" s="7"/>
      <c r="H198" s="7"/>
      <c r="I198" s="7"/>
      <c r="J198" s="7"/>
      <c r="K198" s="7"/>
      <c r="L198" s="7"/>
      <c r="M198" s="7"/>
      <c r="N198" s="7"/>
      <c r="O198" s="7"/>
      <c r="P198" s="293"/>
      <c r="Q198" s="7"/>
      <c r="R198" s="7"/>
      <c r="S198" s="279"/>
      <c r="T198" s="36"/>
      <c r="U198" s="7"/>
      <c r="V198" s="7"/>
      <c r="W198" s="7"/>
      <c r="X198" s="7"/>
      <c r="Y198" s="7"/>
      <c r="Z198" s="7"/>
      <c r="AA198" s="7"/>
      <c r="AB198" s="7"/>
      <c r="AC198" s="7"/>
      <c r="AD198" s="36"/>
      <c r="AE198" s="36"/>
    </row>
    <row r="199">
      <c r="A199" s="294"/>
      <c r="B199" s="7"/>
      <c r="C199" s="7"/>
      <c r="D199" s="7"/>
      <c r="E199" s="7"/>
      <c r="F199" s="7"/>
      <c r="G199" s="7"/>
      <c r="H199" s="7"/>
      <c r="I199" s="7"/>
      <c r="J199" s="7"/>
      <c r="K199" s="7"/>
      <c r="L199" s="7"/>
      <c r="M199" s="7"/>
      <c r="N199" s="7"/>
      <c r="O199" s="7"/>
      <c r="P199" s="293"/>
      <c r="Q199" s="7"/>
      <c r="R199" s="7"/>
      <c r="S199" s="279"/>
      <c r="T199" s="36"/>
      <c r="U199" s="7"/>
      <c r="V199" s="7"/>
      <c r="W199" s="7"/>
      <c r="X199" s="7"/>
      <c r="Y199" s="7"/>
      <c r="Z199" s="7"/>
      <c r="AA199" s="7"/>
      <c r="AB199" s="7"/>
      <c r="AC199" s="7"/>
      <c r="AD199" s="36"/>
      <c r="AE199" s="36"/>
    </row>
    <row r="200">
      <c r="A200" s="294"/>
      <c r="B200" s="7"/>
      <c r="C200" s="7"/>
      <c r="D200" s="7"/>
      <c r="E200" s="7"/>
      <c r="F200" s="7"/>
      <c r="G200" s="7"/>
      <c r="H200" s="7"/>
      <c r="I200" s="7"/>
      <c r="J200" s="7"/>
      <c r="K200" s="7"/>
      <c r="L200" s="7"/>
      <c r="M200" s="7"/>
      <c r="N200" s="7"/>
      <c r="O200" s="7"/>
      <c r="P200" s="293"/>
      <c r="Q200" s="7"/>
      <c r="R200" s="7"/>
      <c r="S200" s="279"/>
      <c r="T200" s="36"/>
      <c r="U200" s="7"/>
      <c r="V200" s="7"/>
      <c r="W200" s="7"/>
      <c r="X200" s="7"/>
      <c r="Y200" s="7"/>
      <c r="Z200" s="7"/>
      <c r="AA200" s="7"/>
      <c r="AB200" s="7"/>
      <c r="AC200" s="7"/>
      <c r="AD200" s="36"/>
      <c r="AE200" s="36"/>
    </row>
    <row r="201">
      <c r="A201" s="294"/>
      <c r="B201" s="7"/>
      <c r="C201" s="7"/>
      <c r="D201" s="7"/>
      <c r="E201" s="7"/>
      <c r="F201" s="7"/>
      <c r="G201" s="7"/>
      <c r="H201" s="7"/>
      <c r="I201" s="7"/>
      <c r="J201" s="7"/>
      <c r="K201" s="7"/>
      <c r="L201" s="7"/>
      <c r="M201" s="7"/>
      <c r="N201" s="7"/>
      <c r="O201" s="7"/>
      <c r="P201" s="293"/>
      <c r="Q201" s="7"/>
      <c r="R201" s="7"/>
      <c r="S201" s="279"/>
      <c r="T201" s="36"/>
      <c r="U201" s="7"/>
      <c r="V201" s="7"/>
      <c r="W201" s="7"/>
      <c r="X201" s="7"/>
      <c r="Y201" s="7"/>
      <c r="Z201" s="7"/>
      <c r="AA201" s="7"/>
      <c r="AB201" s="7"/>
      <c r="AC201" s="7"/>
      <c r="AD201" s="36"/>
      <c r="AE201" s="36"/>
    </row>
    <row r="202">
      <c r="A202" s="294"/>
      <c r="B202" s="7"/>
      <c r="C202" s="7"/>
      <c r="D202" s="7"/>
      <c r="E202" s="7"/>
      <c r="F202" s="7"/>
      <c r="G202" s="7"/>
      <c r="H202" s="7"/>
      <c r="I202" s="7"/>
      <c r="J202" s="7"/>
      <c r="K202" s="7"/>
      <c r="L202" s="7"/>
      <c r="M202" s="7"/>
      <c r="N202" s="7"/>
      <c r="O202" s="7"/>
      <c r="P202" s="293"/>
      <c r="Q202" s="7"/>
      <c r="R202" s="7"/>
      <c r="S202" s="279"/>
      <c r="T202" s="36"/>
      <c r="U202" s="7"/>
      <c r="V202" s="7"/>
      <c r="W202" s="7"/>
      <c r="X202" s="7"/>
      <c r="Y202" s="7"/>
      <c r="Z202" s="7"/>
      <c r="AA202" s="7"/>
      <c r="AB202" s="7"/>
      <c r="AC202" s="7"/>
      <c r="AD202" s="36"/>
      <c r="AE202" s="36"/>
    </row>
    <row r="203">
      <c r="A203" s="294"/>
      <c r="B203" s="7"/>
      <c r="C203" s="7"/>
      <c r="D203" s="7"/>
      <c r="E203" s="7"/>
      <c r="F203" s="7"/>
      <c r="G203" s="7"/>
      <c r="H203" s="7"/>
      <c r="I203" s="7"/>
      <c r="J203" s="7"/>
      <c r="K203" s="7"/>
      <c r="L203" s="7"/>
      <c r="M203" s="7"/>
      <c r="N203" s="7"/>
      <c r="O203" s="7"/>
      <c r="P203" s="293"/>
      <c r="Q203" s="7"/>
      <c r="R203" s="7"/>
      <c r="S203" s="279"/>
      <c r="T203" s="36"/>
      <c r="U203" s="7"/>
      <c r="V203" s="7"/>
      <c r="W203" s="7"/>
      <c r="X203" s="7"/>
      <c r="Y203" s="7"/>
      <c r="Z203" s="7"/>
      <c r="AA203" s="7"/>
      <c r="AB203" s="7"/>
      <c r="AC203" s="7"/>
      <c r="AD203" s="36"/>
      <c r="AE203" s="36"/>
    </row>
    <row r="204">
      <c r="A204" s="294"/>
      <c r="B204" s="7"/>
      <c r="C204" s="7"/>
      <c r="D204" s="7"/>
      <c r="E204" s="7"/>
      <c r="F204" s="7"/>
      <c r="G204" s="7"/>
      <c r="H204" s="7"/>
      <c r="I204" s="7"/>
      <c r="J204" s="7"/>
      <c r="K204" s="7"/>
      <c r="L204" s="7"/>
      <c r="M204" s="7"/>
      <c r="N204" s="7"/>
      <c r="O204" s="7"/>
      <c r="P204" s="293"/>
      <c r="Q204" s="7"/>
      <c r="R204" s="7"/>
      <c r="S204" s="279"/>
      <c r="T204" s="36"/>
      <c r="U204" s="7"/>
      <c r="V204" s="7"/>
      <c r="W204" s="7"/>
      <c r="X204" s="7"/>
      <c r="Y204" s="7"/>
      <c r="Z204" s="7"/>
      <c r="AA204" s="7"/>
      <c r="AB204" s="7"/>
      <c r="AC204" s="7"/>
      <c r="AD204" s="36"/>
      <c r="AE204" s="36"/>
    </row>
    <row r="205">
      <c r="A205" s="294"/>
      <c r="B205" s="7"/>
      <c r="C205" s="7"/>
      <c r="D205" s="7"/>
      <c r="E205" s="7"/>
      <c r="F205" s="7"/>
      <c r="G205" s="7"/>
      <c r="H205" s="7"/>
      <c r="I205" s="7"/>
      <c r="J205" s="7"/>
      <c r="K205" s="7"/>
      <c r="L205" s="7"/>
      <c r="M205" s="7"/>
      <c r="N205" s="7"/>
      <c r="O205" s="7"/>
      <c r="P205" s="293"/>
      <c r="Q205" s="7"/>
      <c r="R205" s="7"/>
      <c r="S205" s="279"/>
      <c r="T205" s="36"/>
      <c r="U205" s="7"/>
      <c r="V205" s="7"/>
      <c r="W205" s="7"/>
      <c r="X205" s="7"/>
      <c r="Y205" s="7"/>
      <c r="Z205" s="7"/>
      <c r="AA205" s="7"/>
      <c r="AB205" s="7"/>
      <c r="AC205" s="7"/>
      <c r="AD205" s="36"/>
      <c r="AE205" s="36"/>
    </row>
    <row r="206">
      <c r="A206" s="294"/>
      <c r="B206" s="7"/>
      <c r="C206" s="7"/>
      <c r="D206" s="7"/>
      <c r="E206" s="7"/>
      <c r="F206" s="7"/>
      <c r="G206" s="7"/>
      <c r="H206" s="7"/>
      <c r="I206" s="7"/>
      <c r="J206" s="7"/>
      <c r="K206" s="7"/>
      <c r="L206" s="7"/>
      <c r="M206" s="7"/>
      <c r="N206" s="7"/>
      <c r="O206" s="7"/>
      <c r="P206" s="293"/>
      <c r="Q206" s="7"/>
      <c r="R206" s="7"/>
      <c r="S206" s="279"/>
      <c r="T206" s="36"/>
      <c r="U206" s="7"/>
      <c r="V206" s="7"/>
      <c r="W206" s="7"/>
      <c r="X206" s="7"/>
      <c r="Y206" s="7"/>
      <c r="Z206" s="7"/>
      <c r="AA206" s="7"/>
      <c r="AB206" s="7"/>
      <c r="AC206" s="7"/>
      <c r="AD206" s="36"/>
      <c r="AE206" s="36"/>
    </row>
    <row r="207">
      <c r="A207" s="294"/>
      <c r="B207" s="7"/>
      <c r="C207" s="7"/>
      <c r="D207" s="7"/>
      <c r="E207" s="7"/>
      <c r="F207" s="7"/>
      <c r="G207" s="7"/>
      <c r="H207" s="7"/>
      <c r="I207" s="7"/>
      <c r="J207" s="7"/>
      <c r="K207" s="7"/>
      <c r="L207" s="7"/>
      <c r="M207" s="7"/>
      <c r="N207" s="7"/>
      <c r="O207" s="7"/>
      <c r="P207" s="293"/>
      <c r="Q207" s="7"/>
      <c r="R207" s="7"/>
      <c r="S207" s="279"/>
      <c r="T207" s="36"/>
      <c r="U207" s="7"/>
      <c r="V207" s="7"/>
      <c r="W207" s="7"/>
      <c r="X207" s="7"/>
      <c r="Y207" s="7"/>
      <c r="Z207" s="7"/>
      <c r="AA207" s="7"/>
      <c r="AB207" s="7"/>
      <c r="AC207" s="7"/>
      <c r="AD207" s="36"/>
      <c r="AE207" s="36"/>
    </row>
    <row r="208">
      <c r="A208" s="294"/>
      <c r="B208" s="7"/>
      <c r="C208" s="7"/>
      <c r="D208" s="7"/>
      <c r="E208" s="7"/>
      <c r="F208" s="7"/>
      <c r="G208" s="7"/>
      <c r="H208" s="7"/>
      <c r="I208" s="7"/>
      <c r="J208" s="7"/>
      <c r="K208" s="7"/>
      <c r="L208" s="7"/>
      <c r="M208" s="7"/>
      <c r="N208" s="7"/>
      <c r="O208" s="7"/>
      <c r="P208" s="293"/>
      <c r="Q208" s="7"/>
      <c r="R208" s="7"/>
      <c r="S208" s="279"/>
      <c r="T208" s="36"/>
      <c r="U208" s="7"/>
      <c r="V208" s="7"/>
      <c r="W208" s="7"/>
      <c r="X208" s="7"/>
      <c r="Y208" s="7"/>
      <c r="Z208" s="7"/>
      <c r="AA208" s="7"/>
      <c r="AB208" s="7"/>
      <c r="AC208" s="7"/>
      <c r="AD208" s="36"/>
      <c r="AE208" s="36"/>
    </row>
    <row r="209">
      <c r="A209" s="294"/>
      <c r="B209" s="7"/>
      <c r="C209" s="7"/>
      <c r="D209" s="7"/>
      <c r="E209" s="7"/>
      <c r="F209" s="7"/>
      <c r="G209" s="7"/>
      <c r="H209" s="7"/>
      <c r="I209" s="7"/>
      <c r="J209" s="7"/>
      <c r="K209" s="7"/>
      <c r="L209" s="7"/>
      <c r="M209" s="7"/>
      <c r="N209" s="7"/>
      <c r="O209" s="7"/>
      <c r="P209" s="293"/>
      <c r="Q209" s="7"/>
      <c r="R209" s="7"/>
      <c r="S209" s="279"/>
      <c r="T209" s="36"/>
      <c r="U209" s="7"/>
      <c r="V209" s="7"/>
      <c r="W209" s="7"/>
      <c r="X209" s="7"/>
      <c r="Y209" s="7"/>
      <c r="Z209" s="7"/>
      <c r="AA209" s="7"/>
      <c r="AB209" s="7"/>
      <c r="AC209" s="7"/>
      <c r="AD209" s="36"/>
      <c r="AE209" s="36"/>
    </row>
    <row r="210">
      <c r="A210" s="294"/>
      <c r="B210" s="7"/>
      <c r="C210" s="7"/>
      <c r="D210" s="7"/>
      <c r="E210" s="7"/>
      <c r="F210" s="7"/>
      <c r="G210" s="7"/>
      <c r="H210" s="7"/>
      <c r="I210" s="7"/>
      <c r="J210" s="7"/>
      <c r="K210" s="7"/>
      <c r="L210" s="7"/>
      <c r="M210" s="7"/>
      <c r="N210" s="7"/>
      <c r="O210" s="7"/>
      <c r="P210" s="293"/>
      <c r="Q210" s="7"/>
      <c r="R210" s="7"/>
      <c r="S210" s="279"/>
      <c r="T210" s="36"/>
      <c r="U210" s="7"/>
      <c r="V210" s="7"/>
      <c r="W210" s="7"/>
      <c r="X210" s="7"/>
      <c r="Y210" s="7"/>
      <c r="Z210" s="7"/>
      <c r="AA210" s="7"/>
      <c r="AB210" s="7"/>
      <c r="AC210" s="7"/>
      <c r="AD210" s="36"/>
      <c r="AE210" s="36"/>
    </row>
    <row r="211">
      <c r="A211" s="294"/>
      <c r="B211" s="7"/>
      <c r="C211" s="7"/>
      <c r="D211" s="7"/>
      <c r="E211" s="7"/>
      <c r="F211" s="7"/>
      <c r="G211" s="7"/>
      <c r="H211" s="7"/>
      <c r="I211" s="7"/>
      <c r="J211" s="7"/>
      <c r="K211" s="7"/>
      <c r="L211" s="7"/>
      <c r="M211" s="7"/>
      <c r="N211" s="7"/>
      <c r="O211" s="7"/>
      <c r="P211" s="293"/>
      <c r="Q211" s="7"/>
      <c r="R211" s="7"/>
      <c r="S211" s="279"/>
      <c r="T211" s="36"/>
      <c r="U211" s="7"/>
      <c r="V211" s="7"/>
      <c r="W211" s="7"/>
      <c r="X211" s="7"/>
      <c r="Y211" s="7"/>
      <c r="Z211" s="7"/>
      <c r="AA211" s="7"/>
      <c r="AB211" s="7"/>
      <c r="AC211" s="7"/>
      <c r="AD211" s="36"/>
      <c r="AE211" s="36"/>
    </row>
    <row r="212">
      <c r="A212" s="294"/>
      <c r="B212" s="7"/>
      <c r="C212" s="7"/>
      <c r="D212" s="7"/>
      <c r="E212" s="7"/>
      <c r="F212" s="7"/>
      <c r="G212" s="7"/>
      <c r="H212" s="7"/>
      <c r="I212" s="7"/>
      <c r="J212" s="7"/>
      <c r="K212" s="7"/>
      <c r="L212" s="7"/>
      <c r="M212" s="7"/>
      <c r="N212" s="7"/>
      <c r="O212" s="7"/>
      <c r="P212" s="293"/>
      <c r="Q212" s="7"/>
      <c r="R212" s="7"/>
      <c r="S212" s="279"/>
      <c r="T212" s="36"/>
      <c r="U212" s="7"/>
      <c r="V212" s="7"/>
      <c r="W212" s="7"/>
      <c r="X212" s="7"/>
      <c r="Y212" s="7"/>
      <c r="Z212" s="7"/>
      <c r="AA212" s="7"/>
      <c r="AB212" s="7"/>
      <c r="AC212" s="7"/>
      <c r="AD212" s="36"/>
      <c r="AE212" s="36"/>
    </row>
    <row r="213">
      <c r="A213" s="294"/>
      <c r="B213" s="7"/>
      <c r="C213" s="7"/>
      <c r="D213" s="7"/>
      <c r="E213" s="7"/>
      <c r="F213" s="7"/>
      <c r="G213" s="7"/>
      <c r="H213" s="7"/>
      <c r="I213" s="7"/>
      <c r="J213" s="7"/>
      <c r="K213" s="7"/>
      <c r="L213" s="7"/>
      <c r="M213" s="7"/>
      <c r="N213" s="7"/>
      <c r="O213" s="7"/>
      <c r="P213" s="293"/>
      <c r="Q213" s="7"/>
      <c r="R213" s="7"/>
      <c r="S213" s="279"/>
      <c r="T213" s="36"/>
      <c r="U213" s="7"/>
      <c r="V213" s="7"/>
      <c r="W213" s="7"/>
      <c r="X213" s="7"/>
      <c r="Y213" s="7"/>
      <c r="Z213" s="7"/>
      <c r="AA213" s="7"/>
      <c r="AB213" s="7"/>
      <c r="AC213" s="7"/>
      <c r="AD213" s="36"/>
      <c r="AE213" s="36"/>
    </row>
    <row r="214">
      <c r="A214" s="294"/>
      <c r="B214" s="7"/>
      <c r="C214" s="7"/>
      <c r="D214" s="7"/>
      <c r="E214" s="7"/>
      <c r="F214" s="7"/>
      <c r="G214" s="7"/>
      <c r="H214" s="7"/>
      <c r="I214" s="7"/>
      <c r="J214" s="7"/>
      <c r="K214" s="7"/>
      <c r="L214" s="7"/>
      <c r="M214" s="7"/>
      <c r="N214" s="7"/>
      <c r="O214" s="7"/>
      <c r="P214" s="293"/>
      <c r="Q214" s="7"/>
      <c r="R214" s="7"/>
      <c r="S214" s="279"/>
      <c r="T214" s="36"/>
      <c r="U214" s="7"/>
      <c r="V214" s="7"/>
      <c r="W214" s="7"/>
      <c r="X214" s="7"/>
      <c r="Y214" s="7"/>
      <c r="Z214" s="7"/>
      <c r="AA214" s="7"/>
      <c r="AB214" s="7"/>
      <c r="AC214" s="7"/>
      <c r="AD214" s="36"/>
      <c r="AE214" s="36"/>
    </row>
    <row r="215">
      <c r="A215" s="294"/>
      <c r="B215" s="7"/>
      <c r="C215" s="7"/>
      <c r="D215" s="7"/>
      <c r="E215" s="7"/>
      <c r="F215" s="7"/>
      <c r="G215" s="7"/>
      <c r="H215" s="7"/>
      <c r="I215" s="7"/>
      <c r="J215" s="7"/>
      <c r="K215" s="7"/>
      <c r="L215" s="7"/>
      <c r="M215" s="7"/>
      <c r="N215" s="7"/>
      <c r="O215" s="7"/>
      <c r="P215" s="293"/>
      <c r="Q215" s="7"/>
      <c r="R215" s="7"/>
      <c r="S215" s="279"/>
      <c r="T215" s="36"/>
      <c r="U215" s="7"/>
      <c r="V215" s="7"/>
      <c r="W215" s="7"/>
      <c r="X215" s="7"/>
      <c r="Y215" s="7"/>
      <c r="Z215" s="7"/>
      <c r="AA215" s="7"/>
      <c r="AB215" s="7"/>
      <c r="AC215" s="7"/>
      <c r="AD215" s="36"/>
      <c r="AE215" s="36"/>
    </row>
    <row r="216">
      <c r="A216" s="294"/>
      <c r="B216" s="7"/>
      <c r="C216" s="7"/>
      <c r="D216" s="7"/>
      <c r="E216" s="7"/>
      <c r="F216" s="7"/>
      <c r="G216" s="7"/>
      <c r="H216" s="7"/>
      <c r="I216" s="7"/>
      <c r="J216" s="7"/>
      <c r="K216" s="7"/>
      <c r="L216" s="7"/>
      <c r="M216" s="7"/>
      <c r="N216" s="7"/>
      <c r="O216" s="7"/>
      <c r="P216" s="293"/>
      <c r="Q216" s="7"/>
      <c r="R216" s="7"/>
      <c r="S216" s="279"/>
      <c r="T216" s="36"/>
      <c r="U216" s="7"/>
      <c r="V216" s="7"/>
      <c r="W216" s="7"/>
      <c r="X216" s="7"/>
      <c r="Y216" s="7"/>
      <c r="Z216" s="7"/>
      <c r="AA216" s="7"/>
      <c r="AB216" s="7"/>
      <c r="AC216" s="7"/>
      <c r="AD216" s="36"/>
      <c r="AE216" s="36"/>
    </row>
    <row r="217">
      <c r="A217" s="294"/>
      <c r="B217" s="7"/>
      <c r="C217" s="7"/>
      <c r="D217" s="7"/>
      <c r="E217" s="7"/>
      <c r="F217" s="7"/>
      <c r="G217" s="7"/>
      <c r="H217" s="7"/>
      <c r="I217" s="7"/>
      <c r="J217" s="7"/>
      <c r="K217" s="7"/>
      <c r="L217" s="7"/>
      <c r="M217" s="7"/>
      <c r="N217" s="7"/>
      <c r="O217" s="7"/>
      <c r="P217" s="293"/>
      <c r="Q217" s="7"/>
      <c r="R217" s="7"/>
      <c r="S217" s="279"/>
      <c r="T217" s="36"/>
      <c r="U217" s="7"/>
      <c r="V217" s="7"/>
      <c r="W217" s="7"/>
      <c r="X217" s="7"/>
      <c r="Y217" s="7"/>
      <c r="Z217" s="7"/>
      <c r="AA217" s="7"/>
      <c r="AB217" s="7"/>
      <c r="AC217" s="7"/>
      <c r="AD217" s="36"/>
      <c r="AE217" s="36"/>
    </row>
    <row r="218">
      <c r="A218" s="294"/>
      <c r="B218" s="7"/>
      <c r="C218" s="7"/>
      <c r="D218" s="7"/>
      <c r="E218" s="7"/>
      <c r="F218" s="7"/>
      <c r="G218" s="7"/>
      <c r="H218" s="7"/>
      <c r="I218" s="7"/>
      <c r="J218" s="7"/>
      <c r="K218" s="7"/>
      <c r="L218" s="7"/>
      <c r="M218" s="7"/>
      <c r="N218" s="7"/>
      <c r="O218" s="7"/>
      <c r="P218" s="293"/>
      <c r="Q218" s="7"/>
      <c r="R218" s="7"/>
      <c r="S218" s="279"/>
      <c r="T218" s="36"/>
      <c r="U218" s="7"/>
      <c r="V218" s="7"/>
      <c r="W218" s="7"/>
      <c r="X218" s="7"/>
      <c r="Y218" s="7"/>
      <c r="Z218" s="7"/>
      <c r="AA218" s="7"/>
      <c r="AB218" s="7"/>
      <c r="AC218" s="7"/>
      <c r="AD218" s="36"/>
      <c r="AE218" s="36"/>
    </row>
    <row r="219">
      <c r="A219" s="294"/>
      <c r="B219" s="7"/>
      <c r="C219" s="7"/>
      <c r="D219" s="7"/>
      <c r="E219" s="7"/>
      <c r="F219" s="7"/>
      <c r="G219" s="7"/>
      <c r="H219" s="7"/>
      <c r="I219" s="7"/>
      <c r="J219" s="7"/>
      <c r="K219" s="7"/>
      <c r="L219" s="7"/>
      <c r="M219" s="7"/>
      <c r="N219" s="7"/>
      <c r="O219" s="7"/>
      <c r="P219" s="293"/>
      <c r="Q219" s="7"/>
      <c r="R219" s="7"/>
      <c r="S219" s="279"/>
      <c r="T219" s="36"/>
      <c r="U219" s="7"/>
      <c r="V219" s="7"/>
      <c r="W219" s="7"/>
      <c r="X219" s="7"/>
      <c r="Y219" s="7"/>
      <c r="Z219" s="7"/>
      <c r="AA219" s="7"/>
      <c r="AB219" s="7"/>
      <c r="AC219" s="7"/>
      <c r="AD219" s="36"/>
      <c r="AE219" s="36"/>
    </row>
    <row r="220">
      <c r="A220" s="294"/>
      <c r="B220" s="7"/>
      <c r="C220" s="7"/>
      <c r="D220" s="7"/>
      <c r="E220" s="7"/>
      <c r="F220" s="7"/>
      <c r="G220" s="7"/>
      <c r="H220" s="7"/>
      <c r="I220" s="7"/>
      <c r="J220" s="7"/>
      <c r="K220" s="7"/>
      <c r="L220" s="7"/>
      <c r="M220" s="7"/>
      <c r="N220" s="7"/>
      <c r="O220" s="7"/>
      <c r="P220" s="293"/>
      <c r="Q220" s="7"/>
      <c r="R220" s="7"/>
      <c r="S220" s="279"/>
      <c r="T220" s="36"/>
      <c r="U220" s="7"/>
      <c r="V220" s="7"/>
      <c r="W220" s="7"/>
      <c r="X220" s="7"/>
      <c r="Y220" s="7"/>
      <c r="Z220" s="7"/>
      <c r="AA220" s="7"/>
      <c r="AB220" s="7"/>
      <c r="AC220" s="7"/>
      <c r="AD220" s="36"/>
      <c r="AE220" s="36"/>
    </row>
    <row r="221">
      <c r="A221" s="294"/>
      <c r="B221" s="7"/>
      <c r="C221" s="7"/>
      <c r="D221" s="7"/>
      <c r="E221" s="7"/>
      <c r="F221" s="7"/>
      <c r="G221" s="7"/>
      <c r="H221" s="7"/>
      <c r="I221" s="7"/>
      <c r="J221" s="7"/>
      <c r="K221" s="7"/>
      <c r="L221" s="7"/>
      <c r="M221" s="7"/>
      <c r="N221" s="7"/>
      <c r="O221" s="7"/>
      <c r="P221" s="293"/>
      <c r="Q221" s="7"/>
      <c r="R221" s="7"/>
      <c r="S221" s="279"/>
      <c r="T221" s="36"/>
      <c r="U221" s="7"/>
      <c r="V221" s="7"/>
      <c r="W221" s="7"/>
      <c r="X221" s="7"/>
      <c r="Y221" s="7"/>
      <c r="Z221" s="7"/>
      <c r="AA221" s="7"/>
      <c r="AB221" s="7"/>
      <c r="AC221" s="7"/>
      <c r="AD221" s="36"/>
      <c r="AE221" s="36"/>
    </row>
    <row r="222">
      <c r="A222" s="294"/>
      <c r="B222" s="7"/>
      <c r="C222" s="7"/>
      <c r="D222" s="7"/>
      <c r="E222" s="7"/>
      <c r="F222" s="7"/>
      <c r="G222" s="7"/>
      <c r="H222" s="7"/>
      <c r="I222" s="7"/>
      <c r="J222" s="7"/>
      <c r="K222" s="7"/>
      <c r="L222" s="7"/>
      <c r="M222" s="7"/>
      <c r="N222" s="7"/>
      <c r="O222" s="7"/>
      <c r="P222" s="293"/>
      <c r="Q222" s="7"/>
      <c r="R222" s="7"/>
      <c r="S222" s="279"/>
      <c r="T222" s="36"/>
      <c r="U222" s="7"/>
      <c r="V222" s="7"/>
      <c r="W222" s="7"/>
      <c r="X222" s="7"/>
      <c r="Y222" s="7"/>
      <c r="Z222" s="7"/>
      <c r="AA222" s="7"/>
      <c r="AB222" s="7"/>
      <c r="AC222" s="7"/>
      <c r="AD222" s="36"/>
      <c r="AE222" s="36"/>
    </row>
    <row r="223">
      <c r="A223" s="294"/>
      <c r="B223" s="7"/>
      <c r="C223" s="7"/>
      <c r="D223" s="7"/>
      <c r="E223" s="7"/>
      <c r="F223" s="7"/>
      <c r="G223" s="7"/>
      <c r="H223" s="7"/>
      <c r="I223" s="7"/>
      <c r="J223" s="7"/>
      <c r="K223" s="7"/>
      <c r="L223" s="7"/>
      <c r="M223" s="7"/>
      <c r="N223" s="7"/>
      <c r="O223" s="7"/>
      <c r="P223" s="293"/>
      <c r="Q223" s="7"/>
      <c r="R223" s="7"/>
      <c r="S223" s="279"/>
      <c r="T223" s="36"/>
      <c r="U223" s="7"/>
      <c r="V223" s="7"/>
      <c r="W223" s="7"/>
      <c r="X223" s="7"/>
      <c r="Y223" s="7"/>
      <c r="Z223" s="7"/>
      <c r="AA223" s="7"/>
      <c r="AB223" s="7"/>
      <c r="AC223" s="7"/>
      <c r="AD223" s="36"/>
      <c r="AE223" s="36"/>
    </row>
    <row r="224">
      <c r="A224" s="294"/>
      <c r="B224" s="7"/>
      <c r="C224" s="7"/>
      <c r="D224" s="7"/>
      <c r="E224" s="7"/>
      <c r="F224" s="7"/>
      <c r="G224" s="7"/>
      <c r="H224" s="7"/>
      <c r="I224" s="7"/>
      <c r="J224" s="7"/>
      <c r="K224" s="7"/>
      <c r="L224" s="7"/>
      <c r="M224" s="7"/>
      <c r="N224" s="7"/>
      <c r="O224" s="7"/>
      <c r="P224" s="293"/>
      <c r="Q224" s="7"/>
      <c r="R224" s="7"/>
      <c r="S224" s="279"/>
      <c r="T224" s="36"/>
      <c r="U224" s="7"/>
      <c r="V224" s="7"/>
      <c r="W224" s="7"/>
      <c r="X224" s="7"/>
      <c r="Y224" s="7"/>
      <c r="Z224" s="7"/>
      <c r="AA224" s="7"/>
      <c r="AB224" s="7"/>
      <c r="AC224" s="7"/>
      <c r="AD224" s="36"/>
      <c r="AE224" s="36"/>
    </row>
    <row r="225">
      <c r="A225" s="294"/>
      <c r="B225" s="7"/>
      <c r="C225" s="7"/>
      <c r="D225" s="7"/>
      <c r="E225" s="7"/>
      <c r="F225" s="7"/>
      <c r="G225" s="7"/>
      <c r="H225" s="7"/>
      <c r="I225" s="7"/>
      <c r="J225" s="7"/>
      <c r="K225" s="7"/>
      <c r="L225" s="7"/>
      <c r="M225" s="7"/>
      <c r="N225" s="7"/>
      <c r="O225" s="7"/>
      <c r="P225" s="293"/>
      <c r="Q225" s="7"/>
      <c r="R225" s="7"/>
      <c r="S225" s="279"/>
      <c r="T225" s="36"/>
      <c r="U225" s="7"/>
      <c r="V225" s="7"/>
      <c r="W225" s="7"/>
      <c r="X225" s="7"/>
      <c r="Y225" s="7"/>
      <c r="Z225" s="7"/>
      <c r="AA225" s="7"/>
      <c r="AB225" s="7"/>
      <c r="AC225" s="7"/>
      <c r="AD225" s="36"/>
      <c r="AE225" s="36"/>
    </row>
    <row r="226">
      <c r="A226" s="294"/>
      <c r="B226" s="7"/>
      <c r="C226" s="7"/>
      <c r="D226" s="7"/>
      <c r="E226" s="7"/>
      <c r="F226" s="7"/>
      <c r="G226" s="7"/>
      <c r="H226" s="7"/>
      <c r="I226" s="7"/>
      <c r="J226" s="7"/>
      <c r="K226" s="7"/>
      <c r="L226" s="7"/>
      <c r="M226" s="7"/>
      <c r="N226" s="7"/>
      <c r="O226" s="7"/>
      <c r="P226" s="293"/>
      <c r="Q226" s="7"/>
      <c r="R226" s="7"/>
      <c r="S226" s="279"/>
      <c r="T226" s="36"/>
      <c r="U226" s="7"/>
      <c r="V226" s="7"/>
      <c r="W226" s="7"/>
      <c r="X226" s="7"/>
      <c r="Y226" s="7"/>
      <c r="Z226" s="7"/>
      <c r="AA226" s="7"/>
      <c r="AB226" s="7"/>
      <c r="AC226" s="7"/>
      <c r="AD226" s="36"/>
      <c r="AE226" s="36"/>
    </row>
    <row r="227">
      <c r="A227" s="294"/>
      <c r="B227" s="7"/>
      <c r="C227" s="7"/>
      <c r="D227" s="7"/>
      <c r="E227" s="7"/>
      <c r="F227" s="7"/>
      <c r="G227" s="7"/>
      <c r="H227" s="7"/>
      <c r="I227" s="7"/>
      <c r="J227" s="7"/>
      <c r="K227" s="7"/>
      <c r="L227" s="7"/>
      <c r="M227" s="7"/>
      <c r="N227" s="7"/>
      <c r="O227" s="7"/>
      <c r="P227" s="293"/>
      <c r="Q227" s="7"/>
      <c r="R227" s="7"/>
      <c r="S227" s="279"/>
      <c r="T227" s="36"/>
      <c r="U227" s="7"/>
      <c r="V227" s="7"/>
      <c r="W227" s="7"/>
      <c r="X227" s="7"/>
      <c r="Y227" s="7"/>
      <c r="Z227" s="7"/>
      <c r="AA227" s="7"/>
      <c r="AB227" s="7"/>
      <c r="AC227" s="7"/>
      <c r="AD227" s="36"/>
      <c r="AE227" s="36"/>
    </row>
    <row r="228">
      <c r="A228" s="294"/>
      <c r="B228" s="7"/>
      <c r="C228" s="7"/>
      <c r="D228" s="7"/>
      <c r="E228" s="7"/>
      <c r="F228" s="7"/>
      <c r="G228" s="7"/>
      <c r="H228" s="7"/>
      <c r="I228" s="7"/>
      <c r="J228" s="7"/>
      <c r="K228" s="7"/>
      <c r="L228" s="7"/>
      <c r="M228" s="7"/>
      <c r="N228" s="7"/>
      <c r="O228" s="7"/>
      <c r="P228" s="293"/>
      <c r="Q228" s="7"/>
      <c r="R228" s="7"/>
      <c r="S228" s="279"/>
      <c r="T228" s="36"/>
      <c r="U228" s="7"/>
      <c r="V228" s="7"/>
      <c r="W228" s="7"/>
      <c r="X228" s="7"/>
      <c r="Y228" s="7"/>
      <c r="Z228" s="7"/>
      <c r="AA228" s="7"/>
      <c r="AB228" s="7"/>
      <c r="AC228" s="7"/>
      <c r="AD228" s="36"/>
      <c r="AE228" s="36"/>
    </row>
    <row r="229">
      <c r="A229" s="294"/>
      <c r="B229" s="7"/>
      <c r="C229" s="7"/>
      <c r="D229" s="7"/>
      <c r="E229" s="7"/>
      <c r="F229" s="7"/>
      <c r="G229" s="7"/>
      <c r="H229" s="7"/>
      <c r="I229" s="7"/>
      <c r="J229" s="7"/>
      <c r="K229" s="7"/>
      <c r="L229" s="7"/>
      <c r="M229" s="7"/>
      <c r="N229" s="7"/>
      <c r="O229" s="7"/>
      <c r="P229" s="293"/>
      <c r="Q229" s="7"/>
      <c r="R229" s="7"/>
      <c r="S229" s="279"/>
      <c r="T229" s="36"/>
      <c r="U229" s="7"/>
      <c r="V229" s="7"/>
      <c r="W229" s="7"/>
      <c r="X229" s="7"/>
      <c r="Y229" s="7"/>
      <c r="Z229" s="7"/>
      <c r="AA229" s="7"/>
      <c r="AB229" s="7"/>
      <c r="AC229" s="7"/>
      <c r="AD229" s="36"/>
      <c r="AE229" s="36"/>
    </row>
    <row r="230">
      <c r="A230" s="294"/>
      <c r="B230" s="7"/>
      <c r="C230" s="7"/>
      <c r="D230" s="7"/>
      <c r="E230" s="7"/>
      <c r="F230" s="7"/>
      <c r="G230" s="7"/>
      <c r="H230" s="7"/>
      <c r="I230" s="7"/>
      <c r="J230" s="7"/>
      <c r="K230" s="7"/>
      <c r="L230" s="7"/>
      <c r="M230" s="7"/>
      <c r="N230" s="7"/>
      <c r="O230" s="7"/>
      <c r="P230" s="293"/>
      <c r="Q230" s="7"/>
      <c r="R230" s="7"/>
      <c r="S230" s="279"/>
      <c r="T230" s="36"/>
      <c r="U230" s="7"/>
      <c r="V230" s="7"/>
      <c r="W230" s="7"/>
      <c r="X230" s="7"/>
      <c r="Y230" s="7"/>
      <c r="Z230" s="7"/>
      <c r="AA230" s="7"/>
      <c r="AB230" s="7"/>
      <c r="AC230" s="7"/>
      <c r="AD230" s="36"/>
      <c r="AE230" s="36"/>
    </row>
    <row r="231">
      <c r="A231" s="294"/>
      <c r="B231" s="7"/>
      <c r="C231" s="7"/>
      <c r="D231" s="7"/>
      <c r="E231" s="7"/>
      <c r="F231" s="7"/>
      <c r="G231" s="7"/>
      <c r="H231" s="7"/>
      <c r="I231" s="7"/>
      <c r="J231" s="7"/>
      <c r="K231" s="7"/>
      <c r="L231" s="7"/>
      <c r="M231" s="7"/>
      <c r="N231" s="7"/>
      <c r="O231" s="7"/>
      <c r="P231" s="293"/>
      <c r="Q231" s="7"/>
      <c r="R231" s="7"/>
      <c r="S231" s="279"/>
      <c r="T231" s="36"/>
      <c r="U231" s="7"/>
      <c r="V231" s="7"/>
      <c r="W231" s="7"/>
      <c r="X231" s="7"/>
      <c r="Y231" s="7"/>
      <c r="Z231" s="7"/>
      <c r="AA231" s="7"/>
      <c r="AB231" s="7"/>
      <c r="AC231" s="7"/>
      <c r="AD231" s="36"/>
      <c r="AE231" s="36"/>
    </row>
    <row r="232">
      <c r="A232" s="294"/>
      <c r="B232" s="7"/>
      <c r="C232" s="7"/>
      <c r="D232" s="7"/>
      <c r="E232" s="7"/>
      <c r="F232" s="7"/>
      <c r="G232" s="7"/>
      <c r="H232" s="7"/>
      <c r="I232" s="7"/>
      <c r="J232" s="7"/>
      <c r="K232" s="7"/>
      <c r="L232" s="7"/>
      <c r="M232" s="7"/>
      <c r="N232" s="7"/>
      <c r="O232" s="7"/>
      <c r="P232" s="293"/>
      <c r="Q232" s="7"/>
      <c r="R232" s="7"/>
      <c r="S232" s="279"/>
      <c r="T232" s="36"/>
      <c r="U232" s="7"/>
      <c r="V232" s="7"/>
      <c r="W232" s="7"/>
      <c r="X232" s="7"/>
      <c r="Y232" s="7"/>
      <c r="Z232" s="7"/>
      <c r="AA232" s="7"/>
      <c r="AB232" s="7"/>
      <c r="AC232" s="7"/>
      <c r="AD232" s="36"/>
      <c r="AE232" s="36"/>
    </row>
    <row r="233">
      <c r="A233" s="294"/>
      <c r="B233" s="7"/>
      <c r="C233" s="7"/>
      <c r="D233" s="7"/>
      <c r="E233" s="7"/>
      <c r="F233" s="7"/>
      <c r="G233" s="7"/>
      <c r="H233" s="7"/>
      <c r="I233" s="7"/>
      <c r="J233" s="7"/>
      <c r="K233" s="7"/>
      <c r="L233" s="7"/>
      <c r="M233" s="7"/>
      <c r="N233" s="7"/>
      <c r="O233" s="7"/>
      <c r="P233" s="293"/>
      <c r="Q233" s="7"/>
      <c r="R233" s="7"/>
      <c r="S233" s="279"/>
      <c r="T233" s="36"/>
      <c r="U233" s="7"/>
      <c r="V233" s="7"/>
      <c r="W233" s="7"/>
      <c r="X233" s="7"/>
      <c r="Y233" s="7"/>
      <c r="Z233" s="7"/>
      <c r="AA233" s="7"/>
      <c r="AB233" s="7"/>
      <c r="AC233" s="7"/>
      <c r="AD233" s="36"/>
      <c r="AE233" s="36"/>
    </row>
    <row r="234">
      <c r="A234" s="294"/>
      <c r="B234" s="7"/>
      <c r="C234" s="7"/>
      <c r="D234" s="7"/>
      <c r="E234" s="7"/>
      <c r="F234" s="7"/>
      <c r="G234" s="7"/>
      <c r="H234" s="7"/>
      <c r="I234" s="7"/>
      <c r="J234" s="7"/>
      <c r="K234" s="7"/>
      <c r="L234" s="7"/>
      <c r="M234" s="7"/>
      <c r="N234" s="7"/>
      <c r="O234" s="7"/>
      <c r="P234" s="293"/>
      <c r="Q234" s="7"/>
      <c r="R234" s="7"/>
      <c r="S234" s="279"/>
      <c r="T234" s="36"/>
      <c r="U234" s="7"/>
      <c r="V234" s="7"/>
      <c r="W234" s="7"/>
      <c r="X234" s="7"/>
      <c r="Y234" s="7"/>
      <c r="Z234" s="7"/>
      <c r="AA234" s="7"/>
      <c r="AB234" s="7"/>
      <c r="AC234" s="7"/>
      <c r="AD234" s="36"/>
      <c r="AE234" s="36"/>
    </row>
    <row r="235">
      <c r="A235" s="294"/>
      <c r="B235" s="7"/>
      <c r="C235" s="7"/>
      <c r="D235" s="7"/>
      <c r="E235" s="7"/>
      <c r="F235" s="7"/>
      <c r="G235" s="7"/>
      <c r="H235" s="7"/>
      <c r="I235" s="7"/>
      <c r="J235" s="7"/>
      <c r="K235" s="7"/>
      <c r="L235" s="7"/>
      <c r="M235" s="7"/>
      <c r="N235" s="7"/>
      <c r="O235" s="7"/>
      <c r="P235" s="293"/>
      <c r="Q235" s="7"/>
      <c r="R235" s="7"/>
      <c r="S235" s="279"/>
      <c r="T235" s="36"/>
      <c r="U235" s="7"/>
      <c r="V235" s="7"/>
      <c r="W235" s="7"/>
      <c r="X235" s="7"/>
      <c r="Y235" s="7"/>
      <c r="Z235" s="7"/>
      <c r="AA235" s="7"/>
      <c r="AB235" s="7"/>
      <c r="AC235" s="7"/>
      <c r="AD235" s="36"/>
      <c r="AE235" s="36"/>
    </row>
    <row r="236">
      <c r="A236" s="294"/>
      <c r="B236" s="7"/>
      <c r="C236" s="7"/>
      <c r="D236" s="7"/>
      <c r="E236" s="7"/>
      <c r="F236" s="7"/>
      <c r="G236" s="7"/>
      <c r="H236" s="7"/>
      <c r="I236" s="7"/>
      <c r="J236" s="7"/>
      <c r="K236" s="7"/>
      <c r="L236" s="7"/>
      <c r="M236" s="7"/>
      <c r="N236" s="7"/>
      <c r="O236" s="7"/>
      <c r="P236" s="293"/>
      <c r="Q236" s="7"/>
      <c r="R236" s="7"/>
      <c r="S236" s="279"/>
      <c r="T236" s="36"/>
      <c r="U236" s="7"/>
      <c r="V236" s="7"/>
      <c r="W236" s="7"/>
      <c r="X236" s="7"/>
      <c r="Y236" s="7"/>
      <c r="Z236" s="7"/>
      <c r="AA236" s="7"/>
      <c r="AB236" s="7"/>
      <c r="AC236" s="7"/>
      <c r="AD236" s="36"/>
      <c r="AE236" s="36"/>
    </row>
    <row r="237">
      <c r="A237" s="294"/>
      <c r="B237" s="7"/>
      <c r="C237" s="7"/>
      <c r="D237" s="7"/>
      <c r="E237" s="7"/>
      <c r="F237" s="7"/>
      <c r="G237" s="7"/>
      <c r="H237" s="7"/>
      <c r="I237" s="7"/>
      <c r="J237" s="7"/>
      <c r="K237" s="7"/>
      <c r="L237" s="7"/>
      <c r="M237" s="7"/>
      <c r="N237" s="7"/>
      <c r="O237" s="7"/>
      <c r="P237" s="293"/>
      <c r="Q237" s="7"/>
      <c r="R237" s="7"/>
      <c r="S237" s="279"/>
      <c r="T237" s="36"/>
      <c r="U237" s="7"/>
      <c r="V237" s="7"/>
      <c r="W237" s="7"/>
      <c r="X237" s="7"/>
      <c r="Y237" s="7"/>
      <c r="Z237" s="7"/>
      <c r="AA237" s="7"/>
      <c r="AB237" s="7"/>
      <c r="AC237" s="7"/>
      <c r="AD237" s="36"/>
      <c r="AE237" s="36"/>
    </row>
    <row r="238">
      <c r="A238" s="294"/>
      <c r="B238" s="7"/>
      <c r="C238" s="7"/>
      <c r="D238" s="7"/>
      <c r="E238" s="7"/>
      <c r="F238" s="7"/>
      <c r="G238" s="7"/>
      <c r="H238" s="7"/>
      <c r="I238" s="7"/>
      <c r="J238" s="7"/>
      <c r="K238" s="7"/>
      <c r="L238" s="7"/>
      <c r="M238" s="7"/>
      <c r="N238" s="7"/>
      <c r="O238" s="7"/>
      <c r="P238" s="293"/>
      <c r="Q238" s="7"/>
      <c r="R238" s="7"/>
      <c r="S238" s="279"/>
      <c r="T238" s="36"/>
      <c r="U238" s="7"/>
      <c r="V238" s="7"/>
      <c r="W238" s="7"/>
      <c r="X238" s="7"/>
      <c r="Y238" s="7"/>
      <c r="Z238" s="7"/>
      <c r="AA238" s="7"/>
      <c r="AB238" s="7"/>
      <c r="AC238" s="7"/>
      <c r="AD238" s="36"/>
      <c r="AE238" s="36"/>
    </row>
    <row r="239">
      <c r="A239" s="294"/>
      <c r="B239" s="7"/>
      <c r="C239" s="7"/>
      <c r="D239" s="7"/>
      <c r="E239" s="7"/>
      <c r="F239" s="7"/>
      <c r="G239" s="7"/>
      <c r="H239" s="7"/>
      <c r="I239" s="7"/>
      <c r="J239" s="7"/>
      <c r="K239" s="7"/>
      <c r="L239" s="7"/>
      <c r="M239" s="7"/>
      <c r="N239" s="7"/>
      <c r="O239" s="7"/>
      <c r="P239" s="293"/>
      <c r="Q239" s="7"/>
      <c r="R239" s="7"/>
      <c r="S239" s="279"/>
      <c r="T239" s="36"/>
      <c r="U239" s="7"/>
      <c r="V239" s="7"/>
      <c r="W239" s="7"/>
      <c r="X239" s="7"/>
      <c r="Y239" s="7"/>
      <c r="Z239" s="7"/>
      <c r="AA239" s="7"/>
      <c r="AB239" s="7"/>
      <c r="AC239" s="7"/>
      <c r="AD239" s="36"/>
      <c r="AE239" s="36"/>
    </row>
    <row r="240">
      <c r="A240" s="294"/>
      <c r="B240" s="7"/>
      <c r="C240" s="7"/>
      <c r="D240" s="7"/>
      <c r="E240" s="7"/>
      <c r="F240" s="7"/>
      <c r="G240" s="7"/>
      <c r="H240" s="7"/>
      <c r="I240" s="7"/>
      <c r="J240" s="7"/>
      <c r="K240" s="7"/>
      <c r="L240" s="7"/>
      <c r="M240" s="7"/>
      <c r="N240" s="7"/>
      <c r="O240" s="7"/>
      <c r="P240" s="293"/>
      <c r="Q240" s="7"/>
      <c r="R240" s="7"/>
      <c r="S240" s="279"/>
      <c r="T240" s="36"/>
      <c r="U240" s="7"/>
      <c r="V240" s="7"/>
      <c r="W240" s="7"/>
      <c r="X240" s="7"/>
      <c r="Y240" s="7"/>
      <c r="Z240" s="7"/>
      <c r="AA240" s="7"/>
      <c r="AB240" s="7"/>
      <c r="AC240" s="7"/>
      <c r="AD240" s="36"/>
      <c r="AE240" s="36"/>
    </row>
    <row r="241">
      <c r="A241" s="294"/>
      <c r="B241" s="7"/>
      <c r="C241" s="7"/>
      <c r="D241" s="7"/>
      <c r="E241" s="7"/>
      <c r="F241" s="7"/>
      <c r="G241" s="7"/>
      <c r="H241" s="7"/>
      <c r="I241" s="7"/>
      <c r="J241" s="7"/>
      <c r="K241" s="7"/>
      <c r="L241" s="7"/>
      <c r="M241" s="7"/>
      <c r="N241" s="7"/>
      <c r="O241" s="7"/>
      <c r="P241" s="293"/>
      <c r="Q241" s="7"/>
      <c r="R241" s="7"/>
      <c r="S241" s="279"/>
      <c r="T241" s="36"/>
      <c r="U241" s="7"/>
      <c r="V241" s="7"/>
      <c r="W241" s="7"/>
      <c r="X241" s="7"/>
      <c r="Y241" s="7"/>
      <c r="Z241" s="7"/>
      <c r="AA241" s="7"/>
      <c r="AB241" s="7"/>
      <c r="AC241" s="7"/>
      <c r="AD241" s="36"/>
      <c r="AE241" s="36"/>
    </row>
    <row r="242">
      <c r="A242" s="294"/>
      <c r="B242" s="7"/>
      <c r="C242" s="7"/>
      <c r="D242" s="7"/>
      <c r="E242" s="7"/>
      <c r="F242" s="7"/>
      <c r="G242" s="7"/>
      <c r="H242" s="7"/>
      <c r="I242" s="7"/>
      <c r="J242" s="7"/>
      <c r="K242" s="7"/>
      <c r="L242" s="7"/>
      <c r="M242" s="7"/>
      <c r="N242" s="7"/>
      <c r="O242" s="7"/>
      <c r="P242" s="293"/>
      <c r="Q242" s="7"/>
      <c r="R242" s="7"/>
      <c r="S242" s="279"/>
      <c r="T242" s="36"/>
      <c r="U242" s="7"/>
      <c r="V242" s="7"/>
      <c r="W242" s="7"/>
      <c r="X242" s="7"/>
      <c r="Y242" s="7"/>
      <c r="Z242" s="7"/>
      <c r="AA242" s="7"/>
      <c r="AB242" s="7"/>
      <c r="AC242" s="7"/>
      <c r="AD242" s="36"/>
      <c r="AE242" s="36"/>
    </row>
    <row r="243">
      <c r="A243" s="294"/>
      <c r="B243" s="7"/>
      <c r="C243" s="7"/>
      <c r="D243" s="7"/>
      <c r="E243" s="7"/>
      <c r="F243" s="7"/>
      <c r="G243" s="7"/>
      <c r="H243" s="7"/>
      <c r="I243" s="7"/>
      <c r="J243" s="7"/>
      <c r="K243" s="7"/>
      <c r="L243" s="7"/>
      <c r="M243" s="7"/>
      <c r="N243" s="7"/>
      <c r="O243" s="7"/>
      <c r="P243" s="293"/>
      <c r="Q243" s="7"/>
      <c r="R243" s="7"/>
      <c r="S243" s="279"/>
      <c r="T243" s="36"/>
      <c r="U243" s="7"/>
      <c r="V243" s="7"/>
      <c r="W243" s="7"/>
      <c r="X243" s="7"/>
      <c r="Y243" s="7"/>
      <c r="Z243" s="7"/>
      <c r="AA243" s="7"/>
      <c r="AB243" s="7"/>
      <c r="AC243" s="7"/>
      <c r="AD243" s="36"/>
      <c r="AE243" s="36"/>
    </row>
    <row r="244">
      <c r="A244" s="294"/>
      <c r="B244" s="7"/>
      <c r="C244" s="7"/>
      <c r="D244" s="7"/>
      <c r="E244" s="7"/>
      <c r="F244" s="7"/>
      <c r="G244" s="7"/>
      <c r="H244" s="7"/>
      <c r="I244" s="7"/>
      <c r="J244" s="7"/>
      <c r="K244" s="7"/>
      <c r="L244" s="7"/>
      <c r="M244" s="7"/>
      <c r="N244" s="7"/>
      <c r="O244" s="7"/>
      <c r="P244" s="293"/>
      <c r="Q244" s="7"/>
      <c r="R244" s="7"/>
      <c r="S244" s="279"/>
      <c r="T244" s="36"/>
      <c r="U244" s="7"/>
      <c r="V244" s="7"/>
      <c r="W244" s="7"/>
      <c r="X244" s="7"/>
      <c r="Y244" s="7"/>
      <c r="Z244" s="7"/>
      <c r="AA244" s="7"/>
      <c r="AB244" s="7"/>
      <c r="AC244" s="7"/>
      <c r="AD244" s="36"/>
      <c r="AE244" s="36"/>
    </row>
    <row r="245">
      <c r="A245" s="294"/>
      <c r="B245" s="7"/>
      <c r="C245" s="7"/>
      <c r="D245" s="7"/>
      <c r="E245" s="7"/>
      <c r="F245" s="7"/>
      <c r="G245" s="7"/>
      <c r="H245" s="7"/>
      <c r="I245" s="7"/>
      <c r="J245" s="7"/>
      <c r="K245" s="7"/>
      <c r="L245" s="7"/>
      <c r="M245" s="7"/>
      <c r="N245" s="7"/>
      <c r="O245" s="7"/>
      <c r="P245" s="293"/>
      <c r="Q245" s="7"/>
      <c r="R245" s="7"/>
      <c r="S245" s="279"/>
      <c r="T245" s="36"/>
      <c r="U245" s="7"/>
      <c r="V245" s="7"/>
      <c r="W245" s="7"/>
      <c r="X245" s="7"/>
      <c r="Y245" s="7"/>
      <c r="Z245" s="7"/>
      <c r="AA245" s="7"/>
      <c r="AB245" s="7"/>
      <c r="AC245" s="7"/>
      <c r="AD245" s="36"/>
      <c r="AE245" s="36"/>
    </row>
    <row r="246">
      <c r="A246" s="294"/>
      <c r="B246" s="7"/>
      <c r="C246" s="7"/>
      <c r="D246" s="7"/>
      <c r="E246" s="7"/>
      <c r="F246" s="7"/>
      <c r="G246" s="7"/>
      <c r="H246" s="7"/>
      <c r="I246" s="7"/>
      <c r="J246" s="7"/>
      <c r="K246" s="7"/>
      <c r="L246" s="7"/>
      <c r="M246" s="7"/>
      <c r="N246" s="7"/>
      <c r="O246" s="7"/>
      <c r="P246" s="293"/>
      <c r="Q246" s="7"/>
      <c r="R246" s="7"/>
      <c r="S246" s="279"/>
      <c r="T246" s="36"/>
      <c r="U246" s="7"/>
      <c r="V246" s="7"/>
      <c r="W246" s="7"/>
      <c r="X246" s="7"/>
      <c r="Y246" s="7"/>
      <c r="Z246" s="7"/>
      <c r="AA246" s="7"/>
      <c r="AB246" s="7"/>
      <c r="AC246" s="7"/>
      <c r="AD246" s="36"/>
      <c r="AE246" s="36"/>
    </row>
    <row r="247">
      <c r="A247" s="294"/>
      <c r="B247" s="7"/>
      <c r="C247" s="7"/>
      <c r="D247" s="7"/>
      <c r="E247" s="7"/>
      <c r="F247" s="7"/>
      <c r="G247" s="7"/>
      <c r="H247" s="7"/>
      <c r="I247" s="7"/>
      <c r="J247" s="7"/>
      <c r="K247" s="7"/>
      <c r="L247" s="7"/>
      <c r="M247" s="7"/>
      <c r="N247" s="7"/>
      <c r="O247" s="7"/>
      <c r="P247" s="293"/>
      <c r="Q247" s="7"/>
      <c r="R247" s="7"/>
      <c r="S247" s="279"/>
      <c r="T247" s="36"/>
      <c r="U247" s="7"/>
      <c r="V247" s="7"/>
      <c r="W247" s="7"/>
      <c r="X247" s="7"/>
      <c r="Y247" s="7"/>
      <c r="Z247" s="7"/>
      <c r="AA247" s="7"/>
      <c r="AB247" s="7"/>
      <c r="AC247" s="7"/>
      <c r="AD247" s="36"/>
      <c r="AE247" s="36"/>
    </row>
    <row r="248">
      <c r="A248" s="294"/>
      <c r="B248" s="7"/>
      <c r="C248" s="7"/>
      <c r="D248" s="7"/>
      <c r="E248" s="7"/>
      <c r="F248" s="7"/>
      <c r="G248" s="7"/>
      <c r="H248" s="7"/>
      <c r="I248" s="7"/>
      <c r="J248" s="7"/>
      <c r="K248" s="7"/>
      <c r="L248" s="7"/>
      <c r="M248" s="7"/>
      <c r="N248" s="7"/>
      <c r="O248" s="7"/>
      <c r="P248" s="293"/>
      <c r="Q248" s="7"/>
      <c r="R248" s="7"/>
      <c r="S248" s="279"/>
      <c r="T248" s="36"/>
      <c r="U248" s="7"/>
      <c r="V248" s="7"/>
      <c r="W248" s="7"/>
      <c r="X248" s="7"/>
      <c r="Y248" s="7"/>
      <c r="Z248" s="7"/>
      <c r="AA248" s="7"/>
      <c r="AB248" s="7"/>
      <c r="AC248" s="7"/>
      <c r="AD248" s="36"/>
      <c r="AE248" s="36"/>
    </row>
    <row r="249">
      <c r="A249" s="294"/>
      <c r="B249" s="7"/>
      <c r="C249" s="7"/>
      <c r="D249" s="7"/>
      <c r="E249" s="7"/>
      <c r="F249" s="7"/>
      <c r="G249" s="7"/>
      <c r="H249" s="7"/>
      <c r="I249" s="7"/>
      <c r="J249" s="7"/>
      <c r="K249" s="7"/>
      <c r="L249" s="7"/>
      <c r="M249" s="7"/>
      <c r="N249" s="7"/>
      <c r="O249" s="7"/>
      <c r="P249" s="293"/>
      <c r="Q249" s="7"/>
      <c r="R249" s="7"/>
      <c r="S249" s="279"/>
      <c r="T249" s="36"/>
      <c r="U249" s="7"/>
      <c r="V249" s="7"/>
      <c r="W249" s="7"/>
      <c r="X249" s="7"/>
      <c r="Y249" s="7"/>
      <c r="Z249" s="7"/>
      <c r="AA249" s="7"/>
      <c r="AB249" s="7"/>
      <c r="AC249" s="7"/>
      <c r="AD249" s="36"/>
      <c r="AE249" s="36"/>
    </row>
    <row r="250">
      <c r="A250" s="294"/>
      <c r="B250" s="7"/>
      <c r="C250" s="7"/>
      <c r="D250" s="7"/>
      <c r="E250" s="7"/>
      <c r="F250" s="7"/>
      <c r="G250" s="7"/>
      <c r="H250" s="7"/>
      <c r="I250" s="7"/>
      <c r="J250" s="7"/>
      <c r="K250" s="7"/>
      <c r="L250" s="7"/>
      <c r="M250" s="7"/>
      <c r="N250" s="7"/>
      <c r="O250" s="7"/>
      <c r="P250" s="293"/>
      <c r="Q250" s="7"/>
      <c r="R250" s="7"/>
      <c r="S250" s="279"/>
      <c r="T250" s="36"/>
      <c r="U250" s="7"/>
      <c r="V250" s="7"/>
      <c r="W250" s="7"/>
      <c r="X250" s="7"/>
      <c r="Y250" s="7"/>
      <c r="Z250" s="7"/>
      <c r="AA250" s="7"/>
      <c r="AB250" s="7"/>
      <c r="AC250" s="7"/>
      <c r="AD250" s="36"/>
      <c r="AE250" s="36"/>
    </row>
    <row r="251">
      <c r="A251" s="294"/>
      <c r="B251" s="7"/>
      <c r="C251" s="7"/>
      <c r="D251" s="7"/>
      <c r="E251" s="7"/>
      <c r="F251" s="7"/>
      <c r="G251" s="7"/>
      <c r="H251" s="7"/>
      <c r="I251" s="7"/>
      <c r="J251" s="7"/>
      <c r="K251" s="7"/>
      <c r="L251" s="7"/>
      <c r="M251" s="7"/>
      <c r="N251" s="7"/>
      <c r="O251" s="7"/>
      <c r="P251" s="293"/>
      <c r="Q251" s="7"/>
      <c r="R251" s="7"/>
      <c r="S251" s="279"/>
      <c r="T251" s="36"/>
      <c r="U251" s="7"/>
      <c r="V251" s="7"/>
      <c r="W251" s="7"/>
      <c r="X251" s="7"/>
      <c r="Y251" s="7"/>
      <c r="Z251" s="7"/>
      <c r="AA251" s="7"/>
      <c r="AB251" s="7"/>
      <c r="AC251" s="7"/>
      <c r="AD251" s="36"/>
      <c r="AE251" s="36"/>
    </row>
    <row r="252">
      <c r="A252" s="294"/>
      <c r="B252" s="7"/>
      <c r="C252" s="7"/>
      <c r="D252" s="7"/>
      <c r="E252" s="7"/>
      <c r="F252" s="7"/>
      <c r="G252" s="7"/>
      <c r="H252" s="7"/>
      <c r="I252" s="7"/>
      <c r="J252" s="7"/>
      <c r="K252" s="7"/>
      <c r="L252" s="7"/>
      <c r="M252" s="7"/>
      <c r="N252" s="7"/>
      <c r="O252" s="7"/>
      <c r="P252" s="293"/>
      <c r="Q252" s="7"/>
      <c r="R252" s="7"/>
      <c r="S252" s="279"/>
      <c r="T252" s="36"/>
      <c r="U252" s="7"/>
      <c r="V252" s="7"/>
      <c r="W252" s="7"/>
      <c r="X252" s="7"/>
      <c r="Y252" s="7"/>
      <c r="Z252" s="7"/>
      <c r="AA252" s="7"/>
      <c r="AB252" s="7"/>
      <c r="AC252" s="7"/>
      <c r="AD252" s="36"/>
      <c r="AE252" s="36"/>
    </row>
    <row r="253">
      <c r="A253" s="294"/>
      <c r="B253" s="7"/>
      <c r="C253" s="7"/>
      <c r="D253" s="7"/>
      <c r="E253" s="7"/>
      <c r="F253" s="7"/>
      <c r="G253" s="7"/>
      <c r="H253" s="7"/>
      <c r="I253" s="7"/>
      <c r="J253" s="7"/>
      <c r="K253" s="7"/>
      <c r="L253" s="7"/>
      <c r="M253" s="7"/>
      <c r="N253" s="7"/>
      <c r="O253" s="7"/>
      <c r="P253" s="293"/>
      <c r="Q253" s="7"/>
      <c r="R253" s="7"/>
      <c r="S253" s="279"/>
      <c r="T253" s="36"/>
      <c r="U253" s="7"/>
      <c r="V253" s="7"/>
      <c r="W253" s="7"/>
      <c r="X253" s="7"/>
      <c r="Y253" s="7"/>
      <c r="Z253" s="7"/>
      <c r="AA253" s="7"/>
      <c r="AB253" s="7"/>
      <c r="AC253" s="7"/>
      <c r="AD253" s="36"/>
      <c r="AE253" s="36"/>
    </row>
    <row r="254">
      <c r="A254" s="294"/>
      <c r="B254" s="7"/>
      <c r="C254" s="7"/>
      <c r="D254" s="7"/>
      <c r="E254" s="7"/>
      <c r="F254" s="7"/>
      <c r="G254" s="7"/>
      <c r="H254" s="7"/>
      <c r="I254" s="7"/>
      <c r="J254" s="7"/>
      <c r="K254" s="7"/>
      <c r="L254" s="7"/>
      <c r="M254" s="7"/>
      <c r="N254" s="7"/>
      <c r="O254" s="7"/>
      <c r="P254" s="293"/>
      <c r="Q254" s="7"/>
      <c r="R254" s="7"/>
      <c r="S254" s="279"/>
      <c r="T254" s="36"/>
      <c r="U254" s="7"/>
      <c r="V254" s="7"/>
      <c r="W254" s="7"/>
      <c r="X254" s="7"/>
      <c r="Y254" s="7"/>
      <c r="Z254" s="7"/>
      <c r="AA254" s="7"/>
      <c r="AB254" s="7"/>
      <c r="AC254" s="7"/>
      <c r="AD254" s="36"/>
      <c r="AE254" s="36"/>
    </row>
    <row r="255">
      <c r="A255" s="294"/>
      <c r="B255" s="7"/>
      <c r="C255" s="7"/>
      <c r="D255" s="7"/>
      <c r="E255" s="7"/>
      <c r="F255" s="7"/>
      <c r="G255" s="7"/>
      <c r="H255" s="7"/>
      <c r="I255" s="7"/>
      <c r="J255" s="7"/>
      <c r="K255" s="7"/>
      <c r="L255" s="7"/>
      <c r="M255" s="7"/>
      <c r="N255" s="7"/>
      <c r="O255" s="7"/>
      <c r="P255" s="293"/>
      <c r="Q255" s="7"/>
      <c r="R255" s="7"/>
      <c r="S255" s="279"/>
      <c r="T255" s="36"/>
      <c r="U255" s="7"/>
      <c r="V255" s="7"/>
      <c r="W255" s="7"/>
      <c r="X255" s="7"/>
      <c r="Y255" s="7"/>
      <c r="Z255" s="7"/>
      <c r="AA255" s="7"/>
      <c r="AB255" s="7"/>
      <c r="AC255" s="7"/>
      <c r="AD255" s="36"/>
      <c r="AE255" s="36"/>
    </row>
    <row r="256">
      <c r="A256" s="294"/>
      <c r="B256" s="7"/>
      <c r="C256" s="7"/>
      <c r="D256" s="7"/>
      <c r="E256" s="7"/>
      <c r="F256" s="7"/>
      <c r="G256" s="7"/>
      <c r="H256" s="7"/>
      <c r="I256" s="7"/>
      <c r="J256" s="7"/>
      <c r="K256" s="7"/>
      <c r="L256" s="7"/>
      <c r="M256" s="7"/>
      <c r="N256" s="7"/>
      <c r="O256" s="7"/>
      <c r="P256" s="293"/>
      <c r="Q256" s="7"/>
      <c r="R256" s="7"/>
      <c r="S256" s="279"/>
      <c r="T256" s="36"/>
      <c r="U256" s="7"/>
      <c r="V256" s="7"/>
      <c r="W256" s="7"/>
      <c r="X256" s="7"/>
      <c r="Y256" s="7"/>
      <c r="Z256" s="7"/>
      <c r="AA256" s="7"/>
      <c r="AB256" s="7"/>
      <c r="AC256" s="7"/>
      <c r="AD256" s="36"/>
      <c r="AE256" s="36"/>
    </row>
    <row r="257">
      <c r="A257" s="294"/>
      <c r="B257" s="7"/>
      <c r="C257" s="7"/>
      <c r="D257" s="7"/>
      <c r="E257" s="7"/>
      <c r="F257" s="7"/>
      <c r="G257" s="7"/>
      <c r="H257" s="7"/>
      <c r="I257" s="7"/>
      <c r="J257" s="7"/>
      <c r="K257" s="7"/>
      <c r="L257" s="7"/>
      <c r="M257" s="7"/>
      <c r="N257" s="7"/>
      <c r="O257" s="7"/>
      <c r="P257" s="293"/>
      <c r="Q257" s="7"/>
      <c r="R257" s="7"/>
      <c r="S257" s="279"/>
      <c r="T257" s="36"/>
      <c r="U257" s="7"/>
      <c r="V257" s="7"/>
      <c r="W257" s="7"/>
      <c r="X257" s="7"/>
      <c r="Y257" s="7"/>
      <c r="Z257" s="7"/>
      <c r="AA257" s="7"/>
      <c r="AB257" s="7"/>
      <c r="AC257" s="7"/>
      <c r="AD257" s="36"/>
      <c r="AE257" s="36"/>
    </row>
    <row r="258">
      <c r="A258" s="294"/>
      <c r="B258" s="7"/>
      <c r="C258" s="7"/>
      <c r="D258" s="7"/>
      <c r="E258" s="7"/>
      <c r="F258" s="7"/>
      <c r="G258" s="7"/>
      <c r="H258" s="7"/>
      <c r="I258" s="7"/>
      <c r="J258" s="7"/>
      <c r="K258" s="7"/>
      <c r="L258" s="7"/>
      <c r="M258" s="7"/>
      <c r="N258" s="7"/>
      <c r="O258" s="7"/>
      <c r="P258" s="293"/>
      <c r="Q258" s="7"/>
      <c r="R258" s="7"/>
      <c r="S258" s="279"/>
      <c r="T258" s="36"/>
      <c r="U258" s="7"/>
      <c r="V258" s="7"/>
      <c r="W258" s="7"/>
      <c r="X258" s="7"/>
      <c r="Y258" s="7"/>
      <c r="Z258" s="7"/>
      <c r="AA258" s="7"/>
      <c r="AB258" s="7"/>
      <c r="AC258" s="7"/>
      <c r="AD258" s="36"/>
      <c r="AE258" s="36"/>
    </row>
    <row r="259">
      <c r="A259" s="294"/>
      <c r="B259" s="7"/>
      <c r="C259" s="7"/>
      <c r="D259" s="7"/>
      <c r="E259" s="7"/>
      <c r="F259" s="7"/>
      <c r="G259" s="7"/>
      <c r="H259" s="7"/>
      <c r="I259" s="7"/>
      <c r="J259" s="7"/>
      <c r="K259" s="7"/>
      <c r="L259" s="7"/>
      <c r="M259" s="7"/>
      <c r="N259" s="7"/>
      <c r="O259" s="7"/>
      <c r="P259" s="293"/>
      <c r="Q259" s="7"/>
      <c r="R259" s="7"/>
      <c r="S259" s="279"/>
      <c r="T259" s="36"/>
      <c r="U259" s="7"/>
      <c r="V259" s="7"/>
      <c r="W259" s="7"/>
      <c r="X259" s="7"/>
      <c r="Y259" s="7"/>
      <c r="Z259" s="7"/>
      <c r="AA259" s="7"/>
      <c r="AB259" s="7"/>
      <c r="AC259" s="7"/>
      <c r="AD259" s="36"/>
      <c r="AE259" s="36"/>
    </row>
    <row r="260">
      <c r="A260" s="294"/>
      <c r="B260" s="7"/>
      <c r="C260" s="7"/>
      <c r="D260" s="7"/>
      <c r="E260" s="7"/>
      <c r="F260" s="7"/>
      <c r="G260" s="7"/>
      <c r="H260" s="7"/>
      <c r="I260" s="7"/>
      <c r="J260" s="7"/>
      <c r="K260" s="7"/>
      <c r="L260" s="7"/>
      <c r="M260" s="7"/>
      <c r="N260" s="7"/>
      <c r="O260" s="7"/>
      <c r="P260" s="293"/>
      <c r="Q260" s="7"/>
      <c r="R260" s="7"/>
      <c r="S260" s="279"/>
      <c r="T260" s="36"/>
      <c r="U260" s="7"/>
      <c r="V260" s="7"/>
      <c r="W260" s="7"/>
      <c r="X260" s="7"/>
      <c r="Y260" s="7"/>
      <c r="Z260" s="7"/>
      <c r="AA260" s="7"/>
      <c r="AB260" s="7"/>
      <c r="AC260" s="7"/>
      <c r="AD260" s="36"/>
      <c r="AE260" s="36"/>
    </row>
    <row r="261">
      <c r="A261" s="294"/>
      <c r="B261" s="7"/>
      <c r="C261" s="7"/>
      <c r="D261" s="7"/>
      <c r="E261" s="7"/>
      <c r="F261" s="7"/>
      <c r="G261" s="7"/>
      <c r="H261" s="7"/>
      <c r="I261" s="7"/>
      <c r="J261" s="7"/>
      <c r="K261" s="7"/>
      <c r="L261" s="7"/>
      <c r="M261" s="7"/>
      <c r="N261" s="7"/>
      <c r="O261" s="7"/>
      <c r="P261" s="293"/>
      <c r="Q261" s="7"/>
      <c r="R261" s="7"/>
      <c r="S261" s="279"/>
      <c r="T261" s="36"/>
      <c r="U261" s="7"/>
      <c r="V261" s="7"/>
      <c r="W261" s="7"/>
      <c r="X261" s="7"/>
      <c r="Y261" s="7"/>
      <c r="Z261" s="7"/>
      <c r="AA261" s="7"/>
      <c r="AB261" s="7"/>
      <c r="AC261" s="7"/>
      <c r="AD261" s="36"/>
      <c r="AE261" s="36"/>
    </row>
    <row r="262">
      <c r="A262" s="294"/>
      <c r="B262" s="7"/>
      <c r="C262" s="7"/>
      <c r="D262" s="7"/>
      <c r="E262" s="7"/>
      <c r="F262" s="7"/>
      <c r="G262" s="7"/>
      <c r="H262" s="7"/>
      <c r="I262" s="7"/>
      <c r="J262" s="7"/>
      <c r="K262" s="7"/>
      <c r="L262" s="7"/>
      <c r="M262" s="7"/>
      <c r="N262" s="7"/>
      <c r="O262" s="7"/>
      <c r="P262" s="293"/>
      <c r="Q262" s="7"/>
      <c r="R262" s="7"/>
      <c r="S262" s="279"/>
      <c r="T262" s="36"/>
      <c r="U262" s="7"/>
      <c r="V262" s="7"/>
      <c r="W262" s="7"/>
      <c r="X262" s="7"/>
      <c r="Y262" s="7"/>
      <c r="Z262" s="7"/>
      <c r="AA262" s="7"/>
      <c r="AB262" s="7"/>
      <c r="AC262" s="7"/>
      <c r="AD262" s="36"/>
      <c r="AE262" s="36"/>
    </row>
    <row r="263">
      <c r="A263" s="294"/>
      <c r="B263" s="7"/>
      <c r="C263" s="7"/>
      <c r="D263" s="7"/>
      <c r="E263" s="7"/>
      <c r="F263" s="7"/>
      <c r="G263" s="7"/>
      <c r="H263" s="7"/>
      <c r="I263" s="7"/>
      <c r="J263" s="7"/>
      <c r="K263" s="7"/>
      <c r="L263" s="7"/>
      <c r="M263" s="7"/>
      <c r="N263" s="7"/>
      <c r="O263" s="7"/>
      <c r="P263" s="293"/>
      <c r="Q263" s="7"/>
      <c r="R263" s="7"/>
      <c r="S263" s="279"/>
      <c r="T263" s="36"/>
      <c r="U263" s="7"/>
      <c r="V263" s="7"/>
      <c r="W263" s="7"/>
      <c r="X263" s="7"/>
      <c r="Y263" s="7"/>
      <c r="Z263" s="7"/>
      <c r="AA263" s="7"/>
      <c r="AB263" s="7"/>
      <c r="AC263" s="7"/>
      <c r="AD263" s="36"/>
      <c r="AE263" s="36"/>
    </row>
    <row r="264">
      <c r="A264" s="294"/>
      <c r="B264" s="7"/>
      <c r="C264" s="7"/>
      <c r="D264" s="7"/>
      <c r="E264" s="7"/>
      <c r="F264" s="7"/>
      <c r="G264" s="7"/>
      <c r="H264" s="7"/>
      <c r="I264" s="7"/>
      <c r="J264" s="7"/>
      <c r="K264" s="7"/>
      <c r="L264" s="7"/>
      <c r="M264" s="7"/>
      <c r="N264" s="7"/>
      <c r="O264" s="7"/>
      <c r="P264" s="293"/>
      <c r="Q264" s="7"/>
      <c r="R264" s="7"/>
      <c r="S264" s="279"/>
      <c r="T264" s="36"/>
      <c r="U264" s="7"/>
      <c r="V264" s="7"/>
      <c r="W264" s="7"/>
      <c r="X264" s="7"/>
      <c r="Y264" s="7"/>
      <c r="Z264" s="7"/>
      <c r="AA264" s="7"/>
      <c r="AB264" s="7"/>
      <c r="AC264" s="7"/>
      <c r="AD264" s="36"/>
      <c r="AE264" s="36"/>
    </row>
    <row r="265">
      <c r="A265" s="294"/>
      <c r="B265" s="7"/>
      <c r="C265" s="7"/>
      <c r="D265" s="7"/>
      <c r="E265" s="7"/>
      <c r="F265" s="7"/>
      <c r="G265" s="7"/>
      <c r="H265" s="7"/>
      <c r="I265" s="7"/>
      <c r="J265" s="7"/>
      <c r="K265" s="7"/>
      <c r="L265" s="7"/>
      <c r="M265" s="7"/>
      <c r="N265" s="7"/>
      <c r="O265" s="7"/>
      <c r="P265" s="293"/>
      <c r="Q265" s="7"/>
      <c r="R265" s="7"/>
      <c r="S265" s="279"/>
      <c r="T265" s="36"/>
      <c r="U265" s="7"/>
      <c r="V265" s="7"/>
      <c r="W265" s="7"/>
      <c r="X265" s="7"/>
      <c r="Y265" s="7"/>
      <c r="Z265" s="7"/>
      <c r="AA265" s="7"/>
      <c r="AB265" s="7"/>
      <c r="AC265" s="7"/>
      <c r="AD265" s="36"/>
      <c r="AE265" s="36"/>
    </row>
    <row r="266">
      <c r="A266" s="294"/>
      <c r="B266" s="7"/>
      <c r="C266" s="7"/>
      <c r="D266" s="7"/>
      <c r="E266" s="7"/>
      <c r="F266" s="7"/>
      <c r="G266" s="7"/>
      <c r="H266" s="7"/>
      <c r="I266" s="7"/>
      <c r="J266" s="7"/>
      <c r="K266" s="7"/>
      <c r="L266" s="7"/>
      <c r="M266" s="7"/>
      <c r="N266" s="7"/>
      <c r="O266" s="7"/>
      <c r="P266" s="293"/>
      <c r="Q266" s="7"/>
      <c r="R266" s="7"/>
      <c r="S266" s="279"/>
      <c r="T266" s="36"/>
      <c r="U266" s="7"/>
      <c r="V266" s="7"/>
      <c r="W266" s="7"/>
      <c r="X266" s="7"/>
      <c r="Y266" s="7"/>
      <c r="Z266" s="7"/>
      <c r="AA266" s="7"/>
      <c r="AB266" s="7"/>
      <c r="AC266" s="7"/>
      <c r="AD266" s="36"/>
      <c r="AE266" s="36"/>
    </row>
    <row r="267">
      <c r="A267" s="294"/>
      <c r="B267" s="7"/>
      <c r="C267" s="7"/>
      <c r="D267" s="7"/>
      <c r="E267" s="7"/>
      <c r="F267" s="7"/>
      <c r="G267" s="7"/>
      <c r="H267" s="7"/>
      <c r="I267" s="7"/>
      <c r="J267" s="7"/>
      <c r="K267" s="7"/>
      <c r="L267" s="7"/>
      <c r="M267" s="7"/>
      <c r="N267" s="7"/>
      <c r="O267" s="7"/>
      <c r="P267" s="293"/>
      <c r="Q267" s="7"/>
      <c r="R267" s="7"/>
      <c r="S267" s="279"/>
      <c r="T267" s="36"/>
      <c r="U267" s="7"/>
      <c r="V267" s="7"/>
      <c r="W267" s="7"/>
      <c r="X267" s="7"/>
      <c r="Y267" s="7"/>
      <c r="Z267" s="7"/>
      <c r="AA267" s="7"/>
      <c r="AB267" s="7"/>
      <c r="AC267" s="7"/>
      <c r="AD267" s="36"/>
      <c r="AE267" s="36"/>
    </row>
    <row r="268">
      <c r="A268" s="294"/>
      <c r="B268" s="7"/>
      <c r="C268" s="7"/>
      <c r="D268" s="7"/>
      <c r="E268" s="7"/>
      <c r="F268" s="7"/>
      <c r="G268" s="7"/>
      <c r="H268" s="7"/>
      <c r="I268" s="7"/>
      <c r="J268" s="7"/>
      <c r="K268" s="7"/>
      <c r="L268" s="7"/>
      <c r="M268" s="7"/>
      <c r="N268" s="7"/>
      <c r="O268" s="7"/>
      <c r="P268" s="293"/>
      <c r="Q268" s="7"/>
      <c r="R268" s="7"/>
      <c r="S268" s="279"/>
      <c r="T268" s="36"/>
      <c r="U268" s="7"/>
      <c r="V268" s="7"/>
      <c r="W268" s="7"/>
      <c r="X268" s="7"/>
      <c r="Y268" s="7"/>
      <c r="Z268" s="7"/>
      <c r="AA268" s="7"/>
      <c r="AB268" s="7"/>
      <c r="AC268" s="7"/>
      <c r="AD268" s="36"/>
      <c r="AE268" s="36"/>
    </row>
    <row r="269">
      <c r="A269" s="294"/>
      <c r="B269" s="7"/>
      <c r="C269" s="7"/>
      <c r="D269" s="7"/>
      <c r="E269" s="7"/>
      <c r="F269" s="7"/>
      <c r="G269" s="7"/>
      <c r="H269" s="7"/>
      <c r="I269" s="7"/>
      <c r="J269" s="7"/>
      <c r="K269" s="7"/>
      <c r="L269" s="7"/>
      <c r="M269" s="7"/>
      <c r="N269" s="7"/>
      <c r="O269" s="7"/>
      <c r="P269" s="293"/>
      <c r="Q269" s="7"/>
      <c r="R269" s="7"/>
      <c r="S269" s="279"/>
      <c r="T269" s="36"/>
      <c r="U269" s="7"/>
      <c r="V269" s="7"/>
      <c r="W269" s="7"/>
      <c r="X269" s="7"/>
      <c r="Y269" s="7"/>
      <c r="Z269" s="7"/>
      <c r="AA269" s="7"/>
      <c r="AB269" s="7"/>
      <c r="AC269" s="7"/>
      <c r="AD269" s="36"/>
      <c r="AE269" s="36"/>
    </row>
    <row r="270">
      <c r="A270" s="294"/>
      <c r="B270" s="7"/>
      <c r="C270" s="7"/>
      <c r="D270" s="7"/>
      <c r="E270" s="7"/>
      <c r="F270" s="7"/>
      <c r="G270" s="7"/>
      <c r="H270" s="7"/>
      <c r="I270" s="7"/>
      <c r="J270" s="7"/>
      <c r="K270" s="7"/>
      <c r="L270" s="7"/>
      <c r="M270" s="7"/>
      <c r="N270" s="7"/>
      <c r="O270" s="7"/>
      <c r="P270" s="293"/>
      <c r="Q270" s="7"/>
      <c r="R270" s="7"/>
      <c r="S270" s="279"/>
      <c r="T270" s="36"/>
      <c r="U270" s="7"/>
      <c r="V270" s="7"/>
      <c r="W270" s="7"/>
      <c r="X270" s="7"/>
      <c r="Y270" s="7"/>
      <c r="Z270" s="7"/>
      <c r="AA270" s="7"/>
      <c r="AB270" s="7"/>
      <c r="AC270" s="7"/>
      <c r="AD270" s="36"/>
      <c r="AE270" s="36"/>
    </row>
    <row r="271">
      <c r="A271" s="294"/>
      <c r="B271" s="7"/>
      <c r="C271" s="7"/>
      <c r="D271" s="7"/>
      <c r="E271" s="7"/>
      <c r="F271" s="7"/>
      <c r="G271" s="7"/>
      <c r="H271" s="7"/>
      <c r="I271" s="7"/>
      <c r="J271" s="7"/>
      <c r="K271" s="7"/>
      <c r="L271" s="7"/>
      <c r="M271" s="7"/>
      <c r="N271" s="7"/>
      <c r="O271" s="7"/>
      <c r="P271" s="293"/>
      <c r="Q271" s="7"/>
      <c r="R271" s="7"/>
      <c r="S271" s="279"/>
      <c r="T271" s="36"/>
      <c r="U271" s="7"/>
      <c r="V271" s="7"/>
      <c r="W271" s="7"/>
      <c r="X271" s="7"/>
      <c r="Y271" s="7"/>
      <c r="Z271" s="7"/>
      <c r="AA271" s="7"/>
      <c r="AB271" s="7"/>
      <c r="AC271" s="7"/>
      <c r="AD271" s="36"/>
      <c r="AE271" s="36"/>
    </row>
    <row r="272">
      <c r="A272" s="294"/>
      <c r="B272" s="7"/>
      <c r="C272" s="7"/>
      <c r="D272" s="7"/>
      <c r="E272" s="7"/>
      <c r="F272" s="7"/>
      <c r="G272" s="7"/>
      <c r="H272" s="7"/>
      <c r="I272" s="7"/>
      <c r="J272" s="7"/>
      <c r="K272" s="7"/>
      <c r="L272" s="7"/>
      <c r="M272" s="7"/>
      <c r="N272" s="7"/>
      <c r="O272" s="7"/>
      <c r="P272" s="293"/>
      <c r="Q272" s="7"/>
      <c r="R272" s="7"/>
      <c r="S272" s="279"/>
      <c r="T272" s="36"/>
      <c r="U272" s="7"/>
      <c r="V272" s="7"/>
      <c r="W272" s="7"/>
      <c r="X272" s="7"/>
      <c r="Y272" s="7"/>
      <c r="Z272" s="7"/>
      <c r="AA272" s="7"/>
      <c r="AB272" s="7"/>
      <c r="AC272" s="7"/>
      <c r="AD272" s="36"/>
      <c r="AE272" s="36"/>
    </row>
    <row r="273">
      <c r="A273" s="294"/>
      <c r="B273" s="7"/>
      <c r="C273" s="7"/>
      <c r="D273" s="7"/>
      <c r="E273" s="7"/>
      <c r="F273" s="7"/>
      <c r="G273" s="7"/>
      <c r="H273" s="7"/>
      <c r="I273" s="7"/>
      <c r="J273" s="7"/>
      <c r="K273" s="7"/>
      <c r="L273" s="7"/>
      <c r="M273" s="7"/>
      <c r="N273" s="7"/>
      <c r="O273" s="7"/>
      <c r="P273" s="293"/>
      <c r="Q273" s="7"/>
      <c r="R273" s="7"/>
      <c r="S273" s="279"/>
      <c r="T273" s="36"/>
      <c r="U273" s="7"/>
      <c r="V273" s="7"/>
      <c r="W273" s="7"/>
      <c r="X273" s="7"/>
      <c r="Y273" s="7"/>
      <c r="Z273" s="7"/>
      <c r="AA273" s="7"/>
      <c r="AB273" s="7"/>
      <c r="AC273" s="7"/>
      <c r="AD273" s="36"/>
      <c r="AE273" s="36"/>
    </row>
    <row r="274">
      <c r="A274" s="294"/>
      <c r="B274" s="7"/>
      <c r="C274" s="7"/>
      <c r="D274" s="7"/>
      <c r="E274" s="7"/>
      <c r="F274" s="7"/>
      <c r="G274" s="7"/>
      <c r="H274" s="7"/>
      <c r="I274" s="7"/>
      <c r="J274" s="7"/>
      <c r="K274" s="7"/>
      <c r="L274" s="7"/>
      <c r="M274" s="7"/>
      <c r="N274" s="7"/>
      <c r="O274" s="7"/>
      <c r="P274" s="293"/>
      <c r="Q274" s="7"/>
      <c r="R274" s="7"/>
      <c r="S274" s="279"/>
      <c r="T274" s="36"/>
      <c r="U274" s="7"/>
      <c r="V274" s="7"/>
      <c r="W274" s="7"/>
      <c r="X274" s="7"/>
      <c r="Y274" s="7"/>
      <c r="Z274" s="7"/>
      <c r="AA274" s="7"/>
      <c r="AB274" s="7"/>
      <c r="AC274" s="7"/>
      <c r="AD274" s="36"/>
      <c r="AE274" s="36"/>
    </row>
    <row r="275">
      <c r="A275" s="294"/>
      <c r="B275" s="7"/>
      <c r="C275" s="7"/>
      <c r="D275" s="7"/>
      <c r="E275" s="7"/>
      <c r="F275" s="7"/>
      <c r="G275" s="7"/>
      <c r="H275" s="7"/>
      <c r="I275" s="7"/>
      <c r="J275" s="7"/>
      <c r="K275" s="7"/>
      <c r="L275" s="7"/>
      <c r="M275" s="7"/>
      <c r="N275" s="7"/>
      <c r="O275" s="7"/>
      <c r="P275" s="293"/>
      <c r="Q275" s="7"/>
      <c r="R275" s="7"/>
      <c r="S275" s="279"/>
      <c r="T275" s="36"/>
      <c r="U275" s="7"/>
      <c r="V275" s="7"/>
      <c r="W275" s="7"/>
      <c r="X275" s="7"/>
      <c r="Y275" s="7"/>
      <c r="Z275" s="7"/>
      <c r="AA275" s="7"/>
      <c r="AB275" s="7"/>
      <c r="AC275" s="7"/>
      <c r="AD275" s="36"/>
      <c r="AE275" s="36"/>
    </row>
    <row r="276">
      <c r="A276" s="294"/>
      <c r="B276" s="7"/>
      <c r="C276" s="7"/>
      <c r="D276" s="7"/>
      <c r="E276" s="7"/>
      <c r="F276" s="7"/>
      <c r="G276" s="7"/>
      <c r="H276" s="7"/>
      <c r="I276" s="7"/>
      <c r="J276" s="7"/>
      <c r="K276" s="7"/>
      <c r="L276" s="7"/>
      <c r="M276" s="7"/>
      <c r="N276" s="7"/>
      <c r="O276" s="7"/>
      <c r="P276" s="293"/>
      <c r="Q276" s="7"/>
      <c r="R276" s="7"/>
      <c r="S276" s="279"/>
      <c r="T276" s="36"/>
      <c r="U276" s="7"/>
      <c r="V276" s="7"/>
      <c r="W276" s="7"/>
      <c r="X276" s="7"/>
      <c r="Y276" s="7"/>
      <c r="Z276" s="7"/>
      <c r="AA276" s="7"/>
      <c r="AB276" s="7"/>
      <c r="AC276" s="7"/>
      <c r="AD276" s="36"/>
      <c r="AE276" s="36"/>
    </row>
    <row r="277">
      <c r="A277" s="294"/>
      <c r="B277" s="7"/>
      <c r="C277" s="7"/>
      <c r="D277" s="7"/>
      <c r="E277" s="7"/>
      <c r="F277" s="7"/>
      <c r="G277" s="7"/>
      <c r="H277" s="7"/>
      <c r="I277" s="7"/>
      <c r="J277" s="7"/>
      <c r="K277" s="7"/>
      <c r="L277" s="7"/>
      <c r="M277" s="7"/>
      <c r="N277" s="7"/>
      <c r="O277" s="7"/>
      <c r="P277" s="293"/>
      <c r="Q277" s="7"/>
      <c r="R277" s="7"/>
      <c r="S277" s="279"/>
      <c r="T277" s="36"/>
      <c r="U277" s="7"/>
      <c r="V277" s="7"/>
      <c r="W277" s="7"/>
      <c r="X277" s="7"/>
      <c r="Y277" s="7"/>
      <c r="Z277" s="7"/>
      <c r="AA277" s="7"/>
      <c r="AB277" s="7"/>
      <c r="AC277" s="7"/>
      <c r="AD277" s="36"/>
      <c r="AE277" s="36"/>
    </row>
    <row r="278">
      <c r="A278" s="294"/>
      <c r="B278" s="7"/>
      <c r="C278" s="7"/>
      <c r="D278" s="7"/>
      <c r="E278" s="7"/>
      <c r="F278" s="7"/>
      <c r="G278" s="7"/>
      <c r="H278" s="7"/>
      <c r="I278" s="7"/>
      <c r="J278" s="7"/>
      <c r="K278" s="7"/>
      <c r="L278" s="7"/>
      <c r="M278" s="7"/>
      <c r="N278" s="7"/>
      <c r="O278" s="7"/>
      <c r="P278" s="293"/>
      <c r="Q278" s="7"/>
      <c r="R278" s="7"/>
      <c r="S278" s="279"/>
      <c r="T278" s="36"/>
      <c r="U278" s="7"/>
      <c r="V278" s="7"/>
      <c r="W278" s="7"/>
      <c r="X278" s="7"/>
      <c r="Y278" s="7"/>
      <c r="Z278" s="7"/>
      <c r="AA278" s="7"/>
      <c r="AB278" s="7"/>
      <c r="AC278" s="7"/>
      <c r="AD278" s="36"/>
      <c r="AE278" s="36"/>
    </row>
    <row r="279">
      <c r="A279" s="294"/>
      <c r="B279" s="7"/>
      <c r="C279" s="7"/>
      <c r="D279" s="7"/>
      <c r="E279" s="7"/>
      <c r="F279" s="7"/>
      <c r="G279" s="7"/>
      <c r="H279" s="7"/>
      <c r="I279" s="7"/>
      <c r="J279" s="7"/>
      <c r="K279" s="7"/>
      <c r="L279" s="7"/>
      <c r="M279" s="7"/>
      <c r="N279" s="7"/>
      <c r="O279" s="7"/>
      <c r="P279" s="293"/>
      <c r="Q279" s="7"/>
      <c r="R279" s="7"/>
      <c r="S279" s="279"/>
      <c r="T279" s="36"/>
      <c r="U279" s="7"/>
      <c r="V279" s="7"/>
      <c r="W279" s="7"/>
      <c r="X279" s="7"/>
      <c r="Y279" s="7"/>
      <c r="Z279" s="7"/>
      <c r="AA279" s="7"/>
      <c r="AB279" s="7"/>
      <c r="AC279" s="7"/>
      <c r="AD279" s="36"/>
      <c r="AE279" s="36"/>
    </row>
    <row r="280">
      <c r="A280" s="294"/>
      <c r="B280" s="7"/>
      <c r="C280" s="7"/>
      <c r="D280" s="7"/>
      <c r="E280" s="7"/>
      <c r="F280" s="7"/>
      <c r="G280" s="7"/>
      <c r="H280" s="7"/>
      <c r="I280" s="7"/>
      <c r="J280" s="7"/>
      <c r="K280" s="7"/>
      <c r="L280" s="7"/>
      <c r="M280" s="7"/>
      <c r="N280" s="7"/>
      <c r="O280" s="7"/>
      <c r="P280" s="293"/>
      <c r="Q280" s="7"/>
      <c r="R280" s="7"/>
      <c r="S280" s="279"/>
      <c r="T280" s="36"/>
      <c r="U280" s="7"/>
      <c r="V280" s="7"/>
      <c r="W280" s="7"/>
      <c r="X280" s="7"/>
      <c r="Y280" s="7"/>
      <c r="Z280" s="7"/>
      <c r="AA280" s="7"/>
      <c r="AB280" s="7"/>
      <c r="AC280" s="7"/>
      <c r="AD280" s="36"/>
      <c r="AE280" s="36"/>
    </row>
    <row r="281">
      <c r="A281" s="294"/>
      <c r="B281" s="7"/>
      <c r="C281" s="7"/>
      <c r="D281" s="7"/>
      <c r="E281" s="7"/>
      <c r="F281" s="7"/>
      <c r="G281" s="7"/>
      <c r="H281" s="7"/>
      <c r="I281" s="7"/>
      <c r="J281" s="7"/>
      <c r="K281" s="7"/>
      <c r="L281" s="7"/>
      <c r="M281" s="7"/>
      <c r="N281" s="7"/>
      <c r="O281" s="7"/>
      <c r="P281" s="293"/>
      <c r="Q281" s="7"/>
      <c r="R281" s="7"/>
      <c r="S281" s="279"/>
      <c r="T281" s="36"/>
      <c r="U281" s="7"/>
      <c r="V281" s="7"/>
      <c r="W281" s="7"/>
      <c r="X281" s="7"/>
      <c r="Y281" s="7"/>
      <c r="Z281" s="7"/>
      <c r="AA281" s="7"/>
      <c r="AB281" s="7"/>
      <c r="AC281" s="7"/>
      <c r="AD281" s="36"/>
      <c r="AE281" s="36"/>
    </row>
    <row r="282">
      <c r="A282" s="294"/>
      <c r="B282" s="7"/>
      <c r="C282" s="7"/>
      <c r="D282" s="7"/>
      <c r="E282" s="7"/>
      <c r="F282" s="7"/>
      <c r="G282" s="7"/>
      <c r="H282" s="7"/>
      <c r="I282" s="7"/>
      <c r="J282" s="7"/>
      <c r="K282" s="7"/>
      <c r="L282" s="7"/>
      <c r="M282" s="7"/>
      <c r="N282" s="7"/>
      <c r="O282" s="7"/>
      <c r="P282" s="293"/>
      <c r="Q282" s="7"/>
      <c r="R282" s="7"/>
      <c r="S282" s="279"/>
      <c r="T282" s="36"/>
      <c r="U282" s="7"/>
      <c r="V282" s="7"/>
      <c r="W282" s="7"/>
      <c r="X282" s="7"/>
      <c r="Y282" s="7"/>
      <c r="Z282" s="7"/>
      <c r="AA282" s="7"/>
      <c r="AB282" s="7"/>
      <c r="AC282" s="7"/>
      <c r="AD282" s="36"/>
      <c r="AE282" s="36"/>
    </row>
    <row r="283">
      <c r="A283" s="294"/>
      <c r="B283" s="7"/>
      <c r="C283" s="7"/>
      <c r="D283" s="7"/>
      <c r="E283" s="7"/>
      <c r="F283" s="7"/>
      <c r="G283" s="7"/>
      <c r="H283" s="7"/>
      <c r="I283" s="7"/>
      <c r="J283" s="7"/>
      <c r="K283" s="7"/>
      <c r="L283" s="7"/>
      <c r="M283" s="7"/>
      <c r="N283" s="7"/>
      <c r="O283" s="7"/>
      <c r="P283" s="293"/>
      <c r="Q283" s="7"/>
      <c r="R283" s="7"/>
      <c r="S283" s="279"/>
      <c r="T283" s="36"/>
      <c r="U283" s="7"/>
      <c r="V283" s="7"/>
      <c r="W283" s="7"/>
      <c r="X283" s="7"/>
      <c r="Y283" s="7"/>
      <c r="Z283" s="7"/>
      <c r="AA283" s="7"/>
      <c r="AB283" s="7"/>
      <c r="AC283" s="7"/>
      <c r="AD283" s="36"/>
      <c r="AE283" s="36"/>
    </row>
    <row r="284">
      <c r="A284" s="294"/>
      <c r="B284" s="7"/>
      <c r="C284" s="7"/>
      <c r="D284" s="7"/>
      <c r="E284" s="7"/>
      <c r="F284" s="7"/>
      <c r="G284" s="7"/>
      <c r="H284" s="7"/>
      <c r="I284" s="7"/>
      <c r="J284" s="7"/>
      <c r="K284" s="7"/>
      <c r="L284" s="7"/>
      <c r="M284" s="7"/>
      <c r="N284" s="7"/>
      <c r="O284" s="7"/>
      <c r="P284" s="293"/>
      <c r="Q284" s="7"/>
      <c r="R284" s="7"/>
      <c r="S284" s="279"/>
      <c r="T284" s="36"/>
      <c r="U284" s="7"/>
      <c r="V284" s="7"/>
      <c r="W284" s="7"/>
      <c r="X284" s="7"/>
      <c r="Y284" s="7"/>
      <c r="Z284" s="7"/>
      <c r="AA284" s="7"/>
      <c r="AB284" s="7"/>
      <c r="AC284" s="7"/>
      <c r="AD284" s="36"/>
      <c r="AE284" s="36"/>
    </row>
    <row r="285">
      <c r="A285" s="294"/>
      <c r="B285" s="7"/>
      <c r="C285" s="7"/>
      <c r="D285" s="7"/>
      <c r="E285" s="7"/>
      <c r="F285" s="7"/>
      <c r="G285" s="7"/>
      <c r="H285" s="7"/>
      <c r="I285" s="7"/>
      <c r="J285" s="7"/>
      <c r="K285" s="7"/>
      <c r="L285" s="7"/>
      <c r="M285" s="7"/>
      <c r="N285" s="7"/>
      <c r="O285" s="7"/>
      <c r="P285" s="293"/>
      <c r="Q285" s="7"/>
      <c r="R285" s="7"/>
      <c r="S285" s="279"/>
      <c r="T285" s="36"/>
      <c r="U285" s="7"/>
      <c r="V285" s="7"/>
      <c r="W285" s="7"/>
      <c r="X285" s="7"/>
      <c r="Y285" s="7"/>
      <c r="Z285" s="7"/>
      <c r="AA285" s="7"/>
      <c r="AB285" s="7"/>
      <c r="AC285" s="7"/>
      <c r="AD285" s="36"/>
      <c r="AE285" s="36"/>
    </row>
    <row r="286">
      <c r="A286" s="294"/>
      <c r="B286" s="7"/>
      <c r="C286" s="7"/>
      <c r="D286" s="7"/>
      <c r="E286" s="7"/>
      <c r="F286" s="7"/>
      <c r="G286" s="7"/>
      <c r="H286" s="7"/>
      <c r="I286" s="7"/>
      <c r="J286" s="7"/>
      <c r="K286" s="7"/>
      <c r="L286" s="7"/>
      <c r="M286" s="7"/>
      <c r="N286" s="7"/>
      <c r="O286" s="7"/>
      <c r="P286" s="293"/>
      <c r="Q286" s="7"/>
      <c r="R286" s="7"/>
      <c r="S286" s="279"/>
      <c r="T286" s="36"/>
      <c r="U286" s="7"/>
      <c r="V286" s="7"/>
      <c r="W286" s="7"/>
      <c r="X286" s="7"/>
      <c r="Y286" s="7"/>
      <c r="Z286" s="7"/>
      <c r="AA286" s="7"/>
      <c r="AB286" s="7"/>
      <c r="AC286" s="7"/>
      <c r="AD286" s="36"/>
      <c r="AE286" s="36"/>
    </row>
    <row r="287">
      <c r="A287" s="294"/>
      <c r="B287" s="7"/>
      <c r="C287" s="7"/>
      <c r="D287" s="7"/>
      <c r="E287" s="7"/>
      <c r="F287" s="7"/>
      <c r="G287" s="7"/>
      <c r="H287" s="7"/>
      <c r="I287" s="7"/>
      <c r="J287" s="7"/>
      <c r="K287" s="7"/>
      <c r="L287" s="7"/>
      <c r="M287" s="7"/>
      <c r="N287" s="7"/>
      <c r="O287" s="7"/>
      <c r="P287" s="293"/>
      <c r="Q287" s="7"/>
      <c r="R287" s="7"/>
      <c r="S287" s="279"/>
      <c r="T287" s="36"/>
      <c r="U287" s="7"/>
      <c r="V287" s="7"/>
      <c r="W287" s="7"/>
      <c r="X287" s="7"/>
      <c r="Y287" s="7"/>
      <c r="Z287" s="7"/>
      <c r="AA287" s="7"/>
      <c r="AB287" s="7"/>
      <c r="AC287" s="7"/>
      <c r="AD287" s="36"/>
      <c r="AE287" s="36"/>
    </row>
    <row r="288">
      <c r="A288" s="294"/>
      <c r="B288" s="7"/>
      <c r="C288" s="7"/>
      <c r="D288" s="7"/>
      <c r="E288" s="7"/>
      <c r="F288" s="7"/>
      <c r="G288" s="7"/>
      <c r="H288" s="7"/>
      <c r="I288" s="7"/>
      <c r="J288" s="7"/>
      <c r="K288" s="7"/>
      <c r="L288" s="7"/>
      <c r="M288" s="7"/>
      <c r="N288" s="7"/>
      <c r="O288" s="7"/>
      <c r="P288" s="293"/>
      <c r="Q288" s="7"/>
      <c r="R288" s="7"/>
      <c r="S288" s="279"/>
      <c r="T288" s="36"/>
      <c r="U288" s="7"/>
      <c r="V288" s="7"/>
      <c r="W288" s="7"/>
      <c r="X288" s="7"/>
      <c r="Y288" s="7"/>
      <c r="Z288" s="7"/>
      <c r="AA288" s="7"/>
      <c r="AB288" s="7"/>
      <c r="AC288" s="7"/>
      <c r="AD288" s="36"/>
      <c r="AE288" s="36"/>
    </row>
    <row r="289">
      <c r="A289" s="294"/>
      <c r="B289" s="7"/>
      <c r="C289" s="7"/>
      <c r="D289" s="7"/>
      <c r="E289" s="7"/>
      <c r="F289" s="7"/>
      <c r="G289" s="7"/>
      <c r="H289" s="7"/>
      <c r="I289" s="7"/>
      <c r="J289" s="7"/>
      <c r="K289" s="7"/>
      <c r="L289" s="7"/>
      <c r="M289" s="7"/>
      <c r="N289" s="7"/>
      <c r="O289" s="7"/>
      <c r="P289" s="293"/>
      <c r="Q289" s="7"/>
      <c r="R289" s="7"/>
      <c r="S289" s="279"/>
      <c r="T289" s="36"/>
      <c r="U289" s="7"/>
      <c r="V289" s="7"/>
      <c r="W289" s="7"/>
      <c r="X289" s="7"/>
      <c r="Y289" s="7"/>
      <c r="Z289" s="7"/>
      <c r="AA289" s="7"/>
      <c r="AB289" s="7"/>
      <c r="AC289" s="7"/>
      <c r="AD289" s="36"/>
      <c r="AE289" s="36"/>
    </row>
    <row r="290">
      <c r="A290" s="294"/>
      <c r="B290" s="7"/>
      <c r="C290" s="7"/>
      <c r="D290" s="7"/>
      <c r="E290" s="7"/>
      <c r="F290" s="7"/>
      <c r="G290" s="7"/>
      <c r="H290" s="7"/>
      <c r="I290" s="7"/>
      <c r="J290" s="7"/>
      <c r="K290" s="7"/>
      <c r="L290" s="7"/>
      <c r="M290" s="7"/>
      <c r="N290" s="7"/>
      <c r="O290" s="7"/>
      <c r="P290" s="293"/>
      <c r="Q290" s="7"/>
      <c r="R290" s="7"/>
      <c r="S290" s="279"/>
      <c r="T290" s="36"/>
      <c r="U290" s="7"/>
      <c r="V290" s="7"/>
      <c r="W290" s="7"/>
      <c r="X290" s="7"/>
      <c r="Y290" s="7"/>
      <c r="Z290" s="7"/>
      <c r="AA290" s="7"/>
      <c r="AB290" s="7"/>
      <c r="AC290" s="7"/>
      <c r="AD290" s="36"/>
      <c r="AE290" s="36"/>
    </row>
    <row r="291">
      <c r="A291" s="294"/>
      <c r="B291" s="7"/>
      <c r="C291" s="7"/>
      <c r="D291" s="7"/>
      <c r="E291" s="7"/>
      <c r="F291" s="7"/>
      <c r="G291" s="7"/>
      <c r="H291" s="7"/>
      <c r="I291" s="7"/>
      <c r="J291" s="7"/>
      <c r="K291" s="7"/>
      <c r="L291" s="7"/>
      <c r="M291" s="7"/>
      <c r="N291" s="7"/>
      <c r="O291" s="7"/>
      <c r="P291" s="293"/>
      <c r="Q291" s="7"/>
      <c r="R291" s="7"/>
      <c r="S291" s="279"/>
      <c r="T291" s="36"/>
      <c r="U291" s="7"/>
      <c r="V291" s="7"/>
      <c r="W291" s="7"/>
      <c r="X291" s="7"/>
      <c r="Y291" s="7"/>
      <c r="Z291" s="7"/>
      <c r="AA291" s="7"/>
      <c r="AB291" s="7"/>
      <c r="AC291" s="7"/>
      <c r="AD291" s="36"/>
      <c r="AE291" s="36"/>
    </row>
    <row r="292">
      <c r="A292" s="294"/>
      <c r="B292" s="7"/>
      <c r="C292" s="7"/>
      <c r="D292" s="7"/>
      <c r="E292" s="7"/>
      <c r="F292" s="7"/>
      <c r="G292" s="7"/>
      <c r="H292" s="7"/>
      <c r="I292" s="7"/>
      <c r="J292" s="7"/>
      <c r="K292" s="7"/>
      <c r="L292" s="7"/>
      <c r="M292" s="7"/>
      <c r="N292" s="7"/>
      <c r="O292" s="7"/>
      <c r="P292" s="293"/>
      <c r="Q292" s="7"/>
      <c r="R292" s="7"/>
      <c r="S292" s="279"/>
      <c r="T292" s="36"/>
      <c r="U292" s="7"/>
      <c r="V292" s="7"/>
      <c r="W292" s="7"/>
      <c r="X292" s="7"/>
      <c r="Y292" s="7"/>
      <c r="Z292" s="7"/>
      <c r="AA292" s="7"/>
      <c r="AB292" s="7"/>
      <c r="AC292" s="7"/>
      <c r="AD292" s="36"/>
      <c r="AE292" s="36"/>
    </row>
    <row r="293">
      <c r="A293" s="294"/>
      <c r="B293" s="7"/>
      <c r="C293" s="7"/>
      <c r="D293" s="7"/>
      <c r="E293" s="7"/>
      <c r="F293" s="7"/>
      <c r="G293" s="7"/>
      <c r="H293" s="7"/>
      <c r="I293" s="7"/>
      <c r="J293" s="7"/>
      <c r="K293" s="7"/>
      <c r="L293" s="7"/>
      <c r="M293" s="7"/>
      <c r="N293" s="7"/>
      <c r="O293" s="7"/>
      <c r="P293" s="293"/>
      <c r="Q293" s="7"/>
      <c r="R293" s="7"/>
      <c r="S293" s="279"/>
      <c r="T293" s="36"/>
      <c r="U293" s="7"/>
      <c r="V293" s="7"/>
      <c r="W293" s="7"/>
      <c r="X293" s="7"/>
      <c r="Y293" s="7"/>
      <c r="Z293" s="7"/>
      <c r="AA293" s="7"/>
      <c r="AB293" s="7"/>
      <c r="AC293" s="7"/>
      <c r="AD293" s="36"/>
      <c r="AE293" s="36"/>
    </row>
    <row r="294">
      <c r="A294" s="294"/>
      <c r="B294" s="7"/>
      <c r="C294" s="7"/>
      <c r="D294" s="7"/>
      <c r="E294" s="7"/>
      <c r="F294" s="7"/>
      <c r="G294" s="7"/>
      <c r="H294" s="7"/>
      <c r="I294" s="7"/>
      <c r="J294" s="7"/>
      <c r="K294" s="7"/>
      <c r="L294" s="7"/>
      <c r="M294" s="7"/>
      <c r="N294" s="7"/>
      <c r="O294" s="7"/>
      <c r="P294" s="293"/>
      <c r="Q294" s="7"/>
      <c r="R294" s="7"/>
      <c r="S294" s="279"/>
      <c r="T294" s="36"/>
      <c r="U294" s="7"/>
      <c r="V294" s="7"/>
      <c r="W294" s="7"/>
      <c r="X294" s="7"/>
      <c r="Y294" s="7"/>
      <c r="Z294" s="7"/>
      <c r="AA294" s="7"/>
      <c r="AB294" s="7"/>
      <c r="AC294" s="7"/>
      <c r="AD294" s="36"/>
      <c r="AE294" s="36"/>
    </row>
    <row r="295">
      <c r="A295" s="294"/>
      <c r="B295" s="7"/>
      <c r="C295" s="7"/>
      <c r="D295" s="7"/>
      <c r="E295" s="7"/>
      <c r="F295" s="7"/>
      <c r="G295" s="7"/>
      <c r="H295" s="7"/>
      <c r="I295" s="7"/>
      <c r="J295" s="7"/>
      <c r="K295" s="7"/>
      <c r="L295" s="7"/>
      <c r="M295" s="7"/>
      <c r="N295" s="7"/>
      <c r="O295" s="7"/>
      <c r="P295" s="293"/>
      <c r="Q295" s="7"/>
      <c r="R295" s="7"/>
      <c r="S295" s="279"/>
      <c r="T295" s="36"/>
      <c r="U295" s="7"/>
      <c r="V295" s="7"/>
      <c r="W295" s="7"/>
      <c r="X295" s="7"/>
      <c r="Y295" s="7"/>
      <c r="Z295" s="7"/>
      <c r="AA295" s="7"/>
      <c r="AB295" s="7"/>
      <c r="AC295" s="7"/>
      <c r="AD295" s="36"/>
      <c r="AE295" s="36"/>
    </row>
    <row r="296">
      <c r="A296" s="294"/>
      <c r="B296" s="7"/>
      <c r="C296" s="7"/>
      <c r="D296" s="7"/>
      <c r="E296" s="7"/>
      <c r="F296" s="7"/>
      <c r="G296" s="7"/>
      <c r="H296" s="7"/>
      <c r="I296" s="7"/>
      <c r="J296" s="7"/>
      <c r="K296" s="7"/>
      <c r="L296" s="7"/>
      <c r="M296" s="7"/>
      <c r="N296" s="7"/>
      <c r="O296" s="7"/>
      <c r="P296" s="293"/>
      <c r="Q296" s="7"/>
      <c r="R296" s="7"/>
      <c r="S296" s="279"/>
      <c r="T296" s="36"/>
      <c r="U296" s="7"/>
      <c r="V296" s="7"/>
      <c r="W296" s="7"/>
      <c r="X296" s="7"/>
      <c r="Y296" s="7"/>
      <c r="Z296" s="7"/>
      <c r="AA296" s="7"/>
      <c r="AB296" s="7"/>
      <c r="AC296" s="7"/>
      <c r="AD296" s="36"/>
      <c r="AE296" s="36"/>
    </row>
    <row r="297">
      <c r="A297" s="294"/>
      <c r="B297" s="7"/>
      <c r="C297" s="7"/>
      <c r="D297" s="7"/>
      <c r="E297" s="7"/>
      <c r="F297" s="7"/>
      <c r="G297" s="7"/>
      <c r="H297" s="7"/>
      <c r="I297" s="7"/>
      <c r="J297" s="7"/>
      <c r="K297" s="7"/>
      <c r="L297" s="7"/>
      <c r="M297" s="7"/>
      <c r="N297" s="7"/>
      <c r="O297" s="7"/>
      <c r="P297" s="293"/>
      <c r="Q297" s="7"/>
      <c r="R297" s="7"/>
      <c r="S297" s="279"/>
      <c r="T297" s="36"/>
      <c r="U297" s="7"/>
      <c r="V297" s="7"/>
      <c r="W297" s="7"/>
      <c r="X297" s="7"/>
      <c r="Y297" s="7"/>
      <c r="Z297" s="7"/>
      <c r="AA297" s="7"/>
      <c r="AB297" s="7"/>
      <c r="AC297" s="7"/>
      <c r="AD297" s="36"/>
      <c r="AE297" s="36"/>
    </row>
    <row r="298">
      <c r="A298" s="294"/>
      <c r="B298" s="7"/>
      <c r="C298" s="7"/>
      <c r="D298" s="7"/>
      <c r="E298" s="7"/>
      <c r="F298" s="7"/>
      <c r="G298" s="7"/>
      <c r="H298" s="7"/>
      <c r="I298" s="7"/>
      <c r="J298" s="7"/>
      <c r="K298" s="7"/>
      <c r="L298" s="7"/>
      <c r="M298" s="7"/>
      <c r="N298" s="7"/>
      <c r="O298" s="7"/>
      <c r="P298" s="293"/>
      <c r="Q298" s="7"/>
      <c r="R298" s="7"/>
      <c r="S298" s="279"/>
      <c r="T298" s="36"/>
      <c r="U298" s="7"/>
      <c r="V298" s="7"/>
      <c r="W298" s="7"/>
      <c r="X298" s="7"/>
      <c r="Y298" s="7"/>
      <c r="Z298" s="7"/>
      <c r="AA298" s="7"/>
      <c r="AB298" s="7"/>
      <c r="AC298" s="7"/>
      <c r="AD298" s="36"/>
      <c r="AE298" s="36"/>
    </row>
    <row r="299">
      <c r="A299" s="294"/>
      <c r="B299" s="7"/>
      <c r="C299" s="7"/>
      <c r="D299" s="7"/>
      <c r="E299" s="7"/>
      <c r="F299" s="7"/>
      <c r="G299" s="7"/>
      <c r="H299" s="7"/>
      <c r="I299" s="7"/>
      <c r="J299" s="7"/>
      <c r="K299" s="7"/>
      <c r="L299" s="7"/>
      <c r="M299" s="7"/>
      <c r="N299" s="7"/>
      <c r="O299" s="7"/>
      <c r="P299" s="293"/>
      <c r="Q299" s="7"/>
      <c r="R299" s="7"/>
      <c r="S299" s="279"/>
      <c r="T299" s="36"/>
      <c r="U299" s="7"/>
      <c r="V299" s="7"/>
      <c r="W299" s="7"/>
      <c r="X299" s="7"/>
      <c r="Y299" s="7"/>
      <c r="Z299" s="7"/>
      <c r="AA299" s="7"/>
      <c r="AB299" s="7"/>
      <c r="AC299" s="7"/>
      <c r="AD299" s="36"/>
      <c r="AE299" s="36"/>
    </row>
    <row r="300">
      <c r="A300" s="294"/>
      <c r="B300" s="7"/>
      <c r="C300" s="7"/>
      <c r="D300" s="7"/>
      <c r="E300" s="7"/>
      <c r="F300" s="7"/>
      <c r="G300" s="7"/>
      <c r="H300" s="7"/>
      <c r="I300" s="7"/>
      <c r="J300" s="7"/>
      <c r="K300" s="7"/>
      <c r="L300" s="7"/>
      <c r="M300" s="7"/>
      <c r="N300" s="7"/>
      <c r="O300" s="7"/>
      <c r="P300" s="293"/>
      <c r="Q300" s="7"/>
      <c r="R300" s="7"/>
      <c r="S300" s="279"/>
      <c r="T300" s="36"/>
      <c r="U300" s="7"/>
      <c r="V300" s="7"/>
      <c r="W300" s="7"/>
      <c r="X300" s="7"/>
      <c r="Y300" s="7"/>
      <c r="Z300" s="7"/>
      <c r="AA300" s="7"/>
      <c r="AB300" s="7"/>
      <c r="AC300" s="7"/>
      <c r="AD300" s="36"/>
      <c r="AE300" s="36"/>
    </row>
    <row r="301">
      <c r="A301" s="294"/>
      <c r="B301" s="7"/>
      <c r="C301" s="7"/>
      <c r="D301" s="7"/>
      <c r="E301" s="7"/>
      <c r="F301" s="7"/>
      <c r="G301" s="7"/>
      <c r="H301" s="7"/>
      <c r="I301" s="7"/>
      <c r="J301" s="7"/>
      <c r="K301" s="7"/>
      <c r="L301" s="7"/>
      <c r="M301" s="7"/>
      <c r="N301" s="7"/>
      <c r="O301" s="7"/>
      <c r="P301" s="293"/>
      <c r="Q301" s="7"/>
      <c r="R301" s="7"/>
      <c r="S301" s="279"/>
      <c r="T301" s="36"/>
      <c r="U301" s="7"/>
      <c r="V301" s="7"/>
      <c r="W301" s="7"/>
      <c r="X301" s="7"/>
      <c r="Y301" s="7"/>
      <c r="Z301" s="7"/>
      <c r="AA301" s="7"/>
      <c r="AB301" s="7"/>
      <c r="AC301" s="7"/>
      <c r="AD301" s="36"/>
      <c r="AE301" s="36"/>
    </row>
    <row r="302">
      <c r="A302" s="294"/>
      <c r="B302" s="7"/>
      <c r="C302" s="7"/>
      <c r="D302" s="7"/>
      <c r="E302" s="7"/>
      <c r="F302" s="7"/>
      <c r="G302" s="7"/>
      <c r="H302" s="7"/>
      <c r="I302" s="7"/>
      <c r="J302" s="7"/>
      <c r="K302" s="7"/>
      <c r="L302" s="7"/>
      <c r="M302" s="7"/>
      <c r="N302" s="7"/>
      <c r="O302" s="7"/>
      <c r="P302" s="293"/>
      <c r="Q302" s="7"/>
      <c r="R302" s="7"/>
      <c r="S302" s="279"/>
      <c r="T302" s="36"/>
      <c r="U302" s="7"/>
      <c r="V302" s="7"/>
      <c r="W302" s="7"/>
      <c r="X302" s="7"/>
      <c r="Y302" s="7"/>
      <c r="Z302" s="7"/>
      <c r="AA302" s="7"/>
      <c r="AB302" s="7"/>
      <c r="AC302" s="7"/>
      <c r="AD302" s="36"/>
      <c r="AE302" s="36"/>
    </row>
    <row r="303">
      <c r="A303" s="294"/>
      <c r="B303" s="7"/>
      <c r="C303" s="7"/>
      <c r="D303" s="7"/>
      <c r="E303" s="7"/>
      <c r="F303" s="7"/>
      <c r="G303" s="7"/>
      <c r="H303" s="7"/>
      <c r="I303" s="7"/>
      <c r="J303" s="7"/>
      <c r="K303" s="7"/>
      <c r="L303" s="7"/>
      <c r="M303" s="7"/>
      <c r="N303" s="7"/>
      <c r="O303" s="7"/>
      <c r="P303" s="293"/>
      <c r="Q303" s="7"/>
      <c r="R303" s="7"/>
      <c r="S303" s="279"/>
      <c r="T303" s="36"/>
      <c r="U303" s="7"/>
      <c r="V303" s="7"/>
      <c r="W303" s="7"/>
      <c r="X303" s="7"/>
      <c r="Y303" s="7"/>
      <c r="Z303" s="7"/>
      <c r="AA303" s="7"/>
      <c r="AB303" s="7"/>
      <c r="AC303" s="7"/>
      <c r="AD303" s="36"/>
      <c r="AE303" s="36"/>
    </row>
    <row r="304">
      <c r="A304" s="294"/>
      <c r="B304" s="7"/>
      <c r="C304" s="7"/>
      <c r="D304" s="7"/>
      <c r="E304" s="7"/>
      <c r="F304" s="7"/>
      <c r="G304" s="7"/>
      <c r="H304" s="7"/>
      <c r="I304" s="7"/>
      <c r="J304" s="7"/>
      <c r="K304" s="7"/>
      <c r="L304" s="7"/>
      <c r="M304" s="7"/>
      <c r="N304" s="7"/>
      <c r="O304" s="7"/>
      <c r="P304" s="293"/>
      <c r="Q304" s="7"/>
      <c r="R304" s="7"/>
      <c r="S304" s="279"/>
      <c r="T304" s="36"/>
      <c r="U304" s="7"/>
      <c r="V304" s="7"/>
      <c r="W304" s="7"/>
      <c r="X304" s="7"/>
      <c r="Y304" s="7"/>
      <c r="Z304" s="7"/>
      <c r="AA304" s="7"/>
      <c r="AB304" s="7"/>
      <c r="AC304" s="7"/>
      <c r="AD304" s="36"/>
      <c r="AE304" s="36"/>
    </row>
    <row r="305">
      <c r="A305" s="294"/>
      <c r="B305" s="7"/>
      <c r="C305" s="7"/>
      <c r="D305" s="7"/>
      <c r="E305" s="7"/>
      <c r="F305" s="7"/>
      <c r="G305" s="7"/>
      <c r="H305" s="7"/>
      <c r="I305" s="7"/>
      <c r="J305" s="7"/>
      <c r="K305" s="7"/>
      <c r="L305" s="7"/>
      <c r="M305" s="7"/>
      <c r="N305" s="7"/>
      <c r="O305" s="7"/>
      <c r="P305" s="293"/>
      <c r="Q305" s="7"/>
      <c r="R305" s="7"/>
      <c r="S305" s="279"/>
      <c r="T305" s="36"/>
      <c r="U305" s="7"/>
      <c r="V305" s="7"/>
      <c r="W305" s="7"/>
      <c r="X305" s="7"/>
      <c r="Y305" s="7"/>
      <c r="Z305" s="7"/>
      <c r="AA305" s="7"/>
      <c r="AB305" s="7"/>
      <c r="AC305" s="7"/>
      <c r="AD305" s="36"/>
      <c r="AE305" s="36"/>
    </row>
    <row r="306">
      <c r="A306" s="294"/>
      <c r="B306" s="7"/>
      <c r="C306" s="7"/>
      <c r="D306" s="7"/>
      <c r="E306" s="7"/>
      <c r="F306" s="7"/>
      <c r="G306" s="7"/>
      <c r="H306" s="7"/>
      <c r="I306" s="7"/>
      <c r="J306" s="7"/>
      <c r="K306" s="7"/>
      <c r="L306" s="7"/>
      <c r="M306" s="7"/>
      <c r="N306" s="7"/>
      <c r="O306" s="7"/>
      <c r="P306" s="293"/>
      <c r="Q306" s="7"/>
      <c r="R306" s="7"/>
      <c r="S306" s="279"/>
      <c r="T306" s="36"/>
      <c r="U306" s="7"/>
      <c r="V306" s="7"/>
      <c r="W306" s="7"/>
      <c r="X306" s="7"/>
      <c r="Y306" s="7"/>
      <c r="Z306" s="7"/>
      <c r="AA306" s="7"/>
      <c r="AB306" s="7"/>
      <c r="AC306" s="7"/>
      <c r="AD306" s="36"/>
      <c r="AE306" s="36"/>
    </row>
    <row r="307">
      <c r="A307" s="294"/>
      <c r="B307" s="7"/>
      <c r="C307" s="7"/>
      <c r="D307" s="7"/>
      <c r="E307" s="7"/>
      <c r="F307" s="7"/>
      <c r="G307" s="7"/>
      <c r="H307" s="7"/>
      <c r="I307" s="7"/>
      <c r="J307" s="7"/>
      <c r="K307" s="7"/>
      <c r="L307" s="7"/>
      <c r="M307" s="7"/>
      <c r="N307" s="7"/>
      <c r="O307" s="7"/>
      <c r="P307" s="293"/>
      <c r="Q307" s="7"/>
      <c r="R307" s="7"/>
      <c r="S307" s="279"/>
      <c r="T307" s="36"/>
      <c r="U307" s="7"/>
      <c r="V307" s="7"/>
      <c r="W307" s="7"/>
      <c r="X307" s="7"/>
      <c r="Y307" s="7"/>
      <c r="Z307" s="7"/>
      <c r="AA307" s="7"/>
      <c r="AB307" s="7"/>
      <c r="AC307" s="7"/>
      <c r="AD307" s="36"/>
      <c r="AE307" s="36"/>
    </row>
    <row r="308">
      <c r="A308" s="294"/>
      <c r="B308" s="7"/>
      <c r="C308" s="7"/>
      <c r="D308" s="7"/>
      <c r="E308" s="7"/>
      <c r="F308" s="7"/>
      <c r="G308" s="7"/>
      <c r="H308" s="7"/>
      <c r="I308" s="7"/>
      <c r="J308" s="7"/>
      <c r="K308" s="7"/>
      <c r="L308" s="7"/>
      <c r="M308" s="7"/>
      <c r="N308" s="7"/>
      <c r="O308" s="7"/>
      <c r="P308" s="293"/>
      <c r="Q308" s="7"/>
      <c r="R308" s="7"/>
      <c r="S308" s="279"/>
      <c r="T308" s="36"/>
      <c r="U308" s="7"/>
      <c r="V308" s="7"/>
      <c r="W308" s="7"/>
      <c r="X308" s="7"/>
      <c r="Y308" s="7"/>
      <c r="Z308" s="7"/>
      <c r="AA308" s="7"/>
      <c r="AB308" s="7"/>
      <c r="AC308" s="7"/>
      <c r="AD308" s="36"/>
      <c r="AE308" s="36"/>
    </row>
    <row r="309">
      <c r="A309" s="294"/>
      <c r="B309" s="7"/>
      <c r="C309" s="7"/>
      <c r="D309" s="7"/>
      <c r="E309" s="7"/>
      <c r="F309" s="7"/>
      <c r="G309" s="7"/>
      <c r="H309" s="7"/>
      <c r="I309" s="7"/>
      <c r="J309" s="7"/>
      <c r="K309" s="7"/>
      <c r="L309" s="7"/>
      <c r="M309" s="7"/>
      <c r="N309" s="7"/>
      <c r="O309" s="7"/>
      <c r="P309" s="293"/>
      <c r="Q309" s="7"/>
      <c r="R309" s="7"/>
      <c r="S309" s="279"/>
      <c r="T309" s="36"/>
      <c r="U309" s="7"/>
      <c r="V309" s="7"/>
      <c r="W309" s="7"/>
      <c r="X309" s="7"/>
      <c r="Y309" s="7"/>
      <c r="Z309" s="7"/>
      <c r="AA309" s="7"/>
      <c r="AB309" s="7"/>
      <c r="AC309" s="7"/>
      <c r="AD309" s="36"/>
      <c r="AE309" s="36"/>
    </row>
    <row r="310">
      <c r="A310" s="294"/>
      <c r="B310" s="7"/>
      <c r="C310" s="7"/>
      <c r="D310" s="7"/>
      <c r="E310" s="7"/>
      <c r="F310" s="7"/>
      <c r="G310" s="7"/>
      <c r="H310" s="7"/>
      <c r="I310" s="7"/>
      <c r="J310" s="7"/>
      <c r="K310" s="7"/>
      <c r="L310" s="7"/>
      <c r="M310" s="7"/>
      <c r="N310" s="7"/>
      <c r="O310" s="7"/>
      <c r="P310" s="293"/>
      <c r="Q310" s="7"/>
      <c r="R310" s="7"/>
      <c r="S310" s="279"/>
      <c r="T310" s="36"/>
      <c r="U310" s="7"/>
      <c r="V310" s="7"/>
      <c r="W310" s="7"/>
      <c r="X310" s="7"/>
      <c r="Y310" s="7"/>
      <c r="Z310" s="7"/>
      <c r="AA310" s="7"/>
      <c r="AB310" s="7"/>
      <c r="AC310" s="7"/>
      <c r="AD310" s="36"/>
      <c r="AE310" s="36"/>
    </row>
    <row r="311">
      <c r="A311" s="294"/>
      <c r="B311" s="7"/>
      <c r="C311" s="7"/>
      <c r="D311" s="7"/>
      <c r="E311" s="7"/>
      <c r="F311" s="7"/>
      <c r="G311" s="7"/>
      <c r="H311" s="7"/>
      <c r="I311" s="7"/>
      <c r="J311" s="7"/>
      <c r="K311" s="7"/>
      <c r="L311" s="7"/>
      <c r="M311" s="7"/>
      <c r="N311" s="7"/>
      <c r="O311" s="7"/>
      <c r="P311" s="293"/>
      <c r="Q311" s="7"/>
      <c r="R311" s="7"/>
      <c r="S311" s="279"/>
      <c r="T311" s="36"/>
      <c r="U311" s="7"/>
      <c r="V311" s="7"/>
      <c r="W311" s="7"/>
      <c r="X311" s="7"/>
      <c r="Y311" s="7"/>
      <c r="Z311" s="7"/>
      <c r="AA311" s="7"/>
      <c r="AB311" s="7"/>
      <c r="AC311" s="7"/>
      <c r="AD311" s="36"/>
      <c r="AE311" s="36"/>
    </row>
    <row r="312">
      <c r="A312" s="294"/>
      <c r="B312" s="7"/>
      <c r="C312" s="7"/>
      <c r="D312" s="7"/>
      <c r="E312" s="7"/>
      <c r="F312" s="7"/>
      <c r="G312" s="7"/>
      <c r="H312" s="7"/>
      <c r="I312" s="7"/>
      <c r="J312" s="7"/>
      <c r="K312" s="7"/>
      <c r="L312" s="7"/>
      <c r="M312" s="7"/>
      <c r="N312" s="7"/>
      <c r="O312" s="7"/>
      <c r="P312" s="293"/>
      <c r="Q312" s="7"/>
      <c r="R312" s="7"/>
      <c r="S312" s="279"/>
      <c r="T312" s="36"/>
      <c r="U312" s="7"/>
      <c r="V312" s="7"/>
      <c r="W312" s="7"/>
      <c r="X312" s="7"/>
      <c r="Y312" s="7"/>
      <c r="Z312" s="7"/>
      <c r="AA312" s="7"/>
      <c r="AB312" s="7"/>
      <c r="AC312" s="7"/>
      <c r="AD312" s="36"/>
      <c r="AE312" s="36"/>
    </row>
    <row r="313">
      <c r="A313" s="294"/>
      <c r="B313" s="7"/>
      <c r="C313" s="7"/>
      <c r="D313" s="7"/>
      <c r="E313" s="7"/>
      <c r="F313" s="7"/>
      <c r="G313" s="7"/>
      <c r="H313" s="7"/>
      <c r="I313" s="7"/>
      <c r="J313" s="7"/>
      <c r="K313" s="7"/>
      <c r="L313" s="7"/>
      <c r="M313" s="7"/>
      <c r="N313" s="7"/>
      <c r="O313" s="7"/>
      <c r="P313" s="293"/>
      <c r="Q313" s="7"/>
      <c r="R313" s="7"/>
      <c r="S313" s="279"/>
      <c r="T313" s="36"/>
      <c r="U313" s="7"/>
      <c r="V313" s="7"/>
      <c r="W313" s="7"/>
      <c r="X313" s="7"/>
      <c r="Y313" s="7"/>
      <c r="Z313" s="7"/>
      <c r="AA313" s="7"/>
      <c r="AB313" s="7"/>
      <c r="AC313" s="7"/>
      <c r="AD313" s="36"/>
      <c r="AE313" s="36"/>
    </row>
    <row r="314">
      <c r="A314" s="294"/>
      <c r="B314" s="7"/>
      <c r="C314" s="7"/>
      <c r="D314" s="7"/>
      <c r="E314" s="7"/>
      <c r="F314" s="7"/>
      <c r="G314" s="7"/>
      <c r="H314" s="7"/>
      <c r="I314" s="7"/>
      <c r="J314" s="7"/>
      <c r="K314" s="7"/>
      <c r="L314" s="7"/>
      <c r="M314" s="7"/>
      <c r="N314" s="7"/>
      <c r="O314" s="7"/>
      <c r="P314" s="293"/>
      <c r="Q314" s="7"/>
      <c r="R314" s="7"/>
      <c r="S314" s="279"/>
      <c r="T314" s="36"/>
      <c r="U314" s="7"/>
      <c r="V314" s="7"/>
      <c r="W314" s="7"/>
      <c r="X314" s="7"/>
      <c r="Y314" s="7"/>
      <c r="Z314" s="7"/>
      <c r="AA314" s="7"/>
      <c r="AB314" s="7"/>
      <c r="AC314" s="7"/>
      <c r="AD314" s="36"/>
      <c r="AE314" s="36"/>
    </row>
    <row r="315">
      <c r="A315" s="294"/>
      <c r="B315" s="7"/>
      <c r="C315" s="7"/>
      <c r="D315" s="7"/>
      <c r="E315" s="7"/>
      <c r="F315" s="7"/>
      <c r="G315" s="7"/>
      <c r="H315" s="7"/>
      <c r="I315" s="7"/>
      <c r="J315" s="7"/>
      <c r="K315" s="7"/>
      <c r="L315" s="7"/>
      <c r="M315" s="7"/>
      <c r="N315" s="7"/>
      <c r="O315" s="7"/>
      <c r="P315" s="293"/>
      <c r="Q315" s="7"/>
      <c r="R315" s="7"/>
      <c r="S315" s="279"/>
      <c r="T315" s="36"/>
      <c r="U315" s="7"/>
      <c r="V315" s="7"/>
      <c r="W315" s="7"/>
      <c r="X315" s="7"/>
      <c r="Y315" s="7"/>
      <c r="Z315" s="7"/>
      <c r="AA315" s="7"/>
      <c r="AB315" s="7"/>
      <c r="AC315" s="7"/>
      <c r="AD315" s="36"/>
      <c r="AE315" s="36"/>
    </row>
    <row r="316">
      <c r="A316" s="294"/>
      <c r="B316" s="7"/>
      <c r="C316" s="7"/>
      <c r="D316" s="7"/>
      <c r="E316" s="7"/>
      <c r="F316" s="7"/>
      <c r="G316" s="7"/>
      <c r="H316" s="7"/>
      <c r="I316" s="7"/>
      <c r="J316" s="7"/>
      <c r="K316" s="7"/>
      <c r="L316" s="7"/>
      <c r="M316" s="7"/>
      <c r="N316" s="7"/>
      <c r="O316" s="7"/>
      <c r="P316" s="293"/>
      <c r="Q316" s="7"/>
      <c r="R316" s="7"/>
      <c r="S316" s="279"/>
      <c r="T316" s="36"/>
      <c r="U316" s="7"/>
      <c r="V316" s="7"/>
      <c r="W316" s="7"/>
      <c r="X316" s="7"/>
      <c r="Y316" s="7"/>
      <c r="Z316" s="7"/>
      <c r="AA316" s="7"/>
      <c r="AB316" s="7"/>
      <c r="AC316" s="7"/>
      <c r="AD316" s="36"/>
      <c r="AE316" s="36"/>
    </row>
    <row r="317">
      <c r="A317" s="294"/>
      <c r="B317" s="7"/>
      <c r="C317" s="7"/>
      <c r="D317" s="7"/>
      <c r="E317" s="7"/>
      <c r="F317" s="7"/>
      <c r="G317" s="7"/>
      <c r="H317" s="7"/>
      <c r="I317" s="7"/>
      <c r="J317" s="7"/>
      <c r="K317" s="7"/>
      <c r="L317" s="7"/>
      <c r="M317" s="7"/>
      <c r="N317" s="7"/>
      <c r="O317" s="7"/>
      <c r="P317" s="293"/>
      <c r="Q317" s="7"/>
      <c r="R317" s="7"/>
      <c r="S317" s="279"/>
      <c r="T317" s="36"/>
      <c r="U317" s="7"/>
      <c r="V317" s="7"/>
      <c r="W317" s="7"/>
      <c r="X317" s="7"/>
      <c r="Y317" s="7"/>
      <c r="Z317" s="7"/>
      <c r="AA317" s="7"/>
      <c r="AB317" s="7"/>
      <c r="AC317" s="7"/>
      <c r="AD317" s="36"/>
      <c r="AE317" s="36"/>
    </row>
    <row r="318">
      <c r="A318" s="294"/>
      <c r="B318" s="7"/>
      <c r="C318" s="7"/>
      <c r="D318" s="7"/>
      <c r="E318" s="7"/>
      <c r="F318" s="7"/>
      <c r="G318" s="7"/>
      <c r="H318" s="7"/>
      <c r="I318" s="7"/>
      <c r="J318" s="7"/>
      <c r="K318" s="7"/>
      <c r="L318" s="7"/>
      <c r="M318" s="7"/>
      <c r="N318" s="7"/>
      <c r="O318" s="7"/>
      <c r="P318" s="293"/>
      <c r="Q318" s="7"/>
      <c r="R318" s="7"/>
      <c r="S318" s="279"/>
      <c r="T318" s="36"/>
      <c r="U318" s="7"/>
      <c r="V318" s="7"/>
      <c r="W318" s="7"/>
      <c r="X318" s="7"/>
      <c r="Y318" s="7"/>
      <c r="Z318" s="7"/>
      <c r="AA318" s="7"/>
      <c r="AB318" s="7"/>
      <c r="AC318" s="7"/>
      <c r="AD318" s="36"/>
      <c r="AE318" s="36"/>
    </row>
    <row r="319">
      <c r="A319" s="294"/>
      <c r="B319" s="7"/>
      <c r="C319" s="7"/>
      <c r="D319" s="7"/>
      <c r="E319" s="7"/>
      <c r="F319" s="7"/>
      <c r="G319" s="7"/>
      <c r="H319" s="7"/>
      <c r="I319" s="7"/>
      <c r="J319" s="7"/>
      <c r="K319" s="7"/>
      <c r="L319" s="7"/>
      <c r="M319" s="7"/>
      <c r="N319" s="7"/>
      <c r="O319" s="7"/>
      <c r="P319" s="293"/>
      <c r="Q319" s="7"/>
      <c r="R319" s="7"/>
      <c r="S319" s="279"/>
      <c r="T319" s="36"/>
      <c r="U319" s="7"/>
      <c r="V319" s="7"/>
      <c r="W319" s="7"/>
      <c r="X319" s="7"/>
      <c r="Y319" s="7"/>
      <c r="Z319" s="7"/>
      <c r="AA319" s="7"/>
      <c r="AB319" s="7"/>
      <c r="AC319" s="7"/>
      <c r="AD319" s="36"/>
      <c r="AE319" s="36"/>
    </row>
    <row r="320">
      <c r="A320" s="294"/>
      <c r="B320" s="7"/>
      <c r="C320" s="7"/>
      <c r="D320" s="7"/>
      <c r="E320" s="7"/>
      <c r="F320" s="7"/>
      <c r="G320" s="7"/>
      <c r="H320" s="7"/>
      <c r="I320" s="7"/>
      <c r="J320" s="7"/>
      <c r="K320" s="7"/>
      <c r="L320" s="7"/>
      <c r="M320" s="7"/>
      <c r="N320" s="7"/>
      <c r="O320" s="7"/>
      <c r="P320" s="293"/>
      <c r="Q320" s="7"/>
      <c r="R320" s="7"/>
      <c r="S320" s="279"/>
      <c r="T320" s="36"/>
      <c r="U320" s="7"/>
      <c r="V320" s="7"/>
      <c r="W320" s="7"/>
      <c r="X320" s="7"/>
      <c r="Y320" s="7"/>
      <c r="Z320" s="7"/>
      <c r="AA320" s="7"/>
      <c r="AB320" s="7"/>
      <c r="AC320" s="7"/>
      <c r="AD320" s="36"/>
      <c r="AE320" s="36"/>
    </row>
    <row r="321">
      <c r="A321" s="294"/>
      <c r="B321" s="7"/>
      <c r="C321" s="7"/>
      <c r="D321" s="7"/>
      <c r="E321" s="7"/>
      <c r="F321" s="7"/>
      <c r="G321" s="7"/>
      <c r="H321" s="7"/>
      <c r="I321" s="7"/>
      <c r="J321" s="7"/>
      <c r="K321" s="7"/>
      <c r="L321" s="7"/>
      <c r="M321" s="7"/>
      <c r="N321" s="7"/>
      <c r="O321" s="7"/>
      <c r="P321" s="293"/>
      <c r="Q321" s="7"/>
      <c r="R321" s="7"/>
      <c r="S321" s="279"/>
      <c r="T321" s="36"/>
      <c r="U321" s="7"/>
      <c r="V321" s="7"/>
      <c r="W321" s="7"/>
      <c r="X321" s="7"/>
      <c r="Y321" s="7"/>
      <c r="Z321" s="7"/>
      <c r="AA321" s="7"/>
      <c r="AB321" s="7"/>
      <c r="AC321" s="7"/>
      <c r="AD321" s="36"/>
      <c r="AE321" s="36"/>
    </row>
    <row r="322">
      <c r="A322" s="294"/>
      <c r="B322" s="7"/>
      <c r="C322" s="7"/>
      <c r="D322" s="7"/>
      <c r="E322" s="7"/>
      <c r="F322" s="7"/>
      <c r="G322" s="7"/>
      <c r="H322" s="7"/>
      <c r="I322" s="7"/>
      <c r="J322" s="7"/>
      <c r="K322" s="7"/>
      <c r="L322" s="7"/>
      <c r="M322" s="7"/>
      <c r="N322" s="7"/>
      <c r="O322" s="7"/>
      <c r="P322" s="293"/>
      <c r="Q322" s="7"/>
      <c r="R322" s="7"/>
      <c r="S322" s="279"/>
      <c r="T322" s="36"/>
      <c r="U322" s="7"/>
      <c r="V322" s="7"/>
      <c r="W322" s="7"/>
      <c r="X322" s="7"/>
      <c r="Y322" s="7"/>
      <c r="Z322" s="7"/>
      <c r="AA322" s="7"/>
      <c r="AB322" s="7"/>
      <c r="AC322" s="7"/>
      <c r="AD322" s="36"/>
      <c r="AE322" s="36"/>
    </row>
    <row r="323">
      <c r="A323" s="294"/>
      <c r="B323" s="7"/>
      <c r="C323" s="7"/>
      <c r="D323" s="7"/>
      <c r="E323" s="7"/>
      <c r="F323" s="7"/>
      <c r="G323" s="7"/>
      <c r="H323" s="7"/>
      <c r="I323" s="7"/>
      <c r="J323" s="7"/>
      <c r="K323" s="7"/>
      <c r="L323" s="7"/>
      <c r="M323" s="7"/>
      <c r="N323" s="7"/>
      <c r="O323" s="7"/>
      <c r="P323" s="293"/>
      <c r="Q323" s="7"/>
      <c r="R323" s="7"/>
      <c r="S323" s="279"/>
      <c r="T323" s="36"/>
      <c r="U323" s="7"/>
      <c r="V323" s="7"/>
      <c r="W323" s="7"/>
      <c r="X323" s="7"/>
      <c r="Y323" s="7"/>
      <c r="Z323" s="7"/>
      <c r="AA323" s="7"/>
      <c r="AB323" s="7"/>
      <c r="AC323" s="7"/>
      <c r="AD323" s="36"/>
      <c r="AE323" s="36"/>
    </row>
    <row r="324">
      <c r="A324" s="294"/>
      <c r="B324" s="7"/>
      <c r="C324" s="7"/>
      <c r="D324" s="7"/>
      <c r="E324" s="7"/>
      <c r="F324" s="7"/>
      <c r="G324" s="7"/>
      <c r="H324" s="7"/>
      <c r="I324" s="7"/>
      <c r="J324" s="7"/>
      <c r="K324" s="7"/>
      <c r="L324" s="7"/>
      <c r="M324" s="7"/>
      <c r="N324" s="7"/>
      <c r="O324" s="7"/>
      <c r="P324" s="293"/>
      <c r="Q324" s="7"/>
      <c r="R324" s="7"/>
      <c r="S324" s="279"/>
      <c r="T324" s="36"/>
      <c r="U324" s="7"/>
      <c r="V324" s="7"/>
      <c r="W324" s="7"/>
      <c r="X324" s="7"/>
      <c r="Y324" s="7"/>
      <c r="Z324" s="7"/>
      <c r="AA324" s="7"/>
      <c r="AB324" s="7"/>
      <c r="AC324" s="7"/>
      <c r="AD324" s="36"/>
      <c r="AE324" s="36"/>
    </row>
    <row r="325">
      <c r="A325" s="294"/>
      <c r="B325" s="7"/>
      <c r="C325" s="7"/>
      <c r="D325" s="7"/>
      <c r="E325" s="7"/>
      <c r="F325" s="7"/>
      <c r="G325" s="7"/>
      <c r="H325" s="7"/>
      <c r="I325" s="7"/>
      <c r="J325" s="7"/>
      <c r="K325" s="7"/>
      <c r="L325" s="7"/>
      <c r="M325" s="7"/>
      <c r="N325" s="7"/>
      <c r="O325" s="7"/>
      <c r="P325" s="293"/>
      <c r="Q325" s="7"/>
      <c r="R325" s="7"/>
      <c r="S325" s="279"/>
      <c r="T325" s="36"/>
      <c r="U325" s="7"/>
      <c r="V325" s="7"/>
      <c r="W325" s="7"/>
      <c r="X325" s="7"/>
      <c r="Y325" s="7"/>
      <c r="Z325" s="7"/>
      <c r="AA325" s="7"/>
      <c r="AB325" s="7"/>
      <c r="AC325" s="7"/>
      <c r="AD325" s="36"/>
      <c r="AE325" s="36"/>
    </row>
    <row r="326">
      <c r="A326" s="294"/>
      <c r="B326" s="7"/>
      <c r="C326" s="7"/>
      <c r="D326" s="7"/>
      <c r="E326" s="7"/>
      <c r="F326" s="7"/>
      <c r="G326" s="7"/>
      <c r="H326" s="7"/>
      <c r="I326" s="7"/>
      <c r="J326" s="7"/>
      <c r="K326" s="7"/>
      <c r="L326" s="7"/>
      <c r="M326" s="7"/>
      <c r="N326" s="7"/>
      <c r="O326" s="7"/>
      <c r="P326" s="293"/>
      <c r="Q326" s="7"/>
      <c r="R326" s="7"/>
      <c r="S326" s="279"/>
      <c r="T326" s="36"/>
      <c r="U326" s="7"/>
      <c r="V326" s="7"/>
      <c r="W326" s="7"/>
      <c r="X326" s="7"/>
      <c r="Y326" s="7"/>
      <c r="Z326" s="7"/>
      <c r="AA326" s="7"/>
      <c r="AB326" s="7"/>
      <c r="AC326" s="7"/>
      <c r="AD326" s="36"/>
      <c r="AE326" s="36"/>
    </row>
    <row r="327">
      <c r="A327" s="294"/>
      <c r="B327" s="7"/>
      <c r="C327" s="7"/>
      <c r="D327" s="7"/>
      <c r="E327" s="7"/>
      <c r="F327" s="7"/>
      <c r="G327" s="7"/>
      <c r="H327" s="7"/>
      <c r="I327" s="7"/>
      <c r="J327" s="7"/>
      <c r="K327" s="7"/>
      <c r="L327" s="7"/>
      <c r="M327" s="7"/>
      <c r="N327" s="7"/>
      <c r="O327" s="7"/>
      <c r="P327" s="293"/>
      <c r="Q327" s="7"/>
      <c r="R327" s="7"/>
      <c r="S327" s="279"/>
      <c r="T327" s="36"/>
      <c r="U327" s="7"/>
      <c r="V327" s="7"/>
      <c r="W327" s="7"/>
      <c r="X327" s="7"/>
      <c r="Y327" s="7"/>
      <c r="Z327" s="7"/>
      <c r="AA327" s="7"/>
      <c r="AB327" s="7"/>
      <c r="AC327" s="7"/>
      <c r="AD327" s="36"/>
      <c r="AE327" s="36"/>
    </row>
    <row r="328">
      <c r="A328" s="294"/>
      <c r="B328" s="7"/>
      <c r="C328" s="7"/>
      <c r="D328" s="7"/>
      <c r="E328" s="7"/>
      <c r="F328" s="7"/>
      <c r="G328" s="7"/>
      <c r="H328" s="7"/>
      <c r="I328" s="7"/>
      <c r="J328" s="7"/>
      <c r="K328" s="7"/>
      <c r="L328" s="7"/>
      <c r="M328" s="7"/>
      <c r="N328" s="7"/>
      <c r="O328" s="7"/>
      <c r="P328" s="293"/>
      <c r="Q328" s="7"/>
      <c r="R328" s="7"/>
      <c r="S328" s="279"/>
      <c r="T328" s="36"/>
      <c r="U328" s="7"/>
      <c r="V328" s="7"/>
      <c r="W328" s="7"/>
      <c r="X328" s="7"/>
      <c r="Y328" s="7"/>
      <c r="Z328" s="7"/>
      <c r="AA328" s="7"/>
      <c r="AB328" s="7"/>
      <c r="AC328" s="7"/>
      <c r="AD328" s="36"/>
      <c r="AE328" s="36"/>
    </row>
    <row r="329">
      <c r="A329" s="294"/>
      <c r="B329" s="7"/>
      <c r="C329" s="7"/>
      <c r="D329" s="7"/>
      <c r="E329" s="7"/>
      <c r="F329" s="7"/>
      <c r="G329" s="7"/>
      <c r="H329" s="7"/>
      <c r="I329" s="7"/>
      <c r="J329" s="7"/>
      <c r="K329" s="7"/>
      <c r="L329" s="7"/>
      <c r="M329" s="7"/>
      <c r="N329" s="7"/>
      <c r="O329" s="7"/>
      <c r="P329" s="293"/>
      <c r="Q329" s="7"/>
      <c r="R329" s="7"/>
      <c r="S329" s="279"/>
      <c r="T329" s="36"/>
      <c r="U329" s="7"/>
      <c r="V329" s="7"/>
      <c r="W329" s="7"/>
      <c r="X329" s="7"/>
      <c r="Y329" s="7"/>
      <c r="Z329" s="7"/>
      <c r="AA329" s="7"/>
      <c r="AB329" s="7"/>
      <c r="AC329" s="7"/>
      <c r="AD329" s="36"/>
      <c r="AE329" s="36"/>
    </row>
    <row r="330">
      <c r="A330" s="294"/>
      <c r="B330" s="7"/>
      <c r="C330" s="7"/>
      <c r="D330" s="7"/>
      <c r="E330" s="7"/>
      <c r="F330" s="7"/>
      <c r="G330" s="7"/>
      <c r="H330" s="7"/>
      <c r="I330" s="7"/>
      <c r="J330" s="7"/>
      <c r="K330" s="7"/>
      <c r="L330" s="7"/>
      <c r="M330" s="7"/>
      <c r="N330" s="7"/>
      <c r="O330" s="7"/>
      <c r="P330" s="293"/>
      <c r="Q330" s="7"/>
      <c r="R330" s="7"/>
      <c r="S330" s="279"/>
      <c r="T330" s="36"/>
      <c r="U330" s="7"/>
      <c r="V330" s="7"/>
      <c r="W330" s="7"/>
      <c r="X330" s="7"/>
      <c r="Y330" s="7"/>
      <c r="Z330" s="7"/>
      <c r="AA330" s="7"/>
      <c r="AB330" s="7"/>
      <c r="AC330" s="7"/>
      <c r="AD330" s="36"/>
      <c r="AE330" s="36"/>
    </row>
    <row r="331">
      <c r="A331" s="294"/>
      <c r="B331" s="7"/>
      <c r="C331" s="7"/>
      <c r="D331" s="7"/>
      <c r="E331" s="7"/>
      <c r="F331" s="7"/>
      <c r="G331" s="7"/>
      <c r="H331" s="7"/>
      <c r="I331" s="7"/>
      <c r="J331" s="7"/>
      <c r="K331" s="7"/>
      <c r="L331" s="7"/>
      <c r="M331" s="7"/>
      <c r="N331" s="7"/>
      <c r="O331" s="7"/>
      <c r="P331" s="293"/>
      <c r="Q331" s="7"/>
      <c r="R331" s="7"/>
      <c r="S331" s="279"/>
      <c r="T331" s="36"/>
      <c r="U331" s="7"/>
      <c r="V331" s="7"/>
      <c r="W331" s="7"/>
      <c r="X331" s="7"/>
      <c r="Y331" s="7"/>
      <c r="Z331" s="7"/>
      <c r="AA331" s="7"/>
      <c r="AB331" s="7"/>
      <c r="AC331" s="7"/>
      <c r="AD331" s="36"/>
      <c r="AE331" s="36"/>
    </row>
    <row r="332">
      <c r="A332" s="294"/>
      <c r="B332" s="7"/>
      <c r="C332" s="7"/>
      <c r="D332" s="7"/>
      <c r="E332" s="7"/>
      <c r="F332" s="7"/>
      <c r="G332" s="7"/>
      <c r="H332" s="7"/>
      <c r="I332" s="7"/>
      <c r="J332" s="7"/>
      <c r="K332" s="7"/>
      <c r="L332" s="7"/>
      <c r="M332" s="7"/>
      <c r="N332" s="7"/>
      <c r="O332" s="7"/>
      <c r="P332" s="293"/>
      <c r="Q332" s="7"/>
      <c r="R332" s="7"/>
      <c r="S332" s="279"/>
      <c r="T332" s="36"/>
      <c r="U332" s="7"/>
      <c r="V332" s="7"/>
      <c r="W332" s="7"/>
      <c r="X332" s="7"/>
      <c r="Y332" s="7"/>
      <c r="Z332" s="7"/>
      <c r="AA332" s="7"/>
      <c r="AB332" s="7"/>
      <c r="AC332" s="7"/>
      <c r="AD332" s="36"/>
      <c r="AE332" s="36"/>
    </row>
    <row r="333">
      <c r="A333" s="294"/>
      <c r="B333" s="7"/>
      <c r="C333" s="7"/>
      <c r="D333" s="7"/>
      <c r="E333" s="7"/>
      <c r="F333" s="7"/>
      <c r="G333" s="7"/>
      <c r="H333" s="7"/>
      <c r="I333" s="7"/>
      <c r="J333" s="7"/>
      <c r="K333" s="7"/>
      <c r="L333" s="7"/>
      <c r="M333" s="7"/>
      <c r="N333" s="7"/>
      <c r="O333" s="7"/>
      <c r="P333" s="293"/>
      <c r="Q333" s="7"/>
      <c r="R333" s="7"/>
      <c r="S333" s="279"/>
      <c r="T333" s="36"/>
      <c r="U333" s="7"/>
      <c r="V333" s="7"/>
      <c r="W333" s="7"/>
      <c r="X333" s="7"/>
      <c r="Y333" s="7"/>
      <c r="Z333" s="7"/>
      <c r="AA333" s="7"/>
      <c r="AB333" s="7"/>
      <c r="AC333" s="7"/>
      <c r="AD333" s="36"/>
      <c r="AE333" s="36"/>
    </row>
    <row r="334">
      <c r="A334" s="294"/>
      <c r="B334" s="7"/>
      <c r="C334" s="7"/>
      <c r="D334" s="7"/>
      <c r="E334" s="7"/>
      <c r="F334" s="7"/>
      <c r="G334" s="7"/>
      <c r="H334" s="7"/>
      <c r="I334" s="7"/>
      <c r="J334" s="7"/>
      <c r="K334" s="7"/>
      <c r="L334" s="7"/>
      <c r="M334" s="7"/>
      <c r="N334" s="7"/>
      <c r="O334" s="7"/>
      <c r="P334" s="293"/>
      <c r="Q334" s="7"/>
      <c r="R334" s="7"/>
      <c r="S334" s="279"/>
      <c r="T334" s="36"/>
      <c r="U334" s="7"/>
      <c r="V334" s="7"/>
      <c r="W334" s="7"/>
      <c r="X334" s="7"/>
      <c r="Y334" s="7"/>
      <c r="Z334" s="7"/>
      <c r="AA334" s="7"/>
      <c r="AB334" s="7"/>
      <c r="AC334" s="7"/>
      <c r="AD334" s="36"/>
      <c r="AE334" s="36"/>
    </row>
    <row r="335">
      <c r="A335" s="294"/>
      <c r="B335" s="7"/>
      <c r="C335" s="7"/>
      <c r="D335" s="7"/>
      <c r="E335" s="7"/>
      <c r="F335" s="7"/>
      <c r="G335" s="7"/>
      <c r="H335" s="7"/>
      <c r="I335" s="7"/>
      <c r="J335" s="7"/>
      <c r="K335" s="7"/>
      <c r="L335" s="7"/>
      <c r="M335" s="7"/>
      <c r="N335" s="7"/>
      <c r="O335" s="7"/>
      <c r="P335" s="293"/>
      <c r="Q335" s="7"/>
      <c r="R335" s="7"/>
      <c r="S335" s="279"/>
      <c r="T335" s="36"/>
      <c r="U335" s="7"/>
      <c r="V335" s="7"/>
      <c r="W335" s="7"/>
      <c r="X335" s="7"/>
      <c r="Y335" s="7"/>
      <c r="Z335" s="7"/>
      <c r="AA335" s="7"/>
      <c r="AB335" s="7"/>
      <c r="AC335" s="7"/>
      <c r="AD335" s="36"/>
      <c r="AE335" s="36"/>
    </row>
    <row r="336">
      <c r="A336" s="294"/>
      <c r="B336" s="7"/>
      <c r="C336" s="7"/>
      <c r="D336" s="7"/>
      <c r="E336" s="7"/>
      <c r="F336" s="7"/>
      <c r="G336" s="7"/>
      <c r="H336" s="7"/>
      <c r="I336" s="7"/>
      <c r="J336" s="7"/>
      <c r="K336" s="7"/>
      <c r="L336" s="7"/>
      <c r="M336" s="7"/>
      <c r="N336" s="7"/>
      <c r="O336" s="7"/>
      <c r="P336" s="293"/>
      <c r="Q336" s="7"/>
      <c r="R336" s="7"/>
      <c r="S336" s="279"/>
      <c r="T336" s="36"/>
      <c r="U336" s="7"/>
      <c r="V336" s="7"/>
      <c r="W336" s="7"/>
      <c r="X336" s="7"/>
      <c r="Y336" s="7"/>
      <c r="Z336" s="7"/>
      <c r="AA336" s="7"/>
      <c r="AB336" s="7"/>
      <c r="AC336" s="7"/>
      <c r="AD336" s="36"/>
      <c r="AE336" s="36"/>
    </row>
    <row r="337">
      <c r="A337" s="294"/>
      <c r="B337" s="7"/>
      <c r="C337" s="7"/>
      <c r="D337" s="7"/>
      <c r="E337" s="7"/>
      <c r="F337" s="7"/>
      <c r="G337" s="7"/>
      <c r="H337" s="7"/>
      <c r="I337" s="7"/>
      <c r="J337" s="7"/>
      <c r="K337" s="7"/>
      <c r="L337" s="7"/>
      <c r="M337" s="7"/>
      <c r="N337" s="7"/>
      <c r="O337" s="7"/>
      <c r="P337" s="293"/>
      <c r="Q337" s="7"/>
      <c r="R337" s="7"/>
      <c r="S337" s="279"/>
      <c r="T337" s="36"/>
      <c r="U337" s="7"/>
      <c r="V337" s="7"/>
      <c r="W337" s="7"/>
      <c r="X337" s="7"/>
      <c r="Y337" s="7"/>
      <c r="Z337" s="7"/>
      <c r="AA337" s="7"/>
      <c r="AB337" s="7"/>
      <c r="AC337" s="7"/>
      <c r="AD337" s="36"/>
      <c r="AE337" s="36"/>
    </row>
    <row r="338">
      <c r="A338" s="294"/>
      <c r="B338" s="7"/>
      <c r="C338" s="7"/>
      <c r="D338" s="7"/>
      <c r="E338" s="7"/>
      <c r="F338" s="7"/>
      <c r="G338" s="7"/>
      <c r="H338" s="7"/>
      <c r="I338" s="7"/>
      <c r="J338" s="7"/>
      <c r="K338" s="7"/>
      <c r="L338" s="7"/>
      <c r="M338" s="7"/>
      <c r="N338" s="7"/>
      <c r="O338" s="7"/>
      <c r="P338" s="293"/>
      <c r="Q338" s="7"/>
      <c r="R338" s="7"/>
      <c r="S338" s="279"/>
      <c r="T338" s="36"/>
      <c r="U338" s="7"/>
      <c r="V338" s="7"/>
      <c r="W338" s="7"/>
      <c r="X338" s="7"/>
      <c r="Y338" s="7"/>
      <c r="Z338" s="7"/>
      <c r="AA338" s="7"/>
      <c r="AB338" s="7"/>
      <c r="AC338" s="7"/>
      <c r="AD338" s="36"/>
      <c r="AE338" s="36"/>
    </row>
    <row r="339">
      <c r="A339" s="294"/>
      <c r="B339" s="7"/>
      <c r="C339" s="7"/>
      <c r="D339" s="7"/>
      <c r="E339" s="7"/>
      <c r="F339" s="7"/>
      <c r="G339" s="7"/>
      <c r="H339" s="7"/>
      <c r="I339" s="7"/>
      <c r="J339" s="7"/>
      <c r="K339" s="7"/>
      <c r="L339" s="7"/>
      <c r="M339" s="7"/>
      <c r="N339" s="7"/>
      <c r="O339" s="7"/>
      <c r="P339" s="293"/>
      <c r="Q339" s="7"/>
      <c r="R339" s="7"/>
      <c r="S339" s="279"/>
      <c r="T339" s="36"/>
      <c r="U339" s="7"/>
      <c r="V339" s="7"/>
      <c r="W339" s="7"/>
      <c r="X339" s="7"/>
      <c r="Y339" s="7"/>
      <c r="Z339" s="7"/>
      <c r="AA339" s="7"/>
      <c r="AB339" s="7"/>
      <c r="AC339" s="7"/>
      <c r="AD339" s="36"/>
      <c r="AE339" s="36"/>
    </row>
    <row r="340">
      <c r="A340" s="294"/>
      <c r="B340" s="7"/>
      <c r="C340" s="7"/>
      <c r="D340" s="7"/>
      <c r="E340" s="7"/>
      <c r="F340" s="7"/>
      <c r="G340" s="7"/>
      <c r="H340" s="7"/>
      <c r="I340" s="7"/>
      <c r="J340" s="7"/>
      <c r="K340" s="7"/>
      <c r="L340" s="7"/>
      <c r="M340" s="7"/>
      <c r="N340" s="7"/>
      <c r="O340" s="7"/>
      <c r="P340" s="293"/>
      <c r="Q340" s="7"/>
      <c r="R340" s="7"/>
      <c r="S340" s="279"/>
      <c r="T340" s="36"/>
      <c r="U340" s="7"/>
      <c r="V340" s="7"/>
      <c r="W340" s="7"/>
      <c r="X340" s="7"/>
      <c r="Y340" s="7"/>
      <c r="Z340" s="7"/>
      <c r="AA340" s="7"/>
      <c r="AB340" s="7"/>
      <c r="AC340" s="7"/>
      <c r="AD340" s="36"/>
      <c r="AE340" s="36"/>
    </row>
    <row r="341">
      <c r="A341" s="294"/>
      <c r="B341" s="7"/>
      <c r="C341" s="7"/>
      <c r="D341" s="7"/>
      <c r="E341" s="7"/>
      <c r="F341" s="7"/>
      <c r="G341" s="7"/>
      <c r="H341" s="7"/>
      <c r="I341" s="7"/>
      <c r="J341" s="7"/>
      <c r="K341" s="7"/>
      <c r="L341" s="7"/>
      <c r="M341" s="7"/>
      <c r="N341" s="7"/>
      <c r="O341" s="7"/>
      <c r="P341" s="293"/>
      <c r="Q341" s="7"/>
      <c r="R341" s="7"/>
      <c r="S341" s="279"/>
      <c r="T341" s="36"/>
      <c r="U341" s="7"/>
      <c r="V341" s="7"/>
      <c r="W341" s="7"/>
      <c r="X341" s="7"/>
      <c r="Y341" s="7"/>
      <c r="Z341" s="7"/>
      <c r="AA341" s="7"/>
      <c r="AB341" s="7"/>
      <c r="AC341" s="7"/>
      <c r="AD341" s="36"/>
      <c r="AE341" s="36"/>
    </row>
    <row r="342">
      <c r="A342" s="294"/>
      <c r="B342" s="7"/>
      <c r="C342" s="7"/>
      <c r="D342" s="7"/>
      <c r="E342" s="7"/>
      <c r="F342" s="7"/>
      <c r="G342" s="7"/>
      <c r="H342" s="7"/>
      <c r="I342" s="7"/>
      <c r="J342" s="7"/>
      <c r="K342" s="7"/>
      <c r="L342" s="7"/>
      <c r="M342" s="7"/>
      <c r="N342" s="7"/>
      <c r="O342" s="7"/>
      <c r="P342" s="293"/>
      <c r="Q342" s="7"/>
      <c r="R342" s="7"/>
      <c r="S342" s="279"/>
      <c r="T342" s="36"/>
      <c r="U342" s="7"/>
      <c r="V342" s="7"/>
      <c r="W342" s="7"/>
      <c r="X342" s="7"/>
      <c r="Y342" s="7"/>
      <c r="Z342" s="7"/>
      <c r="AA342" s="7"/>
      <c r="AB342" s="7"/>
      <c r="AC342" s="7"/>
      <c r="AD342" s="36"/>
      <c r="AE342" s="36"/>
    </row>
    <row r="343">
      <c r="A343" s="294"/>
      <c r="B343" s="7"/>
      <c r="C343" s="7"/>
      <c r="D343" s="7"/>
      <c r="E343" s="7"/>
      <c r="F343" s="7"/>
      <c r="G343" s="7"/>
      <c r="H343" s="7"/>
      <c r="I343" s="7"/>
      <c r="J343" s="7"/>
      <c r="K343" s="7"/>
      <c r="L343" s="7"/>
      <c r="M343" s="7"/>
      <c r="N343" s="7"/>
      <c r="O343" s="7"/>
      <c r="P343" s="293"/>
      <c r="Q343" s="7"/>
      <c r="R343" s="7"/>
      <c r="S343" s="279"/>
      <c r="T343" s="36"/>
      <c r="U343" s="7"/>
      <c r="V343" s="7"/>
      <c r="W343" s="7"/>
      <c r="X343" s="7"/>
      <c r="Y343" s="7"/>
      <c r="Z343" s="7"/>
      <c r="AA343" s="7"/>
      <c r="AB343" s="7"/>
      <c r="AC343" s="7"/>
      <c r="AD343" s="36"/>
      <c r="AE343" s="36"/>
    </row>
    <row r="344">
      <c r="A344" s="294"/>
      <c r="B344" s="7"/>
      <c r="C344" s="7"/>
      <c r="D344" s="7"/>
      <c r="E344" s="7"/>
      <c r="F344" s="7"/>
      <c r="G344" s="7"/>
      <c r="H344" s="7"/>
      <c r="I344" s="7"/>
      <c r="J344" s="7"/>
      <c r="K344" s="7"/>
      <c r="L344" s="7"/>
      <c r="M344" s="7"/>
      <c r="N344" s="7"/>
      <c r="O344" s="7"/>
      <c r="P344" s="293"/>
      <c r="Q344" s="7"/>
      <c r="R344" s="7"/>
      <c r="S344" s="279"/>
      <c r="T344" s="36"/>
      <c r="U344" s="7"/>
      <c r="V344" s="7"/>
      <c r="W344" s="7"/>
      <c r="X344" s="7"/>
      <c r="Y344" s="7"/>
      <c r="Z344" s="7"/>
      <c r="AA344" s="7"/>
      <c r="AB344" s="7"/>
      <c r="AC344" s="7"/>
      <c r="AD344" s="36"/>
      <c r="AE344" s="36"/>
    </row>
    <row r="345">
      <c r="A345" s="294"/>
      <c r="B345" s="7"/>
      <c r="C345" s="7"/>
      <c r="D345" s="7"/>
      <c r="E345" s="7"/>
      <c r="F345" s="7"/>
      <c r="G345" s="7"/>
      <c r="H345" s="7"/>
      <c r="I345" s="7"/>
      <c r="J345" s="7"/>
      <c r="K345" s="7"/>
      <c r="L345" s="7"/>
      <c r="M345" s="7"/>
      <c r="N345" s="7"/>
      <c r="O345" s="7"/>
      <c r="P345" s="293"/>
      <c r="Q345" s="7"/>
      <c r="R345" s="7"/>
      <c r="S345" s="279"/>
      <c r="T345" s="36"/>
      <c r="U345" s="7"/>
      <c r="V345" s="7"/>
      <c r="W345" s="7"/>
      <c r="X345" s="7"/>
      <c r="Y345" s="7"/>
      <c r="Z345" s="7"/>
      <c r="AA345" s="7"/>
      <c r="AB345" s="7"/>
      <c r="AC345" s="7"/>
      <c r="AD345" s="36"/>
      <c r="AE345" s="36"/>
    </row>
    <row r="346">
      <c r="A346" s="294"/>
      <c r="B346" s="7"/>
      <c r="C346" s="7"/>
      <c r="D346" s="7"/>
      <c r="E346" s="7"/>
      <c r="F346" s="7"/>
      <c r="G346" s="7"/>
      <c r="H346" s="7"/>
      <c r="I346" s="7"/>
      <c r="J346" s="7"/>
      <c r="K346" s="7"/>
      <c r="L346" s="7"/>
      <c r="M346" s="7"/>
      <c r="N346" s="7"/>
      <c r="O346" s="7"/>
      <c r="P346" s="293"/>
      <c r="Q346" s="7"/>
      <c r="R346" s="7"/>
      <c r="S346" s="279"/>
      <c r="T346" s="36"/>
      <c r="U346" s="7"/>
      <c r="V346" s="7"/>
      <c r="W346" s="7"/>
      <c r="X346" s="7"/>
      <c r="Y346" s="7"/>
      <c r="Z346" s="7"/>
      <c r="AA346" s="7"/>
      <c r="AB346" s="7"/>
      <c r="AC346" s="7"/>
      <c r="AD346" s="36"/>
      <c r="AE346" s="36"/>
    </row>
    <row r="347">
      <c r="A347" s="294"/>
      <c r="B347" s="7"/>
      <c r="C347" s="7"/>
      <c r="D347" s="7"/>
      <c r="E347" s="7"/>
      <c r="F347" s="7"/>
      <c r="G347" s="7"/>
      <c r="H347" s="7"/>
      <c r="I347" s="7"/>
      <c r="J347" s="7"/>
      <c r="K347" s="7"/>
      <c r="L347" s="7"/>
      <c r="M347" s="7"/>
      <c r="N347" s="7"/>
      <c r="O347" s="7"/>
      <c r="P347" s="293"/>
      <c r="Q347" s="7"/>
      <c r="R347" s="7"/>
      <c r="S347" s="279"/>
      <c r="T347" s="36"/>
      <c r="U347" s="7"/>
      <c r="V347" s="7"/>
      <c r="W347" s="7"/>
      <c r="X347" s="7"/>
      <c r="Y347" s="7"/>
      <c r="Z347" s="7"/>
      <c r="AA347" s="7"/>
      <c r="AB347" s="7"/>
      <c r="AC347" s="7"/>
      <c r="AD347" s="36"/>
      <c r="AE347" s="36"/>
    </row>
    <row r="348">
      <c r="A348" s="294"/>
      <c r="B348" s="7"/>
      <c r="C348" s="7"/>
      <c r="D348" s="7"/>
      <c r="E348" s="7"/>
      <c r="F348" s="7"/>
      <c r="G348" s="7"/>
      <c r="H348" s="7"/>
      <c r="I348" s="7"/>
      <c r="J348" s="7"/>
      <c r="K348" s="7"/>
      <c r="L348" s="7"/>
      <c r="M348" s="7"/>
      <c r="N348" s="7"/>
      <c r="O348" s="7"/>
      <c r="P348" s="293"/>
      <c r="Q348" s="7"/>
      <c r="R348" s="7"/>
      <c r="S348" s="279"/>
      <c r="T348" s="36"/>
      <c r="U348" s="7"/>
      <c r="V348" s="7"/>
      <c r="W348" s="7"/>
      <c r="X348" s="7"/>
      <c r="Y348" s="7"/>
      <c r="Z348" s="7"/>
      <c r="AA348" s="7"/>
      <c r="AB348" s="7"/>
      <c r="AC348" s="7"/>
      <c r="AD348" s="36"/>
      <c r="AE348" s="36"/>
    </row>
    <row r="349">
      <c r="A349" s="294"/>
      <c r="B349" s="7"/>
      <c r="C349" s="7"/>
      <c r="D349" s="7"/>
      <c r="E349" s="7"/>
      <c r="F349" s="7"/>
      <c r="G349" s="7"/>
      <c r="H349" s="7"/>
      <c r="I349" s="7"/>
      <c r="J349" s="7"/>
      <c r="K349" s="7"/>
      <c r="L349" s="7"/>
      <c r="M349" s="7"/>
      <c r="N349" s="7"/>
      <c r="O349" s="7"/>
      <c r="P349" s="293"/>
      <c r="Q349" s="7"/>
      <c r="R349" s="7"/>
      <c r="S349" s="279"/>
      <c r="T349" s="36"/>
      <c r="U349" s="7"/>
      <c r="V349" s="7"/>
      <c r="W349" s="7"/>
      <c r="X349" s="7"/>
      <c r="Y349" s="7"/>
      <c r="Z349" s="7"/>
      <c r="AA349" s="7"/>
      <c r="AB349" s="7"/>
      <c r="AC349" s="7"/>
      <c r="AD349" s="36"/>
      <c r="AE349" s="36"/>
    </row>
    <row r="350">
      <c r="A350" s="294"/>
      <c r="B350" s="7"/>
      <c r="C350" s="7"/>
      <c r="D350" s="7"/>
      <c r="E350" s="7"/>
      <c r="F350" s="7"/>
      <c r="G350" s="7"/>
      <c r="H350" s="7"/>
      <c r="I350" s="7"/>
      <c r="J350" s="7"/>
      <c r="K350" s="7"/>
      <c r="L350" s="7"/>
      <c r="M350" s="7"/>
      <c r="N350" s="7"/>
      <c r="O350" s="7"/>
      <c r="P350" s="293"/>
      <c r="Q350" s="7"/>
      <c r="R350" s="7"/>
      <c r="S350" s="279"/>
      <c r="T350" s="36"/>
      <c r="U350" s="7"/>
      <c r="V350" s="7"/>
      <c r="W350" s="7"/>
      <c r="X350" s="7"/>
      <c r="Y350" s="7"/>
      <c r="Z350" s="7"/>
      <c r="AA350" s="7"/>
      <c r="AB350" s="7"/>
      <c r="AC350" s="7"/>
      <c r="AD350" s="36"/>
      <c r="AE350" s="36"/>
    </row>
    <row r="351">
      <c r="A351" s="294"/>
      <c r="B351" s="7"/>
      <c r="C351" s="7"/>
      <c r="D351" s="7"/>
      <c r="E351" s="7"/>
      <c r="F351" s="7"/>
      <c r="G351" s="7"/>
      <c r="H351" s="7"/>
      <c r="I351" s="7"/>
      <c r="J351" s="7"/>
      <c r="K351" s="7"/>
      <c r="L351" s="7"/>
      <c r="M351" s="7"/>
      <c r="N351" s="7"/>
      <c r="O351" s="7"/>
      <c r="P351" s="293"/>
      <c r="Q351" s="7"/>
      <c r="R351" s="7"/>
      <c r="S351" s="279"/>
      <c r="T351" s="36"/>
      <c r="U351" s="7"/>
      <c r="V351" s="7"/>
      <c r="W351" s="7"/>
      <c r="X351" s="7"/>
      <c r="Y351" s="7"/>
      <c r="Z351" s="7"/>
      <c r="AA351" s="7"/>
      <c r="AB351" s="7"/>
      <c r="AC351" s="7"/>
      <c r="AD351" s="36"/>
      <c r="AE351" s="36"/>
    </row>
    <row r="352">
      <c r="A352" s="294"/>
      <c r="B352" s="7"/>
      <c r="C352" s="7"/>
      <c r="D352" s="7"/>
      <c r="E352" s="7"/>
      <c r="F352" s="7"/>
      <c r="G352" s="7"/>
      <c r="H352" s="7"/>
      <c r="I352" s="7"/>
      <c r="J352" s="7"/>
      <c r="K352" s="7"/>
      <c r="L352" s="7"/>
      <c r="M352" s="7"/>
      <c r="N352" s="7"/>
      <c r="O352" s="7"/>
      <c r="P352" s="293"/>
      <c r="Q352" s="7"/>
      <c r="R352" s="7"/>
      <c r="S352" s="279"/>
      <c r="T352" s="36"/>
      <c r="U352" s="7"/>
      <c r="V352" s="7"/>
      <c r="W352" s="7"/>
      <c r="X352" s="7"/>
      <c r="Y352" s="7"/>
      <c r="Z352" s="7"/>
      <c r="AA352" s="7"/>
      <c r="AB352" s="7"/>
      <c r="AC352" s="7"/>
      <c r="AD352" s="36"/>
      <c r="AE352" s="36"/>
    </row>
    <row r="353">
      <c r="A353" s="294"/>
      <c r="B353" s="7"/>
      <c r="C353" s="7"/>
      <c r="D353" s="7"/>
      <c r="E353" s="7"/>
      <c r="F353" s="7"/>
      <c r="G353" s="7"/>
      <c r="H353" s="7"/>
      <c r="I353" s="7"/>
      <c r="J353" s="7"/>
      <c r="K353" s="7"/>
      <c r="L353" s="7"/>
      <c r="M353" s="7"/>
      <c r="N353" s="7"/>
      <c r="O353" s="7"/>
      <c r="P353" s="293"/>
      <c r="Q353" s="7"/>
      <c r="R353" s="7"/>
      <c r="S353" s="279"/>
      <c r="T353" s="36"/>
      <c r="U353" s="7"/>
      <c r="V353" s="7"/>
      <c r="W353" s="7"/>
      <c r="X353" s="7"/>
      <c r="Y353" s="7"/>
      <c r="Z353" s="7"/>
      <c r="AA353" s="7"/>
      <c r="AB353" s="7"/>
      <c r="AC353" s="7"/>
      <c r="AD353" s="36"/>
      <c r="AE353" s="36"/>
    </row>
    <row r="354">
      <c r="A354" s="294"/>
      <c r="B354" s="7"/>
      <c r="C354" s="7"/>
      <c r="D354" s="7"/>
      <c r="E354" s="7"/>
      <c r="F354" s="7"/>
      <c r="G354" s="7"/>
      <c r="H354" s="7"/>
      <c r="I354" s="7"/>
      <c r="J354" s="7"/>
      <c r="K354" s="7"/>
      <c r="L354" s="7"/>
      <c r="M354" s="7"/>
      <c r="N354" s="7"/>
      <c r="O354" s="7"/>
      <c r="P354" s="293"/>
      <c r="Q354" s="7"/>
      <c r="R354" s="7"/>
      <c r="S354" s="279"/>
      <c r="T354" s="36"/>
      <c r="U354" s="7"/>
      <c r="V354" s="7"/>
      <c r="W354" s="7"/>
      <c r="X354" s="7"/>
      <c r="Y354" s="7"/>
      <c r="Z354" s="7"/>
      <c r="AA354" s="7"/>
      <c r="AB354" s="7"/>
      <c r="AC354" s="7"/>
      <c r="AD354" s="36"/>
      <c r="AE354" s="36"/>
    </row>
    <row r="355">
      <c r="A355" s="294"/>
      <c r="B355" s="7"/>
      <c r="C355" s="7"/>
      <c r="D355" s="7"/>
      <c r="E355" s="7"/>
      <c r="F355" s="7"/>
      <c r="G355" s="7"/>
      <c r="H355" s="7"/>
      <c r="I355" s="7"/>
      <c r="J355" s="7"/>
      <c r="K355" s="7"/>
      <c r="L355" s="7"/>
      <c r="M355" s="7"/>
      <c r="N355" s="7"/>
      <c r="O355" s="7"/>
      <c r="P355" s="293"/>
      <c r="Q355" s="7"/>
      <c r="R355" s="7"/>
      <c r="S355" s="279"/>
      <c r="T355" s="36"/>
      <c r="U355" s="7"/>
      <c r="V355" s="7"/>
      <c r="W355" s="7"/>
      <c r="X355" s="7"/>
      <c r="Y355" s="7"/>
      <c r="Z355" s="7"/>
      <c r="AA355" s="7"/>
      <c r="AB355" s="7"/>
      <c r="AC355" s="7"/>
      <c r="AD355" s="36"/>
      <c r="AE355" s="36"/>
    </row>
    <row r="356">
      <c r="A356" s="294"/>
      <c r="B356" s="7"/>
      <c r="C356" s="7"/>
      <c r="D356" s="7"/>
      <c r="E356" s="7"/>
      <c r="F356" s="7"/>
      <c r="G356" s="7"/>
      <c r="H356" s="7"/>
      <c r="I356" s="7"/>
      <c r="J356" s="7"/>
      <c r="K356" s="7"/>
      <c r="L356" s="7"/>
      <c r="M356" s="7"/>
      <c r="N356" s="7"/>
      <c r="O356" s="7"/>
      <c r="P356" s="293"/>
      <c r="Q356" s="7"/>
      <c r="R356" s="7"/>
      <c r="S356" s="279"/>
      <c r="T356" s="36"/>
      <c r="U356" s="7"/>
      <c r="V356" s="7"/>
      <c r="W356" s="7"/>
      <c r="X356" s="7"/>
      <c r="Y356" s="7"/>
      <c r="Z356" s="7"/>
      <c r="AA356" s="7"/>
      <c r="AB356" s="7"/>
      <c r="AC356" s="7"/>
      <c r="AD356" s="36"/>
      <c r="AE356" s="36"/>
    </row>
    <row r="357">
      <c r="A357" s="294"/>
      <c r="B357" s="7"/>
      <c r="C357" s="7"/>
      <c r="D357" s="7"/>
      <c r="E357" s="7"/>
      <c r="F357" s="7"/>
      <c r="G357" s="7"/>
      <c r="H357" s="7"/>
      <c r="I357" s="7"/>
      <c r="J357" s="7"/>
      <c r="K357" s="7"/>
      <c r="L357" s="7"/>
      <c r="M357" s="7"/>
      <c r="N357" s="7"/>
      <c r="O357" s="7"/>
      <c r="P357" s="293"/>
      <c r="Q357" s="7"/>
      <c r="R357" s="7"/>
      <c r="S357" s="279"/>
      <c r="T357" s="36"/>
      <c r="U357" s="7"/>
      <c r="V357" s="7"/>
      <c r="W357" s="7"/>
      <c r="X357" s="7"/>
      <c r="Y357" s="7"/>
      <c r="Z357" s="7"/>
      <c r="AA357" s="7"/>
      <c r="AB357" s="7"/>
      <c r="AC357" s="7"/>
      <c r="AD357" s="36"/>
      <c r="AE357" s="36"/>
    </row>
    <row r="358">
      <c r="A358" s="294"/>
      <c r="B358" s="7"/>
      <c r="C358" s="7"/>
      <c r="D358" s="7"/>
      <c r="E358" s="7"/>
      <c r="F358" s="7"/>
      <c r="G358" s="7"/>
      <c r="H358" s="7"/>
      <c r="I358" s="7"/>
      <c r="J358" s="7"/>
      <c r="K358" s="7"/>
      <c r="L358" s="7"/>
      <c r="M358" s="7"/>
      <c r="N358" s="7"/>
      <c r="O358" s="7"/>
      <c r="P358" s="293"/>
      <c r="Q358" s="7"/>
      <c r="R358" s="7"/>
      <c r="S358" s="279"/>
      <c r="T358" s="36"/>
      <c r="U358" s="7"/>
      <c r="V358" s="7"/>
      <c r="W358" s="7"/>
      <c r="X358" s="7"/>
      <c r="Y358" s="7"/>
      <c r="Z358" s="7"/>
      <c r="AA358" s="7"/>
      <c r="AB358" s="7"/>
      <c r="AC358" s="7"/>
      <c r="AD358" s="36"/>
      <c r="AE358" s="36"/>
    </row>
    <row r="359">
      <c r="A359" s="294"/>
      <c r="B359" s="7"/>
      <c r="C359" s="7"/>
      <c r="D359" s="7"/>
      <c r="E359" s="7"/>
      <c r="F359" s="7"/>
      <c r="G359" s="7"/>
      <c r="H359" s="7"/>
      <c r="I359" s="7"/>
      <c r="J359" s="7"/>
      <c r="K359" s="7"/>
      <c r="L359" s="7"/>
      <c r="M359" s="7"/>
      <c r="N359" s="7"/>
      <c r="O359" s="7"/>
      <c r="P359" s="293"/>
      <c r="Q359" s="7"/>
      <c r="R359" s="7"/>
      <c r="S359" s="279"/>
      <c r="T359" s="36"/>
      <c r="U359" s="7"/>
      <c r="V359" s="7"/>
      <c r="W359" s="7"/>
      <c r="X359" s="7"/>
      <c r="Y359" s="7"/>
      <c r="Z359" s="7"/>
      <c r="AA359" s="7"/>
      <c r="AB359" s="7"/>
      <c r="AC359" s="7"/>
      <c r="AD359" s="36"/>
      <c r="AE359" s="36"/>
    </row>
    <row r="360">
      <c r="A360" s="294"/>
      <c r="B360" s="7"/>
      <c r="C360" s="7"/>
      <c r="D360" s="7"/>
      <c r="E360" s="7"/>
      <c r="F360" s="7"/>
      <c r="G360" s="7"/>
      <c r="H360" s="7"/>
      <c r="I360" s="7"/>
      <c r="J360" s="7"/>
      <c r="K360" s="7"/>
      <c r="L360" s="7"/>
      <c r="M360" s="7"/>
      <c r="N360" s="7"/>
      <c r="O360" s="7"/>
      <c r="P360" s="293"/>
      <c r="Q360" s="7"/>
      <c r="R360" s="7"/>
      <c r="S360" s="279"/>
      <c r="T360" s="36"/>
      <c r="U360" s="7"/>
      <c r="V360" s="7"/>
      <c r="W360" s="7"/>
      <c r="X360" s="7"/>
      <c r="Y360" s="7"/>
      <c r="Z360" s="7"/>
      <c r="AA360" s="7"/>
      <c r="AB360" s="7"/>
      <c r="AC360" s="7"/>
      <c r="AD360" s="36"/>
      <c r="AE360" s="36"/>
    </row>
    <row r="361">
      <c r="A361" s="294"/>
      <c r="B361" s="7"/>
      <c r="C361" s="7"/>
      <c r="D361" s="7"/>
      <c r="E361" s="7"/>
      <c r="F361" s="7"/>
      <c r="G361" s="7"/>
      <c r="H361" s="7"/>
      <c r="I361" s="7"/>
      <c r="J361" s="7"/>
      <c r="K361" s="7"/>
      <c r="L361" s="7"/>
      <c r="M361" s="7"/>
      <c r="N361" s="7"/>
      <c r="O361" s="7"/>
      <c r="P361" s="293"/>
      <c r="Q361" s="7"/>
      <c r="R361" s="7"/>
      <c r="S361" s="279"/>
      <c r="T361" s="36"/>
      <c r="U361" s="7"/>
      <c r="V361" s="7"/>
      <c r="W361" s="7"/>
      <c r="X361" s="7"/>
      <c r="Y361" s="7"/>
      <c r="Z361" s="7"/>
      <c r="AA361" s="7"/>
      <c r="AB361" s="7"/>
      <c r="AC361" s="7"/>
      <c r="AD361" s="36"/>
      <c r="AE361" s="36"/>
    </row>
    <row r="362">
      <c r="A362" s="294"/>
      <c r="B362" s="7"/>
      <c r="C362" s="7"/>
      <c r="D362" s="7"/>
      <c r="E362" s="7"/>
      <c r="F362" s="7"/>
      <c r="G362" s="7"/>
      <c r="H362" s="7"/>
      <c r="I362" s="7"/>
      <c r="J362" s="7"/>
      <c r="K362" s="7"/>
      <c r="L362" s="7"/>
      <c r="M362" s="7"/>
      <c r="N362" s="7"/>
      <c r="O362" s="7"/>
      <c r="P362" s="293"/>
      <c r="Q362" s="7"/>
      <c r="R362" s="7"/>
      <c r="S362" s="279"/>
      <c r="T362" s="36"/>
      <c r="U362" s="7"/>
      <c r="V362" s="7"/>
      <c r="W362" s="7"/>
      <c r="X362" s="7"/>
      <c r="Y362" s="7"/>
      <c r="Z362" s="7"/>
      <c r="AA362" s="7"/>
      <c r="AB362" s="7"/>
      <c r="AC362" s="7"/>
      <c r="AD362" s="36"/>
      <c r="AE362" s="36"/>
    </row>
    <row r="363">
      <c r="A363" s="294"/>
      <c r="B363" s="7"/>
      <c r="C363" s="7"/>
      <c r="D363" s="7"/>
      <c r="E363" s="7"/>
      <c r="F363" s="7"/>
      <c r="G363" s="7"/>
      <c r="H363" s="7"/>
      <c r="I363" s="7"/>
      <c r="J363" s="7"/>
      <c r="K363" s="7"/>
      <c r="L363" s="7"/>
      <c r="M363" s="7"/>
      <c r="N363" s="7"/>
      <c r="O363" s="7"/>
      <c r="P363" s="293"/>
      <c r="Q363" s="7"/>
      <c r="R363" s="7"/>
      <c r="S363" s="279"/>
      <c r="T363" s="36"/>
      <c r="U363" s="7"/>
      <c r="V363" s="7"/>
      <c r="W363" s="7"/>
      <c r="X363" s="7"/>
      <c r="Y363" s="7"/>
      <c r="Z363" s="7"/>
      <c r="AA363" s="7"/>
      <c r="AB363" s="7"/>
      <c r="AC363" s="7"/>
      <c r="AD363" s="36"/>
      <c r="AE363" s="36"/>
    </row>
    <row r="364">
      <c r="A364" s="294"/>
      <c r="B364" s="7"/>
      <c r="C364" s="7"/>
      <c r="D364" s="7"/>
      <c r="E364" s="7"/>
      <c r="F364" s="7"/>
      <c r="G364" s="7"/>
      <c r="H364" s="7"/>
      <c r="I364" s="7"/>
      <c r="J364" s="7"/>
      <c r="K364" s="7"/>
      <c r="L364" s="7"/>
      <c r="M364" s="7"/>
      <c r="N364" s="7"/>
      <c r="O364" s="7"/>
      <c r="P364" s="293"/>
      <c r="Q364" s="7"/>
      <c r="R364" s="7"/>
      <c r="S364" s="279"/>
      <c r="T364" s="36"/>
      <c r="U364" s="7"/>
      <c r="V364" s="7"/>
      <c r="W364" s="7"/>
      <c r="X364" s="7"/>
      <c r="Y364" s="7"/>
      <c r="Z364" s="7"/>
      <c r="AA364" s="7"/>
      <c r="AB364" s="7"/>
      <c r="AC364" s="7"/>
      <c r="AD364" s="36"/>
      <c r="AE364" s="36"/>
    </row>
    <row r="365">
      <c r="A365" s="294"/>
      <c r="B365" s="7"/>
      <c r="C365" s="7"/>
      <c r="D365" s="7"/>
      <c r="E365" s="7"/>
      <c r="F365" s="7"/>
      <c r="G365" s="7"/>
      <c r="H365" s="7"/>
      <c r="I365" s="7"/>
      <c r="J365" s="7"/>
      <c r="K365" s="7"/>
      <c r="L365" s="7"/>
      <c r="M365" s="7"/>
      <c r="N365" s="7"/>
      <c r="O365" s="7"/>
      <c r="P365" s="293"/>
      <c r="Q365" s="7"/>
      <c r="R365" s="7"/>
      <c r="S365" s="279"/>
      <c r="T365" s="36"/>
      <c r="U365" s="7"/>
      <c r="V365" s="7"/>
      <c r="W365" s="7"/>
      <c r="X365" s="7"/>
      <c r="Y365" s="7"/>
      <c r="Z365" s="7"/>
      <c r="AA365" s="7"/>
      <c r="AB365" s="7"/>
      <c r="AC365" s="7"/>
      <c r="AD365" s="36"/>
      <c r="AE365" s="36"/>
    </row>
    <row r="366">
      <c r="A366" s="294"/>
      <c r="B366" s="7"/>
      <c r="C366" s="7"/>
      <c r="D366" s="7"/>
      <c r="E366" s="7"/>
      <c r="F366" s="7"/>
      <c r="G366" s="7"/>
      <c r="H366" s="7"/>
      <c r="I366" s="7"/>
      <c r="J366" s="7"/>
      <c r="K366" s="7"/>
      <c r="L366" s="7"/>
      <c r="M366" s="7"/>
      <c r="N366" s="7"/>
      <c r="O366" s="7"/>
      <c r="P366" s="293"/>
      <c r="Q366" s="7"/>
      <c r="R366" s="7"/>
      <c r="S366" s="279"/>
      <c r="T366" s="36"/>
      <c r="U366" s="7"/>
      <c r="V366" s="7"/>
      <c r="W366" s="7"/>
      <c r="X366" s="7"/>
      <c r="Y366" s="7"/>
      <c r="Z366" s="7"/>
      <c r="AA366" s="7"/>
      <c r="AB366" s="7"/>
      <c r="AC366" s="7"/>
      <c r="AD366" s="36"/>
      <c r="AE366" s="36"/>
    </row>
    <row r="367">
      <c r="A367" s="294"/>
      <c r="B367" s="7"/>
      <c r="C367" s="7"/>
      <c r="D367" s="7"/>
      <c r="E367" s="7"/>
      <c r="F367" s="7"/>
      <c r="G367" s="7"/>
      <c r="H367" s="7"/>
      <c r="I367" s="7"/>
      <c r="J367" s="7"/>
      <c r="K367" s="7"/>
      <c r="L367" s="7"/>
      <c r="M367" s="7"/>
      <c r="N367" s="7"/>
      <c r="O367" s="7"/>
      <c r="P367" s="293"/>
      <c r="Q367" s="7"/>
      <c r="R367" s="7"/>
      <c r="S367" s="279"/>
      <c r="T367" s="36"/>
      <c r="U367" s="7"/>
      <c r="V367" s="7"/>
      <c r="W367" s="7"/>
      <c r="X367" s="7"/>
      <c r="Y367" s="7"/>
      <c r="Z367" s="7"/>
      <c r="AA367" s="7"/>
      <c r="AB367" s="7"/>
      <c r="AC367" s="7"/>
      <c r="AD367" s="36"/>
      <c r="AE367" s="36"/>
    </row>
    <row r="368">
      <c r="A368" s="294"/>
      <c r="B368" s="7"/>
      <c r="C368" s="7"/>
      <c r="D368" s="7"/>
      <c r="E368" s="7"/>
      <c r="F368" s="7"/>
      <c r="G368" s="7"/>
      <c r="H368" s="7"/>
      <c r="I368" s="7"/>
      <c r="J368" s="7"/>
      <c r="K368" s="7"/>
      <c r="L368" s="7"/>
      <c r="M368" s="7"/>
      <c r="N368" s="7"/>
      <c r="O368" s="7"/>
      <c r="P368" s="293"/>
      <c r="Q368" s="7"/>
      <c r="R368" s="7"/>
      <c r="S368" s="279"/>
      <c r="T368" s="36"/>
      <c r="U368" s="7"/>
      <c r="V368" s="7"/>
      <c r="W368" s="7"/>
      <c r="X368" s="7"/>
      <c r="Y368" s="7"/>
      <c r="Z368" s="7"/>
      <c r="AA368" s="7"/>
      <c r="AB368" s="7"/>
      <c r="AC368" s="7"/>
      <c r="AD368" s="36"/>
      <c r="AE368" s="36"/>
    </row>
    <row r="369">
      <c r="A369" s="294"/>
      <c r="B369" s="7"/>
      <c r="C369" s="7"/>
      <c r="D369" s="7"/>
      <c r="E369" s="7"/>
      <c r="F369" s="7"/>
      <c r="G369" s="7"/>
      <c r="H369" s="7"/>
      <c r="I369" s="7"/>
      <c r="J369" s="7"/>
      <c r="K369" s="7"/>
      <c r="L369" s="7"/>
      <c r="M369" s="7"/>
      <c r="N369" s="7"/>
      <c r="O369" s="7"/>
      <c r="P369" s="293"/>
      <c r="Q369" s="7"/>
      <c r="R369" s="7"/>
      <c r="S369" s="279"/>
      <c r="T369" s="36"/>
      <c r="U369" s="7"/>
      <c r="V369" s="7"/>
      <c r="W369" s="7"/>
      <c r="X369" s="7"/>
      <c r="Y369" s="7"/>
      <c r="Z369" s="7"/>
      <c r="AA369" s="7"/>
      <c r="AB369" s="7"/>
      <c r="AC369" s="7"/>
      <c r="AD369" s="36"/>
      <c r="AE369" s="36"/>
    </row>
    <row r="370">
      <c r="A370" s="294"/>
      <c r="B370" s="7"/>
      <c r="C370" s="7"/>
      <c r="D370" s="7"/>
      <c r="E370" s="7"/>
      <c r="F370" s="7"/>
      <c r="G370" s="7"/>
      <c r="H370" s="7"/>
      <c r="I370" s="7"/>
      <c r="J370" s="7"/>
      <c r="K370" s="7"/>
      <c r="L370" s="7"/>
      <c r="M370" s="7"/>
      <c r="N370" s="7"/>
      <c r="O370" s="7"/>
      <c r="P370" s="293"/>
      <c r="Q370" s="7"/>
      <c r="R370" s="7"/>
      <c r="S370" s="279"/>
      <c r="T370" s="36"/>
      <c r="U370" s="7"/>
      <c r="V370" s="7"/>
      <c r="W370" s="7"/>
      <c r="X370" s="7"/>
      <c r="Y370" s="7"/>
      <c r="Z370" s="7"/>
      <c r="AA370" s="7"/>
      <c r="AB370" s="7"/>
      <c r="AC370" s="7"/>
      <c r="AD370" s="36"/>
      <c r="AE370" s="36"/>
    </row>
    <row r="371">
      <c r="A371" s="294"/>
      <c r="B371" s="7"/>
      <c r="C371" s="7"/>
      <c r="D371" s="7"/>
      <c r="E371" s="7"/>
      <c r="F371" s="7"/>
      <c r="G371" s="7"/>
      <c r="H371" s="7"/>
      <c r="I371" s="7"/>
      <c r="J371" s="7"/>
      <c r="K371" s="7"/>
      <c r="L371" s="7"/>
      <c r="M371" s="7"/>
      <c r="N371" s="7"/>
      <c r="O371" s="7"/>
      <c r="P371" s="293"/>
      <c r="Q371" s="7"/>
      <c r="R371" s="7"/>
      <c r="S371" s="279"/>
      <c r="T371" s="36"/>
      <c r="U371" s="7"/>
      <c r="V371" s="7"/>
      <c r="W371" s="7"/>
      <c r="X371" s="7"/>
      <c r="Y371" s="7"/>
      <c r="Z371" s="7"/>
      <c r="AA371" s="7"/>
      <c r="AB371" s="7"/>
      <c r="AC371" s="7"/>
      <c r="AD371" s="36"/>
      <c r="AE371" s="36"/>
    </row>
    <row r="372">
      <c r="A372" s="294"/>
      <c r="B372" s="7"/>
      <c r="C372" s="7"/>
      <c r="D372" s="7"/>
      <c r="E372" s="7"/>
      <c r="F372" s="7"/>
      <c r="G372" s="7"/>
      <c r="H372" s="7"/>
      <c r="I372" s="7"/>
      <c r="J372" s="7"/>
      <c r="K372" s="7"/>
      <c r="L372" s="7"/>
      <c r="M372" s="7"/>
      <c r="N372" s="7"/>
      <c r="O372" s="7"/>
      <c r="P372" s="293"/>
      <c r="Q372" s="7"/>
      <c r="R372" s="7"/>
      <c r="S372" s="279"/>
      <c r="T372" s="36"/>
      <c r="U372" s="7"/>
      <c r="V372" s="7"/>
      <c r="W372" s="7"/>
      <c r="X372" s="7"/>
      <c r="Y372" s="7"/>
      <c r="Z372" s="7"/>
      <c r="AA372" s="7"/>
      <c r="AB372" s="7"/>
      <c r="AC372" s="7"/>
      <c r="AD372" s="36"/>
      <c r="AE372" s="36"/>
    </row>
    <row r="373">
      <c r="A373" s="294"/>
      <c r="B373" s="7"/>
      <c r="C373" s="7"/>
      <c r="D373" s="7"/>
      <c r="E373" s="7"/>
      <c r="F373" s="7"/>
      <c r="G373" s="7"/>
      <c r="H373" s="7"/>
      <c r="I373" s="7"/>
      <c r="J373" s="7"/>
      <c r="K373" s="7"/>
      <c r="L373" s="7"/>
      <c r="M373" s="7"/>
      <c r="N373" s="7"/>
      <c r="O373" s="7"/>
      <c r="P373" s="293"/>
      <c r="Q373" s="7"/>
      <c r="R373" s="7"/>
      <c r="S373" s="279"/>
      <c r="T373" s="36"/>
      <c r="U373" s="7"/>
      <c r="V373" s="7"/>
      <c r="W373" s="7"/>
      <c r="X373" s="7"/>
      <c r="Y373" s="7"/>
      <c r="Z373" s="7"/>
      <c r="AA373" s="7"/>
      <c r="AB373" s="7"/>
      <c r="AC373" s="7"/>
      <c r="AD373" s="36"/>
      <c r="AE373" s="36"/>
    </row>
    <row r="374">
      <c r="A374" s="294"/>
      <c r="B374" s="7"/>
      <c r="C374" s="7"/>
      <c r="D374" s="7"/>
      <c r="E374" s="7"/>
      <c r="F374" s="7"/>
      <c r="G374" s="7"/>
      <c r="H374" s="7"/>
      <c r="I374" s="7"/>
      <c r="J374" s="7"/>
      <c r="K374" s="7"/>
      <c r="L374" s="7"/>
      <c r="M374" s="7"/>
      <c r="N374" s="7"/>
      <c r="O374" s="7"/>
      <c r="P374" s="293"/>
      <c r="Q374" s="7"/>
      <c r="R374" s="7"/>
      <c r="S374" s="279"/>
      <c r="T374" s="36"/>
      <c r="U374" s="7"/>
      <c r="V374" s="7"/>
      <c r="W374" s="7"/>
      <c r="X374" s="7"/>
      <c r="Y374" s="7"/>
      <c r="Z374" s="7"/>
      <c r="AA374" s="7"/>
      <c r="AB374" s="7"/>
      <c r="AC374" s="7"/>
      <c r="AD374" s="36"/>
      <c r="AE374" s="36"/>
    </row>
    <row r="375">
      <c r="A375" s="294"/>
      <c r="B375" s="7"/>
      <c r="C375" s="7"/>
      <c r="D375" s="7"/>
      <c r="E375" s="7"/>
      <c r="F375" s="7"/>
      <c r="G375" s="7"/>
      <c r="H375" s="7"/>
      <c r="I375" s="7"/>
      <c r="J375" s="7"/>
      <c r="K375" s="7"/>
      <c r="L375" s="7"/>
      <c r="M375" s="7"/>
      <c r="N375" s="7"/>
      <c r="O375" s="7"/>
      <c r="P375" s="293"/>
      <c r="Q375" s="7"/>
      <c r="R375" s="7"/>
      <c r="S375" s="279"/>
      <c r="T375" s="36"/>
      <c r="U375" s="7"/>
      <c r="V375" s="7"/>
      <c r="W375" s="7"/>
      <c r="X375" s="7"/>
      <c r="Y375" s="7"/>
      <c r="Z375" s="7"/>
      <c r="AA375" s="7"/>
      <c r="AB375" s="7"/>
      <c r="AC375" s="7"/>
      <c r="AD375" s="36"/>
      <c r="AE375" s="36"/>
    </row>
    <row r="376">
      <c r="A376" s="294"/>
      <c r="B376" s="7"/>
      <c r="C376" s="7"/>
      <c r="D376" s="7"/>
      <c r="E376" s="7"/>
      <c r="F376" s="7"/>
      <c r="G376" s="7"/>
      <c r="H376" s="7"/>
      <c r="I376" s="7"/>
      <c r="J376" s="7"/>
      <c r="K376" s="7"/>
      <c r="L376" s="7"/>
      <c r="M376" s="7"/>
      <c r="N376" s="7"/>
      <c r="O376" s="7"/>
      <c r="P376" s="293"/>
      <c r="Q376" s="7"/>
      <c r="R376" s="7"/>
      <c r="S376" s="279"/>
      <c r="T376" s="36"/>
      <c r="U376" s="7"/>
      <c r="V376" s="7"/>
      <c r="W376" s="7"/>
      <c r="X376" s="7"/>
      <c r="Y376" s="7"/>
      <c r="Z376" s="7"/>
      <c r="AA376" s="7"/>
      <c r="AB376" s="7"/>
      <c r="AC376" s="7"/>
      <c r="AD376" s="36"/>
      <c r="AE376" s="36"/>
    </row>
    <row r="377">
      <c r="A377" s="294"/>
      <c r="B377" s="7"/>
      <c r="C377" s="7"/>
      <c r="D377" s="7"/>
      <c r="E377" s="7"/>
      <c r="F377" s="7"/>
      <c r="G377" s="7"/>
      <c r="H377" s="7"/>
      <c r="I377" s="7"/>
      <c r="J377" s="7"/>
      <c r="K377" s="7"/>
      <c r="L377" s="7"/>
      <c r="M377" s="7"/>
      <c r="N377" s="7"/>
      <c r="O377" s="7"/>
      <c r="P377" s="293"/>
      <c r="Q377" s="7"/>
      <c r="R377" s="7"/>
      <c r="S377" s="279"/>
      <c r="T377" s="36"/>
      <c r="U377" s="7"/>
      <c r="V377" s="7"/>
      <c r="W377" s="7"/>
      <c r="X377" s="7"/>
      <c r="Y377" s="7"/>
      <c r="Z377" s="7"/>
      <c r="AA377" s="7"/>
      <c r="AB377" s="7"/>
      <c r="AC377" s="7"/>
      <c r="AD377" s="36"/>
      <c r="AE377" s="36"/>
    </row>
    <row r="378">
      <c r="A378" s="294"/>
      <c r="B378" s="7"/>
      <c r="C378" s="7"/>
      <c r="D378" s="7"/>
      <c r="E378" s="7"/>
      <c r="F378" s="7"/>
      <c r="G378" s="7"/>
      <c r="H378" s="7"/>
      <c r="I378" s="7"/>
      <c r="J378" s="7"/>
      <c r="K378" s="7"/>
      <c r="L378" s="7"/>
      <c r="M378" s="7"/>
      <c r="N378" s="7"/>
      <c r="O378" s="7"/>
      <c r="P378" s="293"/>
      <c r="Q378" s="7"/>
      <c r="R378" s="7"/>
      <c r="S378" s="279"/>
      <c r="T378" s="36"/>
      <c r="U378" s="7"/>
      <c r="V378" s="7"/>
      <c r="W378" s="7"/>
      <c r="X378" s="7"/>
      <c r="Y378" s="7"/>
      <c r="Z378" s="7"/>
      <c r="AA378" s="7"/>
      <c r="AB378" s="7"/>
      <c r="AC378" s="7"/>
      <c r="AD378" s="36"/>
      <c r="AE378" s="36"/>
    </row>
    <row r="379">
      <c r="A379" s="294"/>
      <c r="B379" s="7"/>
      <c r="C379" s="7"/>
      <c r="D379" s="7"/>
      <c r="E379" s="7"/>
      <c r="F379" s="7"/>
      <c r="G379" s="7"/>
      <c r="H379" s="7"/>
      <c r="I379" s="7"/>
      <c r="J379" s="7"/>
      <c r="K379" s="7"/>
      <c r="L379" s="7"/>
      <c r="M379" s="7"/>
      <c r="N379" s="7"/>
      <c r="O379" s="7"/>
      <c r="P379" s="293"/>
      <c r="Q379" s="7"/>
      <c r="R379" s="7"/>
      <c r="S379" s="279"/>
      <c r="T379" s="36"/>
      <c r="U379" s="7"/>
      <c r="V379" s="7"/>
      <c r="W379" s="7"/>
      <c r="X379" s="7"/>
      <c r="Y379" s="7"/>
      <c r="Z379" s="7"/>
      <c r="AA379" s="7"/>
      <c r="AB379" s="7"/>
      <c r="AC379" s="7"/>
      <c r="AD379" s="36"/>
      <c r="AE379" s="36"/>
    </row>
    <row r="380">
      <c r="A380" s="294"/>
      <c r="B380" s="7"/>
      <c r="C380" s="7"/>
      <c r="D380" s="7"/>
      <c r="E380" s="7"/>
      <c r="F380" s="7"/>
      <c r="G380" s="7"/>
      <c r="H380" s="7"/>
      <c r="I380" s="7"/>
      <c r="J380" s="7"/>
      <c r="K380" s="7"/>
      <c r="L380" s="7"/>
      <c r="M380" s="7"/>
      <c r="N380" s="7"/>
      <c r="O380" s="7"/>
      <c r="P380" s="293"/>
      <c r="Q380" s="7"/>
      <c r="R380" s="7"/>
      <c r="S380" s="279"/>
      <c r="T380" s="36"/>
      <c r="U380" s="7"/>
      <c r="V380" s="7"/>
      <c r="W380" s="7"/>
      <c r="X380" s="7"/>
      <c r="Y380" s="7"/>
      <c r="Z380" s="7"/>
      <c r="AA380" s="7"/>
      <c r="AB380" s="7"/>
      <c r="AC380" s="7"/>
      <c r="AD380" s="36"/>
      <c r="AE380" s="36"/>
    </row>
    <row r="381">
      <c r="A381" s="294"/>
      <c r="B381" s="7"/>
      <c r="C381" s="7"/>
      <c r="D381" s="7"/>
      <c r="E381" s="7"/>
      <c r="F381" s="7"/>
      <c r="G381" s="7"/>
      <c r="H381" s="7"/>
      <c r="I381" s="7"/>
      <c r="J381" s="7"/>
      <c r="K381" s="7"/>
      <c r="L381" s="7"/>
      <c r="M381" s="7"/>
      <c r="N381" s="7"/>
      <c r="O381" s="7"/>
      <c r="P381" s="293"/>
      <c r="Q381" s="7"/>
      <c r="R381" s="7"/>
      <c r="S381" s="279"/>
      <c r="T381" s="36"/>
      <c r="U381" s="7"/>
      <c r="V381" s="7"/>
      <c r="W381" s="7"/>
      <c r="X381" s="7"/>
      <c r="Y381" s="7"/>
      <c r="Z381" s="7"/>
      <c r="AA381" s="7"/>
      <c r="AB381" s="7"/>
      <c r="AC381" s="7"/>
      <c r="AD381" s="36"/>
      <c r="AE381" s="36"/>
    </row>
    <row r="382">
      <c r="A382" s="294"/>
      <c r="B382" s="7"/>
      <c r="C382" s="7"/>
      <c r="D382" s="7"/>
      <c r="E382" s="7"/>
      <c r="F382" s="7"/>
      <c r="G382" s="7"/>
      <c r="H382" s="7"/>
      <c r="I382" s="7"/>
      <c r="J382" s="7"/>
      <c r="K382" s="7"/>
      <c r="L382" s="7"/>
      <c r="M382" s="7"/>
      <c r="N382" s="7"/>
      <c r="O382" s="7"/>
      <c r="P382" s="293"/>
      <c r="Q382" s="7"/>
      <c r="R382" s="7"/>
      <c r="S382" s="279"/>
      <c r="T382" s="36"/>
      <c r="U382" s="7"/>
      <c r="V382" s="7"/>
      <c r="W382" s="7"/>
      <c r="X382" s="7"/>
      <c r="Y382" s="7"/>
      <c r="Z382" s="7"/>
      <c r="AA382" s="7"/>
      <c r="AB382" s="7"/>
      <c r="AC382" s="7"/>
      <c r="AD382" s="36"/>
      <c r="AE382" s="36"/>
    </row>
    <row r="383">
      <c r="A383" s="294"/>
      <c r="B383" s="7"/>
      <c r="C383" s="7"/>
      <c r="D383" s="7"/>
      <c r="E383" s="7"/>
      <c r="F383" s="7"/>
      <c r="G383" s="7"/>
      <c r="H383" s="7"/>
      <c r="I383" s="7"/>
      <c r="J383" s="7"/>
      <c r="K383" s="7"/>
      <c r="L383" s="7"/>
      <c r="M383" s="7"/>
      <c r="N383" s="7"/>
      <c r="O383" s="7"/>
      <c r="P383" s="293"/>
      <c r="Q383" s="7"/>
      <c r="R383" s="7"/>
      <c r="S383" s="279"/>
      <c r="T383" s="36"/>
      <c r="U383" s="7"/>
      <c r="V383" s="7"/>
      <c r="W383" s="7"/>
      <c r="X383" s="7"/>
      <c r="Y383" s="7"/>
      <c r="Z383" s="7"/>
      <c r="AA383" s="7"/>
      <c r="AB383" s="7"/>
      <c r="AC383" s="7"/>
      <c r="AD383" s="36"/>
      <c r="AE383" s="36"/>
    </row>
    <row r="384">
      <c r="A384" s="294"/>
      <c r="B384" s="7"/>
      <c r="C384" s="7"/>
      <c r="D384" s="7"/>
      <c r="E384" s="7"/>
      <c r="F384" s="7"/>
      <c r="G384" s="7"/>
      <c r="H384" s="7"/>
      <c r="I384" s="7"/>
      <c r="J384" s="7"/>
      <c r="K384" s="7"/>
      <c r="L384" s="7"/>
      <c r="M384" s="7"/>
      <c r="N384" s="7"/>
      <c r="O384" s="7"/>
      <c r="P384" s="293"/>
      <c r="Q384" s="7"/>
      <c r="R384" s="7"/>
      <c r="S384" s="279"/>
      <c r="T384" s="36"/>
      <c r="U384" s="7"/>
      <c r="V384" s="7"/>
      <c r="W384" s="7"/>
      <c r="X384" s="7"/>
      <c r="Y384" s="7"/>
      <c r="Z384" s="7"/>
      <c r="AA384" s="7"/>
      <c r="AB384" s="7"/>
      <c r="AC384" s="7"/>
      <c r="AD384" s="36"/>
      <c r="AE384" s="36"/>
    </row>
    <row r="385">
      <c r="A385" s="294"/>
      <c r="B385" s="7"/>
      <c r="C385" s="7"/>
      <c r="D385" s="7"/>
      <c r="E385" s="7"/>
      <c r="F385" s="7"/>
      <c r="G385" s="7"/>
      <c r="H385" s="7"/>
      <c r="I385" s="7"/>
      <c r="J385" s="7"/>
      <c r="K385" s="7"/>
      <c r="L385" s="7"/>
      <c r="M385" s="7"/>
      <c r="N385" s="7"/>
      <c r="O385" s="7"/>
      <c r="P385" s="293"/>
      <c r="Q385" s="7"/>
      <c r="R385" s="7"/>
      <c r="S385" s="279"/>
      <c r="T385" s="36"/>
      <c r="U385" s="7"/>
      <c r="V385" s="7"/>
      <c r="W385" s="7"/>
      <c r="X385" s="7"/>
      <c r="Y385" s="7"/>
      <c r="Z385" s="7"/>
      <c r="AA385" s="7"/>
      <c r="AB385" s="7"/>
      <c r="AC385" s="7"/>
      <c r="AD385" s="36"/>
      <c r="AE385" s="36"/>
    </row>
    <row r="386">
      <c r="A386" s="294"/>
      <c r="B386" s="7"/>
      <c r="C386" s="7"/>
      <c r="D386" s="7"/>
      <c r="E386" s="7"/>
      <c r="F386" s="7"/>
      <c r="G386" s="7"/>
      <c r="H386" s="7"/>
      <c r="I386" s="7"/>
      <c r="J386" s="7"/>
      <c r="K386" s="7"/>
      <c r="L386" s="7"/>
      <c r="M386" s="7"/>
      <c r="N386" s="7"/>
      <c r="O386" s="7"/>
      <c r="P386" s="293"/>
      <c r="Q386" s="7"/>
      <c r="R386" s="7"/>
      <c r="S386" s="279"/>
      <c r="T386" s="36"/>
      <c r="U386" s="7"/>
      <c r="V386" s="7"/>
      <c r="W386" s="7"/>
      <c r="X386" s="7"/>
      <c r="Y386" s="7"/>
      <c r="Z386" s="7"/>
      <c r="AA386" s="7"/>
      <c r="AB386" s="7"/>
      <c r="AC386" s="7"/>
      <c r="AD386" s="36"/>
      <c r="AE386" s="36"/>
    </row>
    <row r="387">
      <c r="A387" s="294"/>
      <c r="B387" s="7"/>
      <c r="C387" s="7"/>
      <c r="D387" s="7"/>
      <c r="E387" s="7"/>
      <c r="F387" s="7"/>
      <c r="G387" s="7"/>
      <c r="H387" s="7"/>
      <c r="I387" s="7"/>
      <c r="J387" s="7"/>
      <c r="K387" s="7"/>
      <c r="L387" s="7"/>
      <c r="M387" s="7"/>
      <c r="N387" s="7"/>
      <c r="O387" s="7"/>
      <c r="P387" s="293"/>
      <c r="Q387" s="7"/>
      <c r="R387" s="7"/>
      <c r="S387" s="279"/>
      <c r="T387" s="36"/>
      <c r="U387" s="7"/>
      <c r="V387" s="7"/>
      <c r="W387" s="7"/>
      <c r="X387" s="7"/>
      <c r="Y387" s="7"/>
      <c r="Z387" s="7"/>
      <c r="AA387" s="7"/>
      <c r="AB387" s="7"/>
      <c r="AC387" s="7"/>
      <c r="AD387" s="36"/>
      <c r="AE387" s="36"/>
    </row>
    <row r="388">
      <c r="A388" s="294"/>
      <c r="B388" s="7"/>
      <c r="C388" s="7"/>
      <c r="D388" s="7"/>
      <c r="E388" s="7"/>
      <c r="F388" s="7"/>
      <c r="G388" s="7"/>
      <c r="H388" s="7"/>
      <c r="I388" s="7"/>
      <c r="J388" s="7"/>
      <c r="K388" s="7"/>
      <c r="L388" s="7"/>
      <c r="M388" s="7"/>
      <c r="N388" s="7"/>
      <c r="O388" s="7"/>
      <c r="P388" s="293"/>
      <c r="Q388" s="7"/>
      <c r="R388" s="7"/>
      <c r="S388" s="279"/>
      <c r="T388" s="36"/>
      <c r="U388" s="7"/>
      <c r="V388" s="7"/>
      <c r="W388" s="7"/>
      <c r="X388" s="7"/>
      <c r="Y388" s="7"/>
      <c r="Z388" s="7"/>
      <c r="AA388" s="7"/>
      <c r="AB388" s="7"/>
      <c r="AC388" s="7"/>
      <c r="AD388" s="36"/>
      <c r="AE388" s="36"/>
    </row>
    <row r="389">
      <c r="A389" s="294"/>
      <c r="B389" s="7"/>
      <c r="C389" s="7"/>
      <c r="D389" s="7"/>
      <c r="E389" s="7"/>
      <c r="F389" s="7"/>
      <c r="G389" s="7"/>
      <c r="H389" s="7"/>
      <c r="I389" s="7"/>
      <c r="J389" s="7"/>
      <c r="K389" s="7"/>
      <c r="L389" s="7"/>
      <c r="M389" s="7"/>
      <c r="N389" s="7"/>
      <c r="O389" s="7"/>
      <c r="P389" s="293"/>
      <c r="Q389" s="7"/>
      <c r="R389" s="7"/>
      <c r="S389" s="279"/>
      <c r="T389" s="36"/>
      <c r="U389" s="7"/>
      <c r="V389" s="7"/>
      <c r="W389" s="7"/>
      <c r="X389" s="7"/>
      <c r="Y389" s="7"/>
      <c r="Z389" s="7"/>
      <c r="AA389" s="7"/>
      <c r="AB389" s="7"/>
      <c r="AC389" s="7"/>
      <c r="AD389" s="36"/>
      <c r="AE389" s="36"/>
    </row>
    <row r="390">
      <c r="A390" s="294"/>
      <c r="B390" s="7"/>
      <c r="C390" s="7"/>
      <c r="D390" s="7"/>
      <c r="E390" s="7"/>
      <c r="F390" s="7"/>
      <c r="G390" s="7"/>
      <c r="H390" s="7"/>
      <c r="I390" s="7"/>
      <c r="J390" s="7"/>
      <c r="K390" s="7"/>
      <c r="L390" s="7"/>
      <c r="M390" s="7"/>
      <c r="N390" s="7"/>
      <c r="O390" s="7"/>
      <c r="P390" s="293"/>
      <c r="Q390" s="7"/>
      <c r="R390" s="7"/>
      <c r="S390" s="279"/>
      <c r="T390" s="36"/>
      <c r="U390" s="7"/>
      <c r="V390" s="7"/>
      <c r="W390" s="7"/>
      <c r="X390" s="7"/>
      <c r="Y390" s="7"/>
      <c r="Z390" s="7"/>
      <c r="AA390" s="7"/>
      <c r="AB390" s="7"/>
      <c r="AC390" s="7"/>
      <c r="AD390" s="36"/>
      <c r="AE390" s="36"/>
    </row>
    <row r="391">
      <c r="A391" s="294"/>
      <c r="B391" s="7"/>
      <c r="C391" s="7"/>
      <c r="D391" s="7"/>
      <c r="E391" s="7"/>
      <c r="F391" s="7"/>
      <c r="G391" s="7"/>
      <c r="H391" s="7"/>
      <c r="I391" s="7"/>
      <c r="J391" s="7"/>
      <c r="K391" s="7"/>
      <c r="L391" s="7"/>
      <c r="M391" s="7"/>
      <c r="N391" s="7"/>
      <c r="O391" s="7"/>
      <c r="P391" s="293"/>
      <c r="Q391" s="7"/>
      <c r="R391" s="7"/>
      <c r="S391" s="279"/>
      <c r="T391" s="36"/>
      <c r="U391" s="7"/>
      <c r="V391" s="7"/>
      <c r="W391" s="7"/>
      <c r="X391" s="7"/>
      <c r="Y391" s="7"/>
      <c r="Z391" s="7"/>
      <c r="AA391" s="7"/>
      <c r="AB391" s="7"/>
      <c r="AC391" s="7"/>
      <c r="AD391" s="36"/>
      <c r="AE391" s="36"/>
    </row>
    <row r="392">
      <c r="A392" s="294"/>
      <c r="B392" s="7"/>
      <c r="C392" s="7"/>
      <c r="D392" s="7"/>
      <c r="E392" s="7"/>
      <c r="F392" s="7"/>
      <c r="G392" s="7"/>
      <c r="H392" s="7"/>
      <c r="I392" s="7"/>
      <c r="J392" s="7"/>
      <c r="K392" s="7"/>
      <c r="L392" s="7"/>
      <c r="M392" s="7"/>
      <c r="N392" s="7"/>
      <c r="O392" s="7"/>
      <c r="P392" s="293"/>
      <c r="Q392" s="7"/>
      <c r="R392" s="7"/>
      <c r="S392" s="279"/>
      <c r="T392" s="36"/>
      <c r="U392" s="7"/>
      <c r="V392" s="7"/>
      <c r="W392" s="7"/>
      <c r="X392" s="7"/>
      <c r="Y392" s="7"/>
      <c r="Z392" s="7"/>
      <c r="AA392" s="7"/>
      <c r="AB392" s="7"/>
      <c r="AC392" s="7"/>
      <c r="AD392" s="36"/>
      <c r="AE392" s="36"/>
    </row>
    <row r="393">
      <c r="A393" s="294"/>
      <c r="B393" s="7"/>
      <c r="C393" s="7"/>
      <c r="D393" s="7"/>
      <c r="E393" s="7"/>
      <c r="F393" s="7"/>
      <c r="G393" s="7"/>
      <c r="H393" s="7"/>
      <c r="I393" s="7"/>
      <c r="J393" s="7"/>
      <c r="K393" s="7"/>
      <c r="L393" s="7"/>
      <c r="M393" s="7"/>
      <c r="N393" s="7"/>
      <c r="O393" s="7"/>
      <c r="P393" s="293"/>
      <c r="Q393" s="7"/>
      <c r="R393" s="7"/>
      <c r="S393" s="279"/>
      <c r="T393" s="36"/>
      <c r="U393" s="7"/>
      <c r="V393" s="7"/>
      <c r="W393" s="7"/>
      <c r="X393" s="7"/>
      <c r="Y393" s="7"/>
      <c r="Z393" s="7"/>
      <c r="AA393" s="7"/>
      <c r="AB393" s="7"/>
      <c r="AC393" s="7"/>
      <c r="AD393" s="36"/>
      <c r="AE393" s="36"/>
    </row>
    <row r="394">
      <c r="A394" s="294"/>
      <c r="B394" s="7"/>
      <c r="C394" s="7"/>
      <c r="D394" s="7"/>
      <c r="E394" s="7"/>
      <c r="F394" s="7"/>
      <c r="G394" s="7"/>
      <c r="H394" s="7"/>
      <c r="I394" s="7"/>
      <c r="J394" s="7"/>
      <c r="K394" s="7"/>
      <c r="L394" s="7"/>
      <c r="M394" s="7"/>
      <c r="N394" s="7"/>
      <c r="O394" s="7"/>
      <c r="P394" s="293"/>
      <c r="Q394" s="7"/>
      <c r="R394" s="7"/>
      <c r="S394" s="279"/>
      <c r="T394" s="36"/>
      <c r="U394" s="7"/>
      <c r="V394" s="7"/>
      <c r="W394" s="7"/>
      <c r="X394" s="7"/>
      <c r="Y394" s="7"/>
      <c r="Z394" s="7"/>
      <c r="AA394" s="7"/>
      <c r="AB394" s="7"/>
      <c r="AC394" s="7"/>
      <c r="AD394" s="36"/>
      <c r="AE394" s="36"/>
    </row>
    <row r="395">
      <c r="A395" s="294"/>
      <c r="B395" s="7"/>
      <c r="C395" s="7"/>
      <c r="D395" s="7"/>
      <c r="E395" s="7"/>
      <c r="F395" s="7"/>
      <c r="G395" s="7"/>
      <c r="H395" s="7"/>
      <c r="I395" s="7"/>
      <c r="J395" s="7"/>
      <c r="K395" s="7"/>
      <c r="L395" s="7"/>
      <c r="M395" s="7"/>
      <c r="N395" s="7"/>
      <c r="O395" s="7"/>
      <c r="P395" s="293"/>
      <c r="Q395" s="7"/>
      <c r="R395" s="7"/>
      <c r="S395" s="279"/>
      <c r="T395" s="36"/>
      <c r="U395" s="7"/>
      <c r="V395" s="7"/>
      <c r="W395" s="7"/>
      <c r="X395" s="7"/>
      <c r="Y395" s="7"/>
      <c r="Z395" s="7"/>
      <c r="AA395" s="7"/>
      <c r="AB395" s="7"/>
      <c r="AC395" s="7"/>
      <c r="AD395" s="36"/>
      <c r="AE395" s="36"/>
    </row>
    <row r="396">
      <c r="A396" s="294"/>
      <c r="B396" s="7"/>
      <c r="C396" s="7"/>
      <c r="D396" s="7"/>
      <c r="E396" s="7"/>
      <c r="F396" s="7"/>
      <c r="G396" s="7"/>
      <c r="H396" s="7"/>
      <c r="I396" s="7"/>
      <c r="J396" s="7"/>
      <c r="K396" s="7"/>
      <c r="L396" s="7"/>
      <c r="M396" s="7"/>
      <c r="N396" s="7"/>
      <c r="O396" s="7"/>
      <c r="P396" s="293"/>
      <c r="Q396" s="7"/>
      <c r="R396" s="7"/>
      <c r="S396" s="279"/>
      <c r="T396" s="36"/>
      <c r="U396" s="7"/>
      <c r="V396" s="7"/>
      <c r="W396" s="7"/>
      <c r="X396" s="7"/>
      <c r="Y396" s="7"/>
      <c r="Z396" s="7"/>
      <c r="AA396" s="7"/>
      <c r="AB396" s="7"/>
      <c r="AC396" s="7"/>
      <c r="AD396" s="36"/>
      <c r="AE396" s="36"/>
    </row>
    <row r="397">
      <c r="A397" s="294"/>
      <c r="B397" s="7"/>
      <c r="C397" s="7"/>
      <c r="D397" s="7"/>
      <c r="E397" s="7"/>
      <c r="F397" s="7"/>
      <c r="G397" s="7"/>
      <c r="H397" s="7"/>
      <c r="I397" s="7"/>
      <c r="J397" s="7"/>
      <c r="K397" s="7"/>
      <c r="L397" s="7"/>
      <c r="M397" s="7"/>
      <c r="N397" s="7"/>
      <c r="O397" s="7"/>
      <c r="P397" s="293"/>
      <c r="Q397" s="7"/>
      <c r="R397" s="7"/>
      <c r="S397" s="279"/>
      <c r="T397" s="36"/>
      <c r="U397" s="7"/>
      <c r="V397" s="7"/>
      <c r="W397" s="7"/>
      <c r="X397" s="7"/>
      <c r="Y397" s="7"/>
      <c r="Z397" s="7"/>
      <c r="AA397" s="7"/>
      <c r="AB397" s="7"/>
      <c r="AC397" s="7"/>
      <c r="AD397" s="36"/>
      <c r="AE397" s="36"/>
    </row>
    <row r="398">
      <c r="A398" s="294"/>
      <c r="B398" s="7"/>
      <c r="C398" s="7"/>
      <c r="D398" s="7"/>
      <c r="E398" s="7"/>
      <c r="F398" s="7"/>
      <c r="G398" s="7"/>
      <c r="H398" s="7"/>
      <c r="I398" s="7"/>
      <c r="J398" s="7"/>
      <c r="K398" s="7"/>
      <c r="L398" s="7"/>
      <c r="M398" s="7"/>
      <c r="N398" s="7"/>
      <c r="O398" s="7"/>
      <c r="P398" s="293"/>
      <c r="Q398" s="7"/>
      <c r="R398" s="7"/>
      <c r="S398" s="279"/>
      <c r="T398" s="36"/>
      <c r="U398" s="7"/>
      <c r="V398" s="7"/>
      <c r="W398" s="7"/>
      <c r="X398" s="7"/>
      <c r="Y398" s="7"/>
      <c r="Z398" s="7"/>
      <c r="AA398" s="7"/>
      <c r="AB398" s="7"/>
      <c r="AC398" s="7"/>
      <c r="AD398" s="36"/>
      <c r="AE398" s="36"/>
    </row>
    <row r="399">
      <c r="A399" s="294"/>
      <c r="B399" s="7"/>
      <c r="C399" s="7"/>
      <c r="D399" s="7"/>
      <c r="E399" s="7"/>
      <c r="F399" s="7"/>
      <c r="G399" s="7"/>
      <c r="H399" s="7"/>
      <c r="I399" s="7"/>
      <c r="J399" s="7"/>
      <c r="K399" s="7"/>
      <c r="L399" s="7"/>
      <c r="M399" s="7"/>
      <c r="N399" s="7"/>
      <c r="O399" s="7"/>
      <c r="P399" s="293"/>
      <c r="Q399" s="7"/>
      <c r="R399" s="7"/>
      <c r="S399" s="279"/>
      <c r="T399" s="36"/>
      <c r="U399" s="7"/>
      <c r="V399" s="7"/>
      <c r="W399" s="7"/>
      <c r="X399" s="7"/>
      <c r="Y399" s="7"/>
      <c r="Z399" s="7"/>
      <c r="AA399" s="7"/>
      <c r="AB399" s="7"/>
      <c r="AC399" s="7"/>
      <c r="AD399" s="36"/>
      <c r="AE399" s="36"/>
    </row>
    <row r="400">
      <c r="A400" s="294"/>
      <c r="B400" s="7"/>
      <c r="C400" s="7"/>
      <c r="D400" s="7"/>
      <c r="E400" s="7"/>
      <c r="F400" s="7"/>
      <c r="G400" s="7"/>
      <c r="H400" s="7"/>
      <c r="I400" s="7"/>
      <c r="J400" s="7"/>
      <c r="K400" s="7"/>
      <c r="L400" s="7"/>
      <c r="M400" s="7"/>
      <c r="N400" s="7"/>
      <c r="O400" s="7"/>
      <c r="P400" s="293"/>
      <c r="Q400" s="7"/>
      <c r="R400" s="7"/>
      <c r="S400" s="279"/>
      <c r="T400" s="36"/>
      <c r="U400" s="7"/>
      <c r="V400" s="7"/>
      <c r="W400" s="7"/>
      <c r="X400" s="7"/>
      <c r="Y400" s="7"/>
      <c r="Z400" s="7"/>
      <c r="AA400" s="7"/>
      <c r="AB400" s="7"/>
      <c r="AC400" s="7"/>
      <c r="AD400" s="36"/>
      <c r="AE400" s="36"/>
    </row>
    <row r="401">
      <c r="A401" s="294"/>
      <c r="B401" s="7"/>
      <c r="C401" s="7"/>
      <c r="D401" s="7"/>
      <c r="E401" s="7"/>
      <c r="F401" s="7"/>
      <c r="G401" s="7"/>
      <c r="H401" s="7"/>
      <c r="I401" s="7"/>
      <c r="J401" s="7"/>
      <c r="K401" s="7"/>
      <c r="L401" s="7"/>
      <c r="M401" s="7"/>
      <c r="N401" s="7"/>
      <c r="O401" s="7"/>
      <c r="P401" s="293"/>
      <c r="Q401" s="7"/>
      <c r="R401" s="7"/>
      <c r="S401" s="279"/>
      <c r="T401" s="36"/>
      <c r="U401" s="7"/>
      <c r="V401" s="7"/>
      <c r="W401" s="7"/>
      <c r="X401" s="7"/>
      <c r="Y401" s="7"/>
      <c r="Z401" s="7"/>
      <c r="AA401" s="7"/>
      <c r="AB401" s="7"/>
      <c r="AC401" s="7"/>
      <c r="AD401" s="36"/>
      <c r="AE401" s="36"/>
    </row>
    <row r="402">
      <c r="A402" s="294"/>
      <c r="B402" s="7"/>
      <c r="C402" s="7"/>
      <c r="D402" s="7"/>
      <c r="E402" s="7"/>
      <c r="F402" s="7"/>
      <c r="G402" s="7"/>
      <c r="H402" s="7"/>
      <c r="I402" s="7"/>
      <c r="J402" s="7"/>
      <c r="K402" s="7"/>
      <c r="L402" s="7"/>
      <c r="M402" s="7"/>
      <c r="N402" s="7"/>
      <c r="O402" s="7"/>
      <c r="P402" s="293"/>
      <c r="Q402" s="7"/>
      <c r="R402" s="7"/>
      <c r="S402" s="279"/>
      <c r="T402" s="36"/>
      <c r="U402" s="7"/>
      <c r="V402" s="7"/>
      <c r="W402" s="7"/>
      <c r="X402" s="7"/>
      <c r="Y402" s="7"/>
      <c r="Z402" s="7"/>
      <c r="AA402" s="7"/>
      <c r="AB402" s="7"/>
      <c r="AC402" s="7"/>
      <c r="AD402" s="36"/>
      <c r="AE402" s="36"/>
    </row>
    <row r="403">
      <c r="A403" s="294"/>
      <c r="B403" s="7"/>
      <c r="C403" s="7"/>
      <c r="D403" s="7"/>
      <c r="E403" s="7"/>
      <c r="F403" s="7"/>
      <c r="G403" s="7"/>
      <c r="H403" s="7"/>
      <c r="I403" s="7"/>
      <c r="J403" s="7"/>
      <c r="K403" s="7"/>
      <c r="L403" s="7"/>
      <c r="M403" s="7"/>
      <c r="N403" s="7"/>
      <c r="O403" s="7"/>
      <c r="P403" s="293"/>
      <c r="Q403" s="7"/>
      <c r="R403" s="7"/>
      <c r="S403" s="279"/>
      <c r="T403" s="36"/>
      <c r="U403" s="7"/>
      <c r="V403" s="7"/>
      <c r="W403" s="7"/>
      <c r="X403" s="7"/>
      <c r="Y403" s="7"/>
      <c r="Z403" s="7"/>
      <c r="AA403" s="7"/>
      <c r="AB403" s="7"/>
      <c r="AC403" s="7"/>
      <c r="AD403" s="36"/>
      <c r="AE403" s="36"/>
    </row>
    <row r="404">
      <c r="A404" s="294"/>
      <c r="B404" s="7"/>
      <c r="C404" s="7"/>
      <c r="D404" s="7"/>
      <c r="E404" s="7"/>
      <c r="F404" s="7"/>
      <c r="G404" s="7"/>
      <c r="H404" s="7"/>
      <c r="I404" s="7"/>
      <c r="J404" s="7"/>
      <c r="K404" s="7"/>
      <c r="L404" s="7"/>
      <c r="M404" s="7"/>
      <c r="N404" s="7"/>
      <c r="O404" s="7"/>
      <c r="P404" s="293"/>
      <c r="Q404" s="7"/>
      <c r="R404" s="7"/>
      <c r="S404" s="279"/>
      <c r="T404" s="36"/>
      <c r="U404" s="7"/>
      <c r="V404" s="7"/>
      <c r="W404" s="7"/>
      <c r="X404" s="7"/>
      <c r="Y404" s="7"/>
      <c r="Z404" s="7"/>
      <c r="AA404" s="7"/>
      <c r="AB404" s="7"/>
      <c r="AC404" s="7"/>
      <c r="AD404" s="36"/>
      <c r="AE404" s="36"/>
    </row>
    <row r="405">
      <c r="A405" s="294"/>
      <c r="B405" s="7"/>
      <c r="C405" s="7"/>
      <c r="D405" s="7"/>
      <c r="E405" s="7"/>
      <c r="F405" s="7"/>
      <c r="G405" s="7"/>
      <c r="H405" s="7"/>
      <c r="I405" s="7"/>
      <c r="J405" s="7"/>
      <c r="K405" s="7"/>
      <c r="L405" s="7"/>
      <c r="M405" s="7"/>
      <c r="N405" s="7"/>
      <c r="O405" s="7"/>
      <c r="P405" s="293"/>
      <c r="Q405" s="7"/>
      <c r="R405" s="7"/>
      <c r="S405" s="279"/>
      <c r="T405" s="36"/>
      <c r="U405" s="7"/>
      <c r="V405" s="7"/>
      <c r="W405" s="7"/>
      <c r="X405" s="7"/>
      <c r="Y405" s="7"/>
      <c r="Z405" s="7"/>
      <c r="AA405" s="7"/>
      <c r="AB405" s="7"/>
      <c r="AC405" s="7"/>
      <c r="AD405" s="36"/>
      <c r="AE405" s="36"/>
    </row>
    <row r="406">
      <c r="A406" s="294"/>
      <c r="B406" s="7"/>
      <c r="C406" s="7"/>
      <c r="D406" s="7"/>
      <c r="E406" s="7"/>
      <c r="F406" s="7"/>
      <c r="G406" s="7"/>
      <c r="H406" s="7"/>
      <c r="I406" s="7"/>
      <c r="J406" s="7"/>
      <c r="K406" s="7"/>
      <c r="L406" s="7"/>
      <c r="M406" s="7"/>
      <c r="N406" s="7"/>
      <c r="O406" s="7"/>
      <c r="P406" s="293"/>
      <c r="Q406" s="7"/>
      <c r="R406" s="7"/>
      <c r="S406" s="279"/>
      <c r="T406" s="36"/>
      <c r="U406" s="7"/>
      <c r="V406" s="7"/>
      <c r="W406" s="7"/>
      <c r="X406" s="7"/>
      <c r="Y406" s="7"/>
      <c r="Z406" s="7"/>
      <c r="AA406" s="7"/>
      <c r="AB406" s="7"/>
      <c r="AC406" s="7"/>
      <c r="AD406" s="36"/>
      <c r="AE406" s="36"/>
    </row>
    <row r="407">
      <c r="A407" s="294"/>
      <c r="B407" s="7"/>
      <c r="C407" s="7"/>
      <c r="D407" s="7"/>
      <c r="E407" s="7"/>
      <c r="F407" s="7"/>
      <c r="G407" s="7"/>
      <c r="H407" s="7"/>
      <c r="I407" s="7"/>
      <c r="J407" s="7"/>
      <c r="K407" s="7"/>
      <c r="L407" s="7"/>
      <c r="M407" s="7"/>
      <c r="N407" s="7"/>
      <c r="O407" s="7"/>
      <c r="P407" s="293"/>
      <c r="Q407" s="7"/>
      <c r="R407" s="7"/>
      <c r="S407" s="279"/>
      <c r="T407" s="36"/>
      <c r="U407" s="7"/>
      <c r="V407" s="7"/>
      <c r="W407" s="7"/>
      <c r="X407" s="7"/>
      <c r="Y407" s="7"/>
      <c r="Z407" s="7"/>
      <c r="AA407" s="7"/>
      <c r="AB407" s="7"/>
      <c r="AC407" s="7"/>
      <c r="AD407" s="36"/>
      <c r="AE407" s="36"/>
    </row>
    <row r="408">
      <c r="A408" s="294"/>
      <c r="B408" s="7"/>
      <c r="C408" s="7"/>
      <c r="D408" s="7"/>
      <c r="E408" s="7"/>
      <c r="F408" s="7"/>
      <c r="G408" s="7"/>
      <c r="H408" s="7"/>
      <c r="I408" s="7"/>
      <c r="J408" s="7"/>
      <c r="K408" s="7"/>
      <c r="L408" s="7"/>
      <c r="M408" s="7"/>
      <c r="N408" s="7"/>
      <c r="O408" s="7"/>
      <c r="P408" s="293"/>
      <c r="Q408" s="7"/>
      <c r="R408" s="7"/>
      <c r="S408" s="279"/>
      <c r="T408" s="36"/>
      <c r="U408" s="7"/>
      <c r="V408" s="7"/>
      <c r="W408" s="7"/>
      <c r="X408" s="7"/>
      <c r="Y408" s="7"/>
      <c r="Z408" s="7"/>
      <c r="AA408" s="7"/>
      <c r="AB408" s="7"/>
      <c r="AC408" s="7"/>
      <c r="AD408" s="36"/>
      <c r="AE408" s="36"/>
    </row>
    <row r="409">
      <c r="A409" s="294"/>
      <c r="B409" s="7"/>
      <c r="C409" s="7"/>
      <c r="D409" s="7"/>
      <c r="E409" s="7"/>
      <c r="F409" s="7"/>
      <c r="G409" s="7"/>
      <c r="H409" s="7"/>
      <c r="I409" s="7"/>
      <c r="J409" s="7"/>
      <c r="K409" s="7"/>
      <c r="L409" s="7"/>
      <c r="M409" s="7"/>
      <c r="N409" s="7"/>
      <c r="O409" s="7"/>
      <c r="P409" s="293"/>
      <c r="Q409" s="7"/>
      <c r="R409" s="7"/>
      <c r="S409" s="279"/>
      <c r="T409" s="36"/>
      <c r="U409" s="7"/>
      <c r="V409" s="7"/>
      <c r="W409" s="7"/>
      <c r="X409" s="7"/>
      <c r="Y409" s="7"/>
      <c r="Z409" s="7"/>
      <c r="AA409" s="7"/>
      <c r="AB409" s="7"/>
      <c r="AC409" s="7"/>
      <c r="AD409" s="36"/>
      <c r="AE409" s="36"/>
    </row>
    <row r="410">
      <c r="A410" s="294"/>
      <c r="B410" s="7"/>
      <c r="C410" s="7"/>
      <c r="D410" s="7"/>
      <c r="E410" s="7"/>
      <c r="F410" s="7"/>
      <c r="G410" s="7"/>
      <c r="H410" s="7"/>
      <c r="I410" s="7"/>
      <c r="J410" s="7"/>
      <c r="K410" s="7"/>
      <c r="L410" s="7"/>
      <c r="M410" s="7"/>
      <c r="N410" s="7"/>
      <c r="O410" s="7"/>
      <c r="P410" s="293"/>
      <c r="Q410" s="7"/>
      <c r="R410" s="7"/>
      <c r="S410" s="279"/>
      <c r="T410" s="36"/>
      <c r="U410" s="7"/>
      <c r="V410" s="7"/>
      <c r="W410" s="7"/>
      <c r="X410" s="7"/>
      <c r="Y410" s="7"/>
      <c r="Z410" s="7"/>
      <c r="AA410" s="7"/>
      <c r="AB410" s="7"/>
      <c r="AC410" s="7"/>
      <c r="AD410" s="36"/>
      <c r="AE410" s="36"/>
    </row>
    <row r="411">
      <c r="A411" s="294"/>
      <c r="B411" s="7"/>
      <c r="C411" s="7"/>
      <c r="D411" s="7"/>
      <c r="E411" s="7"/>
      <c r="F411" s="7"/>
      <c r="G411" s="7"/>
      <c r="H411" s="7"/>
      <c r="I411" s="7"/>
      <c r="J411" s="7"/>
      <c r="K411" s="7"/>
      <c r="L411" s="7"/>
      <c r="M411" s="7"/>
      <c r="N411" s="7"/>
      <c r="O411" s="7"/>
      <c r="P411" s="293"/>
      <c r="Q411" s="7"/>
      <c r="R411" s="7"/>
      <c r="S411" s="279"/>
      <c r="T411" s="36"/>
      <c r="U411" s="7"/>
      <c r="V411" s="7"/>
      <c r="W411" s="7"/>
      <c r="X411" s="7"/>
      <c r="Y411" s="7"/>
      <c r="Z411" s="7"/>
      <c r="AA411" s="7"/>
      <c r="AB411" s="7"/>
      <c r="AC411" s="7"/>
      <c r="AD411" s="36"/>
      <c r="AE411" s="36"/>
    </row>
    <row r="412">
      <c r="A412" s="294"/>
      <c r="B412" s="7"/>
      <c r="C412" s="7"/>
      <c r="D412" s="7"/>
      <c r="E412" s="7"/>
      <c r="F412" s="7"/>
      <c r="G412" s="7"/>
      <c r="H412" s="7"/>
      <c r="I412" s="7"/>
      <c r="J412" s="7"/>
      <c r="K412" s="7"/>
      <c r="L412" s="7"/>
      <c r="M412" s="7"/>
      <c r="N412" s="7"/>
      <c r="O412" s="7"/>
      <c r="P412" s="293"/>
      <c r="Q412" s="7"/>
      <c r="R412" s="7"/>
      <c r="S412" s="279"/>
      <c r="T412" s="36"/>
      <c r="U412" s="7"/>
      <c r="V412" s="7"/>
      <c r="W412" s="7"/>
      <c r="X412" s="7"/>
      <c r="Y412" s="7"/>
      <c r="Z412" s="7"/>
      <c r="AA412" s="7"/>
      <c r="AB412" s="7"/>
      <c r="AC412" s="7"/>
      <c r="AD412" s="36"/>
      <c r="AE412" s="36"/>
    </row>
    <row r="413">
      <c r="A413" s="294"/>
      <c r="B413" s="7"/>
      <c r="C413" s="7"/>
      <c r="D413" s="7"/>
      <c r="E413" s="7"/>
      <c r="F413" s="7"/>
      <c r="G413" s="7"/>
      <c r="H413" s="7"/>
      <c r="I413" s="7"/>
      <c r="J413" s="7"/>
      <c r="K413" s="7"/>
      <c r="L413" s="7"/>
      <c r="M413" s="7"/>
      <c r="N413" s="7"/>
      <c r="O413" s="7"/>
      <c r="P413" s="293"/>
      <c r="Q413" s="7"/>
      <c r="R413" s="7"/>
      <c r="S413" s="279"/>
      <c r="T413" s="36"/>
      <c r="U413" s="7"/>
      <c r="V413" s="7"/>
      <c r="W413" s="7"/>
      <c r="X413" s="7"/>
      <c r="Y413" s="7"/>
      <c r="Z413" s="7"/>
      <c r="AA413" s="7"/>
      <c r="AB413" s="7"/>
      <c r="AC413" s="7"/>
      <c r="AD413" s="36"/>
      <c r="AE413" s="36"/>
    </row>
    <row r="414">
      <c r="A414" s="294"/>
      <c r="B414" s="7"/>
      <c r="C414" s="7"/>
      <c r="D414" s="7"/>
      <c r="E414" s="7"/>
      <c r="F414" s="7"/>
      <c r="G414" s="7"/>
      <c r="H414" s="7"/>
      <c r="I414" s="7"/>
      <c r="J414" s="7"/>
      <c r="K414" s="7"/>
      <c r="L414" s="7"/>
      <c r="M414" s="7"/>
      <c r="N414" s="7"/>
      <c r="O414" s="7"/>
      <c r="P414" s="293"/>
      <c r="Q414" s="7"/>
      <c r="R414" s="7"/>
      <c r="S414" s="279"/>
      <c r="T414" s="36"/>
      <c r="U414" s="7"/>
      <c r="V414" s="7"/>
      <c r="W414" s="7"/>
      <c r="X414" s="7"/>
      <c r="Y414" s="7"/>
      <c r="Z414" s="7"/>
      <c r="AA414" s="7"/>
      <c r="AB414" s="7"/>
      <c r="AC414" s="7"/>
      <c r="AD414" s="36"/>
      <c r="AE414" s="36"/>
    </row>
    <row r="415">
      <c r="A415" s="294"/>
      <c r="B415" s="7"/>
      <c r="C415" s="7"/>
      <c r="D415" s="7"/>
      <c r="E415" s="7"/>
      <c r="F415" s="7"/>
      <c r="G415" s="7"/>
      <c r="H415" s="7"/>
      <c r="I415" s="7"/>
      <c r="J415" s="7"/>
      <c r="K415" s="7"/>
      <c r="L415" s="7"/>
      <c r="M415" s="7"/>
      <c r="N415" s="7"/>
      <c r="O415" s="7"/>
      <c r="P415" s="293"/>
      <c r="Q415" s="7"/>
      <c r="R415" s="7"/>
      <c r="S415" s="279"/>
      <c r="T415" s="36"/>
      <c r="U415" s="7"/>
      <c r="V415" s="7"/>
      <c r="W415" s="7"/>
      <c r="X415" s="7"/>
      <c r="Y415" s="7"/>
      <c r="Z415" s="7"/>
      <c r="AA415" s="7"/>
      <c r="AB415" s="7"/>
      <c r="AC415" s="7"/>
      <c r="AD415" s="36"/>
      <c r="AE415" s="36"/>
    </row>
    <row r="416">
      <c r="A416" s="294"/>
      <c r="B416" s="7"/>
      <c r="C416" s="7"/>
      <c r="D416" s="7"/>
      <c r="E416" s="7"/>
      <c r="F416" s="7"/>
      <c r="G416" s="7"/>
      <c r="H416" s="7"/>
      <c r="I416" s="7"/>
      <c r="J416" s="7"/>
      <c r="K416" s="7"/>
      <c r="L416" s="7"/>
      <c r="M416" s="7"/>
      <c r="N416" s="7"/>
      <c r="O416" s="7"/>
      <c r="P416" s="293"/>
      <c r="Q416" s="7"/>
      <c r="R416" s="7"/>
      <c r="S416" s="279"/>
      <c r="T416" s="36"/>
      <c r="U416" s="7"/>
      <c r="V416" s="7"/>
      <c r="W416" s="7"/>
      <c r="X416" s="7"/>
      <c r="Y416" s="7"/>
      <c r="Z416" s="7"/>
      <c r="AA416" s="7"/>
      <c r="AB416" s="7"/>
      <c r="AC416" s="7"/>
      <c r="AD416" s="36"/>
      <c r="AE416" s="36"/>
    </row>
    <row r="417">
      <c r="A417" s="294"/>
      <c r="B417" s="7"/>
      <c r="C417" s="7"/>
      <c r="D417" s="7"/>
      <c r="E417" s="7"/>
      <c r="F417" s="7"/>
      <c r="G417" s="7"/>
      <c r="H417" s="7"/>
      <c r="I417" s="7"/>
      <c r="J417" s="7"/>
      <c r="K417" s="7"/>
      <c r="L417" s="7"/>
      <c r="M417" s="7"/>
      <c r="N417" s="7"/>
      <c r="O417" s="7"/>
      <c r="P417" s="293"/>
      <c r="Q417" s="7"/>
      <c r="R417" s="7"/>
      <c r="S417" s="279"/>
      <c r="T417" s="36"/>
      <c r="U417" s="7"/>
      <c r="V417" s="7"/>
      <c r="W417" s="7"/>
      <c r="X417" s="7"/>
      <c r="Y417" s="7"/>
      <c r="Z417" s="7"/>
      <c r="AA417" s="7"/>
      <c r="AB417" s="7"/>
      <c r="AC417" s="7"/>
      <c r="AD417" s="36"/>
      <c r="AE417" s="36"/>
    </row>
    <row r="418">
      <c r="A418" s="294"/>
      <c r="B418" s="7"/>
      <c r="C418" s="7"/>
      <c r="D418" s="7"/>
      <c r="E418" s="7"/>
      <c r="F418" s="7"/>
      <c r="G418" s="7"/>
      <c r="H418" s="7"/>
      <c r="I418" s="7"/>
      <c r="J418" s="7"/>
      <c r="K418" s="7"/>
      <c r="L418" s="7"/>
      <c r="M418" s="7"/>
      <c r="N418" s="7"/>
      <c r="O418" s="7"/>
      <c r="P418" s="293"/>
      <c r="Q418" s="7"/>
      <c r="R418" s="7"/>
      <c r="S418" s="279"/>
      <c r="T418" s="36"/>
      <c r="U418" s="7"/>
      <c r="V418" s="7"/>
      <c r="W418" s="7"/>
      <c r="X418" s="7"/>
      <c r="Y418" s="7"/>
      <c r="Z418" s="7"/>
      <c r="AA418" s="7"/>
      <c r="AB418" s="7"/>
      <c r="AC418" s="7"/>
      <c r="AD418" s="36"/>
      <c r="AE418" s="36"/>
    </row>
    <row r="419">
      <c r="A419" s="294"/>
      <c r="B419" s="7"/>
      <c r="C419" s="7"/>
      <c r="D419" s="7"/>
      <c r="E419" s="7"/>
      <c r="F419" s="7"/>
      <c r="G419" s="7"/>
      <c r="H419" s="7"/>
      <c r="I419" s="7"/>
      <c r="J419" s="7"/>
      <c r="K419" s="7"/>
      <c r="L419" s="7"/>
      <c r="M419" s="7"/>
      <c r="N419" s="7"/>
      <c r="O419" s="7"/>
      <c r="P419" s="293"/>
      <c r="Q419" s="7"/>
      <c r="R419" s="7"/>
      <c r="S419" s="279"/>
      <c r="T419" s="36"/>
      <c r="U419" s="7"/>
      <c r="V419" s="7"/>
      <c r="W419" s="7"/>
      <c r="X419" s="7"/>
      <c r="Y419" s="7"/>
      <c r="Z419" s="7"/>
      <c r="AA419" s="7"/>
      <c r="AB419" s="7"/>
      <c r="AC419" s="7"/>
      <c r="AD419" s="36"/>
      <c r="AE419" s="36"/>
    </row>
    <row r="420">
      <c r="A420" s="294"/>
      <c r="B420" s="7"/>
      <c r="C420" s="7"/>
      <c r="D420" s="7"/>
      <c r="E420" s="7"/>
      <c r="F420" s="7"/>
      <c r="G420" s="7"/>
      <c r="H420" s="7"/>
      <c r="I420" s="7"/>
      <c r="J420" s="7"/>
      <c r="K420" s="7"/>
      <c r="L420" s="7"/>
      <c r="M420" s="7"/>
      <c r="N420" s="7"/>
      <c r="O420" s="7"/>
      <c r="P420" s="293"/>
      <c r="Q420" s="7"/>
      <c r="R420" s="7"/>
      <c r="S420" s="279"/>
      <c r="T420" s="36"/>
      <c r="U420" s="7"/>
      <c r="V420" s="7"/>
      <c r="W420" s="7"/>
      <c r="X420" s="7"/>
      <c r="Y420" s="7"/>
      <c r="Z420" s="7"/>
      <c r="AA420" s="7"/>
      <c r="AB420" s="7"/>
      <c r="AC420" s="7"/>
      <c r="AD420" s="36"/>
      <c r="AE420" s="36"/>
    </row>
    <row r="421">
      <c r="A421" s="294"/>
      <c r="B421" s="7"/>
      <c r="C421" s="7"/>
      <c r="D421" s="7"/>
      <c r="E421" s="7"/>
      <c r="F421" s="7"/>
      <c r="G421" s="7"/>
      <c r="H421" s="7"/>
      <c r="I421" s="7"/>
      <c r="J421" s="7"/>
      <c r="K421" s="7"/>
      <c r="L421" s="7"/>
      <c r="M421" s="7"/>
      <c r="N421" s="7"/>
      <c r="O421" s="7"/>
      <c r="P421" s="293"/>
      <c r="Q421" s="7"/>
      <c r="R421" s="7"/>
      <c r="S421" s="279"/>
      <c r="T421" s="36"/>
      <c r="U421" s="7"/>
      <c r="V421" s="7"/>
      <c r="W421" s="7"/>
      <c r="X421" s="7"/>
      <c r="Y421" s="7"/>
      <c r="Z421" s="7"/>
      <c r="AA421" s="7"/>
      <c r="AB421" s="7"/>
      <c r="AC421" s="7"/>
      <c r="AD421" s="36"/>
      <c r="AE421" s="36"/>
    </row>
    <row r="422">
      <c r="A422" s="294"/>
      <c r="B422" s="7"/>
      <c r="C422" s="7"/>
      <c r="D422" s="7"/>
      <c r="E422" s="7"/>
      <c r="F422" s="7"/>
      <c r="G422" s="7"/>
      <c r="H422" s="7"/>
      <c r="I422" s="7"/>
      <c r="J422" s="7"/>
      <c r="K422" s="7"/>
      <c r="L422" s="7"/>
      <c r="M422" s="7"/>
      <c r="N422" s="7"/>
      <c r="O422" s="7"/>
      <c r="P422" s="293"/>
      <c r="Q422" s="7"/>
      <c r="R422" s="7"/>
      <c r="S422" s="279"/>
      <c r="T422" s="36"/>
      <c r="U422" s="7"/>
      <c r="V422" s="7"/>
      <c r="W422" s="7"/>
      <c r="X422" s="7"/>
      <c r="Y422" s="7"/>
      <c r="Z422" s="7"/>
      <c r="AA422" s="7"/>
      <c r="AB422" s="7"/>
      <c r="AC422" s="7"/>
      <c r="AD422" s="36"/>
      <c r="AE422" s="36"/>
    </row>
    <row r="423">
      <c r="A423" s="294"/>
      <c r="B423" s="7"/>
      <c r="C423" s="7"/>
      <c r="D423" s="7"/>
      <c r="E423" s="7"/>
      <c r="F423" s="7"/>
      <c r="G423" s="7"/>
      <c r="H423" s="7"/>
      <c r="I423" s="7"/>
      <c r="J423" s="7"/>
      <c r="K423" s="7"/>
      <c r="L423" s="7"/>
      <c r="M423" s="7"/>
      <c r="N423" s="7"/>
      <c r="O423" s="7"/>
      <c r="P423" s="293"/>
      <c r="Q423" s="7"/>
      <c r="R423" s="7"/>
      <c r="S423" s="279"/>
      <c r="T423" s="36"/>
      <c r="U423" s="7"/>
      <c r="V423" s="7"/>
      <c r="W423" s="7"/>
      <c r="X423" s="7"/>
      <c r="Y423" s="7"/>
      <c r="Z423" s="7"/>
      <c r="AA423" s="7"/>
      <c r="AB423" s="7"/>
      <c r="AC423" s="7"/>
      <c r="AD423" s="36"/>
      <c r="AE423" s="36"/>
    </row>
    <row r="424">
      <c r="A424" s="294"/>
      <c r="B424" s="7"/>
      <c r="C424" s="7"/>
      <c r="D424" s="7"/>
      <c r="E424" s="7"/>
      <c r="F424" s="7"/>
      <c r="G424" s="7"/>
      <c r="H424" s="7"/>
      <c r="I424" s="7"/>
      <c r="J424" s="7"/>
      <c r="K424" s="7"/>
      <c r="L424" s="7"/>
      <c r="M424" s="7"/>
      <c r="N424" s="7"/>
      <c r="O424" s="7"/>
      <c r="P424" s="293"/>
      <c r="Q424" s="7"/>
      <c r="R424" s="7"/>
      <c r="S424" s="279"/>
      <c r="T424" s="36"/>
      <c r="U424" s="7"/>
      <c r="V424" s="7"/>
      <c r="W424" s="7"/>
      <c r="X424" s="7"/>
      <c r="Y424" s="7"/>
      <c r="Z424" s="7"/>
      <c r="AA424" s="7"/>
      <c r="AB424" s="7"/>
      <c r="AC424" s="7"/>
      <c r="AD424" s="36"/>
      <c r="AE424" s="36"/>
    </row>
    <row r="425">
      <c r="A425" s="294"/>
      <c r="B425" s="7"/>
      <c r="C425" s="7"/>
      <c r="D425" s="7"/>
      <c r="E425" s="7"/>
      <c r="F425" s="7"/>
      <c r="G425" s="7"/>
      <c r="H425" s="7"/>
      <c r="I425" s="7"/>
      <c r="J425" s="7"/>
      <c r="K425" s="7"/>
      <c r="L425" s="7"/>
      <c r="M425" s="7"/>
      <c r="N425" s="7"/>
      <c r="O425" s="7"/>
      <c r="P425" s="293"/>
      <c r="Q425" s="7"/>
      <c r="R425" s="7"/>
      <c r="S425" s="279"/>
      <c r="T425" s="36"/>
      <c r="U425" s="7"/>
      <c r="V425" s="7"/>
      <c r="W425" s="7"/>
      <c r="X425" s="7"/>
      <c r="Y425" s="7"/>
      <c r="Z425" s="7"/>
      <c r="AA425" s="7"/>
      <c r="AB425" s="7"/>
      <c r="AC425" s="7"/>
      <c r="AD425" s="36"/>
      <c r="AE425" s="36"/>
    </row>
    <row r="426">
      <c r="A426" s="294"/>
      <c r="B426" s="7"/>
      <c r="C426" s="7"/>
      <c r="D426" s="7"/>
      <c r="E426" s="7"/>
      <c r="F426" s="7"/>
      <c r="G426" s="7"/>
      <c r="H426" s="7"/>
      <c r="I426" s="7"/>
      <c r="J426" s="7"/>
      <c r="K426" s="7"/>
      <c r="L426" s="7"/>
      <c r="M426" s="7"/>
      <c r="N426" s="7"/>
      <c r="O426" s="7"/>
      <c r="P426" s="293"/>
      <c r="Q426" s="7"/>
      <c r="R426" s="7"/>
      <c r="S426" s="279"/>
      <c r="T426" s="36"/>
      <c r="U426" s="7"/>
      <c r="V426" s="7"/>
      <c r="W426" s="7"/>
      <c r="X426" s="7"/>
      <c r="Y426" s="7"/>
      <c r="Z426" s="7"/>
      <c r="AA426" s="7"/>
      <c r="AB426" s="7"/>
      <c r="AC426" s="7"/>
      <c r="AD426" s="36"/>
      <c r="AE426" s="36"/>
    </row>
    <row r="427">
      <c r="A427" s="294"/>
      <c r="B427" s="7"/>
      <c r="C427" s="7"/>
      <c r="D427" s="7"/>
      <c r="E427" s="7"/>
      <c r="F427" s="7"/>
      <c r="G427" s="7"/>
      <c r="H427" s="7"/>
      <c r="I427" s="7"/>
      <c r="J427" s="7"/>
      <c r="K427" s="7"/>
      <c r="L427" s="7"/>
      <c r="M427" s="7"/>
      <c r="N427" s="7"/>
      <c r="O427" s="7"/>
      <c r="P427" s="293"/>
      <c r="Q427" s="7"/>
      <c r="R427" s="7"/>
      <c r="S427" s="279"/>
      <c r="T427" s="36"/>
      <c r="U427" s="7"/>
      <c r="V427" s="7"/>
      <c r="W427" s="7"/>
      <c r="X427" s="7"/>
      <c r="Y427" s="7"/>
      <c r="Z427" s="7"/>
      <c r="AA427" s="7"/>
      <c r="AB427" s="7"/>
      <c r="AC427" s="7"/>
      <c r="AD427" s="36"/>
      <c r="AE427" s="36"/>
    </row>
    <row r="428">
      <c r="A428" s="294"/>
      <c r="B428" s="7"/>
      <c r="C428" s="7"/>
      <c r="D428" s="7"/>
      <c r="E428" s="7"/>
      <c r="F428" s="7"/>
      <c r="G428" s="7"/>
      <c r="H428" s="7"/>
      <c r="I428" s="7"/>
      <c r="J428" s="7"/>
      <c r="K428" s="7"/>
      <c r="L428" s="7"/>
      <c r="M428" s="7"/>
      <c r="N428" s="7"/>
      <c r="O428" s="7"/>
      <c r="P428" s="293"/>
      <c r="Q428" s="7"/>
      <c r="R428" s="7"/>
      <c r="S428" s="279"/>
      <c r="T428" s="36"/>
      <c r="U428" s="7"/>
      <c r="V428" s="7"/>
      <c r="W428" s="7"/>
      <c r="X428" s="7"/>
      <c r="Y428" s="7"/>
      <c r="Z428" s="7"/>
      <c r="AA428" s="7"/>
      <c r="AB428" s="7"/>
      <c r="AC428" s="7"/>
      <c r="AD428" s="36"/>
      <c r="AE428" s="36"/>
    </row>
    <row r="429">
      <c r="A429" s="294"/>
      <c r="B429" s="7"/>
      <c r="C429" s="7"/>
      <c r="D429" s="7"/>
      <c r="E429" s="7"/>
      <c r="F429" s="7"/>
      <c r="G429" s="7"/>
      <c r="H429" s="7"/>
      <c r="I429" s="7"/>
      <c r="J429" s="7"/>
      <c r="K429" s="7"/>
      <c r="L429" s="7"/>
      <c r="M429" s="7"/>
      <c r="N429" s="7"/>
      <c r="O429" s="7"/>
      <c r="P429" s="293"/>
      <c r="Q429" s="7"/>
      <c r="R429" s="7"/>
      <c r="S429" s="279"/>
      <c r="T429" s="36"/>
      <c r="U429" s="7"/>
      <c r="V429" s="7"/>
      <c r="W429" s="7"/>
      <c r="X429" s="7"/>
      <c r="Y429" s="7"/>
      <c r="Z429" s="7"/>
      <c r="AA429" s="7"/>
      <c r="AB429" s="7"/>
      <c r="AC429" s="7"/>
      <c r="AD429" s="36"/>
      <c r="AE429" s="36"/>
    </row>
    <row r="430">
      <c r="A430" s="294"/>
      <c r="B430" s="7"/>
      <c r="C430" s="7"/>
      <c r="D430" s="7"/>
      <c r="E430" s="7"/>
      <c r="F430" s="7"/>
      <c r="G430" s="7"/>
      <c r="H430" s="7"/>
      <c r="I430" s="7"/>
      <c r="J430" s="7"/>
      <c r="K430" s="7"/>
      <c r="L430" s="7"/>
      <c r="M430" s="7"/>
      <c r="N430" s="7"/>
      <c r="O430" s="7"/>
      <c r="P430" s="293"/>
      <c r="Q430" s="7"/>
      <c r="R430" s="7"/>
      <c r="S430" s="279"/>
      <c r="T430" s="36"/>
      <c r="U430" s="7"/>
      <c r="V430" s="7"/>
      <c r="W430" s="7"/>
      <c r="X430" s="7"/>
      <c r="Y430" s="7"/>
      <c r="Z430" s="7"/>
      <c r="AA430" s="7"/>
      <c r="AB430" s="7"/>
      <c r="AC430" s="7"/>
      <c r="AD430" s="36"/>
      <c r="AE430" s="36"/>
    </row>
    <row r="431">
      <c r="A431" s="294"/>
      <c r="B431" s="7"/>
      <c r="C431" s="7"/>
      <c r="D431" s="7"/>
      <c r="E431" s="7"/>
      <c r="F431" s="7"/>
      <c r="G431" s="7"/>
      <c r="H431" s="7"/>
      <c r="I431" s="7"/>
      <c r="J431" s="7"/>
      <c r="K431" s="7"/>
      <c r="L431" s="7"/>
      <c r="M431" s="7"/>
      <c r="N431" s="7"/>
      <c r="O431" s="7"/>
      <c r="P431" s="293"/>
      <c r="Q431" s="7"/>
      <c r="R431" s="7"/>
      <c r="S431" s="279"/>
      <c r="T431" s="36"/>
      <c r="U431" s="7"/>
      <c r="V431" s="7"/>
      <c r="W431" s="7"/>
      <c r="X431" s="7"/>
      <c r="Y431" s="7"/>
      <c r="Z431" s="7"/>
      <c r="AA431" s="7"/>
      <c r="AB431" s="7"/>
      <c r="AC431" s="7"/>
      <c r="AD431" s="36"/>
      <c r="AE431" s="36"/>
    </row>
    <row r="432">
      <c r="A432" s="294"/>
      <c r="B432" s="7"/>
      <c r="C432" s="7"/>
      <c r="D432" s="7"/>
      <c r="E432" s="7"/>
      <c r="F432" s="7"/>
      <c r="G432" s="7"/>
      <c r="H432" s="7"/>
      <c r="I432" s="7"/>
      <c r="J432" s="7"/>
      <c r="K432" s="7"/>
      <c r="L432" s="7"/>
      <c r="M432" s="7"/>
      <c r="N432" s="7"/>
      <c r="O432" s="7"/>
      <c r="P432" s="293"/>
      <c r="Q432" s="7"/>
      <c r="R432" s="7"/>
      <c r="S432" s="279"/>
      <c r="T432" s="36"/>
      <c r="U432" s="7"/>
      <c r="V432" s="7"/>
      <c r="W432" s="7"/>
      <c r="X432" s="7"/>
      <c r="Y432" s="7"/>
      <c r="Z432" s="7"/>
      <c r="AA432" s="7"/>
      <c r="AB432" s="7"/>
      <c r="AC432" s="7"/>
      <c r="AD432" s="36"/>
      <c r="AE432" s="36"/>
    </row>
    <row r="433">
      <c r="A433" s="294"/>
      <c r="B433" s="7"/>
      <c r="C433" s="7"/>
      <c r="D433" s="7"/>
      <c r="E433" s="7"/>
      <c r="F433" s="7"/>
      <c r="G433" s="7"/>
      <c r="H433" s="7"/>
      <c r="I433" s="7"/>
      <c r="J433" s="7"/>
      <c r="K433" s="7"/>
      <c r="L433" s="7"/>
      <c r="M433" s="7"/>
      <c r="N433" s="7"/>
      <c r="O433" s="7"/>
      <c r="P433" s="293"/>
      <c r="Q433" s="7"/>
      <c r="R433" s="7"/>
      <c r="S433" s="279"/>
      <c r="T433" s="36"/>
      <c r="U433" s="7"/>
      <c r="V433" s="7"/>
      <c r="W433" s="7"/>
      <c r="X433" s="7"/>
      <c r="Y433" s="7"/>
      <c r="Z433" s="7"/>
      <c r="AA433" s="7"/>
      <c r="AB433" s="7"/>
      <c r="AC433" s="7"/>
      <c r="AD433" s="36"/>
      <c r="AE433" s="36"/>
    </row>
    <row r="434">
      <c r="A434" s="294"/>
      <c r="B434" s="7"/>
      <c r="C434" s="7"/>
      <c r="D434" s="7"/>
      <c r="E434" s="7"/>
      <c r="F434" s="7"/>
      <c r="G434" s="7"/>
      <c r="H434" s="7"/>
      <c r="I434" s="7"/>
      <c r="J434" s="7"/>
      <c r="K434" s="7"/>
      <c r="L434" s="7"/>
      <c r="M434" s="7"/>
      <c r="N434" s="7"/>
      <c r="O434" s="7"/>
      <c r="P434" s="293"/>
      <c r="Q434" s="7"/>
      <c r="R434" s="7"/>
      <c r="S434" s="279"/>
      <c r="T434" s="36"/>
      <c r="U434" s="7"/>
      <c r="V434" s="7"/>
      <c r="W434" s="7"/>
      <c r="X434" s="7"/>
      <c r="Y434" s="7"/>
      <c r="Z434" s="7"/>
      <c r="AA434" s="7"/>
      <c r="AB434" s="7"/>
      <c r="AC434" s="7"/>
      <c r="AD434" s="36"/>
      <c r="AE434" s="36"/>
    </row>
    <row r="435">
      <c r="A435" s="294"/>
      <c r="B435" s="7"/>
      <c r="C435" s="7"/>
      <c r="D435" s="7"/>
      <c r="E435" s="7"/>
      <c r="F435" s="7"/>
      <c r="G435" s="7"/>
      <c r="H435" s="7"/>
      <c r="I435" s="7"/>
      <c r="J435" s="7"/>
      <c r="K435" s="7"/>
      <c r="L435" s="7"/>
      <c r="M435" s="7"/>
      <c r="N435" s="7"/>
      <c r="O435" s="7"/>
      <c r="P435" s="293"/>
      <c r="Q435" s="7"/>
      <c r="R435" s="7"/>
      <c r="S435" s="279"/>
      <c r="T435" s="36"/>
      <c r="U435" s="7"/>
      <c r="V435" s="7"/>
      <c r="W435" s="7"/>
      <c r="X435" s="7"/>
      <c r="Y435" s="7"/>
      <c r="Z435" s="7"/>
      <c r="AA435" s="7"/>
      <c r="AB435" s="7"/>
      <c r="AC435" s="7"/>
      <c r="AD435" s="36"/>
      <c r="AE435" s="36"/>
    </row>
    <row r="436">
      <c r="A436" s="294"/>
      <c r="B436" s="7"/>
      <c r="C436" s="7"/>
      <c r="D436" s="7"/>
      <c r="E436" s="7"/>
      <c r="F436" s="7"/>
      <c r="G436" s="7"/>
      <c r="H436" s="7"/>
      <c r="I436" s="7"/>
      <c r="J436" s="7"/>
      <c r="K436" s="7"/>
      <c r="L436" s="7"/>
      <c r="M436" s="7"/>
      <c r="N436" s="7"/>
      <c r="O436" s="7"/>
      <c r="P436" s="293"/>
      <c r="Q436" s="7"/>
      <c r="R436" s="7"/>
      <c r="S436" s="279"/>
      <c r="T436" s="36"/>
      <c r="U436" s="7"/>
      <c r="V436" s="7"/>
      <c r="W436" s="7"/>
      <c r="X436" s="7"/>
      <c r="Y436" s="7"/>
      <c r="Z436" s="7"/>
      <c r="AA436" s="7"/>
      <c r="AB436" s="7"/>
      <c r="AC436" s="7"/>
      <c r="AD436" s="36"/>
      <c r="AE436" s="36"/>
    </row>
    <row r="437">
      <c r="A437" s="294"/>
      <c r="B437" s="7"/>
      <c r="C437" s="7"/>
      <c r="D437" s="7"/>
      <c r="E437" s="7"/>
      <c r="F437" s="7"/>
      <c r="G437" s="7"/>
      <c r="H437" s="7"/>
      <c r="I437" s="7"/>
      <c r="J437" s="7"/>
      <c r="K437" s="7"/>
      <c r="L437" s="7"/>
      <c r="M437" s="7"/>
      <c r="N437" s="7"/>
      <c r="O437" s="7"/>
      <c r="P437" s="293"/>
      <c r="Q437" s="7"/>
      <c r="R437" s="7"/>
      <c r="S437" s="279"/>
      <c r="T437" s="36"/>
      <c r="U437" s="7"/>
      <c r="V437" s="7"/>
      <c r="W437" s="7"/>
      <c r="X437" s="7"/>
      <c r="Y437" s="7"/>
      <c r="Z437" s="7"/>
      <c r="AA437" s="7"/>
      <c r="AB437" s="7"/>
      <c r="AC437" s="7"/>
      <c r="AD437" s="36"/>
      <c r="AE437" s="36"/>
    </row>
    <row r="438">
      <c r="A438" s="294"/>
      <c r="B438" s="7"/>
      <c r="C438" s="7"/>
      <c r="D438" s="7"/>
      <c r="E438" s="7"/>
      <c r="F438" s="7"/>
      <c r="G438" s="7"/>
      <c r="H438" s="7"/>
      <c r="I438" s="7"/>
      <c r="J438" s="7"/>
      <c r="K438" s="7"/>
      <c r="L438" s="7"/>
      <c r="M438" s="7"/>
      <c r="N438" s="7"/>
      <c r="O438" s="7"/>
      <c r="P438" s="293"/>
      <c r="Q438" s="7"/>
      <c r="R438" s="7"/>
      <c r="S438" s="279"/>
      <c r="T438" s="36"/>
      <c r="U438" s="7"/>
      <c r="V438" s="7"/>
      <c r="W438" s="7"/>
      <c r="X438" s="7"/>
      <c r="Y438" s="7"/>
      <c r="Z438" s="7"/>
      <c r="AA438" s="7"/>
      <c r="AB438" s="7"/>
      <c r="AC438" s="7"/>
      <c r="AD438" s="36"/>
      <c r="AE438" s="36"/>
    </row>
    <row r="439">
      <c r="A439" s="294"/>
      <c r="B439" s="7"/>
      <c r="C439" s="7"/>
      <c r="D439" s="7"/>
      <c r="E439" s="7"/>
      <c r="F439" s="7"/>
      <c r="G439" s="7"/>
      <c r="H439" s="7"/>
      <c r="I439" s="7"/>
      <c r="J439" s="7"/>
      <c r="K439" s="7"/>
      <c r="L439" s="7"/>
      <c r="M439" s="7"/>
      <c r="N439" s="7"/>
      <c r="O439" s="7"/>
      <c r="P439" s="293"/>
      <c r="Q439" s="7"/>
      <c r="R439" s="7"/>
      <c r="S439" s="279"/>
      <c r="T439" s="36"/>
      <c r="U439" s="7"/>
      <c r="V439" s="7"/>
      <c r="W439" s="7"/>
      <c r="X439" s="7"/>
      <c r="Y439" s="7"/>
      <c r="Z439" s="7"/>
      <c r="AA439" s="7"/>
      <c r="AB439" s="7"/>
      <c r="AC439" s="7"/>
      <c r="AD439" s="36"/>
      <c r="AE439" s="36"/>
    </row>
    <row r="440">
      <c r="A440" s="294"/>
      <c r="B440" s="7"/>
      <c r="C440" s="7"/>
      <c r="D440" s="7"/>
      <c r="E440" s="7"/>
      <c r="F440" s="7"/>
      <c r="G440" s="7"/>
      <c r="H440" s="7"/>
      <c r="I440" s="7"/>
      <c r="J440" s="7"/>
      <c r="K440" s="7"/>
      <c r="L440" s="7"/>
      <c r="M440" s="7"/>
      <c r="N440" s="7"/>
      <c r="O440" s="7"/>
      <c r="P440" s="293"/>
      <c r="Q440" s="7"/>
      <c r="R440" s="7"/>
      <c r="S440" s="279"/>
      <c r="T440" s="36"/>
      <c r="U440" s="7"/>
      <c r="V440" s="7"/>
      <c r="W440" s="7"/>
      <c r="X440" s="7"/>
      <c r="Y440" s="7"/>
      <c r="Z440" s="7"/>
      <c r="AA440" s="7"/>
      <c r="AB440" s="7"/>
      <c r="AC440" s="7"/>
      <c r="AD440" s="36"/>
      <c r="AE440" s="36"/>
    </row>
    <row r="441">
      <c r="A441" s="294"/>
      <c r="B441" s="7"/>
      <c r="C441" s="7"/>
      <c r="D441" s="7"/>
      <c r="E441" s="7"/>
      <c r="F441" s="7"/>
      <c r="G441" s="7"/>
      <c r="H441" s="7"/>
      <c r="I441" s="7"/>
      <c r="J441" s="7"/>
      <c r="K441" s="7"/>
      <c r="L441" s="7"/>
      <c r="M441" s="7"/>
      <c r="N441" s="7"/>
      <c r="O441" s="7"/>
      <c r="P441" s="293"/>
      <c r="Q441" s="7"/>
      <c r="R441" s="7"/>
      <c r="S441" s="279"/>
      <c r="T441" s="36"/>
      <c r="U441" s="7"/>
      <c r="V441" s="7"/>
      <c r="W441" s="7"/>
      <c r="X441" s="7"/>
      <c r="Y441" s="7"/>
      <c r="Z441" s="7"/>
      <c r="AA441" s="7"/>
      <c r="AB441" s="7"/>
      <c r="AC441" s="7"/>
      <c r="AD441" s="36"/>
      <c r="AE441" s="36"/>
    </row>
    <row r="442">
      <c r="A442" s="294"/>
      <c r="B442" s="7"/>
      <c r="C442" s="7"/>
      <c r="D442" s="7"/>
      <c r="E442" s="7"/>
      <c r="F442" s="7"/>
      <c r="G442" s="7"/>
      <c r="H442" s="7"/>
      <c r="I442" s="7"/>
      <c r="J442" s="7"/>
      <c r="K442" s="7"/>
      <c r="L442" s="7"/>
      <c r="M442" s="7"/>
      <c r="N442" s="7"/>
      <c r="O442" s="7"/>
      <c r="P442" s="293"/>
      <c r="Q442" s="7"/>
      <c r="R442" s="7"/>
      <c r="S442" s="279"/>
      <c r="T442" s="36"/>
      <c r="U442" s="7"/>
      <c r="V442" s="7"/>
      <c r="W442" s="7"/>
      <c r="X442" s="7"/>
      <c r="Y442" s="7"/>
      <c r="Z442" s="7"/>
      <c r="AA442" s="7"/>
      <c r="AB442" s="7"/>
      <c r="AC442" s="7"/>
      <c r="AD442" s="36"/>
      <c r="AE442" s="36"/>
    </row>
    <row r="443">
      <c r="A443" s="294"/>
      <c r="B443" s="7"/>
      <c r="C443" s="7"/>
      <c r="D443" s="7"/>
      <c r="E443" s="7"/>
      <c r="F443" s="7"/>
      <c r="G443" s="7"/>
      <c r="H443" s="7"/>
      <c r="I443" s="7"/>
      <c r="J443" s="7"/>
      <c r="K443" s="7"/>
      <c r="L443" s="7"/>
      <c r="M443" s="7"/>
      <c r="N443" s="7"/>
      <c r="O443" s="7"/>
      <c r="P443" s="293"/>
      <c r="Q443" s="7"/>
      <c r="R443" s="7"/>
      <c r="S443" s="279"/>
      <c r="T443" s="36"/>
      <c r="U443" s="7"/>
      <c r="V443" s="7"/>
      <c r="W443" s="7"/>
      <c r="X443" s="7"/>
      <c r="Y443" s="7"/>
      <c r="Z443" s="7"/>
      <c r="AA443" s="7"/>
      <c r="AB443" s="7"/>
      <c r="AC443" s="7"/>
      <c r="AD443" s="36"/>
      <c r="AE443" s="36"/>
    </row>
    <row r="444">
      <c r="A444" s="294"/>
      <c r="B444" s="7"/>
      <c r="C444" s="7"/>
      <c r="D444" s="7"/>
      <c r="E444" s="7"/>
      <c r="F444" s="7"/>
      <c r="G444" s="7"/>
      <c r="H444" s="7"/>
      <c r="I444" s="7"/>
      <c r="J444" s="7"/>
      <c r="K444" s="7"/>
      <c r="L444" s="7"/>
      <c r="M444" s="7"/>
      <c r="N444" s="7"/>
      <c r="O444" s="7"/>
      <c r="P444" s="293"/>
      <c r="Q444" s="7"/>
      <c r="R444" s="7"/>
      <c r="S444" s="279"/>
      <c r="T444" s="36"/>
      <c r="U444" s="7"/>
      <c r="V444" s="7"/>
      <c r="W444" s="7"/>
      <c r="X444" s="7"/>
      <c r="Y444" s="7"/>
      <c r="Z444" s="7"/>
      <c r="AA444" s="7"/>
      <c r="AB444" s="7"/>
      <c r="AC444" s="7"/>
      <c r="AD444" s="36"/>
      <c r="AE444" s="36"/>
    </row>
    <row r="445">
      <c r="A445" s="294"/>
      <c r="B445" s="7"/>
      <c r="C445" s="7"/>
      <c r="D445" s="7"/>
      <c r="E445" s="7"/>
      <c r="F445" s="7"/>
      <c r="G445" s="7"/>
      <c r="H445" s="7"/>
      <c r="I445" s="7"/>
      <c r="J445" s="7"/>
      <c r="K445" s="7"/>
      <c r="L445" s="7"/>
      <c r="M445" s="7"/>
      <c r="N445" s="7"/>
      <c r="O445" s="7"/>
      <c r="P445" s="293"/>
      <c r="Q445" s="7"/>
      <c r="R445" s="7"/>
      <c r="S445" s="279"/>
      <c r="T445" s="36"/>
      <c r="U445" s="7"/>
      <c r="V445" s="7"/>
      <c r="W445" s="7"/>
      <c r="X445" s="7"/>
      <c r="Y445" s="7"/>
      <c r="Z445" s="7"/>
      <c r="AA445" s="7"/>
      <c r="AB445" s="7"/>
      <c r="AC445" s="7"/>
      <c r="AD445" s="36"/>
      <c r="AE445" s="36"/>
    </row>
    <row r="446">
      <c r="A446" s="294"/>
      <c r="B446" s="7"/>
      <c r="C446" s="7"/>
      <c r="D446" s="7"/>
      <c r="E446" s="7"/>
      <c r="F446" s="7"/>
      <c r="G446" s="7"/>
      <c r="H446" s="7"/>
      <c r="I446" s="7"/>
      <c r="J446" s="7"/>
      <c r="K446" s="7"/>
      <c r="L446" s="7"/>
      <c r="M446" s="7"/>
      <c r="N446" s="7"/>
      <c r="O446" s="7"/>
      <c r="P446" s="293"/>
      <c r="Q446" s="7"/>
      <c r="R446" s="7"/>
      <c r="S446" s="279"/>
      <c r="T446" s="36"/>
      <c r="U446" s="7"/>
      <c r="V446" s="7"/>
      <c r="W446" s="7"/>
      <c r="X446" s="7"/>
      <c r="Y446" s="7"/>
      <c r="Z446" s="7"/>
      <c r="AA446" s="7"/>
      <c r="AB446" s="7"/>
      <c r="AC446" s="7"/>
      <c r="AD446" s="36"/>
      <c r="AE446" s="36"/>
    </row>
    <row r="447">
      <c r="A447" s="294"/>
      <c r="B447" s="7"/>
      <c r="C447" s="7"/>
      <c r="D447" s="7"/>
      <c r="E447" s="7"/>
      <c r="F447" s="7"/>
      <c r="G447" s="7"/>
      <c r="H447" s="7"/>
      <c r="I447" s="7"/>
      <c r="J447" s="7"/>
      <c r="K447" s="7"/>
      <c r="L447" s="7"/>
      <c r="M447" s="7"/>
      <c r="N447" s="7"/>
      <c r="O447" s="7"/>
      <c r="P447" s="293"/>
      <c r="Q447" s="7"/>
      <c r="R447" s="7"/>
      <c r="S447" s="279"/>
      <c r="T447" s="36"/>
      <c r="U447" s="7"/>
      <c r="V447" s="7"/>
      <c r="W447" s="7"/>
      <c r="X447" s="7"/>
      <c r="Y447" s="7"/>
      <c r="Z447" s="7"/>
      <c r="AA447" s="7"/>
      <c r="AB447" s="7"/>
      <c r="AC447" s="7"/>
      <c r="AD447" s="36"/>
      <c r="AE447" s="36"/>
    </row>
    <row r="448">
      <c r="A448" s="294"/>
      <c r="B448" s="7"/>
      <c r="C448" s="7"/>
      <c r="D448" s="7"/>
      <c r="E448" s="7"/>
      <c r="F448" s="7"/>
      <c r="G448" s="7"/>
      <c r="H448" s="7"/>
      <c r="I448" s="7"/>
      <c r="J448" s="7"/>
      <c r="K448" s="7"/>
      <c r="L448" s="7"/>
      <c r="M448" s="7"/>
      <c r="N448" s="7"/>
      <c r="O448" s="7"/>
      <c r="P448" s="293"/>
      <c r="Q448" s="7"/>
      <c r="R448" s="7"/>
      <c r="S448" s="279"/>
      <c r="T448" s="36"/>
      <c r="U448" s="7"/>
      <c r="V448" s="7"/>
      <c r="W448" s="7"/>
      <c r="X448" s="7"/>
      <c r="Y448" s="7"/>
      <c r="Z448" s="7"/>
      <c r="AA448" s="7"/>
      <c r="AB448" s="7"/>
      <c r="AC448" s="7"/>
      <c r="AD448" s="36"/>
      <c r="AE448" s="36"/>
    </row>
    <row r="449">
      <c r="A449" s="294"/>
      <c r="B449" s="7"/>
      <c r="C449" s="7"/>
      <c r="D449" s="7"/>
      <c r="E449" s="7"/>
      <c r="F449" s="7"/>
      <c r="G449" s="7"/>
      <c r="H449" s="7"/>
      <c r="I449" s="7"/>
      <c r="J449" s="7"/>
      <c r="K449" s="7"/>
      <c r="L449" s="7"/>
      <c r="M449" s="7"/>
      <c r="N449" s="7"/>
      <c r="O449" s="7"/>
      <c r="P449" s="293"/>
      <c r="Q449" s="7"/>
      <c r="R449" s="7"/>
      <c r="S449" s="279"/>
      <c r="T449" s="36"/>
      <c r="U449" s="7"/>
      <c r="V449" s="7"/>
      <c r="W449" s="7"/>
      <c r="X449" s="7"/>
      <c r="Y449" s="7"/>
      <c r="Z449" s="7"/>
      <c r="AA449" s="7"/>
      <c r="AB449" s="7"/>
      <c r="AC449" s="7"/>
      <c r="AD449" s="36"/>
      <c r="AE449" s="36"/>
    </row>
    <row r="450">
      <c r="A450" s="294"/>
      <c r="B450" s="7"/>
      <c r="C450" s="7"/>
      <c r="D450" s="7"/>
      <c r="E450" s="7"/>
      <c r="F450" s="7"/>
      <c r="G450" s="7"/>
      <c r="H450" s="7"/>
      <c r="I450" s="7"/>
      <c r="J450" s="7"/>
      <c r="K450" s="7"/>
      <c r="L450" s="7"/>
      <c r="M450" s="7"/>
      <c r="N450" s="7"/>
      <c r="O450" s="7"/>
      <c r="P450" s="293"/>
      <c r="Q450" s="7"/>
      <c r="R450" s="7"/>
      <c r="S450" s="279"/>
      <c r="T450" s="36"/>
      <c r="U450" s="7"/>
      <c r="V450" s="7"/>
      <c r="W450" s="7"/>
      <c r="X450" s="7"/>
      <c r="Y450" s="7"/>
      <c r="Z450" s="7"/>
      <c r="AA450" s="7"/>
      <c r="AB450" s="7"/>
      <c r="AC450" s="7"/>
      <c r="AD450" s="36"/>
      <c r="AE450" s="36"/>
    </row>
    <row r="451">
      <c r="A451" s="294"/>
      <c r="B451" s="7"/>
      <c r="C451" s="7"/>
      <c r="D451" s="7"/>
      <c r="E451" s="7"/>
      <c r="F451" s="7"/>
      <c r="G451" s="7"/>
      <c r="H451" s="7"/>
      <c r="I451" s="7"/>
      <c r="J451" s="7"/>
      <c r="K451" s="7"/>
      <c r="L451" s="7"/>
      <c r="M451" s="7"/>
      <c r="N451" s="7"/>
      <c r="O451" s="7"/>
      <c r="P451" s="293"/>
      <c r="Q451" s="7"/>
      <c r="R451" s="7"/>
      <c r="S451" s="279"/>
      <c r="T451" s="36"/>
      <c r="U451" s="7"/>
      <c r="V451" s="7"/>
      <c r="W451" s="7"/>
      <c r="X451" s="7"/>
      <c r="Y451" s="7"/>
      <c r="Z451" s="7"/>
      <c r="AA451" s="7"/>
      <c r="AB451" s="7"/>
      <c r="AC451" s="7"/>
      <c r="AD451" s="36"/>
      <c r="AE451" s="36"/>
    </row>
    <row r="452">
      <c r="A452" s="294"/>
      <c r="B452" s="7"/>
      <c r="C452" s="7"/>
      <c r="D452" s="7"/>
      <c r="E452" s="7"/>
      <c r="F452" s="7"/>
      <c r="G452" s="7"/>
      <c r="H452" s="7"/>
      <c r="I452" s="7"/>
      <c r="J452" s="7"/>
      <c r="K452" s="7"/>
      <c r="L452" s="7"/>
      <c r="M452" s="7"/>
      <c r="N452" s="7"/>
      <c r="O452" s="7"/>
      <c r="P452" s="293"/>
      <c r="Q452" s="7"/>
      <c r="R452" s="7"/>
      <c r="S452" s="279"/>
      <c r="T452" s="36"/>
      <c r="U452" s="7"/>
      <c r="V452" s="7"/>
      <c r="W452" s="7"/>
      <c r="X452" s="7"/>
      <c r="Y452" s="7"/>
      <c r="Z452" s="7"/>
      <c r="AA452" s="7"/>
      <c r="AB452" s="7"/>
      <c r="AC452" s="7"/>
      <c r="AD452" s="36"/>
      <c r="AE452" s="36"/>
    </row>
    <row r="453">
      <c r="A453" s="294"/>
      <c r="B453" s="7"/>
      <c r="C453" s="7"/>
      <c r="D453" s="7"/>
      <c r="E453" s="7"/>
      <c r="F453" s="7"/>
      <c r="G453" s="7"/>
      <c r="H453" s="7"/>
      <c r="I453" s="7"/>
      <c r="J453" s="7"/>
      <c r="K453" s="7"/>
      <c r="L453" s="7"/>
      <c r="M453" s="7"/>
      <c r="N453" s="7"/>
      <c r="O453" s="7"/>
      <c r="P453" s="293"/>
      <c r="Q453" s="7"/>
      <c r="R453" s="7"/>
      <c r="S453" s="279"/>
      <c r="T453" s="36"/>
      <c r="U453" s="7"/>
      <c r="V453" s="7"/>
      <c r="W453" s="7"/>
      <c r="X453" s="7"/>
      <c r="Y453" s="7"/>
      <c r="Z453" s="7"/>
      <c r="AA453" s="7"/>
      <c r="AB453" s="7"/>
      <c r="AC453" s="7"/>
      <c r="AD453" s="36"/>
      <c r="AE453" s="36"/>
    </row>
    <row r="454">
      <c r="A454" s="294"/>
      <c r="B454" s="7"/>
      <c r="C454" s="7"/>
      <c r="D454" s="7"/>
      <c r="E454" s="7"/>
      <c r="F454" s="7"/>
      <c r="G454" s="7"/>
      <c r="H454" s="7"/>
      <c r="I454" s="7"/>
      <c r="J454" s="7"/>
      <c r="K454" s="7"/>
      <c r="L454" s="7"/>
      <c r="M454" s="7"/>
      <c r="N454" s="7"/>
      <c r="O454" s="7"/>
      <c r="P454" s="293"/>
      <c r="Q454" s="7"/>
      <c r="R454" s="7"/>
      <c r="S454" s="279"/>
      <c r="T454" s="36"/>
      <c r="U454" s="7"/>
      <c r="V454" s="7"/>
      <c r="W454" s="7"/>
      <c r="X454" s="7"/>
      <c r="Y454" s="7"/>
      <c r="Z454" s="7"/>
      <c r="AA454" s="7"/>
      <c r="AB454" s="7"/>
      <c r="AC454" s="7"/>
      <c r="AD454" s="36"/>
      <c r="AE454" s="36"/>
    </row>
    <row r="455">
      <c r="A455" s="294"/>
      <c r="B455" s="7"/>
      <c r="C455" s="7"/>
      <c r="D455" s="7"/>
      <c r="E455" s="7"/>
      <c r="F455" s="7"/>
      <c r="G455" s="7"/>
      <c r="H455" s="7"/>
      <c r="I455" s="7"/>
      <c r="J455" s="7"/>
      <c r="K455" s="7"/>
      <c r="L455" s="7"/>
      <c r="M455" s="7"/>
      <c r="N455" s="7"/>
      <c r="O455" s="7"/>
      <c r="P455" s="293"/>
      <c r="Q455" s="7"/>
      <c r="R455" s="7"/>
      <c r="S455" s="279"/>
      <c r="T455" s="36"/>
      <c r="U455" s="7"/>
      <c r="V455" s="7"/>
      <c r="W455" s="7"/>
      <c r="X455" s="7"/>
      <c r="Y455" s="7"/>
      <c r="Z455" s="7"/>
      <c r="AA455" s="7"/>
      <c r="AB455" s="7"/>
      <c r="AC455" s="7"/>
      <c r="AD455" s="36"/>
      <c r="AE455" s="36"/>
    </row>
    <row r="456">
      <c r="A456" s="294"/>
      <c r="B456" s="7"/>
      <c r="C456" s="7"/>
      <c r="D456" s="7"/>
      <c r="E456" s="7"/>
      <c r="F456" s="7"/>
      <c r="G456" s="7"/>
      <c r="H456" s="7"/>
      <c r="I456" s="7"/>
      <c r="J456" s="7"/>
      <c r="K456" s="7"/>
      <c r="L456" s="7"/>
      <c r="M456" s="7"/>
      <c r="N456" s="7"/>
      <c r="O456" s="7"/>
      <c r="P456" s="293"/>
      <c r="Q456" s="7"/>
      <c r="R456" s="7"/>
      <c r="S456" s="279"/>
      <c r="T456" s="36"/>
      <c r="U456" s="7"/>
      <c r="V456" s="7"/>
      <c r="W456" s="7"/>
      <c r="X456" s="7"/>
      <c r="Y456" s="7"/>
      <c r="Z456" s="7"/>
      <c r="AA456" s="7"/>
      <c r="AB456" s="7"/>
      <c r="AC456" s="7"/>
      <c r="AD456" s="36"/>
      <c r="AE456" s="36"/>
    </row>
    <row r="457">
      <c r="A457" s="294"/>
      <c r="B457" s="7"/>
      <c r="C457" s="7"/>
      <c r="D457" s="7"/>
      <c r="E457" s="7"/>
      <c r="F457" s="7"/>
      <c r="G457" s="7"/>
      <c r="H457" s="7"/>
      <c r="I457" s="7"/>
      <c r="J457" s="7"/>
      <c r="K457" s="7"/>
      <c r="L457" s="7"/>
      <c r="M457" s="7"/>
      <c r="N457" s="7"/>
      <c r="O457" s="7"/>
      <c r="P457" s="293"/>
      <c r="Q457" s="7"/>
      <c r="R457" s="7"/>
      <c r="S457" s="279"/>
      <c r="T457" s="36"/>
      <c r="U457" s="7"/>
      <c r="V457" s="7"/>
      <c r="W457" s="7"/>
      <c r="X457" s="7"/>
      <c r="Y457" s="7"/>
      <c r="Z457" s="7"/>
      <c r="AA457" s="7"/>
      <c r="AB457" s="7"/>
      <c r="AC457" s="7"/>
      <c r="AD457" s="36"/>
      <c r="AE457" s="36"/>
    </row>
    <row r="458">
      <c r="A458" s="294"/>
      <c r="B458" s="7"/>
      <c r="C458" s="7"/>
      <c r="D458" s="7"/>
      <c r="E458" s="7"/>
      <c r="F458" s="7"/>
      <c r="G458" s="7"/>
      <c r="H458" s="7"/>
      <c r="I458" s="7"/>
      <c r="J458" s="7"/>
      <c r="K458" s="7"/>
      <c r="L458" s="7"/>
      <c r="M458" s="7"/>
      <c r="N458" s="7"/>
      <c r="O458" s="7"/>
      <c r="P458" s="293"/>
      <c r="Q458" s="7"/>
      <c r="R458" s="7"/>
      <c r="S458" s="279"/>
      <c r="T458" s="36"/>
      <c r="U458" s="7"/>
      <c r="V458" s="7"/>
      <c r="W458" s="7"/>
      <c r="X458" s="7"/>
      <c r="Y458" s="7"/>
      <c r="Z458" s="7"/>
      <c r="AA458" s="7"/>
      <c r="AB458" s="7"/>
      <c r="AC458" s="7"/>
      <c r="AD458" s="36"/>
      <c r="AE458" s="36"/>
    </row>
    <row r="459">
      <c r="A459" s="294"/>
      <c r="B459" s="7"/>
      <c r="C459" s="7"/>
      <c r="D459" s="7"/>
      <c r="E459" s="7"/>
      <c r="F459" s="7"/>
      <c r="G459" s="7"/>
      <c r="H459" s="7"/>
      <c r="I459" s="7"/>
      <c r="J459" s="7"/>
      <c r="K459" s="7"/>
      <c r="L459" s="7"/>
      <c r="M459" s="7"/>
      <c r="N459" s="7"/>
      <c r="O459" s="7"/>
      <c r="P459" s="293"/>
      <c r="Q459" s="7"/>
      <c r="R459" s="7"/>
      <c r="S459" s="279"/>
      <c r="T459" s="36"/>
      <c r="U459" s="7"/>
      <c r="V459" s="7"/>
      <c r="W459" s="7"/>
      <c r="X459" s="7"/>
      <c r="Y459" s="7"/>
      <c r="Z459" s="7"/>
      <c r="AA459" s="7"/>
      <c r="AB459" s="7"/>
      <c r="AC459" s="7"/>
      <c r="AD459" s="36"/>
      <c r="AE459" s="36"/>
    </row>
    <row r="460">
      <c r="A460" s="294"/>
      <c r="B460" s="7"/>
      <c r="C460" s="7"/>
      <c r="D460" s="7"/>
      <c r="E460" s="7"/>
      <c r="F460" s="7"/>
      <c r="G460" s="7"/>
      <c r="H460" s="7"/>
      <c r="I460" s="7"/>
      <c r="J460" s="7"/>
      <c r="K460" s="7"/>
      <c r="L460" s="7"/>
      <c r="M460" s="7"/>
      <c r="N460" s="7"/>
      <c r="O460" s="7"/>
      <c r="P460" s="293"/>
      <c r="Q460" s="7"/>
      <c r="R460" s="7"/>
      <c r="S460" s="279"/>
      <c r="T460" s="36"/>
      <c r="U460" s="7"/>
      <c r="V460" s="7"/>
      <c r="W460" s="7"/>
      <c r="X460" s="7"/>
      <c r="Y460" s="7"/>
      <c r="Z460" s="7"/>
      <c r="AA460" s="7"/>
      <c r="AB460" s="7"/>
      <c r="AC460" s="7"/>
      <c r="AD460" s="36"/>
      <c r="AE460" s="36"/>
    </row>
    <row r="461">
      <c r="A461" s="294"/>
      <c r="B461" s="7"/>
      <c r="C461" s="7"/>
      <c r="D461" s="7"/>
      <c r="E461" s="7"/>
      <c r="F461" s="7"/>
      <c r="G461" s="7"/>
      <c r="H461" s="7"/>
      <c r="I461" s="7"/>
      <c r="J461" s="7"/>
      <c r="K461" s="7"/>
      <c r="L461" s="7"/>
      <c r="M461" s="7"/>
      <c r="N461" s="7"/>
      <c r="O461" s="7"/>
      <c r="P461" s="293"/>
      <c r="Q461" s="7"/>
      <c r="R461" s="7"/>
      <c r="S461" s="279"/>
      <c r="T461" s="36"/>
      <c r="U461" s="7"/>
      <c r="V461" s="7"/>
      <c r="W461" s="7"/>
      <c r="X461" s="7"/>
      <c r="Y461" s="7"/>
      <c r="Z461" s="7"/>
      <c r="AA461" s="7"/>
      <c r="AB461" s="7"/>
      <c r="AC461" s="7"/>
      <c r="AD461" s="36"/>
      <c r="AE461" s="36"/>
    </row>
    <row r="462">
      <c r="A462" s="294"/>
      <c r="B462" s="7"/>
      <c r="C462" s="7"/>
      <c r="D462" s="7"/>
      <c r="E462" s="7"/>
      <c r="F462" s="7"/>
      <c r="G462" s="7"/>
      <c r="H462" s="7"/>
      <c r="I462" s="7"/>
      <c r="J462" s="7"/>
      <c r="K462" s="7"/>
      <c r="L462" s="7"/>
      <c r="M462" s="7"/>
      <c r="N462" s="7"/>
      <c r="O462" s="7"/>
      <c r="P462" s="293"/>
      <c r="Q462" s="7"/>
      <c r="R462" s="7"/>
      <c r="S462" s="279"/>
      <c r="T462" s="36"/>
      <c r="U462" s="7"/>
      <c r="V462" s="7"/>
      <c r="W462" s="7"/>
      <c r="X462" s="7"/>
      <c r="Y462" s="7"/>
      <c r="Z462" s="7"/>
      <c r="AA462" s="7"/>
      <c r="AB462" s="7"/>
      <c r="AC462" s="7"/>
      <c r="AD462" s="36"/>
      <c r="AE462" s="36"/>
    </row>
    <row r="463">
      <c r="A463" s="294"/>
      <c r="B463" s="7"/>
      <c r="C463" s="7"/>
      <c r="D463" s="7"/>
      <c r="E463" s="7"/>
      <c r="F463" s="7"/>
      <c r="G463" s="7"/>
      <c r="H463" s="7"/>
      <c r="I463" s="7"/>
      <c r="J463" s="7"/>
      <c r="K463" s="7"/>
      <c r="L463" s="7"/>
      <c r="M463" s="7"/>
      <c r="N463" s="7"/>
      <c r="O463" s="7"/>
      <c r="P463" s="293"/>
      <c r="Q463" s="7"/>
      <c r="R463" s="7"/>
      <c r="S463" s="279"/>
      <c r="T463" s="36"/>
      <c r="U463" s="7"/>
      <c r="V463" s="7"/>
      <c r="W463" s="7"/>
      <c r="X463" s="7"/>
      <c r="Y463" s="7"/>
      <c r="Z463" s="7"/>
      <c r="AA463" s="7"/>
      <c r="AB463" s="7"/>
      <c r="AC463" s="7"/>
      <c r="AD463" s="36"/>
      <c r="AE463" s="36"/>
    </row>
    <row r="464">
      <c r="A464" s="294"/>
      <c r="B464" s="7"/>
      <c r="C464" s="7"/>
      <c r="D464" s="7"/>
      <c r="E464" s="7"/>
      <c r="F464" s="7"/>
      <c r="G464" s="7"/>
      <c r="H464" s="7"/>
      <c r="I464" s="7"/>
      <c r="J464" s="7"/>
      <c r="K464" s="7"/>
      <c r="L464" s="7"/>
      <c r="M464" s="7"/>
      <c r="N464" s="7"/>
      <c r="O464" s="7"/>
      <c r="P464" s="293"/>
      <c r="Q464" s="7"/>
      <c r="R464" s="7"/>
      <c r="S464" s="279"/>
      <c r="T464" s="36"/>
      <c r="U464" s="7"/>
      <c r="V464" s="7"/>
      <c r="W464" s="7"/>
      <c r="X464" s="7"/>
      <c r="Y464" s="7"/>
      <c r="Z464" s="7"/>
      <c r="AA464" s="7"/>
      <c r="AB464" s="7"/>
      <c r="AC464" s="7"/>
      <c r="AD464" s="36"/>
      <c r="AE464" s="36"/>
    </row>
    <row r="465">
      <c r="A465" s="294"/>
      <c r="B465" s="7"/>
      <c r="C465" s="7"/>
      <c r="D465" s="7"/>
      <c r="E465" s="7"/>
      <c r="F465" s="7"/>
      <c r="G465" s="7"/>
      <c r="H465" s="7"/>
      <c r="I465" s="7"/>
      <c r="J465" s="7"/>
      <c r="K465" s="7"/>
      <c r="L465" s="7"/>
      <c r="M465" s="7"/>
      <c r="N465" s="7"/>
      <c r="O465" s="7"/>
      <c r="P465" s="293"/>
      <c r="Q465" s="7"/>
      <c r="R465" s="7"/>
      <c r="S465" s="279"/>
      <c r="T465" s="36"/>
      <c r="U465" s="7"/>
      <c r="V465" s="7"/>
      <c r="W465" s="7"/>
      <c r="X465" s="7"/>
      <c r="Y465" s="7"/>
      <c r="Z465" s="7"/>
      <c r="AA465" s="7"/>
      <c r="AB465" s="7"/>
      <c r="AC465" s="7"/>
      <c r="AD465" s="36"/>
      <c r="AE465" s="36"/>
    </row>
    <row r="466">
      <c r="A466" s="294"/>
      <c r="B466" s="7"/>
      <c r="C466" s="7"/>
      <c r="D466" s="7"/>
      <c r="E466" s="7"/>
      <c r="F466" s="7"/>
      <c r="G466" s="7"/>
      <c r="H466" s="7"/>
      <c r="I466" s="7"/>
      <c r="J466" s="7"/>
      <c r="K466" s="7"/>
      <c r="L466" s="7"/>
      <c r="M466" s="7"/>
      <c r="N466" s="7"/>
      <c r="O466" s="7"/>
      <c r="P466" s="293"/>
      <c r="Q466" s="7"/>
      <c r="R466" s="7"/>
      <c r="S466" s="279"/>
      <c r="T466" s="36"/>
      <c r="U466" s="7"/>
      <c r="V466" s="7"/>
      <c r="W466" s="7"/>
      <c r="X466" s="7"/>
      <c r="Y466" s="7"/>
      <c r="Z466" s="7"/>
      <c r="AA466" s="7"/>
      <c r="AB466" s="7"/>
      <c r="AC466" s="7"/>
      <c r="AD466" s="36"/>
      <c r="AE466" s="36"/>
    </row>
    <row r="467">
      <c r="A467" s="294"/>
      <c r="B467" s="7"/>
      <c r="C467" s="7"/>
      <c r="D467" s="7"/>
      <c r="E467" s="7"/>
      <c r="F467" s="7"/>
      <c r="G467" s="7"/>
      <c r="H467" s="7"/>
      <c r="I467" s="7"/>
      <c r="J467" s="7"/>
      <c r="K467" s="7"/>
      <c r="L467" s="7"/>
      <c r="M467" s="7"/>
      <c r="N467" s="7"/>
      <c r="O467" s="7"/>
      <c r="P467" s="293"/>
      <c r="Q467" s="7"/>
      <c r="R467" s="7"/>
      <c r="S467" s="279"/>
      <c r="T467" s="36"/>
      <c r="U467" s="7"/>
      <c r="V467" s="7"/>
      <c r="W467" s="7"/>
      <c r="X467" s="7"/>
      <c r="Y467" s="7"/>
      <c r="Z467" s="7"/>
      <c r="AA467" s="7"/>
      <c r="AB467" s="7"/>
      <c r="AC467" s="7"/>
      <c r="AD467" s="36"/>
      <c r="AE467" s="36"/>
    </row>
    <row r="468">
      <c r="A468" s="294"/>
      <c r="B468" s="7"/>
      <c r="C468" s="7"/>
      <c r="D468" s="7"/>
      <c r="E468" s="7"/>
      <c r="F468" s="7"/>
      <c r="G468" s="7"/>
      <c r="H468" s="7"/>
      <c r="I468" s="7"/>
      <c r="J468" s="7"/>
      <c r="K468" s="7"/>
      <c r="L468" s="7"/>
      <c r="M468" s="7"/>
      <c r="N468" s="7"/>
      <c r="O468" s="7"/>
      <c r="P468" s="293"/>
      <c r="Q468" s="7"/>
      <c r="R468" s="7"/>
      <c r="S468" s="279"/>
      <c r="T468" s="36"/>
      <c r="U468" s="7"/>
      <c r="V468" s="7"/>
      <c r="W468" s="7"/>
      <c r="X468" s="7"/>
      <c r="Y468" s="7"/>
      <c r="Z468" s="7"/>
      <c r="AA468" s="7"/>
      <c r="AB468" s="7"/>
      <c r="AC468" s="7"/>
      <c r="AD468" s="36"/>
      <c r="AE468" s="36"/>
    </row>
    <row r="469">
      <c r="A469" s="294"/>
      <c r="B469" s="7"/>
      <c r="C469" s="7"/>
      <c r="D469" s="7"/>
      <c r="E469" s="7"/>
      <c r="F469" s="7"/>
      <c r="G469" s="7"/>
      <c r="H469" s="7"/>
      <c r="I469" s="7"/>
      <c r="J469" s="7"/>
      <c r="K469" s="7"/>
      <c r="L469" s="7"/>
      <c r="M469" s="7"/>
      <c r="N469" s="7"/>
      <c r="O469" s="7"/>
      <c r="P469" s="293"/>
      <c r="Q469" s="7"/>
      <c r="R469" s="7"/>
      <c r="S469" s="279"/>
      <c r="T469" s="36"/>
      <c r="U469" s="7"/>
      <c r="V469" s="7"/>
      <c r="W469" s="7"/>
      <c r="X469" s="7"/>
      <c r="Y469" s="7"/>
      <c r="Z469" s="7"/>
      <c r="AA469" s="7"/>
      <c r="AB469" s="7"/>
      <c r="AC469" s="7"/>
      <c r="AD469" s="36"/>
      <c r="AE469" s="36"/>
    </row>
    <row r="470">
      <c r="A470" s="294"/>
      <c r="B470" s="7"/>
      <c r="C470" s="7"/>
      <c r="D470" s="7"/>
      <c r="E470" s="7"/>
      <c r="F470" s="7"/>
      <c r="G470" s="7"/>
      <c r="H470" s="7"/>
      <c r="I470" s="7"/>
      <c r="J470" s="7"/>
      <c r="K470" s="7"/>
      <c r="L470" s="7"/>
      <c r="M470" s="7"/>
      <c r="N470" s="7"/>
      <c r="O470" s="7"/>
      <c r="P470" s="293"/>
      <c r="Q470" s="7"/>
      <c r="R470" s="7"/>
      <c r="S470" s="279"/>
      <c r="T470" s="36"/>
      <c r="U470" s="7"/>
      <c r="V470" s="7"/>
      <c r="W470" s="7"/>
      <c r="X470" s="7"/>
      <c r="Y470" s="7"/>
      <c r="Z470" s="7"/>
      <c r="AA470" s="7"/>
      <c r="AB470" s="7"/>
      <c r="AC470" s="7"/>
      <c r="AD470" s="36"/>
      <c r="AE470" s="36"/>
    </row>
    <row r="471">
      <c r="A471" s="294"/>
      <c r="B471" s="7"/>
      <c r="C471" s="7"/>
      <c r="D471" s="7"/>
      <c r="E471" s="7"/>
      <c r="F471" s="7"/>
      <c r="G471" s="7"/>
      <c r="H471" s="7"/>
      <c r="I471" s="7"/>
      <c r="J471" s="7"/>
      <c r="K471" s="7"/>
      <c r="L471" s="7"/>
      <c r="M471" s="7"/>
      <c r="N471" s="7"/>
      <c r="O471" s="7"/>
      <c r="P471" s="293"/>
      <c r="Q471" s="7"/>
      <c r="R471" s="7"/>
      <c r="S471" s="279"/>
      <c r="T471" s="36"/>
      <c r="U471" s="7"/>
      <c r="V471" s="7"/>
      <c r="W471" s="7"/>
      <c r="X471" s="7"/>
      <c r="Y471" s="7"/>
      <c r="Z471" s="7"/>
      <c r="AA471" s="7"/>
      <c r="AB471" s="7"/>
      <c r="AC471" s="7"/>
      <c r="AD471" s="36"/>
      <c r="AE471" s="36"/>
    </row>
    <row r="472">
      <c r="A472" s="294"/>
      <c r="B472" s="7"/>
      <c r="C472" s="7"/>
      <c r="D472" s="7"/>
      <c r="E472" s="7"/>
      <c r="F472" s="7"/>
      <c r="G472" s="7"/>
      <c r="H472" s="7"/>
      <c r="I472" s="7"/>
      <c r="J472" s="7"/>
      <c r="K472" s="7"/>
      <c r="L472" s="7"/>
      <c r="M472" s="7"/>
      <c r="N472" s="7"/>
      <c r="O472" s="7"/>
      <c r="P472" s="293"/>
      <c r="Q472" s="7"/>
      <c r="R472" s="7"/>
      <c r="S472" s="279"/>
      <c r="T472" s="36"/>
      <c r="U472" s="7"/>
      <c r="V472" s="7"/>
      <c r="W472" s="7"/>
      <c r="X472" s="7"/>
      <c r="Y472" s="7"/>
      <c r="Z472" s="7"/>
      <c r="AA472" s="7"/>
      <c r="AB472" s="7"/>
      <c r="AC472" s="7"/>
      <c r="AD472" s="36"/>
      <c r="AE472" s="36"/>
    </row>
    <row r="473">
      <c r="A473" s="294"/>
      <c r="B473" s="7"/>
      <c r="C473" s="7"/>
      <c r="D473" s="7"/>
      <c r="E473" s="7"/>
      <c r="F473" s="7"/>
      <c r="G473" s="7"/>
      <c r="H473" s="7"/>
      <c r="I473" s="7"/>
      <c r="J473" s="7"/>
      <c r="K473" s="7"/>
      <c r="L473" s="7"/>
      <c r="M473" s="7"/>
      <c r="N473" s="7"/>
      <c r="O473" s="7"/>
      <c r="P473" s="293"/>
      <c r="Q473" s="7"/>
      <c r="R473" s="7"/>
      <c r="S473" s="279"/>
      <c r="T473" s="36"/>
      <c r="U473" s="7"/>
      <c r="V473" s="7"/>
      <c r="W473" s="7"/>
      <c r="X473" s="7"/>
      <c r="Y473" s="7"/>
      <c r="Z473" s="7"/>
      <c r="AA473" s="7"/>
      <c r="AB473" s="7"/>
      <c r="AC473" s="7"/>
      <c r="AD473" s="36"/>
      <c r="AE473" s="36"/>
    </row>
    <row r="474">
      <c r="A474" s="294"/>
      <c r="B474" s="7"/>
      <c r="C474" s="7"/>
      <c r="D474" s="7"/>
      <c r="E474" s="7"/>
      <c r="F474" s="7"/>
      <c r="G474" s="7"/>
      <c r="H474" s="7"/>
      <c r="I474" s="7"/>
      <c r="J474" s="7"/>
      <c r="K474" s="7"/>
      <c r="L474" s="7"/>
      <c r="M474" s="7"/>
      <c r="N474" s="7"/>
      <c r="O474" s="7"/>
      <c r="P474" s="293"/>
      <c r="Q474" s="7"/>
      <c r="R474" s="7"/>
      <c r="S474" s="279"/>
      <c r="T474" s="36"/>
      <c r="U474" s="7"/>
      <c r="V474" s="7"/>
      <c r="W474" s="7"/>
      <c r="X474" s="7"/>
      <c r="Y474" s="7"/>
      <c r="Z474" s="7"/>
      <c r="AA474" s="7"/>
      <c r="AB474" s="7"/>
      <c r="AC474" s="7"/>
      <c r="AD474" s="36"/>
      <c r="AE474" s="36"/>
    </row>
    <row r="475">
      <c r="A475" s="294"/>
      <c r="B475" s="7"/>
      <c r="C475" s="7"/>
      <c r="D475" s="7"/>
      <c r="E475" s="7"/>
      <c r="F475" s="7"/>
      <c r="G475" s="7"/>
      <c r="H475" s="7"/>
      <c r="I475" s="7"/>
      <c r="J475" s="7"/>
      <c r="K475" s="7"/>
      <c r="L475" s="7"/>
      <c r="M475" s="7"/>
      <c r="N475" s="7"/>
      <c r="O475" s="7"/>
      <c r="P475" s="293"/>
      <c r="Q475" s="7"/>
      <c r="R475" s="7"/>
      <c r="S475" s="279"/>
      <c r="T475" s="36"/>
      <c r="U475" s="7"/>
      <c r="V475" s="7"/>
      <c r="W475" s="7"/>
      <c r="X475" s="7"/>
      <c r="Y475" s="7"/>
      <c r="Z475" s="7"/>
      <c r="AA475" s="7"/>
      <c r="AB475" s="7"/>
      <c r="AC475" s="7"/>
      <c r="AD475" s="36"/>
      <c r="AE475" s="36"/>
    </row>
    <row r="476">
      <c r="A476" s="294"/>
      <c r="B476" s="7"/>
      <c r="C476" s="7"/>
      <c r="D476" s="7"/>
      <c r="E476" s="7"/>
      <c r="F476" s="7"/>
      <c r="G476" s="7"/>
      <c r="H476" s="7"/>
      <c r="I476" s="7"/>
      <c r="J476" s="7"/>
      <c r="K476" s="7"/>
      <c r="L476" s="7"/>
      <c r="M476" s="7"/>
      <c r="N476" s="7"/>
      <c r="O476" s="7"/>
      <c r="P476" s="293"/>
      <c r="Q476" s="7"/>
      <c r="R476" s="7"/>
      <c r="S476" s="279"/>
      <c r="T476" s="36"/>
      <c r="U476" s="7"/>
      <c r="V476" s="7"/>
      <c r="W476" s="7"/>
      <c r="X476" s="7"/>
      <c r="Y476" s="7"/>
      <c r="Z476" s="7"/>
      <c r="AA476" s="7"/>
      <c r="AB476" s="7"/>
      <c r="AC476" s="7"/>
      <c r="AD476" s="36"/>
      <c r="AE476" s="36"/>
    </row>
    <row r="477">
      <c r="A477" s="294"/>
      <c r="B477" s="7"/>
      <c r="C477" s="7"/>
      <c r="D477" s="7"/>
      <c r="E477" s="7"/>
      <c r="F477" s="7"/>
      <c r="G477" s="7"/>
      <c r="H477" s="7"/>
      <c r="I477" s="7"/>
      <c r="J477" s="7"/>
      <c r="K477" s="7"/>
      <c r="L477" s="7"/>
      <c r="M477" s="7"/>
      <c r="N477" s="7"/>
      <c r="O477" s="7"/>
      <c r="P477" s="293"/>
      <c r="Q477" s="7"/>
      <c r="R477" s="7"/>
      <c r="S477" s="279"/>
      <c r="T477" s="36"/>
      <c r="U477" s="7"/>
      <c r="V477" s="7"/>
      <c r="W477" s="7"/>
      <c r="X477" s="7"/>
      <c r="Y477" s="7"/>
      <c r="Z477" s="7"/>
      <c r="AA477" s="7"/>
      <c r="AB477" s="7"/>
      <c r="AC477" s="7"/>
      <c r="AD477" s="36"/>
      <c r="AE477" s="36"/>
    </row>
    <row r="478">
      <c r="A478" s="294"/>
      <c r="B478" s="7"/>
      <c r="C478" s="7"/>
      <c r="D478" s="7"/>
      <c r="E478" s="7"/>
      <c r="F478" s="7"/>
      <c r="G478" s="7"/>
      <c r="H478" s="7"/>
      <c r="I478" s="7"/>
      <c r="J478" s="7"/>
      <c r="K478" s="7"/>
      <c r="L478" s="7"/>
      <c r="M478" s="7"/>
      <c r="N478" s="7"/>
      <c r="O478" s="7"/>
      <c r="P478" s="293"/>
      <c r="Q478" s="7"/>
      <c r="R478" s="7"/>
      <c r="S478" s="279"/>
      <c r="T478" s="36"/>
      <c r="U478" s="7"/>
      <c r="V478" s="7"/>
      <c r="W478" s="7"/>
      <c r="X478" s="7"/>
      <c r="Y478" s="7"/>
      <c r="Z478" s="7"/>
      <c r="AA478" s="7"/>
      <c r="AB478" s="7"/>
      <c r="AC478" s="7"/>
      <c r="AD478" s="36"/>
      <c r="AE478" s="36"/>
    </row>
    <row r="479">
      <c r="A479" s="294"/>
      <c r="B479" s="7"/>
      <c r="C479" s="7"/>
      <c r="D479" s="7"/>
      <c r="E479" s="7"/>
      <c r="F479" s="7"/>
      <c r="G479" s="7"/>
      <c r="H479" s="7"/>
      <c r="I479" s="7"/>
      <c r="J479" s="7"/>
      <c r="K479" s="7"/>
      <c r="L479" s="7"/>
      <c r="M479" s="7"/>
      <c r="N479" s="7"/>
      <c r="O479" s="7"/>
      <c r="P479" s="293"/>
      <c r="Q479" s="7"/>
      <c r="R479" s="7"/>
      <c r="S479" s="279"/>
      <c r="T479" s="36"/>
      <c r="U479" s="7"/>
      <c r="V479" s="7"/>
      <c r="W479" s="7"/>
      <c r="X479" s="7"/>
      <c r="Y479" s="7"/>
      <c r="Z479" s="7"/>
      <c r="AA479" s="7"/>
      <c r="AB479" s="7"/>
      <c r="AC479" s="7"/>
      <c r="AD479" s="36"/>
      <c r="AE479" s="36"/>
    </row>
    <row r="480">
      <c r="A480" s="294"/>
      <c r="B480" s="7"/>
      <c r="C480" s="7"/>
      <c r="D480" s="7"/>
      <c r="E480" s="7"/>
      <c r="F480" s="7"/>
      <c r="G480" s="7"/>
      <c r="H480" s="7"/>
      <c r="I480" s="7"/>
      <c r="J480" s="7"/>
      <c r="K480" s="7"/>
      <c r="L480" s="7"/>
      <c r="M480" s="7"/>
      <c r="N480" s="7"/>
      <c r="O480" s="7"/>
      <c r="P480" s="293"/>
      <c r="Q480" s="7"/>
      <c r="R480" s="7"/>
      <c r="S480" s="279"/>
      <c r="T480" s="36"/>
      <c r="U480" s="7"/>
      <c r="V480" s="7"/>
      <c r="W480" s="7"/>
      <c r="X480" s="7"/>
      <c r="Y480" s="7"/>
      <c r="Z480" s="7"/>
      <c r="AA480" s="7"/>
      <c r="AB480" s="7"/>
      <c r="AC480" s="7"/>
      <c r="AD480" s="36"/>
      <c r="AE480" s="36"/>
    </row>
    <row r="481">
      <c r="A481" s="294"/>
      <c r="B481" s="7"/>
      <c r="C481" s="7"/>
      <c r="D481" s="7"/>
      <c r="E481" s="7"/>
      <c r="F481" s="7"/>
      <c r="G481" s="7"/>
      <c r="H481" s="7"/>
      <c r="I481" s="7"/>
      <c r="J481" s="7"/>
      <c r="K481" s="7"/>
      <c r="L481" s="7"/>
      <c r="M481" s="7"/>
      <c r="N481" s="7"/>
      <c r="O481" s="7"/>
      <c r="P481" s="293"/>
      <c r="Q481" s="7"/>
      <c r="R481" s="7"/>
      <c r="S481" s="279"/>
      <c r="T481" s="36"/>
      <c r="U481" s="7"/>
      <c r="V481" s="7"/>
      <c r="W481" s="7"/>
      <c r="X481" s="7"/>
      <c r="Y481" s="7"/>
      <c r="Z481" s="7"/>
      <c r="AA481" s="7"/>
      <c r="AB481" s="7"/>
      <c r="AC481" s="7"/>
      <c r="AD481" s="36"/>
      <c r="AE481" s="36"/>
    </row>
    <row r="482">
      <c r="A482" s="294"/>
      <c r="B482" s="7"/>
      <c r="C482" s="7"/>
      <c r="D482" s="7"/>
      <c r="E482" s="7"/>
      <c r="F482" s="7"/>
      <c r="G482" s="7"/>
      <c r="H482" s="7"/>
      <c r="I482" s="7"/>
      <c r="J482" s="7"/>
      <c r="K482" s="7"/>
      <c r="L482" s="7"/>
      <c r="M482" s="7"/>
      <c r="N482" s="7"/>
      <c r="O482" s="7"/>
      <c r="P482" s="293"/>
      <c r="Q482" s="7"/>
      <c r="R482" s="7"/>
      <c r="S482" s="279"/>
      <c r="T482" s="36"/>
      <c r="U482" s="7"/>
      <c r="V482" s="7"/>
      <c r="W482" s="7"/>
      <c r="X482" s="7"/>
      <c r="Y482" s="7"/>
      <c r="Z482" s="7"/>
      <c r="AA482" s="7"/>
      <c r="AB482" s="7"/>
      <c r="AC482" s="7"/>
      <c r="AD482" s="36"/>
      <c r="AE482" s="36"/>
    </row>
    <row r="483">
      <c r="A483" s="294"/>
      <c r="B483" s="7"/>
      <c r="C483" s="7"/>
      <c r="D483" s="7"/>
      <c r="E483" s="7"/>
      <c r="F483" s="7"/>
      <c r="G483" s="7"/>
      <c r="H483" s="7"/>
      <c r="I483" s="7"/>
      <c r="J483" s="7"/>
      <c r="K483" s="7"/>
      <c r="L483" s="7"/>
      <c r="M483" s="7"/>
      <c r="N483" s="7"/>
      <c r="O483" s="7"/>
      <c r="P483" s="293"/>
      <c r="Q483" s="7"/>
      <c r="R483" s="7"/>
      <c r="S483" s="279"/>
      <c r="T483" s="36"/>
      <c r="U483" s="7"/>
      <c r="V483" s="7"/>
      <c r="W483" s="7"/>
      <c r="X483" s="7"/>
      <c r="Y483" s="7"/>
      <c r="Z483" s="7"/>
      <c r="AA483" s="7"/>
      <c r="AB483" s="7"/>
      <c r="AC483" s="7"/>
      <c r="AD483" s="36"/>
      <c r="AE483" s="36"/>
    </row>
    <row r="484">
      <c r="A484" s="294"/>
      <c r="B484" s="7"/>
      <c r="C484" s="7"/>
      <c r="D484" s="7"/>
      <c r="E484" s="7"/>
      <c r="F484" s="7"/>
      <c r="G484" s="7"/>
      <c r="H484" s="7"/>
      <c r="I484" s="7"/>
      <c r="J484" s="7"/>
      <c r="K484" s="7"/>
      <c r="L484" s="7"/>
      <c r="M484" s="7"/>
      <c r="N484" s="7"/>
      <c r="O484" s="7"/>
      <c r="P484" s="293"/>
      <c r="Q484" s="7"/>
      <c r="R484" s="7"/>
      <c r="S484" s="279"/>
      <c r="T484" s="36"/>
      <c r="U484" s="7"/>
      <c r="V484" s="7"/>
      <c r="W484" s="7"/>
      <c r="X484" s="7"/>
      <c r="Y484" s="7"/>
      <c r="Z484" s="7"/>
      <c r="AA484" s="7"/>
      <c r="AB484" s="7"/>
      <c r="AC484" s="7"/>
      <c r="AD484" s="36"/>
      <c r="AE484" s="36"/>
    </row>
    <row r="485">
      <c r="A485" s="294"/>
      <c r="B485" s="7"/>
      <c r="C485" s="7"/>
      <c r="D485" s="7"/>
      <c r="E485" s="7"/>
      <c r="F485" s="7"/>
      <c r="G485" s="7"/>
      <c r="H485" s="7"/>
      <c r="I485" s="7"/>
      <c r="J485" s="7"/>
      <c r="K485" s="7"/>
      <c r="L485" s="7"/>
      <c r="M485" s="7"/>
      <c r="N485" s="7"/>
      <c r="O485" s="7"/>
      <c r="P485" s="293"/>
      <c r="Q485" s="7"/>
      <c r="R485" s="7"/>
      <c r="S485" s="279"/>
      <c r="T485" s="36"/>
      <c r="U485" s="7"/>
      <c r="V485" s="7"/>
      <c r="W485" s="7"/>
      <c r="X485" s="7"/>
      <c r="Y485" s="7"/>
      <c r="Z485" s="7"/>
      <c r="AA485" s="7"/>
      <c r="AB485" s="7"/>
      <c r="AC485" s="7"/>
      <c r="AD485" s="36"/>
      <c r="AE485" s="36"/>
    </row>
    <row r="486">
      <c r="A486" s="294"/>
      <c r="B486" s="7"/>
      <c r="C486" s="7"/>
      <c r="D486" s="7"/>
      <c r="E486" s="7"/>
      <c r="F486" s="7"/>
      <c r="G486" s="7"/>
      <c r="H486" s="7"/>
      <c r="I486" s="7"/>
      <c r="J486" s="7"/>
      <c r="K486" s="7"/>
      <c r="L486" s="7"/>
      <c r="M486" s="7"/>
      <c r="N486" s="7"/>
      <c r="O486" s="7"/>
      <c r="P486" s="293"/>
      <c r="Q486" s="7"/>
      <c r="R486" s="7"/>
      <c r="S486" s="279"/>
      <c r="T486" s="36"/>
      <c r="U486" s="7"/>
      <c r="V486" s="7"/>
      <c r="W486" s="7"/>
      <c r="X486" s="7"/>
      <c r="Y486" s="7"/>
      <c r="Z486" s="7"/>
      <c r="AA486" s="7"/>
      <c r="AB486" s="7"/>
      <c r="AC486" s="7"/>
      <c r="AD486" s="36"/>
      <c r="AE486" s="36"/>
    </row>
    <row r="487">
      <c r="A487" s="294"/>
      <c r="B487" s="7"/>
      <c r="C487" s="7"/>
      <c r="D487" s="7"/>
      <c r="E487" s="7"/>
      <c r="F487" s="7"/>
      <c r="G487" s="7"/>
      <c r="H487" s="7"/>
      <c r="I487" s="7"/>
      <c r="J487" s="7"/>
      <c r="K487" s="7"/>
      <c r="L487" s="7"/>
      <c r="M487" s="7"/>
      <c r="N487" s="7"/>
      <c r="O487" s="7"/>
      <c r="P487" s="293"/>
      <c r="Q487" s="7"/>
      <c r="R487" s="7"/>
      <c r="S487" s="279"/>
      <c r="T487" s="36"/>
      <c r="U487" s="7"/>
      <c r="V487" s="7"/>
      <c r="W487" s="7"/>
      <c r="X487" s="7"/>
      <c r="Y487" s="7"/>
      <c r="Z487" s="7"/>
      <c r="AA487" s="7"/>
      <c r="AB487" s="7"/>
      <c r="AC487" s="7"/>
      <c r="AD487" s="36"/>
      <c r="AE487" s="36"/>
    </row>
    <row r="488">
      <c r="A488" s="294"/>
      <c r="B488" s="7"/>
      <c r="C488" s="7"/>
      <c r="D488" s="7"/>
      <c r="E488" s="7"/>
      <c r="F488" s="7"/>
      <c r="G488" s="7"/>
      <c r="H488" s="7"/>
      <c r="I488" s="7"/>
      <c r="J488" s="7"/>
      <c r="K488" s="7"/>
      <c r="L488" s="7"/>
      <c r="M488" s="7"/>
      <c r="N488" s="7"/>
      <c r="O488" s="7"/>
      <c r="P488" s="293"/>
      <c r="Q488" s="7"/>
      <c r="R488" s="7"/>
      <c r="S488" s="279"/>
      <c r="T488" s="36"/>
      <c r="U488" s="7"/>
      <c r="V488" s="7"/>
      <c r="W488" s="7"/>
      <c r="X488" s="7"/>
      <c r="Y488" s="7"/>
      <c r="Z488" s="7"/>
      <c r="AA488" s="7"/>
      <c r="AB488" s="7"/>
      <c r="AC488" s="7"/>
      <c r="AD488" s="36"/>
      <c r="AE488" s="36"/>
    </row>
    <row r="489">
      <c r="A489" s="294"/>
      <c r="B489" s="7"/>
      <c r="C489" s="7"/>
      <c r="D489" s="7"/>
      <c r="E489" s="7"/>
      <c r="F489" s="7"/>
      <c r="G489" s="7"/>
      <c r="H489" s="7"/>
      <c r="I489" s="7"/>
      <c r="J489" s="7"/>
      <c r="K489" s="7"/>
      <c r="L489" s="7"/>
      <c r="M489" s="7"/>
      <c r="N489" s="7"/>
      <c r="O489" s="7"/>
      <c r="P489" s="293"/>
      <c r="Q489" s="7"/>
      <c r="R489" s="7"/>
      <c r="S489" s="279"/>
      <c r="T489" s="36"/>
      <c r="U489" s="7"/>
      <c r="V489" s="7"/>
      <c r="W489" s="7"/>
      <c r="X489" s="7"/>
      <c r="Y489" s="7"/>
      <c r="Z489" s="7"/>
      <c r="AA489" s="7"/>
      <c r="AB489" s="7"/>
      <c r="AC489" s="7"/>
      <c r="AD489" s="36"/>
      <c r="AE489" s="36"/>
    </row>
    <row r="490">
      <c r="A490" s="294"/>
      <c r="B490" s="7"/>
      <c r="C490" s="7"/>
      <c r="D490" s="7"/>
      <c r="E490" s="7"/>
      <c r="F490" s="7"/>
      <c r="G490" s="7"/>
      <c r="H490" s="7"/>
      <c r="I490" s="7"/>
      <c r="J490" s="7"/>
      <c r="K490" s="7"/>
      <c r="L490" s="7"/>
      <c r="M490" s="7"/>
      <c r="N490" s="7"/>
      <c r="O490" s="7"/>
      <c r="P490" s="293"/>
      <c r="Q490" s="7"/>
      <c r="R490" s="7"/>
      <c r="S490" s="279"/>
      <c r="T490" s="36"/>
      <c r="U490" s="7"/>
      <c r="V490" s="7"/>
      <c r="W490" s="7"/>
      <c r="X490" s="7"/>
      <c r="Y490" s="7"/>
      <c r="Z490" s="7"/>
      <c r="AA490" s="7"/>
      <c r="AB490" s="7"/>
      <c r="AC490" s="7"/>
      <c r="AD490" s="36"/>
      <c r="AE490" s="36"/>
    </row>
    <row r="491">
      <c r="A491" s="294"/>
      <c r="B491" s="7"/>
      <c r="C491" s="7"/>
      <c r="D491" s="7"/>
      <c r="E491" s="7"/>
      <c r="F491" s="7"/>
      <c r="G491" s="7"/>
      <c r="H491" s="7"/>
      <c r="I491" s="7"/>
      <c r="J491" s="7"/>
      <c r="K491" s="7"/>
      <c r="L491" s="7"/>
      <c r="M491" s="7"/>
      <c r="N491" s="7"/>
      <c r="O491" s="7"/>
      <c r="P491" s="293"/>
      <c r="Q491" s="7"/>
      <c r="R491" s="7"/>
      <c r="S491" s="279"/>
      <c r="T491" s="36"/>
      <c r="U491" s="7"/>
      <c r="V491" s="7"/>
      <c r="W491" s="7"/>
      <c r="X491" s="7"/>
      <c r="Y491" s="7"/>
      <c r="Z491" s="7"/>
      <c r="AA491" s="7"/>
      <c r="AB491" s="7"/>
      <c r="AC491" s="7"/>
      <c r="AD491" s="36"/>
      <c r="AE491" s="36"/>
    </row>
    <row r="492">
      <c r="A492" s="294"/>
      <c r="B492" s="7"/>
      <c r="C492" s="7"/>
      <c r="D492" s="7"/>
      <c r="E492" s="7"/>
      <c r="F492" s="7"/>
      <c r="G492" s="7"/>
      <c r="H492" s="7"/>
      <c r="I492" s="7"/>
      <c r="J492" s="7"/>
      <c r="K492" s="7"/>
      <c r="L492" s="7"/>
      <c r="M492" s="7"/>
      <c r="N492" s="7"/>
      <c r="O492" s="7"/>
      <c r="P492" s="293"/>
      <c r="Q492" s="7"/>
      <c r="R492" s="7"/>
      <c r="S492" s="279"/>
      <c r="T492" s="36"/>
      <c r="U492" s="7"/>
      <c r="V492" s="7"/>
      <c r="W492" s="7"/>
      <c r="X492" s="7"/>
      <c r="Y492" s="7"/>
      <c r="Z492" s="7"/>
      <c r="AA492" s="7"/>
      <c r="AB492" s="7"/>
      <c r="AC492" s="7"/>
      <c r="AD492" s="36"/>
      <c r="AE492" s="36"/>
    </row>
    <row r="493">
      <c r="A493" s="294"/>
      <c r="B493" s="7"/>
      <c r="C493" s="7"/>
      <c r="D493" s="7"/>
      <c r="E493" s="7"/>
      <c r="F493" s="7"/>
      <c r="G493" s="7"/>
      <c r="H493" s="7"/>
      <c r="I493" s="7"/>
      <c r="J493" s="7"/>
      <c r="K493" s="7"/>
      <c r="L493" s="7"/>
      <c r="M493" s="7"/>
      <c r="N493" s="7"/>
      <c r="O493" s="7"/>
      <c r="P493" s="293"/>
      <c r="Q493" s="7"/>
      <c r="R493" s="7"/>
      <c r="S493" s="279"/>
      <c r="T493" s="36"/>
      <c r="U493" s="7"/>
      <c r="V493" s="7"/>
      <c r="W493" s="7"/>
      <c r="X493" s="7"/>
      <c r="Y493" s="7"/>
      <c r="Z493" s="7"/>
      <c r="AA493" s="7"/>
      <c r="AB493" s="7"/>
      <c r="AC493" s="7"/>
      <c r="AD493" s="36"/>
      <c r="AE493" s="36"/>
    </row>
    <row r="494">
      <c r="A494" s="294"/>
      <c r="B494" s="7"/>
      <c r="C494" s="7"/>
      <c r="D494" s="7"/>
      <c r="E494" s="7"/>
      <c r="F494" s="7"/>
      <c r="G494" s="7"/>
      <c r="H494" s="7"/>
      <c r="I494" s="7"/>
      <c r="J494" s="7"/>
      <c r="K494" s="7"/>
      <c r="L494" s="7"/>
      <c r="M494" s="7"/>
      <c r="N494" s="7"/>
      <c r="O494" s="7"/>
      <c r="P494" s="293"/>
      <c r="Q494" s="7"/>
      <c r="R494" s="7"/>
      <c r="S494" s="279"/>
      <c r="T494" s="36"/>
      <c r="U494" s="7"/>
      <c r="V494" s="7"/>
      <c r="W494" s="7"/>
      <c r="X494" s="7"/>
      <c r="Y494" s="7"/>
      <c r="Z494" s="7"/>
      <c r="AA494" s="7"/>
      <c r="AB494" s="7"/>
      <c r="AC494" s="7"/>
      <c r="AD494" s="36"/>
      <c r="AE494" s="36"/>
    </row>
    <row r="495">
      <c r="A495" s="294"/>
      <c r="B495" s="7"/>
      <c r="C495" s="7"/>
      <c r="D495" s="7"/>
      <c r="E495" s="7"/>
      <c r="F495" s="7"/>
      <c r="G495" s="7"/>
      <c r="H495" s="7"/>
      <c r="I495" s="7"/>
      <c r="J495" s="7"/>
      <c r="K495" s="7"/>
      <c r="L495" s="7"/>
      <c r="M495" s="7"/>
      <c r="N495" s="7"/>
      <c r="O495" s="7"/>
      <c r="P495" s="293"/>
      <c r="Q495" s="7"/>
      <c r="R495" s="7"/>
      <c r="S495" s="279"/>
      <c r="T495" s="36"/>
      <c r="U495" s="7"/>
      <c r="V495" s="7"/>
      <c r="W495" s="7"/>
      <c r="X495" s="7"/>
      <c r="Y495" s="7"/>
      <c r="Z495" s="7"/>
      <c r="AA495" s="7"/>
      <c r="AB495" s="7"/>
      <c r="AC495" s="7"/>
      <c r="AD495" s="36"/>
      <c r="AE495" s="36"/>
    </row>
    <row r="496">
      <c r="A496" s="294"/>
      <c r="B496" s="7"/>
      <c r="C496" s="7"/>
      <c r="D496" s="7"/>
      <c r="E496" s="7"/>
      <c r="F496" s="7"/>
      <c r="G496" s="7"/>
      <c r="H496" s="7"/>
      <c r="I496" s="7"/>
      <c r="J496" s="7"/>
      <c r="K496" s="7"/>
      <c r="L496" s="7"/>
      <c r="M496" s="7"/>
      <c r="N496" s="7"/>
      <c r="O496" s="7"/>
      <c r="P496" s="293"/>
      <c r="Q496" s="7"/>
      <c r="R496" s="7"/>
      <c r="S496" s="279"/>
      <c r="T496" s="36"/>
      <c r="U496" s="7"/>
      <c r="V496" s="7"/>
      <c r="W496" s="7"/>
      <c r="X496" s="7"/>
      <c r="Y496" s="7"/>
      <c r="Z496" s="7"/>
      <c r="AA496" s="7"/>
      <c r="AB496" s="7"/>
      <c r="AC496" s="7"/>
      <c r="AD496" s="36"/>
      <c r="AE496" s="36"/>
    </row>
    <row r="497">
      <c r="A497" s="294"/>
      <c r="B497" s="7"/>
      <c r="C497" s="7"/>
      <c r="D497" s="7"/>
      <c r="E497" s="7"/>
      <c r="F497" s="7"/>
      <c r="G497" s="7"/>
      <c r="H497" s="7"/>
      <c r="I497" s="7"/>
      <c r="J497" s="7"/>
      <c r="K497" s="7"/>
      <c r="L497" s="7"/>
      <c r="M497" s="7"/>
      <c r="N497" s="7"/>
      <c r="O497" s="7"/>
      <c r="P497" s="293"/>
      <c r="Q497" s="7"/>
      <c r="R497" s="7"/>
      <c r="S497" s="279"/>
      <c r="T497" s="36"/>
      <c r="U497" s="7"/>
      <c r="V497" s="7"/>
      <c r="W497" s="7"/>
      <c r="X497" s="7"/>
      <c r="Y497" s="7"/>
      <c r="Z497" s="7"/>
      <c r="AA497" s="7"/>
      <c r="AB497" s="7"/>
      <c r="AC497" s="7"/>
      <c r="AD497" s="36"/>
      <c r="AE497" s="36"/>
    </row>
    <row r="498">
      <c r="A498" s="294"/>
      <c r="B498" s="7"/>
      <c r="C498" s="7"/>
      <c r="D498" s="7"/>
      <c r="E498" s="7"/>
      <c r="F498" s="7"/>
      <c r="G498" s="7"/>
      <c r="H498" s="7"/>
      <c r="I498" s="7"/>
      <c r="J498" s="7"/>
      <c r="K498" s="7"/>
      <c r="L498" s="7"/>
      <c r="M498" s="7"/>
      <c r="N498" s="7"/>
      <c r="O498" s="7"/>
      <c r="P498" s="293"/>
      <c r="Q498" s="7"/>
      <c r="R498" s="7"/>
      <c r="S498" s="279"/>
      <c r="T498" s="36"/>
      <c r="U498" s="7"/>
      <c r="V498" s="7"/>
      <c r="W498" s="7"/>
      <c r="X498" s="7"/>
      <c r="Y498" s="7"/>
      <c r="Z498" s="7"/>
      <c r="AA498" s="7"/>
      <c r="AB498" s="7"/>
      <c r="AC498" s="7"/>
      <c r="AD498" s="36"/>
      <c r="AE498" s="36"/>
    </row>
    <row r="499">
      <c r="A499" s="294"/>
      <c r="B499" s="7"/>
      <c r="C499" s="7"/>
      <c r="D499" s="7"/>
      <c r="E499" s="7"/>
      <c r="F499" s="7"/>
      <c r="G499" s="7"/>
      <c r="H499" s="7"/>
      <c r="I499" s="7"/>
      <c r="J499" s="7"/>
      <c r="K499" s="7"/>
      <c r="L499" s="7"/>
      <c r="M499" s="7"/>
      <c r="N499" s="7"/>
      <c r="O499" s="7"/>
      <c r="P499" s="293"/>
      <c r="Q499" s="7"/>
      <c r="R499" s="7"/>
      <c r="S499" s="279"/>
      <c r="T499" s="36"/>
      <c r="U499" s="7"/>
      <c r="V499" s="7"/>
      <c r="W499" s="7"/>
      <c r="X499" s="7"/>
      <c r="Y499" s="7"/>
      <c r="Z499" s="7"/>
      <c r="AA499" s="7"/>
      <c r="AB499" s="7"/>
      <c r="AC499" s="7"/>
      <c r="AD499" s="36"/>
      <c r="AE499" s="36"/>
    </row>
    <row r="500">
      <c r="A500" s="294"/>
      <c r="B500" s="7"/>
      <c r="C500" s="7"/>
      <c r="D500" s="7"/>
      <c r="E500" s="7"/>
      <c r="F500" s="7"/>
      <c r="G500" s="7"/>
      <c r="H500" s="7"/>
      <c r="I500" s="7"/>
      <c r="J500" s="7"/>
      <c r="K500" s="7"/>
      <c r="L500" s="7"/>
      <c r="M500" s="7"/>
      <c r="N500" s="7"/>
      <c r="O500" s="7"/>
      <c r="P500" s="293"/>
      <c r="Q500" s="7"/>
      <c r="R500" s="7"/>
      <c r="S500" s="279"/>
      <c r="T500" s="36"/>
      <c r="U500" s="7"/>
      <c r="V500" s="7"/>
      <c r="W500" s="7"/>
      <c r="X500" s="7"/>
      <c r="Y500" s="7"/>
      <c r="Z500" s="7"/>
      <c r="AA500" s="7"/>
      <c r="AB500" s="7"/>
      <c r="AC500" s="7"/>
      <c r="AD500" s="36"/>
      <c r="AE500" s="36"/>
    </row>
    <row r="501">
      <c r="A501" s="294"/>
      <c r="B501" s="7"/>
      <c r="C501" s="7"/>
      <c r="D501" s="7"/>
      <c r="E501" s="7"/>
      <c r="F501" s="7"/>
      <c r="G501" s="7"/>
      <c r="H501" s="7"/>
      <c r="I501" s="7"/>
      <c r="J501" s="7"/>
      <c r="K501" s="7"/>
      <c r="L501" s="7"/>
      <c r="M501" s="7"/>
      <c r="N501" s="7"/>
      <c r="O501" s="7"/>
      <c r="P501" s="293"/>
      <c r="Q501" s="7"/>
      <c r="R501" s="7"/>
      <c r="S501" s="279"/>
      <c r="T501" s="36"/>
      <c r="U501" s="7"/>
      <c r="V501" s="7"/>
      <c r="W501" s="7"/>
      <c r="X501" s="7"/>
      <c r="Y501" s="7"/>
      <c r="Z501" s="7"/>
      <c r="AA501" s="7"/>
      <c r="AB501" s="7"/>
      <c r="AC501" s="7"/>
      <c r="AD501" s="36"/>
      <c r="AE501" s="36"/>
    </row>
    <row r="502">
      <c r="A502" s="294"/>
      <c r="B502" s="7"/>
      <c r="C502" s="7"/>
      <c r="D502" s="7"/>
      <c r="E502" s="7"/>
      <c r="F502" s="7"/>
      <c r="G502" s="7"/>
      <c r="H502" s="7"/>
      <c r="I502" s="7"/>
      <c r="J502" s="7"/>
      <c r="K502" s="7"/>
      <c r="L502" s="7"/>
      <c r="M502" s="7"/>
      <c r="N502" s="7"/>
      <c r="O502" s="7"/>
      <c r="P502" s="293"/>
      <c r="Q502" s="7"/>
      <c r="R502" s="7"/>
      <c r="S502" s="279"/>
      <c r="T502" s="36"/>
      <c r="U502" s="7"/>
      <c r="V502" s="7"/>
      <c r="W502" s="7"/>
      <c r="X502" s="7"/>
      <c r="Y502" s="7"/>
      <c r="Z502" s="7"/>
      <c r="AA502" s="7"/>
      <c r="AB502" s="7"/>
      <c r="AC502" s="7"/>
      <c r="AD502" s="36"/>
      <c r="AE502" s="36"/>
    </row>
    <row r="503">
      <c r="A503" s="294"/>
      <c r="B503" s="7"/>
      <c r="C503" s="7"/>
      <c r="D503" s="7"/>
      <c r="E503" s="7"/>
      <c r="F503" s="7"/>
      <c r="G503" s="7"/>
      <c r="H503" s="7"/>
      <c r="I503" s="7"/>
      <c r="J503" s="7"/>
      <c r="K503" s="7"/>
      <c r="L503" s="7"/>
      <c r="M503" s="7"/>
      <c r="N503" s="7"/>
      <c r="O503" s="7"/>
      <c r="P503" s="293"/>
      <c r="Q503" s="7"/>
      <c r="R503" s="7"/>
      <c r="S503" s="279"/>
      <c r="T503" s="36"/>
      <c r="U503" s="7"/>
      <c r="V503" s="7"/>
      <c r="W503" s="7"/>
      <c r="X503" s="7"/>
      <c r="Y503" s="7"/>
      <c r="Z503" s="7"/>
      <c r="AA503" s="7"/>
      <c r="AB503" s="7"/>
      <c r="AC503" s="7"/>
      <c r="AD503" s="36"/>
      <c r="AE503" s="36"/>
    </row>
    <row r="504">
      <c r="A504" s="294"/>
      <c r="B504" s="7"/>
      <c r="C504" s="7"/>
      <c r="D504" s="7"/>
      <c r="E504" s="7"/>
      <c r="F504" s="7"/>
      <c r="G504" s="7"/>
      <c r="H504" s="7"/>
      <c r="I504" s="7"/>
      <c r="J504" s="7"/>
      <c r="K504" s="7"/>
      <c r="L504" s="7"/>
      <c r="M504" s="7"/>
      <c r="N504" s="7"/>
      <c r="O504" s="7"/>
      <c r="P504" s="293"/>
      <c r="Q504" s="7"/>
      <c r="R504" s="7"/>
      <c r="S504" s="279"/>
      <c r="T504" s="36"/>
      <c r="U504" s="7"/>
      <c r="V504" s="7"/>
      <c r="W504" s="7"/>
      <c r="X504" s="7"/>
      <c r="Y504" s="7"/>
      <c r="Z504" s="7"/>
      <c r="AA504" s="7"/>
      <c r="AB504" s="7"/>
      <c r="AC504" s="7"/>
      <c r="AD504" s="36"/>
      <c r="AE504" s="36"/>
    </row>
    <row r="505">
      <c r="A505" s="294"/>
      <c r="B505" s="7"/>
      <c r="C505" s="7"/>
      <c r="D505" s="7"/>
      <c r="E505" s="7"/>
      <c r="F505" s="7"/>
      <c r="G505" s="7"/>
      <c r="H505" s="7"/>
      <c r="I505" s="7"/>
      <c r="J505" s="7"/>
      <c r="K505" s="7"/>
      <c r="L505" s="7"/>
      <c r="M505" s="7"/>
      <c r="N505" s="7"/>
      <c r="O505" s="7"/>
      <c r="P505" s="293"/>
      <c r="Q505" s="7"/>
      <c r="R505" s="7"/>
      <c r="S505" s="279"/>
      <c r="T505" s="36"/>
      <c r="U505" s="7"/>
      <c r="V505" s="7"/>
      <c r="W505" s="7"/>
      <c r="X505" s="7"/>
      <c r="Y505" s="7"/>
      <c r="Z505" s="7"/>
      <c r="AA505" s="7"/>
      <c r="AB505" s="7"/>
      <c r="AC505" s="7"/>
      <c r="AD505" s="36"/>
      <c r="AE505" s="36"/>
    </row>
    <row r="506">
      <c r="A506" s="294"/>
      <c r="B506" s="7"/>
      <c r="C506" s="7"/>
      <c r="D506" s="7"/>
      <c r="E506" s="7"/>
      <c r="F506" s="7"/>
      <c r="G506" s="7"/>
      <c r="H506" s="7"/>
      <c r="I506" s="7"/>
      <c r="J506" s="7"/>
      <c r="K506" s="7"/>
      <c r="L506" s="7"/>
      <c r="M506" s="7"/>
      <c r="N506" s="7"/>
      <c r="O506" s="7"/>
      <c r="P506" s="293"/>
      <c r="Q506" s="7"/>
      <c r="R506" s="7"/>
      <c r="S506" s="279"/>
      <c r="T506" s="36"/>
      <c r="U506" s="7"/>
      <c r="V506" s="7"/>
      <c r="W506" s="7"/>
      <c r="X506" s="7"/>
      <c r="Y506" s="7"/>
      <c r="Z506" s="7"/>
      <c r="AA506" s="7"/>
      <c r="AB506" s="7"/>
      <c r="AC506" s="7"/>
      <c r="AD506" s="36"/>
      <c r="AE506" s="36"/>
    </row>
    <row r="507">
      <c r="A507" s="294"/>
      <c r="B507" s="7"/>
      <c r="C507" s="7"/>
      <c r="D507" s="7"/>
      <c r="E507" s="7"/>
      <c r="F507" s="7"/>
      <c r="G507" s="7"/>
      <c r="H507" s="7"/>
      <c r="I507" s="7"/>
      <c r="J507" s="7"/>
      <c r="K507" s="7"/>
      <c r="L507" s="7"/>
      <c r="M507" s="7"/>
      <c r="N507" s="7"/>
      <c r="O507" s="7"/>
      <c r="P507" s="293"/>
      <c r="Q507" s="7"/>
      <c r="R507" s="7"/>
      <c r="S507" s="279"/>
      <c r="T507" s="36"/>
      <c r="U507" s="7"/>
      <c r="V507" s="7"/>
      <c r="W507" s="7"/>
      <c r="X507" s="7"/>
      <c r="Y507" s="7"/>
      <c r="Z507" s="7"/>
      <c r="AA507" s="7"/>
      <c r="AB507" s="7"/>
      <c r="AC507" s="7"/>
      <c r="AD507" s="36"/>
      <c r="AE507" s="36"/>
    </row>
    <row r="508">
      <c r="A508" s="294"/>
      <c r="B508" s="7"/>
      <c r="C508" s="7"/>
      <c r="D508" s="7"/>
      <c r="E508" s="7"/>
      <c r="F508" s="7"/>
      <c r="G508" s="7"/>
      <c r="H508" s="7"/>
      <c r="I508" s="7"/>
      <c r="J508" s="7"/>
      <c r="K508" s="7"/>
      <c r="L508" s="7"/>
      <c r="M508" s="7"/>
      <c r="N508" s="7"/>
      <c r="O508" s="7"/>
      <c r="P508" s="293"/>
      <c r="Q508" s="7"/>
      <c r="R508" s="7"/>
      <c r="S508" s="279"/>
      <c r="T508" s="36"/>
      <c r="U508" s="7"/>
      <c r="V508" s="7"/>
      <c r="W508" s="7"/>
      <c r="X508" s="7"/>
      <c r="Y508" s="7"/>
      <c r="Z508" s="7"/>
      <c r="AA508" s="7"/>
      <c r="AB508" s="7"/>
      <c r="AC508" s="7"/>
      <c r="AD508" s="36"/>
      <c r="AE508" s="36"/>
    </row>
    <row r="509">
      <c r="A509" s="294"/>
      <c r="B509" s="7"/>
      <c r="C509" s="7"/>
      <c r="D509" s="7"/>
      <c r="E509" s="7"/>
      <c r="F509" s="7"/>
      <c r="G509" s="7"/>
      <c r="H509" s="7"/>
      <c r="I509" s="7"/>
      <c r="J509" s="7"/>
      <c r="K509" s="7"/>
      <c r="L509" s="7"/>
      <c r="M509" s="7"/>
      <c r="N509" s="7"/>
      <c r="O509" s="7"/>
      <c r="P509" s="293"/>
      <c r="Q509" s="7"/>
      <c r="R509" s="7"/>
      <c r="S509" s="279"/>
      <c r="T509" s="36"/>
      <c r="U509" s="7"/>
      <c r="V509" s="7"/>
      <c r="W509" s="7"/>
      <c r="X509" s="7"/>
      <c r="Y509" s="7"/>
      <c r="Z509" s="7"/>
      <c r="AA509" s="7"/>
      <c r="AB509" s="7"/>
      <c r="AC509" s="7"/>
      <c r="AD509" s="36"/>
      <c r="AE509" s="36"/>
    </row>
    <row r="510">
      <c r="A510" s="294"/>
      <c r="B510" s="7"/>
      <c r="C510" s="7"/>
      <c r="D510" s="7"/>
      <c r="E510" s="7"/>
      <c r="F510" s="7"/>
      <c r="G510" s="7"/>
      <c r="H510" s="7"/>
      <c r="I510" s="7"/>
      <c r="J510" s="7"/>
      <c r="K510" s="7"/>
      <c r="L510" s="7"/>
      <c r="M510" s="7"/>
      <c r="N510" s="7"/>
      <c r="O510" s="7"/>
      <c r="P510" s="293"/>
      <c r="Q510" s="7"/>
      <c r="R510" s="7"/>
      <c r="S510" s="279"/>
      <c r="T510" s="36"/>
      <c r="U510" s="7"/>
      <c r="V510" s="7"/>
      <c r="W510" s="7"/>
      <c r="X510" s="7"/>
      <c r="Y510" s="7"/>
      <c r="Z510" s="7"/>
      <c r="AA510" s="7"/>
      <c r="AB510" s="7"/>
      <c r="AC510" s="7"/>
      <c r="AD510" s="36"/>
      <c r="AE510" s="36"/>
    </row>
    <row r="511">
      <c r="A511" s="294"/>
      <c r="B511" s="7"/>
      <c r="C511" s="7"/>
      <c r="D511" s="7"/>
      <c r="E511" s="7"/>
      <c r="F511" s="7"/>
      <c r="G511" s="7"/>
      <c r="H511" s="7"/>
      <c r="I511" s="7"/>
      <c r="J511" s="7"/>
      <c r="K511" s="7"/>
      <c r="L511" s="7"/>
      <c r="M511" s="7"/>
      <c r="N511" s="7"/>
      <c r="O511" s="7"/>
      <c r="P511" s="293"/>
      <c r="Q511" s="7"/>
      <c r="R511" s="7"/>
      <c r="S511" s="279"/>
      <c r="T511" s="36"/>
      <c r="U511" s="7"/>
      <c r="V511" s="7"/>
      <c r="W511" s="7"/>
      <c r="X511" s="7"/>
      <c r="Y511" s="7"/>
      <c r="Z511" s="7"/>
      <c r="AA511" s="7"/>
      <c r="AB511" s="7"/>
      <c r="AC511" s="7"/>
      <c r="AD511" s="36"/>
      <c r="AE511" s="36"/>
    </row>
    <row r="512">
      <c r="A512" s="294"/>
      <c r="B512" s="7"/>
      <c r="C512" s="7"/>
      <c r="D512" s="7"/>
      <c r="E512" s="7"/>
      <c r="F512" s="7"/>
      <c r="G512" s="7"/>
      <c r="H512" s="7"/>
      <c r="I512" s="7"/>
      <c r="J512" s="7"/>
      <c r="K512" s="7"/>
      <c r="L512" s="7"/>
      <c r="M512" s="7"/>
      <c r="N512" s="7"/>
      <c r="O512" s="7"/>
      <c r="P512" s="293"/>
      <c r="Q512" s="7"/>
      <c r="R512" s="7"/>
      <c r="S512" s="279"/>
      <c r="T512" s="36"/>
      <c r="U512" s="7"/>
      <c r="V512" s="7"/>
      <c r="W512" s="7"/>
      <c r="X512" s="7"/>
      <c r="Y512" s="7"/>
      <c r="Z512" s="7"/>
      <c r="AA512" s="7"/>
      <c r="AB512" s="7"/>
      <c r="AC512" s="7"/>
      <c r="AD512" s="36"/>
      <c r="AE512" s="36"/>
    </row>
    <row r="513">
      <c r="A513" s="294"/>
      <c r="B513" s="7"/>
      <c r="C513" s="7"/>
      <c r="D513" s="7"/>
      <c r="E513" s="7"/>
      <c r="F513" s="7"/>
      <c r="G513" s="7"/>
      <c r="H513" s="7"/>
      <c r="I513" s="7"/>
      <c r="J513" s="7"/>
      <c r="K513" s="7"/>
      <c r="L513" s="7"/>
      <c r="M513" s="7"/>
      <c r="N513" s="7"/>
      <c r="O513" s="7"/>
      <c r="P513" s="293"/>
      <c r="Q513" s="7"/>
      <c r="R513" s="7"/>
      <c r="S513" s="279"/>
      <c r="T513" s="36"/>
      <c r="U513" s="7"/>
      <c r="V513" s="7"/>
      <c r="W513" s="7"/>
      <c r="X513" s="7"/>
      <c r="Y513" s="7"/>
      <c r="Z513" s="7"/>
      <c r="AA513" s="7"/>
      <c r="AB513" s="7"/>
      <c r="AC513" s="7"/>
      <c r="AD513" s="36"/>
      <c r="AE513" s="36"/>
    </row>
    <row r="514">
      <c r="A514" s="294"/>
      <c r="B514" s="7"/>
      <c r="C514" s="7"/>
      <c r="D514" s="7"/>
      <c r="E514" s="7"/>
      <c r="F514" s="7"/>
      <c r="G514" s="7"/>
      <c r="H514" s="7"/>
      <c r="I514" s="7"/>
      <c r="J514" s="7"/>
      <c r="K514" s="7"/>
      <c r="L514" s="7"/>
      <c r="M514" s="7"/>
      <c r="N514" s="7"/>
      <c r="O514" s="7"/>
      <c r="P514" s="293"/>
      <c r="Q514" s="7"/>
      <c r="R514" s="7"/>
      <c r="S514" s="279"/>
      <c r="T514" s="36"/>
      <c r="U514" s="7"/>
      <c r="V514" s="7"/>
      <c r="W514" s="7"/>
      <c r="X514" s="7"/>
      <c r="Y514" s="7"/>
      <c r="Z514" s="7"/>
      <c r="AA514" s="7"/>
      <c r="AB514" s="7"/>
      <c r="AC514" s="7"/>
      <c r="AD514" s="36"/>
      <c r="AE514" s="36"/>
    </row>
    <row r="515">
      <c r="A515" s="294"/>
      <c r="B515" s="7"/>
      <c r="C515" s="7"/>
      <c r="D515" s="7"/>
      <c r="E515" s="7"/>
      <c r="F515" s="7"/>
      <c r="G515" s="7"/>
      <c r="H515" s="7"/>
      <c r="I515" s="7"/>
      <c r="J515" s="7"/>
      <c r="K515" s="7"/>
      <c r="L515" s="7"/>
      <c r="M515" s="7"/>
      <c r="N515" s="7"/>
      <c r="O515" s="7"/>
      <c r="P515" s="293"/>
      <c r="Q515" s="7"/>
      <c r="R515" s="7"/>
      <c r="S515" s="279"/>
      <c r="T515" s="36"/>
      <c r="U515" s="7"/>
      <c r="V515" s="7"/>
      <c r="W515" s="7"/>
      <c r="X515" s="7"/>
      <c r="Y515" s="7"/>
      <c r="Z515" s="7"/>
      <c r="AA515" s="7"/>
      <c r="AB515" s="7"/>
      <c r="AC515" s="7"/>
      <c r="AD515" s="36"/>
      <c r="AE515" s="36"/>
    </row>
    <row r="516">
      <c r="A516" s="294"/>
      <c r="B516" s="7"/>
      <c r="C516" s="7"/>
      <c r="D516" s="7"/>
      <c r="E516" s="7"/>
      <c r="F516" s="7"/>
      <c r="G516" s="7"/>
      <c r="H516" s="7"/>
      <c r="I516" s="7"/>
      <c r="J516" s="7"/>
      <c r="K516" s="7"/>
      <c r="L516" s="7"/>
      <c r="M516" s="7"/>
      <c r="N516" s="7"/>
      <c r="O516" s="7"/>
      <c r="P516" s="293"/>
      <c r="Q516" s="7"/>
      <c r="R516" s="7"/>
      <c r="S516" s="279"/>
      <c r="T516" s="36"/>
      <c r="U516" s="7"/>
      <c r="V516" s="7"/>
      <c r="W516" s="7"/>
      <c r="X516" s="7"/>
      <c r="Y516" s="7"/>
      <c r="Z516" s="7"/>
      <c r="AA516" s="7"/>
      <c r="AB516" s="7"/>
      <c r="AC516" s="7"/>
      <c r="AD516" s="36"/>
      <c r="AE516" s="36"/>
    </row>
    <row r="517">
      <c r="A517" s="294"/>
      <c r="B517" s="7"/>
      <c r="C517" s="7"/>
      <c r="D517" s="7"/>
      <c r="E517" s="7"/>
      <c r="F517" s="7"/>
      <c r="G517" s="7"/>
      <c r="H517" s="7"/>
      <c r="I517" s="7"/>
      <c r="J517" s="7"/>
      <c r="K517" s="7"/>
      <c r="L517" s="7"/>
      <c r="M517" s="7"/>
      <c r="N517" s="7"/>
      <c r="O517" s="7"/>
      <c r="P517" s="293"/>
      <c r="Q517" s="7"/>
      <c r="R517" s="7"/>
      <c r="S517" s="279"/>
      <c r="T517" s="36"/>
      <c r="U517" s="7"/>
      <c r="V517" s="7"/>
      <c r="W517" s="7"/>
      <c r="X517" s="7"/>
      <c r="Y517" s="7"/>
      <c r="Z517" s="7"/>
      <c r="AA517" s="7"/>
      <c r="AB517" s="7"/>
      <c r="AC517" s="7"/>
      <c r="AD517" s="36"/>
      <c r="AE517" s="36"/>
    </row>
    <row r="518">
      <c r="A518" s="294"/>
      <c r="B518" s="7"/>
      <c r="C518" s="7"/>
      <c r="D518" s="7"/>
      <c r="E518" s="7"/>
      <c r="F518" s="7"/>
      <c r="G518" s="7"/>
      <c r="H518" s="7"/>
      <c r="I518" s="7"/>
      <c r="J518" s="7"/>
      <c r="K518" s="7"/>
      <c r="L518" s="7"/>
      <c r="M518" s="7"/>
      <c r="N518" s="7"/>
      <c r="O518" s="7"/>
      <c r="P518" s="293"/>
      <c r="Q518" s="7"/>
      <c r="R518" s="7"/>
      <c r="S518" s="279"/>
      <c r="T518" s="36"/>
      <c r="U518" s="7"/>
      <c r="V518" s="7"/>
      <c r="W518" s="7"/>
      <c r="X518" s="7"/>
      <c r="Y518" s="7"/>
      <c r="Z518" s="7"/>
      <c r="AA518" s="7"/>
      <c r="AB518" s="7"/>
      <c r="AC518" s="7"/>
      <c r="AD518" s="36"/>
      <c r="AE518" s="36"/>
    </row>
    <row r="519">
      <c r="A519" s="294"/>
      <c r="B519" s="7"/>
      <c r="C519" s="7"/>
      <c r="D519" s="7"/>
      <c r="E519" s="7"/>
      <c r="F519" s="7"/>
      <c r="G519" s="7"/>
      <c r="H519" s="7"/>
      <c r="I519" s="7"/>
      <c r="J519" s="7"/>
      <c r="K519" s="7"/>
      <c r="L519" s="7"/>
      <c r="M519" s="7"/>
      <c r="N519" s="7"/>
      <c r="O519" s="7"/>
      <c r="P519" s="293"/>
      <c r="Q519" s="7"/>
      <c r="R519" s="7"/>
      <c r="S519" s="279"/>
      <c r="T519" s="36"/>
      <c r="U519" s="7"/>
      <c r="V519" s="7"/>
      <c r="W519" s="7"/>
      <c r="X519" s="7"/>
      <c r="Y519" s="7"/>
      <c r="Z519" s="7"/>
      <c r="AA519" s="7"/>
      <c r="AB519" s="7"/>
      <c r="AC519" s="7"/>
      <c r="AD519" s="36"/>
      <c r="AE519" s="36"/>
    </row>
    <row r="520">
      <c r="A520" s="294"/>
      <c r="B520" s="7"/>
      <c r="C520" s="7"/>
      <c r="D520" s="7"/>
      <c r="E520" s="7"/>
      <c r="F520" s="7"/>
      <c r="G520" s="7"/>
      <c r="H520" s="7"/>
      <c r="I520" s="7"/>
      <c r="J520" s="7"/>
      <c r="K520" s="7"/>
      <c r="L520" s="7"/>
      <c r="M520" s="7"/>
      <c r="N520" s="7"/>
      <c r="O520" s="7"/>
      <c r="P520" s="293"/>
      <c r="Q520" s="7"/>
      <c r="R520" s="7"/>
      <c r="S520" s="279"/>
      <c r="T520" s="36"/>
      <c r="U520" s="7"/>
      <c r="V520" s="7"/>
      <c r="W520" s="7"/>
      <c r="X520" s="7"/>
      <c r="Y520" s="7"/>
      <c r="Z520" s="7"/>
      <c r="AA520" s="7"/>
      <c r="AB520" s="7"/>
      <c r="AC520" s="7"/>
      <c r="AD520" s="36"/>
      <c r="AE520" s="36"/>
    </row>
    <row r="521">
      <c r="A521" s="294"/>
      <c r="B521" s="7"/>
      <c r="C521" s="7"/>
      <c r="D521" s="7"/>
      <c r="E521" s="7"/>
      <c r="F521" s="7"/>
      <c r="G521" s="7"/>
      <c r="H521" s="7"/>
      <c r="I521" s="7"/>
      <c r="J521" s="7"/>
      <c r="K521" s="7"/>
      <c r="L521" s="7"/>
      <c r="M521" s="7"/>
      <c r="N521" s="7"/>
      <c r="O521" s="7"/>
      <c r="P521" s="293"/>
      <c r="Q521" s="7"/>
      <c r="R521" s="7"/>
      <c r="S521" s="279"/>
      <c r="T521" s="36"/>
      <c r="U521" s="7"/>
      <c r="V521" s="7"/>
      <c r="W521" s="7"/>
      <c r="X521" s="7"/>
      <c r="Y521" s="7"/>
      <c r="Z521" s="7"/>
      <c r="AA521" s="7"/>
      <c r="AB521" s="7"/>
      <c r="AC521" s="7"/>
      <c r="AD521" s="36"/>
      <c r="AE521" s="36"/>
    </row>
    <row r="522">
      <c r="A522" s="294"/>
      <c r="B522" s="7"/>
      <c r="C522" s="7"/>
      <c r="D522" s="7"/>
      <c r="E522" s="7"/>
      <c r="F522" s="7"/>
      <c r="G522" s="7"/>
      <c r="H522" s="7"/>
      <c r="I522" s="7"/>
      <c r="J522" s="7"/>
      <c r="K522" s="7"/>
      <c r="L522" s="7"/>
      <c r="M522" s="7"/>
      <c r="N522" s="7"/>
      <c r="O522" s="7"/>
      <c r="P522" s="293"/>
      <c r="Q522" s="7"/>
      <c r="R522" s="7"/>
      <c r="S522" s="279"/>
      <c r="T522" s="36"/>
      <c r="U522" s="7"/>
      <c r="V522" s="7"/>
      <c r="W522" s="7"/>
      <c r="X522" s="7"/>
      <c r="Y522" s="7"/>
      <c r="Z522" s="7"/>
      <c r="AA522" s="7"/>
      <c r="AB522" s="7"/>
      <c r="AC522" s="7"/>
      <c r="AD522" s="36"/>
      <c r="AE522" s="36"/>
    </row>
  </sheetData>
  <conditionalFormatting sqref="W2:W522">
    <cfRule type="cellIs" dxfId="4" priority="1" operator="greaterThan">
      <formula>0</formula>
    </cfRule>
  </conditionalFormatting>
  <conditionalFormatting sqref="X2:X522">
    <cfRule type="cellIs" dxfId="5" priority="2" operator="greaterThan">
      <formula>0</formula>
    </cfRule>
  </conditionalFormatting>
  <conditionalFormatting sqref="Y2:Y522">
    <cfRule type="cellIs" dxfId="6" priority="3" operator="greaterThan">
      <formula>0</formula>
    </cfRule>
  </conditionalFormatting>
  <conditionalFormatting sqref="Z2:Z522">
    <cfRule type="cellIs" dxfId="7" priority="4" operator="greaterThan">
      <formula>0</formula>
    </cfRule>
  </conditionalFormatting>
  <conditionalFormatting sqref="AA2:AA522">
    <cfRule type="cellIs" dxfId="8" priority="5" operator="greaterThan">
      <formula>0</formula>
    </cfRule>
  </conditionalFormatting>
  <conditionalFormatting sqref="D2:D522">
    <cfRule type="cellIs" dxfId="4" priority="6" operator="greaterThan">
      <formula>0</formula>
    </cfRule>
  </conditionalFormatting>
  <conditionalFormatting sqref="E2:E522">
    <cfRule type="cellIs" dxfId="5" priority="7" operator="greaterThan">
      <formula>0</formula>
    </cfRule>
  </conditionalFormatting>
  <conditionalFormatting sqref="F2:F522">
    <cfRule type="cellIs" dxfId="6" priority="8" operator="greaterThan">
      <formula>0</formula>
    </cfRule>
  </conditionalFormatting>
  <conditionalFormatting sqref="G2:G522">
    <cfRule type="cellIs" dxfId="7" priority="9" operator="greaterThan">
      <formula>0</formula>
    </cfRule>
  </conditionalFormatting>
  <conditionalFormatting sqref="H2:H522">
    <cfRule type="cellIs" dxfId="9" priority="10" operator="greaterThan">
      <formula>0</formula>
    </cfRule>
  </conditionalFormatting>
  <conditionalFormatting sqref="A2:A522 T2">
    <cfRule type="expression" dxfId="10" priority="11">
      <formula>M2</formula>
    </cfRule>
  </conditionalFormatting>
  <conditionalFormatting sqref="J1">
    <cfRule type="notContainsText" dxfId="0" priority="12" operator="notContains" text="ERROR">
      <formula>ISERROR(SEARCH(("ERROR"),(J1)))</formula>
    </cfRule>
  </conditionalFormatting>
  <conditionalFormatting sqref="J1">
    <cfRule type="containsText" dxfId="1" priority="13" operator="containsText" text="ERROR">
      <formula>NOT(ISERROR(SEARCH(("ERROR"),(J1))))</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5" max="15" width="44.25"/>
  </cols>
  <sheetData>
    <row r="1">
      <c r="A1" s="295" t="s">
        <v>597</v>
      </c>
      <c r="C1" s="2" t="s">
        <v>598</v>
      </c>
    </row>
    <row r="2">
      <c r="A2" s="296" t="s">
        <v>156</v>
      </c>
      <c r="B2" s="52" t="s">
        <v>133</v>
      </c>
      <c r="C2" s="52" t="s">
        <v>134</v>
      </c>
      <c r="D2" s="52" t="s">
        <v>136</v>
      </c>
      <c r="E2" s="52" t="s">
        <v>137</v>
      </c>
      <c r="F2" s="52" t="s">
        <v>157</v>
      </c>
      <c r="G2" s="52" t="s">
        <v>158</v>
      </c>
      <c r="H2" s="52" t="s">
        <v>159</v>
      </c>
      <c r="I2" s="52" t="s">
        <v>160</v>
      </c>
      <c r="J2" s="52" t="s">
        <v>161</v>
      </c>
      <c r="K2" s="52" t="s">
        <v>599</v>
      </c>
      <c r="L2" s="52" t="s">
        <v>140</v>
      </c>
      <c r="M2" s="52" t="s">
        <v>141</v>
      </c>
      <c r="N2" s="52" t="s">
        <v>600</v>
      </c>
      <c r="O2" s="52" t="s">
        <v>144</v>
      </c>
      <c r="P2" s="297"/>
      <c r="Q2" s="44"/>
      <c r="R2" s="44"/>
      <c r="S2" s="44"/>
      <c r="T2" s="44"/>
      <c r="U2" s="44"/>
      <c r="V2" s="44"/>
      <c r="W2" s="44"/>
      <c r="X2" s="44"/>
      <c r="Y2" s="44"/>
      <c r="Z2" s="44"/>
    </row>
    <row r="3">
      <c r="A3" s="295" t="s">
        <v>479</v>
      </c>
      <c r="B3" s="298">
        <v>44837.0</v>
      </c>
      <c r="C3" s="299">
        <v>0.19859953703703703</v>
      </c>
      <c r="H3" s="55"/>
      <c r="K3" s="2" t="s">
        <v>228</v>
      </c>
      <c r="L3" s="298">
        <v>44837.0</v>
      </c>
      <c r="M3" s="299">
        <v>0.510150462962963</v>
      </c>
    </row>
    <row r="4">
      <c r="A4" s="295" t="s">
        <v>479</v>
      </c>
      <c r="B4" s="298">
        <v>44837.0</v>
      </c>
      <c r="C4" s="299">
        <v>0.19859953703703703</v>
      </c>
      <c r="H4" s="57"/>
      <c r="K4" s="2" t="s">
        <v>228</v>
      </c>
      <c r="L4" s="298">
        <v>44837.0</v>
      </c>
      <c r="M4" s="299">
        <v>0.510150462962963</v>
      </c>
    </row>
    <row r="5">
      <c r="A5" s="295" t="s">
        <v>479</v>
      </c>
      <c r="B5" s="298">
        <v>44837.0</v>
      </c>
      <c r="C5" s="299">
        <v>0.19859953703703703</v>
      </c>
      <c r="H5" s="57"/>
      <c r="K5" s="2" t="s">
        <v>228</v>
      </c>
      <c r="L5" s="298">
        <v>44837.0</v>
      </c>
      <c r="M5" s="299">
        <v>0.510150462962963</v>
      </c>
    </row>
    <row r="6">
      <c r="A6" s="295" t="s">
        <v>478</v>
      </c>
      <c r="B6" s="298">
        <v>44816.0</v>
      </c>
      <c r="C6" s="299">
        <v>0.1690162037037037</v>
      </c>
      <c r="H6" s="57"/>
      <c r="K6" s="2" t="s">
        <v>228</v>
      </c>
      <c r="L6" s="298">
        <v>44816.0</v>
      </c>
      <c r="M6" s="299">
        <v>0.3939814814814815</v>
      </c>
    </row>
    <row r="7">
      <c r="A7" s="295" t="s">
        <v>478</v>
      </c>
      <c r="B7" s="298">
        <v>44816.0</v>
      </c>
      <c r="C7" s="299">
        <v>0.1690162037037037</v>
      </c>
      <c r="H7" s="55"/>
      <c r="K7" s="2" t="s">
        <v>228</v>
      </c>
      <c r="L7" s="298">
        <v>44816.0</v>
      </c>
      <c r="M7" s="299">
        <v>0.3939814814814815</v>
      </c>
    </row>
    <row r="8">
      <c r="A8" s="295" t="s">
        <v>478</v>
      </c>
      <c r="B8" s="298">
        <v>44816.0</v>
      </c>
      <c r="C8" s="299">
        <v>0.1690162037037037</v>
      </c>
      <c r="H8" s="57"/>
      <c r="K8" s="2" t="s">
        <v>228</v>
      </c>
      <c r="L8" s="298">
        <v>44816.0</v>
      </c>
      <c r="M8" s="299">
        <v>0.3939814814814815</v>
      </c>
    </row>
    <row r="9">
      <c r="A9" s="295" t="s">
        <v>478</v>
      </c>
      <c r="B9" s="298">
        <v>44816.0</v>
      </c>
      <c r="C9" s="299">
        <v>0.1690162037037037</v>
      </c>
      <c r="H9" s="55"/>
      <c r="K9" s="2" t="s">
        <v>228</v>
      </c>
      <c r="L9" s="298">
        <v>44816.0</v>
      </c>
      <c r="M9" s="299">
        <v>0.3939814814814815</v>
      </c>
    </row>
    <row r="10">
      <c r="A10" s="295" t="s">
        <v>477</v>
      </c>
      <c r="B10" s="298">
        <v>44774.0</v>
      </c>
      <c r="C10" s="299">
        <v>0.21421296296296297</v>
      </c>
      <c r="H10" s="55"/>
      <c r="K10" s="2" t="s">
        <v>228</v>
      </c>
      <c r="L10" s="298">
        <v>44816.0</v>
      </c>
      <c r="M10" s="299">
        <v>0.3939814814814815</v>
      </c>
    </row>
    <row r="11">
      <c r="A11" s="295" t="s">
        <v>477</v>
      </c>
      <c r="B11" s="298">
        <v>44774.0</v>
      </c>
      <c r="C11" s="299">
        <v>0.21421296296296297</v>
      </c>
      <c r="H11" s="57"/>
      <c r="K11" s="2" t="s">
        <v>228</v>
      </c>
      <c r="L11" s="298">
        <v>44816.0</v>
      </c>
      <c r="M11" s="299">
        <v>0.3939814814814815</v>
      </c>
    </row>
    <row r="12">
      <c r="A12" s="295" t="s">
        <v>477</v>
      </c>
      <c r="B12" s="298">
        <v>44774.0</v>
      </c>
      <c r="C12" s="299">
        <v>0.21421296296296297</v>
      </c>
      <c r="H12" s="57"/>
      <c r="K12" s="2" t="s">
        <v>228</v>
      </c>
      <c r="L12" s="298">
        <v>44816.0</v>
      </c>
      <c r="M12" s="299">
        <v>0.3939814814814815</v>
      </c>
    </row>
    <row r="13">
      <c r="A13" s="295" t="s">
        <v>476</v>
      </c>
      <c r="B13" s="298">
        <v>44767.0</v>
      </c>
      <c r="C13" s="299">
        <v>0.3788773148148148</v>
      </c>
      <c r="H13" s="57"/>
      <c r="K13" s="2" t="s">
        <v>228</v>
      </c>
      <c r="L13" s="298">
        <v>44767.0</v>
      </c>
      <c r="M13" s="299">
        <v>0.4329398148148148</v>
      </c>
    </row>
    <row r="14">
      <c r="A14" s="295" t="s">
        <v>476</v>
      </c>
      <c r="B14" s="298">
        <v>44767.0</v>
      </c>
      <c r="C14" s="299">
        <v>0.3788773148148148</v>
      </c>
      <c r="H14" s="57"/>
      <c r="K14" s="2" t="s">
        <v>228</v>
      </c>
      <c r="L14" s="298">
        <v>44767.0</v>
      </c>
      <c r="M14" s="299">
        <v>0.4329398148148148</v>
      </c>
    </row>
    <row r="15">
      <c r="A15" s="295" t="s">
        <v>475</v>
      </c>
      <c r="B15" s="298">
        <v>44767.0</v>
      </c>
      <c r="C15" s="299">
        <v>0.30244212962962963</v>
      </c>
      <c r="H15" s="57"/>
      <c r="K15" s="2" t="s">
        <v>228</v>
      </c>
      <c r="L15" s="298">
        <v>44767.0</v>
      </c>
      <c r="M15" s="299">
        <v>0.43292824074074077</v>
      </c>
    </row>
    <row r="16">
      <c r="A16" s="295" t="s">
        <v>474</v>
      </c>
      <c r="B16" s="298">
        <v>44767.0</v>
      </c>
      <c r="C16" s="299">
        <v>0.20652777777777778</v>
      </c>
      <c r="H16" s="55"/>
      <c r="K16" s="2" t="s">
        <v>228</v>
      </c>
      <c r="L16" s="298">
        <v>44767.0</v>
      </c>
      <c r="M16" s="299">
        <v>0.43292824074074077</v>
      </c>
    </row>
    <row r="17">
      <c r="A17" s="295" t="s">
        <v>474</v>
      </c>
      <c r="B17" s="298">
        <v>44767.0</v>
      </c>
      <c r="C17" s="299">
        <v>0.20652777777777778</v>
      </c>
      <c r="H17" s="57"/>
      <c r="K17" s="2" t="s">
        <v>228</v>
      </c>
      <c r="L17" s="298">
        <v>44767.0</v>
      </c>
      <c r="M17" s="299">
        <v>0.43292824074074077</v>
      </c>
    </row>
    <row r="18">
      <c r="A18" s="295" t="s">
        <v>474</v>
      </c>
      <c r="B18" s="298">
        <v>44767.0</v>
      </c>
      <c r="C18" s="299">
        <v>0.20652777777777778</v>
      </c>
      <c r="H18" s="57"/>
      <c r="K18" s="2" t="s">
        <v>228</v>
      </c>
      <c r="L18" s="298">
        <v>44767.0</v>
      </c>
      <c r="M18" s="299">
        <v>0.43292824074074077</v>
      </c>
    </row>
    <row r="19">
      <c r="A19" s="295" t="s">
        <v>471</v>
      </c>
      <c r="B19" s="298">
        <v>44760.0</v>
      </c>
      <c r="C19" s="299">
        <v>0.3808796296296296</v>
      </c>
      <c r="H19" s="57"/>
      <c r="K19" s="2" t="s">
        <v>228</v>
      </c>
      <c r="L19" s="298">
        <v>44760.0</v>
      </c>
      <c r="M19" s="299">
        <v>0.42091435185185183</v>
      </c>
    </row>
    <row r="20">
      <c r="A20" s="295" t="s">
        <v>471</v>
      </c>
      <c r="B20" s="298">
        <v>44760.0</v>
      </c>
      <c r="C20" s="299">
        <v>0.3808796296296296</v>
      </c>
      <c r="H20" s="57"/>
      <c r="K20" s="2" t="s">
        <v>228</v>
      </c>
      <c r="L20" s="298">
        <v>44760.0</v>
      </c>
      <c r="M20" s="299">
        <v>0.42091435185185183</v>
      </c>
    </row>
    <row r="21">
      <c r="A21" s="295" t="s">
        <v>470</v>
      </c>
      <c r="B21" s="298">
        <v>44760.0</v>
      </c>
      <c r="C21" s="299">
        <v>0.21974537037037037</v>
      </c>
      <c r="H21" s="57"/>
      <c r="K21" s="2" t="s">
        <v>205</v>
      </c>
    </row>
    <row r="22">
      <c r="A22" s="295" t="s">
        <v>470</v>
      </c>
      <c r="B22" s="298">
        <v>44760.0</v>
      </c>
      <c r="C22" s="299">
        <v>0.21974537037037037</v>
      </c>
      <c r="H22" s="55"/>
      <c r="K22" s="2" t="s">
        <v>205</v>
      </c>
    </row>
    <row r="23">
      <c r="A23" s="295" t="s">
        <v>470</v>
      </c>
      <c r="B23" s="298">
        <v>44760.0</v>
      </c>
      <c r="C23" s="299">
        <v>0.21974537037037037</v>
      </c>
      <c r="H23" s="57"/>
      <c r="K23" s="2" t="s">
        <v>205</v>
      </c>
    </row>
    <row r="24">
      <c r="A24" s="295" t="s">
        <v>469</v>
      </c>
      <c r="B24" s="298">
        <v>44753.0</v>
      </c>
      <c r="C24" s="299">
        <v>0.2527199074074074</v>
      </c>
      <c r="H24" s="57"/>
      <c r="K24" s="2" t="s">
        <v>228</v>
      </c>
      <c r="L24" s="298">
        <v>44753.0</v>
      </c>
      <c r="M24" s="299">
        <v>0.3984027777777778</v>
      </c>
    </row>
    <row r="25">
      <c r="A25" s="295" t="s">
        <v>469</v>
      </c>
      <c r="B25" s="298">
        <v>44753.0</v>
      </c>
      <c r="C25" s="299">
        <v>0.2527199074074074</v>
      </c>
      <c r="H25" s="57"/>
      <c r="K25" s="2" t="s">
        <v>228</v>
      </c>
      <c r="L25" s="298">
        <v>44753.0</v>
      </c>
      <c r="M25" s="299">
        <v>0.3984027777777778</v>
      </c>
    </row>
    <row r="26">
      <c r="A26" s="295" t="s">
        <v>468</v>
      </c>
      <c r="B26" s="298">
        <v>44747.0</v>
      </c>
      <c r="C26" s="299">
        <v>0.19898148148148148</v>
      </c>
      <c r="H26" s="55"/>
      <c r="K26" s="2" t="s">
        <v>228</v>
      </c>
      <c r="L26" s="298">
        <v>44753.0</v>
      </c>
      <c r="M26" s="299">
        <v>0.3984027777777778</v>
      </c>
    </row>
    <row r="27">
      <c r="A27" s="295" t="s">
        <v>468</v>
      </c>
      <c r="B27" s="298">
        <v>44747.0</v>
      </c>
      <c r="C27" s="299">
        <v>0.19898148148148148</v>
      </c>
      <c r="H27" s="57"/>
      <c r="K27" s="2" t="s">
        <v>228</v>
      </c>
      <c r="L27" s="298">
        <v>44753.0</v>
      </c>
      <c r="M27" s="299">
        <v>0.3984027777777778</v>
      </c>
    </row>
    <row r="28">
      <c r="A28" s="295" t="s">
        <v>467</v>
      </c>
      <c r="B28" s="298">
        <v>44739.0</v>
      </c>
      <c r="C28" s="299">
        <v>0.22328703703703703</v>
      </c>
      <c r="H28" s="57"/>
      <c r="K28" s="2" t="s">
        <v>228</v>
      </c>
      <c r="L28" s="298">
        <v>44739.0</v>
      </c>
      <c r="M28" s="299">
        <v>0.3771875</v>
      </c>
    </row>
    <row r="29">
      <c r="A29" s="295" t="s">
        <v>467</v>
      </c>
      <c r="B29" s="298">
        <v>44739.0</v>
      </c>
      <c r="C29" s="299">
        <v>0.22328703703703703</v>
      </c>
      <c r="H29" s="55"/>
      <c r="K29" s="2" t="s">
        <v>228</v>
      </c>
      <c r="L29" s="298">
        <v>44739.0</v>
      </c>
      <c r="M29" s="299">
        <v>0.3771875</v>
      </c>
    </row>
    <row r="30">
      <c r="A30" s="295" t="s">
        <v>467</v>
      </c>
      <c r="B30" s="298">
        <v>44739.0</v>
      </c>
      <c r="C30" s="299">
        <v>0.22328703703703703</v>
      </c>
      <c r="H30" s="57"/>
      <c r="K30" s="2" t="s">
        <v>228</v>
      </c>
      <c r="L30" s="298">
        <v>44739.0</v>
      </c>
      <c r="M30" s="299">
        <v>0.3771875</v>
      </c>
    </row>
    <row r="31">
      <c r="A31" s="295" t="s">
        <v>466</v>
      </c>
      <c r="B31" s="298">
        <v>44739.0</v>
      </c>
      <c r="C31" s="299">
        <v>0.18888888888888888</v>
      </c>
      <c r="H31" s="55"/>
      <c r="K31" s="2" t="s">
        <v>205</v>
      </c>
    </row>
    <row r="32">
      <c r="A32" s="295" t="s">
        <v>466</v>
      </c>
      <c r="B32" s="298">
        <v>44739.0</v>
      </c>
      <c r="C32" s="299">
        <v>0.18888888888888888</v>
      </c>
      <c r="H32" s="57"/>
      <c r="K32" s="2" t="s">
        <v>205</v>
      </c>
    </row>
    <row r="33">
      <c r="A33" s="295" t="s">
        <v>465</v>
      </c>
      <c r="B33" s="298">
        <v>44738.0</v>
      </c>
      <c r="C33" s="299">
        <v>0.767800925925926</v>
      </c>
      <c r="H33" s="57"/>
      <c r="K33" s="2" t="s">
        <v>205</v>
      </c>
    </row>
    <row r="34">
      <c r="A34" s="295" t="s">
        <v>463</v>
      </c>
      <c r="B34" s="298">
        <v>44733.0</v>
      </c>
      <c r="C34" s="299">
        <v>0.3403935185185185</v>
      </c>
      <c r="H34" s="57"/>
      <c r="K34" s="2" t="s">
        <v>228</v>
      </c>
      <c r="L34" s="298">
        <v>44733.0</v>
      </c>
      <c r="M34" s="299">
        <v>0.40434027777777776</v>
      </c>
    </row>
    <row r="35">
      <c r="A35" s="295" t="s">
        <v>462</v>
      </c>
      <c r="B35" s="298">
        <v>44733.0</v>
      </c>
      <c r="C35" s="299">
        <v>0.21247685185185186</v>
      </c>
      <c r="H35" s="55"/>
      <c r="K35" s="2" t="s">
        <v>228</v>
      </c>
      <c r="L35" s="298">
        <v>44733.0</v>
      </c>
      <c r="M35" s="299">
        <v>0.40434027777777776</v>
      </c>
    </row>
    <row r="36">
      <c r="A36" s="295" t="s">
        <v>462</v>
      </c>
      <c r="B36" s="298">
        <v>44733.0</v>
      </c>
      <c r="C36" s="299">
        <v>0.21247685185185186</v>
      </c>
      <c r="H36" s="57"/>
      <c r="K36" s="2" t="s">
        <v>228</v>
      </c>
      <c r="L36" s="298">
        <v>44733.0</v>
      </c>
      <c r="M36" s="299">
        <v>0.40434027777777776</v>
      </c>
    </row>
    <row r="37">
      <c r="A37" s="295" t="s">
        <v>462</v>
      </c>
      <c r="B37" s="298">
        <v>44733.0</v>
      </c>
      <c r="C37" s="299">
        <v>0.21247685185185186</v>
      </c>
      <c r="H37" s="57"/>
      <c r="K37" s="2" t="s">
        <v>228</v>
      </c>
      <c r="L37" s="298">
        <v>44733.0</v>
      </c>
      <c r="M37" s="299">
        <v>0.40434027777777776</v>
      </c>
    </row>
    <row r="38">
      <c r="A38" s="295" t="s">
        <v>461</v>
      </c>
      <c r="B38" s="298">
        <v>44725.0</v>
      </c>
      <c r="C38" s="299">
        <v>0.24435185185185185</v>
      </c>
      <c r="H38" s="57"/>
      <c r="K38" s="2" t="s">
        <v>228</v>
      </c>
      <c r="L38" s="298">
        <v>44725.0</v>
      </c>
      <c r="M38" s="299">
        <v>0.41224537037037035</v>
      </c>
    </row>
    <row r="39">
      <c r="A39" s="295" t="s">
        <v>461</v>
      </c>
      <c r="B39" s="298">
        <v>44725.0</v>
      </c>
      <c r="C39" s="299">
        <v>0.24435185185185185</v>
      </c>
      <c r="H39" s="57"/>
      <c r="K39" s="2" t="s">
        <v>228</v>
      </c>
      <c r="L39" s="298">
        <v>44725.0</v>
      </c>
      <c r="M39" s="299">
        <v>0.41224537037037035</v>
      </c>
    </row>
    <row r="40">
      <c r="A40" s="295" t="s">
        <v>460</v>
      </c>
      <c r="B40" s="298">
        <v>44725.0</v>
      </c>
      <c r="C40" s="299">
        <v>0.23350694444444445</v>
      </c>
      <c r="H40" s="55"/>
      <c r="K40" s="2" t="s">
        <v>228</v>
      </c>
      <c r="L40" s="298">
        <v>44725.0</v>
      </c>
      <c r="M40" s="299">
        <v>0.41224537037037035</v>
      </c>
    </row>
    <row r="41">
      <c r="A41" s="295" t="s">
        <v>460</v>
      </c>
      <c r="B41" s="298">
        <v>44725.0</v>
      </c>
      <c r="C41" s="299">
        <v>0.23350694444444445</v>
      </c>
      <c r="H41" s="57"/>
      <c r="K41" s="2" t="s">
        <v>228</v>
      </c>
      <c r="L41" s="298">
        <v>44725.0</v>
      </c>
      <c r="M41" s="299">
        <v>0.41224537037037035</v>
      </c>
    </row>
    <row r="42">
      <c r="A42" s="295" t="s">
        <v>460</v>
      </c>
      <c r="B42" s="298">
        <v>44725.0</v>
      </c>
      <c r="C42" s="299">
        <v>0.23350694444444445</v>
      </c>
      <c r="H42" s="57"/>
      <c r="K42" s="2" t="s">
        <v>228</v>
      </c>
      <c r="L42" s="298">
        <v>44725.0</v>
      </c>
      <c r="M42" s="299">
        <v>0.41224537037037035</v>
      </c>
    </row>
    <row r="43">
      <c r="A43" s="295" t="s">
        <v>459</v>
      </c>
      <c r="B43" s="298">
        <v>44725.0</v>
      </c>
      <c r="C43" s="299">
        <v>0.22523148148148148</v>
      </c>
      <c r="H43" s="57"/>
      <c r="K43" s="2" t="s">
        <v>228</v>
      </c>
      <c r="L43" s="298">
        <v>44725.0</v>
      </c>
      <c r="M43" s="299">
        <v>0.41224537037037035</v>
      </c>
    </row>
    <row r="44">
      <c r="A44" s="295" t="s">
        <v>459</v>
      </c>
      <c r="B44" s="298">
        <v>44725.0</v>
      </c>
      <c r="C44" s="299">
        <v>0.22523148148148148</v>
      </c>
      <c r="H44" s="55"/>
      <c r="K44" s="2" t="s">
        <v>228</v>
      </c>
      <c r="L44" s="298">
        <v>44725.0</v>
      </c>
      <c r="M44" s="299">
        <v>0.41224537037037035</v>
      </c>
    </row>
    <row r="45">
      <c r="A45" s="295" t="s">
        <v>459</v>
      </c>
      <c r="B45" s="298">
        <v>44725.0</v>
      </c>
      <c r="C45" s="299">
        <v>0.22523148148148148</v>
      </c>
      <c r="H45" s="57"/>
      <c r="K45" s="2" t="s">
        <v>228</v>
      </c>
      <c r="L45" s="298">
        <v>44725.0</v>
      </c>
      <c r="M45" s="299">
        <v>0.41224537037037035</v>
      </c>
    </row>
    <row r="46">
      <c r="A46" s="295" t="s">
        <v>458</v>
      </c>
      <c r="B46" s="298">
        <v>44725.0</v>
      </c>
      <c r="C46" s="299">
        <v>0.20103009259259258</v>
      </c>
      <c r="H46" s="57"/>
      <c r="K46" s="2" t="s">
        <v>228</v>
      </c>
      <c r="L46" s="298">
        <v>44725.0</v>
      </c>
      <c r="M46" s="299">
        <v>0.4122337962962963</v>
      </c>
    </row>
    <row r="47">
      <c r="A47" s="295" t="s">
        <v>458</v>
      </c>
      <c r="B47" s="298">
        <v>44725.0</v>
      </c>
      <c r="C47" s="299">
        <v>0.20103009259259258</v>
      </c>
      <c r="H47" s="57"/>
      <c r="K47" s="2" t="s">
        <v>228</v>
      </c>
      <c r="L47" s="298">
        <v>44725.0</v>
      </c>
      <c r="M47" s="299">
        <v>0.4122337962962963</v>
      </c>
    </row>
    <row r="48">
      <c r="A48" s="295" t="s">
        <v>456</v>
      </c>
      <c r="B48" s="298">
        <v>44725.0</v>
      </c>
      <c r="C48" s="299">
        <v>0.20097222222222222</v>
      </c>
      <c r="H48" s="57"/>
      <c r="K48" s="2" t="s">
        <v>228</v>
      </c>
      <c r="L48" s="298">
        <v>44753.0</v>
      </c>
      <c r="M48" s="299">
        <v>0.3984027777777778</v>
      </c>
    </row>
    <row r="49">
      <c r="A49" s="295" t="s">
        <v>456</v>
      </c>
      <c r="B49" s="298">
        <v>44725.0</v>
      </c>
      <c r="C49" s="299">
        <v>0.20097222222222222</v>
      </c>
      <c r="H49" s="55"/>
      <c r="K49" s="2" t="s">
        <v>228</v>
      </c>
      <c r="L49" s="298">
        <v>44753.0</v>
      </c>
      <c r="M49" s="299">
        <v>0.3984027777777778</v>
      </c>
    </row>
    <row r="50">
      <c r="A50" s="295" t="s">
        <v>456</v>
      </c>
      <c r="B50" s="298">
        <v>44725.0</v>
      </c>
      <c r="C50" s="299">
        <v>0.20097222222222222</v>
      </c>
      <c r="H50" s="55"/>
      <c r="K50" s="2" t="s">
        <v>228</v>
      </c>
      <c r="L50" s="298">
        <v>44753.0</v>
      </c>
      <c r="M50" s="299">
        <v>0.3984027777777778</v>
      </c>
    </row>
    <row r="51">
      <c r="A51" s="295" t="s">
        <v>456</v>
      </c>
      <c r="B51" s="298">
        <v>44725.0</v>
      </c>
      <c r="C51" s="299">
        <v>0.20097222222222222</v>
      </c>
      <c r="H51" s="57"/>
      <c r="K51" s="2" t="s">
        <v>228</v>
      </c>
      <c r="L51" s="298">
        <v>44753.0</v>
      </c>
      <c r="M51" s="299">
        <v>0.3984027777777778</v>
      </c>
    </row>
    <row r="52">
      <c r="A52" s="295" t="s">
        <v>455</v>
      </c>
      <c r="B52" s="298">
        <v>44725.0</v>
      </c>
      <c r="C52" s="299">
        <v>0.16587962962962963</v>
      </c>
      <c r="H52" s="57"/>
      <c r="K52" s="2" t="s">
        <v>205</v>
      </c>
    </row>
    <row r="53">
      <c r="A53" s="295" t="s">
        <v>455</v>
      </c>
      <c r="B53" s="298">
        <v>44725.0</v>
      </c>
      <c r="C53" s="299">
        <v>0.16587962962962963</v>
      </c>
      <c r="H53" s="57"/>
      <c r="K53" s="2" t="s">
        <v>205</v>
      </c>
    </row>
    <row r="54">
      <c r="A54" s="295" t="s">
        <v>455</v>
      </c>
      <c r="B54" s="298">
        <v>44725.0</v>
      </c>
      <c r="C54" s="299">
        <v>0.16587962962962963</v>
      </c>
      <c r="H54" s="57"/>
      <c r="K54" s="2" t="s">
        <v>205</v>
      </c>
    </row>
    <row r="55">
      <c r="A55" s="295" t="s">
        <v>454</v>
      </c>
      <c r="B55" s="298">
        <v>44725.0</v>
      </c>
      <c r="C55" s="299">
        <v>0.15070601851851853</v>
      </c>
      <c r="H55" s="57"/>
      <c r="K55" s="2" t="s">
        <v>205</v>
      </c>
    </row>
    <row r="56">
      <c r="A56" s="295" t="s">
        <v>454</v>
      </c>
      <c r="B56" s="298">
        <v>44725.0</v>
      </c>
      <c r="C56" s="299">
        <v>0.15070601851851853</v>
      </c>
      <c r="H56" s="55"/>
      <c r="K56" s="2" t="s">
        <v>205</v>
      </c>
    </row>
    <row r="57">
      <c r="A57" s="295" t="s">
        <v>451</v>
      </c>
      <c r="B57" s="298">
        <v>44718.0</v>
      </c>
      <c r="C57" s="299">
        <v>0.2998032407407407</v>
      </c>
      <c r="H57" s="55"/>
      <c r="K57" s="2" t="s">
        <v>228</v>
      </c>
      <c r="L57" s="298">
        <v>44718.0</v>
      </c>
      <c r="M57" s="299">
        <v>0.36498842592592595</v>
      </c>
    </row>
    <row r="58">
      <c r="A58" s="295" t="s">
        <v>451</v>
      </c>
      <c r="B58" s="298">
        <v>44718.0</v>
      </c>
      <c r="C58" s="299">
        <v>0.2998032407407407</v>
      </c>
      <c r="H58" s="55"/>
      <c r="K58" s="2" t="s">
        <v>228</v>
      </c>
      <c r="L58" s="298">
        <v>44718.0</v>
      </c>
      <c r="M58" s="299">
        <v>0.36498842592592595</v>
      </c>
    </row>
    <row r="59">
      <c r="A59" s="295" t="s">
        <v>450</v>
      </c>
      <c r="B59" s="298">
        <v>44718.0</v>
      </c>
      <c r="C59" s="299">
        <v>0.23652777777777778</v>
      </c>
      <c r="H59" s="55"/>
      <c r="K59" s="2" t="s">
        <v>228</v>
      </c>
      <c r="L59" s="298">
        <v>44718.0</v>
      </c>
      <c r="M59" s="299">
        <v>0.36498842592592595</v>
      </c>
    </row>
    <row r="60">
      <c r="A60" s="295" t="s">
        <v>450</v>
      </c>
      <c r="B60" s="298">
        <v>44718.0</v>
      </c>
      <c r="C60" s="299">
        <v>0.23652777777777778</v>
      </c>
      <c r="H60" s="57"/>
      <c r="K60" s="2" t="s">
        <v>228</v>
      </c>
      <c r="L60" s="298">
        <v>44718.0</v>
      </c>
      <c r="M60" s="299">
        <v>0.36498842592592595</v>
      </c>
    </row>
    <row r="61">
      <c r="A61" s="295" t="s">
        <v>450</v>
      </c>
      <c r="B61" s="298">
        <v>44718.0</v>
      </c>
      <c r="C61" s="299">
        <v>0.23652777777777778</v>
      </c>
      <c r="H61" s="57"/>
      <c r="K61" s="2" t="s">
        <v>228</v>
      </c>
      <c r="L61" s="298">
        <v>44718.0</v>
      </c>
      <c r="M61" s="299">
        <v>0.36498842592592595</v>
      </c>
    </row>
    <row r="62">
      <c r="A62" s="295" t="s">
        <v>449</v>
      </c>
      <c r="B62" s="298">
        <v>44718.0</v>
      </c>
      <c r="C62" s="299">
        <v>0.21364583333333334</v>
      </c>
      <c r="H62" s="57"/>
      <c r="K62" s="2" t="s">
        <v>228</v>
      </c>
      <c r="L62" s="298">
        <v>44718.0</v>
      </c>
      <c r="M62" s="299">
        <v>0.36497685185185186</v>
      </c>
    </row>
    <row r="63">
      <c r="A63" s="295" t="s">
        <v>449</v>
      </c>
      <c r="B63" s="298">
        <v>44718.0</v>
      </c>
      <c r="C63" s="299">
        <v>0.21364583333333334</v>
      </c>
      <c r="H63" s="57"/>
      <c r="K63" s="2" t="s">
        <v>228</v>
      </c>
      <c r="L63" s="298">
        <v>44718.0</v>
      </c>
      <c r="M63" s="299">
        <v>0.36497685185185186</v>
      </c>
    </row>
    <row r="64">
      <c r="A64" s="295" t="s">
        <v>448</v>
      </c>
      <c r="B64" s="298">
        <v>44718.0</v>
      </c>
      <c r="C64" s="299">
        <v>0.21167824074074074</v>
      </c>
      <c r="H64" s="57"/>
      <c r="K64" s="2" t="s">
        <v>228</v>
      </c>
      <c r="L64" s="298">
        <v>44718.0</v>
      </c>
      <c r="M64" s="299">
        <v>0.36497685185185186</v>
      </c>
    </row>
    <row r="65">
      <c r="A65" s="295" t="s">
        <v>448</v>
      </c>
      <c r="B65" s="298">
        <v>44718.0</v>
      </c>
      <c r="C65" s="299">
        <v>0.21167824074074074</v>
      </c>
      <c r="H65" s="55"/>
      <c r="K65" s="2" t="s">
        <v>228</v>
      </c>
      <c r="L65" s="298">
        <v>44718.0</v>
      </c>
      <c r="M65" s="299">
        <v>0.36497685185185186</v>
      </c>
    </row>
    <row r="66">
      <c r="A66" s="295" t="s">
        <v>448</v>
      </c>
      <c r="B66" s="298">
        <v>44718.0</v>
      </c>
      <c r="C66" s="299">
        <v>0.21167824074074074</v>
      </c>
      <c r="H66" s="57"/>
      <c r="K66" s="2" t="s">
        <v>228</v>
      </c>
      <c r="L66" s="298">
        <v>44718.0</v>
      </c>
      <c r="M66" s="299">
        <v>0.36497685185185186</v>
      </c>
    </row>
    <row r="67">
      <c r="A67" s="295" t="s">
        <v>480</v>
      </c>
      <c r="H67" s="57"/>
      <c r="K67" s="2" t="s">
        <v>205</v>
      </c>
    </row>
    <row r="68">
      <c r="A68" s="295" t="s">
        <v>480</v>
      </c>
      <c r="H68" s="55"/>
      <c r="K68" s="2" t="s">
        <v>205</v>
      </c>
    </row>
    <row r="69">
      <c r="A69" s="295" t="s">
        <v>480</v>
      </c>
      <c r="H69" s="55"/>
      <c r="K69" s="2" t="s">
        <v>205</v>
      </c>
    </row>
    <row r="70">
      <c r="A70" s="295" t="s">
        <v>480</v>
      </c>
      <c r="H70" s="57"/>
      <c r="K70" s="2" t="s">
        <v>205</v>
      </c>
    </row>
    <row r="71">
      <c r="A71" s="295" t="s">
        <v>447</v>
      </c>
      <c r="B71" s="298">
        <v>44718.0</v>
      </c>
      <c r="C71" s="299">
        <v>0.20266203703703703</v>
      </c>
      <c r="H71" s="57"/>
      <c r="K71" s="2" t="s">
        <v>228</v>
      </c>
      <c r="L71" s="298">
        <v>44718.0</v>
      </c>
      <c r="M71" s="299">
        <v>0.36497685185185186</v>
      </c>
    </row>
    <row r="72">
      <c r="A72" s="295" t="s">
        <v>447</v>
      </c>
      <c r="B72" s="298">
        <v>44718.0</v>
      </c>
      <c r="C72" s="299">
        <v>0.20266203703703703</v>
      </c>
      <c r="H72" s="57"/>
      <c r="K72" s="2" t="s">
        <v>228</v>
      </c>
      <c r="L72" s="298">
        <v>44718.0</v>
      </c>
      <c r="M72" s="299">
        <v>0.36497685185185186</v>
      </c>
    </row>
    <row r="73">
      <c r="A73" s="295" t="s">
        <v>446</v>
      </c>
      <c r="B73" s="298">
        <v>44718.0</v>
      </c>
      <c r="C73" s="299">
        <v>0.19365740740740742</v>
      </c>
      <c r="H73" s="55"/>
      <c r="K73" s="2" t="s">
        <v>205</v>
      </c>
    </row>
    <row r="74">
      <c r="A74" s="295" t="s">
        <v>446</v>
      </c>
      <c r="B74" s="298">
        <v>44718.0</v>
      </c>
      <c r="C74" s="299">
        <v>0.19365740740740742</v>
      </c>
      <c r="H74" s="57"/>
      <c r="K74" s="2" t="s">
        <v>205</v>
      </c>
    </row>
    <row r="75">
      <c r="A75" s="295" t="s">
        <v>445</v>
      </c>
      <c r="B75" s="298">
        <v>44718.0</v>
      </c>
      <c r="C75" s="299">
        <v>0.17775462962962962</v>
      </c>
      <c r="H75" s="55"/>
      <c r="K75" s="2" t="s">
        <v>228</v>
      </c>
      <c r="L75" s="298">
        <v>44718.0</v>
      </c>
      <c r="M75" s="299">
        <v>0.36497685185185186</v>
      </c>
    </row>
    <row r="76">
      <c r="A76" s="295" t="s">
        <v>445</v>
      </c>
      <c r="B76" s="298">
        <v>44718.0</v>
      </c>
      <c r="C76" s="299">
        <v>0.17775462962962962</v>
      </c>
      <c r="H76" s="57"/>
      <c r="K76" s="2" t="s">
        <v>228</v>
      </c>
      <c r="L76" s="298">
        <v>44718.0</v>
      </c>
      <c r="M76" s="299">
        <v>0.36497685185185186</v>
      </c>
    </row>
    <row r="77">
      <c r="A77" s="295" t="s">
        <v>445</v>
      </c>
      <c r="B77" s="298">
        <v>44718.0</v>
      </c>
      <c r="C77" s="299">
        <v>0.17775462962962962</v>
      </c>
      <c r="H77" s="55"/>
      <c r="K77" s="2" t="s">
        <v>228</v>
      </c>
      <c r="L77" s="298">
        <v>44718.0</v>
      </c>
      <c r="M77" s="299">
        <v>0.36497685185185186</v>
      </c>
    </row>
    <row r="78">
      <c r="A78" s="295" t="s">
        <v>445</v>
      </c>
      <c r="B78" s="298">
        <v>44718.0</v>
      </c>
      <c r="C78" s="299">
        <v>0.17775462962962962</v>
      </c>
      <c r="H78" s="57"/>
      <c r="K78" s="2" t="s">
        <v>228</v>
      </c>
      <c r="L78" s="298">
        <v>44718.0</v>
      </c>
      <c r="M78" s="299">
        <v>0.36497685185185186</v>
      </c>
    </row>
    <row r="79">
      <c r="A79" s="295" t="s">
        <v>444</v>
      </c>
      <c r="B79" s="298">
        <v>44718.0</v>
      </c>
      <c r="C79" s="299">
        <v>0.1569212962962963</v>
      </c>
      <c r="H79" s="57"/>
      <c r="K79" s="2" t="s">
        <v>228</v>
      </c>
      <c r="L79" s="298">
        <v>44718.0</v>
      </c>
      <c r="M79" s="299">
        <v>0.36497685185185186</v>
      </c>
    </row>
    <row r="80">
      <c r="A80" s="295" t="s">
        <v>444</v>
      </c>
      <c r="B80" s="298">
        <v>44718.0</v>
      </c>
      <c r="C80" s="299">
        <v>0.1569212962962963</v>
      </c>
      <c r="H80" s="57"/>
      <c r="K80" s="2" t="s">
        <v>228</v>
      </c>
      <c r="L80" s="298">
        <v>44718.0</v>
      </c>
      <c r="M80" s="299">
        <v>0.36497685185185186</v>
      </c>
    </row>
    <row r="81">
      <c r="A81" s="295" t="s">
        <v>444</v>
      </c>
      <c r="B81" s="298">
        <v>44718.0</v>
      </c>
      <c r="C81" s="299">
        <v>0.1569212962962963</v>
      </c>
      <c r="H81" s="57"/>
      <c r="K81" s="2" t="s">
        <v>228</v>
      </c>
      <c r="L81" s="298">
        <v>44718.0</v>
      </c>
      <c r="M81" s="299">
        <v>0.36497685185185186</v>
      </c>
    </row>
    <row r="82">
      <c r="A82" s="295" t="s">
        <v>442</v>
      </c>
      <c r="B82" s="298">
        <v>44713.0</v>
      </c>
      <c r="C82" s="299">
        <v>0.8386574074074075</v>
      </c>
      <c r="H82" s="57"/>
      <c r="K82" s="2" t="s">
        <v>205</v>
      </c>
    </row>
    <row r="83">
      <c r="A83" s="295" t="s">
        <v>442</v>
      </c>
      <c r="B83" s="298">
        <v>44713.0</v>
      </c>
      <c r="C83" s="299">
        <v>0.8386574074074075</v>
      </c>
      <c r="H83" s="57"/>
      <c r="K83" s="2" t="s">
        <v>205</v>
      </c>
    </row>
    <row r="84">
      <c r="A84" s="295" t="s">
        <v>442</v>
      </c>
      <c r="B84" s="298">
        <v>44713.0</v>
      </c>
      <c r="C84" s="299">
        <v>0.8386574074074075</v>
      </c>
      <c r="H84" s="57"/>
      <c r="K84" s="2" t="s">
        <v>205</v>
      </c>
    </row>
    <row r="85">
      <c r="A85" s="295" t="s">
        <v>440</v>
      </c>
      <c r="B85" s="298">
        <v>44713.0</v>
      </c>
      <c r="C85" s="299">
        <v>0.2727893518518518</v>
      </c>
      <c r="H85" s="57"/>
      <c r="K85" s="2" t="s">
        <v>228</v>
      </c>
      <c r="L85" s="298">
        <v>44713.0</v>
      </c>
      <c r="M85" s="299">
        <v>0.34150462962962963</v>
      </c>
    </row>
    <row r="86">
      <c r="A86" s="295" t="s">
        <v>439</v>
      </c>
      <c r="B86" s="298">
        <v>44713.0</v>
      </c>
      <c r="C86" s="299">
        <v>0.25175925925925924</v>
      </c>
      <c r="H86" s="57"/>
      <c r="K86" s="2" t="s">
        <v>228</v>
      </c>
      <c r="L86" s="298">
        <v>44713.0</v>
      </c>
      <c r="M86" s="299">
        <v>0.34150462962962963</v>
      </c>
    </row>
    <row r="87">
      <c r="A87" s="295" t="s">
        <v>438</v>
      </c>
      <c r="B87" s="298">
        <v>44713.0</v>
      </c>
      <c r="C87" s="299">
        <v>0.20859953703703704</v>
      </c>
      <c r="H87" s="57"/>
      <c r="K87" s="2" t="s">
        <v>228</v>
      </c>
      <c r="L87" s="298">
        <v>44713.0</v>
      </c>
      <c r="M87" s="299">
        <v>0.34150462962962963</v>
      </c>
    </row>
    <row r="88">
      <c r="A88" s="295" t="s">
        <v>438</v>
      </c>
      <c r="B88" s="298">
        <v>44713.0</v>
      </c>
      <c r="C88" s="299">
        <v>0.20859953703703704</v>
      </c>
      <c r="H88" s="57"/>
      <c r="K88" s="2" t="s">
        <v>228</v>
      </c>
      <c r="L88" s="298">
        <v>44713.0</v>
      </c>
      <c r="M88" s="299">
        <v>0.34150462962962963</v>
      </c>
    </row>
    <row r="89">
      <c r="A89" s="295" t="s">
        <v>438</v>
      </c>
      <c r="B89" s="298">
        <v>44713.0</v>
      </c>
      <c r="C89" s="299">
        <v>0.20859953703703704</v>
      </c>
      <c r="H89" s="55"/>
      <c r="K89" s="2" t="s">
        <v>228</v>
      </c>
      <c r="L89" s="298">
        <v>44713.0</v>
      </c>
      <c r="M89" s="299">
        <v>0.34150462962962963</v>
      </c>
    </row>
    <row r="90">
      <c r="A90" s="295" t="s">
        <v>437</v>
      </c>
      <c r="B90" s="298">
        <v>44713.0</v>
      </c>
      <c r="C90" s="299">
        <v>0.2053125</v>
      </c>
      <c r="H90" s="57"/>
      <c r="K90" s="2" t="s">
        <v>228</v>
      </c>
      <c r="L90" s="298">
        <v>44713.0</v>
      </c>
      <c r="M90" s="299">
        <v>0.34150462962962963</v>
      </c>
    </row>
    <row r="91">
      <c r="A91" s="295" t="s">
        <v>437</v>
      </c>
      <c r="B91" s="298">
        <v>44713.0</v>
      </c>
      <c r="C91" s="299">
        <v>0.2053125</v>
      </c>
      <c r="H91" s="57"/>
      <c r="K91" s="2" t="s">
        <v>228</v>
      </c>
      <c r="L91" s="298">
        <v>44713.0</v>
      </c>
      <c r="M91" s="299">
        <v>0.34150462962962963</v>
      </c>
    </row>
    <row r="92">
      <c r="A92" s="295" t="s">
        <v>436</v>
      </c>
      <c r="B92" s="298">
        <v>44713.0</v>
      </c>
      <c r="C92" s="299">
        <v>0.20396990740740742</v>
      </c>
      <c r="H92" s="55"/>
      <c r="K92" s="2" t="s">
        <v>228</v>
      </c>
      <c r="L92" s="298">
        <v>44713.0</v>
      </c>
      <c r="M92" s="299">
        <v>0.34149305555555554</v>
      </c>
    </row>
    <row r="93">
      <c r="A93" s="295" t="s">
        <v>436</v>
      </c>
      <c r="B93" s="298">
        <v>44713.0</v>
      </c>
      <c r="C93" s="299">
        <v>0.20396990740740742</v>
      </c>
      <c r="H93" s="57"/>
      <c r="K93" s="2" t="s">
        <v>228</v>
      </c>
      <c r="L93" s="298">
        <v>44713.0</v>
      </c>
      <c r="M93" s="299">
        <v>0.34149305555555554</v>
      </c>
    </row>
    <row r="94">
      <c r="A94" s="295" t="s">
        <v>435</v>
      </c>
      <c r="B94" s="298">
        <v>44713.0</v>
      </c>
      <c r="C94" s="299">
        <v>0.20076388888888888</v>
      </c>
      <c r="H94" s="57"/>
      <c r="K94" s="2" t="s">
        <v>228</v>
      </c>
      <c r="L94" s="298">
        <v>44713.0</v>
      </c>
      <c r="M94" s="299">
        <v>0.34149305555555554</v>
      </c>
    </row>
    <row r="95">
      <c r="A95" s="295" t="s">
        <v>434</v>
      </c>
      <c r="B95" s="298">
        <v>44713.0</v>
      </c>
      <c r="C95" s="299">
        <v>0.1976388888888889</v>
      </c>
      <c r="H95" s="57"/>
      <c r="K95" s="2" t="s">
        <v>228</v>
      </c>
      <c r="L95" s="298">
        <v>44713.0</v>
      </c>
      <c r="M95" s="299">
        <v>0.34149305555555554</v>
      </c>
    </row>
    <row r="96">
      <c r="A96" s="295" t="s">
        <v>434</v>
      </c>
      <c r="B96" s="298">
        <v>44713.0</v>
      </c>
      <c r="C96" s="299">
        <v>0.1976388888888889</v>
      </c>
      <c r="H96" s="57"/>
      <c r="K96" s="2" t="s">
        <v>228</v>
      </c>
      <c r="L96" s="298">
        <v>44713.0</v>
      </c>
      <c r="M96" s="299">
        <v>0.34149305555555554</v>
      </c>
    </row>
    <row r="97">
      <c r="A97" s="295" t="s">
        <v>434</v>
      </c>
      <c r="B97" s="298">
        <v>44713.0</v>
      </c>
      <c r="C97" s="299">
        <v>0.1976388888888889</v>
      </c>
      <c r="H97" s="55"/>
      <c r="K97" s="2" t="s">
        <v>228</v>
      </c>
      <c r="L97" s="298">
        <v>44713.0</v>
      </c>
      <c r="M97" s="299">
        <v>0.34149305555555554</v>
      </c>
    </row>
    <row r="98">
      <c r="A98" s="295" t="s">
        <v>434</v>
      </c>
      <c r="B98" s="298">
        <v>44713.0</v>
      </c>
      <c r="C98" s="299">
        <v>0.1976388888888889</v>
      </c>
      <c r="H98" s="55"/>
      <c r="K98" s="2" t="s">
        <v>228</v>
      </c>
      <c r="L98" s="298">
        <v>44713.0</v>
      </c>
      <c r="M98" s="299">
        <v>0.34149305555555554</v>
      </c>
    </row>
    <row r="99">
      <c r="A99" s="295" t="s">
        <v>433</v>
      </c>
      <c r="B99" s="298">
        <v>44713.0</v>
      </c>
      <c r="C99" s="299">
        <v>0.19666666666666666</v>
      </c>
      <c r="H99" s="57"/>
      <c r="K99" s="2" t="s">
        <v>228</v>
      </c>
      <c r="L99" s="298">
        <v>44713.0</v>
      </c>
      <c r="M99" s="299">
        <v>0.34149305555555554</v>
      </c>
    </row>
    <row r="100">
      <c r="A100" s="295" t="s">
        <v>433</v>
      </c>
      <c r="B100" s="298">
        <v>44713.0</v>
      </c>
      <c r="C100" s="299">
        <v>0.19666666666666666</v>
      </c>
      <c r="H100" s="57"/>
      <c r="K100" s="2" t="s">
        <v>228</v>
      </c>
      <c r="L100" s="298">
        <v>44713.0</v>
      </c>
      <c r="M100" s="299">
        <v>0.34149305555555554</v>
      </c>
    </row>
    <row r="101">
      <c r="A101" s="295" t="s">
        <v>432</v>
      </c>
      <c r="B101" s="298">
        <v>44713.0</v>
      </c>
      <c r="C101" s="299">
        <v>0.1832175925925926</v>
      </c>
      <c r="H101" s="55"/>
      <c r="K101" s="2" t="s">
        <v>228</v>
      </c>
      <c r="L101" s="298">
        <v>44713.0</v>
      </c>
      <c r="M101" s="299">
        <v>0.3414814814814815</v>
      </c>
    </row>
    <row r="102">
      <c r="A102" s="295" t="s">
        <v>429</v>
      </c>
      <c r="B102" s="298">
        <v>44713.0</v>
      </c>
      <c r="C102" s="299">
        <v>0.17925925925925926</v>
      </c>
      <c r="H102" s="57"/>
      <c r="K102" s="2" t="s">
        <v>228</v>
      </c>
      <c r="L102" s="298">
        <v>44713.0</v>
      </c>
      <c r="M102" s="299">
        <v>0.3414814814814815</v>
      </c>
    </row>
    <row r="103">
      <c r="A103" s="295" t="s">
        <v>427</v>
      </c>
      <c r="B103" s="298">
        <v>44712.0</v>
      </c>
      <c r="C103" s="299">
        <v>0.7929166666666667</v>
      </c>
      <c r="H103" s="57"/>
      <c r="K103" s="2" t="s">
        <v>228</v>
      </c>
      <c r="L103" s="298">
        <v>44713.0</v>
      </c>
      <c r="M103" s="299">
        <v>0.3414814814814815</v>
      </c>
    </row>
    <row r="104">
      <c r="A104" s="295" t="s">
        <v>421</v>
      </c>
      <c r="B104" s="298">
        <v>44712.0</v>
      </c>
      <c r="C104" s="299">
        <v>0.19265046296296295</v>
      </c>
      <c r="H104" s="55"/>
      <c r="K104" s="2" t="s">
        <v>228</v>
      </c>
      <c r="L104" s="298">
        <v>44713.0</v>
      </c>
      <c r="M104" s="299">
        <v>0.3414814814814815</v>
      </c>
    </row>
    <row r="105">
      <c r="A105" s="295" t="s">
        <v>421</v>
      </c>
      <c r="B105" s="298">
        <v>44712.0</v>
      </c>
      <c r="C105" s="299">
        <v>0.19265046296296295</v>
      </c>
      <c r="H105" s="57"/>
      <c r="K105" s="2" t="s">
        <v>228</v>
      </c>
      <c r="L105" s="298">
        <v>44713.0</v>
      </c>
      <c r="M105" s="299">
        <v>0.3414814814814815</v>
      </c>
    </row>
    <row r="106">
      <c r="A106" s="295" t="s">
        <v>421</v>
      </c>
      <c r="B106" s="298">
        <v>44712.0</v>
      </c>
      <c r="C106" s="299">
        <v>0.19265046296296295</v>
      </c>
      <c r="H106" s="57"/>
      <c r="K106" s="2" t="s">
        <v>228</v>
      </c>
      <c r="L106" s="298">
        <v>44713.0</v>
      </c>
      <c r="M106" s="299">
        <v>0.3414814814814815</v>
      </c>
    </row>
    <row r="107">
      <c r="A107" s="295" t="s">
        <v>421</v>
      </c>
      <c r="B107" s="298">
        <v>44712.0</v>
      </c>
      <c r="C107" s="299">
        <v>0.19265046296296295</v>
      </c>
      <c r="H107" s="55"/>
      <c r="K107" s="2" t="s">
        <v>228</v>
      </c>
      <c r="L107" s="298">
        <v>44713.0</v>
      </c>
      <c r="M107" s="299">
        <v>0.3414814814814815</v>
      </c>
    </row>
    <row r="108">
      <c r="A108" s="295" t="s">
        <v>420</v>
      </c>
      <c r="B108" s="298">
        <v>44712.0</v>
      </c>
      <c r="C108" s="299">
        <v>0.18675925925925926</v>
      </c>
      <c r="H108" s="57"/>
      <c r="K108" s="2" t="s">
        <v>228</v>
      </c>
      <c r="L108" s="298">
        <v>44713.0</v>
      </c>
      <c r="M108" s="299">
        <v>0.3414814814814815</v>
      </c>
    </row>
    <row r="109">
      <c r="A109" s="295" t="s">
        <v>419</v>
      </c>
      <c r="B109" s="298">
        <v>44704.0</v>
      </c>
      <c r="C109" s="299">
        <v>0.3195138888888889</v>
      </c>
      <c r="H109" s="57"/>
      <c r="K109" s="2" t="s">
        <v>228</v>
      </c>
      <c r="L109" s="298">
        <v>44704.0</v>
      </c>
      <c r="M109" s="299">
        <v>0.39491898148148147</v>
      </c>
    </row>
    <row r="110">
      <c r="A110" s="295" t="s">
        <v>418</v>
      </c>
      <c r="B110" s="298">
        <v>44704.0</v>
      </c>
      <c r="C110" s="299">
        <v>0.22446759259259258</v>
      </c>
      <c r="H110" s="57"/>
      <c r="K110" s="2" t="s">
        <v>228</v>
      </c>
      <c r="L110" s="298">
        <v>44704.0</v>
      </c>
      <c r="M110" s="299">
        <v>0.39491898148148147</v>
      </c>
    </row>
    <row r="111">
      <c r="A111" s="295" t="s">
        <v>418</v>
      </c>
      <c r="B111" s="298">
        <v>44704.0</v>
      </c>
      <c r="C111" s="299">
        <v>0.22446759259259258</v>
      </c>
      <c r="H111" s="57"/>
      <c r="K111" s="2" t="s">
        <v>228</v>
      </c>
      <c r="L111" s="298">
        <v>44704.0</v>
      </c>
      <c r="M111" s="299">
        <v>0.39491898148148147</v>
      </c>
    </row>
    <row r="112">
      <c r="A112" s="295" t="s">
        <v>417</v>
      </c>
      <c r="B112" s="298">
        <v>44704.0</v>
      </c>
      <c r="C112" s="299">
        <v>0.2188425925925926</v>
      </c>
      <c r="H112" s="57"/>
      <c r="K112" s="2" t="s">
        <v>228</v>
      </c>
      <c r="L112" s="298">
        <v>44704.0</v>
      </c>
      <c r="M112" s="299">
        <v>0.39490740740740743</v>
      </c>
    </row>
    <row r="113">
      <c r="A113" s="295" t="s">
        <v>417</v>
      </c>
      <c r="B113" s="298">
        <v>44704.0</v>
      </c>
      <c r="C113" s="299">
        <v>0.2188425925925926</v>
      </c>
      <c r="H113" s="55"/>
      <c r="K113" s="2" t="s">
        <v>228</v>
      </c>
      <c r="L113" s="298">
        <v>44704.0</v>
      </c>
      <c r="M113" s="299">
        <v>0.39490740740740743</v>
      </c>
    </row>
    <row r="114">
      <c r="A114" s="295" t="s">
        <v>417</v>
      </c>
      <c r="B114" s="298">
        <v>44704.0</v>
      </c>
      <c r="C114" s="299">
        <v>0.2188425925925926</v>
      </c>
      <c r="H114" s="57"/>
      <c r="K114" s="2" t="s">
        <v>228</v>
      </c>
      <c r="L114" s="298">
        <v>44704.0</v>
      </c>
      <c r="M114" s="299">
        <v>0.39490740740740743</v>
      </c>
    </row>
    <row r="115">
      <c r="A115" s="295" t="s">
        <v>413</v>
      </c>
      <c r="B115" s="298">
        <v>44704.0</v>
      </c>
      <c r="C115" s="299">
        <v>0.2182638888888889</v>
      </c>
      <c r="H115" s="57"/>
      <c r="K115" s="2" t="s">
        <v>228</v>
      </c>
      <c r="L115" s="298">
        <v>44704.0</v>
      </c>
      <c r="M115" s="299">
        <v>0.39490740740740743</v>
      </c>
    </row>
    <row r="116">
      <c r="A116" s="295" t="s">
        <v>412</v>
      </c>
      <c r="B116" s="298">
        <v>44704.0</v>
      </c>
      <c r="C116" s="299">
        <v>0.1905439814814815</v>
      </c>
      <c r="H116" s="57"/>
      <c r="K116" s="2" t="s">
        <v>228</v>
      </c>
      <c r="L116" s="298">
        <v>44704.0</v>
      </c>
      <c r="M116" s="299">
        <v>0.39490740740740743</v>
      </c>
    </row>
    <row r="117">
      <c r="A117" s="295" t="s">
        <v>412</v>
      </c>
      <c r="B117" s="298">
        <v>44704.0</v>
      </c>
      <c r="C117" s="299">
        <v>0.1905439814814815</v>
      </c>
      <c r="H117" s="57"/>
      <c r="K117" s="2" t="s">
        <v>228</v>
      </c>
      <c r="L117" s="298">
        <v>44704.0</v>
      </c>
      <c r="M117" s="299">
        <v>0.39490740740740743</v>
      </c>
    </row>
    <row r="118">
      <c r="A118" s="295" t="s">
        <v>411</v>
      </c>
      <c r="B118" s="298">
        <v>44704.0</v>
      </c>
      <c r="C118" s="299">
        <v>0.1878240740740741</v>
      </c>
      <c r="H118" s="55"/>
      <c r="K118" s="2" t="s">
        <v>228</v>
      </c>
      <c r="L118" s="298">
        <v>44704.0</v>
      </c>
      <c r="M118" s="299">
        <v>0.39490740740740743</v>
      </c>
    </row>
    <row r="119">
      <c r="A119" s="295" t="s">
        <v>411</v>
      </c>
      <c r="B119" s="298">
        <v>44704.0</v>
      </c>
      <c r="C119" s="299">
        <v>0.1878240740740741</v>
      </c>
      <c r="H119" s="55"/>
      <c r="K119" s="2" t="s">
        <v>228</v>
      </c>
      <c r="L119" s="298">
        <v>44704.0</v>
      </c>
      <c r="M119" s="299">
        <v>0.39490740740740743</v>
      </c>
    </row>
    <row r="120">
      <c r="A120" s="295" t="s">
        <v>411</v>
      </c>
      <c r="B120" s="298">
        <v>44704.0</v>
      </c>
      <c r="C120" s="299">
        <v>0.1878240740740741</v>
      </c>
      <c r="H120" s="57"/>
      <c r="K120" s="2" t="s">
        <v>228</v>
      </c>
      <c r="L120" s="298">
        <v>44704.0</v>
      </c>
      <c r="M120" s="299">
        <v>0.39490740740740743</v>
      </c>
    </row>
    <row r="121">
      <c r="A121" s="295" t="s">
        <v>411</v>
      </c>
      <c r="B121" s="298">
        <v>44704.0</v>
      </c>
      <c r="C121" s="299">
        <v>0.1878240740740741</v>
      </c>
      <c r="H121" s="57"/>
      <c r="K121" s="2" t="s">
        <v>228</v>
      </c>
      <c r="L121" s="298">
        <v>44704.0</v>
      </c>
      <c r="M121" s="299">
        <v>0.39490740740740743</v>
      </c>
    </row>
    <row r="122">
      <c r="A122" s="295" t="s">
        <v>410</v>
      </c>
      <c r="B122" s="298">
        <v>44704.0</v>
      </c>
      <c r="C122" s="299">
        <v>0.17846064814814816</v>
      </c>
      <c r="H122" s="57"/>
      <c r="K122" s="2" t="s">
        <v>228</v>
      </c>
      <c r="L122" s="298">
        <v>44704.0</v>
      </c>
      <c r="M122" s="299">
        <v>0.39490740740740743</v>
      </c>
    </row>
    <row r="123">
      <c r="A123" s="295" t="s">
        <v>409</v>
      </c>
      <c r="B123" s="298">
        <v>44704.0</v>
      </c>
      <c r="C123" s="299">
        <v>0.15653935185185186</v>
      </c>
      <c r="H123" s="57"/>
      <c r="K123" s="2" t="s">
        <v>228</v>
      </c>
      <c r="L123" s="298">
        <v>44704.0</v>
      </c>
      <c r="M123" s="299">
        <v>0.39489583333333333</v>
      </c>
    </row>
    <row r="124">
      <c r="A124" s="295" t="s">
        <v>409</v>
      </c>
      <c r="B124" s="298">
        <v>44704.0</v>
      </c>
      <c r="C124" s="299">
        <v>0.15653935185185186</v>
      </c>
      <c r="H124" s="55"/>
      <c r="K124" s="2" t="s">
        <v>228</v>
      </c>
      <c r="L124" s="298">
        <v>44704.0</v>
      </c>
      <c r="M124" s="299">
        <v>0.39489583333333333</v>
      </c>
    </row>
    <row r="125">
      <c r="A125" s="295" t="s">
        <v>409</v>
      </c>
      <c r="B125" s="298">
        <v>44704.0</v>
      </c>
      <c r="C125" s="299">
        <v>0.15653935185185186</v>
      </c>
      <c r="H125" s="55"/>
      <c r="K125" s="2" t="s">
        <v>228</v>
      </c>
      <c r="L125" s="298">
        <v>44704.0</v>
      </c>
      <c r="M125" s="299">
        <v>0.39489583333333333</v>
      </c>
    </row>
    <row r="126">
      <c r="A126" s="295" t="s">
        <v>409</v>
      </c>
      <c r="B126" s="298">
        <v>44704.0</v>
      </c>
      <c r="C126" s="299">
        <v>0.15653935185185186</v>
      </c>
      <c r="H126" s="57"/>
      <c r="K126" s="2" t="s">
        <v>228</v>
      </c>
      <c r="L126" s="298">
        <v>44704.0</v>
      </c>
      <c r="M126" s="299">
        <v>0.39489583333333333</v>
      </c>
    </row>
    <row r="127">
      <c r="A127" s="295" t="s">
        <v>408</v>
      </c>
      <c r="B127" s="298">
        <v>44703.0</v>
      </c>
      <c r="C127" s="299">
        <v>0.7817592592592593</v>
      </c>
      <c r="H127" s="57"/>
      <c r="K127" s="2" t="s">
        <v>205</v>
      </c>
    </row>
    <row r="128">
      <c r="A128" s="295" t="s">
        <v>408</v>
      </c>
      <c r="B128" s="298">
        <v>44703.0</v>
      </c>
      <c r="C128" s="299">
        <v>0.7817592592592593</v>
      </c>
      <c r="H128" s="57"/>
      <c r="K128" s="2" t="s">
        <v>205</v>
      </c>
    </row>
    <row r="129">
      <c r="A129" s="295" t="s">
        <v>408</v>
      </c>
      <c r="B129" s="298">
        <v>44703.0</v>
      </c>
      <c r="C129" s="299">
        <v>0.7817592592592593</v>
      </c>
      <c r="H129" s="57"/>
      <c r="K129" s="2" t="s">
        <v>205</v>
      </c>
    </row>
    <row r="130">
      <c r="A130" s="295" t="s">
        <v>408</v>
      </c>
      <c r="B130" s="298">
        <v>44703.0</v>
      </c>
      <c r="C130" s="299">
        <v>0.7817592592592593</v>
      </c>
      <c r="H130" s="57"/>
      <c r="K130" s="2" t="s">
        <v>205</v>
      </c>
    </row>
    <row r="131">
      <c r="A131" s="295" t="s">
        <v>405</v>
      </c>
      <c r="B131" s="298">
        <v>44697.0</v>
      </c>
      <c r="C131" s="299">
        <v>0.3221527777777778</v>
      </c>
      <c r="H131" s="57"/>
      <c r="K131" s="2" t="s">
        <v>228</v>
      </c>
      <c r="L131" s="298">
        <v>44697.0</v>
      </c>
      <c r="M131" s="299">
        <v>0.3611226851851852</v>
      </c>
    </row>
    <row r="132">
      <c r="A132" s="295" t="s">
        <v>405</v>
      </c>
      <c r="B132" s="298">
        <v>44697.0</v>
      </c>
      <c r="C132" s="299">
        <v>0.3221527777777778</v>
      </c>
      <c r="H132" s="57"/>
      <c r="K132" s="2" t="s">
        <v>228</v>
      </c>
      <c r="L132" s="298">
        <v>44697.0</v>
      </c>
      <c r="M132" s="299">
        <v>0.3611226851851852</v>
      </c>
    </row>
    <row r="133">
      <c r="A133" s="295" t="s">
        <v>405</v>
      </c>
      <c r="B133" s="298">
        <v>44697.0</v>
      </c>
      <c r="C133" s="299">
        <v>0.3221527777777778</v>
      </c>
      <c r="H133" s="57"/>
      <c r="K133" s="2" t="s">
        <v>228</v>
      </c>
      <c r="L133" s="298">
        <v>44697.0</v>
      </c>
      <c r="M133" s="299">
        <v>0.3611226851851852</v>
      </c>
    </row>
    <row r="134">
      <c r="A134" s="295" t="s">
        <v>403</v>
      </c>
      <c r="B134" s="298">
        <v>44697.0</v>
      </c>
      <c r="C134" s="299">
        <v>0.31871527777777775</v>
      </c>
      <c r="H134" s="57"/>
      <c r="K134" s="2" t="s">
        <v>228</v>
      </c>
      <c r="L134" s="298">
        <v>44697.0</v>
      </c>
      <c r="M134" s="299">
        <v>0.3611111111111111</v>
      </c>
    </row>
    <row r="135">
      <c r="A135" s="295" t="s">
        <v>402</v>
      </c>
      <c r="B135" s="298">
        <v>44697.0</v>
      </c>
      <c r="C135" s="299">
        <v>0.26893518518518517</v>
      </c>
      <c r="H135" s="57"/>
      <c r="K135" s="2" t="s">
        <v>228</v>
      </c>
      <c r="L135" s="298">
        <v>44697.0</v>
      </c>
      <c r="M135" s="299">
        <v>0.3611111111111111</v>
      </c>
    </row>
    <row r="136">
      <c r="A136" s="295" t="s">
        <v>396</v>
      </c>
      <c r="B136" s="298">
        <v>44697.0</v>
      </c>
      <c r="C136" s="299">
        <v>0.20903935185185185</v>
      </c>
      <c r="H136" s="57"/>
      <c r="K136" s="2" t="s">
        <v>228</v>
      </c>
      <c r="L136" s="298">
        <v>44697.0</v>
      </c>
      <c r="M136" s="299">
        <v>0.3611111111111111</v>
      </c>
    </row>
    <row r="137">
      <c r="A137" s="295" t="s">
        <v>396</v>
      </c>
      <c r="B137" s="298">
        <v>44697.0</v>
      </c>
      <c r="C137" s="299">
        <v>0.20903935185185185</v>
      </c>
      <c r="H137" s="57"/>
      <c r="K137" s="2" t="s">
        <v>228</v>
      </c>
      <c r="L137" s="298">
        <v>44697.0</v>
      </c>
      <c r="M137" s="299">
        <v>0.3611111111111111</v>
      </c>
    </row>
    <row r="138">
      <c r="A138" s="295" t="s">
        <v>395</v>
      </c>
      <c r="B138" s="298">
        <v>44697.0</v>
      </c>
      <c r="C138" s="299">
        <v>0.20684027777777778</v>
      </c>
      <c r="H138" s="57"/>
      <c r="K138" s="2" t="s">
        <v>228</v>
      </c>
      <c r="L138" s="298">
        <v>44697.0</v>
      </c>
      <c r="M138" s="299">
        <v>0.3611111111111111</v>
      </c>
    </row>
    <row r="139">
      <c r="A139" s="295" t="s">
        <v>395</v>
      </c>
      <c r="B139" s="298">
        <v>44697.0</v>
      </c>
      <c r="C139" s="299">
        <v>0.20684027777777778</v>
      </c>
      <c r="H139" s="57"/>
      <c r="K139" s="2" t="s">
        <v>228</v>
      </c>
      <c r="L139" s="298">
        <v>44697.0</v>
      </c>
      <c r="M139" s="299">
        <v>0.3611111111111111</v>
      </c>
    </row>
    <row r="140">
      <c r="A140" s="295" t="s">
        <v>394</v>
      </c>
      <c r="B140" s="298">
        <v>44697.0</v>
      </c>
      <c r="C140" s="299">
        <v>0.2023611111111111</v>
      </c>
      <c r="H140" s="57"/>
      <c r="K140" s="2" t="s">
        <v>228</v>
      </c>
      <c r="L140" s="298">
        <v>44697.0</v>
      </c>
      <c r="M140" s="299">
        <v>0.3611111111111111</v>
      </c>
    </row>
    <row r="141">
      <c r="A141" s="295" t="s">
        <v>394</v>
      </c>
      <c r="B141" s="298">
        <v>44697.0</v>
      </c>
      <c r="C141" s="299">
        <v>0.2023611111111111</v>
      </c>
      <c r="H141" s="57"/>
      <c r="K141" s="2" t="s">
        <v>228</v>
      </c>
      <c r="L141" s="298">
        <v>44697.0</v>
      </c>
      <c r="M141" s="299">
        <v>0.3611111111111111</v>
      </c>
    </row>
    <row r="142">
      <c r="A142" s="295" t="s">
        <v>392</v>
      </c>
      <c r="B142" s="298">
        <v>44697.0</v>
      </c>
      <c r="C142" s="299">
        <v>0.19030092592592593</v>
      </c>
      <c r="H142" s="57"/>
      <c r="K142" s="2" t="s">
        <v>228</v>
      </c>
      <c r="L142" s="298">
        <v>44697.0</v>
      </c>
      <c r="M142" s="299">
        <v>0.361099537037037</v>
      </c>
    </row>
    <row r="143">
      <c r="A143" s="295" t="s">
        <v>392</v>
      </c>
      <c r="B143" s="298">
        <v>44697.0</v>
      </c>
      <c r="C143" s="299">
        <v>0.19030092592592593</v>
      </c>
      <c r="H143" s="57"/>
      <c r="K143" s="2" t="s">
        <v>228</v>
      </c>
      <c r="L143" s="298">
        <v>44697.0</v>
      </c>
      <c r="M143" s="299">
        <v>0.361099537037037</v>
      </c>
    </row>
    <row r="144">
      <c r="A144" s="295" t="s">
        <v>392</v>
      </c>
      <c r="B144" s="298">
        <v>44697.0</v>
      </c>
      <c r="C144" s="299">
        <v>0.19030092592592593</v>
      </c>
      <c r="H144" s="55"/>
      <c r="K144" s="2" t="s">
        <v>228</v>
      </c>
      <c r="L144" s="298">
        <v>44697.0</v>
      </c>
      <c r="M144" s="299">
        <v>0.361099537037037</v>
      </c>
    </row>
    <row r="145">
      <c r="A145" s="295" t="s">
        <v>392</v>
      </c>
      <c r="B145" s="298">
        <v>44697.0</v>
      </c>
      <c r="C145" s="299">
        <v>0.19030092592592593</v>
      </c>
      <c r="H145" s="55"/>
      <c r="K145" s="2" t="s">
        <v>228</v>
      </c>
      <c r="L145" s="298">
        <v>44697.0</v>
      </c>
      <c r="M145" s="299">
        <v>0.361099537037037</v>
      </c>
    </row>
    <row r="146">
      <c r="A146" s="295" t="s">
        <v>391</v>
      </c>
      <c r="B146" s="298">
        <v>44697.0</v>
      </c>
      <c r="C146" s="299">
        <v>0.17675925925925925</v>
      </c>
      <c r="H146" s="55"/>
      <c r="K146" s="2" t="s">
        <v>228</v>
      </c>
      <c r="L146" s="298">
        <v>44697.0</v>
      </c>
      <c r="M146" s="299">
        <v>0.361099537037037</v>
      </c>
    </row>
    <row r="147">
      <c r="A147" s="295" t="s">
        <v>391</v>
      </c>
      <c r="B147" s="298">
        <v>44697.0</v>
      </c>
      <c r="C147" s="299">
        <v>0.17675925925925925</v>
      </c>
      <c r="H147" s="57"/>
      <c r="K147" s="2" t="s">
        <v>228</v>
      </c>
      <c r="L147" s="298">
        <v>44697.0</v>
      </c>
      <c r="M147" s="299">
        <v>0.361099537037037</v>
      </c>
    </row>
    <row r="148">
      <c r="A148" s="295" t="s">
        <v>391</v>
      </c>
      <c r="B148" s="298">
        <v>44697.0</v>
      </c>
      <c r="C148" s="299">
        <v>0.17675925925925925</v>
      </c>
      <c r="H148" s="55"/>
      <c r="K148" s="2" t="s">
        <v>228</v>
      </c>
      <c r="L148" s="298">
        <v>44697.0</v>
      </c>
      <c r="M148" s="299">
        <v>0.361099537037037</v>
      </c>
    </row>
    <row r="149">
      <c r="A149" s="295" t="s">
        <v>391</v>
      </c>
      <c r="B149" s="298">
        <v>44697.0</v>
      </c>
      <c r="C149" s="299">
        <v>0.17675925925925925</v>
      </c>
      <c r="H149" s="57"/>
      <c r="K149" s="2" t="s">
        <v>228</v>
      </c>
      <c r="L149" s="298">
        <v>44697.0</v>
      </c>
      <c r="M149" s="299">
        <v>0.361099537037037</v>
      </c>
    </row>
    <row r="150">
      <c r="A150" s="295" t="s">
        <v>390</v>
      </c>
      <c r="B150" s="298">
        <v>44697.0</v>
      </c>
      <c r="C150" s="299">
        <v>0.15361111111111111</v>
      </c>
      <c r="H150" s="57"/>
      <c r="K150" s="2" t="s">
        <v>228</v>
      </c>
      <c r="L150" s="298">
        <v>44697.0</v>
      </c>
      <c r="M150" s="299">
        <v>0.361099537037037</v>
      </c>
    </row>
    <row r="151">
      <c r="A151" s="295" t="s">
        <v>390</v>
      </c>
      <c r="B151" s="298">
        <v>44697.0</v>
      </c>
      <c r="C151" s="299">
        <v>0.15361111111111111</v>
      </c>
      <c r="H151" s="55"/>
      <c r="K151" s="2" t="s">
        <v>228</v>
      </c>
      <c r="L151" s="298">
        <v>44697.0</v>
      </c>
      <c r="M151" s="299">
        <v>0.361099537037037</v>
      </c>
    </row>
    <row r="152">
      <c r="A152" s="295" t="s">
        <v>388</v>
      </c>
      <c r="B152" s="298">
        <v>44696.0</v>
      </c>
      <c r="C152" s="299">
        <v>0.7482523148148148</v>
      </c>
      <c r="H152" s="57"/>
      <c r="K152" s="2" t="s">
        <v>228</v>
      </c>
      <c r="L152" s="298">
        <v>44697.0</v>
      </c>
      <c r="M152" s="299">
        <v>0.361099537037037</v>
      </c>
    </row>
    <row r="153">
      <c r="A153" s="295" t="s">
        <v>388</v>
      </c>
      <c r="B153" s="298">
        <v>44696.0</v>
      </c>
      <c r="C153" s="299">
        <v>0.7482523148148148</v>
      </c>
      <c r="H153" s="57"/>
      <c r="K153" s="2" t="s">
        <v>228</v>
      </c>
      <c r="L153" s="298">
        <v>44697.0</v>
      </c>
      <c r="M153" s="299">
        <v>0.361099537037037</v>
      </c>
    </row>
    <row r="154">
      <c r="A154" s="295" t="s">
        <v>385</v>
      </c>
      <c r="B154" s="298">
        <v>44690.0</v>
      </c>
      <c r="C154" s="299">
        <v>0.280162037037037</v>
      </c>
      <c r="H154" s="57"/>
      <c r="K154" s="2" t="s">
        <v>228</v>
      </c>
      <c r="L154" s="298">
        <v>44690.0</v>
      </c>
      <c r="M154" s="299">
        <v>0.3232523148148148</v>
      </c>
    </row>
    <row r="155">
      <c r="A155" s="295" t="s">
        <v>384</v>
      </c>
      <c r="B155" s="298">
        <v>44690.0</v>
      </c>
      <c r="C155" s="299">
        <v>0.2795138888888889</v>
      </c>
      <c r="H155" s="57"/>
      <c r="K155" s="2" t="s">
        <v>228</v>
      </c>
      <c r="L155" s="298">
        <v>44690.0</v>
      </c>
      <c r="M155" s="299">
        <v>0.3232523148148148</v>
      </c>
    </row>
    <row r="156">
      <c r="A156" s="295" t="s">
        <v>382</v>
      </c>
      <c r="B156" s="298">
        <v>44690.0</v>
      </c>
      <c r="C156" s="299">
        <v>0.2437037037037037</v>
      </c>
      <c r="H156" s="57"/>
      <c r="K156" s="2" t="s">
        <v>228</v>
      </c>
      <c r="L156" s="298">
        <v>44690.0</v>
      </c>
      <c r="M156" s="299">
        <v>0.3232523148148148</v>
      </c>
    </row>
    <row r="157">
      <c r="A157" s="295" t="s">
        <v>381</v>
      </c>
      <c r="B157" s="298">
        <v>44690.0</v>
      </c>
      <c r="C157" s="299">
        <v>0.2135300925925926</v>
      </c>
      <c r="H157" s="57"/>
      <c r="K157" s="2" t="s">
        <v>228</v>
      </c>
      <c r="L157" s="298">
        <v>44690.0</v>
      </c>
      <c r="M157" s="299">
        <v>0.3232407407407407</v>
      </c>
    </row>
    <row r="158">
      <c r="A158" s="295" t="s">
        <v>380</v>
      </c>
      <c r="B158" s="298">
        <v>44690.0</v>
      </c>
      <c r="C158" s="299">
        <v>0.2029050925925926</v>
      </c>
      <c r="H158" s="57"/>
      <c r="K158" s="2" t="s">
        <v>228</v>
      </c>
      <c r="L158" s="298">
        <v>44690.0</v>
      </c>
      <c r="M158" s="299">
        <v>0.3232407407407407</v>
      </c>
    </row>
    <row r="159">
      <c r="A159" s="295" t="s">
        <v>380</v>
      </c>
      <c r="B159" s="298">
        <v>44690.0</v>
      </c>
      <c r="C159" s="299">
        <v>0.2029050925925926</v>
      </c>
      <c r="H159" s="57"/>
      <c r="K159" s="2" t="s">
        <v>228</v>
      </c>
      <c r="L159" s="298">
        <v>44690.0</v>
      </c>
      <c r="M159" s="299">
        <v>0.3232407407407407</v>
      </c>
    </row>
    <row r="160">
      <c r="A160" s="295" t="s">
        <v>380</v>
      </c>
      <c r="B160" s="298">
        <v>44690.0</v>
      </c>
      <c r="C160" s="299">
        <v>0.2029050925925926</v>
      </c>
      <c r="H160" s="55"/>
      <c r="K160" s="2" t="s">
        <v>228</v>
      </c>
      <c r="L160" s="298">
        <v>44690.0</v>
      </c>
      <c r="M160" s="299">
        <v>0.3232407407407407</v>
      </c>
    </row>
    <row r="161">
      <c r="A161" s="295" t="s">
        <v>379</v>
      </c>
      <c r="B161" s="298">
        <v>44690.0</v>
      </c>
      <c r="C161" s="299">
        <v>0.1787037037037037</v>
      </c>
      <c r="H161" s="57"/>
      <c r="K161" s="2" t="s">
        <v>228</v>
      </c>
      <c r="L161" s="298">
        <v>44690.0</v>
      </c>
      <c r="M161" s="299">
        <v>0.3232407407407407</v>
      </c>
    </row>
    <row r="162">
      <c r="A162" s="295" t="s">
        <v>379</v>
      </c>
      <c r="B162" s="298">
        <v>44690.0</v>
      </c>
      <c r="C162" s="299">
        <v>0.1787037037037037</v>
      </c>
      <c r="H162" s="57"/>
      <c r="K162" s="2" t="s">
        <v>228</v>
      </c>
      <c r="L162" s="298">
        <v>44690.0</v>
      </c>
      <c r="M162" s="299">
        <v>0.3232407407407407</v>
      </c>
    </row>
    <row r="163">
      <c r="A163" s="295" t="s">
        <v>379</v>
      </c>
      <c r="B163" s="298">
        <v>44690.0</v>
      </c>
      <c r="C163" s="299">
        <v>0.1787037037037037</v>
      </c>
      <c r="H163" s="57"/>
      <c r="K163" s="2" t="s">
        <v>228</v>
      </c>
      <c r="L163" s="298">
        <v>44690.0</v>
      </c>
      <c r="M163" s="299">
        <v>0.3232407407407407</v>
      </c>
    </row>
    <row r="164">
      <c r="A164" s="295" t="s">
        <v>378</v>
      </c>
      <c r="B164" s="298">
        <v>44690.0</v>
      </c>
      <c r="C164" s="299">
        <v>0.17002314814814815</v>
      </c>
      <c r="H164" s="55"/>
      <c r="K164" s="2" t="s">
        <v>228</v>
      </c>
      <c r="L164" s="298">
        <v>44690.0</v>
      </c>
      <c r="M164" s="299">
        <v>0.3232291666666667</v>
      </c>
    </row>
    <row r="165">
      <c r="A165" s="295" t="s">
        <v>378</v>
      </c>
      <c r="B165" s="298">
        <v>44690.0</v>
      </c>
      <c r="C165" s="299">
        <v>0.17002314814814815</v>
      </c>
      <c r="H165" s="57"/>
      <c r="K165" s="2" t="s">
        <v>228</v>
      </c>
      <c r="L165" s="298">
        <v>44690.0</v>
      </c>
      <c r="M165" s="299">
        <v>0.3232291666666667</v>
      </c>
    </row>
    <row r="166">
      <c r="A166" s="295" t="s">
        <v>378</v>
      </c>
      <c r="B166" s="298">
        <v>44690.0</v>
      </c>
      <c r="C166" s="299">
        <v>0.17002314814814815</v>
      </c>
      <c r="H166" s="55"/>
      <c r="K166" s="2" t="s">
        <v>228</v>
      </c>
      <c r="L166" s="298">
        <v>44690.0</v>
      </c>
      <c r="M166" s="299">
        <v>0.3232291666666667</v>
      </c>
    </row>
    <row r="167">
      <c r="A167" s="295" t="s">
        <v>378</v>
      </c>
      <c r="B167" s="298">
        <v>44690.0</v>
      </c>
      <c r="C167" s="299">
        <v>0.17002314814814815</v>
      </c>
      <c r="H167" s="57"/>
      <c r="K167" s="2" t="s">
        <v>228</v>
      </c>
      <c r="L167" s="298">
        <v>44690.0</v>
      </c>
      <c r="M167" s="299">
        <v>0.3232291666666667</v>
      </c>
    </row>
    <row r="168">
      <c r="A168" s="295" t="s">
        <v>371</v>
      </c>
      <c r="B168" s="298">
        <v>44689.0</v>
      </c>
      <c r="C168" s="299">
        <v>0.8260300925925926</v>
      </c>
      <c r="H168" s="57"/>
      <c r="K168" s="2" t="s">
        <v>228</v>
      </c>
      <c r="L168" s="298">
        <v>44690.0</v>
      </c>
      <c r="M168" s="299">
        <v>0.3232291666666667</v>
      </c>
    </row>
    <row r="169">
      <c r="A169" s="295" t="s">
        <v>371</v>
      </c>
      <c r="B169" s="298">
        <v>44689.0</v>
      </c>
      <c r="C169" s="299">
        <v>0.8260300925925926</v>
      </c>
      <c r="H169" s="57"/>
      <c r="K169" s="2" t="s">
        <v>228</v>
      </c>
      <c r="L169" s="298">
        <v>44690.0</v>
      </c>
      <c r="M169" s="299">
        <v>0.3232291666666667</v>
      </c>
    </row>
    <row r="170">
      <c r="A170" s="295" t="s">
        <v>371</v>
      </c>
      <c r="B170" s="298">
        <v>44689.0</v>
      </c>
      <c r="C170" s="299">
        <v>0.8260300925925926</v>
      </c>
      <c r="H170" s="57"/>
      <c r="K170" s="2" t="s">
        <v>228</v>
      </c>
      <c r="L170" s="298">
        <v>44690.0</v>
      </c>
      <c r="M170" s="299">
        <v>0.3232291666666667</v>
      </c>
    </row>
    <row r="171">
      <c r="A171" s="295" t="s">
        <v>371</v>
      </c>
      <c r="B171" s="298">
        <v>44689.0</v>
      </c>
      <c r="C171" s="299">
        <v>0.8260300925925926</v>
      </c>
      <c r="H171" s="57"/>
      <c r="K171" s="2" t="s">
        <v>228</v>
      </c>
      <c r="L171" s="298">
        <v>44690.0</v>
      </c>
      <c r="M171" s="299">
        <v>0.3232291666666667</v>
      </c>
    </row>
    <row r="172">
      <c r="A172" s="295" t="s">
        <v>367</v>
      </c>
      <c r="B172" s="298">
        <v>44683.0</v>
      </c>
      <c r="C172" s="299">
        <v>0.3842013888888889</v>
      </c>
      <c r="H172" s="55"/>
      <c r="K172" s="2" t="s">
        <v>228</v>
      </c>
      <c r="L172" s="298">
        <v>44683.0</v>
      </c>
      <c r="M172" s="299">
        <v>0.6373958333333334</v>
      </c>
    </row>
    <row r="173">
      <c r="A173" s="295" t="s">
        <v>364</v>
      </c>
      <c r="B173" s="298">
        <v>44683.0</v>
      </c>
      <c r="C173" s="299">
        <v>0.2781018518518519</v>
      </c>
      <c r="H173" s="57"/>
      <c r="K173" s="2" t="s">
        <v>228</v>
      </c>
      <c r="L173" s="298">
        <v>44683.0</v>
      </c>
      <c r="M173" s="299">
        <v>0.3578125</v>
      </c>
    </row>
    <row r="174">
      <c r="A174" s="295" t="s">
        <v>360</v>
      </c>
      <c r="B174" s="298">
        <v>44683.0</v>
      </c>
      <c r="C174" s="299">
        <v>0.27576388888888886</v>
      </c>
      <c r="H174" s="57"/>
      <c r="K174" s="2" t="s">
        <v>228</v>
      </c>
      <c r="L174" s="298">
        <v>44683.0</v>
      </c>
      <c r="M174" s="299">
        <v>0.35783564814814817</v>
      </c>
    </row>
    <row r="175">
      <c r="A175" s="295" t="s">
        <v>356</v>
      </c>
      <c r="B175" s="298">
        <v>44683.0</v>
      </c>
      <c r="C175" s="299">
        <v>0.2581712962962963</v>
      </c>
      <c r="H175" s="57"/>
      <c r="K175" s="2" t="s">
        <v>228</v>
      </c>
      <c r="L175" s="298">
        <v>44683.0</v>
      </c>
      <c r="M175" s="299">
        <v>0.35782407407407407</v>
      </c>
    </row>
    <row r="176">
      <c r="A176" s="295" t="s">
        <v>350</v>
      </c>
      <c r="B176" s="298">
        <v>44683.0</v>
      </c>
      <c r="C176" s="299">
        <v>0.2399074074074074</v>
      </c>
      <c r="H176" s="57"/>
      <c r="K176" s="2" t="s">
        <v>228</v>
      </c>
      <c r="L176" s="298">
        <v>44683.0</v>
      </c>
      <c r="M176" s="299">
        <v>0.35782407407407407</v>
      </c>
    </row>
    <row r="177">
      <c r="A177" s="295" t="s">
        <v>350</v>
      </c>
      <c r="B177" s="298">
        <v>44683.0</v>
      </c>
      <c r="C177" s="299">
        <v>0.2399074074074074</v>
      </c>
      <c r="H177" s="57"/>
      <c r="K177" s="2" t="s">
        <v>228</v>
      </c>
      <c r="L177" s="298">
        <v>44683.0</v>
      </c>
      <c r="M177" s="299">
        <v>0.35782407407407407</v>
      </c>
    </row>
    <row r="178">
      <c r="A178" s="295" t="s">
        <v>346</v>
      </c>
      <c r="B178" s="298">
        <v>44683.0</v>
      </c>
      <c r="C178" s="299">
        <v>0.2382638888888889</v>
      </c>
      <c r="H178" s="57"/>
      <c r="K178" s="2" t="s">
        <v>228</v>
      </c>
      <c r="L178" s="298">
        <v>44683.0</v>
      </c>
      <c r="M178" s="299">
        <v>0.35782407407407407</v>
      </c>
    </row>
    <row r="179">
      <c r="A179" s="295" t="s">
        <v>346</v>
      </c>
      <c r="B179" s="298">
        <v>44683.0</v>
      </c>
      <c r="C179" s="299">
        <v>0.2382638888888889</v>
      </c>
      <c r="H179" s="57"/>
      <c r="K179" s="2" t="s">
        <v>228</v>
      </c>
      <c r="L179" s="298">
        <v>44683.0</v>
      </c>
      <c r="M179" s="299">
        <v>0.35782407407407407</v>
      </c>
    </row>
    <row r="180">
      <c r="A180" s="295" t="s">
        <v>341</v>
      </c>
      <c r="B180" s="298">
        <v>44683.0</v>
      </c>
      <c r="C180" s="299">
        <v>0.23635416666666667</v>
      </c>
      <c r="H180" s="57"/>
      <c r="K180" s="2" t="s">
        <v>228</v>
      </c>
      <c r="L180" s="298">
        <v>44683.0</v>
      </c>
      <c r="M180" s="299">
        <v>0.35782407407407407</v>
      </c>
    </row>
    <row r="181">
      <c r="A181" s="295" t="s">
        <v>341</v>
      </c>
      <c r="B181" s="298">
        <v>44683.0</v>
      </c>
      <c r="C181" s="299">
        <v>0.23635416666666667</v>
      </c>
      <c r="H181" s="57"/>
      <c r="K181" s="2" t="s">
        <v>228</v>
      </c>
      <c r="L181" s="298">
        <v>44683.0</v>
      </c>
      <c r="M181" s="299">
        <v>0.35782407407407407</v>
      </c>
    </row>
    <row r="182">
      <c r="A182" s="295" t="s">
        <v>331</v>
      </c>
      <c r="B182" s="298">
        <v>44683.0</v>
      </c>
      <c r="C182" s="299">
        <v>0.21256944444444445</v>
      </c>
      <c r="H182" s="57"/>
      <c r="K182" s="2" t="s">
        <v>228</v>
      </c>
      <c r="L182" s="298">
        <v>44683.0</v>
      </c>
      <c r="M182" s="299">
        <v>0.35782407407407407</v>
      </c>
    </row>
    <row r="183">
      <c r="A183" s="295" t="s">
        <v>331</v>
      </c>
      <c r="B183" s="298">
        <v>44683.0</v>
      </c>
      <c r="C183" s="299">
        <v>0.21256944444444445</v>
      </c>
      <c r="H183" s="57"/>
      <c r="K183" s="2" t="s">
        <v>228</v>
      </c>
      <c r="L183" s="298">
        <v>44683.0</v>
      </c>
      <c r="M183" s="299">
        <v>0.35782407407407407</v>
      </c>
    </row>
    <row r="184">
      <c r="A184" s="295" t="s">
        <v>321</v>
      </c>
      <c r="B184" s="298">
        <v>44683.0</v>
      </c>
      <c r="C184" s="299">
        <v>0.20903935185185185</v>
      </c>
      <c r="H184" s="57"/>
      <c r="K184" s="2" t="s">
        <v>228</v>
      </c>
      <c r="L184" s="298">
        <v>44683.0</v>
      </c>
      <c r="M184" s="299">
        <v>0.35782407407407407</v>
      </c>
    </row>
    <row r="185">
      <c r="A185" s="295" t="s">
        <v>321</v>
      </c>
      <c r="B185" s="298">
        <v>44683.0</v>
      </c>
      <c r="C185" s="299">
        <v>0.20903935185185185</v>
      </c>
      <c r="H185" s="55"/>
      <c r="K185" s="2" t="s">
        <v>228</v>
      </c>
      <c r="L185" s="298">
        <v>44683.0</v>
      </c>
      <c r="M185" s="299">
        <v>0.35782407407407407</v>
      </c>
    </row>
    <row r="186">
      <c r="A186" s="295" t="s">
        <v>321</v>
      </c>
      <c r="B186" s="298">
        <v>44683.0</v>
      </c>
      <c r="C186" s="299">
        <v>0.20903935185185185</v>
      </c>
      <c r="H186" s="57"/>
      <c r="K186" s="2" t="s">
        <v>228</v>
      </c>
      <c r="L186" s="298">
        <v>44683.0</v>
      </c>
      <c r="M186" s="299">
        <v>0.35782407407407407</v>
      </c>
    </row>
    <row r="187">
      <c r="A187" s="295" t="s">
        <v>321</v>
      </c>
      <c r="B187" s="298">
        <v>44683.0</v>
      </c>
      <c r="C187" s="299">
        <v>0.20903935185185185</v>
      </c>
      <c r="H187" s="57"/>
      <c r="K187" s="2" t="s">
        <v>228</v>
      </c>
      <c r="L187" s="298">
        <v>44683.0</v>
      </c>
      <c r="M187" s="299">
        <v>0.35782407407407407</v>
      </c>
    </row>
    <row r="188">
      <c r="A188" s="295" t="s">
        <v>315</v>
      </c>
      <c r="B188" s="298">
        <v>44683.0</v>
      </c>
      <c r="C188" s="299">
        <v>0.2021875</v>
      </c>
      <c r="H188" s="57"/>
      <c r="K188" s="2" t="s">
        <v>228</v>
      </c>
      <c r="L188" s="298">
        <v>44683.0</v>
      </c>
      <c r="M188" s="299">
        <v>0.35782407407407407</v>
      </c>
    </row>
    <row r="189">
      <c r="A189" s="295" t="s">
        <v>315</v>
      </c>
      <c r="B189" s="298">
        <v>44683.0</v>
      </c>
      <c r="C189" s="299">
        <v>0.2021875</v>
      </c>
      <c r="H189" s="57"/>
      <c r="K189" s="2" t="s">
        <v>228</v>
      </c>
      <c r="L189" s="298">
        <v>44683.0</v>
      </c>
      <c r="M189" s="299">
        <v>0.35782407407407407</v>
      </c>
    </row>
    <row r="190">
      <c r="A190" s="295" t="s">
        <v>305</v>
      </c>
      <c r="B190" s="298">
        <v>44683.0</v>
      </c>
      <c r="C190" s="299">
        <v>0.19702546296296297</v>
      </c>
      <c r="H190" s="57"/>
      <c r="K190" s="2" t="s">
        <v>228</v>
      </c>
      <c r="L190" s="298">
        <v>44690.0</v>
      </c>
      <c r="M190" s="299">
        <v>0.3232291666666667</v>
      </c>
    </row>
    <row r="191">
      <c r="A191" s="295" t="s">
        <v>299</v>
      </c>
      <c r="B191" s="298">
        <v>44683.0</v>
      </c>
      <c r="C191" s="299">
        <v>0.17994212962962963</v>
      </c>
      <c r="H191" s="57"/>
      <c r="K191" s="2" t="s">
        <v>228</v>
      </c>
      <c r="L191" s="298">
        <v>44683.0</v>
      </c>
      <c r="M191" s="299">
        <v>0.35782407407407407</v>
      </c>
    </row>
    <row r="192">
      <c r="A192" s="295" t="s">
        <v>297</v>
      </c>
      <c r="B192" s="298">
        <v>44683.0</v>
      </c>
      <c r="C192" s="299">
        <v>0.17832175925925925</v>
      </c>
      <c r="H192" s="57"/>
      <c r="K192" s="2" t="s">
        <v>228</v>
      </c>
      <c r="L192" s="298">
        <v>44683.0</v>
      </c>
      <c r="M192" s="299">
        <v>0.3578125</v>
      </c>
    </row>
    <row r="193">
      <c r="A193" s="295" t="s">
        <v>293</v>
      </c>
      <c r="B193" s="298">
        <v>44683.0</v>
      </c>
      <c r="C193" s="299">
        <v>0.17806712962962962</v>
      </c>
      <c r="H193" s="57"/>
      <c r="K193" s="2" t="s">
        <v>228</v>
      </c>
      <c r="L193" s="298">
        <v>44683.0</v>
      </c>
      <c r="M193" s="299">
        <v>0.3578125</v>
      </c>
    </row>
    <row r="194">
      <c r="A194" s="295" t="s">
        <v>289</v>
      </c>
      <c r="B194" s="298">
        <v>44683.0</v>
      </c>
      <c r="C194" s="299">
        <v>0.17770833333333333</v>
      </c>
      <c r="H194" s="57"/>
      <c r="K194" s="2" t="s">
        <v>228</v>
      </c>
      <c r="L194" s="298">
        <v>44683.0</v>
      </c>
      <c r="M194" s="299">
        <v>0.3578125</v>
      </c>
    </row>
    <row r="195">
      <c r="A195" s="295" t="s">
        <v>283</v>
      </c>
      <c r="B195" s="298">
        <v>44683.0</v>
      </c>
      <c r="C195" s="299">
        <v>0.17721064814814816</v>
      </c>
      <c r="H195" s="57"/>
      <c r="K195" s="2" t="s">
        <v>228</v>
      </c>
      <c r="L195" s="298">
        <v>44683.0</v>
      </c>
      <c r="M195" s="299">
        <v>0.3578125</v>
      </c>
    </row>
    <row r="196">
      <c r="A196" s="295" t="s">
        <v>273</v>
      </c>
      <c r="B196" s="298">
        <v>44683.0</v>
      </c>
      <c r="C196" s="299">
        <v>0.17497685185185186</v>
      </c>
      <c r="H196" s="57"/>
      <c r="K196" s="2" t="s">
        <v>228</v>
      </c>
      <c r="L196" s="298">
        <v>44683.0</v>
      </c>
      <c r="M196" s="299">
        <v>0.3578125</v>
      </c>
    </row>
    <row r="197">
      <c r="A197" s="295" t="s">
        <v>273</v>
      </c>
      <c r="B197" s="298">
        <v>44683.0</v>
      </c>
      <c r="C197" s="299">
        <v>0.17497685185185186</v>
      </c>
      <c r="H197" s="57"/>
      <c r="K197" s="2" t="s">
        <v>228</v>
      </c>
      <c r="L197" s="298">
        <v>44683.0</v>
      </c>
      <c r="M197" s="299">
        <v>0.3578125</v>
      </c>
    </row>
    <row r="198">
      <c r="A198" s="295" t="s">
        <v>268</v>
      </c>
      <c r="B198" s="298">
        <v>44679.0</v>
      </c>
      <c r="C198" s="299">
        <v>0.5215162037037037</v>
      </c>
      <c r="H198" s="57"/>
      <c r="K198" s="2" t="s">
        <v>205</v>
      </c>
    </row>
    <row r="199">
      <c r="A199" s="295" t="s">
        <v>268</v>
      </c>
      <c r="B199" s="298">
        <v>44679.0</v>
      </c>
      <c r="C199" s="299">
        <v>0.5215162037037037</v>
      </c>
      <c r="H199" s="55"/>
      <c r="K199" s="2" t="s">
        <v>205</v>
      </c>
    </row>
    <row r="200">
      <c r="A200" s="295" t="s">
        <v>268</v>
      </c>
      <c r="B200" s="298">
        <v>44679.0</v>
      </c>
      <c r="C200" s="299">
        <v>0.5215162037037037</v>
      </c>
      <c r="H200" s="57"/>
      <c r="K200" s="2" t="s">
        <v>205</v>
      </c>
    </row>
    <row r="201">
      <c r="A201" s="295" t="s">
        <v>268</v>
      </c>
      <c r="B201" s="298">
        <v>44679.0</v>
      </c>
      <c r="C201" s="299">
        <v>0.5215162037037037</v>
      </c>
      <c r="H201" s="55"/>
      <c r="K201" s="2" t="s">
        <v>205</v>
      </c>
    </row>
    <row r="202">
      <c r="A202" s="295" t="s">
        <v>265</v>
      </c>
      <c r="B202" s="298">
        <v>44679.0</v>
      </c>
      <c r="C202" s="299">
        <v>0.17568287037037036</v>
      </c>
      <c r="H202" s="57"/>
      <c r="K202" s="2" t="s">
        <v>205</v>
      </c>
    </row>
    <row r="203">
      <c r="A203" s="295" t="s">
        <v>265</v>
      </c>
      <c r="B203" s="298">
        <v>44679.0</v>
      </c>
      <c r="C203" s="299">
        <v>0.17568287037037036</v>
      </c>
      <c r="H203" s="57"/>
      <c r="K203" s="2" t="s">
        <v>205</v>
      </c>
    </row>
    <row r="204">
      <c r="A204" s="295" t="s">
        <v>263</v>
      </c>
      <c r="B204" s="298">
        <v>44678.0</v>
      </c>
      <c r="C204" s="299">
        <v>0.6185995370370371</v>
      </c>
      <c r="H204" s="57"/>
      <c r="K204" s="2" t="s">
        <v>228</v>
      </c>
      <c r="L204" s="298">
        <v>44678.0</v>
      </c>
      <c r="M204" s="299">
        <v>0.628449074074074</v>
      </c>
    </row>
    <row r="205">
      <c r="A205" s="295" t="s">
        <v>261</v>
      </c>
      <c r="B205" s="298">
        <v>44678.0</v>
      </c>
      <c r="C205" s="299">
        <v>0.6184606481481482</v>
      </c>
      <c r="H205" s="57"/>
      <c r="K205" s="2" t="s">
        <v>228</v>
      </c>
      <c r="L205" s="298">
        <v>44678.0</v>
      </c>
      <c r="M205" s="299">
        <v>0.628449074074074</v>
      </c>
    </row>
    <row r="206">
      <c r="A206" s="295" t="s">
        <v>259</v>
      </c>
      <c r="B206" s="298">
        <v>44678.0</v>
      </c>
      <c r="C206" s="299">
        <v>0.6183217592592593</v>
      </c>
      <c r="H206" s="57"/>
      <c r="K206" s="2" t="s">
        <v>228</v>
      </c>
      <c r="L206" s="298">
        <v>44678.0</v>
      </c>
      <c r="M206" s="299">
        <v>0.628449074074074</v>
      </c>
    </row>
    <row r="207">
      <c r="A207" s="295" t="s">
        <v>257</v>
      </c>
      <c r="B207" s="298">
        <v>44678.0</v>
      </c>
      <c r="C207" s="299">
        <v>0.6181712962962963</v>
      </c>
      <c r="H207" s="57"/>
      <c r="K207" s="2" t="s">
        <v>228</v>
      </c>
      <c r="L207" s="298">
        <v>44678.0</v>
      </c>
      <c r="M207" s="299">
        <v>0.628449074074074</v>
      </c>
    </row>
    <row r="208">
      <c r="A208" s="295" t="s">
        <v>255</v>
      </c>
      <c r="B208" s="298">
        <v>44678.0</v>
      </c>
      <c r="C208" s="299">
        <v>0.6180208333333334</v>
      </c>
      <c r="H208" s="57"/>
      <c r="K208" s="2" t="s">
        <v>228</v>
      </c>
      <c r="L208" s="298">
        <v>44678.0</v>
      </c>
      <c r="M208" s="299">
        <v>0.628449074074074</v>
      </c>
    </row>
    <row r="209">
      <c r="A209" s="295" t="s">
        <v>253</v>
      </c>
      <c r="B209" s="298">
        <v>44678.0</v>
      </c>
      <c r="C209" s="299">
        <v>0.6178472222222222</v>
      </c>
      <c r="H209" s="57"/>
      <c r="K209" s="2" t="s">
        <v>228</v>
      </c>
      <c r="L209" s="298">
        <v>44678.0</v>
      </c>
      <c r="M209" s="299">
        <v>0.628449074074074</v>
      </c>
    </row>
    <row r="210">
      <c r="A210" s="295" t="s">
        <v>251</v>
      </c>
      <c r="B210" s="298">
        <v>44678.0</v>
      </c>
      <c r="C210" s="299">
        <v>0.6176967592592593</v>
      </c>
      <c r="H210" s="57"/>
      <c r="K210" s="2" t="s">
        <v>228</v>
      </c>
      <c r="L210" s="298">
        <v>44678.0</v>
      </c>
      <c r="M210" s="299">
        <v>0.6284375</v>
      </c>
    </row>
    <row r="211">
      <c r="A211" s="295" t="s">
        <v>249</v>
      </c>
      <c r="B211" s="298">
        <v>44678.0</v>
      </c>
      <c r="C211" s="299">
        <v>0.6174652777777778</v>
      </c>
      <c r="H211" s="57"/>
      <c r="K211" s="2" t="s">
        <v>228</v>
      </c>
      <c r="L211" s="298">
        <v>44678.0</v>
      </c>
      <c r="M211" s="299">
        <v>0.6284375</v>
      </c>
    </row>
    <row r="212">
      <c r="A212" s="295" t="s">
        <v>247</v>
      </c>
      <c r="B212" s="298">
        <v>44678.0</v>
      </c>
      <c r="C212" s="299">
        <v>0.617337962962963</v>
      </c>
      <c r="H212" s="57"/>
      <c r="K212" s="2" t="s">
        <v>228</v>
      </c>
      <c r="L212" s="298">
        <v>44678.0</v>
      </c>
      <c r="M212" s="299">
        <v>0.6284375</v>
      </c>
    </row>
    <row r="213">
      <c r="A213" s="295" t="s">
        <v>245</v>
      </c>
      <c r="B213" s="298">
        <v>44678.0</v>
      </c>
      <c r="C213" s="299">
        <v>0.6169444444444444</v>
      </c>
      <c r="H213" s="57"/>
      <c r="K213" s="2" t="s">
        <v>228</v>
      </c>
      <c r="L213" s="298">
        <v>44678.0</v>
      </c>
      <c r="M213" s="299">
        <v>0.6284375</v>
      </c>
    </row>
    <row r="214">
      <c r="A214" s="295" t="s">
        <v>243</v>
      </c>
      <c r="B214" s="298">
        <v>44678.0</v>
      </c>
      <c r="C214" s="299">
        <v>0.6167939814814815</v>
      </c>
      <c r="H214" s="57"/>
      <c r="K214" s="2" t="s">
        <v>228</v>
      </c>
      <c r="L214" s="298">
        <v>44678.0</v>
      </c>
      <c r="M214" s="299">
        <v>0.6284375</v>
      </c>
    </row>
    <row r="215">
      <c r="A215" s="295" t="s">
        <v>241</v>
      </c>
      <c r="B215" s="298">
        <v>44678.0</v>
      </c>
      <c r="C215" s="299">
        <v>0.6164814814814815</v>
      </c>
      <c r="H215" s="57"/>
      <c r="K215" s="2" t="s">
        <v>228</v>
      </c>
      <c r="L215" s="298">
        <v>44678.0</v>
      </c>
      <c r="M215" s="299">
        <v>0.6284375</v>
      </c>
    </row>
    <row r="216">
      <c r="A216" s="295" t="s">
        <v>239</v>
      </c>
      <c r="B216" s="298">
        <v>44678.0</v>
      </c>
      <c r="C216" s="299">
        <v>0.6163425925925926</v>
      </c>
      <c r="H216" s="57"/>
      <c r="K216" s="2" t="s">
        <v>228</v>
      </c>
      <c r="L216" s="298">
        <v>44678.0</v>
      </c>
      <c r="M216" s="299">
        <v>0.6284375</v>
      </c>
    </row>
    <row r="217">
      <c r="A217" s="295" t="s">
        <v>237</v>
      </c>
      <c r="B217" s="298">
        <v>44678.0</v>
      </c>
      <c r="C217" s="299">
        <v>0.6161805555555555</v>
      </c>
      <c r="H217" s="57"/>
      <c r="K217" s="2" t="s">
        <v>228</v>
      </c>
      <c r="L217" s="298">
        <v>44678.0</v>
      </c>
      <c r="M217" s="299">
        <v>0.6284375</v>
      </c>
    </row>
    <row r="218">
      <c r="A218" s="295" t="s">
        <v>235</v>
      </c>
      <c r="B218" s="298">
        <v>44676.0</v>
      </c>
      <c r="C218" s="299">
        <v>0.3570023148148148</v>
      </c>
      <c r="H218" s="57"/>
      <c r="K218" s="2" t="s">
        <v>228</v>
      </c>
      <c r="L218" s="298">
        <v>44676.0</v>
      </c>
      <c r="M218" s="299">
        <v>0.4426273148148148</v>
      </c>
    </row>
    <row r="219">
      <c r="A219" s="295" t="s">
        <v>233</v>
      </c>
      <c r="B219" s="298">
        <v>44676.0</v>
      </c>
      <c r="C219" s="299">
        <v>0.3518865740740741</v>
      </c>
      <c r="H219" s="57"/>
      <c r="K219" s="2" t="s">
        <v>228</v>
      </c>
      <c r="L219" s="298">
        <v>44683.0</v>
      </c>
      <c r="M219" s="299">
        <v>0.3578125</v>
      </c>
    </row>
    <row r="220">
      <c r="A220" s="295" t="s">
        <v>227</v>
      </c>
      <c r="B220" s="298">
        <v>44670.0</v>
      </c>
      <c r="C220" s="299">
        <v>0.48736111111111113</v>
      </c>
      <c r="H220" s="55"/>
      <c r="K220" s="2" t="s">
        <v>228</v>
      </c>
      <c r="L220" s="298">
        <v>44670.0</v>
      </c>
      <c r="M220" s="299">
        <v>0.5004282407407408</v>
      </c>
    </row>
    <row r="221">
      <c r="A221" s="295" t="s">
        <v>227</v>
      </c>
      <c r="B221" s="298">
        <v>44670.0</v>
      </c>
      <c r="C221" s="299">
        <v>0.48736111111111113</v>
      </c>
      <c r="H221" s="57"/>
      <c r="K221" s="2" t="s">
        <v>228</v>
      </c>
      <c r="L221" s="298">
        <v>44670.0</v>
      </c>
      <c r="M221" s="299">
        <v>0.5004282407407408</v>
      </c>
    </row>
    <row r="222">
      <c r="A222" s="295" t="s">
        <v>227</v>
      </c>
      <c r="B222" s="298">
        <v>44670.0</v>
      </c>
      <c r="C222" s="299">
        <v>0.48736111111111113</v>
      </c>
      <c r="H222" s="57"/>
      <c r="K222" s="2" t="s">
        <v>228</v>
      </c>
      <c r="L222" s="298">
        <v>44670.0</v>
      </c>
      <c r="M222" s="299">
        <v>0.5004282407407408</v>
      </c>
    </row>
    <row r="223">
      <c r="A223" s="295" t="s">
        <v>227</v>
      </c>
      <c r="B223" s="298">
        <v>44670.0</v>
      </c>
      <c r="C223" s="299">
        <v>0.48736111111111113</v>
      </c>
      <c r="H223" s="55"/>
      <c r="K223" s="2" t="s">
        <v>228</v>
      </c>
      <c r="L223" s="298">
        <v>44670.0</v>
      </c>
      <c r="M223" s="299">
        <v>0.5004282407407408</v>
      </c>
    </row>
    <row r="224">
      <c r="A224" s="295" t="s">
        <v>223</v>
      </c>
      <c r="B224" s="298">
        <v>44670.0</v>
      </c>
      <c r="C224" s="299">
        <v>0.4699305555555556</v>
      </c>
      <c r="H224" s="55"/>
      <c r="K224" s="2" t="s">
        <v>205</v>
      </c>
    </row>
    <row r="225">
      <c r="A225" s="295" t="s">
        <v>223</v>
      </c>
      <c r="B225" s="298">
        <v>44670.0</v>
      </c>
      <c r="C225" s="299">
        <v>0.4699305555555556</v>
      </c>
      <c r="H225" s="55"/>
      <c r="K225" s="2" t="s">
        <v>205</v>
      </c>
    </row>
    <row r="226">
      <c r="A226" s="295" t="s">
        <v>223</v>
      </c>
      <c r="B226" s="298">
        <v>44670.0</v>
      </c>
      <c r="C226" s="299">
        <v>0.4699305555555556</v>
      </c>
      <c r="H226" s="57"/>
      <c r="K226" s="2" t="s">
        <v>205</v>
      </c>
    </row>
    <row r="227">
      <c r="A227" s="295" t="s">
        <v>219</v>
      </c>
      <c r="B227" s="298">
        <v>44670.0</v>
      </c>
      <c r="C227" s="299">
        <v>0.4692824074074074</v>
      </c>
      <c r="H227" s="55"/>
      <c r="K227" s="2" t="s">
        <v>205</v>
      </c>
    </row>
    <row r="228">
      <c r="A228" s="295" t="s">
        <v>219</v>
      </c>
      <c r="B228" s="298">
        <v>44670.0</v>
      </c>
      <c r="C228" s="299">
        <v>0.4692824074074074</v>
      </c>
      <c r="H228" s="57"/>
      <c r="K228" s="2" t="s">
        <v>205</v>
      </c>
    </row>
    <row r="229">
      <c r="A229" s="295" t="s">
        <v>219</v>
      </c>
      <c r="B229" s="298">
        <v>44670.0</v>
      </c>
      <c r="C229" s="299">
        <v>0.4692824074074074</v>
      </c>
      <c r="H229" s="55"/>
      <c r="K229" s="2" t="s">
        <v>205</v>
      </c>
    </row>
    <row r="230">
      <c r="A230" s="295" t="s">
        <v>214</v>
      </c>
      <c r="B230" s="298">
        <v>44670.0</v>
      </c>
      <c r="C230" s="299">
        <v>0.46875</v>
      </c>
      <c r="H230" s="55"/>
      <c r="K230" s="2" t="s">
        <v>215</v>
      </c>
      <c r="L230" s="298">
        <v>44670.0</v>
      </c>
      <c r="M230" s="299">
        <v>0.5004282407407408</v>
      </c>
    </row>
    <row r="231">
      <c r="A231" s="295" t="s">
        <v>214</v>
      </c>
      <c r="B231" s="298">
        <v>44670.0</v>
      </c>
      <c r="C231" s="299">
        <v>0.46875</v>
      </c>
      <c r="H231" s="57"/>
      <c r="K231" s="2" t="s">
        <v>215</v>
      </c>
      <c r="L231" s="298">
        <v>44670.0</v>
      </c>
      <c r="M231" s="299">
        <v>0.5004282407407408</v>
      </c>
    </row>
    <row r="232">
      <c r="A232" s="295" t="s">
        <v>214</v>
      </c>
      <c r="B232" s="298">
        <v>44670.0</v>
      </c>
      <c r="C232" s="299">
        <v>0.46875</v>
      </c>
      <c r="H232" s="57"/>
      <c r="K232" s="2" t="s">
        <v>215</v>
      </c>
      <c r="L232" s="298">
        <v>44670.0</v>
      </c>
      <c r="M232" s="299">
        <v>0.5004282407407408</v>
      </c>
    </row>
    <row r="233">
      <c r="A233" s="295" t="s">
        <v>212</v>
      </c>
      <c r="B233" s="298">
        <v>44666.0</v>
      </c>
      <c r="C233" s="299">
        <v>0.496875</v>
      </c>
      <c r="H233" s="57"/>
      <c r="K233" s="2" t="s">
        <v>205</v>
      </c>
    </row>
    <row r="234">
      <c r="A234" s="295">
        <v>7.2782051679E10</v>
      </c>
      <c r="B234" s="298">
        <v>44659.0</v>
      </c>
      <c r="C234" s="299">
        <v>0.5501736111111111</v>
      </c>
      <c r="H234" s="55"/>
      <c r="K234" s="2" t="s">
        <v>205</v>
      </c>
    </row>
    <row r="235">
      <c r="A235" s="295">
        <v>7.2782051679E10</v>
      </c>
      <c r="B235" s="298">
        <v>44659.0</v>
      </c>
      <c r="C235" s="299">
        <v>0.5501736111111111</v>
      </c>
      <c r="H235" s="57"/>
      <c r="K235" s="2" t="s">
        <v>205</v>
      </c>
    </row>
    <row r="236">
      <c r="A236" s="295" t="s">
        <v>204</v>
      </c>
      <c r="B236" s="298">
        <v>44659.0</v>
      </c>
      <c r="C236" s="299">
        <v>0.38612268518518517</v>
      </c>
      <c r="H236" s="57"/>
      <c r="K236" s="2" t="s">
        <v>205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1" max="11" width="14.0"/>
  </cols>
  <sheetData>
    <row r="1">
      <c r="A1" s="2" t="s">
        <v>597</v>
      </c>
      <c r="C1" s="2" t="s">
        <v>598</v>
      </c>
    </row>
    <row r="2">
      <c r="A2" s="52" t="s">
        <v>156</v>
      </c>
      <c r="B2" s="52" t="s">
        <v>133</v>
      </c>
      <c r="C2" s="52" t="s">
        <v>134</v>
      </c>
      <c r="D2" s="52" t="s">
        <v>136</v>
      </c>
      <c r="E2" s="52" t="s">
        <v>137</v>
      </c>
      <c r="F2" s="52" t="s">
        <v>601</v>
      </c>
      <c r="G2" s="52" t="s">
        <v>164</v>
      </c>
      <c r="H2" s="52" t="s">
        <v>599</v>
      </c>
      <c r="I2" s="52" t="s">
        <v>140</v>
      </c>
      <c r="J2" s="52" t="s">
        <v>141</v>
      </c>
      <c r="K2" s="52" t="s">
        <v>602</v>
      </c>
      <c r="L2" s="52" t="s">
        <v>603</v>
      </c>
      <c r="M2" s="52" t="s">
        <v>604</v>
      </c>
      <c r="N2" s="52" t="s">
        <v>600</v>
      </c>
      <c r="O2" s="52" t="s">
        <v>144</v>
      </c>
      <c r="P2" s="44"/>
      <c r="Q2" s="44"/>
      <c r="R2" s="44"/>
      <c r="S2" s="44"/>
      <c r="T2" s="44"/>
    </row>
    <row r="3">
      <c r="A3" s="2">
        <v>7.2782051679E10</v>
      </c>
      <c r="B3" s="298">
        <v>44659.0</v>
      </c>
      <c r="C3" s="299">
        <v>0.5501736111111111</v>
      </c>
      <c r="G3" s="2" t="s">
        <v>605</v>
      </c>
      <c r="H3" s="2" t="s">
        <v>205</v>
      </c>
      <c r="I3" s="298">
        <v>44861.0</v>
      </c>
      <c r="J3" s="299">
        <v>0.48483796296296294</v>
      </c>
      <c r="K3" s="2">
        <v>2.0</v>
      </c>
      <c r="N3" s="2" t="s">
        <v>208</v>
      </c>
    </row>
    <row r="4">
      <c r="A4" s="2" t="s">
        <v>392</v>
      </c>
      <c r="B4" s="298">
        <v>44697.0</v>
      </c>
      <c r="C4" s="299">
        <v>0.19030092592592593</v>
      </c>
      <c r="G4" s="2" t="s">
        <v>481</v>
      </c>
      <c r="H4" s="2" t="s">
        <v>228</v>
      </c>
      <c r="I4" s="298">
        <v>44697.0</v>
      </c>
      <c r="J4" s="299">
        <v>0.361099537037037</v>
      </c>
      <c r="K4" s="2">
        <v>4.0</v>
      </c>
      <c r="L4" s="2" t="b">
        <v>1</v>
      </c>
      <c r="M4" s="2" t="s">
        <v>606</v>
      </c>
      <c r="N4" s="2" t="s">
        <v>208</v>
      </c>
    </row>
    <row r="5">
      <c r="A5" s="2" t="s">
        <v>476</v>
      </c>
      <c r="B5" s="298">
        <v>44767.0</v>
      </c>
      <c r="C5" s="299">
        <v>0.3788773148148148</v>
      </c>
      <c r="G5" s="2" t="s">
        <v>481</v>
      </c>
      <c r="H5" s="2" t="s">
        <v>228</v>
      </c>
      <c r="I5" s="298">
        <v>44767.0</v>
      </c>
      <c r="J5" s="299">
        <v>0.4329398148148148</v>
      </c>
      <c r="K5" s="2">
        <v>2.0</v>
      </c>
      <c r="L5" s="2" t="b">
        <v>1</v>
      </c>
      <c r="M5" s="2" t="s">
        <v>607</v>
      </c>
      <c r="N5" s="2" t="s">
        <v>208</v>
      </c>
    </row>
    <row r="6">
      <c r="A6" s="2" t="s">
        <v>469</v>
      </c>
      <c r="B6" s="298">
        <v>44753.0</v>
      </c>
      <c r="C6" s="299">
        <v>0.2527199074074074</v>
      </c>
      <c r="G6" s="2" t="s">
        <v>481</v>
      </c>
      <c r="H6" s="2" t="s">
        <v>228</v>
      </c>
      <c r="I6" s="298">
        <v>44753.0</v>
      </c>
      <c r="J6" s="299">
        <v>0.3984027777777778</v>
      </c>
      <c r="K6" s="2">
        <v>2.0</v>
      </c>
      <c r="L6" s="2" t="b">
        <v>1</v>
      </c>
      <c r="M6" s="2" t="s">
        <v>608</v>
      </c>
      <c r="N6" s="2" t="s">
        <v>208</v>
      </c>
    </row>
    <row r="7">
      <c r="A7" s="2" t="s">
        <v>293</v>
      </c>
      <c r="B7" s="298">
        <v>44683.0</v>
      </c>
      <c r="C7" s="299">
        <v>0.17806712962962962</v>
      </c>
      <c r="G7" s="2" t="s">
        <v>481</v>
      </c>
      <c r="H7" s="2" t="s">
        <v>228</v>
      </c>
      <c r="I7" s="298">
        <v>44683.0</v>
      </c>
      <c r="J7" s="299">
        <v>0.3578125</v>
      </c>
      <c r="K7" s="2">
        <v>1.0</v>
      </c>
      <c r="L7" s="2" t="b">
        <v>1</v>
      </c>
      <c r="N7" s="2" t="s">
        <v>208</v>
      </c>
    </row>
    <row r="8">
      <c r="A8" s="2" t="s">
        <v>480</v>
      </c>
      <c r="B8" s="298">
        <v>44861.0</v>
      </c>
      <c r="C8" s="299">
        <v>0.48483796296296294</v>
      </c>
      <c r="G8" s="2" t="s">
        <v>609</v>
      </c>
      <c r="H8" s="2" t="s">
        <v>205</v>
      </c>
      <c r="I8" s="298">
        <v>44861.0</v>
      </c>
      <c r="J8" s="299">
        <v>0.48483796296296294</v>
      </c>
      <c r="K8" s="2">
        <v>4.0</v>
      </c>
      <c r="N8" s="2" t="s">
        <v>208</v>
      </c>
    </row>
    <row r="9">
      <c r="A9" s="2" t="s">
        <v>384</v>
      </c>
      <c r="B9" s="298">
        <v>44690.0</v>
      </c>
      <c r="C9" s="299">
        <v>0.2795138888888889</v>
      </c>
      <c r="G9" s="2" t="s">
        <v>481</v>
      </c>
      <c r="H9" s="2" t="s">
        <v>228</v>
      </c>
      <c r="I9" s="298">
        <v>44690.0</v>
      </c>
      <c r="J9" s="299">
        <v>0.3232523148148148</v>
      </c>
      <c r="K9" s="2">
        <v>1.0</v>
      </c>
      <c r="L9" s="2" t="b">
        <v>1</v>
      </c>
      <c r="M9" s="2" t="s">
        <v>610</v>
      </c>
      <c r="N9" s="2" t="s">
        <v>208</v>
      </c>
    </row>
    <row r="10">
      <c r="A10" s="2" t="s">
        <v>444</v>
      </c>
      <c r="B10" s="298">
        <v>44718.0</v>
      </c>
      <c r="C10" s="299">
        <v>0.1569212962962963</v>
      </c>
      <c r="G10" s="2" t="s">
        <v>481</v>
      </c>
      <c r="H10" s="2" t="s">
        <v>228</v>
      </c>
      <c r="I10" s="298">
        <v>44718.0</v>
      </c>
      <c r="J10" s="299">
        <v>0.36497685185185186</v>
      </c>
      <c r="K10" s="2">
        <v>3.0</v>
      </c>
      <c r="L10" s="2" t="b">
        <v>1</v>
      </c>
      <c r="M10" s="2" t="s">
        <v>611</v>
      </c>
      <c r="N10" s="2" t="s">
        <v>208</v>
      </c>
    </row>
    <row r="11">
      <c r="A11" s="2" t="s">
        <v>391</v>
      </c>
      <c r="B11" s="298">
        <v>44697.0</v>
      </c>
      <c r="C11" s="299">
        <v>0.17675925925925925</v>
      </c>
      <c r="G11" s="2" t="s">
        <v>481</v>
      </c>
      <c r="H11" s="2" t="s">
        <v>228</v>
      </c>
      <c r="I11" s="298">
        <v>44697.0</v>
      </c>
      <c r="J11" s="299">
        <v>0.361099537037037</v>
      </c>
      <c r="K11" s="2">
        <v>4.0</v>
      </c>
      <c r="L11" s="2" t="b">
        <v>1</v>
      </c>
      <c r="M11" s="2" t="s">
        <v>606</v>
      </c>
      <c r="N11" s="2" t="s">
        <v>208</v>
      </c>
    </row>
    <row r="12">
      <c r="A12" s="2" t="s">
        <v>412</v>
      </c>
      <c r="B12" s="298">
        <v>44704.0</v>
      </c>
      <c r="C12" s="299">
        <v>0.1905439814814815</v>
      </c>
      <c r="G12" s="2" t="s">
        <v>481</v>
      </c>
      <c r="H12" s="2" t="s">
        <v>228</v>
      </c>
      <c r="I12" s="298">
        <v>44704.0</v>
      </c>
      <c r="J12" s="299">
        <v>0.39490740740740743</v>
      </c>
      <c r="K12" s="2">
        <v>2.0</v>
      </c>
      <c r="L12" s="2" t="b">
        <v>1</v>
      </c>
      <c r="M12" s="2" t="s">
        <v>612</v>
      </c>
      <c r="N12" s="2" t="s">
        <v>208</v>
      </c>
    </row>
    <row r="13">
      <c r="A13" s="2" t="s">
        <v>331</v>
      </c>
      <c r="B13" s="298">
        <v>44683.0</v>
      </c>
      <c r="C13" s="299">
        <v>0.21256944444444445</v>
      </c>
      <c r="G13" s="2" t="s">
        <v>481</v>
      </c>
      <c r="H13" s="2" t="s">
        <v>228</v>
      </c>
      <c r="I13" s="298">
        <v>44683.0</v>
      </c>
      <c r="J13" s="299">
        <v>0.35782407407407407</v>
      </c>
      <c r="K13" s="2">
        <v>2.0</v>
      </c>
      <c r="L13" s="2" t="b">
        <v>1</v>
      </c>
      <c r="M13" s="2" t="s">
        <v>613</v>
      </c>
      <c r="N13" s="2" t="s">
        <v>208</v>
      </c>
    </row>
    <row r="14">
      <c r="A14" s="2" t="s">
        <v>233</v>
      </c>
      <c r="B14" s="298">
        <v>44676.0</v>
      </c>
      <c r="C14" s="299">
        <v>0.3518865740740741</v>
      </c>
      <c r="G14" s="2" t="s">
        <v>481</v>
      </c>
      <c r="H14" s="2" t="s">
        <v>228</v>
      </c>
      <c r="I14" s="298">
        <v>44683.0</v>
      </c>
      <c r="J14" s="299">
        <v>0.3578125</v>
      </c>
      <c r="K14" s="2">
        <v>1.0</v>
      </c>
      <c r="L14" s="2" t="b">
        <v>1</v>
      </c>
      <c r="M14" s="2" t="s">
        <v>613</v>
      </c>
      <c r="N14" s="2" t="s">
        <v>208</v>
      </c>
    </row>
    <row r="15">
      <c r="A15" s="2" t="s">
        <v>435</v>
      </c>
      <c r="B15" s="298">
        <v>44713.0</v>
      </c>
      <c r="C15" s="299">
        <v>0.20076388888888888</v>
      </c>
      <c r="G15" s="2" t="s">
        <v>481</v>
      </c>
      <c r="H15" s="2" t="s">
        <v>228</v>
      </c>
      <c r="I15" s="298">
        <v>44713.0</v>
      </c>
      <c r="J15" s="299">
        <v>0.34149305555555554</v>
      </c>
      <c r="K15" s="2">
        <v>1.0</v>
      </c>
      <c r="L15" s="2" t="b">
        <v>1</v>
      </c>
      <c r="M15" s="2" t="s">
        <v>614</v>
      </c>
      <c r="N15" s="2" t="s">
        <v>208</v>
      </c>
    </row>
    <row r="16">
      <c r="A16" s="2" t="s">
        <v>418</v>
      </c>
      <c r="B16" s="298">
        <v>44704.0</v>
      </c>
      <c r="C16" s="299">
        <v>0.22446759259259258</v>
      </c>
      <c r="G16" s="2" t="s">
        <v>481</v>
      </c>
      <c r="H16" s="2" t="s">
        <v>228</v>
      </c>
      <c r="I16" s="298">
        <v>44704.0</v>
      </c>
      <c r="J16" s="299">
        <v>0.39491898148148147</v>
      </c>
      <c r="K16" s="2">
        <v>2.0</v>
      </c>
      <c r="L16" s="2" t="b">
        <v>1</v>
      </c>
      <c r="M16" s="2" t="s">
        <v>612</v>
      </c>
      <c r="N16" s="2" t="s">
        <v>208</v>
      </c>
    </row>
    <row r="17">
      <c r="A17" s="2" t="s">
        <v>459</v>
      </c>
      <c r="B17" s="298">
        <v>44725.0</v>
      </c>
      <c r="C17" s="299">
        <v>0.22523148148148148</v>
      </c>
      <c r="G17" s="2" t="s">
        <v>481</v>
      </c>
      <c r="H17" s="2" t="s">
        <v>228</v>
      </c>
      <c r="I17" s="298">
        <v>44725.0</v>
      </c>
      <c r="J17" s="299">
        <v>0.41224537037037035</v>
      </c>
      <c r="K17" s="2">
        <v>3.0</v>
      </c>
      <c r="L17" s="2" t="b">
        <v>1</v>
      </c>
      <c r="M17" s="2" t="s">
        <v>615</v>
      </c>
      <c r="N17" s="2" t="s">
        <v>208</v>
      </c>
    </row>
    <row r="18">
      <c r="A18" s="2" t="s">
        <v>478</v>
      </c>
      <c r="B18" s="298">
        <v>44816.0</v>
      </c>
      <c r="C18" s="299">
        <v>0.1690162037037037</v>
      </c>
      <c r="G18" s="2" t="s">
        <v>481</v>
      </c>
      <c r="H18" s="2" t="s">
        <v>228</v>
      </c>
      <c r="I18" s="298">
        <v>44816.0</v>
      </c>
      <c r="J18" s="299">
        <v>0.3939814814814815</v>
      </c>
      <c r="K18" s="2">
        <v>4.0</v>
      </c>
      <c r="L18" s="2" t="b">
        <v>1</v>
      </c>
      <c r="M18" s="2" t="s">
        <v>616</v>
      </c>
      <c r="N18" s="2" t="s">
        <v>208</v>
      </c>
    </row>
    <row r="19">
      <c r="A19" s="2" t="s">
        <v>367</v>
      </c>
      <c r="B19" s="298">
        <v>44683.0</v>
      </c>
      <c r="C19" s="299">
        <v>0.3842013888888889</v>
      </c>
      <c r="G19" s="2" t="s">
        <v>481</v>
      </c>
      <c r="H19" s="2" t="s">
        <v>228</v>
      </c>
      <c r="I19" s="298">
        <v>44683.0</v>
      </c>
      <c r="J19" s="299">
        <v>0.6373958333333334</v>
      </c>
      <c r="K19" s="2">
        <v>1.0</v>
      </c>
      <c r="L19" s="2" t="b">
        <v>1</v>
      </c>
      <c r="N19" s="2" t="s">
        <v>208</v>
      </c>
    </row>
    <row r="20">
      <c r="A20" s="2" t="s">
        <v>346</v>
      </c>
      <c r="B20" s="298">
        <v>44683.0</v>
      </c>
      <c r="C20" s="299">
        <v>0.2382638888888889</v>
      </c>
      <c r="G20" s="2" t="s">
        <v>481</v>
      </c>
      <c r="H20" s="2" t="s">
        <v>228</v>
      </c>
      <c r="I20" s="298">
        <v>44683.0</v>
      </c>
      <c r="J20" s="299">
        <v>0.35782407407407407</v>
      </c>
      <c r="K20" s="2">
        <v>2.0</v>
      </c>
      <c r="L20" s="2" t="b">
        <v>1</v>
      </c>
      <c r="M20" s="2" t="s">
        <v>613</v>
      </c>
      <c r="N20" s="2" t="s">
        <v>208</v>
      </c>
    </row>
    <row r="21">
      <c r="A21" s="2" t="s">
        <v>405</v>
      </c>
      <c r="B21" s="298">
        <v>44697.0</v>
      </c>
      <c r="C21" s="299">
        <v>0.3221527777777778</v>
      </c>
      <c r="G21" s="2" t="s">
        <v>481</v>
      </c>
      <c r="H21" s="2" t="s">
        <v>228</v>
      </c>
      <c r="I21" s="298">
        <v>44697.0</v>
      </c>
      <c r="J21" s="299">
        <v>0.3611226851851852</v>
      </c>
      <c r="K21" s="2">
        <v>3.0</v>
      </c>
      <c r="L21" s="2" t="b">
        <v>1</v>
      </c>
      <c r="M21" s="2" t="s">
        <v>606</v>
      </c>
      <c r="N21" s="2" t="s">
        <v>208</v>
      </c>
    </row>
    <row r="22">
      <c r="A22" s="2" t="s">
        <v>356</v>
      </c>
      <c r="B22" s="298">
        <v>44683.0</v>
      </c>
      <c r="C22" s="299">
        <v>0.2581712962962963</v>
      </c>
      <c r="G22" s="2" t="s">
        <v>481</v>
      </c>
      <c r="H22" s="2" t="s">
        <v>228</v>
      </c>
      <c r="I22" s="298">
        <v>44683.0</v>
      </c>
      <c r="J22" s="299">
        <v>0.35782407407407407</v>
      </c>
      <c r="K22" s="2">
        <v>1.0</v>
      </c>
      <c r="L22" s="2" t="b">
        <v>1</v>
      </c>
      <c r="M22" s="2" t="s">
        <v>613</v>
      </c>
      <c r="N22" s="2" t="s">
        <v>208</v>
      </c>
    </row>
    <row r="23">
      <c r="A23" s="2" t="s">
        <v>451</v>
      </c>
      <c r="B23" s="298">
        <v>44718.0</v>
      </c>
      <c r="C23" s="299">
        <v>0.2998032407407407</v>
      </c>
      <c r="G23" s="2" t="s">
        <v>481</v>
      </c>
      <c r="H23" s="2" t="s">
        <v>228</v>
      </c>
      <c r="I23" s="298">
        <v>44718.0</v>
      </c>
      <c r="J23" s="299">
        <v>0.36498842592592595</v>
      </c>
      <c r="K23" s="2">
        <v>2.0</v>
      </c>
      <c r="L23" s="2" t="b">
        <v>1</v>
      </c>
      <c r="M23" s="2" t="s">
        <v>611</v>
      </c>
      <c r="N23" s="2" t="s">
        <v>208</v>
      </c>
    </row>
    <row r="24">
      <c r="A24" s="2" t="s">
        <v>438</v>
      </c>
      <c r="B24" s="298">
        <v>44713.0</v>
      </c>
      <c r="C24" s="299">
        <v>0.20859953703703704</v>
      </c>
      <c r="G24" s="2" t="s">
        <v>481</v>
      </c>
      <c r="H24" s="2" t="s">
        <v>228</v>
      </c>
      <c r="I24" s="298">
        <v>44713.0</v>
      </c>
      <c r="J24" s="299">
        <v>0.34150462962962963</v>
      </c>
      <c r="K24" s="2">
        <v>3.0</v>
      </c>
      <c r="L24" s="2" t="b">
        <v>1</v>
      </c>
      <c r="M24" s="2" t="s">
        <v>614</v>
      </c>
      <c r="N24" s="2" t="s">
        <v>208</v>
      </c>
    </row>
    <row r="25">
      <c r="A25" s="2" t="s">
        <v>350</v>
      </c>
      <c r="B25" s="298">
        <v>44683.0</v>
      </c>
      <c r="C25" s="299">
        <v>0.2399074074074074</v>
      </c>
      <c r="G25" s="2" t="s">
        <v>481</v>
      </c>
      <c r="H25" s="2" t="s">
        <v>228</v>
      </c>
      <c r="I25" s="298">
        <v>44683.0</v>
      </c>
      <c r="J25" s="299">
        <v>0.35782407407407407</v>
      </c>
      <c r="K25" s="2">
        <v>2.0</v>
      </c>
      <c r="L25" s="2" t="b">
        <v>1</v>
      </c>
      <c r="M25" s="2" t="s">
        <v>613</v>
      </c>
      <c r="N25" s="2" t="s">
        <v>208</v>
      </c>
    </row>
    <row r="26">
      <c r="A26" s="2" t="s">
        <v>440</v>
      </c>
      <c r="B26" s="298">
        <v>44713.0</v>
      </c>
      <c r="C26" s="299">
        <v>0.2727893518518518</v>
      </c>
      <c r="G26" s="2" t="s">
        <v>481</v>
      </c>
      <c r="H26" s="2" t="s">
        <v>228</v>
      </c>
      <c r="I26" s="298">
        <v>44713.0</v>
      </c>
      <c r="J26" s="299">
        <v>0.34150462962962963</v>
      </c>
      <c r="K26" s="2">
        <v>1.0</v>
      </c>
      <c r="L26" s="2" t="b">
        <v>1</v>
      </c>
      <c r="M26" s="2" t="s">
        <v>614</v>
      </c>
      <c r="N26" s="2" t="s">
        <v>208</v>
      </c>
    </row>
    <row r="27">
      <c r="A27" s="2" t="s">
        <v>477</v>
      </c>
      <c r="B27" s="298">
        <v>44774.0</v>
      </c>
      <c r="C27" s="299">
        <v>0.21421296296296297</v>
      </c>
      <c r="G27" s="2" t="s">
        <v>481</v>
      </c>
      <c r="H27" s="2" t="s">
        <v>228</v>
      </c>
      <c r="I27" s="298">
        <v>44816.0</v>
      </c>
      <c r="J27" s="299">
        <v>0.3939814814814815</v>
      </c>
      <c r="K27" s="2">
        <v>3.0</v>
      </c>
      <c r="L27" s="2" t="b">
        <v>1</v>
      </c>
      <c r="M27" s="2" t="s">
        <v>616</v>
      </c>
      <c r="N27" s="2" t="s">
        <v>208</v>
      </c>
    </row>
    <row r="28">
      <c r="A28" s="2" t="s">
        <v>261</v>
      </c>
      <c r="B28" s="298">
        <v>44678.0</v>
      </c>
      <c r="C28" s="299">
        <v>0.6184606481481482</v>
      </c>
      <c r="G28" s="2" t="s">
        <v>481</v>
      </c>
      <c r="H28" s="2" t="s">
        <v>228</v>
      </c>
      <c r="I28" s="298">
        <v>44678.0</v>
      </c>
      <c r="J28" s="299">
        <v>0.628449074074074</v>
      </c>
      <c r="K28" s="2">
        <v>1.0</v>
      </c>
      <c r="L28" s="2" t="b">
        <v>1</v>
      </c>
      <c r="M28" s="2" t="s">
        <v>617</v>
      </c>
      <c r="N28" s="2" t="s">
        <v>208</v>
      </c>
    </row>
    <row r="29">
      <c r="A29" s="2" t="s">
        <v>239</v>
      </c>
      <c r="B29" s="298">
        <v>44678.0</v>
      </c>
      <c r="C29" s="299">
        <v>0.6163425925925926</v>
      </c>
      <c r="G29" s="2" t="s">
        <v>481</v>
      </c>
      <c r="H29" s="2" t="s">
        <v>228</v>
      </c>
      <c r="I29" s="298">
        <v>44678.0</v>
      </c>
      <c r="J29" s="299">
        <v>0.6284375</v>
      </c>
      <c r="K29" s="2">
        <v>1.0</v>
      </c>
      <c r="L29" s="2" t="b">
        <v>1</v>
      </c>
      <c r="M29" s="2" t="s">
        <v>617</v>
      </c>
      <c r="N29" s="2" t="s">
        <v>208</v>
      </c>
    </row>
    <row r="30">
      <c r="A30" s="2" t="s">
        <v>463</v>
      </c>
      <c r="B30" s="298">
        <v>44733.0</v>
      </c>
      <c r="C30" s="299">
        <v>0.3403935185185185</v>
      </c>
      <c r="G30" s="2" t="s">
        <v>481</v>
      </c>
      <c r="H30" s="2" t="s">
        <v>228</v>
      </c>
      <c r="I30" s="298">
        <v>44733.0</v>
      </c>
      <c r="J30" s="299">
        <v>0.40434027777777776</v>
      </c>
      <c r="K30" s="2">
        <v>1.0</v>
      </c>
      <c r="L30" s="2" t="b">
        <v>1</v>
      </c>
      <c r="M30" s="2" t="s">
        <v>618</v>
      </c>
      <c r="N30" s="2" t="s">
        <v>208</v>
      </c>
    </row>
    <row r="31">
      <c r="A31" s="2" t="s">
        <v>378</v>
      </c>
      <c r="B31" s="298">
        <v>44690.0</v>
      </c>
      <c r="C31" s="299">
        <v>0.17002314814814815</v>
      </c>
      <c r="G31" s="2" t="s">
        <v>481</v>
      </c>
      <c r="H31" s="2" t="s">
        <v>228</v>
      </c>
      <c r="I31" s="298">
        <v>44690.0</v>
      </c>
      <c r="J31" s="299">
        <v>0.3232291666666667</v>
      </c>
      <c r="K31" s="2">
        <v>4.0</v>
      </c>
      <c r="L31" s="2" t="b">
        <v>1</v>
      </c>
      <c r="M31" s="2" t="s">
        <v>610</v>
      </c>
      <c r="N31" s="2" t="s">
        <v>208</v>
      </c>
    </row>
    <row r="32">
      <c r="A32" s="2" t="s">
        <v>402</v>
      </c>
      <c r="B32" s="298">
        <v>44697.0</v>
      </c>
      <c r="C32" s="299">
        <v>0.26893518518518517</v>
      </c>
      <c r="G32" s="2" t="s">
        <v>481</v>
      </c>
      <c r="H32" s="2" t="s">
        <v>228</v>
      </c>
      <c r="I32" s="298">
        <v>44697.0</v>
      </c>
      <c r="J32" s="299">
        <v>0.3611111111111111</v>
      </c>
      <c r="K32" s="2">
        <v>1.0</v>
      </c>
      <c r="L32" s="2" t="b">
        <v>1</v>
      </c>
      <c r="M32" s="2" t="s">
        <v>606</v>
      </c>
      <c r="N32" s="2" t="s">
        <v>208</v>
      </c>
    </row>
    <row r="33">
      <c r="A33" s="2" t="s">
        <v>273</v>
      </c>
      <c r="B33" s="298">
        <v>44683.0</v>
      </c>
      <c r="C33" s="299">
        <v>0.17497685185185186</v>
      </c>
      <c r="G33" s="2" t="s">
        <v>481</v>
      </c>
      <c r="H33" s="2" t="s">
        <v>228</v>
      </c>
      <c r="I33" s="298">
        <v>44683.0</v>
      </c>
      <c r="J33" s="299">
        <v>0.3578125</v>
      </c>
      <c r="K33" s="2">
        <v>2.0</v>
      </c>
      <c r="L33" s="2" t="b">
        <v>1</v>
      </c>
      <c r="M33" s="2" t="s">
        <v>613</v>
      </c>
      <c r="N33" s="2" t="s">
        <v>208</v>
      </c>
    </row>
    <row r="34">
      <c r="A34" s="2" t="s">
        <v>462</v>
      </c>
      <c r="B34" s="298">
        <v>44733.0</v>
      </c>
      <c r="C34" s="299">
        <v>0.21247685185185186</v>
      </c>
      <c r="G34" s="2" t="s">
        <v>481</v>
      </c>
      <c r="H34" s="2" t="s">
        <v>228</v>
      </c>
      <c r="I34" s="298">
        <v>44733.0</v>
      </c>
      <c r="J34" s="299">
        <v>0.40434027777777776</v>
      </c>
      <c r="K34" s="2">
        <v>3.0</v>
      </c>
      <c r="L34" s="2" t="b">
        <v>1</v>
      </c>
      <c r="M34" s="2" t="s">
        <v>618</v>
      </c>
      <c r="N34" s="2" t="s">
        <v>208</v>
      </c>
    </row>
    <row r="35">
      <c r="A35" s="2" t="s">
        <v>447</v>
      </c>
      <c r="B35" s="298">
        <v>44718.0</v>
      </c>
      <c r="C35" s="299">
        <v>0.20266203703703703</v>
      </c>
      <c r="G35" s="2" t="s">
        <v>481</v>
      </c>
      <c r="H35" s="2" t="s">
        <v>228</v>
      </c>
      <c r="I35" s="298">
        <v>44718.0</v>
      </c>
      <c r="J35" s="299">
        <v>0.36497685185185186</v>
      </c>
      <c r="K35" s="2">
        <v>2.0</v>
      </c>
      <c r="L35" s="2" t="b">
        <v>1</v>
      </c>
      <c r="M35" s="2" t="s">
        <v>611</v>
      </c>
      <c r="N35" s="2" t="s">
        <v>208</v>
      </c>
    </row>
    <row r="36">
      <c r="A36" s="2" t="s">
        <v>245</v>
      </c>
      <c r="B36" s="298">
        <v>44678.0</v>
      </c>
      <c r="C36" s="299">
        <v>0.6169444444444444</v>
      </c>
      <c r="G36" s="2" t="s">
        <v>481</v>
      </c>
      <c r="H36" s="2" t="s">
        <v>228</v>
      </c>
      <c r="I36" s="298">
        <v>44678.0</v>
      </c>
      <c r="J36" s="299">
        <v>0.6284375</v>
      </c>
      <c r="K36" s="2">
        <v>1.0</v>
      </c>
      <c r="L36" s="2" t="b">
        <v>1</v>
      </c>
      <c r="M36" s="2" t="s">
        <v>617</v>
      </c>
      <c r="N36" s="2" t="s">
        <v>208</v>
      </c>
    </row>
    <row r="37">
      <c r="A37" s="2" t="s">
        <v>420</v>
      </c>
      <c r="B37" s="298">
        <v>44712.0</v>
      </c>
      <c r="C37" s="299">
        <v>0.18675925925925926</v>
      </c>
      <c r="G37" s="2" t="s">
        <v>481</v>
      </c>
      <c r="H37" s="2" t="s">
        <v>228</v>
      </c>
      <c r="I37" s="298">
        <v>44713.0</v>
      </c>
      <c r="J37" s="299">
        <v>0.3414814814814815</v>
      </c>
      <c r="K37" s="2">
        <v>1.0</v>
      </c>
      <c r="L37" s="2" t="b">
        <v>1</v>
      </c>
      <c r="M37" s="2" t="s">
        <v>614</v>
      </c>
      <c r="N37" s="2" t="s">
        <v>208</v>
      </c>
    </row>
    <row r="38">
      <c r="A38" s="2" t="s">
        <v>429</v>
      </c>
      <c r="B38" s="298">
        <v>44713.0</v>
      </c>
      <c r="C38" s="299">
        <v>0.17925925925925926</v>
      </c>
      <c r="G38" s="2" t="s">
        <v>481</v>
      </c>
      <c r="H38" s="2" t="s">
        <v>228</v>
      </c>
      <c r="I38" s="298">
        <v>44713.0</v>
      </c>
      <c r="J38" s="299">
        <v>0.3414814814814815</v>
      </c>
      <c r="K38" s="2">
        <v>1.0</v>
      </c>
      <c r="L38" s="2" t="b">
        <v>1</v>
      </c>
      <c r="M38" s="2" t="s">
        <v>614</v>
      </c>
      <c r="N38" s="2" t="s">
        <v>208</v>
      </c>
    </row>
    <row r="39">
      <c r="A39" s="2" t="s">
        <v>382</v>
      </c>
      <c r="B39" s="298">
        <v>44690.0</v>
      </c>
      <c r="C39" s="299">
        <v>0.2437037037037037</v>
      </c>
      <c r="G39" s="2" t="s">
        <v>481</v>
      </c>
      <c r="H39" s="2" t="s">
        <v>228</v>
      </c>
      <c r="I39" s="298">
        <v>44690.0</v>
      </c>
      <c r="J39" s="299">
        <v>0.3232523148148148</v>
      </c>
      <c r="K39" s="2">
        <v>1.0</v>
      </c>
      <c r="L39" s="2" t="b">
        <v>1</v>
      </c>
      <c r="M39" s="2" t="s">
        <v>610</v>
      </c>
      <c r="N39" s="2" t="s">
        <v>208</v>
      </c>
    </row>
    <row r="40">
      <c r="A40" s="2" t="s">
        <v>259</v>
      </c>
      <c r="B40" s="298">
        <v>44678.0</v>
      </c>
      <c r="C40" s="299">
        <v>0.6183217592592593</v>
      </c>
      <c r="G40" s="2" t="s">
        <v>481</v>
      </c>
      <c r="H40" s="2" t="s">
        <v>228</v>
      </c>
      <c r="I40" s="298">
        <v>44678.0</v>
      </c>
      <c r="J40" s="299">
        <v>0.628449074074074</v>
      </c>
      <c r="K40" s="2">
        <v>1.0</v>
      </c>
      <c r="L40" s="2" t="b">
        <v>1</v>
      </c>
      <c r="M40" s="2" t="s">
        <v>617</v>
      </c>
      <c r="N40" s="2" t="s">
        <v>208</v>
      </c>
    </row>
    <row r="41">
      <c r="A41" s="2" t="s">
        <v>289</v>
      </c>
      <c r="B41" s="298">
        <v>44683.0</v>
      </c>
      <c r="C41" s="299">
        <v>0.17770833333333333</v>
      </c>
      <c r="G41" s="2" t="s">
        <v>481</v>
      </c>
      <c r="H41" s="2" t="s">
        <v>228</v>
      </c>
      <c r="I41" s="298">
        <v>44683.0</v>
      </c>
      <c r="J41" s="299">
        <v>0.3578125</v>
      </c>
      <c r="K41" s="2">
        <v>1.0</v>
      </c>
      <c r="L41" s="2" t="b">
        <v>1</v>
      </c>
      <c r="M41" s="2" t="s">
        <v>613</v>
      </c>
      <c r="N41" s="2" t="s">
        <v>208</v>
      </c>
    </row>
    <row r="42">
      <c r="A42" s="2" t="s">
        <v>263</v>
      </c>
      <c r="B42" s="298">
        <v>44678.0</v>
      </c>
      <c r="C42" s="299">
        <v>0.6185995370370371</v>
      </c>
      <c r="G42" s="2" t="s">
        <v>481</v>
      </c>
      <c r="H42" s="2" t="s">
        <v>228</v>
      </c>
      <c r="I42" s="298">
        <v>44678.0</v>
      </c>
      <c r="J42" s="299">
        <v>0.628449074074074</v>
      </c>
      <c r="K42" s="2">
        <v>1.0</v>
      </c>
      <c r="L42" s="2" t="b">
        <v>1</v>
      </c>
      <c r="M42" s="2" t="s">
        <v>617</v>
      </c>
      <c r="N42" s="2" t="s">
        <v>208</v>
      </c>
    </row>
    <row r="43">
      <c r="A43" s="2" t="s">
        <v>454</v>
      </c>
      <c r="B43" s="298">
        <v>44725.0</v>
      </c>
      <c r="C43" s="299">
        <v>0.15070601851851853</v>
      </c>
      <c r="G43" s="2" t="s">
        <v>605</v>
      </c>
      <c r="H43" s="2" t="s">
        <v>205</v>
      </c>
      <c r="I43" s="298">
        <v>44861.0</v>
      </c>
      <c r="J43" s="299">
        <v>0.48483796296296294</v>
      </c>
      <c r="K43" s="2">
        <v>2.0</v>
      </c>
      <c r="N43" s="2" t="s">
        <v>208</v>
      </c>
    </row>
    <row r="44">
      <c r="A44" s="2" t="s">
        <v>380</v>
      </c>
      <c r="B44" s="298">
        <v>44690.0</v>
      </c>
      <c r="C44" s="299">
        <v>0.2029050925925926</v>
      </c>
      <c r="G44" s="2" t="s">
        <v>481</v>
      </c>
      <c r="H44" s="2" t="s">
        <v>228</v>
      </c>
      <c r="I44" s="298">
        <v>44690.0</v>
      </c>
      <c r="J44" s="299">
        <v>0.3232407407407407</v>
      </c>
      <c r="K44" s="2">
        <v>3.0</v>
      </c>
      <c r="L44" s="2" t="b">
        <v>1</v>
      </c>
      <c r="M44" s="2" t="s">
        <v>610</v>
      </c>
      <c r="N44" s="2" t="s">
        <v>208</v>
      </c>
    </row>
    <row r="45">
      <c r="A45" s="2" t="s">
        <v>243</v>
      </c>
      <c r="B45" s="298">
        <v>44678.0</v>
      </c>
      <c r="C45" s="299">
        <v>0.6167939814814815</v>
      </c>
      <c r="G45" s="2" t="s">
        <v>481</v>
      </c>
      <c r="H45" s="2" t="s">
        <v>228</v>
      </c>
      <c r="I45" s="298">
        <v>44678.0</v>
      </c>
      <c r="J45" s="299">
        <v>0.6284375</v>
      </c>
      <c r="K45" s="2">
        <v>1.0</v>
      </c>
      <c r="L45" s="2" t="b">
        <v>1</v>
      </c>
      <c r="M45" s="2" t="s">
        <v>617</v>
      </c>
      <c r="N45" s="2" t="s">
        <v>208</v>
      </c>
    </row>
    <row r="46">
      <c r="A46" s="2" t="s">
        <v>432</v>
      </c>
      <c r="B46" s="298">
        <v>44713.0</v>
      </c>
      <c r="C46" s="299">
        <v>0.1832175925925926</v>
      </c>
      <c r="G46" s="2" t="s">
        <v>481</v>
      </c>
      <c r="H46" s="2" t="s">
        <v>228</v>
      </c>
      <c r="I46" s="298">
        <v>44713.0</v>
      </c>
      <c r="J46" s="299">
        <v>0.3414814814814815</v>
      </c>
      <c r="K46" s="2">
        <v>1.0</v>
      </c>
      <c r="L46" s="2" t="b">
        <v>1</v>
      </c>
      <c r="M46" s="2" t="s">
        <v>614</v>
      </c>
      <c r="N46" s="2" t="s">
        <v>208</v>
      </c>
    </row>
    <row r="47">
      <c r="A47" s="2" t="s">
        <v>475</v>
      </c>
      <c r="B47" s="298">
        <v>44767.0</v>
      </c>
      <c r="C47" s="299">
        <v>0.30244212962962963</v>
      </c>
      <c r="G47" s="2" t="s">
        <v>481</v>
      </c>
      <c r="H47" s="2" t="s">
        <v>228</v>
      </c>
      <c r="I47" s="298">
        <v>44767.0</v>
      </c>
      <c r="J47" s="299">
        <v>0.43292824074074077</v>
      </c>
      <c r="K47" s="2">
        <v>1.0</v>
      </c>
      <c r="L47" s="2" t="b">
        <v>1</v>
      </c>
      <c r="M47" s="2" t="s">
        <v>607</v>
      </c>
      <c r="N47" s="2" t="s">
        <v>208</v>
      </c>
    </row>
    <row r="48">
      <c r="A48" s="2" t="s">
        <v>427</v>
      </c>
      <c r="B48" s="298">
        <v>44712.0</v>
      </c>
      <c r="C48" s="299">
        <v>0.7929166666666667</v>
      </c>
      <c r="G48" s="2" t="s">
        <v>481</v>
      </c>
      <c r="H48" s="2" t="s">
        <v>228</v>
      </c>
      <c r="I48" s="298">
        <v>44713.0</v>
      </c>
      <c r="J48" s="299">
        <v>0.3414814814814815</v>
      </c>
      <c r="K48" s="2">
        <v>1.0</v>
      </c>
      <c r="L48" s="2" t="b">
        <v>1</v>
      </c>
      <c r="M48" s="2" t="s">
        <v>614</v>
      </c>
      <c r="N48" s="2" t="s">
        <v>208</v>
      </c>
    </row>
    <row r="49">
      <c r="A49" s="2" t="s">
        <v>385</v>
      </c>
      <c r="B49" s="298">
        <v>44690.0</v>
      </c>
      <c r="C49" s="299">
        <v>0.280162037037037</v>
      </c>
      <c r="G49" s="2" t="s">
        <v>481</v>
      </c>
      <c r="H49" s="2" t="s">
        <v>228</v>
      </c>
      <c r="I49" s="298">
        <v>44690.0</v>
      </c>
      <c r="J49" s="299">
        <v>0.3232523148148148</v>
      </c>
      <c r="K49" s="2">
        <v>1.0</v>
      </c>
      <c r="L49" s="2" t="b">
        <v>1</v>
      </c>
      <c r="M49" s="2" t="s">
        <v>610</v>
      </c>
      <c r="N49" s="2" t="s">
        <v>208</v>
      </c>
    </row>
    <row r="50">
      <c r="A50" s="2" t="s">
        <v>411</v>
      </c>
      <c r="B50" s="298">
        <v>44704.0</v>
      </c>
      <c r="C50" s="299">
        <v>0.1878240740740741</v>
      </c>
      <c r="G50" s="2" t="s">
        <v>481</v>
      </c>
      <c r="H50" s="2" t="s">
        <v>228</v>
      </c>
      <c r="I50" s="298">
        <v>44704.0</v>
      </c>
      <c r="J50" s="299">
        <v>0.39490740740740743</v>
      </c>
      <c r="K50" s="2">
        <v>4.0</v>
      </c>
      <c r="L50" s="2" t="b">
        <v>1</v>
      </c>
      <c r="M50" s="2" t="s">
        <v>612</v>
      </c>
      <c r="N50" s="2" t="s">
        <v>208</v>
      </c>
    </row>
    <row r="51">
      <c r="A51" s="2" t="s">
        <v>403</v>
      </c>
      <c r="B51" s="298">
        <v>44697.0</v>
      </c>
      <c r="C51" s="299">
        <v>0.31871527777777775</v>
      </c>
      <c r="G51" s="2" t="s">
        <v>481</v>
      </c>
      <c r="H51" s="2" t="s">
        <v>228</v>
      </c>
      <c r="I51" s="298">
        <v>44697.0</v>
      </c>
      <c r="J51" s="299">
        <v>0.3611111111111111</v>
      </c>
      <c r="K51" s="2">
        <v>1.0</v>
      </c>
      <c r="L51" s="2" t="b">
        <v>1</v>
      </c>
      <c r="M51" s="2" t="s">
        <v>606</v>
      </c>
      <c r="N51" s="2" t="s">
        <v>208</v>
      </c>
    </row>
    <row r="52">
      <c r="A52" s="2" t="s">
        <v>466</v>
      </c>
      <c r="B52" s="298">
        <v>44739.0</v>
      </c>
      <c r="C52" s="299">
        <v>0.18888888888888888</v>
      </c>
      <c r="G52" s="2" t="s">
        <v>605</v>
      </c>
      <c r="H52" s="2" t="s">
        <v>205</v>
      </c>
      <c r="I52" s="298">
        <v>44861.0</v>
      </c>
      <c r="J52" s="299">
        <v>0.48483796296296294</v>
      </c>
      <c r="K52" s="2">
        <v>2.0</v>
      </c>
      <c r="N52" s="2" t="s">
        <v>208</v>
      </c>
    </row>
    <row r="53">
      <c r="A53" s="2" t="s">
        <v>419</v>
      </c>
      <c r="B53" s="298">
        <v>44704.0</v>
      </c>
      <c r="C53" s="299">
        <v>0.3195138888888889</v>
      </c>
      <c r="G53" s="2" t="s">
        <v>481</v>
      </c>
      <c r="H53" s="2" t="s">
        <v>228</v>
      </c>
      <c r="I53" s="298">
        <v>44704.0</v>
      </c>
      <c r="J53" s="299">
        <v>0.39491898148148147</v>
      </c>
      <c r="K53" s="2">
        <v>1.0</v>
      </c>
      <c r="L53" s="2" t="b">
        <v>1</v>
      </c>
      <c r="M53" s="2" t="s">
        <v>612</v>
      </c>
      <c r="N53" s="2" t="s">
        <v>208</v>
      </c>
    </row>
    <row r="54">
      <c r="A54" s="2" t="s">
        <v>436</v>
      </c>
      <c r="B54" s="298">
        <v>44713.0</v>
      </c>
      <c r="C54" s="299">
        <v>0.20396990740740742</v>
      </c>
      <c r="G54" s="2" t="s">
        <v>481</v>
      </c>
      <c r="H54" s="2" t="s">
        <v>228</v>
      </c>
      <c r="I54" s="298">
        <v>44713.0</v>
      </c>
      <c r="J54" s="299">
        <v>0.34149305555555554</v>
      </c>
      <c r="K54" s="2">
        <v>2.0</v>
      </c>
      <c r="L54" s="2" t="b">
        <v>1</v>
      </c>
      <c r="M54" s="2" t="s">
        <v>614</v>
      </c>
      <c r="N54" s="2" t="s">
        <v>208</v>
      </c>
    </row>
    <row r="55">
      <c r="A55" s="2" t="s">
        <v>235</v>
      </c>
      <c r="B55" s="298">
        <v>44676.0</v>
      </c>
      <c r="C55" s="299">
        <v>0.3570023148148148</v>
      </c>
      <c r="G55" s="2" t="s">
        <v>481</v>
      </c>
      <c r="H55" s="2" t="s">
        <v>228</v>
      </c>
      <c r="I55" s="298">
        <v>44676.0</v>
      </c>
      <c r="J55" s="299">
        <v>0.4426273148148148</v>
      </c>
      <c r="K55" s="2">
        <v>1.0</v>
      </c>
      <c r="L55" s="2" t="b">
        <v>1</v>
      </c>
      <c r="M55" s="2" t="s">
        <v>619</v>
      </c>
      <c r="N55" s="2" t="s">
        <v>208</v>
      </c>
    </row>
    <row r="56">
      <c r="A56" s="2" t="s">
        <v>442</v>
      </c>
      <c r="B56" s="298">
        <v>44713.0</v>
      </c>
      <c r="C56" s="299">
        <v>0.8386574074074075</v>
      </c>
      <c r="G56" s="2" t="s">
        <v>605</v>
      </c>
      <c r="H56" s="2" t="s">
        <v>205</v>
      </c>
      <c r="I56" s="298">
        <v>44861.0</v>
      </c>
      <c r="J56" s="299">
        <v>0.48483796296296294</v>
      </c>
      <c r="K56" s="2">
        <v>3.0</v>
      </c>
      <c r="N56" s="2" t="s">
        <v>208</v>
      </c>
    </row>
    <row r="57">
      <c r="A57" s="2" t="s">
        <v>445</v>
      </c>
      <c r="B57" s="298">
        <v>44718.0</v>
      </c>
      <c r="C57" s="299">
        <v>0.17775462962962962</v>
      </c>
      <c r="G57" s="2" t="s">
        <v>481</v>
      </c>
      <c r="H57" s="2" t="s">
        <v>228</v>
      </c>
      <c r="I57" s="298">
        <v>44718.0</v>
      </c>
      <c r="J57" s="299">
        <v>0.36497685185185186</v>
      </c>
      <c r="K57" s="2">
        <v>4.0</v>
      </c>
      <c r="L57" s="2" t="b">
        <v>1</v>
      </c>
      <c r="M57" s="2" t="s">
        <v>611</v>
      </c>
      <c r="N57" s="2" t="s">
        <v>208</v>
      </c>
    </row>
    <row r="58">
      <c r="A58" s="2" t="s">
        <v>265</v>
      </c>
      <c r="B58" s="298">
        <v>44679.0</v>
      </c>
      <c r="C58" s="299">
        <v>0.17568287037037036</v>
      </c>
      <c r="G58" s="2" t="s">
        <v>605</v>
      </c>
      <c r="H58" s="2" t="s">
        <v>205</v>
      </c>
      <c r="I58" s="298">
        <v>44861.0</v>
      </c>
      <c r="J58" s="299">
        <v>0.48483796296296294</v>
      </c>
      <c r="K58" s="2">
        <v>2.0</v>
      </c>
      <c r="N58" s="2" t="s">
        <v>208</v>
      </c>
    </row>
    <row r="59">
      <c r="A59" s="2" t="s">
        <v>410</v>
      </c>
      <c r="B59" s="298">
        <v>44704.0</v>
      </c>
      <c r="C59" s="299">
        <v>0.17846064814814816</v>
      </c>
      <c r="G59" s="2" t="s">
        <v>481</v>
      </c>
      <c r="H59" s="2" t="s">
        <v>228</v>
      </c>
      <c r="I59" s="298">
        <v>44704.0</v>
      </c>
      <c r="J59" s="299">
        <v>0.39490740740740743</v>
      </c>
      <c r="K59" s="2">
        <v>1.0</v>
      </c>
      <c r="L59" s="2" t="b">
        <v>1</v>
      </c>
      <c r="M59" s="2" t="s">
        <v>612</v>
      </c>
      <c r="N59" s="2" t="s">
        <v>208</v>
      </c>
    </row>
    <row r="60">
      <c r="A60" s="2" t="s">
        <v>390</v>
      </c>
      <c r="B60" s="298">
        <v>44697.0</v>
      </c>
      <c r="C60" s="299">
        <v>0.15361111111111111</v>
      </c>
      <c r="G60" s="2" t="s">
        <v>481</v>
      </c>
      <c r="H60" s="2" t="s">
        <v>228</v>
      </c>
      <c r="I60" s="298">
        <v>44697.0</v>
      </c>
      <c r="J60" s="299">
        <v>0.361099537037037</v>
      </c>
      <c r="K60" s="2">
        <v>2.0</v>
      </c>
      <c r="L60" s="2" t="b">
        <v>1</v>
      </c>
      <c r="M60" s="2" t="s">
        <v>606</v>
      </c>
      <c r="N60" s="2" t="s">
        <v>208</v>
      </c>
    </row>
    <row r="61">
      <c r="A61" s="2" t="s">
        <v>417</v>
      </c>
      <c r="B61" s="298">
        <v>44704.0</v>
      </c>
      <c r="C61" s="299">
        <v>0.2188425925925926</v>
      </c>
      <c r="G61" s="2" t="s">
        <v>481</v>
      </c>
      <c r="H61" s="2" t="s">
        <v>228</v>
      </c>
      <c r="I61" s="298">
        <v>44704.0</v>
      </c>
      <c r="J61" s="299">
        <v>0.39490740740740743</v>
      </c>
      <c r="K61" s="2">
        <v>3.0</v>
      </c>
      <c r="L61" s="2" t="b">
        <v>1</v>
      </c>
      <c r="M61" s="2" t="s">
        <v>612</v>
      </c>
      <c r="N61" s="2" t="s">
        <v>208</v>
      </c>
    </row>
    <row r="62">
      <c r="A62" s="2" t="s">
        <v>297</v>
      </c>
      <c r="B62" s="298">
        <v>44683.0</v>
      </c>
      <c r="C62" s="299">
        <v>0.17832175925925925</v>
      </c>
      <c r="G62" s="2" t="s">
        <v>481</v>
      </c>
      <c r="H62" s="2" t="s">
        <v>228</v>
      </c>
      <c r="I62" s="298">
        <v>44683.0</v>
      </c>
      <c r="J62" s="299">
        <v>0.3578125</v>
      </c>
      <c r="K62" s="2">
        <v>1.0</v>
      </c>
      <c r="L62" s="2" t="b">
        <v>1</v>
      </c>
      <c r="M62" s="2" t="s">
        <v>613</v>
      </c>
      <c r="N62" s="2" t="s">
        <v>208</v>
      </c>
    </row>
    <row r="63">
      <c r="A63" s="2" t="s">
        <v>299</v>
      </c>
      <c r="B63" s="298">
        <v>44683.0</v>
      </c>
      <c r="C63" s="299">
        <v>0.17994212962962963</v>
      </c>
      <c r="G63" s="2" t="s">
        <v>481</v>
      </c>
      <c r="H63" s="2" t="s">
        <v>228</v>
      </c>
      <c r="I63" s="298">
        <v>44683.0</v>
      </c>
      <c r="J63" s="299">
        <v>0.35782407407407407</v>
      </c>
      <c r="K63" s="2">
        <v>1.0</v>
      </c>
      <c r="L63" s="2" t="b">
        <v>1</v>
      </c>
      <c r="M63" s="2" t="s">
        <v>613</v>
      </c>
      <c r="N63" s="2" t="s">
        <v>208</v>
      </c>
    </row>
    <row r="64">
      <c r="A64" s="2" t="s">
        <v>247</v>
      </c>
      <c r="B64" s="298">
        <v>44678.0</v>
      </c>
      <c r="C64" s="299">
        <v>0.617337962962963</v>
      </c>
      <c r="G64" s="2" t="s">
        <v>481</v>
      </c>
      <c r="H64" s="2" t="s">
        <v>228</v>
      </c>
      <c r="I64" s="298">
        <v>44678.0</v>
      </c>
      <c r="J64" s="299">
        <v>0.6284375</v>
      </c>
      <c r="K64" s="2">
        <v>1.0</v>
      </c>
      <c r="L64" s="2" t="b">
        <v>1</v>
      </c>
      <c r="M64" s="2" t="s">
        <v>617</v>
      </c>
      <c r="N64" s="2" t="s">
        <v>208</v>
      </c>
    </row>
    <row r="65">
      <c r="A65" s="2" t="s">
        <v>249</v>
      </c>
      <c r="B65" s="298">
        <v>44678.0</v>
      </c>
      <c r="C65" s="299">
        <v>0.6174652777777778</v>
      </c>
      <c r="G65" s="2" t="s">
        <v>481</v>
      </c>
      <c r="H65" s="2" t="s">
        <v>228</v>
      </c>
      <c r="I65" s="298">
        <v>44678.0</v>
      </c>
      <c r="J65" s="299">
        <v>0.6284375</v>
      </c>
      <c r="K65" s="2">
        <v>1.0</v>
      </c>
      <c r="L65" s="2" t="b">
        <v>1</v>
      </c>
      <c r="M65" s="2" t="s">
        <v>617</v>
      </c>
      <c r="N65" s="2" t="s">
        <v>208</v>
      </c>
    </row>
    <row r="66">
      <c r="A66" s="2" t="s">
        <v>433</v>
      </c>
      <c r="B66" s="298">
        <v>44713.0</v>
      </c>
      <c r="C66" s="299">
        <v>0.19666666666666666</v>
      </c>
      <c r="G66" s="2" t="s">
        <v>481</v>
      </c>
      <c r="H66" s="2" t="s">
        <v>228</v>
      </c>
      <c r="I66" s="298">
        <v>44713.0</v>
      </c>
      <c r="J66" s="299">
        <v>0.34149305555555554</v>
      </c>
      <c r="K66" s="2">
        <v>2.0</v>
      </c>
      <c r="L66" s="2" t="b">
        <v>1</v>
      </c>
      <c r="M66" s="2" t="s">
        <v>614</v>
      </c>
      <c r="N66" s="2" t="s">
        <v>208</v>
      </c>
    </row>
    <row r="67">
      <c r="A67" s="2" t="s">
        <v>467</v>
      </c>
      <c r="B67" s="298">
        <v>44739.0</v>
      </c>
      <c r="C67" s="299">
        <v>0.22328703703703703</v>
      </c>
      <c r="G67" s="2" t="s">
        <v>481</v>
      </c>
      <c r="H67" s="2" t="s">
        <v>228</v>
      </c>
      <c r="I67" s="298">
        <v>44739.0</v>
      </c>
      <c r="J67" s="299">
        <v>0.3771875</v>
      </c>
      <c r="K67" s="2">
        <v>3.0</v>
      </c>
      <c r="L67" s="2" t="b">
        <v>1</v>
      </c>
      <c r="M67" s="2" t="s">
        <v>620</v>
      </c>
      <c r="N67" s="2" t="s">
        <v>208</v>
      </c>
    </row>
    <row r="68">
      <c r="A68" s="2" t="s">
        <v>379</v>
      </c>
      <c r="B68" s="298">
        <v>44690.0</v>
      </c>
      <c r="C68" s="299">
        <v>0.1787037037037037</v>
      </c>
      <c r="G68" s="2" t="s">
        <v>481</v>
      </c>
      <c r="H68" s="2" t="s">
        <v>228</v>
      </c>
      <c r="I68" s="298">
        <v>44690.0</v>
      </c>
      <c r="J68" s="299">
        <v>0.3232407407407407</v>
      </c>
      <c r="K68" s="2">
        <v>3.0</v>
      </c>
      <c r="L68" s="2" t="b">
        <v>1</v>
      </c>
      <c r="M68" s="2" t="s">
        <v>610</v>
      </c>
      <c r="N68" s="2" t="s">
        <v>208</v>
      </c>
    </row>
    <row r="69">
      <c r="A69" s="2" t="s">
        <v>448</v>
      </c>
      <c r="B69" s="298">
        <v>44718.0</v>
      </c>
      <c r="C69" s="299">
        <v>0.21167824074074074</v>
      </c>
      <c r="G69" s="2" t="s">
        <v>481</v>
      </c>
      <c r="H69" s="2" t="s">
        <v>228</v>
      </c>
      <c r="I69" s="298">
        <v>44718.0</v>
      </c>
      <c r="J69" s="299">
        <v>0.36497685185185186</v>
      </c>
      <c r="K69" s="2">
        <v>3.0</v>
      </c>
      <c r="L69" s="2" t="b">
        <v>1</v>
      </c>
      <c r="M69" s="2" t="s">
        <v>611</v>
      </c>
      <c r="N69" s="2" t="s">
        <v>208</v>
      </c>
    </row>
    <row r="70">
      <c r="A70" s="2" t="s">
        <v>471</v>
      </c>
      <c r="B70" s="298">
        <v>44760.0</v>
      </c>
      <c r="C70" s="299">
        <v>0.3808796296296296</v>
      </c>
      <c r="G70" s="2" t="s">
        <v>481</v>
      </c>
      <c r="H70" s="2" t="s">
        <v>228</v>
      </c>
      <c r="I70" s="298">
        <v>44760.0</v>
      </c>
      <c r="J70" s="299">
        <v>0.42091435185185183</v>
      </c>
      <c r="K70" s="2">
        <v>2.0</v>
      </c>
      <c r="L70" s="2" t="b">
        <v>1</v>
      </c>
      <c r="M70" s="2" t="s">
        <v>621</v>
      </c>
      <c r="N70" s="2" t="s">
        <v>208</v>
      </c>
    </row>
    <row r="71">
      <c r="A71" s="2" t="s">
        <v>253</v>
      </c>
      <c r="B71" s="298">
        <v>44678.0</v>
      </c>
      <c r="C71" s="299">
        <v>0.6178472222222222</v>
      </c>
      <c r="G71" s="2" t="s">
        <v>481</v>
      </c>
      <c r="H71" s="2" t="s">
        <v>228</v>
      </c>
      <c r="I71" s="298">
        <v>44678.0</v>
      </c>
      <c r="J71" s="299">
        <v>0.628449074074074</v>
      </c>
      <c r="K71" s="2">
        <v>1.0</v>
      </c>
      <c r="L71" s="2" t="b">
        <v>1</v>
      </c>
      <c r="M71" s="2" t="s">
        <v>617</v>
      </c>
      <c r="N71" s="2" t="s">
        <v>208</v>
      </c>
    </row>
    <row r="72">
      <c r="A72" s="2" t="s">
        <v>207</v>
      </c>
      <c r="B72" s="298">
        <v>44659.0</v>
      </c>
      <c r="C72" s="299">
        <v>0.3866203703703704</v>
      </c>
      <c r="G72" s="2" t="s">
        <v>605</v>
      </c>
      <c r="H72" s="2" t="s">
        <v>205</v>
      </c>
      <c r="I72" s="298">
        <v>44861.0</v>
      </c>
      <c r="J72" s="299">
        <v>0.48483796296296294</v>
      </c>
      <c r="K72" s="2">
        <v>0.0</v>
      </c>
      <c r="N72" s="2" t="s">
        <v>208</v>
      </c>
    </row>
    <row r="73">
      <c r="A73" s="2" t="s">
        <v>468</v>
      </c>
      <c r="B73" s="298">
        <v>44747.0</v>
      </c>
      <c r="C73" s="299">
        <v>0.19898148148148148</v>
      </c>
      <c r="G73" s="2" t="s">
        <v>481</v>
      </c>
      <c r="H73" s="2" t="s">
        <v>228</v>
      </c>
      <c r="I73" s="298">
        <v>44753.0</v>
      </c>
      <c r="J73" s="299">
        <v>0.3984027777777778</v>
      </c>
      <c r="K73" s="2">
        <v>2.0</v>
      </c>
      <c r="L73" s="2" t="b">
        <v>1</v>
      </c>
      <c r="M73" s="2" t="s">
        <v>608</v>
      </c>
      <c r="N73" s="2" t="s">
        <v>208</v>
      </c>
    </row>
    <row r="74">
      <c r="A74" s="2" t="s">
        <v>257</v>
      </c>
      <c r="B74" s="298">
        <v>44678.0</v>
      </c>
      <c r="C74" s="299">
        <v>0.6181712962962963</v>
      </c>
      <c r="G74" s="2" t="s">
        <v>481</v>
      </c>
      <c r="H74" s="2" t="s">
        <v>228</v>
      </c>
      <c r="I74" s="298">
        <v>44678.0</v>
      </c>
      <c r="J74" s="299">
        <v>0.628449074074074</v>
      </c>
      <c r="K74" s="2">
        <v>1.0</v>
      </c>
      <c r="L74" s="2" t="b">
        <v>1</v>
      </c>
      <c r="M74" s="2" t="s">
        <v>617</v>
      </c>
      <c r="N74" s="2" t="s">
        <v>208</v>
      </c>
    </row>
    <row r="75">
      <c r="A75" s="2" t="s">
        <v>470</v>
      </c>
      <c r="B75" s="298">
        <v>44760.0</v>
      </c>
      <c r="C75" s="299">
        <v>0.21974537037037037</v>
      </c>
      <c r="G75" s="2" t="s">
        <v>605</v>
      </c>
      <c r="H75" s="2" t="s">
        <v>205</v>
      </c>
      <c r="I75" s="298">
        <v>44861.0</v>
      </c>
      <c r="J75" s="299">
        <v>0.48483796296296294</v>
      </c>
      <c r="K75" s="2">
        <v>3.0</v>
      </c>
      <c r="N75" s="2" t="s">
        <v>208</v>
      </c>
    </row>
    <row r="76">
      <c r="A76" s="2" t="s">
        <v>455</v>
      </c>
      <c r="B76" s="298">
        <v>44725.0</v>
      </c>
      <c r="C76" s="299">
        <v>0.16587962962962963</v>
      </c>
      <c r="G76" s="2" t="s">
        <v>605</v>
      </c>
      <c r="H76" s="2" t="s">
        <v>205</v>
      </c>
      <c r="I76" s="298">
        <v>44861.0</v>
      </c>
      <c r="J76" s="299">
        <v>0.48483796296296294</v>
      </c>
      <c r="K76" s="2">
        <v>3.0</v>
      </c>
      <c r="N76" s="2" t="s">
        <v>208</v>
      </c>
    </row>
    <row r="77">
      <c r="A77" s="2" t="s">
        <v>465</v>
      </c>
      <c r="B77" s="298">
        <v>44738.0</v>
      </c>
      <c r="C77" s="299">
        <v>0.767800925925926</v>
      </c>
      <c r="G77" s="2" t="s">
        <v>605</v>
      </c>
      <c r="H77" s="2" t="s">
        <v>205</v>
      </c>
      <c r="I77" s="298">
        <v>44861.0</v>
      </c>
      <c r="J77" s="299">
        <v>0.48483796296296294</v>
      </c>
      <c r="K77" s="2">
        <v>1.0</v>
      </c>
      <c r="N77" s="2" t="s">
        <v>208</v>
      </c>
    </row>
    <row r="78">
      <c r="A78" s="2" t="s">
        <v>204</v>
      </c>
      <c r="B78" s="298">
        <v>44659.0</v>
      </c>
      <c r="C78" s="299">
        <v>0.38612268518518517</v>
      </c>
      <c r="G78" s="2" t="s">
        <v>605</v>
      </c>
      <c r="H78" s="2" t="s">
        <v>205</v>
      </c>
      <c r="I78" s="298">
        <v>44861.0</v>
      </c>
      <c r="J78" s="299">
        <v>0.48483796296296294</v>
      </c>
      <c r="K78" s="2">
        <v>1.0</v>
      </c>
      <c r="N78" s="2" t="s">
        <v>208</v>
      </c>
    </row>
    <row r="79">
      <c r="A79" s="2" t="s">
        <v>458</v>
      </c>
      <c r="B79" s="298">
        <v>44725.0</v>
      </c>
      <c r="C79" s="299">
        <v>0.20103009259259258</v>
      </c>
      <c r="G79" s="2" t="s">
        <v>481</v>
      </c>
      <c r="H79" s="2" t="s">
        <v>228</v>
      </c>
      <c r="I79" s="298">
        <v>44725.0</v>
      </c>
      <c r="J79" s="299">
        <v>0.4122337962962963</v>
      </c>
      <c r="K79" s="2">
        <v>2.0</v>
      </c>
      <c r="L79" s="2" t="b">
        <v>1</v>
      </c>
      <c r="M79" s="2" t="s">
        <v>615</v>
      </c>
      <c r="N79" s="2" t="s">
        <v>208</v>
      </c>
    </row>
    <row r="80">
      <c r="A80" s="2" t="s">
        <v>437</v>
      </c>
      <c r="B80" s="298">
        <v>44713.0</v>
      </c>
      <c r="C80" s="299">
        <v>0.2053125</v>
      </c>
      <c r="G80" s="2" t="s">
        <v>481</v>
      </c>
      <c r="H80" s="2" t="s">
        <v>228</v>
      </c>
      <c r="I80" s="298">
        <v>44713.0</v>
      </c>
      <c r="J80" s="299">
        <v>0.34150462962962963</v>
      </c>
      <c r="K80" s="2">
        <v>2.0</v>
      </c>
      <c r="L80" s="2" t="b">
        <v>1</v>
      </c>
      <c r="M80" s="2" t="s">
        <v>614</v>
      </c>
      <c r="N80" s="2" t="s">
        <v>208</v>
      </c>
    </row>
    <row r="81">
      <c r="A81" s="2" t="s">
        <v>237</v>
      </c>
      <c r="B81" s="298">
        <v>44678.0</v>
      </c>
      <c r="C81" s="299">
        <v>0.6161805555555555</v>
      </c>
      <c r="G81" s="2" t="s">
        <v>481</v>
      </c>
      <c r="H81" s="2" t="s">
        <v>228</v>
      </c>
      <c r="I81" s="298">
        <v>44678.0</v>
      </c>
      <c r="J81" s="299">
        <v>0.6284375</v>
      </c>
      <c r="K81" s="2">
        <v>1.0</v>
      </c>
      <c r="L81" s="2" t="b">
        <v>1</v>
      </c>
      <c r="M81" s="2" t="s">
        <v>617</v>
      </c>
      <c r="N81" s="2" t="s">
        <v>208</v>
      </c>
    </row>
    <row r="82">
      <c r="A82" s="2" t="s">
        <v>421</v>
      </c>
      <c r="B82" s="298">
        <v>44712.0</v>
      </c>
      <c r="C82" s="299">
        <v>0.19265046296296295</v>
      </c>
      <c r="G82" s="2" t="s">
        <v>481</v>
      </c>
      <c r="H82" s="2" t="s">
        <v>228</v>
      </c>
      <c r="I82" s="298">
        <v>44713.0</v>
      </c>
      <c r="J82" s="299">
        <v>0.3414814814814815</v>
      </c>
      <c r="K82" s="2">
        <v>4.0</v>
      </c>
      <c r="L82" s="2" t="b">
        <v>1</v>
      </c>
      <c r="M82" s="2" t="s">
        <v>614</v>
      </c>
      <c r="N82" s="2" t="s">
        <v>208</v>
      </c>
    </row>
    <row r="83">
      <c r="A83" s="2" t="s">
        <v>364</v>
      </c>
      <c r="B83" s="298">
        <v>44683.0</v>
      </c>
      <c r="C83" s="299">
        <v>0.2781018518518519</v>
      </c>
      <c r="G83" s="2" t="s">
        <v>481</v>
      </c>
      <c r="H83" s="2" t="s">
        <v>228</v>
      </c>
      <c r="I83" s="298">
        <v>44683.0</v>
      </c>
      <c r="J83" s="299">
        <v>0.3578125</v>
      </c>
      <c r="K83" s="2">
        <v>1.0</v>
      </c>
      <c r="L83" s="2" t="b">
        <v>1</v>
      </c>
      <c r="N83" s="2" t="s">
        <v>208</v>
      </c>
    </row>
    <row r="84">
      <c r="A84" s="2" t="s">
        <v>439</v>
      </c>
      <c r="B84" s="298">
        <v>44713.0</v>
      </c>
      <c r="C84" s="299">
        <v>0.25175925925925924</v>
      </c>
      <c r="G84" s="2" t="s">
        <v>481</v>
      </c>
      <c r="H84" s="2" t="s">
        <v>228</v>
      </c>
      <c r="I84" s="298">
        <v>44713.0</v>
      </c>
      <c r="J84" s="299">
        <v>0.34150462962962963</v>
      </c>
      <c r="K84" s="2">
        <v>1.0</v>
      </c>
      <c r="L84" s="2" t="b">
        <v>1</v>
      </c>
      <c r="M84" s="2" t="s">
        <v>614</v>
      </c>
      <c r="N84" s="2" t="s">
        <v>208</v>
      </c>
    </row>
    <row r="85">
      <c r="A85" s="2" t="s">
        <v>460</v>
      </c>
      <c r="B85" s="298">
        <v>44725.0</v>
      </c>
      <c r="C85" s="299">
        <v>0.23350694444444445</v>
      </c>
      <c r="G85" s="2" t="s">
        <v>481</v>
      </c>
      <c r="H85" s="2" t="s">
        <v>228</v>
      </c>
      <c r="I85" s="298">
        <v>44725.0</v>
      </c>
      <c r="J85" s="299">
        <v>0.41224537037037035</v>
      </c>
      <c r="K85" s="2">
        <v>3.0</v>
      </c>
      <c r="L85" s="2" t="b">
        <v>1</v>
      </c>
      <c r="M85" s="2" t="s">
        <v>615</v>
      </c>
      <c r="N85" s="2" t="s">
        <v>208</v>
      </c>
    </row>
    <row r="86">
      <c r="A86" s="2" t="s">
        <v>395</v>
      </c>
      <c r="B86" s="298">
        <v>44697.0</v>
      </c>
      <c r="C86" s="299">
        <v>0.20684027777777778</v>
      </c>
      <c r="G86" s="2" t="s">
        <v>481</v>
      </c>
      <c r="H86" s="2" t="s">
        <v>228</v>
      </c>
      <c r="I86" s="298">
        <v>44697.0</v>
      </c>
      <c r="J86" s="299">
        <v>0.3611111111111111</v>
      </c>
      <c r="K86" s="2">
        <v>2.0</v>
      </c>
      <c r="L86" s="2" t="b">
        <v>1</v>
      </c>
      <c r="M86" s="2" t="s">
        <v>606</v>
      </c>
      <c r="N86" s="2" t="s">
        <v>208</v>
      </c>
    </row>
    <row r="87">
      <c r="A87" s="2" t="s">
        <v>449</v>
      </c>
      <c r="B87" s="298">
        <v>44718.0</v>
      </c>
      <c r="C87" s="299">
        <v>0.21364583333333334</v>
      </c>
      <c r="G87" s="2" t="s">
        <v>481</v>
      </c>
      <c r="H87" s="2" t="s">
        <v>228</v>
      </c>
      <c r="I87" s="298">
        <v>44718.0</v>
      </c>
      <c r="J87" s="299">
        <v>0.36497685185185186</v>
      </c>
      <c r="K87" s="2">
        <v>2.0</v>
      </c>
      <c r="L87" s="2" t="b">
        <v>1</v>
      </c>
      <c r="M87" s="2" t="s">
        <v>611</v>
      </c>
      <c r="N87" s="2" t="s">
        <v>208</v>
      </c>
    </row>
    <row r="88">
      <c r="A88" s="2" t="s">
        <v>409</v>
      </c>
      <c r="B88" s="298">
        <v>44704.0</v>
      </c>
      <c r="C88" s="299">
        <v>0.15653935185185186</v>
      </c>
      <c r="G88" s="2" t="s">
        <v>481</v>
      </c>
      <c r="H88" s="2" t="s">
        <v>228</v>
      </c>
      <c r="I88" s="298">
        <v>44704.0</v>
      </c>
      <c r="J88" s="299">
        <v>0.39489583333333333</v>
      </c>
      <c r="K88" s="2">
        <v>4.0</v>
      </c>
      <c r="L88" s="2" t="b">
        <v>1</v>
      </c>
      <c r="M88" s="2" t="s">
        <v>612</v>
      </c>
      <c r="N88" s="2" t="s">
        <v>208</v>
      </c>
    </row>
    <row r="89">
      <c r="A89" s="2" t="s">
        <v>394</v>
      </c>
      <c r="B89" s="298">
        <v>44697.0</v>
      </c>
      <c r="C89" s="299">
        <v>0.2023611111111111</v>
      </c>
      <c r="G89" s="2" t="s">
        <v>481</v>
      </c>
      <c r="H89" s="2" t="s">
        <v>228</v>
      </c>
      <c r="I89" s="298">
        <v>44697.0</v>
      </c>
      <c r="J89" s="299">
        <v>0.3611111111111111</v>
      </c>
      <c r="K89" s="2">
        <v>2.0</v>
      </c>
      <c r="L89" s="2" t="b">
        <v>1</v>
      </c>
      <c r="M89" s="2" t="s">
        <v>606</v>
      </c>
      <c r="N89" s="2" t="s">
        <v>208</v>
      </c>
    </row>
    <row r="90">
      <c r="A90" s="2" t="s">
        <v>450</v>
      </c>
      <c r="B90" s="298">
        <v>44718.0</v>
      </c>
      <c r="C90" s="299">
        <v>0.23652777777777778</v>
      </c>
      <c r="G90" s="2" t="s">
        <v>481</v>
      </c>
      <c r="H90" s="2" t="s">
        <v>228</v>
      </c>
      <c r="I90" s="298">
        <v>44718.0</v>
      </c>
      <c r="J90" s="299">
        <v>0.36498842592592595</v>
      </c>
      <c r="K90" s="2">
        <v>3.0</v>
      </c>
      <c r="L90" s="2" t="b">
        <v>1</v>
      </c>
      <c r="M90" s="2" t="s">
        <v>611</v>
      </c>
      <c r="N90" s="2" t="s">
        <v>208</v>
      </c>
    </row>
    <row r="91">
      <c r="A91" s="2" t="s">
        <v>315</v>
      </c>
      <c r="B91" s="298">
        <v>44683.0</v>
      </c>
      <c r="C91" s="299">
        <v>0.2021875</v>
      </c>
      <c r="G91" s="2" t="s">
        <v>481</v>
      </c>
      <c r="H91" s="2" t="s">
        <v>228</v>
      </c>
      <c r="I91" s="298">
        <v>44683.0</v>
      </c>
      <c r="J91" s="299">
        <v>0.35782407407407407</v>
      </c>
      <c r="K91" s="2">
        <v>2.0</v>
      </c>
      <c r="L91" s="2" t="b">
        <v>1</v>
      </c>
      <c r="M91" s="2" t="s">
        <v>613</v>
      </c>
      <c r="N91" s="2" t="s">
        <v>208</v>
      </c>
    </row>
    <row r="92">
      <c r="A92" s="2" t="s">
        <v>227</v>
      </c>
      <c r="B92" s="298">
        <v>44670.0</v>
      </c>
      <c r="C92" s="299">
        <v>0.48736111111111113</v>
      </c>
      <c r="G92" s="2" t="s">
        <v>481</v>
      </c>
      <c r="H92" s="2" t="s">
        <v>228</v>
      </c>
      <c r="I92" s="298">
        <v>44670.0</v>
      </c>
      <c r="J92" s="299">
        <v>0.5004282407407408</v>
      </c>
      <c r="K92" s="2">
        <v>4.0</v>
      </c>
      <c r="L92" s="2" t="b">
        <v>1</v>
      </c>
      <c r="M92" s="2" t="s">
        <v>622</v>
      </c>
      <c r="N92" s="2" t="s">
        <v>208</v>
      </c>
    </row>
    <row r="93">
      <c r="A93" s="2" t="s">
        <v>381</v>
      </c>
      <c r="B93" s="298">
        <v>44690.0</v>
      </c>
      <c r="C93" s="299">
        <v>0.2135300925925926</v>
      </c>
      <c r="G93" s="2" t="s">
        <v>481</v>
      </c>
      <c r="H93" s="2" t="s">
        <v>228</v>
      </c>
      <c r="I93" s="298">
        <v>44690.0</v>
      </c>
      <c r="J93" s="299">
        <v>0.3232407407407407</v>
      </c>
      <c r="K93" s="2">
        <v>1.0</v>
      </c>
      <c r="L93" s="2" t="b">
        <v>1</v>
      </c>
      <c r="M93" s="2" t="s">
        <v>610</v>
      </c>
      <c r="N93" s="2" t="s">
        <v>208</v>
      </c>
    </row>
    <row r="94">
      <c r="A94" s="2" t="s">
        <v>388</v>
      </c>
      <c r="B94" s="298">
        <v>44696.0</v>
      </c>
      <c r="C94" s="299">
        <v>0.7482523148148148</v>
      </c>
      <c r="G94" s="2" t="s">
        <v>481</v>
      </c>
      <c r="H94" s="2" t="s">
        <v>228</v>
      </c>
      <c r="I94" s="298">
        <v>44697.0</v>
      </c>
      <c r="J94" s="299">
        <v>0.361099537037037</v>
      </c>
      <c r="K94" s="2">
        <v>2.0</v>
      </c>
      <c r="L94" s="2" t="b">
        <v>1</v>
      </c>
      <c r="M94" s="2" t="s">
        <v>606</v>
      </c>
      <c r="N94" s="2" t="s">
        <v>208</v>
      </c>
    </row>
    <row r="95">
      <c r="A95" s="2" t="s">
        <v>446</v>
      </c>
      <c r="B95" s="298">
        <v>44718.0</v>
      </c>
      <c r="C95" s="299">
        <v>0.19365740740740742</v>
      </c>
      <c r="G95" s="2" t="s">
        <v>605</v>
      </c>
      <c r="H95" s="2" t="s">
        <v>205</v>
      </c>
      <c r="I95" s="298">
        <v>44861.0</v>
      </c>
      <c r="J95" s="299">
        <v>0.48483796296296294</v>
      </c>
      <c r="K95" s="2">
        <v>2.0</v>
      </c>
      <c r="N95" s="2" t="s">
        <v>208</v>
      </c>
    </row>
    <row r="96">
      <c r="A96" s="2" t="s">
        <v>396</v>
      </c>
      <c r="B96" s="298">
        <v>44697.0</v>
      </c>
      <c r="C96" s="299">
        <v>0.20903935185185185</v>
      </c>
      <c r="G96" s="2" t="s">
        <v>481</v>
      </c>
      <c r="H96" s="2" t="s">
        <v>228</v>
      </c>
      <c r="I96" s="298">
        <v>44697.0</v>
      </c>
      <c r="J96" s="299">
        <v>0.3611111111111111</v>
      </c>
      <c r="K96" s="2">
        <v>2.0</v>
      </c>
      <c r="L96" s="2" t="b">
        <v>1</v>
      </c>
      <c r="M96" s="2" t="s">
        <v>606</v>
      </c>
      <c r="N96" s="2" t="s">
        <v>208</v>
      </c>
    </row>
    <row r="97">
      <c r="A97" s="2" t="s">
        <v>479</v>
      </c>
      <c r="B97" s="298">
        <v>44837.0</v>
      </c>
      <c r="C97" s="299">
        <v>0.19859953703703703</v>
      </c>
      <c r="G97" s="2" t="s">
        <v>481</v>
      </c>
      <c r="H97" s="2" t="s">
        <v>228</v>
      </c>
      <c r="I97" s="298">
        <v>44837.0</v>
      </c>
      <c r="J97" s="299">
        <v>0.510150462962963</v>
      </c>
      <c r="K97" s="2">
        <v>3.0</v>
      </c>
      <c r="L97" s="2" t="b">
        <v>1</v>
      </c>
      <c r="M97" s="2" t="s">
        <v>623</v>
      </c>
      <c r="N97" s="2" t="s">
        <v>208</v>
      </c>
    </row>
    <row r="98">
      <c r="A98" s="2" t="s">
        <v>255</v>
      </c>
      <c r="B98" s="298">
        <v>44678.0</v>
      </c>
      <c r="C98" s="299">
        <v>0.6180208333333334</v>
      </c>
      <c r="G98" s="2" t="s">
        <v>481</v>
      </c>
      <c r="H98" s="2" t="s">
        <v>228</v>
      </c>
      <c r="I98" s="298">
        <v>44678.0</v>
      </c>
      <c r="J98" s="299">
        <v>0.628449074074074</v>
      </c>
      <c r="K98" s="2">
        <v>1.0</v>
      </c>
      <c r="L98" s="2" t="b">
        <v>1</v>
      </c>
      <c r="M98" s="2" t="s">
        <v>617</v>
      </c>
      <c r="N98" s="2" t="s">
        <v>208</v>
      </c>
    </row>
    <row r="99">
      <c r="A99" s="2" t="s">
        <v>408</v>
      </c>
      <c r="B99" s="298">
        <v>44703.0</v>
      </c>
      <c r="C99" s="299">
        <v>0.7817592592592593</v>
      </c>
      <c r="G99" s="2" t="s">
        <v>605</v>
      </c>
      <c r="H99" s="2" t="s">
        <v>205</v>
      </c>
      <c r="I99" s="298">
        <v>44861.0</v>
      </c>
      <c r="J99" s="299">
        <v>0.48483796296296294</v>
      </c>
      <c r="K99" s="2">
        <v>4.0</v>
      </c>
      <c r="N99" s="2" t="s">
        <v>208</v>
      </c>
    </row>
    <row r="100">
      <c r="A100" s="2" t="s">
        <v>321</v>
      </c>
      <c r="B100" s="298">
        <v>44683.0</v>
      </c>
      <c r="C100" s="299">
        <v>0.20903935185185185</v>
      </c>
      <c r="G100" s="2" t="s">
        <v>481</v>
      </c>
      <c r="H100" s="2" t="s">
        <v>228</v>
      </c>
      <c r="I100" s="298">
        <v>44683.0</v>
      </c>
      <c r="J100" s="299">
        <v>0.35782407407407407</v>
      </c>
      <c r="K100" s="2">
        <v>4.0</v>
      </c>
      <c r="L100" s="2" t="b">
        <v>1</v>
      </c>
      <c r="M100" s="2" t="s">
        <v>613</v>
      </c>
      <c r="N100" s="2" t="s">
        <v>208</v>
      </c>
    </row>
    <row r="101">
      <c r="A101" s="2" t="s">
        <v>305</v>
      </c>
      <c r="B101" s="298">
        <v>44683.0</v>
      </c>
      <c r="C101" s="299">
        <v>0.19702546296296297</v>
      </c>
      <c r="G101" s="2" t="s">
        <v>481</v>
      </c>
      <c r="H101" s="2" t="s">
        <v>228</v>
      </c>
      <c r="I101" s="298">
        <v>44690.0</v>
      </c>
      <c r="J101" s="299">
        <v>0.3232291666666667</v>
      </c>
      <c r="K101" s="2">
        <v>1.0</v>
      </c>
      <c r="L101" s="2" t="b">
        <v>1</v>
      </c>
      <c r="M101" s="2" t="s">
        <v>610</v>
      </c>
      <c r="N101" s="2" t="s">
        <v>208</v>
      </c>
    </row>
    <row r="102">
      <c r="A102" s="2" t="s">
        <v>413</v>
      </c>
      <c r="B102" s="298">
        <v>44704.0</v>
      </c>
      <c r="C102" s="299">
        <v>0.2182638888888889</v>
      </c>
      <c r="G102" s="2" t="s">
        <v>481</v>
      </c>
      <c r="H102" s="2" t="s">
        <v>228</v>
      </c>
      <c r="I102" s="298">
        <v>44704.0</v>
      </c>
      <c r="J102" s="299">
        <v>0.39490740740740743</v>
      </c>
      <c r="K102" s="2">
        <v>1.0</v>
      </c>
      <c r="L102" s="2" t="b">
        <v>1</v>
      </c>
      <c r="M102" s="2" t="s">
        <v>612</v>
      </c>
      <c r="N102" s="2" t="s">
        <v>208</v>
      </c>
    </row>
    <row r="103">
      <c r="A103" s="2" t="s">
        <v>456</v>
      </c>
      <c r="B103" s="298">
        <v>44725.0</v>
      </c>
      <c r="C103" s="299">
        <v>0.20097222222222222</v>
      </c>
      <c r="G103" s="2" t="s">
        <v>481</v>
      </c>
      <c r="H103" s="2" t="s">
        <v>228</v>
      </c>
      <c r="I103" s="298">
        <v>44753.0</v>
      </c>
      <c r="J103" s="299">
        <v>0.3984027777777778</v>
      </c>
      <c r="K103" s="2">
        <v>4.0</v>
      </c>
      <c r="L103" s="2" t="b">
        <v>1</v>
      </c>
      <c r="M103" s="2" t="s">
        <v>608</v>
      </c>
      <c r="N103" s="2" t="s">
        <v>208</v>
      </c>
    </row>
    <row r="104">
      <c r="A104" s="2" t="s">
        <v>341</v>
      </c>
      <c r="B104" s="298">
        <v>44683.0</v>
      </c>
      <c r="C104" s="299">
        <v>0.23635416666666667</v>
      </c>
      <c r="G104" s="2" t="s">
        <v>481</v>
      </c>
      <c r="H104" s="2" t="s">
        <v>228</v>
      </c>
      <c r="I104" s="298">
        <v>44683.0</v>
      </c>
      <c r="J104" s="299">
        <v>0.35782407407407407</v>
      </c>
      <c r="K104" s="2">
        <v>2.0</v>
      </c>
      <c r="L104" s="2" t="b">
        <v>1</v>
      </c>
      <c r="M104" s="2" t="s">
        <v>613</v>
      </c>
      <c r="N104" s="2" t="s">
        <v>208</v>
      </c>
    </row>
    <row r="105">
      <c r="A105" s="2" t="s">
        <v>474</v>
      </c>
      <c r="B105" s="298">
        <v>44767.0</v>
      </c>
      <c r="C105" s="299">
        <v>0.20652777777777778</v>
      </c>
      <c r="G105" s="2" t="s">
        <v>481</v>
      </c>
      <c r="H105" s="2" t="s">
        <v>228</v>
      </c>
      <c r="I105" s="298">
        <v>44767.0</v>
      </c>
      <c r="J105" s="299">
        <v>0.43292824074074077</v>
      </c>
      <c r="K105" s="2">
        <v>3.0</v>
      </c>
      <c r="L105" s="2" t="b">
        <v>1</v>
      </c>
      <c r="M105" s="2" t="s">
        <v>607</v>
      </c>
      <c r="N105" s="2" t="s">
        <v>208</v>
      </c>
    </row>
    <row r="106">
      <c r="A106" s="2" t="s">
        <v>371</v>
      </c>
      <c r="B106" s="298">
        <v>44689.0</v>
      </c>
      <c r="C106" s="299">
        <v>0.8260300925925926</v>
      </c>
      <c r="G106" s="2" t="s">
        <v>481</v>
      </c>
      <c r="H106" s="2" t="s">
        <v>228</v>
      </c>
      <c r="I106" s="298">
        <v>44690.0</v>
      </c>
      <c r="J106" s="299">
        <v>0.3232291666666667</v>
      </c>
      <c r="K106" s="2">
        <v>4.0</v>
      </c>
      <c r="L106" s="2" t="b">
        <v>1</v>
      </c>
      <c r="M106" s="2" t="s">
        <v>610</v>
      </c>
      <c r="N106" s="2" t="s">
        <v>208</v>
      </c>
    </row>
    <row r="107">
      <c r="A107" s="2" t="s">
        <v>212</v>
      </c>
      <c r="B107" s="298">
        <v>44666.0</v>
      </c>
      <c r="C107" s="299">
        <v>0.496875</v>
      </c>
      <c r="G107" s="2" t="s">
        <v>605</v>
      </c>
      <c r="H107" s="2" t="s">
        <v>205</v>
      </c>
      <c r="I107" s="298">
        <v>44861.0</v>
      </c>
      <c r="J107" s="299">
        <v>0.48483796296296294</v>
      </c>
      <c r="K107" s="2">
        <v>1.0</v>
      </c>
      <c r="N107" s="2" t="s">
        <v>208</v>
      </c>
    </row>
    <row r="108">
      <c r="A108" s="2" t="s">
        <v>241</v>
      </c>
      <c r="B108" s="298">
        <v>44678.0</v>
      </c>
      <c r="C108" s="299">
        <v>0.6164814814814815</v>
      </c>
      <c r="G108" s="2" t="s">
        <v>481</v>
      </c>
      <c r="H108" s="2" t="s">
        <v>228</v>
      </c>
      <c r="I108" s="298">
        <v>44678.0</v>
      </c>
      <c r="J108" s="299">
        <v>0.6284375</v>
      </c>
      <c r="K108" s="2">
        <v>1.0</v>
      </c>
      <c r="L108" s="2" t="b">
        <v>1</v>
      </c>
      <c r="M108" s="2" t="s">
        <v>617</v>
      </c>
      <c r="N108" s="2" t="s">
        <v>208</v>
      </c>
    </row>
    <row r="109">
      <c r="A109" s="2" t="s">
        <v>461</v>
      </c>
      <c r="B109" s="298">
        <v>44725.0</v>
      </c>
      <c r="C109" s="299">
        <v>0.24435185185185185</v>
      </c>
      <c r="G109" s="2" t="s">
        <v>481</v>
      </c>
      <c r="H109" s="2" t="s">
        <v>228</v>
      </c>
      <c r="I109" s="298">
        <v>44725.0</v>
      </c>
      <c r="J109" s="299">
        <v>0.41224537037037035</v>
      </c>
      <c r="K109" s="2">
        <v>2.0</v>
      </c>
      <c r="L109" s="2" t="b">
        <v>1</v>
      </c>
      <c r="M109" s="2" t="s">
        <v>615</v>
      </c>
      <c r="N109" s="2" t="s">
        <v>208</v>
      </c>
    </row>
    <row r="110">
      <c r="A110" s="2" t="s">
        <v>434</v>
      </c>
      <c r="B110" s="298">
        <v>44713.0</v>
      </c>
      <c r="C110" s="299">
        <v>0.1976388888888889</v>
      </c>
      <c r="G110" s="2" t="s">
        <v>481</v>
      </c>
      <c r="H110" s="2" t="s">
        <v>228</v>
      </c>
      <c r="I110" s="298">
        <v>44713.0</v>
      </c>
      <c r="J110" s="299">
        <v>0.34149305555555554</v>
      </c>
      <c r="K110" s="2">
        <v>4.0</v>
      </c>
      <c r="L110" s="2" t="b">
        <v>1</v>
      </c>
      <c r="M110" s="2" t="s">
        <v>614</v>
      </c>
      <c r="N110" s="2" t="s">
        <v>208</v>
      </c>
    </row>
    <row r="111">
      <c r="A111" s="2" t="s">
        <v>283</v>
      </c>
      <c r="B111" s="298">
        <v>44683.0</v>
      </c>
      <c r="C111" s="299">
        <v>0.17721064814814816</v>
      </c>
      <c r="G111" s="2" t="s">
        <v>481</v>
      </c>
      <c r="H111" s="2" t="s">
        <v>228</v>
      </c>
      <c r="I111" s="298">
        <v>44683.0</v>
      </c>
      <c r="J111" s="299">
        <v>0.3578125</v>
      </c>
      <c r="K111" s="2">
        <v>1.0</v>
      </c>
      <c r="L111" s="2" t="b">
        <v>1</v>
      </c>
      <c r="M111" s="2" t="s">
        <v>613</v>
      </c>
      <c r="N111" s="2" t="s">
        <v>208</v>
      </c>
    </row>
    <row r="112">
      <c r="A112" s="2" t="s">
        <v>251</v>
      </c>
      <c r="B112" s="298">
        <v>44678.0</v>
      </c>
      <c r="C112" s="299">
        <v>0.6176967592592593</v>
      </c>
      <c r="G112" s="2" t="s">
        <v>481</v>
      </c>
      <c r="H112" s="2" t="s">
        <v>228</v>
      </c>
      <c r="I112" s="298">
        <v>44678.0</v>
      </c>
      <c r="J112" s="299">
        <v>0.6284375</v>
      </c>
      <c r="K112" s="2">
        <v>1.0</v>
      </c>
      <c r="L112" s="2" t="b">
        <v>1</v>
      </c>
      <c r="M112" s="2" t="s">
        <v>617</v>
      </c>
      <c r="N112" s="2" t="s">
        <v>208</v>
      </c>
    </row>
    <row r="113">
      <c r="A113" s="2" t="s">
        <v>360</v>
      </c>
      <c r="B113" s="298">
        <v>44683.0</v>
      </c>
      <c r="C113" s="299">
        <v>0.27576388888888886</v>
      </c>
      <c r="G113" s="2" t="s">
        <v>481</v>
      </c>
      <c r="H113" s="2" t="s">
        <v>228</v>
      </c>
      <c r="I113" s="298">
        <v>44683.0</v>
      </c>
      <c r="J113" s="299">
        <v>0.35783564814814817</v>
      </c>
      <c r="K113" s="2">
        <v>1.0</v>
      </c>
      <c r="L113" s="2" t="b">
        <v>1</v>
      </c>
      <c r="M113" s="2" t="s">
        <v>613</v>
      </c>
      <c r="N113" s="2" t="s">
        <v>208</v>
      </c>
    </row>
    <row r="114">
      <c r="A114" s="2" t="s">
        <v>268</v>
      </c>
      <c r="B114" s="298">
        <v>44679.0</v>
      </c>
      <c r="C114" s="299">
        <v>0.5215162037037037</v>
      </c>
      <c r="G114" s="2" t="s">
        <v>605</v>
      </c>
      <c r="H114" s="2" t="s">
        <v>205</v>
      </c>
      <c r="I114" s="298">
        <v>44861.0</v>
      </c>
      <c r="J114" s="299">
        <v>0.48483796296296294</v>
      </c>
      <c r="K114" s="2">
        <v>4.0</v>
      </c>
      <c r="N114" s="2" t="s">
        <v>208</v>
      </c>
    </row>
    <row r="115">
      <c r="A115" s="2" t="s">
        <v>214</v>
      </c>
      <c r="B115" s="298">
        <v>44670.0</v>
      </c>
      <c r="C115" s="299">
        <v>0.46875</v>
      </c>
      <c r="G115" s="2" t="s">
        <v>481</v>
      </c>
      <c r="H115" s="2" t="s">
        <v>215</v>
      </c>
      <c r="I115" s="298">
        <v>44670.0</v>
      </c>
      <c r="J115" s="299">
        <v>0.5004282407407408</v>
      </c>
      <c r="K115" s="2">
        <v>3.0</v>
      </c>
      <c r="L115" s="2" t="b">
        <v>1</v>
      </c>
      <c r="N115" s="2" t="s">
        <v>208</v>
      </c>
    </row>
    <row r="116">
      <c r="A116" s="2" t="s">
        <v>219</v>
      </c>
      <c r="B116" s="298">
        <v>44670.0</v>
      </c>
      <c r="C116" s="299">
        <v>0.4692824074074074</v>
      </c>
      <c r="G116" s="2" t="s">
        <v>605</v>
      </c>
      <c r="H116" s="2" t="s">
        <v>205</v>
      </c>
      <c r="I116" s="298">
        <v>44861.0</v>
      </c>
      <c r="J116" s="299">
        <v>0.48483796296296294</v>
      </c>
      <c r="K116" s="2">
        <v>3.0</v>
      </c>
      <c r="N116" s="2" t="s">
        <v>208</v>
      </c>
    </row>
    <row r="117">
      <c r="A117" s="2" t="s">
        <v>223</v>
      </c>
      <c r="B117" s="298">
        <v>44670.0</v>
      </c>
      <c r="C117" s="299">
        <v>0.4699305555555556</v>
      </c>
      <c r="G117" s="2" t="s">
        <v>605</v>
      </c>
      <c r="H117" s="2" t="s">
        <v>205</v>
      </c>
      <c r="I117" s="298">
        <v>44861.0</v>
      </c>
      <c r="J117" s="299">
        <v>0.48483796296296294</v>
      </c>
      <c r="K117" s="2">
        <v>3.0</v>
      </c>
      <c r="N117" s="2" t="s">
        <v>208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1" max="11" width="13.88"/>
    <col customWidth="1" min="17" max="17" width="16.75"/>
    <col customWidth="1" min="18" max="18" width="11.5"/>
    <col customWidth="1" min="19" max="19" width="9.5"/>
    <col customWidth="1" min="26" max="26" width="5.38"/>
  </cols>
  <sheetData>
    <row r="1">
      <c r="A1" s="58" t="s">
        <v>156</v>
      </c>
      <c r="B1" s="58" t="s">
        <v>133</v>
      </c>
      <c r="C1" s="58" t="s">
        <v>134</v>
      </c>
      <c r="D1" s="58" t="s">
        <v>136</v>
      </c>
      <c r="E1" s="58" t="s">
        <v>137</v>
      </c>
      <c r="F1" s="58" t="s">
        <v>601</v>
      </c>
      <c r="G1" s="58" t="s">
        <v>164</v>
      </c>
      <c r="H1" s="58" t="s">
        <v>599</v>
      </c>
      <c r="I1" s="58" t="s">
        <v>140</v>
      </c>
      <c r="J1" s="58" t="s">
        <v>141</v>
      </c>
      <c r="K1" s="58" t="s">
        <v>602</v>
      </c>
      <c r="L1" s="58" t="s">
        <v>603</v>
      </c>
      <c r="M1" s="58" t="s">
        <v>604</v>
      </c>
      <c r="N1" s="58" t="s">
        <v>600</v>
      </c>
      <c r="O1" s="6" t="s">
        <v>144</v>
      </c>
      <c r="P1" s="51" t="s">
        <v>624</v>
      </c>
      <c r="Q1" s="51" t="s">
        <v>625</v>
      </c>
      <c r="R1" s="51" t="str">
        <f>CONCATENATE("ROW has replicate(s)? ",COUNTIF(R2:R116,TRUE))</f>
        <v>ROW has replicate(s)? 0</v>
      </c>
      <c r="S1" s="93">
        <f>COUNTIF(P2:P116,TRUE)</f>
        <v>1</v>
      </c>
      <c r="T1" s="59" t="s">
        <v>626</v>
      </c>
      <c r="U1" s="51" t="str">
        <f>CONCATENATE("Missing Tube ID, Collect Date or Time? ",COUNTIF(U2:U116,TRUE))</f>
        <v>Missing Tube ID, Collect Date or Time? 0</v>
      </c>
      <c r="V1" s="63" t="s">
        <v>627</v>
      </c>
      <c r="W1" s="63"/>
      <c r="X1" s="63"/>
      <c r="Y1" s="63"/>
      <c r="Z1" s="129"/>
      <c r="AA1" s="50" t="s">
        <v>628</v>
      </c>
      <c r="AB1" s="50" t="s">
        <v>629</v>
      </c>
      <c r="AC1" s="50" t="s">
        <v>630</v>
      </c>
      <c r="AD1" s="300" t="str">
        <f>CONCATENATE("Rep Tube IDs Sorted = ",COUNTA(AD2:AD116))</f>
        <v>Rep Tube IDs Sorted = 0</v>
      </c>
      <c r="AE1" s="300" t="str">
        <f>CONCATENATE("Rep Rows Sorted ",SUM(AE2:AE116))</f>
        <v>Rep Rows Sorted 0</v>
      </c>
    </row>
    <row r="2">
      <c r="A2" s="13">
        <f>RAW_APT!A3</f>
        <v>72782051679</v>
      </c>
      <c r="B2" s="294">
        <f>RAW_APT!B3</f>
        <v>44659</v>
      </c>
      <c r="C2" s="301">
        <f>RAW_APT!C3</f>
        <v>0.5501736111</v>
      </c>
      <c r="D2" s="13" t="str">
        <f>RAW_APT!D3</f>
        <v/>
      </c>
      <c r="E2" s="13" t="str">
        <f>RAW_APT!E3</f>
        <v/>
      </c>
      <c r="F2" s="13" t="str">
        <f>RAW_APT!F3</f>
        <v/>
      </c>
      <c r="G2" s="13" t="str">
        <f>RAW_APT!G3</f>
        <v>Collected</v>
      </c>
      <c r="H2" s="13" t="str">
        <f>RAW_APT!H3</f>
        <v>Null</v>
      </c>
      <c r="I2" s="294">
        <f>RAW_APT!I3</f>
        <v>44861</v>
      </c>
      <c r="J2" s="301">
        <f>RAW_APT!J3</f>
        <v>0.484837963</v>
      </c>
      <c r="K2" s="13">
        <f>RAW_APT!K3</f>
        <v>2</v>
      </c>
      <c r="L2" s="13" t="str">
        <f>RAW_APT!L3</f>
        <v/>
      </c>
      <c r="M2" s="13" t="str">
        <f>RAW_APT!M3</f>
        <v/>
      </c>
      <c r="N2" s="13" t="str">
        <f>RAW_APT!N3</f>
        <v>primary</v>
      </c>
      <c r="O2" s="13" t="str">
        <f>RAW_APT!O3</f>
        <v/>
      </c>
      <c r="P2" s="93" t="b">
        <f t="shared" ref="P2:P116" si="1">AND(Q2,ISBLANK(T2))</f>
        <v>0</v>
      </c>
      <c r="Q2" s="93" t="b">
        <f>IF(COUNTIF(RAW_APS!$A$2:$A116,A2)=0,TRUE,FALSE)</f>
        <v>0</v>
      </c>
      <c r="R2" s="93" t="b">
        <f t="shared" ref="R2:R116" si="2">IF(COUNTIF($A$2:$A116,A2)&gt;1,TRUE,FALSE)</f>
        <v>0</v>
      </c>
      <c r="S2" s="7"/>
      <c r="U2" s="94" t="str">
        <f t="shared" ref="U2:U116" si="3">IF(OR(ISBLANK(A2),ISBLANK(B2),ISBLANK(C2)),TRUE,IFERROR(0/0,""))</f>
        <v/>
      </c>
      <c r="Z2" s="129"/>
      <c r="AA2" s="94" t="str">
        <f t="shared" ref="AA2:AA116" si="4">UPPER(A2)</f>
        <v>72782051679</v>
      </c>
      <c r="AB2" s="94" t="str">
        <f t="shared" ref="AB2:AB116" si="5">IF(COUNTIF(AA$2:AA116,AA2)&gt;1,AA2,IFERROR(0/0,""))</f>
        <v/>
      </c>
      <c r="AC2" s="94" t="str">
        <f t="shared" ref="AC2:AC116" si="6">IF(COUNTIF(AA$2:AA116,AA2)&gt;1,COUNTIF(AA$2:AA116,AA2),IFERROR(0/0,""))</f>
        <v/>
      </c>
      <c r="AD2" s="94" t="str">
        <f t="shared" ref="AD2:AD116" si="7">SORT(UNIQUE(AB2:AC116),1,TRUE)</f>
        <v/>
      </c>
      <c r="AE2" s="8"/>
    </row>
    <row r="3">
      <c r="A3" s="13" t="str">
        <f>RAW_APT!A4</f>
        <v>AG1103</v>
      </c>
      <c r="B3" s="294">
        <f>RAW_APT!B4</f>
        <v>44697</v>
      </c>
      <c r="C3" s="301">
        <f>RAW_APT!C4</f>
        <v>0.1903009259</v>
      </c>
      <c r="D3" s="13" t="str">
        <f>RAW_APT!D4</f>
        <v/>
      </c>
      <c r="E3" s="13" t="str">
        <f>RAW_APT!E4</f>
        <v/>
      </c>
      <c r="F3" s="13" t="str">
        <f>RAW_APT!F4</f>
        <v/>
      </c>
      <c r="G3" s="13" t="str">
        <f>RAW_APT!G4</f>
        <v>Result</v>
      </c>
      <c r="H3" s="13" t="str">
        <f>RAW_APT!H4</f>
        <v>Negative</v>
      </c>
      <c r="I3" s="294">
        <f>RAW_APT!I4</f>
        <v>44697</v>
      </c>
      <c r="J3" s="301">
        <f>RAW_APT!J4</f>
        <v>0.361099537</v>
      </c>
      <c r="K3" s="13">
        <f>RAW_APT!K4</f>
        <v>4</v>
      </c>
      <c r="L3" s="13" t="b">
        <f>RAW_APT!L4</f>
        <v>1</v>
      </c>
      <c r="M3" s="13" t="str">
        <f>RAW_APT!M4</f>
        <v>220516-1</v>
      </c>
      <c r="N3" s="13" t="str">
        <f>RAW_APT!N4</f>
        <v>primary</v>
      </c>
      <c r="O3" s="13" t="str">
        <f>RAW_APT!O4</f>
        <v/>
      </c>
      <c r="P3" s="93" t="b">
        <f t="shared" si="1"/>
        <v>0</v>
      </c>
      <c r="Q3" s="93" t="b">
        <f>IF(COUNTIF(RAW_APS!$A$2:$A116,A3)=0,TRUE,FALSE)</f>
        <v>0</v>
      </c>
      <c r="R3" s="93" t="b">
        <f t="shared" si="2"/>
        <v>0</v>
      </c>
      <c r="S3" s="7"/>
      <c r="U3" s="94" t="str">
        <f t="shared" si="3"/>
        <v/>
      </c>
      <c r="Z3" s="129"/>
      <c r="AA3" s="94" t="str">
        <f t="shared" si="4"/>
        <v>AG1103</v>
      </c>
      <c r="AB3" s="94" t="str">
        <f t="shared" si="5"/>
        <v/>
      </c>
      <c r="AC3" s="94" t="str">
        <f t="shared" si="6"/>
        <v/>
      </c>
      <c r="AD3" s="94" t="str">
        <f t="shared" si="7"/>
        <v/>
      </c>
      <c r="AE3" s="8"/>
    </row>
    <row r="4">
      <c r="A4" s="13" t="str">
        <f>RAW_APT!A5</f>
        <v>AG1224</v>
      </c>
      <c r="B4" s="294">
        <f>RAW_APT!B5</f>
        <v>44767</v>
      </c>
      <c r="C4" s="301">
        <f>RAW_APT!C5</f>
        <v>0.3788773148</v>
      </c>
      <c r="D4" s="13" t="str">
        <f>RAW_APT!D5</f>
        <v/>
      </c>
      <c r="E4" s="13" t="str">
        <f>RAW_APT!E5</f>
        <v/>
      </c>
      <c r="F4" s="13" t="str">
        <f>RAW_APT!F5</f>
        <v/>
      </c>
      <c r="G4" s="13" t="str">
        <f>RAW_APT!G5</f>
        <v>Result</v>
      </c>
      <c r="H4" s="13" t="str">
        <f>RAW_APT!H5</f>
        <v>Negative</v>
      </c>
      <c r="I4" s="294">
        <f>RAW_APT!I5</f>
        <v>44767</v>
      </c>
      <c r="J4" s="301">
        <f>RAW_APT!J5</f>
        <v>0.4329398148</v>
      </c>
      <c r="K4" s="13">
        <f>RAW_APT!K5</f>
        <v>2</v>
      </c>
      <c r="L4" s="13" t="b">
        <f>RAW_APT!L5</f>
        <v>1</v>
      </c>
      <c r="M4" s="13" t="str">
        <f>RAW_APT!M5</f>
        <v>220725-1</v>
      </c>
      <c r="N4" s="13" t="str">
        <f>RAW_APT!N5</f>
        <v>primary</v>
      </c>
      <c r="O4" s="13" t="str">
        <f>RAW_APT!O5</f>
        <v/>
      </c>
      <c r="P4" s="93" t="b">
        <f t="shared" si="1"/>
        <v>0</v>
      </c>
      <c r="Q4" s="93" t="b">
        <f>IF(COUNTIF(RAW_APS!$A$2:$A116,A4)=0,TRUE,FALSE)</f>
        <v>0</v>
      </c>
      <c r="R4" s="93" t="b">
        <f t="shared" si="2"/>
        <v>0</v>
      </c>
      <c r="S4" s="7"/>
      <c r="U4" s="94" t="str">
        <f t="shared" si="3"/>
        <v/>
      </c>
      <c r="Z4" s="129"/>
      <c r="AA4" s="94" t="str">
        <f t="shared" si="4"/>
        <v>AG1224</v>
      </c>
      <c r="AB4" s="94" t="str">
        <f t="shared" si="5"/>
        <v/>
      </c>
      <c r="AC4" s="94" t="str">
        <f t="shared" si="6"/>
        <v/>
      </c>
      <c r="AD4" s="94" t="str">
        <f t="shared" si="7"/>
        <v/>
      </c>
      <c r="AE4" s="8"/>
    </row>
    <row r="5">
      <c r="A5" s="13" t="str">
        <f>RAW_APT!A6</f>
        <v>AG1259</v>
      </c>
      <c r="B5" s="294">
        <f>RAW_APT!B6</f>
        <v>44753</v>
      </c>
      <c r="C5" s="301">
        <f>RAW_APT!C6</f>
        <v>0.2527199074</v>
      </c>
      <c r="D5" s="13" t="str">
        <f>RAW_APT!D6</f>
        <v/>
      </c>
      <c r="E5" s="13" t="str">
        <f>RAW_APT!E6</f>
        <v/>
      </c>
      <c r="F5" s="13" t="str">
        <f>RAW_APT!F6</f>
        <v/>
      </c>
      <c r="G5" s="13" t="str">
        <f>RAW_APT!G6</f>
        <v>Result</v>
      </c>
      <c r="H5" s="13" t="str">
        <f>RAW_APT!H6</f>
        <v>Negative</v>
      </c>
      <c r="I5" s="294">
        <f>RAW_APT!I6</f>
        <v>44753</v>
      </c>
      <c r="J5" s="301">
        <f>RAW_APT!J6</f>
        <v>0.3984027778</v>
      </c>
      <c r="K5" s="13">
        <f>RAW_APT!K6</f>
        <v>2</v>
      </c>
      <c r="L5" s="13" t="b">
        <f>RAW_APT!L6</f>
        <v>1</v>
      </c>
      <c r="M5" s="13" t="str">
        <f>RAW_APT!M6</f>
        <v>220711-1</v>
      </c>
      <c r="N5" s="13" t="str">
        <f>RAW_APT!N6</f>
        <v>primary</v>
      </c>
      <c r="O5" s="13" t="str">
        <f>RAW_APT!O6</f>
        <v/>
      </c>
      <c r="P5" s="93" t="b">
        <f t="shared" si="1"/>
        <v>0</v>
      </c>
      <c r="Q5" s="93" t="b">
        <f>IF(COUNTIF(RAW_APS!$A$2:$A116,A5)=0,TRUE,FALSE)</f>
        <v>0</v>
      </c>
      <c r="R5" s="93" t="b">
        <f t="shared" si="2"/>
        <v>0</v>
      </c>
      <c r="S5" s="7"/>
      <c r="U5" s="94" t="str">
        <f t="shared" si="3"/>
        <v/>
      </c>
      <c r="Z5" s="129"/>
      <c r="AA5" s="94" t="str">
        <f t="shared" si="4"/>
        <v>AG1259</v>
      </c>
      <c r="AB5" s="94" t="str">
        <f t="shared" si="5"/>
        <v/>
      </c>
      <c r="AC5" s="94" t="str">
        <f t="shared" si="6"/>
        <v/>
      </c>
      <c r="AD5" s="94" t="str">
        <f t="shared" si="7"/>
        <v/>
      </c>
      <c r="AE5" s="8"/>
    </row>
    <row r="6">
      <c r="A6" s="13" t="str">
        <f>RAW_APT!A7</f>
        <v>AG1419</v>
      </c>
      <c r="B6" s="294">
        <f>RAW_APT!B7</f>
        <v>44683</v>
      </c>
      <c r="C6" s="301">
        <f>RAW_APT!C7</f>
        <v>0.1780671296</v>
      </c>
      <c r="D6" s="13" t="str">
        <f>RAW_APT!D7</f>
        <v/>
      </c>
      <c r="E6" s="13" t="str">
        <f>RAW_APT!E7</f>
        <v/>
      </c>
      <c r="F6" s="13" t="str">
        <f>RAW_APT!F7</f>
        <v/>
      </c>
      <c r="G6" s="13" t="str">
        <f>RAW_APT!G7</f>
        <v>Result</v>
      </c>
      <c r="H6" s="13" t="str">
        <f>RAW_APT!H7</f>
        <v>Negative</v>
      </c>
      <c r="I6" s="294">
        <f>RAW_APT!I7</f>
        <v>44683</v>
      </c>
      <c r="J6" s="301">
        <f>RAW_APT!J7</f>
        <v>0.3578125</v>
      </c>
      <c r="K6" s="13">
        <f>RAW_APT!K7</f>
        <v>1</v>
      </c>
      <c r="L6" s="13" t="b">
        <f>RAW_APT!L7</f>
        <v>1</v>
      </c>
      <c r="M6" s="13" t="str">
        <f>RAW_APT!M7</f>
        <v/>
      </c>
      <c r="N6" s="13" t="str">
        <f>RAW_APT!N7</f>
        <v>primary</v>
      </c>
      <c r="O6" s="13" t="str">
        <f>RAW_APT!O7</f>
        <v/>
      </c>
      <c r="P6" s="93" t="b">
        <f t="shared" si="1"/>
        <v>0</v>
      </c>
      <c r="Q6" s="93" t="b">
        <f>IF(COUNTIF(RAW_APS!$A$2:$A116,A6)=0,TRUE,FALSE)</f>
        <v>0</v>
      </c>
      <c r="R6" s="93" t="b">
        <f t="shared" si="2"/>
        <v>0</v>
      </c>
      <c r="S6" s="7"/>
      <c r="U6" s="94" t="str">
        <f t="shared" si="3"/>
        <v/>
      </c>
      <c r="Z6" s="129"/>
      <c r="AA6" s="94" t="str">
        <f t="shared" si="4"/>
        <v>AG1419</v>
      </c>
      <c r="AB6" s="94" t="str">
        <f t="shared" si="5"/>
        <v/>
      </c>
      <c r="AC6" s="94" t="str">
        <f t="shared" si="6"/>
        <v/>
      </c>
      <c r="AD6" s="94" t="str">
        <f t="shared" si="7"/>
        <v/>
      </c>
      <c r="AE6" s="8"/>
    </row>
    <row r="7">
      <c r="A7" s="13" t="str">
        <f>RAW_APT!A8</f>
        <v>AG1447</v>
      </c>
      <c r="B7" s="294">
        <f>RAW_APT!B8</f>
        <v>44861</v>
      </c>
      <c r="C7" s="301">
        <f>RAW_APT!C8</f>
        <v>0.484837963</v>
      </c>
      <c r="D7" s="13" t="str">
        <f>RAW_APT!D8</f>
        <v/>
      </c>
      <c r="E7" s="13" t="str">
        <f>RAW_APT!E8</f>
        <v/>
      </c>
      <c r="F7" s="13" t="str">
        <f>RAW_APT!F8</f>
        <v/>
      </c>
      <c r="G7" s="13" t="str">
        <f>RAW_APT!G8</f>
        <v>Incomplete</v>
      </c>
      <c r="H7" s="13" t="str">
        <f>RAW_APT!H8</f>
        <v>Null</v>
      </c>
      <c r="I7" s="294">
        <f>RAW_APT!I8</f>
        <v>44861</v>
      </c>
      <c r="J7" s="301">
        <f>RAW_APT!J8</f>
        <v>0.484837963</v>
      </c>
      <c r="K7" s="13">
        <f>RAW_APT!K8</f>
        <v>4</v>
      </c>
      <c r="L7" s="13" t="str">
        <f>RAW_APT!L8</f>
        <v/>
      </c>
      <c r="M7" s="13" t="str">
        <f>RAW_APT!M8</f>
        <v/>
      </c>
      <c r="N7" s="13" t="str">
        <f>RAW_APT!N8</f>
        <v>primary</v>
      </c>
      <c r="O7" s="13" t="str">
        <f>RAW_APT!O8</f>
        <v/>
      </c>
      <c r="P7" s="93" t="b">
        <f t="shared" si="1"/>
        <v>0</v>
      </c>
      <c r="Q7" s="93" t="b">
        <f>IF(COUNTIF(RAW_APS!$A$2:$A116,A7)=0,TRUE,FALSE)</f>
        <v>0</v>
      </c>
      <c r="R7" s="93" t="b">
        <f t="shared" si="2"/>
        <v>0</v>
      </c>
      <c r="S7" s="7"/>
      <c r="U7" s="94" t="str">
        <f t="shared" si="3"/>
        <v/>
      </c>
      <c r="Z7" s="129"/>
      <c r="AA7" s="94" t="str">
        <f t="shared" si="4"/>
        <v>AG1447</v>
      </c>
      <c r="AB7" s="94" t="str">
        <f t="shared" si="5"/>
        <v/>
      </c>
      <c r="AC7" s="94" t="str">
        <f t="shared" si="6"/>
        <v/>
      </c>
      <c r="AD7" s="94" t="str">
        <f t="shared" si="7"/>
        <v/>
      </c>
      <c r="AE7" s="8"/>
    </row>
    <row r="8">
      <c r="A8" s="13" t="str">
        <f>RAW_APT!A9</f>
        <v>AG1523</v>
      </c>
      <c r="B8" s="294">
        <f>RAW_APT!B9</f>
        <v>44690</v>
      </c>
      <c r="C8" s="301">
        <f>RAW_APT!C9</f>
        <v>0.2795138889</v>
      </c>
      <c r="D8" s="13" t="str">
        <f>RAW_APT!D9</f>
        <v/>
      </c>
      <c r="E8" s="13" t="str">
        <f>RAW_APT!E9</f>
        <v/>
      </c>
      <c r="F8" s="13" t="str">
        <f>RAW_APT!F9</f>
        <v/>
      </c>
      <c r="G8" s="13" t="str">
        <f>RAW_APT!G9</f>
        <v>Result</v>
      </c>
      <c r="H8" s="13" t="str">
        <f>RAW_APT!H9</f>
        <v>Negative</v>
      </c>
      <c r="I8" s="294">
        <f>RAW_APT!I9</f>
        <v>44690</v>
      </c>
      <c r="J8" s="301">
        <f>RAW_APT!J9</f>
        <v>0.3232523148</v>
      </c>
      <c r="K8" s="13">
        <f>RAW_APT!K9</f>
        <v>1</v>
      </c>
      <c r="L8" s="13" t="b">
        <f>RAW_APT!L9</f>
        <v>1</v>
      </c>
      <c r="M8" s="13" t="str">
        <f>RAW_APT!M9</f>
        <v>220509-1</v>
      </c>
      <c r="N8" s="13" t="str">
        <f>RAW_APT!N9</f>
        <v>primary</v>
      </c>
      <c r="O8" s="13" t="str">
        <f>RAW_APT!O9</f>
        <v/>
      </c>
      <c r="P8" s="93" t="b">
        <f t="shared" si="1"/>
        <v>0</v>
      </c>
      <c r="Q8" s="93" t="b">
        <f>IF(COUNTIF(RAW_APS!$A$2:$A116,A8)=0,TRUE,FALSE)</f>
        <v>0</v>
      </c>
      <c r="R8" s="93" t="b">
        <f t="shared" si="2"/>
        <v>0</v>
      </c>
      <c r="S8" s="7"/>
      <c r="U8" s="94" t="str">
        <f t="shared" si="3"/>
        <v/>
      </c>
      <c r="Z8" s="129"/>
      <c r="AA8" s="94" t="str">
        <f t="shared" si="4"/>
        <v>AG1523</v>
      </c>
      <c r="AB8" s="94" t="str">
        <f t="shared" si="5"/>
        <v/>
      </c>
      <c r="AC8" s="94" t="str">
        <f t="shared" si="6"/>
        <v/>
      </c>
      <c r="AD8" s="94" t="str">
        <f t="shared" si="7"/>
        <v/>
      </c>
      <c r="AE8" s="8"/>
    </row>
    <row r="9">
      <c r="A9" s="13" t="str">
        <f>RAW_APT!A10</f>
        <v>AG1608</v>
      </c>
      <c r="B9" s="294">
        <f>RAW_APT!B10</f>
        <v>44718</v>
      </c>
      <c r="C9" s="301">
        <f>RAW_APT!C10</f>
        <v>0.1569212963</v>
      </c>
      <c r="D9" s="13" t="str">
        <f>RAW_APT!D10</f>
        <v/>
      </c>
      <c r="E9" s="13" t="str">
        <f>RAW_APT!E10</f>
        <v/>
      </c>
      <c r="F9" s="13" t="str">
        <f>RAW_APT!F10</f>
        <v/>
      </c>
      <c r="G9" s="13" t="str">
        <f>RAW_APT!G10</f>
        <v>Result</v>
      </c>
      <c r="H9" s="13" t="str">
        <f>RAW_APT!H10</f>
        <v>Negative</v>
      </c>
      <c r="I9" s="294">
        <f>RAW_APT!I10</f>
        <v>44718</v>
      </c>
      <c r="J9" s="301">
        <f>RAW_APT!J10</f>
        <v>0.3649768519</v>
      </c>
      <c r="K9" s="13">
        <f>RAW_APT!K10</f>
        <v>3</v>
      </c>
      <c r="L9" s="13" t="b">
        <f>RAW_APT!L10</f>
        <v>1</v>
      </c>
      <c r="M9" s="13" t="str">
        <f>RAW_APT!M10</f>
        <v>220606-1</v>
      </c>
      <c r="N9" s="13" t="str">
        <f>RAW_APT!N10</f>
        <v>primary</v>
      </c>
      <c r="O9" s="13" t="str">
        <f>RAW_APT!O10</f>
        <v/>
      </c>
      <c r="P9" s="93" t="b">
        <f t="shared" si="1"/>
        <v>0</v>
      </c>
      <c r="Q9" s="93" t="b">
        <f>IF(COUNTIF(RAW_APS!$A$2:$A116,A9)=0,TRUE,FALSE)</f>
        <v>0</v>
      </c>
      <c r="R9" s="93" t="b">
        <f t="shared" si="2"/>
        <v>0</v>
      </c>
      <c r="S9" s="7"/>
      <c r="U9" s="94" t="str">
        <f t="shared" si="3"/>
        <v/>
      </c>
      <c r="Z9" s="129"/>
      <c r="AA9" s="94" t="str">
        <f t="shared" si="4"/>
        <v>AG1608</v>
      </c>
      <c r="AB9" s="94" t="str">
        <f t="shared" si="5"/>
        <v/>
      </c>
      <c r="AC9" s="94" t="str">
        <f t="shared" si="6"/>
        <v/>
      </c>
      <c r="AD9" s="94" t="str">
        <f t="shared" si="7"/>
        <v/>
      </c>
      <c r="AE9" s="8"/>
    </row>
    <row r="10">
      <c r="A10" s="13" t="str">
        <f>RAW_APT!A11</f>
        <v>AG1637</v>
      </c>
      <c r="B10" s="294">
        <f>RAW_APT!B11</f>
        <v>44697</v>
      </c>
      <c r="C10" s="301">
        <f>RAW_APT!C11</f>
        <v>0.1767592593</v>
      </c>
      <c r="D10" s="13" t="str">
        <f>RAW_APT!D11</f>
        <v/>
      </c>
      <c r="E10" s="13" t="str">
        <f>RAW_APT!E11</f>
        <v/>
      </c>
      <c r="F10" s="13" t="str">
        <f>RAW_APT!F11</f>
        <v/>
      </c>
      <c r="G10" s="13" t="str">
        <f>RAW_APT!G11</f>
        <v>Result</v>
      </c>
      <c r="H10" s="13" t="str">
        <f>RAW_APT!H11</f>
        <v>Negative</v>
      </c>
      <c r="I10" s="294">
        <f>RAW_APT!I11</f>
        <v>44697</v>
      </c>
      <c r="J10" s="301">
        <f>RAW_APT!J11</f>
        <v>0.361099537</v>
      </c>
      <c r="K10" s="13">
        <f>RAW_APT!K11</f>
        <v>4</v>
      </c>
      <c r="L10" s="13" t="b">
        <f>RAW_APT!L11</f>
        <v>1</v>
      </c>
      <c r="M10" s="13" t="str">
        <f>RAW_APT!M11</f>
        <v>220516-1</v>
      </c>
      <c r="N10" s="13" t="str">
        <f>RAW_APT!N11</f>
        <v>primary</v>
      </c>
      <c r="O10" s="13" t="str">
        <f>RAW_APT!O11</f>
        <v/>
      </c>
      <c r="P10" s="93" t="b">
        <f t="shared" si="1"/>
        <v>0</v>
      </c>
      <c r="Q10" s="93" t="b">
        <f>IF(COUNTIF(RAW_APS!$A$2:$A116,A10)=0,TRUE,FALSE)</f>
        <v>0</v>
      </c>
      <c r="R10" s="93" t="b">
        <f t="shared" si="2"/>
        <v>0</v>
      </c>
      <c r="S10" s="7"/>
      <c r="U10" s="94" t="str">
        <f t="shared" si="3"/>
        <v/>
      </c>
      <c r="Z10" s="129"/>
      <c r="AA10" s="94" t="str">
        <f t="shared" si="4"/>
        <v>AG1637</v>
      </c>
      <c r="AB10" s="94" t="str">
        <f t="shared" si="5"/>
        <v/>
      </c>
      <c r="AC10" s="94" t="str">
        <f t="shared" si="6"/>
        <v/>
      </c>
      <c r="AD10" s="94" t="str">
        <f t="shared" si="7"/>
        <v/>
      </c>
      <c r="AE10" s="8"/>
    </row>
    <row r="11">
      <c r="A11" s="13" t="str">
        <f>RAW_APT!A12</f>
        <v>AG1640</v>
      </c>
      <c r="B11" s="294">
        <f>RAW_APT!B12</f>
        <v>44704</v>
      </c>
      <c r="C11" s="301">
        <f>RAW_APT!C12</f>
        <v>0.1905439815</v>
      </c>
      <c r="D11" s="13" t="str">
        <f>RAW_APT!D12</f>
        <v/>
      </c>
      <c r="E11" s="13" t="str">
        <f>RAW_APT!E12</f>
        <v/>
      </c>
      <c r="F11" s="13" t="str">
        <f>RAW_APT!F12</f>
        <v/>
      </c>
      <c r="G11" s="13" t="str">
        <f>RAW_APT!G12</f>
        <v>Result</v>
      </c>
      <c r="H11" s="13" t="str">
        <f>RAW_APT!H12</f>
        <v>Negative</v>
      </c>
      <c r="I11" s="294">
        <f>RAW_APT!I12</f>
        <v>44704</v>
      </c>
      <c r="J11" s="301">
        <f>RAW_APT!J12</f>
        <v>0.3949074074</v>
      </c>
      <c r="K11" s="13">
        <f>RAW_APT!K12</f>
        <v>2</v>
      </c>
      <c r="L11" s="13" t="b">
        <f>RAW_APT!L12</f>
        <v>1</v>
      </c>
      <c r="M11" s="13" t="str">
        <f>RAW_APT!M12</f>
        <v>220523-1</v>
      </c>
      <c r="N11" s="13" t="str">
        <f>RAW_APT!N12</f>
        <v>primary</v>
      </c>
      <c r="O11" s="13" t="str">
        <f>RAW_APT!O12</f>
        <v/>
      </c>
      <c r="P11" s="93" t="b">
        <f t="shared" si="1"/>
        <v>0</v>
      </c>
      <c r="Q11" s="93" t="b">
        <f>IF(COUNTIF(RAW_APS!$A$2:$A116,A11)=0,TRUE,FALSE)</f>
        <v>0</v>
      </c>
      <c r="R11" s="93" t="b">
        <f t="shared" si="2"/>
        <v>0</v>
      </c>
      <c r="S11" s="7"/>
      <c r="U11" s="94" t="str">
        <f t="shared" si="3"/>
        <v/>
      </c>
      <c r="Z11" s="129"/>
      <c r="AA11" s="94" t="str">
        <f t="shared" si="4"/>
        <v>AG1640</v>
      </c>
      <c r="AB11" s="94" t="str">
        <f t="shared" si="5"/>
        <v/>
      </c>
      <c r="AC11" s="94" t="str">
        <f t="shared" si="6"/>
        <v/>
      </c>
      <c r="AD11" s="94" t="str">
        <f t="shared" si="7"/>
        <v/>
      </c>
      <c r="AE11" s="8"/>
    </row>
    <row r="12">
      <c r="A12" s="13" t="str">
        <f>RAW_APT!A13</f>
        <v>AG1713</v>
      </c>
      <c r="B12" s="294">
        <f>RAW_APT!B13</f>
        <v>44683</v>
      </c>
      <c r="C12" s="301">
        <f>RAW_APT!C13</f>
        <v>0.2125694444</v>
      </c>
      <c r="D12" s="13" t="str">
        <f>RAW_APT!D13</f>
        <v/>
      </c>
      <c r="E12" s="13" t="str">
        <f>RAW_APT!E13</f>
        <v/>
      </c>
      <c r="F12" s="13" t="str">
        <f>RAW_APT!F13</f>
        <v/>
      </c>
      <c r="G12" s="13" t="str">
        <f>RAW_APT!G13</f>
        <v>Result</v>
      </c>
      <c r="H12" s="13" t="str">
        <f>RAW_APT!H13</f>
        <v>Negative</v>
      </c>
      <c r="I12" s="294">
        <f>RAW_APT!I13</f>
        <v>44683</v>
      </c>
      <c r="J12" s="301">
        <f>RAW_APT!J13</f>
        <v>0.3578240741</v>
      </c>
      <c r="K12" s="13">
        <f>RAW_APT!K13</f>
        <v>2</v>
      </c>
      <c r="L12" s="13" t="b">
        <f>RAW_APT!L13</f>
        <v>1</v>
      </c>
      <c r="M12" s="13" t="str">
        <f>RAW_APT!M13</f>
        <v>220502-1</v>
      </c>
      <c r="N12" s="13" t="str">
        <f>RAW_APT!N13</f>
        <v>primary</v>
      </c>
      <c r="O12" s="13" t="str">
        <f>RAW_APT!O13</f>
        <v/>
      </c>
      <c r="P12" s="93" t="b">
        <f t="shared" si="1"/>
        <v>0</v>
      </c>
      <c r="Q12" s="93" t="b">
        <f>IF(COUNTIF(RAW_APS!$A$2:$A116,A12)=0,TRUE,FALSE)</f>
        <v>0</v>
      </c>
      <c r="R12" s="93" t="b">
        <f t="shared" si="2"/>
        <v>0</v>
      </c>
      <c r="S12" s="7"/>
      <c r="U12" s="94" t="str">
        <f t="shared" si="3"/>
        <v/>
      </c>
      <c r="Z12" s="129"/>
      <c r="AA12" s="94" t="str">
        <f t="shared" si="4"/>
        <v>AG1713</v>
      </c>
      <c r="AB12" s="94" t="str">
        <f t="shared" si="5"/>
        <v/>
      </c>
      <c r="AC12" s="94" t="str">
        <f t="shared" si="6"/>
        <v/>
      </c>
      <c r="AD12" s="94" t="str">
        <f t="shared" si="7"/>
        <v/>
      </c>
      <c r="AE12" s="8"/>
    </row>
    <row r="13">
      <c r="A13" s="13" t="str">
        <f>RAW_APT!A14</f>
        <v>AG1726</v>
      </c>
      <c r="B13" s="294">
        <f>RAW_APT!B14</f>
        <v>44676</v>
      </c>
      <c r="C13" s="301">
        <f>RAW_APT!C14</f>
        <v>0.3518865741</v>
      </c>
      <c r="D13" s="13" t="str">
        <f>RAW_APT!D14</f>
        <v/>
      </c>
      <c r="E13" s="13" t="str">
        <f>RAW_APT!E14</f>
        <v/>
      </c>
      <c r="F13" s="13" t="str">
        <f>RAW_APT!F14</f>
        <v/>
      </c>
      <c r="G13" s="13" t="str">
        <f>RAW_APT!G14</f>
        <v>Result</v>
      </c>
      <c r="H13" s="13" t="str">
        <f>RAW_APT!H14</f>
        <v>Negative</v>
      </c>
      <c r="I13" s="294">
        <f>RAW_APT!I14</f>
        <v>44683</v>
      </c>
      <c r="J13" s="301">
        <f>RAW_APT!J14</f>
        <v>0.3578125</v>
      </c>
      <c r="K13" s="13">
        <f>RAW_APT!K14</f>
        <v>1</v>
      </c>
      <c r="L13" s="13" t="b">
        <f>RAW_APT!L14</f>
        <v>1</v>
      </c>
      <c r="M13" s="13" t="str">
        <f>RAW_APT!M14</f>
        <v>220502-1</v>
      </c>
      <c r="N13" s="13" t="str">
        <f>RAW_APT!N14</f>
        <v>primary</v>
      </c>
      <c r="O13" s="13" t="str">
        <f>RAW_APT!O14</f>
        <v/>
      </c>
      <c r="P13" s="93" t="b">
        <f t="shared" si="1"/>
        <v>0</v>
      </c>
      <c r="Q13" s="93" t="b">
        <f>IF(COUNTIF(RAW_APS!$A$2:$A116,A13)=0,TRUE,FALSE)</f>
        <v>0</v>
      </c>
      <c r="R13" s="93" t="b">
        <f t="shared" si="2"/>
        <v>0</v>
      </c>
      <c r="S13" s="7"/>
      <c r="U13" s="94" t="str">
        <f t="shared" si="3"/>
        <v/>
      </c>
      <c r="Z13" s="129"/>
      <c r="AA13" s="94" t="str">
        <f t="shared" si="4"/>
        <v>AG1726</v>
      </c>
      <c r="AB13" s="94" t="str">
        <f t="shared" si="5"/>
        <v/>
      </c>
      <c r="AC13" s="94" t="str">
        <f t="shared" si="6"/>
        <v/>
      </c>
      <c r="AD13" s="94" t="str">
        <f t="shared" si="7"/>
        <v/>
      </c>
      <c r="AE13" s="8"/>
    </row>
    <row r="14">
      <c r="A14" s="13" t="str">
        <f>RAW_APT!A15</f>
        <v>AG1821</v>
      </c>
      <c r="B14" s="294">
        <f>RAW_APT!B15</f>
        <v>44713</v>
      </c>
      <c r="C14" s="301">
        <f>RAW_APT!C15</f>
        <v>0.2007638889</v>
      </c>
      <c r="D14" s="13" t="str">
        <f>RAW_APT!D15</f>
        <v/>
      </c>
      <c r="E14" s="13" t="str">
        <f>RAW_APT!E15</f>
        <v/>
      </c>
      <c r="F14" s="13" t="str">
        <f>RAW_APT!F15</f>
        <v/>
      </c>
      <c r="G14" s="13" t="str">
        <f>RAW_APT!G15</f>
        <v>Result</v>
      </c>
      <c r="H14" s="13" t="str">
        <f>RAW_APT!H15</f>
        <v>Negative</v>
      </c>
      <c r="I14" s="294">
        <f>RAW_APT!I15</f>
        <v>44713</v>
      </c>
      <c r="J14" s="301">
        <f>RAW_APT!J15</f>
        <v>0.3414930556</v>
      </c>
      <c r="K14" s="13">
        <f>RAW_APT!K15</f>
        <v>1</v>
      </c>
      <c r="L14" s="13" t="b">
        <f>RAW_APT!L15</f>
        <v>1</v>
      </c>
      <c r="M14" s="13" t="str">
        <f>RAW_APT!M15</f>
        <v>220601-1</v>
      </c>
      <c r="N14" s="13" t="str">
        <f>RAW_APT!N15</f>
        <v>primary</v>
      </c>
      <c r="O14" s="13" t="str">
        <f>RAW_APT!O15</f>
        <v/>
      </c>
      <c r="P14" s="93" t="b">
        <f t="shared" si="1"/>
        <v>0</v>
      </c>
      <c r="Q14" s="93" t="b">
        <f>IF(COUNTIF(RAW_APS!$A$2:$A116,A14)=0,TRUE,FALSE)</f>
        <v>0</v>
      </c>
      <c r="R14" s="93" t="b">
        <f t="shared" si="2"/>
        <v>0</v>
      </c>
      <c r="S14" s="7"/>
      <c r="U14" s="94" t="str">
        <f t="shared" si="3"/>
        <v/>
      </c>
      <c r="Z14" s="129"/>
      <c r="AA14" s="94" t="str">
        <f t="shared" si="4"/>
        <v>AG1821</v>
      </c>
      <c r="AB14" s="94" t="str">
        <f t="shared" si="5"/>
        <v/>
      </c>
      <c r="AC14" s="94" t="str">
        <f t="shared" si="6"/>
        <v/>
      </c>
      <c r="AD14" s="94" t="str">
        <f t="shared" si="7"/>
        <v/>
      </c>
      <c r="AE14" s="8"/>
    </row>
    <row r="15">
      <c r="A15" s="13" t="str">
        <f>RAW_APT!A16</f>
        <v>AG1828</v>
      </c>
      <c r="B15" s="294">
        <f>RAW_APT!B16</f>
        <v>44704</v>
      </c>
      <c r="C15" s="301">
        <f>RAW_APT!C16</f>
        <v>0.2244675926</v>
      </c>
      <c r="D15" s="13" t="str">
        <f>RAW_APT!D16</f>
        <v/>
      </c>
      <c r="E15" s="13" t="str">
        <f>RAW_APT!E16</f>
        <v/>
      </c>
      <c r="F15" s="13" t="str">
        <f>RAW_APT!F16</f>
        <v/>
      </c>
      <c r="G15" s="13" t="str">
        <f>RAW_APT!G16</f>
        <v>Result</v>
      </c>
      <c r="H15" s="13" t="str">
        <f>RAW_APT!H16</f>
        <v>Negative</v>
      </c>
      <c r="I15" s="294">
        <f>RAW_APT!I16</f>
        <v>44704</v>
      </c>
      <c r="J15" s="301">
        <f>RAW_APT!J16</f>
        <v>0.3949189815</v>
      </c>
      <c r="K15" s="13">
        <f>RAW_APT!K16</f>
        <v>2</v>
      </c>
      <c r="L15" s="13" t="b">
        <f>RAW_APT!L16</f>
        <v>1</v>
      </c>
      <c r="M15" s="13" t="str">
        <f>RAW_APT!M16</f>
        <v>220523-1</v>
      </c>
      <c r="N15" s="13" t="str">
        <f>RAW_APT!N16</f>
        <v>primary</v>
      </c>
      <c r="O15" s="13" t="str">
        <f>RAW_APT!O16</f>
        <v/>
      </c>
      <c r="P15" s="93" t="b">
        <f t="shared" si="1"/>
        <v>0</v>
      </c>
      <c r="Q15" s="93" t="b">
        <f>IF(COUNTIF(RAW_APS!$A$2:$A116,A15)=0,TRUE,FALSE)</f>
        <v>0</v>
      </c>
      <c r="R15" s="93" t="b">
        <f t="shared" si="2"/>
        <v>0</v>
      </c>
      <c r="S15" s="7"/>
      <c r="U15" s="94" t="str">
        <f t="shared" si="3"/>
        <v/>
      </c>
      <c r="Z15" s="129"/>
      <c r="AA15" s="94" t="str">
        <f t="shared" si="4"/>
        <v>AG1828</v>
      </c>
      <c r="AB15" s="94" t="str">
        <f t="shared" si="5"/>
        <v/>
      </c>
      <c r="AC15" s="94" t="str">
        <f t="shared" si="6"/>
        <v/>
      </c>
      <c r="AD15" s="94" t="str">
        <f t="shared" si="7"/>
        <v/>
      </c>
      <c r="AE15" s="8"/>
    </row>
    <row r="16">
      <c r="A16" s="13" t="str">
        <f>RAW_APT!A17</f>
        <v>AG1844</v>
      </c>
      <c r="B16" s="294">
        <f>RAW_APT!B17</f>
        <v>44725</v>
      </c>
      <c r="C16" s="301">
        <f>RAW_APT!C17</f>
        <v>0.2252314815</v>
      </c>
      <c r="D16" s="13" t="str">
        <f>RAW_APT!D17</f>
        <v/>
      </c>
      <c r="E16" s="13" t="str">
        <f>RAW_APT!E17</f>
        <v/>
      </c>
      <c r="F16" s="13" t="str">
        <f>RAW_APT!F17</f>
        <v/>
      </c>
      <c r="G16" s="13" t="str">
        <f>RAW_APT!G17</f>
        <v>Result</v>
      </c>
      <c r="H16" s="13" t="str">
        <f>RAW_APT!H17</f>
        <v>Negative</v>
      </c>
      <c r="I16" s="294">
        <f>RAW_APT!I17</f>
        <v>44725</v>
      </c>
      <c r="J16" s="301">
        <f>RAW_APT!J17</f>
        <v>0.4122453704</v>
      </c>
      <c r="K16" s="13">
        <f>RAW_APT!K17</f>
        <v>3</v>
      </c>
      <c r="L16" s="13" t="b">
        <f>RAW_APT!L17</f>
        <v>1</v>
      </c>
      <c r="M16" s="13" t="str">
        <f>RAW_APT!M17</f>
        <v>220613-1</v>
      </c>
      <c r="N16" s="13" t="str">
        <f>RAW_APT!N17</f>
        <v>primary</v>
      </c>
      <c r="O16" s="13" t="str">
        <f>RAW_APT!O17</f>
        <v/>
      </c>
      <c r="P16" s="93" t="b">
        <f t="shared" si="1"/>
        <v>0</v>
      </c>
      <c r="Q16" s="93" t="b">
        <f>IF(COUNTIF(RAW_APS!$A$2:$A116,A16)=0,TRUE,FALSE)</f>
        <v>0</v>
      </c>
      <c r="R16" s="93" t="b">
        <f t="shared" si="2"/>
        <v>0</v>
      </c>
      <c r="S16" s="7"/>
      <c r="U16" s="94" t="str">
        <f t="shared" si="3"/>
        <v/>
      </c>
      <c r="Z16" s="129"/>
      <c r="AA16" s="94" t="str">
        <f t="shared" si="4"/>
        <v>AG1844</v>
      </c>
      <c r="AB16" s="94" t="str">
        <f t="shared" si="5"/>
        <v/>
      </c>
      <c r="AC16" s="94" t="str">
        <f t="shared" si="6"/>
        <v/>
      </c>
      <c r="AD16" s="94" t="str">
        <f t="shared" si="7"/>
        <v/>
      </c>
      <c r="AE16" s="8"/>
    </row>
    <row r="17">
      <c r="A17" s="13" t="str">
        <f>RAW_APT!A18</f>
        <v>AG1858</v>
      </c>
      <c r="B17" s="294">
        <f>RAW_APT!B18</f>
        <v>44816</v>
      </c>
      <c r="C17" s="301">
        <f>RAW_APT!C18</f>
        <v>0.1690162037</v>
      </c>
      <c r="D17" s="13" t="str">
        <f>RAW_APT!D18</f>
        <v/>
      </c>
      <c r="E17" s="13" t="str">
        <f>RAW_APT!E18</f>
        <v/>
      </c>
      <c r="F17" s="13" t="str">
        <f>RAW_APT!F18</f>
        <v/>
      </c>
      <c r="G17" s="13" t="str">
        <f>RAW_APT!G18</f>
        <v>Result</v>
      </c>
      <c r="H17" s="13" t="str">
        <f>RAW_APT!H18</f>
        <v>Negative</v>
      </c>
      <c r="I17" s="294">
        <f>RAW_APT!I18</f>
        <v>44816</v>
      </c>
      <c r="J17" s="301">
        <f>RAW_APT!J18</f>
        <v>0.3939814815</v>
      </c>
      <c r="K17" s="13">
        <f>RAW_APT!K18</f>
        <v>4</v>
      </c>
      <c r="L17" s="13" t="b">
        <f>RAW_APT!L18</f>
        <v>1</v>
      </c>
      <c r="M17" s="13" t="str">
        <f>RAW_APT!M18</f>
        <v>220912-1</v>
      </c>
      <c r="N17" s="13" t="str">
        <f>RAW_APT!N18</f>
        <v>primary</v>
      </c>
      <c r="O17" s="13" t="str">
        <f>RAW_APT!O18</f>
        <v/>
      </c>
      <c r="P17" s="93" t="b">
        <f t="shared" si="1"/>
        <v>0</v>
      </c>
      <c r="Q17" s="93" t="b">
        <f>IF(COUNTIF(RAW_APS!$A$2:$A116,A17)=0,TRUE,FALSE)</f>
        <v>0</v>
      </c>
      <c r="R17" s="93" t="b">
        <f t="shared" si="2"/>
        <v>0</v>
      </c>
      <c r="S17" s="7"/>
      <c r="U17" s="94" t="str">
        <f t="shared" si="3"/>
        <v/>
      </c>
      <c r="Z17" s="129"/>
      <c r="AA17" s="94" t="str">
        <f t="shared" si="4"/>
        <v>AG1858</v>
      </c>
      <c r="AB17" s="94" t="str">
        <f t="shared" si="5"/>
        <v/>
      </c>
      <c r="AC17" s="94" t="str">
        <f t="shared" si="6"/>
        <v/>
      </c>
      <c r="AD17" s="94" t="str">
        <f t="shared" si="7"/>
        <v/>
      </c>
      <c r="AE17" s="8"/>
    </row>
    <row r="18">
      <c r="A18" s="13" t="str">
        <f>RAW_APT!A19</f>
        <v>AG1866</v>
      </c>
      <c r="B18" s="294">
        <f>RAW_APT!B19</f>
        <v>44683</v>
      </c>
      <c r="C18" s="301">
        <f>RAW_APT!C19</f>
        <v>0.3842013889</v>
      </c>
      <c r="D18" s="13" t="str">
        <f>RAW_APT!D19</f>
        <v/>
      </c>
      <c r="E18" s="13" t="str">
        <f>RAW_APT!E19</f>
        <v/>
      </c>
      <c r="F18" s="13" t="str">
        <f>RAW_APT!F19</f>
        <v/>
      </c>
      <c r="G18" s="13" t="str">
        <f>RAW_APT!G19</f>
        <v>Result</v>
      </c>
      <c r="H18" s="13" t="str">
        <f>RAW_APT!H19</f>
        <v>Negative</v>
      </c>
      <c r="I18" s="294">
        <f>RAW_APT!I19</f>
        <v>44683</v>
      </c>
      <c r="J18" s="301">
        <f>RAW_APT!J19</f>
        <v>0.6373958333</v>
      </c>
      <c r="K18" s="13">
        <f>RAW_APT!K19</f>
        <v>1</v>
      </c>
      <c r="L18" s="13" t="b">
        <f>RAW_APT!L19</f>
        <v>1</v>
      </c>
      <c r="M18" s="13" t="str">
        <f>RAW_APT!M19</f>
        <v/>
      </c>
      <c r="N18" s="13" t="str">
        <f>RAW_APT!N19</f>
        <v>primary</v>
      </c>
      <c r="O18" s="13" t="str">
        <f>RAW_APT!O19</f>
        <v/>
      </c>
      <c r="P18" s="93" t="b">
        <f t="shared" si="1"/>
        <v>0</v>
      </c>
      <c r="Q18" s="93" t="b">
        <f>IF(COUNTIF(RAW_APS!$A$2:$A116,A18)=0,TRUE,FALSE)</f>
        <v>0</v>
      </c>
      <c r="R18" s="93" t="b">
        <f t="shared" si="2"/>
        <v>0</v>
      </c>
      <c r="S18" s="7"/>
      <c r="U18" s="94" t="str">
        <f t="shared" si="3"/>
        <v/>
      </c>
      <c r="Z18" s="129"/>
      <c r="AA18" s="94" t="str">
        <f t="shared" si="4"/>
        <v>AG1866</v>
      </c>
      <c r="AB18" s="94" t="str">
        <f t="shared" si="5"/>
        <v/>
      </c>
      <c r="AC18" s="94" t="str">
        <f t="shared" si="6"/>
        <v/>
      </c>
      <c r="AD18" s="94" t="str">
        <f t="shared" si="7"/>
        <v/>
      </c>
      <c r="AE18" s="8"/>
    </row>
    <row r="19">
      <c r="A19" s="13" t="str">
        <f>RAW_APT!A20</f>
        <v>AG213</v>
      </c>
      <c r="B19" s="294">
        <f>RAW_APT!B20</f>
        <v>44683</v>
      </c>
      <c r="C19" s="301">
        <f>RAW_APT!C20</f>
        <v>0.2382638889</v>
      </c>
      <c r="D19" s="13" t="str">
        <f>RAW_APT!D20</f>
        <v/>
      </c>
      <c r="E19" s="13" t="str">
        <f>RAW_APT!E20</f>
        <v/>
      </c>
      <c r="F19" s="13" t="str">
        <f>RAW_APT!F20</f>
        <v/>
      </c>
      <c r="G19" s="13" t="str">
        <f>RAW_APT!G20</f>
        <v>Result</v>
      </c>
      <c r="H19" s="13" t="str">
        <f>RAW_APT!H20</f>
        <v>Negative</v>
      </c>
      <c r="I19" s="294">
        <f>RAW_APT!I20</f>
        <v>44683</v>
      </c>
      <c r="J19" s="301">
        <f>RAW_APT!J20</f>
        <v>0.3578240741</v>
      </c>
      <c r="K19" s="13">
        <f>RAW_APT!K20</f>
        <v>2</v>
      </c>
      <c r="L19" s="13" t="b">
        <f>RAW_APT!L20</f>
        <v>1</v>
      </c>
      <c r="M19" s="13" t="str">
        <f>RAW_APT!M20</f>
        <v>220502-1</v>
      </c>
      <c r="N19" s="13" t="str">
        <f>RAW_APT!N20</f>
        <v>primary</v>
      </c>
      <c r="O19" s="13" t="str">
        <f>RAW_APT!O20</f>
        <v/>
      </c>
      <c r="P19" s="93" t="b">
        <f t="shared" si="1"/>
        <v>0</v>
      </c>
      <c r="Q19" s="93" t="b">
        <f>IF(COUNTIF(RAW_APS!$A$2:$A116,A19)=0,TRUE,FALSE)</f>
        <v>0</v>
      </c>
      <c r="R19" s="93" t="b">
        <f t="shared" si="2"/>
        <v>0</v>
      </c>
      <c r="S19" s="7"/>
      <c r="U19" s="94" t="str">
        <f t="shared" si="3"/>
        <v/>
      </c>
      <c r="Z19" s="129"/>
      <c r="AA19" s="94" t="str">
        <f t="shared" si="4"/>
        <v>AG213</v>
      </c>
      <c r="AB19" s="94" t="str">
        <f t="shared" si="5"/>
        <v/>
      </c>
      <c r="AC19" s="94" t="str">
        <f t="shared" si="6"/>
        <v/>
      </c>
      <c r="AD19" s="94" t="str">
        <f t="shared" si="7"/>
        <v/>
      </c>
      <c r="AE19" s="8"/>
    </row>
    <row r="20">
      <c r="A20" s="13" t="str">
        <f>RAW_APT!A21</f>
        <v>AG2159</v>
      </c>
      <c r="B20" s="294">
        <f>RAW_APT!B21</f>
        <v>44697</v>
      </c>
      <c r="C20" s="301">
        <f>RAW_APT!C21</f>
        <v>0.3221527778</v>
      </c>
      <c r="D20" s="13" t="str">
        <f>RAW_APT!D21</f>
        <v/>
      </c>
      <c r="E20" s="13" t="str">
        <f>RAW_APT!E21</f>
        <v/>
      </c>
      <c r="F20" s="13" t="str">
        <f>RAW_APT!F21</f>
        <v/>
      </c>
      <c r="G20" s="13" t="str">
        <f>RAW_APT!G21</f>
        <v>Result</v>
      </c>
      <c r="H20" s="13" t="str">
        <f>RAW_APT!H21</f>
        <v>Negative</v>
      </c>
      <c r="I20" s="294">
        <f>RAW_APT!I21</f>
        <v>44697</v>
      </c>
      <c r="J20" s="301">
        <f>RAW_APT!J21</f>
        <v>0.3611226852</v>
      </c>
      <c r="K20" s="13">
        <f>RAW_APT!K21</f>
        <v>3</v>
      </c>
      <c r="L20" s="13" t="b">
        <f>RAW_APT!L21</f>
        <v>1</v>
      </c>
      <c r="M20" s="13" t="str">
        <f>RAW_APT!M21</f>
        <v>220516-1</v>
      </c>
      <c r="N20" s="13" t="str">
        <f>RAW_APT!N21</f>
        <v>primary</v>
      </c>
      <c r="O20" s="13" t="str">
        <f>RAW_APT!O21</f>
        <v/>
      </c>
      <c r="P20" s="93" t="b">
        <f t="shared" si="1"/>
        <v>0</v>
      </c>
      <c r="Q20" s="93" t="b">
        <f>IF(COUNTIF(RAW_APS!$A$2:$A116,A20)=0,TRUE,FALSE)</f>
        <v>0</v>
      </c>
      <c r="R20" s="93" t="b">
        <f t="shared" si="2"/>
        <v>0</v>
      </c>
      <c r="S20" s="7"/>
      <c r="U20" s="94" t="str">
        <f t="shared" si="3"/>
        <v/>
      </c>
      <c r="Z20" s="129"/>
      <c r="AA20" s="94" t="str">
        <f t="shared" si="4"/>
        <v>AG2159</v>
      </c>
      <c r="AB20" s="94" t="str">
        <f t="shared" si="5"/>
        <v/>
      </c>
      <c r="AC20" s="94" t="str">
        <f t="shared" si="6"/>
        <v/>
      </c>
      <c r="AD20" s="94" t="str">
        <f t="shared" si="7"/>
        <v/>
      </c>
      <c r="AE20" s="8"/>
    </row>
    <row r="21">
      <c r="A21" s="13" t="str">
        <f>RAW_APT!A22</f>
        <v>AG2164</v>
      </c>
      <c r="B21" s="294">
        <f>RAW_APT!B22</f>
        <v>44683</v>
      </c>
      <c r="C21" s="301">
        <f>RAW_APT!C22</f>
        <v>0.2581712963</v>
      </c>
      <c r="D21" s="13" t="str">
        <f>RAW_APT!D22</f>
        <v/>
      </c>
      <c r="E21" s="13" t="str">
        <f>RAW_APT!E22</f>
        <v/>
      </c>
      <c r="F21" s="13" t="str">
        <f>RAW_APT!F22</f>
        <v/>
      </c>
      <c r="G21" s="13" t="str">
        <f>RAW_APT!G22</f>
        <v>Result</v>
      </c>
      <c r="H21" s="13" t="str">
        <f>RAW_APT!H22</f>
        <v>Negative</v>
      </c>
      <c r="I21" s="294">
        <f>RAW_APT!I22</f>
        <v>44683</v>
      </c>
      <c r="J21" s="301">
        <f>RAW_APT!J22</f>
        <v>0.3578240741</v>
      </c>
      <c r="K21" s="13">
        <f>RAW_APT!K22</f>
        <v>1</v>
      </c>
      <c r="L21" s="13" t="b">
        <f>RAW_APT!L22</f>
        <v>1</v>
      </c>
      <c r="M21" s="13" t="str">
        <f>RAW_APT!M22</f>
        <v>220502-1</v>
      </c>
      <c r="N21" s="13" t="str">
        <f>RAW_APT!N22</f>
        <v>primary</v>
      </c>
      <c r="O21" s="13" t="str">
        <f>RAW_APT!O22</f>
        <v/>
      </c>
      <c r="P21" s="93" t="b">
        <f t="shared" si="1"/>
        <v>0</v>
      </c>
      <c r="Q21" s="93" t="b">
        <f>IF(COUNTIF(RAW_APS!$A$2:$A116,A21)=0,TRUE,FALSE)</f>
        <v>0</v>
      </c>
      <c r="R21" s="93" t="b">
        <f t="shared" si="2"/>
        <v>0</v>
      </c>
      <c r="S21" s="7"/>
      <c r="U21" s="94" t="str">
        <f t="shared" si="3"/>
        <v/>
      </c>
      <c r="Z21" s="129"/>
      <c r="AA21" s="94" t="str">
        <f t="shared" si="4"/>
        <v>AG2164</v>
      </c>
      <c r="AB21" s="94" t="str">
        <f t="shared" si="5"/>
        <v/>
      </c>
      <c r="AC21" s="94" t="str">
        <f t="shared" si="6"/>
        <v/>
      </c>
      <c r="AD21" s="94" t="str">
        <f t="shared" si="7"/>
        <v/>
      </c>
      <c r="AE21" s="8"/>
    </row>
    <row r="22">
      <c r="A22" s="13" t="str">
        <f>RAW_APT!A23</f>
        <v>AG2202</v>
      </c>
      <c r="B22" s="294">
        <f>RAW_APT!B23</f>
        <v>44718</v>
      </c>
      <c r="C22" s="301">
        <f>RAW_APT!C23</f>
        <v>0.2998032407</v>
      </c>
      <c r="D22" s="13" t="str">
        <f>RAW_APT!D23</f>
        <v/>
      </c>
      <c r="E22" s="13" t="str">
        <f>RAW_APT!E23</f>
        <v/>
      </c>
      <c r="F22" s="13" t="str">
        <f>RAW_APT!F23</f>
        <v/>
      </c>
      <c r="G22" s="13" t="str">
        <f>RAW_APT!G23</f>
        <v>Result</v>
      </c>
      <c r="H22" s="13" t="str">
        <f>RAW_APT!H23</f>
        <v>Negative</v>
      </c>
      <c r="I22" s="294">
        <f>RAW_APT!I23</f>
        <v>44718</v>
      </c>
      <c r="J22" s="301">
        <f>RAW_APT!J23</f>
        <v>0.3649884259</v>
      </c>
      <c r="K22" s="13">
        <f>RAW_APT!K23</f>
        <v>2</v>
      </c>
      <c r="L22" s="13" t="b">
        <f>RAW_APT!L23</f>
        <v>1</v>
      </c>
      <c r="M22" s="13" t="str">
        <f>RAW_APT!M23</f>
        <v>220606-1</v>
      </c>
      <c r="N22" s="13" t="str">
        <f>RAW_APT!N23</f>
        <v>primary</v>
      </c>
      <c r="O22" s="13" t="str">
        <f>RAW_APT!O23</f>
        <v/>
      </c>
      <c r="P22" s="93" t="b">
        <f t="shared" si="1"/>
        <v>0</v>
      </c>
      <c r="Q22" s="93" t="b">
        <f>IF(COUNTIF(RAW_APS!$A$2:$A116,A22)=0,TRUE,FALSE)</f>
        <v>0</v>
      </c>
      <c r="R22" s="93" t="b">
        <f t="shared" si="2"/>
        <v>0</v>
      </c>
      <c r="S22" s="7"/>
      <c r="U22" s="94" t="str">
        <f t="shared" si="3"/>
        <v/>
      </c>
      <c r="Z22" s="129"/>
      <c r="AA22" s="94" t="str">
        <f t="shared" si="4"/>
        <v>AG2202</v>
      </c>
      <c r="AB22" s="94" t="str">
        <f t="shared" si="5"/>
        <v/>
      </c>
      <c r="AC22" s="94" t="str">
        <f t="shared" si="6"/>
        <v/>
      </c>
      <c r="AD22" s="94" t="str">
        <f t="shared" si="7"/>
        <v/>
      </c>
      <c r="AE22" s="8"/>
    </row>
    <row r="23">
      <c r="A23" s="13" t="str">
        <f>RAW_APT!A24</f>
        <v>AG2246</v>
      </c>
      <c r="B23" s="294">
        <f>RAW_APT!B24</f>
        <v>44713</v>
      </c>
      <c r="C23" s="301">
        <f>RAW_APT!C24</f>
        <v>0.208599537</v>
      </c>
      <c r="D23" s="13" t="str">
        <f>RAW_APT!D24</f>
        <v/>
      </c>
      <c r="E23" s="13" t="str">
        <f>RAW_APT!E24</f>
        <v/>
      </c>
      <c r="F23" s="13" t="str">
        <f>RAW_APT!F24</f>
        <v/>
      </c>
      <c r="G23" s="13" t="str">
        <f>RAW_APT!G24</f>
        <v>Result</v>
      </c>
      <c r="H23" s="13" t="str">
        <f>RAW_APT!H24</f>
        <v>Negative</v>
      </c>
      <c r="I23" s="294">
        <f>RAW_APT!I24</f>
        <v>44713</v>
      </c>
      <c r="J23" s="301">
        <f>RAW_APT!J24</f>
        <v>0.3415046296</v>
      </c>
      <c r="K23" s="13">
        <f>RAW_APT!K24</f>
        <v>3</v>
      </c>
      <c r="L23" s="13" t="b">
        <f>RAW_APT!L24</f>
        <v>1</v>
      </c>
      <c r="M23" s="13" t="str">
        <f>RAW_APT!M24</f>
        <v>220601-1</v>
      </c>
      <c r="N23" s="13" t="str">
        <f>RAW_APT!N24</f>
        <v>primary</v>
      </c>
      <c r="O23" s="13" t="str">
        <f>RAW_APT!O24</f>
        <v/>
      </c>
      <c r="P23" s="93" t="b">
        <f t="shared" si="1"/>
        <v>0</v>
      </c>
      <c r="Q23" s="93" t="b">
        <f>IF(COUNTIF(RAW_APS!$A$2:$A116,A23)=0,TRUE,FALSE)</f>
        <v>0</v>
      </c>
      <c r="R23" s="93" t="b">
        <f t="shared" si="2"/>
        <v>0</v>
      </c>
      <c r="S23" s="7"/>
      <c r="U23" s="94" t="str">
        <f t="shared" si="3"/>
        <v/>
      </c>
      <c r="Z23" s="129"/>
      <c r="AA23" s="94" t="str">
        <f t="shared" si="4"/>
        <v>AG2246</v>
      </c>
      <c r="AB23" s="94" t="str">
        <f t="shared" si="5"/>
        <v/>
      </c>
      <c r="AC23" s="94" t="str">
        <f t="shared" si="6"/>
        <v/>
      </c>
      <c r="AD23" s="94" t="str">
        <f t="shared" si="7"/>
        <v/>
      </c>
      <c r="AE23" s="8"/>
    </row>
    <row r="24">
      <c r="A24" s="13" t="str">
        <f>RAW_APT!A25</f>
        <v>AG252</v>
      </c>
      <c r="B24" s="294">
        <f>RAW_APT!B25</f>
        <v>44683</v>
      </c>
      <c r="C24" s="301">
        <f>RAW_APT!C25</f>
        <v>0.2399074074</v>
      </c>
      <c r="D24" s="13" t="str">
        <f>RAW_APT!D25</f>
        <v/>
      </c>
      <c r="E24" s="13" t="str">
        <f>RAW_APT!E25</f>
        <v/>
      </c>
      <c r="F24" s="13" t="str">
        <f>RAW_APT!F25</f>
        <v/>
      </c>
      <c r="G24" s="13" t="str">
        <f>RAW_APT!G25</f>
        <v>Result</v>
      </c>
      <c r="H24" s="13" t="str">
        <f>RAW_APT!H25</f>
        <v>Negative</v>
      </c>
      <c r="I24" s="294">
        <f>RAW_APT!I25</f>
        <v>44683</v>
      </c>
      <c r="J24" s="301">
        <f>RAW_APT!J25</f>
        <v>0.3578240741</v>
      </c>
      <c r="K24" s="13">
        <f>RAW_APT!K25</f>
        <v>2</v>
      </c>
      <c r="L24" s="13" t="b">
        <f>RAW_APT!L25</f>
        <v>1</v>
      </c>
      <c r="M24" s="13" t="str">
        <f>RAW_APT!M25</f>
        <v>220502-1</v>
      </c>
      <c r="N24" s="13" t="str">
        <f>RAW_APT!N25</f>
        <v>primary</v>
      </c>
      <c r="O24" s="13" t="str">
        <f>RAW_APT!O25</f>
        <v/>
      </c>
      <c r="P24" s="93" t="b">
        <f t="shared" si="1"/>
        <v>0</v>
      </c>
      <c r="Q24" s="93" t="b">
        <f>IF(COUNTIF(RAW_APS!$A$2:$A116,A24)=0,TRUE,FALSE)</f>
        <v>0</v>
      </c>
      <c r="R24" s="93" t="b">
        <f t="shared" si="2"/>
        <v>0</v>
      </c>
      <c r="S24" s="7"/>
      <c r="U24" s="94" t="str">
        <f t="shared" si="3"/>
        <v/>
      </c>
      <c r="Z24" s="129"/>
      <c r="AA24" s="94" t="str">
        <f t="shared" si="4"/>
        <v>AG252</v>
      </c>
      <c r="AB24" s="94" t="str">
        <f t="shared" si="5"/>
        <v/>
      </c>
      <c r="AC24" s="94" t="str">
        <f t="shared" si="6"/>
        <v/>
      </c>
      <c r="AD24" s="94" t="str">
        <f t="shared" si="7"/>
        <v/>
      </c>
      <c r="AE24" s="8"/>
    </row>
    <row r="25">
      <c r="A25" s="13" t="str">
        <f>RAW_APT!A26</f>
        <v>AG256</v>
      </c>
      <c r="B25" s="294">
        <f>RAW_APT!B26</f>
        <v>44713</v>
      </c>
      <c r="C25" s="301">
        <f>RAW_APT!C26</f>
        <v>0.2727893519</v>
      </c>
      <c r="D25" s="13" t="str">
        <f>RAW_APT!D26</f>
        <v/>
      </c>
      <c r="E25" s="13" t="str">
        <f>RAW_APT!E26</f>
        <v/>
      </c>
      <c r="F25" s="13" t="str">
        <f>RAW_APT!F26</f>
        <v/>
      </c>
      <c r="G25" s="13" t="str">
        <f>RAW_APT!G26</f>
        <v>Result</v>
      </c>
      <c r="H25" s="13" t="str">
        <f>RAW_APT!H26</f>
        <v>Negative</v>
      </c>
      <c r="I25" s="294">
        <f>RAW_APT!I26</f>
        <v>44713</v>
      </c>
      <c r="J25" s="301">
        <f>RAW_APT!J26</f>
        <v>0.3415046296</v>
      </c>
      <c r="K25" s="13">
        <f>RAW_APT!K26</f>
        <v>1</v>
      </c>
      <c r="L25" s="13" t="b">
        <f>RAW_APT!L26</f>
        <v>1</v>
      </c>
      <c r="M25" s="13" t="str">
        <f>RAW_APT!M26</f>
        <v>220601-1</v>
      </c>
      <c r="N25" s="13" t="str">
        <f>RAW_APT!N26</f>
        <v>primary</v>
      </c>
      <c r="O25" s="13" t="str">
        <f>RAW_APT!O26</f>
        <v/>
      </c>
      <c r="P25" s="93" t="b">
        <f t="shared" si="1"/>
        <v>0</v>
      </c>
      <c r="Q25" s="93" t="b">
        <f>IF(COUNTIF(RAW_APS!$A$2:$A116,A25)=0,TRUE,FALSE)</f>
        <v>0</v>
      </c>
      <c r="R25" s="93" t="b">
        <f t="shared" si="2"/>
        <v>0</v>
      </c>
      <c r="S25" s="7"/>
      <c r="U25" s="94" t="str">
        <f t="shared" si="3"/>
        <v/>
      </c>
      <c r="Z25" s="129"/>
      <c r="AA25" s="94" t="str">
        <f t="shared" si="4"/>
        <v>AG256</v>
      </c>
      <c r="AB25" s="94" t="str">
        <f t="shared" si="5"/>
        <v/>
      </c>
      <c r="AC25" s="94" t="str">
        <f t="shared" si="6"/>
        <v/>
      </c>
      <c r="AD25" s="94" t="str">
        <f t="shared" si="7"/>
        <v/>
      </c>
      <c r="AE25" s="8"/>
    </row>
    <row r="26">
      <c r="A26" s="13" t="str">
        <f>RAW_APT!A27</f>
        <v>AG299</v>
      </c>
      <c r="B26" s="294">
        <f>RAW_APT!B27</f>
        <v>44774</v>
      </c>
      <c r="C26" s="301">
        <f>RAW_APT!C27</f>
        <v>0.214212963</v>
      </c>
      <c r="D26" s="13" t="str">
        <f>RAW_APT!D27</f>
        <v/>
      </c>
      <c r="E26" s="13" t="str">
        <f>RAW_APT!E27</f>
        <v/>
      </c>
      <c r="F26" s="13" t="str">
        <f>RAW_APT!F27</f>
        <v/>
      </c>
      <c r="G26" s="13" t="str">
        <f>RAW_APT!G27</f>
        <v>Result</v>
      </c>
      <c r="H26" s="13" t="str">
        <f>RAW_APT!H27</f>
        <v>Negative</v>
      </c>
      <c r="I26" s="294">
        <f>RAW_APT!I27</f>
        <v>44816</v>
      </c>
      <c r="J26" s="301">
        <f>RAW_APT!J27</f>
        <v>0.3939814815</v>
      </c>
      <c r="K26" s="13">
        <f>RAW_APT!K27</f>
        <v>3</v>
      </c>
      <c r="L26" s="13" t="b">
        <f>RAW_APT!L27</f>
        <v>1</v>
      </c>
      <c r="M26" s="13" t="str">
        <f>RAW_APT!M27</f>
        <v>220912-1</v>
      </c>
      <c r="N26" s="13" t="str">
        <f>RAW_APT!N27</f>
        <v>primary</v>
      </c>
      <c r="O26" s="13" t="str">
        <f>RAW_APT!O27</f>
        <v/>
      </c>
      <c r="P26" s="93" t="b">
        <f t="shared" si="1"/>
        <v>0</v>
      </c>
      <c r="Q26" s="93" t="b">
        <f>IF(COUNTIF(RAW_APS!$A$2:$A116,A26)=0,TRUE,FALSE)</f>
        <v>0</v>
      </c>
      <c r="R26" s="93" t="b">
        <f t="shared" si="2"/>
        <v>0</v>
      </c>
      <c r="S26" s="7"/>
      <c r="U26" s="94" t="str">
        <f t="shared" si="3"/>
        <v/>
      </c>
      <c r="Z26" s="129"/>
      <c r="AA26" s="94" t="str">
        <f t="shared" si="4"/>
        <v>AG299</v>
      </c>
      <c r="AB26" s="94" t="str">
        <f t="shared" si="5"/>
        <v/>
      </c>
      <c r="AC26" s="94" t="str">
        <f t="shared" si="6"/>
        <v/>
      </c>
      <c r="AD26" s="94" t="str">
        <f t="shared" si="7"/>
        <v/>
      </c>
      <c r="AE26" s="8"/>
    </row>
    <row r="27">
      <c r="A27" s="13" t="str">
        <f>RAW_APT!A28</f>
        <v>AG302</v>
      </c>
      <c r="B27" s="294">
        <f>RAW_APT!B28</f>
        <v>44678</v>
      </c>
      <c r="C27" s="301">
        <f>RAW_APT!C28</f>
        <v>0.6184606481</v>
      </c>
      <c r="D27" s="13" t="str">
        <f>RAW_APT!D28</f>
        <v/>
      </c>
      <c r="E27" s="13" t="str">
        <f>RAW_APT!E28</f>
        <v/>
      </c>
      <c r="F27" s="13" t="str">
        <f>RAW_APT!F28</f>
        <v/>
      </c>
      <c r="G27" s="13" t="str">
        <f>RAW_APT!G28</f>
        <v>Result</v>
      </c>
      <c r="H27" s="13" t="str">
        <f>RAW_APT!H28</f>
        <v>Negative</v>
      </c>
      <c r="I27" s="294">
        <f>RAW_APT!I28</f>
        <v>44678</v>
      </c>
      <c r="J27" s="301">
        <f>RAW_APT!J28</f>
        <v>0.6284490741</v>
      </c>
      <c r="K27" s="13">
        <f>RAW_APT!K28</f>
        <v>1</v>
      </c>
      <c r="L27" s="13" t="b">
        <f>RAW_APT!L28</f>
        <v>1</v>
      </c>
      <c r="M27" s="13" t="str">
        <f>RAW_APT!M28</f>
        <v>220427-1 mock</v>
      </c>
      <c r="N27" s="13" t="str">
        <f>RAW_APT!N28</f>
        <v>primary</v>
      </c>
      <c r="O27" s="13" t="str">
        <f>RAW_APT!O28</f>
        <v/>
      </c>
      <c r="P27" s="93" t="b">
        <f t="shared" si="1"/>
        <v>0</v>
      </c>
      <c r="Q27" s="93" t="b">
        <f>IF(COUNTIF(RAW_APS!$A$2:$A116,A27)=0,TRUE,FALSE)</f>
        <v>0</v>
      </c>
      <c r="R27" s="93" t="b">
        <f t="shared" si="2"/>
        <v>0</v>
      </c>
      <c r="S27" s="7"/>
      <c r="U27" s="94" t="str">
        <f t="shared" si="3"/>
        <v/>
      </c>
      <c r="Z27" s="129"/>
      <c r="AA27" s="94" t="str">
        <f t="shared" si="4"/>
        <v>AG302</v>
      </c>
      <c r="AB27" s="94" t="str">
        <f t="shared" si="5"/>
        <v/>
      </c>
      <c r="AC27" s="94" t="str">
        <f t="shared" si="6"/>
        <v/>
      </c>
      <c r="AD27" s="94" t="str">
        <f t="shared" si="7"/>
        <v/>
      </c>
      <c r="AE27" s="8"/>
    </row>
    <row r="28">
      <c r="A28" s="13" t="str">
        <f>RAW_APT!A29</f>
        <v>AG307</v>
      </c>
      <c r="B28" s="294">
        <f>RAW_APT!B29</f>
        <v>44678</v>
      </c>
      <c r="C28" s="301">
        <f>RAW_APT!C29</f>
        <v>0.6163425926</v>
      </c>
      <c r="D28" s="13" t="str">
        <f>RAW_APT!D29</f>
        <v/>
      </c>
      <c r="E28" s="13" t="str">
        <f>RAW_APT!E29</f>
        <v/>
      </c>
      <c r="F28" s="13" t="str">
        <f>RAW_APT!F29</f>
        <v/>
      </c>
      <c r="G28" s="13" t="str">
        <f>RAW_APT!G29</f>
        <v>Result</v>
      </c>
      <c r="H28" s="13" t="str">
        <f>RAW_APT!H29</f>
        <v>Negative</v>
      </c>
      <c r="I28" s="294">
        <f>RAW_APT!I29</f>
        <v>44678</v>
      </c>
      <c r="J28" s="301">
        <f>RAW_APT!J29</f>
        <v>0.6284375</v>
      </c>
      <c r="K28" s="13">
        <f>RAW_APT!K29</f>
        <v>1</v>
      </c>
      <c r="L28" s="13" t="b">
        <f>RAW_APT!L29</f>
        <v>1</v>
      </c>
      <c r="M28" s="13" t="str">
        <f>RAW_APT!M29</f>
        <v>220427-1 mock</v>
      </c>
      <c r="N28" s="13" t="str">
        <f>RAW_APT!N29</f>
        <v>primary</v>
      </c>
      <c r="O28" s="13" t="str">
        <f>RAW_APT!O29</f>
        <v/>
      </c>
      <c r="P28" s="93" t="b">
        <f t="shared" si="1"/>
        <v>0</v>
      </c>
      <c r="Q28" s="93" t="b">
        <f>IF(COUNTIF(RAW_APS!$A$2:$A116,A28)=0,TRUE,FALSE)</f>
        <v>0</v>
      </c>
      <c r="R28" s="93" t="b">
        <f t="shared" si="2"/>
        <v>0</v>
      </c>
      <c r="S28" s="7"/>
      <c r="U28" s="94" t="str">
        <f t="shared" si="3"/>
        <v/>
      </c>
      <c r="Z28" s="129"/>
      <c r="AA28" s="94" t="str">
        <f t="shared" si="4"/>
        <v>AG307</v>
      </c>
      <c r="AB28" s="94" t="str">
        <f t="shared" si="5"/>
        <v/>
      </c>
      <c r="AC28" s="94" t="str">
        <f t="shared" si="6"/>
        <v/>
      </c>
      <c r="AD28" s="94" t="str">
        <f t="shared" si="7"/>
        <v/>
      </c>
      <c r="AE28" s="8"/>
    </row>
    <row r="29">
      <c r="A29" s="13" t="str">
        <f>RAW_APT!A30</f>
        <v>AG4603</v>
      </c>
      <c r="B29" s="294">
        <f>RAW_APT!B30</f>
        <v>44733</v>
      </c>
      <c r="C29" s="301">
        <f>RAW_APT!C30</f>
        <v>0.3403935185</v>
      </c>
      <c r="D29" s="13" t="str">
        <f>RAW_APT!D30</f>
        <v/>
      </c>
      <c r="E29" s="13" t="str">
        <f>RAW_APT!E30</f>
        <v/>
      </c>
      <c r="F29" s="13" t="str">
        <f>RAW_APT!F30</f>
        <v/>
      </c>
      <c r="G29" s="13" t="str">
        <f>RAW_APT!G30</f>
        <v>Result</v>
      </c>
      <c r="H29" s="13" t="str">
        <f>RAW_APT!H30</f>
        <v>Negative</v>
      </c>
      <c r="I29" s="294">
        <f>RAW_APT!I30</f>
        <v>44733</v>
      </c>
      <c r="J29" s="301">
        <f>RAW_APT!J30</f>
        <v>0.4043402778</v>
      </c>
      <c r="K29" s="13">
        <f>RAW_APT!K30</f>
        <v>1</v>
      </c>
      <c r="L29" s="13" t="b">
        <f>RAW_APT!L30</f>
        <v>1</v>
      </c>
      <c r="M29" s="13" t="str">
        <f>RAW_APT!M30</f>
        <v>220621-1</v>
      </c>
      <c r="N29" s="13" t="str">
        <f>RAW_APT!N30</f>
        <v>primary</v>
      </c>
      <c r="O29" s="13" t="str">
        <f>RAW_APT!O30</f>
        <v/>
      </c>
      <c r="P29" s="93" t="b">
        <f t="shared" si="1"/>
        <v>0</v>
      </c>
      <c r="Q29" s="93" t="b">
        <f>IF(COUNTIF(RAW_APS!$A$2:$A116,A29)=0,TRUE,FALSE)</f>
        <v>0</v>
      </c>
      <c r="R29" s="93" t="b">
        <f t="shared" si="2"/>
        <v>0</v>
      </c>
      <c r="S29" s="7"/>
      <c r="U29" s="94" t="str">
        <f t="shared" si="3"/>
        <v/>
      </c>
      <c r="Z29" s="129"/>
      <c r="AA29" s="94" t="str">
        <f t="shared" si="4"/>
        <v>AG4603</v>
      </c>
      <c r="AB29" s="94" t="str">
        <f t="shared" si="5"/>
        <v/>
      </c>
      <c r="AC29" s="94" t="str">
        <f t="shared" si="6"/>
        <v/>
      </c>
      <c r="AD29" s="94" t="str">
        <f t="shared" si="7"/>
        <v/>
      </c>
      <c r="AE29" s="8"/>
    </row>
    <row r="30">
      <c r="A30" s="13" t="str">
        <f>RAW_APT!A31</f>
        <v>AG469</v>
      </c>
      <c r="B30" s="294">
        <f>RAW_APT!B31</f>
        <v>44690</v>
      </c>
      <c r="C30" s="301">
        <f>RAW_APT!C31</f>
        <v>0.1700231481</v>
      </c>
      <c r="D30" s="13" t="str">
        <f>RAW_APT!D31</f>
        <v/>
      </c>
      <c r="E30" s="13" t="str">
        <f>RAW_APT!E31</f>
        <v/>
      </c>
      <c r="F30" s="13" t="str">
        <f>RAW_APT!F31</f>
        <v/>
      </c>
      <c r="G30" s="13" t="str">
        <f>RAW_APT!G31</f>
        <v>Result</v>
      </c>
      <c r="H30" s="13" t="str">
        <f>RAW_APT!H31</f>
        <v>Negative</v>
      </c>
      <c r="I30" s="294">
        <f>RAW_APT!I31</f>
        <v>44690</v>
      </c>
      <c r="J30" s="301">
        <f>RAW_APT!J31</f>
        <v>0.3232291667</v>
      </c>
      <c r="K30" s="13">
        <f>RAW_APT!K31</f>
        <v>4</v>
      </c>
      <c r="L30" s="13" t="b">
        <f>RAW_APT!L31</f>
        <v>1</v>
      </c>
      <c r="M30" s="13" t="str">
        <f>RAW_APT!M31</f>
        <v>220509-1</v>
      </c>
      <c r="N30" s="13" t="str">
        <f>RAW_APT!N31</f>
        <v>primary</v>
      </c>
      <c r="O30" s="13" t="str">
        <f>RAW_APT!O31</f>
        <v/>
      </c>
      <c r="P30" s="93" t="b">
        <f t="shared" si="1"/>
        <v>0</v>
      </c>
      <c r="Q30" s="93" t="b">
        <f>IF(COUNTIF(RAW_APS!$A$2:$A116,A30)=0,TRUE,FALSE)</f>
        <v>0</v>
      </c>
      <c r="R30" s="93" t="b">
        <f t="shared" si="2"/>
        <v>0</v>
      </c>
      <c r="S30" s="7"/>
      <c r="U30" s="94" t="str">
        <f t="shared" si="3"/>
        <v/>
      </c>
      <c r="Z30" s="129"/>
      <c r="AA30" s="94" t="str">
        <f t="shared" si="4"/>
        <v>AG469</v>
      </c>
      <c r="AB30" s="94" t="str">
        <f t="shared" si="5"/>
        <v/>
      </c>
      <c r="AC30" s="94" t="str">
        <f t="shared" si="6"/>
        <v/>
      </c>
      <c r="AD30" s="94" t="str">
        <f t="shared" si="7"/>
        <v/>
      </c>
      <c r="AE30" s="8"/>
    </row>
    <row r="31">
      <c r="A31" s="13" t="str">
        <f>RAW_APT!A32</f>
        <v>AG570</v>
      </c>
      <c r="B31" s="294">
        <f>RAW_APT!B32</f>
        <v>44697</v>
      </c>
      <c r="C31" s="301">
        <f>RAW_APT!C32</f>
        <v>0.2689351852</v>
      </c>
      <c r="D31" s="13" t="str">
        <f>RAW_APT!D32</f>
        <v/>
      </c>
      <c r="E31" s="13" t="str">
        <f>RAW_APT!E32</f>
        <v/>
      </c>
      <c r="F31" s="13" t="str">
        <f>RAW_APT!F32</f>
        <v/>
      </c>
      <c r="G31" s="13" t="str">
        <f>RAW_APT!G32</f>
        <v>Result</v>
      </c>
      <c r="H31" s="13" t="str">
        <f>RAW_APT!H32</f>
        <v>Negative</v>
      </c>
      <c r="I31" s="294">
        <f>RAW_APT!I32</f>
        <v>44697</v>
      </c>
      <c r="J31" s="301">
        <f>RAW_APT!J32</f>
        <v>0.3611111111</v>
      </c>
      <c r="K31" s="13">
        <f>RAW_APT!K32</f>
        <v>1</v>
      </c>
      <c r="L31" s="13" t="b">
        <f>RAW_APT!L32</f>
        <v>1</v>
      </c>
      <c r="M31" s="13" t="str">
        <f>RAW_APT!M32</f>
        <v>220516-1</v>
      </c>
      <c r="N31" s="13" t="str">
        <f>RAW_APT!N32</f>
        <v>primary</v>
      </c>
      <c r="O31" s="13" t="str">
        <f>RAW_APT!O32</f>
        <v/>
      </c>
      <c r="P31" s="93" t="b">
        <f t="shared" si="1"/>
        <v>0</v>
      </c>
      <c r="Q31" s="93" t="b">
        <f>IF(COUNTIF(RAW_APS!$A$2:$A116,A31)=0,TRUE,FALSE)</f>
        <v>0</v>
      </c>
      <c r="R31" s="93" t="b">
        <f t="shared" si="2"/>
        <v>0</v>
      </c>
      <c r="S31" s="7"/>
      <c r="U31" s="94" t="str">
        <f t="shared" si="3"/>
        <v/>
      </c>
      <c r="Z31" s="129"/>
      <c r="AA31" s="94" t="str">
        <f t="shared" si="4"/>
        <v>AG570</v>
      </c>
      <c r="AB31" s="94" t="str">
        <f t="shared" si="5"/>
        <v/>
      </c>
      <c r="AC31" s="94" t="str">
        <f t="shared" si="6"/>
        <v/>
      </c>
      <c r="AD31" s="94" t="str">
        <f t="shared" si="7"/>
        <v/>
      </c>
      <c r="AE31" s="8"/>
    </row>
    <row r="32">
      <c r="A32" s="13" t="str">
        <f>RAW_APT!A33</f>
        <v>AG575</v>
      </c>
      <c r="B32" s="294">
        <f>RAW_APT!B33</f>
        <v>44683</v>
      </c>
      <c r="C32" s="301">
        <f>RAW_APT!C33</f>
        <v>0.1749768519</v>
      </c>
      <c r="D32" s="13" t="str">
        <f>RAW_APT!D33</f>
        <v/>
      </c>
      <c r="E32" s="13" t="str">
        <f>RAW_APT!E33</f>
        <v/>
      </c>
      <c r="F32" s="13" t="str">
        <f>RAW_APT!F33</f>
        <v/>
      </c>
      <c r="G32" s="13" t="str">
        <f>RAW_APT!G33</f>
        <v>Result</v>
      </c>
      <c r="H32" s="13" t="str">
        <f>RAW_APT!H33</f>
        <v>Negative</v>
      </c>
      <c r="I32" s="294">
        <f>RAW_APT!I33</f>
        <v>44683</v>
      </c>
      <c r="J32" s="301">
        <f>RAW_APT!J33</f>
        <v>0.3578125</v>
      </c>
      <c r="K32" s="13">
        <f>RAW_APT!K33</f>
        <v>2</v>
      </c>
      <c r="L32" s="13" t="b">
        <f>RAW_APT!L33</f>
        <v>1</v>
      </c>
      <c r="M32" s="13" t="str">
        <f>RAW_APT!M33</f>
        <v>220502-1</v>
      </c>
      <c r="N32" s="13" t="str">
        <f>RAW_APT!N33</f>
        <v>primary</v>
      </c>
      <c r="O32" s="13" t="str">
        <f>RAW_APT!O33</f>
        <v/>
      </c>
      <c r="P32" s="93" t="b">
        <f t="shared" si="1"/>
        <v>0</v>
      </c>
      <c r="Q32" s="93" t="b">
        <f>IF(COUNTIF(RAW_APS!$A$2:$A116,A32)=0,TRUE,FALSE)</f>
        <v>0</v>
      </c>
      <c r="R32" s="93" t="b">
        <f t="shared" si="2"/>
        <v>0</v>
      </c>
      <c r="S32" s="7"/>
      <c r="U32" s="94" t="str">
        <f t="shared" si="3"/>
        <v/>
      </c>
      <c r="Z32" s="129"/>
      <c r="AA32" s="94" t="str">
        <f t="shared" si="4"/>
        <v>AG575</v>
      </c>
      <c r="AB32" s="94" t="str">
        <f t="shared" si="5"/>
        <v/>
      </c>
      <c r="AC32" s="94" t="str">
        <f t="shared" si="6"/>
        <v/>
      </c>
      <c r="AD32" s="94" t="str">
        <f t="shared" si="7"/>
        <v/>
      </c>
      <c r="AE32" s="8"/>
    </row>
    <row r="33">
      <c r="A33" s="13" t="str">
        <f>RAW_APT!A34</f>
        <v>AG611</v>
      </c>
      <c r="B33" s="294">
        <f>RAW_APT!B34</f>
        <v>44733</v>
      </c>
      <c r="C33" s="301">
        <f>RAW_APT!C34</f>
        <v>0.2124768519</v>
      </c>
      <c r="D33" s="13" t="str">
        <f>RAW_APT!D34</f>
        <v/>
      </c>
      <c r="E33" s="13" t="str">
        <f>RAW_APT!E34</f>
        <v/>
      </c>
      <c r="F33" s="13" t="str">
        <f>RAW_APT!F34</f>
        <v/>
      </c>
      <c r="G33" s="13" t="str">
        <f>RAW_APT!G34</f>
        <v>Result</v>
      </c>
      <c r="H33" s="13" t="str">
        <f>RAW_APT!H34</f>
        <v>Negative</v>
      </c>
      <c r="I33" s="294">
        <f>RAW_APT!I34</f>
        <v>44733</v>
      </c>
      <c r="J33" s="301">
        <f>RAW_APT!J34</f>
        <v>0.4043402778</v>
      </c>
      <c r="K33" s="13">
        <f>RAW_APT!K34</f>
        <v>3</v>
      </c>
      <c r="L33" s="13" t="b">
        <f>RAW_APT!L34</f>
        <v>1</v>
      </c>
      <c r="M33" s="13" t="str">
        <f>RAW_APT!M34</f>
        <v>220621-1</v>
      </c>
      <c r="N33" s="13" t="str">
        <f>RAW_APT!N34</f>
        <v>primary</v>
      </c>
      <c r="O33" s="13" t="str">
        <f>RAW_APT!O34</f>
        <v/>
      </c>
      <c r="P33" s="93" t="b">
        <f t="shared" si="1"/>
        <v>0</v>
      </c>
      <c r="Q33" s="93" t="b">
        <f>IF(COUNTIF(RAW_APS!$A$2:$A116,A33)=0,TRUE,FALSE)</f>
        <v>0</v>
      </c>
      <c r="R33" s="93" t="b">
        <f t="shared" si="2"/>
        <v>0</v>
      </c>
      <c r="S33" s="7"/>
      <c r="U33" s="94" t="str">
        <f t="shared" si="3"/>
        <v/>
      </c>
      <c r="Z33" s="129"/>
      <c r="AA33" s="94" t="str">
        <f t="shared" si="4"/>
        <v>AG611</v>
      </c>
      <c r="AB33" s="94" t="str">
        <f t="shared" si="5"/>
        <v/>
      </c>
      <c r="AC33" s="94" t="str">
        <f t="shared" si="6"/>
        <v/>
      </c>
      <c r="AD33" s="94" t="str">
        <f t="shared" si="7"/>
        <v/>
      </c>
      <c r="AE33" s="8"/>
    </row>
    <row r="34">
      <c r="A34" s="13" t="str">
        <f>RAW_APT!A35</f>
        <v>AG615</v>
      </c>
      <c r="B34" s="294">
        <f>RAW_APT!B35</f>
        <v>44718</v>
      </c>
      <c r="C34" s="301">
        <f>RAW_APT!C35</f>
        <v>0.202662037</v>
      </c>
      <c r="D34" s="13" t="str">
        <f>RAW_APT!D35</f>
        <v/>
      </c>
      <c r="E34" s="13" t="str">
        <f>RAW_APT!E35</f>
        <v/>
      </c>
      <c r="F34" s="13" t="str">
        <f>RAW_APT!F35</f>
        <v/>
      </c>
      <c r="G34" s="13" t="str">
        <f>RAW_APT!G35</f>
        <v>Result</v>
      </c>
      <c r="H34" s="13" t="str">
        <f>RAW_APT!H35</f>
        <v>Negative</v>
      </c>
      <c r="I34" s="294">
        <f>RAW_APT!I35</f>
        <v>44718</v>
      </c>
      <c r="J34" s="301">
        <f>RAW_APT!J35</f>
        <v>0.3649768519</v>
      </c>
      <c r="K34" s="13">
        <f>RAW_APT!K35</f>
        <v>2</v>
      </c>
      <c r="L34" s="13" t="b">
        <f>RAW_APT!L35</f>
        <v>1</v>
      </c>
      <c r="M34" s="13" t="str">
        <f>RAW_APT!M35</f>
        <v>220606-1</v>
      </c>
      <c r="N34" s="13" t="str">
        <f>RAW_APT!N35</f>
        <v>primary</v>
      </c>
      <c r="O34" s="13" t="str">
        <f>RAW_APT!O35</f>
        <v/>
      </c>
      <c r="P34" s="93" t="b">
        <f t="shared" si="1"/>
        <v>0</v>
      </c>
      <c r="Q34" s="93" t="b">
        <f>IF(COUNTIF(RAW_APS!$A$2:$A116,A34)=0,TRUE,FALSE)</f>
        <v>0</v>
      </c>
      <c r="R34" s="93" t="b">
        <f t="shared" si="2"/>
        <v>0</v>
      </c>
      <c r="S34" s="7"/>
      <c r="U34" s="94" t="str">
        <f t="shared" si="3"/>
        <v/>
      </c>
      <c r="Z34" s="129"/>
      <c r="AA34" s="94" t="str">
        <f t="shared" si="4"/>
        <v>AG615</v>
      </c>
      <c r="AB34" s="94" t="str">
        <f t="shared" si="5"/>
        <v/>
      </c>
      <c r="AC34" s="94" t="str">
        <f t="shared" si="6"/>
        <v/>
      </c>
      <c r="AD34" s="94" t="str">
        <f t="shared" si="7"/>
        <v/>
      </c>
      <c r="AE34" s="8"/>
    </row>
    <row r="35">
      <c r="A35" s="13" t="str">
        <f>RAW_APT!A36</f>
        <v>AG632</v>
      </c>
      <c r="B35" s="294">
        <f>RAW_APT!B36</f>
        <v>44678</v>
      </c>
      <c r="C35" s="301">
        <f>RAW_APT!C36</f>
        <v>0.6169444444</v>
      </c>
      <c r="D35" s="13" t="str">
        <f>RAW_APT!D36</f>
        <v/>
      </c>
      <c r="E35" s="13" t="str">
        <f>RAW_APT!E36</f>
        <v/>
      </c>
      <c r="F35" s="13" t="str">
        <f>RAW_APT!F36</f>
        <v/>
      </c>
      <c r="G35" s="13" t="str">
        <f>RAW_APT!G36</f>
        <v>Result</v>
      </c>
      <c r="H35" s="13" t="str">
        <f>RAW_APT!H36</f>
        <v>Negative</v>
      </c>
      <c r="I35" s="294">
        <f>RAW_APT!I36</f>
        <v>44678</v>
      </c>
      <c r="J35" s="301">
        <f>RAW_APT!J36</f>
        <v>0.6284375</v>
      </c>
      <c r="K35" s="13">
        <f>RAW_APT!K36</f>
        <v>1</v>
      </c>
      <c r="L35" s="13" t="b">
        <f>RAW_APT!L36</f>
        <v>1</v>
      </c>
      <c r="M35" s="13" t="str">
        <f>RAW_APT!M36</f>
        <v>220427-1 mock</v>
      </c>
      <c r="N35" s="13" t="str">
        <f>RAW_APT!N36</f>
        <v>primary</v>
      </c>
      <c r="O35" s="13" t="str">
        <f>RAW_APT!O36</f>
        <v/>
      </c>
      <c r="P35" s="93" t="b">
        <f t="shared" si="1"/>
        <v>0</v>
      </c>
      <c r="Q35" s="93" t="b">
        <f>IF(COUNTIF(RAW_APS!$A$2:$A116,A35)=0,TRUE,FALSE)</f>
        <v>0</v>
      </c>
      <c r="R35" s="93" t="b">
        <f t="shared" si="2"/>
        <v>0</v>
      </c>
      <c r="S35" s="7"/>
      <c r="U35" s="94" t="str">
        <f t="shared" si="3"/>
        <v/>
      </c>
      <c r="Z35" s="129"/>
      <c r="AA35" s="94" t="str">
        <f t="shared" si="4"/>
        <v>AG632</v>
      </c>
      <c r="AB35" s="94" t="str">
        <f t="shared" si="5"/>
        <v/>
      </c>
      <c r="AC35" s="94" t="str">
        <f t="shared" si="6"/>
        <v/>
      </c>
      <c r="AD35" s="94" t="str">
        <f t="shared" si="7"/>
        <v/>
      </c>
      <c r="AE35" s="8"/>
    </row>
    <row r="36">
      <c r="A36" s="13" t="str">
        <f>RAW_APT!A37</f>
        <v>AG663</v>
      </c>
      <c r="B36" s="294">
        <f>RAW_APT!B37</f>
        <v>44712</v>
      </c>
      <c r="C36" s="301">
        <f>RAW_APT!C37</f>
        <v>0.1867592593</v>
      </c>
      <c r="D36" s="13" t="str">
        <f>RAW_APT!D37</f>
        <v/>
      </c>
      <c r="E36" s="13" t="str">
        <f>RAW_APT!E37</f>
        <v/>
      </c>
      <c r="F36" s="13" t="str">
        <f>RAW_APT!F37</f>
        <v/>
      </c>
      <c r="G36" s="13" t="str">
        <f>RAW_APT!G37</f>
        <v>Result</v>
      </c>
      <c r="H36" s="13" t="str">
        <f>RAW_APT!H37</f>
        <v>Negative</v>
      </c>
      <c r="I36" s="294">
        <f>RAW_APT!I37</f>
        <v>44713</v>
      </c>
      <c r="J36" s="301">
        <f>RAW_APT!J37</f>
        <v>0.3414814815</v>
      </c>
      <c r="K36" s="13">
        <f>RAW_APT!K37</f>
        <v>1</v>
      </c>
      <c r="L36" s="13" t="b">
        <f>RAW_APT!L37</f>
        <v>1</v>
      </c>
      <c r="M36" s="13" t="str">
        <f>RAW_APT!M37</f>
        <v>220601-1</v>
      </c>
      <c r="N36" s="13" t="str">
        <f>RAW_APT!N37</f>
        <v>primary</v>
      </c>
      <c r="O36" s="13" t="str">
        <f>RAW_APT!O37</f>
        <v/>
      </c>
      <c r="P36" s="93" t="b">
        <f t="shared" si="1"/>
        <v>0</v>
      </c>
      <c r="Q36" s="93" t="b">
        <f>IF(COUNTIF(RAW_APS!$A$2:$A116,A36)=0,TRUE,FALSE)</f>
        <v>0</v>
      </c>
      <c r="R36" s="93" t="b">
        <f t="shared" si="2"/>
        <v>0</v>
      </c>
      <c r="S36" s="7"/>
      <c r="U36" s="94" t="str">
        <f t="shared" si="3"/>
        <v/>
      </c>
      <c r="Z36" s="129"/>
      <c r="AA36" s="94" t="str">
        <f t="shared" si="4"/>
        <v>AG663</v>
      </c>
      <c r="AB36" s="94" t="str">
        <f t="shared" si="5"/>
        <v/>
      </c>
      <c r="AC36" s="94" t="str">
        <f t="shared" si="6"/>
        <v/>
      </c>
      <c r="AD36" s="94" t="str">
        <f t="shared" si="7"/>
        <v/>
      </c>
      <c r="AE36" s="8"/>
    </row>
    <row r="37">
      <c r="A37" s="13" t="str">
        <f>RAW_APT!A38</f>
        <v>AG718</v>
      </c>
      <c r="B37" s="294">
        <f>RAW_APT!B38</f>
        <v>44713</v>
      </c>
      <c r="C37" s="301">
        <f>RAW_APT!C38</f>
        <v>0.1792592593</v>
      </c>
      <c r="D37" s="13" t="str">
        <f>RAW_APT!D38</f>
        <v/>
      </c>
      <c r="E37" s="13" t="str">
        <f>RAW_APT!E38</f>
        <v/>
      </c>
      <c r="F37" s="13" t="str">
        <f>RAW_APT!F38</f>
        <v/>
      </c>
      <c r="G37" s="13" t="str">
        <f>RAW_APT!G38</f>
        <v>Result</v>
      </c>
      <c r="H37" s="13" t="str">
        <f>RAW_APT!H38</f>
        <v>Negative</v>
      </c>
      <c r="I37" s="294">
        <f>RAW_APT!I38</f>
        <v>44713</v>
      </c>
      <c r="J37" s="301">
        <f>RAW_APT!J38</f>
        <v>0.3414814815</v>
      </c>
      <c r="K37" s="13">
        <f>RAW_APT!K38</f>
        <v>1</v>
      </c>
      <c r="L37" s="13" t="b">
        <f>RAW_APT!L38</f>
        <v>1</v>
      </c>
      <c r="M37" s="13" t="str">
        <f>RAW_APT!M38</f>
        <v>220601-1</v>
      </c>
      <c r="N37" s="13" t="str">
        <f>RAW_APT!N38</f>
        <v>primary</v>
      </c>
      <c r="O37" s="13" t="str">
        <f>RAW_APT!O38</f>
        <v/>
      </c>
      <c r="P37" s="93" t="b">
        <f t="shared" si="1"/>
        <v>0</v>
      </c>
      <c r="Q37" s="93" t="b">
        <f>IF(COUNTIF(RAW_APS!$A$2:$A116,A37)=0,TRUE,FALSE)</f>
        <v>0</v>
      </c>
      <c r="R37" s="93" t="b">
        <f t="shared" si="2"/>
        <v>0</v>
      </c>
      <c r="S37" s="7"/>
      <c r="U37" s="94" t="str">
        <f t="shared" si="3"/>
        <v/>
      </c>
      <c r="Z37" s="129"/>
      <c r="AA37" s="94" t="str">
        <f t="shared" si="4"/>
        <v>AG718</v>
      </c>
      <c r="AB37" s="94" t="str">
        <f t="shared" si="5"/>
        <v/>
      </c>
      <c r="AC37" s="94" t="str">
        <f t="shared" si="6"/>
        <v/>
      </c>
      <c r="AD37" s="94" t="str">
        <f t="shared" si="7"/>
        <v/>
      </c>
      <c r="AE37" s="8"/>
    </row>
    <row r="38">
      <c r="A38" s="13" t="str">
        <f>RAW_APT!A39</f>
        <v>AG815</v>
      </c>
      <c r="B38" s="294">
        <f>RAW_APT!B39</f>
        <v>44690</v>
      </c>
      <c r="C38" s="301">
        <f>RAW_APT!C39</f>
        <v>0.2437037037</v>
      </c>
      <c r="D38" s="13" t="str">
        <f>RAW_APT!D39</f>
        <v/>
      </c>
      <c r="E38" s="13" t="str">
        <f>RAW_APT!E39</f>
        <v/>
      </c>
      <c r="F38" s="13" t="str">
        <f>RAW_APT!F39</f>
        <v/>
      </c>
      <c r="G38" s="13" t="str">
        <f>RAW_APT!G39</f>
        <v>Result</v>
      </c>
      <c r="H38" s="13" t="str">
        <f>RAW_APT!H39</f>
        <v>Negative</v>
      </c>
      <c r="I38" s="294">
        <f>RAW_APT!I39</f>
        <v>44690</v>
      </c>
      <c r="J38" s="301">
        <f>RAW_APT!J39</f>
        <v>0.3232523148</v>
      </c>
      <c r="K38" s="13">
        <f>RAW_APT!K39</f>
        <v>1</v>
      </c>
      <c r="L38" s="13" t="b">
        <f>RAW_APT!L39</f>
        <v>1</v>
      </c>
      <c r="M38" s="13" t="str">
        <f>RAW_APT!M39</f>
        <v>220509-1</v>
      </c>
      <c r="N38" s="13" t="str">
        <f>RAW_APT!N39</f>
        <v>primary</v>
      </c>
      <c r="O38" s="13" t="str">
        <f>RAW_APT!O39</f>
        <v/>
      </c>
      <c r="P38" s="93" t="b">
        <f t="shared" si="1"/>
        <v>0</v>
      </c>
      <c r="Q38" s="93" t="b">
        <f>IF(COUNTIF(RAW_APS!$A$2:$A116,A38)=0,TRUE,FALSE)</f>
        <v>0</v>
      </c>
      <c r="R38" s="93" t="b">
        <f t="shared" si="2"/>
        <v>0</v>
      </c>
      <c r="S38" s="7"/>
      <c r="U38" s="94" t="str">
        <f t="shared" si="3"/>
        <v/>
      </c>
      <c r="Z38" s="129"/>
      <c r="AA38" s="94" t="str">
        <f t="shared" si="4"/>
        <v>AG815</v>
      </c>
      <c r="AB38" s="94" t="str">
        <f t="shared" si="5"/>
        <v/>
      </c>
      <c r="AC38" s="94" t="str">
        <f t="shared" si="6"/>
        <v/>
      </c>
      <c r="AD38" s="94" t="str">
        <f t="shared" si="7"/>
        <v/>
      </c>
      <c r="AE38" s="8"/>
    </row>
    <row r="39">
      <c r="A39" s="13" t="str">
        <f>RAW_APT!A40</f>
        <v>AG869</v>
      </c>
      <c r="B39" s="294">
        <f>RAW_APT!B40</f>
        <v>44678</v>
      </c>
      <c r="C39" s="301">
        <f>RAW_APT!C40</f>
        <v>0.6183217593</v>
      </c>
      <c r="D39" s="13" t="str">
        <f>RAW_APT!D40</f>
        <v/>
      </c>
      <c r="E39" s="13" t="str">
        <f>RAW_APT!E40</f>
        <v/>
      </c>
      <c r="F39" s="13" t="str">
        <f>RAW_APT!F40</f>
        <v/>
      </c>
      <c r="G39" s="13" t="str">
        <f>RAW_APT!G40</f>
        <v>Result</v>
      </c>
      <c r="H39" s="13" t="str">
        <f>RAW_APT!H40</f>
        <v>Negative</v>
      </c>
      <c r="I39" s="294">
        <f>RAW_APT!I40</f>
        <v>44678</v>
      </c>
      <c r="J39" s="301">
        <f>RAW_APT!J40</f>
        <v>0.6284490741</v>
      </c>
      <c r="K39" s="13">
        <f>RAW_APT!K40</f>
        <v>1</v>
      </c>
      <c r="L39" s="13" t="b">
        <f>RAW_APT!L40</f>
        <v>1</v>
      </c>
      <c r="M39" s="13" t="str">
        <f>RAW_APT!M40</f>
        <v>220427-1 mock</v>
      </c>
      <c r="N39" s="13" t="str">
        <f>RAW_APT!N40</f>
        <v>primary</v>
      </c>
      <c r="O39" s="13" t="str">
        <f>RAW_APT!O40</f>
        <v/>
      </c>
      <c r="P39" s="93" t="b">
        <f t="shared" si="1"/>
        <v>0</v>
      </c>
      <c r="Q39" s="93" t="b">
        <f>IF(COUNTIF(RAW_APS!$A$2:$A116,A39)=0,TRUE,FALSE)</f>
        <v>0</v>
      </c>
      <c r="R39" s="93" t="b">
        <f t="shared" si="2"/>
        <v>0</v>
      </c>
      <c r="S39" s="7"/>
      <c r="U39" s="94" t="str">
        <f t="shared" si="3"/>
        <v/>
      </c>
      <c r="Z39" s="129"/>
      <c r="AA39" s="94" t="str">
        <f t="shared" si="4"/>
        <v>AG869</v>
      </c>
      <c r="AB39" s="94" t="str">
        <f t="shared" si="5"/>
        <v/>
      </c>
      <c r="AC39" s="94" t="str">
        <f t="shared" si="6"/>
        <v/>
      </c>
      <c r="AD39" s="94" t="str">
        <f t="shared" si="7"/>
        <v/>
      </c>
      <c r="AE39" s="8"/>
    </row>
    <row r="40">
      <c r="A40" s="13" t="str">
        <f>RAW_APT!A41</f>
        <v>AG91</v>
      </c>
      <c r="B40" s="294">
        <f>RAW_APT!B41</f>
        <v>44683</v>
      </c>
      <c r="C40" s="301">
        <f>RAW_APT!C41</f>
        <v>0.1777083333</v>
      </c>
      <c r="D40" s="13" t="str">
        <f>RAW_APT!D41</f>
        <v/>
      </c>
      <c r="E40" s="13" t="str">
        <f>RAW_APT!E41</f>
        <v/>
      </c>
      <c r="F40" s="13" t="str">
        <f>RAW_APT!F41</f>
        <v/>
      </c>
      <c r="G40" s="13" t="str">
        <f>RAW_APT!G41</f>
        <v>Result</v>
      </c>
      <c r="H40" s="13" t="str">
        <f>RAW_APT!H41</f>
        <v>Negative</v>
      </c>
      <c r="I40" s="294">
        <f>RAW_APT!I41</f>
        <v>44683</v>
      </c>
      <c r="J40" s="301">
        <f>RAW_APT!J41</f>
        <v>0.3578125</v>
      </c>
      <c r="K40" s="13">
        <f>RAW_APT!K41</f>
        <v>1</v>
      </c>
      <c r="L40" s="13" t="b">
        <f>RAW_APT!L41</f>
        <v>1</v>
      </c>
      <c r="M40" s="13" t="str">
        <f>RAW_APT!M41</f>
        <v>220502-1</v>
      </c>
      <c r="N40" s="13" t="str">
        <f>RAW_APT!N41</f>
        <v>primary</v>
      </c>
      <c r="O40" s="13" t="str">
        <f>RAW_APT!O41</f>
        <v/>
      </c>
      <c r="P40" s="93" t="b">
        <f t="shared" si="1"/>
        <v>0</v>
      </c>
      <c r="Q40" s="93" t="b">
        <f>IF(COUNTIF(RAW_APS!$A$2:$A116,A40)=0,TRUE,FALSE)</f>
        <v>0</v>
      </c>
      <c r="R40" s="93" t="b">
        <f t="shared" si="2"/>
        <v>0</v>
      </c>
      <c r="S40" s="7"/>
      <c r="U40" s="94" t="str">
        <f t="shared" si="3"/>
        <v/>
      </c>
      <c r="Z40" s="129"/>
      <c r="AA40" s="94" t="str">
        <f t="shared" si="4"/>
        <v>AG91</v>
      </c>
      <c r="AB40" s="94" t="str">
        <f t="shared" si="5"/>
        <v/>
      </c>
      <c r="AC40" s="94" t="str">
        <f t="shared" si="6"/>
        <v/>
      </c>
      <c r="AD40" s="94" t="str">
        <f t="shared" si="7"/>
        <v/>
      </c>
      <c r="AE40" s="8"/>
    </row>
    <row r="41">
      <c r="A41" s="13" t="str">
        <f>RAW_APT!A42</f>
        <v>AG981</v>
      </c>
      <c r="B41" s="294">
        <f>RAW_APT!B42</f>
        <v>44678</v>
      </c>
      <c r="C41" s="301">
        <f>RAW_APT!C42</f>
        <v>0.618599537</v>
      </c>
      <c r="D41" s="13" t="str">
        <f>RAW_APT!D42</f>
        <v/>
      </c>
      <c r="E41" s="13" t="str">
        <f>RAW_APT!E42</f>
        <v/>
      </c>
      <c r="F41" s="13" t="str">
        <f>RAW_APT!F42</f>
        <v/>
      </c>
      <c r="G41" s="13" t="str">
        <f>RAW_APT!G42</f>
        <v>Result</v>
      </c>
      <c r="H41" s="13" t="str">
        <f>RAW_APT!H42</f>
        <v>Negative</v>
      </c>
      <c r="I41" s="294">
        <f>RAW_APT!I42</f>
        <v>44678</v>
      </c>
      <c r="J41" s="301">
        <f>RAW_APT!J42</f>
        <v>0.6284490741</v>
      </c>
      <c r="K41" s="13">
        <f>RAW_APT!K42</f>
        <v>1</v>
      </c>
      <c r="L41" s="13" t="b">
        <f>RAW_APT!L42</f>
        <v>1</v>
      </c>
      <c r="M41" s="13" t="str">
        <f>RAW_APT!M42</f>
        <v>220427-1 mock</v>
      </c>
      <c r="N41" s="13" t="str">
        <f>RAW_APT!N42</f>
        <v>primary</v>
      </c>
      <c r="O41" s="13" t="str">
        <f>RAW_APT!O42</f>
        <v/>
      </c>
      <c r="P41" s="93" t="b">
        <f t="shared" si="1"/>
        <v>0</v>
      </c>
      <c r="Q41" s="93" t="b">
        <f>IF(COUNTIF(RAW_APS!$A$2:$A116,A41)=0,TRUE,FALSE)</f>
        <v>0</v>
      </c>
      <c r="R41" s="93" t="b">
        <f t="shared" si="2"/>
        <v>0</v>
      </c>
      <c r="S41" s="7"/>
      <c r="U41" s="94" t="str">
        <f t="shared" si="3"/>
        <v/>
      </c>
      <c r="Z41" s="129"/>
      <c r="AA41" s="94" t="str">
        <f t="shared" si="4"/>
        <v>AG981</v>
      </c>
      <c r="AB41" s="94" t="str">
        <f t="shared" si="5"/>
        <v/>
      </c>
      <c r="AC41" s="94" t="str">
        <f t="shared" si="6"/>
        <v/>
      </c>
      <c r="AD41" s="94" t="str">
        <f t="shared" si="7"/>
        <v/>
      </c>
      <c r="AE41" s="8"/>
    </row>
    <row r="42">
      <c r="A42" s="13" t="str">
        <f>RAW_APT!A43</f>
        <v>AH0916</v>
      </c>
      <c r="B42" s="294">
        <f>RAW_APT!B43</f>
        <v>44725</v>
      </c>
      <c r="C42" s="301">
        <f>RAW_APT!C43</f>
        <v>0.1507060185</v>
      </c>
      <c r="D42" s="13" t="str">
        <f>RAW_APT!D43</f>
        <v/>
      </c>
      <c r="E42" s="13" t="str">
        <f>RAW_APT!E43</f>
        <v/>
      </c>
      <c r="F42" s="13" t="str">
        <f>RAW_APT!F43</f>
        <v/>
      </c>
      <c r="G42" s="13" t="str">
        <f>RAW_APT!G43</f>
        <v>Collected</v>
      </c>
      <c r="H42" s="13" t="str">
        <f>RAW_APT!H43</f>
        <v>Null</v>
      </c>
      <c r="I42" s="294">
        <f>RAW_APT!I43</f>
        <v>44861</v>
      </c>
      <c r="J42" s="301">
        <f>RAW_APT!J43</f>
        <v>0.484837963</v>
      </c>
      <c r="K42" s="13">
        <f>RAW_APT!K43</f>
        <v>2</v>
      </c>
      <c r="L42" s="13" t="str">
        <f>RAW_APT!L43</f>
        <v/>
      </c>
      <c r="M42" s="13" t="str">
        <f>RAW_APT!M43</f>
        <v/>
      </c>
      <c r="N42" s="13" t="str">
        <f>RAW_APT!N43</f>
        <v>primary</v>
      </c>
      <c r="O42" s="13" t="str">
        <f>RAW_APT!O43</f>
        <v/>
      </c>
      <c r="P42" s="93" t="b">
        <f t="shared" si="1"/>
        <v>0</v>
      </c>
      <c r="Q42" s="93" t="b">
        <f>IF(COUNTIF(RAW_APS!$A$2:$A116,A42)=0,TRUE,FALSE)</f>
        <v>0</v>
      </c>
      <c r="R42" s="93" t="b">
        <f t="shared" si="2"/>
        <v>0</v>
      </c>
      <c r="S42" s="7"/>
      <c r="U42" s="94" t="str">
        <f t="shared" si="3"/>
        <v/>
      </c>
      <c r="Z42" s="129"/>
      <c r="AA42" s="94" t="str">
        <f t="shared" si="4"/>
        <v>AH0916</v>
      </c>
      <c r="AB42" s="94" t="str">
        <f t="shared" si="5"/>
        <v/>
      </c>
      <c r="AC42" s="94" t="str">
        <f t="shared" si="6"/>
        <v/>
      </c>
      <c r="AD42" s="94" t="str">
        <f t="shared" si="7"/>
        <v/>
      </c>
      <c r="AE42" s="8"/>
    </row>
    <row r="43">
      <c r="A43" s="13" t="str">
        <f>RAW_APT!A44</f>
        <v>AH1039</v>
      </c>
      <c r="B43" s="294">
        <f>RAW_APT!B44</f>
        <v>44690</v>
      </c>
      <c r="C43" s="301">
        <f>RAW_APT!C44</f>
        <v>0.2029050926</v>
      </c>
      <c r="D43" s="13" t="str">
        <f>RAW_APT!D44</f>
        <v/>
      </c>
      <c r="E43" s="13" t="str">
        <f>RAW_APT!E44</f>
        <v/>
      </c>
      <c r="F43" s="13" t="str">
        <f>RAW_APT!F44</f>
        <v/>
      </c>
      <c r="G43" s="13" t="str">
        <f>RAW_APT!G44</f>
        <v>Result</v>
      </c>
      <c r="H43" s="13" t="str">
        <f>RAW_APT!H44</f>
        <v>Negative</v>
      </c>
      <c r="I43" s="294">
        <f>RAW_APT!I44</f>
        <v>44690</v>
      </c>
      <c r="J43" s="301">
        <f>RAW_APT!J44</f>
        <v>0.3232407407</v>
      </c>
      <c r="K43" s="13">
        <f>RAW_APT!K44</f>
        <v>3</v>
      </c>
      <c r="L43" s="13" t="b">
        <f>RAW_APT!L44</f>
        <v>1</v>
      </c>
      <c r="M43" s="13" t="str">
        <f>RAW_APT!M44</f>
        <v>220509-1</v>
      </c>
      <c r="N43" s="13" t="str">
        <f>RAW_APT!N44</f>
        <v>primary</v>
      </c>
      <c r="O43" s="13" t="str">
        <f>RAW_APT!O44</f>
        <v/>
      </c>
      <c r="P43" s="93" t="b">
        <f t="shared" si="1"/>
        <v>0</v>
      </c>
      <c r="Q43" s="93" t="b">
        <f>IF(COUNTIF(RAW_APS!$A$2:$A116,A43)=0,TRUE,FALSE)</f>
        <v>0</v>
      </c>
      <c r="R43" s="93" t="b">
        <f t="shared" si="2"/>
        <v>0</v>
      </c>
      <c r="S43" s="7"/>
      <c r="U43" s="94" t="str">
        <f t="shared" si="3"/>
        <v/>
      </c>
      <c r="Z43" s="129"/>
      <c r="AA43" s="94" t="str">
        <f t="shared" si="4"/>
        <v>AH1039</v>
      </c>
      <c r="AB43" s="94" t="str">
        <f t="shared" si="5"/>
        <v/>
      </c>
      <c r="AC43" s="94" t="str">
        <f t="shared" si="6"/>
        <v/>
      </c>
      <c r="AD43" s="94" t="str">
        <f t="shared" si="7"/>
        <v/>
      </c>
      <c r="AE43" s="8"/>
    </row>
    <row r="44">
      <c r="A44" s="13" t="str">
        <f>RAW_APT!A45</f>
        <v>AH1119</v>
      </c>
      <c r="B44" s="294">
        <f>RAW_APT!B45</f>
        <v>44678</v>
      </c>
      <c r="C44" s="301">
        <f>RAW_APT!C45</f>
        <v>0.6167939815</v>
      </c>
      <c r="D44" s="13" t="str">
        <f>RAW_APT!D45</f>
        <v/>
      </c>
      <c r="E44" s="13" t="str">
        <f>RAW_APT!E45</f>
        <v/>
      </c>
      <c r="F44" s="13" t="str">
        <f>RAW_APT!F45</f>
        <v/>
      </c>
      <c r="G44" s="13" t="str">
        <f>RAW_APT!G45</f>
        <v>Result</v>
      </c>
      <c r="H44" s="13" t="str">
        <f>RAW_APT!H45</f>
        <v>Negative</v>
      </c>
      <c r="I44" s="294">
        <f>RAW_APT!I45</f>
        <v>44678</v>
      </c>
      <c r="J44" s="301">
        <f>RAW_APT!J45</f>
        <v>0.6284375</v>
      </c>
      <c r="K44" s="13">
        <f>RAW_APT!K45</f>
        <v>1</v>
      </c>
      <c r="L44" s="13" t="b">
        <f>RAW_APT!L45</f>
        <v>1</v>
      </c>
      <c r="M44" s="13" t="str">
        <f>RAW_APT!M45</f>
        <v>220427-1 mock</v>
      </c>
      <c r="N44" s="13" t="str">
        <f>RAW_APT!N45</f>
        <v>primary</v>
      </c>
      <c r="O44" s="13" t="str">
        <f>RAW_APT!O45</f>
        <v/>
      </c>
      <c r="P44" s="93" t="b">
        <f t="shared" si="1"/>
        <v>0</v>
      </c>
      <c r="Q44" s="93" t="b">
        <f>IF(COUNTIF(RAW_APS!$A$2:$A116,A44)=0,TRUE,FALSE)</f>
        <v>0</v>
      </c>
      <c r="R44" s="93" t="b">
        <f t="shared" si="2"/>
        <v>0</v>
      </c>
      <c r="S44" s="7"/>
      <c r="U44" s="94" t="str">
        <f t="shared" si="3"/>
        <v/>
      </c>
      <c r="Z44" s="129"/>
      <c r="AA44" s="94" t="str">
        <f t="shared" si="4"/>
        <v>AH1119</v>
      </c>
      <c r="AB44" s="94" t="str">
        <f t="shared" si="5"/>
        <v/>
      </c>
      <c r="AC44" s="94" t="str">
        <f t="shared" si="6"/>
        <v/>
      </c>
      <c r="AD44" s="94" t="str">
        <f t="shared" si="7"/>
        <v/>
      </c>
      <c r="AE44" s="8"/>
    </row>
    <row r="45">
      <c r="A45" s="13" t="str">
        <f>RAW_APT!A46</f>
        <v>AH1486</v>
      </c>
      <c r="B45" s="294">
        <f>RAW_APT!B46</f>
        <v>44713</v>
      </c>
      <c r="C45" s="301">
        <f>RAW_APT!C46</f>
        <v>0.1832175926</v>
      </c>
      <c r="D45" s="13" t="str">
        <f>RAW_APT!D46</f>
        <v/>
      </c>
      <c r="E45" s="13" t="str">
        <f>RAW_APT!E46</f>
        <v/>
      </c>
      <c r="F45" s="13" t="str">
        <f>RAW_APT!F46</f>
        <v/>
      </c>
      <c r="G45" s="13" t="str">
        <f>RAW_APT!G46</f>
        <v>Result</v>
      </c>
      <c r="H45" s="13" t="str">
        <f>RAW_APT!H46</f>
        <v>Negative</v>
      </c>
      <c r="I45" s="294">
        <f>RAW_APT!I46</f>
        <v>44713</v>
      </c>
      <c r="J45" s="301">
        <f>RAW_APT!J46</f>
        <v>0.3414814815</v>
      </c>
      <c r="K45" s="13">
        <f>RAW_APT!K46</f>
        <v>1</v>
      </c>
      <c r="L45" s="13" t="b">
        <f>RAW_APT!L46</f>
        <v>1</v>
      </c>
      <c r="M45" s="13" t="str">
        <f>RAW_APT!M46</f>
        <v>220601-1</v>
      </c>
      <c r="N45" s="13" t="str">
        <f>RAW_APT!N46</f>
        <v>primary</v>
      </c>
      <c r="O45" s="13" t="str">
        <f>RAW_APT!O46</f>
        <v/>
      </c>
      <c r="P45" s="93" t="b">
        <f t="shared" si="1"/>
        <v>0</v>
      </c>
      <c r="Q45" s="93" t="b">
        <f>IF(COUNTIF(RAW_APS!$A$2:$A116,A45)=0,TRUE,FALSE)</f>
        <v>0</v>
      </c>
      <c r="R45" s="93" t="b">
        <f t="shared" si="2"/>
        <v>0</v>
      </c>
      <c r="S45" s="7"/>
      <c r="U45" s="94" t="str">
        <f t="shared" si="3"/>
        <v/>
      </c>
      <c r="Z45" s="129"/>
      <c r="AA45" s="94" t="str">
        <f t="shared" si="4"/>
        <v>AH1486</v>
      </c>
      <c r="AB45" s="94" t="str">
        <f t="shared" si="5"/>
        <v/>
      </c>
      <c r="AC45" s="94" t="str">
        <f t="shared" si="6"/>
        <v/>
      </c>
      <c r="AD45" s="94" t="str">
        <f t="shared" si="7"/>
        <v/>
      </c>
      <c r="AE45" s="8"/>
    </row>
    <row r="46">
      <c r="A46" s="13" t="str">
        <f>RAW_APT!A47</f>
        <v>AH248</v>
      </c>
      <c r="B46" s="294">
        <f>RAW_APT!B47</f>
        <v>44767</v>
      </c>
      <c r="C46" s="301">
        <f>RAW_APT!C47</f>
        <v>0.3024421296</v>
      </c>
      <c r="D46" s="13" t="str">
        <f>RAW_APT!D47</f>
        <v/>
      </c>
      <c r="E46" s="13" t="str">
        <f>RAW_APT!E47</f>
        <v/>
      </c>
      <c r="F46" s="13" t="str">
        <f>RAW_APT!F47</f>
        <v/>
      </c>
      <c r="G46" s="13" t="str">
        <f>RAW_APT!G47</f>
        <v>Result</v>
      </c>
      <c r="H46" s="13" t="str">
        <f>RAW_APT!H47</f>
        <v>Negative</v>
      </c>
      <c r="I46" s="294">
        <f>RAW_APT!I47</f>
        <v>44767</v>
      </c>
      <c r="J46" s="301">
        <f>RAW_APT!J47</f>
        <v>0.4329282407</v>
      </c>
      <c r="K46" s="13">
        <f>RAW_APT!K47</f>
        <v>1</v>
      </c>
      <c r="L46" s="13" t="b">
        <f>RAW_APT!L47</f>
        <v>1</v>
      </c>
      <c r="M46" s="13" t="str">
        <f>RAW_APT!M47</f>
        <v>220725-1</v>
      </c>
      <c r="N46" s="13" t="str">
        <f>RAW_APT!N47</f>
        <v>primary</v>
      </c>
      <c r="O46" s="13" t="str">
        <f>RAW_APT!O47</f>
        <v/>
      </c>
      <c r="P46" s="93" t="b">
        <f t="shared" si="1"/>
        <v>0</v>
      </c>
      <c r="Q46" s="93" t="b">
        <f>IF(COUNTIF(RAW_APS!$A$2:$A116,A46)=0,TRUE,FALSE)</f>
        <v>0</v>
      </c>
      <c r="R46" s="93" t="b">
        <f t="shared" si="2"/>
        <v>0</v>
      </c>
      <c r="S46" s="7"/>
      <c r="U46" s="94" t="str">
        <f t="shared" si="3"/>
        <v/>
      </c>
      <c r="Z46" s="129"/>
      <c r="AA46" s="94" t="str">
        <f t="shared" si="4"/>
        <v>AH248</v>
      </c>
      <c r="AB46" s="94" t="str">
        <f t="shared" si="5"/>
        <v/>
      </c>
      <c r="AC46" s="94" t="str">
        <f t="shared" si="6"/>
        <v/>
      </c>
      <c r="AD46" s="94" t="str">
        <f t="shared" si="7"/>
        <v/>
      </c>
      <c r="AE46" s="8"/>
    </row>
    <row r="47">
      <c r="A47" s="13" t="str">
        <f>RAW_APT!A48</f>
        <v>AH258</v>
      </c>
      <c r="B47" s="294">
        <f>RAW_APT!B48</f>
        <v>44712</v>
      </c>
      <c r="C47" s="301">
        <f>RAW_APT!C48</f>
        <v>0.7929166667</v>
      </c>
      <c r="D47" s="13" t="str">
        <f>RAW_APT!D48</f>
        <v/>
      </c>
      <c r="E47" s="13" t="str">
        <f>RAW_APT!E48</f>
        <v/>
      </c>
      <c r="F47" s="13" t="str">
        <f>RAW_APT!F48</f>
        <v/>
      </c>
      <c r="G47" s="13" t="str">
        <f>RAW_APT!G48</f>
        <v>Result</v>
      </c>
      <c r="H47" s="13" t="str">
        <f>RAW_APT!H48</f>
        <v>Negative</v>
      </c>
      <c r="I47" s="294">
        <f>RAW_APT!I48</f>
        <v>44713</v>
      </c>
      <c r="J47" s="301">
        <f>RAW_APT!J48</f>
        <v>0.3414814815</v>
      </c>
      <c r="K47" s="13">
        <f>RAW_APT!K48</f>
        <v>1</v>
      </c>
      <c r="L47" s="13" t="b">
        <f>RAW_APT!L48</f>
        <v>1</v>
      </c>
      <c r="M47" s="13" t="str">
        <f>RAW_APT!M48</f>
        <v>220601-1</v>
      </c>
      <c r="N47" s="13" t="str">
        <f>RAW_APT!N48</f>
        <v>primary</v>
      </c>
      <c r="O47" s="13" t="str">
        <f>RAW_APT!O48</f>
        <v/>
      </c>
      <c r="P47" s="93" t="b">
        <f t="shared" si="1"/>
        <v>0</v>
      </c>
      <c r="Q47" s="93" t="b">
        <f>IF(COUNTIF(RAW_APS!$A$2:$A116,A47)=0,TRUE,FALSE)</f>
        <v>0</v>
      </c>
      <c r="R47" s="93" t="b">
        <f t="shared" si="2"/>
        <v>0</v>
      </c>
      <c r="S47" s="7"/>
      <c r="U47" s="94" t="str">
        <f t="shared" si="3"/>
        <v/>
      </c>
      <c r="Z47" s="129"/>
      <c r="AA47" s="94" t="str">
        <f t="shared" si="4"/>
        <v>AH258</v>
      </c>
      <c r="AB47" s="94" t="str">
        <f t="shared" si="5"/>
        <v/>
      </c>
      <c r="AC47" s="94" t="str">
        <f t="shared" si="6"/>
        <v/>
      </c>
      <c r="AD47" s="94" t="str">
        <f t="shared" si="7"/>
        <v/>
      </c>
      <c r="AE47" s="8"/>
    </row>
    <row r="48">
      <c r="A48" s="13" t="str">
        <f>RAW_APT!A49</f>
        <v>AH266</v>
      </c>
      <c r="B48" s="294">
        <f>RAW_APT!B49</f>
        <v>44690</v>
      </c>
      <c r="C48" s="301">
        <f>RAW_APT!C49</f>
        <v>0.280162037</v>
      </c>
      <c r="D48" s="13" t="str">
        <f>RAW_APT!D49</f>
        <v/>
      </c>
      <c r="E48" s="13" t="str">
        <f>RAW_APT!E49</f>
        <v/>
      </c>
      <c r="F48" s="13" t="str">
        <f>RAW_APT!F49</f>
        <v/>
      </c>
      <c r="G48" s="13" t="str">
        <f>RAW_APT!G49</f>
        <v>Result</v>
      </c>
      <c r="H48" s="13" t="str">
        <f>RAW_APT!H49</f>
        <v>Negative</v>
      </c>
      <c r="I48" s="294">
        <f>RAW_APT!I49</f>
        <v>44690</v>
      </c>
      <c r="J48" s="301">
        <f>RAW_APT!J49</f>
        <v>0.3232523148</v>
      </c>
      <c r="K48" s="13">
        <f>RAW_APT!K49</f>
        <v>1</v>
      </c>
      <c r="L48" s="13" t="b">
        <f>RAW_APT!L49</f>
        <v>1</v>
      </c>
      <c r="M48" s="13" t="str">
        <f>RAW_APT!M49</f>
        <v>220509-1</v>
      </c>
      <c r="N48" s="13" t="str">
        <f>RAW_APT!N49</f>
        <v>primary</v>
      </c>
      <c r="O48" s="13" t="str">
        <f>RAW_APT!O49</f>
        <v/>
      </c>
      <c r="P48" s="93" t="b">
        <f t="shared" si="1"/>
        <v>0</v>
      </c>
      <c r="Q48" s="93" t="b">
        <f>IF(COUNTIF(RAW_APS!$A$2:$A116,A48)=0,TRUE,FALSE)</f>
        <v>0</v>
      </c>
      <c r="R48" s="93" t="b">
        <f t="shared" si="2"/>
        <v>0</v>
      </c>
      <c r="S48" s="7"/>
      <c r="U48" s="94" t="str">
        <f t="shared" si="3"/>
        <v/>
      </c>
      <c r="Z48" s="129"/>
      <c r="AA48" s="94" t="str">
        <f t="shared" si="4"/>
        <v>AH266</v>
      </c>
      <c r="AB48" s="94" t="str">
        <f t="shared" si="5"/>
        <v/>
      </c>
      <c r="AC48" s="94" t="str">
        <f t="shared" si="6"/>
        <v/>
      </c>
      <c r="AD48" s="94" t="str">
        <f t="shared" si="7"/>
        <v/>
      </c>
      <c r="AE48" s="8"/>
    </row>
    <row r="49">
      <c r="A49" s="13" t="str">
        <f>RAW_APT!A50</f>
        <v>AH330</v>
      </c>
      <c r="B49" s="294">
        <f>RAW_APT!B50</f>
        <v>44704</v>
      </c>
      <c r="C49" s="301">
        <f>RAW_APT!C50</f>
        <v>0.1878240741</v>
      </c>
      <c r="D49" s="13" t="str">
        <f>RAW_APT!D50</f>
        <v/>
      </c>
      <c r="E49" s="13" t="str">
        <f>RAW_APT!E50</f>
        <v/>
      </c>
      <c r="F49" s="13" t="str">
        <f>RAW_APT!F50</f>
        <v/>
      </c>
      <c r="G49" s="13" t="str">
        <f>RAW_APT!G50</f>
        <v>Result</v>
      </c>
      <c r="H49" s="13" t="str">
        <f>RAW_APT!H50</f>
        <v>Negative</v>
      </c>
      <c r="I49" s="294">
        <f>RAW_APT!I50</f>
        <v>44704</v>
      </c>
      <c r="J49" s="301">
        <f>RAW_APT!J50</f>
        <v>0.3949074074</v>
      </c>
      <c r="K49" s="13">
        <f>RAW_APT!K50</f>
        <v>4</v>
      </c>
      <c r="L49" s="13" t="b">
        <f>RAW_APT!L50</f>
        <v>1</v>
      </c>
      <c r="M49" s="13" t="str">
        <f>RAW_APT!M50</f>
        <v>220523-1</v>
      </c>
      <c r="N49" s="13" t="str">
        <f>RAW_APT!N50</f>
        <v>primary</v>
      </c>
      <c r="O49" s="13" t="str">
        <f>RAW_APT!O50</f>
        <v/>
      </c>
      <c r="P49" s="93" t="b">
        <f t="shared" si="1"/>
        <v>0</v>
      </c>
      <c r="Q49" s="93" t="b">
        <f>IF(COUNTIF(RAW_APS!$A$2:$A116,A49)=0,TRUE,FALSE)</f>
        <v>0</v>
      </c>
      <c r="R49" s="93" t="b">
        <f t="shared" si="2"/>
        <v>0</v>
      </c>
      <c r="S49" s="7"/>
      <c r="U49" s="94" t="str">
        <f t="shared" si="3"/>
        <v/>
      </c>
      <c r="Z49" s="129"/>
      <c r="AA49" s="94" t="str">
        <f t="shared" si="4"/>
        <v>AH330</v>
      </c>
      <c r="AB49" s="94" t="str">
        <f t="shared" si="5"/>
        <v/>
      </c>
      <c r="AC49" s="94" t="str">
        <f t="shared" si="6"/>
        <v/>
      </c>
      <c r="AD49" s="94" t="str">
        <f t="shared" si="7"/>
        <v/>
      </c>
      <c r="AE49" s="8"/>
    </row>
    <row r="50">
      <c r="A50" s="13" t="str">
        <f>RAW_APT!A51</f>
        <v>AH63</v>
      </c>
      <c r="B50" s="294">
        <f>RAW_APT!B51</f>
        <v>44697</v>
      </c>
      <c r="C50" s="301">
        <f>RAW_APT!C51</f>
        <v>0.3187152778</v>
      </c>
      <c r="D50" s="13" t="str">
        <f>RAW_APT!D51</f>
        <v/>
      </c>
      <c r="E50" s="13" t="str">
        <f>RAW_APT!E51</f>
        <v/>
      </c>
      <c r="F50" s="13" t="str">
        <f>RAW_APT!F51</f>
        <v/>
      </c>
      <c r="G50" s="13" t="str">
        <f>RAW_APT!G51</f>
        <v>Result</v>
      </c>
      <c r="H50" s="13" t="str">
        <f>RAW_APT!H51</f>
        <v>Negative</v>
      </c>
      <c r="I50" s="294">
        <f>RAW_APT!I51</f>
        <v>44697</v>
      </c>
      <c r="J50" s="301">
        <f>RAW_APT!J51</f>
        <v>0.3611111111</v>
      </c>
      <c r="K50" s="13">
        <f>RAW_APT!K51</f>
        <v>1</v>
      </c>
      <c r="L50" s="13" t="b">
        <f>RAW_APT!L51</f>
        <v>1</v>
      </c>
      <c r="M50" s="13" t="str">
        <f>RAW_APT!M51</f>
        <v>220516-1</v>
      </c>
      <c r="N50" s="13" t="str">
        <f>RAW_APT!N51</f>
        <v>primary</v>
      </c>
      <c r="O50" s="13" t="str">
        <f>RAW_APT!O51</f>
        <v/>
      </c>
      <c r="P50" s="93" t="b">
        <f t="shared" si="1"/>
        <v>0</v>
      </c>
      <c r="Q50" s="93" t="b">
        <f>IF(COUNTIF(RAW_APS!$A$2:$A116,A50)=0,TRUE,FALSE)</f>
        <v>0</v>
      </c>
      <c r="R50" s="93" t="b">
        <f t="shared" si="2"/>
        <v>0</v>
      </c>
      <c r="S50" s="7"/>
      <c r="U50" s="94" t="str">
        <f t="shared" si="3"/>
        <v/>
      </c>
      <c r="Z50" s="129"/>
      <c r="AA50" s="94" t="str">
        <f t="shared" si="4"/>
        <v>AH63</v>
      </c>
      <c r="AB50" s="94" t="str">
        <f t="shared" si="5"/>
        <v/>
      </c>
      <c r="AC50" s="94" t="str">
        <f t="shared" si="6"/>
        <v/>
      </c>
      <c r="AD50" s="94" t="str">
        <f t="shared" si="7"/>
        <v/>
      </c>
      <c r="AE50" s="8"/>
    </row>
    <row r="51">
      <c r="A51" s="13" t="str">
        <f>RAW_APT!A52</f>
        <v>AH652</v>
      </c>
      <c r="B51" s="294">
        <f>RAW_APT!B52</f>
        <v>44739</v>
      </c>
      <c r="C51" s="301">
        <f>RAW_APT!C52</f>
        <v>0.1888888889</v>
      </c>
      <c r="D51" s="13" t="str">
        <f>RAW_APT!D52</f>
        <v/>
      </c>
      <c r="E51" s="13" t="str">
        <f>RAW_APT!E52</f>
        <v/>
      </c>
      <c r="F51" s="13" t="str">
        <f>RAW_APT!F52</f>
        <v/>
      </c>
      <c r="G51" s="13" t="str">
        <f>RAW_APT!G52</f>
        <v>Collected</v>
      </c>
      <c r="H51" s="13" t="str">
        <f>RAW_APT!H52</f>
        <v>Null</v>
      </c>
      <c r="I51" s="294">
        <f>RAW_APT!I52</f>
        <v>44861</v>
      </c>
      <c r="J51" s="301">
        <f>RAW_APT!J52</f>
        <v>0.484837963</v>
      </c>
      <c r="K51" s="13">
        <f>RAW_APT!K52</f>
        <v>2</v>
      </c>
      <c r="L51" s="13" t="str">
        <f>RAW_APT!L52</f>
        <v/>
      </c>
      <c r="M51" s="13" t="str">
        <f>RAW_APT!M52</f>
        <v/>
      </c>
      <c r="N51" s="13" t="str">
        <f>RAW_APT!N52</f>
        <v>primary</v>
      </c>
      <c r="O51" s="13" t="str">
        <f>RAW_APT!O52</f>
        <v/>
      </c>
      <c r="P51" s="93" t="b">
        <f t="shared" si="1"/>
        <v>0</v>
      </c>
      <c r="Q51" s="93" t="b">
        <f>IF(COUNTIF(RAW_APS!$A$2:$A116,A51)=0,TRUE,FALSE)</f>
        <v>0</v>
      </c>
      <c r="R51" s="93" t="b">
        <f t="shared" si="2"/>
        <v>0</v>
      </c>
      <c r="S51" s="7"/>
      <c r="U51" s="94" t="str">
        <f t="shared" si="3"/>
        <v/>
      </c>
      <c r="Z51" s="129"/>
      <c r="AA51" s="94" t="str">
        <f t="shared" si="4"/>
        <v>AH652</v>
      </c>
      <c r="AB51" s="94" t="str">
        <f t="shared" si="5"/>
        <v/>
      </c>
      <c r="AC51" s="94" t="str">
        <f t="shared" si="6"/>
        <v/>
      </c>
      <c r="AD51" s="94" t="str">
        <f t="shared" si="7"/>
        <v/>
      </c>
      <c r="AE51" s="8"/>
    </row>
    <row r="52">
      <c r="A52" s="13" t="str">
        <f>RAW_APT!A53</f>
        <v>AH6802</v>
      </c>
      <c r="B52" s="294">
        <f>RAW_APT!B53</f>
        <v>44704</v>
      </c>
      <c r="C52" s="301">
        <f>RAW_APT!C53</f>
        <v>0.3195138889</v>
      </c>
      <c r="D52" s="13" t="str">
        <f>RAW_APT!D53</f>
        <v/>
      </c>
      <c r="E52" s="13" t="str">
        <f>RAW_APT!E53</f>
        <v/>
      </c>
      <c r="F52" s="13" t="str">
        <f>RAW_APT!F53</f>
        <v/>
      </c>
      <c r="G52" s="13" t="str">
        <f>RAW_APT!G53</f>
        <v>Result</v>
      </c>
      <c r="H52" s="13" t="str">
        <f>RAW_APT!H53</f>
        <v>Negative</v>
      </c>
      <c r="I52" s="294">
        <f>RAW_APT!I53</f>
        <v>44704</v>
      </c>
      <c r="J52" s="301">
        <f>RAW_APT!J53</f>
        <v>0.3949189815</v>
      </c>
      <c r="K52" s="13">
        <f>RAW_APT!K53</f>
        <v>1</v>
      </c>
      <c r="L52" s="13" t="b">
        <f>RAW_APT!L53</f>
        <v>1</v>
      </c>
      <c r="M52" s="13" t="str">
        <f>RAW_APT!M53</f>
        <v>220523-1</v>
      </c>
      <c r="N52" s="13" t="str">
        <f>RAW_APT!N53</f>
        <v>primary</v>
      </c>
      <c r="O52" s="13" t="str">
        <f>RAW_APT!O53</f>
        <v/>
      </c>
      <c r="P52" s="93" t="b">
        <f t="shared" si="1"/>
        <v>0</v>
      </c>
      <c r="Q52" s="93" t="b">
        <f>IF(COUNTIF(RAW_APS!$A$2:$A116,A52)=0,TRUE,FALSE)</f>
        <v>0</v>
      </c>
      <c r="R52" s="93" t="b">
        <f t="shared" si="2"/>
        <v>0</v>
      </c>
      <c r="S52" s="7"/>
      <c r="U52" s="94" t="str">
        <f t="shared" si="3"/>
        <v/>
      </c>
      <c r="Z52" s="129"/>
      <c r="AA52" s="94" t="str">
        <f t="shared" si="4"/>
        <v>AH6802</v>
      </c>
      <c r="AB52" s="94" t="str">
        <f t="shared" si="5"/>
        <v/>
      </c>
      <c r="AC52" s="94" t="str">
        <f t="shared" si="6"/>
        <v/>
      </c>
      <c r="AD52" s="94" t="str">
        <f t="shared" si="7"/>
        <v/>
      </c>
      <c r="AE52" s="8"/>
    </row>
    <row r="53">
      <c r="A53" s="13" t="str">
        <f>RAW_APT!A54</f>
        <v>AH6875</v>
      </c>
      <c r="B53" s="294">
        <f>RAW_APT!B54</f>
        <v>44713</v>
      </c>
      <c r="C53" s="301">
        <f>RAW_APT!C54</f>
        <v>0.2039699074</v>
      </c>
      <c r="D53" s="13" t="str">
        <f>RAW_APT!D54</f>
        <v/>
      </c>
      <c r="E53" s="13" t="str">
        <f>RAW_APT!E54</f>
        <v/>
      </c>
      <c r="F53" s="13" t="str">
        <f>RAW_APT!F54</f>
        <v/>
      </c>
      <c r="G53" s="13" t="str">
        <f>RAW_APT!G54</f>
        <v>Result</v>
      </c>
      <c r="H53" s="13" t="str">
        <f>RAW_APT!H54</f>
        <v>Negative</v>
      </c>
      <c r="I53" s="294">
        <f>RAW_APT!I54</f>
        <v>44713</v>
      </c>
      <c r="J53" s="301">
        <f>RAW_APT!J54</f>
        <v>0.3414930556</v>
      </c>
      <c r="K53" s="13">
        <f>RAW_APT!K54</f>
        <v>2</v>
      </c>
      <c r="L53" s="13" t="b">
        <f>RAW_APT!L54</f>
        <v>1</v>
      </c>
      <c r="M53" s="13" t="str">
        <f>RAW_APT!M54</f>
        <v>220601-1</v>
      </c>
      <c r="N53" s="13" t="str">
        <f>RAW_APT!N54</f>
        <v>primary</v>
      </c>
      <c r="O53" s="13" t="str">
        <f>RAW_APT!O54</f>
        <v/>
      </c>
      <c r="P53" s="93" t="b">
        <f t="shared" si="1"/>
        <v>0</v>
      </c>
      <c r="Q53" s="93" t="b">
        <f>IF(COUNTIF(RAW_APS!$A$2:$A116,A53)=0,TRUE,FALSE)</f>
        <v>0</v>
      </c>
      <c r="R53" s="93" t="b">
        <f t="shared" si="2"/>
        <v>0</v>
      </c>
      <c r="S53" s="7"/>
      <c r="U53" s="94" t="str">
        <f t="shared" si="3"/>
        <v/>
      </c>
      <c r="Z53" s="129"/>
      <c r="AA53" s="94" t="str">
        <f t="shared" si="4"/>
        <v>AH6875</v>
      </c>
      <c r="AB53" s="94" t="str">
        <f t="shared" si="5"/>
        <v/>
      </c>
      <c r="AC53" s="94" t="str">
        <f t="shared" si="6"/>
        <v/>
      </c>
      <c r="AD53" s="94" t="str">
        <f t="shared" si="7"/>
        <v/>
      </c>
      <c r="AE53" s="8"/>
    </row>
    <row r="54">
      <c r="A54" s="13" t="str">
        <f>RAW_APT!A55</f>
        <v>AH6926</v>
      </c>
      <c r="B54" s="294">
        <f>RAW_APT!B55</f>
        <v>44676</v>
      </c>
      <c r="C54" s="301">
        <f>RAW_APT!C55</f>
        <v>0.3570023148</v>
      </c>
      <c r="D54" s="13" t="str">
        <f>RAW_APT!D55</f>
        <v/>
      </c>
      <c r="E54" s="13" t="str">
        <f>RAW_APT!E55</f>
        <v/>
      </c>
      <c r="F54" s="13" t="str">
        <f>RAW_APT!F55</f>
        <v/>
      </c>
      <c r="G54" s="13" t="str">
        <f>RAW_APT!G55</f>
        <v>Result</v>
      </c>
      <c r="H54" s="13" t="str">
        <f>RAW_APT!H55</f>
        <v>Negative</v>
      </c>
      <c r="I54" s="294">
        <f>RAW_APT!I55</f>
        <v>44676</v>
      </c>
      <c r="J54" s="301">
        <f>RAW_APT!J55</f>
        <v>0.4426273148</v>
      </c>
      <c r="K54" s="13">
        <f>RAW_APT!K55</f>
        <v>1</v>
      </c>
      <c r="L54" s="13" t="b">
        <f>RAW_APT!L55</f>
        <v>1</v>
      </c>
      <c r="M54" s="13" t="str">
        <f>RAW_APT!M55</f>
        <v>220425-1 RUN MAYANA</v>
      </c>
      <c r="N54" s="13" t="str">
        <f>RAW_APT!N55</f>
        <v>primary</v>
      </c>
      <c r="O54" s="13" t="str">
        <f>RAW_APT!O55</f>
        <v/>
      </c>
      <c r="P54" s="93" t="b">
        <f t="shared" si="1"/>
        <v>0</v>
      </c>
      <c r="Q54" s="93" t="b">
        <f>IF(COUNTIF(RAW_APS!$A$2:$A116,A54)=0,TRUE,FALSE)</f>
        <v>0</v>
      </c>
      <c r="R54" s="93" t="b">
        <f t="shared" si="2"/>
        <v>0</v>
      </c>
      <c r="S54" s="7"/>
      <c r="U54" s="94" t="str">
        <f t="shared" si="3"/>
        <v/>
      </c>
      <c r="Z54" s="129"/>
      <c r="AA54" s="94" t="str">
        <f t="shared" si="4"/>
        <v>AH6926</v>
      </c>
      <c r="AB54" s="94" t="str">
        <f t="shared" si="5"/>
        <v/>
      </c>
      <c r="AC54" s="94" t="str">
        <f t="shared" si="6"/>
        <v/>
      </c>
      <c r="AD54" s="94" t="str">
        <f t="shared" si="7"/>
        <v/>
      </c>
      <c r="AE54" s="8"/>
    </row>
    <row r="55">
      <c r="A55" s="13" t="str">
        <f>RAW_APT!A56</f>
        <v>AH6948</v>
      </c>
      <c r="B55" s="294">
        <f>RAW_APT!B56</f>
        <v>44713</v>
      </c>
      <c r="C55" s="301">
        <f>RAW_APT!C56</f>
        <v>0.8386574074</v>
      </c>
      <c r="D55" s="13" t="str">
        <f>RAW_APT!D56</f>
        <v/>
      </c>
      <c r="E55" s="13" t="str">
        <f>RAW_APT!E56</f>
        <v/>
      </c>
      <c r="F55" s="13" t="str">
        <f>RAW_APT!F56</f>
        <v/>
      </c>
      <c r="G55" s="13" t="str">
        <f>RAW_APT!G56</f>
        <v>Collected</v>
      </c>
      <c r="H55" s="13" t="str">
        <f>RAW_APT!H56</f>
        <v>Null</v>
      </c>
      <c r="I55" s="294">
        <f>RAW_APT!I56</f>
        <v>44861</v>
      </c>
      <c r="J55" s="301">
        <f>RAW_APT!J56</f>
        <v>0.484837963</v>
      </c>
      <c r="K55" s="13">
        <f>RAW_APT!K56</f>
        <v>3</v>
      </c>
      <c r="L55" s="13" t="str">
        <f>RAW_APT!L56</f>
        <v/>
      </c>
      <c r="M55" s="13" t="str">
        <f>RAW_APT!M56</f>
        <v/>
      </c>
      <c r="N55" s="13" t="str">
        <f>RAW_APT!N56</f>
        <v>primary</v>
      </c>
      <c r="O55" s="13" t="str">
        <f>RAW_APT!O56</f>
        <v/>
      </c>
      <c r="P55" s="93" t="b">
        <f t="shared" si="1"/>
        <v>0</v>
      </c>
      <c r="Q55" s="93" t="b">
        <f>IF(COUNTIF(RAW_APS!$A$2:$A116,A55)=0,TRUE,FALSE)</f>
        <v>0</v>
      </c>
      <c r="R55" s="93" t="b">
        <f t="shared" si="2"/>
        <v>0</v>
      </c>
      <c r="S55" s="7"/>
      <c r="U55" s="94" t="str">
        <f t="shared" si="3"/>
        <v/>
      </c>
      <c r="Z55" s="129"/>
      <c r="AA55" s="94" t="str">
        <f t="shared" si="4"/>
        <v>AH6948</v>
      </c>
      <c r="AB55" s="94" t="str">
        <f t="shared" si="5"/>
        <v/>
      </c>
      <c r="AC55" s="94" t="str">
        <f t="shared" si="6"/>
        <v/>
      </c>
      <c r="AD55" s="94" t="str">
        <f t="shared" si="7"/>
        <v/>
      </c>
      <c r="AE55" s="8"/>
    </row>
    <row r="56">
      <c r="A56" s="13" t="str">
        <f>RAW_APT!A57</f>
        <v>AH707</v>
      </c>
      <c r="B56" s="294">
        <f>RAW_APT!B57</f>
        <v>44718</v>
      </c>
      <c r="C56" s="301">
        <f>RAW_APT!C57</f>
        <v>0.1777546296</v>
      </c>
      <c r="D56" s="13" t="str">
        <f>RAW_APT!D57</f>
        <v/>
      </c>
      <c r="E56" s="13" t="str">
        <f>RAW_APT!E57</f>
        <v/>
      </c>
      <c r="F56" s="13" t="str">
        <f>RAW_APT!F57</f>
        <v/>
      </c>
      <c r="G56" s="13" t="str">
        <f>RAW_APT!G57</f>
        <v>Result</v>
      </c>
      <c r="H56" s="13" t="str">
        <f>RAW_APT!H57</f>
        <v>Negative</v>
      </c>
      <c r="I56" s="294">
        <f>RAW_APT!I57</f>
        <v>44718</v>
      </c>
      <c r="J56" s="301">
        <f>RAW_APT!J57</f>
        <v>0.3649768519</v>
      </c>
      <c r="K56" s="13">
        <f>RAW_APT!K57</f>
        <v>4</v>
      </c>
      <c r="L56" s="13" t="b">
        <f>RAW_APT!L57</f>
        <v>1</v>
      </c>
      <c r="M56" s="13" t="str">
        <f>RAW_APT!M57</f>
        <v>220606-1</v>
      </c>
      <c r="N56" s="13" t="str">
        <f>RAW_APT!N57</f>
        <v>primary</v>
      </c>
      <c r="O56" s="13" t="str">
        <f>RAW_APT!O57</f>
        <v/>
      </c>
      <c r="P56" s="93" t="b">
        <f t="shared" si="1"/>
        <v>0</v>
      </c>
      <c r="Q56" s="93" t="b">
        <f>IF(COUNTIF(RAW_APS!$A$2:$A116,A56)=0,TRUE,FALSE)</f>
        <v>0</v>
      </c>
      <c r="R56" s="93" t="b">
        <f t="shared" si="2"/>
        <v>0</v>
      </c>
      <c r="S56" s="7"/>
      <c r="U56" s="94" t="str">
        <f t="shared" si="3"/>
        <v/>
      </c>
      <c r="Z56" s="129"/>
      <c r="AA56" s="94" t="str">
        <f t="shared" si="4"/>
        <v>AH707</v>
      </c>
      <c r="AB56" s="94" t="str">
        <f t="shared" si="5"/>
        <v/>
      </c>
      <c r="AC56" s="94" t="str">
        <f t="shared" si="6"/>
        <v/>
      </c>
      <c r="AD56" s="94" t="str">
        <f t="shared" si="7"/>
        <v/>
      </c>
      <c r="AE56" s="8"/>
    </row>
    <row r="57">
      <c r="A57" s="13" t="str">
        <f>RAW_APT!A58</f>
        <v>AH7209</v>
      </c>
      <c r="B57" s="294">
        <f>RAW_APT!B58</f>
        <v>44679</v>
      </c>
      <c r="C57" s="301">
        <f>RAW_APT!C58</f>
        <v>0.1756828704</v>
      </c>
      <c r="D57" s="13" t="str">
        <f>RAW_APT!D58</f>
        <v/>
      </c>
      <c r="E57" s="13" t="str">
        <f>RAW_APT!E58</f>
        <v/>
      </c>
      <c r="F57" s="13" t="str">
        <f>RAW_APT!F58</f>
        <v/>
      </c>
      <c r="G57" s="13" t="str">
        <f>RAW_APT!G58</f>
        <v>Collected</v>
      </c>
      <c r="H57" s="13" t="str">
        <f>RAW_APT!H58</f>
        <v>Null</v>
      </c>
      <c r="I57" s="294">
        <f>RAW_APT!I58</f>
        <v>44861</v>
      </c>
      <c r="J57" s="301">
        <f>RAW_APT!J58</f>
        <v>0.484837963</v>
      </c>
      <c r="K57" s="13">
        <f>RAW_APT!K58</f>
        <v>2</v>
      </c>
      <c r="L57" s="13" t="str">
        <f>RAW_APT!L58</f>
        <v/>
      </c>
      <c r="M57" s="13" t="str">
        <f>RAW_APT!M58</f>
        <v/>
      </c>
      <c r="N57" s="13" t="str">
        <f>RAW_APT!N58</f>
        <v>primary</v>
      </c>
      <c r="O57" s="13" t="str">
        <f>RAW_APT!O58</f>
        <v/>
      </c>
      <c r="P57" s="93" t="b">
        <f t="shared" si="1"/>
        <v>0</v>
      </c>
      <c r="Q57" s="93" t="b">
        <f>IF(COUNTIF(RAW_APS!$A$2:$A116,A57)=0,TRUE,FALSE)</f>
        <v>0</v>
      </c>
      <c r="R57" s="93" t="b">
        <f t="shared" si="2"/>
        <v>0</v>
      </c>
      <c r="S57" s="7"/>
      <c r="U57" s="94" t="str">
        <f t="shared" si="3"/>
        <v/>
      </c>
      <c r="Z57" s="129"/>
      <c r="AA57" s="94" t="str">
        <f t="shared" si="4"/>
        <v>AH7209</v>
      </c>
      <c r="AB57" s="94" t="str">
        <f t="shared" si="5"/>
        <v/>
      </c>
      <c r="AC57" s="94" t="str">
        <f t="shared" si="6"/>
        <v/>
      </c>
      <c r="AD57" s="94" t="str">
        <f t="shared" si="7"/>
        <v/>
      </c>
      <c r="AE57" s="8"/>
    </row>
    <row r="58">
      <c r="A58" s="13" t="str">
        <f>RAW_APT!A59</f>
        <v>AH7211</v>
      </c>
      <c r="B58" s="294">
        <f>RAW_APT!B59</f>
        <v>44704</v>
      </c>
      <c r="C58" s="301">
        <f>RAW_APT!C59</f>
        <v>0.1784606481</v>
      </c>
      <c r="D58" s="13" t="str">
        <f>RAW_APT!D59</f>
        <v/>
      </c>
      <c r="E58" s="13" t="str">
        <f>RAW_APT!E59</f>
        <v/>
      </c>
      <c r="F58" s="13" t="str">
        <f>RAW_APT!F59</f>
        <v/>
      </c>
      <c r="G58" s="13" t="str">
        <f>RAW_APT!G59</f>
        <v>Result</v>
      </c>
      <c r="H58" s="13" t="str">
        <f>RAW_APT!H59</f>
        <v>Negative</v>
      </c>
      <c r="I58" s="294">
        <f>RAW_APT!I59</f>
        <v>44704</v>
      </c>
      <c r="J58" s="301">
        <f>RAW_APT!J59</f>
        <v>0.3949074074</v>
      </c>
      <c r="K58" s="13">
        <f>RAW_APT!K59</f>
        <v>1</v>
      </c>
      <c r="L58" s="13" t="b">
        <f>RAW_APT!L59</f>
        <v>1</v>
      </c>
      <c r="M58" s="13" t="str">
        <f>RAW_APT!M59</f>
        <v>220523-1</v>
      </c>
      <c r="N58" s="13" t="str">
        <f>RAW_APT!N59</f>
        <v>primary</v>
      </c>
      <c r="O58" s="13" t="str">
        <f>RAW_APT!O59</f>
        <v/>
      </c>
      <c r="P58" s="93" t="b">
        <f t="shared" si="1"/>
        <v>0</v>
      </c>
      <c r="Q58" s="93" t="b">
        <f>IF(COUNTIF(RAW_APS!$A$2:$A116,A58)=0,TRUE,FALSE)</f>
        <v>0</v>
      </c>
      <c r="R58" s="93" t="b">
        <f t="shared" si="2"/>
        <v>0</v>
      </c>
      <c r="S58" s="7"/>
      <c r="U58" s="94" t="str">
        <f t="shared" si="3"/>
        <v/>
      </c>
      <c r="Z58" s="129"/>
      <c r="AA58" s="94" t="str">
        <f t="shared" si="4"/>
        <v>AH7211</v>
      </c>
      <c r="AB58" s="94" t="str">
        <f t="shared" si="5"/>
        <v/>
      </c>
      <c r="AC58" s="94" t="str">
        <f t="shared" si="6"/>
        <v/>
      </c>
      <c r="AD58" s="94" t="str">
        <f t="shared" si="7"/>
        <v/>
      </c>
      <c r="AE58" s="8"/>
    </row>
    <row r="59">
      <c r="A59" s="13" t="str">
        <f>RAW_APT!A60</f>
        <v>AH7225</v>
      </c>
      <c r="B59" s="294">
        <f>RAW_APT!B60</f>
        <v>44697</v>
      </c>
      <c r="C59" s="301">
        <f>RAW_APT!C60</f>
        <v>0.1536111111</v>
      </c>
      <c r="D59" s="13" t="str">
        <f>RAW_APT!D60</f>
        <v/>
      </c>
      <c r="E59" s="13" t="str">
        <f>RAW_APT!E60</f>
        <v/>
      </c>
      <c r="F59" s="13" t="str">
        <f>RAW_APT!F60</f>
        <v/>
      </c>
      <c r="G59" s="13" t="str">
        <f>RAW_APT!G60</f>
        <v>Result</v>
      </c>
      <c r="H59" s="13" t="str">
        <f>RAW_APT!H60</f>
        <v>Negative</v>
      </c>
      <c r="I59" s="294">
        <f>RAW_APT!I60</f>
        <v>44697</v>
      </c>
      <c r="J59" s="301">
        <f>RAW_APT!J60</f>
        <v>0.361099537</v>
      </c>
      <c r="K59" s="13">
        <f>RAW_APT!K60</f>
        <v>2</v>
      </c>
      <c r="L59" s="13" t="b">
        <f>RAW_APT!L60</f>
        <v>1</v>
      </c>
      <c r="M59" s="13" t="str">
        <f>RAW_APT!M60</f>
        <v>220516-1</v>
      </c>
      <c r="N59" s="13" t="str">
        <f>RAW_APT!N60</f>
        <v>primary</v>
      </c>
      <c r="O59" s="13" t="str">
        <f>RAW_APT!O60</f>
        <v/>
      </c>
      <c r="P59" s="93" t="b">
        <f t="shared" si="1"/>
        <v>0</v>
      </c>
      <c r="Q59" s="93" t="b">
        <f>IF(COUNTIF(RAW_APS!$A$2:$A116,A59)=0,TRUE,FALSE)</f>
        <v>0</v>
      </c>
      <c r="R59" s="93" t="b">
        <f t="shared" si="2"/>
        <v>0</v>
      </c>
      <c r="S59" s="7"/>
      <c r="U59" s="94" t="str">
        <f t="shared" si="3"/>
        <v/>
      </c>
      <c r="Z59" s="129"/>
      <c r="AA59" s="94" t="str">
        <f t="shared" si="4"/>
        <v>AH7225</v>
      </c>
      <c r="AB59" s="94" t="str">
        <f t="shared" si="5"/>
        <v/>
      </c>
      <c r="AC59" s="94" t="str">
        <f t="shared" si="6"/>
        <v/>
      </c>
      <c r="AD59" s="94" t="str">
        <f t="shared" si="7"/>
        <v/>
      </c>
      <c r="AE59" s="8"/>
    </row>
    <row r="60">
      <c r="A60" s="13" t="str">
        <f>RAW_APT!A61</f>
        <v>AH7289</v>
      </c>
      <c r="B60" s="294">
        <f>RAW_APT!B61</f>
        <v>44704</v>
      </c>
      <c r="C60" s="301">
        <f>RAW_APT!C61</f>
        <v>0.2188425926</v>
      </c>
      <c r="D60" s="13" t="str">
        <f>RAW_APT!D61</f>
        <v/>
      </c>
      <c r="E60" s="13" t="str">
        <f>RAW_APT!E61</f>
        <v/>
      </c>
      <c r="F60" s="13" t="str">
        <f>RAW_APT!F61</f>
        <v/>
      </c>
      <c r="G60" s="13" t="str">
        <f>RAW_APT!G61</f>
        <v>Result</v>
      </c>
      <c r="H60" s="13" t="str">
        <f>RAW_APT!H61</f>
        <v>Negative</v>
      </c>
      <c r="I60" s="294">
        <f>RAW_APT!I61</f>
        <v>44704</v>
      </c>
      <c r="J60" s="301">
        <f>RAW_APT!J61</f>
        <v>0.3949074074</v>
      </c>
      <c r="K60" s="13">
        <f>RAW_APT!K61</f>
        <v>3</v>
      </c>
      <c r="L60" s="13" t="b">
        <f>RAW_APT!L61</f>
        <v>1</v>
      </c>
      <c r="M60" s="13" t="str">
        <f>RAW_APT!M61</f>
        <v>220523-1</v>
      </c>
      <c r="N60" s="13" t="str">
        <f>RAW_APT!N61</f>
        <v>primary</v>
      </c>
      <c r="O60" s="13" t="str">
        <f>RAW_APT!O61</f>
        <v/>
      </c>
      <c r="P60" s="93" t="b">
        <f t="shared" si="1"/>
        <v>0</v>
      </c>
      <c r="Q60" s="93" t="b">
        <f>IF(COUNTIF(RAW_APS!$A$2:$A116,A60)=0,TRUE,FALSE)</f>
        <v>0</v>
      </c>
      <c r="R60" s="93" t="b">
        <f t="shared" si="2"/>
        <v>0</v>
      </c>
      <c r="S60" s="7"/>
      <c r="U60" s="94" t="str">
        <f t="shared" si="3"/>
        <v/>
      </c>
      <c r="Z60" s="129"/>
      <c r="AA60" s="94" t="str">
        <f t="shared" si="4"/>
        <v>AH7289</v>
      </c>
      <c r="AB60" s="94" t="str">
        <f t="shared" si="5"/>
        <v/>
      </c>
      <c r="AC60" s="94" t="str">
        <f t="shared" si="6"/>
        <v/>
      </c>
      <c r="AD60" s="94" t="str">
        <f t="shared" si="7"/>
        <v/>
      </c>
      <c r="AE60" s="8"/>
    </row>
    <row r="61">
      <c r="A61" s="13" t="str">
        <f>RAW_APT!A62</f>
        <v>AH7292</v>
      </c>
      <c r="B61" s="294">
        <f>RAW_APT!B62</f>
        <v>44683</v>
      </c>
      <c r="C61" s="301">
        <f>RAW_APT!C62</f>
        <v>0.1783217593</v>
      </c>
      <c r="D61" s="13" t="str">
        <f>RAW_APT!D62</f>
        <v/>
      </c>
      <c r="E61" s="13" t="str">
        <f>RAW_APT!E62</f>
        <v/>
      </c>
      <c r="F61" s="13" t="str">
        <f>RAW_APT!F62</f>
        <v/>
      </c>
      <c r="G61" s="13" t="str">
        <f>RAW_APT!G62</f>
        <v>Result</v>
      </c>
      <c r="H61" s="13" t="str">
        <f>RAW_APT!H62</f>
        <v>Negative</v>
      </c>
      <c r="I61" s="294">
        <f>RAW_APT!I62</f>
        <v>44683</v>
      </c>
      <c r="J61" s="301">
        <f>RAW_APT!J62</f>
        <v>0.3578125</v>
      </c>
      <c r="K61" s="13">
        <f>RAW_APT!K62</f>
        <v>1</v>
      </c>
      <c r="L61" s="13" t="b">
        <f>RAW_APT!L62</f>
        <v>1</v>
      </c>
      <c r="M61" s="13" t="str">
        <f>RAW_APT!M62</f>
        <v>220502-1</v>
      </c>
      <c r="N61" s="13" t="str">
        <f>RAW_APT!N62</f>
        <v>primary</v>
      </c>
      <c r="O61" s="13" t="str">
        <f>RAW_APT!O62</f>
        <v/>
      </c>
      <c r="P61" s="93" t="b">
        <f t="shared" si="1"/>
        <v>0</v>
      </c>
      <c r="Q61" s="93" t="b">
        <f>IF(COUNTIF(RAW_APS!$A$2:$A116,A61)=0,TRUE,FALSE)</f>
        <v>0</v>
      </c>
      <c r="R61" s="93" t="b">
        <f t="shared" si="2"/>
        <v>0</v>
      </c>
      <c r="S61" s="7"/>
      <c r="U61" s="94" t="str">
        <f t="shared" si="3"/>
        <v/>
      </c>
      <c r="Z61" s="129"/>
      <c r="AA61" s="94" t="str">
        <f t="shared" si="4"/>
        <v>AH7292</v>
      </c>
      <c r="AB61" s="94" t="str">
        <f t="shared" si="5"/>
        <v/>
      </c>
      <c r="AC61" s="94" t="str">
        <f t="shared" si="6"/>
        <v/>
      </c>
      <c r="AD61" s="94" t="str">
        <f t="shared" si="7"/>
        <v/>
      </c>
      <c r="AE61" s="8"/>
    </row>
    <row r="62">
      <c r="A62" s="13" t="str">
        <f>RAW_APT!A63</f>
        <v>AH7299</v>
      </c>
      <c r="B62" s="294">
        <f>RAW_APT!B63</f>
        <v>44683</v>
      </c>
      <c r="C62" s="301">
        <f>RAW_APT!C63</f>
        <v>0.1799421296</v>
      </c>
      <c r="D62" s="13" t="str">
        <f>RAW_APT!D63</f>
        <v/>
      </c>
      <c r="E62" s="13" t="str">
        <f>RAW_APT!E63</f>
        <v/>
      </c>
      <c r="F62" s="13" t="str">
        <f>RAW_APT!F63</f>
        <v/>
      </c>
      <c r="G62" s="13" t="str">
        <f>RAW_APT!G63</f>
        <v>Result</v>
      </c>
      <c r="H62" s="13" t="str">
        <f>RAW_APT!H63</f>
        <v>Negative</v>
      </c>
      <c r="I62" s="294">
        <f>RAW_APT!I63</f>
        <v>44683</v>
      </c>
      <c r="J62" s="301">
        <f>RAW_APT!J63</f>
        <v>0.3578240741</v>
      </c>
      <c r="K62" s="13">
        <f>RAW_APT!K63</f>
        <v>1</v>
      </c>
      <c r="L62" s="13" t="b">
        <f>RAW_APT!L63</f>
        <v>1</v>
      </c>
      <c r="M62" s="13" t="str">
        <f>RAW_APT!M63</f>
        <v>220502-1</v>
      </c>
      <c r="N62" s="13" t="str">
        <f>RAW_APT!N63</f>
        <v>primary</v>
      </c>
      <c r="O62" s="13" t="str">
        <f>RAW_APT!O63</f>
        <v/>
      </c>
      <c r="P62" s="93" t="b">
        <f t="shared" si="1"/>
        <v>0</v>
      </c>
      <c r="Q62" s="93" t="b">
        <f>IF(COUNTIF(RAW_APS!$A$2:$A116,A62)=0,TRUE,FALSE)</f>
        <v>0</v>
      </c>
      <c r="R62" s="93" t="b">
        <f t="shared" si="2"/>
        <v>0</v>
      </c>
      <c r="S62" s="7"/>
      <c r="U62" s="94" t="str">
        <f t="shared" si="3"/>
        <v/>
      </c>
      <c r="Z62" s="129"/>
      <c r="AA62" s="94" t="str">
        <f t="shared" si="4"/>
        <v>AH7299</v>
      </c>
      <c r="AB62" s="94" t="str">
        <f t="shared" si="5"/>
        <v/>
      </c>
      <c r="AC62" s="94" t="str">
        <f t="shared" si="6"/>
        <v/>
      </c>
      <c r="AD62" s="94" t="str">
        <f t="shared" si="7"/>
        <v/>
      </c>
      <c r="AE62" s="8"/>
    </row>
    <row r="63">
      <c r="A63" s="13" t="str">
        <f>RAW_APT!A64</f>
        <v>AH7369</v>
      </c>
      <c r="B63" s="294">
        <f>RAW_APT!B64</f>
        <v>44678</v>
      </c>
      <c r="C63" s="301">
        <f>RAW_APT!C64</f>
        <v>0.617337963</v>
      </c>
      <c r="D63" s="13" t="str">
        <f>RAW_APT!D64</f>
        <v/>
      </c>
      <c r="E63" s="13" t="str">
        <f>RAW_APT!E64</f>
        <v/>
      </c>
      <c r="F63" s="13" t="str">
        <f>RAW_APT!F64</f>
        <v/>
      </c>
      <c r="G63" s="13" t="str">
        <f>RAW_APT!G64</f>
        <v>Result</v>
      </c>
      <c r="H63" s="13" t="str">
        <f>RAW_APT!H64</f>
        <v>Negative</v>
      </c>
      <c r="I63" s="294">
        <f>RAW_APT!I64</f>
        <v>44678</v>
      </c>
      <c r="J63" s="301">
        <f>RAW_APT!J64</f>
        <v>0.6284375</v>
      </c>
      <c r="K63" s="13">
        <f>RAW_APT!K64</f>
        <v>1</v>
      </c>
      <c r="L63" s="13" t="b">
        <f>RAW_APT!L64</f>
        <v>1</v>
      </c>
      <c r="M63" s="13" t="str">
        <f>RAW_APT!M64</f>
        <v>220427-1 mock</v>
      </c>
      <c r="N63" s="13" t="str">
        <f>RAW_APT!N64</f>
        <v>primary</v>
      </c>
      <c r="O63" s="13" t="str">
        <f>RAW_APT!O64</f>
        <v/>
      </c>
      <c r="P63" s="93" t="b">
        <f t="shared" si="1"/>
        <v>0</v>
      </c>
      <c r="Q63" s="93" t="b">
        <f>IF(COUNTIF(RAW_APS!$A$2:$A116,A63)=0,TRUE,FALSE)</f>
        <v>0</v>
      </c>
      <c r="R63" s="93" t="b">
        <f t="shared" si="2"/>
        <v>0</v>
      </c>
      <c r="S63" s="7"/>
      <c r="U63" s="94" t="str">
        <f t="shared" si="3"/>
        <v/>
      </c>
      <c r="Z63" s="129"/>
      <c r="AA63" s="94" t="str">
        <f t="shared" si="4"/>
        <v>AH7369</v>
      </c>
      <c r="AB63" s="94" t="str">
        <f t="shared" si="5"/>
        <v/>
      </c>
      <c r="AC63" s="94" t="str">
        <f t="shared" si="6"/>
        <v/>
      </c>
      <c r="AD63" s="94" t="str">
        <f t="shared" si="7"/>
        <v/>
      </c>
      <c r="AE63" s="8"/>
    </row>
    <row r="64">
      <c r="A64" s="13" t="str">
        <f>RAW_APT!A65</f>
        <v>AH7507</v>
      </c>
      <c r="B64" s="294">
        <f>RAW_APT!B65</f>
        <v>44678</v>
      </c>
      <c r="C64" s="301">
        <f>RAW_APT!C65</f>
        <v>0.6174652778</v>
      </c>
      <c r="D64" s="13" t="str">
        <f>RAW_APT!D65</f>
        <v/>
      </c>
      <c r="E64" s="13" t="str">
        <f>RAW_APT!E65</f>
        <v/>
      </c>
      <c r="F64" s="13" t="str">
        <f>RAW_APT!F65</f>
        <v/>
      </c>
      <c r="G64" s="13" t="str">
        <f>RAW_APT!G65</f>
        <v>Result</v>
      </c>
      <c r="H64" s="13" t="str">
        <f>RAW_APT!H65</f>
        <v>Negative</v>
      </c>
      <c r="I64" s="294">
        <f>RAW_APT!I65</f>
        <v>44678</v>
      </c>
      <c r="J64" s="301">
        <f>RAW_APT!J65</f>
        <v>0.6284375</v>
      </c>
      <c r="K64" s="13">
        <f>RAW_APT!K65</f>
        <v>1</v>
      </c>
      <c r="L64" s="13" t="b">
        <f>RAW_APT!L65</f>
        <v>1</v>
      </c>
      <c r="M64" s="13" t="str">
        <f>RAW_APT!M65</f>
        <v>220427-1 mock</v>
      </c>
      <c r="N64" s="13" t="str">
        <f>RAW_APT!N65</f>
        <v>primary</v>
      </c>
      <c r="O64" s="13" t="str">
        <f>RAW_APT!O65</f>
        <v/>
      </c>
      <c r="P64" s="93" t="b">
        <f t="shared" si="1"/>
        <v>0</v>
      </c>
      <c r="Q64" s="93" t="b">
        <f>IF(COUNTIF(RAW_APS!$A$2:$A116,A64)=0,TRUE,FALSE)</f>
        <v>0</v>
      </c>
      <c r="R64" s="93" t="b">
        <f t="shared" si="2"/>
        <v>0</v>
      </c>
      <c r="S64" s="7"/>
      <c r="U64" s="94" t="str">
        <f t="shared" si="3"/>
        <v/>
      </c>
      <c r="Z64" s="129"/>
      <c r="AA64" s="94" t="str">
        <f t="shared" si="4"/>
        <v>AH7507</v>
      </c>
      <c r="AB64" s="94" t="str">
        <f t="shared" si="5"/>
        <v/>
      </c>
      <c r="AC64" s="94" t="str">
        <f t="shared" si="6"/>
        <v/>
      </c>
      <c r="AD64" s="94" t="str">
        <f t="shared" si="7"/>
        <v/>
      </c>
      <c r="AE64" s="8"/>
    </row>
    <row r="65">
      <c r="A65" s="13" t="str">
        <f>RAW_APT!A66</f>
        <v>AH7650</v>
      </c>
      <c r="B65" s="294">
        <f>RAW_APT!B66</f>
        <v>44713</v>
      </c>
      <c r="C65" s="301">
        <f>RAW_APT!C66</f>
        <v>0.1966666667</v>
      </c>
      <c r="D65" s="13" t="str">
        <f>RAW_APT!D66</f>
        <v/>
      </c>
      <c r="E65" s="13" t="str">
        <f>RAW_APT!E66</f>
        <v/>
      </c>
      <c r="F65" s="13" t="str">
        <f>RAW_APT!F66</f>
        <v/>
      </c>
      <c r="G65" s="13" t="str">
        <f>RAW_APT!G66</f>
        <v>Result</v>
      </c>
      <c r="H65" s="13" t="str">
        <f>RAW_APT!H66</f>
        <v>Negative</v>
      </c>
      <c r="I65" s="294">
        <f>RAW_APT!I66</f>
        <v>44713</v>
      </c>
      <c r="J65" s="301">
        <f>RAW_APT!J66</f>
        <v>0.3414930556</v>
      </c>
      <c r="K65" s="13">
        <f>RAW_APT!K66</f>
        <v>2</v>
      </c>
      <c r="L65" s="13" t="b">
        <f>RAW_APT!L66</f>
        <v>1</v>
      </c>
      <c r="M65" s="13" t="str">
        <f>RAW_APT!M66</f>
        <v>220601-1</v>
      </c>
      <c r="N65" s="13" t="str">
        <f>RAW_APT!N66</f>
        <v>primary</v>
      </c>
      <c r="O65" s="13" t="str">
        <f>RAW_APT!O66</f>
        <v/>
      </c>
      <c r="P65" s="93" t="b">
        <f t="shared" si="1"/>
        <v>0</v>
      </c>
      <c r="Q65" s="93" t="b">
        <f>IF(COUNTIF(RAW_APS!$A$2:$A116,A65)=0,TRUE,FALSE)</f>
        <v>0</v>
      </c>
      <c r="R65" s="93" t="b">
        <f t="shared" si="2"/>
        <v>0</v>
      </c>
      <c r="S65" s="7"/>
      <c r="U65" s="94" t="str">
        <f t="shared" si="3"/>
        <v/>
      </c>
      <c r="Z65" s="129"/>
      <c r="AA65" s="94" t="str">
        <f t="shared" si="4"/>
        <v>AH7650</v>
      </c>
      <c r="AB65" s="94" t="str">
        <f t="shared" si="5"/>
        <v/>
      </c>
      <c r="AC65" s="94" t="str">
        <f t="shared" si="6"/>
        <v/>
      </c>
      <c r="AD65" s="94" t="str">
        <f t="shared" si="7"/>
        <v/>
      </c>
      <c r="AE65" s="8"/>
    </row>
    <row r="66">
      <c r="A66" s="13" t="str">
        <f>RAW_APT!A67</f>
        <v>AH772</v>
      </c>
      <c r="B66" s="294">
        <f>RAW_APT!B67</f>
        <v>44739</v>
      </c>
      <c r="C66" s="301">
        <f>RAW_APT!C67</f>
        <v>0.223287037</v>
      </c>
      <c r="D66" s="13" t="str">
        <f>RAW_APT!D67</f>
        <v/>
      </c>
      <c r="E66" s="13" t="str">
        <f>RAW_APT!E67</f>
        <v/>
      </c>
      <c r="F66" s="13" t="str">
        <f>RAW_APT!F67</f>
        <v/>
      </c>
      <c r="G66" s="13" t="str">
        <f>RAW_APT!G67</f>
        <v>Result</v>
      </c>
      <c r="H66" s="13" t="str">
        <f>RAW_APT!H67</f>
        <v>Negative</v>
      </c>
      <c r="I66" s="294">
        <f>RAW_APT!I67</f>
        <v>44739</v>
      </c>
      <c r="J66" s="301">
        <f>RAW_APT!J67</f>
        <v>0.3771875</v>
      </c>
      <c r="K66" s="13">
        <f>RAW_APT!K67</f>
        <v>3</v>
      </c>
      <c r="L66" s="13" t="b">
        <f>RAW_APT!L67</f>
        <v>1</v>
      </c>
      <c r="M66" s="13" t="str">
        <f>RAW_APT!M67</f>
        <v>220627-1</v>
      </c>
      <c r="N66" s="13" t="str">
        <f>RAW_APT!N67</f>
        <v>primary</v>
      </c>
      <c r="O66" s="13" t="str">
        <f>RAW_APT!O67</f>
        <v/>
      </c>
      <c r="P66" s="93" t="b">
        <f t="shared" si="1"/>
        <v>0</v>
      </c>
      <c r="Q66" s="93" t="b">
        <f>IF(COUNTIF(RAW_APS!$A$2:$A116,A66)=0,TRUE,FALSE)</f>
        <v>0</v>
      </c>
      <c r="R66" s="93" t="b">
        <f t="shared" si="2"/>
        <v>0</v>
      </c>
      <c r="S66" s="7"/>
      <c r="U66" s="94" t="str">
        <f t="shared" si="3"/>
        <v/>
      </c>
      <c r="Z66" s="129"/>
      <c r="AA66" s="94" t="str">
        <f t="shared" si="4"/>
        <v>AH772</v>
      </c>
      <c r="AB66" s="94" t="str">
        <f t="shared" si="5"/>
        <v/>
      </c>
      <c r="AC66" s="94" t="str">
        <f t="shared" si="6"/>
        <v/>
      </c>
      <c r="AD66" s="94" t="str">
        <f t="shared" si="7"/>
        <v/>
      </c>
      <c r="AE66" s="8"/>
    </row>
    <row r="67">
      <c r="A67" s="13" t="str">
        <f>RAW_APT!A68</f>
        <v>AH7931</v>
      </c>
      <c r="B67" s="294">
        <f>RAW_APT!B68</f>
        <v>44690</v>
      </c>
      <c r="C67" s="301">
        <f>RAW_APT!C68</f>
        <v>0.1787037037</v>
      </c>
      <c r="D67" s="13" t="str">
        <f>RAW_APT!D68</f>
        <v/>
      </c>
      <c r="E67" s="13" t="str">
        <f>RAW_APT!E68</f>
        <v/>
      </c>
      <c r="F67" s="13" t="str">
        <f>RAW_APT!F68</f>
        <v/>
      </c>
      <c r="G67" s="13" t="str">
        <f>RAW_APT!G68</f>
        <v>Result</v>
      </c>
      <c r="H67" s="13" t="str">
        <f>RAW_APT!H68</f>
        <v>Negative</v>
      </c>
      <c r="I67" s="294">
        <f>RAW_APT!I68</f>
        <v>44690</v>
      </c>
      <c r="J67" s="301">
        <f>RAW_APT!J68</f>
        <v>0.3232407407</v>
      </c>
      <c r="K67" s="13">
        <f>RAW_APT!K68</f>
        <v>3</v>
      </c>
      <c r="L67" s="13" t="b">
        <f>RAW_APT!L68</f>
        <v>1</v>
      </c>
      <c r="M67" s="13" t="str">
        <f>RAW_APT!M68</f>
        <v>220509-1</v>
      </c>
      <c r="N67" s="13" t="str">
        <f>RAW_APT!N68</f>
        <v>primary</v>
      </c>
      <c r="O67" s="13" t="str">
        <f>RAW_APT!O68</f>
        <v/>
      </c>
      <c r="P67" s="93" t="b">
        <f t="shared" si="1"/>
        <v>0</v>
      </c>
      <c r="Q67" s="93" t="b">
        <f>IF(COUNTIF(RAW_APS!$A$2:$A116,A67)=0,TRUE,FALSE)</f>
        <v>0</v>
      </c>
      <c r="R67" s="93" t="b">
        <f t="shared" si="2"/>
        <v>0</v>
      </c>
      <c r="S67" s="7"/>
      <c r="U67" s="94" t="str">
        <f t="shared" si="3"/>
        <v/>
      </c>
      <c r="Z67" s="129"/>
      <c r="AA67" s="94" t="str">
        <f t="shared" si="4"/>
        <v>AH7931</v>
      </c>
      <c r="AB67" s="94" t="str">
        <f t="shared" si="5"/>
        <v/>
      </c>
      <c r="AC67" s="94" t="str">
        <f t="shared" si="6"/>
        <v/>
      </c>
      <c r="AD67" s="94" t="str">
        <f t="shared" si="7"/>
        <v/>
      </c>
      <c r="AE67" s="8"/>
    </row>
    <row r="68">
      <c r="A68" s="13" t="str">
        <f>RAW_APT!A69</f>
        <v>AH7933</v>
      </c>
      <c r="B68" s="294">
        <f>RAW_APT!B69</f>
        <v>44718</v>
      </c>
      <c r="C68" s="301">
        <f>RAW_APT!C69</f>
        <v>0.2116782407</v>
      </c>
      <c r="D68" s="13" t="str">
        <f>RAW_APT!D69</f>
        <v/>
      </c>
      <c r="E68" s="13" t="str">
        <f>RAW_APT!E69</f>
        <v/>
      </c>
      <c r="F68" s="13" t="str">
        <f>RAW_APT!F69</f>
        <v/>
      </c>
      <c r="G68" s="13" t="str">
        <f>RAW_APT!G69</f>
        <v>Result</v>
      </c>
      <c r="H68" s="13" t="str">
        <f>RAW_APT!H69</f>
        <v>Negative</v>
      </c>
      <c r="I68" s="294">
        <f>RAW_APT!I69</f>
        <v>44718</v>
      </c>
      <c r="J68" s="301">
        <f>RAW_APT!J69</f>
        <v>0.3649768519</v>
      </c>
      <c r="K68" s="13">
        <f>RAW_APT!K69</f>
        <v>3</v>
      </c>
      <c r="L68" s="13" t="b">
        <f>RAW_APT!L69</f>
        <v>1</v>
      </c>
      <c r="M68" s="13" t="str">
        <f>RAW_APT!M69</f>
        <v>220606-1</v>
      </c>
      <c r="N68" s="13" t="str">
        <f>RAW_APT!N69</f>
        <v>primary</v>
      </c>
      <c r="O68" s="13" t="str">
        <f>RAW_APT!O69</f>
        <v/>
      </c>
      <c r="P68" s="93" t="b">
        <f t="shared" si="1"/>
        <v>0</v>
      </c>
      <c r="Q68" s="93" t="b">
        <f>IF(COUNTIF(RAW_APS!$A$2:$A116,A68)=0,TRUE,FALSE)</f>
        <v>0</v>
      </c>
      <c r="R68" s="93" t="b">
        <f t="shared" si="2"/>
        <v>0</v>
      </c>
      <c r="S68" s="7"/>
      <c r="U68" s="94" t="str">
        <f t="shared" si="3"/>
        <v/>
      </c>
      <c r="Z68" s="129"/>
      <c r="AA68" s="94" t="str">
        <f t="shared" si="4"/>
        <v>AH7933</v>
      </c>
      <c r="AB68" s="94" t="str">
        <f t="shared" si="5"/>
        <v/>
      </c>
      <c r="AC68" s="94" t="str">
        <f t="shared" si="6"/>
        <v/>
      </c>
      <c r="AD68" s="94" t="str">
        <f t="shared" si="7"/>
        <v/>
      </c>
      <c r="AE68" s="8"/>
    </row>
    <row r="69">
      <c r="A69" s="13" t="str">
        <f>RAW_APT!A70</f>
        <v>AH7951</v>
      </c>
      <c r="B69" s="294">
        <f>RAW_APT!B70</f>
        <v>44760</v>
      </c>
      <c r="C69" s="301">
        <f>RAW_APT!C70</f>
        <v>0.3808796296</v>
      </c>
      <c r="D69" s="13" t="str">
        <f>RAW_APT!D70</f>
        <v/>
      </c>
      <c r="E69" s="13" t="str">
        <f>RAW_APT!E70</f>
        <v/>
      </c>
      <c r="F69" s="13" t="str">
        <f>RAW_APT!F70</f>
        <v/>
      </c>
      <c r="G69" s="13" t="str">
        <f>RAW_APT!G70</f>
        <v>Result</v>
      </c>
      <c r="H69" s="13" t="str">
        <f>RAW_APT!H70</f>
        <v>Negative</v>
      </c>
      <c r="I69" s="294">
        <f>RAW_APT!I70</f>
        <v>44760</v>
      </c>
      <c r="J69" s="301">
        <f>RAW_APT!J70</f>
        <v>0.4209143519</v>
      </c>
      <c r="K69" s="13">
        <f>RAW_APT!K70</f>
        <v>2</v>
      </c>
      <c r="L69" s="13" t="b">
        <f>RAW_APT!L70</f>
        <v>1</v>
      </c>
      <c r="M69" s="13" t="str">
        <f>RAW_APT!M70</f>
        <v>220718-1</v>
      </c>
      <c r="N69" s="13" t="str">
        <f>RAW_APT!N70</f>
        <v>primary</v>
      </c>
      <c r="O69" s="13" t="str">
        <f>RAW_APT!O70</f>
        <v/>
      </c>
      <c r="P69" s="93" t="b">
        <f t="shared" si="1"/>
        <v>0</v>
      </c>
      <c r="Q69" s="93" t="b">
        <f>IF(COUNTIF(RAW_APS!$A$2:$A116,A69)=0,TRUE,FALSE)</f>
        <v>0</v>
      </c>
      <c r="R69" s="93" t="b">
        <f t="shared" si="2"/>
        <v>0</v>
      </c>
      <c r="S69" s="7"/>
      <c r="U69" s="94" t="str">
        <f t="shared" si="3"/>
        <v/>
      </c>
      <c r="Z69" s="129"/>
      <c r="AA69" s="94" t="str">
        <f t="shared" si="4"/>
        <v>AH7951</v>
      </c>
      <c r="AB69" s="94" t="str">
        <f t="shared" si="5"/>
        <v/>
      </c>
      <c r="AC69" s="94" t="str">
        <f t="shared" si="6"/>
        <v/>
      </c>
      <c r="AD69" s="94" t="str">
        <f t="shared" si="7"/>
        <v/>
      </c>
      <c r="AE69" s="8"/>
    </row>
    <row r="70">
      <c r="A70" s="13" t="str">
        <f>RAW_APT!A71</f>
        <v>AH80</v>
      </c>
      <c r="B70" s="294">
        <f>RAW_APT!B71</f>
        <v>44678</v>
      </c>
      <c r="C70" s="301">
        <f>RAW_APT!C71</f>
        <v>0.6178472222</v>
      </c>
      <c r="D70" s="13" t="str">
        <f>RAW_APT!D71</f>
        <v/>
      </c>
      <c r="E70" s="13" t="str">
        <f>RAW_APT!E71</f>
        <v/>
      </c>
      <c r="F70" s="13" t="str">
        <f>RAW_APT!F71</f>
        <v/>
      </c>
      <c r="G70" s="13" t="str">
        <f>RAW_APT!G71</f>
        <v>Result</v>
      </c>
      <c r="H70" s="13" t="str">
        <f>RAW_APT!H71</f>
        <v>Negative</v>
      </c>
      <c r="I70" s="294">
        <f>RAW_APT!I71</f>
        <v>44678</v>
      </c>
      <c r="J70" s="301">
        <f>RAW_APT!J71</f>
        <v>0.6284490741</v>
      </c>
      <c r="K70" s="13">
        <f>RAW_APT!K71</f>
        <v>1</v>
      </c>
      <c r="L70" s="13" t="b">
        <f>RAW_APT!L71</f>
        <v>1</v>
      </c>
      <c r="M70" s="13" t="str">
        <f>RAW_APT!M71</f>
        <v>220427-1 mock</v>
      </c>
      <c r="N70" s="13" t="str">
        <f>RAW_APT!N71</f>
        <v>primary</v>
      </c>
      <c r="O70" s="13" t="str">
        <f>RAW_APT!O71</f>
        <v/>
      </c>
      <c r="P70" s="93" t="b">
        <f t="shared" si="1"/>
        <v>0</v>
      </c>
      <c r="Q70" s="93" t="b">
        <f>IF(COUNTIF(RAW_APS!$A$2:$A116,A70)=0,TRUE,FALSE)</f>
        <v>0</v>
      </c>
      <c r="R70" s="93" t="b">
        <f t="shared" si="2"/>
        <v>0</v>
      </c>
      <c r="S70" s="7"/>
      <c r="U70" s="94" t="str">
        <f t="shared" si="3"/>
        <v/>
      </c>
      <c r="Z70" s="129"/>
      <c r="AA70" s="94" t="str">
        <f t="shared" si="4"/>
        <v>AH80</v>
      </c>
      <c r="AB70" s="94" t="str">
        <f t="shared" si="5"/>
        <v/>
      </c>
      <c r="AC70" s="94" t="str">
        <f t="shared" si="6"/>
        <v/>
      </c>
      <c r="AD70" s="94" t="str">
        <f t="shared" si="7"/>
        <v/>
      </c>
      <c r="AE70" s="8"/>
    </row>
    <row r="71">
      <c r="A71" s="13" t="str">
        <f>RAW_APT!A72</f>
        <v>AH8073</v>
      </c>
      <c r="B71" s="294">
        <f>RAW_APT!B72</f>
        <v>44659</v>
      </c>
      <c r="C71" s="301">
        <f>RAW_APT!C72</f>
        <v>0.3866203704</v>
      </c>
      <c r="D71" s="13" t="str">
        <f>RAW_APT!D72</f>
        <v/>
      </c>
      <c r="E71" s="13" t="str">
        <f>RAW_APT!E72</f>
        <v/>
      </c>
      <c r="F71" s="13" t="str">
        <f>RAW_APT!F72</f>
        <v/>
      </c>
      <c r="G71" s="13" t="str">
        <f>RAW_APT!G72</f>
        <v>Collected</v>
      </c>
      <c r="H71" s="13" t="str">
        <f>RAW_APT!H72</f>
        <v>Null</v>
      </c>
      <c r="I71" s="294">
        <f>RAW_APT!I72</f>
        <v>44861</v>
      </c>
      <c r="J71" s="301">
        <f>RAW_APT!J72</f>
        <v>0.484837963</v>
      </c>
      <c r="K71" s="13">
        <f>RAW_APT!K72</f>
        <v>0</v>
      </c>
      <c r="L71" s="13" t="str">
        <f>RAW_APT!L72</f>
        <v/>
      </c>
      <c r="M71" s="13" t="str">
        <f>RAW_APT!M72</f>
        <v/>
      </c>
      <c r="N71" s="13" t="str">
        <f>RAW_APT!N72</f>
        <v>primary</v>
      </c>
      <c r="O71" s="13" t="str">
        <f>RAW_APT!O72</f>
        <v/>
      </c>
      <c r="P71" s="93" t="b">
        <f t="shared" si="1"/>
        <v>1</v>
      </c>
      <c r="Q71" s="93" t="b">
        <f>IF(COUNTIF(RAW_APS!$A$2:$A116,A71)=0,TRUE,FALSE)</f>
        <v>1</v>
      </c>
      <c r="R71" s="93" t="b">
        <f t="shared" si="2"/>
        <v>0</v>
      </c>
      <c r="S71" s="7"/>
      <c r="U71" s="94" t="str">
        <f t="shared" si="3"/>
        <v/>
      </c>
      <c r="Z71" s="129"/>
      <c r="AA71" s="94" t="str">
        <f t="shared" si="4"/>
        <v>AH8073</v>
      </c>
      <c r="AB71" s="94" t="str">
        <f t="shared" si="5"/>
        <v/>
      </c>
      <c r="AC71" s="94" t="str">
        <f t="shared" si="6"/>
        <v/>
      </c>
      <c r="AD71" s="94" t="str">
        <f t="shared" si="7"/>
        <v/>
      </c>
      <c r="AE71" s="8"/>
    </row>
    <row r="72">
      <c r="A72" s="13" t="str">
        <f>RAW_APT!A73</f>
        <v>AH8283</v>
      </c>
      <c r="B72" s="294">
        <f>RAW_APT!B73</f>
        <v>44747</v>
      </c>
      <c r="C72" s="301">
        <f>RAW_APT!C73</f>
        <v>0.1989814815</v>
      </c>
      <c r="D72" s="13" t="str">
        <f>RAW_APT!D73</f>
        <v/>
      </c>
      <c r="E72" s="13" t="str">
        <f>RAW_APT!E73</f>
        <v/>
      </c>
      <c r="F72" s="13" t="str">
        <f>RAW_APT!F73</f>
        <v/>
      </c>
      <c r="G72" s="13" t="str">
        <f>RAW_APT!G73</f>
        <v>Result</v>
      </c>
      <c r="H72" s="13" t="str">
        <f>RAW_APT!H73</f>
        <v>Negative</v>
      </c>
      <c r="I72" s="294">
        <f>RAW_APT!I73</f>
        <v>44753</v>
      </c>
      <c r="J72" s="301">
        <f>RAW_APT!J73</f>
        <v>0.3984027778</v>
      </c>
      <c r="K72" s="13">
        <f>RAW_APT!K73</f>
        <v>2</v>
      </c>
      <c r="L72" s="13" t="b">
        <f>RAW_APT!L73</f>
        <v>1</v>
      </c>
      <c r="M72" s="13" t="str">
        <f>RAW_APT!M73</f>
        <v>220711-1</v>
      </c>
      <c r="N72" s="13" t="str">
        <f>RAW_APT!N73</f>
        <v>primary</v>
      </c>
      <c r="O72" s="13" t="str">
        <f>RAW_APT!O73</f>
        <v/>
      </c>
      <c r="P72" s="93" t="b">
        <f t="shared" si="1"/>
        <v>0</v>
      </c>
      <c r="Q72" s="93" t="b">
        <f>IF(COUNTIF(RAW_APS!$A$2:$A116,A72)=0,TRUE,FALSE)</f>
        <v>0</v>
      </c>
      <c r="R72" s="93" t="b">
        <f t="shared" si="2"/>
        <v>0</v>
      </c>
      <c r="S72" s="7"/>
      <c r="U72" s="94" t="str">
        <f t="shared" si="3"/>
        <v/>
      </c>
      <c r="Z72" s="129"/>
      <c r="AA72" s="94" t="str">
        <f t="shared" si="4"/>
        <v>AH8283</v>
      </c>
      <c r="AB72" s="94" t="str">
        <f t="shared" si="5"/>
        <v/>
      </c>
      <c r="AC72" s="94" t="str">
        <f t="shared" si="6"/>
        <v/>
      </c>
      <c r="AD72" s="94" t="str">
        <f t="shared" si="7"/>
        <v/>
      </c>
      <c r="AE72" s="8"/>
    </row>
    <row r="73">
      <c r="A73" s="13" t="str">
        <f>RAW_APT!A74</f>
        <v>AH8325</v>
      </c>
      <c r="B73" s="294">
        <f>RAW_APT!B74</f>
        <v>44678</v>
      </c>
      <c r="C73" s="301">
        <f>RAW_APT!C74</f>
        <v>0.6181712963</v>
      </c>
      <c r="D73" s="13" t="str">
        <f>RAW_APT!D74</f>
        <v/>
      </c>
      <c r="E73" s="13" t="str">
        <f>RAW_APT!E74</f>
        <v/>
      </c>
      <c r="F73" s="13" t="str">
        <f>RAW_APT!F74</f>
        <v/>
      </c>
      <c r="G73" s="13" t="str">
        <f>RAW_APT!G74</f>
        <v>Result</v>
      </c>
      <c r="H73" s="13" t="str">
        <f>RAW_APT!H74</f>
        <v>Negative</v>
      </c>
      <c r="I73" s="294">
        <f>RAW_APT!I74</f>
        <v>44678</v>
      </c>
      <c r="J73" s="301">
        <f>RAW_APT!J74</f>
        <v>0.6284490741</v>
      </c>
      <c r="K73" s="13">
        <f>RAW_APT!K74</f>
        <v>1</v>
      </c>
      <c r="L73" s="13" t="b">
        <f>RAW_APT!L74</f>
        <v>1</v>
      </c>
      <c r="M73" s="13" t="str">
        <f>RAW_APT!M74</f>
        <v>220427-1 mock</v>
      </c>
      <c r="N73" s="13" t="str">
        <f>RAW_APT!N74</f>
        <v>primary</v>
      </c>
      <c r="O73" s="13" t="str">
        <f>RAW_APT!O74</f>
        <v/>
      </c>
      <c r="P73" s="93" t="b">
        <f t="shared" si="1"/>
        <v>0</v>
      </c>
      <c r="Q73" s="93" t="b">
        <f>IF(COUNTIF(RAW_APS!$A$2:$A116,A73)=0,TRUE,FALSE)</f>
        <v>0</v>
      </c>
      <c r="R73" s="93" t="b">
        <f t="shared" si="2"/>
        <v>0</v>
      </c>
      <c r="S73" s="7"/>
      <c r="U73" s="94" t="str">
        <f t="shared" si="3"/>
        <v/>
      </c>
      <c r="Z73" s="129"/>
      <c r="AA73" s="94" t="str">
        <f t="shared" si="4"/>
        <v>AH8325</v>
      </c>
      <c r="AB73" s="94" t="str">
        <f t="shared" si="5"/>
        <v/>
      </c>
      <c r="AC73" s="94" t="str">
        <f t="shared" si="6"/>
        <v/>
      </c>
      <c r="AD73" s="94" t="str">
        <f t="shared" si="7"/>
        <v/>
      </c>
      <c r="AE73" s="8"/>
    </row>
    <row r="74">
      <c r="A74" s="13" t="str">
        <f>RAW_APT!A75</f>
        <v>AH8383</v>
      </c>
      <c r="B74" s="294">
        <f>RAW_APT!B75</f>
        <v>44760</v>
      </c>
      <c r="C74" s="301">
        <f>RAW_APT!C75</f>
        <v>0.2197453704</v>
      </c>
      <c r="D74" s="13" t="str">
        <f>RAW_APT!D75</f>
        <v/>
      </c>
      <c r="E74" s="13" t="str">
        <f>RAW_APT!E75</f>
        <v/>
      </c>
      <c r="F74" s="13" t="str">
        <f>RAW_APT!F75</f>
        <v/>
      </c>
      <c r="G74" s="13" t="str">
        <f>RAW_APT!G75</f>
        <v>Collected</v>
      </c>
      <c r="H74" s="13" t="str">
        <f>RAW_APT!H75</f>
        <v>Null</v>
      </c>
      <c r="I74" s="294">
        <f>RAW_APT!I75</f>
        <v>44861</v>
      </c>
      <c r="J74" s="301">
        <f>RAW_APT!J75</f>
        <v>0.484837963</v>
      </c>
      <c r="K74" s="13">
        <f>RAW_APT!K75</f>
        <v>3</v>
      </c>
      <c r="L74" s="13" t="str">
        <f>RAW_APT!L75</f>
        <v/>
      </c>
      <c r="M74" s="13" t="str">
        <f>RAW_APT!M75</f>
        <v/>
      </c>
      <c r="N74" s="13" t="str">
        <f>RAW_APT!N75</f>
        <v>primary</v>
      </c>
      <c r="O74" s="13" t="str">
        <f>RAW_APT!O75</f>
        <v/>
      </c>
      <c r="P74" s="93" t="b">
        <f t="shared" si="1"/>
        <v>0</v>
      </c>
      <c r="Q74" s="93" t="b">
        <f>IF(COUNTIF(RAW_APS!$A$2:$A116,A74)=0,TRUE,FALSE)</f>
        <v>0</v>
      </c>
      <c r="R74" s="93" t="b">
        <f t="shared" si="2"/>
        <v>0</v>
      </c>
      <c r="S74" s="7"/>
      <c r="U74" s="94" t="str">
        <f t="shared" si="3"/>
        <v/>
      </c>
      <c r="Z74" s="129"/>
      <c r="AA74" s="94" t="str">
        <f t="shared" si="4"/>
        <v>AH8383</v>
      </c>
      <c r="AB74" s="94" t="str">
        <f t="shared" si="5"/>
        <v/>
      </c>
      <c r="AC74" s="94" t="str">
        <f t="shared" si="6"/>
        <v/>
      </c>
      <c r="AD74" s="94" t="str">
        <f t="shared" si="7"/>
        <v/>
      </c>
      <c r="AE74" s="8"/>
    </row>
    <row r="75">
      <c r="A75" s="13" t="str">
        <f>RAW_APT!A76</f>
        <v>AH8656</v>
      </c>
      <c r="B75" s="294">
        <f>RAW_APT!B76</f>
        <v>44725</v>
      </c>
      <c r="C75" s="301">
        <f>RAW_APT!C76</f>
        <v>0.1658796296</v>
      </c>
      <c r="D75" s="13" t="str">
        <f>RAW_APT!D76</f>
        <v/>
      </c>
      <c r="E75" s="13" t="str">
        <f>RAW_APT!E76</f>
        <v/>
      </c>
      <c r="F75" s="13" t="str">
        <f>RAW_APT!F76</f>
        <v/>
      </c>
      <c r="G75" s="13" t="str">
        <f>RAW_APT!G76</f>
        <v>Collected</v>
      </c>
      <c r="H75" s="13" t="str">
        <f>RAW_APT!H76</f>
        <v>Null</v>
      </c>
      <c r="I75" s="294">
        <f>RAW_APT!I76</f>
        <v>44861</v>
      </c>
      <c r="J75" s="301">
        <f>RAW_APT!J76</f>
        <v>0.484837963</v>
      </c>
      <c r="K75" s="13">
        <f>RAW_APT!K76</f>
        <v>3</v>
      </c>
      <c r="L75" s="13" t="str">
        <f>RAW_APT!L76</f>
        <v/>
      </c>
      <c r="M75" s="13" t="str">
        <f>RAW_APT!M76</f>
        <v/>
      </c>
      <c r="N75" s="13" t="str">
        <f>RAW_APT!N76</f>
        <v>primary</v>
      </c>
      <c r="O75" s="13" t="str">
        <f>RAW_APT!O76</f>
        <v/>
      </c>
      <c r="P75" s="93" t="b">
        <f t="shared" si="1"/>
        <v>0</v>
      </c>
      <c r="Q75" s="93" t="b">
        <f>IF(COUNTIF(RAW_APS!$A$2:$A116,A75)=0,TRUE,FALSE)</f>
        <v>0</v>
      </c>
      <c r="R75" s="93" t="b">
        <f t="shared" si="2"/>
        <v>0</v>
      </c>
      <c r="S75" s="7"/>
      <c r="U75" s="94" t="str">
        <f t="shared" si="3"/>
        <v/>
      </c>
      <c r="Z75" s="129"/>
      <c r="AA75" s="94" t="str">
        <f t="shared" si="4"/>
        <v>AH8656</v>
      </c>
      <c r="AB75" s="94" t="str">
        <f t="shared" si="5"/>
        <v/>
      </c>
      <c r="AC75" s="94" t="str">
        <f t="shared" si="6"/>
        <v/>
      </c>
      <c r="AD75" s="94" t="str">
        <f t="shared" si="7"/>
        <v/>
      </c>
      <c r="AE75" s="8"/>
    </row>
    <row r="76">
      <c r="A76" s="13" t="str">
        <f>RAW_APT!A77</f>
        <v>AH8663</v>
      </c>
      <c r="B76" s="294">
        <f>RAW_APT!B77</f>
        <v>44738</v>
      </c>
      <c r="C76" s="301">
        <f>RAW_APT!C77</f>
        <v>0.7678009259</v>
      </c>
      <c r="D76" s="13" t="str">
        <f>RAW_APT!D77</f>
        <v/>
      </c>
      <c r="E76" s="13" t="str">
        <f>RAW_APT!E77</f>
        <v/>
      </c>
      <c r="F76" s="13" t="str">
        <f>RAW_APT!F77</f>
        <v/>
      </c>
      <c r="G76" s="13" t="str">
        <f>RAW_APT!G77</f>
        <v>Collected</v>
      </c>
      <c r="H76" s="13" t="str">
        <f>RAW_APT!H77</f>
        <v>Null</v>
      </c>
      <c r="I76" s="294">
        <f>RAW_APT!I77</f>
        <v>44861</v>
      </c>
      <c r="J76" s="301">
        <f>RAW_APT!J77</f>
        <v>0.484837963</v>
      </c>
      <c r="K76" s="13">
        <f>RAW_APT!K77</f>
        <v>1</v>
      </c>
      <c r="L76" s="13" t="str">
        <f>RAW_APT!L77</f>
        <v/>
      </c>
      <c r="M76" s="13" t="str">
        <f>RAW_APT!M77</f>
        <v/>
      </c>
      <c r="N76" s="13" t="str">
        <f>RAW_APT!N77</f>
        <v>primary</v>
      </c>
      <c r="O76" s="13" t="str">
        <f>RAW_APT!O77</f>
        <v/>
      </c>
      <c r="P76" s="93" t="b">
        <f t="shared" si="1"/>
        <v>0</v>
      </c>
      <c r="Q76" s="93" t="b">
        <f>IF(COUNTIF(RAW_APS!$A$2:$A116,A76)=0,TRUE,FALSE)</f>
        <v>0</v>
      </c>
      <c r="R76" s="93" t="b">
        <f t="shared" si="2"/>
        <v>0</v>
      </c>
      <c r="S76" s="7"/>
      <c r="U76" s="94" t="str">
        <f t="shared" si="3"/>
        <v/>
      </c>
      <c r="Z76" s="129"/>
      <c r="AA76" s="94" t="str">
        <f t="shared" si="4"/>
        <v>AH8663</v>
      </c>
      <c r="AB76" s="94" t="str">
        <f t="shared" si="5"/>
        <v/>
      </c>
      <c r="AC76" s="94" t="str">
        <f t="shared" si="6"/>
        <v/>
      </c>
      <c r="AD76" s="94" t="str">
        <f t="shared" si="7"/>
        <v/>
      </c>
      <c r="AE76" s="8"/>
    </row>
    <row r="77">
      <c r="A77" s="13" t="str">
        <f>RAW_APT!A78</f>
        <v>AH8765</v>
      </c>
      <c r="B77" s="294">
        <f>RAW_APT!B78</f>
        <v>44659</v>
      </c>
      <c r="C77" s="301">
        <f>RAW_APT!C78</f>
        <v>0.3861226852</v>
      </c>
      <c r="D77" s="13" t="str">
        <f>RAW_APT!D78</f>
        <v/>
      </c>
      <c r="E77" s="13" t="str">
        <f>RAW_APT!E78</f>
        <v/>
      </c>
      <c r="F77" s="13" t="str">
        <f>RAW_APT!F78</f>
        <v/>
      </c>
      <c r="G77" s="13" t="str">
        <f>RAW_APT!G78</f>
        <v>Collected</v>
      </c>
      <c r="H77" s="13" t="str">
        <f>RAW_APT!H78</f>
        <v>Null</v>
      </c>
      <c r="I77" s="294">
        <f>RAW_APT!I78</f>
        <v>44861</v>
      </c>
      <c r="J77" s="301">
        <f>RAW_APT!J78</f>
        <v>0.484837963</v>
      </c>
      <c r="K77" s="13">
        <f>RAW_APT!K78</f>
        <v>1</v>
      </c>
      <c r="L77" s="13" t="str">
        <f>RAW_APT!L78</f>
        <v/>
      </c>
      <c r="M77" s="13" t="str">
        <f>RAW_APT!M78</f>
        <v/>
      </c>
      <c r="N77" s="13" t="str">
        <f>RAW_APT!N78</f>
        <v>primary</v>
      </c>
      <c r="O77" s="13" t="str">
        <f>RAW_APT!O78</f>
        <v/>
      </c>
      <c r="P77" s="93" t="b">
        <f t="shared" si="1"/>
        <v>0</v>
      </c>
      <c r="Q77" s="93" t="b">
        <f>IF(COUNTIF(RAW_APS!$A$2:$A116,A77)=0,TRUE,FALSE)</f>
        <v>0</v>
      </c>
      <c r="R77" s="93" t="b">
        <f t="shared" si="2"/>
        <v>0</v>
      </c>
      <c r="S77" s="7"/>
      <c r="U77" s="94" t="str">
        <f t="shared" si="3"/>
        <v/>
      </c>
      <c r="Z77" s="129"/>
      <c r="AA77" s="94" t="str">
        <f t="shared" si="4"/>
        <v>AH8765</v>
      </c>
      <c r="AB77" s="94" t="str">
        <f t="shared" si="5"/>
        <v/>
      </c>
      <c r="AC77" s="94" t="str">
        <f t="shared" si="6"/>
        <v/>
      </c>
      <c r="AD77" s="94" t="str">
        <f t="shared" si="7"/>
        <v/>
      </c>
      <c r="AE77" s="8"/>
    </row>
    <row r="78">
      <c r="A78" s="13" t="str">
        <f>RAW_APT!A79</f>
        <v>AH8786</v>
      </c>
      <c r="B78" s="294">
        <f>RAW_APT!B79</f>
        <v>44725</v>
      </c>
      <c r="C78" s="301">
        <f>RAW_APT!C79</f>
        <v>0.2010300926</v>
      </c>
      <c r="D78" s="13" t="str">
        <f>RAW_APT!D79</f>
        <v/>
      </c>
      <c r="E78" s="13" t="str">
        <f>RAW_APT!E79</f>
        <v/>
      </c>
      <c r="F78" s="13" t="str">
        <f>RAW_APT!F79</f>
        <v/>
      </c>
      <c r="G78" s="13" t="str">
        <f>RAW_APT!G79</f>
        <v>Result</v>
      </c>
      <c r="H78" s="13" t="str">
        <f>RAW_APT!H79</f>
        <v>Negative</v>
      </c>
      <c r="I78" s="294">
        <f>RAW_APT!I79</f>
        <v>44725</v>
      </c>
      <c r="J78" s="301">
        <f>RAW_APT!J79</f>
        <v>0.4122337963</v>
      </c>
      <c r="K78" s="13">
        <f>RAW_APT!K79</f>
        <v>2</v>
      </c>
      <c r="L78" s="13" t="b">
        <f>RAW_APT!L79</f>
        <v>1</v>
      </c>
      <c r="M78" s="13" t="str">
        <f>RAW_APT!M79</f>
        <v>220613-1</v>
      </c>
      <c r="N78" s="13" t="str">
        <f>RAW_APT!N79</f>
        <v>primary</v>
      </c>
      <c r="O78" s="13" t="str">
        <f>RAW_APT!O79</f>
        <v/>
      </c>
      <c r="P78" s="93" t="b">
        <f t="shared" si="1"/>
        <v>0</v>
      </c>
      <c r="Q78" s="93" t="b">
        <f>IF(COUNTIF(RAW_APS!$A$2:$A116,A78)=0,TRUE,FALSE)</f>
        <v>0</v>
      </c>
      <c r="R78" s="93" t="b">
        <f t="shared" si="2"/>
        <v>0</v>
      </c>
      <c r="S78" s="7"/>
      <c r="U78" s="94" t="str">
        <f t="shared" si="3"/>
        <v/>
      </c>
      <c r="Z78" s="129"/>
      <c r="AA78" s="94" t="str">
        <f t="shared" si="4"/>
        <v>AH8786</v>
      </c>
      <c r="AB78" s="94" t="str">
        <f t="shared" si="5"/>
        <v/>
      </c>
      <c r="AC78" s="94" t="str">
        <f t="shared" si="6"/>
        <v/>
      </c>
      <c r="AD78" s="94" t="str">
        <f t="shared" si="7"/>
        <v/>
      </c>
      <c r="AE78" s="8"/>
    </row>
    <row r="79">
      <c r="A79" s="13" t="str">
        <f>RAW_APT!A80</f>
        <v>AH8860</v>
      </c>
      <c r="B79" s="294">
        <f>RAW_APT!B80</f>
        <v>44713</v>
      </c>
      <c r="C79" s="301">
        <f>RAW_APT!C80</f>
        <v>0.2053125</v>
      </c>
      <c r="D79" s="13" t="str">
        <f>RAW_APT!D80</f>
        <v/>
      </c>
      <c r="E79" s="13" t="str">
        <f>RAW_APT!E80</f>
        <v/>
      </c>
      <c r="F79" s="13" t="str">
        <f>RAW_APT!F80</f>
        <v/>
      </c>
      <c r="G79" s="13" t="str">
        <f>RAW_APT!G80</f>
        <v>Result</v>
      </c>
      <c r="H79" s="13" t="str">
        <f>RAW_APT!H80</f>
        <v>Negative</v>
      </c>
      <c r="I79" s="294">
        <f>RAW_APT!I80</f>
        <v>44713</v>
      </c>
      <c r="J79" s="301">
        <f>RAW_APT!J80</f>
        <v>0.3415046296</v>
      </c>
      <c r="K79" s="13">
        <f>RAW_APT!K80</f>
        <v>2</v>
      </c>
      <c r="L79" s="13" t="b">
        <f>RAW_APT!L80</f>
        <v>1</v>
      </c>
      <c r="M79" s="13" t="str">
        <f>RAW_APT!M80</f>
        <v>220601-1</v>
      </c>
      <c r="N79" s="13" t="str">
        <f>RAW_APT!N80</f>
        <v>primary</v>
      </c>
      <c r="O79" s="13" t="str">
        <f>RAW_APT!O80</f>
        <v/>
      </c>
      <c r="P79" s="93" t="b">
        <f t="shared" si="1"/>
        <v>0</v>
      </c>
      <c r="Q79" s="93" t="b">
        <f>IF(COUNTIF(RAW_APS!$A$2:$A116,A79)=0,TRUE,FALSE)</f>
        <v>0</v>
      </c>
      <c r="R79" s="93" t="b">
        <f t="shared" si="2"/>
        <v>0</v>
      </c>
      <c r="S79" s="7"/>
      <c r="U79" s="94" t="str">
        <f t="shared" si="3"/>
        <v/>
      </c>
      <c r="Z79" s="129"/>
      <c r="AA79" s="94" t="str">
        <f t="shared" si="4"/>
        <v>AH8860</v>
      </c>
      <c r="AB79" s="94" t="str">
        <f t="shared" si="5"/>
        <v/>
      </c>
      <c r="AC79" s="94" t="str">
        <f t="shared" si="6"/>
        <v/>
      </c>
      <c r="AD79" s="94" t="str">
        <f t="shared" si="7"/>
        <v/>
      </c>
      <c r="AE79" s="8"/>
    </row>
    <row r="80">
      <c r="A80" s="13" t="str">
        <f>RAW_APT!A81</f>
        <v>AH9005</v>
      </c>
      <c r="B80" s="294">
        <f>RAW_APT!B81</f>
        <v>44678</v>
      </c>
      <c r="C80" s="301">
        <f>RAW_APT!C81</f>
        <v>0.6161805556</v>
      </c>
      <c r="D80" s="13" t="str">
        <f>RAW_APT!D81</f>
        <v/>
      </c>
      <c r="E80" s="13" t="str">
        <f>RAW_APT!E81</f>
        <v/>
      </c>
      <c r="F80" s="13" t="str">
        <f>RAW_APT!F81</f>
        <v/>
      </c>
      <c r="G80" s="13" t="str">
        <f>RAW_APT!G81</f>
        <v>Result</v>
      </c>
      <c r="H80" s="13" t="str">
        <f>RAW_APT!H81</f>
        <v>Negative</v>
      </c>
      <c r="I80" s="294">
        <f>RAW_APT!I81</f>
        <v>44678</v>
      </c>
      <c r="J80" s="301">
        <f>RAW_APT!J81</f>
        <v>0.6284375</v>
      </c>
      <c r="K80" s="13">
        <f>RAW_APT!K81</f>
        <v>1</v>
      </c>
      <c r="L80" s="13" t="b">
        <f>RAW_APT!L81</f>
        <v>1</v>
      </c>
      <c r="M80" s="13" t="str">
        <f>RAW_APT!M81</f>
        <v>220427-1 mock</v>
      </c>
      <c r="N80" s="13" t="str">
        <f>RAW_APT!N81</f>
        <v>primary</v>
      </c>
      <c r="O80" s="13" t="str">
        <f>RAW_APT!O81</f>
        <v/>
      </c>
      <c r="P80" s="93" t="b">
        <f t="shared" si="1"/>
        <v>0</v>
      </c>
      <c r="Q80" s="93" t="b">
        <f>IF(COUNTIF(RAW_APS!$A$2:$A116,A80)=0,TRUE,FALSE)</f>
        <v>0</v>
      </c>
      <c r="R80" s="93" t="b">
        <f t="shared" si="2"/>
        <v>0</v>
      </c>
      <c r="S80" s="7"/>
      <c r="U80" s="94" t="str">
        <f t="shared" si="3"/>
        <v/>
      </c>
      <c r="Z80" s="129"/>
      <c r="AA80" s="94" t="str">
        <f t="shared" si="4"/>
        <v>AH9005</v>
      </c>
      <c r="AB80" s="94" t="str">
        <f t="shared" si="5"/>
        <v/>
      </c>
      <c r="AC80" s="94" t="str">
        <f t="shared" si="6"/>
        <v/>
      </c>
      <c r="AD80" s="94" t="str">
        <f t="shared" si="7"/>
        <v/>
      </c>
      <c r="AE80" s="8"/>
    </row>
    <row r="81">
      <c r="A81" s="13" t="str">
        <f>RAW_APT!A82</f>
        <v>AH9070</v>
      </c>
      <c r="B81" s="294">
        <f>RAW_APT!B82</f>
        <v>44712</v>
      </c>
      <c r="C81" s="301">
        <f>RAW_APT!C82</f>
        <v>0.192650463</v>
      </c>
      <c r="D81" s="13" t="str">
        <f>RAW_APT!D82</f>
        <v/>
      </c>
      <c r="E81" s="13" t="str">
        <f>RAW_APT!E82</f>
        <v/>
      </c>
      <c r="F81" s="13" t="str">
        <f>RAW_APT!F82</f>
        <v/>
      </c>
      <c r="G81" s="13" t="str">
        <f>RAW_APT!G82</f>
        <v>Result</v>
      </c>
      <c r="H81" s="13" t="str">
        <f>RAW_APT!H82</f>
        <v>Negative</v>
      </c>
      <c r="I81" s="294">
        <f>RAW_APT!I82</f>
        <v>44713</v>
      </c>
      <c r="J81" s="301">
        <f>RAW_APT!J82</f>
        <v>0.3414814815</v>
      </c>
      <c r="K81" s="13">
        <f>RAW_APT!K82</f>
        <v>4</v>
      </c>
      <c r="L81" s="13" t="b">
        <f>RAW_APT!L82</f>
        <v>1</v>
      </c>
      <c r="M81" s="13" t="str">
        <f>RAW_APT!M82</f>
        <v>220601-1</v>
      </c>
      <c r="N81" s="13" t="str">
        <f>RAW_APT!N82</f>
        <v>primary</v>
      </c>
      <c r="O81" s="13" t="str">
        <f>RAW_APT!O82</f>
        <v/>
      </c>
      <c r="P81" s="93" t="b">
        <f t="shared" si="1"/>
        <v>0</v>
      </c>
      <c r="Q81" s="93" t="b">
        <f>IF(COUNTIF(RAW_APS!$A$2:$A116,A81)=0,TRUE,FALSE)</f>
        <v>0</v>
      </c>
      <c r="R81" s="93" t="b">
        <f t="shared" si="2"/>
        <v>0</v>
      </c>
      <c r="S81" s="7"/>
      <c r="U81" s="94" t="str">
        <f t="shared" si="3"/>
        <v/>
      </c>
      <c r="Z81" s="129"/>
      <c r="AA81" s="94" t="str">
        <f t="shared" si="4"/>
        <v>AH9070</v>
      </c>
      <c r="AB81" s="94" t="str">
        <f t="shared" si="5"/>
        <v/>
      </c>
      <c r="AC81" s="94" t="str">
        <f t="shared" si="6"/>
        <v/>
      </c>
      <c r="AD81" s="94" t="str">
        <f t="shared" si="7"/>
        <v/>
      </c>
      <c r="AE81" s="8"/>
    </row>
    <row r="82">
      <c r="A82" s="13" t="str">
        <f>RAW_APT!A83</f>
        <v>AH9504</v>
      </c>
      <c r="B82" s="294">
        <f>RAW_APT!B83</f>
        <v>44683</v>
      </c>
      <c r="C82" s="301">
        <f>RAW_APT!C83</f>
        <v>0.2781018519</v>
      </c>
      <c r="D82" s="13" t="str">
        <f>RAW_APT!D83</f>
        <v/>
      </c>
      <c r="E82" s="13" t="str">
        <f>RAW_APT!E83</f>
        <v/>
      </c>
      <c r="F82" s="13" t="str">
        <f>RAW_APT!F83</f>
        <v/>
      </c>
      <c r="G82" s="13" t="str">
        <f>RAW_APT!G83</f>
        <v>Result</v>
      </c>
      <c r="H82" s="13" t="str">
        <f>RAW_APT!H83</f>
        <v>Negative</v>
      </c>
      <c r="I82" s="294">
        <f>RAW_APT!I83</f>
        <v>44683</v>
      </c>
      <c r="J82" s="301">
        <f>RAW_APT!J83</f>
        <v>0.3578125</v>
      </c>
      <c r="K82" s="13">
        <f>RAW_APT!K83</f>
        <v>1</v>
      </c>
      <c r="L82" s="13" t="b">
        <f>RAW_APT!L83</f>
        <v>1</v>
      </c>
      <c r="M82" s="13" t="str">
        <f>RAW_APT!M83</f>
        <v/>
      </c>
      <c r="N82" s="13" t="str">
        <f>RAW_APT!N83</f>
        <v>primary</v>
      </c>
      <c r="O82" s="13" t="str">
        <f>RAW_APT!O83</f>
        <v/>
      </c>
      <c r="P82" s="93" t="b">
        <f t="shared" si="1"/>
        <v>0</v>
      </c>
      <c r="Q82" s="93" t="b">
        <f>IF(COUNTIF(RAW_APS!$A$2:$A116,A82)=0,TRUE,FALSE)</f>
        <v>0</v>
      </c>
      <c r="R82" s="93" t="b">
        <f t="shared" si="2"/>
        <v>0</v>
      </c>
      <c r="S82" s="7"/>
      <c r="U82" s="94" t="str">
        <f t="shared" si="3"/>
        <v/>
      </c>
      <c r="Z82" s="129"/>
      <c r="AA82" s="94" t="str">
        <f t="shared" si="4"/>
        <v>AH9504</v>
      </c>
      <c r="AB82" s="94" t="str">
        <f t="shared" si="5"/>
        <v/>
      </c>
      <c r="AC82" s="94" t="str">
        <f t="shared" si="6"/>
        <v/>
      </c>
      <c r="AD82" s="94" t="str">
        <f t="shared" si="7"/>
        <v/>
      </c>
      <c r="AE82" s="8"/>
    </row>
    <row r="83">
      <c r="A83" s="13" t="str">
        <f>RAW_APT!A84</f>
        <v>AH9625</v>
      </c>
      <c r="B83" s="294">
        <f>RAW_APT!B84</f>
        <v>44713</v>
      </c>
      <c r="C83" s="301">
        <f>RAW_APT!C84</f>
        <v>0.2517592593</v>
      </c>
      <c r="D83" s="13" t="str">
        <f>RAW_APT!D84</f>
        <v/>
      </c>
      <c r="E83" s="13" t="str">
        <f>RAW_APT!E84</f>
        <v/>
      </c>
      <c r="F83" s="13" t="str">
        <f>RAW_APT!F84</f>
        <v/>
      </c>
      <c r="G83" s="13" t="str">
        <f>RAW_APT!G84</f>
        <v>Result</v>
      </c>
      <c r="H83" s="13" t="str">
        <f>RAW_APT!H84</f>
        <v>Negative</v>
      </c>
      <c r="I83" s="294">
        <f>RAW_APT!I84</f>
        <v>44713</v>
      </c>
      <c r="J83" s="301">
        <f>RAW_APT!J84</f>
        <v>0.3415046296</v>
      </c>
      <c r="K83" s="13">
        <f>RAW_APT!K84</f>
        <v>1</v>
      </c>
      <c r="L83" s="13" t="b">
        <f>RAW_APT!L84</f>
        <v>1</v>
      </c>
      <c r="M83" s="13" t="str">
        <f>RAW_APT!M84</f>
        <v>220601-1</v>
      </c>
      <c r="N83" s="13" t="str">
        <f>RAW_APT!N84</f>
        <v>primary</v>
      </c>
      <c r="O83" s="13" t="str">
        <f>RAW_APT!O84</f>
        <v/>
      </c>
      <c r="P83" s="93" t="b">
        <f t="shared" si="1"/>
        <v>0</v>
      </c>
      <c r="Q83" s="93" t="b">
        <f>IF(COUNTIF(RAW_APS!$A$2:$A116,A83)=0,TRUE,FALSE)</f>
        <v>0</v>
      </c>
      <c r="R83" s="93" t="b">
        <f t="shared" si="2"/>
        <v>0</v>
      </c>
      <c r="S83" s="7"/>
      <c r="U83" s="94" t="str">
        <f t="shared" si="3"/>
        <v/>
      </c>
      <c r="Z83" s="129"/>
      <c r="AA83" s="94" t="str">
        <f t="shared" si="4"/>
        <v>AH9625</v>
      </c>
      <c r="AB83" s="94" t="str">
        <f t="shared" si="5"/>
        <v/>
      </c>
      <c r="AC83" s="94" t="str">
        <f t="shared" si="6"/>
        <v/>
      </c>
      <c r="AD83" s="94" t="str">
        <f t="shared" si="7"/>
        <v/>
      </c>
      <c r="AE83" s="8"/>
    </row>
    <row r="84">
      <c r="A84" s="13" t="str">
        <f>RAW_APT!A85</f>
        <v>AH9644</v>
      </c>
      <c r="B84" s="294">
        <f>RAW_APT!B85</f>
        <v>44725</v>
      </c>
      <c r="C84" s="301">
        <f>RAW_APT!C85</f>
        <v>0.2335069444</v>
      </c>
      <c r="D84" s="13" t="str">
        <f>RAW_APT!D85</f>
        <v/>
      </c>
      <c r="E84" s="13" t="str">
        <f>RAW_APT!E85</f>
        <v/>
      </c>
      <c r="F84" s="13" t="str">
        <f>RAW_APT!F85</f>
        <v/>
      </c>
      <c r="G84" s="13" t="str">
        <f>RAW_APT!G85</f>
        <v>Result</v>
      </c>
      <c r="H84" s="13" t="str">
        <f>RAW_APT!H85</f>
        <v>Negative</v>
      </c>
      <c r="I84" s="294">
        <f>RAW_APT!I85</f>
        <v>44725</v>
      </c>
      <c r="J84" s="301">
        <f>RAW_APT!J85</f>
        <v>0.4122453704</v>
      </c>
      <c r="K84" s="13">
        <f>RAW_APT!K85</f>
        <v>3</v>
      </c>
      <c r="L84" s="13" t="b">
        <f>RAW_APT!L85</f>
        <v>1</v>
      </c>
      <c r="M84" s="13" t="str">
        <f>RAW_APT!M85</f>
        <v>220613-1</v>
      </c>
      <c r="N84" s="13" t="str">
        <f>RAW_APT!N85</f>
        <v>primary</v>
      </c>
      <c r="O84" s="13" t="str">
        <f>RAW_APT!O85</f>
        <v/>
      </c>
      <c r="P84" s="93" t="b">
        <f t="shared" si="1"/>
        <v>0</v>
      </c>
      <c r="Q84" s="93" t="b">
        <f>IF(COUNTIF(RAW_APS!$A$2:$A116,A84)=0,TRUE,FALSE)</f>
        <v>0</v>
      </c>
      <c r="R84" s="93" t="b">
        <f t="shared" si="2"/>
        <v>0</v>
      </c>
      <c r="S84" s="7"/>
      <c r="U84" s="94" t="str">
        <f t="shared" si="3"/>
        <v/>
      </c>
      <c r="Z84" s="129"/>
      <c r="AA84" s="94" t="str">
        <f t="shared" si="4"/>
        <v>AH9644</v>
      </c>
      <c r="AB84" s="94" t="str">
        <f t="shared" si="5"/>
        <v/>
      </c>
      <c r="AC84" s="94" t="str">
        <f t="shared" si="6"/>
        <v/>
      </c>
      <c r="AD84" s="94" t="str">
        <f t="shared" si="7"/>
        <v/>
      </c>
      <c r="AE84" s="8"/>
    </row>
    <row r="85">
      <c r="A85" s="13" t="str">
        <f>RAW_APT!A86</f>
        <v>AH9668</v>
      </c>
      <c r="B85" s="294">
        <f>RAW_APT!B86</f>
        <v>44697</v>
      </c>
      <c r="C85" s="301">
        <f>RAW_APT!C86</f>
        <v>0.2068402778</v>
      </c>
      <c r="D85" s="13" t="str">
        <f>RAW_APT!D86</f>
        <v/>
      </c>
      <c r="E85" s="13" t="str">
        <f>RAW_APT!E86</f>
        <v/>
      </c>
      <c r="F85" s="13" t="str">
        <f>RAW_APT!F86</f>
        <v/>
      </c>
      <c r="G85" s="13" t="str">
        <f>RAW_APT!G86</f>
        <v>Result</v>
      </c>
      <c r="H85" s="13" t="str">
        <f>RAW_APT!H86</f>
        <v>Negative</v>
      </c>
      <c r="I85" s="294">
        <f>RAW_APT!I86</f>
        <v>44697</v>
      </c>
      <c r="J85" s="301">
        <f>RAW_APT!J86</f>
        <v>0.3611111111</v>
      </c>
      <c r="K85" s="13">
        <f>RAW_APT!K86</f>
        <v>2</v>
      </c>
      <c r="L85" s="13" t="b">
        <f>RAW_APT!L86</f>
        <v>1</v>
      </c>
      <c r="M85" s="13" t="str">
        <f>RAW_APT!M86</f>
        <v>220516-1</v>
      </c>
      <c r="N85" s="13" t="str">
        <f>RAW_APT!N86</f>
        <v>primary</v>
      </c>
      <c r="O85" s="13" t="str">
        <f>RAW_APT!O86</f>
        <v/>
      </c>
      <c r="P85" s="93" t="b">
        <f t="shared" si="1"/>
        <v>0</v>
      </c>
      <c r="Q85" s="93" t="b">
        <f>IF(COUNTIF(RAW_APS!$A$2:$A116,A85)=0,TRUE,FALSE)</f>
        <v>0</v>
      </c>
      <c r="R85" s="93" t="b">
        <f t="shared" si="2"/>
        <v>0</v>
      </c>
      <c r="S85" s="7"/>
      <c r="U85" s="94" t="str">
        <f t="shared" si="3"/>
        <v/>
      </c>
      <c r="Z85" s="129"/>
      <c r="AA85" s="94" t="str">
        <f t="shared" si="4"/>
        <v>AH9668</v>
      </c>
      <c r="AB85" s="94" t="str">
        <f t="shared" si="5"/>
        <v/>
      </c>
      <c r="AC85" s="94" t="str">
        <f t="shared" si="6"/>
        <v/>
      </c>
      <c r="AD85" s="94" t="str">
        <f t="shared" si="7"/>
        <v/>
      </c>
      <c r="AE85" s="8"/>
    </row>
    <row r="86">
      <c r="A86" s="13" t="str">
        <f>RAW_APT!A87</f>
        <v>AH9741</v>
      </c>
      <c r="B86" s="294">
        <f>RAW_APT!B87</f>
        <v>44718</v>
      </c>
      <c r="C86" s="301">
        <f>RAW_APT!C87</f>
        <v>0.2136458333</v>
      </c>
      <c r="D86" s="13" t="str">
        <f>RAW_APT!D87</f>
        <v/>
      </c>
      <c r="E86" s="13" t="str">
        <f>RAW_APT!E87</f>
        <v/>
      </c>
      <c r="F86" s="13" t="str">
        <f>RAW_APT!F87</f>
        <v/>
      </c>
      <c r="G86" s="13" t="str">
        <f>RAW_APT!G87</f>
        <v>Result</v>
      </c>
      <c r="H86" s="13" t="str">
        <f>RAW_APT!H87</f>
        <v>Negative</v>
      </c>
      <c r="I86" s="294">
        <f>RAW_APT!I87</f>
        <v>44718</v>
      </c>
      <c r="J86" s="301">
        <f>RAW_APT!J87</f>
        <v>0.3649768519</v>
      </c>
      <c r="K86" s="13">
        <f>RAW_APT!K87</f>
        <v>2</v>
      </c>
      <c r="L86" s="13" t="b">
        <f>RAW_APT!L87</f>
        <v>1</v>
      </c>
      <c r="M86" s="13" t="str">
        <f>RAW_APT!M87</f>
        <v>220606-1</v>
      </c>
      <c r="N86" s="13" t="str">
        <f>RAW_APT!N87</f>
        <v>primary</v>
      </c>
      <c r="O86" s="13" t="str">
        <f>RAW_APT!O87</f>
        <v/>
      </c>
      <c r="P86" s="93" t="b">
        <f t="shared" si="1"/>
        <v>0</v>
      </c>
      <c r="Q86" s="93" t="b">
        <f>IF(COUNTIF(RAW_APS!$A$2:$A116,A86)=0,TRUE,FALSE)</f>
        <v>0</v>
      </c>
      <c r="R86" s="93" t="b">
        <f t="shared" si="2"/>
        <v>0</v>
      </c>
      <c r="S86" s="7"/>
      <c r="U86" s="94" t="str">
        <f t="shared" si="3"/>
        <v/>
      </c>
      <c r="Z86" s="129"/>
      <c r="AA86" s="94" t="str">
        <f t="shared" si="4"/>
        <v>AH9741</v>
      </c>
      <c r="AB86" s="94" t="str">
        <f t="shared" si="5"/>
        <v/>
      </c>
      <c r="AC86" s="94" t="str">
        <f t="shared" si="6"/>
        <v/>
      </c>
      <c r="AD86" s="94" t="str">
        <f t="shared" si="7"/>
        <v/>
      </c>
      <c r="AE86" s="8"/>
    </row>
    <row r="87">
      <c r="A87" s="13" t="str">
        <f>RAW_APT!A88</f>
        <v>AJ5950</v>
      </c>
      <c r="B87" s="294">
        <f>RAW_APT!B88</f>
        <v>44704</v>
      </c>
      <c r="C87" s="301">
        <f>RAW_APT!C88</f>
        <v>0.1565393519</v>
      </c>
      <c r="D87" s="13" t="str">
        <f>RAW_APT!D88</f>
        <v/>
      </c>
      <c r="E87" s="13" t="str">
        <f>RAW_APT!E88</f>
        <v/>
      </c>
      <c r="F87" s="13" t="str">
        <f>RAW_APT!F88</f>
        <v/>
      </c>
      <c r="G87" s="13" t="str">
        <f>RAW_APT!G88</f>
        <v>Result</v>
      </c>
      <c r="H87" s="13" t="str">
        <f>RAW_APT!H88</f>
        <v>Negative</v>
      </c>
      <c r="I87" s="294">
        <f>RAW_APT!I88</f>
        <v>44704</v>
      </c>
      <c r="J87" s="301">
        <f>RAW_APT!J88</f>
        <v>0.3948958333</v>
      </c>
      <c r="K87" s="13">
        <f>RAW_APT!K88</f>
        <v>4</v>
      </c>
      <c r="L87" s="13" t="b">
        <f>RAW_APT!L88</f>
        <v>1</v>
      </c>
      <c r="M87" s="13" t="str">
        <f>RAW_APT!M88</f>
        <v>220523-1</v>
      </c>
      <c r="N87" s="13" t="str">
        <f>RAW_APT!N88</f>
        <v>primary</v>
      </c>
      <c r="O87" s="13" t="str">
        <f>RAW_APT!O88</f>
        <v/>
      </c>
      <c r="P87" s="93" t="b">
        <f t="shared" si="1"/>
        <v>0</v>
      </c>
      <c r="Q87" s="93" t="b">
        <f>IF(COUNTIF(RAW_APS!$A$2:$A116,A87)=0,TRUE,FALSE)</f>
        <v>0</v>
      </c>
      <c r="R87" s="93" t="b">
        <f t="shared" si="2"/>
        <v>0</v>
      </c>
      <c r="S87" s="7"/>
      <c r="U87" s="94" t="str">
        <f t="shared" si="3"/>
        <v/>
      </c>
      <c r="Z87" s="129"/>
      <c r="AA87" s="94" t="str">
        <f t="shared" si="4"/>
        <v>AJ5950</v>
      </c>
      <c r="AB87" s="94" t="str">
        <f t="shared" si="5"/>
        <v/>
      </c>
      <c r="AC87" s="94" t="str">
        <f t="shared" si="6"/>
        <v/>
      </c>
      <c r="AD87" s="94" t="str">
        <f t="shared" si="7"/>
        <v/>
      </c>
      <c r="AE87" s="8"/>
    </row>
    <row r="88">
      <c r="A88" s="13" t="str">
        <f>RAW_APT!A89</f>
        <v>AJ7985</v>
      </c>
      <c r="B88" s="294">
        <f>RAW_APT!B89</f>
        <v>44697</v>
      </c>
      <c r="C88" s="301">
        <f>RAW_APT!C89</f>
        <v>0.2023611111</v>
      </c>
      <c r="D88" s="13" t="str">
        <f>RAW_APT!D89</f>
        <v/>
      </c>
      <c r="E88" s="13" t="str">
        <f>RAW_APT!E89</f>
        <v/>
      </c>
      <c r="F88" s="13" t="str">
        <f>RAW_APT!F89</f>
        <v/>
      </c>
      <c r="G88" s="13" t="str">
        <f>RAW_APT!G89</f>
        <v>Result</v>
      </c>
      <c r="H88" s="13" t="str">
        <f>RAW_APT!H89</f>
        <v>Negative</v>
      </c>
      <c r="I88" s="294">
        <f>RAW_APT!I89</f>
        <v>44697</v>
      </c>
      <c r="J88" s="301">
        <f>RAW_APT!J89</f>
        <v>0.3611111111</v>
      </c>
      <c r="K88" s="13">
        <f>RAW_APT!K89</f>
        <v>2</v>
      </c>
      <c r="L88" s="13" t="b">
        <f>RAW_APT!L89</f>
        <v>1</v>
      </c>
      <c r="M88" s="13" t="str">
        <f>RAW_APT!M89</f>
        <v>220516-1</v>
      </c>
      <c r="N88" s="13" t="str">
        <f>RAW_APT!N89</f>
        <v>primary</v>
      </c>
      <c r="O88" s="13" t="str">
        <f>RAW_APT!O89</f>
        <v/>
      </c>
      <c r="P88" s="93" t="b">
        <f t="shared" si="1"/>
        <v>0</v>
      </c>
      <c r="Q88" s="93" t="b">
        <f>IF(COUNTIF(RAW_APS!$A$2:$A116,A88)=0,TRUE,FALSE)</f>
        <v>0</v>
      </c>
      <c r="R88" s="93" t="b">
        <f t="shared" si="2"/>
        <v>0</v>
      </c>
      <c r="S88" s="7"/>
      <c r="U88" s="94" t="str">
        <f t="shared" si="3"/>
        <v/>
      </c>
      <c r="Z88" s="129"/>
      <c r="AA88" s="94" t="str">
        <f t="shared" si="4"/>
        <v>AJ7985</v>
      </c>
      <c r="AB88" s="94" t="str">
        <f t="shared" si="5"/>
        <v/>
      </c>
      <c r="AC88" s="94" t="str">
        <f t="shared" si="6"/>
        <v/>
      </c>
      <c r="AD88" s="94" t="str">
        <f t="shared" si="7"/>
        <v/>
      </c>
      <c r="AE88" s="8"/>
    </row>
    <row r="89">
      <c r="A89" s="13" t="str">
        <f>RAW_APT!A90</f>
        <v>AJ8368</v>
      </c>
      <c r="B89" s="294">
        <f>RAW_APT!B90</f>
        <v>44718</v>
      </c>
      <c r="C89" s="301">
        <f>RAW_APT!C90</f>
        <v>0.2365277778</v>
      </c>
      <c r="D89" s="13" t="str">
        <f>RAW_APT!D90</f>
        <v/>
      </c>
      <c r="E89" s="13" t="str">
        <f>RAW_APT!E90</f>
        <v/>
      </c>
      <c r="F89" s="13" t="str">
        <f>RAW_APT!F90</f>
        <v/>
      </c>
      <c r="G89" s="13" t="str">
        <f>RAW_APT!G90</f>
        <v>Result</v>
      </c>
      <c r="H89" s="13" t="str">
        <f>RAW_APT!H90</f>
        <v>Negative</v>
      </c>
      <c r="I89" s="294">
        <f>RAW_APT!I90</f>
        <v>44718</v>
      </c>
      <c r="J89" s="301">
        <f>RAW_APT!J90</f>
        <v>0.3649884259</v>
      </c>
      <c r="K89" s="13">
        <f>RAW_APT!K90</f>
        <v>3</v>
      </c>
      <c r="L89" s="13" t="b">
        <f>RAW_APT!L90</f>
        <v>1</v>
      </c>
      <c r="M89" s="13" t="str">
        <f>RAW_APT!M90</f>
        <v>220606-1</v>
      </c>
      <c r="N89" s="13" t="str">
        <f>RAW_APT!N90</f>
        <v>primary</v>
      </c>
      <c r="O89" s="13" t="str">
        <f>RAW_APT!O90</f>
        <v/>
      </c>
      <c r="P89" s="93" t="b">
        <f t="shared" si="1"/>
        <v>0</v>
      </c>
      <c r="Q89" s="93" t="b">
        <f>IF(COUNTIF(RAW_APS!$A$2:$A116,A89)=0,TRUE,FALSE)</f>
        <v>0</v>
      </c>
      <c r="R89" s="93" t="b">
        <f t="shared" si="2"/>
        <v>0</v>
      </c>
      <c r="S89" s="7"/>
      <c r="U89" s="94" t="str">
        <f t="shared" si="3"/>
        <v/>
      </c>
      <c r="Z89" s="129"/>
      <c r="AA89" s="94" t="str">
        <f t="shared" si="4"/>
        <v>AJ8368</v>
      </c>
      <c r="AB89" s="94" t="str">
        <f t="shared" si="5"/>
        <v/>
      </c>
      <c r="AC89" s="94" t="str">
        <f t="shared" si="6"/>
        <v/>
      </c>
      <c r="AD89" s="94" t="str">
        <f t="shared" si="7"/>
        <v/>
      </c>
      <c r="AE89" s="8"/>
    </row>
    <row r="90">
      <c r="A90" s="13" t="str">
        <f>RAW_APT!A91</f>
        <v>AJ8392</v>
      </c>
      <c r="B90" s="294">
        <f>RAW_APT!B91</f>
        <v>44683</v>
      </c>
      <c r="C90" s="301">
        <f>RAW_APT!C91</f>
        <v>0.2021875</v>
      </c>
      <c r="D90" s="13" t="str">
        <f>RAW_APT!D91</f>
        <v/>
      </c>
      <c r="E90" s="13" t="str">
        <f>RAW_APT!E91</f>
        <v/>
      </c>
      <c r="F90" s="13" t="str">
        <f>RAW_APT!F91</f>
        <v/>
      </c>
      <c r="G90" s="13" t="str">
        <f>RAW_APT!G91</f>
        <v>Result</v>
      </c>
      <c r="H90" s="13" t="str">
        <f>RAW_APT!H91</f>
        <v>Negative</v>
      </c>
      <c r="I90" s="294">
        <f>RAW_APT!I91</f>
        <v>44683</v>
      </c>
      <c r="J90" s="301">
        <f>RAW_APT!J91</f>
        <v>0.3578240741</v>
      </c>
      <c r="K90" s="13">
        <f>RAW_APT!K91</f>
        <v>2</v>
      </c>
      <c r="L90" s="13" t="b">
        <f>RAW_APT!L91</f>
        <v>1</v>
      </c>
      <c r="M90" s="13" t="str">
        <f>RAW_APT!M91</f>
        <v>220502-1</v>
      </c>
      <c r="N90" s="13" t="str">
        <f>RAW_APT!N91</f>
        <v>primary</v>
      </c>
      <c r="O90" s="13" t="str">
        <f>RAW_APT!O91</f>
        <v/>
      </c>
      <c r="P90" s="93" t="b">
        <f t="shared" si="1"/>
        <v>0</v>
      </c>
      <c r="Q90" s="93" t="b">
        <f>IF(COUNTIF(RAW_APS!$A$2:$A116,A90)=0,TRUE,FALSE)</f>
        <v>0</v>
      </c>
      <c r="R90" s="93" t="b">
        <f t="shared" si="2"/>
        <v>0</v>
      </c>
      <c r="S90" s="7"/>
      <c r="U90" s="94" t="str">
        <f t="shared" si="3"/>
        <v/>
      </c>
      <c r="Z90" s="129"/>
      <c r="AA90" s="94" t="str">
        <f t="shared" si="4"/>
        <v>AJ8392</v>
      </c>
      <c r="AB90" s="94" t="str">
        <f t="shared" si="5"/>
        <v/>
      </c>
      <c r="AC90" s="94" t="str">
        <f t="shared" si="6"/>
        <v/>
      </c>
      <c r="AD90" s="94" t="str">
        <f t="shared" si="7"/>
        <v/>
      </c>
      <c r="AE90" s="8"/>
    </row>
    <row r="91">
      <c r="A91" s="13" t="str">
        <f>RAW_APT!A92</f>
        <v>AJ8406</v>
      </c>
      <c r="B91" s="294">
        <f>RAW_APT!B92</f>
        <v>44670</v>
      </c>
      <c r="C91" s="301">
        <f>RAW_APT!C92</f>
        <v>0.4873611111</v>
      </c>
      <c r="D91" s="13" t="str">
        <f>RAW_APT!D92</f>
        <v/>
      </c>
      <c r="E91" s="13" t="str">
        <f>RAW_APT!E92</f>
        <v/>
      </c>
      <c r="F91" s="13" t="str">
        <f>RAW_APT!F92</f>
        <v/>
      </c>
      <c r="G91" s="13" t="str">
        <f>RAW_APT!G92</f>
        <v>Result</v>
      </c>
      <c r="H91" s="13" t="str">
        <f>RAW_APT!H92</f>
        <v>Negative</v>
      </c>
      <c r="I91" s="294">
        <f>RAW_APT!I92</f>
        <v>44670</v>
      </c>
      <c r="J91" s="301">
        <f>RAW_APT!J92</f>
        <v>0.5004282407</v>
      </c>
      <c r="K91" s="13">
        <f>RAW_APT!K92</f>
        <v>4</v>
      </c>
      <c r="L91" s="13" t="b">
        <f>RAW_APT!L92</f>
        <v>1</v>
      </c>
      <c r="M91" s="13" t="str">
        <f>RAW_APT!M92</f>
        <v>220419-1</v>
      </c>
      <c r="N91" s="13" t="str">
        <f>RAW_APT!N92</f>
        <v>primary</v>
      </c>
      <c r="O91" s="13" t="str">
        <f>RAW_APT!O92</f>
        <v/>
      </c>
      <c r="P91" s="93" t="b">
        <f t="shared" si="1"/>
        <v>0</v>
      </c>
      <c r="Q91" s="93" t="b">
        <f>IF(COUNTIF(RAW_APS!$A$2:$A116,A91)=0,TRUE,FALSE)</f>
        <v>0</v>
      </c>
      <c r="R91" s="93" t="b">
        <f t="shared" si="2"/>
        <v>0</v>
      </c>
      <c r="S91" s="7"/>
      <c r="U91" s="94" t="str">
        <f t="shared" si="3"/>
        <v/>
      </c>
      <c r="Z91" s="129"/>
      <c r="AA91" s="94" t="str">
        <f t="shared" si="4"/>
        <v>AJ8406</v>
      </c>
      <c r="AB91" s="94" t="str">
        <f t="shared" si="5"/>
        <v/>
      </c>
      <c r="AC91" s="94" t="str">
        <f t="shared" si="6"/>
        <v/>
      </c>
      <c r="AD91" s="94" t="str">
        <f t="shared" si="7"/>
        <v/>
      </c>
      <c r="AE91" s="8"/>
    </row>
    <row r="92">
      <c r="A92" s="13" t="str">
        <f>RAW_APT!A93</f>
        <v>AJ8556</v>
      </c>
      <c r="B92" s="294">
        <f>RAW_APT!B93</f>
        <v>44690</v>
      </c>
      <c r="C92" s="301">
        <f>RAW_APT!C93</f>
        <v>0.2135300926</v>
      </c>
      <c r="D92" s="13" t="str">
        <f>RAW_APT!D93</f>
        <v/>
      </c>
      <c r="E92" s="13" t="str">
        <f>RAW_APT!E93</f>
        <v/>
      </c>
      <c r="F92" s="13" t="str">
        <f>RAW_APT!F93</f>
        <v/>
      </c>
      <c r="G92" s="13" t="str">
        <f>RAW_APT!G93</f>
        <v>Result</v>
      </c>
      <c r="H92" s="13" t="str">
        <f>RAW_APT!H93</f>
        <v>Negative</v>
      </c>
      <c r="I92" s="294">
        <f>RAW_APT!I93</f>
        <v>44690</v>
      </c>
      <c r="J92" s="301">
        <f>RAW_APT!J93</f>
        <v>0.3232407407</v>
      </c>
      <c r="K92" s="13">
        <f>RAW_APT!K93</f>
        <v>1</v>
      </c>
      <c r="L92" s="13" t="b">
        <f>RAW_APT!L93</f>
        <v>1</v>
      </c>
      <c r="M92" s="13" t="str">
        <f>RAW_APT!M93</f>
        <v>220509-1</v>
      </c>
      <c r="N92" s="13" t="str">
        <f>RAW_APT!N93</f>
        <v>primary</v>
      </c>
      <c r="O92" s="13" t="str">
        <f>RAW_APT!O93</f>
        <v/>
      </c>
      <c r="P92" s="93" t="b">
        <f t="shared" si="1"/>
        <v>0</v>
      </c>
      <c r="Q92" s="93" t="b">
        <f>IF(COUNTIF(RAW_APS!$A$2:$A116,A92)=0,TRUE,FALSE)</f>
        <v>0</v>
      </c>
      <c r="R92" s="93" t="b">
        <f t="shared" si="2"/>
        <v>0</v>
      </c>
      <c r="S92" s="7"/>
      <c r="U92" s="94" t="str">
        <f t="shared" si="3"/>
        <v/>
      </c>
      <c r="Z92" s="129"/>
      <c r="AA92" s="94" t="str">
        <f t="shared" si="4"/>
        <v>AJ8556</v>
      </c>
      <c r="AB92" s="94" t="str">
        <f t="shared" si="5"/>
        <v/>
      </c>
      <c r="AC92" s="94" t="str">
        <f t="shared" si="6"/>
        <v/>
      </c>
      <c r="AD92" s="94" t="str">
        <f t="shared" si="7"/>
        <v/>
      </c>
      <c r="AE92" s="8"/>
    </row>
    <row r="93">
      <c r="A93" s="13" t="str">
        <f>RAW_APT!A94</f>
        <v>AJ8574</v>
      </c>
      <c r="B93" s="294">
        <f>RAW_APT!B94</f>
        <v>44696</v>
      </c>
      <c r="C93" s="301">
        <f>RAW_APT!C94</f>
        <v>0.7482523148</v>
      </c>
      <c r="D93" s="13" t="str">
        <f>RAW_APT!D94</f>
        <v/>
      </c>
      <c r="E93" s="13" t="str">
        <f>RAW_APT!E94</f>
        <v/>
      </c>
      <c r="F93" s="13" t="str">
        <f>RAW_APT!F94</f>
        <v/>
      </c>
      <c r="G93" s="13" t="str">
        <f>RAW_APT!G94</f>
        <v>Result</v>
      </c>
      <c r="H93" s="13" t="str">
        <f>RAW_APT!H94</f>
        <v>Negative</v>
      </c>
      <c r="I93" s="294">
        <f>RAW_APT!I94</f>
        <v>44697</v>
      </c>
      <c r="J93" s="301">
        <f>RAW_APT!J94</f>
        <v>0.361099537</v>
      </c>
      <c r="K93" s="13">
        <f>RAW_APT!K94</f>
        <v>2</v>
      </c>
      <c r="L93" s="13" t="b">
        <f>RAW_APT!L94</f>
        <v>1</v>
      </c>
      <c r="M93" s="13" t="str">
        <f>RAW_APT!M94</f>
        <v>220516-1</v>
      </c>
      <c r="N93" s="13" t="str">
        <f>RAW_APT!N94</f>
        <v>primary</v>
      </c>
      <c r="O93" s="13" t="str">
        <f>RAW_APT!O94</f>
        <v/>
      </c>
      <c r="P93" s="93" t="b">
        <f t="shared" si="1"/>
        <v>0</v>
      </c>
      <c r="Q93" s="93" t="b">
        <f>IF(COUNTIF(RAW_APS!$A$2:$A116,A93)=0,TRUE,FALSE)</f>
        <v>0</v>
      </c>
      <c r="R93" s="93" t="b">
        <f t="shared" si="2"/>
        <v>0</v>
      </c>
      <c r="S93" s="7"/>
      <c r="U93" s="94" t="str">
        <f t="shared" si="3"/>
        <v/>
      </c>
      <c r="Z93" s="129"/>
      <c r="AA93" s="94" t="str">
        <f t="shared" si="4"/>
        <v>AJ8574</v>
      </c>
      <c r="AB93" s="94" t="str">
        <f t="shared" si="5"/>
        <v/>
      </c>
      <c r="AC93" s="94" t="str">
        <f t="shared" si="6"/>
        <v/>
      </c>
      <c r="AD93" s="94" t="str">
        <f t="shared" si="7"/>
        <v/>
      </c>
      <c r="AE93" s="8"/>
    </row>
    <row r="94">
      <c r="A94" s="13" t="str">
        <f>RAW_APT!A95</f>
        <v>AJ8592</v>
      </c>
      <c r="B94" s="294">
        <f>RAW_APT!B95</f>
        <v>44718</v>
      </c>
      <c r="C94" s="301">
        <f>RAW_APT!C95</f>
        <v>0.1936574074</v>
      </c>
      <c r="D94" s="13" t="str">
        <f>RAW_APT!D95</f>
        <v/>
      </c>
      <c r="E94" s="13" t="str">
        <f>RAW_APT!E95</f>
        <v/>
      </c>
      <c r="F94" s="13" t="str">
        <f>RAW_APT!F95</f>
        <v/>
      </c>
      <c r="G94" s="13" t="str">
        <f>RAW_APT!G95</f>
        <v>Collected</v>
      </c>
      <c r="H94" s="13" t="str">
        <f>RAW_APT!H95</f>
        <v>Null</v>
      </c>
      <c r="I94" s="294">
        <f>RAW_APT!I95</f>
        <v>44861</v>
      </c>
      <c r="J94" s="301">
        <f>RAW_APT!J95</f>
        <v>0.484837963</v>
      </c>
      <c r="K94" s="13">
        <f>RAW_APT!K95</f>
        <v>2</v>
      </c>
      <c r="L94" s="13" t="str">
        <f>RAW_APT!L95</f>
        <v/>
      </c>
      <c r="M94" s="13" t="str">
        <f>RAW_APT!M95</f>
        <v/>
      </c>
      <c r="N94" s="13" t="str">
        <f>RAW_APT!N95</f>
        <v>primary</v>
      </c>
      <c r="O94" s="13" t="str">
        <f>RAW_APT!O95</f>
        <v/>
      </c>
      <c r="P94" s="93" t="b">
        <f t="shared" si="1"/>
        <v>0</v>
      </c>
      <c r="Q94" s="93" t="b">
        <f>IF(COUNTIF(RAW_APS!$A$2:$A116,A94)=0,TRUE,FALSE)</f>
        <v>0</v>
      </c>
      <c r="R94" s="93" t="b">
        <f t="shared" si="2"/>
        <v>0</v>
      </c>
      <c r="S94" s="7"/>
      <c r="U94" s="94" t="str">
        <f t="shared" si="3"/>
        <v/>
      </c>
      <c r="Z94" s="129"/>
      <c r="AA94" s="94" t="str">
        <f t="shared" si="4"/>
        <v>AJ8592</v>
      </c>
      <c r="AB94" s="94" t="str">
        <f t="shared" si="5"/>
        <v/>
      </c>
      <c r="AC94" s="94" t="str">
        <f t="shared" si="6"/>
        <v/>
      </c>
      <c r="AD94" s="94" t="str">
        <f t="shared" si="7"/>
        <v/>
      </c>
      <c r="AE94" s="8"/>
    </row>
    <row r="95">
      <c r="A95" s="13" t="str">
        <f>RAW_APT!A96</f>
        <v>AJ8977</v>
      </c>
      <c r="B95" s="294">
        <f>RAW_APT!B96</f>
        <v>44697</v>
      </c>
      <c r="C95" s="301">
        <f>RAW_APT!C96</f>
        <v>0.2090393519</v>
      </c>
      <c r="D95" s="13" t="str">
        <f>RAW_APT!D96</f>
        <v/>
      </c>
      <c r="E95" s="13" t="str">
        <f>RAW_APT!E96</f>
        <v/>
      </c>
      <c r="F95" s="13" t="str">
        <f>RAW_APT!F96</f>
        <v/>
      </c>
      <c r="G95" s="13" t="str">
        <f>RAW_APT!G96</f>
        <v>Result</v>
      </c>
      <c r="H95" s="13" t="str">
        <f>RAW_APT!H96</f>
        <v>Negative</v>
      </c>
      <c r="I95" s="294">
        <f>RAW_APT!I96</f>
        <v>44697</v>
      </c>
      <c r="J95" s="301">
        <f>RAW_APT!J96</f>
        <v>0.3611111111</v>
      </c>
      <c r="K95" s="13">
        <f>RAW_APT!K96</f>
        <v>2</v>
      </c>
      <c r="L95" s="13" t="b">
        <f>RAW_APT!L96</f>
        <v>1</v>
      </c>
      <c r="M95" s="13" t="str">
        <f>RAW_APT!M96</f>
        <v>220516-1</v>
      </c>
      <c r="N95" s="13" t="str">
        <f>RAW_APT!N96</f>
        <v>primary</v>
      </c>
      <c r="O95" s="13" t="str">
        <f>RAW_APT!O96</f>
        <v/>
      </c>
      <c r="P95" s="93" t="b">
        <f t="shared" si="1"/>
        <v>0</v>
      </c>
      <c r="Q95" s="93" t="b">
        <f>IF(COUNTIF(RAW_APS!$A$2:$A116,A95)=0,TRUE,FALSE)</f>
        <v>0</v>
      </c>
      <c r="R95" s="93" t="b">
        <f t="shared" si="2"/>
        <v>0</v>
      </c>
      <c r="S95" s="7"/>
      <c r="U95" s="94" t="str">
        <f t="shared" si="3"/>
        <v/>
      </c>
      <c r="Z95" s="129"/>
      <c r="AA95" s="94" t="str">
        <f t="shared" si="4"/>
        <v>AJ8977</v>
      </c>
      <c r="AB95" s="94" t="str">
        <f t="shared" si="5"/>
        <v/>
      </c>
      <c r="AC95" s="94" t="str">
        <f t="shared" si="6"/>
        <v/>
      </c>
      <c r="AD95" s="94" t="str">
        <f t="shared" si="7"/>
        <v/>
      </c>
      <c r="AE95" s="8"/>
    </row>
    <row r="96">
      <c r="A96" s="13" t="str">
        <f>RAW_APT!A97</f>
        <v>AJ9077</v>
      </c>
      <c r="B96" s="294">
        <f>RAW_APT!B97</f>
        <v>44837</v>
      </c>
      <c r="C96" s="301">
        <f>RAW_APT!C97</f>
        <v>0.198599537</v>
      </c>
      <c r="D96" s="13" t="str">
        <f>RAW_APT!D97</f>
        <v/>
      </c>
      <c r="E96" s="13" t="str">
        <f>RAW_APT!E97</f>
        <v/>
      </c>
      <c r="F96" s="13" t="str">
        <f>RAW_APT!F97</f>
        <v/>
      </c>
      <c r="G96" s="13" t="str">
        <f>RAW_APT!G97</f>
        <v>Result</v>
      </c>
      <c r="H96" s="13" t="str">
        <f>RAW_APT!H97</f>
        <v>Negative</v>
      </c>
      <c r="I96" s="294">
        <f>RAW_APT!I97</f>
        <v>44837</v>
      </c>
      <c r="J96" s="301">
        <f>RAW_APT!J97</f>
        <v>0.510150463</v>
      </c>
      <c r="K96" s="13">
        <f>RAW_APT!K97</f>
        <v>3</v>
      </c>
      <c r="L96" s="13" t="b">
        <f>RAW_APT!L97</f>
        <v>1</v>
      </c>
      <c r="M96" s="13" t="str">
        <f>RAW_APT!M97</f>
        <v>221003-1</v>
      </c>
      <c r="N96" s="13" t="str">
        <f>RAW_APT!N97</f>
        <v>primary</v>
      </c>
      <c r="O96" s="13" t="str">
        <f>RAW_APT!O97</f>
        <v/>
      </c>
      <c r="P96" s="93" t="b">
        <f t="shared" si="1"/>
        <v>0</v>
      </c>
      <c r="Q96" s="93" t="b">
        <f>IF(COUNTIF(RAW_APS!$A$2:$A116,A96)=0,TRUE,FALSE)</f>
        <v>0</v>
      </c>
      <c r="R96" s="93" t="b">
        <f t="shared" si="2"/>
        <v>0</v>
      </c>
      <c r="S96" s="7"/>
      <c r="U96" s="94" t="str">
        <f t="shared" si="3"/>
        <v/>
      </c>
      <c r="Z96" s="129"/>
      <c r="AA96" s="94" t="str">
        <f t="shared" si="4"/>
        <v>AJ9077</v>
      </c>
      <c r="AB96" s="94" t="str">
        <f t="shared" si="5"/>
        <v/>
      </c>
      <c r="AC96" s="94" t="str">
        <f t="shared" si="6"/>
        <v/>
      </c>
      <c r="AD96" s="94" t="str">
        <f t="shared" si="7"/>
        <v/>
      </c>
      <c r="AE96" s="8"/>
    </row>
    <row r="97">
      <c r="A97" s="13" t="str">
        <f>RAW_APT!A98</f>
        <v>AJ9095</v>
      </c>
      <c r="B97" s="294">
        <f>RAW_APT!B98</f>
        <v>44678</v>
      </c>
      <c r="C97" s="301">
        <f>RAW_APT!C98</f>
        <v>0.6180208333</v>
      </c>
      <c r="D97" s="13" t="str">
        <f>RAW_APT!D98</f>
        <v/>
      </c>
      <c r="E97" s="13" t="str">
        <f>RAW_APT!E98</f>
        <v/>
      </c>
      <c r="F97" s="13" t="str">
        <f>RAW_APT!F98</f>
        <v/>
      </c>
      <c r="G97" s="13" t="str">
        <f>RAW_APT!G98</f>
        <v>Result</v>
      </c>
      <c r="H97" s="13" t="str">
        <f>RAW_APT!H98</f>
        <v>Negative</v>
      </c>
      <c r="I97" s="294">
        <f>RAW_APT!I98</f>
        <v>44678</v>
      </c>
      <c r="J97" s="301">
        <f>RAW_APT!J98</f>
        <v>0.6284490741</v>
      </c>
      <c r="K97" s="13">
        <f>RAW_APT!K98</f>
        <v>1</v>
      </c>
      <c r="L97" s="13" t="b">
        <f>RAW_APT!L98</f>
        <v>1</v>
      </c>
      <c r="M97" s="13" t="str">
        <f>RAW_APT!M98</f>
        <v>220427-1 mock</v>
      </c>
      <c r="N97" s="13" t="str">
        <f>RAW_APT!N98</f>
        <v>primary</v>
      </c>
      <c r="O97" s="13" t="str">
        <f>RAW_APT!O98</f>
        <v/>
      </c>
      <c r="P97" s="93" t="b">
        <f t="shared" si="1"/>
        <v>0</v>
      </c>
      <c r="Q97" s="93" t="b">
        <f>IF(COUNTIF(RAW_APS!$A$2:$A116,A97)=0,TRUE,FALSE)</f>
        <v>0</v>
      </c>
      <c r="R97" s="93" t="b">
        <f t="shared" si="2"/>
        <v>0</v>
      </c>
      <c r="S97" s="7"/>
      <c r="U97" s="94" t="str">
        <f t="shared" si="3"/>
        <v/>
      </c>
      <c r="Z97" s="129"/>
      <c r="AA97" s="94" t="str">
        <f t="shared" si="4"/>
        <v>AJ9095</v>
      </c>
      <c r="AB97" s="94" t="str">
        <f t="shared" si="5"/>
        <v/>
      </c>
      <c r="AC97" s="94" t="str">
        <f t="shared" si="6"/>
        <v/>
      </c>
      <c r="AD97" s="94" t="str">
        <f t="shared" si="7"/>
        <v/>
      </c>
      <c r="AE97" s="8"/>
    </row>
    <row r="98">
      <c r="A98" s="13" t="str">
        <f>RAW_APT!A99</f>
        <v>AJ9193</v>
      </c>
      <c r="B98" s="294">
        <f>RAW_APT!B99</f>
        <v>44703</v>
      </c>
      <c r="C98" s="301">
        <f>RAW_APT!C99</f>
        <v>0.7817592593</v>
      </c>
      <c r="D98" s="13" t="str">
        <f>RAW_APT!D99</f>
        <v/>
      </c>
      <c r="E98" s="13" t="str">
        <f>RAW_APT!E99</f>
        <v/>
      </c>
      <c r="F98" s="13" t="str">
        <f>RAW_APT!F99</f>
        <v/>
      </c>
      <c r="G98" s="13" t="str">
        <f>RAW_APT!G99</f>
        <v>Collected</v>
      </c>
      <c r="H98" s="13" t="str">
        <f>RAW_APT!H99</f>
        <v>Null</v>
      </c>
      <c r="I98" s="294">
        <f>RAW_APT!I99</f>
        <v>44861</v>
      </c>
      <c r="J98" s="301">
        <f>RAW_APT!J99</f>
        <v>0.484837963</v>
      </c>
      <c r="K98" s="13">
        <f>RAW_APT!K99</f>
        <v>4</v>
      </c>
      <c r="L98" s="13" t="str">
        <f>RAW_APT!L99</f>
        <v/>
      </c>
      <c r="M98" s="13" t="str">
        <f>RAW_APT!M99</f>
        <v/>
      </c>
      <c r="N98" s="13" t="str">
        <f>RAW_APT!N99</f>
        <v>primary</v>
      </c>
      <c r="O98" s="13" t="str">
        <f>RAW_APT!O99</f>
        <v/>
      </c>
      <c r="P98" s="93" t="b">
        <f t="shared" si="1"/>
        <v>0</v>
      </c>
      <c r="Q98" s="93" t="b">
        <f>IF(COUNTIF(RAW_APS!$A$2:$A116,A98)=0,TRUE,FALSE)</f>
        <v>0</v>
      </c>
      <c r="R98" s="93" t="b">
        <f t="shared" si="2"/>
        <v>0</v>
      </c>
      <c r="S98" s="7"/>
      <c r="U98" s="94" t="str">
        <f t="shared" si="3"/>
        <v/>
      </c>
      <c r="Z98" s="129"/>
      <c r="AA98" s="94" t="str">
        <f t="shared" si="4"/>
        <v>AJ9193</v>
      </c>
      <c r="AB98" s="94" t="str">
        <f t="shared" si="5"/>
        <v/>
      </c>
      <c r="AC98" s="94" t="str">
        <f t="shared" si="6"/>
        <v/>
      </c>
      <c r="AD98" s="94" t="str">
        <f t="shared" si="7"/>
        <v/>
      </c>
      <c r="AE98" s="8"/>
    </row>
    <row r="99">
      <c r="A99" s="13" t="str">
        <f>RAW_APT!A100</f>
        <v>AJ9417</v>
      </c>
      <c r="B99" s="294">
        <f>RAW_APT!B100</f>
        <v>44683</v>
      </c>
      <c r="C99" s="301">
        <f>RAW_APT!C100</f>
        <v>0.2090393519</v>
      </c>
      <c r="D99" s="13" t="str">
        <f>RAW_APT!D100</f>
        <v/>
      </c>
      <c r="E99" s="13" t="str">
        <f>RAW_APT!E100</f>
        <v/>
      </c>
      <c r="F99" s="13" t="str">
        <f>RAW_APT!F100</f>
        <v/>
      </c>
      <c r="G99" s="13" t="str">
        <f>RAW_APT!G100</f>
        <v>Result</v>
      </c>
      <c r="H99" s="13" t="str">
        <f>RAW_APT!H100</f>
        <v>Negative</v>
      </c>
      <c r="I99" s="294">
        <f>RAW_APT!I100</f>
        <v>44683</v>
      </c>
      <c r="J99" s="301">
        <f>RAW_APT!J100</f>
        <v>0.3578240741</v>
      </c>
      <c r="K99" s="13">
        <f>RAW_APT!K100</f>
        <v>4</v>
      </c>
      <c r="L99" s="13" t="b">
        <f>RAW_APT!L100</f>
        <v>1</v>
      </c>
      <c r="M99" s="13" t="str">
        <f>RAW_APT!M100</f>
        <v>220502-1</v>
      </c>
      <c r="N99" s="13" t="str">
        <f>RAW_APT!N100</f>
        <v>primary</v>
      </c>
      <c r="O99" s="13" t="str">
        <f>RAW_APT!O100</f>
        <v/>
      </c>
      <c r="P99" s="93" t="b">
        <f t="shared" si="1"/>
        <v>0</v>
      </c>
      <c r="Q99" s="93" t="b">
        <f>IF(COUNTIF(RAW_APS!$A$2:$A116,A99)=0,TRUE,FALSE)</f>
        <v>0</v>
      </c>
      <c r="R99" s="93" t="b">
        <f t="shared" si="2"/>
        <v>0</v>
      </c>
      <c r="S99" s="7"/>
      <c r="U99" s="94" t="str">
        <f t="shared" si="3"/>
        <v/>
      </c>
      <c r="Z99" s="129"/>
      <c r="AA99" s="94" t="str">
        <f t="shared" si="4"/>
        <v>AJ9417</v>
      </c>
      <c r="AB99" s="94" t="str">
        <f t="shared" si="5"/>
        <v/>
      </c>
      <c r="AC99" s="94" t="str">
        <f t="shared" si="6"/>
        <v/>
      </c>
      <c r="AD99" s="94" t="str">
        <f t="shared" si="7"/>
        <v/>
      </c>
      <c r="AE99" s="8"/>
    </row>
    <row r="100">
      <c r="A100" s="13" t="str">
        <f>RAW_APT!A101</f>
        <v>AJ9453</v>
      </c>
      <c r="B100" s="294">
        <f>RAW_APT!B101</f>
        <v>44683</v>
      </c>
      <c r="C100" s="301">
        <f>RAW_APT!C101</f>
        <v>0.197025463</v>
      </c>
      <c r="D100" s="13" t="str">
        <f>RAW_APT!D101</f>
        <v/>
      </c>
      <c r="E100" s="13" t="str">
        <f>RAW_APT!E101</f>
        <v/>
      </c>
      <c r="F100" s="13" t="str">
        <f>RAW_APT!F101</f>
        <v/>
      </c>
      <c r="G100" s="13" t="str">
        <f>RAW_APT!G101</f>
        <v>Result</v>
      </c>
      <c r="H100" s="13" t="str">
        <f>RAW_APT!H101</f>
        <v>Negative</v>
      </c>
      <c r="I100" s="294">
        <f>RAW_APT!I101</f>
        <v>44690</v>
      </c>
      <c r="J100" s="301">
        <f>RAW_APT!J101</f>
        <v>0.3232291667</v>
      </c>
      <c r="K100" s="13">
        <f>RAW_APT!K101</f>
        <v>1</v>
      </c>
      <c r="L100" s="13" t="b">
        <f>RAW_APT!L101</f>
        <v>1</v>
      </c>
      <c r="M100" s="13" t="str">
        <f>RAW_APT!M101</f>
        <v>220509-1</v>
      </c>
      <c r="N100" s="13" t="str">
        <f>RAW_APT!N101</f>
        <v>primary</v>
      </c>
      <c r="O100" s="13" t="str">
        <f>RAW_APT!O101</f>
        <v/>
      </c>
      <c r="P100" s="93" t="b">
        <f t="shared" si="1"/>
        <v>0</v>
      </c>
      <c r="Q100" s="93" t="b">
        <f>IF(COUNTIF(RAW_APS!$A$2:$A116,A100)=0,TRUE,FALSE)</f>
        <v>0</v>
      </c>
      <c r="R100" s="93" t="b">
        <f t="shared" si="2"/>
        <v>0</v>
      </c>
      <c r="S100" s="7"/>
      <c r="U100" s="94" t="str">
        <f t="shared" si="3"/>
        <v/>
      </c>
      <c r="Z100" s="129"/>
      <c r="AA100" s="94" t="str">
        <f t="shared" si="4"/>
        <v>AJ9453</v>
      </c>
      <c r="AB100" s="94" t="str">
        <f t="shared" si="5"/>
        <v/>
      </c>
      <c r="AC100" s="94" t="str">
        <f t="shared" si="6"/>
        <v/>
      </c>
      <c r="AD100" s="94" t="str">
        <f t="shared" si="7"/>
        <v/>
      </c>
      <c r="AE100" s="8"/>
    </row>
    <row r="101">
      <c r="A101" s="13" t="str">
        <f>RAW_APT!A102</f>
        <v>AJ9479</v>
      </c>
      <c r="B101" s="294">
        <f>RAW_APT!B102</f>
        <v>44704</v>
      </c>
      <c r="C101" s="301">
        <f>RAW_APT!C102</f>
        <v>0.2182638889</v>
      </c>
      <c r="D101" s="13" t="str">
        <f>RAW_APT!D102</f>
        <v/>
      </c>
      <c r="E101" s="13" t="str">
        <f>RAW_APT!E102</f>
        <v/>
      </c>
      <c r="F101" s="13" t="str">
        <f>RAW_APT!F102</f>
        <v/>
      </c>
      <c r="G101" s="13" t="str">
        <f>RAW_APT!G102</f>
        <v>Result</v>
      </c>
      <c r="H101" s="13" t="str">
        <f>RAW_APT!H102</f>
        <v>Negative</v>
      </c>
      <c r="I101" s="294">
        <f>RAW_APT!I102</f>
        <v>44704</v>
      </c>
      <c r="J101" s="301">
        <f>RAW_APT!J102</f>
        <v>0.3949074074</v>
      </c>
      <c r="K101" s="13">
        <f>RAW_APT!K102</f>
        <v>1</v>
      </c>
      <c r="L101" s="13" t="b">
        <f>RAW_APT!L102</f>
        <v>1</v>
      </c>
      <c r="M101" s="13" t="str">
        <f>RAW_APT!M102</f>
        <v>220523-1</v>
      </c>
      <c r="N101" s="13" t="str">
        <f>RAW_APT!N102</f>
        <v>primary</v>
      </c>
      <c r="O101" s="13" t="str">
        <f>RAW_APT!O102</f>
        <v/>
      </c>
      <c r="P101" s="93" t="b">
        <f t="shared" si="1"/>
        <v>0</v>
      </c>
      <c r="Q101" s="93" t="b">
        <f>IF(COUNTIF(RAW_APS!$A$2:$A116,A101)=0,TRUE,FALSE)</f>
        <v>0</v>
      </c>
      <c r="R101" s="93" t="b">
        <f t="shared" si="2"/>
        <v>0</v>
      </c>
      <c r="S101" s="7"/>
      <c r="U101" s="94" t="str">
        <f t="shared" si="3"/>
        <v/>
      </c>
      <c r="Z101" s="129"/>
      <c r="AA101" s="94" t="str">
        <f t="shared" si="4"/>
        <v>AJ9479</v>
      </c>
      <c r="AB101" s="94" t="str">
        <f t="shared" si="5"/>
        <v/>
      </c>
      <c r="AC101" s="94" t="str">
        <f t="shared" si="6"/>
        <v/>
      </c>
      <c r="AD101" s="94" t="str">
        <f t="shared" si="7"/>
        <v/>
      </c>
      <c r="AE101" s="8"/>
    </row>
    <row r="102">
      <c r="A102" s="13" t="str">
        <f>RAW_APT!A103</f>
        <v>AJ9614</v>
      </c>
      <c r="B102" s="294">
        <f>RAW_APT!B103</f>
        <v>44725</v>
      </c>
      <c r="C102" s="301">
        <f>RAW_APT!C103</f>
        <v>0.2009722222</v>
      </c>
      <c r="D102" s="13" t="str">
        <f>RAW_APT!D103</f>
        <v/>
      </c>
      <c r="E102" s="13" t="str">
        <f>RAW_APT!E103</f>
        <v/>
      </c>
      <c r="F102" s="13" t="str">
        <f>RAW_APT!F103</f>
        <v/>
      </c>
      <c r="G102" s="13" t="str">
        <f>RAW_APT!G103</f>
        <v>Result</v>
      </c>
      <c r="H102" s="13" t="str">
        <f>RAW_APT!H103</f>
        <v>Negative</v>
      </c>
      <c r="I102" s="294">
        <f>RAW_APT!I103</f>
        <v>44753</v>
      </c>
      <c r="J102" s="301">
        <f>RAW_APT!J103</f>
        <v>0.3984027778</v>
      </c>
      <c r="K102" s="13">
        <f>RAW_APT!K103</f>
        <v>4</v>
      </c>
      <c r="L102" s="13" t="b">
        <f>RAW_APT!L103</f>
        <v>1</v>
      </c>
      <c r="M102" s="13" t="str">
        <f>RAW_APT!M103</f>
        <v>220711-1</v>
      </c>
      <c r="N102" s="13" t="str">
        <f>RAW_APT!N103</f>
        <v>primary</v>
      </c>
      <c r="O102" s="13" t="str">
        <f>RAW_APT!O103</f>
        <v/>
      </c>
      <c r="P102" s="93" t="b">
        <f t="shared" si="1"/>
        <v>0</v>
      </c>
      <c r="Q102" s="93" t="b">
        <f>IF(COUNTIF(RAW_APS!$A$2:$A116,A102)=0,TRUE,FALSE)</f>
        <v>0</v>
      </c>
      <c r="R102" s="93" t="b">
        <f t="shared" si="2"/>
        <v>0</v>
      </c>
      <c r="S102" s="7"/>
      <c r="U102" s="94" t="str">
        <f t="shared" si="3"/>
        <v/>
      </c>
      <c r="Z102" s="129"/>
      <c r="AA102" s="94" t="str">
        <f t="shared" si="4"/>
        <v>AJ9614</v>
      </c>
      <c r="AB102" s="94" t="str">
        <f t="shared" si="5"/>
        <v/>
      </c>
      <c r="AC102" s="94" t="str">
        <f t="shared" si="6"/>
        <v/>
      </c>
      <c r="AD102" s="94" t="str">
        <f t="shared" si="7"/>
        <v/>
      </c>
      <c r="AE102" s="8"/>
    </row>
    <row r="103">
      <c r="A103" s="13" t="str">
        <f>RAW_APT!A104</f>
        <v>AJ9703</v>
      </c>
      <c r="B103" s="294">
        <f>RAW_APT!B104</f>
        <v>44683</v>
      </c>
      <c r="C103" s="301">
        <f>RAW_APT!C104</f>
        <v>0.2363541667</v>
      </c>
      <c r="D103" s="13" t="str">
        <f>RAW_APT!D104</f>
        <v/>
      </c>
      <c r="E103" s="13" t="str">
        <f>RAW_APT!E104</f>
        <v/>
      </c>
      <c r="F103" s="13" t="str">
        <f>RAW_APT!F104</f>
        <v/>
      </c>
      <c r="G103" s="13" t="str">
        <f>RAW_APT!G104</f>
        <v>Result</v>
      </c>
      <c r="H103" s="13" t="str">
        <f>RAW_APT!H104</f>
        <v>Negative</v>
      </c>
      <c r="I103" s="294">
        <f>RAW_APT!I104</f>
        <v>44683</v>
      </c>
      <c r="J103" s="301">
        <f>RAW_APT!J104</f>
        <v>0.3578240741</v>
      </c>
      <c r="K103" s="13">
        <f>RAW_APT!K104</f>
        <v>2</v>
      </c>
      <c r="L103" s="13" t="b">
        <f>RAW_APT!L104</f>
        <v>1</v>
      </c>
      <c r="M103" s="13" t="str">
        <f>RAW_APT!M104</f>
        <v>220502-1</v>
      </c>
      <c r="N103" s="13" t="str">
        <f>RAW_APT!N104</f>
        <v>primary</v>
      </c>
      <c r="O103" s="13" t="str">
        <f>RAW_APT!O104</f>
        <v/>
      </c>
      <c r="P103" s="93" t="b">
        <f t="shared" si="1"/>
        <v>0</v>
      </c>
      <c r="Q103" s="93" t="b">
        <f>IF(COUNTIF(RAW_APS!$A$2:$A116,A103)=0,TRUE,FALSE)</f>
        <v>0</v>
      </c>
      <c r="R103" s="93" t="b">
        <f t="shared" si="2"/>
        <v>0</v>
      </c>
      <c r="S103" s="7"/>
      <c r="U103" s="94" t="str">
        <f t="shared" si="3"/>
        <v/>
      </c>
      <c r="Z103" s="129"/>
      <c r="AA103" s="94" t="str">
        <f t="shared" si="4"/>
        <v>AJ9703</v>
      </c>
      <c r="AB103" s="94" t="str">
        <f t="shared" si="5"/>
        <v/>
      </c>
      <c r="AC103" s="94" t="str">
        <f t="shared" si="6"/>
        <v/>
      </c>
      <c r="AD103" s="94" t="str">
        <f t="shared" si="7"/>
        <v/>
      </c>
      <c r="AE103" s="8"/>
    </row>
    <row r="104">
      <c r="A104" s="13" t="str">
        <f>RAW_APT!A105</f>
        <v>AJ9836</v>
      </c>
      <c r="B104" s="294">
        <f>RAW_APT!B105</f>
        <v>44767</v>
      </c>
      <c r="C104" s="301">
        <f>RAW_APT!C105</f>
        <v>0.2065277778</v>
      </c>
      <c r="D104" s="13" t="str">
        <f>RAW_APT!D105</f>
        <v/>
      </c>
      <c r="E104" s="13" t="str">
        <f>RAW_APT!E105</f>
        <v/>
      </c>
      <c r="F104" s="13" t="str">
        <f>RAW_APT!F105</f>
        <v/>
      </c>
      <c r="G104" s="13" t="str">
        <f>RAW_APT!G105</f>
        <v>Result</v>
      </c>
      <c r="H104" s="13" t="str">
        <f>RAW_APT!H105</f>
        <v>Negative</v>
      </c>
      <c r="I104" s="294">
        <f>RAW_APT!I105</f>
        <v>44767</v>
      </c>
      <c r="J104" s="301">
        <f>RAW_APT!J105</f>
        <v>0.4329282407</v>
      </c>
      <c r="K104" s="13">
        <f>RAW_APT!K105</f>
        <v>3</v>
      </c>
      <c r="L104" s="13" t="b">
        <f>RAW_APT!L105</f>
        <v>1</v>
      </c>
      <c r="M104" s="13" t="str">
        <f>RAW_APT!M105</f>
        <v>220725-1</v>
      </c>
      <c r="N104" s="13" t="str">
        <f>RAW_APT!N105</f>
        <v>primary</v>
      </c>
      <c r="O104" s="13" t="str">
        <f>RAW_APT!O105</f>
        <v/>
      </c>
      <c r="P104" s="93" t="b">
        <f t="shared" si="1"/>
        <v>0</v>
      </c>
      <c r="Q104" s="93" t="b">
        <f>IF(COUNTIF(RAW_APS!$A$2:$A116,A104)=0,TRUE,FALSE)</f>
        <v>0</v>
      </c>
      <c r="R104" s="93" t="b">
        <f t="shared" si="2"/>
        <v>0</v>
      </c>
      <c r="S104" s="7"/>
      <c r="U104" s="94" t="str">
        <f t="shared" si="3"/>
        <v/>
      </c>
      <c r="Z104" s="129"/>
      <c r="AA104" s="94" t="str">
        <f t="shared" si="4"/>
        <v>AJ9836</v>
      </c>
      <c r="AB104" s="94" t="str">
        <f t="shared" si="5"/>
        <v/>
      </c>
      <c r="AC104" s="94" t="str">
        <f t="shared" si="6"/>
        <v/>
      </c>
      <c r="AD104" s="94" t="str">
        <f t="shared" si="7"/>
        <v/>
      </c>
      <c r="AE104" s="8"/>
    </row>
    <row r="105">
      <c r="A105" s="13" t="str">
        <f>RAW_APT!A106</f>
        <v>AK5211</v>
      </c>
      <c r="B105" s="294">
        <f>RAW_APT!B106</f>
        <v>44689</v>
      </c>
      <c r="C105" s="301">
        <f>RAW_APT!C106</f>
        <v>0.8260300926</v>
      </c>
      <c r="D105" s="13" t="str">
        <f>RAW_APT!D106</f>
        <v/>
      </c>
      <c r="E105" s="13" t="str">
        <f>RAW_APT!E106</f>
        <v/>
      </c>
      <c r="F105" s="13" t="str">
        <f>RAW_APT!F106</f>
        <v/>
      </c>
      <c r="G105" s="13" t="str">
        <f>RAW_APT!G106</f>
        <v>Result</v>
      </c>
      <c r="H105" s="13" t="str">
        <f>RAW_APT!H106</f>
        <v>Negative</v>
      </c>
      <c r="I105" s="294">
        <f>RAW_APT!I106</f>
        <v>44690</v>
      </c>
      <c r="J105" s="301">
        <f>RAW_APT!J106</f>
        <v>0.3232291667</v>
      </c>
      <c r="K105" s="13">
        <f>RAW_APT!K106</f>
        <v>4</v>
      </c>
      <c r="L105" s="13" t="b">
        <f>RAW_APT!L106</f>
        <v>1</v>
      </c>
      <c r="M105" s="13" t="str">
        <f>RAW_APT!M106</f>
        <v>220509-1</v>
      </c>
      <c r="N105" s="13" t="str">
        <f>RAW_APT!N106</f>
        <v>primary</v>
      </c>
      <c r="O105" s="13" t="str">
        <f>RAW_APT!O106</f>
        <v/>
      </c>
      <c r="P105" s="93" t="b">
        <f t="shared" si="1"/>
        <v>0</v>
      </c>
      <c r="Q105" s="93" t="b">
        <f>IF(COUNTIF(RAW_APS!$A$2:$A116,A105)=0,TRUE,FALSE)</f>
        <v>0</v>
      </c>
      <c r="R105" s="93" t="b">
        <f t="shared" si="2"/>
        <v>0</v>
      </c>
      <c r="S105" s="7"/>
      <c r="U105" s="94" t="str">
        <f t="shared" si="3"/>
        <v/>
      </c>
      <c r="Z105" s="129"/>
      <c r="AA105" s="94" t="str">
        <f t="shared" si="4"/>
        <v>AK5211</v>
      </c>
      <c r="AB105" s="94" t="str">
        <f t="shared" si="5"/>
        <v/>
      </c>
      <c r="AC105" s="94" t="str">
        <f t="shared" si="6"/>
        <v/>
      </c>
      <c r="AD105" s="94" t="str">
        <f t="shared" si="7"/>
        <v/>
      </c>
      <c r="AE105" s="8"/>
    </row>
    <row r="106">
      <c r="A106" s="13" t="str">
        <f>RAW_APT!A107</f>
        <v>AK5401</v>
      </c>
      <c r="B106" s="294">
        <f>RAW_APT!B107</f>
        <v>44666</v>
      </c>
      <c r="C106" s="301">
        <f>RAW_APT!C107</f>
        <v>0.496875</v>
      </c>
      <c r="D106" s="13" t="str">
        <f>RAW_APT!D107</f>
        <v/>
      </c>
      <c r="E106" s="13" t="str">
        <f>RAW_APT!E107</f>
        <v/>
      </c>
      <c r="F106" s="13" t="str">
        <f>RAW_APT!F107</f>
        <v/>
      </c>
      <c r="G106" s="13" t="str">
        <f>RAW_APT!G107</f>
        <v>Collected</v>
      </c>
      <c r="H106" s="13" t="str">
        <f>RAW_APT!H107</f>
        <v>Null</v>
      </c>
      <c r="I106" s="294">
        <f>RAW_APT!I107</f>
        <v>44861</v>
      </c>
      <c r="J106" s="301">
        <f>RAW_APT!J107</f>
        <v>0.484837963</v>
      </c>
      <c r="K106" s="13">
        <f>RAW_APT!K107</f>
        <v>1</v>
      </c>
      <c r="L106" s="13" t="str">
        <f>RAW_APT!L107</f>
        <v/>
      </c>
      <c r="M106" s="13" t="str">
        <f>RAW_APT!M107</f>
        <v/>
      </c>
      <c r="N106" s="13" t="str">
        <f>RAW_APT!N107</f>
        <v>primary</v>
      </c>
      <c r="O106" s="13" t="str">
        <f>RAW_APT!O107</f>
        <v/>
      </c>
      <c r="P106" s="93" t="b">
        <f t="shared" si="1"/>
        <v>0</v>
      </c>
      <c r="Q106" s="93" t="b">
        <f>IF(COUNTIF(RAW_APS!$A$2:$A116,A106)=0,TRUE,FALSE)</f>
        <v>0</v>
      </c>
      <c r="R106" s="93" t="b">
        <f t="shared" si="2"/>
        <v>0</v>
      </c>
      <c r="S106" s="7"/>
      <c r="U106" s="94" t="str">
        <f t="shared" si="3"/>
        <v/>
      </c>
      <c r="Z106" s="129"/>
      <c r="AA106" s="94" t="str">
        <f t="shared" si="4"/>
        <v>AK5401</v>
      </c>
      <c r="AB106" s="94" t="str">
        <f t="shared" si="5"/>
        <v/>
      </c>
      <c r="AC106" s="94" t="str">
        <f t="shared" si="6"/>
        <v/>
      </c>
      <c r="AD106" s="94" t="str">
        <f t="shared" si="7"/>
        <v/>
      </c>
      <c r="AE106" s="8"/>
    </row>
    <row r="107">
      <c r="A107" s="13" t="str">
        <f>RAW_APT!A108</f>
        <v>AK5816</v>
      </c>
      <c r="B107" s="294">
        <f>RAW_APT!B108</f>
        <v>44678</v>
      </c>
      <c r="C107" s="301">
        <f>RAW_APT!C108</f>
        <v>0.6164814815</v>
      </c>
      <c r="D107" s="13" t="str">
        <f>RAW_APT!D108</f>
        <v/>
      </c>
      <c r="E107" s="13" t="str">
        <f>RAW_APT!E108</f>
        <v/>
      </c>
      <c r="F107" s="13" t="str">
        <f>RAW_APT!F108</f>
        <v/>
      </c>
      <c r="G107" s="13" t="str">
        <f>RAW_APT!G108</f>
        <v>Result</v>
      </c>
      <c r="H107" s="13" t="str">
        <f>RAW_APT!H108</f>
        <v>Negative</v>
      </c>
      <c r="I107" s="294">
        <f>RAW_APT!I108</f>
        <v>44678</v>
      </c>
      <c r="J107" s="301">
        <f>RAW_APT!J108</f>
        <v>0.6284375</v>
      </c>
      <c r="K107" s="13">
        <f>RAW_APT!K108</f>
        <v>1</v>
      </c>
      <c r="L107" s="13" t="b">
        <f>RAW_APT!L108</f>
        <v>1</v>
      </c>
      <c r="M107" s="13" t="str">
        <f>RAW_APT!M108</f>
        <v>220427-1 mock</v>
      </c>
      <c r="N107" s="13" t="str">
        <f>RAW_APT!N108</f>
        <v>primary</v>
      </c>
      <c r="O107" s="13" t="str">
        <f>RAW_APT!O108</f>
        <v/>
      </c>
      <c r="P107" s="93" t="b">
        <f t="shared" si="1"/>
        <v>0</v>
      </c>
      <c r="Q107" s="93" t="b">
        <f>IF(COUNTIF(RAW_APS!$A$2:$A116,A107)=0,TRUE,FALSE)</f>
        <v>0</v>
      </c>
      <c r="R107" s="93" t="b">
        <f t="shared" si="2"/>
        <v>0</v>
      </c>
      <c r="S107" s="7"/>
      <c r="U107" s="94" t="str">
        <f t="shared" si="3"/>
        <v/>
      </c>
      <c r="Z107" s="129"/>
      <c r="AA107" s="94" t="str">
        <f t="shared" si="4"/>
        <v>AK5816</v>
      </c>
      <c r="AB107" s="94" t="str">
        <f t="shared" si="5"/>
        <v/>
      </c>
      <c r="AC107" s="94" t="str">
        <f t="shared" si="6"/>
        <v/>
      </c>
      <c r="AD107" s="94" t="str">
        <f t="shared" si="7"/>
        <v/>
      </c>
      <c r="AE107" s="8"/>
    </row>
    <row r="108">
      <c r="A108" s="13" t="str">
        <f>RAW_APT!A109</f>
        <v>AK6656</v>
      </c>
      <c r="B108" s="294">
        <f>RAW_APT!B109</f>
        <v>44725</v>
      </c>
      <c r="C108" s="301">
        <f>RAW_APT!C109</f>
        <v>0.2443518519</v>
      </c>
      <c r="D108" s="13" t="str">
        <f>RAW_APT!D109</f>
        <v/>
      </c>
      <c r="E108" s="13" t="str">
        <f>RAW_APT!E109</f>
        <v/>
      </c>
      <c r="F108" s="13" t="str">
        <f>RAW_APT!F109</f>
        <v/>
      </c>
      <c r="G108" s="13" t="str">
        <f>RAW_APT!G109</f>
        <v>Result</v>
      </c>
      <c r="H108" s="13" t="str">
        <f>RAW_APT!H109</f>
        <v>Negative</v>
      </c>
      <c r="I108" s="294">
        <f>RAW_APT!I109</f>
        <v>44725</v>
      </c>
      <c r="J108" s="301">
        <f>RAW_APT!J109</f>
        <v>0.4122453704</v>
      </c>
      <c r="K108" s="13">
        <f>RAW_APT!K109</f>
        <v>2</v>
      </c>
      <c r="L108" s="13" t="b">
        <f>RAW_APT!L109</f>
        <v>1</v>
      </c>
      <c r="M108" s="13" t="str">
        <f>RAW_APT!M109</f>
        <v>220613-1</v>
      </c>
      <c r="N108" s="13" t="str">
        <f>RAW_APT!N109</f>
        <v>primary</v>
      </c>
      <c r="O108" s="13" t="str">
        <f>RAW_APT!O109</f>
        <v/>
      </c>
      <c r="P108" s="93" t="b">
        <f t="shared" si="1"/>
        <v>0</v>
      </c>
      <c r="Q108" s="93" t="b">
        <f>IF(COUNTIF(RAW_APS!$A$2:$A116,A108)=0,TRUE,FALSE)</f>
        <v>0</v>
      </c>
      <c r="R108" s="93" t="b">
        <f t="shared" si="2"/>
        <v>0</v>
      </c>
      <c r="S108" s="7"/>
      <c r="U108" s="94" t="str">
        <f t="shared" si="3"/>
        <v/>
      </c>
      <c r="Z108" s="129"/>
      <c r="AA108" s="94" t="str">
        <f t="shared" si="4"/>
        <v>AK6656</v>
      </c>
      <c r="AB108" s="94" t="str">
        <f t="shared" si="5"/>
        <v/>
      </c>
      <c r="AC108" s="94" t="str">
        <f t="shared" si="6"/>
        <v/>
      </c>
      <c r="AD108" s="94" t="str">
        <f t="shared" si="7"/>
        <v/>
      </c>
      <c r="AE108" s="8"/>
    </row>
    <row r="109">
      <c r="A109" s="13" t="str">
        <f>RAW_APT!A110</f>
        <v>AK6972</v>
      </c>
      <c r="B109" s="294">
        <f>RAW_APT!B110</f>
        <v>44713</v>
      </c>
      <c r="C109" s="301">
        <f>RAW_APT!C110</f>
        <v>0.1976388889</v>
      </c>
      <c r="D109" s="13" t="str">
        <f>RAW_APT!D110</f>
        <v/>
      </c>
      <c r="E109" s="13" t="str">
        <f>RAW_APT!E110</f>
        <v/>
      </c>
      <c r="F109" s="13" t="str">
        <f>RAW_APT!F110</f>
        <v/>
      </c>
      <c r="G109" s="13" t="str">
        <f>RAW_APT!G110</f>
        <v>Result</v>
      </c>
      <c r="H109" s="13" t="str">
        <f>RAW_APT!H110</f>
        <v>Negative</v>
      </c>
      <c r="I109" s="294">
        <f>RAW_APT!I110</f>
        <v>44713</v>
      </c>
      <c r="J109" s="301">
        <f>RAW_APT!J110</f>
        <v>0.3414930556</v>
      </c>
      <c r="K109" s="13">
        <f>RAW_APT!K110</f>
        <v>4</v>
      </c>
      <c r="L109" s="13" t="b">
        <f>RAW_APT!L110</f>
        <v>1</v>
      </c>
      <c r="M109" s="13" t="str">
        <f>RAW_APT!M110</f>
        <v>220601-1</v>
      </c>
      <c r="N109" s="13" t="str">
        <f>RAW_APT!N110</f>
        <v>primary</v>
      </c>
      <c r="O109" s="13" t="str">
        <f>RAW_APT!O110</f>
        <v/>
      </c>
      <c r="P109" s="93" t="b">
        <f t="shared" si="1"/>
        <v>0</v>
      </c>
      <c r="Q109" s="93" t="b">
        <f>IF(COUNTIF(RAW_APS!$A$2:$A116,A109)=0,TRUE,FALSE)</f>
        <v>0</v>
      </c>
      <c r="R109" s="93" t="b">
        <f t="shared" si="2"/>
        <v>0</v>
      </c>
      <c r="S109" s="7"/>
      <c r="U109" s="94" t="str">
        <f t="shared" si="3"/>
        <v/>
      </c>
      <c r="Z109" s="129"/>
      <c r="AA109" s="94" t="str">
        <f t="shared" si="4"/>
        <v>AK6972</v>
      </c>
      <c r="AB109" s="94" t="str">
        <f t="shared" si="5"/>
        <v/>
      </c>
      <c r="AC109" s="94" t="str">
        <f t="shared" si="6"/>
        <v/>
      </c>
      <c r="AD109" s="94" t="str">
        <f t="shared" si="7"/>
        <v/>
      </c>
      <c r="AE109" s="8"/>
    </row>
    <row r="110">
      <c r="A110" s="13" t="str">
        <f>RAW_APT!A111</f>
        <v>AK7133</v>
      </c>
      <c r="B110" s="294">
        <f>RAW_APT!B111</f>
        <v>44683</v>
      </c>
      <c r="C110" s="301">
        <f>RAW_APT!C111</f>
        <v>0.1772106481</v>
      </c>
      <c r="D110" s="13" t="str">
        <f>RAW_APT!D111</f>
        <v/>
      </c>
      <c r="E110" s="13" t="str">
        <f>RAW_APT!E111</f>
        <v/>
      </c>
      <c r="F110" s="13" t="str">
        <f>RAW_APT!F111</f>
        <v/>
      </c>
      <c r="G110" s="13" t="str">
        <f>RAW_APT!G111</f>
        <v>Result</v>
      </c>
      <c r="H110" s="13" t="str">
        <f>RAW_APT!H111</f>
        <v>Negative</v>
      </c>
      <c r="I110" s="294">
        <f>RAW_APT!I111</f>
        <v>44683</v>
      </c>
      <c r="J110" s="301">
        <f>RAW_APT!J111</f>
        <v>0.3578125</v>
      </c>
      <c r="K110" s="13">
        <f>RAW_APT!K111</f>
        <v>1</v>
      </c>
      <c r="L110" s="13" t="b">
        <f>RAW_APT!L111</f>
        <v>1</v>
      </c>
      <c r="M110" s="13" t="str">
        <f>RAW_APT!M111</f>
        <v>220502-1</v>
      </c>
      <c r="N110" s="13" t="str">
        <f>RAW_APT!N111</f>
        <v>primary</v>
      </c>
      <c r="O110" s="13" t="str">
        <f>RAW_APT!O111</f>
        <v/>
      </c>
      <c r="P110" s="93" t="b">
        <f t="shared" si="1"/>
        <v>0</v>
      </c>
      <c r="Q110" s="93" t="b">
        <f>IF(COUNTIF(RAW_APS!$A$2:$A116,A110)=0,TRUE,FALSE)</f>
        <v>0</v>
      </c>
      <c r="R110" s="93" t="b">
        <f t="shared" si="2"/>
        <v>0</v>
      </c>
      <c r="S110" s="7"/>
      <c r="U110" s="94" t="str">
        <f t="shared" si="3"/>
        <v/>
      </c>
      <c r="Z110" s="129"/>
      <c r="AA110" s="94" t="str">
        <f t="shared" si="4"/>
        <v>AK7133</v>
      </c>
      <c r="AB110" s="94" t="str">
        <f t="shared" si="5"/>
        <v/>
      </c>
      <c r="AC110" s="94" t="str">
        <f t="shared" si="6"/>
        <v/>
      </c>
      <c r="AD110" s="94" t="str">
        <f t="shared" si="7"/>
        <v/>
      </c>
      <c r="AE110" s="8"/>
    </row>
    <row r="111">
      <c r="A111" s="13" t="str">
        <f>RAW_APT!A112</f>
        <v>AK7160</v>
      </c>
      <c r="B111" s="294">
        <f>RAW_APT!B112</f>
        <v>44678</v>
      </c>
      <c r="C111" s="301">
        <f>RAW_APT!C112</f>
        <v>0.6176967593</v>
      </c>
      <c r="D111" s="13" t="str">
        <f>RAW_APT!D112</f>
        <v/>
      </c>
      <c r="E111" s="13" t="str">
        <f>RAW_APT!E112</f>
        <v/>
      </c>
      <c r="F111" s="13" t="str">
        <f>RAW_APT!F112</f>
        <v/>
      </c>
      <c r="G111" s="13" t="str">
        <f>RAW_APT!G112</f>
        <v>Result</v>
      </c>
      <c r="H111" s="13" t="str">
        <f>RAW_APT!H112</f>
        <v>Negative</v>
      </c>
      <c r="I111" s="294">
        <f>RAW_APT!I112</f>
        <v>44678</v>
      </c>
      <c r="J111" s="301">
        <f>RAW_APT!J112</f>
        <v>0.6284375</v>
      </c>
      <c r="K111" s="13">
        <f>RAW_APT!K112</f>
        <v>1</v>
      </c>
      <c r="L111" s="13" t="b">
        <f>RAW_APT!L112</f>
        <v>1</v>
      </c>
      <c r="M111" s="13" t="str">
        <f>RAW_APT!M112</f>
        <v>220427-1 mock</v>
      </c>
      <c r="N111" s="13" t="str">
        <f>RAW_APT!N112</f>
        <v>primary</v>
      </c>
      <c r="O111" s="13" t="str">
        <f>RAW_APT!O112</f>
        <v/>
      </c>
      <c r="P111" s="93" t="b">
        <f t="shared" si="1"/>
        <v>0</v>
      </c>
      <c r="Q111" s="93" t="b">
        <f>IF(COUNTIF(RAW_APS!$A$2:$A116,A111)=0,TRUE,FALSE)</f>
        <v>0</v>
      </c>
      <c r="R111" s="93" t="b">
        <f t="shared" si="2"/>
        <v>0</v>
      </c>
      <c r="S111" s="7"/>
      <c r="U111" s="94" t="str">
        <f t="shared" si="3"/>
        <v/>
      </c>
      <c r="Z111" s="129"/>
      <c r="AA111" s="94" t="str">
        <f t="shared" si="4"/>
        <v>AK7160</v>
      </c>
      <c r="AB111" s="94" t="str">
        <f t="shared" si="5"/>
        <v/>
      </c>
      <c r="AC111" s="94" t="str">
        <f t="shared" si="6"/>
        <v/>
      </c>
      <c r="AD111" s="94" t="str">
        <f t="shared" si="7"/>
        <v/>
      </c>
      <c r="AE111" s="8"/>
    </row>
    <row r="112">
      <c r="A112" s="13" t="str">
        <f>RAW_APT!A113</f>
        <v>AK7529</v>
      </c>
      <c r="B112" s="294">
        <f>RAW_APT!B113</f>
        <v>44683</v>
      </c>
      <c r="C112" s="301">
        <f>RAW_APT!C113</f>
        <v>0.2757638889</v>
      </c>
      <c r="D112" s="13" t="str">
        <f>RAW_APT!D113</f>
        <v/>
      </c>
      <c r="E112" s="13" t="str">
        <f>RAW_APT!E113</f>
        <v/>
      </c>
      <c r="F112" s="13" t="str">
        <f>RAW_APT!F113</f>
        <v/>
      </c>
      <c r="G112" s="13" t="str">
        <f>RAW_APT!G113</f>
        <v>Result</v>
      </c>
      <c r="H112" s="13" t="str">
        <f>RAW_APT!H113</f>
        <v>Negative</v>
      </c>
      <c r="I112" s="294">
        <f>RAW_APT!I113</f>
        <v>44683</v>
      </c>
      <c r="J112" s="301">
        <f>RAW_APT!J113</f>
        <v>0.3578356481</v>
      </c>
      <c r="K112" s="13">
        <f>RAW_APT!K113</f>
        <v>1</v>
      </c>
      <c r="L112" s="13" t="b">
        <f>RAW_APT!L113</f>
        <v>1</v>
      </c>
      <c r="M112" s="13" t="str">
        <f>RAW_APT!M113</f>
        <v>220502-1</v>
      </c>
      <c r="N112" s="13" t="str">
        <f>RAW_APT!N113</f>
        <v>primary</v>
      </c>
      <c r="O112" s="13" t="str">
        <f>RAW_APT!O113</f>
        <v/>
      </c>
      <c r="P112" s="93" t="b">
        <f t="shared" si="1"/>
        <v>0</v>
      </c>
      <c r="Q112" s="93" t="b">
        <f>IF(COUNTIF(RAW_APS!$A$2:$A116,A112)=0,TRUE,FALSE)</f>
        <v>0</v>
      </c>
      <c r="R112" s="93" t="b">
        <f t="shared" si="2"/>
        <v>0</v>
      </c>
      <c r="S112" s="7"/>
      <c r="U112" s="94" t="str">
        <f t="shared" si="3"/>
        <v/>
      </c>
      <c r="Z112" s="129"/>
      <c r="AA112" s="94" t="str">
        <f t="shared" si="4"/>
        <v>AK7529</v>
      </c>
      <c r="AB112" s="94" t="str">
        <f t="shared" si="5"/>
        <v/>
      </c>
      <c r="AC112" s="94" t="str">
        <f t="shared" si="6"/>
        <v/>
      </c>
      <c r="AD112" s="94" t="str">
        <f t="shared" si="7"/>
        <v/>
      </c>
      <c r="AE112" s="8"/>
    </row>
    <row r="113">
      <c r="A113" s="13" t="str">
        <f>RAW_APT!A114</f>
        <v>TEST_04-28-22</v>
      </c>
      <c r="B113" s="294">
        <f>RAW_APT!B114</f>
        <v>44679</v>
      </c>
      <c r="C113" s="301">
        <f>RAW_APT!C114</f>
        <v>0.5215162037</v>
      </c>
      <c r="D113" s="13" t="str">
        <f>RAW_APT!D114</f>
        <v/>
      </c>
      <c r="E113" s="13" t="str">
        <f>RAW_APT!E114</f>
        <v/>
      </c>
      <c r="F113" s="13" t="str">
        <f>RAW_APT!F114</f>
        <v/>
      </c>
      <c r="G113" s="13" t="str">
        <f>RAW_APT!G114</f>
        <v>Collected</v>
      </c>
      <c r="H113" s="13" t="str">
        <f>RAW_APT!H114</f>
        <v>Null</v>
      </c>
      <c r="I113" s="294">
        <f>RAW_APT!I114</f>
        <v>44861</v>
      </c>
      <c r="J113" s="301">
        <f>RAW_APT!J114</f>
        <v>0.484837963</v>
      </c>
      <c r="K113" s="13">
        <f>RAW_APT!K114</f>
        <v>4</v>
      </c>
      <c r="L113" s="13" t="str">
        <f>RAW_APT!L114</f>
        <v/>
      </c>
      <c r="M113" s="13" t="str">
        <f>RAW_APT!M114</f>
        <v/>
      </c>
      <c r="N113" s="13" t="str">
        <f>RAW_APT!N114</f>
        <v>primary</v>
      </c>
      <c r="O113" s="13" t="str">
        <f>RAW_APT!O114</f>
        <v/>
      </c>
      <c r="P113" s="93" t="b">
        <f t="shared" si="1"/>
        <v>0</v>
      </c>
      <c r="Q113" s="93" t="b">
        <f>IF(COUNTIF(RAW_APS!$A$2:$A116,A113)=0,TRUE,FALSE)</f>
        <v>0</v>
      </c>
      <c r="R113" s="93" t="b">
        <f t="shared" si="2"/>
        <v>0</v>
      </c>
      <c r="S113" s="7"/>
      <c r="U113" s="94" t="str">
        <f t="shared" si="3"/>
        <v/>
      </c>
      <c r="Z113" s="129"/>
      <c r="AA113" s="94" t="str">
        <f t="shared" si="4"/>
        <v>TEST_04-28-22</v>
      </c>
      <c r="AB113" s="94" t="str">
        <f t="shared" si="5"/>
        <v/>
      </c>
      <c r="AC113" s="94" t="str">
        <f t="shared" si="6"/>
        <v/>
      </c>
      <c r="AD113" s="94" t="str">
        <f t="shared" si="7"/>
        <v/>
      </c>
      <c r="AE113" s="8"/>
    </row>
    <row r="114">
      <c r="A114" s="13" t="str">
        <f>RAW_APT!A115</f>
        <v>TEST_0419-1</v>
      </c>
      <c r="B114" s="294">
        <f>RAW_APT!B115</f>
        <v>44670</v>
      </c>
      <c r="C114" s="301">
        <f>RAW_APT!C115</f>
        <v>0.46875</v>
      </c>
      <c r="D114" s="13" t="str">
        <f>RAW_APT!D115</f>
        <v/>
      </c>
      <c r="E114" s="13" t="str">
        <f>RAW_APT!E115</f>
        <v/>
      </c>
      <c r="F114" s="13" t="str">
        <f>RAW_APT!F115</f>
        <v/>
      </c>
      <c r="G114" s="13" t="str">
        <f>RAW_APT!G115</f>
        <v>Result</v>
      </c>
      <c r="H114" s="13" t="str">
        <f>RAW_APT!H115</f>
        <v>Positive</v>
      </c>
      <c r="I114" s="294">
        <f>RAW_APT!I115</f>
        <v>44670</v>
      </c>
      <c r="J114" s="301">
        <f>RAW_APT!J115</f>
        <v>0.5004282407</v>
      </c>
      <c r="K114" s="13">
        <f>RAW_APT!K115</f>
        <v>3</v>
      </c>
      <c r="L114" s="13" t="b">
        <f>RAW_APT!L115</f>
        <v>1</v>
      </c>
      <c r="M114" s="13" t="str">
        <f>RAW_APT!M115</f>
        <v/>
      </c>
      <c r="N114" s="13" t="str">
        <f>RAW_APT!N115</f>
        <v>primary</v>
      </c>
      <c r="O114" s="13" t="str">
        <f>RAW_APT!O115</f>
        <v/>
      </c>
      <c r="P114" s="93" t="b">
        <f t="shared" si="1"/>
        <v>0</v>
      </c>
      <c r="Q114" s="93" t="b">
        <f>IF(COUNTIF(RAW_APS!$A$2:$A116,A114)=0,TRUE,FALSE)</f>
        <v>0</v>
      </c>
      <c r="R114" s="93" t="b">
        <f t="shared" si="2"/>
        <v>0</v>
      </c>
      <c r="S114" s="7"/>
      <c r="U114" s="94" t="str">
        <f t="shared" si="3"/>
        <v/>
      </c>
      <c r="Z114" s="129"/>
      <c r="AA114" s="94" t="str">
        <f t="shared" si="4"/>
        <v>TEST_0419-1</v>
      </c>
      <c r="AB114" s="94" t="str">
        <f t="shared" si="5"/>
        <v/>
      </c>
      <c r="AC114" s="94" t="str">
        <f t="shared" si="6"/>
        <v/>
      </c>
      <c r="AD114" s="94" t="str">
        <f t="shared" si="7"/>
        <v/>
      </c>
      <c r="AE114" s="8"/>
    </row>
    <row r="115">
      <c r="A115" s="13" t="str">
        <f>RAW_APT!A116</f>
        <v>TEST_0419-2</v>
      </c>
      <c r="B115" s="294">
        <f>RAW_APT!B116</f>
        <v>44670</v>
      </c>
      <c r="C115" s="301">
        <f>RAW_APT!C116</f>
        <v>0.4692824074</v>
      </c>
      <c r="D115" s="13" t="str">
        <f>RAW_APT!D116</f>
        <v/>
      </c>
      <c r="E115" s="13" t="str">
        <f>RAW_APT!E116</f>
        <v/>
      </c>
      <c r="F115" s="13" t="str">
        <f>RAW_APT!F116</f>
        <v/>
      </c>
      <c r="G115" s="13" t="str">
        <f>RAW_APT!G116</f>
        <v>Collected</v>
      </c>
      <c r="H115" s="13" t="str">
        <f>RAW_APT!H116</f>
        <v>Null</v>
      </c>
      <c r="I115" s="294">
        <f>RAW_APT!I116</f>
        <v>44861</v>
      </c>
      <c r="J115" s="301">
        <f>RAW_APT!J116</f>
        <v>0.484837963</v>
      </c>
      <c r="K115" s="13">
        <f>RAW_APT!K116</f>
        <v>3</v>
      </c>
      <c r="L115" s="13" t="str">
        <f>RAW_APT!L116</f>
        <v/>
      </c>
      <c r="M115" s="13" t="str">
        <f>RAW_APT!M116</f>
        <v/>
      </c>
      <c r="N115" s="13" t="str">
        <f>RAW_APT!N116</f>
        <v>primary</v>
      </c>
      <c r="O115" s="13" t="str">
        <f>RAW_APT!O116</f>
        <v/>
      </c>
      <c r="P115" s="93" t="b">
        <f t="shared" si="1"/>
        <v>0</v>
      </c>
      <c r="Q115" s="93" t="b">
        <f>IF(COUNTIF(RAW_APS!$A$2:$A116,A115)=0,TRUE,FALSE)</f>
        <v>0</v>
      </c>
      <c r="R115" s="93" t="b">
        <f t="shared" si="2"/>
        <v>0</v>
      </c>
      <c r="S115" s="7"/>
      <c r="U115" s="94" t="str">
        <f t="shared" si="3"/>
        <v/>
      </c>
      <c r="Z115" s="129"/>
      <c r="AA115" s="94" t="str">
        <f t="shared" si="4"/>
        <v>TEST_0419-2</v>
      </c>
      <c r="AB115" s="94" t="str">
        <f t="shared" si="5"/>
        <v/>
      </c>
      <c r="AC115" s="94" t="str">
        <f t="shared" si="6"/>
        <v/>
      </c>
      <c r="AD115" s="94" t="str">
        <f t="shared" si="7"/>
        <v/>
      </c>
      <c r="AE115" s="8"/>
    </row>
    <row r="116">
      <c r="A116" s="13" t="str">
        <f>RAW_APT!A117</f>
        <v>TEST_0419-3</v>
      </c>
      <c r="B116" s="294">
        <f>RAW_APT!B117</f>
        <v>44670</v>
      </c>
      <c r="C116" s="301">
        <f>RAW_APT!C117</f>
        <v>0.4699305556</v>
      </c>
      <c r="D116" s="13" t="str">
        <f>RAW_APT!D117</f>
        <v/>
      </c>
      <c r="E116" s="13" t="str">
        <f>RAW_APT!E117</f>
        <v/>
      </c>
      <c r="F116" s="13" t="str">
        <f>RAW_APT!F117</f>
        <v/>
      </c>
      <c r="G116" s="13" t="str">
        <f>RAW_APT!G117</f>
        <v>Collected</v>
      </c>
      <c r="H116" s="13" t="str">
        <f>RAW_APT!H117</f>
        <v>Null</v>
      </c>
      <c r="I116" s="294">
        <f>RAW_APT!I117</f>
        <v>44861</v>
      </c>
      <c r="J116" s="301">
        <f>RAW_APT!J117</f>
        <v>0.484837963</v>
      </c>
      <c r="K116" s="13">
        <f>RAW_APT!K117</f>
        <v>3</v>
      </c>
      <c r="L116" s="13" t="str">
        <f>RAW_APT!L117</f>
        <v/>
      </c>
      <c r="M116" s="13" t="str">
        <f>RAW_APT!M117</f>
        <v/>
      </c>
      <c r="N116" s="13" t="str">
        <f>RAW_APT!N117</f>
        <v>primary</v>
      </c>
      <c r="O116" s="13" t="str">
        <f>RAW_APT!O117</f>
        <v/>
      </c>
      <c r="P116" s="93" t="b">
        <f t="shared" si="1"/>
        <v>0</v>
      </c>
      <c r="Q116" s="93" t="b">
        <f>IF(COUNTIF(RAW_APS!$A$2:$A116,A116)=0,TRUE,FALSE)</f>
        <v>0</v>
      </c>
      <c r="R116" s="93" t="b">
        <f t="shared" si="2"/>
        <v>0</v>
      </c>
      <c r="S116" s="7"/>
      <c r="U116" s="94" t="str">
        <f t="shared" si="3"/>
        <v/>
      </c>
      <c r="Z116" s="129"/>
      <c r="AA116" s="94" t="str">
        <f t="shared" si="4"/>
        <v>TEST_0419-3</v>
      </c>
      <c r="AB116" s="94" t="str">
        <f t="shared" si="5"/>
        <v/>
      </c>
      <c r="AC116" s="94" t="str">
        <f t="shared" si="6"/>
        <v/>
      </c>
      <c r="AD116" s="94" t="str">
        <f t="shared" si="7"/>
        <v/>
      </c>
      <c r="AE116" s="8"/>
    </row>
  </sheetData>
  <conditionalFormatting sqref="P2:Q116">
    <cfRule type="cellIs" dxfId="11" priority="1" operator="equal">
      <formula>"TRUE"</formula>
    </cfRule>
  </conditionalFormatting>
  <conditionalFormatting sqref="R3:R116">
    <cfRule type="cellIs" dxfId="1" priority="2" operator="equal">
      <formula>"TRUE"</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1.38"/>
    <col customWidth="1" min="5" max="5" width="26.88"/>
    <col customWidth="1" min="6" max="6" width="3.0"/>
    <col customWidth="1" min="7" max="8" width="11.38"/>
    <col customWidth="1" min="9" max="9" width="34.13"/>
    <col customWidth="1" min="10" max="10" width="11.38"/>
    <col customWidth="1" min="11" max="11" width="12.63"/>
    <col customWidth="1" min="12" max="14" width="11.38"/>
    <col customWidth="1" min="15" max="15" width="10.25"/>
  </cols>
  <sheetData>
    <row r="1">
      <c r="A1" s="51" t="str">
        <f>CONCATENATE("Missing Tube ID, Collect Date or Time? ",COUNTIF(A2:A235,TRUE)) </f>
        <v>Missing Tube ID, Collect Date or Time? 4</v>
      </c>
      <c r="B1" s="302" t="s">
        <v>631</v>
      </c>
      <c r="C1" s="51" t="s">
        <v>632</v>
      </c>
      <c r="D1" s="51" t="s">
        <v>633</v>
      </c>
      <c r="E1" s="260" t="s">
        <v>634</v>
      </c>
      <c r="F1" s="303"/>
      <c r="G1" s="79" t="str">
        <f>CONCATENATE("Rep Tube IDs Sorted = ",COUNTA(N3:N235))</f>
        <v>Rep Tube IDs Sorted = 0</v>
      </c>
      <c r="H1" s="79" t="s">
        <v>196</v>
      </c>
      <c r="I1" s="304" t="s">
        <v>635</v>
      </c>
      <c r="J1" s="304" t="s">
        <v>198</v>
      </c>
      <c r="K1" s="305" t="s">
        <v>636</v>
      </c>
      <c r="L1" s="81" t="s">
        <v>200</v>
      </c>
      <c r="M1" s="81" t="s">
        <v>201</v>
      </c>
      <c r="N1" s="81" t="s">
        <v>202</v>
      </c>
      <c r="O1" s="3"/>
      <c r="P1" s="3"/>
      <c r="Q1" s="3"/>
      <c r="R1" s="3"/>
      <c r="S1" s="3"/>
      <c r="T1" s="3"/>
      <c r="U1" s="3"/>
      <c r="V1" s="3"/>
      <c r="W1" s="3"/>
    </row>
    <row r="2">
      <c r="A2" s="94" t="str">
        <f>IF(OR(ISBLANK(RAW_APS!A2),ISBLANK(RAW_APS!B2),ISBLANK(RAW_APS!C2)),TRUE,IFERROR(0/0,""))</f>
        <v/>
      </c>
      <c r="B2" s="306"/>
      <c r="C2" s="94" t="str">
        <f>IF(ISBLANK(B2),IFERROR(0/0,""),RAW_APS!A2)</f>
        <v/>
      </c>
      <c r="D2" s="94" t="str">
        <f>IF(ISBLANK(C2),IFERROR(0/0,""), VLOOKUP(C2,preDEL!A$2:AG235,33,FALSE))</f>
        <v/>
      </c>
      <c r="E2" s="306"/>
      <c r="F2" s="307"/>
      <c r="G2" s="308" t="str">
        <f t="array" ref="G2:G235">SORT(N$2:N235,1,TRUE)</f>
        <v/>
      </c>
      <c r="H2" s="309" t="str">
        <f t="shared" ref="H2:H235" si="1">IF(COUNTIF(L$2:L235,G2)&gt;0,COUNTIF(L$2:L235,G2),IFERROR(0/0,""))</f>
        <v/>
      </c>
      <c r="I2" s="112" t="str">
        <f>CONCATENATE(UPPER(RAW_APS!$A3),"__",RAW_APS!$B3,"_",RAW_APS!$C3)</f>
        <v>AJ9077__44837_0.198599537037037</v>
      </c>
      <c r="J2" s="310" t="str">
        <f t="shared" ref="J2:J235" si="2">IF(ISBLANK(IFERROR(MATCH(LEFT(I2, FIND("__",I2)-1),G$1:G235,0),"")),IFERROR(0/0,""),TRUE)</f>
        <v/>
      </c>
      <c r="K2" s="311" t="str">
        <f t="array" ref="K2:K115">SORT(UNIQUE(I$2:I235),1,TRUE)</f>
        <v>72782051679__44659_0.550173611111111</v>
      </c>
      <c r="L2" s="311" t="str">
        <f t="shared" ref="L2:L235" si="3">IFERROR(LEFT(K2, FIND("__",K2)-1),"")</f>
        <v>72782051679</v>
      </c>
      <c r="M2" s="312" t="b">
        <f>IFERROR(AND(EXACT(L3,L2),NOT(EXACT(L2,L1))),"")</f>
        <v>0</v>
      </c>
      <c r="N2" s="311" t="str">
        <f t="shared" ref="N2:N235" si="4">IF(M2,L2,IFERROR(0/0,""))</f>
        <v/>
      </c>
      <c r="O2" s="3"/>
      <c r="P2" s="3"/>
      <c r="Q2" s="3"/>
      <c r="R2" s="3"/>
      <c r="S2" s="3"/>
      <c r="T2" s="3"/>
      <c r="U2" s="3"/>
      <c r="V2" s="3"/>
      <c r="W2" s="3"/>
    </row>
    <row r="3">
      <c r="A3" s="94" t="str">
        <f>IF(OR(ISBLANK(RAW_APS!A3),ISBLANK(RAW_APS!B3),ISBLANK(RAW_APS!C3)),TRUE,IFERROR(0/0,""))</f>
        <v/>
      </c>
      <c r="B3" s="3"/>
      <c r="C3" s="94" t="str">
        <f>IF(ISBLANK(B3),IFERROR(0/0,""),RAW_APS!A3)</f>
        <v/>
      </c>
      <c r="D3" s="94" t="str">
        <f>IF(ISBLANK(C3),IFERROR(0/0,""), VLOOKUP(C3,preDEL!A$2:AG235,33,FALSE))</f>
        <v/>
      </c>
      <c r="E3" s="3"/>
      <c r="F3" s="129"/>
      <c r="G3" s="306"/>
      <c r="H3" s="309" t="str">
        <f t="shared" si="1"/>
        <v/>
      </c>
      <c r="I3" s="112" t="str">
        <f>CONCATENATE(UPPER(RAW_APS!$A4),"__",RAW_APS!$B4,"_",RAW_APS!$C4)</f>
        <v>AJ9077__44837_0.198599537037037</v>
      </c>
      <c r="J3" s="310" t="str">
        <f t="shared" si="2"/>
        <v/>
      </c>
      <c r="K3" s="306" t="s">
        <v>637</v>
      </c>
      <c r="L3" s="311" t="str">
        <f t="shared" si="3"/>
        <v>AG1103</v>
      </c>
      <c r="M3" s="312" t="b">
        <f t="shared" ref="M3:M235" si="5">IFERROR(AND(EXACT(L236,L3),NOT(EXACT(L3,L2))),"")</f>
        <v>0</v>
      </c>
      <c r="N3" s="311" t="str">
        <f t="shared" si="4"/>
        <v/>
      </c>
      <c r="O3" s="3"/>
      <c r="P3" s="3"/>
      <c r="Q3" s="3"/>
      <c r="R3" s="3"/>
      <c r="S3" s="3"/>
      <c r="T3" s="3"/>
      <c r="U3" s="3"/>
      <c r="V3" s="3"/>
      <c r="W3" s="3"/>
    </row>
    <row r="4">
      <c r="A4" s="94" t="str">
        <f>IF(OR(ISBLANK(RAW_APS!A4),ISBLANK(RAW_APS!B4),ISBLANK(RAW_APS!C4)),TRUE,IFERROR(0/0,""))</f>
        <v/>
      </c>
      <c r="B4" s="3"/>
      <c r="C4" s="94" t="str">
        <f>IF(ISBLANK(B4),IFERROR(0/0,""),RAW_APS!A4)</f>
        <v/>
      </c>
      <c r="D4" s="94" t="str">
        <f>IF(ISBLANK(C4),IFERROR(0/0,""), VLOOKUP(C4,preDEL!A$2:AG235,33,FALSE))</f>
        <v/>
      </c>
      <c r="E4" s="3"/>
      <c r="F4" s="129"/>
      <c r="G4" s="306"/>
      <c r="H4" s="309" t="str">
        <f t="shared" si="1"/>
        <v/>
      </c>
      <c r="I4" s="112" t="str">
        <f>CONCATENATE(UPPER(RAW_APS!$A5),"__",RAW_APS!$B5,"_",RAW_APS!$C5)</f>
        <v>AJ9077__44837_0.198599537037037</v>
      </c>
      <c r="J4" s="310" t="str">
        <f t="shared" si="2"/>
        <v/>
      </c>
      <c r="K4" s="306" t="s">
        <v>638</v>
      </c>
      <c r="L4" s="311" t="str">
        <f t="shared" si="3"/>
        <v>AG1224</v>
      </c>
      <c r="M4" s="312" t="b">
        <f t="shared" si="5"/>
        <v>0</v>
      </c>
      <c r="N4" s="311" t="str">
        <f t="shared" si="4"/>
        <v/>
      </c>
      <c r="O4" s="3"/>
      <c r="P4" s="3"/>
      <c r="Q4" s="3"/>
      <c r="R4" s="3"/>
      <c r="S4" s="3"/>
      <c r="T4" s="3"/>
      <c r="U4" s="3"/>
      <c r="V4" s="3"/>
      <c r="W4" s="3"/>
    </row>
    <row r="5">
      <c r="A5" s="94" t="str">
        <f>IF(OR(ISBLANK(RAW_APS!A5),ISBLANK(RAW_APS!B5),ISBLANK(RAW_APS!C5)),TRUE,IFERROR(0/0,""))</f>
        <v/>
      </c>
      <c r="B5" s="3"/>
      <c r="C5" s="94" t="str">
        <f>IF(ISBLANK(B5),IFERROR(0/0,""),RAW_APS!A5)</f>
        <v/>
      </c>
      <c r="D5" s="94" t="str">
        <f>IF(ISBLANK(C5),IFERROR(0/0,""), VLOOKUP(C5,preDEL!A$2:AG235,33,FALSE))</f>
        <v/>
      </c>
      <c r="E5" s="3"/>
      <c r="F5" s="129"/>
      <c r="G5" s="306"/>
      <c r="H5" s="309" t="str">
        <f t="shared" si="1"/>
        <v/>
      </c>
      <c r="I5" s="112" t="str">
        <f>CONCATENATE(UPPER(RAW_APS!$A6),"__",RAW_APS!$B6,"_",RAW_APS!$C6)</f>
        <v>AG1858__44816_0.169016203703704</v>
      </c>
      <c r="J5" s="310" t="str">
        <f t="shared" si="2"/>
        <v/>
      </c>
      <c r="K5" s="306" t="s">
        <v>639</v>
      </c>
      <c r="L5" s="311" t="str">
        <f t="shared" si="3"/>
        <v>AG1259</v>
      </c>
      <c r="M5" s="312" t="b">
        <f t="shared" si="5"/>
        <v>0</v>
      </c>
      <c r="N5" s="311" t="str">
        <f t="shared" si="4"/>
        <v/>
      </c>
      <c r="O5" s="3"/>
      <c r="P5" s="3"/>
      <c r="Q5" s="3"/>
      <c r="R5" s="3"/>
      <c r="S5" s="3"/>
      <c r="T5" s="3"/>
      <c r="U5" s="3"/>
      <c r="V5" s="3"/>
      <c r="W5" s="3"/>
    </row>
    <row r="6">
      <c r="A6" s="94" t="str">
        <f>IF(OR(ISBLANK(RAW_APS!A6),ISBLANK(RAW_APS!B6),ISBLANK(RAW_APS!C6)),TRUE,IFERROR(0/0,""))</f>
        <v/>
      </c>
      <c r="B6" s="3"/>
      <c r="C6" s="94" t="str">
        <f>IF(ISBLANK(B6),IFERROR(0/0,""),RAW_APS!A6)</f>
        <v/>
      </c>
      <c r="D6" s="94" t="str">
        <f>IF(ISBLANK(C6),IFERROR(0/0,""), VLOOKUP(C6,preDEL!A$2:AG235,33,FALSE))</f>
        <v/>
      </c>
      <c r="E6" s="3"/>
      <c r="F6" s="129"/>
      <c r="G6" s="306"/>
      <c r="H6" s="309" t="str">
        <f t="shared" si="1"/>
        <v/>
      </c>
      <c r="I6" s="112" t="str">
        <f>CONCATENATE(UPPER(RAW_APS!$A7),"__",RAW_APS!$B7,"_",RAW_APS!$C7)</f>
        <v>AG1858__44816_0.169016203703704</v>
      </c>
      <c r="J6" s="310" t="str">
        <f t="shared" si="2"/>
        <v/>
      </c>
      <c r="K6" s="306" t="s">
        <v>640</v>
      </c>
      <c r="L6" s="311" t="str">
        <f t="shared" si="3"/>
        <v>AG1419</v>
      </c>
      <c r="M6" s="312" t="b">
        <f t="shared" si="5"/>
        <v>0</v>
      </c>
      <c r="N6" s="311" t="str">
        <f t="shared" si="4"/>
        <v/>
      </c>
      <c r="O6" s="3"/>
      <c r="P6" s="3"/>
      <c r="Q6" s="3"/>
      <c r="R6" s="3"/>
      <c r="S6" s="3"/>
      <c r="T6" s="3"/>
      <c r="U6" s="3"/>
      <c r="V6" s="3"/>
      <c r="W6" s="3"/>
    </row>
    <row r="7">
      <c r="A7" s="94" t="str">
        <f>IF(OR(ISBLANK(RAW_APS!A7),ISBLANK(RAW_APS!B7),ISBLANK(RAW_APS!C7)),TRUE,IFERROR(0/0,""))</f>
        <v/>
      </c>
      <c r="B7" s="3"/>
      <c r="C7" s="94" t="str">
        <f>IF(ISBLANK(B7),IFERROR(0/0,""),RAW_APS!A7)</f>
        <v/>
      </c>
      <c r="D7" s="94" t="str">
        <f>IF(ISBLANK(C7),IFERROR(0/0,""), VLOOKUP(C7,preDEL!A$2:AG235,33,FALSE))</f>
        <v/>
      </c>
      <c r="E7" s="3"/>
      <c r="F7" s="129"/>
      <c r="G7" s="306"/>
      <c r="H7" s="309" t="str">
        <f t="shared" si="1"/>
        <v/>
      </c>
      <c r="I7" s="112" t="str">
        <f>CONCATENATE(UPPER(RAW_APS!$A8),"__",RAW_APS!$B8,"_",RAW_APS!$C8)</f>
        <v>AG1858__44816_0.169016203703704</v>
      </c>
      <c r="J7" s="310" t="str">
        <f t="shared" si="2"/>
        <v/>
      </c>
      <c r="K7" s="306" t="s">
        <v>641</v>
      </c>
      <c r="L7" s="311" t="str">
        <f t="shared" si="3"/>
        <v>AG1447</v>
      </c>
      <c r="M7" s="312" t="b">
        <f t="shared" si="5"/>
        <v>0</v>
      </c>
      <c r="N7" s="311" t="str">
        <f t="shared" si="4"/>
        <v/>
      </c>
      <c r="O7" s="3"/>
      <c r="P7" s="3"/>
      <c r="Q7" s="3"/>
      <c r="R7" s="3"/>
      <c r="S7" s="3"/>
      <c r="T7" s="3"/>
      <c r="U7" s="3"/>
      <c r="V7" s="3"/>
      <c r="W7" s="3"/>
    </row>
    <row r="8">
      <c r="A8" s="94" t="str">
        <f>IF(OR(ISBLANK(RAW_APS!A8),ISBLANK(RAW_APS!B8),ISBLANK(RAW_APS!C8)),TRUE,IFERROR(0/0,""))</f>
        <v/>
      </c>
      <c r="B8" s="3"/>
      <c r="C8" s="94" t="str">
        <f>IF(ISBLANK(B8),IFERROR(0/0,""),RAW_APS!A8)</f>
        <v/>
      </c>
      <c r="D8" s="94" t="str">
        <f>IF(ISBLANK(C8),IFERROR(0/0,""), VLOOKUP(C8,preDEL!A$2:AG235,33,FALSE))</f>
        <v/>
      </c>
      <c r="E8" s="3"/>
      <c r="F8" s="129"/>
      <c r="G8" s="306"/>
      <c r="H8" s="309" t="str">
        <f t="shared" si="1"/>
        <v/>
      </c>
      <c r="I8" s="112" t="str">
        <f>CONCATENATE(UPPER(RAW_APS!$A9),"__",RAW_APS!$B9,"_",RAW_APS!$C9)</f>
        <v>AG1858__44816_0.169016203703704</v>
      </c>
      <c r="J8" s="310" t="str">
        <f t="shared" si="2"/>
        <v/>
      </c>
      <c r="K8" s="306" t="s">
        <v>642</v>
      </c>
      <c r="L8" s="311" t="str">
        <f t="shared" si="3"/>
        <v>AG1523</v>
      </c>
      <c r="M8" s="312" t="b">
        <f t="shared" si="5"/>
        <v>0</v>
      </c>
      <c r="N8" s="311" t="str">
        <f t="shared" si="4"/>
        <v/>
      </c>
      <c r="O8" s="3"/>
      <c r="P8" s="3"/>
      <c r="Q8" s="3"/>
      <c r="R8" s="3"/>
      <c r="S8" s="3"/>
      <c r="T8" s="3"/>
      <c r="U8" s="3"/>
      <c r="V8" s="3"/>
      <c r="W8" s="3"/>
    </row>
    <row r="9">
      <c r="A9" s="94" t="str">
        <f>IF(OR(ISBLANK(RAW_APS!A9),ISBLANK(RAW_APS!B9),ISBLANK(RAW_APS!C9)),TRUE,IFERROR(0/0,""))</f>
        <v/>
      </c>
      <c r="B9" s="3"/>
      <c r="C9" s="94" t="str">
        <f>IF(ISBLANK(B9),IFERROR(0/0,""),RAW_APS!A9)</f>
        <v/>
      </c>
      <c r="D9" s="94" t="str">
        <f>IF(ISBLANK(C9),IFERROR(0/0,""), VLOOKUP(C9,preDEL!A$2:AG235,33,FALSE))</f>
        <v/>
      </c>
      <c r="E9" s="3"/>
      <c r="F9" s="129"/>
      <c r="G9" s="306"/>
      <c r="H9" s="309" t="str">
        <f t="shared" si="1"/>
        <v/>
      </c>
      <c r="I9" s="112" t="str">
        <f>CONCATENATE(UPPER(RAW_APS!$A10),"__",RAW_APS!$B10,"_",RAW_APS!$C10)</f>
        <v>AG299__44774_0.214212962962963</v>
      </c>
      <c r="J9" s="310" t="str">
        <f t="shared" si="2"/>
        <v/>
      </c>
      <c r="K9" s="306" t="s">
        <v>643</v>
      </c>
      <c r="L9" s="311" t="str">
        <f t="shared" si="3"/>
        <v>AG1608</v>
      </c>
      <c r="M9" s="312" t="b">
        <f t="shared" si="5"/>
        <v>0</v>
      </c>
      <c r="N9" s="311" t="str">
        <f t="shared" si="4"/>
        <v/>
      </c>
      <c r="O9" s="3"/>
      <c r="P9" s="3"/>
      <c r="Q9" s="3"/>
      <c r="R9" s="3"/>
      <c r="S9" s="3"/>
      <c r="T9" s="3"/>
      <c r="U9" s="3"/>
      <c r="V9" s="3"/>
      <c r="W9" s="3"/>
    </row>
    <row r="10">
      <c r="A10" s="94" t="str">
        <f>IF(OR(ISBLANK(RAW_APS!A10),ISBLANK(RAW_APS!B10),ISBLANK(RAW_APS!C10)),TRUE,IFERROR(0/0,""))</f>
        <v/>
      </c>
      <c r="B10" s="3"/>
      <c r="C10" s="94" t="str">
        <f>IF(ISBLANK(B10),IFERROR(0/0,""),RAW_APS!A10)</f>
        <v/>
      </c>
      <c r="D10" s="94" t="str">
        <f>IF(ISBLANK(C10),IFERROR(0/0,""), VLOOKUP(C10,preDEL!A$2:AG235,33,FALSE))</f>
        <v/>
      </c>
      <c r="E10" s="3"/>
      <c r="F10" s="129"/>
      <c r="G10" s="306"/>
      <c r="H10" s="309" t="str">
        <f t="shared" si="1"/>
        <v/>
      </c>
      <c r="I10" s="112" t="str">
        <f>CONCATENATE(UPPER(RAW_APS!$A11),"__",RAW_APS!$B11,"_",RAW_APS!$C11)</f>
        <v>AG299__44774_0.214212962962963</v>
      </c>
      <c r="J10" s="310" t="str">
        <f t="shared" si="2"/>
        <v/>
      </c>
      <c r="K10" s="306" t="s">
        <v>644</v>
      </c>
      <c r="L10" s="311" t="str">
        <f t="shared" si="3"/>
        <v>AG1637</v>
      </c>
      <c r="M10" s="312" t="b">
        <f t="shared" si="5"/>
        <v>0</v>
      </c>
      <c r="N10" s="311" t="str">
        <f t="shared" si="4"/>
        <v/>
      </c>
      <c r="O10" s="3"/>
      <c r="P10" s="3"/>
      <c r="Q10" s="3"/>
      <c r="R10" s="3"/>
      <c r="S10" s="3"/>
      <c r="T10" s="3"/>
      <c r="U10" s="3"/>
      <c r="V10" s="3"/>
      <c r="W10" s="3"/>
    </row>
    <row r="11">
      <c r="A11" s="94" t="str">
        <f>IF(OR(ISBLANK(RAW_APS!A11),ISBLANK(RAW_APS!B11),ISBLANK(RAW_APS!C11)),TRUE,IFERROR(0/0,""))</f>
        <v/>
      </c>
      <c r="B11" s="3"/>
      <c r="C11" s="94" t="str">
        <f>IF(ISBLANK(B11),IFERROR(0/0,""),RAW_APS!A11)</f>
        <v/>
      </c>
      <c r="D11" s="94" t="str">
        <f>IF(ISBLANK(C11),IFERROR(0/0,""), VLOOKUP(C11,preDEL!A$2:AG235,33,FALSE))</f>
        <v/>
      </c>
      <c r="E11" s="3"/>
      <c r="F11" s="129"/>
      <c r="G11" s="306"/>
      <c r="H11" s="309" t="str">
        <f t="shared" si="1"/>
        <v/>
      </c>
      <c r="I11" s="112" t="str">
        <f>CONCATENATE(UPPER(RAW_APS!$A12),"__",RAW_APS!$B12,"_",RAW_APS!$C12)</f>
        <v>AG299__44774_0.214212962962963</v>
      </c>
      <c r="J11" s="310" t="str">
        <f t="shared" si="2"/>
        <v/>
      </c>
      <c r="K11" s="306" t="s">
        <v>645</v>
      </c>
      <c r="L11" s="311" t="str">
        <f t="shared" si="3"/>
        <v>AG1640</v>
      </c>
      <c r="M11" s="312" t="b">
        <f t="shared" si="5"/>
        <v>0</v>
      </c>
      <c r="N11" s="311" t="str">
        <f t="shared" si="4"/>
        <v/>
      </c>
      <c r="O11" s="3"/>
      <c r="P11" s="3"/>
      <c r="Q11" s="3"/>
      <c r="R11" s="3"/>
      <c r="S11" s="3"/>
      <c r="T11" s="3"/>
      <c r="U11" s="3"/>
      <c r="V11" s="3"/>
      <c r="W11" s="3"/>
    </row>
    <row r="12">
      <c r="A12" s="94" t="str">
        <f>IF(OR(ISBLANK(RAW_APS!A12),ISBLANK(RAW_APS!B12),ISBLANK(RAW_APS!C12)),TRUE,IFERROR(0/0,""))</f>
        <v/>
      </c>
      <c r="B12" s="3"/>
      <c r="C12" s="94" t="str">
        <f>IF(ISBLANK(B12),IFERROR(0/0,""),RAW_APS!A12)</f>
        <v/>
      </c>
      <c r="D12" s="94" t="str">
        <f>IF(ISBLANK(C12),IFERROR(0/0,""), VLOOKUP(C12,preDEL!A$2:AG235,33,FALSE))</f>
        <v/>
      </c>
      <c r="E12" s="3"/>
      <c r="F12" s="129"/>
      <c r="G12" s="306"/>
      <c r="H12" s="309" t="str">
        <f t="shared" si="1"/>
        <v/>
      </c>
      <c r="I12" s="112" t="str">
        <f>CONCATENATE(UPPER(RAW_APS!$A13),"__",RAW_APS!$B13,"_",RAW_APS!$C13)</f>
        <v>AG1224__44767_0.378877314814815</v>
      </c>
      <c r="J12" s="310" t="str">
        <f t="shared" si="2"/>
        <v/>
      </c>
      <c r="K12" s="306" t="s">
        <v>646</v>
      </c>
      <c r="L12" s="311" t="str">
        <f t="shared" si="3"/>
        <v>AG1713</v>
      </c>
      <c r="M12" s="312" t="b">
        <f t="shared" si="5"/>
        <v>0</v>
      </c>
      <c r="N12" s="311" t="str">
        <f t="shared" si="4"/>
        <v/>
      </c>
      <c r="O12" s="3"/>
      <c r="P12" s="3"/>
      <c r="Q12" s="3"/>
      <c r="R12" s="3"/>
      <c r="S12" s="3"/>
      <c r="T12" s="3"/>
      <c r="U12" s="3"/>
      <c r="V12" s="3"/>
      <c r="W12" s="3"/>
    </row>
    <row r="13">
      <c r="A13" s="94" t="str">
        <f>IF(OR(ISBLANK(RAW_APS!A13),ISBLANK(RAW_APS!B13),ISBLANK(RAW_APS!C13)),TRUE,IFERROR(0/0,""))</f>
        <v/>
      </c>
      <c r="B13" s="3"/>
      <c r="C13" s="94" t="str">
        <f>IF(ISBLANK(B13),IFERROR(0/0,""),RAW_APS!A13)</f>
        <v/>
      </c>
      <c r="D13" s="94" t="str">
        <f>IF(ISBLANK(C13),IFERROR(0/0,""), VLOOKUP(C13,preDEL!A$2:AG235,33,FALSE))</f>
        <v/>
      </c>
      <c r="E13" s="3"/>
      <c r="F13" s="129"/>
      <c r="G13" s="306"/>
      <c r="H13" s="309" t="str">
        <f t="shared" si="1"/>
        <v/>
      </c>
      <c r="I13" s="112" t="str">
        <f>CONCATENATE(UPPER(RAW_APS!$A14),"__",RAW_APS!$B14,"_",RAW_APS!$C14)</f>
        <v>AG1224__44767_0.378877314814815</v>
      </c>
      <c r="J13" s="310" t="str">
        <f t="shared" si="2"/>
        <v/>
      </c>
      <c r="K13" s="306" t="s">
        <v>647</v>
      </c>
      <c r="L13" s="311" t="str">
        <f t="shared" si="3"/>
        <v>AG1726</v>
      </c>
      <c r="M13" s="312" t="b">
        <f t="shared" si="5"/>
        <v>0</v>
      </c>
      <c r="N13" s="311" t="str">
        <f t="shared" si="4"/>
        <v/>
      </c>
      <c r="O13" s="3"/>
      <c r="P13" s="3"/>
      <c r="Q13" s="3"/>
      <c r="R13" s="3"/>
      <c r="S13" s="3"/>
      <c r="T13" s="3"/>
      <c r="U13" s="3"/>
      <c r="V13" s="3"/>
      <c r="W13" s="3"/>
    </row>
    <row r="14">
      <c r="A14" s="94" t="str">
        <f>IF(OR(ISBLANK(RAW_APS!A14),ISBLANK(RAW_APS!B14),ISBLANK(RAW_APS!C14)),TRUE,IFERROR(0/0,""))</f>
        <v/>
      </c>
      <c r="B14" s="3"/>
      <c r="C14" s="94" t="str">
        <f>IF(ISBLANK(B14),IFERROR(0/0,""),RAW_APS!A14)</f>
        <v/>
      </c>
      <c r="D14" s="94" t="str">
        <f>IF(ISBLANK(C14),IFERROR(0/0,""), VLOOKUP(C14,preDEL!A$2:AG235,33,FALSE))</f>
        <v/>
      </c>
      <c r="E14" s="3"/>
      <c r="F14" s="129"/>
      <c r="G14" s="306"/>
      <c r="H14" s="309" t="str">
        <f t="shared" si="1"/>
        <v/>
      </c>
      <c r="I14" s="112" t="str">
        <f>CONCATENATE(UPPER(RAW_APS!$A15),"__",RAW_APS!$B15,"_",RAW_APS!$C15)</f>
        <v>AH248__44767_0.30244212962963</v>
      </c>
      <c r="J14" s="310" t="str">
        <f t="shared" si="2"/>
        <v/>
      </c>
      <c r="K14" s="306" t="s">
        <v>648</v>
      </c>
      <c r="L14" s="311" t="str">
        <f t="shared" si="3"/>
        <v>AG1821</v>
      </c>
      <c r="M14" s="312" t="b">
        <f t="shared" si="5"/>
        <v>0</v>
      </c>
      <c r="N14" s="311" t="str">
        <f t="shared" si="4"/>
        <v/>
      </c>
      <c r="O14" s="3"/>
      <c r="P14" s="3"/>
      <c r="Q14" s="3"/>
      <c r="R14" s="3"/>
      <c r="S14" s="3"/>
      <c r="T14" s="3"/>
      <c r="U14" s="3"/>
      <c r="V14" s="3"/>
      <c r="W14" s="3"/>
    </row>
    <row r="15">
      <c r="A15" s="94" t="str">
        <f>IF(OR(ISBLANK(RAW_APS!A15),ISBLANK(RAW_APS!B15),ISBLANK(RAW_APS!C15)),TRUE,IFERROR(0/0,""))</f>
        <v/>
      </c>
      <c r="B15" s="3"/>
      <c r="C15" s="94" t="str">
        <f>IF(ISBLANK(B15),IFERROR(0/0,""),RAW_APS!A15)</f>
        <v/>
      </c>
      <c r="D15" s="94" t="str">
        <f>IF(ISBLANK(C15),IFERROR(0/0,""), VLOOKUP(C15,preDEL!A$2:AG235,33,FALSE))</f>
        <v/>
      </c>
      <c r="E15" s="3"/>
      <c r="F15" s="129"/>
      <c r="G15" s="306"/>
      <c r="H15" s="309" t="str">
        <f t="shared" si="1"/>
        <v/>
      </c>
      <c r="I15" s="112" t="str">
        <f>CONCATENATE(UPPER(RAW_APS!$A16),"__",RAW_APS!$B16,"_",RAW_APS!$C16)</f>
        <v>AJ9836__44767_0.206527777777778</v>
      </c>
      <c r="J15" s="310" t="str">
        <f t="shared" si="2"/>
        <v/>
      </c>
      <c r="K15" s="306" t="s">
        <v>649</v>
      </c>
      <c r="L15" s="311" t="str">
        <f t="shared" si="3"/>
        <v>AG1828</v>
      </c>
      <c r="M15" s="312" t="b">
        <f t="shared" si="5"/>
        <v>0</v>
      </c>
      <c r="N15" s="311" t="str">
        <f t="shared" si="4"/>
        <v/>
      </c>
      <c r="O15" s="3"/>
      <c r="P15" s="3"/>
      <c r="Q15" s="3"/>
      <c r="R15" s="3"/>
      <c r="S15" s="3"/>
      <c r="T15" s="3"/>
      <c r="U15" s="3"/>
      <c r="V15" s="3"/>
      <c r="W15" s="3"/>
    </row>
    <row r="16">
      <c r="A16" s="94" t="str">
        <f>IF(OR(ISBLANK(RAW_APS!A16),ISBLANK(RAW_APS!B16),ISBLANK(RAW_APS!C16)),TRUE,IFERROR(0/0,""))</f>
        <v/>
      </c>
      <c r="B16" s="3"/>
      <c r="C16" s="94" t="str">
        <f>IF(ISBLANK(B16),IFERROR(0/0,""),RAW_APS!A16)</f>
        <v/>
      </c>
      <c r="D16" s="94" t="str">
        <f>IF(ISBLANK(C16),IFERROR(0/0,""), VLOOKUP(C16,preDEL!A$2:AG235,33,FALSE))</f>
        <v/>
      </c>
      <c r="E16" s="3"/>
      <c r="F16" s="129"/>
      <c r="G16" s="306"/>
      <c r="H16" s="309" t="str">
        <f t="shared" si="1"/>
        <v/>
      </c>
      <c r="I16" s="112" t="str">
        <f>CONCATENATE(UPPER(RAW_APS!$A17),"__",RAW_APS!$B17,"_",RAW_APS!$C17)</f>
        <v>AJ9836__44767_0.206527777777778</v>
      </c>
      <c r="J16" s="310" t="str">
        <f t="shared" si="2"/>
        <v/>
      </c>
      <c r="K16" s="306" t="s">
        <v>650</v>
      </c>
      <c r="L16" s="311" t="str">
        <f t="shared" si="3"/>
        <v>AG1844</v>
      </c>
      <c r="M16" s="312" t="b">
        <f t="shared" si="5"/>
        <v>0</v>
      </c>
      <c r="N16" s="311" t="str">
        <f t="shared" si="4"/>
        <v/>
      </c>
      <c r="O16" s="3"/>
      <c r="P16" s="3"/>
      <c r="Q16" s="3"/>
      <c r="R16" s="3"/>
      <c r="S16" s="3"/>
      <c r="T16" s="3"/>
      <c r="U16" s="3"/>
      <c r="V16" s="3"/>
      <c r="W16" s="3"/>
    </row>
    <row r="17">
      <c r="A17" s="94" t="str">
        <f>IF(OR(ISBLANK(RAW_APS!A17),ISBLANK(RAW_APS!B17),ISBLANK(RAW_APS!C17)),TRUE,IFERROR(0/0,""))</f>
        <v/>
      </c>
      <c r="B17" s="3"/>
      <c r="C17" s="94" t="str">
        <f>IF(ISBLANK(B17),IFERROR(0/0,""),RAW_APS!A17)</f>
        <v/>
      </c>
      <c r="D17" s="94" t="str">
        <f>IF(ISBLANK(C17),IFERROR(0/0,""), VLOOKUP(C17,preDEL!A$2:AG235,33,FALSE))</f>
        <v/>
      </c>
      <c r="E17" s="3"/>
      <c r="F17" s="129"/>
      <c r="G17" s="306"/>
      <c r="H17" s="309" t="str">
        <f t="shared" si="1"/>
        <v/>
      </c>
      <c r="I17" s="112" t="str">
        <f>CONCATENATE(UPPER(RAW_APS!$A18),"__",RAW_APS!$B18,"_",RAW_APS!$C18)</f>
        <v>AJ9836__44767_0.206527777777778</v>
      </c>
      <c r="J17" s="310" t="str">
        <f t="shared" si="2"/>
        <v/>
      </c>
      <c r="K17" s="306" t="s">
        <v>651</v>
      </c>
      <c r="L17" s="311" t="str">
        <f t="shared" si="3"/>
        <v>AG1858</v>
      </c>
      <c r="M17" s="312" t="b">
        <f t="shared" si="5"/>
        <v>0</v>
      </c>
      <c r="N17" s="311" t="str">
        <f t="shared" si="4"/>
        <v/>
      </c>
      <c r="O17" s="3"/>
      <c r="P17" s="3"/>
      <c r="Q17" s="3"/>
      <c r="R17" s="3"/>
      <c r="S17" s="3"/>
      <c r="T17" s="3"/>
      <c r="U17" s="3"/>
      <c r="V17" s="3"/>
      <c r="W17" s="3"/>
    </row>
    <row r="18">
      <c r="A18" s="94" t="str">
        <f>IF(OR(ISBLANK(RAW_APS!A18),ISBLANK(RAW_APS!B18),ISBLANK(RAW_APS!C18)),TRUE,IFERROR(0/0,""))</f>
        <v/>
      </c>
      <c r="B18" s="3"/>
      <c r="C18" s="94" t="str">
        <f>IF(ISBLANK(B18),IFERROR(0/0,""),RAW_APS!A18)</f>
        <v/>
      </c>
      <c r="D18" s="94" t="str">
        <f>IF(ISBLANK(C18),IFERROR(0/0,""), VLOOKUP(C18,preDEL!A$2:AG235,33,FALSE))</f>
        <v/>
      </c>
      <c r="E18" s="3"/>
      <c r="F18" s="129"/>
      <c r="G18" s="306"/>
      <c r="H18" s="309" t="str">
        <f t="shared" si="1"/>
        <v/>
      </c>
      <c r="I18" s="112" t="str">
        <f>CONCATENATE(UPPER(RAW_APS!$A19),"__",RAW_APS!$B19,"_",RAW_APS!$C19)</f>
        <v>AH7951__44760_0.38087962962963</v>
      </c>
      <c r="J18" s="310" t="str">
        <f t="shared" si="2"/>
        <v/>
      </c>
      <c r="K18" s="306" t="s">
        <v>652</v>
      </c>
      <c r="L18" s="311" t="str">
        <f t="shared" si="3"/>
        <v>AG1866</v>
      </c>
      <c r="M18" s="312" t="b">
        <f t="shared" si="5"/>
        <v>0</v>
      </c>
      <c r="N18" s="311" t="str">
        <f t="shared" si="4"/>
        <v/>
      </c>
      <c r="O18" s="3"/>
      <c r="P18" s="3"/>
      <c r="Q18" s="3"/>
      <c r="R18" s="3"/>
      <c r="S18" s="3"/>
      <c r="T18" s="3"/>
      <c r="U18" s="3"/>
      <c r="V18" s="3"/>
      <c r="W18" s="3"/>
    </row>
    <row r="19">
      <c r="A19" s="94" t="str">
        <f>IF(OR(ISBLANK(RAW_APS!A19),ISBLANK(RAW_APS!B19),ISBLANK(RAW_APS!C19)),TRUE,IFERROR(0/0,""))</f>
        <v/>
      </c>
      <c r="B19" s="3"/>
      <c r="C19" s="94" t="str">
        <f>IF(ISBLANK(B19),IFERROR(0/0,""),RAW_APS!A19)</f>
        <v/>
      </c>
      <c r="D19" s="94" t="str">
        <f>IF(ISBLANK(C19),IFERROR(0/0,""), VLOOKUP(C19,preDEL!A$2:AG235,33,FALSE))</f>
        <v/>
      </c>
      <c r="E19" s="3"/>
      <c r="F19" s="129"/>
      <c r="G19" s="306"/>
      <c r="H19" s="309" t="str">
        <f t="shared" si="1"/>
        <v/>
      </c>
      <c r="I19" s="112" t="str">
        <f>CONCATENATE(UPPER(RAW_APS!$A20),"__",RAW_APS!$B20,"_",RAW_APS!$C20)</f>
        <v>AH7951__44760_0.38087962962963</v>
      </c>
      <c r="J19" s="310" t="str">
        <f t="shared" si="2"/>
        <v/>
      </c>
      <c r="K19" s="306" t="s">
        <v>653</v>
      </c>
      <c r="L19" s="311" t="str">
        <f t="shared" si="3"/>
        <v>AG213</v>
      </c>
      <c r="M19" s="312" t="b">
        <f t="shared" si="5"/>
        <v>0</v>
      </c>
      <c r="N19" s="311" t="str">
        <f t="shared" si="4"/>
        <v/>
      </c>
      <c r="O19" s="3"/>
      <c r="P19" s="3"/>
      <c r="Q19" s="3"/>
      <c r="R19" s="3"/>
      <c r="S19" s="3"/>
      <c r="T19" s="3"/>
      <c r="U19" s="3"/>
      <c r="V19" s="3"/>
      <c r="W19" s="3"/>
    </row>
    <row r="20">
      <c r="A20" s="94" t="str">
        <f>IF(OR(ISBLANK(RAW_APS!A20),ISBLANK(RAW_APS!B20),ISBLANK(RAW_APS!C20)),TRUE,IFERROR(0/0,""))</f>
        <v/>
      </c>
      <c r="B20" s="3"/>
      <c r="C20" s="94" t="str">
        <f>IF(ISBLANK(B20),IFERROR(0/0,""),RAW_APS!A20)</f>
        <v/>
      </c>
      <c r="D20" s="94" t="str">
        <f>IF(ISBLANK(C20),IFERROR(0/0,""), VLOOKUP(C20,preDEL!A$2:AG235,33,FALSE))</f>
        <v/>
      </c>
      <c r="E20" s="3"/>
      <c r="F20" s="129"/>
      <c r="G20" s="306"/>
      <c r="H20" s="309" t="str">
        <f t="shared" si="1"/>
        <v/>
      </c>
      <c r="I20" s="112" t="str">
        <f>CONCATENATE(UPPER(RAW_APS!$A21),"__",RAW_APS!$B21,"_",RAW_APS!$C21)</f>
        <v>AH8383__44760_0.21974537037037</v>
      </c>
      <c r="J20" s="310" t="str">
        <f t="shared" si="2"/>
        <v/>
      </c>
      <c r="K20" s="306" t="s">
        <v>654</v>
      </c>
      <c r="L20" s="311" t="str">
        <f t="shared" si="3"/>
        <v>AG2159</v>
      </c>
      <c r="M20" s="312" t="b">
        <f t="shared" si="5"/>
        <v>0</v>
      </c>
      <c r="N20" s="311" t="str">
        <f t="shared" si="4"/>
        <v/>
      </c>
      <c r="O20" s="3"/>
      <c r="P20" s="3"/>
      <c r="Q20" s="3"/>
      <c r="R20" s="3"/>
      <c r="S20" s="3"/>
      <c r="T20" s="3"/>
      <c r="U20" s="3"/>
      <c r="V20" s="3"/>
      <c r="W20" s="3"/>
    </row>
    <row r="21">
      <c r="A21" s="94" t="str">
        <f>IF(OR(ISBLANK(RAW_APS!A21),ISBLANK(RAW_APS!B21),ISBLANK(RAW_APS!C21)),TRUE,IFERROR(0/0,""))</f>
        <v/>
      </c>
      <c r="B21" s="3"/>
      <c r="C21" s="94" t="str">
        <f>IF(ISBLANK(B21),IFERROR(0/0,""),RAW_APS!A21)</f>
        <v/>
      </c>
      <c r="D21" s="94" t="str">
        <f>IF(ISBLANK(C21),IFERROR(0/0,""), VLOOKUP(C21,preDEL!A$2:AG235,33,FALSE))</f>
        <v/>
      </c>
      <c r="E21" s="3"/>
      <c r="F21" s="129"/>
      <c r="G21" s="306"/>
      <c r="H21" s="309" t="str">
        <f t="shared" si="1"/>
        <v/>
      </c>
      <c r="I21" s="112" t="str">
        <f>CONCATENATE(UPPER(RAW_APS!$A22),"__",RAW_APS!$B22,"_",RAW_APS!$C22)</f>
        <v>AH8383__44760_0.21974537037037</v>
      </c>
      <c r="J21" s="310" t="str">
        <f t="shared" si="2"/>
        <v/>
      </c>
      <c r="K21" s="306" t="s">
        <v>655</v>
      </c>
      <c r="L21" s="311" t="str">
        <f t="shared" si="3"/>
        <v>AG2164</v>
      </c>
      <c r="M21" s="312" t="b">
        <f t="shared" si="5"/>
        <v>0</v>
      </c>
      <c r="N21" s="311" t="str">
        <f t="shared" si="4"/>
        <v/>
      </c>
      <c r="O21" s="3"/>
      <c r="P21" s="3"/>
      <c r="Q21" s="3"/>
      <c r="R21" s="3"/>
      <c r="S21" s="3"/>
      <c r="T21" s="3"/>
      <c r="U21" s="3"/>
      <c r="V21" s="3"/>
      <c r="W21" s="3"/>
    </row>
    <row r="22">
      <c r="A22" s="94" t="str">
        <f>IF(OR(ISBLANK(RAW_APS!A22),ISBLANK(RAW_APS!B22),ISBLANK(RAW_APS!C22)),TRUE,IFERROR(0/0,""))</f>
        <v/>
      </c>
      <c r="B22" s="3"/>
      <c r="C22" s="94" t="str">
        <f>IF(ISBLANK(B22),IFERROR(0/0,""),RAW_APS!A22)</f>
        <v/>
      </c>
      <c r="D22" s="94" t="str">
        <f>IF(ISBLANK(C22),IFERROR(0/0,""), VLOOKUP(C22,preDEL!A$2:AG235,33,FALSE))</f>
        <v/>
      </c>
      <c r="E22" s="3"/>
      <c r="F22" s="129"/>
      <c r="G22" s="306"/>
      <c r="H22" s="309" t="str">
        <f t="shared" si="1"/>
        <v/>
      </c>
      <c r="I22" s="112" t="str">
        <f>CONCATENATE(UPPER(RAW_APS!$A23),"__",RAW_APS!$B23,"_",RAW_APS!$C23)</f>
        <v>AH8383__44760_0.21974537037037</v>
      </c>
      <c r="J22" s="310" t="str">
        <f t="shared" si="2"/>
        <v/>
      </c>
      <c r="K22" s="306" t="s">
        <v>656</v>
      </c>
      <c r="L22" s="311" t="str">
        <f t="shared" si="3"/>
        <v>AG2202</v>
      </c>
      <c r="M22" s="312" t="b">
        <f t="shared" si="5"/>
        <v>0</v>
      </c>
      <c r="N22" s="311" t="str">
        <f t="shared" si="4"/>
        <v/>
      </c>
      <c r="O22" s="3"/>
      <c r="P22" s="3"/>
      <c r="Q22" s="3"/>
      <c r="R22" s="3"/>
      <c r="S22" s="3"/>
      <c r="T22" s="3"/>
      <c r="U22" s="3"/>
      <c r="V22" s="3"/>
      <c r="W22" s="3"/>
    </row>
    <row r="23">
      <c r="A23" s="94" t="str">
        <f>IF(OR(ISBLANK(RAW_APS!A23),ISBLANK(RAW_APS!B23),ISBLANK(RAW_APS!C23)),TRUE,IFERROR(0/0,""))</f>
        <v/>
      </c>
      <c r="B23" s="3"/>
      <c r="C23" s="94" t="str">
        <f>IF(ISBLANK(B23),IFERROR(0/0,""),RAW_APS!A23)</f>
        <v/>
      </c>
      <c r="D23" s="94" t="str">
        <f>IF(ISBLANK(C23),IFERROR(0/0,""), VLOOKUP(C23,preDEL!A$2:AG235,33,FALSE))</f>
        <v/>
      </c>
      <c r="E23" s="3"/>
      <c r="F23" s="129"/>
      <c r="G23" s="306"/>
      <c r="H23" s="309" t="str">
        <f t="shared" si="1"/>
        <v/>
      </c>
      <c r="I23" s="112" t="str">
        <f>CONCATENATE(UPPER(RAW_APS!$A24),"__",RAW_APS!$B24,"_",RAW_APS!$C24)</f>
        <v>AG1259__44753_0.252719907407407</v>
      </c>
      <c r="J23" s="310" t="str">
        <f t="shared" si="2"/>
        <v/>
      </c>
      <c r="K23" s="306" t="s">
        <v>657</v>
      </c>
      <c r="L23" s="311" t="str">
        <f t="shared" si="3"/>
        <v>AG2246</v>
      </c>
      <c r="M23" s="312" t="b">
        <f t="shared" si="5"/>
        <v>0</v>
      </c>
      <c r="N23" s="311" t="str">
        <f t="shared" si="4"/>
        <v/>
      </c>
      <c r="O23" s="3"/>
      <c r="P23" s="3"/>
      <c r="Q23" s="3"/>
      <c r="R23" s="3"/>
      <c r="S23" s="3"/>
      <c r="T23" s="3"/>
      <c r="U23" s="3"/>
      <c r="V23" s="3"/>
      <c r="W23" s="3"/>
    </row>
    <row r="24">
      <c r="A24" s="94" t="str">
        <f>IF(OR(ISBLANK(RAW_APS!A24),ISBLANK(RAW_APS!B24),ISBLANK(RAW_APS!C24)),TRUE,IFERROR(0/0,""))</f>
        <v/>
      </c>
      <c r="B24" s="3"/>
      <c r="C24" s="94" t="str">
        <f>IF(ISBLANK(B24),IFERROR(0/0,""),RAW_APS!A24)</f>
        <v/>
      </c>
      <c r="D24" s="94" t="str">
        <f>IF(ISBLANK(C24),IFERROR(0/0,""), VLOOKUP(C24,preDEL!A$2:AG235,33,FALSE))</f>
        <v/>
      </c>
      <c r="E24" s="3"/>
      <c r="F24" s="129"/>
      <c r="G24" s="306"/>
      <c r="H24" s="309" t="str">
        <f t="shared" si="1"/>
        <v/>
      </c>
      <c r="I24" s="112" t="str">
        <f>CONCATENATE(UPPER(RAW_APS!$A25),"__",RAW_APS!$B25,"_",RAW_APS!$C25)</f>
        <v>AG1259__44753_0.252719907407407</v>
      </c>
      <c r="J24" s="310" t="str">
        <f t="shared" si="2"/>
        <v/>
      </c>
      <c r="K24" s="306" t="s">
        <v>658</v>
      </c>
      <c r="L24" s="311" t="str">
        <f t="shared" si="3"/>
        <v>AG252</v>
      </c>
      <c r="M24" s="312" t="b">
        <f t="shared" si="5"/>
        <v>0</v>
      </c>
      <c r="N24" s="311" t="str">
        <f t="shared" si="4"/>
        <v/>
      </c>
      <c r="O24" s="3"/>
      <c r="P24" s="3"/>
      <c r="Q24" s="3"/>
      <c r="R24" s="3"/>
      <c r="S24" s="3"/>
      <c r="T24" s="3"/>
      <c r="U24" s="3"/>
      <c r="V24" s="3"/>
      <c r="W24" s="3"/>
    </row>
    <row r="25">
      <c r="A25" s="94" t="str">
        <f>IF(OR(ISBLANK(RAW_APS!A25),ISBLANK(RAW_APS!B25),ISBLANK(RAW_APS!C25)),TRUE,IFERROR(0/0,""))</f>
        <v/>
      </c>
      <c r="B25" s="3"/>
      <c r="C25" s="94" t="str">
        <f>IF(ISBLANK(B25),IFERROR(0/0,""),RAW_APS!A25)</f>
        <v/>
      </c>
      <c r="D25" s="94" t="str">
        <f>IF(ISBLANK(C25),IFERROR(0/0,""), VLOOKUP(C25,preDEL!A$2:AG235,33,FALSE))</f>
        <v/>
      </c>
      <c r="E25" s="3"/>
      <c r="F25" s="129"/>
      <c r="G25" s="306"/>
      <c r="H25" s="309" t="str">
        <f t="shared" si="1"/>
        <v/>
      </c>
      <c r="I25" s="112" t="str">
        <f>CONCATENATE(UPPER(RAW_APS!$A26),"__",RAW_APS!$B26,"_",RAW_APS!$C26)</f>
        <v>AH8283__44747_0.198981481481481</v>
      </c>
      <c r="J25" s="310" t="str">
        <f t="shared" si="2"/>
        <v/>
      </c>
      <c r="K25" s="306" t="s">
        <v>659</v>
      </c>
      <c r="L25" s="311" t="str">
        <f t="shared" si="3"/>
        <v>AG256</v>
      </c>
      <c r="M25" s="312" t="b">
        <f t="shared" si="5"/>
        <v>0</v>
      </c>
      <c r="N25" s="311" t="str">
        <f t="shared" si="4"/>
        <v/>
      </c>
      <c r="O25" s="3"/>
      <c r="P25" s="3"/>
      <c r="Q25" s="3"/>
      <c r="R25" s="3"/>
      <c r="S25" s="3"/>
      <c r="T25" s="3"/>
      <c r="U25" s="3"/>
      <c r="V25" s="3"/>
      <c r="W25" s="3"/>
    </row>
    <row r="26">
      <c r="A26" s="94" t="str">
        <f>IF(OR(ISBLANK(RAW_APS!A26),ISBLANK(RAW_APS!B26),ISBLANK(RAW_APS!C26)),TRUE,IFERROR(0/0,""))</f>
        <v/>
      </c>
      <c r="B26" s="3"/>
      <c r="C26" s="94" t="str">
        <f>IF(ISBLANK(B26),IFERROR(0/0,""),RAW_APS!A26)</f>
        <v/>
      </c>
      <c r="D26" s="94" t="str">
        <f>IF(ISBLANK(C26),IFERROR(0/0,""), VLOOKUP(C26,preDEL!A$2:AG235,33,FALSE))</f>
        <v/>
      </c>
      <c r="E26" s="3"/>
      <c r="F26" s="129"/>
      <c r="G26" s="306"/>
      <c r="H26" s="309" t="str">
        <f t="shared" si="1"/>
        <v/>
      </c>
      <c r="I26" s="112" t="str">
        <f>CONCATENATE(UPPER(RAW_APS!$A27),"__",RAW_APS!$B27,"_",RAW_APS!$C27)</f>
        <v>AH8283__44747_0.198981481481481</v>
      </c>
      <c r="J26" s="310" t="str">
        <f t="shared" si="2"/>
        <v/>
      </c>
      <c r="K26" s="306" t="s">
        <v>660</v>
      </c>
      <c r="L26" s="311" t="str">
        <f t="shared" si="3"/>
        <v>AG299</v>
      </c>
      <c r="M26" s="312" t="b">
        <f t="shared" si="5"/>
        <v>0</v>
      </c>
      <c r="N26" s="311" t="str">
        <f t="shared" si="4"/>
        <v/>
      </c>
      <c r="O26" s="3"/>
      <c r="P26" s="3"/>
      <c r="Q26" s="3"/>
      <c r="R26" s="3"/>
      <c r="S26" s="3"/>
      <c r="T26" s="3"/>
      <c r="U26" s="3"/>
      <c r="V26" s="3"/>
      <c r="W26" s="3"/>
    </row>
    <row r="27">
      <c r="A27" s="94" t="str">
        <f>IF(OR(ISBLANK(RAW_APS!A27),ISBLANK(RAW_APS!B27),ISBLANK(RAW_APS!C27)),TRUE,IFERROR(0/0,""))</f>
        <v/>
      </c>
      <c r="B27" s="3"/>
      <c r="C27" s="94" t="str">
        <f>IF(ISBLANK(B27),IFERROR(0/0,""),RAW_APS!A27)</f>
        <v/>
      </c>
      <c r="D27" s="94" t="str">
        <f>IF(ISBLANK(C27),IFERROR(0/0,""), VLOOKUP(C27,preDEL!A$2:AG235,33,FALSE))</f>
        <v/>
      </c>
      <c r="E27" s="3"/>
      <c r="F27" s="129"/>
      <c r="G27" s="306"/>
      <c r="H27" s="309" t="str">
        <f t="shared" si="1"/>
        <v/>
      </c>
      <c r="I27" s="112" t="str">
        <f>CONCATENATE(UPPER(RAW_APS!$A28),"__",RAW_APS!$B28,"_",RAW_APS!$C28)</f>
        <v>AH772__44739_0.223287037037037</v>
      </c>
      <c r="J27" s="310" t="str">
        <f t="shared" si="2"/>
        <v/>
      </c>
      <c r="K27" s="306" t="s">
        <v>661</v>
      </c>
      <c r="L27" s="311" t="str">
        <f t="shared" si="3"/>
        <v>AG302</v>
      </c>
      <c r="M27" s="312" t="b">
        <f t="shared" si="5"/>
        <v>0</v>
      </c>
      <c r="N27" s="311" t="str">
        <f t="shared" si="4"/>
        <v/>
      </c>
      <c r="O27" s="3"/>
      <c r="P27" s="3"/>
      <c r="Q27" s="3"/>
      <c r="R27" s="3"/>
      <c r="S27" s="3"/>
      <c r="T27" s="3"/>
      <c r="U27" s="3"/>
      <c r="V27" s="3"/>
      <c r="W27" s="3"/>
    </row>
    <row r="28">
      <c r="A28" s="94" t="str">
        <f>IF(OR(ISBLANK(RAW_APS!A28),ISBLANK(RAW_APS!B28),ISBLANK(RAW_APS!C28)),TRUE,IFERROR(0/0,""))</f>
        <v/>
      </c>
      <c r="B28" s="3"/>
      <c r="C28" s="94" t="str">
        <f>IF(ISBLANK(B28),IFERROR(0/0,""),RAW_APS!A28)</f>
        <v/>
      </c>
      <c r="D28" s="94" t="str">
        <f>IF(ISBLANK(C28),IFERROR(0/0,""), VLOOKUP(C28,preDEL!A$2:AG235,33,FALSE))</f>
        <v/>
      </c>
      <c r="E28" s="3"/>
      <c r="F28" s="129"/>
      <c r="G28" s="306"/>
      <c r="H28" s="309" t="str">
        <f t="shared" si="1"/>
        <v/>
      </c>
      <c r="I28" s="112" t="str">
        <f>CONCATENATE(UPPER(RAW_APS!$A29),"__",RAW_APS!$B29,"_",RAW_APS!$C29)</f>
        <v>AH772__44739_0.223287037037037</v>
      </c>
      <c r="J28" s="310" t="str">
        <f t="shared" si="2"/>
        <v/>
      </c>
      <c r="K28" s="306" t="s">
        <v>662</v>
      </c>
      <c r="L28" s="311" t="str">
        <f t="shared" si="3"/>
        <v>AG307</v>
      </c>
      <c r="M28" s="312" t="b">
        <f t="shared" si="5"/>
        <v>0</v>
      </c>
      <c r="N28" s="311" t="str">
        <f t="shared" si="4"/>
        <v/>
      </c>
      <c r="O28" s="3"/>
      <c r="P28" s="3"/>
      <c r="Q28" s="3"/>
      <c r="R28" s="3"/>
      <c r="S28" s="3"/>
      <c r="T28" s="3"/>
      <c r="U28" s="3"/>
      <c r="V28" s="3"/>
      <c r="W28" s="3"/>
    </row>
    <row r="29">
      <c r="A29" s="94" t="str">
        <f>IF(OR(ISBLANK(RAW_APS!A29),ISBLANK(RAW_APS!B29),ISBLANK(RAW_APS!C29)),TRUE,IFERROR(0/0,""))</f>
        <v/>
      </c>
      <c r="B29" s="3"/>
      <c r="C29" s="94" t="str">
        <f>IF(ISBLANK(B29),IFERROR(0/0,""),RAW_APS!A29)</f>
        <v/>
      </c>
      <c r="D29" s="94" t="str">
        <f>IF(ISBLANK(C29),IFERROR(0/0,""), VLOOKUP(C29,preDEL!A$2:AG235,33,FALSE))</f>
        <v/>
      </c>
      <c r="E29" s="3"/>
      <c r="F29" s="129"/>
      <c r="G29" s="306"/>
      <c r="H29" s="309" t="str">
        <f t="shared" si="1"/>
        <v/>
      </c>
      <c r="I29" s="112" t="str">
        <f>CONCATENATE(UPPER(RAW_APS!$A30),"__",RAW_APS!$B30,"_",RAW_APS!$C30)</f>
        <v>AH772__44739_0.223287037037037</v>
      </c>
      <c r="J29" s="310" t="str">
        <f t="shared" si="2"/>
        <v/>
      </c>
      <c r="K29" s="306" t="s">
        <v>663</v>
      </c>
      <c r="L29" s="311" t="str">
        <f t="shared" si="3"/>
        <v>AG4603</v>
      </c>
      <c r="M29" s="312" t="b">
        <f t="shared" si="5"/>
        <v>0</v>
      </c>
      <c r="N29" s="311" t="str">
        <f t="shared" si="4"/>
        <v/>
      </c>
      <c r="O29" s="3"/>
      <c r="P29" s="3"/>
      <c r="Q29" s="3"/>
      <c r="R29" s="3"/>
      <c r="S29" s="3"/>
      <c r="T29" s="3"/>
      <c r="U29" s="3"/>
      <c r="V29" s="3"/>
      <c r="W29" s="3"/>
    </row>
    <row r="30">
      <c r="A30" s="94" t="str">
        <f>IF(OR(ISBLANK(RAW_APS!A30),ISBLANK(RAW_APS!B30),ISBLANK(RAW_APS!C30)),TRUE,IFERROR(0/0,""))</f>
        <v/>
      </c>
      <c r="B30" s="3"/>
      <c r="C30" s="94" t="str">
        <f>IF(ISBLANK(B30),IFERROR(0/0,""),RAW_APS!A30)</f>
        <v/>
      </c>
      <c r="D30" s="94" t="str">
        <f>IF(ISBLANK(C30),IFERROR(0/0,""), VLOOKUP(C30,preDEL!A$2:AG235,33,FALSE))</f>
        <v/>
      </c>
      <c r="E30" s="3"/>
      <c r="F30" s="129"/>
      <c r="G30" s="306"/>
      <c r="H30" s="309" t="str">
        <f t="shared" si="1"/>
        <v/>
      </c>
      <c r="I30" s="112" t="str">
        <f>CONCATENATE(UPPER(RAW_APS!$A31),"__",RAW_APS!$B31,"_",RAW_APS!$C31)</f>
        <v>AH652__44739_0.188888888888889</v>
      </c>
      <c r="J30" s="310" t="str">
        <f t="shared" si="2"/>
        <v/>
      </c>
      <c r="K30" s="306" t="s">
        <v>664</v>
      </c>
      <c r="L30" s="311" t="str">
        <f t="shared" si="3"/>
        <v>AG469</v>
      </c>
      <c r="M30" s="312" t="b">
        <f t="shared" si="5"/>
        <v>0</v>
      </c>
      <c r="N30" s="311" t="str">
        <f t="shared" si="4"/>
        <v/>
      </c>
      <c r="O30" s="3"/>
      <c r="P30" s="3"/>
      <c r="Q30" s="3"/>
      <c r="R30" s="3"/>
      <c r="S30" s="3"/>
      <c r="T30" s="3"/>
      <c r="U30" s="3"/>
      <c r="V30" s="3"/>
      <c r="W30" s="3"/>
    </row>
    <row r="31">
      <c r="A31" s="94" t="str">
        <f>IF(OR(ISBLANK(RAW_APS!A31),ISBLANK(RAW_APS!B31),ISBLANK(RAW_APS!C31)),TRUE,IFERROR(0/0,""))</f>
        <v/>
      </c>
      <c r="B31" s="3"/>
      <c r="C31" s="94" t="str">
        <f>IF(ISBLANK(B31),IFERROR(0/0,""),RAW_APS!A31)</f>
        <v/>
      </c>
      <c r="D31" s="94" t="str">
        <f>IF(ISBLANK(C31),IFERROR(0/0,""), VLOOKUP(C31,preDEL!A$2:AG235,33,FALSE))</f>
        <v/>
      </c>
      <c r="E31" s="3"/>
      <c r="F31" s="129"/>
      <c r="G31" s="306"/>
      <c r="H31" s="309" t="str">
        <f t="shared" si="1"/>
        <v/>
      </c>
      <c r="I31" s="112" t="str">
        <f>CONCATENATE(UPPER(RAW_APS!$A32),"__",RAW_APS!$B32,"_",RAW_APS!$C32)</f>
        <v>AH652__44739_0.188888888888889</v>
      </c>
      <c r="J31" s="310" t="str">
        <f t="shared" si="2"/>
        <v/>
      </c>
      <c r="K31" s="306" t="s">
        <v>665</v>
      </c>
      <c r="L31" s="311" t="str">
        <f t="shared" si="3"/>
        <v>AG570</v>
      </c>
      <c r="M31" s="312" t="b">
        <f t="shared" si="5"/>
        <v>0</v>
      </c>
      <c r="N31" s="311" t="str">
        <f t="shared" si="4"/>
        <v/>
      </c>
      <c r="O31" s="3"/>
      <c r="P31" s="3"/>
      <c r="Q31" s="3"/>
      <c r="R31" s="3"/>
      <c r="S31" s="3"/>
      <c r="T31" s="3"/>
      <c r="U31" s="3"/>
      <c r="V31" s="3"/>
      <c r="W31" s="3"/>
    </row>
    <row r="32">
      <c r="A32" s="94" t="str">
        <f>IF(OR(ISBLANK(RAW_APS!A32),ISBLANK(RAW_APS!B32),ISBLANK(RAW_APS!C32)),TRUE,IFERROR(0/0,""))</f>
        <v/>
      </c>
      <c r="B32" s="3"/>
      <c r="C32" s="94" t="str">
        <f>IF(ISBLANK(B32),IFERROR(0/0,""),RAW_APS!A32)</f>
        <v/>
      </c>
      <c r="D32" s="94" t="str">
        <f>IF(ISBLANK(C32),IFERROR(0/0,""), VLOOKUP(C32,preDEL!A$2:AG235,33,FALSE))</f>
        <v/>
      </c>
      <c r="E32" s="3"/>
      <c r="F32" s="129"/>
      <c r="G32" s="306"/>
      <c r="H32" s="309" t="str">
        <f t="shared" si="1"/>
        <v/>
      </c>
      <c r="I32" s="112" t="str">
        <f>CONCATENATE(UPPER(RAW_APS!$A33),"__",RAW_APS!$B33,"_",RAW_APS!$C33)</f>
        <v>AH8663__44738_0.767800925925926</v>
      </c>
      <c r="J32" s="310" t="str">
        <f t="shared" si="2"/>
        <v/>
      </c>
      <c r="K32" s="306" t="s">
        <v>666</v>
      </c>
      <c r="L32" s="311" t="str">
        <f t="shared" si="3"/>
        <v>AG575</v>
      </c>
      <c r="M32" s="312" t="b">
        <f t="shared" si="5"/>
        <v>0</v>
      </c>
      <c r="N32" s="311" t="str">
        <f t="shared" si="4"/>
        <v/>
      </c>
      <c r="O32" s="3"/>
      <c r="P32" s="3"/>
      <c r="Q32" s="3"/>
      <c r="R32" s="3"/>
      <c r="S32" s="3"/>
      <c r="T32" s="3"/>
      <c r="U32" s="3"/>
      <c r="V32" s="3"/>
      <c r="W32" s="3"/>
    </row>
    <row r="33">
      <c r="A33" s="94" t="str">
        <f>IF(OR(ISBLANK(RAW_APS!A33),ISBLANK(RAW_APS!B33),ISBLANK(RAW_APS!C33)),TRUE,IFERROR(0/0,""))</f>
        <v/>
      </c>
      <c r="B33" s="3"/>
      <c r="C33" s="94" t="str">
        <f>IF(ISBLANK(B33),IFERROR(0/0,""),RAW_APS!A33)</f>
        <v/>
      </c>
      <c r="D33" s="94" t="str">
        <f>IF(ISBLANK(C33),IFERROR(0/0,""), VLOOKUP(C33,preDEL!A$2:AG235,33,FALSE))</f>
        <v/>
      </c>
      <c r="E33" s="3"/>
      <c r="F33" s="129"/>
      <c r="G33" s="306"/>
      <c r="H33" s="309" t="str">
        <f t="shared" si="1"/>
        <v/>
      </c>
      <c r="I33" s="112" t="str">
        <f>CONCATENATE(UPPER(RAW_APS!$A34),"__",RAW_APS!$B34,"_",RAW_APS!$C34)</f>
        <v>AG4603__44733_0.340393518518519</v>
      </c>
      <c r="J33" s="310" t="str">
        <f t="shared" si="2"/>
        <v/>
      </c>
      <c r="K33" s="306" t="s">
        <v>667</v>
      </c>
      <c r="L33" s="311" t="str">
        <f t="shared" si="3"/>
        <v>AG611</v>
      </c>
      <c r="M33" s="312" t="b">
        <f t="shared" si="5"/>
        <v>0</v>
      </c>
      <c r="N33" s="311" t="str">
        <f t="shared" si="4"/>
        <v/>
      </c>
      <c r="O33" s="3"/>
      <c r="P33" s="3"/>
      <c r="Q33" s="3"/>
      <c r="R33" s="3"/>
      <c r="S33" s="3"/>
      <c r="T33" s="3"/>
      <c r="U33" s="3"/>
      <c r="V33" s="3"/>
      <c r="W33" s="3"/>
    </row>
    <row r="34">
      <c r="A34" s="94" t="str">
        <f>IF(OR(ISBLANK(RAW_APS!A34),ISBLANK(RAW_APS!B34),ISBLANK(RAW_APS!C34)),TRUE,IFERROR(0/0,""))</f>
        <v/>
      </c>
      <c r="B34" s="3"/>
      <c r="C34" s="94" t="str">
        <f>IF(ISBLANK(B34),IFERROR(0/0,""),RAW_APS!A34)</f>
        <v/>
      </c>
      <c r="D34" s="94" t="str">
        <f>IF(ISBLANK(C34),IFERROR(0/0,""), VLOOKUP(C34,preDEL!A$2:AG235,33,FALSE))</f>
        <v/>
      </c>
      <c r="E34" s="3"/>
      <c r="F34" s="129"/>
      <c r="G34" s="306"/>
      <c r="H34" s="309" t="str">
        <f t="shared" si="1"/>
        <v/>
      </c>
      <c r="I34" s="112" t="str">
        <f>CONCATENATE(UPPER(RAW_APS!$A35),"__",RAW_APS!$B35,"_",RAW_APS!$C35)</f>
        <v>AG611__44733_0.212476851851852</v>
      </c>
      <c r="J34" s="310" t="str">
        <f t="shared" si="2"/>
        <v/>
      </c>
      <c r="K34" s="306" t="s">
        <v>668</v>
      </c>
      <c r="L34" s="311" t="str">
        <f t="shared" si="3"/>
        <v>AG615</v>
      </c>
      <c r="M34" s="312" t="b">
        <f t="shared" si="5"/>
        <v>0</v>
      </c>
      <c r="N34" s="311" t="str">
        <f t="shared" si="4"/>
        <v/>
      </c>
      <c r="O34" s="3"/>
      <c r="P34" s="3"/>
      <c r="Q34" s="3"/>
      <c r="R34" s="3"/>
      <c r="S34" s="3"/>
      <c r="T34" s="3"/>
      <c r="U34" s="3"/>
      <c r="V34" s="3"/>
      <c r="W34" s="3"/>
    </row>
    <row r="35">
      <c r="A35" s="94" t="str">
        <f>IF(OR(ISBLANK(RAW_APS!A35),ISBLANK(RAW_APS!B35),ISBLANK(RAW_APS!C35)),TRUE,IFERROR(0/0,""))</f>
        <v/>
      </c>
      <c r="B35" s="3"/>
      <c r="C35" s="94" t="str">
        <f>IF(ISBLANK(B35),IFERROR(0/0,""),RAW_APS!A35)</f>
        <v/>
      </c>
      <c r="D35" s="94" t="str">
        <f>IF(ISBLANK(C35),IFERROR(0/0,""), VLOOKUP(C35,preDEL!A$2:AG235,33,FALSE))</f>
        <v/>
      </c>
      <c r="E35" s="3"/>
      <c r="F35" s="129"/>
      <c r="G35" s="306"/>
      <c r="H35" s="309" t="str">
        <f t="shared" si="1"/>
        <v/>
      </c>
      <c r="I35" s="112" t="str">
        <f>CONCATENATE(UPPER(RAW_APS!$A36),"__",RAW_APS!$B36,"_",RAW_APS!$C36)</f>
        <v>AG611__44733_0.212476851851852</v>
      </c>
      <c r="J35" s="310" t="str">
        <f t="shared" si="2"/>
        <v/>
      </c>
      <c r="K35" s="306" t="s">
        <v>669</v>
      </c>
      <c r="L35" s="311" t="str">
        <f t="shared" si="3"/>
        <v>AG632</v>
      </c>
      <c r="M35" s="312" t="b">
        <f t="shared" si="5"/>
        <v>0</v>
      </c>
      <c r="N35" s="311" t="str">
        <f t="shared" si="4"/>
        <v/>
      </c>
      <c r="O35" s="3"/>
      <c r="P35" s="3"/>
      <c r="Q35" s="3"/>
      <c r="R35" s="3"/>
      <c r="S35" s="3"/>
      <c r="T35" s="3"/>
      <c r="U35" s="3"/>
      <c r="V35" s="3"/>
      <c r="W35" s="3"/>
    </row>
    <row r="36">
      <c r="A36" s="94" t="str">
        <f>IF(OR(ISBLANK(RAW_APS!A36),ISBLANK(RAW_APS!B36),ISBLANK(RAW_APS!C36)),TRUE,IFERROR(0/0,""))</f>
        <v/>
      </c>
      <c r="B36" s="3"/>
      <c r="C36" s="94" t="str">
        <f>IF(ISBLANK(B36),IFERROR(0/0,""),RAW_APS!A36)</f>
        <v/>
      </c>
      <c r="D36" s="94" t="str">
        <f>IF(ISBLANK(C36),IFERROR(0/0,""), VLOOKUP(C36,preDEL!A$2:AG235,33,FALSE))</f>
        <v/>
      </c>
      <c r="E36" s="3"/>
      <c r="F36" s="129"/>
      <c r="G36" s="306"/>
      <c r="H36" s="309" t="str">
        <f t="shared" si="1"/>
        <v/>
      </c>
      <c r="I36" s="112" t="str">
        <f>CONCATENATE(UPPER(RAW_APS!$A37),"__",RAW_APS!$B37,"_",RAW_APS!$C37)</f>
        <v>AG611__44733_0.212476851851852</v>
      </c>
      <c r="J36" s="310" t="str">
        <f t="shared" si="2"/>
        <v/>
      </c>
      <c r="K36" s="306" t="s">
        <v>670</v>
      </c>
      <c r="L36" s="311" t="str">
        <f t="shared" si="3"/>
        <v>AG663</v>
      </c>
      <c r="M36" s="312" t="b">
        <f t="shared" si="5"/>
        <v>0</v>
      </c>
      <c r="N36" s="311" t="str">
        <f t="shared" si="4"/>
        <v/>
      </c>
      <c r="O36" s="3"/>
      <c r="P36" s="3"/>
      <c r="Q36" s="3"/>
      <c r="R36" s="3"/>
      <c r="S36" s="3"/>
      <c r="T36" s="3"/>
      <c r="U36" s="3"/>
      <c r="V36" s="3"/>
      <c r="W36" s="3"/>
    </row>
    <row r="37">
      <c r="A37" s="94" t="str">
        <f>IF(OR(ISBLANK(RAW_APS!A37),ISBLANK(RAW_APS!B37),ISBLANK(RAW_APS!C37)),TRUE,IFERROR(0/0,""))</f>
        <v/>
      </c>
      <c r="B37" s="3"/>
      <c r="C37" s="94" t="str">
        <f>IF(ISBLANK(B37),IFERROR(0/0,""),RAW_APS!A37)</f>
        <v/>
      </c>
      <c r="D37" s="94" t="str">
        <f>IF(ISBLANK(C37),IFERROR(0/0,""), VLOOKUP(C37,preDEL!A$2:AG235,33,FALSE))</f>
        <v/>
      </c>
      <c r="E37" s="3"/>
      <c r="F37" s="129"/>
      <c r="G37" s="306"/>
      <c r="H37" s="309" t="str">
        <f t="shared" si="1"/>
        <v/>
      </c>
      <c r="I37" s="112" t="str">
        <f>CONCATENATE(UPPER(RAW_APS!$A38),"__",RAW_APS!$B38,"_",RAW_APS!$C38)</f>
        <v>AK6656__44725_0.244351851851852</v>
      </c>
      <c r="J37" s="310" t="str">
        <f t="shared" si="2"/>
        <v/>
      </c>
      <c r="K37" s="306" t="s">
        <v>671</v>
      </c>
      <c r="L37" s="311" t="str">
        <f t="shared" si="3"/>
        <v>AG718</v>
      </c>
      <c r="M37" s="312" t="b">
        <f t="shared" si="5"/>
        <v>0</v>
      </c>
      <c r="N37" s="311" t="str">
        <f t="shared" si="4"/>
        <v/>
      </c>
      <c r="O37" s="3"/>
      <c r="P37" s="3"/>
      <c r="Q37" s="3"/>
      <c r="R37" s="3"/>
      <c r="S37" s="3"/>
      <c r="T37" s="3"/>
      <c r="U37" s="3"/>
      <c r="V37" s="3"/>
      <c r="W37" s="3"/>
    </row>
    <row r="38">
      <c r="A38" s="94" t="str">
        <f>IF(OR(ISBLANK(RAW_APS!A38),ISBLANK(RAW_APS!B38),ISBLANK(RAW_APS!C38)),TRUE,IFERROR(0/0,""))</f>
        <v/>
      </c>
      <c r="B38" s="3"/>
      <c r="C38" s="94" t="str">
        <f>IF(ISBLANK(B38),IFERROR(0/0,""),RAW_APS!A38)</f>
        <v/>
      </c>
      <c r="D38" s="94" t="str">
        <f>IF(ISBLANK(C38),IFERROR(0/0,""), VLOOKUP(C38,preDEL!A$2:AG235,33,FALSE))</f>
        <v/>
      </c>
      <c r="E38" s="3"/>
      <c r="F38" s="129"/>
      <c r="G38" s="306"/>
      <c r="H38" s="309" t="str">
        <f t="shared" si="1"/>
        <v/>
      </c>
      <c r="I38" s="112" t="str">
        <f>CONCATENATE(UPPER(RAW_APS!$A39),"__",RAW_APS!$B39,"_",RAW_APS!$C39)</f>
        <v>AK6656__44725_0.244351851851852</v>
      </c>
      <c r="J38" s="310" t="str">
        <f t="shared" si="2"/>
        <v/>
      </c>
      <c r="K38" s="306" t="s">
        <v>672</v>
      </c>
      <c r="L38" s="311" t="str">
        <f t="shared" si="3"/>
        <v>AG815</v>
      </c>
      <c r="M38" s="312" t="b">
        <f t="shared" si="5"/>
        <v>0</v>
      </c>
      <c r="N38" s="311" t="str">
        <f t="shared" si="4"/>
        <v/>
      </c>
      <c r="O38" s="3"/>
      <c r="P38" s="3"/>
      <c r="Q38" s="3"/>
      <c r="R38" s="3"/>
      <c r="S38" s="3"/>
      <c r="T38" s="3"/>
      <c r="U38" s="3"/>
      <c r="V38" s="3"/>
      <c r="W38" s="3"/>
    </row>
    <row r="39">
      <c r="A39" s="94" t="str">
        <f>IF(OR(ISBLANK(RAW_APS!A39),ISBLANK(RAW_APS!B39),ISBLANK(RAW_APS!C39)),TRUE,IFERROR(0/0,""))</f>
        <v/>
      </c>
      <c r="B39" s="3"/>
      <c r="C39" s="94" t="str">
        <f>IF(ISBLANK(B39),IFERROR(0/0,""),RAW_APS!A39)</f>
        <v/>
      </c>
      <c r="D39" s="94" t="str">
        <f>IF(ISBLANK(C39),IFERROR(0/0,""), VLOOKUP(C39,preDEL!A$2:AG235,33,FALSE))</f>
        <v/>
      </c>
      <c r="E39" s="3"/>
      <c r="F39" s="129"/>
      <c r="G39" s="306"/>
      <c r="H39" s="309" t="str">
        <f t="shared" si="1"/>
        <v/>
      </c>
      <c r="I39" s="112" t="str">
        <f>CONCATENATE(UPPER(RAW_APS!$A40),"__",RAW_APS!$B40,"_",RAW_APS!$C40)</f>
        <v>AH9644__44725_0.233506944444444</v>
      </c>
      <c r="J39" s="310" t="str">
        <f t="shared" si="2"/>
        <v/>
      </c>
      <c r="K39" s="306" t="s">
        <v>673</v>
      </c>
      <c r="L39" s="311" t="str">
        <f t="shared" si="3"/>
        <v>AG869</v>
      </c>
      <c r="M39" s="312" t="b">
        <f t="shared" si="5"/>
        <v>0</v>
      </c>
      <c r="N39" s="311" t="str">
        <f t="shared" si="4"/>
        <v/>
      </c>
      <c r="O39" s="3"/>
      <c r="P39" s="3"/>
      <c r="Q39" s="3"/>
      <c r="R39" s="3"/>
      <c r="S39" s="3"/>
      <c r="T39" s="3"/>
      <c r="U39" s="3"/>
      <c r="V39" s="3"/>
      <c r="W39" s="3"/>
    </row>
    <row r="40">
      <c r="A40" s="94" t="str">
        <f>IF(OR(ISBLANK(RAW_APS!A40),ISBLANK(RAW_APS!B40),ISBLANK(RAW_APS!C40)),TRUE,IFERROR(0/0,""))</f>
        <v/>
      </c>
      <c r="B40" s="3"/>
      <c r="C40" s="94" t="str">
        <f>IF(ISBLANK(B40),IFERROR(0/0,""),RAW_APS!A40)</f>
        <v/>
      </c>
      <c r="D40" s="94" t="str">
        <f>IF(ISBLANK(C40),IFERROR(0/0,""), VLOOKUP(C40,preDEL!A$2:AG235,33,FALSE))</f>
        <v/>
      </c>
      <c r="E40" s="3"/>
      <c r="F40" s="129"/>
      <c r="G40" s="306"/>
      <c r="H40" s="309" t="str">
        <f t="shared" si="1"/>
        <v/>
      </c>
      <c r="I40" s="112" t="str">
        <f>CONCATENATE(UPPER(RAW_APS!$A41),"__",RAW_APS!$B41,"_",RAW_APS!$C41)</f>
        <v>AH9644__44725_0.233506944444444</v>
      </c>
      <c r="J40" s="310" t="str">
        <f t="shared" si="2"/>
        <v/>
      </c>
      <c r="K40" s="306" t="s">
        <v>674</v>
      </c>
      <c r="L40" s="311" t="str">
        <f t="shared" si="3"/>
        <v>AG91</v>
      </c>
      <c r="M40" s="312" t="b">
        <f t="shared" si="5"/>
        <v>0</v>
      </c>
      <c r="N40" s="311" t="str">
        <f t="shared" si="4"/>
        <v/>
      </c>
      <c r="O40" s="3"/>
      <c r="P40" s="3"/>
      <c r="Q40" s="3"/>
      <c r="R40" s="3"/>
      <c r="S40" s="3"/>
      <c r="T40" s="3"/>
      <c r="U40" s="3"/>
      <c r="V40" s="3"/>
      <c r="W40" s="3"/>
    </row>
    <row r="41">
      <c r="A41" s="94" t="str">
        <f>IF(OR(ISBLANK(RAW_APS!A41),ISBLANK(RAW_APS!B41),ISBLANK(RAW_APS!C41)),TRUE,IFERROR(0/0,""))</f>
        <v/>
      </c>
      <c r="B41" s="3"/>
      <c r="C41" s="94" t="str">
        <f>IF(ISBLANK(B41),IFERROR(0/0,""),RAW_APS!A41)</f>
        <v/>
      </c>
      <c r="D41" s="94" t="str">
        <f>IF(ISBLANK(C41),IFERROR(0/0,""), VLOOKUP(C41,preDEL!A$2:AG235,33,FALSE))</f>
        <v/>
      </c>
      <c r="E41" s="3"/>
      <c r="F41" s="129"/>
      <c r="G41" s="306"/>
      <c r="H41" s="309" t="str">
        <f t="shared" si="1"/>
        <v/>
      </c>
      <c r="I41" s="112" t="str">
        <f>CONCATENATE(UPPER(RAW_APS!$A42),"__",RAW_APS!$B42,"_",RAW_APS!$C42)</f>
        <v>AH9644__44725_0.233506944444444</v>
      </c>
      <c r="J41" s="310" t="str">
        <f t="shared" si="2"/>
        <v/>
      </c>
      <c r="K41" s="306" t="s">
        <v>675</v>
      </c>
      <c r="L41" s="311" t="str">
        <f t="shared" si="3"/>
        <v>AG981</v>
      </c>
      <c r="M41" s="312" t="b">
        <f t="shared" si="5"/>
        <v>0</v>
      </c>
      <c r="N41" s="311" t="str">
        <f t="shared" si="4"/>
        <v/>
      </c>
      <c r="O41" s="3"/>
      <c r="P41" s="3"/>
      <c r="Q41" s="3"/>
      <c r="R41" s="3"/>
      <c r="S41" s="3"/>
      <c r="T41" s="3"/>
      <c r="U41" s="3"/>
      <c r="V41" s="3"/>
      <c r="W41" s="3"/>
    </row>
    <row r="42">
      <c r="A42" s="94" t="str">
        <f>IF(OR(ISBLANK(RAW_APS!A42),ISBLANK(RAW_APS!B42),ISBLANK(RAW_APS!C42)),TRUE,IFERROR(0/0,""))</f>
        <v/>
      </c>
      <c r="B42" s="3"/>
      <c r="C42" s="94" t="str">
        <f>IF(ISBLANK(B42),IFERROR(0/0,""),RAW_APS!A42)</f>
        <v/>
      </c>
      <c r="D42" s="94" t="str">
        <f>IF(ISBLANK(C42),IFERROR(0/0,""), VLOOKUP(C42,preDEL!A$2:AG235,33,FALSE))</f>
        <v/>
      </c>
      <c r="E42" s="3"/>
      <c r="F42" s="129"/>
      <c r="G42" s="306"/>
      <c r="H42" s="309" t="str">
        <f t="shared" si="1"/>
        <v/>
      </c>
      <c r="I42" s="112" t="str">
        <f>CONCATENATE(UPPER(RAW_APS!$A43),"__",RAW_APS!$B43,"_",RAW_APS!$C43)</f>
        <v>AG1844__44725_0.225231481481481</v>
      </c>
      <c r="J42" s="310" t="str">
        <f t="shared" si="2"/>
        <v/>
      </c>
      <c r="K42" s="306" t="s">
        <v>676</v>
      </c>
      <c r="L42" s="311" t="str">
        <f t="shared" si="3"/>
        <v>AH0916</v>
      </c>
      <c r="M42" s="312" t="b">
        <f t="shared" si="5"/>
        <v>0</v>
      </c>
      <c r="N42" s="311" t="str">
        <f t="shared" si="4"/>
        <v/>
      </c>
      <c r="O42" s="3"/>
      <c r="P42" s="3"/>
      <c r="Q42" s="3"/>
      <c r="R42" s="3"/>
      <c r="S42" s="3"/>
      <c r="T42" s="3"/>
      <c r="U42" s="3"/>
      <c r="V42" s="3"/>
      <c r="W42" s="3"/>
    </row>
    <row r="43">
      <c r="A43" s="94" t="str">
        <f>IF(OR(ISBLANK(RAW_APS!A43),ISBLANK(RAW_APS!B43),ISBLANK(RAW_APS!C43)),TRUE,IFERROR(0/0,""))</f>
        <v/>
      </c>
      <c r="B43" s="3"/>
      <c r="C43" s="94" t="str">
        <f>IF(ISBLANK(B43),IFERROR(0/0,""),RAW_APS!A43)</f>
        <v/>
      </c>
      <c r="D43" s="94" t="str">
        <f>IF(ISBLANK(C43),IFERROR(0/0,""), VLOOKUP(C43,preDEL!A$2:AG235,33,FALSE))</f>
        <v/>
      </c>
      <c r="E43" s="3"/>
      <c r="F43" s="129"/>
      <c r="G43" s="306"/>
      <c r="H43" s="309" t="str">
        <f t="shared" si="1"/>
        <v/>
      </c>
      <c r="I43" s="112" t="str">
        <f>CONCATENATE(UPPER(RAW_APS!$A44),"__",RAW_APS!$B44,"_",RAW_APS!$C44)</f>
        <v>AG1844__44725_0.225231481481481</v>
      </c>
      <c r="J43" s="310" t="str">
        <f t="shared" si="2"/>
        <v/>
      </c>
      <c r="K43" s="306" t="s">
        <v>677</v>
      </c>
      <c r="L43" s="311" t="str">
        <f t="shared" si="3"/>
        <v>AH1039</v>
      </c>
      <c r="M43" s="312" t="b">
        <f t="shared" si="5"/>
        <v>0</v>
      </c>
      <c r="N43" s="311" t="str">
        <f t="shared" si="4"/>
        <v/>
      </c>
      <c r="O43" s="3"/>
      <c r="P43" s="3"/>
      <c r="Q43" s="3"/>
      <c r="R43" s="3"/>
      <c r="S43" s="3"/>
      <c r="T43" s="3"/>
      <c r="U43" s="3"/>
      <c r="V43" s="3"/>
      <c r="W43" s="3"/>
    </row>
    <row r="44">
      <c r="A44" s="94" t="str">
        <f>IF(OR(ISBLANK(RAW_APS!A44),ISBLANK(RAW_APS!B44),ISBLANK(RAW_APS!C44)),TRUE,IFERROR(0/0,""))</f>
        <v/>
      </c>
      <c r="B44" s="3"/>
      <c r="C44" s="94" t="str">
        <f>IF(ISBLANK(B44),IFERROR(0/0,""),RAW_APS!A44)</f>
        <v/>
      </c>
      <c r="D44" s="94" t="str">
        <f>IF(ISBLANK(C44),IFERROR(0/0,""), VLOOKUP(C44,preDEL!A$2:AG235,33,FALSE))</f>
        <v/>
      </c>
      <c r="E44" s="3"/>
      <c r="F44" s="129"/>
      <c r="G44" s="306"/>
      <c r="H44" s="309" t="str">
        <f t="shared" si="1"/>
        <v/>
      </c>
      <c r="I44" s="112" t="str">
        <f>CONCATENATE(UPPER(RAW_APS!$A45),"__",RAW_APS!$B45,"_",RAW_APS!$C45)</f>
        <v>AG1844__44725_0.225231481481481</v>
      </c>
      <c r="J44" s="310" t="str">
        <f t="shared" si="2"/>
        <v/>
      </c>
      <c r="K44" s="306" t="s">
        <v>678</v>
      </c>
      <c r="L44" s="311" t="str">
        <f t="shared" si="3"/>
        <v>AH1119</v>
      </c>
      <c r="M44" s="312" t="b">
        <f t="shared" si="5"/>
        <v>0</v>
      </c>
      <c r="N44" s="311" t="str">
        <f t="shared" si="4"/>
        <v/>
      </c>
      <c r="O44" s="3"/>
      <c r="P44" s="3"/>
      <c r="Q44" s="3"/>
      <c r="R44" s="3"/>
      <c r="S44" s="3"/>
      <c r="T44" s="3"/>
      <c r="U44" s="3"/>
      <c r="V44" s="3"/>
      <c r="W44" s="3"/>
    </row>
    <row r="45">
      <c r="A45" s="94" t="str">
        <f>IF(OR(ISBLANK(RAW_APS!A45),ISBLANK(RAW_APS!B45),ISBLANK(RAW_APS!C45)),TRUE,IFERROR(0/0,""))</f>
        <v/>
      </c>
      <c r="B45" s="3"/>
      <c r="C45" s="94" t="str">
        <f>IF(ISBLANK(B45),IFERROR(0/0,""),RAW_APS!A45)</f>
        <v/>
      </c>
      <c r="D45" s="94" t="str">
        <f>IF(ISBLANK(C45),IFERROR(0/0,""), VLOOKUP(C45,preDEL!A$2:AG235,33,FALSE))</f>
        <v/>
      </c>
      <c r="E45" s="3"/>
      <c r="F45" s="129"/>
      <c r="G45" s="306"/>
      <c r="H45" s="309" t="str">
        <f t="shared" si="1"/>
        <v/>
      </c>
      <c r="I45" s="112" t="str">
        <f>CONCATENATE(UPPER(RAW_APS!$A46),"__",RAW_APS!$B46,"_",RAW_APS!$C46)</f>
        <v>AH8786__44725_0.201030092592593</v>
      </c>
      <c r="J45" s="310" t="str">
        <f t="shared" si="2"/>
        <v/>
      </c>
      <c r="K45" s="306" t="s">
        <v>679</v>
      </c>
      <c r="L45" s="311" t="str">
        <f t="shared" si="3"/>
        <v>AH1486</v>
      </c>
      <c r="M45" s="312" t="b">
        <f t="shared" si="5"/>
        <v>0</v>
      </c>
      <c r="N45" s="311" t="str">
        <f t="shared" si="4"/>
        <v/>
      </c>
      <c r="O45" s="3"/>
      <c r="P45" s="3"/>
      <c r="Q45" s="3"/>
      <c r="R45" s="3"/>
      <c r="S45" s="3"/>
      <c r="T45" s="3"/>
      <c r="U45" s="3"/>
      <c r="V45" s="3"/>
      <c r="W45" s="3"/>
    </row>
    <row r="46">
      <c r="A46" s="94" t="str">
        <f>IF(OR(ISBLANK(RAW_APS!A46),ISBLANK(RAW_APS!B46),ISBLANK(RAW_APS!C46)),TRUE,IFERROR(0/0,""))</f>
        <v/>
      </c>
      <c r="B46" s="3"/>
      <c r="C46" s="94" t="str">
        <f>IF(ISBLANK(B46),IFERROR(0/0,""),RAW_APS!A46)</f>
        <v/>
      </c>
      <c r="D46" s="94" t="str">
        <f>IF(ISBLANK(C46),IFERROR(0/0,""), VLOOKUP(C46,preDEL!A$2:AG235,33,FALSE))</f>
        <v/>
      </c>
      <c r="E46" s="3"/>
      <c r="F46" s="129"/>
      <c r="G46" s="306"/>
      <c r="H46" s="309" t="str">
        <f t="shared" si="1"/>
        <v/>
      </c>
      <c r="I46" s="112" t="str">
        <f>CONCATENATE(UPPER(RAW_APS!$A47),"__",RAW_APS!$B47,"_",RAW_APS!$C47)</f>
        <v>AH8786__44725_0.201030092592593</v>
      </c>
      <c r="J46" s="310" t="str">
        <f t="shared" si="2"/>
        <v/>
      </c>
      <c r="K46" s="306" t="s">
        <v>680</v>
      </c>
      <c r="L46" s="311" t="str">
        <f t="shared" si="3"/>
        <v>AH248</v>
      </c>
      <c r="M46" s="312" t="b">
        <f t="shared" si="5"/>
        <v>0</v>
      </c>
      <c r="N46" s="311" t="str">
        <f t="shared" si="4"/>
        <v/>
      </c>
      <c r="O46" s="3"/>
      <c r="P46" s="3"/>
      <c r="Q46" s="3"/>
      <c r="R46" s="3"/>
      <c r="S46" s="3"/>
      <c r="T46" s="3"/>
      <c r="U46" s="3"/>
      <c r="V46" s="3"/>
      <c r="W46" s="3"/>
    </row>
    <row r="47">
      <c r="A47" s="94" t="str">
        <f>IF(OR(ISBLANK(RAW_APS!A47),ISBLANK(RAW_APS!B47),ISBLANK(RAW_APS!C47)),TRUE,IFERROR(0/0,""))</f>
        <v/>
      </c>
      <c r="B47" s="3"/>
      <c r="C47" s="94" t="str">
        <f>IF(ISBLANK(B47),IFERROR(0/0,""),RAW_APS!A47)</f>
        <v/>
      </c>
      <c r="D47" s="94" t="str">
        <f>IF(ISBLANK(C47),IFERROR(0/0,""), VLOOKUP(C47,preDEL!A$2:AG235,33,FALSE))</f>
        <v/>
      </c>
      <c r="E47" s="3"/>
      <c r="F47" s="129"/>
      <c r="G47" s="306"/>
      <c r="H47" s="309" t="str">
        <f t="shared" si="1"/>
        <v/>
      </c>
      <c r="I47" s="112" t="str">
        <f>CONCATENATE(UPPER(RAW_APS!$A48),"__",RAW_APS!$B48,"_",RAW_APS!$C48)</f>
        <v>AJ9614__44725_0.200972222222222</v>
      </c>
      <c r="J47" s="310" t="str">
        <f t="shared" si="2"/>
        <v/>
      </c>
      <c r="K47" s="306" t="s">
        <v>681</v>
      </c>
      <c r="L47" s="311" t="str">
        <f t="shared" si="3"/>
        <v>AH258</v>
      </c>
      <c r="M47" s="312" t="b">
        <f t="shared" si="5"/>
        <v>0</v>
      </c>
      <c r="N47" s="311" t="str">
        <f t="shared" si="4"/>
        <v/>
      </c>
      <c r="O47" s="3"/>
      <c r="P47" s="3"/>
      <c r="Q47" s="3"/>
      <c r="R47" s="3"/>
      <c r="S47" s="3"/>
      <c r="T47" s="3"/>
      <c r="U47" s="3"/>
      <c r="V47" s="3"/>
      <c r="W47" s="3"/>
    </row>
    <row r="48">
      <c r="A48" s="94" t="str">
        <f>IF(OR(ISBLANK(RAW_APS!A48),ISBLANK(RAW_APS!B48),ISBLANK(RAW_APS!C48)),TRUE,IFERROR(0/0,""))</f>
        <v/>
      </c>
      <c r="B48" s="3"/>
      <c r="C48" s="94" t="str">
        <f>IF(ISBLANK(B48),IFERROR(0/0,""),RAW_APS!A48)</f>
        <v/>
      </c>
      <c r="D48" s="94" t="str">
        <f>IF(ISBLANK(C48),IFERROR(0/0,""), VLOOKUP(C48,preDEL!A$2:AG235,33,FALSE))</f>
        <v/>
      </c>
      <c r="E48" s="3"/>
      <c r="F48" s="129"/>
      <c r="G48" s="306"/>
      <c r="H48" s="309" t="str">
        <f t="shared" si="1"/>
        <v/>
      </c>
      <c r="I48" s="112" t="str">
        <f>CONCATENATE(UPPER(RAW_APS!$A49),"__",RAW_APS!$B49,"_",RAW_APS!$C49)</f>
        <v>AJ9614__44725_0.200972222222222</v>
      </c>
      <c r="J48" s="310" t="str">
        <f t="shared" si="2"/>
        <v/>
      </c>
      <c r="K48" s="306" t="s">
        <v>682</v>
      </c>
      <c r="L48" s="311" t="str">
        <f t="shared" si="3"/>
        <v>AH266</v>
      </c>
      <c r="M48" s="312" t="b">
        <f t="shared" si="5"/>
        <v>0</v>
      </c>
      <c r="N48" s="311" t="str">
        <f t="shared" si="4"/>
        <v/>
      </c>
      <c r="O48" s="3"/>
      <c r="P48" s="3"/>
      <c r="Q48" s="3"/>
      <c r="R48" s="3"/>
      <c r="S48" s="3"/>
      <c r="T48" s="3"/>
      <c r="U48" s="3"/>
      <c r="V48" s="3"/>
      <c r="W48" s="3"/>
    </row>
    <row r="49">
      <c r="A49" s="94" t="str">
        <f>IF(OR(ISBLANK(RAW_APS!A49),ISBLANK(RAW_APS!B49),ISBLANK(RAW_APS!C49)),TRUE,IFERROR(0/0,""))</f>
        <v/>
      </c>
      <c r="B49" s="3"/>
      <c r="C49" s="94" t="str">
        <f>IF(ISBLANK(B49),IFERROR(0/0,""),RAW_APS!A49)</f>
        <v/>
      </c>
      <c r="D49" s="94" t="str">
        <f>IF(ISBLANK(C49),IFERROR(0/0,""), VLOOKUP(C49,preDEL!A$2:AG235,33,FALSE))</f>
        <v/>
      </c>
      <c r="E49" s="3"/>
      <c r="F49" s="129"/>
      <c r="G49" s="306"/>
      <c r="H49" s="309" t="str">
        <f t="shared" si="1"/>
        <v/>
      </c>
      <c r="I49" s="112" t="str">
        <f>CONCATENATE(UPPER(RAW_APS!$A50),"__",RAW_APS!$B50,"_",RAW_APS!$C50)</f>
        <v>AJ9614__44725_0.200972222222222</v>
      </c>
      <c r="J49" s="310" t="str">
        <f t="shared" si="2"/>
        <v/>
      </c>
      <c r="K49" s="306" t="s">
        <v>683</v>
      </c>
      <c r="L49" s="311" t="str">
        <f t="shared" si="3"/>
        <v>AH330</v>
      </c>
      <c r="M49" s="312" t="b">
        <f t="shared" si="5"/>
        <v>0</v>
      </c>
      <c r="N49" s="311" t="str">
        <f t="shared" si="4"/>
        <v/>
      </c>
      <c r="O49" s="3"/>
      <c r="P49" s="3"/>
      <c r="Q49" s="3"/>
      <c r="R49" s="3"/>
      <c r="S49" s="3"/>
      <c r="T49" s="3"/>
      <c r="U49" s="3"/>
      <c r="V49" s="3"/>
      <c r="W49" s="3"/>
    </row>
    <row r="50">
      <c r="A50" s="94" t="str">
        <f>IF(OR(ISBLANK(RAW_APS!A50),ISBLANK(RAW_APS!B50),ISBLANK(RAW_APS!C50)),TRUE,IFERROR(0/0,""))</f>
        <v/>
      </c>
      <c r="B50" s="3"/>
      <c r="C50" s="94" t="str">
        <f>IF(ISBLANK(B50),IFERROR(0/0,""),RAW_APS!A50)</f>
        <v/>
      </c>
      <c r="D50" s="94" t="str">
        <f>IF(ISBLANK(C50),IFERROR(0/0,""), VLOOKUP(C50,preDEL!A$2:AG235,33,FALSE))</f>
        <v/>
      </c>
      <c r="E50" s="3"/>
      <c r="F50" s="129"/>
      <c r="G50" s="306"/>
      <c r="H50" s="309" t="str">
        <f t="shared" si="1"/>
        <v/>
      </c>
      <c r="I50" s="112" t="str">
        <f>CONCATENATE(UPPER(RAW_APS!$A51),"__",RAW_APS!$B51,"_",RAW_APS!$C51)</f>
        <v>AJ9614__44725_0.200972222222222</v>
      </c>
      <c r="J50" s="310" t="str">
        <f t="shared" si="2"/>
        <v/>
      </c>
      <c r="K50" s="306" t="s">
        <v>684</v>
      </c>
      <c r="L50" s="311" t="str">
        <f t="shared" si="3"/>
        <v>AH63</v>
      </c>
      <c r="M50" s="312" t="b">
        <f t="shared" si="5"/>
        <v>0</v>
      </c>
      <c r="N50" s="311" t="str">
        <f t="shared" si="4"/>
        <v/>
      </c>
      <c r="O50" s="3"/>
      <c r="P50" s="3"/>
      <c r="Q50" s="3"/>
      <c r="R50" s="3"/>
      <c r="S50" s="3"/>
      <c r="T50" s="3"/>
      <c r="U50" s="3"/>
      <c r="V50" s="3"/>
      <c r="W50" s="3"/>
    </row>
    <row r="51">
      <c r="A51" s="94" t="str">
        <f>IF(OR(ISBLANK(RAW_APS!A51),ISBLANK(RAW_APS!B51),ISBLANK(RAW_APS!C51)),TRUE,IFERROR(0/0,""))</f>
        <v/>
      </c>
      <c r="B51" s="3"/>
      <c r="C51" s="94" t="str">
        <f>IF(ISBLANK(B51),IFERROR(0/0,""),RAW_APS!A51)</f>
        <v/>
      </c>
      <c r="D51" s="94" t="str">
        <f>IF(ISBLANK(C51),IFERROR(0/0,""), VLOOKUP(C51,preDEL!A$2:AG235,33,FALSE))</f>
        <v/>
      </c>
      <c r="E51" s="3"/>
      <c r="F51" s="129"/>
      <c r="G51" s="306"/>
      <c r="H51" s="309" t="str">
        <f t="shared" si="1"/>
        <v/>
      </c>
      <c r="I51" s="112" t="str">
        <f>CONCATENATE(UPPER(RAW_APS!$A52),"__",RAW_APS!$B52,"_",RAW_APS!$C52)</f>
        <v>AH8656__44725_0.16587962962963</v>
      </c>
      <c r="J51" s="310" t="str">
        <f t="shared" si="2"/>
        <v/>
      </c>
      <c r="K51" s="306" t="s">
        <v>685</v>
      </c>
      <c r="L51" s="311" t="str">
        <f t="shared" si="3"/>
        <v>AH652</v>
      </c>
      <c r="M51" s="312" t="b">
        <f t="shared" si="5"/>
        <v>0</v>
      </c>
      <c r="N51" s="311" t="str">
        <f t="shared" si="4"/>
        <v/>
      </c>
      <c r="O51" s="3"/>
      <c r="P51" s="3"/>
      <c r="Q51" s="3"/>
      <c r="R51" s="3"/>
      <c r="S51" s="3"/>
      <c r="T51" s="3"/>
      <c r="U51" s="3"/>
      <c r="V51" s="3"/>
      <c r="W51" s="3"/>
    </row>
    <row r="52">
      <c r="A52" s="94" t="str">
        <f>IF(OR(ISBLANK(RAW_APS!A52),ISBLANK(RAW_APS!B52),ISBLANK(RAW_APS!C52)),TRUE,IFERROR(0/0,""))</f>
        <v/>
      </c>
      <c r="B52" s="3"/>
      <c r="C52" s="94" t="str">
        <f>IF(ISBLANK(B52),IFERROR(0/0,""),RAW_APS!A52)</f>
        <v/>
      </c>
      <c r="D52" s="94" t="str">
        <f>IF(ISBLANK(C52),IFERROR(0/0,""), VLOOKUP(C52,preDEL!A$2:AG235,33,FALSE))</f>
        <v/>
      </c>
      <c r="E52" s="3"/>
      <c r="F52" s="129"/>
      <c r="G52" s="306"/>
      <c r="H52" s="309" t="str">
        <f t="shared" si="1"/>
        <v/>
      </c>
      <c r="I52" s="112" t="str">
        <f>CONCATENATE(UPPER(RAW_APS!$A53),"__",RAW_APS!$B53,"_",RAW_APS!$C53)</f>
        <v>AH8656__44725_0.16587962962963</v>
      </c>
      <c r="J52" s="310" t="str">
        <f t="shared" si="2"/>
        <v/>
      </c>
      <c r="K52" s="306" t="s">
        <v>686</v>
      </c>
      <c r="L52" s="311" t="str">
        <f t="shared" si="3"/>
        <v>AH6802</v>
      </c>
      <c r="M52" s="312" t="b">
        <f t="shared" si="5"/>
        <v>0</v>
      </c>
      <c r="N52" s="311" t="str">
        <f t="shared" si="4"/>
        <v/>
      </c>
      <c r="O52" s="3"/>
      <c r="P52" s="3"/>
      <c r="Q52" s="3"/>
      <c r="R52" s="3"/>
      <c r="S52" s="3"/>
      <c r="T52" s="3"/>
      <c r="U52" s="3"/>
      <c r="V52" s="3"/>
      <c r="W52" s="3"/>
    </row>
    <row r="53">
      <c r="A53" s="94" t="str">
        <f>IF(OR(ISBLANK(RAW_APS!A53),ISBLANK(RAW_APS!B53),ISBLANK(RAW_APS!C53)),TRUE,IFERROR(0/0,""))</f>
        <v/>
      </c>
      <c r="B53" s="3"/>
      <c r="C53" s="94" t="str">
        <f>IF(ISBLANK(B53),IFERROR(0/0,""),RAW_APS!A53)</f>
        <v/>
      </c>
      <c r="D53" s="94" t="str">
        <f>IF(ISBLANK(C53),IFERROR(0/0,""), VLOOKUP(C53,preDEL!A$2:AG235,33,FALSE))</f>
        <v/>
      </c>
      <c r="E53" s="3"/>
      <c r="F53" s="129"/>
      <c r="G53" s="306"/>
      <c r="H53" s="309" t="str">
        <f t="shared" si="1"/>
        <v/>
      </c>
      <c r="I53" s="112" t="str">
        <f>CONCATENATE(UPPER(RAW_APS!$A54),"__",RAW_APS!$B54,"_",RAW_APS!$C54)</f>
        <v>AH8656__44725_0.16587962962963</v>
      </c>
      <c r="J53" s="310" t="str">
        <f t="shared" si="2"/>
        <v/>
      </c>
      <c r="K53" s="306" t="s">
        <v>687</v>
      </c>
      <c r="L53" s="311" t="str">
        <f t="shared" si="3"/>
        <v>AH6875</v>
      </c>
      <c r="M53" s="312" t="b">
        <f t="shared" si="5"/>
        <v>0</v>
      </c>
      <c r="N53" s="311" t="str">
        <f t="shared" si="4"/>
        <v/>
      </c>
      <c r="O53" s="3"/>
      <c r="P53" s="3"/>
      <c r="Q53" s="3"/>
      <c r="R53" s="3"/>
      <c r="S53" s="3"/>
      <c r="T53" s="3"/>
      <c r="U53" s="3"/>
      <c r="V53" s="3"/>
      <c r="W53" s="3"/>
    </row>
    <row r="54">
      <c r="A54" s="94" t="str">
        <f>IF(OR(ISBLANK(RAW_APS!A54),ISBLANK(RAW_APS!B54),ISBLANK(RAW_APS!C54)),TRUE,IFERROR(0/0,""))</f>
        <v/>
      </c>
      <c r="B54" s="3"/>
      <c r="C54" s="94" t="str">
        <f>IF(ISBLANK(B54),IFERROR(0/0,""),RAW_APS!A54)</f>
        <v/>
      </c>
      <c r="D54" s="94" t="str">
        <f>IF(ISBLANK(C54),IFERROR(0/0,""), VLOOKUP(C54,preDEL!A$2:AG235,33,FALSE))</f>
        <v/>
      </c>
      <c r="E54" s="3"/>
      <c r="F54" s="129"/>
      <c r="G54" s="306"/>
      <c r="H54" s="309" t="str">
        <f t="shared" si="1"/>
        <v/>
      </c>
      <c r="I54" s="112" t="str">
        <f>CONCATENATE(UPPER(RAW_APS!$A55),"__",RAW_APS!$B55,"_",RAW_APS!$C55)</f>
        <v>AH0916__44725_0.150706018518519</v>
      </c>
      <c r="J54" s="310" t="str">
        <f t="shared" si="2"/>
        <v/>
      </c>
      <c r="K54" s="306" t="s">
        <v>688</v>
      </c>
      <c r="L54" s="311" t="str">
        <f t="shared" si="3"/>
        <v>AH6926</v>
      </c>
      <c r="M54" s="312" t="b">
        <f t="shared" si="5"/>
        <v>0</v>
      </c>
      <c r="N54" s="311" t="str">
        <f t="shared" si="4"/>
        <v/>
      </c>
      <c r="O54" s="3"/>
      <c r="P54" s="3"/>
      <c r="Q54" s="3"/>
      <c r="R54" s="3"/>
      <c r="S54" s="3"/>
      <c r="T54" s="3"/>
      <c r="U54" s="3"/>
      <c r="V54" s="3"/>
      <c r="W54" s="3"/>
    </row>
    <row r="55">
      <c r="A55" s="94" t="str">
        <f>IF(OR(ISBLANK(RAW_APS!A55),ISBLANK(RAW_APS!B55),ISBLANK(RAW_APS!C55)),TRUE,IFERROR(0/0,""))</f>
        <v/>
      </c>
      <c r="B55" s="3"/>
      <c r="C55" s="94" t="str">
        <f>IF(ISBLANK(B55),IFERROR(0/0,""),RAW_APS!A55)</f>
        <v/>
      </c>
      <c r="D55" s="94" t="str">
        <f>IF(ISBLANK(C55),IFERROR(0/0,""), VLOOKUP(C55,preDEL!A$2:AG235,33,FALSE))</f>
        <v/>
      </c>
      <c r="E55" s="3"/>
      <c r="F55" s="129"/>
      <c r="G55" s="306"/>
      <c r="H55" s="309" t="str">
        <f t="shared" si="1"/>
        <v/>
      </c>
      <c r="I55" s="112" t="str">
        <f>CONCATENATE(UPPER(RAW_APS!$A56),"__",RAW_APS!$B56,"_",RAW_APS!$C56)</f>
        <v>AH0916__44725_0.150706018518519</v>
      </c>
      <c r="J55" s="310" t="str">
        <f t="shared" si="2"/>
        <v/>
      </c>
      <c r="K55" s="306" t="s">
        <v>689</v>
      </c>
      <c r="L55" s="311" t="str">
        <f t="shared" si="3"/>
        <v>AH6948</v>
      </c>
      <c r="M55" s="312" t="b">
        <f t="shared" si="5"/>
        <v>0</v>
      </c>
      <c r="N55" s="311" t="str">
        <f t="shared" si="4"/>
        <v/>
      </c>
      <c r="O55" s="3"/>
      <c r="P55" s="3"/>
      <c r="Q55" s="3"/>
      <c r="R55" s="3"/>
      <c r="S55" s="3"/>
      <c r="T55" s="3"/>
      <c r="U55" s="3"/>
      <c r="V55" s="3"/>
      <c r="W55" s="3"/>
    </row>
    <row r="56">
      <c r="A56" s="94" t="str">
        <f>IF(OR(ISBLANK(RAW_APS!A56),ISBLANK(RAW_APS!B56),ISBLANK(RAW_APS!C56)),TRUE,IFERROR(0/0,""))</f>
        <v/>
      </c>
      <c r="B56" s="3"/>
      <c r="C56" s="94" t="str">
        <f>IF(ISBLANK(B56),IFERROR(0/0,""),RAW_APS!A56)</f>
        <v/>
      </c>
      <c r="D56" s="94" t="str">
        <f>IF(ISBLANK(C56),IFERROR(0/0,""), VLOOKUP(C56,preDEL!A$2:AG235,33,FALSE))</f>
        <v/>
      </c>
      <c r="E56" s="3"/>
      <c r="F56" s="129"/>
      <c r="G56" s="306"/>
      <c r="H56" s="309" t="str">
        <f t="shared" si="1"/>
        <v/>
      </c>
      <c r="I56" s="112" t="str">
        <f>CONCATENATE(UPPER(RAW_APS!$A57),"__",RAW_APS!$B57,"_",RAW_APS!$C57)</f>
        <v>AG2202__44718_0.299803240740741</v>
      </c>
      <c r="J56" s="310" t="str">
        <f t="shared" si="2"/>
        <v/>
      </c>
      <c r="K56" s="306" t="s">
        <v>690</v>
      </c>
      <c r="L56" s="311" t="str">
        <f t="shared" si="3"/>
        <v>AH707</v>
      </c>
      <c r="M56" s="312" t="b">
        <f t="shared" si="5"/>
        <v>0</v>
      </c>
      <c r="N56" s="311" t="str">
        <f t="shared" si="4"/>
        <v/>
      </c>
      <c r="O56" s="3"/>
      <c r="P56" s="3"/>
      <c r="Q56" s="3"/>
      <c r="R56" s="3"/>
      <c r="S56" s="3"/>
      <c r="T56" s="3"/>
      <c r="U56" s="3"/>
      <c r="V56" s="3"/>
      <c r="W56" s="3"/>
    </row>
    <row r="57">
      <c r="A57" s="94" t="str">
        <f>IF(OR(ISBLANK(RAW_APS!A57),ISBLANK(RAW_APS!B57),ISBLANK(RAW_APS!C57)),TRUE,IFERROR(0/0,""))</f>
        <v/>
      </c>
      <c r="B57" s="3"/>
      <c r="C57" s="94" t="str">
        <f>IF(ISBLANK(B57),IFERROR(0/0,""),RAW_APS!A57)</f>
        <v/>
      </c>
      <c r="D57" s="94" t="str">
        <f>IF(ISBLANK(C57),IFERROR(0/0,""), VLOOKUP(C57,preDEL!A$2:AG235,33,FALSE))</f>
        <v/>
      </c>
      <c r="E57" s="3"/>
      <c r="F57" s="129"/>
      <c r="G57" s="306"/>
      <c r="H57" s="309" t="str">
        <f t="shared" si="1"/>
        <v/>
      </c>
      <c r="I57" s="112" t="str">
        <f>CONCATENATE(UPPER(RAW_APS!$A58),"__",RAW_APS!$B58,"_",RAW_APS!$C58)</f>
        <v>AG2202__44718_0.299803240740741</v>
      </c>
      <c r="J57" s="310" t="str">
        <f t="shared" si="2"/>
        <v/>
      </c>
      <c r="K57" s="306" t="s">
        <v>691</v>
      </c>
      <c r="L57" s="311" t="str">
        <f t="shared" si="3"/>
        <v>AH7209</v>
      </c>
      <c r="M57" s="312" t="b">
        <f t="shared" si="5"/>
        <v>0</v>
      </c>
      <c r="N57" s="311" t="str">
        <f t="shared" si="4"/>
        <v/>
      </c>
      <c r="O57" s="3"/>
      <c r="P57" s="3"/>
      <c r="Q57" s="3"/>
      <c r="R57" s="3"/>
      <c r="S57" s="3"/>
      <c r="T57" s="3"/>
      <c r="U57" s="3"/>
      <c r="V57" s="3"/>
      <c r="W57" s="3"/>
    </row>
    <row r="58">
      <c r="A58" s="94" t="str">
        <f>IF(OR(ISBLANK(RAW_APS!A58),ISBLANK(RAW_APS!B58),ISBLANK(RAW_APS!C58)),TRUE,IFERROR(0/0,""))</f>
        <v/>
      </c>
      <c r="B58" s="3"/>
      <c r="C58" s="94" t="str">
        <f>IF(ISBLANK(B58),IFERROR(0/0,""),RAW_APS!A58)</f>
        <v/>
      </c>
      <c r="D58" s="94" t="str">
        <f>IF(ISBLANK(C58),IFERROR(0/0,""), VLOOKUP(C58,preDEL!A$2:AG235,33,FALSE))</f>
        <v/>
      </c>
      <c r="E58" s="3"/>
      <c r="F58" s="129"/>
      <c r="G58" s="306"/>
      <c r="H58" s="309" t="str">
        <f t="shared" si="1"/>
        <v/>
      </c>
      <c r="I58" s="112" t="str">
        <f>CONCATENATE(UPPER(RAW_APS!$A59),"__",RAW_APS!$B59,"_",RAW_APS!$C59)</f>
        <v>AJ8368__44718_0.236527777777778</v>
      </c>
      <c r="J58" s="310" t="str">
        <f t="shared" si="2"/>
        <v/>
      </c>
      <c r="K58" s="306" t="s">
        <v>692</v>
      </c>
      <c r="L58" s="311" t="str">
        <f t="shared" si="3"/>
        <v>AH7211</v>
      </c>
      <c r="M58" s="312" t="b">
        <f t="shared" si="5"/>
        <v>0</v>
      </c>
      <c r="N58" s="311" t="str">
        <f t="shared" si="4"/>
        <v/>
      </c>
      <c r="O58" s="3"/>
      <c r="P58" s="3"/>
      <c r="Q58" s="3"/>
      <c r="R58" s="3"/>
      <c r="S58" s="3"/>
      <c r="T58" s="3"/>
      <c r="U58" s="3"/>
      <c r="V58" s="3"/>
      <c r="W58" s="3"/>
    </row>
    <row r="59">
      <c r="A59" s="94" t="str">
        <f>IF(OR(ISBLANK(RAW_APS!A59),ISBLANK(RAW_APS!B59),ISBLANK(RAW_APS!C59)),TRUE,IFERROR(0/0,""))</f>
        <v/>
      </c>
      <c r="B59" s="3"/>
      <c r="C59" s="94" t="str">
        <f>IF(ISBLANK(B59),IFERROR(0/0,""),RAW_APS!A59)</f>
        <v/>
      </c>
      <c r="D59" s="94" t="str">
        <f>IF(ISBLANK(C59),IFERROR(0/0,""), VLOOKUP(C59,preDEL!A$2:AG235,33,FALSE))</f>
        <v/>
      </c>
      <c r="E59" s="3"/>
      <c r="F59" s="129"/>
      <c r="G59" s="306"/>
      <c r="H59" s="309" t="str">
        <f t="shared" si="1"/>
        <v/>
      </c>
      <c r="I59" s="112" t="str">
        <f>CONCATENATE(UPPER(RAW_APS!$A60),"__",RAW_APS!$B60,"_",RAW_APS!$C60)</f>
        <v>AJ8368__44718_0.236527777777778</v>
      </c>
      <c r="J59" s="310" t="str">
        <f t="shared" si="2"/>
        <v/>
      </c>
      <c r="K59" s="306" t="s">
        <v>693</v>
      </c>
      <c r="L59" s="311" t="str">
        <f t="shared" si="3"/>
        <v>AH7225</v>
      </c>
      <c r="M59" s="312" t="b">
        <f t="shared" si="5"/>
        <v>0</v>
      </c>
      <c r="N59" s="311" t="str">
        <f t="shared" si="4"/>
        <v/>
      </c>
      <c r="O59" s="3"/>
      <c r="P59" s="3"/>
      <c r="Q59" s="3"/>
      <c r="R59" s="3"/>
      <c r="S59" s="3"/>
      <c r="T59" s="3"/>
      <c r="U59" s="3"/>
      <c r="V59" s="3"/>
      <c r="W59" s="3"/>
    </row>
    <row r="60">
      <c r="A60" s="94" t="str">
        <f>IF(OR(ISBLANK(RAW_APS!A60),ISBLANK(RAW_APS!B60),ISBLANK(RAW_APS!C60)),TRUE,IFERROR(0/0,""))</f>
        <v/>
      </c>
      <c r="B60" s="3"/>
      <c r="C60" s="94" t="str">
        <f>IF(ISBLANK(B60),IFERROR(0/0,""),RAW_APS!A60)</f>
        <v/>
      </c>
      <c r="D60" s="94" t="str">
        <f>IF(ISBLANK(C60),IFERROR(0/0,""), VLOOKUP(C60,preDEL!A$2:AG235,33,FALSE))</f>
        <v/>
      </c>
      <c r="E60" s="3"/>
      <c r="F60" s="129"/>
      <c r="G60" s="306"/>
      <c r="H60" s="309" t="str">
        <f t="shared" si="1"/>
        <v/>
      </c>
      <c r="I60" s="112" t="str">
        <f>CONCATENATE(UPPER(RAW_APS!$A61),"__",RAW_APS!$B61,"_",RAW_APS!$C61)</f>
        <v>AJ8368__44718_0.236527777777778</v>
      </c>
      <c r="J60" s="310" t="str">
        <f t="shared" si="2"/>
        <v/>
      </c>
      <c r="K60" s="306" t="s">
        <v>694</v>
      </c>
      <c r="L60" s="311" t="str">
        <f t="shared" si="3"/>
        <v>AH7289</v>
      </c>
      <c r="M60" s="312" t="b">
        <f t="shared" si="5"/>
        <v>0</v>
      </c>
      <c r="N60" s="311" t="str">
        <f t="shared" si="4"/>
        <v/>
      </c>
      <c r="O60" s="3"/>
      <c r="P60" s="3"/>
      <c r="Q60" s="3"/>
      <c r="R60" s="3"/>
      <c r="S60" s="3"/>
      <c r="T60" s="3"/>
      <c r="U60" s="3"/>
      <c r="V60" s="3"/>
      <c r="W60" s="3"/>
    </row>
    <row r="61">
      <c r="A61" s="94" t="str">
        <f>IF(OR(ISBLANK(RAW_APS!A61),ISBLANK(RAW_APS!B61),ISBLANK(RAW_APS!C61)),TRUE,IFERROR(0/0,""))</f>
        <v/>
      </c>
      <c r="B61" s="3"/>
      <c r="C61" s="94" t="str">
        <f>IF(ISBLANK(B61),IFERROR(0/0,""),RAW_APS!A61)</f>
        <v/>
      </c>
      <c r="D61" s="94" t="str">
        <f>IF(ISBLANK(C61),IFERROR(0/0,""), VLOOKUP(C61,preDEL!A$2:AG235,33,FALSE))</f>
        <v/>
      </c>
      <c r="E61" s="3"/>
      <c r="F61" s="129"/>
      <c r="G61" s="306"/>
      <c r="H61" s="309" t="str">
        <f t="shared" si="1"/>
        <v/>
      </c>
      <c r="I61" s="112" t="str">
        <f>CONCATENATE(UPPER(RAW_APS!$A62),"__",RAW_APS!$B62,"_",RAW_APS!$C62)</f>
        <v>AH9741__44718_0.213645833333333</v>
      </c>
      <c r="J61" s="310" t="str">
        <f t="shared" si="2"/>
        <v/>
      </c>
      <c r="K61" s="306" t="s">
        <v>695</v>
      </c>
      <c r="L61" s="311" t="str">
        <f t="shared" si="3"/>
        <v>AH7292</v>
      </c>
      <c r="M61" s="312" t="b">
        <f t="shared" si="5"/>
        <v>0</v>
      </c>
      <c r="N61" s="311" t="str">
        <f t="shared" si="4"/>
        <v/>
      </c>
      <c r="O61" s="3"/>
      <c r="P61" s="3"/>
      <c r="Q61" s="3"/>
      <c r="R61" s="3"/>
      <c r="S61" s="3"/>
      <c r="T61" s="3"/>
      <c r="U61" s="3"/>
      <c r="V61" s="3"/>
      <c r="W61" s="3"/>
    </row>
    <row r="62">
      <c r="A62" s="94" t="str">
        <f>IF(OR(ISBLANK(RAW_APS!A62),ISBLANK(RAW_APS!B62),ISBLANK(RAW_APS!C62)),TRUE,IFERROR(0/0,""))</f>
        <v/>
      </c>
      <c r="B62" s="3"/>
      <c r="C62" s="94" t="str">
        <f>IF(ISBLANK(B62),IFERROR(0/0,""),RAW_APS!A62)</f>
        <v/>
      </c>
      <c r="D62" s="94" t="str">
        <f>IF(ISBLANK(C62),IFERROR(0/0,""), VLOOKUP(C62,preDEL!A$2:AG235,33,FALSE))</f>
        <v/>
      </c>
      <c r="E62" s="3"/>
      <c r="F62" s="129"/>
      <c r="G62" s="306"/>
      <c r="H62" s="309" t="str">
        <f t="shared" si="1"/>
        <v/>
      </c>
      <c r="I62" s="112" t="str">
        <f>CONCATENATE(UPPER(RAW_APS!$A63),"__",RAW_APS!$B63,"_",RAW_APS!$C63)</f>
        <v>AH9741__44718_0.213645833333333</v>
      </c>
      <c r="J62" s="310" t="str">
        <f t="shared" si="2"/>
        <v/>
      </c>
      <c r="K62" s="306" t="s">
        <v>696</v>
      </c>
      <c r="L62" s="311" t="str">
        <f t="shared" si="3"/>
        <v>AH7299</v>
      </c>
      <c r="M62" s="312" t="b">
        <f t="shared" si="5"/>
        <v>0</v>
      </c>
      <c r="N62" s="311" t="str">
        <f t="shared" si="4"/>
        <v/>
      </c>
      <c r="O62" s="3"/>
      <c r="P62" s="3"/>
      <c r="Q62" s="3"/>
      <c r="R62" s="3"/>
      <c r="S62" s="3"/>
      <c r="T62" s="3"/>
      <c r="U62" s="3"/>
      <c r="V62" s="3"/>
      <c r="W62" s="3"/>
    </row>
    <row r="63">
      <c r="A63" s="94" t="str">
        <f>IF(OR(ISBLANK(RAW_APS!A63),ISBLANK(RAW_APS!B63),ISBLANK(RAW_APS!C63)),TRUE,IFERROR(0/0,""))</f>
        <v/>
      </c>
      <c r="B63" s="3"/>
      <c r="C63" s="94" t="str">
        <f>IF(ISBLANK(B63),IFERROR(0/0,""),RAW_APS!A63)</f>
        <v/>
      </c>
      <c r="D63" s="94" t="str">
        <f>IF(ISBLANK(C63),IFERROR(0/0,""), VLOOKUP(C63,preDEL!A$2:AG235,33,FALSE))</f>
        <v/>
      </c>
      <c r="E63" s="3"/>
      <c r="F63" s="129"/>
      <c r="G63" s="306"/>
      <c r="H63" s="309" t="str">
        <f t="shared" si="1"/>
        <v/>
      </c>
      <c r="I63" s="112" t="str">
        <f>CONCATENATE(UPPER(RAW_APS!$A64),"__",RAW_APS!$B64,"_",RAW_APS!$C64)</f>
        <v>AH7933__44718_0.211678240740741</v>
      </c>
      <c r="J63" s="310" t="str">
        <f t="shared" si="2"/>
        <v/>
      </c>
      <c r="K63" s="306" t="s">
        <v>697</v>
      </c>
      <c r="L63" s="311" t="str">
        <f t="shared" si="3"/>
        <v>AH7369</v>
      </c>
      <c r="M63" s="312" t="b">
        <f t="shared" si="5"/>
        <v>0</v>
      </c>
      <c r="N63" s="311" t="str">
        <f t="shared" si="4"/>
        <v/>
      </c>
      <c r="O63" s="3"/>
      <c r="P63" s="3"/>
      <c r="Q63" s="3"/>
      <c r="R63" s="3"/>
      <c r="S63" s="3"/>
      <c r="T63" s="3"/>
      <c r="U63" s="3"/>
      <c r="V63" s="3"/>
      <c r="W63" s="3"/>
    </row>
    <row r="64">
      <c r="A64" s="94" t="str">
        <f>IF(OR(ISBLANK(RAW_APS!A64),ISBLANK(RAW_APS!B64),ISBLANK(RAW_APS!C64)),TRUE,IFERROR(0/0,""))</f>
        <v/>
      </c>
      <c r="B64" s="3"/>
      <c r="C64" s="94" t="str">
        <f>IF(ISBLANK(B64),IFERROR(0/0,""),RAW_APS!A64)</f>
        <v/>
      </c>
      <c r="D64" s="94" t="str">
        <f>IF(ISBLANK(C64),IFERROR(0/0,""), VLOOKUP(C64,preDEL!A$2:AG235,33,FALSE))</f>
        <v/>
      </c>
      <c r="E64" s="3"/>
      <c r="F64" s="129"/>
      <c r="G64" s="306"/>
      <c r="H64" s="309" t="str">
        <f t="shared" si="1"/>
        <v/>
      </c>
      <c r="I64" s="112" t="str">
        <f>CONCATENATE(UPPER(RAW_APS!$A65),"__",RAW_APS!$B65,"_",RAW_APS!$C65)</f>
        <v>AH7933__44718_0.211678240740741</v>
      </c>
      <c r="J64" s="310" t="str">
        <f t="shared" si="2"/>
        <v/>
      </c>
      <c r="K64" s="306" t="s">
        <v>698</v>
      </c>
      <c r="L64" s="311" t="str">
        <f t="shared" si="3"/>
        <v>AH7507</v>
      </c>
      <c r="M64" s="312" t="b">
        <f t="shared" si="5"/>
        <v>0</v>
      </c>
      <c r="N64" s="311" t="str">
        <f t="shared" si="4"/>
        <v/>
      </c>
      <c r="O64" s="3"/>
      <c r="P64" s="3"/>
      <c r="Q64" s="3"/>
      <c r="R64" s="3"/>
      <c r="S64" s="3"/>
      <c r="T64" s="3"/>
      <c r="U64" s="3"/>
      <c r="V64" s="3"/>
      <c r="W64" s="3"/>
    </row>
    <row r="65">
      <c r="A65" s="94" t="str">
        <f>IF(OR(ISBLANK(RAW_APS!A65),ISBLANK(RAW_APS!B65),ISBLANK(RAW_APS!C65)),TRUE,IFERROR(0/0,""))</f>
        <v/>
      </c>
      <c r="B65" s="3"/>
      <c r="C65" s="94" t="str">
        <f>IF(ISBLANK(B65),IFERROR(0/0,""),RAW_APS!A65)</f>
        <v/>
      </c>
      <c r="D65" s="94" t="str">
        <f>IF(ISBLANK(C65),IFERROR(0/0,""), VLOOKUP(C65,preDEL!A$2:AG235,33,FALSE))</f>
        <v/>
      </c>
      <c r="E65" s="3"/>
      <c r="F65" s="129"/>
      <c r="G65" s="306"/>
      <c r="H65" s="309" t="str">
        <f t="shared" si="1"/>
        <v/>
      </c>
      <c r="I65" s="112" t="str">
        <f>CONCATENATE(UPPER(RAW_APS!$A66),"__",RAW_APS!$B66,"_",RAW_APS!$C66)</f>
        <v>AH7933__44718_0.211678240740741</v>
      </c>
      <c r="J65" s="310" t="str">
        <f t="shared" si="2"/>
        <v/>
      </c>
      <c r="K65" s="306" t="s">
        <v>699</v>
      </c>
      <c r="L65" s="311" t="str">
        <f t="shared" si="3"/>
        <v>AH7650</v>
      </c>
      <c r="M65" s="312" t="b">
        <f t="shared" si="5"/>
        <v>0</v>
      </c>
      <c r="N65" s="311" t="str">
        <f t="shared" si="4"/>
        <v/>
      </c>
      <c r="O65" s="3"/>
      <c r="P65" s="3"/>
      <c r="Q65" s="3"/>
      <c r="R65" s="3"/>
      <c r="S65" s="3"/>
      <c r="T65" s="3"/>
      <c r="U65" s="3"/>
      <c r="V65" s="3"/>
      <c r="W65" s="3"/>
    </row>
    <row r="66">
      <c r="A66" s="94" t="str">
        <f>IF(OR(ISBLANK(RAW_APS!A66),ISBLANK(RAW_APS!B66),ISBLANK(RAW_APS!C66)),TRUE,IFERROR(0/0,""))</f>
        <v/>
      </c>
      <c r="B66" s="3"/>
      <c r="C66" s="94" t="str">
        <f>IF(ISBLANK(B66),IFERROR(0/0,""),RAW_APS!A66)</f>
        <v/>
      </c>
      <c r="D66" s="94" t="str">
        <f>IF(ISBLANK(C66),IFERROR(0/0,""), VLOOKUP(C66,preDEL!A$2:AG235,33,FALSE))</f>
        <v/>
      </c>
      <c r="E66" s="3"/>
      <c r="F66" s="129"/>
      <c r="G66" s="306"/>
      <c r="H66" s="309" t="str">
        <f t="shared" si="1"/>
        <v/>
      </c>
      <c r="I66" s="112" t="str">
        <f>CONCATENATE(UPPER(RAW_APS!$A67),"__",RAW_APS!$B67,"_",RAW_APS!$C67)</f>
        <v>AG1447___</v>
      </c>
      <c r="J66" s="310" t="str">
        <f t="shared" si="2"/>
        <v/>
      </c>
      <c r="K66" s="306" t="s">
        <v>700</v>
      </c>
      <c r="L66" s="311" t="str">
        <f t="shared" si="3"/>
        <v>AH772</v>
      </c>
      <c r="M66" s="312" t="b">
        <f t="shared" si="5"/>
        <v>0</v>
      </c>
      <c r="N66" s="311" t="str">
        <f t="shared" si="4"/>
        <v/>
      </c>
      <c r="O66" s="3"/>
      <c r="P66" s="3"/>
      <c r="Q66" s="3"/>
      <c r="R66" s="3"/>
      <c r="S66" s="3"/>
      <c r="T66" s="3"/>
      <c r="U66" s="3"/>
      <c r="V66" s="3"/>
      <c r="W66" s="3"/>
    </row>
    <row r="67">
      <c r="A67" s="94" t="b">
        <f>IF(OR(ISBLANK(RAW_APS!A67),ISBLANK(RAW_APS!B67),ISBLANK(RAW_APS!C67)),TRUE,IFERROR(0/0,""))</f>
        <v>1</v>
      </c>
      <c r="B67" s="3" t="b">
        <v>1</v>
      </c>
      <c r="C67" s="94" t="str">
        <f>IF(ISBLANK(B67),IFERROR(0/0,""),RAW_APS!A67)</f>
        <v>AG1447</v>
      </c>
      <c r="D67" s="94" t="b">
        <f>IF(ISBLANK(C67),IFERROR(0/0,""), VLOOKUP(C67,preDEL!A$2:AG235,33,FALSE))</f>
        <v>1</v>
      </c>
      <c r="E67" s="9" t="s">
        <v>701</v>
      </c>
      <c r="F67" s="129"/>
      <c r="G67" s="306"/>
      <c r="H67" s="309" t="str">
        <f t="shared" si="1"/>
        <v/>
      </c>
      <c r="I67" s="112" t="str">
        <f>CONCATENATE(UPPER(RAW_APS!$A68),"__",RAW_APS!$B68,"_",RAW_APS!$C68)</f>
        <v>AG1447___</v>
      </c>
      <c r="J67" s="310" t="str">
        <f t="shared" si="2"/>
        <v/>
      </c>
      <c r="K67" s="306" t="s">
        <v>702</v>
      </c>
      <c r="L67" s="311" t="str">
        <f t="shared" si="3"/>
        <v>AH7931</v>
      </c>
      <c r="M67" s="312" t="b">
        <f t="shared" si="5"/>
        <v>0</v>
      </c>
      <c r="N67" s="311" t="str">
        <f t="shared" si="4"/>
        <v/>
      </c>
      <c r="O67" s="3"/>
      <c r="P67" s="3"/>
      <c r="Q67" s="3"/>
      <c r="R67" s="3"/>
      <c r="S67" s="3"/>
      <c r="T67" s="3"/>
      <c r="U67" s="3"/>
      <c r="V67" s="3"/>
      <c r="W67" s="3"/>
    </row>
    <row r="68">
      <c r="A68" s="94" t="b">
        <f>IF(OR(ISBLANK(RAW_APS!A68),ISBLANK(RAW_APS!B68),ISBLANK(RAW_APS!C68)),TRUE,IFERROR(0/0,""))</f>
        <v>1</v>
      </c>
      <c r="B68" s="3" t="b">
        <v>1</v>
      </c>
      <c r="C68" s="94" t="str">
        <f>IF(ISBLANK(B68),IFERROR(0/0,""),RAW_APS!A68)</f>
        <v>AG1447</v>
      </c>
      <c r="D68" s="94" t="b">
        <f>IF(ISBLANK(C68),IFERROR(0/0,""), VLOOKUP(C68,preDEL!A$2:AG235,33,FALSE))</f>
        <v>1</v>
      </c>
      <c r="E68" s="9" t="s">
        <v>701</v>
      </c>
      <c r="F68" s="129"/>
      <c r="G68" s="306"/>
      <c r="H68" s="309" t="str">
        <f t="shared" si="1"/>
        <v/>
      </c>
      <c r="I68" s="112" t="str">
        <f>CONCATENATE(UPPER(RAW_APS!$A69),"__",RAW_APS!$B69,"_",RAW_APS!$C69)</f>
        <v>AG1447___</v>
      </c>
      <c r="J68" s="310" t="str">
        <f t="shared" si="2"/>
        <v/>
      </c>
      <c r="K68" s="306" t="s">
        <v>703</v>
      </c>
      <c r="L68" s="311" t="str">
        <f t="shared" si="3"/>
        <v>AH7933</v>
      </c>
      <c r="M68" s="312" t="b">
        <f t="shared" si="5"/>
        <v>0</v>
      </c>
      <c r="N68" s="311" t="str">
        <f t="shared" si="4"/>
        <v/>
      </c>
      <c r="O68" s="3"/>
      <c r="P68" s="3"/>
      <c r="Q68" s="3"/>
      <c r="R68" s="3"/>
      <c r="S68" s="3"/>
      <c r="T68" s="3"/>
      <c r="U68" s="3"/>
      <c r="V68" s="3"/>
      <c r="W68" s="3"/>
    </row>
    <row r="69">
      <c r="A69" s="94" t="b">
        <f>IF(OR(ISBLANK(RAW_APS!A69),ISBLANK(RAW_APS!B69),ISBLANK(RAW_APS!C69)),TRUE,IFERROR(0/0,""))</f>
        <v>1</v>
      </c>
      <c r="B69" s="3" t="b">
        <v>1</v>
      </c>
      <c r="C69" s="94" t="str">
        <f>IF(ISBLANK(B69),IFERROR(0/0,""),RAW_APS!A69)</f>
        <v>AG1447</v>
      </c>
      <c r="D69" s="94" t="b">
        <f>IF(ISBLANK(C69),IFERROR(0/0,""), VLOOKUP(C69,preDEL!A$2:AG235,33,FALSE))</f>
        <v>1</v>
      </c>
      <c r="E69" s="9" t="s">
        <v>701</v>
      </c>
      <c r="F69" s="129"/>
      <c r="G69" s="306"/>
      <c r="H69" s="309" t="str">
        <f t="shared" si="1"/>
        <v/>
      </c>
      <c r="I69" s="112" t="str">
        <f>CONCATENATE(UPPER(RAW_APS!$A70),"__",RAW_APS!$B70,"_",RAW_APS!$C70)</f>
        <v>AG1447___</v>
      </c>
      <c r="J69" s="310" t="str">
        <f t="shared" si="2"/>
        <v/>
      </c>
      <c r="K69" s="306" t="s">
        <v>704</v>
      </c>
      <c r="L69" s="311" t="str">
        <f t="shared" si="3"/>
        <v>AH7951</v>
      </c>
      <c r="M69" s="312" t="b">
        <f t="shared" si="5"/>
        <v>0</v>
      </c>
      <c r="N69" s="311" t="str">
        <f t="shared" si="4"/>
        <v/>
      </c>
      <c r="O69" s="3"/>
      <c r="P69" s="3"/>
      <c r="Q69" s="3"/>
      <c r="R69" s="3"/>
      <c r="S69" s="3"/>
      <c r="T69" s="3"/>
      <c r="U69" s="3"/>
      <c r="V69" s="3"/>
      <c r="W69" s="3"/>
    </row>
    <row r="70">
      <c r="A70" s="94" t="b">
        <f>IF(OR(ISBLANK(RAW_APS!A70),ISBLANK(RAW_APS!B70),ISBLANK(RAW_APS!C70)),TRUE,IFERROR(0/0,""))</f>
        <v>1</v>
      </c>
      <c r="B70" s="3" t="b">
        <v>1</v>
      </c>
      <c r="C70" s="94" t="str">
        <f>IF(ISBLANK(B70),IFERROR(0/0,""),RAW_APS!A70)</f>
        <v>AG1447</v>
      </c>
      <c r="D70" s="94" t="b">
        <f>IF(ISBLANK(C70),IFERROR(0/0,""), VLOOKUP(C70,preDEL!A$2:AG235,33,FALSE))</f>
        <v>1</v>
      </c>
      <c r="E70" s="9" t="s">
        <v>701</v>
      </c>
      <c r="F70" s="129"/>
      <c r="G70" s="306"/>
      <c r="H70" s="309" t="str">
        <f t="shared" si="1"/>
        <v/>
      </c>
      <c r="I70" s="112" t="str">
        <f>CONCATENATE(UPPER(RAW_APS!$A71),"__",RAW_APS!$B71,"_",RAW_APS!$C71)</f>
        <v>AG615__44718_0.202662037037037</v>
      </c>
      <c r="J70" s="310" t="str">
        <f t="shared" si="2"/>
        <v/>
      </c>
      <c r="K70" s="306" t="s">
        <v>705</v>
      </c>
      <c r="L70" s="311" t="str">
        <f t="shared" si="3"/>
        <v>AH80</v>
      </c>
      <c r="M70" s="312" t="b">
        <f t="shared" si="5"/>
        <v>0</v>
      </c>
      <c r="N70" s="311" t="str">
        <f t="shared" si="4"/>
        <v/>
      </c>
      <c r="O70" s="3"/>
      <c r="P70" s="3"/>
      <c r="Q70" s="3"/>
      <c r="R70" s="3"/>
      <c r="S70" s="3"/>
      <c r="T70" s="3"/>
      <c r="U70" s="3"/>
      <c r="V70" s="3"/>
      <c r="W70" s="3"/>
    </row>
    <row r="71">
      <c r="A71" s="94" t="str">
        <f>IF(OR(ISBLANK(RAW_APS!A71),ISBLANK(RAW_APS!B71),ISBLANK(RAW_APS!C71)),TRUE,IFERROR(0/0,""))</f>
        <v/>
      </c>
      <c r="B71" s="3"/>
      <c r="C71" s="94" t="str">
        <f>IF(ISBLANK(B71),IFERROR(0/0,""),RAW_APS!A71)</f>
        <v/>
      </c>
      <c r="D71" s="94" t="str">
        <f>IF(ISBLANK(C71),IFERROR(0/0,""), VLOOKUP(C71,preDEL!A$2:AG235,33,FALSE))</f>
        <v/>
      </c>
      <c r="E71" s="3"/>
      <c r="F71" s="129"/>
      <c r="G71" s="306"/>
      <c r="H71" s="309" t="str">
        <f t="shared" si="1"/>
        <v/>
      </c>
      <c r="I71" s="112" t="str">
        <f>CONCATENATE(UPPER(RAW_APS!$A72),"__",RAW_APS!$B72,"_",RAW_APS!$C72)</f>
        <v>AG615__44718_0.202662037037037</v>
      </c>
      <c r="J71" s="310" t="str">
        <f t="shared" si="2"/>
        <v/>
      </c>
      <c r="K71" s="306" t="s">
        <v>706</v>
      </c>
      <c r="L71" s="311" t="str">
        <f t="shared" si="3"/>
        <v>AH8283</v>
      </c>
      <c r="M71" s="312" t="b">
        <f t="shared" si="5"/>
        <v>0</v>
      </c>
      <c r="N71" s="311" t="str">
        <f t="shared" si="4"/>
        <v/>
      </c>
      <c r="O71" s="3"/>
      <c r="P71" s="3"/>
      <c r="Q71" s="3"/>
      <c r="R71" s="3"/>
      <c r="S71" s="3"/>
      <c r="T71" s="3"/>
      <c r="U71" s="3"/>
      <c r="V71" s="3"/>
      <c r="W71" s="3"/>
    </row>
    <row r="72">
      <c r="A72" s="94" t="str">
        <f>IF(OR(ISBLANK(RAW_APS!A72),ISBLANK(RAW_APS!B72),ISBLANK(RAW_APS!C72)),TRUE,IFERROR(0/0,""))</f>
        <v/>
      </c>
      <c r="B72" s="3"/>
      <c r="C72" s="94" t="str">
        <f>IF(ISBLANK(B72),IFERROR(0/0,""),RAW_APS!A72)</f>
        <v/>
      </c>
      <c r="D72" s="94" t="str">
        <f>IF(ISBLANK(C72),IFERROR(0/0,""), VLOOKUP(C72,preDEL!A$2:AG235,33,FALSE))</f>
        <v/>
      </c>
      <c r="E72" s="3"/>
      <c r="F72" s="129"/>
      <c r="G72" s="306"/>
      <c r="H72" s="309" t="str">
        <f t="shared" si="1"/>
        <v/>
      </c>
      <c r="I72" s="112" t="str">
        <f>CONCATENATE(UPPER(RAW_APS!$A73),"__",RAW_APS!$B73,"_",RAW_APS!$C73)</f>
        <v>AJ8592__44718_0.193657407407407</v>
      </c>
      <c r="J72" s="310" t="str">
        <f t="shared" si="2"/>
        <v/>
      </c>
      <c r="K72" s="306" t="s">
        <v>707</v>
      </c>
      <c r="L72" s="311" t="str">
        <f t="shared" si="3"/>
        <v>AH8325</v>
      </c>
      <c r="M72" s="312" t="b">
        <f t="shared" si="5"/>
        <v>0</v>
      </c>
      <c r="N72" s="311" t="str">
        <f t="shared" si="4"/>
        <v/>
      </c>
      <c r="O72" s="3"/>
      <c r="P72" s="3"/>
      <c r="Q72" s="3"/>
      <c r="R72" s="3"/>
      <c r="S72" s="3"/>
      <c r="T72" s="3"/>
      <c r="U72" s="3"/>
      <c r="V72" s="3"/>
      <c r="W72" s="3"/>
    </row>
    <row r="73">
      <c r="A73" s="94" t="str">
        <f>IF(OR(ISBLANK(RAW_APS!A73),ISBLANK(RAW_APS!B73),ISBLANK(RAW_APS!C73)),TRUE,IFERROR(0/0,""))</f>
        <v/>
      </c>
      <c r="B73" s="3"/>
      <c r="C73" s="94" t="str">
        <f>IF(ISBLANK(B73),IFERROR(0/0,""),RAW_APS!A73)</f>
        <v/>
      </c>
      <c r="D73" s="94" t="str">
        <f>IF(ISBLANK(C73),IFERROR(0/0,""), VLOOKUP(C73,preDEL!A$2:AG235,33,FALSE))</f>
        <v/>
      </c>
      <c r="E73" s="3"/>
      <c r="F73" s="129"/>
      <c r="G73" s="306"/>
      <c r="H73" s="309" t="str">
        <f t="shared" si="1"/>
        <v/>
      </c>
      <c r="I73" s="112" t="str">
        <f>CONCATENATE(UPPER(RAW_APS!$A74),"__",RAW_APS!$B74,"_",RAW_APS!$C74)</f>
        <v>AJ8592__44718_0.193657407407407</v>
      </c>
      <c r="J73" s="310" t="str">
        <f t="shared" si="2"/>
        <v/>
      </c>
      <c r="K73" s="306" t="s">
        <v>708</v>
      </c>
      <c r="L73" s="311" t="str">
        <f t="shared" si="3"/>
        <v>AH8383</v>
      </c>
      <c r="M73" s="312" t="b">
        <f t="shared" si="5"/>
        <v>0</v>
      </c>
      <c r="N73" s="311" t="str">
        <f t="shared" si="4"/>
        <v/>
      </c>
      <c r="O73" s="3"/>
      <c r="P73" s="3"/>
      <c r="Q73" s="3"/>
      <c r="R73" s="3"/>
      <c r="S73" s="3"/>
      <c r="T73" s="3"/>
      <c r="U73" s="3"/>
      <c r="V73" s="3"/>
      <c r="W73" s="3"/>
    </row>
    <row r="74">
      <c r="A74" s="94" t="str">
        <f>IF(OR(ISBLANK(RAW_APS!A74),ISBLANK(RAW_APS!B74),ISBLANK(RAW_APS!C74)),TRUE,IFERROR(0/0,""))</f>
        <v/>
      </c>
      <c r="B74" s="3"/>
      <c r="C74" s="94" t="str">
        <f>IF(ISBLANK(B74),IFERROR(0/0,""),RAW_APS!A74)</f>
        <v/>
      </c>
      <c r="D74" s="94" t="str">
        <f>IF(ISBLANK(C74),IFERROR(0/0,""), VLOOKUP(C74,preDEL!A$2:AG235,33,FALSE))</f>
        <v/>
      </c>
      <c r="E74" s="3"/>
      <c r="F74" s="129"/>
      <c r="G74" s="306"/>
      <c r="H74" s="309" t="str">
        <f t="shared" si="1"/>
        <v/>
      </c>
      <c r="I74" s="112" t="str">
        <f>CONCATENATE(UPPER(RAW_APS!$A75),"__",RAW_APS!$B75,"_",RAW_APS!$C75)</f>
        <v>AH707__44718_0.17775462962963</v>
      </c>
      <c r="J74" s="310" t="str">
        <f t="shared" si="2"/>
        <v/>
      </c>
      <c r="K74" s="306" t="s">
        <v>709</v>
      </c>
      <c r="L74" s="311" t="str">
        <f t="shared" si="3"/>
        <v>AH8656</v>
      </c>
      <c r="M74" s="312" t="b">
        <f t="shared" si="5"/>
        <v>0</v>
      </c>
      <c r="N74" s="311" t="str">
        <f t="shared" si="4"/>
        <v/>
      </c>
      <c r="O74" s="3"/>
      <c r="P74" s="3"/>
      <c r="Q74" s="3"/>
      <c r="R74" s="3"/>
      <c r="S74" s="3"/>
      <c r="T74" s="3"/>
      <c r="U74" s="3"/>
      <c r="V74" s="3"/>
      <c r="W74" s="3"/>
    </row>
    <row r="75">
      <c r="A75" s="94" t="str">
        <f>IF(OR(ISBLANK(RAW_APS!A75),ISBLANK(RAW_APS!B75),ISBLANK(RAW_APS!C75)),TRUE,IFERROR(0/0,""))</f>
        <v/>
      </c>
      <c r="B75" s="3"/>
      <c r="C75" s="94" t="str">
        <f>IF(ISBLANK(B75),IFERROR(0/0,""),RAW_APS!A75)</f>
        <v/>
      </c>
      <c r="D75" s="94" t="str">
        <f>IF(ISBLANK(C75),IFERROR(0/0,""), VLOOKUP(C75,preDEL!A$2:AG235,33,FALSE))</f>
        <v/>
      </c>
      <c r="E75" s="3"/>
      <c r="F75" s="129"/>
      <c r="G75" s="306"/>
      <c r="H75" s="309" t="str">
        <f t="shared" si="1"/>
        <v/>
      </c>
      <c r="I75" s="112" t="str">
        <f>CONCATENATE(UPPER(RAW_APS!$A76),"__",RAW_APS!$B76,"_",RAW_APS!$C76)</f>
        <v>AH707__44718_0.17775462962963</v>
      </c>
      <c r="J75" s="310" t="str">
        <f t="shared" si="2"/>
        <v/>
      </c>
      <c r="K75" s="306" t="s">
        <v>710</v>
      </c>
      <c r="L75" s="311" t="str">
        <f t="shared" si="3"/>
        <v>AH8663</v>
      </c>
      <c r="M75" s="312" t="b">
        <f t="shared" si="5"/>
        <v>0</v>
      </c>
      <c r="N75" s="311" t="str">
        <f t="shared" si="4"/>
        <v/>
      </c>
      <c r="O75" s="3"/>
      <c r="P75" s="3"/>
      <c r="Q75" s="3"/>
      <c r="R75" s="3"/>
      <c r="S75" s="3"/>
      <c r="T75" s="3"/>
      <c r="U75" s="3"/>
      <c r="V75" s="3"/>
      <c r="W75" s="3"/>
    </row>
    <row r="76">
      <c r="A76" s="94" t="str">
        <f>IF(OR(ISBLANK(RAW_APS!A76),ISBLANK(RAW_APS!B76),ISBLANK(RAW_APS!C76)),TRUE,IFERROR(0/0,""))</f>
        <v/>
      </c>
      <c r="B76" s="3"/>
      <c r="C76" s="94" t="str">
        <f>IF(ISBLANK(B76),IFERROR(0/0,""),RAW_APS!A76)</f>
        <v/>
      </c>
      <c r="D76" s="94" t="str">
        <f>IF(ISBLANK(C76),IFERROR(0/0,""), VLOOKUP(C76,preDEL!A$2:AG235,33,FALSE))</f>
        <v/>
      </c>
      <c r="E76" s="3"/>
      <c r="F76" s="129"/>
      <c r="G76" s="306"/>
      <c r="H76" s="309" t="str">
        <f t="shared" si="1"/>
        <v/>
      </c>
      <c r="I76" s="112" t="str">
        <f>CONCATENATE(UPPER(RAW_APS!$A77),"__",RAW_APS!$B77,"_",RAW_APS!$C77)</f>
        <v>AH707__44718_0.17775462962963</v>
      </c>
      <c r="J76" s="310" t="str">
        <f t="shared" si="2"/>
        <v/>
      </c>
      <c r="K76" s="306" t="s">
        <v>711</v>
      </c>
      <c r="L76" s="311" t="str">
        <f t="shared" si="3"/>
        <v>AH8765</v>
      </c>
      <c r="M76" s="312" t="b">
        <f t="shared" si="5"/>
        <v>0</v>
      </c>
      <c r="N76" s="311" t="str">
        <f t="shared" si="4"/>
        <v/>
      </c>
      <c r="O76" s="3"/>
      <c r="P76" s="3"/>
      <c r="Q76" s="3"/>
      <c r="R76" s="3"/>
      <c r="S76" s="3"/>
      <c r="T76" s="3"/>
      <c r="U76" s="3"/>
      <c r="V76" s="3"/>
      <c r="W76" s="3"/>
    </row>
    <row r="77">
      <c r="A77" s="94" t="str">
        <f>IF(OR(ISBLANK(RAW_APS!A77),ISBLANK(RAW_APS!B77),ISBLANK(RAW_APS!C77)),TRUE,IFERROR(0/0,""))</f>
        <v/>
      </c>
      <c r="B77" s="3"/>
      <c r="C77" s="94" t="str">
        <f>IF(ISBLANK(B77),IFERROR(0/0,""),RAW_APS!A77)</f>
        <v/>
      </c>
      <c r="D77" s="94" t="str">
        <f>IF(ISBLANK(C77),IFERROR(0/0,""), VLOOKUP(C77,preDEL!A$2:AG235,33,FALSE))</f>
        <v/>
      </c>
      <c r="E77" s="3"/>
      <c r="F77" s="129"/>
      <c r="G77" s="306"/>
      <c r="H77" s="309" t="str">
        <f t="shared" si="1"/>
        <v/>
      </c>
      <c r="I77" s="112" t="str">
        <f>CONCATENATE(UPPER(RAW_APS!$A78),"__",RAW_APS!$B78,"_",RAW_APS!$C78)</f>
        <v>AH707__44718_0.17775462962963</v>
      </c>
      <c r="J77" s="310" t="str">
        <f t="shared" si="2"/>
        <v/>
      </c>
      <c r="K77" s="306" t="s">
        <v>712</v>
      </c>
      <c r="L77" s="311" t="str">
        <f t="shared" si="3"/>
        <v>AH8786</v>
      </c>
      <c r="M77" s="312" t="b">
        <f t="shared" si="5"/>
        <v>0</v>
      </c>
      <c r="N77" s="311" t="str">
        <f t="shared" si="4"/>
        <v/>
      </c>
      <c r="O77" s="3"/>
      <c r="P77" s="3"/>
      <c r="Q77" s="3"/>
      <c r="R77" s="3"/>
      <c r="S77" s="3"/>
      <c r="T77" s="3"/>
      <c r="U77" s="3"/>
      <c r="V77" s="3"/>
      <c r="W77" s="3"/>
    </row>
    <row r="78">
      <c r="A78" s="94" t="str">
        <f>IF(OR(ISBLANK(RAW_APS!A78),ISBLANK(RAW_APS!B78),ISBLANK(RAW_APS!C78)),TRUE,IFERROR(0/0,""))</f>
        <v/>
      </c>
      <c r="B78" s="3"/>
      <c r="C78" s="94" t="str">
        <f>IF(ISBLANK(B78),IFERROR(0/0,""),RAW_APS!A78)</f>
        <v/>
      </c>
      <c r="D78" s="94" t="str">
        <f>IF(ISBLANK(C78),IFERROR(0/0,""), VLOOKUP(C78,preDEL!A$2:AG235,33,FALSE))</f>
        <v/>
      </c>
      <c r="E78" s="3"/>
      <c r="F78" s="129"/>
      <c r="G78" s="306"/>
      <c r="H78" s="309" t="str">
        <f t="shared" si="1"/>
        <v/>
      </c>
      <c r="I78" s="112" t="str">
        <f>CONCATENATE(UPPER(RAW_APS!$A79),"__",RAW_APS!$B79,"_",RAW_APS!$C79)</f>
        <v>AG1608__44718_0.156921296296296</v>
      </c>
      <c r="J78" s="310" t="str">
        <f t="shared" si="2"/>
        <v/>
      </c>
      <c r="K78" s="306" t="s">
        <v>713</v>
      </c>
      <c r="L78" s="311" t="str">
        <f t="shared" si="3"/>
        <v>AH8860</v>
      </c>
      <c r="M78" s="312" t="b">
        <f t="shared" si="5"/>
        <v>0</v>
      </c>
      <c r="N78" s="311" t="str">
        <f t="shared" si="4"/>
        <v/>
      </c>
      <c r="O78" s="3"/>
      <c r="P78" s="3"/>
      <c r="Q78" s="3"/>
      <c r="R78" s="3"/>
      <c r="S78" s="3"/>
      <c r="T78" s="3"/>
      <c r="U78" s="3"/>
      <c r="V78" s="3"/>
      <c r="W78" s="3"/>
    </row>
    <row r="79">
      <c r="A79" s="94" t="str">
        <f>IF(OR(ISBLANK(RAW_APS!A79),ISBLANK(RAW_APS!B79),ISBLANK(RAW_APS!C79)),TRUE,IFERROR(0/0,""))</f>
        <v/>
      </c>
      <c r="B79" s="3"/>
      <c r="C79" s="94" t="str">
        <f>IF(ISBLANK(B79),IFERROR(0/0,""),RAW_APS!A79)</f>
        <v/>
      </c>
      <c r="D79" s="94" t="str">
        <f>IF(ISBLANK(C79),IFERROR(0/0,""), VLOOKUP(C79,preDEL!A$2:AG235,33,FALSE))</f>
        <v/>
      </c>
      <c r="E79" s="3"/>
      <c r="F79" s="129"/>
      <c r="G79" s="306"/>
      <c r="H79" s="309" t="str">
        <f t="shared" si="1"/>
        <v/>
      </c>
      <c r="I79" s="112" t="str">
        <f>CONCATENATE(UPPER(RAW_APS!$A80),"__",RAW_APS!$B80,"_",RAW_APS!$C80)</f>
        <v>AG1608__44718_0.156921296296296</v>
      </c>
      <c r="J79" s="310" t="str">
        <f t="shared" si="2"/>
        <v/>
      </c>
      <c r="K79" s="306" t="s">
        <v>714</v>
      </c>
      <c r="L79" s="311" t="str">
        <f t="shared" si="3"/>
        <v>AH9005</v>
      </c>
      <c r="M79" s="312" t="b">
        <f t="shared" si="5"/>
        <v>0</v>
      </c>
      <c r="N79" s="311" t="str">
        <f t="shared" si="4"/>
        <v/>
      </c>
      <c r="O79" s="3"/>
      <c r="P79" s="3"/>
      <c r="Q79" s="3"/>
      <c r="R79" s="3"/>
      <c r="S79" s="3"/>
      <c r="T79" s="3"/>
      <c r="U79" s="3"/>
      <c r="V79" s="3"/>
      <c r="W79" s="3"/>
    </row>
    <row r="80">
      <c r="A80" s="94" t="str">
        <f>IF(OR(ISBLANK(RAW_APS!A80),ISBLANK(RAW_APS!B80),ISBLANK(RAW_APS!C80)),TRUE,IFERROR(0/0,""))</f>
        <v/>
      </c>
      <c r="B80" s="3"/>
      <c r="C80" s="94" t="str">
        <f>IF(ISBLANK(B80),IFERROR(0/0,""),RAW_APS!A80)</f>
        <v/>
      </c>
      <c r="D80" s="94" t="str">
        <f>IF(ISBLANK(C80),IFERROR(0/0,""), VLOOKUP(C80,preDEL!A$2:AG235,33,FALSE))</f>
        <v/>
      </c>
      <c r="E80" s="3"/>
      <c r="F80" s="129"/>
      <c r="G80" s="306"/>
      <c r="H80" s="309" t="str">
        <f t="shared" si="1"/>
        <v/>
      </c>
      <c r="I80" s="112" t="str">
        <f>CONCATENATE(UPPER(RAW_APS!$A81),"__",RAW_APS!$B81,"_",RAW_APS!$C81)</f>
        <v>AG1608__44718_0.156921296296296</v>
      </c>
      <c r="J80" s="310" t="str">
        <f t="shared" si="2"/>
        <v/>
      </c>
      <c r="K80" s="306" t="s">
        <v>715</v>
      </c>
      <c r="L80" s="311" t="str">
        <f t="shared" si="3"/>
        <v>AH9070</v>
      </c>
      <c r="M80" s="312" t="b">
        <f t="shared" si="5"/>
        <v>0</v>
      </c>
      <c r="N80" s="311" t="str">
        <f t="shared" si="4"/>
        <v/>
      </c>
      <c r="O80" s="3"/>
      <c r="P80" s="3"/>
      <c r="Q80" s="3"/>
      <c r="R80" s="3"/>
      <c r="S80" s="3"/>
      <c r="T80" s="3"/>
      <c r="U80" s="3"/>
      <c r="V80" s="3"/>
      <c r="W80" s="3"/>
    </row>
    <row r="81">
      <c r="A81" s="94" t="str">
        <f>IF(OR(ISBLANK(RAW_APS!A81),ISBLANK(RAW_APS!B81),ISBLANK(RAW_APS!C81)),TRUE,IFERROR(0/0,""))</f>
        <v/>
      </c>
      <c r="B81" s="3"/>
      <c r="C81" s="94" t="str">
        <f>IF(ISBLANK(B81),IFERROR(0/0,""),RAW_APS!A81)</f>
        <v/>
      </c>
      <c r="D81" s="94" t="str">
        <f>IF(ISBLANK(C81),IFERROR(0/0,""), VLOOKUP(C81,preDEL!A$2:AG235,33,FALSE))</f>
        <v/>
      </c>
      <c r="E81" s="3"/>
      <c r="F81" s="129"/>
      <c r="G81" s="306"/>
      <c r="H81" s="309" t="str">
        <f t="shared" si="1"/>
        <v/>
      </c>
      <c r="I81" s="112" t="str">
        <f>CONCATENATE(UPPER(RAW_APS!$A82),"__",RAW_APS!$B82,"_",RAW_APS!$C82)</f>
        <v>AH6948__44713_0.838657407407408</v>
      </c>
      <c r="J81" s="310" t="str">
        <f t="shared" si="2"/>
        <v/>
      </c>
      <c r="K81" s="306" t="s">
        <v>716</v>
      </c>
      <c r="L81" s="311" t="str">
        <f t="shared" si="3"/>
        <v>AH9504</v>
      </c>
      <c r="M81" s="312" t="b">
        <f t="shared" si="5"/>
        <v>0</v>
      </c>
      <c r="N81" s="311" t="str">
        <f t="shared" si="4"/>
        <v/>
      </c>
      <c r="O81" s="3"/>
      <c r="P81" s="3"/>
      <c r="Q81" s="3"/>
      <c r="R81" s="3"/>
      <c r="S81" s="3"/>
      <c r="T81" s="3"/>
      <c r="U81" s="3"/>
      <c r="V81" s="3"/>
      <c r="W81" s="3"/>
    </row>
    <row r="82">
      <c r="A82" s="94" t="str">
        <f>IF(OR(ISBLANK(RAW_APS!A82),ISBLANK(RAW_APS!B82),ISBLANK(RAW_APS!C82)),TRUE,IFERROR(0/0,""))</f>
        <v/>
      </c>
      <c r="B82" s="3"/>
      <c r="C82" s="94" t="str">
        <f>IF(ISBLANK(B82),IFERROR(0/0,""),RAW_APS!A82)</f>
        <v/>
      </c>
      <c r="D82" s="94" t="str">
        <f>IF(ISBLANK(C82),IFERROR(0/0,""), VLOOKUP(C82,preDEL!A$2:AG235,33,FALSE))</f>
        <v/>
      </c>
      <c r="E82" s="3"/>
      <c r="F82" s="129"/>
      <c r="G82" s="306"/>
      <c r="H82" s="309" t="str">
        <f t="shared" si="1"/>
        <v/>
      </c>
      <c r="I82" s="112" t="str">
        <f>CONCATENATE(UPPER(RAW_APS!$A83),"__",RAW_APS!$B83,"_",RAW_APS!$C83)</f>
        <v>AH6948__44713_0.838657407407408</v>
      </c>
      <c r="J82" s="310" t="str">
        <f t="shared" si="2"/>
        <v/>
      </c>
      <c r="K82" s="306" t="s">
        <v>717</v>
      </c>
      <c r="L82" s="311" t="str">
        <f t="shared" si="3"/>
        <v>AH9625</v>
      </c>
      <c r="M82" s="312" t="b">
        <f t="shared" si="5"/>
        <v>0</v>
      </c>
      <c r="N82" s="311" t="str">
        <f t="shared" si="4"/>
        <v/>
      </c>
      <c r="O82" s="3"/>
      <c r="P82" s="3"/>
      <c r="Q82" s="3"/>
      <c r="R82" s="3"/>
      <c r="S82" s="3"/>
      <c r="T82" s="3"/>
      <c r="U82" s="3"/>
      <c r="V82" s="3"/>
      <c r="W82" s="3"/>
    </row>
    <row r="83">
      <c r="A83" s="94" t="str">
        <f>IF(OR(ISBLANK(RAW_APS!A83),ISBLANK(RAW_APS!B83),ISBLANK(RAW_APS!C83)),TRUE,IFERROR(0/0,""))</f>
        <v/>
      </c>
      <c r="B83" s="3"/>
      <c r="C83" s="94" t="str">
        <f>IF(ISBLANK(B83),IFERROR(0/0,""),RAW_APS!A83)</f>
        <v/>
      </c>
      <c r="D83" s="94" t="str">
        <f>IF(ISBLANK(C83),IFERROR(0/0,""), VLOOKUP(C83,preDEL!A$2:AG235,33,FALSE))</f>
        <v/>
      </c>
      <c r="E83" s="3"/>
      <c r="F83" s="129"/>
      <c r="G83" s="306"/>
      <c r="H83" s="309" t="str">
        <f t="shared" si="1"/>
        <v/>
      </c>
      <c r="I83" s="112" t="str">
        <f>CONCATENATE(UPPER(RAW_APS!$A84),"__",RAW_APS!$B84,"_",RAW_APS!$C84)</f>
        <v>AH6948__44713_0.838657407407408</v>
      </c>
      <c r="J83" s="310" t="str">
        <f t="shared" si="2"/>
        <v/>
      </c>
      <c r="K83" s="306" t="s">
        <v>718</v>
      </c>
      <c r="L83" s="311" t="str">
        <f t="shared" si="3"/>
        <v>AH9644</v>
      </c>
      <c r="M83" s="312" t="b">
        <f t="shared" si="5"/>
        <v>0</v>
      </c>
      <c r="N83" s="311" t="str">
        <f t="shared" si="4"/>
        <v/>
      </c>
      <c r="O83" s="3"/>
      <c r="P83" s="3"/>
      <c r="Q83" s="3"/>
      <c r="R83" s="3"/>
      <c r="S83" s="3"/>
      <c r="T83" s="3"/>
      <c r="U83" s="3"/>
      <c r="V83" s="3"/>
      <c r="W83" s="3"/>
    </row>
    <row r="84">
      <c r="A84" s="94" t="str">
        <f>IF(OR(ISBLANK(RAW_APS!A84),ISBLANK(RAW_APS!B84),ISBLANK(RAW_APS!C84)),TRUE,IFERROR(0/0,""))</f>
        <v/>
      </c>
      <c r="B84" s="3"/>
      <c r="C84" s="94" t="str">
        <f>IF(ISBLANK(B84),IFERROR(0/0,""),RAW_APS!A84)</f>
        <v/>
      </c>
      <c r="D84" s="94" t="str">
        <f>IF(ISBLANK(C84),IFERROR(0/0,""), VLOOKUP(C84,preDEL!A$2:AG235,33,FALSE))</f>
        <v/>
      </c>
      <c r="E84" s="3"/>
      <c r="F84" s="129"/>
      <c r="G84" s="306"/>
      <c r="H84" s="309" t="str">
        <f t="shared" si="1"/>
        <v/>
      </c>
      <c r="I84" s="112" t="str">
        <f>CONCATENATE(UPPER(RAW_APS!$A85),"__",RAW_APS!$B85,"_",RAW_APS!$C85)</f>
        <v>AG256__44713_0.272789351851852</v>
      </c>
      <c r="J84" s="310" t="str">
        <f t="shared" si="2"/>
        <v/>
      </c>
      <c r="K84" s="306" t="s">
        <v>719</v>
      </c>
      <c r="L84" s="311" t="str">
        <f t="shared" si="3"/>
        <v>AH9668</v>
      </c>
      <c r="M84" s="312" t="b">
        <f t="shared" si="5"/>
        <v>0</v>
      </c>
      <c r="N84" s="311" t="str">
        <f t="shared" si="4"/>
        <v/>
      </c>
      <c r="O84" s="3"/>
      <c r="P84" s="3"/>
      <c r="Q84" s="3"/>
      <c r="R84" s="3"/>
      <c r="S84" s="3"/>
      <c r="T84" s="3"/>
      <c r="U84" s="3"/>
      <c r="V84" s="3"/>
      <c r="W84" s="3"/>
    </row>
    <row r="85">
      <c r="A85" s="94" t="str">
        <f>IF(OR(ISBLANK(RAW_APS!A85),ISBLANK(RAW_APS!B85),ISBLANK(RAW_APS!C85)),TRUE,IFERROR(0/0,""))</f>
        <v/>
      </c>
      <c r="B85" s="3"/>
      <c r="C85" s="94" t="str">
        <f>IF(ISBLANK(B85),IFERROR(0/0,""),RAW_APS!A85)</f>
        <v/>
      </c>
      <c r="D85" s="94" t="str">
        <f>IF(ISBLANK(C85),IFERROR(0/0,""), VLOOKUP(C85,preDEL!A$2:AG235,33,FALSE))</f>
        <v/>
      </c>
      <c r="E85" s="3"/>
      <c r="F85" s="129"/>
      <c r="G85" s="306"/>
      <c r="H85" s="309" t="str">
        <f t="shared" si="1"/>
        <v/>
      </c>
      <c r="I85" s="112" t="str">
        <f>CONCATENATE(UPPER(RAW_APS!$A86),"__",RAW_APS!$B86,"_",RAW_APS!$C86)</f>
        <v>AH9625__44713_0.251759259259259</v>
      </c>
      <c r="J85" s="310" t="str">
        <f t="shared" si="2"/>
        <v/>
      </c>
      <c r="K85" s="306" t="s">
        <v>720</v>
      </c>
      <c r="L85" s="311" t="str">
        <f t="shared" si="3"/>
        <v>AH9741</v>
      </c>
      <c r="M85" s="312" t="b">
        <f t="shared" si="5"/>
        <v>0</v>
      </c>
      <c r="N85" s="311" t="str">
        <f t="shared" si="4"/>
        <v/>
      </c>
      <c r="O85" s="3"/>
      <c r="P85" s="3"/>
      <c r="Q85" s="3"/>
      <c r="R85" s="3"/>
      <c r="S85" s="3"/>
      <c r="T85" s="3"/>
      <c r="U85" s="3"/>
      <c r="V85" s="3"/>
      <c r="W85" s="3"/>
    </row>
    <row r="86">
      <c r="A86" s="94" t="str">
        <f>IF(OR(ISBLANK(RAW_APS!A86),ISBLANK(RAW_APS!B86),ISBLANK(RAW_APS!C86)),TRUE,IFERROR(0/0,""))</f>
        <v/>
      </c>
      <c r="B86" s="3"/>
      <c r="C86" s="94" t="str">
        <f>IF(ISBLANK(B86),IFERROR(0/0,""),RAW_APS!A86)</f>
        <v/>
      </c>
      <c r="D86" s="94" t="str">
        <f>IF(ISBLANK(C86),IFERROR(0/0,""), VLOOKUP(C86,preDEL!A$2:AG235,33,FALSE))</f>
        <v/>
      </c>
      <c r="E86" s="3"/>
      <c r="F86" s="129"/>
      <c r="G86" s="306"/>
      <c r="H86" s="309" t="str">
        <f t="shared" si="1"/>
        <v/>
      </c>
      <c r="I86" s="112" t="str">
        <f>CONCATENATE(UPPER(RAW_APS!$A87),"__",RAW_APS!$B87,"_",RAW_APS!$C87)</f>
        <v>AG2246__44713_0.208599537037037</v>
      </c>
      <c r="J86" s="310" t="str">
        <f t="shared" si="2"/>
        <v/>
      </c>
      <c r="K86" s="306" t="s">
        <v>721</v>
      </c>
      <c r="L86" s="311" t="str">
        <f t="shared" si="3"/>
        <v>AJ5950</v>
      </c>
      <c r="M86" s="312" t="b">
        <f t="shared" si="5"/>
        <v>0</v>
      </c>
      <c r="N86" s="311" t="str">
        <f t="shared" si="4"/>
        <v/>
      </c>
      <c r="O86" s="3"/>
      <c r="P86" s="3"/>
      <c r="Q86" s="3"/>
      <c r="R86" s="3"/>
      <c r="S86" s="3"/>
      <c r="T86" s="3"/>
      <c r="U86" s="3"/>
      <c r="V86" s="3"/>
      <c r="W86" s="3"/>
    </row>
    <row r="87">
      <c r="A87" s="94" t="str">
        <f>IF(OR(ISBLANK(RAW_APS!A87),ISBLANK(RAW_APS!B87),ISBLANK(RAW_APS!C87)),TRUE,IFERROR(0/0,""))</f>
        <v/>
      </c>
      <c r="B87" s="3"/>
      <c r="C87" s="94" t="str">
        <f>IF(ISBLANK(B87),IFERROR(0/0,""),RAW_APS!A87)</f>
        <v/>
      </c>
      <c r="D87" s="94" t="str">
        <f>IF(ISBLANK(C87),IFERROR(0/0,""), VLOOKUP(C87,preDEL!A$2:AG235,33,FALSE))</f>
        <v/>
      </c>
      <c r="E87" s="3"/>
      <c r="F87" s="129"/>
      <c r="G87" s="306"/>
      <c r="H87" s="309" t="str">
        <f t="shared" si="1"/>
        <v/>
      </c>
      <c r="I87" s="112" t="str">
        <f>CONCATENATE(UPPER(RAW_APS!$A88),"__",RAW_APS!$B88,"_",RAW_APS!$C88)</f>
        <v>AG2246__44713_0.208599537037037</v>
      </c>
      <c r="J87" s="310" t="str">
        <f t="shared" si="2"/>
        <v/>
      </c>
      <c r="K87" s="306" t="s">
        <v>722</v>
      </c>
      <c r="L87" s="311" t="str">
        <f t="shared" si="3"/>
        <v>AJ7985</v>
      </c>
      <c r="M87" s="312" t="b">
        <f t="shared" si="5"/>
        <v>0</v>
      </c>
      <c r="N87" s="311" t="str">
        <f t="shared" si="4"/>
        <v/>
      </c>
      <c r="O87" s="3"/>
      <c r="P87" s="3"/>
      <c r="Q87" s="3"/>
      <c r="R87" s="3"/>
      <c r="S87" s="3"/>
      <c r="T87" s="3"/>
      <c r="U87" s="3"/>
      <c r="V87" s="3"/>
      <c r="W87" s="3"/>
    </row>
    <row r="88">
      <c r="A88" s="94" t="str">
        <f>IF(OR(ISBLANK(RAW_APS!A88),ISBLANK(RAW_APS!B88),ISBLANK(RAW_APS!C88)),TRUE,IFERROR(0/0,""))</f>
        <v/>
      </c>
      <c r="B88" s="3"/>
      <c r="C88" s="94" t="str">
        <f>IF(ISBLANK(B88),IFERROR(0/0,""),RAW_APS!A88)</f>
        <v/>
      </c>
      <c r="D88" s="94" t="str">
        <f>IF(ISBLANK(C88),IFERROR(0/0,""), VLOOKUP(C88,preDEL!A$2:AG235,33,FALSE))</f>
        <v/>
      </c>
      <c r="E88" s="3"/>
      <c r="F88" s="129"/>
      <c r="G88" s="306"/>
      <c r="H88" s="309" t="str">
        <f t="shared" si="1"/>
        <v/>
      </c>
      <c r="I88" s="112" t="str">
        <f>CONCATENATE(UPPER(RAW_APS!$A89),"__",RAW_APS!$B89,"_",RAW_APS!$C89)</f>
        <v>AG2246__44713_0.208599537037037</v>
      </c>
      <c r="J88" s="310" t="str">
        <f t="shared" si="2"/>
        <v/>
      </c>
      <c r="K88" s="306" t="s">
        <v>723</v>
      </c>
      <c r="L88" s="311" t="str">
        <f t="shared" si="3"/>
        <v>AJ8368</v>
      </c>
      <c r="M88" s="312" t="b">
        <f t="shared" si="5"/>
        <v>0</v>
      </c>
      <c r="N88" s="311" t="str">
        <f t="shared" si="4"/>
        <v/>
      </c>
      <c r="O88" s="3"/>
      <c r="P88" s="3"/>
      <c r="Q88" s="3"/>
      <c r="R88" s="3"/>
      <c r="S88" s="3"/>
      <c r="T88" s="3"/>
      <c r="U88" s="3"/>
      <c r="V88" s="3"/>
      <c r="W88" s="3"/>
    </row>
    <row r="89">
      <c r="A89" s="94" t="str">
        <f>IF(OR(ISBLANK(RAW_APS!A89),ISBLANK(RAW_APS!B89),ISBLANK(RAW_APS!C89)),TRUE,IFERROR(0/0,""))</f>
        <v/>
      </c>
      <c r="B89" s="3"/>
      <c r="C89" s="94" t="str">
        <f>IF(ISBLANK(B89),IFERROR(0/0,""),RAW_APS!A89)</f>
        <v/>
      </c>
      <c r="D89" s="94" t="str">
        <f>IF(ISBLANK(C89),IFERROR(0/0,""), VLOOKUP(C89,preDEL!A$2:AG235,33,FALSE))</f>
        <v/>
      </c>
      <c r="E89" s="3"/>
      <c r="F89" s="129"/>
      <c r="G89" s="306"/>
      <c r="H89" s="309" t="str">
        <f t="shared" si="1"/>
        <v/>
      </c>
      <c r="I89" s="112" t="str">
        <f>CONCATENATE(UPPER(RAW_APS!$A90),"__",RAW_APS!$B90,"_",RAW_APS!$C90)</f>
        <v>AH8860__44713_0.2053125</v>
      </c>
      <c r="J89" s="310" t="str">
        <f t="shared" si="2"/>
        <v/>
      </c>
      <c r="K89" s="306" t="s">
        <v>724</v>
      </c>
      <c r="L89" s="311" t="str">
        <f t="shared" si="3"/>
        <v>AJ8392</v>
      </c>
      <c r="M89" s="312" t="b">
        <f t="shared" si="5"/>
        <v>0</v>
      </c>
      <c r="N89" s="311" t="str">
        <f t="shared" si="4"/>
        <v/>
      </c>
      <c r="O89" s="3"/>
      <c r="P89" s="3"/>
      <c r="Q89" s="3"/>
      <c r="R89" s="3"/>
      <c r="S89" s="3"/>
      <c r="T89" s="3"/>
      <c r="U89" s="3"/>
      <c r="V89" s="3"/>
      <c r="W89" s="3"/>
    </row>
    <row r="90">
      <c r="A90" s="94" t="str">
        <f>IF(OR(ISBLANK(RAW_APS!A90),ISBLANK(RAW_APS!B90),ISBLANK(RAW_APS!C90)),TRUE,IFERROR(0/0,""))</f>
        <v/>
      </c>
      <c r="B90" s="3"/>
      <c r="C90" s="94" t="str">
        <f>IF(ISBLANK(B90),IFERROR(0/0,""),RAW_APS!A90)</f>
        <v/>
      </c>
      <c r="D90" s="94" t="str">
        <f>IF(ISBLANK(C90),IFERROR(0/0,""), VLOOKUP(C90,preDEL!A$2:AG235,33,FALSE))</f>
        <v/>
      </c>
      <c r="E90" s="3"/>
      <c r="F90" s="129"/>
      <c r="G90" s="306"/>
      <c r="H90" s="309" t="str">
        <f t="shared" si="1"/>
        <v/>
      </c>
      <c r="I90" s="112" t="str">
        <f>CONCATENATE(UPPER(RAW_APS!$A91),"__",RAW_APS!$B91,"_",RAW_APS!$C91)</f>
        <v>AH8860__44713_0.2053125</v>
      </c>
      <c r="J90" s="310" t="str">
        <f t="shared" si="2"/>
        <v/>
      </c>
      <c r="K90" s="306" t="s">
        <v>725</v>
      </c>
      <c r="L90" s="311" t="str">
        <f t="shared" si="3"/>
        <v>AJ8406</v>
      </c>
      <c r="M90" s="312" t="b">
        <f t="shared" si="5"/>
        <v>0</v>
      </c>
      <c r="N90" s="311" t="str">
        <f t="shared" si="4"/>
        <v/>
      </c>
      <c r="O90" s="3"/>
      <c r="P90" s="3"/>
      <c r="Q90" s="3"/>
      <c r="R90" s="3"/>
      <c r="S90" s="3"/>
      <c r="T90" s="3"/>
      <c r="U90" s="3"/>
      <c r="V90" s="3"/>
      <c r="W90" s="3"/>
    </row>
    <row r="91">
      <c r="A91" s="94" t="str">
        <f>IF(OR(ISBLANK(RAW_APS!A91),ISBLANK(RAW_APS!B91),ISBLANK(RAW_APS!C91)),TRUE,IFERROR(0/0,""))</f>
        <v/>
      </c>
      <c r="B91" s="3"/>
      <c r="C91" s="94" t="str">
        <f>IF(ISBLANK(B91),IFERROR(0/0,""),RAW_APS!A91)</f>
        <v/>
      </c>
      <c r="D91" s="94" t="str">
        <f>IF(ISBLANK(C91),IFERROR(0/0,""), VLOOKUP(C91,preDEL!A$2:AG235,33,FALSE))</f>
        <v/>
      </c>
      <c r="E91" s="3"/>
      <c r="F91" s="129"/>
      <c r="G91" s="306"/>
      <c r="H91" s="309" t="str">
        <f t="shared" si="1"/>
        <v/>
      </c>
      <c r="I91" s="112" t="str">
        <f>CONCATENATE(UPPER(RAW_APS!$A92),"__",RAW_APS!$B92,"_",RAW_APS!$C92)</f>
        <v>AH6875__44713_0.203969907407407</v>
      </c>
      <c r="J91" s="310" t="str">
        <f t="shared" si="2"/>
        <v/>
      </c>
      <c r="K91" s="306" t="s">
        <v>726</v>
      </c>
      <c r="L91" s="311" t="str">
        <f t="shared" si="3"/>
        <v>AJ8556</v>
      </c>
      <c r="M91" s="312" t="b">
        <f t="shared" si="5"/>
        <v>0</v>
      </c>
      <c r="N91" s="311" t="str">
        <f t="shared" si="4"/>
        <v/>
      </c>
      <c r="O91" s="3"/>
      <c r="P91" s="3"/>
      <c r="Q91" s="3"/>
      <c r="R91" s="3"/>
      <c r="S91" s="3"/>
      <c r="T91" s="3"/>
      <c r="U91" s="3"/>
      <c r="V91" s="3"/>
      <c r="W91" s="3"/>
    </row>
    <row r="92">
      <c r="A92" s="94" t="str">
        <f>IF(OR(ISBLANK(RAW_APS!A92),ISBLANK(RAW_APS!B92),ISBLANK(RAW_APS!C92)),TRUE,IFERROR(0/0,""))</f>
        <v/>
      </c>
      <c r="B92" s="3"/>
      <c r="C92" s="94" t="str">
        <f>IF(ISBLANK(B92),IFERROR(0/0,""),RAW_APS!A92)</f>
        <v/>
      </c>
      <c r="D92" s="94" t="str">
        <f>IF(ISBLANK(C92),IFERROR(0/0,""), VLOOKUP(C92,preDEL!A$2:AG235,33,FALSE))</f>
        <v/>
      </c>
      <c r="E92" s="3"/>
      <c r="F92" s="129"/>
      <c r="G92" s="306"/>
      <c r="H92" s="309" t="str">
        <f t="shared" si="1"/>
        <v/>
      </c>
      <c r="I92" s="112" t="str">
        <f>CONCATENATE(UPPER(RAW_APS!$A93),"__",RAW_APS!$B93,"_",RAW_APS!$C93)</f>
        <v>AH6875__44713_0.203969907407407</v>
      </c>
      <c r="J92" s="310" t="str">
        <f t="shared" si="2"/>
        <v/>
      </c>
      <c r="K92" s="306" t="s">
        <v>727</v>
      </c>
      <c r="L92" s="311" t="str">
        <f t="shared" si="3"/>
        <v>AJ8574</v>
      </c>
      <c r="M92" s="312" t="b">
        <f t="shared" si="5"/>
        <v>0</v>
      </c>
      <c r="N92" s="311" t="str">
        <f t="shared" si="4"/>
        <v/>
      </c>
      <c r="O92" s="3"/>
      <c r="P92" s="3"/>
      <c r="Q92" s="3"/>
      <c r="R92" s="3"/>
      <c r="S92" s="3"/>
      <c r="T92" s="3"/>
      <c r="U92" s="3"/>
      <c r="V92" s="3"/>
      <c r="W92" s="3"/>
    </row>
    <row r="93">
      <c r="A93" s="94" t="str">
        <f>IF(OR(ISBLANK(RAW_APS!A93),ISBLANK(RAW_APS!B93),ISBLANK(RAW_APS!C93)),TRUE,IFERROR(0/0,""))</f>
        <v/>
      </c>
      <c r="B93" s="3"/>
      <c r="C93" s="94" t="str">
        <f>IF(ISBLANK(B93),IFERROR(0/0,""),RAW_APS!A93)</f>
        <v/>
      </c>
      <c r="D93" s="94" t="str">
        <f>IF(ISBLANK(C93),IFERROR(0/0,""), VLOOKUP(C93,preDEL!A$2:AG235,33,FALSE))</f>
        <v/>
      </c>
      <c r="E93" s="3"/>
      <c r="F93" s="129"/>
      <c r="G93" s="306"/>
      <c r="H93" s="309" t="str">
        <f t="shared" si="1"/>
        <v/>
      </c>
      <c r="I93" s="112" t="str">
        <f>CONCATENATE(UPPER(RAW_APS!$A94),"__",RAW_APS!$B94,"_",RAW_APS!$C94)</f>
        <v>AG1821__44713_0.200763888888889</v>
      </c>
      <c r="J93" s="310" t="str">
        <f t="shared" si="2"/>
        <v/>
      </c>
      <c r="K93" s="306" t="s">
        <v>728</v>
      </c>
      <c r="L93" s="311" t="str">
        <f t="shared" si="3"/>
        <v>AJ8592</v>
      </c>
      <c r="M93" s="312" t="b">
        <f t="shared" si="5"/>
        <v>0</v>
      </c>
      <c r="N93" s="311" t="str">
        <f t="shared" si="4"/>
        <v/>
      </c>
      <c r="O93" s="3"/>
      <c r="P93" s="3"/>
      <c r="Q93" s="3"/>
      <c r="R93" s="3"/>
      <c r="S93" s="3"/>
      <c r="T93" s="3"/>
      <c r="U93" s="3"/>
      <c r="V93" s="3"/>
      <c r="W93" s="3"/>
    </row>
    <row r="94">
      <c r="A94" s="94" t="str">
        <f>IF(OR(ISBLANK(RAW_APS!A94),ISBLANK(RAW_APS!B94),ISBLANK(RAW_APS!C94)),TRUE,IFERROR(0/0,""))</f>
        <v/>
      </c>
      <c r="B94" s="3"/>
      <c r="C94" s="94" t="str">
        <f>IF(ISBLANK(B94),IFERROR(0/0,""),RAW_APS!A94)</f>
        <v/>
      </c>
      <c r="D94" s="94" t="str">
        <f>IF(ISBLANK(C94),IFERROR(0/0,""), VLOOKUP(C94,preDEL!A$2:AG235,33,FALSE))</f>
        <v/>
      </c>
      <c r="E94" s="3"/>
      <c r="F94" s="129"/>
      <c r="G94" s="306"/>
      <c r="H94" s="309" t="str">
        <f t="shared" si="1"/>
        <v/>
      </c>
      <c r="I94" s="112" t="str">
        <f>CONCATENATE(UPPER(RAW_APS!$A95),"__",RAW_APS!$B95,"_",RAW_APS!$C95)</f>
        <v>AK6972__44713_0.197638888888889</v>
      </c>
      <c r="J94" s="310" t="str">
        <f t="shared" si="2"/>
        <v/>
      </c>
      <c r="K94" s="306" t="s">
        <v>729</v>
      </c>
      <c r="L94" s="311" t="str">
        <f t="shared" si="3"/>
        <v>AJ8977</v>
      </c>
      <c r="M94" s="312" t="b">
        <f t="shared" si="5"/>
        <v>0</v>
      </c>
      <c r="N94" s="311" t="str">
        <f t="shared" si="4"/>
        <v/>
      </c>
      <c r="O94" s="3"/>
      <c r="P94" s="3"/>
      <c r="Q94" s="3"/>
      <c r="R94" s="3"/>
      <c r="S94" s="3"/>
      <c r="T94" s="3"/>
      <c r="U94" s="3"/>
      <c r="V94" s="3"/>
      <c r="W94" s="3"/>
    </row>
    <row r="95">
      <c r="A95" s="94" t="str">
        <f>IF(OR(ISBLANK(RAW_APS!A95),ISBLANK(RAW_APS!B95),ISBLANK(RAW_APS!C95)),TRUE,IFERROR(0/0,""))</f>
        <v/>
      </c>
      <c r="B95" s="3"/>
      <c r="C95" s="94" t="str">
        <f>IF(ISBLANK(B95),IFERROR(0/0,""),RAW_APS!A95)</f>
        <v/>
      </c>
      <c r="D95" s="94" t="str">
        <f>IF(ISBLANK(C95),IFERROR(0/0,""), VLOOKUP(C95,preDEL!A$2:AG235,33,FALSE))</f>
        <v/>
      </c>
      <c r="E95" s="3"/>
      <c r="F95" s="129"/>
      <c r="G95" s="306"/>
      <c r="H95" s="309" t="str">
        <f t="shared" si="1"/>
        <v/>
      </c>
      <c r="I95" s="112" t="str">
        <f>CONCATENATE(UPPER(RAW_APS!$A96),"__",RAW_APS!$B96,"_",RAW_APS!$C96)</f>
        <v>AK6972__44713_0.197638888888889</v>
      </c>
      <c r="J95" s="310" t="str">
        <f t="shared" si="2"/>
        <v/>
      </c>
      <c r="K95" s="306" t="s">
        <v>730</v>
      </c>
      <c r="L95" s="311" t="str">
        <f t="shared" si="3"/>
        <v>AJ9077</v>
      </c>
      <c r="M95" s="312" t="b">
        <f t="shared" si="5"/>
        <v>0</v>
      </c>
      <c r="N95" s="311" t="str">
        <f t="shared" si="4"/>
        <v/>
      </c>
      <c r="O95" s="3"/>
      <c r="P95" s="3"/>
      <c r="Q95" s="3"/>
      <c r="R95" s="3"/>
      <c r="S95" s="3"/>
      <c r="T95" s="3"/>
      <c r="U95" s="3"/>
      <c r="V95" s="3"/>
      <c r="W95" s="3"/>
    </row>
    <row r="96">
      <c r="A96" s="94" t="str">
        <f>IF(OR(ISBLANK(RAW_APS!A96),ISBLANK(RAW_APS!B96),ISBLANK(RAW_APS!C96)),TRUE,IFERROR(0/0,""))</f>
        <v/>
      </c>
      <c r="B96" s="3"/>
      <c r="C96" s="94" t="str">
        <f>IF(ISBLANK(B96),IFERROR(0/0,""),RAW_APS!A96)</f>
        <v/>
      </c>
      <c r="D96" s="94" t="str">
        <f>IF(ISBLANK(C96),IFERROR(0/0,""), VLOOKUP(C96,preDEL!A$2:AG235,33,FALSE))</f>
        <v/>
      </c>
      <c r="E96" s="3"/>
      <c r="F96" s="129"/>
      <c r="G96" s="306"/>
      <c r="H96" s="309" t="str">
        <f t="shared" si="1"/>
        <v/>
      </c>
      <c r="I96" s="112" t="str">
        <f>CONCATENATE(UPPER(RAW_APS!$A97),"__",RAW_APS!$B97,"_",RAW_APS!$C97)</f>
        <v>AK6972__44713_0.197638888888889</v>
      </c>
      <c r="J96" s="310" t="str">
        <f t="shared" si="2"/>
        <v/>
      </c>
      <c r="K96" s="306" t="s">
        <v>731</v>
      </c>
      <c r="L96" s="311" t="str">
        <f t="shared" si="3"/>
        <v>AJ9095</v>
      </c>
      <c r="M96" s="312" t="b">
        <f t="shared" si="5"/>
        <v>0</v>
      </c>
      <c r="N96" s="311" t="str">
        <f t="shared" si="4"/>
        <v/>
      </c>
      <c r="O96" s="3"/>
      <c r="P96" s="3"/>
      <c r="Q96" s="3"/>
      <c r="R96" s="3"/>
      <c r="S96" s="3"/>
      <c r="T96" s="3"/>
      <c r="U96" s="3"/>
      <c r="V96" s="3"/>
      <c r="W96" s="3"/>
    </row>
    <row r="97">
      <c r="A97" s="94" t="str">
        <f>IF(OR(ISBLANK(RAW_APS!A97),ISBLANK(RAW_APS!B97),ISBLANK(RAW_APS!C97)),TRUE,IFERROR(0/0,""))</f>
        <v/>
      </c>
      <c r="B97" s="3"/>
      <c r="C97" s="94" t="str">
        <f>IF(ISBLANK(B97),IFERROR(0/0,""),RAW_APS!A97)</f>
        <v/>
      </c>
      <c r="D97" s="94" t="str">
        <f>IF(ISBLANK(C97),IFERROR(0/0,""), VLOOKUP(C97,preDEL!A$2:AG235,33,FALSE))</f>
        <v/>
      </c>
      <c r="E97" s="3"/>
      <c r="F97" s="129"/>
      <c r="G97" s="306"/>
      <c r="H97" s="309" t="str">
        <f t="shared" si="1"/>
        <v/>
      </c>
      <c r="I97" s="112" t="str">
        <f>CONCATENATE(UPPER(RAW_APS!$A98),"__",RAW_APS!$B98,"_",RAW_APS!$C98)</f>
        <v>AK6972__44713_0.197638888888889</v>
      </c>
      <c r="J97" s="310" t="str">
        <f t="shared" si="2"/>
        <v/>
      </c>
      <c r="K97" s="306" t="s">
        <v>732</v>
      </c>
      <c r="L97" s="311" t="str">
        <f t="shared" si="3"/>
        <v>AJ9193</v>
      </c>
      <c r="M97" s="312" t="b">
        <f t="shared" si="5"/>
        <v>0</v>
      </c>
      <c r="N97" s="311" t="str">
        <f t="shared" si="4"/>
        <v/>
      </c>
      <c r="O97" s="3"/>
      <c r="P97" s="3"/>
      <c r="Q97" s="3"/>
      <c r="R97" s="3"/>
      <c r="S97" s="3"/>
      <c r="T97" s="3"/>
      <c r="U97" s="3"/>
      <c r="V97" s="3"/>
      <c r="W97" s="3"/>
    </row>
    <row r="98">
      <c r="A98" s="94" t="str">
        <f>IF(OR(ISBLANK(RAW_APS!A98),ISBLANK(RAW_APS!B98),ISBLANK(RAW_APS!C98)),TRUE,IFERROR(0/0,""))</f>
        <v/>
      </c>
      <c r="B98" s="3"/>
      <c r="C98" s="94" t="str">
        <f>IF(ISBLANK(B98),IFERROR(0/0,""),RAW_APS!A98)</f>
        <v/>
      </c>
      <c r="D98" s="94" t="str">
        <f>IF(ISBLANK(C98),IFERROR(0/0,""), VLOOKUP(C98,preDEL!A$2:AG235,33,FALSE))</f>
        <v/>
      </c>
      <c r="E98" s="3"/>
      <c r="F98" s="129"/>
      <c r="G98" s="306"/>
      <c r="H98" s="309" t="str">
        <f t="shared" si="1"/>
        <v/>
      </c>
      <c r="I98" s="112" t="str">
        <f>CONCATENATE(UPPER(RAW_APS!$A99),"__",RAW_APS!$B99,"_",RAW_APS!$C99)</f>
        <v>AH7650__44713_0.196666666666667</v>
      </c>
      <c r="J98" s="310" t="str">
        <f t="shared" si="2"/>
        <v/>
      </c>
      <c r="K98" s="306" t="s">
        <v>733</v>
      </c>
      <c r="L98" s="311" t="str">
        <f t="shared" si="3"/>
        <v>AJ9417</v>
      </c>
      <c r="M98" s="312" t="b">
        <f t="shared" si="5"/>
        <v>0</v>
      </c>
      <c r="N98" s="311" t="str">
        <f t="shared" si="4"/>
        <v/>
      </c>
      <c r="O98" s="3"/>
      <c r="P98" s="3"/>
      <c r="Q98" s="3"/>
      <c r="R98" s="3"/>
      <c r="S98" s="3"/>
      <c r="T98" s="3"/>
      <c r="U98" s="3"/>
      <c r="V98" s="3"/>
      <c r="W98" s="3"/>
    </row>
    <row r="99">
      <c r="A99" s="94" t="str">
        <f>IF(OR(ISBLANK(RAW_APS!A99),ISBLANK(RAW_APS!B99),ISBLANK(RAW_APS!C99)),TRUE,IFERROR(0/0,""))</f>
        <v/>
      </c>
      <c r="B99" s="3"/>
      <c r="C99" s="94" t="str">
        <f>IF(ISBLANK(B99),IFERROR(0/0,""),RAW_APS!A99)</f>
        <v/>
      </c>
      <c r="D99" s="94" t="str">
        <f>IF(ISBLANK(C99),IFERROR(0/0,""), VLOOKUP(C99,preDEL!A$2:AG235,33,FALSE))</f>
        <v/>
      </c>
      <c r="E99" s="3"/>
      <c r="F99" s="129"/>
      <c r="G99" s="306"/>
      <c r="H99" s="309" t="str">
        <f t="shared" si="1"/>
        <v/>
      </c>
      <c r="I99" s="112" t="str">
        <f>CONCATENATE(UPPER(RAW_APS!$A100),"__",RAW_APS!$B100,"_",RAW_APS!$C100)</f>
        <v>AH7650__44713_0.196666666666667</v>
      </c>
      <c r="J99" s="310" t="str">
        <f t="shared" si="2"/>
        <v/>
      </c>
      <c r="K99" s="306" t="s">
        <v>734</v>
      </c>
      <c r="L99" s="311" t="str">
        <f t="shared" si="3"/>
        <v>AJ9453</v>
      </c>
      <c r="M99" s="312" t="b">
        <f t="shared" si="5"/>
        <v>0</v>
      </c>
      <c r="N99" s="311" t="str">
        <f t="shared" si="4"/>
        <v/>
      </c>
      <c r="O99" s="3"/>
      <c r="P99" s="3"/>
      <c r="Q99" s="3"/>
      <c r="R99" s="3"/>
      <c r="S99" s="3"/>
      <c r="T99" s="3"/>
      <c r="U99" s="3"/>
      <c r="V99" s="3"/>
      <c r="W99" s="3"/>
    </row>
    <row r="100">
      <c r="A100" s="94" t="str">
        <f>IF(OR(ISBLANK(RAW_APS!A100),ISBLANK(RAW_APS!B100),ISBLANK(RAW_APS!C100)),TRUE,IFERROR(0/0,""))</f>
        <v/>
      </c>
      <c r="B100" s="3"/>
      <c r="C100" s="94" t="str">
        <f>IF(ISBLANK(B100),IFERROR(0/0,""),RAW_APS!A100)</f>
        <v/>
      </c>
      <c r="D100" s="94" t="str">
        <f>IF(ISBLANK(C100),IFERROR(0/0,""), VLOOKUP(C100,preDEL!A$2:AG235,33,FALSE))</f>
        <v/>
      </c>
      <c r="E100" s="3"/>
      <c r="F100" s="129"/>
      <c r="G100" s="306"/>
      <c r="H100" s="309" t="str">
        <f t="shared" si="1"/>
        <v/>
      </c>
      <c r="I100" s="112" t="str">
        <f>CONCATENATE(UPPER(RAW_APS!$A101),"__",RAW_APS!$B101,"_",RAW_APS!$C101)</f>
        <v>AH1486__44713_0.183217592592593</v>
      </c>
      <c r="J100" s="310" t="str">
        <f t="shared" si="2"/>
        <v/>
      </c>
      <c r="K100" s="306" t="s">
        <v>735</v>
      </c>
      <c r="L100" s="311" t="str">
        <f t="shared" si="3"/>
        <v>AJ9479</v>
      </c>
      <c r="M100" s="312" t="b">
        <f t="shared" si="5"/>
        <v>0</v>
      </c>
      <c r="N100" s="311" t="str">
        <f t="shared" si="4"/>
        <v/>
      </c>
      <c r="O100" s="3"/>
      <c r="P100" s="3"/>
      <c r="Q100" s="3"/>
      <c r="R100" s="3"/>
      <c r="S100" s="3"/>
      <c r="T100" s="3"/>
      <c r="U100" s="3"/>
      <c r="V100" s="3"/>
      <c r="W100" s="3"/>
    </row>
    <row r="101">
      <c r="A101" s="94" t="str">
        <f>IF(OR(ISBLANK(RAW_APS!A101),ISBLANK(RAW_APS!B101),ISBLANK(RAW_APS!C101)),TRUE,IFERROR(0/0,""))</f>
        <v/>
      </c>
      <c r="B101" s="3"/>
      <c r="C101" s="94" t="str">
        <f>IF(ISBLANK(B101),IFERROR(0/0,""),RAW_APS!A101)</f>
        <v/>
      </c>
      <c r="D101" s="94" t="str">
        <f>IF(ISBLANK(C101),IFERROR(0/0,""), VLOOKUP(C101,preDEL!A$2:AG235,33,FALSE))</f>
        <v/>
      </c>
      <c r="E101" s="3"/>
      <c r="F101" s="129"/>
      <c r="G101" s="306"/>
      <c r="H101" s="309" t="str">
        <f t="shared" si="1"/>
        <v/>
      </c>
      <c r="I101" s="112" t="str">
        <f>CONCATENATE(UPPER(RAW_APS!$A102),"__",RAW_APS!$B102,"_",RAW_APS!$C102)</f>
        <v>AG718__44713_0.179259259259259</v>
      </c>
      <c r="J101" s="310" t="str">
        <f t="shared" si="2"/>
        <v/>
      </c>
      <c r="K101" s="306" t="s">
        <v>736</v>
      </c>
      <c r="L101" s="311" t="str">
        <f t="shared" si="3"/>
        <v>AJ9614</v>
      </c>
      <c r="M101" s="312" t="b">
        <f t="shared" si="5"/>
        <v>0</v>
      </c>
      <c r="N101" s="311" t="str">
        <f t="shared" si="4"/>
        <v/>
      </c>
      <c r="O101" s="3"/>
      <c r="P101" s="3"/>
      <c r="Q101" s="3"/>
      <c r="R101" s="3"/>
      <c r="S101" s="3"/>
      <c r="T101" s="3"/>
      <c r="U101" s="3"/>
      <c r="V101" s="3"/>
      <c r="W101" s="3"/>
    </row>
    <row r="102">
      <c r="A102" s="94" t="str">
        <f>IF(OR(ISBLANK(RAW_APS!A102),ISBLANK(RAW_APS!B102),ISBLANK(RAW_APS!C102)),TRUE,IFERROR(0/0,""))</f>
        <v/>
      </c>
      <c r="B102" s="3"/>
      <c r="C102" s="94" t="str">
        <f>IF(ISBLANK(B102),IFERROR(0/0,""),RAW_APS!A102)</f>
        <v/>
      </c>
      <c r="D102" s="94" t="str">
        <f>IF(ISBLANK(C102),IFERROR(0/0,""), VLOOKUP(C102,preDEL!A$2:AG235,33,FALSE))</f>
        <v/>
      </c>
      <c r="E102" s="3"/>
      <c r="F102" s="129"/>
      <c r="G102" s="306"/>
      <c r="H102" s="309" t="str">
        <f t="shared" si="1"/>
        <v/>
      </c>
      <c r="I102" s="112" t="str">
        <f>CONCATENATE(UPPER(RAW_APS!$A103),"__",RAW_APS!$B103,"_",RAW_APS!$C103)</f>
        <v>AH258__44712_0.792916666666667</v>
      </c>
      <c r="J102" s="310" t="str">
        <f t="shared" si="2"/>
        <v/>
      </c>
      <c r="K102" s="306" t="s">
        <v>737</v>
      </c>
      <c r="L102" s="311" t="str">
        <f t="shared" si="3"/>
        <v>AJ9703</v>
      </c>
      <c r="M102" s="312" t="b">
        <f t="shared" si="5"/>
        <v>0</v>
      </c>
      <c r="N102" s="311" t="str">
        <f t="shared" si="4"/>
        <v/>
      </c>
      <c r="O102" s="3"/>
      <c r="P102" s="3"/>
      <c r="Q102" s="3"/>
      <c r="R102" s="3"/>
      <c r="S102" s="3"/>
      <c r="T102" s="3"/>
      <c r="U102" s="3"/>
      <c r="V102" s="3"/>
      <c r="W102" s="3"/>
    </row>
    <row r="103">
      <c r="A103" s="94" t="str">
        <f>IF(OR(ISBLANK(RAW_APS!A103),ISBLANK(RAW_APS!B103),ISBLANK(RAW_APS!C103)),TRUE,IFERROR(0/0,""))</f>
        <v/>
      </c>
      <c r="B103" s="3"/>
      <c r="C103" s="94" t="str">
        <f>IF(ISBLANK(B103),IFERROR(0/0,""),RAW_APS!A103)</f>
        <v/>
      </c>
      <c r="D103" s="94" t="str">
        <f>IF(ISBLANK(C103),IFERROR(0/0,""), VLOOKUP(C103,preDEL!A$2:AG235,33,FALSE))</f>
        <v/>
      </c>
      <c r="E103" s="3"/>
      <c r="F103" s="129"/>
      <c r="G103" s="306"/>
      <c r="H103" s="309" t="str">
        <f t="shared" si="1"/>
        <v/>
      </c>
      <c r="I103" s="112" t="str">
        <f>CONCATENATE(UPPER(RAW_APS!$A104),"__",RAW_APS!$B104,"_",RAW_APS!$C104)</f>
        <v>AH9070__44712_0.192650462962963</v>
      </c>
      <c r="J103" s="310" t="str">
        <f t="shared" si="2"/>
        <v/>
      </c>
      <c r="K103" s="306" t="s">
        <v>738</v>
      </c>
      <c r="L103" s="311" t="str">
        <f t="shared" si="3"/>
        <v>AJ9836</v>
      </c>
      <c r="M103" s="312" t="b">
        <f t="shared" si="5"/>
        <v>0</v>
      </c>
      <c r="N103" s="311" t="str">
        <f t="shared" si="4"/>
        <v/>
      </c>
      <c r="O103" s="3"/>
      <c r="P103" s="3"/>
      <c r="Q103" s="3"/>
      <c r="R103" s="3"/>
      <c r="S103" s="3"/>
      <c r="T103" s="3"/>
      <c r="U103" s="3"/>
      <c r="V103" s="3"/>
      <c r="W103" s="3"/>
    </row>
    <row r="104">
      <c r="A104" s="94" t="str">
        <f>IF(OR(ISBLANK(RAW_APS!A104),ISBLANK(RAW_APS!B104),ISBLANK(RAW_APS!C104)),TRUE,IFERROR(0/0,""))</f>
        <v/>
      </c>
      <c r="B104" s="3"/>
      <c r="C104" s="94" t="str">
        <f>IF(ISBLANK(B104),IFERROR(0/0,""),RAW_APS!A104)</f>
        <v/>
      </c>
      <c r="D104" s="94" t="str">
        <f>IF(ISBLANK(C104),IFERROR(0/0,""), VLOOKUP(C104,preDEL!A$2:AG235,33,FALSE))</f>
        <v/>
      </c>
      <c r="E104" s="3"/>
      <c r="F104" s="129"/>
      <c r="G104" s="306"/>
      <c r="H104" s="309" t="str">
        <f t="shared" si="1"/>
        <v/>
      </c>
      <c r="I104" s="112" t="str">
        <f>CONCATENATE(UPPER(RAW_APS!$A105),"__",RAW_APS!$B105,"_",RAW_APS!$C105)</f>
        <v>AH9070__44712_0.192650462962963</v>
      </c>
      <c r="J104" s="310" t="str">
        <f t="shared" si="2"/>
        <v/>
      </c>
      <c r="K104" s="306" t="s">
        <v>739</v>
      </c>
      <c r="L104" s="311" t="str">
        <f t="shared" si="3"/>
        <v>AK5211</v>
      </c>
      <c r="M104" s="312" t="b">
        <f t="shared" si="5"/>
        <v>0</v>
      </c>
      <c r="N104" s="311" t="str">
        <f t="shared" si="4"/>
        <v/>
      </c>
      <c r="O104" s="3"/>
      <c r="P104" s="3"/>
      <c r="Q104" s="3"/>
      <c r="R104" s="3"/>
      <c r="S104" s="3"/>
      <c r="T104" s="3"/>
      <c r="U104" s="3"/>
      <c r="V104" s="3"/>
      <c r="W104" s="3"/>
    </row>
    <row r="105">
      <c r="A105" s="94" t="str">
        <f>IF(OR(ISBLANK(RAW_APS!A105),ISBLANK(RAW_APS!B105),ISBLANK(RAW_APS!C105)),TRUE,IFERROR(0/0,""))</f>
        <v/>
      </c>
      <c r="B105" s="3"/>
      <c r="C105" s="94" t="str">
        <f>IF(ISBLANK(B105),IFERROR(0/0,""),RAW_APS!A105)</f>
        <v/>
      </c>
      <c r="D105" s="94" t="str">
        <f>IF(ISBLANK(C105),IFERROR(0/0,""), VLOOKUP(C105,preDEL!A$2:AG235,33,FALSE))</f>
        <v/>
      </c>
      <c r="E105" s="3"/>
      <c r="F105" s="129"/>
      <c r="G105" s="306"/>
      <c r="H105" s="309" t="str">
        <f t="shared" si="1"/>
        <v/>
      </c>
      <c r="I105" s="112" t="str">
        <f>CONCATENATE(UPPER(RAW_APS!$A106),"__",RAW_APS!$B106,"_",RAW_APS!$C106)</f>
        <v>AH9070__44712_0.192650462962963</v>
      </c>
      <c r="J105" s="310" t="str">
        <f t="shared" si="2"/>
        <v/>
      </c>
      <c r="K105" s="306" t="s">
        <v>740</v>
      </c>
      <c r="L105" s="311" t="str">
        <f t="shared" si="3"/>
        <v>AK5401</v>
      </c>
      <c r="M105" s="312" t="b">
        <f t="shared" si="5"/>
        <v>0</v>
      </c>
      <c r="N105" s="311" t="str">
        <f t="shared" si="4"/>
        <v/>
      </c>
      <c r="O105" s="3"/>
      <c r="P105" s="3"/>
      <c r="Q105" s="3"/>
      <c r="R105" s="3"/>
      <c r="S105" s="3"/>
      <c r="T105" s="3"/>
      <c r="U105" s="3"/>
      <c r="V105" s="3"/>
      <c r="W105" s="3"/>
    </row>
    <row r="106">
      <c r="A106" s="94" t="str">
        <f>IF(OR(ISBLANK(RAW_APS!A106),ISBLANK(RAW_APS!B106),ISBLANK(RAW_APS!C106)),TRUE,IFERROR(0/0,""))</f>
        <v/>
      </c>
      <c r="B106" s="3"/>
      <c r="C106" s="94" t="str">
        <f>IF(ISBLANK(B106),IFERROR(0/0,""),RAW_APS!A106)</f>
        <v/>
      </c>
      <c r="D106" s="94" t="str">
        <f>IF(ISBLANK(C106),IFERROR(0/0,""), VLOOKUP(C106,preDEL!A$2:AG235,33,FALSE))</f>
        <v/>
      </c>
      <c r="E106" s="3"/>
      <c r="F106" s="129"/>
      <c r="G106" s="306"/>
      <c r="H106" s="309" t="str">
        <f t="shared" si="1"/>
        <v/>
      </c>
      <c r="I106" s="112" t="str">
        <f>CONCATENATE(UPPER(RAW_APS!$A107),"__",RAW_APS!$B107,"_",RAW_APS!$C107)</f>
        <v>AH9070__44712_0.192650462962963</v>
      </c>
      <c r="J106" s="310" t="str">
        <f t="shared" si="2"/>
        <v/>
      </c>
      <c r="K106" s="306" t="s">
        <v>741</v>
      </c>
      <c r="L106" s="311" t="str">
        <f t="shared" si="3"/>
        <v>AK5816</v>
      </c>
      <c r="M106" s="312" t="b">
        <f t="shared" si="5"/>
        <v>0</v>
      </c>
      <c r="N106" s="311" t="str">
        <f t="shared" si="4"/>
        <v/>
      </c>
      <c r="O106" s="3"/>
      <c r="P106" s="3"/>
      <c r="Q106" s="3"/>
      <c r="R106" s="3"/>
      <c r="S106" s="3"/>
      <c r="T106" s="3"/>
      <c r="U106" s="3"/>
      <c r="V106" s="3"/>
      <c r="W106" s="3"/>
    </row>
    <row r="107">
      <c r="A107" s="94" t="str">
        <f>IF(OR(ISBLANK(RAW_APS!A107),ISBLANK(RAW_APS!B107),ISBLANK(RAW_APS!C107)),TRUE,IFERROR(0/0,""))</f>
        <v/>
      </c>
      <c r="B107" s="3"/>
      <c r="C107" s="94" t="str">
        <f>IF(ISBLANK(B107),IFERROR(0/0,""),RAW_APS!A107)</f>
        <v/>
      </c>
      <c r="D107" s="94" t="str">
        <f>IF(ISBLANK(C107),IFERROR(0/0,""), VLOOKUP(C107,preDEL!A$2:AG235,33,FALSE))</f>
        <v/>
      </c>
      <c r="E107" s="3"/>
      <c r="F107" s="129"/>
      <c r="G107" s="306"/>
      <c r="H107" s="309" t="str">
        <f t="shared" si="1"/>
        <v/>
      </c>
      <c r="I107" s="112" t="str">
        <f>CONCATENATE(UPPER(RAW_APS!$A108),"__",RAW_APS!$B108,"_",RAW_APS!$C108)</f>
        <v>AG663__44712_0.186759259259259</v>
      </c>
      <c r="J107" s="310" t="str">
        <f t="shared" si="2"/>
        <v/>
      </c>
      <c r="K107" s="306" t="s">
        <v>742</v>
      </c>
      <c r="L107" s="311" t="str">
        <f t="shared" si="3"/>
        <v>AK6656</v>
      </c>
      <c r="M107" s="312" t="b">
        <f t="shared" si="5"/>
        <v>0</v>
      </c>
      <c r="N107" s="311" t="str">
        <f t="shared" si="4"/>
        <v/>
      </c>
      <c r="O107" s="3"/>
      <c r="P107" s="3"/>
      <c r="Q107" s="3"/>
      <c r="R107" s="3"/>
      <c r="S107" s="3"/>
      <c r="T107" s="3"/>
      <c r="U107" s="3"/>
      <c r="V107" s="3"/>
      <c r="W107" s="3"/>
    </row>
    <row r="108">
      <c r="A108" s="94" t="str">
        <f>IF(OR(ISBLANK(RAW_APS!A108),ISBLANK(RAW_APS!B108),ISBLANK(RAW_APS!C108)),TRUE,IFERROR(0/0,""))</f>
        <v/>
      </c>
      <c r="B108" s="3"/>
      <c r="C108" s="94" t="str">
        <f>IF(ISBLANK(B108),IFERROR(0/0,""),RAW_APS!A108)</f>
        <v/>
      </c>
      <c r="D108" s="94" t="str">
        <f>IF(ISBLANK(C108),IFERROR(0/0,""), VLOOKUP(C108,preDEL!A$2:AG235,33,FALSE))</f>
        <v/>
      </c>
      <c r="E108" s="3"/>
      <c r="F108" s="129"/>
      <c r="G108" s="306"/>
      <c r="H108" s="309" t="str">
        <f t="shared" si="1"/>
        <v/>
      </c>
      <c r="I108" s="112" t="str">
        <f>CONCATENATE(UPPER(RAW_APS!$A109),"__",RAW_APS!$B109,"_",RAW_APS!$C109)</f>
        <v>AH6802__44704_0.319513888888889</v>
      </c>
      <c r="J108" s="310" t="str">
        <f t="shared" si="2"/>
        <v/>
      </c>
      <c r="K108" s="306" t="s">
        <v>743</v>
      </c>
      <c r="L108" s="311" t="str">
        <f t="shared" si="3"/>
        <v>AK6972</v>
      </c>
      <c r="M108" s="312" t="b">
        <f t="shared" si="5"/>
        <v>0</v>
      </c>
      <c r="N108" s="311" t="str">
        <f t="shared" si="4"/>
        <v/>
      </c>
      <c r="O108" s="3"/>
      <c r="P108" s="3"/>
      <c r="Q108" s="3"/>
      <c r="R108" s="3"/>
      <c r="S108" s="3"/>
      <c r="T108" s="3"/>
      <c r="U108" s="3"/>
      <c r="V108" s="3"/>
      <c r="W108" s="3"/>
    </row>
    <row r="109">
      <c r="A109" s="94" t="str">
        <f>IF(OR(ISBLANK(RAW_APS!A109),ISBLANK(RAW_APS!B109),ISBLANK(RAW_APS!C109)),TRUE,IFERROR(0/0,""))</f>
        <v/>
      </c>
      <c r="B109" s="3"/>
      <c r="C109" s="94" t="str">
        <f>IF(ISBLANK(B109),IFERROR(0/0,""),RAW_APS!A109)</f>
        <v/>
      </c>
      <c r="D109" s="94" t="str">
        <f>IF(ISBLANK(C109),IFERROR(0/0,""), VLOOKUP(C109,preDEL!A$2:AG235,33,FALSE))</f>
        <v/>
      </c>
      <c r="E109" s="3"/>
      <c r="F109" s="129"/>
      <c r="G109" s="306"/>
      <c r="H109" s="309" t="str">
        <f t="shared" si="1"/>
        <v/>
      </c>
      <c r="I109" s="112" t="str">
        <f>CONCATENATE(UPPER(RAW_APS!$A110),"__",RAW_APS!$B110,"_",RAW_APS!$C110)</f>
        <v>AG1828__44704_0.224467592592593</v>
      </c>
      <c r="J109" s="310" t="str">
        <f t="shared" si="2"/>
        <v/>
      </c>
      <c r="K109" s="306" t="s">
        <v>744</v>
      </c>
      <c r="L109" s="311" t="str">
        <f t="shared" si="3"/>
        <v>AK7133</v>
      </c>
      <c r="M109" s="312" t="b">
        <f t="shared" si="5"/>
        <v>0</v>
      </c>
      <c r="N109" s="311" t="str">
        <f t="shared" si="4"/>
        <v/>
      </c>
      <c r="O109" s="3"/>
      <c r="P109" s="3"/>
      <c r="Q109" s="3"/>
      <c r="R109" s="3"/>
      <c r="S109" s="3"/>
      <c r="T109" s="3"/>
      <c r="U109" s="3"/>
      <c r="V109" s="3"/>
      <c r="W109" s="3"/>
    </row>
    <row r="110">
      <c r="A110" s="94" t="str">
        <f>IF(OR(ISBLANK(RAW_APS!A110),ISBLANK(RAW_APS!B110),ISBLANK(RAW_APS!C110)),TRUE,IFERROR(0/0,""))</f>
        <v/>
      </c>
      <c r="B110" s="3"/>
      <c r="C110" s="94" t="str">
        <f>IF(ISBLANK(B110),IFERROR(0/0,""),RAW_APS!A110)</f>
        <v/>
      </c>
      <c r="D110" s="94" t="str">
        <f>IF(ISBLANK(C110),IFERROR(0/0,""), VLOOKUP(C110,preDEL!A$2:AG235,33,FALSE))</f>
        <v/>
      </c>
      <c r="E110" s="3"/>
      <c r="F110" s="129"/>
      <c r="G110" s="306"/>
      <c r="H110" s="309" t="str">
        <f t="shared" si="1"/>
        <v/>
      </c>
      <c r="I110" s="112" t="str">
        <f>CONCATENATE(UPPER(RAW_APS!$A111),"__",RAW_APS!$B111,"_",RAW_APS!$C111)</f>
        <v>AG1828__44704_0.224467592592593</v>
      </c>
      <c r="J110" s="310" t="str">
        <f t="shared" si="2"/>
        <v/>
      </c>
      <c r="K110" s="306" t="s">
        <v>745</v>
      </c>
      <c r="L110" s="311" t="str">
        <f t="shared" si="3"/>
        <v>AK7160</v>
      </c>
      <c r="M110" s="312" t="b">
        <f t="shared" si="5"/>
        <v>0</v>
      </c>
      <c r="N110" s="311" t="str">
        <f t="shared" si="4"/>
        <v/>
      </c>
      <c r="O110" s="3"/>
      <c r="P110" s="3"/>
      <c r="Q110" s="3"/>
      <c r="R110" s="3"/>
      <c r="S110" s="3"/>
      <c r="T110" s="3"/>
      <c r="U110" s="3"/>
      <c r="V110" s="3"/>
      <c r="W110" s="3"/>
    </row>
    <row r="111">
      <c r="A111" s="94" t="str">
        <f>IF(OR(ISBLANK(RAW_APS!A111),ISBLANK(RAW_APS!B111),ISBLANK(RAW_APS!C111)),TRUE,IFERROR(0/0,""))</f>
        <v/>
      </c>
      <c r="B111" s="3"/>
      <c r="C111" s="94" t="str">
        <f>IF(ISBLANK(B111),IFERROR(0/0,""),RAW_APS!A111)</f>
        <v/>
      </c>
      <c r="D111" s="94" t="str">
        <f>IF(ISBLANK(C111),IFERROR(0/0,""), VLOOKUP(C111,preDEL!A$2:AG235,33,FALSE))</f>
        <v/>
      </c>
      <c r="E111" s="3"/>
      <c r="F111" s="129"/>
      <c r="G111" s="306"/>
      <c r="H111" s="309" t="str">
        <f t="shared" si="1"/>
        <v/>
      </c>
      <c r="I111" s="112" t="str">
        <f>CONCATENATE(UPPER(RAW_APS!$A112),"__",RAW_APS!$B112,"_",RAW_APS!$C112)</f>
        <v>AH7289__44704_0.218842592592593</v>
      </c>
      <c r="J111" s="310" t="str">
        <f t="shared" si="2"/>
        <v/>
      </c>
      <c r="K111" s="306" t="s">
        <v>746</v>
      </c>
      <c r="L111" s="311" t="str">
        <f t="shared" si="3"/>
        <v>AK7529</v>
      </c>
      <c r="M111" s="312" t="b">
        <f t="shared" si="5"/>
        <v>0</v>
      </c>
      <c r="N111" s="311" t="str">
        <f t="shared" si="4"/>
        <v/>
      </c>
      <c r="O111" s="3"/>
      <c r="P111" s="3"/>
      <c r="Q111" s="3"/>
      <c r="R111" s="3"/>
      <c r="S111" s="3"/>
      <c r="T111" s="3"/>
      <c r="U111" s="3"/>
      <c r="V111" s="3"/>
      <c r="W111" s="3"/>
    </row>
    <row r="112">
      <c r="A112" s="94" t="str">
        <f>IF(OR(ISBLANK(RAW_APS!A112),ISBLANK(RAW_APS!B112),ISBLANK(RAW_APS!C112)),TRUE,IFERROR(0/0,""))</f>
        <v/>
      </c>
      <c r="B112" s="3"/>
      <c r="C112" s="94" t="str">
        <f>IF(ISBLANK(B112),IFERROR(0/0,""),RAW_APS!A112)</f>
        <v/>
      </c>
      <c r="D112" s="94" t="str">
        <f>IF(ISBLANK(C112),IFERROR(0/0,""), VLOOKUP(C112,preDEL!A$2:AG235,33,FALSE))</f>
        <v/>
      </c>
      <c r="E112" s="3"/>
      <c r="F112" s="129"/>
      <c r="G112" s="306"/>
      <c r="H112" s="309" t="str">
        <f t="shared" si="1"/>
        <v/>
      </c>
      <c r="I112" s="112" t="str">
        <f>CONCATENATE(UPPER(RAW_APS!$A113),"__",RAW_APS!$B113,"_",RAW_APS!$C113)</f>
        <v>AH7289__44704_0.218842592592593</v>
      </c>
      <c r="J112" s="310" t="str">
        <f t="shared" si="2"/>
        <v/>
      </c>
      <c r="K112" s="306" t="s">
        <v>747</v>
      </c>
      <c r="L112" s="311" t="str">
        <f t="shared" si="3"/>
        <v>TEST_04-28-22</v>
      </c>
      <c r="M112" s="312" t="b">
        <f t="shared" si="5"/>
        <v>0</v>
      </c>
      <c r="N112" s="311" t="str">
        <f t="shared" si="4"/>
        <v/>
      </c>
      <c r="O112" s="3"/>
      <c r="P112" s="3"/>
      <c r="Q112" s="3"/>
      <c r="R112" s="3"/>
      <c r="S112" s="3"/>
      <c r="T112" s="3"/>
      <c r="U112" s="3"/>
      <c r="V112" s="3"/>
      <c r="W112" s="3"/>
    </row>
    <row r="113">
      <c r="A113" s="94" t="str">
        <f>IF(OR(ISBLANK(RAW_APS!A113),ISBLANK(RAW_APS!B113),ISBLANK(RAW_APS!C113)),TRUE,IFERROR(0/0,""))</f>
        <v/>
      </c>
      <c r="B113" s="3"/>
      <c r="C113" s="94" t="str">
        <f>IF(ISBLANK(B113),IFERROR(0/0,""),RAW_APS!A113)</f>
        <v/>
      </c>
      <c r="D113" s="94" t="str">
        <f>IF(ISBLANK(C113),IFERROR(0/0,""), VLOOKUP(C113,preDEL!A$2:AG235,33,FALSE))</f>
        <v/>
      </c>
      <c r="E113" s="3"/>
      <c r="F113" s="129"/>
      <c r="G113" s="306"/>
      <c r="H113" s="309" t="str">
        <f t="shared" si="1"/>
        <v/>
      </c>
      <c r="I113" s="112" t="str">
        <f>CONCATENATE(UPPER(RAW_APS!$A114),"__",RAW_APS!$B114,"_",RAW_APS!$C114)</f>
        <v>AH7289__44704_0.218842592592593</v>
      </c>
      <c r="J113" s="310" t="str">
        <f t="shared" si="2"/>
        <v/>
      </c>
      <c r="K113" s="306" t="s">
        <v>748</v>
      </c>
      <c r="L113" s="311" t="str">
        <f t="shared" si="3"/>
        <v>TEST_0419-1</v>
      </c>
      <c r="M113" s="312" t="b">
        <f t="shared" si="5"/>
        <v>0</v>
      </c>
      <c r="N113" s="311" t="str">
        <f t="shared" si="4"/>
        <v/>
      </c>
      <c r="O113" s="3"/>
      <c r="P113" s="3"/>
      <c r="Q113" s="3"/>
      <c r="R113" s="3"/>
      <c r="S113" s="3"/>
      <c r="T113" s="3"/>
      <c r="U113" s="3"/>
      <c r="V113" s="3"/>
      <c r="W113" s="3"/>
    </row>
    <row r="114">
      <c r="A114" s="94" t="str">
        <f>IF(OR(ISBLANK(RAW_APS!A114),ISBLANK(RAW_APS!B114),ISBLANK(RAW_APS!C114)),TRUE,IFERROR(0/0,""))</f>
        <v/>
      </c>
      <c r="B114" s="3"/>
      <c r="C114" s="94" t="str">
        <f>IF(ISBLANK(B114),IFERROR(0/0,""),RAW_APS!A114)</f>
        <v/>
      </c>
      <c r="D114" s="94" t="str">
        <f>IF(ISBLANK(C114),IFERROR(0/0,""), VLOOKUP(C114,preDEL!A$2:AG235,33,FALSE))</f>
        <v/>
      </c>
      <c r="E114" s="3"/>
      <c r="F114" s="129"/>
      <c r="G114" s="306"/>
      <c r="H114" s="309" t="str">
        <f t="shared" si="1"/>
        <v/>
      </c>
      <c r="I114" s="112" t="str">
        <f>CONCATENATE(UPPER(RAW_APS!$A115),"__",RAW_APS!$B115,"_",RAW_APS!$C115)</f>
        <v>AJ9479__44704_0.218263888888889</v>
      </c>
      <c r="J114" s="310" t="str">
        <f t="shared" si="2"/>
        <v/>
      </c>
      <c r="K114" s="306" t="s">
        <v>749</v>
      </c>
      <c r="L114" s="311" t="str">
        <f t="shared" si="3"/>
        <v>TEST_0419-2</v>
      </c>
      <c r="M114" s="312" t="b">
        <f t="shared" si="5"/>
        <v>0</v>
      </c>
      <c r="N114" s="311" t="str">
        <f t="shared" si="4"/>
        <v/>
      </c>
      <c r="O114" s="3"/>
      <c r="P114" s="3"/>
      <c r="Q114" s="3"/>
      <c r="R114" s="3"/>
      <c r="S114" s="3"/>
      <c r="T114" s="3"/>
      <c r="U114" s="3"/>
      <c r="V114" s="3"/>
      <c r="W114" s="3"/>
    </row>
    <row r="115">
      <c r="A115" s="94" t="str">
        <f>IF(OR(ISBLANK(RAW_APS!A115),ISBLANK(RAW_APS!B115),ISBLANK(RAW_APS!C115)),TRUE,IFERROR(0/0,""))</f>
        <v/>
      </c>
      <c r="B115" s="3"/>
      <c r="C115" s="94" t="str">
        <f>IF(ISBLANK(B115),IFERROR(0/0,""),RAW_APS!A115)</f>
        <v/>
      </c>
      <c r="D115" s="94" t="str">
        <f>IF(ISBLANK(C115),IFERROR(0/0,""), VLOOKUP(C115,preDEL!A$2:AG235,33,FALSE))</f>
        <v/>
      </c>
      <c r="E115" s="3"/>
      <c r="F115" s="129"/>
      <c r="G115" s="306"/>
      <c r="H115" s="309" t="str">
        <f t="shared" si="1"/>
        <v/>
      </c>
      <c r="I115" s="112" t="str">
        <f>CONCATENATE(UPPER(RAW_APS!$A116),"__",RAW_APS!$B116,"_",RAW_APS!$C116)</f>
        <v>AG1640__44704_0.190543981481482</v>
      </c>
      <c r="J115" s="310" t="str">
        <f t="shared" si="2"/>
        <v/>
      </c>
      <c r="K115" s="306" t="s">
        <v>750</v>
      </c>
      <c r="L115" s="311" t="str">
        <f t="shared" si="3"/>
        <v>TEST_0419-3</v>
      </c>
      <c r="M115" s="312" t="b">
        <f t="shared" si="5"/>
        <v>0</v>
      </c>
      <c r="N115" s="311" t="str">
        <f t="shared" si="4"/>
        <v/>
      </c>
      <c r="O115" s="3"/>
      <c r="P115" s="3"/>
      <c r="Q115" s="3"/>
      <c r="R115" s="3"/>
      <c r="S115" s="3"/>
      <c r="T115" s="3"/>
      <c r="U115" s="3"/>
      <c r="V115" s="3"/>
      <c r="W115" s="3"/>
    </row>
    <row r="116">
      <c r="A116" s="94" t="str">
        <f>IF(OR(ISBLANK(RAW_APS!A116),ISBLANK(RAW_APS!B116),ISBLANK(RAW_APS!C116)),TRUE,IFERROR(0/0,""))</f>
        <v/>
      </c>
      <c r="B116" s="3"/>
      <c r="C116" s="94" t="str">
        <f>IF(ISBLANK(B116),IFERROR(0/0,""),RAW_APS!A116)</f>
        <v/>
      </c>
      <c r="D116" s="94" t="str">
        <f>IF(ISBLANK(C116),IFERROR(0/0,""), VLOOKUP(C116,preDEL!A$2:AG235,33,FALSE))</f>
        <v/>
      </c>
      <c r="E116" s="3"/>
      <c r="F116" s="129"/>
      <c r="G116" s="306"/>
      <c r="H116" s="309" t="str">
        <f t="shared" si="1"/>
        <v/>
      </c>
      <c r="I116" s="112" t="str">
        <f>CONCATENATE(UPPER(RAW_APS!$A117),"__",RAW_APS!$B117,"_",RAW_APS!$C117)</f>
        <v>AG1640__44704_0.190543981481482</v>
      </c>
      <c r="J116" s="310" t="str">
        <f t="shared" si="2"/>
        <v/>
      </c>
      <c r="K116" s="306"/>
      <c r="L116" s="311" t="str">
        <f t="shared" si="3"/>
        <v/>
      </c>
      <c r="M116" s="312" t="b">
        <f t="shared" si="5"/>
        <v>1</v>
      </c>
      <c r="N116" s="311" t="str">
        <f t="shared" si="4"/>
        <v/>
      </c>
      <c r="O116" s="3"/>
      <c r="P116" s="3"/>
      <c r="Q116" s="3"/>
      <c r="R116" s="3"/>
      <c r="S116" s="3"/>
      <c r="T116" s="3"/>
      <c r="U116" s="3"/>
      <c r="V116" s="3"/>
      <c r="W116" s="3"/>
    </row>
    <row r="117">
      <c r="A117" s="94" t="str">
        <f>IF(OR(ISBLANK(RAW_APS!A117),ISBLANK(RAW_APS!B117),ISBLANK(RAW_APS!C117)),TRUE,IFERROR(0/0,""))</f>
        <v/>
      </c>
      <c r="B117" s="3"/>
      <c r="C117" s="94" t="str">
        <f>IF(ISBLANK(B117),IFERROR(0/0,""),RAW_APS!A117)</f>
        <v/>
      </c>
      <c r="D117" s="94" t="str">
        <f>IF(ISBLANK(C117),IFERROR(0/0,""), VLOOKUP(C117,preDEL!A$2:AG235,33,FALSE))</f>
        <v/>
      </c>
      <c r="E117" s="3"/>
      <c r="F117" s="129"/>
      <c r="G117" s="306"/>
      <c r="H117" s="309" t="str">
        <f t="shared" si="1"/>
        <v/>
      </c>
      <c r="I117" s="112" t="str">
        <f>CONCATENATE(UPPER(RAW_APS!$A118),"__",RAW_APS!$B118,"_",RAW_APS!$C118)</f>
        <v>AH330__44704_0.187824074074074</v>
      </c>
      <c r="J117" s="310" t="str">
        <f t="shared" si="2"/>
        <v/>
      </c>
      <c r="K117" s="306"/>
      <c r="L117" s="311" t="str">
        <f t="shared" si="3"/>
        <v/>
      </c>
      <c r="M117" s="312" t="b">
        <f t="shared" si="5"/>
        <v>0</v>
      </c>
      <c r="N117" s="311" t="str">
        <f t="shared" si="4"/>
        <v/>
      </c>
      <c r="O117" s="3"/>
      <c r="P117" s="3"/>
      <c r="Q117" s="3"/>
      <c r="R117" s="3"/>
      <c r="S117" s="3"/>
      <c r="T117" s="3"/>
      <c r="U117" s="3"/>
      <c r="V117" s="3"/>
      <c r="W117" s="3"/>
    </row>
    <row r="118">
      <c r="A118" s="94" t="str">
        <f>IF(OR(ISBLANK(RAW_APS!A118),ISBLANK(RAW_APS!B118),ISBLANK(RAW_APS!C118)),TRUE,IFERROR(0/0,""))</f>
        <v/>
      </c>
      <c r="B118" s="3"/>
      <c r="C118" s="94" t="str">
        <f>IF(ISBLANK(B118),IFERROR(0/0,""),RAW_APS!A118)</f>
        <v/>
      </c>
      <c r="D118" s="94" t="str">
        <f>IF(ISBLANK(C118),IFERROR(0/0,""), VLOOKUP(C118,preDEL!A$2:AG235,33,FALSE))</f>
        <v/>
      </c>
      <c r="E118" s="3"/>
      <c r="F118" s="129"/>
      <c r="G118" s="306"/>
      <c r="H118" s="309" t="str">
        <f t="shared" si="1"/>
        <v/>
      </c>
      <c r="I118" s="112" t="str">
        <f>CONCATENATE(UPPER(RAW_APS!$A119),"__",RAW_APS!$B119,"_",RAW_APS!$C119)</f>
        <v>AH330__44704_0.187824074074074</v>
      </c>
      <c r="J118" s="310" t="str">
        <f t="shared" si="2"/>
        <v/>
      </c>
      <c r="K118" s="306"/>
      <c r="L118" s="311" t="str">
        <f t="shared" si="3"/>
        <v/>
      </c>
      <c r="M118" s="312" t="b">
        <f t="shared" si="5"/>
        <v>0</v>
      </c>
      <c r="N118" s="311" t="str">
        <f t="shared" si="4"/>
        <v/>
      </c>
      <c r="O118" s="3"/>
      <c r="P118" s="3"/>
      <c r="Q118" s="3"/>
      <c r="R118" s="3"/>
      <c r="S118" s="3"/>
      <c r="T118" s="3"/>
      <c r="U118" s="3"/>
      <c r="V118" s="3"/>
      <c r="W118" s="3"/>
    </row>
    <row r="119">
      <c r="A119" s="94" t="str">
        <f>IF(OR(ISBLANK(RAW_APS!A119),ISBLANK(RAW_APS!B119),ISBLANK(RAW_APS!C119)),TRUE,IFERROR(0/0,""))</f>
        <v/>
      </c>
      <c r="B119" s="3"/>
      <c r="C119" s="94" t="str">
        <f>IF(ISBLANK(B119),IFERROR(0/0,""),RAW_APS!A119)</f>
        <v/>
      </c>
      <c r="D119" s="94" t="str">
        <f>IF(ISBLANK(C119),IFERROR(0/0,""), VLOOKUP(C119,preDEL!A$2:AG235,33,FALSE))</f>
        <v/>
      </c>
      <c r="E119" s="3"/>
      <c r="F119" s="129"/>
      <c r="G119" s="306"/>
      <c r="H119" s="309" t="str">
        <f t="shared" si="1"/>
        <v/>
      </c>
      <c r="I119" s="112" t="str">
        <f>CONCATENATE(UPPER(RAW_APS!$A120),"__",RAW_APS!$B120,"_",RAW_APS!$C120)</f>
        <v>AH330__44704_0.187824074074074</v>
      </c>
      <c r="J119" s="310" t="str">
        <f t="shared" si="2"/>
        <v/>
      </c>
      <c r="K119" s="306"/>
      <c r="L119" s="311" t="str">
        <f t="shared" si="3"/>
        <v/>
      </c>
      <c r="M119" s="312" t="b">
        <f t="shared" si="5"/>
        <v>0</v>
      </c>
      <c r="N119" s="311" t="str">
        <f t="shared" si="4"/>
        <v/>
      </c>
      <c r="O119" s="3"/>
      <c r="P119" s="3"/>
      <c r="Q119" s="3"/>
      <c r="R119" s="3"/>
      <c r="S119" s="3"/>
      <c r="T119" s="3"/>
      <c r="U119" s="3"/>
      <c r="V119" s="3"/>
      <c r="W119" s="3"/>
    </row>
    <row r="120">
      <c r="A120" s="94" t="str">
        <f>IF(OR(ISBLANK(RAW_APS!A120),ISBLANK(RAW_APS!B120),ISBLANK(RAW_APS!C120)),TRUE,IFERROR(0/0,""))</f>
        <v/>
      </c>
      <c r="B120" s="3"/>
      <c r="C120" s="94" t="str">
        <f>IF(ISBLANK(B120),IFERROR(0/0,""),RAW_APS!A120)</f>
        <v/>
      </c>
      <c r="D120" s="94" t="str">
        <f>IF(ISBLANK(C120),IFERROR(0/0,""), VLOOKUP(C120,preDEL!A$2:AG235,33,FALSE))</f>
        <v/>
      </c>
      <c r="E120" s="3"/>
      <c r="F120" s="129"/>
      <c r="G120" s="306"/>
      <c r="H120" s="309" t="str">
        <f t="shared" si="1"/>
        <v/>
      </c>
      <c r="I120" s="112" t="str">
        <f>CONCATENATE(UPPER(RAW_APS!$A121),"__",RAW_APS!$B121,"_",RAW_APS!$C121)</f>
        <v>AH330__44704_0.187824074074074</v>
      </c>
      <c r="J120" s="310" t="str">
        <f t="shared" si="2"/>
        <v/>
      </c>
      <c r="K120" s="306"/>
      <c r="L120" s="311" t="str">
        <f t="shared" si="3"/>
        <v/>
      </c>
      <c r="M120" s="312" t="b">
        <f t="shared" si="5"/>
        <v>0</v>
      </c>
      <c r="N120" s="311" t="str">
        <f t="shared" si="4"/>
        <v/>
      </c>
      <c r="O120" s="3"/>
      <c r="P120" s="3"/>
      <c r="Q120" s="3"/>
      <c r="R120" s="3"/>
      <c r="S120" s="3"/>
      <c r="T120" s="3"/>
      <c r="U120" s="3"/>
      <c r="V120" s="3"/>
      <c r="W120" s="3"/>
    </row>
    <row r="121">
      <c r="A121" s="94" t="str">
        <f>IF(OR(ISBLANK(RAW_APS!A121),ISBLANK(RAW_APS!B121),ISBLANK(RAW_APS!C121)),TRUE,IFERROR(0/0,""))</f>
        <v/>
      </c>
      <c r="B121" s="3"/>
      <c r="C121" s="94" t="str">
        <f>IF(ISBLANK(B121),IFERROR(0/0,""),RAW_APS!A121)</f>
        <v/>
      </c>
      <c r="D121" s="94" t="str">
        <f>IF(ISBLANK(C121),IFERROR(0/0,""), VLOOKUP(C121,preDEL!A$2:AG235,33,FALSE))</f>
        <v/>
      </c>
      <c r="E121" s="3"/>
      <c r="F121" s="129"/>
      <c r="G121" s="306"/>
      <c r="H121" s="309" t="str">
        <f t="shared" si="1"/>
        <v/>
      </c>
      <c r="I121" s="112" t="str">
        <f>CONCATENATE(UPPER(RAW_APS!$A122),"__",RAW_APS!$B122,"_",RAW_APS!$C122)</f>
        <v>AH7211__44704_0.178460648148148</v>
      </c>
      <c r="J121" s="310" t="str">
        <f t="shared" si="2"/>
        <v/>
      </c>
      <c r="K121" s="306"/>
      <c r="L121" s="311" t="str">
        <f t="shared" si="3"/>
        <v/>
      </c>
      <c r="M121" s="312" t="b">
        <f t="shared" si="5"/>
        <v>0</v>
      </c>
      <c r="N121" s="311" t="str">
        <f t="shared" si="4"/>
        <v/>
      </c>
      <c r="O121" s="3"/>
      <c r="P121" s="3"/>
      <c r="Q121" s="3"/>
      <c r="R121" s="3"/>
      <c r="S121" s="3"/>
      <c r="T121" s="3"/>
      <c r="U121" s="3"/>
      <c r="V121" s="3"/>
      <c r="W121" s="3"/>
    </row>
    <row r="122">
      <c r="A122" s="94" t="str">
        <f>IF(OR(ISBLANK(RAW_APS!A122),ISBLANK(RAW_APS!B122),ISBLANK(RAW_APS!C122)),TRUE,IFERROR(0/0,""))</f>
        <v/>
      </c>
      <c r="B122" s="3"/>
      <c r="C122" s="94" t="str">
        <f>IF(ISBLANK(B122),IFERROR(0/0,""),RAW_APS!A122)</f>
        <v/>
      </c>
      <c r="D122" s="94" t="str">
        <f>IF(ISBLANK(C122),IFERROR(0/0,""), VLOOKUP(C122,preDEL!A$2:AG235,33,FALSE))</f>
        <v/>
      </c>
      <c r="E122" s="3"/>
      <c r="F122" s="129"/>
      <c r="G122" s="306"/>
      <c r="H122" s="309" t="str">
        <f t="shared" si="1"/>
        <v/>
      </c>
      <c r="I122" s="112" t="str">
        <f>CONCATENATE(UPPER(RAW_APS!$A123),"__",RAW_APS!$B123,"_",RAW_APS!$C123)</f>
        <v>AJ5950__44704_0.156539351851852</v>
      </c>
      <c r="J122" s="310" t="str">
        <f t="shared" si="2"/>
        <v/>
      </c>
      <c r="K122" s="306"/>
      <c r="L122" s="311" t="str">
        <f t="shared" si="3"/>
        <v/>
      </c>
      <c r="M122" s="312" t="b">
        <f t="shared" si="5"/>
        <v>0</v>
      </c>
      <c r="N122" s="311" t="str">
        <f t="shared" si="4"/>
        <v/>
      </c>
      <c r="O122" s="3"/>
      <c r="P122" s="3"/>
      <c r="Q122" s="3"/>
      <c r="R122" s="3"/>
      <c r="S122" s="3"/>
      <c r="T122" s="3"/>
      <c r="U122" s="3"/>
      <c r="V122" s="3"/>
      <c r="W122" s="3"/>
    </row>
    <row r="123">
      <c r="A123" s="94" t="str">
        <f>IF(OR(ISBLANK(RAW_APS!A123),ISBLANK(RAW_APS!B123),ISBLANK(RAW_APS!C123)),TRUE,IFERROR(0/0,""))</f>
        <v/>
      </c>
      <c r="B123" s="3"/>
      <c r="C123" s="94" t="str">
        <f>IF(ISBLANK(B123),IFERROR(0/0,""),RAW_APS!A123)</f>
        <v/>
      </c>
      <c r="D123" s="94" t="str">
        <f>IF(ISBLANK(C123),IFERROR(0/0,""), VLOOKUP(C123,preDEL!A$2:AG235,33,FALSE))</f>
        <v/>
      </c>
      <c r="E123" s="3"/>
      <c r="F123" s="129"/>
      <c r="G123" s="306"/>
      <c r="H123" s="309" t="str">
        <f t="shared" si="1"/>
        <v/>
      </c>
      <c r="I123" s="112" t="str">
        <f>CONCATENATE(UPPER(RAW_APS!$A124),"__",RAW_APS!$B124,"_",RAW_APS!$C124)</f>
        <v>AJ5950__44704_0.156539351851852</v>
      </c>
      <c r="J123" s="310" t="str">
        <f t="shared" si="2"/>
        <v/>
      </c>
      <c r="K123" s="306"/>
      <c r="L123" s="311" t="str">
        <f t="shared" si="3"/>
        <v/>
      </c>
      <c r="M123" s="312" t="b">
        <f t="shared" si="5"/>
        <v>0</v>
      </c>
      <c r="N123" s="311" t="str">
        <f t="shared" si="4"/>
        <v/>
      </c>
      <c r="O123" s="3"/>
      <c r="P123" s="3"/>
      <c r="Q123" s="3"/>
      <c r="R123" s="3"/>
      <c r="S123" s="3"/>
      <c r="T123" s="3"/>
      <c r="U123" s="3"/>
      <c r="V123" s="3"/>
      <c r="W123" s="3"/>
    </row>
    <row r="124">
      <c r="A124" s="94" t="str">
        <f>IF(OR(ISBLANK(RAW_APS!A124),ISBLANK(RAW_APS!B124),ISBLANK(RAW_APS!C124)),TRUE,IFERROR(0/0,""))</f>
        <v/>
      </c>
      <c r="B124" s="3"/>
      <c r="C124" s="94" t="str">
        <f>IF(ISBLANK(B124),IFERROR(0/0,""),RAW_APS!A124)</f>
        <v/>
      </c>
      <c r="D124" s="94" t="str">
        <f>IF(ISBLANK(C124),IFERROR(0/0,""), VLOOKUP(C124,preDEL!A$2:AG235,33,FALSE))</f>
        <v/>
      </c>
      <c r="E124" s="3"/>
      <c r="F124" s="129"/>
      <c r="G124" s="306"/>
      <c r="H124" s="309" t="str">
        <f t="shared" si="1"/>
        <v/>
      </c>
      <c r="I124" s="112" t="str">
        <f>CONCATENATE(UPPER(RAW_APS!$A125),"__",RAW_APS!$B125,"_",RAW_APS!$C125)</f>
        <v>AJ5950__44704_0.156539351851852</v>
      </c>
      <c r="J124" s="310" t="str">
        <f t="shared" si="2"/>
        <v/>
      </c>
      <c r="K124" s="306"/>
      <c r="L124" s="311" t="str">
        <f t="shared" si="3"/>
        <v/>
      </c>
      <c r="M124" s="312" t="b">
        <f t="shared" si="5"/>
        <v>0</v>
      </c>
      <c r="N124" s="311" t="str">
        <f t="shared" si="4"/>
        <v/>
      </c>
      <c r="O124" s="3"/>
      <c r="P124" s="3"/>
      <c r="Q124" s="3"/>
      <c r="R124" s="3"/>
      <c r="S124" s="3"/>
      <c r="T124" s="3"/>
      <c r="U124" s="3"/>
      <c r="V124" s="3"/>
      <c r="W124" s="3"/>
    </row>
    <row r="125">
      <c r="A125" s="94" t="str">
        <f>IF(OR(ISBLANK(RAW_APS!A125),ISBLANK(RAW_APS!B125),ISBLANK(RAW_APS!C125)),TRUE,IFERROR(0/0,""))</f>
        <v/>
      </c>
      <c r="B125" s="3"/>
      <c r="C125" s="94" t="str">
        <f>IF(ISBLANK(B125),IFERROR(0/0,""),RAW_APS!A125)</f>
        <v/>
      </c>
      <c r="D125" s="94" t="str">
        <f>IF(ISBLANK(C125),IFERROR(0/0,""), VLOOKUP(C125,preDEL!A$2:AG235,33,FALSE))</f>
        <v/>
      </c>
      <c r="E125" s="3"/>
      <c r="F125" s="129"/>
      <c r="G125" s="306"/>
      <c r="H125" s="309" t="str">
        <f t="shared" si="1"/>
        <v/>
      </c>
      <c r="I125" s="112" t="str">
        <f>CONCATENATE(UPPER(RAW_APS!$A126),"__",RAW_APS!$B126,"_",RAW_APS!$C126)</f>
        <v>AJ5950__44704_0.156539351851852</v>
      </c>
      <c r="J125" s="310" t="str">
        <f t="shared" si="2"/>
        <v/>
      </c>
      <c r="K125" s="306"/>
      <c r="L125" s="311" t="str">
        <f t="shared" si="3"/>
        <v/>
      </c>
      <c r="M125" s="312" t="b">
        <f t="shared" si="5"/>
        <v>0</v>
      </c>
      <c r="N125" s="311" t="str">
        <f t="shared" si="4"/>
        <v/>
      </c>
      <c r="O125" s="3"/>
      <c r="P125" s="3"/>
      <c r="Q125" s="3"/>
      <c r="R125" s="3"/>
      <c r="S125" s="3"/>
      <c r="T125" s="3"/>
      <c r="U125" s="3"/>
      <c r="V125" s="3"/>
      <c r="W125" s="3"/>
    </row>
    <row r="126">
      <c r="A126" s="94" t="str">
        <f>IF(OR(ISBLANK(RAW_APS!A126),ISBLANK(RAW_APS!B126),ISBLANK(RAW_APS!C126)),TRUE,IFERROR(0/0,""))</f>
        <v/>
      </c>
      <c r="B126" s="3"/>
      <c r="C126" s="94" t="str">
        <f>IF(ISBLANK(B126),IFERROR(0/0,""),RAW_APS!A126)</f>
        <v/>
      </c>
      <c r="D126" s="94" t="str">
        <f>IF(ISBLANK(C126),IFERROR(0/0,""), VLOOKUP(C126,preDEL!A$2:AG235,33,FALSE))</f>
        <v/>
      </c>
      <c r="E126" s="3"/>
      <c r="F126" s="129"/>
      <c r="G126" s="306"/>
      <c r="H126" s="309" t="str">
        <f t="shared" si="1"/>
        <v/>
      </c>
      <c r="I126" s="112" t="str">
        <f>CONCATENATE(UPPER(RAW_APS!$A127),"__",RAW_APS!$B127,"_",RAW_APS!$C127)</f>
        <v>AJ9193__44703_0.781759259259259</v>
      </c>
      <c r="J126" s="310" t="str">
        <f t="shared" si="2"/>
        <v/>
      </c>
      <c r="K126" s="306"/>
      <c r="L126" s="311" t="str">
        <f t="shared" si="3"/>
        <v/>
      </c>
      <c r="M126" s="312" t="b">
        <f t="shared" si="5"/>
        <v>0</v>
      </c>
      <c r="N126" s="311" t="str">
        <f t="shared" si="4"/>
        <v/>
      </c>
      <c r="O126" s="3"/>
      <c r="P126" s="3"/>
      <c r="Q126" s="3"/>
      <c r="R126" s="3"/>
      <c r="S126" s="3"/>
      <c r="T126" s="3"/>
      <c r="U126" s="3"/>
      <c r="V126" s="3"/>
      <c r="W126" s="3"/>
    </row>
    <row r="127">
      <c r="A127" s="94" t="str">
        <f>IF(OR(ISBLANK(RAW_APS!A127),ISBLANK(RAW_APS!B127),ISBLANK(RAW_APS!C127)),TRUE,IFERROR(0/0,""))</f>
        <v/>
      </c>
      <c r="B127" s="3"/>
      <c r="C127" s="94" t="str">
        <f>IF(ISBLANK(B127),IFERROR(0/0,""),RAW_APS!A127)</f>
        <v/>
      </c>
      <c r="D127" s="94" t="str">
        <f>IF(ISBLANK(C127),IFERROR(0/0,""), VLOOKUP(C127,preDEL!A$2:AG235,33,FALSE))</f>
        <v/>
      </c>
      <c r="E127" s="3"/>
      <c r="F127" s="129"/>
      <c r="G127" s="306"/>
      <c r="H127" s="309" t="str">
        <f t="shared" si="1"/>
        <v/>
      </c>
      <c r="I127" s="112" t="str">
        <f>CONCATENATE(UPPER(RAW_APS!$A128),"__",RAW_APS!$B128,"_",RAW_APS!$C128)</f>
        <v>AJ9193__44703_0.781759259259259</v>
      </c>
      <c r="J127" s="310" t="str">
        <f t="shared" si="2"/>
        <v/>
      </c>
      <c r="K127" s="306"/>
      <c r="L127" s="311" t="str">
        <f t="shared" si="3"/>
        <v/>
      </c>
      <c r="M127" s="312" t="b">
        <f t="shared" si="5"/>
        <v>0</v>
      </c>
      <c r="N127" s="311" t="str">
        <f t="shared" si="4"/>
        <v/>
      </c>
      <c r="O127" s="3"/>
      <c r="P127" s="3"/>
      <c r="Q127" s="3"/>
      <c r="R127" s="3"/>
      <c r="S127" s="3"/>
      <c r="T127" s="3"/>
      <c r="U127" s="3"/>
      <c r="V127" s="3"/>
      <c r="W127" s="3"/>
    </row>
    <row r="128">
      <c r="A128" s="94" t="str">
        <f>IF(OR(ISBLANK(RAW_APS!A128),ISBLANK(RAW_APS!B128),ISBLANK(RAW_APS!C128)),TRUE,IFERROR(0/0,""))</f>
        <v/>
      </c>
      <c r="B128" s="3"/>
      <c r="C128" s="94" t="str">
        <f>IF(ISBLANK(B128),IFERROR(0/0,""),RAW_APS!A128)</f>
        <v/>
      </c>
      <c r="D128" s="94" t="str">
        <f>IF(ISBLANK(C128),IFERROR(0/0,""), VLOOKUP(C128,preDEL!A$2:AG235,33,FALSE))</f>
        <v/>
      </c>
      <c r="E128" s="3"/>
      <c r="F128" s="129"/>
      <c r="G128" s="306"/>
      <c r="H128" s="309" t="str">
        <f t="shared" si="1"/>
        <v/>
      </c>
      <c r="I128" s="112" t="str">
        <f>CONCATENATE(UPPER(RAW_APS!$A129),"__",RAW_APS!$B129,"_",RAW_APS!$C129)</f>
        <v>AJ9193__44703_0.781759259259259</v>
      </c>
      <c r="J128" s="310" t="str">
        <f t="shared" si="2"/>
        <v/>
      </c>
      <c r="K128" s="306"/>
      <c r="L128" s="311" t="str">
        <f t="shared" si="3"/>
        <v/>
      </c>
      <c r="M128" s="312" t="b">
        <f t="shared" si="5"/>
        <v>0</v>
      </c>
      <c r="N128" s="311" t="str">
        <f t="shared" si="4"/>
        <v/>
      </c>
      <c r="O128" s="3"/>
      <c r="P128" s="3"/>
      <c r="Q128" s="3"/>
      <c r="R128" s="3"/>
      <c r="S128" s="3"/>
      <c r="T128" s="3"/>
      <c r="U128" s="3"/>
      <c r="V128" s="3"/>
      <c r="W128" s="3"/>
    </row>
    <row r="129">
      <c r="A129" s="94" t="str">
        <f>IF(OR(ISBLANK(RAW_APS!A129),ISBLANK(RAW_APS!B129),ISBLANK(RAW_APS!C129)),TRUE,IFERROR(0/0,""))</f>
        <v/>
      </c>
      <c r="B129" s="3"/>
      <c r="C129" s="94" t="str">
        <f>IF(ISBLANK(B129),IFERROR(0/0,""),RAW_APS!A129)</f>
        <v/>
      </c>
      <c r="D129" s="94" t="str">
        <f>IF(ISBLANK(C129),IFERROR(0/0,""), VLOOKUP(C129,preDEL!A$2:AG235,33,FALSE))</f>
        <v/>
      </c>
      <c r="E129" s="3"/>
      <c r="F129" s="129"/>
      <c r="G129" s="306"/>
      <c r="H129" s="309" t="str">
        <f t="shared" si="1"/>
        <v/>
      </c>
      <c r="I129" s="112" t="str">
        <f>CONCATENATE(UPPER(RAW_APS!$A130),"__",RAW_APS!$B130,"_",RAW_APS!$C130)</f>
        <v>AJ9193__44703_0.781759259259259</v>
      </c>
      <c r="J129" s="310" t="str">
        <f t="shared" si="2"/>
        <v/>
      </c>
      <c r="K129" s="306"/>
      <c r="L129" s="311" t="str">
        <f t="shared" si="3"/>
        <v/>
      </c>
      <c r="M129" s="312" t="b">
        <f t="shared" si="5"/>
        <v>0</v>
      </c>
      <c r="N129" s="311" t="str">
        <f t="shared" si="4"/>
        <v/>
      </c>
      <c r="O129" s="3"/>
      <c r="P129" s="3"/>
      <c r="Q129" s="3"/>
      <c r="R129" s="3"/>
      <c r="S129" s="3"/>
      <c r="T129" s="3"/>
      <c r="U129" s="3"/>
      <c r="V129" s="3"/>
      <c r="W129" s="3"/>
    </row>
    <row r="130">
      <c r="A130" s="94" t="str">
        <f>IF(OR(ISBLANK(RAW_APS!A130),ISBLANK(RAW_APS!B130),ISBLANK(RAW_APS!C130)),TRUE,IFERROR(0/0,""))</f>
        <v/>
      </c>
      <c r="B130" s="3"/>
      <c r="C130" s="94" t="str">
        <f>IF(ISBLANK(B130),IFERROR(0/0,""),RAW_APS!A130)</f>
        <v/>
      </c>
      <c r="D130" s="94" t="str">
        <f>IF(ISBLANK(C130),IFERROR(0/0,""), VLOOKUP(C130,preDEL!A$2:AG235,33,FALSE))</f>
        <v/>
      </c>
      <c r="E130" s="3"/>
      <c r="F130" s="129"/>
      <c r="G130" s="306"/>
      <c r="H130" s="309" t="str">
        <f t="shared" si="1"/>
        <v/>
      </c>
      <c r="I130" s="112" t="str">
        <f>CONCATENATE(UPPER(RAW_APS!$A131),"__",RAW_APS!$B131,"_",RAW_APS!$C131)</f>
        <v>AG2159__44697_0.322152777777778</v>
      </c>
      <c r="J130" s="310" t="str">
        <f t="shared" si="2"/>
        <v/>
      </c>
      <c r="K130" s="306"/>
      <c r="L130" s="311" t="str">
        <f t="shared" si="3"/>
        <v/>
      </c>
      <c r="M130" s="312" t="b">
        <f t="shared" si="5"/>
        <v>0</v>
      </c>
      <c r="N130" s="311" t="str">
        <f t="shared" si="4"/>
        <v/>
      </c>
      <c r="O130" s="3"/>
      <c r="P130" s="3"/>
      <c r="Q130" s="3"/>
      <c r="R130" s="3"/>
      <c r="S130" s="3"/>
      <c r="T130" s="3"/>
      <c r="U130" s="3"/>
      <c r="V130" s="3"/>
      <c r="W130" s="3"/>
    </row>
    <row r="131">
      <c r="A131" s="94" t="str">
        <f>IF(OR(ISBLANK(RAW_APS!A131),ISBLANK(RAW_APS!B131),ISBLANK(RAW_APS!C131)),TRUE,IFERROR(0/0,""))</f>
        <v/>
      </c>
      <c r="B131" s="3"/>
      <c r="C131" s="94" t="str">
        <f>IF(ISBLANK(B131),IFERROR(0/0,""),RAW_APS!A131)</f>
        <v/>
      </c>
      <c r="D131" s="94" t="str">
        <f>IF(ISBLANK(C131),IFERROR(0/0,""), VLOOKUP(C131,preDEL!A$2:AG235,33,FALSE))</f>
        <v/>
      </c>
      <c r="E131" s="3"/>
      <c r="F131" s="129"/>
      <c r="G131" s="306"/>
      <c r="H131" s="309" t="str">
        <f t="shared" si="1"/>
        <v/>
      </c>
      <c r="I131" s="112" t="str">
        <f>CONCATENATE(UPPER(RAW_APS!$A132),"__",RAW_APS!$B132,"_",RAW_APS!$C132)</f>
        <v>AG2159__44697_0.322152777777778</v>
      </c>
      <c r="J131" s="310" t="str">
        <f t="shared" si="2"/>
        <v/>
      </c>
      <c r="K131" s="306"/>
      <c r="L131" s="311" t="str">
        <f t="shared" si="3"/>
        <v/>
      </c>
      <c r="M131" s="312" t="b">
        <f t="shared" si="5"/>
        <v>0</v>
      </c>
      <c r="N131" s="311" t="str">
        <f t="shared" si="4"/>
        <v/>
      </c>
      <c r="O131" s="3"/>
      <c r="P131" s="3"/>
      <c r="Q131" s="3"/>
      <c r="R131" s="3"/>
      <c r="S131" s="3"/>
      <c r="T131" s="3"/>
      <c r="U131" s="3"/>
      <c r="V131" s="3"/>
      <c r="W131" s="3"/>
    </row>
    <row r="132">
      <c r="A132" s="94" t="str">
        <f>IF(OR(ISBLANK(RAW_APS!A132),ISBLANK(RAW_APS!B132),ISBLANK(RAW_APS!C132)),TRUE,IFERROR(0/0,""))</f>
        <v/>
      </c>
      <c r="B132" s="3"/>
      <c r="C132" s="94" t="str">
        <f>IF(ISBLANK(B132),IFERROR(0/0,""),RAW_APS!A132)</f>
        <v/>
      </c>
      <c r="D132" s="94" t="str">
        <f>IF(ISBLANK(C132),IFERROR(0/0,""), VLOOKUP(C132,preDEL!A$2:AG235,33,FALSE))</f>
        <v/>
      </c>
      <c r="E132" s="3"/>
      <c r="F132" s="129"/>
      <c r="G132" s="306"/>
      <c r="H132" s="309" t="str">
        <f t="shared" si="1"/>
        <v/>
      </c>
      <c r="I132" s="112" t="str">
        <f>CONCATENATE(UPPER(RAW_APS!$A133),"__",RAW_APS!$B133,"_",RAW_APS!$C133)</f>
        <v>AG2159__44697_0.322152777777778</v>
      </c>
      <c r="J132" s="310" t="str">
        <f t="shared" si="2"/>
        <v/>
      </c>
      <c r="K132" s="306"/>
      <c r="L132" s="311" t="str">
        <f t="shared" si="3"/>
        <v/>
      </c>
      <c r="M132" s="312" t="b">
        <f t="shared" si="5"/>
        <v>0</v>
      </c>
      <c r="N132" s="311" t="str">
        <f t="shared" si="4"/>
        <v/>
      </c>
      <c r="O132" s="3"/>
      <c r="P132" s="3"/>
      <c r="Q132" s="3"/>
      <c r="R132" s="3"/>
      <c r="S132" s="3"/>
      <c r="T132" s="3"/>
      <c r="U132" s="3"/>
      <c r="V132" s="3"/>
      <c r="W132" s="3"/>
    </row>
    <row r="133">
      <c r="A133" s="94" t="str">
        <f>IF(OR(ISBLANK(RAW_APS!A133),ISBLANK(RAW_APS!B133),ISBLANK(RAW_APS!C133)),TRUE,IFERROR(0/0,""))</f>
        <v/>
      </c>
      <c r="B133" s="3"/>
      <c r="C133" s="94" t="str">
        <f>IF(ISBLANK(B133),IFERROR(0/0,""),RAW_APS!A133)</f>
        <v/>
      </c>
      <c r="D133" s="94" t="str">
        <f>IF(ISBLANK(C133),IFERROR(0/0,""), VLOOKUP(C133,preDEL!A$2:AG235,33,FALSE))</f>
        <v/>
      </c>
      <c r="E133" s="3"/>
      <c r="F133" s="129"/>
      <c r="G133" s="306"/>
      <c r="H133" s="309" t="str">
        <f t="shared" si="1"/>
        <v/>
      </c>
      <c r="I133" s="112" t="str">
        <f>CONCATENATE(UPPER(RAW_APS!$A134),"__",RAW_APS!$B134,"_",RAW_APS!$C134)</f>
        <v>AH63__44697_0.318715277777778</v>
      </c>
      <c r="J133" s="310" t="str">
        <f t="shared" si="2"/>
        <v/>
      </c>
      <c r="K133" s="306"/>
      <c r="L133" s="311" t="str">
        <f t="shared" si="3"/>
        <v/>
      </c>
      <c r="M133" s="312" t="b">
        <f t="shared" si="5"/>
        <v>0</v>
      </c>
      <c r="N133" s="311" t="str">
        <f t="shared" si="4"/>
        <v/>
      </c>
      <c r="O133" s="3"/>
      <c r="P133" s="3"/>
      <c r="Q133" s="3"/>
      <c r="R133" s="3"/>
      <c r="S133" s="3"/>
      <c r="T133" s="3"/>
      <c r="U133" s="3"/>
      <c r="V133" s="3"/>
      <c r="W133" s="3"/>
    </row>
    <row r="134">
      <c r="A134" s="94" t="str">
        <f>IF(OR(ISBLANK(RAW_APS!A134),ISBLANK(RAW_APS!B134),ISBLANK(RAW_APS!C134)),TRUE,IFERROR(0/0,""))</f>
        <v/>
      </c>
      <c r="B134" s="3"/>
      <c r="C134" s="94" t="str">
        <f>IF(ISBLANK(B134),IFERROR(0/0,""),RAW_APS!A134)</f>
        <v/>
      </c>
      <c r="D134" s="94" t="str">
        <f>IF(ISBLANK(C134),IFERROR(0/0,""), VLOOKUP(C134,preDEL!A$2:AG235,33,FALSE))</f>
        <v/>
      </c>
      <c r="E134" s="3"/>
      <c r="F134" s="129"/>
      <c r="G134" s="306"/>
      <c r="H134" s="309" t="str">
        <f t="shared" si="1"/>
        <v/>
      </c>
      <c r="I134" s="112" t="str">
        <f>CONCATENATE(UPPER(RAW_APS!$A135),"__",RAW_APS!$B135,"_",RAW_APS!$C135)</f>
        <v>AG570__44697_0.268935185185185</v>
      </c>
      <c r="J134" s="310" t="str">
        <f t="shared" si="2"/>
        <v/>
      </c>
      <c r="K134" s="306"/>
      <c r="L134" s="311" t="str">
        <f t="shared" si="3"/>
        <v/>
      </c>
      <c r="M134" s="312" t="b">
        <f t="shared" si="5"/>
        <v>0</v>
      </c>
      <c r="N134" s="311" t="str">
        <f t="shared" si="4"/>
        <v/>
      </c>
      <c r="O134" s="3"/>
      <c r="P134" s="3"/>
      <c r="Q134" s="3"/>
      <c r="R134" s="3"/>
      <c r="S134" s="3"/>
      <c r="T134" s="3"/>
      <c r="U134" s="3"/>
      <c r="V134" s="3"/>
      <c r="W134" s="3"/>
    </row>
    <row r="135">
      <c r="A135" s="94" t="str">
        <f>IF(OR(ISBLANK(RAW_APS!A135),ISBLANK(RAW_APS!B135),ISBLANK(RAW_APS!C135)),TRUE,IFERROR(0/0,""))</f>
        <v/>
      </c>
      <c r="B135" s="3"/>
      <c r="C135" s="94" t="str">
        <f>IF(ISBLANK(B135),IFERROR(0/0,""),RAW_APS!A135)</f>
        <v/>
      </c>
      <c r="D135" s="94" t="str">
        <f>IF(ISBLANK(C135),IFERROR(0/0,""), VLOOKUP(C135,preDEL!A$2:AG235,33,FALSE))</f>
        <v/>
      </c>
      <c r="E135" s="3"/>
      <c r="F135" s="129"/>
      <c r="G135" s="306"/>
      <c r="H135" s="309" t="str">
        <f t="shared" si="1"/>
        <v/>
      </c>
      <c r="I135" s="112" t="str">
        <f>CONCATENATE(UPPER(RAW_APS!$A136),"__",RAW_APS!$B136,"_",RAW_APS!$C136)</f>
        <v>AJ8977__44697_0.209039351851852</v>
      </c>
      <c r="J135" s="310" t="str">
        <f t="shared" si="2"/>
        <v/>
      </c>
      <c r="K135" s="306"/>
      <c r="L135" s="311" t="str">
        <f t="shared" si="3"/>
        <v/>
      </c>
      <c r="M135" s="312" t="b">
        <f t="shared" si="5"/>
        <v>0</v>
      </c>
      <c r="N135" s="311" t="str">
        <f t="shared" si="4"/>
        <v/>
      </c>
      <c r="O135" s="3"/>
      <c r="P135" s="3"/>
      <c r="Q135" s="3"/>
      <c r="R135" s="3"/>
      <c r="S135" s="3"/>
      <c r="T135" s="3"/>
      <c r="U135" s="3"/>
      <c r="V135" s="3"/>
      <c r="W135" s="3"/>
    </row>
    <row r="136">
      <c r="A136" s="94" t="str">
        <f>IF(OR(ISBLANK(RAW_APS!A136),ISBLANK(RAW_APS!B136),ISBLANK(RAW_APS!C136)),TRUE,IFERROR(0/0,""))</f>
        <v/>
      </c>
      <c r="B136" s="3"/>
      <c r="C136" s="94" t="str">
        <f>IF(ISBLANK(B136),IFERROR(0/0,""),RAW_APS!A136)</f>
        <v/>
      </c>
      <c r="D136" s="94" t="str">
        <f>IF(ISBLANK(C136),IFERROR(0/0,""), VLOOKUP(C136,preDEL!A$2:AG235,33,FALSE))</f>
        <v/>
      </c>
      <c r="E136" s="3"/>
      <c r="F136" s="129"/>
      <c r="G136" s="306"/>
      <c r="H136" s="309" t="str">
        <f t="shared" si="1"/>
        <v/>
      </c>
      <c r="I136" s="112" t="str">
        <f>CONCATENATE(UPPER(RAW_APS!$A137),"__",RAW_APS!$B137,"_",RAW_APS!$C137)</f>
        <v>AJ8977__44697_0.209039351851852</v>
      </c>
      <c r="J136" s="310" t="str">
        <f t="shared" si="2"/>
        <v/>
      </c>
      <c r="K136" s="306"/>
      <c r="L136" s="311" t="str">
        <f t="shared" si="3"/>
        <v/>
      </c>
      <c r="M136" s="312" t="b">
        <f t="shared" si="5"/>
        <v>0</v>
      </c>
      <c r="N136" s="311" t="str">
        <f t="shared" si="4"/>
        <v/>
      </c>
      <c r="O136" s="3"/>
      <c r="P136" s="3"/>
      <c r="Q136" s="3"/>
      <c r="R136" s="3"/>
      <c r="S136" s="3"/>
      <c r="T136" s="3"/>
      <c r="U136" s="3"/>
      <c r="V136" s="3"/>
      <c r="W136" s="3"/>
    </row>
    <row r="137">
      <c r="A137" s="94" t="str">
        <f>IF(OR(ISBLANK(RAW_APS!A137),ISBLANK(RAW_APS!B137),ISBLANK(RAW_APS!C137)),TRUE,IFERROR(0/0,""))</f>
        <v/>
      </c>
      <c r="B137" s="3"/>
      <c r="C137" s="94" t="str">
        <f>IF(ISBLANK(B137),IFERROR(0/0,""),RAW_APS!A137)</f>
        <v/>
      </c>
      <c r="D137" s="94" t="str">
        <f>IF(ISBLANK(C137),IFERROR(0/0,""), VLOOKUP(C137,preDEL!A$2:AG235,33,FALSE))</f>
        <v/>
      </c>
      <c r="E137" s="3"/>
      <c r="F137" s="129"/>
      <c r="G137" s="306"/>
      <c r="H137" s="309" t="str">
        <f t="shared" si="1"/>
        <v/>
      </c>
      <c r="I137" s="112" t="str">
        <f>CONCATENATE(UPPER(RAW_APS!$A138),"__",RAW_APS!$B138,"_",RAW_APS!$C138)</f>
        <v>AH9668__44697_0.206840277777778</v>
      </c>
      <c r="J137" s="310" t="str">
        <f t="shared" si="2"/>
        <v/>
      </c>
      <c r="K137" s="306"/>
      <c r="L137" s="311" t="str">
        <f t="shared" si="3"/>
        <v/>
      </c>
      <c r="M137" s="312" t="b">
        <f t="shared" si="5"/>
        <v>0</v>
      </c>
      <c r="N137" s="311" t="str">
        <f t="shared" si="4"/>
        <v/>
      </c>
      <c r="O137" s="3"/>
      <c r="P137" s="3"/>
      <c r="Q137" s="3"/>
      <c r="R137" s="3"/>
      <c r="S137" s="3"/>
      <c r="T137" s="3"/>
      <c r="U137" s="3"/>
      <c r="V137" s="3"/>
      <c r="W137" s="3"/>
    </row>
    <row r="138">
      <c r="A138" s="94" t="str">
        <f>IF(OR(ISBLANK(RAW_APS!A138),ISBLANK(RAW_APS!B138),ISBLANK(RAW_APS!C138)),TRUE,IFERROR(0/0,""))</f>
        <v/>
      </c>
      <c r="B138" s="3"/>
      <c r="C138" s="94" t="str">
        <f>IF(ISBLANK(B138),IFERROR(0/0,""),RAW_APS!A138)</f>
        <v/>
      </c>
      <c r="D138" s="94" t="str">
        <f>IF(ISBLANK(C138),IFERROR(0/0,""), VLOOKUP(C138,preDEL!A$2:AG235,33,FALSE))</f>
        <v/>
      </c>
      <c r="E138" s="3"/>
      <c r="F138" s="129"/>
      <c r="G138" s="306"/>
      <c r="H138" s="309" t="str">
        <f t="shared" si="1"/>
        <v/>
      </c>
      <c r="I138" s="112" t="str">
        <f>CONCATENATE(UPPER(RAW_APS!$A139),"__",RAW_APS!$B139,"_",RAW_APS!$C139)</f>
        <v>AH9668__44697_0.206840277777778</v>
      </c>
      <c r="J138" s="310" t="str">
        <f t="shared" si="2"/>
        <v/>
      </c>
      <c r="K138" s="306"/>
      <c r="L138" s="311" t="str">
        <f t="shared" si="3"/>
        <v/>
      </c>
      <c r="M138" s="312" t="b">
        <f t="shared" si="5"/>
        <v>0</v>
      </c>
      <c r="N138" s="311" t="str">
        <f t="shared" si="4"/>
        <v/>
      </c>
      <c r="O138" s="3"/>
      <c r="P138" s="3"/>
      <c r="Q138" s="3"/>
      <c r="R138" s="3"/>
      <c r="S138" s="3"/>
      <c r="T138" s="3"/>
      <c r="U138" s="3"/>
      <c r="V138" s="3"/>
      <c r="W138" s="3"/>
    </row>
    <row r="139">
      <c r="A139" s="94" t="str">
        <f>IF(OR(ISBLANK(RAW_APS!A139),ISBLANK(RAW_APS!B139),ISBLANK(RAW_APS!C139)),TRUE,IFERROR(0/0,""))</f>
        <v/>
      </c>
      <c r="B139" s="3"/>
      <c r="C139" s="94" t="str">
        <f>IF(ISBLANK(B139),IFERROR(0/0,""),RAW_APS!A139)</f>
        <v/>
      </c>
      <c r="D139" s="94" t="str">
        <f>IF(ISBLANK(C139),IFERROR(0/0,""), VLOOKUP(C139,preDEL!A$2:AG235,33,FALSE))</f>
        <v/>
      </c>
      <c r="E139" s="3"/>
      <c r="F139" s="129"/>
      <c r="G139" s="306"/>
      <c r="H139" s="309" t="str">
        <f t="shared" si="1"/>
        <v/>
      </c>
      <c r="I139" s="112" t="str">
        <f>CONCATENATE(UPPER(RAW_APS!$A140),"__",RAW_APS!$B140,"_",RAW_APS!$C140)</f>
        <v>AJ7985__44697_0.202361111111111</v>
      </c>
      <c r="J139" s="310" t="str">
        <f t="shared" si="2"/>
        <v/>
      </c>
      <c r="K139" s="306"/>
      <c r="L139" s="311" t="str">
        <f t="shared" si="3"/>
        <v/>
      </c>
      <c r="M139" s="312" t="b">
        <f t="shared" si="5"/>
        <v>0</v>
      </c>
      <c r="N139" s="311" t="str">
        <f t="shared" si="4"/>
        <v/>
      </c>
      <c r="O139" s="3"/>
      <c r="P139" s="3"/>
      <c r="Q139" s="3"/>
      <c r="R139" s="3"/>
      <c r="S139" s="3"/>
      <c r="T139" s="3"/>
      <c r="U139" s="3"/>
      <c r="V139" s="3"/>
      <c r="W139" s="3"/>
    </row>
    <row r="140">
      <c r="A140" s="94" t="str">
        <f>IF(OR(ISBLANK(RAW_APS!A140),ISBLANK(RAW_APS!B140),ISBLANK(RAW_APS!C140)),TRUE,IFERROR(0/0,""))</f>
        <v/>
      </c>
      <c r="B140" s="3"/>
      <c r="C140" s="94" t="str">
        <f>IF(ISBLANK(B140),IFERROR(0/0,""),RAW_APS!A140)</f>
        <v/>
      </c>
      <c r="D140" s="94" t="str">
        <f>IF(ISBLANK(C140),IFERROR(0/0,""), VLOOKUP(C140,preDEL!A$2:AG235,33,FALSE))</f>
        <v/>
      </c>
      <c r="E140" s="3"/>
      <c r="F140" s="129"/>
      <c r="G140" s="306"/>
      <c r="H140" s="309" t="str">
        <f t="shared" si="1"/>
        <v/>
      </c>
      <c r="I140" s="112" t="str">
        <f>CONCATENATE(UPPER(RAW_APS!$A141),"__",RAW_APS!$B141,"_",RAW_APS!$C141)</f>
        <v>AJ7985__44697_0.202361111111111</v>
      </c>
      <c r="J140" s="310" t="str">
        <f t="shared" si="2"/>
        <v/>
      </c>
      <c r="K140" s="306"/>
      <c r="L140" s="311" t="str">
        <f t="shared" si="3"/>
        <v/>
      </c>
      <c r="M140" s="312" t="b">
        <f t="shared" si="5"/>
        <v>0</v>
      </c>
      <c r="N140" s="311" t="str">
        <f t="shared" si="4"/>
        <v/>
      </c>
      <c r="O140" s="3"/>
      <c r="P140" s="3"/>
      <c r="Q140" s="3"/>
      <c r="R140" s="3"/>
      <c r="S140" s="3"/>
      <c r="T140" s="3"/>
      <c r="U140" s="3"/>
      <c r="V140" s="3"/>
      <c r="W140" s="3"/>
    </row>
    <row r="141">
      <c r="A141" s="94" t="str">
        <f>IF(OR(ISBLANK(RAW_APS!A141),ISBLANK(RAW_APS!B141),ISBLANK(RAW_APS!C141)),TRUE,IFERROR(0/0,""))</f>
        <v/>
      </c>
      <c r="B141" s="3"/>
      <c r="C141" s="94" t="str">
        <f>IF(ISBLANK(B141),IFERROR(0/0,""),RAW_APS!A141)</f>
        <v/>
      </c>
      <c r="D141" s="94" t="str">
        <f>IF(ISBLANK(C141),IFERROR(0/0,""), VLOOKUP(C141,preDEL!A$2:AG235,33,FALSE))</f>
        <v/>
      </c>
      <c r="E141" s="3"/>
      <c r="F141" s="129"/>
      <c r="G141" s="306"/>
      <c r="H141" s="309" t="str">
        <f t="shared" si="1"/>
        <v/>
      </c>
      <c r="I141" s="112" t="str">
        <f>CONCATENATE(UPPER(RAW_APS!$A142),"__",RAW_APS!$B142,"_",RAW_APS!$C142)</f>
        <v>AG1103__44697_0.190300925925926</v>
      </c>
      <c r="J141" s="310" t="str">
        <f t="shared" si="2"/>
        <v/>
      </c>
      <c r="K141" s="306"/>
      <c r="L141" s="311" t="str">
        <f t="shared" si="3"/>
        <v/>
      </c>
      <c r="M141" s="312" t="b">
        <f t="shared" si="5"/>
        <v>0</v>
      </c>
      <c r="N141" s="311" t="str">
        <f t="shared" si="4"/>
        <v/>
      </c>
      <c r="O141" s="3"/>
      <c r="P141" s="3"/>
      <c r="Q141" s="3"/>
      <c r="R141" s="3"/>
      <c r="S141" s="3"/>
      <c r="T141" s="3"/>
      <c r="U141" s="3"/>
      <c r="V141" s="3"/>
      <c r="W141" s="3"/>
    </row>
    <row r="142">
      <c r="A142" s="94" t="str">
        <f>IF(OR(ISBLANK(RAW_APS!A142),ISBLANK(RAW_APS!B142),ISBLANK(RAW_APS!C142)),TRUE,IFERROR(0/0,""))</f>
        <v/>
      </c>
      <c r="B142" s="3"/>
      <c r="C142" s="94" t="str">
        <f>IF(ISBLANK(B142),IFERROR(0/0,""),RAW_APS!A142)</f>
        <v/>
      </c>
      <c r="D142" s="94" t="str">
        <f>IF(ISBLANK(C142),IFERROR(0/0,""), VLOOKUP(C142,preDEL!A$2:AG235,33,FALSE))</f>
        <v/>
      </c>
      <c r="E142" s="3"/>
      <c r="F142" s="129"/>
      <c r="G142" s="306"/>
      <c r="H142" s="309" t="str">
        <f t="shared" si="1"/>
        <v/>
      </c>
      <c r="I142" s="112" t="str">
        <f>CONCATENATE(UPPER(RAW_APS!$A143),"__",RAW_APS!$B143,"_",RAW_APS!$C143)</f>
        <v>AG1103__44697_0.190300925925926</v>
      </c>
      <c r="J142" s="310" t="str">
        <f t="shared" si="2"/>
        <v/>
      </c>
      <c r="K142" s="306"/>
      <c r="L142" s="311" t="str">
        <f t="shared" si="3"/>
        <v/>
      </c>
      <c r="M142" s="312" t="b">
        <f t="shared" si="5"/>
        <v>0</v>
      </c>
      <c r="N142" s="311" t="str">
        <f t="shared" si="4"/>
        <v/>
      </c>
      <c r="O142" s="3"/>
      <c r="P142" s="3"/>
      <c r="Q142" s="3"/>
      <c r="R142" s="3"/>
      <c r="S142" s="3"/>
      <c r="T142" s="3"/>
      <c r="U142" s="3"/>
      <c r="V142" s="3"/>
      <c r="W142" s="3"/>
    </row>
    <row r="143">
      <c r="A143" s="94" t="str">
        <f>IF(OR(ISBLANK(RAW_APS!A143),ISBLANK(RAW_APS!B143),ISBLANK(RAW_APS!C143)),TRUE,IFERROR(0/0,""))</f>
        <v/>
      </c>
      <c r="B143" s="3"/>
      <c r="C143" s="94" t="str">
        <f>IF(ISBLANK(B143),IFERROR(0/0,""),RAW_APS!A143)</f>
        <v/>
      </c>
      <c r="D143" s="94" t="str">
        <f>IF(ISBLANK(C143),IFERROR(0/0,""), VLOOKUP(C143,preDEL!A$2:AG235,33,FALSE))</f>
        <v/>
      </c>
      <c r="E143" s="3"/>
      <c r="F143" s="129"/>
      <c r="G143" s="306"/>
      <c r="H143" s="309" t="str">
        <f t="shared" si="1"/>
        <v/>
      </c>
      <c r="I143" s="112" t="str">
        <f>CONCATENATE(UPPER(RAW_APS!$A144),"__",RAW_APS!$B144,"_",RAW_APS!$C144)</f>
        <v>AG1103__44697_0.190300925925926</v>
      </c>
      <c r="J143" s="310" t="str">
        <f t="shared" si="2"/>
        <v/>
      </c>
      <c r="K143" s="306"/>
      <c r="L143" s="311" t="str">
        <f t="shared" si="3"/>
        <v/>
      </c>
      <c r="M143" s="312" t="b">
        <f t="shared" si="5"/>
        <v>0</v>
      </c>
      <c r="N143" s="311" t="str">
        <f t="shared" si="4"/>
        <v/>
      </c>
      <c r="O143" s="3"/>
      <c r="P143" s="3"/>
      <c r="Q143" s="3"/>
      <c r="R143" s="3"/>
      <c r="S143" s="3"/>
      <c r="T143" s="3"/>
      <c r="U143" s="3"/>
      <c r="V143" s="3"/>
      <c r="W143" s="3"/>
    </row>
    <row r="144">
      <c r="A144" s="94" t="str">
        <f>IF(OR(ISBLANK(RAW_APS!A144),ISBLANK(RAW_APS!B144),ISBLANK(RAW_APS!C144)),TRUE,IFERROR(0/0,""))</f>
        <v/>
      </c>
      <c r="B144" s="3"/>
      <c r="C144" s="94" t="str">
        <f>IF(ISBLANK(B144),IFERROR(0/0,""),RAW_APS!A144)</f>
        <v/>
      </c>
      <c r="D144" s="94" t="str">
        <f>IF(ISBLANK(C144),IFERROR(0/0,""), VLOOKUP(C144,preDEL!A$2:AG235,33,FALSE))</f>
        <v/>
      </c>
      <c r="E144" s="3"/>
      <c r="F144" s="129"/>
      <c r="G144" s="306"/>
      <c r="H144" s="309" t="str">
        <f t="shared" si="1"/>
        <v/>
      </c>
      <c r="I144" s="112" t="str">
        <f>CONCATENATE(UPPER(RAW_APS!$A145),"__",RAW_APS!$B145,"_",RAW_APS!$C145)</f>
        <v>AG1103__44697_0.190300925925926</v>
      </c>
      <c r="J144" s="310" t="str">
        <f t="shared" si="2"/>
        <v/>
      </c>
      <c r="K144" s="306"/>
      <c r="L144" s="311" t="str">
        <f t="shared" si="3"/>
        <v/>
      </c>
      <c r="M144" s="312" t="b">
        <f t="shared" si="5"/>
        <v>0</v>
      </c>
      <c r="N144" s="311" t="str">
        <f t="shared" si="4"/>
        <v/>
      </c>
      <c r="O144" s="3"/>
      <c r="P144" s="3"/>
      <c r="Q144" s="3"/>
      <c r="R144" s="3"/>
      <c r="S144" s="3"/>
      <c r="T144" s="3"/>
      <c r="U144" s="3"/>
      <c r="V144" s="3"/>
      <c r="W144" s="3"/>
    </row>
    <row r="145">
      <c r="A145" s="94" t="str">
        <f>IF(OR(ISBLANK(RAW_APS!A145),ISBLANK(RAW_APS!B145),ISBLANK(RAW_APS!C145)),TRUE,IFERROR(0/0,""))</f>
        <v/>
      </c>
      <c r="B145" s="3"/>
      <c r="C145" s="94" t="str">
        <f>IF(ISBLANK(B145),IFERROR(0/0,""),RAW_APS!A145)</f>
        <v/>
      </c>
      <c r="D145" s="94" t="str">
        <f>IF(ISBLANK(C145),IFERROR(0/0,""), VLOOKUP(C145,preDEL!A$2:AG235,33,FALSE))</f>
        <v/>
      </c>
      <c r="E145" s="3"/>
      <c r="F145" s="129"/>
      <c r="G145" s="306"/>
      <c r="H145" s="309" t="str">
        <f t="shared" si="1"/>
        <v/>
      </c>
      <c r="I145" s="112" t="str">
        <f>CONCATENATE(UPPER(RAW_APS!$A146),"__",RAW_APS!$B146,"_",RAW_APS!$C146)</f>
        <v>AG1637__44697_0.176759259259259</v>
      </c>
      <c r="J145" s="310" t="str">
        <f t="shared" si="2"/>
        <v/>
      </c>
      <c r="K145" s="306"/>
      <c r="L145" s="311" t="str">
        <f t="shared" si="3"/>
        <v/>
      </c>
      <c r="M145" s="312" t="b">
        <f t="shared" si="5"/>
        <v>0</v>
      </c>
      <c r="N145" s="311" t="str">
        <f t="shared" si="4"/>
        <v/>
      </c>
      <c r="O145" s="3"/>
      <c r="P145" s="3"/>
      <c r="Q145" s="3"/>
      <c r="R145" s="3"/>
      <c r="S145" s="3"/>
      <c r="T145" s="3"/>
      <c r="U145" s="3"/>
      <c r="V145" s="3"/>
      <c r="W145" s="3"/>
    </row>
    <row r="146">
      <c r="A146" s="94" t="str">
        <f>IF(OR(ISBLANK(RAW_APS!A146),ISBLANK(RAW_APS!B146),ISBLANK(RAW_APS!C146)),TRUE,IFERROR(0/0,""))</f>
        <v/>
      </c>
      <c r="B146" s="3"/>
      <c r="C146" s="94" t="str">
        <f>IF(ISBLANK(B146),IFERROR(0/0,""),RAW_APS!A146)</f>
        <v/>
      </c>
      <c r="D146" s="94" t="str">
        <f>IF(ISBLANK(C146),IFERROR(0/0,""), VLOOKUP(C146,preDEL!A$2:AG235,33,FALSE))</f>
        <v/>
      </c>
      <c r="E146" s="3"/>
      <c r="F146" s="129"/>
      <c r="G146" s="306"/>
      <c r="H146" s="309" t="str">
        <f t="shared" si="1"/>
        <v/>
      </c>
      <c r="I146" s="112" t="str">
        <f>CONCATENATE(UPPER(RAW_APS!$A147),"__",RAW_APS!$B147,"_",RAW_APS!$C147)</f>
        <v>AG1637__44697_0.176759259259259</v>
      </c>
      <c r="J146" s="310" t="str">
        <f t="shared" si="2"/>
        <v/>
      </c>
      <c r="K146" s="306"/>
      <c r="L146" s="311" t="str">
        <f t="shared" si="3"/>
        <v/>
      </c>
      <c r="M146" s="312" t="b">
        <f t="shared" si="5"/>
        <v>0</v>
      </c>
      <c r="N146" s="311" t="str">
        <f t="shared" si="4"/>
        <v/>
      </c>
      <c r="O146" s="3"/>
      <c r="P146" s="3"/>
      <c r="Q146" s="3"/>
      <c r="R146" s="3"/>
      <c r="S146" s="3"/>
      <c r="T146" s="3"/>
      <c r="U146" s="3"/>
      <c r="V146" s="3"/>
      <c r="W146" s="3"/>
    </row>
    <row r="147">
      <c r="A147" s="94" t="str">
        <f>IF(OR(ISBLANK(RAW_APS!A147),ISBLANK(RAW_APS!B147),ISBLANK(RAW_APS!C147)),TRUE,IFERROR(0/0,""))</f>
        <v/>
      </c>
      <c r="B147" s="3"/>
      <c r="C147" s="94" t="str">
        <f>IF(ISBLANK(B147),IFERROR(0/0,""),RAW_APS!A147)</f>
        <v/>
      </c>
      <c r="D147" s="94" t="str">
        <f>IF(ISBLANK(C147),IFERROR(0/0,""), VLOOKUP(C147,preDEL!A$2:AG235,33,FALSE))</f>
        <v/>
      </c>
      <c r="E147" s="3"/>
      <c r="F147" s="129"/>
      <c r="G147" s="306"/>
      <c r="H147" s="309" t="str">
        <f t="shared" si="1"/>
        <v/>
      </c>
      <c r="I147" s="112" t="str">
        <f>CONCATENATE(UPPER(RAW_APS!$A148),"__",RAW_APS!$B148,"_",RAW_APS!$C148)</f>
        <v>AG1637__44697_0.176759259259259</v>
      </c>
      <c r="J147" s="310" t="str">
        <f t="shared" si="2"/>
        <v/>
      </c>
      <c r="K147" s="306"/>
      <c r="L147" s="311" t="str">
        <f t="shared" si="3"/>
        <v/>
      </c>
      <c r="M147" s="312" t="b">
        <f t="shared" si="5"/>
        <v>0</v>
      </c>
      <c r="N147" s="311" t="str">
        <f t="shared" si="4"/>
        <v/>
      </c>
      <c r="O147" s="3"/>
      <c r="P147" s="3"/>
      <c r="Q147" s="3"/>
      <c r="R147" s="3"/>
      <c r="S147" s="3"/>
      <c r="T147" s="3"/>
      <c r="U147" s="3"/>
      <c r="V147" s="3"/>
      <c r="W147" s="3"/>
    </row>
    <row r="148">
      <c r="A148" s="94" t="str">
        <f>IF(OR(ISBLANK(RAW_APS!A148),ISBLANK(RAW_APS!B148),ISBLANK(RAW_APS!C148)),TRUE,IFERROR(0/0,""))</f>
        <v/>
      </c>
      <c r="B148" s="3"/>
      <c r="C148" s="94" t="str">
        <f>IF(ISBLANK(B148),IFERROR(0/0,""),RAW_APS!A148)</f>
        <v/>
      </c>
      <c r="D148" s="94" t="str">
        <f>IF(ISBLANK(C148),IFERROR(0/0,""), VLOOKUP(C148,preDEL!A$2:AG235,33,FALSE))</f>
        <v/>
      </c>
      <c r="E148" s="3"/>
      <c r="F148" s="129"/>
      <c r="G148" s="306"/>
      <c r="H148" s="309" t="str">
        <f t="shared" si="1"/>
        <v/>
      </c>
      <c r="I148" s="112" t="str">
        <f>CONCATENATE(UPPER(RAW_APS!$A149),"__",RAW_APS!$B149,"_",RAW_APS!$C149)</f>
        <v>AG1637__44697_0.176759259259259</v>
      </c>
      <c r="J148" s="310" t="str">
        <f t="shared" si="2"/>
        <v/>
      </c>
      <c r="K148" s="306"/>
      <c r="L148" s="311" t="str">
        <f t="shared" si="3"/>
        <v/>
      </c>
      <c r="M148" s="312" t="b">
        <f t="shared" si="5"/>
        <v>0</v>
      </c>
      <c r="N148" s="311" t="str">
        <f t="shared" si="4"/>
        <v/>
      </c>
      <c r="O148" s="3"/>
      <c r="P148" s="3"/>
      <c r="Q148" s="3"/>
      <c r="R148" s="3"/>
      <c r="S148" s="3"/>
      <c r="T148" s="3"/>
      <c r="U148" s="3"/>
      <c r="V148" s="3"/>
      <c r="W148" s="3"/>
    </row>
    <row r="149">
      <c r="A149" s="94" t="str">
        <f>IF(OR(ISBLANK(RAW_APS!A149),ISBLANK(RAW_APS!B149),ISBLANK(RAW_APS!C149)),TRUE,IFERROR(0/0,""))</f>
        <v/>
      </c>
      <c r="B149" s="3"/>
      <c r="C149" s="94" t="str">
        <f>IF(ISBLANK(B149),IFERROR(0/0,""),RAW_APS!A149)</f>
        <v/>
      </c>
      <c r="D149" s="94" t="str">
        <f>IF(ISBLANK(C149),IFERROR(0/0,""), VLOOKUP(C149,preDEL!A$2:AG235,33,FALSE))</f>
        <v/>
      </c>
      <c r="E149" s="3"/>
      <c r="F149" s="129"/>
      <c r="G149" s="306"/>
      <c r="H149" s="309" t="str">
        <f t="shared" si="1"/>
        <v/>
      </c>
      <c r="I149" s="112" t="str">
        <f>CONCATENATE(UPPER(RAW_APS!$A150),"__",RAW_APS!$B150,"_",RAW_APS!$C150)</f>
        <v>AH7225__44697_0.153611111111111</v>
      </c>
      <c r="J149" s="310" t="str">
        <f t="shared" si="2"/>
        <v/>
      </c>
      <c r="K149" s="306"/>
      <c r="L149" s="311" t="str">
        <f t="shared" si="3"/>
        <v/>
      </c>
      <c r="M149" s="312" t="b">
        <f t="shared" si="5"/>
        <v>0</v>
      </c>
      <c r="N149" s="311" t="str">
        <f t="shared" si="4"/>
        <v/>
      </c>
      <c r="O149" s="3"/>
      <c r="P149" s="3"/>
      <c r="Q149" s="3"/>
      <c r="R149" s="3"/>
      <c r="S149" s="3"/>
      <c r="T149" s="3"/>
      <c r="U149" s="3"/>
      <c r="V149" s="3"/>
      <c r="W149" s="3"/>
    </row>
    <row r="150">
      <c r="A150" s="94" t="str">
        <f>IF(OR(ISBLANK(RAW_APS!A150),ISBLANK(RAW_APS!B150),ISBLANK(RAW_APS!C150)),TRUE,IFERROR(0/0,""))</f>
        <v/>
      </c>
      <c r="B150" s="3"/>
      <c r="C150" s="94" t="str">
        <f>IF(ISBLANK(B150),IFERROR(0/0,""),RAW_APS!A150)</f>
        <v/>
      </c>
      <c r="D150" s="94" t="str">
        <f>IF(ISBLANK(C150),IFERROR(0/0,""), VLOOKUP(C150,preDEL!A$2:AG235,33,FALSE))</f>
        <v/>
      </c>
      <c r="E150" s="3"/>
      <c r="F150" s="129"/>
      <c r="G150" s="306"/>
      <c r="H150" s="309" t="str">
        <f t="shared" si="1"/>
        <v/>
      </c>
      <c r="I150" s="112" t="str">
        <f>CONCATENATE(UPPER(RAW_APS!$A151),"__",RAW_APS!$B151,"_",RAW_APS!$C151)</f>
        <v>AH7225__44697_0.153611111111111</v>
      </c>
      <c r="J150" s="310" t="str">
        <f t="shared" si="2"/>
        <v/>
      </c>
      <c r="K150" s="306"/>
      <c r="L150" s="311" t="str">
        <f t="shared" si="3"/>
        <v/>
      </c>
      <c r="M150" s="312" t="b">
        <f t="shared" si="5"/>
        <v>0</v>
      </c>
      <c r="N150" s="311" t="str">
        <f t="shared" si="4"/>
        <v/>
      </c>
      <c r="O150" s="3"/>
      <c r="P150" s="3"/>
      <c r="Q150" s="3"/>
      <c r="R150" s="3"/>
      <c r="S150" s="3"/>
      <c r="T150" s="3"/>
      <c r="U150" s="3"/>
      <c r="V150" s="3"/>
      <c r="W150" s="3"/>
    </row>
    <row r="151">
      <c r="A151" s="94" t="str">
        <f>IF(OR(ISBLANK(RAW_APS!A151),ISBLANK(RAW_APS!B151),ISBLANK(RAW_APS!C151)),TRUE,IFERROR(0/0,""))</f>
        <v/>
      </c>
      <c r="B151" s="3"/>
      <c r="C151" s="94" t="str">
        <f>IF(ISBLANK(B151),IFERROR(0/0,""),RAW_APS!A151)</f>
        <v/>
      </c>
      <c r="D151" s="94" t="str">
        <f>IF(ISBLANK(C151),IFERROR(0/0,""), VLOOKUP(C151,preDEL!A$2:AG235,33,FALSE))</f>
        <v/>
      </c>
      <c r="E151" s="3"/>
      <c r="F151" s="129"/>
      <c r="G151" s="306"/>
      <c r="H151" s="309" t="str">
        <f t="shared" si="1"/>
        <v/>
      </c>
      <c r="I151" s="112" t="str">
        <f>CONCATENATE(UPPER(RAW_APS!$A152),"__",RAW_APS!$B152,"_",RAW_APS!$C152)</f>
        <v>AJ8574__44696_0.748252314814815</v>
      </c>
      <c r="J151" s="310" t="str">
        <f t="shared" si="2"/>
        <v/>
      </c>
      <c r="K151" s="306"/>
      <c r="L151" s="311" t="str">
        <f t="shared" si="3"/>
        <v/>
      </c>
      <c r="M151" s="312" t="b">
        <f t="shared" si="5"/>
        <v>0</v>
      </c>
      <c r="N151" s="311" t="str">
        <f t="shared" si="4"/>
        <v/>
      </c>
      <c r="O151" s="3"/>
      <c r="P151" s="3"/>
      <c r="Q151" s="3"/>
      <c r="R151" s="3"/>
      <c r="S151" s="3"/>
      <c r="T151" s="3"/>
      <c r="U151" s="3"/>
      <c r="V151" s="3"/>
      <c r="W151" s="3"/>
    </row>
    <row r="152">
      <c r="A152" s="94" t="str">
        <f>IF(OR(ISBLANK(RAW_APS!A152),ISBLANK(RAW_APS!B152),ISBLANK(RAW_APS!C152)),TRUE,IFERROR(0/0,""))</f>
        <v/>
      </c>
      <c r="B152" s="3"/>
      <c r="C152" s="94" t="str">
        <f>IF(ISBLANK(B152),IFERROR(0/0,""),RAW_APS!A152)</f>
        <v/>
      </c>
      <c r="D152" s="94" t="str">
        <f>IF(ISBLANK(C152),IFERROR(0/0,""), VLOOKUP(C152,preDEL!A$2:AG235,33,FALSE))</f>
        <v/>
      </c>
      <c r="E152" s="3"/>
      <c r="F152" s="129"/>
      <c r="G152" s="306"/>
      <c r="H152" s="309" t="str">
        <f t="shared" si="1"/>
        <v/>
      </c>
      <c r="I152" s="112" t="str">
        <f>CONCATENATE(UPPER(RAW_APS!$A153),"__",RAW_APS!$B153,"_",RAW_APS!$C153)</f>
        <v>AJ8574__44696_0.748252314814815</v>
      </c>
      <c r="J152" s="310" t="str">
        <f t="shared" si="2"/>
        <v/>
      </c>
      <c r="K152" s="306"/>
      <c r="L152" s="311" t="str">
        <f t="shared" si="3"/>
        <v/>
      </c>
      <c r="M152" s="312" t="b">
        <f t="shared" si="5"/>
        <v>0</v>
      </c>
      <c r="N152" s="311" t="str">
        <f t="shared" si="4"/>
        <v/>
      </c>
      <c r="O152" s="3"/>
      <c r="P152" s="3"/>
      <c r="Q152" s="3"/>
      <c r="R152" s="3"/>
      <c r="S152" s="3"/>
      <c r="T152" s="3"/>
      <c r="U152" s="3"/>
      <c r="V152" s="3"/>
      <c r="W152" s="3"/>
    </row>
    <row r="153">
      <c r="A153" s="94" t="str">
        <f>IF(OR(ISBLANK(RAW_APS!A153),ISBLANK(RAW_APS!B153),ISBLANK(RAW_APS!C153)),TRUE,IFERROR(0/0,""))</f>
        <v/>
      </c>
      <c r="B153" s="3"/>
      <c r="C153" s="94" t="str">
        <f>IF(ISBLANK(B153),IFERROR(0/0,""),RAW_APS!A153)</f>
        <v/>
      </c>
      <c r="D153" s="94" t="str">
        <f>IF(ISBLANK(C153),IFERROR(0/0,""), VLOOKUP(C153,preDEL!A$2:AG235,33,FALSE))</f>
        <v/>
      </c>
      <c r="E153" s="3"/>
      <c r="F153" s="129"/>
      <c r="G153" s="306"/>
      <c r="H153" s="309" t="str">
        <f t="shared" si="1"/>
        <v/>
      </c>
      <c r="I153" s="112" t="str">
        <f>CONCATENATE(UPPER(RAW_APS!$A154),"__",RAW_APS!$B154,"_",RAW_APS!$C154)</f>
        <v>AH266__44690_0.280162037037037</v>
      </c>
      <c r="J153" s="310" t="str">
        <f t="shared" si="2"/>
        <v/>
      </c>
      <c r="K153" s="306"/>
      <c r="L153" s="311" t="str">
        <f t="shared" si="3"/>
        <v/>
      </c>
      <c r="M153" s="312" t="b">
        <f t="shared" si="5"/>
        <v>0</v>
      </c>
      <c r="N153" s="311" t="str">
        <f t="shared" si="4"/>
        <v/>
      </c>
      <c r="O153" s="3"/>
      <c r="P153" s="3"/>
      <c r="Q153" s="3"/>
      <c r="R153" s="3"/>
      <c r="S153" s="3"/>
      <c r="T153" s="3"/>
      <c r="U153" s="3"/>
      <c r="V153" s="3"/>
      <c r="W153" s="3"/>
    </row>
    <row r="154">
      <c r="A154" s="94" t="str">
        <f>IF(OR(ISBLANK(RAW_APS!A154),ISBLANK(RAW_APS!B154),ISBLANK(RAW_APS!C154)),TRUE,IFERROR(0/0,""))</f>
        <v/>
      </c>
      <c r="B154" s="3"/>
      <c r="C154" s="94" t="str">
        <f>IF(ISBLANK(B154),IFERROR(0/0,""),RAW_APS!A154)</f>
        <v/>
      </c>
      <c r="D154" s="94" t="str">
        <f>IF(ISBLANK(C154),IFERROR(0/0,""), VLOOKUP(C154,preDEL!A$2:AG235,33,FALSE))</f>
        <v/>
      </c>
      <c r="E154" s="3"/>
      <c r="F154" s="129"/>
      <c r="G154" s="306"/>
      <c r="H154" s="309" t="str">
        <f t="shared" si="1"/>
        <v/>
      </c>
      <c r="I154" s="112" t="str">
        <f>CONCATENATE(UPPER(RAW_APS!$A155),"__",RAW_APS!$B155,"_",RAW_APS!$C155)</f>
        <v>AG1523__44690_0.279513888888889</v>
      </c>
      <c r="J154" s="310" t="str">
        <f t="shared" si="2"/>
        <v/>
      </c>
      <c r="K154" s="306"/>
      <c r="L154" s="311" t="str">
        <f t="shared" si="3"/>
        <v/>
      </c>
      <c r="M154" s="312" t="b">
        <f t="shared" si="5"/>
        <v>0</v>
      </c>
      <c r="N154" s="311" t="str">
        <f t="shared" si="4"/>
        <v/>
      </c>
      <c r="O154" s="3"/>
      <c r="P154" s="3"/>
      <c r="Q154" s="3"/>
      <c r="R154" s="3"/>
      <c r="S154" s="3"/>
      <c r="T154" s="3"/>
      <c r="U154" s="3"/>
      <c r="V154" s="3"/>
      <c r="W154" s="3"/>
    </row>
    <row r="155">
      <c r="A155" s="94" t="str">
        <f>IF(OR(ISBLANK(RAW_APS!A155),ISBLANK(RAW_APS!B155),ISBLANK(RAW_APS!C155)),TRUE,IFERROR(0/0,""))</f>
        <v/>
      </c>
      <c r="B155" s="3"/>
      <c r="C155" s="94" t="str">
        <f>IF(ISBLANK(B155),IFERROR(0/0,""),RAW_APS!A155)</f>
        <v/>
      </c>
      <c r="D155" s="94" t="str">
        <f>IF(ISBLANK(C155),IFERROR(0/0,""), VLOOKUP(C155,preDEL!A$2:AG235,33,FALSE))</f>
        <v/>
      </c>
      <c r="E155" s="3"/>
      <c r="F155" s="129"/>
      <c r="G155" s="306"/>
      <c r="H155" s="309" t="str">
        <f t="shared" si="1"/>
        <v/>
      </c>
      <c r="I155" s="112" t="str">
        <f>CONCATENATE(UPPER(RAW_APS!$A156),"__",RAW_APS!$B156,"_",RAW_APS!$C156)</f>
        <v>AG815__44690_0.243703703703704</v>
      </c>
      <c r="J155" s="310" t="str">
        <f t="shared" si="2"/>
        <v/>
      </c>
      <c r="K155" s="306"/>
      <c r="L155" s="311" t="str">
        <f t="shared" si="3"/>
        <v/>
      </c>
      <c r="M155" s="312" t="b">
        <f t="shared" si="5"/>
        <v>0</v>
      </c>
      <c r="N155" s="311" t="str">
        <f t="shared" si="4"/>
        <v/>
      </c>
      <c r="O155" s="3"/>
      <c r="P155" s="3"/>
      <c r="Q155" s="3"/>
      <c r="R155" s="3"/>
      <c r="S155" s="3"/>
      <c r="T155" s="3"/>
      <c r="U155" s="3"/>
      <c r="V155" s="3"/>
      <c r="W155" s="3"/>
    </row>
    <row r="156">
      <c r="A156" s="94" t="str">
        <f>IF(OR(ISBLANK(RAW_APS!A156),ISBLANK(RAW_APS!B156),ISBLANK(RAW_APS!C156)),TRUE,IFERROR(0/0,""))</f>
        <v/>
      </c>
      <c r="B156" s="3"/>
      <c r="C156" s="94" t="str">
        <f>IF(ISBLANK(B156),IFERROR(0/0,""),RAW_APS!A156)</f>
        <v/>
      </c>
      <c r="D156" s="94" t="str">
        <f>IF(ISBLANK(C156),IFERROR(0/0,""), VLOOKUP(C156,preDEL!A$2:AG235,33,FALSE))</f>
        <v/>
      </c>
      <c r="E156" s="3"/>
      <c r="F156" s="129"/>
      <c r="G156" s="306"/>
      <c r="H156" s="309" t="str">
        <f t="shared" si="1"/>
        <v/>
      </c>
      <c r="I156" s="112" t="str">
        <f>CONCATENATE(UPPER(RAW_APS!$A157),"__",RAW_APS!$B157,"_",RAW_APS!$C157)</f>
        <v>AJ8556__44690_0.213530092592593</v>
      </c>
      <c r="J156" s="310" t="str">
        <f t="shared" si="2"/>
        <v/>
      </c>
      <c r="K156" s="306"/>
      <c r="L156" s="311" t="str">
        <f t="shared" si="3"/>
        <v/>
      </c>
      <c r="M156" s="312" t="b">
        <f t="shared" si="5"/>
        <v>0</v>
      </c>
      <c r="N156" s="311" t="str">
        <f t="shared" si="4"/>
        <v/>
      </c>
      <c r="O156" s="3"/>
      <c r="P156" s="3"/>
      <c r="Q156" s="3"/>
      <c r="R156" s="3"/>
      <c r="S156" s="3"/>
      <c r="T156" s="3"/>
      <c r="U156" s="3"/>
      <c r="V156" s="3"/>
      <c r="W156" s="3"/>
    </row>
    <row r="157">
      <c r="A157" s="94" t="str">
        <f>IF(OR(ISBLANK(RAW_APS!A157),ISBLANK(RAW_APS!B157),ISBLANK(RAW_APS!C157)),TRUE,IFERROR(0/0,""))</f>
        <v/>
      </c>
      <c r="B157" s="3"/>
      <c r="C157" s="94" t="str">
        <f>IF(ISBLANK(B157),IFERROR(0/0,""),RAW_APS!A157)</f>
        <v/>
      </c>
      <c r="D157" s="94" t="str">
        <f>IF(ISBLANK(C157),IFERROR(0/0,""), VLOOKUP(C157,preDEL!A$2:AG235,33,FALSE))</f>
        <v/>
      </c>
      <c r="E157" s="3"/>
      <c r="F157" s="129"/>
      <c r="G157" s="306"/>
      <c r="H157" s="309" t="str">
        <f t="shared" si="1"/>
        <v/>
      </c>
      <c r="I157" s="112" t="str">
        <f>CONCATENATE(UPPER(RAW_APS!$A158),"__",RAW_APS!$B158,"_",RAW_APS!$C158)</f>
        <v>AH1039__44690_0.202905092592593</v>
      </c>
      <c r="J157" s="310" t="str">
        <f t="shared" si="2"/>
        <v/>
      </c>
      <c r="K157" s="306"/>
      <c r="L157" s="311" t="str">
        <f t="shared" si="3"/>
        <v/>
      </c>
      <c r="M157" s="312" t="b">
        <f t="shared" si="5"/>
        <v>0</v>
      </c>
      <c r="N157" s="311" t="str">
        <f t="shared" si="4"/>
        <v/>
      </c>
      <c r="O157" s="3"/>
      <c r="P157" s="3"/>
      <c r="Q157" s="3"/>
      <c r="R157" s="3"/>
      <c r="S157" s="3"/>
      <c r="T157" s="3"/>
      <c r="U157" s="3"/>
      <c r="V157" s="3"/>
      <c r="W157" s="3"/>
    </row>
    <row r="158">
      <c r="A158" s="94" t="str">
        <f>IF(OR(ISBLANK(RAW_APS!A158),ISBLANK(RAW_APS!B158),ISBLANK(RAW_APS!C158)),TRUE,IFERROR(0/0,""))</f>
        <v/>
      </c>
      <c r="B158" s="3"/>
      <c r="C158" s="94" t="str">
        <f>IF(ISBLANK(B158),IFERROR(0/0,""),RAW_APS!A158)</f>
        <v/>
      </c>
      <c r="D158" s="94" t="str">
        <f>IF(ISBLANK(C158),IFERROR(0/0,""), VLOOKUP(C158,preDEL!A$2:AG235,33,FALSE))</f>
        <v/>
      </c>
      <c r="E158" s="3"/>
      <c r="F158" s="129"/>
      <c r="G158" s="306"/>
      <c r="H158" s="309" t="str">
        <f t="shared" si="1"/>
        <v/>
      </c>
      <c r="I158" s="112" t="str">
        <f>CONCATENATE(UPPER(RAW_APS!$A159),"__",RAW_APS!$B159,"_",RAW_APS!$C159)</f>
        <v>AH1039__44690_0.202905092592593</v>
      </c>
      <c r="J158" s="310" t="str">
        <f t="shared" si="2"/>
        <v/>
      </c>
      <c r="K158" s="306"/>
      <c r="L158" s="311" t="str">
        <f t="shared" si="3"/>
        <v/>
      </c>
      <c r="M158" s="312" t="b">
        <f t="shared" si="5"/>
        <v>0</v>
      </c>
      <c r="N158" s="311" t="str">
        <f t="shared" si="4"/>
        <v/>
      </c>
      <c r="O158" s="3"/>
      <c r="P158" s="3"/>
      <c r="Q158" s="3"/>
      <c r="R158" s="3"/>
      <c r="S158" s="3"/>
      <c r="T158" s="3"/>
      <c r="U158" s="3"/>
      <c r="V158" s="3"/>
      <c r="W158" s="3"/>
    </row>
    <row r="159">
      <c r="A159" s="94" t="str">
        <f>IF(OR(ISBLANK(RAW_APS!A159),ISBLANK(RAW_APS!B159),ISBLANK(RAW_APS!C159)),TRUE,IFERROR(0/0,""))</f>
        <v/>
      </c>
      <c r="B159" s="3"/>
      <c r="C159" s="94" t="str">
        <f>IF(ISBLANK(B159),IFERROR(0/0,""),RAW_APS!A159)</f>
        <v/>
      </c>
      <c r="D159" s="94" t="str">
        <f>IF(ISBLANK(C159),IFERROR(0/0,""), VLOOKUP(C159,preDEL!A$2:AG235,33,FALSE))</f>
        <v/>
      </c>
      <c r="E159" s="3"/>
      <c r="F159" s="129"/>
      <c r="G159" s="306"/>
      <c r="H159" s="309" t="str">
        <f t="shared" si="1"/>
        <v/>
      </c>
      <c r="I159" s="112" t="str">
        <f>CONCATENATE(UPPER(RAW_APS!$A160),"__",RAW_APS!$B160,"_",RAW_APS!$C160)</f>
        <v>AH1039__44690_0.202905092592593</v>
      </c>
      <c r="J159" s="310" t="str">
        <f t="shared" si="2"/>
        <v/>
      </c>
      <c r="K159" s="306"/>
      <c r="L159" s="311" t="str">
        <f t="shared" si="3"/>
        <v/>
      </c>
      <c r="M159" s="312" t="b">
        <f t="shared" si="5"/>
        <v>0</v>
      </c>
      <c r="N159" s="311" t="str">
        <f t="shared" si="4"/>
        <v/>
      </c>
      <c r="O159" s="3"/>
      <c r="P159" s="3"/>
      <c r="Q159" s="3"/>
      <c r="R159" s="3"/>
      <c r="S159" s="3"/>
      <c r="T159" s="3"/>
      <c r="U159" s="3"/>
      <c r="V159" s="3"/>
      <c r="W159" s="3"/>
    </row>
    <row r="160">
      <c r="A160" s="94" t="str">
        <f>IF(OR(ISBLANK(RAW_APS!A160),ISBLANK(RAW_APS!B160),ISBLANK(RAW_APS!C160)),TRUE,IFERROR(0/0,""))</f>
        <v/>
      </c>
      <c r="B160" s="3"/>
      <c r="C160" s="94" t="str">
        <f>IF(ISBLANK(B160),IFERROR(0/0,""),RAW_APS!A160)</f>
        <v/>
      </c>
      <c r="D160" s="94" t="str">
        <f>IF(ISBLANK(C160),IFERROR(0/0,""), VLOOKUP(C160,preDEL!A$2:AG235,33,FALSE))</f>
        <v/>
      </c>
      <c r="E160" s="3"/>
      <c r="F160" s="129"/>
      <c r="G160" s="306"/>
      <c r="H160" s="309" t="str">
        <f t="shared" si="1"/>
        <v/>
      </c>
      <c r="I160" s="112" t="str">
        <f>CONCATENATE(UPPER(RAW_APS!$A161),"__",RAW_APS!$B161,"_",RAW_APS!$C161)</f>
        <v>AH7931__44690_0.178703703703704</v>
      </c>
      <c r="J160" s="310" t="str">
        <f t="shared" si="2"/>
        <v/>
      </c>
      <c r="K160" s="306"/>
      <c r="L160" s="311" t="str">
        <f t="shared" si="3"/>
        <v/>
      </c>
      <c r="M160" s="312" t="b">
        <f t="shared" si="5"/>
        <v>0</v>
      </c>
      <c r="N160" s="311" t="str">
        <f t="shared" si="4"/>
        <v/>
      </c>
      <c r="O160" s="3"/>
      <c r="P160" s="3"/>
      <c r="Q160" s="3"/>
      <c r="R160" s="3"/>
      <c r="S160" s="3"/>
      <c r="T160" s="3"/>
      <c r="U160" s="3"/>
      <c r="V160" s="3"/>
      <c r="W160" s="3"/>
    </row>
    <row r="161">
      <c r="A161" s="94" t="str">
        <f>IF(OR(ISBLANK(RAW_APS!A161),ISBLANK(RAW_APS!B161),ISBLANK(RAW_APS!C161)),TRUE,IFERROR(0/0,""))</f>
        <v/>
      </c>
      <c r="B161" s="3"/>
      <c r="C161" s="94" t="str">
        <f>IF(ISBLANK(B161),IFERROR(0/0,""),RAW_APS!A161)</f>
        <v/>
      </c>
      <c r="D161" s="94" t="str">
        <f>IF(ISBLANK(C161),IFERROR(0/0,""), VLOOKUP(C161,preDEL!A$2:AG235,33,FALSE))</f>
        <v/>
      </c>
      <c r="E161" s="3"/>
      <c r="F161" s="129"/>
      <c r="G161" s="306"/>
      <c r="H161" s="309" t="str">
        <f t="shared" si="1"/>
        <v/>
      </c>
      <c r="I161" s="112" t="str">
        <f>CONCATENATE(UPPER(RAW_APS!$A162),"__",RAW_APS!$B162,"_",RAW_APS!$C162)</f>
        <v>AH7931__44690_0.178703703703704</v>
      </c>
      <c r="J161" s="310" t="str">
        <f t="shared" si="2"/>
        <v/>
      </c>
      <c r="K161" s="306"/>
      <c r="L161" s="311" t="str">
        <f t="shared" si="3"/>
        <v/>
      </c>
      <c r="M161" s="312" t="b">
        <f t="shared" si="5"/>
        <v>0</v>
      </c>
      <c r="N161" s="311" t="str">
        <f t="shared" si="4"/>
        <v/>
      </c>
      <c r="O161" s="3"/>
      <c r="P161" s="3"/>
      <c r="Q161" s="3"/>
      <c r="R161" s="3"/>
      <c r="S161" s="3"/>
      <c r="T161" s="3"/>
      <c r="U161" s="3"/>
      <c r="V161" s="3"/>
      <c r="W161" s="3"/>
    </row>
    <row r="162">
      <c r="A162" s="94" t="str">
        <f>IF(OR(ISBLANK(RAW_APS!A162),ISBLANK(RAW_APS!B162),ISBLANK(RAW_APS!C162)),TRUE,IFERROR(0/0,""))</f>
        <v/>
      </c>
      <c r="B162" s="3"/>
      <c r="C162" s="94" t="str">
        <f>IF(ISBLANK(B162),IFERROR(0/0,""),RAW_APS!A162)</f>
        <v/>
      </c>
      <c r="D162" s="94" t="str">
        <f>IF(ISBLANK(C162),IFERROR(0/0,""), VLOOKUP(C162,preDEL!A$2:AG235,33,FALSE))</f>
        <v/>
      </c>
      <c r="E162" s="3"/>
      <c r="F162" s="129"/>
      <c r="G162" s="306"/>
      <c r="H162" s="309" t="str">
        <f t="shared" si="1"/>
        <v/>
      </c>
      <c r="I162" s="112" t="str">
        <f>CONCATENATE(UPPER(RAW_APS!$A163),"__",RAW_APS!$B163,"_",RAW_APS!$C163)</f>
        <v>AH7931__44690_0.178703703703704</v>
      </c>
      <c r="J162" s="310" t="str">
        <f t="shared" si="2"/>
        <v/>
      </c>
      <c r="K162" s="306"/>
      <c r="L162" s="311" t="str">
        <f t="shared" si="3"/>
        <v/>
      </c>
      <c r="M162" s="312" t="b">
        <f t="shared" si="5"/>
        <v>0</v>
      </c>
      <c r="N162" s="311" t="str">
        <f t="shared" si="4"/>
        <v/>
      </c>
      <c r="O162" s="3"/>
      <c r="P162" s="3"/>
      <c r="Q162" s="3"/>
      <c r="R162" s="3"/>
      <c r="S162" s="3"/>
      <c r="T162" s="3"/>
      <c r="U162" s="3"/>
      <c r="V162" s="3"/>
      <c r="W162" s="3"/>
    </row>
    <row r="163">
      <c r="A163" s="94" t="str">
        <f>IF(OR(ISBLANK(RAW_APS!A163),ISBLANK(RAW_APS!B163),ISBLANK(RAW_APS!C163)),TRUE,IFERROR(0/0,""))</f>
        <v/>
      </c>
      <c r="B163" s="3"/>
      <c r="C163" s="94" t="str">
        <f>IF(ISBLANK(B163),IFERROR(0/0,""),RAW_APS!A163)</f>
        <v/>
      </c>
      <c r="D163" s="94" t="str">
        <f>IF(ISBLANK(C163),IFERROR(0/0,""), VLOOKUP(C163,preDEL!A$2:AG235,33,FALSE))</f>
        <v/>
      </c>
      <c r="E163" s="3"/>
      <c r="F163" s="129"/>
      <c r="G163" s="306"/>
      <c r="H163" s="309" t="str">
        <f t="shared" si="1"/>
        <v/>
      </c>
      <c r="I163" s="112" t="str">
        <f>CONCATENATE(UPPER(RAW_APS!$A164),"__",RAW_APS!$B164,"_",RAW_APS!$C164)</f>
        <v>AG469__44690_0.170023148148148</v>
      </c>
      <c r="J163" s="310" t="str">
        <f t="shared" si="2"/>
        <v/>
      </c>
      <c r="K163" s="306"/>
      <c r="L163" s="311" t="str">
        <f t="shared" si="3"/>
        <v/>
      </c>
      <c r="M163" s="312" t="b">
        <f t="shared" si="5"/>
        <v>0</v>
      </c>
      <c r="N163" s="311" t="str">
        <f t="shared" si="4"/>
        <v/>
      </c>
      <c r="O163" s="3"/>
      <c r="P163" s="3"/>
      <c r="Q163" s="3"/>
      <c r="R163" s="3"/>
      <c r="S163" s="3"/>
      <c r="T163" s="3"/>
      <c r="U163" s="3"/>
      <c r="V163" s="3"/>
      <c r="W163" s="3"/>
    </row>
    <row r="164">
      <c r="A164" s="94" t="str">
        <f>IF(OR(ISBLANK(RAW_APS!A164),ISBLANK(RAW_APS!B164),ISBLANK(RAW_APS!C164)),TRUE,IFERROR(0/0,""))</f>
        <v/>
      </c>
      <c r="B164" s="3"/>
      <c r="C164" s="94" t="str">
        <f>IF(ISBLANK(B164),IFERROR(0/0,""),RAW_APS!A164)</f>
        <v/>
      </c>
      <c r="D164" s="94" t="str">
        <f>IF(ISBLANK(C164),IFERROR(0/0,""), VLOOKUP(C164,preDEL!A$2:AG235,33,FALSE))</f>
        <v/>
      </c>
      <c r="E164" s="3"/>
      <c r="F164" s="129"/>
      <c r="G164" s="306"/>
      <c r="H164" s="309" t="str">
        <f t="shared" si="1"/>
        <v/>
      </c>
      <c r="I164" s="112" t="str">
        <f>CONCATENATE(UPPER(RAW_APS!$A165),"__",RAW_APS!$B165,"_",RAW_APS!$C165)</f>
        <v>AG469__44690_0.170023148148148</v>
      </c>
      <c r="J164" s="310" t="str">
        <f t="shared" si="2"/>
        <v/>
      </c>
      <c r="K164" s="306"/>
      <c r="L164" s="311" t="str">
        <f t="shared" si="3"/>
        <v/>
      </c>
      <c r="M164" s="312" t="b">
        <f t="shared" si="5"/>
        <v>0</v>
      </c>
      <c r="N164" s="311" t="str">
        <f t="shared" si="4"/>
        <v/>
      </c>
      <c r="O164" s="3"/>
      <c r="P164" s="3"/>
      <c r="Q164" s="3"/>
      <c r="R164" s="3"/>
      <c r="S164" s="3"/>
      <c r="T164" s="3"/>
      <c r="U164" s="3"/>
      <c r="V164" s="3"/>
      <c r="W164" s="3"/>
    </row>
    <row r="165">
      <c r="A165" s="94" t="str">
        <f>IF(OR(ISBLANK(RAW_APS!A165),ISBLANK(RAW_APS!B165),ISBLANK(RAW_APS!C165)),TRUE,IFERROR(0/0,""))</f>
        <v/>
      </c>
      <c r="B165" s="3"/>
      <c r="C165" s="94" t="str">
        <f>IF(ISBLANK(B165),IFERROR(0/0,""),RAW_APS!A165)</f>
        <v/>
      </c>
      <c r="D165" s="94" t="str">
        <f>IF(ISBLANK(C165),IFERROR(0/0,""), VLOOKUP(C165,preDEL!A$2:AG235,33,FALSE))</f>
        <v/>
      </c>
      <c r="E165" s="3"/>
      <c r="F165" s="129"/>
      <c r="G165" s="306"/>
      <c r="H165" s="309" t="str">
        <f t="shared" si="1"/>
        <v/>
      </c>
      <c r="I165" s="112" t="str">
        <f>CONCATENATE(UPPER(RAW_APS!$A166),"__",RAW_APS!$B166,"_",RAW_APS!$C166)</f>
        <v>AG469__44690_0.170023148148148</v>
      </c>
      <c r="J165" s="310" t="str">
        <f t="shared" si="2"/>
        <v/>
      </c>
      <c r="K165" s="306"/>
      <c r="L165" s="311" t="str">
        <f t="shared" si="3"/>
        <v/>
      </c>
      <c r="M165" s="312" t="b">
        <f t="shared" si="5"/>
        <v>0</v>
      </c>
      <c r="N165" s="311" t="str">
        <f t="shared" si="4"/>
        <v/>
      </c>
      <c r="O165" s="3"/>
      <c r="P165" s="3"/>
      <c r="Q165" s="3"/>
      <c r="R165" s="3"/>
      <c r="S165" s="3"/>
      <c r="T165" s="3"/>
      <c r="U165" s="3"/>
      <c r="V165" s="3"/>
      <c r="W165" s="3"/>
    </row>
    <row r="166">
      <c r="A166" s="94" t="str">
        <f>IF(OR(ISBLANK(RAW_APS!A166),ISBLANK(RAW_APS!B166),ISBLANK(RAW_APS!C166)),TRUE,IFERROR(0/0,""))</f>
        <v/>
      </c>
      <c r="B166" s="3"/>
      <c r="C166" s="94" t="str">
        <f>IF(ISBLANK(B166),IFERROR(0/0,""),RAW_APS!A166)</f>
        <v/>
      </c>
      <c r="D166" s="94" t="str">
        <f>IF(ISBLANK(C166),IFERROR(0/0,""), VLOOKUP(C166,preDEL!A$2:AG235,33,FALSE))</f>
        <v/>
      </c>
      <c r="E166" s="3"/>
      <c r="F166" s="129"/>
      <c r="G166" s="306"/>
      <c r="H166" s="309" t="str">
        <f t="shared" si="1"/>
        <v/>
      </c>
      <c r="I166" s="112" t="str">
        <f>CONCATENATE(UPPER(RAW_APS!$A167),"__",RAW_APS!$B167,"_",RAW_APS!$C167)</f>
        <v>AG469__44690_0.170023148148148</v>
      </c>
      <c r="J166" s="310" t="str">
        <f t="shared" si="2"/>
        <v/>
      </c>
      <c r="K166" s="306"/>
      <c r="L166" s="311" t="str">
        <f t="shared" si="3"/>
        <v/>
      </c>
      <c r="M166" s="312" t="b">
        <f t="shared" si="5"/>
        <v>0</v>
      </c>
      <c r="N166" s="311" t="str">
        <f t="shared" si="4"/>
        <v/>
      </c>
      <c r="O166" s="3"/>
      <c r="P166" s="3"/>
      <c r="Q166" s="3"/>
      <c r="R166" s="3"/>
      <c r="S166" s="3"/>
      <c r="T166" s="3"/>
      <c r="U166" s="3"/>
      <c r="V166" s="3"/>
      <c r="W166" s="3"/>
    </row>
    <row r="167">
      <c r="A167" s="94" t="str">
        <f>IF(OR(ISBLANK(RAW_APS!A167),ISBLANK(RAW_APS!B167),ISBLANK(RAW_APS!C167)),TRUE,IFERROR(0/0,""))</f>
        <v/>
      </c>
      <c r="B167" s="3"/>
      <c r="C167" s="94" t="str">
        <f>IF(ISBLANK(B167),IFERROR(0/0,""),RAW_APS!A167)</f>
        <v/>
      </c>
      <c r="D167" s="94" t="str">
        <f>IF(ISBLANK(C167),IFERROR(0/0,""), VLOOKUP(C167,preDEL!A$2:AG235,33,FALSE))</f>
        <v/>
      </c>
      <c r="E167" s="3"/>
      <c r="F167" s="129"/>
      <c r="G167" s="306"/>
      <c r="H167" s="309" t="str">
        <f t="shared" si="1"/>
        <v/>
      </c>
      <c r="I167" s="112" t="str">
        <f>CONCATENATE(UPPER(RAW_APS!$A168),"__",RAW_APS!$B168,"_",RAW_APS!$C168)</f>
        <v>AK5211__44689_0.826030092592593</v>
      </c>
      <c r="J167" s="310" t="str">
        <f t="shared" si="2"/>
        <v/>
      </c>
      <c r="K167" s="306"/>
      <c r="L167" s="311" t="str">
        <f t="shared" si="3"/>
        <v/>
      </c>
      <c r="M167" s="312" t="b">
        <f t="shared" si="5"/>
        <v>0</v>
      </c>
      <c r="N167" s="311" t="str">
        <f t="shared" si="4"/>
        <v/>
      </c>
      <c r="O167" s="3"/>
      <c r="P167" s="3"/>
      <c r="Q167" s="3"/>
      <c r="R167" s="3"/>
      <c r="S167" s="3"/>
      <c r="T167" s="3"/>
      <c r="U167" s="3"/>
      <c r="V167" s="3"/>
      <c r="W167" s="3"/>
    </row>
    <row r="168">
      <c r="A168" s="94" t="str">
        <f>IF(OR(ISBLANK(RAW_APS!A168),ISBLANK(RAW_APS!B168),ISBLANK(RAW_APS!C168)),TRUE,IFERROR(0/0,""))</f>
        <v/>
      </c>
      <c r="B168" s="3"/>
      <c r="C168" s="94" t="str">
        <f>IF(ISBLANK(B168),IFERROR(0/0,""),RAW_APS!A168)</f>
        <v/>
      </c>
      <c r="D168" s="94" t="str">
        <f>IF(ISBLANK(C168),IFERROR(0/0,""), VLOOKUP(C168,preDEL!A$2:AG235,33,FALSE))</f>
        <v/>
      </c>
      <c r="E168" s="3"/>
      <c r="F168" s="129"/>
      <c r="G168" s="306"/>
      <c r="H168" s="309" t="str">
        <f t="shared" si="1"/>
        <v/>
      </c>
      <c r="I168" s="112" t="str">
        <f>CONCATENATE(UPPER(RAW_APS!$A169),"__",RAW_APS!$B169,"_",RAW_APS!$C169)</f>
        <v>AK5211__44689_0.826030092592593</v>
      </c>
      <c r="J168" s="310" t="str">
        <f t="shared" si="2"/>
        <v/>
      </c>
      <c r="K168" s="306"/>
      <c r="L168" s="311" t="str">
        <f t="shared" si="3"/>
        <v/>
      </c>
      <c r="M168" s="312" t="b">
        <f t="shared" si="5"/>
        <v>0</v>
      </c>
      <c r="N168" s="311" t="str">
        <f t="shared" si="4"/>
        <v/>
      </c>
      <c r="O168" s="3"/>
      <c r="P168" s="3"/>
      <c r="Q168" s="3"/>
      <c r="R168" s="3"/>
      <c r="S168" s="3"/>
      <c r="T168" s="3"/>
      <c r="U168" s="3"/>
      <c r="V168" s="3"/>
      <c r="W168" s="3"/>
    </row>
    <row r="169">
      <c r="A169" s="94" t="str">
        <f>IF(OR(ISBLANK(RAW_APS!A169),ISBLANK(RAW_APS!B169),ISBLANK(RAW_APS!C169)),TRUE,IFERROR(0/0,""))</f>
        <v/>
      </c>
      <c r="B169" s="3"/>
      <c r="C169" s="94" t="str">
        <f>IF(ISBLANK(B169),IFERROR(0/0,""),RAW_APS!A169)</f>
        <v/>
      </c>
      <c r="D169" s="94" t="str">
        <f>IF(ISBLANK(C169),IFERROR(0/0,""), VLOOKUP(C169,preDEL!A$2:AG235,33,FALSE))</f>
        <v/>
      </c>
      <c r="E169" s="3"/>
      <c r="F169" s="129"/>
      <c r="G169" s="306"/>
      <c r="H169" s="309" t="str">
        <f t="shared" si="1"/>
        <v/>
      </c>
      <c r="I169" s="112" t="str">
        <f>CONCATENATE(UPPER(RAW_APS!$A170),"__",RAW_APS!$B170,"_",RAW_APS!$C170)</f>
        <v>AK5211__44689_0.826030092592593</v>
      </c>
      <c r="J169" s="310" t="str">
        <f t="shared" si="2"/>
        <v/>
      </c>
      <c r="K169" s="306"/>
      <c r="L169" s="311" t="str">
        <f t="shared" si="3"/>
        <v/>
      </c>
      <c r="M169" s="312" t="b">
        <f t="shared" si="5"/>
        <v>0</v>
      </c>
      <c r="N169" s="311" t="str">
        <f t="shared" si="4"/>
        <v/>
      </c>
      <c r="O169" s="3"/>
      <c r="P169" s="3"/>
      <c r="Q169" s="3"/>
      <c r="R169" s="3"/>
      <c r="S169" s="3"/>
      <c r="T169" s="3"/>
      <c r="U169" s="3"/>
      <c r="V169" s="3"/>
      <c r="W169" s="3"/>
    </row>
    <row r="170">
      <c r="A170" s="94" t="str">
        <f>IF(OR(ISBLANK(RAW_APS!A170),ISBLANK(RAW_APS!B170),ISBLANK(RAW_APS!C170)),TRUE,IFERROR(0/0,""))</f>
        <v/>
      </c>
      <c r="B170" s="3"/>
      <c r="C170" s="94" t="str">
        <f>IF(ISBLANK(B170),IFERROR(0/0,""),RAW_APS!A170)</f>
        <v/>
      </c>
      <c r="D170" s="94" t="str">
        <f>IF(ISBLANK(C170),IFERROR(0/0,""), VLOOKUP(C170,preDEL!A$2:AG235,33,FALSE))</f>
        <v/>
      </c>
      <c r="E170" s="3"/>
      <c r="F170" s="129"/>
      <c r="G170" s="306"/>
      <c r="H170" s="309" t="str">
        <f t="shared" si="1"/>
        <v/>
      </c>
      <c r="I170" s="112" t="str">
        <f>CONCATENATE(UPPER(RAW_APS!$A171),"__",RAW_APS!$B171,"_",RAW_APS!$C171)</f>
        <v>AK5211__44689_0.826030092592593</v>
      </c>
      <c r="J170" s="310" t="str">
        <f t="shared" si="2"/>
        <v/>
      </c>
      <c r="K170" s="306"/>
      <c r="L170" s="311" t="str">
        <f t="shared" si="3"/>
        <v/>
      </c>
      <c r="M170" s="312" t="b">
        <f t="shared" si="5"/>
        <v>0</v>
      </c>
      <c r="N170" s="311" t="str">
        <f t="shared" si="4"/>
        <v/>
      </c>
      <c r="O170" s="3"/>
      <c r="P170" s="3"/>
      <c r="Q170" s="3"/>
      <c r="R170" s="3"/>
      <c r="S170" s="3"/>
      <c r="T170" s="3"/>
      <c r="U170" s="3"/>
      <c r="V170" s="3"/>
      <c r="W170" s="3"/>
    </row>
    <row r="171">
      <c r="A171" s="94" t="str">
        <f>IF(OR(ISBLANK(RAW_APS!A171),ISBLANK(RAW_APS!B171),ISBLANK(RAW_APS!C171)),TRUE,IFERROR(0/0,""))</f>
        <v/>
      </c>
      <c r="B171" s="3"/>
      <c r="C171" s="94" t="str">
        <f>IF(ISBLANK(B171),IFERROR(0/0,""),RAW_APS!A171)</f>
        <v/>
      </c>
      <c r="D171" s="94" t="str">
        <f>IF(ISBLANK(C171),IFERROR(0/0,""), VLOOKUP(C171,preDEL!A$2:AG235,33,FALSE))</f>
        <v/>
      </c>
      <c r="E171" s="3"/>
      <c r="F171" s="129"/>
      <c r="G171" s="306"/>
      <c r="H171" s="309" t="str">
        <f t="shared" si="1"/>
        <v/>
      </c>
      <c r="I171" s="112" t="str">
        <f>CONCATENATE(UPPER(RAW_APS!$A172),"__",RAW_APS!$B172,"_",RAW_APS!$C172)</f>
        <v>AG1866__44683_0.384201388888889</v>
      </c>
      <c r="J171" s="310" t="str">
        <f t="shared" si="2"/>
        <v/>
      </c>
      <c r="K171" s="306"/>
      <c r="L171" s="311" t="str">
        <f t="shared" si="3"/>
        <v/>
      </c>
      <c r="M171" s="312" t="b">
        <f t="shared" si="5"/>
        <v>0</v>
      </c>
      <c r="N171" s="311" t="str">
        <f t="shared" si="4"/>
        <v/>
      </c>
      <c r="O171" s="3"/>
      <c r="P171" s="3"/>
      <c r="Q171" s="3"/>
      <c r="R171" s="3"/>
      <c r="S171" s="3"/>
      <c r="T171" s="3"/>
      <c r="U171" s="3"/>
      <c r="V171" s="3"/>
      <c r="W171" s="3"/>
    </row>
    <row r="172">
      <c r="A172" s="94" t="str">
        <f>IF(OR(ISBLANK(RAW_APS!A172),ISBLANK(RAW_APS!B172),ISBLANK(RAW_APS!C172)),TRUE,IFERROR(0/0,""))</f>
        <v/>
      </c>
      <c r="B172" s="3"/>
      <c r="C172" s="94" t="str">
        <f>IF(ISBLANK(B172),IFERROR(0/0,""),RAW_APS!A172)</f>
        <v/>
      </c>
      <c r="D172" s="94" t="str">
        <f>IF(ISBLANK(C172),IFERROR(0/0,""), VLOOKUP(C172,preDEL!A$2:AG235,33,FALSE))</f>
        <v/>
      </c>
      <c r="E172" s="3"/>
      <c r="F172" s="129"/>
      <c r="G172" s="306"/>
      <c r="H172" s="309" t="str">
        <f t="shared" si="1"/>
        <v/>
      </c>
      <c r="I172" s="112" t="str">
        <f>CONCATENATE(UPPER(RAW_APS!$A173),"__",RAW_APS!$B173,"_",RAW_APS!$C173)</f>
        <v>AH9504__44683_0.278101851851852</v>
      </c>
      <c r="J172" s="310" t="str">
        <f t="shared" si="2"/>
        <v/>
      </c>
      <c r="K172" s="306"/>
      <c r="L172" s="311" t="str">
        <f t="shared" si="3"/>
        <v/>
      </c>
      <c r="M172" s="312" t="b">
        <f t="shared" si="5"/>
        <v>0</v>
      </c>
      <c r="N172" s="311" t="str">
        <f t="shared" si="4"/>
        <v/>
      </c>
      <c r="O172" s="3"/>
      <c r="P172" s="3"/>
      <c r="Q172" s="3"/>
      <c r="R172" s="3"/>
      <c r="S172" s="3"/>
      <c r="T172" s="3"/>
      <c r="U172" s="3"/>
      <c r="V172" s="3"/>
      <c r="W172" s="3"/>
    </row>
    <row r="173">
      <c r="A173" s="94" t="str">
        <f>IF(OR(ISBLANK(RAW_APS!A173),ISBLANK(RAW_APS!B173),ISBLANK(RAW_APS!C173)),TRUE,IFERROR(0/0,""))</f>
        <v/>
      </c>
      <c r="B173" s="3"/>
      <c r="C173" s="94" t="str">
        <f>IF(ISBLANK(B173),IFERROR(0/0,""),RAW_APS!A173)</f>
        <v/>
      </c>
      <c r="D173" s="94" t="str">
        <f>IF(ISBLANK(C173),IFERROR(0/0,""), VLOOKUP(C173,preDEL!A$2:AG235,33,FALSE))</f>
        <v/>
      </c>
      <c r="E173" s="3"/>
      <c r="F173" s="129"/>
      <c r="G173" s="306"/>
      <c r="H173" s="309" t="str">
        <f t="shared" si="1"/>
        <v/>
      </c>
      <c r="I173" s="112" t="str">
        <f>CONCATENATE(UPPER(RAW_APS!$A174),"__",RAW_APS!$B174,"_",RAW_APS!$C174)</f>
        <v>AK7529__44683_0.275763888888889</v>
      </c>
      <c r="J173" s="310" t="str">
        <f t="shared" si="2"/>
        <v/>
      </c>
      <c r="K173" s="306"/>
      <c r="L173" s="311" t="str">
        <f t="shared" si="3"/>
        <v/>
      </c>
      <c r="M173" s="312" t="b">
        <f t="shared" si="5"/>
        <v>0</v>
      </c>
      <c r="N173" s="311" t="str">
        <f t="shared" si="4"/>
        <v/>
      </c>
      <c r="O173" s="3"/>
      <c r="P173" s="3"/>
      <c r="Q173" s="3"/>
      <c r="R173" s="3"/>
      <c r="S173" s="3"/>
      <c r="T173" s="3"/>
      <c r="U173" s="3"/>
      <c r="V173" s="3"/>
      <c r="W173" s="3"/>
    </row>
    <row r="174">
      <c r="A174" s="94" t="str">
        <f>IF(OR(ISBLANK(RAW_APS!A174),ISBLANK(RAW_APS!B174),ISBLANK(RAW_APS!C174)),TRUE,IFERROR(0/0,""))</f>
        <v/>
      </c>
      <c r="B174" s="3"/>
      <c r="C174" s="94" t="str">
        <f>IF(ISBLANK(B174),IFERROR(0/0,""),RAW_APS!A174)</f>
        <v/>
      </c>
      <c r="D174" s="94" t="str">
        <f>IF(ISBLANK(C174),IFERROR(0/0,""), VLOOKUP(C174,preDEL!A$2:AG235,33,FALSE))</f>
        <v/>
      </c>
      <c r="E174" s="3"/>
      <c r="F174" s="129"/>
      <c r="G174" s="306"/>
      <c r="H174" s="309" t="str">
        <f t="shared" si="1"/>
        <v/>
      </c>
      <c r="I174" s="112" t="str">
        <f>CONCATENATE(UPPER(RAW_APS!$A175),"__",RAW_APS!$B175,"_",RAW_APS!$C175)</f>
        <v>AG2164__44683_0.258171296296296</v>
      </c>
      <c r="J174" s="310" t="str">
        <f t="shared" si="2"/>
        <v/>
      </c>
      <c r="K174" s="306"/>
      <c r="L174" s="311" t="str">
        <f t="shared" si="3"/>
        <v/>
      </c>
      <c r="M174" s="312" t="b">
        <f t="shared" si="5"/>
        <v>0</v>
      </c>
      <c r="N174" s="311" t="str">
        <f t="shared" si="4"/>
        <v/>
      </c>
      <c r="O174" s="3"/>
      <c r="P174" s="3"/>
      <c r="Q174" s="3"/>
      <c r="R174" s="3"/>
      <c r="S174" s="3"/>
      <c r="T174" s="3"/>
      <c r="U174" s="3"/>
      <c r="V174" s="3"/>
      <c r="W174" s="3"/>
    </row>
    <row r="175">
      <c r="A175" s="94" t="str">
        <f>IF(OR(ISBLANK(RAW_APS!A175),ISBLANK(RAW_APS!B175),ISBLANK(RAW_APS!C175)),TRUE,IFERROR(0/0,""))</f>
        <v/>
      </c>
      <c r="B175" s="3"/>
      <c r="C175" s="94" t="str">
        <f>IF(ISBLANK(B175),IFERROR(0/0,""),RAW_APS!A175)</f>
        <v/>
      </c>
      <c r="D175" s="94" t="str">
        <f>IF(ISBLANK(C175),IFERROR(0/0,""), VLOOKUP(C175,preDEL!A$2:AG235,33,FALSE))</f>
        <v/>
      </c>
      <c r="E175" s="3"/>
      <c r="F175" s="129"/>
      <c r="G175" s="306"/>
      <c r="H175" s="309" t="str">
        <f t="shared" si="1"/>
        <v/>
      </c>
      <c r="I175" s="112" t="str">
        <f>CONCATENATE(UPPER(RAW_APS!$A176),"__",RAW_APS!$B176,"_",RAW_APS!$C176)</f>
        <v>AG252__44683_0.239907407407407</v>
      </c>
      <c r="J175" s="310" t="str">
        <f t="shared" si="2"/>
        <v/>
      </c>
      <c r="K175" s="306"/>
      <c r="L175" s="311" t="str">
        <f t="shared" si="3"/>
        <v/>
      </c>
      <c r="M175" s="312" t="b">
        <f t="shared" si="5"/>
        <v>0</v>
      </c>
      <c r="N175" s="311" t="str">
        <f t="shared" si="4"/>
        <v/>
      </c>
      <c r="O175" s="3"/>
      <c r="P175" s="3"/>
      <c r="Q175" s="3"/>
      <c r="R175" s="3"/>
      <c r="S175" s="3"/>
      <c r="T175" s="3"/>
      <c r="U175" s="3"/>
      <c r="V175" s="3"/>
      <c r="W175" s="3"/>
    </row>
    <row r="176">
      <c r="A176" s="94" t="str">
        <f>IF(OR(ISBLANK(RAW_APS!A176),ISBLANK(RAW_APS!B176),ISBLANK(RAW_APS!C176)),TRUE,IFERROR(0/0,""))</f>
        <v/>
      </c>
      <c r="B176" s="3"/>
      <c r="C176" s="94" t="str">
        <f>IF(ISBLANK(B176),IFERROR(0/0,""),RAW_APS!A176)</f>
        <v/>
      </c>
      <c r="D176" s="94" t="str">
        <f>IF(ISBLANK(C176),IFERROR(0/0,""), VLOOKUP(C176,preDEL!A$2:AG235,33,FALSE))</f>
        <v/>
      </c>
      <c r="E176" s="3"/>
      <c r="F176" s="129"/>
      <c r="G176" s="306"/>
      <c r="H176" s="309" t="str">
        <f t="shared" si="1"/>
        <v/>
      </c>
      <c r="I176" s="112" t="str">
        <f>CONCATENATE(UPPER(RAW_APS!$A177),"__",RAW_APS!$B177,"_",RAW_APS!$C177)</f>
        <v>AG252__44683_0.239907407407407</v>
      </c>
      <c r="J176" s="310" t="str">
        <f t="shared" si="2"/>
        <v/>
      </c>
      <c r="K176" s="306"/>
      <c r="L176" s="311" t="str">
        <f t="shared" si="3"/>
        <v/>
      </c>
      <c r="M176" s="312" t="b">
        <f t="shared" si="5"/>
        <v>0</v>
      </c>
      <c r="N176" s="311" t="str">
        <f t="shared" si="4"/>
        <v/>
      </c>
      <c r="O176" s="3"/>
      <c r="P176" s="3"/>
      <c r="Q176" s="3"/>
      <c r="R176" s="3"/>
      <c r="S176" s="3"/>
      <c r="T176" s="3"/>
      <c r="U176" s="3"/>
      <c r="V176" s="3"/>
      <c r="W176" s="3"/>
    </row>
    <row r="177">
      <c r="A177" s="94" t="str">
        <f>IF(OR(ISBLANK(RAW_APS!A177),ISBLANK(RAW_APS!B177),ISBLANK(RAW_APS!C177)),TRUE,IFERROR(0/0,""))</f>
        <v/>
      </c>
      <c r="B177" s="3"/>
      <c r="C177" s="94" t="str">
        <f>IF(ISBLANK(B177),IFERROR(0/0,""),RAW_APS!A177)</f>
        <v/>
      </c>
      <c r="D177" s="94" t="str">
        <f>IF(ISBLANK(C177),IFERROR(0/0,""), VLOOKUP(C177,preDEL!A$2:AG235,33,FALSE))</f>
        <v/>
      </c>
      <c r="E177" s="3"/>
      <c r="F177" s="129"/>
      <c r="G177" s="306"/>
      <c r="H177" s="309" t="str">
        <f t="shared" si="1"/>
        <v/>
      </c>
      <c r="I177" s="112" t="str">
        <f>CONCATENATE(UPPER(RAW_APS!$A178),"__",RAW_APS!$B178,"_",RAW_APS!$C178)</f>
        <v>AG213__44683_0.238263888888889</v>
      </c>
      <c r="J177" s="310" t="str">
        <f t="shared" si="2"/>
        <v/>
      </c>
      <c r="K177" s="306"/>
      <c r="L177" s="311" t="str">
        <f t="shared" si="3"/>
        <v/>
      </c>
      <c r="M177" s="312" t="b">
        <f t="shared" si="5"/>
        <v>0</v>
      </c>
      <c r="N177" s="311" t="str">
        <f t="shared" si="4"/>
        <v/>
      </c>
      <c r="O177" s="3"/>
      <c r="P177" s="3"/>
      <c r="Q177" s="3"/>
      <c r="R177" s="3"/>
      <c r="S177" s="3"/>
      <c r="T177" s="3"/>
      <c r="U177" s="3"/>
      <c r="V177" s="3"/>
      <c r="W177" s="3"/>
    </row>
    <row r="178">
      <c r="A178" s="94" t="str">
        <f>IF(OR(ISBLANK(RAW_APS!A178),ISBLANK(RAW_APS!B178),ISBLANK(RAW_APS!C178)),TRUE,IFERROR(0/0,""))</f>
        <v/>
      </c>
      <c r="B178" s="3"/>
      <c r="C178" s="94" t="str">
        <f>IF(ISBLANK(B178),IFERROR(0/0,""),RAW_APS!A178)</f>
        <v/>
      </c>
      <c r="D178" s="94" t="str">
        <f>IF(ISBLANK(C178),IFERROR(0/0,""), VLOOKUP(C178,preDEL!A$2:AG235,33,FALSE))</f>
        <v/>
      </c>
      <c r="E178" s="3"/>
      <c r="F178" s="129"/>
      <c r="G178" s="306"/>
      <c r="H178" s="309" t="str">
        <f t="shared" si="1"/>
        <v/>
      </c>
      <c r="I178" s="112" t="str">
        <f>CONCATENATE(UPPER(RAW_APS!$A179),"__",RAW_APS!$B179,"_",RAW_APS!$C179)</f>
        <v>AG213__44683_0.238263888888889</v>
      </c>
      <c r="J178" s="310" t="str">
        <f t="shared" si="2"/>
        <v/>
      </c>
      <c r="K178" s="306"/>
      <c r="L178" s="311" t="str">
        <f t="shared" si="3"/>
        <v/>
      </c>
      <c r="M178" s="312" t="b">
        <f t="shared" si="5"/>
        <v>0</v>
      </c>
      <c r="N178" s="311" t="str">
        <f t="shared" si="4"/>
        <v/>
      </c>
      <c r="O178" s="3"/>
      <c r="P178" s="3"/>
      <c r="Q178" s="3"/>
      <c r="R178" s="3"/>
      <c r="S178" s="3"/>
      <c r="T178" s="3"/>
      <c r="U178" s="3"/>
      <c r="V178" s="3"/>
      <c r="W178" s="3"/>
    </row>
    <row r="179">
      <c r="A179" s="94" t="str">
        <f>IF(OR(ISBLANK(RAW_APS!A179),ISBLANK(RAW_APS!B179),ISBLANK(RAW_APS!C179)),TRUE,IFERROR(0/0,""))</f>
        <v/>
      </c>
      <c r="B179" s="3"/>
      <c r="C179" s="94" t="str">
        <f>IF(ISBLANK(B179),IFERROR(0/0,""),RAW_APS!A179)</f>
        <v/>
      </c>
      <c r="D179" s="94" t="str">
        <f>IF(ISBLANK(C179),IFERROR(0/0,""), VLOOKUP(C179,preDEL!A$2:AG235,33,FALSE))</f>
        <v/>
      </c>
      <c r="E179" s="3"/>
      <c r="F179" s="129"/>
      <c r="G179" s="306"/>
      <c r="H179" s="309" t="str">
        <f t="shared" si="1"/>
        <v/>
      </c>
      <c r="I179" s="112" t="str">
        <f>CONCATENATE(UPPER(RAW_APS!$A180),"__",RAW_APS!$B180,"_",RAW_APS!$C180)</f>
        <v>AJ9703__44683_0.236354166666667</v>
      </c>
      <c r="J179" s="310" t="str">
        <f t="shared" si="2"/>
        <v/>
      </c>
      <c r="K179" s="306"/>
      <c r="L179" s="311" t="str">
        <f t="shared" si="3"/>
        <v/>
      </c>
      <c r="M179" s="312" t="b">
        <f t="shared" si="5"/>
        <v>0</v>
      </c>
      <c r="N179" s="311" t="str">
        <f t="shared" si="4"/>
        <v/>
      </c>
      <c r="O179" s="3"/>
      <c r="P179" s="3"/>
      <c r="Q179" s="3"/>
      <c r="R179" s="3"/>
      <c r="S179" s="3"/>
      <c r="T179" s="3"/>
      <c r="U179" s="3"/>
      <c r="V179" s="3"/>
      <c r="W179" s="3"/>
    </row>
    <row r="180">
      <c r="A180" s="94" t="str">
        <f>IF(OR(ISBLANK(RAW_APS!A180),ISBLANK(RAW_APS!B180),ISBLANK(RAW_APS!C180)),TRUE,IFERROR(0/0,""))</f>
        <v/>
      </c>
      <c r="B180" s="3"/>
      <c r="C180" s="94" t="str">
        <f>IF(ISBLANK(B180),IFERROR(0/0,""),RAW_APS!A180)</f>
        <v/>
      </c>
      <c r="D180" s="94" t="str">
        <f>IF(ISBLANK(C180),IFERROR(0/0,""), VLOOKUP(C180,preDEL!A$2:AG235,33,FALSE))</f>
        <v/>
      </c>
      <c r="E180" s="3"/>
      <c r="F180" s="129"/>
      <c r="G180" s="306"/>
      <c r="H180" s="309" t="str">
        <f t="shared" si="1"/>
        <v/>
      </c>
      <c r="I180" s="112" t="str">
        <f>CONCATENATE(UPPER(RAW_APS!$A181),"__",RAW_APS!$B181,"_",RAW_APS!$C181)</f>
        <v>AJ9703__44683_0.236354166666667</v>
      </c>
      <c r="J180" s="310" t="str">
        <f t="shared" si="2"/>
        <v/>
      </c>
      <c r="K180" s="306"/>
      <c r="L180" s="311" t="str">
        <f t="shared" si="3"/>
        <v/>
      </c>
      <c r="M180" s="312" t="b">
        <f t="shared" si="5"/>
        <v>0</v>
      </c>
      <c r="N180" s="311" t="str">
        <f t="shared" si="4"/>
        <v/>
      </c>
      <c r="O180" s="3"/>
      <c r="P180" s="3"/>
      <c r="Q180" s="3"/>
      <c r="R180" s="3"/>
      <c r="S180" s="3"/>
      <c r="T180" s="3"/>
      <c r="U180" s="3"/>
      <c r="V180" s="3"/>
      <c r="W180" s="3"/>
    </row>
    <row r="181">
      <c r="A181" s="94" t="str">
        <f>IF(OR(ISBLANK(RAW_APS!A181),ISBLANK(RAW_APS!B181),ISBLANK(RAW_APS!C181)),TRUE,IFERROR(0/0,""))</f>
        <v/>
      </c>
      <c r="B181" s="3"/>
      <c r="C181" s="94" t="str">
        <f>IF(ISBLANK(B181),IFERROR(0/0,""),RAW_APS!A181)</f>
        <v/>
      </c>
      <c r="D181" s="94" t="str">
        <f>IF(ISBLANK(C181),IFERROR(0/0,""), VLOOKUP(C181,preDEL!A$2:AG235,33,FALSE))</f>
        <v/>
      </c>
      <c r="E181" s="3"/>
      <c r="F181" s="129"/>
      <c r="G181" s="306"/>
      <c r="H181" s="309" t="str">
        <f t="shared" si="1"/>
        <v/>
      </c>
      <c r="I181" s="112" t="str">
        <f>CONCATENATE(UPPER(RAW_APS!$A182),"__",RAW_APS!$B182,"_",RAW_APS!$C182)</f>
        <v>AG1713__44683_0.212569444444444</v>
      </c>
      <c r="J181" s="310" t="str">
        <f t="shared" si="2"/>
        <v/>
      </c>
      <c r="K181" s="306"/>
      <c r="L181" s="311" t="str">
        <f t="shared" si="3"/>
        <v/>
      </c>
      <c r="M181" s="312" t="b">
        <f t="shared" si="5"/>
        <v>0</v>
      </c>
      <c r="N181" s="311" t="str">
        <f t="shared" si="4"/>
        <v/>
      </c>
      <c r="O181" s="3"/>
      <c r="P181" s="3"/>
      <c r="Q181" s="3"/>
      <c r="R181" s="3"/>
      <c r="S181" s="3"/>
      <c r="T181" s="3"/>
      <c r="U181" s="3"/>
      <c r="V181" s="3"/>
      <c r="W181" s="3"/>
    </row>
    <row r="182">
      <c r="A182" s="94" t="str">
        <f>IF(OR(ISBLANK(RAW_APS!A182),ISBLANK(RAW_APS!B182),ISBLANK(RAW_APS!C182)),TRUE,IFERROR(0/0,""))</f>
        <v/>
      </c>
      <c r="B182" s="3"/>
      <c r="C182" s="94" t="str">
        <f>IF(ISBLANK(B182),IFERROR(0/0,""),RAW_APS!A182)</f>
        <v/>
      </c>
      <c r="D182" s="94" t="str">
        <f>IF(ISBLANK(C182),IFERROR(0/0,""), VLOOKUP(C182,preDEL!A$2:AG235,33,FALSE))</f>
        <v/>
      </c>
      <c r="E182" s="3"/>
      <c r="F182" s="129"/>
      <c r="G182" s="306"/>
      <c r="H182" s="309" t="str">
        <f t="shared" si="1"/>
        <v/>
      </c>
      <c r="I182" s="112" t="str">
        <f>CONCATENATE(UPPER(RAW_APS!$A183),"__",RAW_APS!$B183,"_",RAW_APS!$C183)</f>
        <v>AG1713__44683_0.212569444444444</v>
      </c>
      <c r="J182" s="310" t="str">
        <f t="shared" si="2"/>
        <v/>
      </c>
      <c r="K182" s="306"/>
      <c r="L182" s="311" t="str">
        <f t="shared" si="3"/>
        <v/>
      </c>
      <c r="M182" s="312" t="b">
        <f t="shared" si="5"/>
        <v>0</v>
      </c>
      <c r="N182" s="311" t="str">
        <f t="shared" si="4"/>
        <v/>
      </c>
      <c r="O182" s="3"/>
      <c r="P182" s="3"/>
      <c r="Q182" s="3"/>
      <c r="R182" s="3"/>
      <c r="S182" s="3"/>
      <c r="T182" s="3"/>
      <c r="U182" s="3"/>
      <c r="V182" s="3"/>
      <c r="W182" s="3"/>
    </row>
    <row r="183">
      <c r="A183" s="94" t="str">
        <f>IF(OR(ISBLANK(RAW_APS!A183),ISBLANK(RAW_APS!B183),ISBLANK(RAW_APS!C183)),TRUE,IFERROR(0/0,""))</f>
        <v/>
      </c>
      <c r="B183" s="3"/>
      <c r="C183" s="94" t="str">
        <f>IF(ISBLANK(B183),IFERROR(0/0,""),RAW_APS!A183)</f>
        <v/>
      </c>
      <c r="D183" s="94" t="str">
        <f>IF(ISBLANK(C183),IFERROR(0/0,""), VLOOKUP(C183,preDEL!A$2:AG235,33,FALSE))</f>
        <v/>
      </c>
      <c r="E183" s="3"/>
      <c r="F183" s="129"/>
      <c r="G183" s="306"/>
      <c r="H183" s="309" t="str">
        <f t="shared" si="1"/>
        <v/>
      </c>
      <c r="I183" s="112" t="str">
        <f>CONCATENATE(UPPER(RAW_APS!$A184),"__",RAW_APS!$B184,"_",RAW_APS!$C184)</f>
        <v>AJ9417__44683_0.209039351851852</v>
      </c>
      <c r="J183" s="310" t="str">
        <f t="shared" si="2"/>
        <v/>
      </c>
      <c r="K183" s="306"/>
      <c r="L183" s="311" t="str">
        <f t="shared" si="3"/>
        <v/>
      </c>
      <c r="M183" s="312" t="b">
        <f t="shared" si="5"/>
        <v>0</v>
      </c>
      <c r="N183" s="311" t="str">
        <f t="shared" si="4"/>
        <v/>
      </c>
      <c r="O183" s="3"/>
      <c r="P183" s="3"/>
      <c r="Q183" s="3"/>
      <c r="R183" s="3"/>
      <c r="S183" s="3"/>
      <c r="T183" s="3"/>
      <c r="U183" s="3"/>
      <c r="V183" s="3"/>
      <c r="W183" s="3"/>
    </row>
    <row r="184">
      <c r="A184" s="94" t="str">
        <f>IF(OR(ISBLANK(RAW_APS!A184),ISBLANK(RAW_APS!B184),ISBLANK(RAW_APS!C184)),TRUE,IFERROR(0/0,""))</f>
        <v/>
      </c>
      <c r="B184" s="3"/>
      <c r="C184" s="94" t="str">
        <f>IF(ISBLANK(B184),IFERROR(0/0,""),RAW_APS!A184)</f>
        <v/>
      </c>
      <c r="D184" s="94" t="str">
        <f>IF(ISBLANK(C184),IFERROR(0/0,""), VLOOKUP(C184,preDEL!A$2:AG235,33,FALSE))</f>
        <v/>
      </c>
      <c r="E184" s="3"/>
      <c r="F184" s="129"/>
      <c r="G184" s="306"/>
      <c r="H184" s="309" t="str">
        <f t="shared" si="1"/>
        <v/>
      </c>
      <c r="I184" s="112" t="str">
        <f>CONCATENATE(UPPER(RAW_APS!$A185),"__",RAW_APS!$B185,"_",RAW_APS!$C185)</f>
        <v>AJ9417__44683_0.209039351851852</v>
      </c>
      <c r="J184" s="310" t="str">
        <f t="shared" si="2"/>
        <v/>
      </c>
      <c r="K184" s="306"/>
      <c r="L184" s="311" t="str">
        <f t="shared" si="3"/>
        <v/>
      </c>
      <c r="M184" s="312" t="b">
        <f t="shared" si="5"/>
        <v>0</v>
      </c>
      <c r="N184" s="311" t="str">
        <f t="shared" si="4"/>
        <v/>
      </c>
      <c r="O184" s="3"/>
      <c r="P184" s="3"/>
      <c r="Q184" s="3"/>
      <c r="R184" s="3"/>
      <c r="S184" s="3"/>
      <c r="T184" s="3"/>
      <c r="U184" s="3"/>
      <c r="V184" s="3"/>
      <c r="W184" s="3"/>
    </row>
    <row r="185">
      <c r="A185" s="94" t="str">
        <f>IF(OR(ISBLANK(RAW_APS!A185),ISBLANK(RAW_APS!B185),ISBLANK(RAW_APS!C185)),TRUE,IFERROR(0/0,""))</f>
        <v/>
      </c>
      <c r="B185" s="3"/>
      <c r="C185" s="94" t="str">
        <f>IF(ISBLANK(B185),IFERROR(0/0,""),RAW_APS!A185)</f>
        <v/>
      </c>
      <c r="D185" s="94" t="str">
        <f>IF(ISBLANK(C185),IFERROR(0/0,""), VLOOKUP(C185,preDEL!A$2:AG235,33,FALSE))</f>
        <v/>
      </c>
      <c r="E185" s="3"/>
      <c r="F185" s="129"/>
      <c r="G185" s="306"/>
      <c r="H185" s="309" t="str">
        <f t="shared" si="1"/>
        <v/>
      </c>
      <c r="I185" s="112" t="str">
        <f>CONCATENATE(UPPER(RAW_APS!$A186),"__",RAW_APS!$B186,"_",RAW_APS!$C186)</f>
        <v>AJ9417__44683_0.209039351851852</v>
      </c>
      <c r="J185" s="310" t="str">
        <f t="shared" si="2"/>
        <v/>
      </c>
      <c r="K185" s="306"/>
      <c r="L185" s="311" t="str">
        <f t="shared" si="3"/>
        <v/>
      </c>
      <c r="M185" s="312" t="b">
        <f t="shared" si="5"/>
        <v>0</v>
      </c>
      <c r="N185" s="311" t="str">
        <f t="shared" si="4"/>
        <v/>
      </c>
      <c r="O185" s="3"/>
      <c r="P185" s="3"/>
      <c r="Q185" s="3"/>
      <c r="R185" s="3"/>
      <c r="S185" s="3"/>
      <c r="T185" s="3"/>
      <c r="U185" s="3"/>
      <c r="V185" s="3"/>
      <c r="W185" s="3"/>
    </row>
    <row r="186">
      <c r="A186" s="94" t="str">
        <f>IF(OR(ISBLANK(RAW_APS!A186),ISBLANK(RAW_APS!B186),ISBLANK(RAW_APS!C186)),TRUE,IFERROR(0/0,""))</f>
        <v/>
      </c>
      <c r="B186" s="3"/>
      <c r="C186" s="94" t="str">
        <f>IF(ISBLANK(B186),IFERROR(0/0,""),RAW_APS!A186)</f>
        <v/>
      </c>
      <c r="D186" s="94" t="str">
        <f>IF(ISBLANK(C186),IFERROR(0/0,""), VLOOKUP(C186,preDEL!A$2:AG235,33,FALSE))</f>
        <v/>
      </c>
      <c r="E186" s="3"/>
      <c r="F186" s="129"/>
      <c r="G186" s="306"/>
      <c r="H186" s="309" t="str">
        <f t="shared" si="1"/>
        <v/>
      </c>
      <c r="I186" s="112" t="str">
        <f>CONCATENATE(UPPER(RAW_APS!$A187),"__",RAW_APS!$B187,"_",RAW_APS!$C187)</f>
        <v>AJ9417__44683_0.209039351851852</v>
      </c>
      <c r="J186" s="310" t="str">
        <f t="shared" si="2"/>
        <v/>
      </c>
      <c r="K186" s="306"/>
      <c r="L186" s="311" t="str">
        <f t="shared" si="3"/>
        <v/>
      </c>
      <c r="M186" s="312" t="b">
        <f t="shared" si="5"/>
        <v>0</v>
      </c>
      <c r="N186" s="311" t="str">
        <f t="shared" si="4"/>
        <v/>
      </c>
      <c r="O186" s="3"/>
      <c r="P186" s="3"/>
      <c r="Q186" s="3"/>
      <c r="R186" s="3"/>
      <c r="S186" s="3"/>
      <c r="T186" s="3"/>
      <c r="U186" s="3"/>
      <c r="V186" s="3"/>
      <c r="W186" s="3"/>
    </row>
    <row r="187">
      <c r="A187" s="94" t="str">
        <f>IF(OR(ISBLANK(RAW_APS!A187),ISBLANK(RAW_APS!B187),ISBLANK(RAW_APS!C187)),TRUE,IFERROR(0/0,""))</f>
        <v/>
      </c>
      <c r="B187" s="3"/>
      <c r="C187" s="94" t="str">
        <f>IF(ISBLANK(B187),IFERROR(0/0,""),RAW_APS!A187)</f>
        <v/>
      </c>
      <c r="D187" s="94" t="str">
        <f>IF(ISBLANK(C187),IFERROR(0/0,""), VLOOKUP(C187,preDEL!A$2:AG235,33,FALSE))</f>
        <v/>
      </c>
      <c r="E187" s="3"/>
      <c r="F187" s="129"/>
      <c r="G187" s="306"/>
      <c r="H187" s="309" t="str">
        <f t="shared" si="1"/>
        <v/>
      </c>
      <c r="I187" s="112" t="str">
        <f>CONCATENATE(UPPER(RAW_APS!$A188),"__",RAW_APS!$B188,"_",RAW_APS!$C188)</f>
        <v>AJ8392__44683_0.2021875</v>
      </c>
      <c r="J187" s="310" t="str">
        <f t="shared" si="2"/>
        <v/>
      </c>
      <c r="K187" s="306"/>
      <c r="L187" s="311" t="str">
        <f t="shared" si="3"/>
        <v/>
      </c>
      <c r="M187" s="312" t="b">
        <f t="shared" si="5"/>
        <v>0</v>
      </c>
      <c r="N187" s="311" t="str">
        <f t="shared" si="4"/>
        <v/>
      </c>
      <c r="O187" s="3"/>
      <c r="P187" s="3"/>
      <c r="Q187" s="3"/>
      <c r="R187" s="3"/>
      <c r="S187" s="3"/>
      <c r="T187" s="3"/>
      <c r="U187" s="3"/>
      <c r="V187" s="3"/>
      <c r="W187" s="3"/>
    </row>
    <row r="188">
      <c r="A188" s="94" t="str">
        <f>IF(OR(ISBLANK(RAW_APS!A188),ISBLANK(RAW_APS!B188),ISBLANK(RAW_APS!C188)),TRUE,IFERROR(0/0,""))</f>
        <v/>
      </c>
      <c r="B188" s="3"/>
      <c r="C188" s="94" t="str">
        <f>IF(ISBLANK(B188),IFERROR(0/0,""),RAW_APS!A188)</f>
        <v/>
      </c>
      <c r="D188" s="94" t="str">
        <f>IF(ISBLANK(C188),IFERROR(0/0,""), VLOOKUP(C188,preDEL!A$2:AG235,33,FALSE))</f>
        <v/>
      </c>
      <c r="E188" s="3"/>
      <c r="F188" s="129"/>
      <c r="G188" s="306"/>
      <c r="H188" s="309" t="str">
        <f t="shared" si="1"/>
        <v/>
      </c>
      <c r="I188" s="112" t="str">
        <f>CONCATENATE(UPPER(RAW_APS!$A189),"__",RAW_APS!$B189,"_",RAW_APS!$C189)</f>
        <v>AJ8392__44683_0.2021875</v>
      </c>
      <c r="J188" s="310" t="str">
        <f t="shared" si="2"/>
        <v/>
      </c>
      <c r="K188" s="306"/>
      <c r="L188" s="311" t="str">
        <f t="shared" si="3"/>
        <v/>
      </c>
      <c r="M188" s="312" t="b">
        <f t="shared" si="5"/>
        <v>0</v>
      </c>
      <c r="N188" s="311" t="str">
        <f t="shared" si="4"/>
        <v/>
      </c>
      <c r="O188" s="3"/>
      <c r="P188" s="3"/>
      <c r="Q188" s="3"/>
      <c r="R188" s="3"/>
      <c r="S188" s="3"/>
      <c r="T188" s="3"/>
      <c r="U188" s="3"/>
      <c r="V188" s="3"/>
      <c r="W188" s="3"/>
    </row>
    <row r="189">
      <c r="A189" s="94" t="str">
        <f>IF(OR(ISBLANK(RAW_APS!A189),ISBLANK(RAW_APS!B189),ISBLANK(RAW_APS!C189)),TRUE,IFERROR(0/0,""))</f>
        <v/>
      </c>
      <c r="B189" s="3"/>
      <c r="C189" s="94" t="str">
        <f>IF(ISBLANK(B189),IFERROR(0/0,""),RAW_APS!A189)</f>
        <v/>
      </c>
      <c r="D189" s="94" t="str">
        <f>IF(ISBLANK(C189),IFERROR(0/0,""), VLOOKUP(C189,preDEL!A$2:AG235,33,FALSE))</f>
        <v/>
      </c>
      <c r="E189" s="3"/>
      <c r="F189" s="129"/>
      <c r="G189" s="306"/>
      <c r="H189" s="309" t="str">
        <f t="shared" si="1"/>
        <v/>
      </c>
      <c r="I189" s="112" t="str">
        <f>CONCATENATE(UPPER(RAW_APS!$A190),"__",RAW_APS!$B190,"_",RAW_APS!$C190)</f>
        <v>AJ9453__44683_0.197025462962963</v>
      </c>
      <c r="J189" s="310" t="str">
        <f t="shared" si="2"/>
        <v/>
      </c>
      <c r="K189" s="306"/>
      <c r="L189" s="311" t="str">
        <f t="shared" si="3"/>
        <v/>
      </c>
      <c r="M189" s="312" t="b">
        <f t="shared" si="5"/>
        <v>0</v>
      </c>
      <c r="N189" s="311" t="str">
        <f t="shared" si="4"/>
        <v/>
      </c>
      <c r="O189" s="3"/>
      <c r="P189" s="3"/>
      <c r="Q189" s="3"/>
      <c r="R189" s="3"/>
      <c r="S189" s="3"/>
      <c r="T189" s="3"/>
      <c r="U189" s="3"/>
      <c r="V189" s="3"/>
      <c r="W189" s="3"/>
    </row>
    <row r="190">
      <c r="A190" s="94" t="str">
        <f>IF(OR(ISBLANK(RAW_APS!A190),ISBLANK(RAW_APS!B190),ISBLANK(RAW_APS!C190)),TRUE,IFERROR(0/0,""))</f>
        <v/>
      </c>
      <c r="B190" s="3"/>
      <c r="C190" s="94" t="str">
        <f>IF(ISBLANK(B190),IFERROR(0/0,""),RAW_APS!A190)</f>
        <v/>
      </c>
      <c r="D190" s="94" t="str">
        <f>IF(ISBLANK(C190),IFERROR(0/0,""), VLOOKUP(C190,preDEL!A$2:AG235,33,FALSE))</f>
        <v/>
      </c>
      <c r="E190" s="3"/>
      <c r="F190" s="129"/>
      <c r="G190" s="306"/>
      <c r="H190" s="309" t="str">
        <f t="shared" si="1"/>
        <v/>
      </c>
      <c r="I190" s="112" t="str">
        <f>CONCATENATE(UPPER(RAW_APS!$A191),"__",RAW_APS!$B191,"_",RAW_APS!$C191)</f>
        <v>AH7299__44683_0.17994212962963</v>
      </c>
      <c r="J190" s="310" t="str">
        <f t="shared" si="2"/>
        <v/>
      </c>
      <c r="K190" s="306"/>
      <c r="L190" s="311" t="str">
        <f t="shared" si="3"/>
        <v/>
      </c>
      <c r="M190" s="312" t="b">
        <f t="shared" si="5"/>
        <v>0</v>
      </c>
      <c r="N190" s="311" t="str">
        <f t="shared" si="4"/>
        <v/>
      </c>
      <c r="O190" s="3"/>
      <c r="P190" s="3"/>
      <c r="Q190" s="3"/>
      <c r="R190" s="3"/>
      <c r="S190" s="3"/>
      <c r="T190" s="3"/>
      <c r="U190" s="3"/>
      <c r="V190" s="3"/>
      <c r="W190" s="3"/>
    </row>
    <row r="191">
      <c r="A191" s="94" t="str">
        <f>IF(OR(ISBLANK(RAW_APS!A191),ISBLANK(RAW_APS!B191),ISBLANK(RAW_APS!C191)),TRUE,IFERROR(0/0,""))</f>
        <v/>
      </c>
      <c r="B191" s="3"/>
      <c r="C191" s="94" t="str">
        <f>IF(ISBLANK(B191),IFERROR(0/0,""),RAW_APS!A191)</f>
        <v/>
      </c>
      <c r="D191" s="94" t="str">
        <f>IF(ISBLANK(C191),IFERROR(0/0,""), VLOOKUP(C191,preDEL!A$2:AG235,33,FALSE))</f>
        <v/>
      </c>
      <c r="E191" s="3"/>
      <c r="F191" s="129"/>
      <c r="G191" s="306"/>
      <c r="H191" s="309" t="str">
        <f t="shared" si="1"/>
        <v/>
      </c>
      <c r="I191" s="112" t="str">
        <f>CONCATENATE(UPPER(RAW_APS!$A192),"__",RAW_APS!$B192,"_",RAW_APS!$C192)</f>
        <v>AH7292__44683_0.178321759259259</v>
      </c>
      <c r="J191" s="310" t="str">
        <f t="shared" si="2"/>
        <v/>
      </c>
      <c r="K191" s="306"/>
      <c r="L191" s="311" t="str">
        <f t="shared" si="3"/>
        <v/>
      </c>
      <c r="M191" s="312" t="b">
        <f t="shared" si="5"/>
        <v>0</v>
      </c>
      <c r="N191" s="311" t="str">
        <f t="shared" si="4"/>
        <v/>
      </c>
      <c r="O191" s="3"/>
      <c r="P191" s="3"/>
      <c r="Q191" s="3"/>
      <c r="R191" s="3"/>
      <c r="S191" s="3"/>
      <c r="T191" s="3"/>
      <c r="U191" s="3"/>
      <c r="V191" s="3"/>
      <c r="W191" s="3"/>
    </row>
    <row r="192">
      <c r="A192" s="94" t="str">
        <f>IF(OR(ISBLANK(RAW_APS!A192),ISBLANK(RAW_APS!B192),ISBLANK(RAW_APS!C192)),TRUE,IFERROR(0/0,""))</f>
        <v/>
      </c>
      <c r="B192" s="3"/>
      <c r="C192" s="94" t="str">
        <f>IF(ISBLANK(B192),IFERROR(0/0,""),RAW_APS!A192)</f>
        <v/>
      </c>
      <c r="D192" s="94" t="str">
        <f>IF(ISBLANK(C192),IFERROR(0/0,""), VLOOKUP(C192,preDEL!A$2:AG235,33,FALSE))</f>
        <v/>
      </c>
      <c r="E192" s="3"/>
      <c r="F192" s="129"/>
      <c r="G192" s="306"/>
      <c r="H192" s="309" t="str">
        <f t="shared" si="1"/>
        <v/>
      </c>
      <c r="I192" s="112" t="str">
        <f>CONCATENATE(UPPER(RAW_APS!$A193),"__",RAW_APS!$B193,"_",RAW_APS!$C193)</f>
        <v>AG1419__44683_0.17806712962963</v>
      </c>
      <c r="J192" s="310" t="str">
        <f t="shared" si="2"/>
        <v/>
      </c>
      <c r="K192" s="306"/>
      <c r="L192" s="311" t="str">
        <f t="shared" si="3"/>
        <v/>
      </c>
      <c r="M192" s="312" t="b">
        <f t="shared" si="5"/>
        <v>0</v>
      </c>
      <c r="N192" s="311" t="str">
        <f t="shared" si="4"/>
        <v/>
      </c>
      <c r="O192" s="3"/>
      <c r="P192" s="3"/>
      <c r="Q192" s="3"/>
      <c r="R192" s="3"/>
      <c r="S192" s="3"/>
      <c r="T192" s="3"/>
      <c r="U192" s="3"/>
      <c r="V192" s="3"/>
      <c r="W192" s="3"/>
    </row>
    <row r="193">
      <c r="A193" s="94" t="str">
        <f>IF(OR(ISBLANK(RAW_APS!A193),ISBLANK(RAW_APS!B193),ISBLANK(RAW_APS!C193)),TRUE,IFERROR(0/0,""))</f>
        <v/>
      </c>
      <c r="B193" s="3"/>
      <c r="C193" s="94" t="str">
        <f>IF(ISBLANK(B193),IFERROR(0/0,""),RAW_APS!A193)</f>
        <v/>
      </c>
      <c r="D193" s="94" t="str">
        <f>IF(ISBLANK(C193),IFERROR(0/0,""), VLOOKUP(C193,preDEL!A$2:AG235,33,FALSE))</f>
        <v/>
      </c>
      <c r="E193" s="3"/>
      <c r="F193" s="129"/>
      <c r="G193" s="306"/>
      <c r="H193" s="309" t="str">
        <f t="shared" si="1"/>
        <v/>
      </c>
      <c r="I193" s="112" t="str">
        <f>CONCATENATE(UPPER(RAW_APS!$A194),"__",RAW_APS!$B194,"_",RAW_APS!$C194)</f>
        <v>AG91__44683_0.177708333333333</v>
      </c>
      <c r="J193" s="310" t="str">
        <f t="shared" si="2"/>
        <v/>
      </c>
      <c r="K193" s="306"/>
      <c r="L193" s="311" t="str">
        <f t="shared" si="3"/>
        <v/>
      </c>
      <c r="M193" s="312" t="b">
        <f t="shared" si="5"/>
        <v>0</v>
      </c>
      <c r="N193" s="311" t="str">
        <f t="shared" si="4"/>
        <v/>
      </c>
      <c r="O193" s="3"/>
      <c r="P193" s="3"/>
      <c r="Q193" s="3"/>
      <c r="R193" s="3"/>
      <c r="S193" s="3"/>
      <c r="T193" s="3"/>
      <c r="U193" s="3"/>
      <c r="V193" s="3"/>
      <c r="W193" s="3"/>
    </row>
    <row r="194">
      <c r="A194" s="94" t="str">
        <f>IF(OR(ISBLANK(RAW_APS!A194),ISBLANK(RAW_APS!B194),ISBLANK(RAW_APS!C194)),TRUE,IFERROR(0/0,""))</f>
        <v/>
      </c>
      <c r="B194" s="3"/>
      <c r="C194" s="94" t="str">
        <f>IF(ISBLANK(B194),IFERROR(0/0,""),RAW_APS!A194)</f>
        <v/>
      </c>
      <c r="D194" s="94" t="str">
        <f>IF(ISBLANK(C194),IFERROR(0/0,""), VLOOKUP(C194,preDEL!A$2:AG235,33,FALSE))</f>
        <v/>
      </c>
      <c r="E194" s="3"/>
      <c r="F194" s="129"/>
      <c r="G194" s="306"/>
      <c r="H194" s="309" t="str">
        <f t="shared" si="1"/>
        <v/>
      </c>
      <c r="I194" s="112" t="str">
        <f>CONCATENATE(UPPER(RAW_APS!$A195),"__",RAW_APS!$B195,"_",RAW_APS!$C195)</f>
        <v>AK7133__44683_0.177210648148148</v>
      </c>
      <c r="J194" s="310" t="str">
        <f t="shared" si="2"/>
        <v/>
      </c>
      <c r="K194" s="306"/>
      <c r="L194" s="311" t="str">
        <f t="shared" si="3"/>
        <v/>
      </c>
      <c r="M194" s="312" t="b">
        <f t="shared" si="5"/>
        <v>0</v>
      </c>
      <c r="N194" s="311" t="str">
        <f t="shared" si="4"/>
        <v/>
      </c>
      <c r="O194" s="3"/>
      <c r="P194" s="3"/>
      <c r="Q194" s="3"/>
      <c r="R194" s="3"/>
      <c r="S194" s="3"/>
      <c r="T194" s="3"/>
      <c r="U194" s="3"/>
      <c r="V194" s="3"/>
      <c r="W194" s="3"/>
    </row>
    <row r="195">
      <c r="A195" s="94" t="str">
        <f>IF(OR(ISBLANK(RAW_APS!A195),ISBLANK(RAW_APS!B195),ISBLANK(RAW_APS!C195)),TRUE,IFERROR(0/0,""))</f>
        <v/>
      </c>
      <c r="B195" s="3"/>
      <c r="C195" s="94" t="str">
        <f>IF(ISBLANK(B195),IFERROR(0/0,""),RAW_APS!A195)</f>
        <v/>
      </c>
      <c r="D195" s="94" t="str">
        <f>IF(ISBLANK(C195),IFERROR(0/0,""), VLOOKUP(C195,preDEL!A$2:AG235,33,FALSE))</f>
        <v/>
      </c>
      <c r="E195" s="3"/>
      <c r="F195" s="129"/>
      <c r="G195" s="306"/>
      <c r="H195" s="309" t="str">
        <f t="shared" si="1"/>
        <v/>
      </c>
      <c r="I195" s="112" t="str">
        <f>CONCATENATE(UPPER(RAW_APS!$A196),"__",RAW_APS!$B196,"_",RAW_APS!$C196)</f>
        <v>AG575__44683_0.174976851851852</v>
      </c>
      <c r="J195" s="310" t="str">
        <f t="shared" si="2"/>
        <v/>
      </c>
      <c r="K195" s="306"/>
      <c r="L195" s="311" t="str">
        <f t="shared" si="3"/>
        <v/>
      </c>
      <c r="M195" s="312" t="b">
        <f t="shared" si="5"/>
        <v>0</v>
      </c>
      <c r="N195" s="311" t="str">
        <f t="shared" si="4"/>
        <v/>
      </c>
      <c r="O195" s="3"/>
      <c r="P195" s="3"/>
      <c r="Q195" s="3"/>
      <c r="R195" s="3"/>
      <c r="S195" s="3"/>
      <c r="T195" s="3"/>
      <c r="U195" s="3"/>
      <c r="V195" s="3"/>
      <c r="W195" s="3"/>
    </row>
    <row r="196">
      <c r="A196" s="94" t="str">
        <f>IF(OR(ISBLANK(RAW_APS!A196),ISBLANK(RAW_APS!B196),ISBLANK(RAW_APS!C196)),TRUE,IFERROR(0/0,""))</f>
        <v/>
      </c>
      <c r="B196" s="3"/>
      <c r="C196" s="94" t="str">
        <f>IF(ISBLANK(B196),IFERROR(0/0,""),RAW_APS!A196)</f>
        <v/>
      </c>
      <c r="D196" s="94" t="str">
        <f>IF(ISBLANK(C196),IFERROR(0/0,""), VLOOKUP(C196,preDEL!A$2:AG235,33,FALSE))</f>
        <v/>
      </c>
      <c r="E196" s="3"/>
      <c r="F196" s="129"/>
      <c r="G196" s="306"/>
      <c r="H196" s="309" t="str">
        <f t="shared" si="1"/>
        <v/>
      </c>
      <c r="I196" s="112" t="str">
        <f>CONCATENATE(UPPER(RAW_APS!$A197),"__",RAW_APS!$B197,"_",RAW_APS!$C197)</f>
        <v>AG575__44683_0.174976851851852</v>
      </c>
      <c r="J196" s="310" t="str">
        <f t="shared" si="2"/>
        <v/>
      </c>
      <c r="K196" s="306"/>
      <c r="L196" s="311" t="str">
        <f t="shared" si="3"/>
        <v/>
      </c>
      <c r="M196" s="312" t="b">
        <f t="shared" si="5"/>
        <v>0</v>
      </c>
      <c r="N196" s="311" t="str">
        <f t="shared" si="4"/>
        <v/>
      </c>
      <c r="O196" s="3"/>
      <c r="P196" s="3"/>
      <c r="Q196" s="3"/>
      <c r="R196" s="3"/>
      <c r="S196" s="3"/>
      <c r="T196" s="3"/>
      <c r="U196" s="3"/>
      <c r="V196" s="3"/>
      <c r="W196" s="3"/>
    </row>
    <row r="197">
      <c r="A197" s="94" t="str">
        <f>IF(OR(ISBLANK(RAW_APS!A197),ISBLANK(RAW_APS!B197),ISBLANK(RAW_APS!C197)),TRUE,IFERROR(0/0,""))</f>
        <v/>
      </c>
      <c r="B197" s="3"/>
      <c r="C197" s="94" t="str">
        <f>IF(ISBLANK(B197),IFERROR(0/0,""),RAW_APS!A197)</f>
        <v/>
      </c>
      <c r="D197" s="94" t="str">
        <f>IF(ISBLANK(C197),IFERROR(0/0,""), VLOOKUP(C197,preDEL!A$2:AG235,33,FALSE))</f>
        <v/>
      </c>
      <c r="E197" s="3"/>
      <c r="F197" s="129"/>
      <c r="G197" s="306"/>
      <c r="H197" s="309" t="str">
        <f t="shared" si="1"/>
        <v/>
      </c>
      <c r="I197" s="112" t="str">
        <f>CONCATENATE(UPPER(RAW_APS!$A198),"__",RAW_APS!$B198,"_",RAW_APS!$C198)</f>
        <v>TEST_04-28-22__44679_0.521516203703704</v>
      </c>
      <c r="J197" s="310" t="str">
        <f t="shared" si="2"/>
        <v/>
      </c>
      <c r="K197" s="306"/>
      <c r="L197" s="311" t="str">
        <f t="shared" si="3"/>
        <v/>
      </c>
      <c r="M197" s="312" t="b">
        <f t="shared" si="5"/>
        <v>0</v>
      </c>
      <c r="N197" s="311" t="str">
        <f t="shared" si="4"/>
        <v/>
      </c>
      <c r="O197" s="3"/>
      <c r="P197" s="3"/>
      <c r="Q197" s="3"/>
      <c r="R197" s="3"/>
      <c r="S197" s="3"/>
      <c r="T197" s="3"/>
      <c r="U197" s="3"/>
      <c r="V197" s="3"/>
      <c r="W197" s="3"/>
    </row>
    <row r="198">
      <c r="A198" s="94" t="str">
        <f>IF(OR(ISBLANK(RAW_APS!A198),ISBLANK(RAW_APS!B198),ISBLANK(RAW_APS!C198)),TRUE,IFERROR(0/0,""))</f>
        <v/>
      </c>
      <c r="B198" s="3"/>
      <c r="C198" s="94" t="str">
        <f>IF(ISBLANK(B198),IFERROR(0/0,""),RAW_APS!A198)</f>
        <v/>
      </c>
      <c r="D198" s="94" t="str">
        <f>IF(ISBLANK(C198),IFERROR(0/0,""), VLOOKUP(C198,preDEL!A$2:AG235,33,FALSE))</f>
        <v/>
      </c>
      <c r="E198" s="3"/>
      <c r="F198" s="129"/>
      <c r="G198" s="306"/>
      <c r="H198" s="309" t="str">
        <f t="shared" si="1"/>
        <v/>
      </c>
      <c r="I198" s="112" t="str">
        <f>CONCATENATE(UPPER(RAW_APS!$A199),"__",RAW_APS!$B199,"_",RAW_APS!$C199)</f>
        <v>TEST_04-28-22__44679_0.521516203703704</v>
      </c>
      <c r="J198" s="310" t="str">
        <f t="shared" si="2"/>
        <v/>
      </c>
      <c r="K198" s="306"/>
      <c r="L198" s="311" t="str">
        <f t="shared" si="3"/>
        <v/>
      </c>
      <c r="M198" s="312" t="b">
        <f t="shared" si="5"/>
        <v>0</v>
      </c>
      <c r="N198" s="311" t="str">
        <f t="shared" si="4"/>
        <v/>
      </c>
      <c r="O198" s="3"/>
      <c r="P198" s="3"/>
      <c r="Q198" s="3"/>
      <c r="R198" s="3"/>
      <c r="S198" s="3"/>
      <c r="T198" s="3"/>
      <c r="U198" s="3"/>
      <c r="V198" s="3"/>
      <c r="W198" s="3"/>
    </row>
    <row r="199">
      <c r="A199" s="94" t="str">
        <f>IF(OR(ISBLANK(RAW_APS!A199),ISBLANK(RAW_APS!B199),ISBLANK(RAW_APS!C199)),TRUE,IFERROR(0/0,""))</f>
        <v/>
      </c>
      <c r="B199" s="3"/>
      <c r="C199" s="94" t="str">
        <f>IF(ISBLANK(B199),IFERROR(0/0,""),RAW_APS!A199)</f>
        <v/>
      </c>
      <c r="D199" s="94" t="str">
        <f>IF(ISBLANK(C199),IFERROR(0/0,""), VLOOKUP(C199,preDEL!A$2:AG235,33,FALSE))</f>
        <v/>
      </c>
      <c r="E199" s="3"/>
      <c r="F199" s="129"/>
      <c r="G199" s="306"/>
      <c r="H199" s="309" t="str">
        <f t="shared" si="1"/>
        <v/>
      </c>
      <c r="I199" s="112" t="str">
        <f>CONCATENATE(UPPER(RAW_APS!$A200),"__",RAW_APS!$B200,"_",RAW_APS!$C200)</f>
        <v>TEST_04-28-22__44679_0.521516203703704</v>
      </c>
      <c r="J199" s="310" t="str">
        <f t="shared" si="2"/>
        <v/>
      </c>
      <c r="K199" s="306"/>
      <c r="L199" s="311" t="str">
        <f t="shared" si="3"/>
        <v/>
      </c>
      <c r="M199" s="312" t="b">
        <f t="shared" si="5"/>
        <v>0</v>
      </c>
      <c r="N199" s="311" t="str">
        <f t="shared" si="4"/>
        <v/>
      </c>
      <c r="O199" s="3"/>
      <c r="P199" s="3"/>
      <c r="Q199" s="3"/>
      <c r="R199" s="3"/>
      <c r="S199" s="3"/>
      <c r="T199" s="3"/>
      <c r="U199" s="3"/>
      <c r="V199" s="3"/>
      <c r="W199" s="3"/>
    </row>
    <row r="200">
      <c r="A200" s="94" t="str">
        <f>IF(OR(ISBLANK(RAW_APS!A200),ISBLANK(RAW_APS!B200),ISBLANK(RAW_APS!C200)),TRUE,IFERROR(0/0,""))</f>
        <v/>
      </c>
      <c r="B200" s="3"/>
      <c r="C200" s="94" t="str">
        <f>IF(ISBLANK(B200),IFERROR(0/0,""),RAW_APS!A200)</f>
        <v/>
      </c>
      <c r="D200" s="94" t="str">
        <f>IF(ISBLANK(C200),IFERROR(0/0,""), VLOOKUP(C200,preDEL!A$2:AG235,33,FALSE))</f>
        <v/>
      </c>
      <c r="E200" s="3"/>
      <c r="F200" s="129"/>
      <c r="G200" s="306"/>
      <c r="H200" s="309" t="str">
        <f t="shared" si="1"/>
        <v/>
      </c>
      <c r="I200" s="112" t="str">
        <f>CONCATENATE(UPPER(RAW_APS!$A201),"__",RAW_APS!$B201,"_",RAW_APS!$C201)</f>
        <v>TEST_04-28-22__44679_0.521516203703704</v>
      </c>
      <c r="J200" s="310" t="str">
        <f t="shared" si="2"/>
        <v/>
      </c>
      <c r="K200" s="306"/>
      <c r="L200" s="311" t="str">
        <f t="shared" si="3"/>
        <v/>
      </c>
      <c r="M200" s="312" t="b">
        <f t="shared" si="5"/>
        <v>0</v>
      </c>
      <c r="N200" s="311" t="str">
        <f t="shared" si="4"/>
        <v/>
      </c>
      <c r="O200" s="3"/>
      <c r="P200" s="3"/>
      <c r="Q200" s="3"/>
      <c r="R200" s="3"/>
      <c r="S200" s="3"/>
      <c r="T200" s="3"/>
      <c r="U200" s="3"/>
      <c r="V200" s="3"/>
      <c r="W200" s="3"/>
    </row>
    <row r="201">
      <c r="A201" s="94" t="str">
        <f>IF(OR(ISBLANK(RAW_APS!A201),ISBLANK(RAW_APS!B201),ISBLANK(RAW_APS!C201)),TRUE,IFERROR(0/0,""))</f>
        <v/>
      </c>
      <c r="B201" s="3"/>
      <c r="C201" s="94" t="str">
        <f>IF(ISBLANK(B201),IFERROR(0/0,""),RAW_APS!A201)</f>
        <v/>
      </c>
      <c r="D201" s="94" t="str">
        <f>IF(ISBLANK(C201),IFERROR(0/0,""), VLOOKUP(C201,preDEL!A$2:AG235,33,FALSE))</f>
        <v/>
      </c>
      <c r="E201" s="3"/>
      <c r="F201" s="129"/>
      <c r="G201" s="306"/>
      <c r="H201" s="309" t="str">
        <f t="shared" si="1"/>
        <v/>
      </c>
      <c r="I201" s="112" t="str">
        <f>CONCATENATE(UPPER(RAW_APS!$A202),"__",RAW_APS!$B202,"_",RAW_APS!$C202)</f>
        <v>AH7209__44679_0.17568287037037</v>
      </c>
      <c r="J201" s="310" t="str">
        <f t="shared" si="2"/>
        <v/>
      </c>
      <c r="K201" s="306"/>
      <c r="L201" s="311" t="str">
        <f t="shared" si="3"/>
        <v/>
      </c>
      <c r="M201" s="312" t="b">
        <f t="shared" si="5"/>
        <v>0</v>
      </c>
      <c r="N201" s="311" t="str">
        <f t="shared" si="4"/>
        <v/>
      </c>
      <c r="O201" s="3"/>
      <c r="P201" s="3"/>
      <c r="Q201" s="3"/>
      <c r="R201" s="3"/>
      <c r="S201" s="3"/>
      <c r="T201" s="3"/>
      <c r="U201" s="3"/>
      <c r="V201" s="3"/>
      <c r="W201" s="3"/>
    </row>
    <row r="202">
      <c r="A202" s="94" t="str">
        <f>IF(OR(ISBLANK(RAW_APS!A202),ISBLANK(RAW_APS!B202),ISBLANK(RAW_APS!C202)),TRUE,IFERROR(0/0,""))</f>
        <v/>
      </c>
      <c r="B202" s="3"/>
      <c r="C202" s="94" t="str">
        <f>IF(ISBLANK(B202),IFERROR(0/0,""),RAW_APS!A202)</f>
        <v/>
      </c>
      <c r="D202" s="94" t="str">
        <f>IF(ISBLANK(C202),IFERROR(0/0,""), VLOOKUP(C202,preDEL!A$2:AG235,33,FALSE))</f>
        <v/>
      </c>
      <c r="E202" s="3"/>
      <c r="F202" s="129"/>
      <c r="G202" s="306"/>
      <c r="H202" s="309" t="str">
        <f t="shared" si="1"/>
        <v/>
      </c>
      <c r="I202" s="112" t="str">
        <f>CONCATENATE(UPPER(RAW_APS!$A203),"__",RAW_APS!$B203,"_",RAW_APS!$C203)</f>
        <v>AH7209__44679_0.17568287037037</v>
      </c>
      <c r="J202" s="310" t="str">
        <f t="shared" si="2"/>
        <v/>
      </c>
      <c r="K202" s="306"/>
      <c r="L202" s="311" t="str">
        <f t="shared" si="3"/>
        <v/>
      </c>
      <c r="M202" s="312" t="b">
        <f t="shared" si="5"/>
        <v>0</v>
      </c>
      <c r="N202" s="311" t="str">
        <f t="shared" si="4"/>
        <v/>
      </c>
      <c r="O202" s="3"/>
      <c r="P202" s="3"/>
      <c r="Q202" s="3"/>
      <c r="R202" s="3"/>
      <c r="S202" s="3"/>
      <c r="T202" s="3"/>
      <c r="U202" s="3"/>
      <c r="V202" s="3"/>
      <c r="W202" s="3"/>
    </row>
    <row r="203">
      <c r="A203" s="94" t="str">
        <f>IF(OR(ISBLANK(RAW_APS!A203),ISBLANK(RAW_APS!B203),ISBLANK(RAW_APS!C203)),TRUE,IFERROR(0/0,""))</f>
        <v/>
      </c>
      <c r="B203" s="3"/>
      <c r="C203" s="94" t="str">
        <f>IF(ISBLANK(B203),IFERROR(0/0,""),RAW_APS!A203)</f>
        <v/>
      </c>
      <c r="D203" s="94" t="str">
        <f>IF(ISBLANK(C203),IFERROR(0/0,""), VLOOKUP(C203,preDEL!A$2:AG235,33,FALSE))</f>
        <v/>
      </c>
      <c r="E203" s="3"/>
      <c r="F203" s="129"/>
      <c r="G203" s="306"/>
      <c r="H203" s="309" t="str">
        <f t="shared" si="1"/>
        <v/>
      </c>
      <c r="I203" s="112" t="str">
        <f>CONCATENATE(UPPER(RAW_APS!$A204),"__",RAW_APS!$B204,"_",RAW_APS!$C204)</f>
        <v>AG981__44678_0.618599537037037</v>
      </c>
      <c r="J203" s="310" t="str">
        <f t="shared" si="2"/>
        <v/>
      </c>
      <c r="K203" s="306"/>
      <c r="L203" s="311" t="str">
        <f t="shared" si="3"/>
        <v/>
      </c>
      <c r="M203" s="312" t="b">
        <f t="shared" si="5"/>
        <v>0</v>
      </c>
      <c r="N203" s="311" t="str">
        <f t="shared" si="4"/>
        <v/>
      </c>
      <c r="O203" s="3"/>
      <c r="P203" s="3"/>
      <c r="Q203" s="3"/>
      <c r="R203" s="3"/>
      <c r="S203" s="3"/>
      <c r="T203" s="3"/>
      <c r="U203" s="3"/>
      <c r="V203" s="3"/>
      <c r="W203" s="3"/>
    </row>
    <row r="204">
      <c r="A204" s="94" t="str">
        <f>IF(OR(ISBLANK(RAW_APS!A204),ISBLANK(RAW_APS!B204),ISBLANK(RAW_APS!C204)),TRUE,IFERROR(0/0,""))</f>
        <v/>
      </c>
      <c r="B204" s="3"/>
      <c r="C204" s="94" t="str">
        <f>IF(ISBLANK(B204),IFERROR(0/0,""),RAW_APS!A204)</f>
        <v/>
      </c>
      <c r="D204" s="94" t="str">
        <f>IF(ISBLANK(C204),IFERROR(0/0,""), VLOOKUP(C204,preDEL!A$2:AG235,33,FALSE))</f>
        <v/>
      </c>
      <c r="E204" s="3"/>
      <c r="F204" s="129"/>
      <c r="G204" s="306"/>
      <c r="H204" s="309" t="str">
        <f t="shared" si="1"/>
        <v/>
      </c>
      <c r="I204" s="112" t="str">
        <f>CONCATENATE(UPPER(RAW_APS!$A205),"__",RAW_APS!$B205,"_",RAW_APS!$C205)</f>
        <v>AG302__44678_0.618460648148148</v>
      </c>
      <c r="J204" s="310" t="str">
        <f t="shared" si="2"/>
        <v/>
      </c>
      <c r="K204" s="306"/>
      <c r="L204" s="311" t="str">
        <f t="shared" si="3"/>
        <v/>
      </c>
      <c r="M204" s="312" t="b">
        <f t="shared" si="5"/>
        <v>0</v>
      </c>
      <c r="N204" s="311" t="str">
        <f t="shared" si="4"/>
        <v/>
      </c>
      <c r="O204" s="3"/>
      <c r="P204" s="3"/>
      <c r="Q204" s="3"/>
      <c r="R204" s="3"/>
      <c r="S204" s="3"/>
      <c r="T204" s="3"/>
      <c r="U204" s="3"/>
      <c r="V204" s="3"/>
      <c r="W204" s="3"/>
    </row>
    <row r="205">
      <c r="A205" s="94" t="str">
        <f>IF(OR(ISBLANK(RAW_APS!A205),ISBLANK(RAW_APS!B205),ISBLANK(RAW_APS!C205)),TRUE,IFERROR(0/0,""))</f>
        <v/>
      </c>
      <c r="B205" s="3"/>
      <c r="C205" s="94" t="str">
        <f>IF(ISBLANK(B205),IFERROR(0/0,""),RAW_APS!A205)</f>
        <v/>
      </c>
      <c r="D205" s="94" t="str">
        <f>IF(ISBLANK(C205),IFERROR(0/0,""), VLOOKUP(C205,preDEL!A$2:AG235,33,FALSE))</f>
        <v/>
      </c>
      <c r="E205" s="3"/>
      <c r="F205" s="129"/>
      <c r="G205" s="306"/>
      <c r="H205" s="309" t="str">
        <f t="shared" si="1"/>
        <v/>
      </c>
      <c r="I205" s="112" t="str">
        <f>CONCATENATE(UPPER(RAW_APS!$A206),"__",RAW_APS!$B206,"_",RAW_APS!$C206)</f>
        <v>AG869__44678_0.618321759259259</v>
      </c>
      <c r="J205" s="310" t="str">
        <f t="shared" si="2"/>
        <v/>
      </c>
      <c r="K205" s="306"/>
      <c r="L205" s="311" t="str">
        <f t="shared" si="3"/>
        <v/>
      </c>
      <c r="M205" s="312" t="b">
        <f t="shared" si="5"/>
        <v>0</v>
      </c>
      <c r="N205" s="311" t="str">
        <f t="shared" si="4"/>
        <v/>
      </c>
      <c r="O205" s="3"/>
      <c r="P205" s="3"/>
      <c r="Q205" s="3"/>
      <c r="R205" s="3"/>
      <c r="S205" s="3"/>
      <c r="T205" s="3"/>
      <c r="U205" s="3"/>
      <c r="V205" s="3"/>
      <c r="W205" s="3"/>
    </row>
    <row r="206">
      <c r="A206" s="94" t="str">
        <f>IF(OR(ISBLANK(RAW_APS!A206),ISBLANK(RAW_APS!B206),ISBLANK(RAW_APS!C206)),TRUE,IFERROR(0/0,""))</f>
        <v/>
      </c>
      <c r="B206" s="3"/>
      <c r="C206" s="94" t="str">
        <f>IF(ISBLANK(B206),IFERROR(0/0,""),RAW_APS!A206)</f>
        <v/>
      </c>
      <c r="D206" s="94" t="str">
        <f>IF(ISBLANK(C206),IFERROR(0/0,""), VLOOKUP(C206,preDEL!A$2:AG235,33,FALSE))</f>
        <v/>
      </c>
      <c r="E206" s="3"/>
      <c r="F206" s="129"/>
      <c r="G206" s="306"/>
      <c r="H206" s="309" t="str">
        <f t="shared" si="1"/>
        <v/>
      </c>
      <c r="I206" s="112" t="str">
        <f>CONCATENATE(UPPER(RAW_APS!$A207),"__",RAW_APS!$B207,"_",RAW_APS!$C207)</f>
        <v>AH8325__44678_0.618171296296296</v>
      </c>
      <c r="J206" s="310" t="str">
        <f t="shared" si="2"/>
        <v/>
      </c>
      <c r="K206" s="306"/>
      <c r="L206" s="311" t="str">
        <f t="shared" si="3"/>
        <v/>
      </c>
      <c r="M206" s="312" t="b">
        <f t="shared" si="5"/>
        <v>0</v>
      </c>
      <c r="N206" s="311" t="str">
        <f t="shared" si="4"/>
        <v/>
      </c>
      <c r="O206" s="3"/>
      <c r="P206" s="3"/>
      <c r="Q206" s="3"/>
      <c r="R206" s="3"/>
      <c r="S206" s="3"/>
      <c r="T206" s="3"/>
      <c r="U206" s="3"/>
      <c r="V206" s="3"/>
      <c r="W206" s="3"/>
    </row>
    <row r="207">
      <c r="A207" s="94" t="str">
        <f>IF(OR(ISBLANK(RAW_APS!A207),ISBLANK(RAW_APS!B207),ISBLANK(RAW_APS!C207)),TRUE,IFERROR(0/0,""))</f>
        <v/>
      </c>
      <c r="B207" s="3"/>
      <c r="C207" s="94" t="str">
        <f>IF(ISBLANK(B207),IFERROR(0/0,""),RAW_APS!A207)</f>
        <v/>
      </c>
      <c r="D207" s="94" t="str">
        <f>IF(ISBLANK(C207),IFERROR(0/0,""), VLOOKUP(C207,preDEL!A$2:AG235,33,FALSE))</f>
        <v/>
      </c>
      <c r="E207" s="3"/>
      <c r="F207" s="129"/>
      <c r="G207" s="306"/>
      <c r="H207" s="309" t="str">
        <f t="shared" si="1"/>
        <v/>
      </c>
      <c r="I207" s="112" t="str">
        <f>CONCATENATE(UPPER(RAW_APS!$A208),"__",RAW_APS!$B208,"_",RAW_APS!$C208)</f>
        <v>AJ9095__44678_0.618020833333333</v>
      </c>
      <c r="J207" s="310" t="str">
        <f t="shared" si="2"/>
        <v/>
      </c>
      <c r="K207" s="306"/>
      <c r="L207" s="311" t="str">
        <f t="shared" si="3"/>
        <v/>
      </c>
      <c r="M207" s="312" t="b">
        <f t="shared" si="5"/>
        <v>0</v>
      </c>
      <c r="N207" s="311" t="str">
        <f t="shared" si="4"/>
        <v/>
      </c>
      <c r="O207" s="3"/>
      <c r="P207" s="3"/>
      <c r="Q207" s="3"/>
      <c r="R207" s="3"/>
      <c r="S207" s="3"/>
      <c r="T207" s="3"/>
      <c r="U207" s="3"/>
      <c r="V207" s="3"/>
      <c r="W207" s="3"/>
    </row>
    <row r="208">
      <c r="A208" s="94" t="str">
        <f>IF(OR(ISBLANK(RAW_APS!A208),ISBLANK(RAW_APS!B208),ISBLANK(RAW_APS!C208)),TRUE,IFERROR(0/0,""))</f>
        <v/>
      </c>
      <c r="B208" s="3"/>
      <c r="C208" s="94" t="str">
        <f>IF(ISBLANK(B208),IFERROR(0/0,""),RAW_APS!A208)</f>
        <v/>
      </c>
      <c r="D208" s="94" t="str">
        <f>IF(ISBLANK(C208),IFERROR(0/0,""), VLOOKUP(C208,preDEL!A$2:AG235,33,FALSE))</f>
        <v/>
      </c>
      <c r="E208" s="3"/>
      <c r="F208" s="129"/>
      <c r="G208" s="306"/>
      <c r="H208" s="309" t="str">
        <f t="shared" si="1"/>
        <v/>
      </c>
      <c r="I208" s="112" t="str">
        <f>CONCATENATE(UPPER(RAW_APS!$A209),"__",RAW_APS!$B209,"_",RAW_APS!$C209)</f>
        <v>AH80__44678_0.617847222222222</v>
      </c>
      <c r="J208" s="310" t="str">
        <f t="shared" si="2"/>
        <v/>
      </c>
      <c r="K208" s="306"/>
      <c r="L208" s="311" t="str">
        <f t="shared" si="3"/>
        <v/>
      </c>
      <c r="M208" s="312" t="b">
        <f t="shared" si="5"/>
        <v>0</v>
      </c>
      <c r="N208" s="311" t="str">
        <f t="shared" si="4"/>
        <v/>
      </c>
      <c r="O208" s="3"/>
      <c r="P208" s="3"/>
      <c r="Q208" s="3"/>
      <c r="R208" s="3"/>
      <c r="S208" s="3"/>
      <c r="T208" s="3"/>
      <c r="U208" s="3"/>
      <c r="V208" s="3"/>
      <c r="W208" s="3"/>
    </row>
    <row r="209">
      <c r="A209" s="94" t="str">
        <f>IF(OR(ISBLANK(RAW_APS!A209),ISBLANK(RAW_APS!B209),ISBLANK(RAW_APS!C209)),TRUE,IFERROR(0/0,""))</f>
        <v/>
      </c>
      <c r="B209" s="3"/>
      <c r="C209" s="94" t="str">
        <f>IF(ISBLANK(B209),IFERROR(0/0,""),RAW_APS!A209)</f>
        <v/>
      </c>
      <c r="D209" s="94" t="str">
        <f>IF(ISBLANK(C209),IFERROR(0/0,""), VLOOKUP(C209,preDEL!A$2:AG235,33,FALSE))</f>
        <v/>
      </c>
      <c r="E209" s="3"/>
      <c r="F209" s="129"/>
      <c r="G209" s="306"/>
      <c r="H209" s="309" t="str">
        <f t="shared" si="1"/>
        <v/>
      </c>
      <c r="I209" s="112" t="str">
        <f>CONCATENATE(UPPER(RAW_APS!$A210),"__",RAW_APS!$B210,"_",RAW_APS!$C210)</f>
        <v>AK7160__44678_0.617696759259259</v>
      </c>
      <c r="J209" s="310" t="str">
        <f t="shared" si="2"/>
        <v/>
      </c>
      <c r="K209" s="306"/>
      <c r="L209" s="311" t="str">
        <f t="shared" si="3"/>
        <v/>
      </c>
      <c r="M209" s="312" t="b">
        <f t="shared" si="5"/>
        <v>0</v>
      </c>
      <c r="N209" s="311" t="str">
        <f t="shared" si="4"/>
        <v/>
      </c>
      <c r="O209" s="3"/>
      <c r="P209" s="3"/>
      <c r="Q209" s="3"/>
      <c r="R209" s="3"/>
      <c r="S209" s="3"/>
      <c r="T209" s="3"/>
      <c r="U209" s="3"/>
      <c r="V209" s="3"/>
      <c r="W209" s="3"/>
    </row>
    <row r="210">
      <c r="A210" s="94" t="str">
        <f>IF(OR(ISBLANK(RAW_APS!A210),ISBLANK(RAW_APS!B210),ISBLANK(RAW_APS!C210)),TRUE,IFERROR(0/0,""))</f>
        <v/>
      </c>
      <c r="B210" s="3"/>
      <c r="C210" s="94" t="str">
        <f>IF(ISBLANK(B210),IFERROR(0/0,""),RAW_APS!A210)</f>
        <v/>
      </c>
      <c r="D210" s="94" t="str">
        <f>IF(ISBLANK(C210),IFERROR(0/0,""), VLOOKUP(C210,preDEL!A$2:AG235,33,FALSE))</f>
        <v/>
      </c>
      <c r="E210" s="3"/>
      <c r="F210" s="129"/>
      <c r="G210" s="306"/>
      <c r="H210" s="309" t="str">
        <f t="shared" si="1"/>
        <v/>
      </c>
      <c r="I210" s="112" t="str">
        <f>CONCATENATE(UPPER(RAW_APS!$A211),"__",RAW_APS!$B211,"_",RAW_APS!$C211)</f>
        <v>AH7507__44678_0.617465277777778</v>
      </c>
      <c r="J210" s="310" t="str">
        <f t="shared" si="2"/>
        <v/>
      </c>
      <c r="K210" s="306"/>
      <c r="L210" s="311" t="str">
        <f t="shared" si="3"/>
        <v/>
      </c>
      <c r="M210" s="312" t="b">
        <f t="shared" si="5"/>
        <v>0</v>
      </c>
      <c r="N210" s="311" t="str">
        <f t="shared" si="4"/>
        <v/>
      </c>
      <c r="O210" s="3"/>
      <c r="P210" s="3"/>
      <c r="Q210" s="3"/>
      <c r="R210" s="3"/>
      <c r="S210" s="3"/>
      <c r="T210" s="3"/>
      <c r="U210" s="3"/>
      <c r="V210" s="3"/>
      <c r="W210" s="3"/>
    </row>
    <row r="211">
      <c r="A211" s="94" t="str">
        <f>IF(OR(ISBLANK(RAW_APS!A211),ISBLANK(RAW_APS!B211),ISBLANK(RAW_APS!C211)),TRUE,IFERROR(0/0,""))</f>
        <v/>
      </c>
      <c r="B211" s="3"/>
      <c r="C211" s="94" t="str">
        <f>IF(ISBLANK(B211),IFERROR(0/0,""),RAW_APS!A211)</f>
        <v/>
      </c>
      <c r="D211" s="94" t="str">
        <f>IF(ISBLANK(C211),IFERROR(0/0,""), VLOOKUP(C211,preDEL!A$2:AG235,33,FALSE))</f>
        <v/>
      </c>
      <c r="E211" s="3"/>
      <c r="F211" s="129"/>
      <c r="G211" s="306"/>
      <c r="H211" s="309" t="str">
        <f t="shared" si="1"/>
        <v/>
      </c>
      <c r="I211" s="112" t="str">
        <f>CONCATENATE(UPPER(RAW_APS!$A212),"__",RAW_APS!$B212,"_",RAW_APS!$C212)</f>
        <v>AH7369__44678_0.617337962962963</v>
      </c>
      <c r="J211" s="310" t="str">
        <f t="shared" si="2"/>
        <v/>
      </c>
      <c r="K211" s="306"/>
      <c r="L211" s="311" t="str">
        <f t="shared" si="3"/>
        <v/>
      </c>
      <c r="M211" s="312" t="b">
        <f t="shared" si="5"/>
        <v>0</v>
      </c>
      <c r="N211" s="311" t="str">
        <f t="shared" si="4"/>
        <v/>
      </c>
      <c r="O211" s="3"/>
      <c r="P211" s="3"/>
      <c r="Q211" s="3"/>
      <c r="R211" s="3"/>
      <c r="S211" s="3"/>
      <c r="T211" s="3"/>
      <c r="U211" s="3"/>
      <c r="V211" s="3"/>
      <c r="W211" s="3"/>
    </row>
    <row r="212">
      <c r="A212" s="94" t="str">
        <f>IF(OR(ISBLANK(RAW_APS!A212),ISBLANK(RAW_APS!B212),ISBLANK(RAW_APS!C212)),TRUE,IFERROR(0/0,""))</f>
        <v/>
      </c>
      <c r="B212" s="3"/>
      <c r="C212" s="94" t="str">
        <f>IF(ISBLANK(B212),IFERROR(0/0,""),RAW_APS!A212)</f>
        <v/>
      </c>
      <c r="D212" s="94" t="str">
        <f>IF(ISBLANK(C212),IFERROR(0/0,""), VLOOKUP(C212,preDEL!A$2:AG235,33,FALSE))</f>
        <v/>
      </c>
      <c r="E212" s="3"/>
      <c r="F212" s="129"/>
      <c r="G212" s="306"/>
      <c r="H212" s="309" t="str">
        <f t="shared" si="1"/>
        <v/>
      </c>
      <c r="I212" s="112" t="str">
        <f>CONCATENATE(UPPER(RAW_APS!$A213),"__",RAW_APS!$B213,"_",RAW_APS!$C213)</f>
        <v>AG632__44678_0.616944444444444</v>
      </c>
      <c r="J212" s="310" t="str">
        <f t="shared" si="2"/>
        <v/>
      </c>
      <c r="K212" s="306"/>
      <c r="L212" s="311" t="str">
        <f t="shared" si="3"/>
        <v/>
      </c>
      <c r="M212" s="312" t="b">
        <f t="shared" si="5"/>
        <v>0</v>
      </c>
      <c r="N212" s="311" t="str">
        <f t="shared" si="4"/>
        <v/>
      </c>
      <c r="O212" s="3"/>
      <c r="P212" s="3"/>
      <c r="Q212" s="3"/>
      <c r="R212" s="3"/>
      <c r="S212" s="3"/>
      <c r="T212" s="3"/>
      <c r="U212" s="3"/>
      <c r="V212" s="3"/>
      <c r="W212" s="3"/>
    </row>
    <row r="213">
      <c r="A213" s="94" t="str">
        <f>IF(OR(ISBLANK(RAW_APS!A213),ISBLANK(RAW_APS!B213),ISBLANK(RAW_APS!C213)),TRUE,IFERROR(0/0,""))</f>
        <v/>
      </c>
      <c r="B213" s="3"/>
      <c r="C213" s="94" t="str">
        <f>IF(ISBLANK(B213),IFERROR(0/0,""),RAW_APS!A213)</f>
        <v/>
      </c>
      <c r="D213" s="94" t="str">
        <f>IF(ISBLANK(C213),IFERROR(0/0,""), VLOOKUP(C213,preDEL!A$2:AG235,33,FALSE))</f>
        <v/>
      </c>
      <c r="E213" s="3"/>
      <c r="F213" s="129"/>
      <c r="G213" s="306"/>
      <c r="H213" s="309" t="str">
        <f t="shared" si="1"/>
        <v/>
      </c>
      <c r="I213" s="112" t="str">
        <f>CONCATENATE(UPPER(RAW_APS!$A214),"__",RAW_APS!$B214,"_",RAW_APS!$C214)</f>
        <v>AH1119__44678_0.616793981481482</v>
      </c>
      <c r="J213" s="310" t="str">
        <f t="shared" si="2"/>
        <v/>
      </c>
      <c r="K213" s="306"/>
      <c r="L213" s="311" t="str">
        <f t="shared" si="3"/>
        <v/>
      </c>
      <c r="M213" s="312" t="b">
        <f t="shared" si="5"/>
        <v>0</v>
      </c>
      <c r="N213" s="311" t="str">
        <f t="shared" si="4"/>
        <v/>
      </c>
      <c r="O213" s="3"/>
      <c r="P213" s="3"/>
      <c r="Q213" s="3"/>
      <c r="R213" s="3"/>
      <c r="S213" s="3"/>
      <c r="T213" s="3"/>
      <c r="U213" s="3"/>
      <c r="V213" s="3"/>
      <c r="W213" s="3"/>
    </row>
    <row r="214">
      <c r="A214" s="94" t="str">
        <f>IF(OR(ISBLANK(RAW_APS!A214),ISBLANK(RAW_APS!B214),ISBLANK(RAW_APS!C214)),TRUE,IFERROR(0/0,""))</f>
        <v/>
      </c>
      <c r="B214" s="3"/>
      <c r="C214" s="94" t="str">
        <f>IF(ISBLANK(B214),IFERROR(0/0,""),RAW_APS!A214)</f>
        <v/>
      </c>
      <c r="D214" s="94" t="str">
        <f>IF(ISBLANK(C214),IFERROR(0/0,""), VLOOKUP(C214,preDEL!A$2:AG235,33,FALSE))</f>
        <v/>
      </c>
      <c r="E214" s="3"/>
      <c r="F214" s="129"/>
      <c r="G214" s="306"/>
      <c r="H214" s="309" t="str">
        <f t="shared" si="1"/>
        <v/>
      </c>
      <c r="I214" s="112" t="str">
        <f>CONCATENATE(UPPER(RAW_APS!$A215),"__",RAW_APS!$B215,"_",RAW_APS!$C215)</f>
        <v>AK5816__44678_0.616481481481482</v>
      </c>
      <c r="J214" s="310" t="str">
        <f t="shared" si="2"/>
        <v/>
      </c>
      <c r="K214" s="306"/>
      <c r="L214" s="311" t="str">
        <f t="shared" si="3"/>
        <v/>
      </c>
      <c r="M214" s="312" t="b">
        <f t="shared" si="5"/>
        <v>0</v>
      </c>
      <c r="N214" s="311" t="str">
        <f t="shared" si="4"/>
        <v/>
      </c>
      <c r="O214" s="3"/>
      <c r="P214" s="3"/>
      <c r="Q214" s="3"/>
      <c r="R214" s="3"/>
      <c r="S214" s="3"/>
      <c r="T214" s="3"/>
      <c r="U214" s="3"/>
      <c r="V214" s="3"/>
      <c r="W214" s="3"/>
    </row>
    <row r="215">
      <c r="A215" s="94" t="str">
        <f>IF(OR(ISBLANK(RAW_APS!A215),ISBLANK(RAW_APS!B215),ISBLANK(RAW_APS!C215)),TRUE,IFERROR(0/0,""))</f>
        <v/>
      </c>
      <c r="B215" s="3"/>
      <c r="C215" s="94" t="str">
        <f>IF(ISBLANK(B215),IFERROR(0/0,""),RAW_APS!A215)</f>
        <v/>
      </c>
      <c r="D215" s="94" t="str">
        <f>IF(ISBLANK(C215),IFERROR(0/0,""), VLOOKUP(C215,preDEL!A$2:AG235,33,FALSE))</f>
        <v/>
      </c>
      <c r="E215" s="3"/>
      <c r="F215" s="129"/>
      <c r="G215" s="306"/>
      <c r="H215" s="309" t="str">
        <f t="shared" si="1"/>
        <v/>
      </c>
      <c r="I215" s="112" t="str">
        <f>CONCATENATE(UPPER(RAW_APS!$A216),"__",RAW_APS!$B216,"_",RAW_APS!$C216)</f>
        <v>AG307__44678_0.616342592592593</v>
      </c>
      <c r="J215" s="310" t="str">
        <f t="shared" si="2"/>
        <v/>
      </c>
      <c r="K215" s="306"/>
      <c r="L215" s="311" t="str">
        <f t="shared" si="3"/>
        <v/>
      </c>
      <c r="M215" s="312" t="b">
        <f t="shared" si="5"/>
        <v>0</v>
      </c>
      <c r="N215" s="311" t="str">
        <f t="shared" si="4"/>
        <v/>
      </c>
      <c r="O215" s="3"/>
      <c r="P215" s="3"/>
      <c r="Q215" s="3"/>
      <c r="R215" s="3"/>
      <c r="S215" s="3"/>
      <c r="T215" s="3"/>
      <c r="U215" s="3"/>
      <c r="V215" s="3"/>
      <c r="W215" s="3"/>
    </row>
    <row r="216">
      <c r="A216" s="94" t="str">
        <f>IF(OR(ISBLANK(RAW_APS!A216),ISBLANK(RAW_APS!B216),ISBLANK(RAW_APS!C216)),TRUE,IFERROR(0/0,""))</f>
        <v/>
      </c>
      <c r="B216" s="3"/>
      <c r="C216" s="94" t="str">
        <f>IF(ISBLANK(B216),IFERROR(0/0,""),RAW_APS!A216)</f>
        <v/>
      </c>
      <c r="D216" s="94" t="str">
        <f>IF(ISBLANK(C216),IFERROR(0/0,""), VLOOKUP(C216,preDEL!A$2:AG235,33,FALSE))</f>
        <v/>
      </c>
      <c r="E216" s="3"/>
      <c r="F216" s="129"/>
      <c r="G216" s="306"/>
      <c r="H216" s="309" t="str">
        <f t="shared" si="1"/>
        <v/>
      </c>
      <c r="I216" s="112" t="str">
        <f>CONCATENATE(UPPER(RAW_APS!$A217),"__",RAW_APS!$B217,"_",RAW_APS!$C217)</f>
        <v>AH9005__44678_0.616180555555556</v>
      </c>
      <c r="J216" s="310" t="str">
        <f t="shared" si="2"/>
        <v/>
      </c>
      <c r="K216" s="306"/>
      <c r="L216" s="311" t="str">
        <f t="shared" si="3"/>
        <v/>
      </c>
      <c r="M216" s="312" t="b">
        <f t="shared" si="5"/>
        <v>0</v>
      </c>
      <c r="N216" s="311" t="str">
        <f t="shared" si="4"/>
        <v/>
      </c>
      <c r="O216" s="3"/>
      <c r="P216" s="3"/>
      <c r="Q216" s="3"/>
      <c r="R216" s="3"/>
      <c r="S216" s="3"/>
      <c r="T216" s="3"/>
      <c r="U216" s="3"/>
      <c r="V216" s="3"/>
      <c r="W216" s="3"/>
    </row>
    <row r="217">
      <c r="A217" s="94" t="str">
        <f>IF(OR(ISBLANK(RAW_APS!A217),ISBLANK(RAW_APS!B217),ISBLANK(RAW_APS!C217)),TRUE,IFERROR(0/0,""))</f>
        <v/>
      </c>
      <c r="B217" s="3"/>
      <c r="C217" s="94" t="str">
        <f>IF(ISBLANK(B217),IFERROR(0/0,""),RAW_APS!A217)</f>
        <v/>
      </c>
      <c r="D217" s="94" t="str">
        <f>IF(ISBLANK(C217),IFERROR(0/0,""), VLOOKUP(C217,preDEL!A$2:AG235,33,FALSE))</f>
        <v/>
      </c>
      <c r="E217" s="3"/>
      <c r="F217" s="129"/>
      <c r="G217" s="306"/>
      <c r="H217" s="309" t="str">
        <f t="shared" si="1"/>
        <v/>
      </c>
      <c r="I217" s="112" t="str">
        <f>CONCATENATE(UPPER(RAW_APS!$A218),"__",RAW_APS!$B218,"_",RAW_APS!$C218)</f>
        <v>AH6926__44676_0.357002314814815</v>
      </c>
      <c r="J217" s="310" t="str">
        <f t="shared" si="2"/>
        <v/>
      </c>
      <c r="K217" s="306"/>
      <c r="L217" s="311" t="str">
        <f t="shared" si="3"/>
        <v/>
      </c>
      <c r="M217" s="312" t="b">
        <f t="shared" si="5"/>
        <v>0</v>
      </c>
      <c r="N217" s="311" t="str">
        <f t="shared" si="4"/>
        <v/>
      </c>
      <c r="O217" s="3"/>
      <c r="P217" s="3"/>
      <c r="Q217" s="3"/>
      <c r="R217" s="3"/>
      <c r="S217" s="3"/>
      <c r="T217" s="3"/>
      <c r="U217" s="3"/>
      <c r="V217" s="3"/>
      <c r="W217" s="3"/>
    </row>
    <row r="218">
      <c r="A218" s="94" t="str">
        <f>IF(OR(ISBLANK(RAW_APS!A218),ISBLANK(RAW_APS!B218),ISBLANK(RAW_APS!C218)),TRUE,IFERROR(0/0,""))</f>
        <v/>
      </c>
      <c r="B218" s="3"/>
      <c r="C218" s="94" t="str">
        <f>IF(ISBLANK(B218),IFERROR(0/0,""),RAW_APS!A218)</f>
        <v/>
      </c>
      <c r="D218" s="94" t="str">
        <f>IF(ISBLANK(C218),IFERROR(0/0,""), VLOOKUP(C218,preDEL!A$2:AG235,33,FALSE))</f>
        <v/>
      </c>
      <c r="E218" s="3"/>
      <c r="F218" s="129"/>
      <c r="G218" s="306"/>
      <c r="H218" s="309" t="str">
        <f t="shared" si="1"/>
        <v/>
      </c>
      <c r="I218" s="112" t="str">
        <f>CONCATENATE(UPPER(RAW_APS!$A219),"__",RAW_APS!$B219,"_",RAW_APS!$C219)</f>
        <v>AG1726__44676_0.351886574074074</v>
      </c>
      <c r="J218" s="310" t="str">
        <f t="shared" si="2"/>
        <v/>
      </c>
      <c r="K218" s="306"/>
      <c r="L218" s="311" t="str">
        <f t="shared" si="3"/>
        <v/>
      </c>
      <c r="M218" s="312" t="b">
        <f t="shared" si="5"/>
        <v>0</v>
      </c>
      <c r="N218" s="311" t="str">
        <f t="shared" si="4"/>
        <v/>
      </c>
      <c r="O218" s="3"/>
      <c r="P218" s="3"/>
      <c r="Q218" s="3"/>
      <c r="R218" s="3"/>
      <c r="S218" s="3"/>
      <c r="T218" s="3"/>
      <c r="U218" s="3"/>
      <c r="V218" s="3"/>
      <c r="W218" s="3"/>
    </row>
    <row r="219">
      <c r="A219" s="94" t="str">
        <f>IF(OR(ISBLANK(RAW_APS!A219),ISBLANK(RAW_APS!B219),ISBLANK(RAW_APS!C219)),TRUE,IFERROR(0/0,""))</f>
        <v/>
      </c>
      <c r="B219" s="3"/>
      <c r="C219" s="94" t="str">
        <f>IF(ISBLANK(B219),IFERROR(0/0,""),RAW_APS!A219)</f>
        <v/>
      </c>
      <c r="D219" s="94" t="str">
        <f>IF(ISBLANK(C219),IFERROR(0/0,""), VLOOKUP(C219,preDEL!A$2:AG235,33,FALSE))</f>
        <v/>
      </c>
      <c r="E219" s="3"/>
      <c r="F219" s="129"/>
      <c r="G219" s="306"/>
      <c r="H219" s="309" t="str">
        <f t="shared" si="1"/>
        <v/>
      </c>
      <c r="I219" s="112" t="str">
        <f>CONCATENATE(UPPER(RAW_APS!$A220),"__",RAW_APS!$B220,"_",RAW_APS!$C220)</f>
        <v>AJ8406__44670_0.487361111111111</v>
      </c>
      <c r="J219" s="310" t="str">
        <f t="shared" si="2"/>
        <v/>
      </c>
      <c r="K219" s="306"/>
      <c r="L219" s="311" t="str">
        <f t="shared" si="3"/>
        <v/>
      </c>
      <c r="M219" s="312" t="b">
        <f t="shared" si="5"/>
        <v>0</v>
      </c>
      <c r="N219" s="311" t="str">
        <f t="shared" si="4"/>
        <v/>
      </c>
      <c r="O219" s="3"/>
      <c r="P219" s="3"/>
      <c r="Q219" s="3"/>
      <c r="R219" s="3"/>
      <c r="S219" s="3"/>
      <c r="T219" s="3"/>
      <c r="U219" s="3"/>
      <c r="V219" s="3"/>
      <c r="W219" s="3"/>
    </row>
    <row r="220">
      <c r="A220" s="94" t="str">
        <f>IF(OR(ISBLANK(RAW_APS!A220),ISBLANK(RAW_APS!B220),ISBLANK(RAW_APS!C220)),TRUE,IFERROR(0/0,""))</f>
        <v/>
      </c>
      <c r="B220" s="3"/>
      <c r="C220" s="94" t="str">
        <f>IF(ISBLANK(B220),IFERROR(0/0,""),RAW_APS!A220)</f>
        <v/>
      </c>
      <c r="D220" s="94" t="str">
        <f>IF(ISBLANK(C220),IFERROR(0/0,""), VLOOKUP(C220,preDEL!A$2:AG235,33,FALSE))</f>
        <v/>
      </c>
      <c r="E220" s="3"/>
      <c r="F220" s="129"/>
      <c r="G220" s="306"/>
      <c r="H220" s="309" t="str">
        <f t="shared" si="1"/>
        <v/>
      </c>
      <c r="I220" s="112" t="str">
        <f>CONCATENATE(UPPER(RAW_APS!$A221),"__",RAW_APS!$B221,"_",RAW_APS!$C221)</f>
        <v>AJ8406__44670_0.487361111111111</v>
      </c>
      <c r="J220" s="310" t="str">
        <f t="shared" si="2"/>
        <v/>
      </c>
      <c r="K220" s="306"/>
      <c r="L220" s="311" t="str">
        <f t="shared" si="3"/>
        <v/>
      </c>
      <c r="M220" s="312" t="b">
        <f t="shared" si="5"/>
        <v>0</v>
      </c>
      <c r="N220" s="311" t="str">
        <f t="shared" si="4"/>
        <v/>
      </c>
      <c r="O220" s="3"/>
      <c r="P220" s="3"/>
      <c r="Q220" s="3"/>
      <c r="R220" s="3"/>
      <c r="S220" s="3"/>
      <c r="T220" s="3"/>
      <c r="U220" s="3"/>
      <c r="V220" s="3"/>
      <c r="W220" s="3"/>
    </row>
    <row r="221">
      <c r="A221" s="94" t="str">
        <f>IF(OR(ISBLANK(RAW_APS!A221),ISBLANK(RAW_APS!B221),ISBLANK(RAW_APS!C221)),TRUE,IFERROR(0/0,""))</f>
        <v/>
      </c>
      <c r="B221" s="3"/>
      <c r="C221" s="94" t="str">
        <f>IF(ISBLANK(B221),IFERROR(0/0,""),RAW_APS!A221)</f>
        <v/>
      </c>
      <c r="D221" s="94" t="str">
        <f>IF(ISBLANK(C221),IFERROR(0/0,""), VLOOKUP(C221,preDEL!A$2:AG235,33,FALSE))</f>
        <v/>
      </c>
      <c r="E221" s="3"/>
      <c r="F221" s="129"/>
      <c r="G221" s="306"/>
      <c r="H221" s="309" t="str">
        <f t="shared" si="1"/>
        <v/>
      </c>
      <c r="I221" s="112" t="str">
        <f>CONCATENATE(UPPER(RAW_APS!$A222),"__",RAW_APS!$B222,"_",RAW_APS!$C222)</f>
        <v>AJ8406__44670_0.487361111111111</v>
      </c>
      <c r="J221" s="310" t="str">
        <f t="shared" si="2"/>
        <v/>
      </c>
      <c r="K221" s="306"/>
      <c r="L221" s="311" t="str">
        <f t="shared" si="3"/>
        <v/>
      </c>
      <c r="M221" s="312" t="b">
        <f t="shared" si="5"/>
        <v>0</v>
      </c>
      <c r="N221" s="311" t="str">
        <f t="shared" si="4"/>
        <v/>
      </c>
      <c r="O221" s="3"/>
      <c r="P221" s="3"/>
      <c r="Q221" s="3"/>
      <c r="R221" s="3"/>
      <c r="S221" s="3"/>
      <c r="T221" s="3"/>
      <c r="U221" s="3"/>
      <c r="V221" s="3"/>
      <c r="W221" s="3"/>
    </row>
    <row r="222">
      <c r="A222" s="94" t="str">
        <f>IF(OR(ISBLANK(RAW_APS!A222),ISBLANK(RAW_APS!B222),ISBLANK(RAW_APS!C222)),TRUE,IFERROR(0/0,""))</f>
        <v/>
      </c>
      <c r="B222" s="3"/>
      <c r="C222" s="94" t="str">
        <f>IF(ISBLANK(B222),IFERROR(0/0,""),RAW_APS!A222)</f>
        <v/>
      </c>
      <c r="D222" s="94" t="str">
        <f>IF(ISBLANK(C222),IFERROR(0/0,""), VLOOKUP(C222,preDEL!A$2:AG235,33,FALSE))</f>
        <v/>
      </c>
      <c r="E222" s="3"/>
      <c r="F222" s="129"/>
      <c r="G222" s="306"/>
      <c r="H222" s="309" t="str">
        <f t="shared" si="1"/>
        <v/>
      </c>
      <c r="I222" s="112" t="str">
        <f>CONCATENATE(UPPER(RAW_APS!$A223),"__",RAW_APS!$B223,"_",RAW_APS!$C223)</f>
        <v>AJ8406__44670_0.487361111111111</v>
      </c>
      <c r="J222" s="310" t="str">
        <f t="shared" si="2"/>
        <v/>
      </c>
      <c r="K222" s="306"/>
      <c r="L222" s="311" t="str">
        <f t="shared" si="3"/>
        <v/>
      </c>
      <c r="M222" s="312" t="b">
        <f t="shared" si="5"/>
        <v>0</v>
      </c>
      <c r="N222" s="311" t="str">
        <f t="shared" si="4"/>
        <v/>
      </c>
      <c r="O222" s="3"/>
      <c r="P222" s="3"/>
      <c r="Q222" s="3"/>
      <c r="R222" s="3"/>
      <c r="S222" s="3"/>
      <c r="T222" s="3"/>
      <c r="U222" s="3"/>
      <c r="V222" s="3"/>
      <c r="W222" s="3"/>
    </row>
    <row r="223">
      <c r="A223" s="94" t="str">
        <f>IF(OR(ISBLANK(RAW_APS!A223),ISBLANK(RAW_APS!B223),ISBLANK(RAW_APS!C223)),TRUE,IFERROR(0/0,""))</f>
        <v/>
      </c>
      <c r="B223" s="3"/>
      <c r="C223" s="94" t="str">
        <f>IF(ISBLANK(B223),IFERROR(0/0,""),RAW_APS!A223)</f>
        <v/>
      </c>
      <c r="D223" s="94" t="str">
        <f>IF(ISBLANK(C223),IFERROR(0/0,""), VLOOKUP(C223,preDEL!A$2:AG235,33,FALSE))</f>
        <v/>
      </c>
      <c r="E223" s="3"/>
      <c r="F223" s="129"/>
      <c r="G223" s="306"/>
      <c r="H223" s="309" t="str">
        <f t="shared" si="1"/>
        <v/>
      </c>
      <c r="I223" s="112" t="str">
        <f>CONCATENATE(UPPER(RAW_APS!$A224),"__",RAW_APS!$B224,"_",RAW_APS!$C224)</f>
        <v>TEST_0419-3__44670_0.469930555555556</v>
      </c>
      <c r="J223" s="310" t="str">
        <f t="shared" si="2"/>
        <v/>
      </c>
      <c r="K223" s="306"/>
      <c r="L223" s="311" t="str">
        <f t="shared" si="3"/>
        <v/>
      </c>
      <c r="M223" s="312" t="b">
        <f t="shared" si="5"/>
        <v>0</v>
      </c>
      <c r="N223" s="311" t="str">
        <f t="shared" si="4"/>
        <v/>
      </c>
      <c r="O223" s="3"/>
      <c r="P223" s="3"/>
      <c r="Q223" s="3"/>
      <c r="R223" s="3"/>
      <c r="S223" s="3"/>
      <c r="T223" s="3"/>
      <c r="U223" s="3"/>
      <c r="V223" s="3"/>
      <c r="W223" s="3"/>
    </row>
    <row r="224">
      <c r="A224" s="94" t="str">
        <f>IF(OR(ISBLANK(RAW_APS!A224),ISBLANK(RAW_APS!B224),ISBLANK(RAW_APS!C224)),TRUE,IFERROR(0/0,""))</f>
        <v/>
      </c>
      <c r="B224" s="3"/>
      <c r="C224" s="94" t="str">
        <f>IF(ISBLANK(B224),IFERROR(0/0,""),RAW_APS!A224)</f>
        <v/>
      </c>
      <c r="D224" s="94" t="str">
        <f>IF(ISBLANK(C224),IFERROR(0/0,""), VLOOKUP(C224,preDEL!A$2:AG235,33,FALSE))</f>
        <v/>
      </c>
      <c r="E224" s="3"/>
      <c r="F224" s="129"/>
      <c r="G224" s="306"/>
      <c r="H224" s="309" t="str">
        <f t="shared" si="1"/>
        <v/>
      </c>
      <c r="I224" s="112" t="str">
        <f>CONCATENATE(UPPER(RAW_APS!$A225),"__",RAW_APS!$B225,"_",RAW_APS!$C225)</f>
        <v>TEST_0419-3__44670_0.469930555555556</v>
      </c>
      <c r="J224" s="310" t="str">
        <f t="shared" si="2"/>
        <v/>
      </c>
      <c r="K224" s="306"/>
      <c r="L224" s="311" t="str">
        <f t="shared" si="3"/>
        <v/>
      </c>
      <c r="M224" s="312" t="b">
        <f t="shared" si="5"/>
        <v>0</v>
      </c>
      <c r="N224" s="311" t="str">
        <f t="shared" si="4"/>
        <v/>
      </c>
      <c r="O224" s="3"/>
      <c r="P224" s="3"/>
      <c r="Q224" s="3"/>
      <c r="R224" s="3"/>
      <c r="S224" s="3"/>
      <c r="T224" s="3"/>
      <c r="U224" s="3"/>
      <c r="V224" s="3"/>
      <c r="W224" s="3"/>
    </row>
    <row r="225">
      <c r="A225" s="94" t="str">
        <f>IF(OR(ISBLANK(RAW_APS!A225),ISBLANK(RAW_APS!B225),ISBLANK(RAW_APS!C225)),TRUE,IFERROR(0/0,""))</f>
        <v/>
      </c>
      <c r="B225" s="3"/>
      <c r="C225" s="94" t="str">
        <f>IF(ISBLANK(B225),IFERROR(0/0,""),RAW_APS!A225)</f>
        <v/>
      </c>
      <c r="D225" s="94" t="str">
        <f>IF(ISBLANK(C225),IFERROR(0/0,""), VLOOKUP(C225,preDEL!A$2:AG235,33,FALSE))</f>
        <v/>
      </c>
      <c r="E225" s="3"/>
      <c r="F225" s="129"/>
      <c r="G225" s="306"/>
      <c r="H225" s="309" t="str">
        <f t="shared" si="1"/>
        <v/>
      </c>
      <c r="I225" s="112" t="str">
        <f>CONCATENATE(UPPER(RAW_APS!$A226),"__",RAW_APS!$B226,"_",RAW_APS!$C226)</f>
        <v>TEST_0419-3__44670_0.469930555555556</v>
      </c>
      <c r="J225" s="310" t="str">
        <f t="shared" si="2"/>
        <v/>
      </c>
      <c r="K225" s="306"/>
      <c r="L225" s="311" t="str">
        <f t="shared" si="3"/>
        <v/>
      </c>
      <c r="M225" s="312" t="b">
        <f t="shared" si="5"/>
        <v>0</v>
      </c>
      <c r="N225" s="311" t="str">
        <f t="shared" si="4"/>
        <v/>
      </c>
      <c r="O225" s="3"/>
      <c r="P225" s="3"/>
      <c r="Q225" s="3"/>
      <c r="R225" s="3"/>
      <c r="S225" s="3"/>
      <c r="T225" s="3"/>
      <c r="U225" s="3"/>
      <c r="V225" s="3"/>
      <c r="W225" s="3"/>
    </row>
    <row r="226">
      <c r="A226" s="94" t="str">
        <f>IF(OR(ISBLANK(RAW_APS!A226),ISBLANK(RAW_APS!B226),ISBLANK(RAW_APS!C226)),TRUE,IFERROR(0/0,""))</f>
        <v/>
      </c>
      <c r="B226" s="3"/>
      <c r="C226" s="94" t="str">
        <f>IF(ISBLANK(B226),IFERROR(0/0,""),RAW_APS!A226)</f>
        <v/>
      </c>
      <c r="D226" s="94" t="str">
        <f>IF(ISBLANK(C226),IFERROR(0/0,""), VLOOKUP(C226,preDEL!A$2:AG235,33,FALSE))</f>
        <v/>
      </c>
      <c r="E226" s="3"/>
      <c r="F226" s="129"/>
      <c r="G226" s="306"/>
      <c r="H226" s="309" t="str">
        <f t="shared" si="1"/>
        <v/>
      </c>
      <c r="I226" s="112" t="str">
        <f>CONCATENATE(UPPER(RAW_APS!$A227),"__",RAW_APS!$B227,"_",RAW_APS!$C227)</f>
        <v>TEST_0419-2__44670_0.469282407407407</v>
      </c>
      <c r="J226" s="310" t="str">
        <f t="shared" si="2"/>
        <v/>
      </c>
      <c r="K226" s="306"/>
      <c r="L226" s="311" t="str">
        <f t="shared" si="3"/>
        <v/>
      </c>
      <c r="M226" s="312" t="b">
        <f t="shared" si="5"/>
        <v>0</v>
      </c>
      <c r="N226" s="311" t="str">
        <f t="shared" si="4"/>
        <v/>
      </c>
      <c r="O226" s="3"/>
      <c r="P226" s="3"/>
      <c r="Q226" s="3"/>
      <c r="R226" s="3"/>
      <c r="S226" s="3"/>
      <c r="T226" s="3"/>
      <c r="U226" s="3"/>
      <c r="V226" s="3"/>
      <c r="W226" s="3"/>
    </row>
    <row r="227">
      <c r="A227" s="94" t="str">
        <f>IF(OR(ISBLANK(RAW_APS!A227),ISBLANK(RAW_APS!B227),ISBLANK(RAW_APS!C227)),TRUE,IFERROR(0/0,""))</f>
        <v/>
      </c>
      <c r="B227" s="3"/>
      <c r="C227" s="94" t="str">
        <f>IF(ISBLANK(B227),IFERROR(0/0,""),RAW_APS!A227)</f>
        <v/>
      </c>
      <c r="D227" s="94" t="str">
        <f>IF(ISBLANK(C227),IFERROR(0/0,""), VLOOKUP(C227,preDEL!A$2:AG235,33,FALSE))</f>
        <v/>
      </c>
      <c r="E227" s="3"/>
      <c r="F227" s="129"/>
      <c r="G227" s="306"/>
      <c r="H227" s="309" t="str">
        <f t="shared" si="1"/>
        <v/>
      </c>
      <c r="I227" s="112" t="str">
        <f>CONCATENATE(UPPER(RAW_APS!$A228),"__",RAW_APS!$B228,"_",RAW_APS!$C228)</f>
        <v>TEST_0419-2__44670_0.469282407407407</v>
      </c>
      <c r="J227" s="310" t="str">
        <f t="shared" si="2"/>
        <v/>
      </c>
      <c r="K227" s="306"/>
      <c r="L227" s="311" t="str">
        <f t="shared" si="3"/>
        <v/>
      </c>
      <c r="M227" s="312" t="b">
        <f t="shared" si="5"/>
        <v>0</v>
      </c>
      <c r="N227" s="311" t="str">
        <f t="shared" si="4"/>
        <v/>
      </c>
      <c r="O227" s="3"/>
      <c r="P227" s="3"/>
      <c r="Q227" s="3"/>
      <c r="R227" s="3"/>
      <c r="S227" s="3"/>
      <c r="T227" s="3"/>
      <c r="U227" s="3"/>
      <c r="V227" s="3"/>
      <c r="W227" s="3"/>
    </row>
    <row r="228">
      <c r="A228" s="94" t="str">
        <f>IF(OR(ISBLANK(RAW_APS!A228),ISBLANK(RAW_APS!B228),ISBLANK(RAW_APS!C228)),TRUE,IFERROR(0/0,""))</f>
        <v/>
      </c>
      <c r="B228" s="3"/>
      <c r="C228" s="94" t="str">
        <f>IF(ISBLANK(B228),IFERROR(0/0,""),RAW_APS!A228)</f>
        <v/>
      </c>
      <c r="D228" s="94" t="str">
        <f>IF(ISBLANK(C228),IFERROR(0/0,""), VLOOKUP(C228,preDEL!A$2:AG235,33,FALSE))</f>
        <v/>
      </c>
      <c r="E228" s="3"/>
      <c r="F228" s="129"/>
      <c r="G228" s="306"/>
      <c r="H228" s="309" t="str">
        <f t="shared" si="1"/>
        <v/>
      </c>
      <c r="I228" s="112" t="str">
        <f>CONCATENATE(UPPER(RAW_APS!$A229),"__",RAW_APS!$B229,"_",RAW_APS!$C229)</f>
        <v>TEST_0419-2__44670_0.469282407407407</v>
      </c>
      <c r="J228" s="310" t="str">
        <f t="shared" si="2"/>
        <v/>
      </c>
      <c r="K228" s="306"/>
      <c r="L228" s="311" t="str">
        <f t="shared" si="3"/>
        <v/>
      </c>
      <c r="M228" s="312" t="b">
        <f t="shared" si="5"/>
        <v>0</v>
      </c>
      <c r="N228" s="311" t="str">
        <f t="shared" si="4"/>
        <v/>
      </c>
      <c r="O228" s="3"/>
      <c r="P228" s="3"/>
      <c r="Q228" s="3"/>
      <c r="R228" s="3"/>
      <c r="S228" s="3"/>
      <c r="T228" s="3"/>
      <c r="U228" s="3"/>
      <c r="V228" s="3"/>
      <c r="W228" s="3"/>
    </row>
    <row r="229">
      <c r="A229" s="94" t="str">
        <f>IF(OR(ISBLANK(RAW_APS!A229),ISBLANK(RAW_APS!B229),ISBLANK(RAW_APS!C229)),TRUE,IFERROR(0/0,""))</f>
        <v/>
      </c>
      <c r="B229" s="3"/>
      <c r="C229" s="94" t="str">
        <f>IF(ISBLANK(B229),IFERROR(0/0,""),RAW_APS!A229)</f>
        <v/>
      </c>
      <c r="D229" s="94" t="str">
        <f>IF(ISBLANK(C229),IFERROR(0/0,""), VLOOKUP(C229,preDEL!A$2:AG235,33,FALSE))</f>
        <v/>
      </c>
      <c r="E229" s="3"/>
      <c r="F229" s="129"/>
      <c r="G229" s="306"/>
      <c r="H229" s="309" t="str">
        <f t="shared" si="1"/>
        <v/>
      </c>
      <c r="I229" s="112" t="str">
        <f>CONCATENATE(UPPER(RAW_APS!$A230),"__",RAW_APS!$B230,"_",RAW_APS!$C230)</f>
        <v>TEST_0419-1__44670_0.46875</v>
      </c>
      <c r="J229" s="310" t="str">
        <f t="shared" si="2"/>
        <v/>
      </c>
      <c r="K229" s="306"/>
      <c r="L229" s="311" t="str">
        <f t="shared" si="3"/>
        <v/>
      </c>
      <c r="M229" s="312" t="b">
        <f t="shared" si="5"/>
        <v>0</v>
      </c>
      <c r="N229" s="311" t="str">
        <f t="shared" si="4"/>
        <v/>
      </c>
      <c r="O229" s="3"/>
      <c r="P229" s="3"/>
      <c r="Q229" s="3"/>
      <c r="R229" s="3"/>
      <c r="S229" s="3"/>
      <c r="T229" s="3"/>
      <c r="U229" s="3"/>
      <c r="V229" s="3"/>
      <c r="W229" s="3"/>
    </row>
    <row r="230">
      <c r="A230" s="94" t="str">
        <f>IF(OR(ISBLANK(RAW_APS!A230),ISBLANK(RAW_APS!B230),ISBLANK(RAW_APS!C230)),TRUE,IFERROR(0/0,""))</f>
        <v/>
      </c>
      <c r="B230" s="3"/>
      <c r="C230" s="94" t="str">
        <f>IF(ISBLANK(B230),IFERROR(0/0,""),RAW_APS!A230)</f>
        <v/>
      </c>
      <c r="D230" s="94" t="str">
        <f>IF(ISBLANK(C230),IFERROR(0/0,""), VLOOKUP(C230,preDEL!A$2:AG235,33,FALSE))</f>
        <v/>
      </c>
      <c r="E230" s="3"/>
      <c r="F230" s="129"/>
      <c r="G230" s="306"/>
      <c r="H230" s="309" t="str">
        <f t="shared" si="1"/>
        <v/>
      </c>
      <c r="I230" s="112" t="str">
        <f>CONCATENATE(UPPER(RAW_APS!$A231),"__",RAW_APS!$B231,"_",RAW_APS!$C231)</f>
        <v>TEST_0419-1__44670_0.46875</v>
      </c>
      <c r="J230" s="310" t="str">
        <f t="shared" si="2"/>
        <v/>
      </c>
      <c r="K230" s="306"/>
      <c r="L230" s="311" t="str">
        <f t="shared" si="3"/>
        <v/>
      </c>
      <c r="M230" s="312" t="b">
        <f t="shared" si="5"/>
        <v>0</v>
      </c>
      <c r="N230" s="311" t="str">
        <f t="shared" si="4"/>
        <v/>
      </c>
      <c r="O230" s="3"/>
      <c r="P230" s="3"/>
      <c r="Q230" s="3"/>
      <c r="R230" s="3"/>
      <c r="S230" s="3"/>
      <c r="T230" s="3"/>
      <c r="U230" s="3"/>
      <c r="V230" s="3"/>
      <c r="W230" s="3"/>
    </row>
    <row r="231">
      <c r="A231" s="94" t="str">
        <f>IF(OR(ISBLANK(RAW_APS!A231),ISBLANK(RAW_APS!B231),ISBLANK(RAW_APS!C231)),TRUE,IFERROR(0/0,""))</f>
        <v/>
      </c>
      <c r="B231" s="3"/>
      <c r="C231" s="94" t="str">
        <f>IF(ISBLANK(B231),IFERROR(0/0,""),RAW_APS!A231)</f>
        <v/>
      </c>
      <c r="D231" s="94" t="str">
        <f>IF(ISBLANK(C231),IFERROR(0/0,""), VLOOKUP(C231,preDEL!A$2:AG235,33,FALSE))</f>
        <v/>
      </c>
      <c r="E231" s="3"/>
      <c r="F231" s="129"/>
      <c r="G231" s="306"/>
      <c r="H231" s="309" t="str">
        <f t="shared" si="1"/>
        <v/>
      </c>
      <c r="I231" s="112" t="str">
        <f>CONCATENATE(UPPER(RAW_APS!$A232),"__",RAW_APS!$B232,"_",RAW_APS!$C232)</f>
        <v>TEST_0419-1__44670_0.46875</v>
      </c>
      <c r="J231" s="310" t="str">
        <f t="shared" si="2"/>
        <v/>
      </c>
      <c r="K231" s="306"/>
      <c r="L231" s="311" t="str">
        <f t="shared" si="3"/>
        <v/>
      </c>
      <c r="M231" s="312" t="b">
        <f t="shared" si="5"/>
        <v>0</v>
      </c>
      <c r="N231" s="311" t="str">
        <f t="shared" si="4"/>
        <v/>
      </c>
      <c r="O231" s="3"/>
      <c r="P231" s="3"/>
      <c r="Q231" s="3"/>
      <c r="R231" s="3"/>
      <c r="S231" s="3"/>
      <c r="T231" s="3"/>
      <c r="U231" s="3"/>
      <c r="V231" s="3"/>
      <c r="W231" s="3"/>
    </row>
    <row r="232">
      <c r="A232" s="94" t="str">
        <f>IF(OR(ISBLANK(RAW_APS!A232),ISBLANK(RAW_APS!B232),ISBLANK(RAW_APS!C232)),TRUE,IFERROR(0/0,""))</f>
        <v/>
      </c>
      <c r="B232" s="3"/>
      <c r="C232" s="94" t="str">
        <f>IF(ISBLANK(B232),IFERROR(0/0,""),RAW_APS!A232)</f>
        <v/>
      </c>
      <c r="D232" s="94" t="str">
        <f>IF(ISBLANK(C232),IFERROR(0/0,""), VLOOKUP(C232,preDEL!A$2:AG235,33,FALSE))</f>
        <v/>
      </c>
      <c r="E232" s="3"/>
      <c r="F232" s="129"/>
      <c r="G232" s="306"/>
      <c r="H232" s="309" t="str">
        <f t="shared" si="1"/>
        <v/>
      </c>
      <c r="I232" s="112" t="str">
        <f>CONCATENATE(UPPER(RAW_APS!$A233),"__",RAW_APS!$B233,"_",RAW_APS!$C233)</f>
        <v>AK5401__44666_0.496875</v>
      </c>
      <c r="J232" s="310" t="str">
        <f t="shared" si="2"/>
        <v/>
      </c>
      <c r="K232" s="306"/>
      <c r="L232" s="311" t="str">
        <f t="shared" si="3"/>
        <v/>
      </c>
      <c r="M232" s="312" t="b">
        <f t="shared" si="5"/>
        <v>0</v>
      </c>
      <c r="N232" s="311" t="str">
        <f t="shared" si="4"/>
        <v/>
      </c>
      <c r="O232" s="3"/>
      <c r="P232" s="3"/>
      <c r="Q232" s="3"/>
      <c r="R232" s="3"/>
      <c r="S232" s="3"/>
      <c r="T232" s="3"/>
      <c r="U232" s="3"/>
      <c r="V232" s="3"/>
      <c r="W232" s="3"/>
    </row>
    <row r="233">
      <c r="A233" s="94" t="str">
        <f>IF(OR(ISBLANK(RAW_APS!A233),ISBLANK(RAW_APS!B233),ISBLANK(RAW_APS!C233)),TRUE,IFERROR(0/0,""))</f>
        <v/>
      </c>
      <c r="B233" s="3"/>
      <c r="C233" s="94" t="str">
        <f>IF(ISBLANK(B233),IFERROR(0/0,""),RAW_APS!A233)</f>
        <v/>
      </c>
      <c r="D233" s="94" t="str">
        <f>IF(ISBLANK(C233),IFERROR(0/0,""), VLOOKUP(C233,preDEL!A$2:AG235,33,FALSE))</f>
        <v/>
      </c>
      <c r="E233" s="3"/>
      <c r="F233" s="129"/>
      <c r="G233" s="306"/>
      <c r="H233" s="309" t="str">
        <f t="shared" si="1"/>
        <v/>
      </c>
      <c r="I233" s="112" t="str">
        <f>CONCATENATE(UPPER(RAW_APS!$A234),"__",RAW_APS!$B234,"_",RAW_APS!$C234)</f>
        <v>72782051679__44659_0.550173611111111</v>
      </c>
      <c r="J233" s="310" t="str">
        <f t="shared" si="2"/>
        <v/>
      </c>
      <c r="K233" s="306"/>
      <c r="L233" s="311" t="str">
        <f t="shared" si="3"/>
        <v/>
      </c>
      <c r="M233" s="312" t="b">
        <f t="shared" si="5"/>
        <v>0</v>
      </c>
      <c r="N233" s="311" t="str">
        <f t="shared" si="4"/>
        <v/>
      </c>
      <c r="O233" s="3"/>
      <c r="P233" s="3"/>
      <c r="Q233" s="3"/>
      <c r="R233" s="3"/>
      <c r="S233" s="3"/>
      <c r="T233" s="3"/>
      <c r="U233" s="3"/>
      <c r="V233" s="3"/>
      <c r="W233" s="3"/>
    </row>
    <row r="234">
      <c r="A234" s="94" t="str">
        <f>IF(OR(ISBLANK(RAW_APS!A234),ISBLANK(RAW_APS!B234),ISBLANK(RAW_APS!C234)),TRUE,IFERROR(0/0,""))</f>
        <v/>
      </c>
      <c r="B234" s="3"/>
      <c r="C234" s="94" t="str">
        <f>IF(ISBLANK(B234),IFERROR(0/0,""),RAW_APS!A234)</f>
        <v/>
      </c>
      <c r="D234" s="94" t="str">
        <f>IF(ISBLANK(C234),IFERROR(0/0,""), VLOOKUP(C234,preDEL!A$2:AG235,33,FALSE))</f>
        <v/>
      </c>
      <c r="E234" s="3"/>
      <c r="F234" s="129"/>
      <c r="G234" s="306"/>
      <c r="H234" s="309" t="str">
        <f t="shared" si="1"/>
        <v/>
      </c>
      <c r="I234" s="112" t="str">
        <f>CONCATENATE(UPPER(RAW_APS!$A235),"__",RAW_APS!$B235,"_",RAW_APS!$C235)</f>
        <v>72782051679__44659_0.550173611111111</v>
      </c>
      <c r="J234" s="310" t="str">
        <f t="shared" si="2"/>
        <v/>
      </c>
      <c r="K234" s="306"/>
      <c r="L234" s="311" t="str">
        <f t="shared" si="3"/>
        <v/>
      </c>
      <c r="M234" s="312" t="b">
        <f t="shared" si="5"/>
        <v>0</v>
      </c>
      <c r="N234" s="311" t="str">
        <f t="shared" si="4"/>
        <v/>
      </c>
      <c r="O234" s="3"/>
      <c r="P234" s="3"/>
      <c r="Q234" s="3"/>
      <c r="R234" s="3"/>
      <c r="S234" s="3"/>
      <c r="T234" s="3"/>
      <c r="U234" s="3"/>
      <c r="V234" s="3"/>
      <c r="W234" s="3"/>
    </row>
    <row r="235">
      <c r="A235" s="94" t="str">
        <f>IF(OR(ISBLANK(RAW_APS!A235),ISBLANK(RAW_APS!B235),ISBLANK(RAW_APS!C235)),TRUE,IFERROR(0/0,""))</f>
        <v/>
      </c>
      <c r="B235" s="3"/>
      <c r="C235" s="94" t="str">
        <f>IF(ISBLANK(B235),IFERROR(0/0,""),RAW_APS!A235)</f>
        <v/>
      </c>
      <c r="D235" s="94" t="str">
        <f>IF(ISBLANK(C235),IFERROR(0/0,""), VLOOKUP(C235,preDEL!A$2:AG235,33,FALSE))</f>
        <v/>
      </c>
      <c r="E235" s="3"/>
      <c r="F235" s="129"/>
      <c r="G235" s="306"/>
      <c r="H235" s="309" t="str">
        <f t="shared" si="1"/>
        <v/>
      </c>
      <c r="I235" s="112" t="str">
        <f>CONCATENATE(UPPER(RAW_APS!$A236),"__",RAW_APS!$B236,"_",RAW_APS!$C236)</f>
        <v>AH8765__44659_0.386122685185185</v>
      </c>
      <c r="J235" s="310" t="str">
        <f t="shared" si="2"/>
        <v/>
      </c>
      <c r="K235" s="306"/>
      <c r="L235" s="311" t="str">
        <f t="shared" si="3"/>
        <v/>
      </c>
      <c r="M235" s="312" t="b">
        <f t="shared" si="5"/>
        <v>0</v>
      </c>
      <c r="N235" s="311" t="str">
        <f t="shared" si="4"/>
        <v/>
      </c>
      <c r="O235" s="3"/>
      <c r="P235" s="3"/>
      <c r="Q235" s="3"/>
      <c r="R235" s="3"/>
      <c r="S235" s="3"/>
      <c r="T235" s="3"/>
      <c r="U235" s="3"/>
      <c r="V235" s="3"/>
      <c r="W235" s="3"/>
    </row>
  </sheetData>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4.0"/>
    <col customWidth="1" min="2" max="2" width="22.75"/>
    <col customWidth="1" min="3" max="3" width="4.63"/>
    <col customWidth="1" min="6" max="6" width="15.38"/>
    <col customWidth="1" min="15" max="15" width="7.0"/>
    <col customWidth="1" min="19" max="19" width="16.63"/>
    <col customWidth="1" min="20" max="20" width="20.63"/>
    <col customWidth="1" min="21" max="21" width="12.38"/>
    <col customWidth="1" min="22" max="23" width="21.0"/>
    <col customWidth="1" min="24" max="24" width="22.38"/>
  </cols>
  <sheetData>
    <row r="1">
      <c r="A1" s="9" t="s">
        <v>751</v>
      </c>
      <c r="B1" s="313" t="s">
        <v>752</v>
      </c>
      <c r="C1" s="313"/>
      <c r="D1" s="313" t="s">
        <v>753</v>
      </c>
      <c r="E1" s="3"/>
      <c r="F1" s="3"/>
      <c r="G1" s="3"/>
      <c r="H1" s="3"/>
      <c r="I1" s="3"/>
      <c r="J1" s="3"/>
      <c r="K1" s="3"/>
      <c r="L1" s="3"/>
      <c r="M1" s="3"/>
      <c r="N1" s="3"/>
      <c r="O1" s="3"/>
      <c r="P1" s="3"/>
      <c r="Q1" s="3"/>
      <c r="R1" s="3"/>
      <c r="S1" s="3"/>
      <c r="T1" s="3"/>
      <c r="U1" s="3"/>
      <c r="V1" s="3"/>
      <c r="W1" s="3"/>
      <c r="X1" s="3"/>
      <c r="Y1" s="3"/>
      <c r="Z1" s="3"/>
      <c r="AA1" s="3"/>
      <c r="AB1" s="3"/>
      <c r="AC1" s="3"/>
      <c r="AD1" s="3"/>
    </row>
    <row r="2">
      <c r="A2" s="3"/>
      <c r="B2" s="314" t="s">
        <v>754</v>
      </c>
      <c r="C2" s="3"/>
      <c r="D2" s="3"/>
      <c r="E2" s="3"/>
      <c r="F2" s="3"/>
      <c r="G2" s="3"/>
      <c r="H2" s="9"/>
      <c r="I2" s="3"/>
      <c r="J2" s="3"/>
      <c r="K2" s="3"/>
      <c r="L2" s="3"/>
      <c r="M2" s="3"/>
      <c r="N2" s="3"/>
      <c r="O2" s="3"/>
      <c r="P2" s="3"/>
      <c r="Q2" s="315">
        <f>COUNTA(Q3:Q1127)</f>
        <v>1</v>
      </c>
      <c r="R2" s="3"/>
      <c r="S2" s="3" t="s">
        <v>755</v>
      </c>
      <c r="T2" s="3" t="s">
        <v>756</v>
      </c>
      <c r="U2" s="3"/>
      <c r="V2" s="316">
        <v>1.3</v>
      </c>
      <c r="W2" s="317" t="s">
        <v>757</v>
      </c>
      <c r="X2" s="3"/>
      <c r="Y2" s="3"/>
      <c r="Z2" s="3"/>
      <c r="AA2" s="3"/>
      <c r="AB2" s="3"/>
      <c r="AC2" s="3"/>
      <c r="AD2" s="3"/>
    </row>
    <row r="3">
      <c r="A3" s="3"/>
      <c r="B3" s="318" t="s">
        <v>758</v>
      </c>
      <c r="C3" s="319" t="b">
        <v>1</v>
      </c>
      <c r="D3" s="317" t="s">
        <v>759</v>
      </c>
      <c r="E3" s="3"/>
      <c r="F3" s="3"/>
      <c r="G3" s="3"/>
      <c r="H3" s="3"/>
      <c r="I3" s="3"/>
      <c r="J3" s="3"/>
      <c r="K3" s="3"/>
      <c r="L3" s="3"/>
      <c r="M3" s="3"/>
      <c r="N3" s="3"/>
      <c r="O3" s="3"/>
      <c r="P3" s="320" t="s">
        <v>760</v>
      </c>
      <c r="Q3" s="320" t="s">
        <v>761</v>
      </c>
      <c r="R3" s="321" t="str">
        <f>IF(ISTEXT(Q3),CONCATENATE(P3," ",Q3),P3)</f>
        <v>Note extra</v>
      </c>
      <c r="U3" s="322" t="s">
        <v>762</v>
      </c>
      <c r="V3" s="322" t="s">
        <v>763</v>
      </c>
      <c r="W3" s="322" t="s">
        <v>764</v>
      </c>
      <c r="X3" s="3"/>
      <c r="Y3" s="3"/>
      <c r="Z3" s="3"/>
      <c r="AA3" s="3"/>
      <c r="AB3" s="3"/>
      <c r="AC3" s="3"/>
      <c r="AD3" s="3"/>
    </row>
    <row r="4">
      <c r="A4" s="3"/>
      <c r="B4" s="318" t="s">
        <v>758</v>
      </c>
      <c r="C4" s="319" t="b">
        <v>1</v>
      </c>
      <c r="D4" s="323" t="s">
        <v>765</v>
      </c>
      <c r="E4" s="3"/>
      <c r="F4" s="3"/>
      <c r="G4" s="3"/>
      <c r="H4" s="3"/>
      <c r="I4" s="3"/>
      <c r="J4" s="3"/>
      <c r="K4" s="3"/>
      <c r="L4" s="3"/>
      <c r="M4" s="3"/>
      <c r="N4" s="3"/>
      <c r="O4" s="3"/>
      <c r="P4" s="3"/>
      <c r="Q4" s="3"/>
      <c r="R4" s="3"/>
      <c r="S4" s="3" t="s">
        <v>766</v>
      </c>
      <c r="T4" s="320" t="s">
        <v>767</v>
      </c>
      <c r="U4" s="3" t="s">
        <v>768</v>
      </c>
      <c r="V4" s="316">
        <v>1.3</v>
      </c>
      <c r="W4" s="317" t="s">
        <v>757</v>
      </c>
      <c r="X4" s="3"/>
      <c r="Y4" s="3"/>
      <c r="Z4" s="3"/>
      <c r="AA4" s="3"/>
      <c r="AB4" s="3"/>
      <c r="AC4" s="3"/>
      <c r="AD4" s="3"/>
    </row>
    <row r="5">
      <c r="A5" s="3"/>
      <c r="B5" s="318" t="s">
        <v>758</v>
      </c>
      <c r="C5" s="319" t="b">
        <v>1</v>
      </c>
      <c r="D5" s="3"/>
      <c r="E5" s="317" t="s">
        <v>769</v>
      </c>
      <c r="F5" s="3"/>
      <c r="G5" s="3"/>
      <c r="H5" s="3"/>
      <c r="I5" s="324" t="s">
        <v>770</v>
      </c>
      <c r="J5" s="3"/>
      <c r="K5" s="3"/>
      <c r="L5" s="3"/>
      <c r="M5" s="3"/>
      <c r="N5" s="3"/>
      <c r="O5" s="3"/>
      <c r="P5" s="3"/>
      <c r="Q5" s="3"/>
      <c r="R5" s="3"/>
      <c r="S5" s="3" t="s">
        <v>771</v>
      </c>
      <c r="T5" s="320" t="s">
        <v>772</v>
      </c>
      <c r="U5" s="320" t="s">
        <v>773</v>
      </c>
      <c r="V5" s="316">
        <v>2.1</v>
      </c>
      <c r="W5" s="121" t="s">
        <v>774</v>
      </c>
      <c r="X5" s="3"/>
      <c r="Y5" s="3"/>
      <c r="Z5" s="3"/>
      <c r="AA5" s="3"/>
      <c r="AB5" s="3"/>
      <c r="AC5" s="3"/>
      <c r="AD5" s="3"/>
    </row>
    <row r="6">
      <c r="A6" s="3"/>
      <c r="B6" s="318" t="s">
        <v>758</v>
      </c>
      <c r="C6" s="319" t="b">
        <v>1</v>
      </c>
      <c r="D6" s="317" t="s">
        <v>775</v>
      </c>
      <c r="E6" s="3"/>
      <c r="F6" s="3"/>
      <c r="G6" s="3"/>
      <c r="H6" s="3"/>
      <c r="I6" s="3"/>
      <c r="J6" s="3"/>
      <c r="K6" s="3"/>
      <c r="L6" s="3"/>
      <c r="M6" s="3"/>
      <c r="N6" s="3"/>
      <c r="O6" s="3"/>
      <c r="P6" s="3"/>
      <c r="Q6" s="3"/>
      <c r="R6" s="3"/>
      <c r="S6" s="3" t="s">
        <v>776</v>
      </c>
      <c r="T6" s="320" t="s">
        <v>777</v>
      </c>
      <c r="U6" s="3" t="s">
        <v>778</v>
      </c>
      <c r="V6" s="316">
        <v>2.2</v>
      </c>
      <c r="W6" s="121" t="s">
        <v>779</v>
      </c>
      <c r="X6" s="3"/>
      <c r="Y6" s="3"/>
      <c r="Z6" s="3"/>
      <c r="AA6" s="3"/>
      <c r="AB6" s="3"/>
      <c r="AC6" s="3"/>
      <c r="AD6" s="3"/>
    </row>
    <row r="7">
      <c r="A7" s="3"/>
      <c r="B7" s="318" t="s">
        <v>780</v>
      </c>
      <c r="C7" s="319" t="b">
        <v>1</v>
      </c>
      <c r="D7" s="317" t="s">
        <v>781</v>
      </c>
      <c r="E7" s="3"/>
      <c r="F7" s="3"/>
      <c r="G7" s="3"/>
      <c r="H7" s="3"/>
      <c r="I7" s="3"/>
      <c r="J7" s="3"/>
      <c r="K7" s="3"/>
      <c r="L7" s="3"/>
      <c r="M7" s="3"/>
      <c r="N7" s="3"/>
      <c r="O7" s="3"/>
      <c r="P7" s="3"/>
      <c r="Q7" s="3"/>
      <c r="R7" s="3"/>
      <c r="S7" s="3" t="s">
        <v>782</v>
      </c>
      <c r="T7" s="320" t="s">
        <v>783</v>
      </c>
      <c r="U7" s="3"/>
      <c r="V7" s="316">
        <v>2.3</v>
      </c>
      <c r="W7" s="121" t="s">
        <v>784</v>
      </c>
      <c r="X7" s="3"/>
      <c r="Y7" s="3"/>
      <c r="Z7" s="3"/>
      <c r="AA7" s="3"/>
      <c r="AB7" s="3"/>
      <c r="AC7" s="3"/>
      <c r="AD7" s="3"/>
    </row>
    <row r="8">
      <c r="A8" s="3"/>
      <c r="B8" s="318" t="s">
        <v>785</v>
      </c>
      <c r="C8" s="319" t="b">
        <v>1</v>
      </c>
      <c r="D8" s="317" t="s">
        <v>786</v>
      </c>
      <c r="E8" s="3"/>
      <c r="F8" s="3"/>
      <c r="G8" s="3"/>
      <c r="H8" s="3"/>
      <c r="I8" s="3"/>
      <c r="J8" s="3"/>
      <c r="K8" s="3"/>
      <c r="L8" s="3"/>
      <c r="M8" s="3"/>
      <c r="N8" s="3"/>
      <c r="O8" s="3"/>
      <c r="P8" s="3"/>
      <c r="Q8" s="3"/>
      <c r="R8" s="3"/>
      <c r="S8" s="3" t="s">
        <v>787</v>
      </c>
      <c r="T8" s="320" t="s">
        <v>788</v>
      </c>
      <c r="U8" s="3"/>
      <c r="V8" s="316">
        <v>2.4</v>
      </c>
      <c r="W8" s="121" t="s">
        <v>789</v>
      </c>
      <c r="X8" s="3"/>
      <c r="Y8" s="3"/>
      <c r="Z8" s="3"/>
      <c r="AA8" s="3"/>
      <c r="AB8" s="3"/>
      <c r="AC8" s="3"/>
      <c r="AD8" s="3"/>
    </row>
    <row r="9">
      <c r="A9" s="3"/>
      <c r="B9" s="318" t="s">
        <v>785</v>
      </c>
      <c r="C9" s="319" t="b">
        <v>1</v>
      </c>
      <c r="D9" s="323" t="s">
        <v>790</v>
      </c>
      <c r="E9" s="3"/>
      <c r="F9" s="3"/>
      <c r="G9" s="325"/>
      <c r="H9" s="3"/>
      <c r="I9" s="3"/>
      <c r="J9" s="3"/>
      <c r="K9" s="3"/>
      <c r="L9" s="3"/>
      <c r="M9" s="3"/>
      <c r="N9" s="3"/>
      <c r="O9" s="3"/>
      <c r="P9" s="3"/>
      <c r="Q9" s="3"/>
      <c r="R9" s="3"/>
      <c r="S9" s="3" t="s">
        <v>791</v>
      </c>
      <c r="T9" s="320" t="s">
        <v>792</v>
      </c>
      <c r="U9" s="3"/>
      <c r="V9" s="316">
        <v>2.5</v>
      </c>
      <c r="W9" s="3" t="s">
        <v>793</v>
      </c>
      <c r="X9" s="3"/>
      <c r="Y9" s="3"/>
      <c r="Z9" s="3"/>
      <c r="AA9" s="3"/>
      <c r="AB9" s="3"/>
      <c r="AC9" s="3"/>
      <c r="AD9" s="3"/>
    </row>
    <row r="10">
      <c r="A10" s="3"/>
      <c r="B10" s="318" t="s">
        <v>794</v>
      </c>
      <c r="C10" s="319" t="b">
        <v>1</v>
      </c>
      <c r="D10" s="320"/>
      <c r="E10" s="121" t="s">
        <v>795</v>
      </c>
      <c r="F10" s="3"/>
      <c r="G10" s="3"/>
      <c r="H10" s="3"/>
      <c r="I10" s="3"/>
      <c r="J10" s="3"/>
      <c r="K10" s="3"/>
      <c r="L10" s="3"/>
      <c r="M10" s="3"/>
      <c r="N10" s="3"/>
      <c r="O10" s="3"/>
      <c r="P10" s="3"/>
      <c r="Q10" s="3"/>
      <c r="R10" s="3"/>
      <c r="S10" s="3" t="s">
        <v>796</v>
      </c>
      <c r="T10" s="3" t="s">
        <v>797</v>
      </c>
      <c r="U10" s="3"/>
      <c r="V10" s="316">
        <v>2.6</v>
      </c>
      <c r="W10" s="121" t="s">
        <v>798</v>
      </c>
      <c r="X10" s="3"/>
      <c r="Y10" s="3"/>
      <c r="Z10" s="3"/>
      <c r="AA10" s="3"/>
      <c r="AB10" s="3"/>
      <c r="AC10" s="3"/>
      <c r="AD10" s="3"/>
    </row>
    <row r="11">
      <c r="A11" s="3"/>
      <c r="B11" s="318" t="s">
        <v>794</v>
      </c>
      <c r="C11" s="319" t="b">
        <v>1</v>
      </c>
      <c r="D11" s="320"/>
      <c r="E11" s="317" t="s">
        <v>759</v>
      </c>
      <c r="F11" s="3"/>
      <c r="G11" s="3"/>
      <c r="H11" s="3"/>
      <c r="I11" s="3"/>
      <c r="J11" s="3"/>
      <c r="K11" s="3"/>
      <c r="L11" s="3"/>
      <c r="M11" s="3"/>
      <c r="N11" s="3"/>
      <c r="O11" s="3"/>
      <c r="P11" s="3"/>
      <c r="Q11" s="3"/>
      <c r="R11" s="3"/>
      <c r="S11" s="3" t="s">
        <v>799</v>
      </c>
      <c r="T11" s="3" t="s">
        <v>800</v>
      </c>
      <c r="U11" s="3"/>
      <c r="V11" s="316">
        <v>2.7</v>
      </c>
      <c r="W11" s="121" t="s">
        <v>801</v>
      </c>
      <c r="X11" s="3"/>
      <c r="Y11" s="3"/>
      <c r="Z11" s="3"/>
      <c r="AA11" s="3"/>
      <c r="AB11" s="3"/>
      <c r="AC11" s="3"/>
      <c r="AD11" s="3"/>
    </row>
    <row r="12">
      <c r="A12" s="3"/>
      <c r="B12" s="318" t="s">
        <v>794</v>
      </c>
      <c r="C12" s="319" t="b">
        <v>1</v>
      </c>
      <c r="D12" s="320"/>
      <c r="E12" s="317" t="s">
        <v>802</v>
      </c>
      <c r="F12" s="3"/>
      <c r="G12" s="3"/>
      <c r="H12" s="3"/>
      <c r="I12" s="3"/>
      <c r="J12" s="3"/>
      <c r="K12" s="3"/>
      <c r="L12" s="3"/>
      <c r="M12" s="3"/>
      <c r="N12" s="3"/>
      <c r="O12" s="3"/>
      <c r="P12" s="3"/>
      <c r="Q12" s="3"/>
      <c r="R12" s="3"/>
      <c r="S12" s="3" t="s">
        <v>803</v>
      </c>
      <c r="T12" s="3" t="s">
        <v>804</v>
      </c>
      <c r="U12" s="3"/>
      <c r="V12" s="316">
        <v>3.0</v>
      </c>
      <c r="W12" s="3" t="s">
        <v>805</v>
      </c>
      <c r="X12" s="3"/>
      <c r="Y12" s="3"/>
      <c r="Z12" s="3"/>
      <c r="AA12" s="3"/>
      <c r="AB12" s="3"/>
      <c r="AC12" s="3"/>
      <c r="AD12" s="3"/>
    </row>
    <row r="13">
      <c r="A13" s="3"/>
      <c r="B13" s="318" t="s">
        <v>794</v>
      </c>
      <c r="C13" s="319" t="b">
        <v>1</v>
      </c>
      <c r="D13" s="320"/>
      <c r="E13" s="317" t="s">
        <v>806</v>
      </c>
      <c r="F13" s="3"/>
      <c r="G13" s="3"/>
      <c r="H13" s="3"/>
      <c r="I13" s="3"/>
      <c r="J13" s="3"/>
      <c r="K13" s="3"/>
      <c r="L13" s="3"/>
      <c r="M13" s="3"/>
      <c r="N13" s="3"/>
      <c r="O13" s="3"/>
      <c r="P13" s="3"/>
      <c r="Q13" s="3"/>
      <c r="R13" s="3"/>
      <c r="S13" s="3" t="s">
        <v>807</v>
      </c>
      <c r="T13" s="3" t="s">
        <v>808</v>
      </c>
      <c r="U13" s="3"/>
      <c r="V13" s="316">
        <v>4.0</v>
      </c>
      <c r="W13" s="320" t="s">
        <v>809</v>
      </c>
      <c r="X13" s="3"/>
      <c r="Y13" s="3"/>
      <c r="Z13" s="3"/>
      <c r="AA13" s="3"/>
      <c r="AB13" s="3"/>
      <c r="AC13" s="3"/>
      <c r="AD13" s="3"/>
    </row>
    <row r="14">
      <c r="A14" s="3"/>
      <c r="B14" s="318" t="s">
        <v>794</v>
      </c>
      <c r="C14" s="319" t="b">
        <v>1</v>
      </c>
      <c r="D14" s="320"/>
      <c r="E14" s="3"/>
      <c r="F14" s="121" t="s">
        <v>810</v>
      </c>
      <c r="G14" s="3"/>
      <c r="H14" s="3"/>
      <c r="I14" s="3"/>
      <c r="J14" s="3"/>
      <c r="K14" s="3"/>
      <c r="L14" s="3"/>
      <c r="M14" s="3"/>
      <c r="N14" s="3"/>
      <c r="O14" s="3"/>
      <c r="P14" s="3"/>
      <c r="Q14" s="3"/>
      <c r="R14" s="3"/>
      <c r="S14" s="3"/>
      <c r="T14" s="3"/>
      <c r="U14" s="3"/>
      <c r="V14" s="316">
        <v>4.1</v>
      </c>
      <c r="W14" s="317" t="s">
        <v>811</v>
      </c>
      <c r="X14" s="3"/>
      <c r="Y14" s="3"/>
      <c r="Z14" s="3"/>
      <c r="AA14" s="3"/>
      <c r="AB14" s="3"/>
      <c r="AC14" s="3"/>
      <c r="AD14" s="3"/>
    </row>
    <row r="15">
      <c r="A15" s="3"/>
      <c r="B15" s="318" t="s">
        <v>794</v>
      </c>
      <c r="C15" s="319" t="b">
        <v>1</v>
      </c>
      <c r="D15" s="320"/>
      <c r="E15" s="3"/>
      <c r="F15" s="121" t="s">
        <v>812</v>
      </c>
      <c r="G15" s="3"/>
      <c r="H15" s="3"/>
      <c r="I15" s="3"/>
      <c r="J15" s="3"/>
      <c r="K15" s="3"/>
      <c r="L15" s="3"/>
      <c r="M15" s="3"/>
      <c r="N15" s="3"/>
      <c r="O15" s="3"/>
      <c r="P15" s="3"/>
      <c r="Q15" s="3"/>
      <c r="R15" s="3"/>
      <c r="S15" s="3"/>
      <c r="T15" s="3"/>
      <c r="U15" s="3"/>
      <c r="V15" s="316">
        <v>5.1</v>
      </c>
      <c r="W15" s="317" t="s">
        <v>813</v>
      </c>
      <c r="X15" s="3"/>
      <c r="Y15" s="3"/>
      <c r="Z15" s="3"/>
      <c r="AA15" s="3"/>
      <c r="AB15" s="3"/>
      <c r="AC15" s="3"/>
      <c r="AD15" s="3"/>
    </row>
    <row r="16">
      <c r="A16" s="3"/>
      <c r="B16" s="318" t="s">
        <v>794</v>
      </c>
      <c r="C16" s="319" t="b">
        <v>1</v>
      </c>
      <c r="D16" s="320"/>
      <c r="E16" s="317" t="s">
        <v>814</v>
      </c>
      <c r="F16" s="3"/>
      <c r="G16" s="3"/>
      <c r="H16" s="3"/>
      <c r="I16" s="3"/>
      <c r="J16" s="3"/>
      <c r="K16" s="3"/>
      <c r="L16" s="3"/>
      <c r="M16" s="3"/>
      <c r="N16" s="3"/>
      <c r="O16" s="3"/>
      <c r="P16" s="3"/>
      <c r="Q16" s="3"/>
      <c r="R16" s="3"/>
      <c r="S16" s="3"/>
      <c r="T16" s="3"/>
      <c r="U16" s="3"/>
      <c r="V16" s="316">
        <v>5.2</v>
      </c>
      <c r="W16" s="317" t="s">
        <v>815</v>
      </c>
      <c r="X16" s="3"/>
      <c r="Y16" s="3"/>
      <c r="Z16" s="3"/>
      <c r="AA16" s="3"/>
      <c r="AB16" s="3"/>
      <c r="AC16" s="3"/>
      <c r="AD16" s="3"/>
    </row>
    <row r="17">
      <c r="A17" s="3"/>
      <c r="B17" s="318" t="s">
        <v>794</v>
      </c>
      <c r="C17" s="319" t="b">
        <v>1</v>
      </c>
      <c r="D17" s="320"/>
      <c r="E17" s="317" t="s">
        <v>816</v>
      </c>
      <c r="F17" s="3"/>
      <c r="G17" s="3"/>
      <c r="H17" s="3"/>
      <c r="I17" s="3"/>
      <c r="J17" s="3"/>
      <c r="K17" s="3"/>
      <c r="L17" s="3"/>
      <c r="M17" s="3"/>
      <c r="N17" s="3"/>
      <c r="O17" s="3"/>
      <c r="P17" s="3"/>
      <c r="Q17" s="3"/>
      <c r="R17" s="3"/>
      <c r="S17" s="3"/>
      <c r="T17" s="3"/>
      <c r="U17" s="3"/>
      <c r="V17" s="316">
        <v>5.3</v>
      </c>
      <c r="W17" s="3" t="s">
        <v>817</v>
      </c>
      <c r="X17" s="3"/>
      <c r="Y17" s="3"/>
      <c r="Z17" s="3"/>
      <c r="AA17" s="3"/>
      <c r="AB17" s="3"/>
      <c r="AC17" s="3"/>
      <c r="AD17" s="3"/>
    </row>
    <row r="18">
      <c r="A18" s="3"/>
      <c r="B18" s="318" t="s">
        <v>785</v>
      </c>
      <c r="C18" s="319" t="b">
        <v>1</v>
      </c>
      <c r="D18" s="320"/>
      <c r="E18" s="317" t="s">
        <v>818</v>
      </c>
      <c r="F18" s="3"/>
      <c r="G18" s="3"/>
      <c r="H18" s="3"/>
      <c r="I18" s="3"/>
      <c r="J18" s="3"/>
      <c r="K18" s="3"/>
      <c r="L18" s="3"/>
      <c r="M18" s="3"/>
      <c r="N18" s="3"/>
      <c r="O18" s="3"/>
      <c r="P18" s="3"/>
      <c r="Q18" s="3"/>
      <c r="R18" s="3"/>
      <c r="S18" s="3"/>
      <c r="T18" s="3"/>
      <c r="U18" s="3"/>
      <c r="V18" s="316">
        <v>5.4</v>
      </c>
      <c r="W18" s="317" t="s">
        <v>819</v>
      </c>
      <c r="X18" s="3"/>
      <c r="Y18" s="3"/>
      <c r="Z18" s="3"/>
      <c r="AA18" s="3"/>
      <c r="AB18" s="3"/>
      <c r="AC18" s="3"/>
      <c r="AD18" s="3"/>
    </row>
    <row r="19">
      <c r="A19" s="3"/>
      <c r="B19" s="318" t="s">
        <v>785</v>
      </c>
      <c r="C19" s="319" t="b">
        <v>1</v>
      </c>
      <c r="D19" s="326" t="s">
        <v>820</v>
      </c>
      <c r="E19" s="3"/>
      <c r="F19" s="3"/>
      <c r="G19" s="325"/>
      <c r="H19" s="3"/>
      <c r="I19" s="3"/>
      <c r="J19" s="3"/>
      <c r="K19" s="3"/>
      <c r="L19" s="3"/>
      <c r="M19" s="3"/>
      <c r="N19" s="3"/>
      <c r="O19" s="3"/>
      <c r="P19" s="3"/>
      <c r="Q19" s="3"/>
      <c r="R19" s="3"/>
      <c r="S19" s="3"/>
      <c r="T19" s="3"/>
      <c r="U19" s="3"/>
      <c r="V19" s="316">
        <v>5.5</v>
      </c>
      <c r="W19" s="121" t="s">
        <v>821</v>
      </c>
      <c r="X19" s="3"/>
      <c r="Y19" s="3"/>
      <c r="Z19" s="3"/>
      <c r="AA19" s="3"/>
      <c r="AB19" s="3"/>
      <c r="AC19" s="3"/>
      <c r="AD19" s="3"/>
    </row>
    <row r="20">
      <c r="A20" s="3"/>
      <c r="B20" s="318" t="s">
        <v>785</v>
      </c>
      <c r="C20" s="319" t="b">
        <v>1</v>
      </c>
      <c r="D20" s="317" t="s">
        <v>759</v>
      </c>
      <c r="E20" s="3"/>
      <c r="F20" s="3"/>
      <c r="G20" s="325"/>
      <c r="H20" s="3"/>
      <c r="I20" s="3"/>
      <c r="J20" s="3"/>
      <c r="K20" s="3"/>
      <c r="L20" s="3"/>
      <c r="M20" s="3"/>
      <c r="N20" s="3"/>
      <c r="O20" s="3"/>
      <c r="P20" s="3"/>
      <c r="Q20" s="3"/>
      <c r="R20" s="3"/>
      <c r="S20" s="3"/>
      <c r="T20" s="3"/>
      <c r="U20" s="3"/>
      <c r="V20" s="316"/>
      <c r="W20" s="3"/>
      <c r="X20" s="3"/>
      <c r="Y20" s="3"/>
      <c r="Z20" s="3"/>
      <c r="AA20" s="3"/>
      <c r="AB20" s="3"/>
      <c r="AC20" s="3"/>
      <c r="AD20" s="3"/>
    </row>
    <row r="21">
      <c r="A21" s="3"/>
      <c r="B21" s="318" t="s">
        <v>822</v>
      </c>
      <c r="C21" s="319" t="b">
        <v>1</v>
      </c>
      <c r="D21" s="317" t="s">
        <v>823</v>
      </c>
      <c r="E21" s="3"/>
      <c r="F21" s="3"/>
      <c r="G21" s="325"/>
      <c r="H21" s="3"/>
      <c r="I21" s="3"/>
      <c r="J21" s="3"/>
      <c r="K21" s="3"/>
      <c r="L21" s="3"/>
      <c r="M21" s="3"/>
      <c r="N21" s="3"/>
      <c r="O21" s="3"/>
      <c r="P21" s="3"/>
      <c r="Q21" s="3"/>
      <c r="R21" s="3"/>
      <c r="S21" s="3"/>
      <c r="T21" s="3"/>
      <c r="U21" s="3"/>
      <c r="V21" s="316">
        <v>6.0</v>
      </c>
      <c r="W21" s="3" t="s">
        <v>824</v>
      </c>
      <c r="X21" s="3"/>
      <c r="Y21" s="3"/>
      <c r="Z21" s="3"/>
      <c r="AA21" s="3"/>
      <c r="AB21" s="3"/>
      <c r="AC21" s="3"/>
      <c r="AD21" s="3"/>
    </row>
    <row r="22">
      <c r="A22" s="3"/>
      <c r="B22" s="318" t="s">
        <v>785</v>
      </c>
      <c r="C22" s="319" t="b">
        <v>1</v>
      </c>
      <c r="D22" s="317" t="s">
        <v>825</v>
      </c>
      <c r="E22" s="3"/>
      <c r="F22" s="3"/>
      <c r="G22" s="3"/>
      <c r="H22" s="3"/>
      <c r="I22" s="3"/>
      <c r="J22" s="3"/>
      <c r="K22" s="3"/>
      <c r="L22" s="3"/>
      <c r="M22" s="3"/>
      <c r="N22" s="3"/>
      <c r="O22" s="3"/>
      <c r="P22" s="3"/>
      <c r="Q22" s="3"/>
      <c r="R22" s="3"/>
      <c r="S22" s="3"/>
      <c r="T22" s="3"/>
      <c r="U22" s="3"/>
      <c r="V22" s="316">
        <v>7.0</v>
      </c>
      <c r="W22" s="3" t="s">
        <v>826</v>
      </c>
      <c r="X22" s="3"/>
      <c r="Y22" s="3"/>
      <c r="Z22" s="3"/>
      <c r="AA22" s="3"/>
      <c r="AB22" s="3"/>
      <c r="AC22" s="3"/>
      <c r="AD22" s="3"/>
    </row>
    <row r="23">
      <c r="A23" s="3"/>
      <c r="B23" s="327" t="s">
        <v>827</v>
      </c>
      <c r="C23" s="328" t="b">
        <v>1</v>
      </c>
      <c r="D23" s="329" t="s">
        <v>828</v>
      </c>
      <c r="E23" s="290"/>
      <c r="F23" s="290"/>
      <c r="G23" s="290"/>
      <c r="H23" s="290"/>
      <c r="I23" s="290"/>
      <c r="J23" s="290"/>
      <c r="K23" s="290"/>
      <c r="L23" s="290"/>
      <c r="M23" s="290"/>
      <c r="N23" s="3"/>
      <c r="O23" s="3"/>
      <c r="P23" s="3"/>
      <c r="Q23" s="3"/>
      <c r="R23" s="3"/>
      <c r="S23" s="3"/>
      <c r="T23" s="3"/>
      <c r="U23" s="3"/>
      <c r="V23" s="316">
        <v>8.0</v>
      </c>
      <c r="W23" s="320" t="s">
        <v>829</v>
      </c>
      <c r="X23" s="3"/>
      <c r="Y23" s="3"/>
      <c r="Z23" s="3"/>
      <c r="AA23" s="3"/>
      <c r="AB23" s="3"/>
      <c r="AC23" s="3"/>
      <c r="AD23" s="3"/>
    </row>
    <row r="24">
      <c r="A24" s="3"/>
      <c r="B24" s="318"/>
      <c r="C24" s="3"/>
      <c r="D24" s="320"/>
      <c r="E24" s="3"/>
      <c r="F24" s="3"/>
      <c r="G24" s="3"/>
      <c r="H24" s="3"/>
      <c r="I24" s="3"/>
      <c r="J24" s="3"/>
      <c r="K24" s="3"/>
      <c r="L24" s="320"/>
      <c r="M24" s="3"/>
      <c r="N24" s="3"/>
      <c r="O24" s="3"/>
      <c r="P24" s="3"/>
      <c r="Q24" s="3"/>
      <c r="R24" s="3"/>
      <c r="S24" s="3"/>
      <c r="T24" s="3"/>
      <c r="U24" s="3"/>
      <c r="V24" s="322"/>
      <c r="W24" s="3"/>
      <c r="X24" s="3"/>
      <c r="Y24" s="3"/>
      <c r="Z24" s="3"/>
      <c r="AA24" s="3"/>
      <c r="AB24" s="3"/>
      <c r="AC24" s="3"/>
      <c r="AD24" s="3"/>
    </row>
    <row r="25">
      <c r="A25" s="3"/>
      <c r="B25" s="330" t="s">
        <v>830</v>
      </c>
      <c r="C25" s="3"/>
      <c r="D25" s="320"/>
      <c r="E25" s="3"/>
      <c r="F25" s="331" t="s">
        <v>831</v>
      </c>
      <c r="G25" s="3"/>
      <c r="H25" s="3"/>
      <c r="I25" s="3"/>
      <c r="J25" s="3"/>
      <c r="K25" s="3"/>
      <c r="L25" s="320"/>
      <c r="M25" s="3"/>
      <c r="N25" s="3"/>
      <c r="O25" s="3"/>
      <c r="P25" s="3"/>
      <c r="Q25" s="3"/>
      <c r="R25" s="3"/>
      <c r="S25" s="121" t="s">
        <v>832</v>
      </c>
      <c r="T25" s="3"/>
      <c r="U25" s="3" t="s">
        <v>833</v>
      </c>
      <c r="V25" s="332" t="s">
        <v>834</v>
      </c>
      <c r="W25" s="3"/>
      <c r="X25" s="3"/>
      <c r="Y25" s="3"/>
      <c r="Z25" s="3"/>
      <c r="AA25" s="3"/>
      <c r="AB25" s="3"/>
      <c r="AC25" s="3"/>
      <c r="AD25" s="3"/>
    </row>
    <row r="26">
      <c r="A26" s="3"/>
      <c r="B26" s="318" t="s">
        <v>785</v>
      </c>
      <c r="C26" s="319" t="b">
        <v>1</v>
      </c>
      <c r="D26" s="323" t="s">
        <v>835</v>
      </c>
      <c r="E26" s="3"/>
      <c r="F26" s="3"/>
      <c r="G26" s="3"/>
      <c r="H26" s="3"/>
      <c r="I26" s="3"/>
      <c r="J26" s="3"/>
      <c r="K26" s="3"/>
      <c r="L26" s="3"/>
      <c r="M26" s="3"/>
      <c r="N26" s="3"/>
      <c r="O26" s="3"/>
      <c r="P26" s="3"/>
      <c r="Q26" s="3"/>
      <c r="R26" s="3"/>
      <c r="S26" s="3" t="s">
        <v>836</v>
      </c>
      <c r="T26" s="3"/>
      <c r="U26" s="320"/>
      <c r="V26" s="316">
        <v>1.0</v>
      </c>
      <c r="W26" s="3"/>
      <c r="X26" s="3"/>
      <c r="Y26" s="3"/>
      <c r="Z26" s="3"/>
      <c r="AA26" s="3"/>
      <c r="AB26" s="3"/>
      <c r="AC26" s="3"/>
      <c r="AD26" s="3"/>
    </row>
    <row r="27">
      <c r="A27" s="3"/>
      <c r="B27" s="318" t="s">
        <v>785</v>
      </c>
      <c r="C27" s="319" t="b">
        <v>1</v>
      </c>
      <c r="D27" s="3"/>
      <c r="E27" s="323" t="s">
        <v>837</v>
      </c>
      <c r="F27" s="3"/>
      <c r="G27" s="3"/>
      <c r="H27" s="333">
        <v>44670.0</v>
      </c>
      <c r="I27" s="121" t="s">
        <v>838</v>
      </c>
      <c r="J27" s="320"/>
      <c r="K27" s="334" t="s">
        <v>839</v>
      </c>
      <c r="L27" s="320"/>
      <c r="M27" s="3"/>
      <c r="N27" s="3"/>
      <c r="O27" s="3"/>
      <c r="P27" s="3"/>
      <c r="Q27" s="3"/>
      <c r="R27" s="3"/>
      <c r="S27" s="3" t="s">
        <v>840</v>
      </c>
      <c r="T27" s="3"/>
      <c r="U27" s="320"/>
      <c r="V27" s="316">
        <v>1.3</v>
      </c>
      <c r="W27" s="317" t="s">
        <v>757</v>
      </c>
      <c r="X27" s="3"/>
      <c r="Y27" s="3"/>
      <c r="Z27" s="3"/>
      <c r="AA27" s="3"/>
      <c r="AB27" s="3"/>
      <c r="AC27" s="3"/>
      <c r="AD27" s="3"/>
    </row>
    <row r="28">
      <c r="A28" s="3"/>
      <c r="B28" s="318" t="s">
        <v>785</v>
      </c>
      <c r="C28" s="319" t="b">
        <v>1</v>
      </c>
      <c r="D28" s="320"/>
      <c r="E28" s="121" t="s">
        <v>841</v>
      </c>
      <c r="F28" s="3"/>
      <c r="G28" s="3"/>
      <c r="H28" s="3"/>
      <c r="I28" s="3"/>
      <c r="J28" s="3"/>
      <c r="K28" s="3"/>
      <c r="L28" s="320"/>
      <c r="M28" s="3"/>
      <c r="N28" s="3"/>
      <c r="O28" s="3"/>
      <c r="P28" s="3"/>
      <c r="Q28" s="3"/>
      <c r="R28" s="3"/>
      <c r="S28" s="121"/>
      <c r="T28" s="3"/>
      <c r="U28" s="320"/>
      <c r="V28" s="335">
        <v>2.0</v>
      </c>
      <c r="W28" s="336" t="s">
        <v>842</v>
      </c>
      <c r="X28" s="337"/>
      <c r="Y28" s="3"/>
      <c r="Z28" s="3"/>
      <c r="AA28" s="3"/>
      <c r="AB28" s="3"/>
      <c r="AC28" s="3"/>
      <c r="AD28" s="3"/>
    </row>
    <row r="29">
      <c r="A29" s="3"/>
      <c r="B29" s="318" t="s">
        <v>785</v>
      </c>
      <c r="C29" s="319" t="b">
        <v>1</v>
      </c>
      <c r="D29" s="323" t="s">
        <v>843</v>
      </c>
      <c r="E29" s="3"/>
      <c r="F29" s="3"/>
      <c r="G29" s="3"/>
      <c r="H29" s="3"/>
      <c r="I29" s="3"/>
      <c r="J29" s="3"/>
      <c r="K29" s="3"/>
      <c r="L29" s="320"/>
      <c r="M29" s="3"/>
      <c r="N29" s="3"/>
      <c r="O29" s="3"/>
      <c r="P29" s="3"/>
      <c r="Q29" s="3"/>
      <c r="R29" s="3"/>
      <c r="S29" s="121"/>
      <c r="T29" s="3"/>
      <c r="U29" s="320"/>
      <c r="V29" s="335">
        <v>2.11</v>
      </c>
      <c r="W29" s="338" t="s">
        <v>844</v>
      </c>
      <c r="X29" s="336"/>
      <c r="Y29" s="3"/>
      <c r="Z29" s="3"/>
      <c r="AA29" s="3"/>
      <c r="AB29" s="3"/>
      <c r="AC29" s="3"/>
      <c r="AD29" s="3"/>
    </row>
    <row r="30">
      <c r="A30" s="3"/>
      <c r="B30" s="318" t="s">
        <v>785</v>
      </c>
      <c r="C30" s="319" t="b">
        <v>1</v>
      </c>
      <c r="D30" s="320"/>
      <c r="E30" s="323" t="s">
        <v>845</v>
      </c>
      <c r="F30" s="3"/>
      <c r="G30" s="3"/>
      <c r="H30" s="3"/>
      <c r="I30" s="3"/>
      <c r="J30" s="3"/>
      <c r="K30" s="3"/>
      <c r="L30" s="320"/>
      <c r="M30" s="3"/>
      <c r="N30" s="3"/>
      <c r="O30" s="3"/>
      <c r="P30" s="3"/>
      <c r="Q30" s="3"/>
      <c r="R30" s="320"/>
      <c r="S30" s="121"/>
      <c r="T30" s="3"/>
      <c r="U30" s="320"/>
      <c r="V30" s="335">
        <v>2.12</v>
      </c>
      <c r="W30" s="338" t="s">
        <v>846</v>
      </c>
      <c r="X30" s="337"/>
      <c r="Y30" s="3"/>
      <c r="Z30" s="3"/>
      <c r="AA30" s="3"/>
      <c r="AB30" s="3"/>
      <c r="AC30" s="3"/>
      <c r="AD30" s="3"/>
    </row>
    <row r="31">
      <c r="A31" s="3"/>
      <c r="B31" s="318" t="s">
        <v>785</v>
      </c>
      <c r="C31" s="319" t="b">
        <v>1</v>
      </c>
      <c r="D31" s="3"/>
      <c r="E31" s="317" t="s">
        <v>847</v>
      </c>
      <c r="F31" s="3"/>
      <c r="G31" s="3"/>
      <c r="H31" s="3"/>
      <c r="I31" s="3"/>
      <c r="J31" s="3"/>
      <c r="K31" s="3"/>
      <c r="L31" s="320"/>
      <c r="M31" s="3"/>
      <c r="N31" s="3"/>
      <c r="O31" s="3"/>
      <c r="P31" s="3"/>
      <c r="Q31" s="3"/>
      <c r="R31" s="320"/>
      <c r="S31" s="320"/>
      <c r="T31" s="3"/>
      <c r="U31" s="320"/>
      <c r="V31" s="335">
        <v>2.2</v>
      </c>
      <c r="W31" s="338" t="s">
        <v>848</v>
      </c>
      <c r="X31" s="337"/>
      <c r="Y31" s="3"/>
      <c r="Z31" s="3"/>
      <c r="AA31" s="3"/>
      <c r="AB31" s="3"/>
      <c r="AC31" s="3"/>
      <c r="AD31" s="3"/>
    </row>
    <row r="32">
      <c r="A32" s="3"/>
      <c r="B32" s="318" t="s">
        <v>785</v>
      </c>
      <c r="C32" s="319" t="b">
        <v>1</v>
      </c>
      <c r="D32" s="323" t="s">
        <v>849</v>
      </c>
      <c r="E32" s="320"/>
      <c r="F32" s="3"/>
      <c r="G32" s="3"/>
      <c r="H32" s="3"/>
      <c r="I32" s="3"/>
      <c r="J32" s="3"/>
      <c r="K32" s="3"/>
      <c r="L32" s="320"/>
      <c r="M32" s="3"/>
      <c r="N32" s="3"/>
      <c r="O32" s="3"/>
      <c r="P32" s="3"/>
      <c r="Q32" s="3"/>
      <c r="R32" s="3"/>
      <c r="S32" s="3" t="s">
        <v>850</v>
      </c>
      <c r="T32" s="3"/>
      <c r="U32" s="320"/>
      <c r="V32" s="335">
        <v>3.0</v>
      </c>
      <c r="W32" s="338" t="s">
        <v>851</v>
      </c>
      <c r="X32" s="337"/>
      <c r="Y32" s="3"/>
      <c r="Z32" s="3"/>
      <c r="AA32" s="3"/>
      <c r="AB32" s="3"/>
      <c r="AC32" s="3"/>
      <c r="AD32" s="3"/>
    </row>
    <row r="33">
      <c r="A33" s="3"/>
      <c r="B33" s="318" t="s">
        <v>785</v>
      </c>
      <c r="C33" s="319" t="b">
        <v>1</v>
      </c>
      <c r="D33" s="3"/>
      <c r="E33" s="317" t="s">
        <v>852</v>
      </c>
      <c r="F33" s="3"/>
      <c r="G33" s="3"/>
      <c r="H33" s="339" t="s">
        <v>853</v>
      </c>
      <c r="I33" s="3"/>
      <c r="J33" s="3"/>
      <c r="K33" s="3"/>
      <c r="L33" s="320"/>
      <c r="M33" s="3"/>
      <c r="N33" s="3"/>
      <c r="O33" s="3"/>
      <c r="P33" s="3"/>
      <c r="Q33" s="3"/>
      <c r="R33" s="3"/>
      <c r="S33" s="3" t="s">
        <v>854</v>
      </c>
      <c r="T33" s="3"/>
      <c r="U33" s="320"/>
      <c r="V33" s="316">
        <v>4.0</v>
      </c>
      <c r="W33" s="121" t="s">
        <v>855</v>
      </c>
      <c r="X33" s="3"/>
      <c r="Y33" s="3"/>
      <c r="Z33" s="3"/>
      <c r="AA33" s="3"/>
      <c r="AB33" s="3"/>
      <c r="AC33" s="3"/>
      <c r="AD33" s="3"/>
    </row>
    <row r="34">
      <c r="A34" s="3"/>
      <c r="B34" s="318" t="s">
        <v>785</v>
      </c>
      <c r="C34" s="319" t="b">
        <v>1</v>
      </c>
      <c r="D34" s="3"/>
      <c r="E34" s="317" t="s">
        <v>856</v>
      </c>
      <c r="F34" s="3"/>
      <c r="G34" s="3"/>
      <c r="H34" s="3"/>
      <c r="I34" s="3"/>
      <c r="J34" s="3"/>
      <c r="K34" s="3"/>
      <c r="L34" s="320"/>
      <c r="M34" s="3"/>
      <c r="N34" s="3"/>
      <c r="O34" s="3"/>
      <c r="P34" s="3"/>
      <c r="Q34" s="3"/>
      <c r="R34" s="3"/>
      <c r="S34" s="121"/>
      <c r="T34" s="3"/>
      <c r="U34" s="3"/>
      <c r="V34" s="316">
        <v>4.1</v>
      </c>
      <c r="W34" s="3" t="s">
        <v>857</v>
      </c>
      <c r="X34" s="3"/>
      <c r="Y34" s="3"/>
      <c r="Z34" s="3"/>
      <c r="AA34" s="3"/>
      <c r="AB34" s="3"/>
      <c r="AC34" s="3"/>
      <c r="AD34" s="3"/>
    </row>
    <row r="35">
      <c r="A35" s="3"/>
      <c r="B35" s="318" t="s">
        <v>785</v>
      </c>
      <c r="C35" s="319" t="b">
        <v>1</v>
      </c>
      <c r="D35" s="3"/>
      <c r="E35" s="317" t="s">
        <v>858</v>
      </c>
      <c r="F35" s="3"/>
      <c r="G35" s="3"/>
      <c r="H35" s="3"/>
      <c r="I35" s="3"/>
      <c r="J35" s="3"/>
      <c r="K35" s="3"/>
      <c r="L35" s="320"/>
      <c r="M35" s="3"/>
      <c r="N35" s="3"/>
      <c r="O35" s="3"/>
      <c r="P35" s="3"/>
      <c r="Q35" s="3"/>
      <c r="R35" s="3"/>
      <c r="S35" s="3"/>
      <c r="T35" s="3"/>
      <c r="U35" s="3"/>
      <c r="V35" s="316">
        <v>4.2</v>
      </c>
      <c r="W35" s="3" t="s">
        <v>859</v>
      </c>
      <c r="X35" s="3"/>
      <c r="Y35" s="3"/>
      <c r="Z35" s="3"/>
      <c r="AA35" s="3"/>
      <c r="AB35" s="3"/>
      <c r="AC35" s="3"/>
      <c r="AD35" s="3"/>
    </row>
    <row r="36">
      <c r="A36" s="3"/>
      <c r="B36" s="318" t="s">
        <v>785</v>
      </c>
      <c r="C36" s="319" t="b">
        <v>1</v>
      </c>
      <c r="D36" s="3"/>
      <c r="E36" s="317" t="s">
        <v>860</v>
      </c>
      <c r="F36" s="3"/>
      <c r="G36" s="3"/>
      <c r="H36" s="3"/>
      <c r="I36" s="3"/>
      <c r="J36" s="3"/>
      <c r="K36" s="3"/>
      <c r="L36" s="320"/>
      <c r="M36" s="3"/>
      <c r="N36" s="3"/>
      <c r="O36" s="3"/>
      <c r="P36" s="3"/>
      <c r="Q36" s="3"/>
      <c r="R36" s="3"/>
      <c r="S36" s="3"/>
      <c r="T36" s="3"/>
      <c r="U36" s="3"/>
      <c r="V36" s="316">
        <v>1.3</v>
      </c>
      <c r="W36" s="121" t="s">
        <v>757</v>
      </c>
      <c r="X36" s="3"/>
      <c r="Y36" s="3"/>
      <c r="Z36" s="3"/>
      <c r="AA36" s="3"/>
      <c r="AB36" s="3"/>
      <c r="AC36" s="3"/>
      <c r="AD36" s="3"/>
    </row>
    <row r="37">
      <c r="A37" s="3"/>
      <c r="B37" s="318" t="s">
        <v>785</v>
      </c>
      <c r="C37" s="319" t="b">
        <v>1</v>
      </c>
      <c r="D37" s="323" t="s">
        <v>861</v>
      </c>
      <c r="E37" s="320"/>
      <c r="F37" s="3"/>
      <c r="G37" s="3"/>
      <c r="H37" s="3"/>
      <c r="I37" s="3"/>
      <c r="J37" s="3"/>
      <c r="K37" s="3"/>
      <c r="L37" s="320"/>
      <c r="M37" s="3"/>
      <c r="N37" s="3"/>
      <c r="O37" s="3"/>
      <c r="P37" s="3"/>
      <c r="Q37" s="3"/>
      <c r="R37" s="3"/>
      <c r="S37" s="3"/>
      <c r="T37" s="3"/>
      <c r="U37" s="3"/>
      <c r="V37" s="316">
        <v>5.0</v>
      </c>
      <c r="W37" s="3" t="s">
        <v>862</v>
      </c>
      <c r="X37" s="3"/>
      <c r="Y37" s="3"/>
      <c r="Z37" s="3"/>
      <c r="AA37" s="3"/>
      <c r="AB37" s="3"/>
      <c r="AC37" s="3"/>
      <c r="AD37" s="3"/>
    </row>
    <row r="38">
      <c r="A38" s="3"/>
      <c r="B38" s="318" t="s">
        <v>785</v>
      </c>
      <c r="C38" s="319" t="b">
        <v>1</v>
      </c>
      <c r="D38" s="3"/>
      <c r="E38" s="323" t="s">
        <v>863</v>
      </c>
      <c r="F38" s="3"/>
      <c r="G38" s="3"/>
      <c r="H38" s="3"/>
      <c r="I38" s="3"/>
      <c r="J38" s="3"/>
      <c r="K38" s="3"/>
      <c r="L38" s="320"/>
      <c r="M38" s="3"/>
      <c r="N38" s="3"/>
      <c r="O38" s="3"/>
      <c r="P38" s="3"/>
      <c r="Q38" s="3"/>
      <c r="R38" s="3"/>
      <c r="S38" s="3"/>
      <c r="T38" s="3"/>
      <c r="U38" s="3"/>
      <c r="V38" s="335">
        <v>5.1</v>
      </c>
      <c r="W38" s="338" t="s">
        <v>864</v>
      </c>
      <c r="X38" s="337"/>
      <c r="Y38" s="3"/>
      <c r="Z38" s="3"/>
      <c r="AA38" s="3"/>
      <c r="AB38" s="3"/>
      <c r="AC38" s="3"/>
      <c r="AD38" s="3"/>
    </row>
    <row r="39">
      <c r="A39" s="3"/>
      <c r="B39" s="318" t="s">
        <v>785</v>
      </c>
      <c r="C39" s="319" t="b">
        <v>1</v>
      </c>
      <c r="D39" s="323" t="s">
        <v>865</v>
      </c>
      <c r="E39" s="3"/>
      <c r="F39" s="3"/>
      <c r="G39" s="3"/>
      <c r="H39" s="3"/>
      <c r="I39" s="3"/>
      <c r="J39" s="3"/>
      <c r="K39" s="3"/>
      <c r="L39" s="3"/>
      <c r="M39" s="3"/>
      <c r="N39" s="3"/>
      <c r="O39" s="3"/>
      <c r="P39" s="3"/>
      <c r="Q39" s="3"/>
      <c r="R39" s="3"/>
      <c r="S39" s="3"/>
      <c r="T39" s="3"/>
      <c r="U39" s="3"/>
      <c r="V39" s="316">
        <v>6.0</v>
      </c>
      <c r="W39" s="3" t="s">
        <v>866</v>
      </c>
      <c r="X39" s="3"/>
      <c r="Y39" s="3"/>
      <c r="Z39" s="3"/>
      <c r="AA39" s="3"/>
      <c r="AB39" s="3"/>
      <c r="AC39" s="3"/>
      <c r="AD39" s="3"/>
    </row>
    <row r="40">
      <c r="A40" s="3"/>
      <c r="B40" s="318" t="s">
        <v>785</v>
      </c>
      <c r="C40" s="319" t="b">
        <v>1</v>
      </c>
      <c r="D40" s="323" t="s">
        <v>867</v>
      </c>
      <c r="E40" s="3"/>
      <c r="F40" s="3"/>
      <c r="G40" s="3"/>
      <c r="H40" s="3"/>
      <c r="I40" s="3"/>
      <c r="J40" s="3"/>
      <c r="K40" s="3"/>
      <c r="L40" s="3"/>
      <c r="M40" s="3"/>
      <c r="N40" s="3"/>
      <c r="O40" s="3"/>
      <c r="P40" s="3"/>
      <c r="Q40" s="3"/>
      <c r="R40" s="3"/>
      <c r="S40" s="3"/>
      <c r="T40" s="3"/>
      <c r="U40" s="3"/>
      <c r="V40" s="316">
        <v>7.0</v>
      </c>
      <c r="W40" s="121" t="s">
        <v>868</v>
      </c>
      <c r="X40" s="3"/>
      <c r="Y40" s="3"/>
      <c r="Z40" s="3"/>
      <c r="AA40" s="3"/>
      <c r="AB40" s="3"/>
      <c r="AC40" s="3"/>
      <c r="AD40" s="3"/>
    </row>
    <row r="41">
      <c r="A41" s="3"/>
      <c r="B41" s="318" t="s">
        <v>785</v>
      </c>
      <c r="C41" s="319" t="b">
        <v>1</v>
      </c>
      <c r="D41" s="320"/>
      <c r="E41" s="340" t="s">
        <v>869</v>
      </c>
      <c r="F41" s="3"/>
      <c r="G41" s="3"/>
      <c r="H41" s="3"/>
      <c r="I41" s="3"/>
      <c r="J41" s="3"/>
      <c r="K41" s="3"/>
      <c r="L41" s="3"/>
      <c r="M41" s="3"/>
      <c r="N41" s="3"/>
      <c r="O41" s="3"/>
      <c r="P41" s="3"/>
      <c r="Q41" s="3"/>
      <c r="R41" s="3"/>
      <c r="S41" s="3"/>
      <c r="T41" s="3"/>
      <c r="U41" s="3" t="s">
        <v>870</v>
      </c>
      <c r="V41" s="3"/>
      <c r="W41" s="3"/>
      <c r="X41" s="3"/>
      <c r="Y41" s="3"/>
      <c r="Z41" s="3"/>
      <c r="AA41" s="3"/>
      <c r="AB41" s="3"/>
      <c r="AC41" s="3"/>
      <c r="AD41" s="3"/>
    </row>
    <row r="42">
      <c r="A42" s="3"/>
      <c r="B42" s="318" t="s">
        <v>785</v>
      </c>
      <c r="C42" s="319" t="b">
        <v>1</v>
      </c>
      <c r="D42" s="320"/>
      <c r="E42" s="323" t="s">
        <v>871</v>
      </c>
      <c r="F42" s="3"/>
      <c r="G42" s="3"/>
      <c r="H42" s="3"/>
      <c r="I42" s="3"/>
      <c r="J42" s="3"/>
      <c r="K42" s="3"/>
      <c r="L42" s="3"/>
      <c r="M42" s="3"/>
      <c r="N42" s="3"/>
      <c r="O42" s="3"/>
      <c r="P42" s="3"/>
      <c r="Q42" s="3"/>
      <c r="R42" s="3"/>
      <c r="S42" s="3"/>
      <c r="T42" s="3"/>
      <c r="U42" s="320" t="s">
        <v>205</v>
      </c>
      <c r="V42" s="3"/>
      <c r="W42" s="3"/>
      <c r="X42" s="3"/>
      <c r="Y42" s="3"/>
      <c r="Z42" s="3"/>
      <c r="AA42" s="3"/>
      <c r="AB42" s="3"/>
      <c r="AC42" s="3"/>
      <c r="AD42" s="3"/>
    </row>
    <row r="43">
      <c r="A43" s="3"/>
      <c r="B43" s="318" t="s">
        <v>872</v>
      </c>
      <c r="C43" s="319" t="b">
        <v>1</v>
      </c>
      <c r="D43" s="320"/>
      <c r="E43" s="323" t="s">
        <v>873</v>
      </c>
      <c r="F43" s="3"/>
      <c r="G43" s="3"/>
      <c r="H43" s="3"/>
      <c r="I43" s="3"/>
      <c r="J43" s="3"/>
      <c r="K43" s="3"/>
      <c r="L43" s="3"/>
      <c r="M43" s="3"/>
      <c r="N43" s="3"/>
      <c r="O43" s="3"/>
      <c r="P43" s="3"/>
      <c r="Q43" s="3"/>
      <c r="R43" s="3"/>
      <c r="S43" s="3"/>
      <c r="T43" s="3"/>
      <c r="U43" s="320" t="s">
        <v>205</v>
      </c>
      <c r="V43" s="316">
        <v>0.0</v>
      </c>
      <c r="W43" s="3"/>
      <c r="X43" s="3"/>
      <c r="Y43" s="3"/>
      <c r="Z43" s="3"/>
      <c r="AA43" s="3"/>
      <c r="AB43" s="3"/>
      <c r="AC43" s="3"/>
      <c r="AD43" s="3"/>
    </row>
    <row r="44">
      <c r="A44" s="3"/>
      <c r="B44" s="318" t="s">
        <v>785</v>
      </c>
      <c r="C44" s="319" t="b">
        <v>1</v>
      </c>
      <c r="D44" s="317" t="s">
        <v>874</v>
      </c>
      <c r="E44" s="3"/>
      <c r="F44" s="3"/>
      <c r="G44" s="3"/>
      <c r="H44" s="3"/>
      <c r="I44" s="3"/>
      <c r="J44" s="3"/>
      <c r="K44" s="3"/>
      <c r="L44" s="3"/>
      <c r="M44" s="3"/>
      <c r="N44" s="3"/>
      <c r="O44" s="3"/>
      <c r="P44" s="3"/>
      <c r="Q44" s="3"/>
      <c r="R44" s="3"/>
      <c r="S44" s="3"/>
      <c r="T44" s="3"/>
      <c r="U44" s="320" t="s">
        <v>228</v>
      </c>
      <c r="V44" s="316">
        <v>1.0</v>
      </c>
      <c r="W44" s="3"/>
      <c r="X44" s="3"/>
      <c r="Y44" s="3"/>
      <c r="Z44" s="3"/>
      <c r="AA44" s="3"/>
      <c r="AB44" s="3"/>
      <c r="AC44" s="3"/>
      <c r="AD44" s="3"/>
    </row>
    <row r="45">
      <c r="A45" s="3"/>
      <c r="B45" s="318" t="s">
        <v>785</v>
      </c>
      <c r="C45" s="319" t="b">
        <v>1</v>
      </c>
      <c r="D45" s="320"/>
      <c r="E45" s="317" t="s">
        <v>875</v>
      </c>
      <c r="F45" s="3"/>
      <c r="G45" s="3"/>
      <c r="H45" s="3"/>
      <c r="I45" s="3"/>
      <c r="J45" s="3"/>
      <c r="N45" s="3"/>
      <c r="O45" s="3"/>
      <c r="P45" s="3"/>
      <c r="Q45" s="3"/>
      <c r="R45" s="3"/>
      <c r="S45" s="3"/>
      <c r="T45" s="3"/>
      <c r="U45" s="320" t="s">
        <v>215</v>
      </c>
      <c r="V45" s="3"/>
      <c r="W45" s="3"/>
      <c r="X45" s="3"/>
      <c r="Y45" s="3"/>
      <c r="Z45" s="3"/>
      <c r="AA45" s="3"/>
      <c r="AB45" s="3"/>
      <c r="AC45" s="3"/>
      <c r="AD45" s="3"/>
    </row>
    <row r="46">
      <c r="A46" s="3"/>
      <c r="B46" s="318" t="s">
        <v>822</v>
      </c>
      <c r="C46" s="319" t="b">
        <v>1</v>
      </c>
      <c r="D46" s="317" t="s">
        <v>876</v>
      </c>
      <c r="F46" s="3"/>
      <c r="G46" s="3"/>
      <c r="H46" s="3"/>
      <c r="I46" s="3"/>
      <c r="J46" s="3"/>
      <c r="K46" s="3"/>
      <c r="L46" s="3"/>
      <c r="M46" s="3"/>
      <c r="N46" s="3"/>
      <c r="O46" s="3"/>
      <c r="P46" s="3"/>
      <c r="Q46" s="3"/>
      <c r="R46" s="3"/>
      <c r="S46" s="3"/>
      <c r="T46" s="3"/>
      <c r="U46" s="320"/>
      <c r="V46" s="3"/>
      <c r="W46" s="3"/>
      <c r="X46" s="3"/>
      <c r="Y46" s="3"/>
      <c r="Z46" s="3"/>
      <c r="AA46" s="3"/>
      <c r="AB46" s="3"/>
      <c r="AC46" s="3"/>
      <c r="AD46" s="3"/>
    </row>
    <row r="47">
      <c r="A47" s="3"/>
      <c r="B47" s="327" t="s">
        <v>827</v>
      </c>
      <c r="C47" s="328" t="b">
        <v>1</v>
      </c>
      <c r="D47" s="341" t="s">
        <v>877</v>
      </c>
      <c r="E47" s="290"/>
      <c r="F47" s="290"/>
      <c r="G47" s="290"/>
      <c r="H47" s="290"/>
      <c r="I47" s="290"/>
      <c r="J47" s="290"/>
      <c r="K47" s="290"/>
      <c r="L47" s="290"/>
      <c r="M47" s="290"/>
      <c r="N47" s="3"/>
      <c r="O47" s="3"/>
      <c r="P47" s="3"/>
      <c r="Q47" s="3"/>
      <c r="R47" s="3"/>
      <c r="S47" s="3"/>
      <c r="T47" s="3"/>
      <c r="U47" s="320" t="s">
        <v>878</v>
      </c>
      <c r="V47" s="3"/>
      <c r="W47" s="3"/>
      <c r="X47" s="3"/>
      <c r="Y47" s="3"/>
      <c r="Z47" s="3"/>
      <c r="AA47" s="3"/>
      <c r="AB47" s="3"/>
      <c r="AC47" s="3"/>
      <c r="AD47" s="3"/>
    </row>
    <row r="48">
      <c r="A48" s="3"/>
      <c r="B48" s="314"/>
      <c r="C48" s="3"/>
      <c r="D48" s="3"/>
      <c r="E48" s="3"/>
      <c r="F48" s="3"/>
      <c r="G48" s="3"/>
      <c r="H48" s="3"/>
      <c r="I48" s="3"/>
      <c r="J48" s="3"/>
      <c r="K48" s="3"/>
      <c r="L48" s="3"/>
      <c r="M48" s="3"/>
      <c r="N48" s="3"/>
      <c r="O48" s="3"/>
      <c r="P48" s="3"/>
      <c r="Q48" s="3"/>
      <c r="R48" s="3"/>
      <c r="S48" s="3"/>
      <c r="T48" s="3"/>
      <c r="U48" s="320" t="s">
        <v>879</v>
      </c>
      <c r="V48" s="3"/>
      <c r="W48" s="3"/>
      <c r="X48" s="3"/>
      <c r="Y48" s="3"/>
      <c r="Z48" s="3"/>
      <c r="AA48" s="3"/>
      <c r="AB48" s="3"/>
      <c r="AC48" s="3"/>
      <c r="AD48" s="3"/>
    </row>
    <row r="49">
      <c r="A49" s="3"/>
      <c r="B49" s="330" t="s">
        <v>880</v>
      </c>
      <c r="C49" s="3"/>
      <c r="D49" s="331" t="s">
        <v>881</v>
      </c>
      <c r="E49" s="3"/>
      <c r="F49" s="3"/>
      <c r="G49" s="3"/>
      <c r="H49" s="3"/>
      <c r="I49" s="3"/>
      <c r="J49" s="3"/>
      <c r="K49" s="3"/>
      <c r="L49" s="3"/>
      <c r="M49" s="3"/>
      <c r="N49" s="3"/>
      <c r="O49" s="3"/>
      <c r="P49" s="3"/>
      <c r="Q49" s="3"/>
      <c r="R49" s="3"/>
      <c r="S49" s="3"/>
      <c r="T49" s="3"/>
      <c r="U49" s="320" t="s">
        <v>882</v>
      </c>
      <c r="V49" s="3"/>
      <c r="W49" s="3"/>
      <c r="X49" s="3"/>
      <c r="Y49" s="3"/>
      <c r="Z49" s="3"/>
      <c r="AA49" s="3"/>
      <c r="AB49" s="3"/>
      <c r="AC49" s="3"/>
      <c r="AD49" s="3"/>
    </row>
    <row r="50">
      <c r="A50" s="3"/>
      <c r="B50" s="342" t="s">
        <v>785</v>
      </c>
      <c r="C50" s="319" t="b">
        <v>1</v>
      </c>
      <c r="D50" s="317" t="s">
        <v>883</v>
      </c>
      <c r="E50" s="3"/>
      <c r="F50" s="3"/>
      <c r="G50" s="3"/>
      <c r="H50" s="3"/>
      <c r="I50" s="3"/>
      <c r="J50" s="3"/>
      <c r="K50" s="3"/>
      <c r="L50" s="3"/>
      <c r="M50" s="3"/>
      <c r="N50" s="3"/>
      <c r="O50" s="3"/>
      <c r="P50" s="3"/>
      <c r="Q50" s="3"/>
      <c r="R50" s="3"/>
      <c r="S50" s="3"/>
      <c r="T50" s="3"/>
      <c r="U50" s="3"/>
      <c r="V50" s="316">
        <v>1.1</v>
      </c>
      <c r="W50" s="121" t="s">
        <v>884</v>
      </c>
      <c r="X50" s="3"/>
      <c r="Y50" s="3"/>
      <c r="Z50" s="3"/>
      <c r="AA50" s="3"/>
      <c r="AB50" s="3"/>
      <c r="AC50" s="3"/>
      <c r="AD50" s="3"/>
    </row>
    <row r="51">
      <c r="A51" s="3"/>
      <c r="B51" s="342" t="s">
        <v>785</v>
      </c>
      <c r="C51" s="319" t="b">
        <v>1</v>
      </c>
      <c r="D51" s="323" t="s">
        <v>885</v>
      </c>
      <c r="E51" s="3"/>
      <c r="F51" s="3"/>
      <c r="G51" s="3"/>
      <c r="H51" s="3"/>
      <c r="I51" s="3"/>
      <c r="J51" s="3"/>
      <c r="K51" s="3"/>
      <c r="L51" s="3"/>
      <c r="M51" s="3"/>
      <c r="N51" s="3"/>
      <c r="O51" s="343"/>
      <c r="P51" s="3"/>
      <c r="Q51" s="3"/>
      <c r="R51" s="3"/>
      <c r="S51" s="3"/>
      <c r="T51" s="3"/>
      <c r="U51" s="322" t="s">
        <v>886</v>
      </c>
      <c r="V51" s="320"/>
      <c r="W51" s="3"/>
      <c r="X51" s="3"/>
      <c r="Y51" s="3"/>
      <c r="Z51" s="3"/>
      <c r="AA51" s="3"/>
      <c r="AB51" s="3"/>
      <c r="AC51" s="3"/>
      <c r="AD51" s="3"/>
    </row>
    <row r="52">
      <c r="A52" s="3"/>
      <c r="B52" s="342" t="s">
        <v>785</v>
      </c>
      <c r="C52" s="319" t="b">
        <v>1</v>
      </c>
      <c r="D52" s="317" t="s">
        <v>887</v>
      </c>
      <c r="E52" s="3"/>
      <c r="F52" s="3"/>
      <c r="G52" s="3"/>
      <c r="H52" s="3"/>
      <c r="I52" s="3"/>
      <c r="J52" s="3"/>
      <c r="K52" s="3"/>
      <c r="L52" s="3"/>
      <c r="M52" s="3"/>
      <c r="N52" s="3"/>
      <c r="O52" s="343"/>
      <c r="P52" s="3"/>
      <c r="Q52" s="3"/>
      <c r="R52" s="3"/>
      <c r="S52" s="3"/>
      <c r="T52" s="3"/>
      <c r="U52" s="322" t="s">
        <v>888</v>
      </c>
      <c r="V52" s="3"/>
      <c r="W52" s="3"/>
      <c r="X52" s="3"/>
      <c r="Y52" s="3"/>
      <c r="Z52" s="3"/>
      <c r="AA52" s="3"/>
      <c r="AB52" s="3"/>
      <c r="AC52" s="3"/>
      <c r="AD52" s="3"/>
    </row>
    <row r="53">
      <c r="A53" s="3"/>
      <c r="B53" s="342" t="s">
        <v>785</v>
      </c>
      <c r="C53" s="319" t="b">
        <v>1</v>
      </c>
      <c r="D53" s="323" t="s">
        <v>889</v>
      </c>
      <c r="E53" s="3"/>
      <c r="F53" s="3"/>
      <c r="G53" s="3"/>
      <c r="H53" s="3"/>
      <c r="I53" s="3"/>
      <c r="J53" s="3"/>
      <c r="K53" s="3"/>
      <c r="L53" s="3"/>
      <c r="M53" s="3"/>
      <c r="N53" s="3"/>
      <c r="O53" s="343"/>
      <c r="P53" s="3"/>
      <c r="Q53" s="3"/>
      <c r="R53" s="3"/>
      <c r="S53" s="3"/>
      <c r="T53" s="3"/>
      <c r="U53" s="3"/>
      <c r="V53" s="3"/>
      <c r="W53" s="3"/>
      <c r="X53" s="3"/>
      <c r="Y53" s="3"/>
      <c r="Z53" s="3"/>
      <c r="AA53" s="3"/>
      <c r="AB53" s="3"/>
      <c r="AC53" s="3"/>
      <c r="AD53" s="3"/>
    </row>
    <row r="54">
      <c r="A54" s="3"/>
      <c r="B54" s="342" t="s">
        <v>785</v>
      </c>
      <c r="C54" s="319" t="b">
        <v>1</v>
      </c>
      <c r="D54" s="317" t="s">
        <v>890</v>
      </c>
      <c r="E54" s="3"/>
      <c r="F54" s="3"/>
      <c r="G54" s="3"/>
      <c r="H54" s="3"/>
      <c r="I54" s="3"/>
      <c r="J54" s="3"/>
      <c r="K54" s="3"/>
      <c r="L54" s="3"/>
      <c r="M54" s="3"/>
      <c r="N54" s="3"/>
      <c r="O54" s="343"/>
      <c r="P54" s="3"/>
      <c r="Q54" s="3"/>
      <c r="R54" s="3"/>
      <c r="S54" s="3"/>
      <c r="T54" s="3"/>
      <c r="U54" s="3"/>
      <c r="V54" s="320"/>
      <c r="W54" s="3"/>
      <c r="X54" s="3"/>
      <c r="Y54" s="3"/>
      <c r="Z54" s="3"/>
      <c r="AA54" s="3"/>
      <c r="AB54" s="3"/>
      <c r="AC54" s="3"/>
      <c r="AD54" s="3"/>
    </row>
    <row r="55">
      <c r="A55" s="3"/>
      <c r="B55" s="342" t="s">
        <v>785</v>
      </c>
      <c r="C55" s="319" t="b">
        <v>1</v>
      </c>
      <c r="D55" s="3"/>
      <c r="E55" s="317" t="s">
        <v>891</v>
      </c>
      <c r="F55" s="3"/>
      <c r="G55" s="3"/>
      <c r="H55" s="3"/>
      <c r="I55" s="3"/>
      <c r="J55" s="121" t="s">
        <v>892</v>
      </c>
      <c r="K55" s="3"/>
      <c r="L55" s="3"/>
      <c r="M55" s="3"/>
      <c r="N55" s="3"/>
      <c r="O55" s="343"/>
      <c r="P55" s="3"/>
      <c r="Q55" s="3"/>
      <c r="R55" s="3"/>
      <c r="S55" s="3"/>
      <c r="T55" s="3"/>
      <c r="U55" s="3"/>
      <c r="V55" s="320"/>
      <c r="W55" s="3"/>
      <c r="X55" s="3"/>
      <c r="Y55" s="3"/>
      <c r="Z55" s="3"/>
      <c r="AA55" s="3"/>
      <c r="AB55" s="3"/>
      <c r="AC55" s="3"/>
      <c r="AD55" s="3"/>
    </row>
    <row r="56">
      <c r="A56" s="3"/>
      <c r="B56" s="342" t="s">
        <v>785</v>
      </c>
      <c r="C56" s="319" t="b">
        <v>1</v>
      </c>
      <c r="D56" s="320"/>
      <c r="E56" s="121" t="s">
        <v>893</v>
      </c>
      <c r="F56" s="3"/>
      <c r="G56" s="3"/>
      <c r="H56" s="3"/>
      <c r="I56" s="3"/>
      <c r="J56" s="121" t="s">
        <v>894</v>
      </c>
      <c r="K56" s="3"/>
      <c r="L56" s="3"/>
      <c r="M56" s="3"/>
      <c r="N56" s="3"/>
      <c r="O56" s="343"/>
      <c r="P56" s="3"/>
      <c r="Q56" s="3"/>
      <c r="R56" s="3"/>
      <c r="S56" s="3"/>
      <c r="T56" s="3"/>
      <c r="U56" s="3"/>
      <c r="V56" s="320"/>
      <c r="W56" s="3"/>
      <c r="X56" s="3"/>
      <c r="Y56" s="3"/>
      <c r="Z56" s="3"/>
      <c r="AA56" s="3"/>
      <c r="AB56" s="3"/>
      <c r="AC56" s="3"/>
      <c r="AD56" s="3"/>
    </row>
    <row r="57">
      <c r="A57" s="3"/>
      <c r="B57" s="342" t="s">
        <v>785</v>
      </c>
      <c r="C57" s="319" t="b">
        <v>1</v>
      </c>
      <c r="D57" s="323" t="s">
        <v>895</v>
      </c>
      <c r="E57" s="3"/>
      <c r="F57" s="3"/>
      <c r="G57" s="3"/>
      <c r="H57" s="344" t="s">
        <v>896</v>
      </c>
      <c r="I57" s="3"/>
      <c r="J57" s="121" t="s">
        <v>897</v>
      </c>
      <c r="K57" s="3"/>
      <c r="L57" s="3"/>
      <c r="M57" s="3"/>
      <c r="N57" s="3"/>
      <c r="O57" s="343"/>
      <c r="P57" s="3"/>
      <c r="Q57" s="3"/>
      <c r="R57" s="3"/>
      <c r="S57" s="3"/>
      <c r="T57" s="3"/>
      <c r="U57" s="3"/>
      <c r="V57" s="320"/>
      <c r="W57" s="3"/>
      <c r="X57" s="3"/>
      <c r="Y57" s="3"/>
      <c r="Z57" s="3"/>
      <c r="AA57" s="3"/>
      <c r="AB57" s="3"/>
      <c r="AC57" s="3"/>
      <c r="AD57" s="3"/>
    </row>
    <row r="58">
      <c r="A58" s="3"/>
      <c r="B58" s="342" t="s">
        <v>785</v>
      </c>
      <c r="C58" s="319" t="b">
        <v>1</v>
      </c>
      <c r="D58" s="317" t="s">
        <v>898</v>
      </c>
      <c r="E58" s="3"/>
      <c r="F58" s="3"/>
      <c r="G58" s="3"/>
      <c r="H58" s="344" t="s">
        <v>899</v>
      </c>
      <c r="I58" s="3"/>
      <c r="J58" s="3"/>
      <c r="K58" s="3"/>
      <c r="L58" s="3"/>
      <c r="M58" s="3"/>
      <c r="N58" s="3"/>
      <c r="O58" s="343"/>
      <c r="P58" s="3"/>
      <c r="Q58" s="3"/>
      <c r="R58" s="3"/>
      <c r="S58" s="3"/>
      <c r="T58" s="3"/>
      <c r="U58" s="3"/>
      <c r="V58" s="320"/>
      <c r="W58" s="3"/>
      <c r="X58" s="3"/>
      <c r="Y58" s="3"/>
      <c r="Z58" s="3"/>
      <c r="AA58" s="3"/>
      <c r="AB58" s="3"/>
      <c r="AC58" s="3"/>
      <c r="AD58" s="3"/>
    </row>
    <row r="59">
      <c r="A59" s="3"/>
      <c r="B59" s="342" t="s">
        <v>785</v>
      </c>
      <c r="C59" s="319" t="b">
        <v>1</v>
      </c>
      <c r="D59" s="323" t="s">
        <v>900</v>
      </c>
      <c r="E59" s="3"/>
      <c r="F59" s="3"/>
      <c r="G59" s="3"/>
      <c r="H59" s="3"/>
      <c r="I59" s="3"/>
      <c r="J59" s="3"/>
      <c r="K59" s="3"/>
      <c r="L59" s="3"/>
      <c r="M59" s="3"/>
      <c r="N59" s="3"/>
      <c r="O59" s="3"/>
      <c r="P59" s="3"/>
      <c r="Q59" s="3"/>
      <c r="R59" s="3"/>
      <c r="S59" s="3"/>
      <c r="T59" s="3"/>
      <c r="U59" s="3"/>
      <c r="V59" s="320"/>
      <c r="W59" s="3"/>
      <c r="X59" s="3"/>
      <c r="Y59" s="3"/>
      <c r="Z59" s="3"/>
      <c r="AA59" s="3"/>
      <c r="AB59" s="3"/>
      <c r="AC59" s="3"/>
      <c r="AD59" s="3"/>
    </row>
    <row r="60">
      <c r="A60" s="3"/>
      <c r="B60" s="342" t="s">
        <v>785</v>
      </c>
      <c r="C60" s="319" t="b">
        <v>1</v>
      </c>
      <c r="D60" s="317" t="s">
        <v>901</v>
      </c>
      <c r="E60" s="3"/>
      <c r="F60" s="3"/>
      <c r="G60" s="3"/>
      <c r="H60" s="3"/>
      <c r="I60" s="3"/>
      <c r="J60" s="3"/>
      <c r="K60" s="3"/>
      <c r="L60" s="3"/>
      <c r="M60" s="3"/>
      <c r="N60" s="3"/>
      <c r="O60" s="3"/>
      <c r="P60" s="3"/>
      <c r="Q60" s="3"/>
      <c r="R60" s="3"/>
      <c r="S60" s="3"/>
      <c r="T60" s="3"/>
      <c r="U60" s="3"/>
      <c r="V60" s="320"/>
      <c r="W60" s="3"/>
      <c r="X60" s="3"/>
      <c r="Y60" s="3"/>
      <c r="Z60" s="3"/>
      <c r="AA60" s="3"/>
      <c r="AB60" s="3"/>
      <c r="AC60" s="3"/>
      <c r="AD60" s="3"/>
    </row>
    <row r="61">
      <c r="A61" s="3"/>
      <c r="B61" s="342" t="s">
        <v>785</v>
      </c>
      <c r="C61" s="319" t="b">
        <v>1</v>
      </c>
      <c r="D61" s="317" t="s">
        <v>902</v>
      </c>
      <c r="E61" s="3"/>
      <c r="F61" s="3"/>
      <c r="G61" s="3"/>
      <c r="H61" s="3"/>
      <c r="I61" s="3"/>
      <c r="J61" s="3"/>
      <c r="K61" s="3"/>
      <c r="L61" s="3"/>
      <c r="M61" s="3"/>
      <c r="N61" s="3"/>
      <c r="O61" s="3"/>
      <c r="P61" s="3"/>
      <c r="Q61" s="3"/>
      <c r="R61" s="3"/>
      <c r="S61" s="3"/>
      <c r="T61" s="3"/>
      <c r="U61" s="3"/>
      <c r="V61" s="320"/>
      <c r="W61" s="3"/>
      <c r="X61" s="3"/>
      <c r="Y61" s="3"/>
      <c r="Z61" s="3"/>
      <c r="AA61" s="3"/>
      <c r="AB61" s="3"/>
      <c r="AC61" s="3"/>
      <c r="AD61" s="3"/>
    </row>
    <row r="62">
      <c r="A62" s="3"/>
      <c r="B62" s="342" t="s">
        <v>785</v>
      </c>
      <c r="C62" s="319" t="b">
        <v>1</v>
      </c>
      <c r="D62" s="320"/>
      <c r="E62" s="317" t="s">
        <v>903</v>
      </c>
      <c r="F62" s="3"/>
      <c r="G62" s="3"/>
      <c r="H62" s="3"/>
      <c r="I62" s="3"/>
      <c r="J62" s="3"/>
      <c r="K62" s="3"/>
      <c r="L62" s="3"/>
      <c r="M62" s="3"/>
      <c r="N62" s="3"/>
      <c r="O62" s="3"/>
      <c r="P62" s="3"/>
      <c r="Q62" s="3"/>
      <c r="R62" s="3"/>
      <c r="S62" s="3"/>
      <c r="T62" s="3"/>
      <c r="U62" s="3"/>
      <c r="V62" s="320"/>
      <c r="W62" s="3"/>
      <c r="X62" s="3"/>
      <c r="Y62" s="3"/>
      <c r="Z62" s="3"/>
      <c r="AA62" s="3"/>
      <c r="AB62" s="3"/>
      <c r="AC62" s="3"/>
      <c r="AD62" s="3"/>
    </row>
    <row r="63">
      <c r="A63" s="3"/>
      <c r="B63" s="342" t="s">
        <v>785</v>
      </c>
      <c r="C63" s="319" t="b">
        <v>1</v>
      </c>
      <c r="D63" s="320"/>
      <c r="E63" s="329" t="s">
        <v>904</v>
      </c>
      <c r="F63" s="290"/>
      <c r="G63" s="290"/>
      <c r="H63" s="290"/>
      <c r="I63" s="3"/>
      <c r="J63" s="3"/>
      <c r="K63" s="3"/>
      <c r="L63" s="3"/>
      <c r="M63" s="3"/>
      <c r="N63" s="3"/>
      <c r="O63" s="3"/>
      <c r="P63" s="3"/>
      <c r="Q63" s="3"/>
      <c r="R63" s="3"/>
      <c r="S63" s="3"/>
      <c r="T63" s="3"/>
      <c r="U63" s="3"/>
      <c r="V63" s="3"/>
      <c r="W63" s="3"/>
      <c r="X63" s="3"/>
      <c r="Y63" s="3"/>
      <c r="Z63" s="3"/>
      <c r="AA63" s="3"/>
      <c r="AB63" s="3"/>
      <c r="AC63" s="3"/>
      <c r="AD63" s="3"/>
    </row>
    <row r="64">
      <c r="A64" s="3"/>
      <c r="B64" s="342" t="s">
        <v>785</v>
      </c>
      <c r="C64" s="319" t="b">
        <v>1</v>
      </c>
      <c r="D64" s="320"/>
      <c r="E64" s="121" t="s">
        <v>905</v>
      </c>
      <c r="F64" s="3"/>
      <c r="G64" s="3"/>
      <c r="H64" s="3"/>
      <c r="I64" s="3"/>
      <c r="J64" s="3"/>
      <c r="K64" s="3"/>
      <c r="L64" s="3"/>
      <c r="M64" s="3"/>
      <c r="N64" s="3"/>
      <c r="O64" s="3"/>
      <c r="P64" s="3"/>
      <c r="Q64" s="3"/>
      <c r="R64" s="3"/>
      <c r="S64" s="3"/>
      <c r="T64" s="3"/>
      <c r="U64" s="3"/>
      <c r="V64" s="3"/>
      <c r="W64" s="3"/>
      <c r="X64" s="3"/>
      <c r="Y64" s="3"/>
      <c r="Z64" s="3"/>
      <c r="AA64" s="3"/>
      <c r="AB64" s="3"/>
      <c r="AC64" s="3"/>
      <c r="AD64" s="3"/>
    </row>
    <row r="65">
      <c r="A65" s="3"/>
      <c r="B65" s="342" t="s">
        <v>785</v>
      </c>
      <c r="C65" s="319" t="b">
        <v>1</v>
      </c>
      <c r="D65" s="317" t="s">
        <v>906</v>
      </c>
      <c r="E65" s="3"/>
      <c r="F65" s="3"/>
      <c r="G65" s="3"/>
      <c r="H65" s="3"/>
      <c r="I65" s="3"/>
      <c r="J65" s="3"/>
      <c r="K65" s="3"/>
      <c r="L65" s="3"/>
      <c r="M65" s="3"/>
      <c r="N65" s="3"/>
      <c r="O65" s="3"/>
      <c r="P65" s="3"/>
      <c r="Q65" s="3"/>
      <c r="R65" s="3"/>
      <c r="S65" s="3"/>
      <c r="T65" s="3"/>
      <c r="U65" s="3"/>
      <c r="V65" s="3"/>
      <c r="W65" s="3"/>
      <c r="X65" s="3"/>
      <c r="Y65" s="3"/>
      <c r="Z65" s="3"/>
      <c r="AA65" s="3"/>
      <c r="AB65" s="3"/>
      <c r="AC65" s="3"/>
      <c r="AD65" s="3"/>
    </row>
    <row r="66">
      <c r="A66" s="3"/>
      <c r="B66" s="342" t="s">
        <v>785</v>
      </c>
      <c r="C66" s="319" t="b">
        <v>1</v>
      </c>
      <c r="D66" s="317" t="s">
        <v>907</v>
      </c>
      <c r="E66" s="3"/>
      <c r="F66" s="3"/>
      <c r="G66" s="3"/>
      <c r="H66" s="3"/>
      <c r="I66" s="3"/>
      <c r="J66" s="3"/>
      <c r="K66" s="3"/>
      <c r="L66" s="3"/>
      <c r="M66" s="3"/>
      <c r="N66" s="345"/>
      <c r="O66" s="3"/>
      <c r="P66" s="3"/>
      <c r="Q66" s="3"/>
      <c r="R66" s="3"/>
      <c r="S66" s="3"/>
      <c r="T66" s="3"/>
      <c r="U66" s="3"/>
      <c r="V66" s="3"/>
      <c r="W66" s="3"/>
      <c r="X66" s="3"/>
      <c r="Y66" s="3"/>
      <c r="Z66" s="3"/>
      <c r="AA66" s="3"/>
      <c r="AB66" s="3"/>
      <c r="AC66" s="3"/>
      <c r="AD66" s="3"/>
    </row>
    <row r="67">
      <c r="A67" s="3"/>
      <c r="B67" s="342" t="s">
        <v>785</v>
      </c>
      <c r="C67" s="319" t="b">
        <v>1</v>
      </c>
      <c r="D67" s="3"/>
      <c r="E67" s="317" t="s">
        <v>903</v>
      </c>
      <c r="F67" s="3"/>
      <c r="G67" s="3"/>
      <c r="H67" s="3"/>
      <c r="I67" s="3"/>
      <c r="J67" s="3"/>
      <c r="K67" s="3"/>
      <c r="L67" s="3"/>
      <c r="M67" s="3"/>
      <c r="N67" s="3"/>
      <c r="O67" s="3"/>
      <c r="P67" s="3"/>
      <c r="Q67" s="3"/>
      <c r="R67" s="3"/>
      <c r="S67" s="3"/>
      <c r="T67" s="3"/>
      <c r="U67" s="3"/>
      <c r="V67" s="3"/>
      <c r="W67" s="3"/>
      <c r="X67" s="3"/>
      <c r="Y67" s="3"/>
      <c r="Z67" s="3"/>
      <c r="AA67" s="3"/>
      <c r="AB67" s="3"/>
      <c r="AC67" s="3"/>
      <c r="AD67" s="3"/>
    </row>
    <row r="68">
      <c r="A68" s="3"/>
      <c r="B68" s="342" t="s">
        <v>785</v>
      </c>
      <c r="C68" s="319" t="b">
        <v>1</v>
      </c>
      <c r="D68" s="3"/>
      <c r="E68" s="329" t="s">
        <v>904</v>
      </c>
      <c r="F68" s="290"/>
      <c r="G68" s="290"/>
      <c r="H68" s="290"/>
      <c r="I68" s="3"/>
      <c r="J68" s="3"/>
      <c r="K68" s="3"/>
      <c r="L68" s="3"/>
      <c r="M68" s="3"/>
      <c r="N68" s="3"/>
      <c r="O68" s="3"/>
      <c r="P68" s="3"/>
      <c r="Q68" s="3"/>
      <c r="R68" s="3"/>
      <c r="S68" s="3"/>
      <c r="T68" s="3"/>
      <c r="U68" s="3"/>
      <c r="V68" s="3"/>
      <c r="W68" s="3"/>
      <c r="X68" s="3"/>
      <c r="Y68" s="3"/>
      <c r="Z68" s="3"/>
      <c r="AA68" s="3"/>
      <c r="AB68" s="3"/>
      <c r="AC68" s="3"/>
      <c r="AD68" s="3"/>
    </row>
    <row r="69">
      <c r="A69" s="3"/>
      <c r="B69" s="342" t="s">
        <v>785</v>
      </c>
      <c r="C69" s="319" t="b">
        <v>1</v>
      </c>
      <c r="D69" s="3"/>
      <c r="E69" s="121" t="s">
        <v>908</v>
      </c>
      <c r="F69" s="3"/>
      <c r="G69" s="3"/>
      <c r="H69" s="3"/>
      <c r="I69" s="3"/>
      <c r="J69" s="3"/>
      <c r="K69" s="3"/>
      <c r="L69" s="3"/>
      <c r="M69" s="3"/>
      <c r="N69" s="3"/>
      <c r="O69" s="3"/>
      <c r="P69" s="3"/>
      <c r="Q69" s="3"/>
      <c r="R69" s="3"/>
      <c r="S69" s="3"/>
      <c r="T69" s="3"/>
      <c r="U69" s="3"/>
      <c r="V69" s="3"/>
      <c r="W69" s="3"/>
      <c r="X69" s="3"/>
      <c r="Y69" s="3"/>
      <c r="Z69" s="3"/>
      <c r="AA69" s="3"/>
      <c r="AB69" s="3"/>
      <c r="AC69" s="3"/>
      <c r="AD69" s="3"/>
    </row>
    <row r="70">
      <c r="A70" s="3"/>
      <c r="B70" s="342" t="s">
        <v>785</v>
      </c>
      <c r="C70" s="319" t="b">
        <v>1</v>
      </c>
      <c r="D70" s="317" t="s">
        <v>909</v>
      </c>
      <c r="E70" s="3"/>
      <c r="F70" s="3"/>
      <c r="G70" s="3"/>
      <c r="H70" s="3"/>
      <c r="I70" s="3"/>
      <c r="J70" s="3"/>
      <c r="K70" s="3"/>
      <c r="L70" s="3"/>
      <c r="M70" s="3"/>
      <c r="N70" s="3"/>
      <c r="O70" s="3"/>
      <c r="P70" s="3"/>
      <c r="Q70" s="3"/>
      <c r="R70" s="3"/>
      <c r="S70" s="3"/>
      <c r="T70" s="3"/>
      <c r="U70" s="3"/>
      <c r="V70" s="3"/>
      <c r="W70" s="3"/>
      <c r="X70" s="3"/>
      <c r="Y70" s="3"/>
      <c r="Z70" s="3"/>
      <c r="AA70" s="3"/>
      <c r="AB70" s="3"/>
      <c r="AC70" s="3"/>
      <c r="AD70" s="3"/>
    </row>
    <row r="71">
      <c r="A71" s="3"/>
      <c r="B71" s="342" t="s">
        <v>785</v>
      </c>
      <c r="C71" s="319" t="b">
        <v>1</v>
      </c>
      <c r="D71" s="317" t="s">
        <v>910</v>
      </c>
      <c r="E71" s="3"/>
      <c r="F71" s="3"/>
      <c r="G71" s="3"/>
      <c r="H71" s="3"/>
      <c r="I71" s="3"/>
      <c r="J71" s="3"/>
      <c r="K71" s="3"/>
      <c r="L71" s="3"/>
      <c r="M71" s="3"/>
      <c r="N71" s="3"/>
      <c r="O71" s="3"/>
      <c r="P71" s="3"/>
      <c r="Q71" s="3"/>
      <c r="R71" s="3"/>
      <c r="S71" s="3"/>
      <c r="T71" s="3"/>
      <c r="U71" s="3"/>
      <c r="V71" s="3"/>
      <c r="W71" s="3"/>
      <c r="X71" s="3"/>
      <c r="Y71" s="3"/>
      <c r="Z71" s="3"/>
      <c r="AA71" s="3"/>
      <c r="AB71" s="3"/>
      <c r="AC71" s="3"/>
      <c r="AD71" s="3"/>
    </row>
    <row r="72">
      <c r="A72" s="3"/>
      <c r="B72" s="342" t="s">
        <v>785</v>
      </c>
      <c r="C72" s="319" t="b">
        <v>1</v>
      </c>
      <c r="D72" s="317" t="s">
        <v>911</v>
      </c>
      <c r="E72" s="3"/>
      <c r="F72" s="3"/>
      <c r="G72" s="3"/>
      <c r="H72" s="3"/>
      <c r="I72" s="3"/>
      <c r="J72" s="3"/>
      <c r="K72" s="3"/>
      <c r="L72" s="3"/>
      <c r="M72" s="3"/>
      <c r="N72" s="3"/>
      <c r="O72" s="3"/>
      <c r="P72" s="3"/>
      <c r="Q72" s="3"/>
      <c r="R72" s="3"/>
      <c r="S72" s="3"/>
      <c r="T72" s="3"/>
      <c r="U72" s="3"/>
      <c r="V72" s="3"/>
      <c r="W72" s="3"/>
      <c r="X72" s="3"/>
      <c r="Y72" s="3"/>
      <c r="Z72" s="3"/>
      <c r="AA72" s="3"/>
      <c r="AB72" s="3"/>
      <c r="AC72" s="3"/>
      <c r="AD72" s="3"/>
    </row>
    <row r="73">
      <c r="A73" s="3"/>
      <c r="B73" s="342" t="s">
        <v>785</v>
      </c>
      <c r="C73" s="319" t="b">
        <v>1</v>
      </c>
      <c r="D73" s="323" t="s">
        <v>912</v>
      </c>
      <c r="E73" s="3"/>
      <c r="F73" s="3"/>
      <c r="G73" s="3"/>
      <c r="H73" s="3"/>
      <c r="I73" s="3"/>
      <c r="J73" s="3"/>
      <c r="K73" s="3"/>
      <c r="L73" s="3"/>
      <c r="M73" s="3"/>
      <c r="N73" s="3"/>
      <c r="O73" s="3"/>
      <c r="P73" s="3"/>
      <c r="Q73" s="3"/>
      <c r="R73" s="3"/>
      <c r="S73" s="3"/>
      <c r="T73" s="3"/>
      <c r="U73" s="3"/>
      <c r="V73" s="3"/>
      <c r="W73" s="3"/>
      <c r="X73" s="3"/>
      <c r="Y73" s="3"/>
      <c r="Z73" s="3"/>
      <c r="AA73" s="3"/>
      <c r="AB73" s="3"/>
      <c r="AC73" s="3"/>
      <c r="AD73" s="3"/>
    </row>
    <row r="74">
      <c r="A74" s="3"/>
      <c r="B74" s="342" t="s">
        <v>785</v>
      </c>
      <c r="C74" s="319" t="b">
        <v>1</v>
      </c>
      <c r="D74" s="3"/>
      <c r="E74" s="346" t="s">
        <v>913</v>
      </c>
      <c r="F74" s="3"/>
      <c r="G74" s="3"/>
      <c r="H74" s="3"/>
      <c r="I74" s="3"/>
      <c r="J74" s="3"/>
      <c r="K74" s="3"/>
      <c r="L74" s="3"/>
      <c r="M74" s="3"/>
      <c r="N74" s="3"/>
      <c r="O74" s="3"/>
      <c r="P74" s="3"/>
      <c r="Q74" s="3"/>
      <c r="R74" s="3"/>
      <c r="S74" s="3"/>
      <c r="T74" s="3"/>
      <c r="U74" s="3"/>
      <c r="V74" s="3"/>
      <c r="W74" s="3"/>
      <c r="X74" s="3"/>
      <c r="Y74" s="3"/>
      <c r="Z74" s="3"/>
      <c r="AA74" s="3"/>
      <c r="AB74" s="3"/>
      <c r="AC74" s="3"/>
      <c r="AD74" s="3"/>
    </row>
    <row r="75">
      <c r="A75" s="3"/>
      <c r="B75" s="342" t="s">
        <v>785</v>
      </c>
      <c r="C75" s="319" t="b">
        <v>1</v>
      </c>
      <c r="D75" s="3"/>
      <c r="E75" s="346" t="s">
        <v>914</v>
      </c>
      <c r="F75" s="3"/>
      <c r="G75" s="3"/>
      <c r="H75" s="3"/>
      <c r="I75" s="3"/>
      <c r="J75" s="3"/>
      <c r="K75" s="3"/>
      <c r="L75" s="3"/>
      <c r="M75" s="3"/>
      <c r="N75" s="3"/>
      <c r="O75" s="3"/>
      <c r="P75" s="3"/>
      <c r="Q75" s="3"/>
      <c r="R75" s="3"/>
      <c r="S75" s="3"/>
      <c r="T75" s="3"/>
      <c r="U75" s="3"/>
      <c r="V75" s="3"/>
      <c r="W75" s="3"/>
      <c r="X75" s="3"/>
      <c r="Y75" s="3"/>
      <c r="Z75" s="3"/>
      <c r="AA75" s="3"/>
      <c r="AB75" s="3"/>
      <c r="AC75" s="3"/>
      <c r="AD75" s="3"/>
    </row>
    <row r="76">
      <c r="A76" s="3"/>
      <c r="B76" s="342" t="s">
        <v>785</v>
      </c>
      <c r="C76" s="319" t="b">
        <v>1</v>
      </c>
      <c r="D76" s="323" t="s">
        <v>915</v>
      </c>
      <c r="E76" s="3"/>
      <c r="F76" s="3"/>
      <c r="G76" s="3"/>
      <c r="H76" s="3"/>
      <c r="I76" s="3"/>
      <c r="J76" s="3"/>
      <c r="K76" s="3"/>
      <c r="L76" s="3"/>
      <c r="M76" s="3"/>
      <c r="N76" s="3"/>
      <c r="O76" s="3"/>
      <c r="P76" s="3"/>
      <c r="Q76" s="3"/>
      <c r="R76" s="3"/>
      <c r="S76" s="3"/>
      <c r="T76" s="3"/>
      <c r="U76" s="3"/>
      <c r="V76" s="3"/>
      <c r="W76" s="3"/>
      <c r="X76" s="3"/>
      <c r="Y76" s="3"/>
      <c r="Z76" s="3"/>
      <c r="AA76" s="3"/>
      <c r="AB76" s="3"/>
      <c r="AC76" s="3"/>
      <c r="AD76" s="3"/>
    </row>
    <row r="77">
      <c r="A77" s="3"/>
      <c r="B77" s="342" t="s">
        <v>822</v>
      </c>
      <c r="C77" s="319" t="b">
        <v>0</v>
      </c>
      <c r="D77" s="317" t="s">
        <v>916</v>
      </c>
      <c r="E77" s="3"/>
      <c r="F77" s="3"/>
      <c r="G77" s="3"/>
      <c r="H77" s="3"/>
      <c r="I77" s="3"/>
      <c r="J77" s="3"/>
      <c r="K77" s="3"/>
      <c r="L77" s="3"/>
      <c r="M77" s="3"/>
      <c r="N77" s="3"/>
      <c r="O77" s="3"/>
      <c r="P77" s="3"/>
      <c r="Q77" s="3"/>
      <c r="R77" s="3"/>
      <c r="S77" s="3"/>
      <c r="T77" s="3"/>
      <c r="U77" s="3"/>
      <c r="V77" s="3"/>
      <c r="W77" s="3"/>
      <c r="X77" s="3"/>
      <c r="Y77" s="3"/>
      <c r="Z77" s="3"/>
      <c r="AA77" s="3"/>
      <c r="AB77" s="3"/>
      <c r="AC77" s="3"/>
      <c r="AD77" s="3"/>
    </row>
    <row r="78">
      <c r="A78" s="3"/>
      <c r="B78" s="327" t="s">
        <v>827</v>
      </c>
      <c r="C78" s="328" t="b">
        <v>1</v>
      </c>
      <c r="D78" s="329" t="s">
        <v>917</v>
      </c>
      <c r="E78" s="290"/>
      <c r="F78" s="290"/>
      <c r="G78" s="290"/>
      <c r="H78" s="290"/>
      <c r="I78" s="290"/>
      <c r="J78" s="290"/>
      <c r="K78" s="290"/>
      <c r="L78" s="290"/>
      <c r="M78" s="290"/>
      <c r="N78" s="3"/>
      <c r="O78" s="3"/>
      <c r="P78" s="3"/>
      <c r="Q78" s="3"/>
      <c r="R78" s="3"/>
      <c r="S78" s="3"/>
      <c r="T78" s="3"/>
      <c r="U78" s="3"/>
      <c r="V78" s="3"/>
      <c r="W78" s="3"/>
      <c r="X78" s="3"/>
      <c r="Y78" s="3"/>
      <c r="Z78" s="3"/>
      <c r="AA78" s="3"/>
      <c r="AB78" s="3"/>
      <c r="AC78" s="3"/>
      <c r="AD78" s="3"/>
    </row>
    <row r="79">
      <c r="A79" s="3"/>
      <c r="B79" s="3"/>
      <c r="C79" s="3"/>
      <c r="D79" s="320"/>
      <c r="E79" s="3"/>
      <c r="F79" s="3"/>
      <c r="G79" s="3"/>
      <c r="H79" s="3"/>
      <c r="I79" s="3"/>
      <c r="J79" s="3"/>
      <c r="K79" s="3"/>
      <c r="L79" s="3"/>
      <c r="M79" s="3"/>
      <c r="N79" s="3"/>
      <c r="O79" s="3"/>
      <c r="P79" s="3"/>
      <c r="Q79" s="3"/>
      <c r="R79" s="3"/>
      <c r="S79" s="3"/>
      <c r="T79" s="3"/>
      <c r="U79" s="3"/>
      <c r="V79" s="3"/>
      <c r="W79" s="3"/>
      <c r="X79" s="3"/>
      <c r="Y79" s="3"/>
      <c r="Z79" s="3"/>
      <c r="AA79" s="3"/>
      <c r="AB79" s="3"/>
      <c r="AC79" s="3"/>
      <c r="AD79" s="3"/>
    </row>
    <row r="80">
      <c r="A80" s="3"/>
      <c r="B80" s="330" t="s">
        <v>918</v>
      </c>
      <c r="C80" s="3"/>
      <c r="D80" s="320"/>
      <c r="E80" s="3"/>
      <c r="F80" s="3"/>
      <c r="G80" s="3"/>
      <c r="H80" s="3"/>
      <c r="I80" s="3"/>
      <c r="J80" s="3"/>
      <c r="K80" s="3"/>
      <c r="L80" s="3"/>
      <c r="M80" s="3"/>
      <c r="N80" s="3"/>
      <c r="O80" s="3"/>
      <c r="P80" s="3"/>
      <c r="Q80" s="3"/>
      <c r="R80" s="3"/>
      <c r="S80" s="3"/>
      <c r="T80" s="3"/>
      <c r="U80" s="3"/>
      <c r="V80" s="3"/>
      <c r="W80" s="3"/>
      <c r="X80" s="3"/>
      <c r="Y80" s="3"/>
      <c r="Z80" s="3"/>
      <c r="AA80" s="3"/>
      <c r="AB80" s="3"/>
      <c r="AC80" s="3"/>
      <c r="AD80" s="3"/>
    </row>
    <row r="81">
      <c r="A81" s="3"/>
      <c r="B81" s="318" t="s">
        <v>919</v>
      </c>
      <c r="C81" s="319" t="b">
        <v>1</v>
      </c>
      <c r="D81" s="317" t="s">
        <v>920</v>
      </c>
      <c r="E81" s="3"/>
      <c r="F81" s="3"/>
      <c r="G81" s="3"/>
      <c r="H81" s="3"/>
      <c r="I81" s="3"/>
      <c r="J81" s="3"/>
      <c r="K81" s="3"/>
      <c r="L81" s="3"/>
      <c r="M81" s="3"/>
      <c r="N81" s="3"/>
      <c r="O81" s="3"/>
      <c r="P81" s="3"/>
      <c r="Q81" s="3"/>
      <c r="R81" s="3"/>
      <c r="S81" s="3"/>
      <c r="T81" s="3"/>
      <c r="U81" s="3"/>
      <c r="V81" s="3"/>
      <c r="W81" s="3"/>
      <c r="X81" s="3"/>
      <c r="Y81" s="3"/>
      <c r="Z81" s="3"/>
      <c r="AA81" s="3"/>
      <c r="AB81" s="3"/>
      <c r="AC81" s="3"/>
      <c r="AD81" s="3"/>
    </row>
    <row r="82">
      <c r="A82" s="3"/>
      <c r="B82" s="318" t="s">
        <v>919</v>
      </c>
      <c r="C82" s="319" t="b">
        <v>1</v>
      </c>
      <c r="D82" s="3"/>
      <c r="E82" s="121" t="s">
        <v>921</v>
      </c>
      <c r="F82" s="3"/>
      <c r="G82" s="3"/>
      <c r="H82" s="3"/>
      <c r="I82" s="3"/>
      <c r="J82" s="3"/>
      <c r="K82" s="3"/>
      <c r="L82" s="3"/>
      <c r="M82" s="3"/>
      <c r="N82" s="3"/>
      <c r="O82" s="3"/>
      <c r="P82" s="3"/>
      <c r="Q82" s="3"/>
      <c r="R82" s="3"/>
      <c r="S82" s="3"/>
      <c r="T82" s="3"/>
      <c r="U82" s="3"/>
      <c r="V82" s="3"/>
      <c r="W82" s="3"/>
      <c r="X82" s="3"/>
      <c r="Y82" s="3"/>
      <c r="Z82" s="3"/>
      <c r="AA82" s="3"/>
      <c r="AB82" s="3"/>
      <c r="AC82" s="3"/>
      <c r="AD82" s="3"/>
    </row>
    <row r="83">
      <c r="A83" s="3"/>
      <c r="B83" s="318" t="s">
        <v>785</v>
      </c>
      <c r="C83" s="319" t="b">
        <v>1</v>
      </c>
      <c r="D83" s="121" t="s">
        <v>922</v>
      </c>
      <c r="E83" s="3"/>
      <c r="F83" s="3"/>
      <c r="G83" s="3"/>
      <c r="H83" s="3"/>
      <c r="I83" s="3"/>
      <c r="J83" s="3"/>
      <c r="K83" s="3"/>
      <c r="L83" s="3"/>
      <c r="M83" s="3"/>
      <c r="N83" s="3"/>
      <c r="O83" s="3"/>
      <c r="P83" s="3"/>
      <c r="Q83" s="3"/>
      <c r="R83" s="3"/>
      <c r="S83" s="3"/>
      <c r="T83" s="3"/>
      <c r="U83" s="3"/>
      <c r="V83" s="3"/>
      <c r="W83" s="3"/>
      <c r="X83" s="3"/>
      <c r="Y83" s="3"/>
      <c r="Z83" s="3"/>
      <c r="AA83" s="3"/>
      <c r="AB83" s="3"/>
      <c r="AC83" s="3"/>
      <c r="AD83" s="3"/>
    </row>
    <row r="84">
      <c r="A84" s="3"/>
      <c r="B84" s="318" t="s">
        <v>919</v>
      </c>
      <c r="C84" s="319" t="b">
        <v>1</v>
      </c>
      <c r="D84" s="317" t="s">
        <v>923</v>
      </c>
      <c r="E84" s="3"/>
      <c r="F84" s="3"/>
      <c r="G84" s="3"/>
      <c r="H84" s="3"/>
      <c r="I84" s="3"/>
      <c r="J84" s="3"/>
      <c r="K84" s="3"/>
      <c r="L84" s="3"/>
      <c r="M84" s="3"/>
      <c r="N84" s="3"/>
      <c r="O84" s="3"/>
      <c r="P84" s="3"/>
      <c r="Q84" s="3"/>
      <c r="R84" s="3"/>
      <c r="S84" s="3"/>
      <c r="T84" s="3"/>
      <c r="U84" s="3"/>
      <c r="V84" s="3"/>
      <c r="W84" s="3"/>
      <c r="X84" s="3"/>
      <c r="Y84" s="3"/>
      <c r="Z84" s="3"/>
      <c r="AA84" s="3"/>
      <c r="AB84" s="3"/>
      <c r="AC84" s="3"/>
      <c r="AD84" s="3"/>
    </row>
    <row r="85">
      <c r="A85" s="3"/>
      <c r="B85" s="3"/>
      <c r="C85" s="3"/>
      <c r="D85" s="320"/>
      <c r="E85" s="3"/>
      <c r="F85" s="3"/>
      <c r="G85" s="3"/>
      <c r="H85" s="3"/>
      <c r="I85" s="3"/>
      <c r="J85" s="3"/>
      <c r="K85" s="3"/>
      <c r="L85" s="3"/>
      <c r="M85" s="3"/>
      <c r="N85" s="3"/>
      <c r="O85" s="3"/>
      <c r="P85" s="3"/>
      <c r="Q85" s="3"/>
      <c r="R85" s="3"/>
      <c r="S85" s="3"/>
      <c r="T85" s="3"/>
      <c r="U85" s="3"/>
      <c r="V85" s="3"/>
      <c r="W85" s="3"/>
      <c r="X85" s="3"/>
      <c r="Y85" s="3"/>
      <c r="Z85" s="3"/>
      <c r="AA85" s="3"/>
      <c r="AB85" s="3"/>
      <c r="AC85" s="3"/>
      <c r="AD85" s="3"/>
    </row>
    <row r="86">
      <c r="A86" s="3"/>
      <c r="B86" s="330" t="s">
        <v>924</v>
      </c>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row>
    <row r="87">
      <c r="A87" s="3"/>
      <c r="B87" s="318" t="s">
        <v>925</v>
      </c>
      <c r="C87" s="13" t="b">
        <v>0</v>
      </c>
      <c r="D87" s="317" t="s">
        <v>926</v>
      </c>
      <c r="E87" s="3"/>
      <c r="F87" s="3"/>
      <c r="G87" s="3"/>
      <c r="H87" s="3"/>
      <c r="I87" s="3"/>
      <c r="J87" s="3"/>
      <c r="K87" s="3"/>
      <c r="L87" s="3"/>
      <c r="M87" s="3"/>
      <c r="N87" s="3"/>
      <c r="O87" s="3"/>
      <c r="P87" s="3"/>
      <c r="Q87" s="3"/>
      <c r="R87" s="3"/>
      <c r="S87" s="3"/>
      <c r="T87" s="3"/>
      <c r="U87" s="3"/>
      <c r="V87" s="3"/>
      <c r="W87" s="3"/>
      <c r="X87" s="3"/>
      <c r="Y87" s="3"/>
      <c r="Z87" s="3"/>
      <c r="AA87" s="3"/>
      <c r="AB87" s="3"/>
      <c r="AC87" s="3"/>
      <c r="AD87" s="3"/>
    </row>
    <row r="88">
      <c r="A88" s="3"/>
      <c r="B88" s="318" t="s">
        <v>925</v>
      </c>
      <c r="C88" s="13" t="b">
        <v>0</v>
      </c>
      <c r="D88" s="317" t="s">
        <v>927</v>
      </c>
      <c r="E88" s="3"/>
      <c r="F88" s="3"/>
      <c r="G88" s="3"/>
      <c r="H88" s="3"/>
      <c r="I88" s="3"/>
      <c r="J88" s="3"/>
      <c r="K88" s="3"/>
      <c r="L88" s="3"/>
      <c r="M88" s="3"/>
      <c r="N88" s="3"/>
      <c r="O88" s="3"/>
      <c r="P88" s="3"/>
      <c r="Q88" s="3"/>
      <c r="R88" s="3"/>
      <c r="S88" s="3"/>
      <c r="T88" s="3"/>
      <c r="U88" s="3"/>
      <c r="V88" s="3"/>
      <c r="W88" s="3"/>
      <c r="X88" s="3"/>
      <c r="Y88" s="3"/>
      <c r="Z88" s="3"/>
      <c r="AA88" s="3"/>
      <c r="AB88" s="3"/>
      <c r="AC88" s="3"/>
      <c r="AD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row>
    <row r="90">
      <c r="A90" s="3"/>
      <c r="B90" s="330" t="s">
        <v>928</v>
      </c>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row>
    <row r="91">
      <c r="A91" s="3"/>
      <c r="B91" s="318" t="s">
        <v>925</v>
      </c>
      <c r="C91" s="13" t="b">
        <v>0</v>
      </c>
      <c r="D91" s="317" t="s">
        <v>929</v>
      </c>
      <c r="E91" s="3"/>
      <c r="F91" s="3"/>
      <c r="G91" s="3"/>
      <c r="H91" s="3"/>
      <c r="I91" s="3"/>
      <c r="J91" s="3"/>
      <c r="K91" s="3"/>
      <c r="L91" s="3"/>
      <c r="M91" s="3"/>
      <c r="N91" s="3"/>
      <c r="O91" s="3"/>
      <c r="P91" s="3"/>
      <c r="Q91" s="3"/>
      <c r="R91" s="3"/>
      <c r="S91" s="3"/>
      <c r="T91" s="3"/>
      <c r="U91" s="3"/>
      <c r="V91" s="3"/>
      <c r="W91" s="3"/>
      <c r="X91" s="3"/>
      <c r="Y91" s="3"/>
      <c r="Z91" s="3"/>
      <c r="AA91" s="3"/>
      <c r="AB91" s="3"/>
      <c r="AC91" s="3"/>
      <c r="AD91" s="3"/>
    </row>
    <row r="92">
      <c r="A92" s="3"/>
      <c r="B92" s="318" t="s">
        <v>930</v>
      </c>
      <c r="C92" s="13"/>
      <c r="D92" s="317" t="s">
        <v>931</v>
      </c>
      <c r="E92" s="3"/>
      <c r="F92" s="3"/>
      <c r="G92" s="3"/>
      <c r="H92" s="3"/>
      <c r="I92" s="3"/>
      <c r="J92" s="3"/>
      <c r="K92" s="3"/>
      <c r="L92" s="3"/>
      <c r="M92" s="3"/>
      <c r="N92" s="3"/>
      <c r="O92" s="3"/>
      <c r="P92" s="3"/>
      <c r="Q92" s="3"/>
      <c r="R92" s="3"/>
      <c r="S92" s="3"/>
      <c r="T92" s="3"/>
      <c r="U92" s="3"/>
      <c r="V92" s="3"/>
      <c r="W92" s="3"/>
      <c r="X92" s="3"/>
      <c r="Y92" s="3"/>
      <c r="Z92" s="3"/>
      <c r="AA92" s="3"/>
      <c r="AB92" s="3"/>
      <c r="AC92" s="3"/>
      <c r="AD92" s="3"/>
    </row>
    <row r="93">
      <c r="A93" s="3"/>
      <c r="B93" s="318" t="s">
        <v>930</v>
      </c>
      <c r="C93" s="13"/>
      <c r="D93" s="317" t="s">
        <v>932</v>
      </c>
      <c r="E93" s="3"/>
      <c r="F93" s="3"/>
      <c r="G93" s="3"/>
      <c r="H93" s="3"/>
      <c r="I93" s="3"/>
      <c r="J93" s="3"/>
      <c r="K93" s="3"/>
      <c r="L93" s="3"/>
      <c r="M93" s="3"/>
      <c r="N93" s="3"/>
      <c r="O93" s="3"/>
      <c r="P93" s="3"/>
      <c r="Q93" s="3"/>
      <c r="R93" s="3"/>
      <c r="S93" s="3"/>
      <c r="T93" s="3"/>
      <c r="U93" s="3"/>
      <c r="V93" s="3"/>
      <c r="W93" s="3"/>
      <c r="X93" s="3"/>
      <c r="Y93" s="3"/>
      <c r="Z93" s="3"/>
      <c r="AA93" s="3"/>
      <c r="AB93" s="3"/>
      <c r="AC93" s="3"/>
      <c r="AD93" s="3"/>
    </row>
    <row r="94">
      <c r="A94" s="3"/>
      <c r="B94" s="318" t="s">
        <v>930</v>
      </c>
      <c r="C94" s="13"/>
      <c r="D94" s="317" t="s">
        <v>933</v>
      </c>
      <c r="E94" s="3"/>
      <c r="F94" s="3"/>
      <c r="G94" s="3"/>
      <c r="H94" s="3"/>
      <c r="I94" s="3"/>
      <c r="J94" s="3"/>
      <c r="K94" s="3"/>
      <c r="L94" s="3"/>
      <c r="M94" s="3"/>
      <c r="N94" s="3"/>
      <c r="O94" s="3"/>
      <c r="P94" s="3"/>
      <c r="Q94" s="3"/>
      <c r="R94" s="3"/>
      <c r="S94" s="3"/>
      <c r="T94" s="3"/>
      <c r="U94" s="3"/>
      <c r="V94" s="3"/>
      <c r="W94" s="3"/>
      <c r="X94" s="3"/>
      <c r="Y94" s="3"/>
      <c r="Z94" s="3"/>
      <c r="AA94" s="3"/>
      <c r="AB94" s="3"/>
      <c r="AC94" s="3"/>
      <c r="AD94" s="3"/>
    </row>
    <row r="95">
      <c r="A95" s="3"/>
      <c r="B95" s="318" t="s">
        <v>930</v>
      </c>
      <c r="C95" s="13" t="b">
        <v>0</v>
      </c>
      <c r="D95" s="317" t="s">
        <v>934</v>
      </c>
      <c r="E95" s="3"/>
      <c r="F95" s="3"/>
      <c r="G95" s="3"/>
      <c r="H95" s="3"/>
      <c r="I95" s="3"/>
      <c r="J95" s="3"/>
      <c r="K95" s="3"/>
      <c r="L95" s="3"/>
      <c r="M95" s="3"/>
      <c r="N95" s="3"/>
      <c r="O95" s="3"/>
      <c r="P95" s="3"/>
      <c r="Q95" s="3"/>
      <c r="R95" s="3"/>
      <c r="S95" s="3"/>
      <c r="T95" s="3"/>
      <c r="U95" s="3"/>
      <c r="V95" s="3"/>
      <c r="W95" s="3"/>
      <c r="X95" s="3"/>
      <c r="Y95" s="3"/>
      <c r="Z95" s="3"/>
      <c r="AA95" s="3"/>
      <c r="AB95" s="3"/>
      <c r="AC95" s="3"/>
      <c r="AD95" s="3"/>
    </row>
    <row r="96">
      <c r="A96" s="3"/>
      <c r="B96" s="318" t="s">
        <v>930</v>
      </c>
      <c r="C96" s="13" t="b">
        <v>0</v>
      </c>
      <c r="D96" s="317" t="s">
        <v>935</v>
      </c>
      <c r="E96" s="3"/>
      <c r="F96" s="3"/>
      <c r="G96" s="3"/>
      <c r="H96" s="3"/>
      <c r="I96" s="3"/>
      <c r="J96" s="3"/>
      <c r="K96" s="3"/>
      <c r="L96" s="3"/>
      <c r="M96" s="3"/>
      <c r="N96" s="3"/>
      <c r="O96" s="3"/>
      <c r="P96" s="3"/>
      <c r="Q96" s="3"/>
      <c r="R96" s="3"/>
      <c r="S96" s="3"/>
      <c r="T96" s="3"/>
      <c r="U96" s="3"/>
      <c r="V96" s="3"/>
      <c r="W96" s="3"/>
      <c r="X96" s="3"/>
      <c r="Y96" s="3"/>
      <c r="Z96" s="3"/>
      <c r="AA96" s="3"/>
      <c r="AB96" s="3"/>
      <c r="AC96" s="3"/>
      <c r="AD96" s="3"/>
    </row>
    <row r="97">
      <c r="A97" s="3"/>
      <c r="B97" s="318" t="s">
        <v>925</v>
      </c>
      <c r="C97" s="13" t="b">
        <v>0</v>
      </c>
      <c r="D97" s="320"/>
      <c r="E97" s="346" t="s">
        <v>936</v>
      </c>
      <c r="F97" s="3"/>
      <c r="G97" s="3"/>
      <c r="H97" s="3"/>
      <c r="I97" s="3"/>
      <c r="J97" s="3"/>
      <c r="K97" s="3"/>
      <c r="L97" s="3"/>
      <c r="M97" s="3"/>
      <c r="N97" s="3"/>
      <c r="O97" s="3"/>
      <c r="P97" s="3"/>
      <c r="Q97" s="3"/>
      <c r="R97" s="3"/>
      <c r="S97" s="3"/>
      <c r="T97" s="3"/>
      <c r="U97" s="3"/>
      <c r="V97" s="3"/>
      <c r="W97" s="3"/>
      <c r="X97" s="3"/>
      <c r="Y97" s="3"/>
      <c r="Z97" s="3"/>
      <c r="AA97" s="3"/>
      <c r="AB97" s="3"/>
      <c r="AC97" s="3"/>
      <c r="AD97" s="3"/>
    </row>
    <row r="98">
      <c r="A98" s="3"/>
      <c r="B98" s="318" t="s">
        <v>930</v>
      </c>
      <c r="C98" s="3" t="b">
        <v>0</v>
      </c>
      <c r="D98" s="317" t="s">
        <v>937</v>
      </c>
      <c r="E98" s="3"/>
      <c r="F98" s="3"/>
      <c r="G98" s="3"/>
      <c r="H98" s="3"/>
      <c r="I98" s="3"/>
      <c r="J98" s="3"/>
      <c r="K98" s="3"/>
      <c r="L98" s="3"/>
      <c r="M98" s="3"/>
      <c r="N98" s="3"/>
      <c r="O98" s="3"/>
      <c r="P98" s="3"/>
      <c r="Q98" s="3"/>
      <c r="R98" s="3"/>
      <c r="S98" s="3"/>
      <c r="T98" s="3"/>
      <c r="U98" s="3"/>
      <c r="V98" s="3"/>
      <c r="W98" s="3"/>
      <c r="X98" s="3"/>
      <c r="Y98" s="3"/>
      <c r="Z98" s="3"/>
      <c r="AA98" s="3"/>
      <c r="AB98" s="3"/>
      <c r="AC98" s="3"/>
      <c r="AD98" s="3"/>
    </row>
    <row r="99">
      <c r="A99" s="3"/>
      <c r="B99" s="318" t="s">
        <v>930</v>
      </c>
      <c r="C99" s="13" t="b">
        <v>0</v>
      </c>
      <c r="D99" s="3"/>
      <c r="E99" s="317" t="s">
        <v>938</v>
      </c>
      <c r="F99" s="3"/>
      <c r="G99" s="3"/>
      <c r="H99" s="3"/>
      <c r="I99" s="3"/>
      <c r="J99" s="3"/>
      <c r="K99" s="3"/>
      <c r="L99" s="3"/>
      <c r="M99" s="3"/>
      <c r="N99" s="3"/>
      <c r="O99" s="3"/>
      <c r="P99" s="3"/>
      <c r="Q99" s="3"/>
      <c r="R99" s="3"/>
      <c r="S99" s="3"/>
      <c r="T99" s="3"/>
      <c r="U99" s="3"/>
      <c r="V99" s="3"/>
      <c r="W99" s="3"/>
      <c r="X99" s="3"/>
      <c r="Y99" s="3"/>
      <c r="Z99" s="3"/>
      <c r="AA99" s="3"/>
      <c r="AB99" s="3"/>
      <c r="AC99" s="3"/>
      <c r="AD99" s="3"/>
    </row>
    <row r="100">
      <c r="A100" s="3"/>
      <c r="B100" s="318" t="s">
        <v>925</v>
      </c>
      <c r="C100" s="13" t="b">
        <v>0</v>
      </c>
      <c r="D100" s="317" t="s">
        <v>939</v>
      </c>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row>
    <row r="101">
      <c r="A101" s="3"/>
      <c r="B101" s="318" t="s">
        <v>930</v>
      </c>
      <c r="C101" s="13" t="b">
        <v>0</v>
      </c>
      <c r="D101" s="317" t="s">
        <v>940</v>
      </c>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row>
    <row r="102">
      <c r="A102" s="3"/>
      <c r="B102" s="318" t="s">
        <v>930</v>
      </c>
      <c r="C102" s="13" t="b">
        <v>0</v>
      </c>
      <c r="D102" s="317" t="s">
        <v>941</v>
      </c>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row>
    <row r="103">
      <c r="A103" s="3"/>
      <c r="B103" s="318" t="s">
        <v>930</v>
      </c>
      <c r="C103" s="3" t="b">
        <v>0</v>
      </c>
      <c r="D103" s="317" t="s">
        <v>942</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row>
    <row r="104">
      <c r="A104" s="3"/>
      <c r="B104" s="318" t="s">
        <v>930</v>
      </c>
      <c r="C104" s="3" t="b">
        <v>0</v>
      </c>
      <c r="D104" s="317" t="s">
        <v>943</v>
      </c>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row>
    <row r="105">
      <c r="A105" s="3"/>
      <c r="B105" s="318" t="s">
        <v>930</v>
      </c>
      <c r="C105" s="13" t="b">
        <v>0</v>
      </c>
      <c r="D105" s="317" t="s">
        <v>944</v>
      </c>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row>
    <row r="106">
      <c r="A106" s="3"/>
      <c r="B106" s="318" t="s">
        <v>930</v>
      </c>
      <c r="C106" s="13" t="b">
        <v>0</v>
      </c>
      <c r="D106" s="317" t="s">
        <v>945</v>
      </c>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row>
    <row r="107">
      <c r="A107" s="3"/>
      <c r="B107" s="318" t="s">
        <v>925</v>
      </c>
      <c r="C107" s="3" t="b">
        <v>0</v>
      </c>
      <c r="D107" s="317" t="s">
        <v>946</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row>
    <row r="108">
      <c r="A108" s="3"/>
      <c r="B108" s="318"/>
      <c r="C108" s="3"/>
      <c r="D108" s="9" t="s">
        <v>947</v>
      </c>
      <c r="E108" s="3"/>
      <c r="F108" s="3"/>
      <c r="G108" s="3"/>
      <c r="I108" s="3"/>
      <c r="J108" s="3"/>
      <c r="K108" s="3"/>
      <c r="L108" s="3"/>
      <c r="M108" s="3"/>
      <c r="N108" s="3"/>
      <c r="O108" s="3"/>
      <c r="P108" s="3"/>
      <c r="Q108" s="3"/>
      <c r="R108" s="3"/>
      <c r="S108" s="3"/>
      <c r="T108" s="3"/>
      <c r="U108" s="3"/>
      <c r="V108" s="3"/>
      <c r="W108" s="3"/>
      <c r="X108" s="3"/>
      <c r="Y108" s="3"/>
      <c r="Z108" s="3"/>
      <c r="AA108" s="3"/>
      <c r="AB108" s="3"/>
      <c r="AC108" s="3"/>
      <c r="AD108" s="3"/>
    </row>
    <row r="109">
      <c r="A109" s="3"/>
      <c r="B109" s="318" t="s">
        <v>948</v>
      </c>
      <c r="C109" s="3"/>
      <c r="D109" s="347" t="s">
        <v>949</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row>
    <row r="110">
      <c r="A110" s="3"/>
      <c r="B110" s="318" t="s">
        <v>948</v>
      </c>
      <c r="C110" s="3" t="b">
        <v>0</v>
      </c>
      <c r="D110" s="3"/>
      <c r="E110" s="317" t="s">
        <v>950</v>
      </c>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row>
    <row r="111">
      <c r="A111" s="3"/>
      <c r="B111" s="318" t="s">
        <v>948</v>
      </c>
      <c r="C111" s="3"/>
      <c r="D111" s="3"/>
      <c r="E111" s="317" t="s">
        <v>951</v>
      </c>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row>
    <row r="112">
      <c r="A112" s="3"/>
      <c r="B112" s="318" t="s">
        <v>948</v>
      </c>
      <c r="C112" s="3" t="b">
        <v>0</v>
      </c>
      <c r="D112" s="317" t="s">
        <v>952</v>
      </c>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row>
    <row r="113">
      <c r="A113" s="3"/>
      <c r="B113" s="318" t="s">
        <v>948</v>
      </c>
      <c r="C113" s="3" t="b">
        <v>0</v>
      </c>
      <c r="D113" s="317" t="s">
        <v>953</v>
      </c>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row>
    <row r="114">
      <c r="A114" s="3"/>
      <c r="B114" s="318" t="s">
        <v>930</v>
      </c>
      <c r="C114" s="3" t="b">
        <v>0</v>
      </c>
      <c r="D114" s="317" t="s">
        <v>954</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row>
    <row r="115">
      <c r="A115" s="3"/>
      <c r="B115" s="318" t="s">
        <v>930</v>
      </c>
      <c r="C115" s="3"/>
      <c r="D115" s="317" t="s">
        <v>955</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row>
    <row r="116">
      <c r="A116" s="3"/>
      <c r="B116" s="318" t="s">
        <v>925</v>
      </c>
      <c r="C116" s="3" t="b">
        <v>0</v>
      </c>
      <c r="D116" s="317" t="s">
        <v>956</v>
      </c>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row>
    <row r="117">
      <c r="A117" s="3"/>
      <c r="B117" s="327" t="s">
        <v>827</v>
      </c>
      <c r="C117" s="290" t="b">
        <v>0</v>
      </c>
      <c r="D117" s="329" t="s">
        <v>957</v>
      </c>
      <c r="E117" s="290"/>
      <c r="F117" s="290"/>
      <c r="G117" s="290"/>
      <c r="H117" s="290"/>
      <c r="I117" s="290"/>
      <c r="J117" s="290"/>
      <c r="K117" s="290"/>
      <c r="L117" s="290"/>
      <c r="M117" s="290"/>
      <c r="N117" s="3"/>
      <c r="O117" s="3"/>
      <c r="P117" s="3"/>
      <c r="Q117" s="3"/>
      <c r="R117" s="3"/>
      <c r="S117" s="3"/>
      <c r="T117" s="3"/>
      <c r="U117" s="3"/>
      <c r="V117" s="3"/>
      <c r="W117" s="3"/>
      <c r="X117" s="3"/>
      <c r="Y117" s="3"/>
      <c r="Z117" s="3"/>
      <c r="AA117" s="3"/>
      <c r="AB117" s="3"/>
      <c r="AC117" s="3"/>
      <c r="AD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row>
    <row r="119">
      <c r="A119" s="3"/>
      <c r="B119" s="330" t="s">
        <v>958</v>
      </c>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row>
    <row r="120">
      <c r="A120" s="3"/>
      <c r="B120" s="318" t="s">
        <v>959</v>
      </c>
      <c r="C120" s="3"/>
      <c r="D120" s="317" t="s">
        <v>960</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row>
    <row r="121">
      <c r="A121" s="3"/>
      <c r="B121" s="318" t="s">
        <v>959</v>
      </c>
      <c r="C121" s="3"/>
      <c r="D121" s="317" t="s">
        <v>961</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row>
    <row r="122">
      <c r="A122" s="3"/>
      <c r="B122" s="318" t="s">
        <v>959</v>
      </c>
      <c r="C122" s="3"/>
      <c r="D122" s="317" t="s">
        <v>962</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row>
    <row r="123">
      <c r="A123" s="3"/>
      <c r="B123" s="318" t="s">
        <v>963</v>
      </c>
      <c r="C123" s="3"/>
      <c r="D123" s="317" t="s">
        <v>964</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row>
    <row r="124">
      <c r="A124" s="3"/>
      <c r="B124" s="318" t="s">
        <v>965</v>
      </c>
      <c r="C124" s="3"/>
      <c r="D124" s="317" t="s">
        <v>966</v>
      </c>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row>
    <row r="125">
      <c r="A125" s="3"/>
      <c r="B125" s="318" t="s">
        <v>965</v>
      </c>
      <c r="C125" s="3"/>
      <c r="D125" s="317" t="s">
        <v>967</v>
      </c>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row>
    <row r="126">
      <c r="A126" s="3"/>
      <c r="B126" s="318" t="s">
        <v>965</v>
      </c>
      <c r="C126" s="3"/>
      <c r="D126" s="121" t="s">
        <v>968</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row>
    <row r="127">
      <c r="A127" s="3"/>
      <c r="B127" s="318" t="s">
        <v>969</v>
      </c>
      <c r="C127" s="3"/>
      <c r="D127" s="317" t="s">
        <v>970</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row>
    <row r="128">
      <c r="A128" s="3"/>
      <c r="B128" s="318" t="s">
        <v>971</v>
      </c>
      <c r="C128" s="3"/>
      <c r="D128" s="317" t="s">
        <v>972</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row>
    <row r="129">
      <c r="A129" s="3"/>
      <c r="B129" s="327" t="s">
        <v>827</v>
      </c>
      <c r="C129" s="290"/>
      <c r="D129" s="329" t="s">
        <v>973</v>
      </c>
      <c r="E129" s="290"/>
      <c r="F129" s="290"/>
      <c r="G129" s="290"/>
      <c r="H129" s="290"/>
      <c r="I129" s="290"/>
      <c r="J129" s="290"/>
      <c r="K129" s="290"/>
      <c r="L129" s="290"/>
      <c r="M129" s="290"/>
      <c r="N129" s="3"/>
      <c r="O129" s="3"/>
      <c r="P129" s="3"/>
      <c r="Q129" s="3"/>
      <c r="R129" s="3"/>
      <c r="S129" s="3"/>
      <c r="T129" s="3"/>
      <c r="U129" s="3"/>
      <c r="V129" s="3"/>
      <c r="W129" s="3"/>
      <c r="X129" s="3"/>
      <c r="Y129" s="3"/>
      <c r="Z129" s="3"/>
      <c r="AA129" s="3"/>
      <c r="AB129" s="3"/>
      <c r="AC129" s="3"/>
      <c r="AD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c r="AD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c r="AD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c r="AD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c r="AD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c r="AD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c r="AD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c r="AD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c r="AD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c r="AA1028" s="3"/>
      <c r="AB1028" s="3"/>
      <c r="AC1028" s="3"/>
      <c r="AD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c r="AA1029" s="3"/>
      <c r="AB1029" s="3"/>
      <c r="AC1029" s="3"/>
      <c r="AD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c r="AA1030" s="3"/>
      <c r="AB1030" s="3"/>
      <c r="AC1030" s="3"/>
      <c r="AD1030" s="3"/>
    </row>
    <row r="1031">
      <c r="A1031" s="3"/>
      <c r="B1031" s="3"/>
      <c r="C1031" s="3"/>
      <c r="D1031" s="3"/>
      <c r="E1031" s="3"/>
      <c r="F1031" s="3"/>
      <c r="G1031" s="3"/>
      <c r="H1031" s="3"/>
      <c r="I1031" s="3"/>
      <c r="J1031" s="3"/>
      <c r="K1031" s="3"/>
      <c r="L1031" s="3"/>
      <c r="M1031" s="3"/>
      <c r="N1031" s="3"/>
      <c r="O1031" s="3"/>
      <c r="P1031" s="3"/>
      <c r="Q1031" s="3"/>
      <c r="R1031" s="3"/>
      <c r="S1031" s="3"/>
      <c r="T1031" s="3"/>
      <c r="U1031" s="3"/>
      <c r="V1031" s="3"/>
      <c r="W1031" s="3"/>
      <c r="X1031" s="3"/>
      <c r="Y1031" s="3"/>
      <c r="Z1031" s="3"/>
      <c r="AA1031" s="3"/>
      <c r="AB1031" s="3"/>
      <c r="AC1031" s="3"/>
      <c r="AD1031" s="3"/>
    </row>
    <row r="1032">
      <c r="A1032" s="3"/>
      <c r="B1032" s="3"/>
      <c r="C1032" s="3"/>
      <c r="D1032" s="3"/>
      <c r="E1032" s="3"/>
      <c r="F1032" s="3"/>
      <c r="G1032" s="3"/>
      <c r="H1032" s="3"/>
      <c r="I1032" s="3"/>
      <c r="J1032" s="3"/>
      <c r="K1032" s="3"/>
      <c r="L1032" s="3"/>
      <c r="M1032" s="3"/>
      <c r="N1032" s="3"/>
      <c r="O1032" s="3"/>
      <c r="P1032" s="3"/>
      <c r="Q1032" s="3"/>
      <c r="R1032" s="3"/>
      <c r="S1032" s="3"/>
      <c r="T1032" s="3"/>
      <c r="U1032" s="3"/>
      <c r="V1032" s="3"/>
      <c r="W1032" s="3"/>
      <c r="X1032" s="3"/>
      <c r="Y1032" s="3"/>
      <c r="Z1032" s="3"/>
      <c r="AA1032" s="3"/>
      <c r="AB1032" s="3"/>
      <c r="AC1032" s="3"/>
      <c r="AD1032" s="3"/>
    </row>
    <row r="1033">
      <c r="A1033" s="3"/>
      <c r="B1033" s="3"/>
      <c r="C1033" s="3"/>
      <c r="D1033" s="3"/>
      <c r="E1033" s="3"/>
      <c r="F1033" s="3"/>
      <c r="G1033" s="3"/>
      <c r="H1033" s="3"/>
      <c r="I1033" s="3"/>
      <c r="J1033" s="3"/>
      <c r="K1033" s="3"/>
      <c r="L1033" s="3"/>
      <c r="M1033" s="3"/>
      <c r="N1033" s="3"/>
      <c r="O1033" s="3"/>
      <c r="P1033" s="3"/>
      <c r="Q1033" s="3"/>
      <c r="R1033" s="3"/>
      <c r="S1033" s="3"/>
      <c r="T1033" s="3"/>
      <c r="U1033" s="3"/>
      <c r="V1033" s="3"/>
      <c r="W1033" s="3"/>
      <c r="X1033" s="3"/>
      <c r="Y1033" s="3"/>
      <c r="Z1033" s="3"/>
      <c r="AA1033" s="3"/>
      <c r="AB1033" s="3"/>
      <c r="AC1033" s="3"/>
      <c r="AD1033" s="3"/>
    </row>
    <row r="1034">
      <c r="A1034" s="3"/>
      <c r="B1034" s="3"/>
      <c r="C1034" s="3"/>
      <c r="D1034" s="3"/>
      <c r="E1034" s="3"/>
      <c r="F1034" s="3"/>
      <c r="G1034" s="3"/>
      <c r="H1034" s="3"/>
      <c r="I1034" s="3"/>
      <c r="J1034" s="3"/>
      <c r="K1034" s="3"/>
      <c r="L1034" s="3"/>
      <c r="M1034" s="3"/>
      <c r="N1034" s="3"/>
      <c r="O1034" s="3"/>
      <c r="P1034" s="3"/>
      <c r="Q1034" s="3"/>
      <c r="R1034" s="3"/>
      <c r="S1034" s="3"/>
      <c r="T1034" s="3"/>
      <c r="U1034" s="3"/>
      <c r="V1034" s="3"/>
      <c r="W1034" s="3"/>
      <c r="X1034" s="3"/>
      <c r="Y1034" s="3"/>
      <c r="Z1034" s="3"/>
      <c r="AA1034" s="3"/>
      <c r="AB1034" s="3"/>
      <c r="AC1034" s="3"/>
      <c r="AD1034" s="3"/>
    </row>
    <row r="1035">
      <c r="A1035" s="3"/>
      <c r="B1035" s="3"/>
      <c r="C1035" s="3"/>
      <c r="D1035" s="3"/>
      <c r="E1035" s="3"/>
      <c r="F1035" s="3"/>
      <c r="G1035" s="3"/>
      <c r="H1035" s="3"/>
      <c r="I1035" s="3"/>
      <c r="J1035" s="3"/>
      <c r="K1035" s="3"/>
      <c r="L1035" s="3"/>
      <c r="M1035" s="3"/>
      <c r="N1035" s="3"/>
      <c r="O1035" s="3"/>
      <c r="P1035" s="3"/>
      <c r="Q1035" s="3"/>
      <c r="R1035" s="3"/>
      <c r="S1035" s="3"/>
      <c r="T1035" s="3"/>
      <c r="U1035" s="3"/>
      <c r="V1035" s="3"/>
      <c r="W1035" s="3"/>
      <c r="X1035" s="3"/>
      <c r="Y1035" s="3"/>
      <c r="Z1035" s="3"/>
      <c r="AA1035" s="3"/>
      <c r="AB1035" s="3"/>
      <c r="AC1035" s="3"/>
      <c r="AD1035" s="3"/>
    </row>
    <row r="1036">
      <c r="A1036" s="3"/>
      <c r="B1036" s="3"/>
      <c r="C1036" s="3"/>
      <c r="D1036" s="3"/>
      <c r="E1036" s="3"/>
      <c r="F1036" s="3"/>
      <c r="G1036" s="3"/>
      <c r="H1036" s="3"/>
      <c r="I1036" s="3"/>
      <c r="J1036" s="3"/>
      <c r="K1036" s="3"/>
      <c r="L1036" s="3"/>
      <c r="M1036" s="3"/>
      <c r="N1036" s="3"/>
      <c r="O1036" s="3"/>
      <c r="P1036" s="3"/>
      <c r="Q1036" s="3"/>
      <c r="R1036" s="3"/>
      <c r="S1036" s="3"/>
      <c r="T1036" s="3"/>
      <c r="U1036" s="3"/>
      <c r="V1036" s="3"/>
      <c r="W1036" s="3"/>
      <c r="X1036" s="3"/>
      <c r="Y1036" s="3"/>
      <c r="Z1036" s="3"/>
      <c r="AA1036" s="3"/>
      <c r="AB1036" s="3"/>
      <c r="AC1036" s="3"/>
      <c r="AD1036" s="3"/>
    </row>
    <row r="1037">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c r="AC1037" s="3"/>
      <c r="AD1037" s="3"/>
    </row>
    <row r="1038">
      <c r="A1038" s="3"/>
      <c r="B1038" s="3"/>
      <c r="C1038" s="3"/>
      <c r="D1038" s="3"/>
      <c r="E1038" s="3"/>
      <c r="F1038" s="3"/>
      <c r="G1038" s="3"/>
      <c r="H1038" s="3"/>
      <c r="I1038" s="3"/>
      <c r="J1038" s="3"/>
      <c r="K1038" s="3"/>
      <c r="L1038" s="3"/>
      <c r="M1038" s="3"/>
      <c r="N1038" s="3"/>
      <c r="O1038" s="3"/>
      <c r="P1038" s="3"/>
      <c r="Q1038" s="3"/>
      <c r="R1038" s="3"/>
      <c r="S1038" s="3"/>
      <c r="T1038" s="3"/>
      <c r="U1038" s="3"/>
      <c r="V1038" s="3"/>
      <c r="W1038" s="3"/>
      <c r="X1038" s="3"/>
      <c r="Y1038" s="3"/>
      <c r="Z1038" s="3"/>
      <c r="AA1038" s="3"/>
      <c r="AB1038" s="3"/>
      <c r="AC1038" s="3"/>
      <c r="AD1038" s="3"/>
    </row>
    <row r="1039">
      <c r="A1039" s="3"/>
      <c r="B1039" s="3"/>
      <c r="C1039" s="3"/>
      <c r="D1039" s="3"/>
      <c r="E1039" s="3"/>
      <c r="F1039" s="3"/>
      <c r="G1039" s="3"/>
      <c r="H1039" s="3"/>
      <c r="I1039" s="3"/>
      <c r="J1039" s="3"/>
      <c r="K1039" s="3"/>
      <c r="L1039" s="3"/>
      <c r="M1039" s="3"/>
      <c r="N1039" s="3"/>
      <c r="O1039" s="3"/>
      <c r="P1039" s="3"/>
      <c r="Q1039" s="3"/>
      <c r="R1039" s="3"/>
      <c r="S1039" s="3"/>
      <c r="T1039" s="3"/>
      <c r="U1039" s="3"/>
      <c r="V1039" s="3"/>
      <c r="W1039" s="3"/>
      <c r="X1039" s="3"/>
      <c r="Y1039" s="3"/>
      <c r="Z1039" s="3"/>
      <c r="AA1039" s="3"/>
      <c r="AB1039" s="3"/>
      <c r="AC1039" s="3"/>
      <c r="AD1039" s="3"/>
    </row>
    <row r="1040">
      <c r="A1040" s="3"/>
      <c r="B1040" s="3"/>
      <c r="C1040" s="3"/>
      <c r="D1040" s="3"/>
      <c r="E1040" s="3"/>
      <c r="F1040" s="3"/>
      <c r="G1040" s="3"/>
      <c r="H1040" s="3"/>
      <c r="I1040" s="3"/>
      <c r="J1040" s="3"/>
      <c r="K1040" s="3"/>
      <c r="L1040" s="3"/>
      <c r="M1040" s="3"/>
      <c r="N1040" s="3"/>
      <c r="O1040" s="3"/>
      <c r="P1040" s="3"/>
      <c r="Q1040" s="3"/>
      <c r="R1040" s="3"/>
      <c r="S1040" s="3"/>
      <c r="T1040" s="3"/>
      <c r="U1040" s="3"/>
      <c r="V1040" s="3"/>
      <c r="W1040" s="3"/>
      <c r="X1040" s="3"/>
      <c r="Y1040" s="3"/>
      <c r="Z1040" s="3"/>
      <c r="AA1040" s="3"/>
      <c r="AB1040" s="3"/>
      <c r="AC1040" s="3"/>
      <c r="AD1040" s="3"/>
    </row>
    <row r="1041">
      <c r="A1041" s="3"/>
      <c r="B1041" s="3"/>
      <c r="C1041" s="3"/>
      <c r="D1041" s="3"/>
      <c r="E1041" s="3"/>
      <c r="F1041" s="3"/>
      <c r="G1041" s="3"/>
      <c r="H1041" s="3"/>
      <c r="I1041" s="3"/>
      <c r="J1041" s="3"/>
      <c r="K1041" s="3"/>
      <c r="L1041" s="3"/>
      <c r="M1041" s="3"/>
      <c r="N1041" s="3"/>
      <c r="O1041" s="3"/>
      <c r="P1041" s="3"/>
      <c r="Q1041" s="3"/>
      <c r="R1041" s="3"/>
      <c r="S1041" s="3"/>
      <c r="T1041" s="3"/>
      <c r="U1041" s="3"/>
      <c r="V1041" s="3"/>
      <c r="W1041" s="3"/>
      <c r="X1041" s="3"/>
      <c r="Y1041" s="3"/>
      <c r="Z1041" s="3"/>
      <c r="AA1041" s="3"/>
      <c r="AB1041" s="3"/>
      <c r="AC1041" s="3"/>
      <c r="AD1041" s="3"/>
    </row>
    <row r="1042">
      <c r="A1042" s="3"/>
      <c r="B1042" s="3"/>
      <c r="C1042" s="3"/>
      <c r="D1042" s="3"/>
      <c r="E1042" s="3"/>
      <c r="F1042" s="3"/>
      <c r="G1042" s="3"/>
      <c r="H1042" s="3"/>
      <c r="I1042" s="3"/>
      <c r="J1042" s="3"/>
      <c r="K1042" s="3"/>
      <c r="L1042" s="3"/>
      <c r="M1042" s="3"/>
      <c r="N1042" s="3"/>
      <c r="O1042" s="3"/>
      <c r="P1042" s="3"/>
      <c r="Q1042" s="3"/>
      <c r="R1042" s="3"/>
      <c r="S1042" s="3"/>
      <c r="T1042" s="3"/>
      <c r="U1042" s="3"/>
      <c r="V1042" s="3"/>
      <c r="W1042" s="3"/>
      <c r="X1042" s="3"/>
      <c r="Y1042" s="3"/>
      <c r="Z1042" s="3"/>
      <c r="AA1042" s="3"/>
      <c r="AB1042" s="3"/>
      <c r="AC1042" s="3"/>
      <c r="AD1042" s="3"/>
    </row>
    <row r="1043">
      <c r="A1043" s="3"/>
      <c r="B1043" s="3"/>
      <c r="C1043" s="3"/>
      <c r="D1043" s="3"/>
      <c r="E1043" s="3"/>
      <c r="F1043" s="3"/>
      <c r="G1043" s="3"/>
      <c r="H1043" s="3"/>
      <c r="I1043" s="3"/>
      <c r="J1043" s="3"/>
      <c r="K1043" s="3"/>
      <c r="L1043" s="3"/>
      <c r="M1043" s="3"/>
      <c r="N1043" s="3"/>
      <c r="O1043" s="3"/>
      <c r="P1043" s="3"/>
      <c r="Q1043" s="3"/>
      <c r="R1043" s="3"/>
      <c r="S1043" s="3"/>
      <c r="T1043" s="3"/>
      <c r="U1043" s="3"/>
      <c r="V1043" s="3"/>
      <c r="W1043" s="3"/>
      <c r="X1043" s="3"/>
      <c r="Y1043" s="3"/>
      <c r="Z1043" s="3"/>
      <c r="AA1043" s="3"/>
      <c r="AB1043" s="3"/>
      <c r="AC1043" s="3"/>
      <c r="AD1043" s="3"/>
    </row>
    <row r="1044">
      <c r="A1044" s="3"/>
      <c r="B1044" s="3"/>
      <c r="C1044" s="3"/>
      <c r="D1044" s="3"/>
      <c r="E1044" s="3"/>
      <c r="F1044" s="3"/>
      <c r="G1044" s="3"/>
      <c r="H1044" s="3"/>
      <c r="I1044" s="3"/>
      <c r="J1044" s="3"/>
      <c r="K1044" s="3"/>
      <c r="L1044" s="3"/>
      <c r="M1044" s="3"/>
      <c r="N1044" s="3"/>
      <c r="O1044" s="3"/>
      <c r="P1044" s="3"/>
      <c r="Q1044" s="3"/>
      <c r="R1044" s="3"/>
      <c r="S1044" s="3"/>
      <c r="T1044" s="3"/>
      <c r="U1044" s="3"/>
      <c r="V1044" s="3"/>
      <c r="W1044" s="3"/>
      <c r="X1044" s="3"/>
      <c r="Y1044" s="3"/>
      <c r="Z1044" s="3"/>
      <c r="AA1044" s="3"/>
      <c r="AB1044" s="3"/>
      <c r="AC1044" s="3"/>
      <c r="AD1044" s="3"/>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c r="AA1045" s="3"/>
      <c r="AB1045" s="3"/>
      <c r="AC1045" s="3"/>
      <c r="AD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c r="AA1046" s="3"/>
      <c r="AB1046" s="3"/>
      <c r="AC1046" s="3"/>
      <c r="AD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c r="AA1047" s="3"/>
      <c r="AB1047" s="3"/>
      <c r="AC1047" s="3"/>
      <c r="AD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c r="AA1048" s="3"/>
      <c r="AB1048" s="3"/>
      <c r="AC1048" s="3"/>
      <c r="AD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c r="AA1049" s="3"/>
      <c r="AB1049" s="3"/>
      <c r="AC1049" s="3"/>
      <c r="AD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c r="AA1050" s="3"/>
      <c r="AB1050" s="3"/>
      <c r="AC1050" s="3"/>
      <c r="AD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c r="AA1051" s="3"/>
      <c r="AB1051" s="3"/>
      <c r="AC1051" s="3"/>
      <c r="AD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c r="AA1052" s="3"/>
      <c r="AB1052" s="3"/>
      <c r="AC1052" s="3"/>
      <c r="AD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c r="AA1053" s="3"/>
      <c r="AB1053" s="3"/>
      <c r="AC1053" s="3"/>
      <c r="AD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c r="AA1054" s="3"/>
      <c r="AB1054" s="3"/>
      <c r="AC1054" s="3"/>
      <c r="AD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c r="AA1055" s="3"/>
      <c r="AB1055" s="3"/>
      <c r="AC1055" s="3"/>
      <c r="AD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c r="AA1056" s="3"/>
      <c r="AB1056" s="3"/>
      <c r="AC1056" s="3"/>
      <c r="AD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c r="AA1057" s="3"/>
      <c r="AB1057" s="3"/>
      <c r="AC1057" s="3"/>
      <c r="AD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c r="AA1058" s="3"/>
      <c r="AB1058" s="3"/>
      <c r="AC1058" s="3"/>
      <c r="AD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c r="AA1059" s="3"/>
      <c r="AB1059" s="3"/>
      <c r="AC1059" s="3"/>
      <c r="AD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c r="AA1060" s="3"/>
      <c r="AB1060" s="3"/>
      <c r="AC1060" s="3"/>
      <c r="AD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c r="AA1061" s="3"/>
      <c r="AB1061" s="3"/>
      <c r="AC1061" s="3"/>
      <c r="AD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c r="AA1062" s="3"/>
      <c r="AB1062" s="3"/>
      <c r="AC1062" s="3"/>
      <c r="AD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c r="AA1063" s="3"/>
      <c r="AB1063" s="3"/>
      <c r="AC1063" s="3"/>
      <c r="AD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c r="AA1064" s="3"/>
      <c r="AB1064" s="3"/>
      <c r="AC1064" s="3"/>
      <c r="AD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c r="AA1065" s="3"/>
      <c r="AB1065" s="3"/>
      <c r="AC1065" s="3"/>
      <c r="AD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c r="AA1066" s="3"/>
      <c r="AB1066" s="3"/>
      <c r="AC1066" s="3"/>
      <c r="AD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c r="AA1067" s="3"/>
      <c r="AB1067" s="3"/>
      <c r="AC1067" s="3"/>
      <c r="AD1067" s="3"/>
    </row>
    <row r="1068">
      <c r="A1068" s="3"/>
      <c r="B1068" s="3"/>
      <c r="C1068" s="3"/>
      <c r="D1068" s="3"/>
      <c r="E1068" s="3"/>
      <c r="F1068" s="3"/>
      <c r="G1068" s="3"/>
      <c r="H1068" s="3"/>
      <c r="I1068" s="3"/>
      <c r="J1068" s="3"/>
      <c r="K1068" s="3"/>
      <c r="L1068" s="3"/>
      <c r="M1068" s="3"/>
      <c r="N1068" s="3"/>
      <c r="O1068" s="3"/>
      <c r="P1068" s="3"/>
      <c r="Q1068" s="3"/>
      <c r="R1068" s="3"/>
      <c r="S1068" s="3"/>
      <c r="T1068" s="3"/>
      <c r="U1068" s="3"/>
      <c r="V1068" s="3"/>
      <c r="W1068" s="3"/>
      <c r="X1068" s="3"/>
      <c r="Y1068" s="3"/>
      <c r="Z1068" s="3"/>
      <c r="AA1068" s="3"/>
      <c r="AB1068" s="3"/>
      <c r="AC1068" s="3"/>
      <c r="AD1068" s="3"/>
    </row>
    <row r="1069">
      <c r="A1069" s="3"/>
      <c r="B1069" s="3"/>
      <c r="C1069" s="3"/>
      <c r="D1069" s="3"/>
      <c r="E1069" s="3"/>
      <c r="F1069" s="3"/>
      <c r="G1069" s="3"/>
      <c r="H1069" s="3"/>
      <c r="I1069" s="3"/>
      <c r="J1069" s="3"/>
      <c r="K1069" s="3"/>
      <c r="L1069" s="3"/>
      <c r="M1069" s="3"/>
      <c r="N1069" s="3"/>
      <c r="O1069" s="3"/>
      <c r="P1069" s="3"/>
      <c r="Q1069" s="3"/>
      <c r="R1069" s="3"/>
      <c r="S1069" s="3"/>
      <c r="T1069" s="3"/>
      <c r="U1069" s="3"/>
      <c r="V1069" s="3"/>
      <c r="W1069" s="3"/>
      <c r="X1069" s="3"/>
      <c r="Y1069" s="3"/>
      <c r="Z1069" s="3"/>
      <c r="AA1069" s="3"/>
      <c r="AB1069" s="3"/>
      <c r="AC1069" s="3"/>
      <c r="AD1069" s="3"/>
    </row>
    <row r="1070">
      <c r="A1070" s="3"/>
      <c r="B1070" s="3"/>
      <c r="C1070" s="3"/>
      <c r="D1070" s="3"/>
      <c r="E1070" s="3"/>
      <c r="F1070" s="3"/>
      <c r="G1070" s="3"/>
      <c r="H1070" s="3"/>
      <c r="I1070" s="3"/>
      <c r="J1070" s="3"/>
      <c r="K1070" s="3"/>
      <c r="L1070" s="3"/>
      <c r="M1070" s="3"/>
      <c r="N1070" s="3"/>
      <c r="O1070" s="3"/>
      <c r="P1070" s="3"/>
      <c r="Q1070" s="3"/>
      <c r="R1070" s="3"/>
      <c r="S1070" s="3"/>
      <c r="T1070" s="3"/>
      <c r="U1070" s="3"/>
      <c r="V1070" s="3"/>
      <c r="W1070" s="3"/>
      <c r="X1070" s="3"/>
      <c r="Y1070" s="3"/>
      <c r="Z1070" s="3"/>
      <c r="AA1070" s="3"/>
      <c r="AB1070" s="3"/>
      <c r="AC1070" s="3"/>
      <c r="AD1070" s="3"/>
    </row>
    <row r="1071">
      <c r="A1071" s="3"/>
      <c r="B1071" s="3"/>
      <c r="C1071" s="3"/>
      <c r="D1071" s="3"/>
      <c r="E1071" s="3"/>
      <c r="F1071" s="3"/>
      <c r="G1071" s="3"/>
      <c r="H1071" s="3"/>
      <c r="I1071" s="3"/>
      <c r="J1071" s="3"/>
      <c r="K1071" s="3"/>
      <c r="L1071" s="3"/>
      <c r="M1071" s="3"/>
      <c r="N1071" s="3"/>
      <c r="O1071" s="3"/>
      <c r="P1071" s="3"/>
      <c r="Q1071" s="3"/>
      <c r="R1071" s="3"/>
      <c r="S1071" s="3"/>
      <c r="T1071" s="3"/>
      <c r="U1071" s="3"/>
      <c r="V1071" s="3"/>
      <c r="W1071" s="3"/>
      <c r="X1071" s="3"/>
      <c r="Y1071" s="3"/>
      <c r="Z1071" s="3"/>
      <c r="AA1071" s="3"/>
      <c r="AB1071" s="3"/>
      <c r="AC1071" s="3"/>
      <c r="AD1071" s="3"/>
    </row>
    <row r="1072">
      <c r="A1072" s="3"/>
      <c r="B1072" s="3"/>
      <c r="C1072" s="3"/>
      <c r="D1072" s="3"/>
      <c r="E1072" s="3"/>
      <c r="F1072" s="3"/>
      <c r="G1072" s="3"/>
      <c r="H1072" s="3"/>
      <c r="I1072" s="3"/>
      <c r="J1072" s="3"/>
      <c r="K1072" s="3"/>
      <c r="L1072" s="3"/>
      <c r="M1072" s="3"/>
      <c r="N1072" s="3"/>
      <c r="O1072" s="3"/>
      <c r="P1072" s="3"/>
      <c r="Q1072" s="3"/>
      <c r="R1072" s="3"/>
      <c r="S1072" s="3"/>
      <c r="T1072" s="3"/>
      <c r="U1072" s="3"/>
      <c r="V1072" s="3"/>
      <c r="W1072" s="3"/>
      <c r="X1072" s="3"/>
      <c r="Y1072" s="3"/>
      <c r="Z1072" s="3"/>
      <c r="AA1072" s="3"/>
      <c r="AB1072" s="3"/>
      <c r="AC1072" s="3"/>
      <c r="AD1072" s="3"/>
    </row>
    <row r="1073">
      <c r="A1073" s="3"/>
      <c r="B1073" s="3"/>
      <c r="C1073" s="3"/>
      <c r="D1073" s="3"/>
      <c r="E1073" s="3"/>
      <c r="F1073" s="3"/>
      <c r="G1073" s="3"/>
      <c r="H1073" s="3"/>
      <c r="I1073" s="3"/>
      <c r="J1073" s="3"/>
      <c r="K1073" s="3"/>
      <c r="L1073" s="3"/>
      <c r="M1073" s="3"/>
      <c r="N1073" s="3"/>
      <c r="O1073" s="3"/>
      <c r="P1073" s="3"/>
      <c r="Q1073" s="3"/>
      <c r="R1073" s="3"/>
      <c r="S1073" s="3"/>
      <c r="T1073" s="3"/>
      <c r="U1073" s="3"/>
      <c r="V1073" s="3"/>
      <c r="W1073" s="3"/>
      <c r="X1073" s="3"/>
      <c r="Y1073" s="3"/>
      <c r="Z1073" s="3"/>
      <c r="AA1073" s="3"/>
      <c r="AB1073" s="3"/>
      <c r="AC1073" s="3"/>
      <c r="AD1073" s="3"/>
    </row>
    <row r="1074">
      <c r="A1074" s="3"/>
      <c r="B1074" s="3"/>
      <c r="C1074" s="3"/>
      <c r="D1074" s="3"/>
      <c r="E1074" s="3"/>
      <c r="F1074" s="3"/>
      <c r="G1074" s="3"/>
      <c r="H1074" s="3"/>
      <c r="I1074" s="3"/>
      <c r="J1074" s="3"/>
      <c r="K1074" s="3"/>
      <c r="L1074" s="3"/>
      <c r="M1074" s="3"/>
      <c r="N1074" s="3"/>
      <c r="O1074" s="3"/>
      <c r="P1074" s="3"/>
      <c r="Q1074" s="3"/>
      <c r="R1074" s="3"/>
      <c r="S1074" s="3"/>
      <c r="T1074" s="3"/>
      <c r="U1074" s="3"/>
      <c r="V1074" s="3"/>
      <c r="W1074" s="3"/>
      <c r="X1074" s="3"/>
      <c r="Y1074" s="3"/>
      <c r="Z1074" s="3"/>
      <c r="AA1074" s="3"/>
      <c r="AB1074" s="3"/>
      <c r="AC1074" s="3"/>
      <c r="AD1074" s="3"/>
    </row>
    <row r="1075">
      <c r="A1075" s="3"/>
      <c r="B1075" s="3"/>
      <c r="C1075" s="3"/>
      <c r="D1075" s="3"/>
      <c r="E1075" s="3"/>
      <c r="F1075" s="3"/>
      <c r="G1075" s="3"/>
      <c r="H1075" s="3"/>
      <c r="I1075" s="3"/>
      <c r="J1075" s="3"/>
      <c r="K1075" s="3"/>
      <c r="L1075" s="3"/>
      <c r="M1075" s="3"/>
      <c r="N1075" s="3"/>
      <c r="O1075" s="3"/>
      <c r="P1075" s="3"/>
      <c r="Q1075" s="3"/>
      <c r="R1075" s="3"/>
      <c r="S1075" s="3"/>
      <c r="T1075" s="3"/>
      <c r="U1075" s="3"/>
      <c r="V1075" s="3"/>
      <c r="W1075" s="3"/>
      <c r="X1075" s="3"/>
      <c r="Y1075" s="3"/>
      <c r="Z1075" s="3"/>
      <c r="AA1075" s="3"/>
      <c r="AB1075" s="3"/>
      <c r="AC1075" s="3"/>
      <c r="AD1075" s="3"/>
    </row>
    <row r="1076">
      <c r="A1076" s="3"/>
      <c r="B1076" s="3"/>
      <c r="C1076" s="3"/>
      <c r="D1076" s="3"/>
      <c r="E1076" s="3"/>
      <c r="F1076" s="3"/>
      <c r="G1076" s="3"/>
      <c r="H1076" s="3"/>
      <c r="I1076" s="3"/>
      <c r="J1076" s="3"/>
      <c r="K1076" s="3"/>
      <c r="L1076" s="3"/>
      <c r="M1076" s="3"/>
      <c r="N1076" s="3"/>
      <c r="O1076" s="3"/>
      <c r="P1076" s="3"/>
      <c r="Q1076" s="3"/>
      <c r="R1076" s="3"/>
      <c r="S1076" s="3"/>
      <c r="T1076" s="3"/>
      <c r="U1076" s="3"/>
      <c r="V1076" s="3"/>
      <c r="W1076" s="3"/>
      <c r="X1076" s="3"/>
      <c r="Y1076" s="3"/>
      <c r="Z1076" s="3"/>
      <c r="AA1076" s="3"/>
      <c r="AB1076" s="3"/>
      <c r="AC1076" s="3"/>
      <c r="AD1076" s="3"/>
    </row>
    <row r="1077">
      <c r="A1077" s="3"/>
      <c r="B1077" s="3"/>
      <c r="C1077" s="3"/>
      <c r="D1077" s="3"/>
      <c r="E1077" s="3"/>
      <c r="F1077" s="3"/>
      <c r="G1077" s="3"/>
      <c r="H1077" s="3"/>
      <c r="I1077" s="3"/>
      <c r="J1077" s="3"/>
      <c r="K1077" s="3"/>
      <c r="L1077" s="3"/>
      <c r="M1077" s="3"/>
      <c r="N1077" s="3"/>
      <c r="O1077" s="3"/>
      <c r="P1077" s="3"/>
      <c r="Q1077" s="3"/>
      <c r="R1077" s="3"/>
      <c r="S1077" s="3"/>
      <c r="T1077" s="3"/>
      <c r="U1077" s="3"/>
      <c r="V1077" s="3"/>
      <c r="W1077" s="3"/>
      <c r="X1077" s="3"/>
      <c r="Y1077" s="3"/>
      <c r="Z1077" s="3"/>
      <c r="AA1077" s="3"/>
      <c r="AB1077" s="3"/>
      <c r="AC1077" s="3"/>
      <c r="AD1077" s="3"/>
    </row>
    <row r="1078">
      <c r="A1078" s="3"/>
      <c r="B1078" s="3"/>
      <c r="C1078" s="3"/>
      <c r="D1078" s="3"/>
      <c r="E1078" s="3"/>
      <c r="F1078" s="3"/>
      <c r="G1078" s="3"/>
      <c r="H1078" s="3"/>
      <c r="I1078" s="3"/>
      <c r="J1078" s="3"/>
      <c r="K1078" s="3"/>
      <c r="L1078" s="3"/>
      <c r="M1078" s="3"/>
      <c r="N1078" s="3"/>
      <c r="O1078" s="3"/>
      <c r="P1078" s="3"/>
      <c r="Q1078" s="3"/>
      <c r="R1078" s="3"/>
      <c r="S1078" s="3"/>
      <c r="T1078" s="3"/>
      <c r="U1078" s="3"/>
      <c r="V1078" s="3"/>
      <c r="W1078" s="3"/>
      <c r="X1078" s="3"/>
      <c r="Y1078" s="3"/>
      <c r="Z1078" s="3"/>
      <c r="AA1078" s="3"/>
      <c r="AB1078" s="3"/>
      <c r="AC1078" s="3"/>
      <c r="AD1078" s="3"/>
    </row>
    <row r="1079">
      <c r="A1079" s="3"/>
      <c r="B1079" s="3"/>
      <c r="C1079" s="3"/>
      <c r="D1079" s="3"/>
      <c r="E1079" s="3"/>
      <c r="F1079" s="3"/>
      <c r="G1079" s="3"/>
      <c r="H1079" s="3"/>
      <c r="I1079" s="3"/>
      <c r="J1079" s="3"/>
      <c r="K1079" s="3"/>
      <c r="L1079" s="3"/>
      <c r="M1079" s="3"/>
      <c r="N1079" s="3"/>
      <c r="O1079" s="3"/>
      <c r="P1079" s="3"/>
      <c r="Q1079" s="3"/>
      <c r="R1079" s="3"/>
      <c r="S1079" s="3"/>
      <c r="T1079" s="3"/>
      <c r="U1079" s="3"/>
      <c r="V1079" s="3"/>
      <c r="W1079" s="3"/>
      <c r="X1079" s="3"/>
      <c r="Y1079" s="3"/>
      <c r="Z1079" s="3"/>
      <c r="AA1079" s="3"/>
      <c r="AB1079" s="3"/>
      <c r="AC1079" s="3"/>
      <c r="AD1079" s="3"/>
    </row>
    <row r="1080">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c r="AC1080" s="3"/>
      <c r="AD1080" s="3"/>
    </row>
    <row r="1081">
      <c r="A1081" s="3"/>
      <c r="B1081" s="3"/>
      <c r="C1081" s="3"/>
      <c r="D1081" s="3"/>
      <c r="E1081" s="3"/>
      <c r="F1081" s="3"/>
      <c r="G1081" s="3"/>
      <c r="H1081" s="3"/>
      <c r="I1081" s="3"/>
      <c r="J1081" s="3"/>
      <c r="K1081" s="3"/>
      <c r="L1081" s="3"/>
      <c r="M1081" s="3"/>
      <c r="N1081" s="3"/>
      <c r="O1081" s="3"/>
      <c r="P1081" s="3"/>
      <c r="Q1081" s="3"/>
      <c r="R1081" s="3"/>
      <c r="S1081" s="3"/>
      <c r="T1081" s="3"/>
      <c r="U1081" s="3"/>
      <c r="V1081" s="3"/>
      <c r="W1081" s="3"/>
      <c r="X1081" s="3"/>
      <c r="Y1081" s="3"/>
      <c r="Z1081" s="3"/>
      <c r="AA1081" s="3"/>
      <c r="AB1081" s="3"/>
      <c r="AC1081" s="3"/>
      <c r="AD1081" s="3"/>
    </row>
    <row r="1082">
      <c r="A1082" s="3"/>
      <c r="B1082" s="3"/>
      <c r="C1082" s="3"/>
      <c r="D1082" s="3"/>
      <c r="E1082" s="3"/>
      <c r="F1082" s="3"/>
      <c r="G1082" s="3"/>
      <c r="H1082" s="3"/>
      <c r="I1082" s="3"/>
      <c r="J1082" s="3"/>
      <c r="K1082" s="3"/>
      <c r="L1082" s="3"/>
      <c r="M1082" s="3"/>
      <c r="N1082" s="3"/>
      <c r="O1082" s="3"/>
      <c r="P1082" s="3"/>
      <c r="Q1082" s="3"/>
      <c r="R1082" s="3"/>
      <c r="S1082" s="3"/>
      <c r="T1082" s="3"/>
      <c r="U1082" s="3"/>
      <c r="V1082" s="3"/>
      <c r="W1082" s="3"/>
      <c r="X1082" s="3"/>
      <c r="Y1082" s="3"/>
      <c r="Z1082" s="3"/>
      <c r="AA1082" s="3"/>
      <c r="AB1082" s="3"/>
      <c r="AC1082" s="3"/>
      <c r="AD1082" s="3"/>
    </row>
    <row r="1083">
      <c r="A1083" s="3"/>
      <c r="B1083" s="3"/>
      <c r="C1083" s="3"/>
      <c r="D1083" s="3"/>
      <c r="E1083" s="3"/>
      <c r="F1083" s="3"/>
      <c r="G1083" s="3"/>
      <c r="H1083" s="3"/>
      <c r="I1083" s="3"/>
      <c r="J1083" s="3"/>
      <c r="K1083" s="3"/>
      <c r="L1083" s="3"/>
      <c r="M1083" s="3"/>
      <c r="N1083" s="3"/>
      <c r="O1083" s="3"/>
      <c r="P1083" s="3"/>
      <c r="Q1083" s="3"/>
      <c r="R1083" s="3"/>
      <c r="S1083" s="3"/>
      <c r="T1083" s="3"/>
      <c r="U1083" s="3"/>
      <c r="V1083" s="3"/>
      <c r="W1083" s="3"/>
      <c r="X1083" s="3"/>
      <c r="Y1083" s="3"/>
      <c r="Z1083" s="3"/>
      <c r="AA1083" s="3"/>
      <c r="AB1083" s="3"/>
      <c r="AC1083" s="3"/>
      <c r="AD1083" s="3"/>
    </row>
    <row r="1084">
      <c r="A1084" s="3"/>
      <c r="B1084" s="3"/>
      <c r="C1084" s="3"/>
      <c r="D1084" s="3"/>
      <c r="E1084" s="3"/>
      <c r="F1084" s="3"/>
      <c r="G1084" s="3"/>
      <c r="H1084" s="3"/>
      <c r="I1084" s="3"/>
      <c r="J1084" s="3"/>
      <c r="K1084" s="3"/>
      <c r="L1084" s="3"/>
      <c r="M1084" s="3"/>
      <c r="N1084" s="3"/>
      <c r="O1084" s="3"/>
      <c r="P1084" s="3"/>
      <c r="Q1084" s="3"/>
      <c r="R1084" s="3"/>
      <c r="S1084" s="3"/>
      <c r="T1084" s="3"/>
      <c r="U1084" s="3"/>
      <c r="V1084" s="3"/>
      <c r="W1084" s="3"/>
      <c r="X1084" s="3"/>
      <c r="Y1084" s="3"/>
      <c r="Z1084" s="3"/>
      <c r="AA1084" s="3"/>
      <c r="AB1084" s="3"/>
      <c r="AC1084" s="3"/>
      <c r="AD1084" s="3"/>
    </row>
    <row r="1085">
      <c r="A1085" s="3"/>
      <c r="B1085" s="3"/>
      <c r="C1085" s="3"/>
      <c r="D1085" s="3"/>
      <c r="E1085" s="3"/>
      <c r="F1085" s="3"/>
      <c r="G1085" s="3"/>
      <c r="H1085" s="3"/>
      <c r="I1085" s="3"/>
      <c r="J1085" s="3"/>
      <c r="K1085" s="3"/>
      <c r="L1085" s="3"/>
      <c r="M1085" s="3"/>
      <c r="N1085" s="3"/>
      <c r="O1085" s="3"/>
      <c r="P1085" s="3"/>
      <c r="Q1085" s="3"/>
      <c r="R1085" s="3"/>
      <c r="S1085" s="3"/>
      <c r="T1085" s="3"/>
      <c r="U1085" s="3"/>
      <c r="V1085" s="3"/>
      <c r="W1085" s="3"/>
      <c r="X1085" s="3"/>
      <c r="Y1085" s="3"/>
      <c r="Z1085" s="3"/>
      <c r="AA1085" s="3"/>
      <c r="AB1085" s="3"/>
      <c r="AC1085" s="3"/>
      <c r="AD1085" s="3"/>
    </row>
    <row r="1086">
      <c r="A1086" s="3"/>
      <c r="B1086" s="3"/>
      <c r="C1086" s="3"/>
      <c r="D1086" s="3"/>
      <c r="E1086" s="3"/>
      <c r="F1086" s="3"/>
      <c r="G1086" s="3"/>
      <c r="H1086" s="3"/>
      <c r="I1086" s="3"/>
      <c r="J1086" s="3"/>
      <c r="K1086" s="3"/>
      <c r="L1086" s="3"/>
      <c r="M1086" s="3"/>
      <c r="N1086" s="3"/>
      <c r="O1086" s="3"/>
      <c r="P1086" s="3"/>
      <c r="Q1086" s="3"/>
      <c r="R1086" s="3"/>
      <c r="S1086" s="3"/>
      <c r="T1086" s="3"/>
      <c r="U1086" s="3"/>
      <c r="V1086" s="3"/>
      <c r="W1086" s="3"/>
      <c r="X1086" s="3"/>
      <c r="Y1086" s="3"/>
      <c r="Z1086" s="3"/>
      <c r="AA1086" s="3"/>
      <c r="AB1086" s="3"/>
      <c r="AC1086" s="3"/>
      <c r="AD1086" s="3"/>
    </row>
    <row r="1087">
      <c r="A1087" s="3"/>
      <c r="B1087" s="3"/>
      <c r="C1087" s="3"/>
      <c r="D1087" s="3"/>
      <c r="E1087" s="3"/>
      <c r="F1087" s="3"/>
      <c r="G1087" s="3"/>
      <c r="H1087" s="3"/>
      <c r="I1087" s="3"/>
      <c r="J1087" s="3"/>
      <c r="K1087" s="3"/>
      <c r="L1087" s="3"/>
      <c r="M1087" s="3"/>
      <c r="N1087" s="3"/>
      <c r="O1087" s="3"/>
      <c r="P1087" s="3"/>
      <c r="Q1087" s="3"/>
      <c r="R1087" s="3"/>
      <c r="S1087" s="3"/>
      <c r="T1087" s="3"/>
      <c r="U1087" s="3"/>
      <c r="V1087" s="3"/>
      <c r="W1087" s="3"/>
      <c r="X1087" s="3"/>
      <c r="Y1087" s="3"/>
      <c r="Z1087" s="3"/>
      <c r="AA1087" s="3"/>
      <c r="AB1087" s="3"/>
      <c r="AC1087" s="3"/>
      <c r="AD1087" s="3"/>
    </row>
    <row r="1088">
      <c r="A1088" s="3"/>
      <c r="B1088" s="3"/>
      <c r="C1088" s="3"/>
      <c r="D1088" s="3"/>
      <c r="E1088" s="3"/>
      <c r="F1088" s="3"/>
      <c r="G1088" s="3"/>
      <c r="H1088" s="3"/>
      <c r="I1088" s="3"/>
      <c r="J1088" s="3"/>
      <c r="K1088" s="3"/>
      <c r="L1088" s="3"/>
      <c r="M1088" s="3"/>
      <c r="N1088" s="3"/>
      <c r="O1088" s="3"/>
      <c r="P1088" s="3"/>
      <c r="Q1088" s="3"/>
      <c r="R1088" s="3"/>
      <c r="S1088" s="3"/>
      <c r="T1088" s="3"/>
      <c r="U1088" s="3"/>
      <c r="V1088" s="3"/>
      <c r="W1088" s="3"/>
      <c r="X1088" s="3"/>
      <c r="Y1088" s="3"/>
      <c r="Z1088" s="3"/>
      <c r="AA1088" s="3"/>
      <c r="AB1088" s="3"/>
      <c r="AC1088" s="3"/>
      <c r="AD1088" s="3"/>
    </row>
    <row r="1089">
      <c r="A1089" s="3"/>
      <c r="B1089" s="3"/>
      <c r="C1089" s="3"/>
      <c r="D1089" s="3"/>
      <c r="E1089" s="3"/>
      <c r="F1089" s="3"/>
      <c r="G1089" s="3"/>
      <c r="H1089" s="3"/>
      <c r="I1089" s="3"/>
      <c r="J1089" s="3"/>
      <c r="K1089" s="3"/>
      <c r="L1089" s="3"/>
      <c r="M1089" s="3"/>
      <c r="N1089" s="3"/>
      <c r="O1089" s="3"/>
      <c r="P1089" s="3"/>
      <c r="Q1089" s="3"/>
      <c r="R1089" s="3"/>
      <c r="S1089" s="3"/>
      <c r="T1089" s="3"/>
      <c r="U1089" s="3"/>
      <c r="V1089" s="3"/>
      <c r="W1089" s="3"/>
      <c r="X1089" s="3"/>
      <c r="Y1089" s="3"/>
      <c r="Z1089" s="3"/>
      <c r="AA1089" s="3"/>
      <c r="AB1089" s="3"/>
      <c r="AC1089" s="3"/>
      <c r="AD1089" s="3"/>
    </row>
    <row r="1090">
      <c r="A1090" s="3"/>
      <c r="B1090" s="3"/>
      <c r="C1090" s="3"/>
      <c r="D1090" s="3"/>
      <c r="E1090" s="3"/>
      <c r="F1090" s="3"/>
      <c r="G1090" s="3"/>
      <c r="H1090" s="3"/>
      <c r="I1090" s="3"/>
      <c r="J1090" s="3"/>
      <c r="K1090" s="3"/>
      <c r="L1090" s="3"/>
      <c r="M1090" s="3"/>
      <c r="N1090" s="3"/>
      <c r="O1090" s="3"/>
      <c r="P1090" s="3"/>
      <c r="Q1090" s="3"/>
      <c r="R1090" s="3"/>
      <c r="S1090" s="3"/>
      <c r="T1090" s="3"/>
      <c r="U1090" s="3"/>
      <c r="V1090" s="3"/>
      <c r="W1090" s="3"/>
      <c r="X1090" s="3"/>
      <c r="Y1090" s="3"/>
      <c r="Z1090" s="3"/>
      <c r="AA1090" s="3"/>
      <c r="AB1090" s="3"/>
      <c r="AC1090" s="3"/>
      <c r="AD1090" s="3"/>
    </row>
    <row r="1091">
      <c r="A1091" s="3"/>
      <c r="B1091" s="3"/>
      <c r="C1091" s="3"/>
      <c r="D1091" s="3"/>
      <c r="E1091" s="3"/>
      <c r="F1091" s="3"/>
      <c r="G1091" s="3"/>
      <c r="H1091" s="3"/>
      <c r="I1091" s="3"/>
      <c r="J1091" s="3"/>
      <c r="K1091" s="3"/>
      <c r="L1091" s="3"/>
      <c r="M1091" s="3"/>
      <c r="N1091" s="3"/>
      <c r="O1091" s="3"/>
      <c r="P1091" s="3"/>
      <c r="Q1091" s="3"/>
      <c r="R1091" s="3"/>
      <c r="S1091" s="3"/>
      <c r="T1091" s="3"/>
      <c r="U1091" s="3"/>
      <c r="V1091" s="3"/>
      <c r="W1091" s="3"/>
      <c r="X1091" s="3"/>
      <c r="Y1091" s="3"/>
      <c r="Z1091" s="3"/>
      <c r="AA1091" s="3"/>
      <c r="AB1091" s="3"/>
      <c r="AC1091" s="3"/>
      <c r="AD1091" s="3"/>
    </row>
    <row r="1092">
      <c r="A1092" s="3"/>
      <c r="B1092" s="3"/>
      <c r="C1092" s="3"/>
      <c r="D1092" s="3"/>
      <c r="E1092" s="3"/>
      <c r="F1092" s="3"/>
      <c r="G1092" s="3"/>
      <c r="H1092" s="3"/>
      <c r="I1092" s="3"/>
      <c r="J1092" s="3"/>
      <c r="K1092" s="3"/>
      <c r="L1092" s="3"/>
      <c r="M1092" s="3"/>
      <c r="N1092" s="3"/>
      <c r="O1092" s="3"/>
      <c r="P1092" s="3"/>
      <c r="Q1092" s="3"/>
      <c r="R1092" s="3"/>
      <c r="S1092" s="3"/>
      <c r="T1092" s="3"/>
      <c r="U1092" s="3"/>
      <c r="V1092" s="3"/>
      <c r="W1092" s="3"/>
      <c r="X1092" s="3"/>
      <c r="Y1092" s="3"/>
      <c r="Z1092" s="3"/>
      <c r="AA1092" s="3"/>
      <c r="AB1092" s="3"/>
      <c r="AC1092" s="3"/>
      <c r="AD1092" s="3"/>
    </row>
    <row r="1093">
      <c r="A1093" s="3"/>
      <c r="B1093" s="3"/>
      <c r="C1093" s="3"/>
      <c r="D1093" s="3"/>
      <c r="E1093" s="3"/>
      <c r="F1093" s="3"/>
      <c r="G1093" s="3"/>
      <c r="H1093" s="3"/>
      <c r="I1093" s="3"/>
      <c r="J1093" s="3"/>
      <c r="K1093" s="3"/>
      <c r="L1093" s="3"/>
      <c r="M1093" s="3"/>
      <c r="N1093" s="3"/>
      <c r="O1093" s="3"/>
      <c r="P1093" s="3"/>
      <c r="Q1093" s="3"/>
      <c r="R1093" s="3"/>
      <c r="S1093" s="3"/>
      <c r="T1093" s="3"/>
      <c r="U1093" s="3"/>
      <c r="V1093" s="3"/>
      <c r="W1093" s="3"/>
      <c r="X1093" s="3"/>
      <c r="Y1093" s="3"/>
      <c r="Z1093" s="3"/>
      <c r="AA1093" s="3"/>
      <c r="AB1093" s="3"/>
      <c r="AC1093" s="3"/>
      <c r="AD1093" s="3"/>
    </row>
    <row r="1094">
      <c r="A1094" s="3"/>
      <c r="B1094" s="3"/>
      <c r="C1094" s="3"/>
      <c r="D1094" s="3"/>
      <c r="E1094" s="3"/>
      <c r="F1094" s="3"/>
      <c r="G1094" s="3"/>
      <c r="H1094" s="3"/>
      <c r="I1094" s="3"/>
      <c r="J1094" s="3"/>
      <c r="K1094" s="3"/>
      <c r="L1094" s="3"/>
      <c r="M1094" s="3"/>
      <c r="N1094" s="3"/>
      <c r="O1094" s="3"/>
      <c r="P1094" s="3"/>
      <c r="Q1094" s="3"/>
      <c r="R1094" s="3"/>
      <c r="S1094" s="3"/>
      <c r="T1094" s="3"/>
      <c r="U1094" s="3"/>
      <c r="V1094" s="3"/>
      <c r="W1094" s="3"/>
      <c r="X1094" s="3"/>
      <c r="Y1094" s="3"/>
      <c r="Z1094" s="3"/>
      <c r="AA1094" s="3"/>
      <c r="AB1094" s="3"/>
      <c r="AC1094" s="3"/>
      <c r="AD1094" s="3"/>
    </row>
    <row r="1095">
      <c r="A1095" s="3"/>
      <c r="B1095" s="3"/>
      <c r="C1095" s="3"/>
      <c r="D1095" s="3"/>
      <c r="E1095" s="3"/>
      <c r="F1095" s="3"/>
      <c r="G1095" s="3"/>
      <c r="H1095" s="3"/>
      <c r="I1095" s="3"/>
      <c r="J1095" s="3"/>
      <c r="K1095" s="3"/>
      <c r="L1095" s="3"/>
      <c r="M1095" s="3"/>
      <c r="N1095" s="3"/>
      <c r="O1095" s="3"/>
      <c r="P1095" s="3"/>
      <c r="Q1095" s="3"/>
      <c r="R1095" s="3"/>
      <c r="S1095" s="3"/>
      <c r="T1095" s="3"/>
      <c r="U1095" s="3"/>
      <c r="V1095" s="3"/>
      <c r="W1095" s="3"/>
      <c r="X1095" s="3"/>
      <c r="Y1095" s="3"/>
      <c r="Z1095" s="3"/>
      <c r="AA1095" s="3"/>
      <c r="AB1095" s="3"/>
      <c r="AC1095" s="3"/>
      <c r="AD1095" s="3"/>
    </row>
    <row r="1096">
      <c r="A1096" s="3"/>
      <c r="B1096" s="3"/>
      <c r="C1096" s="3"/>
      <c r="D1096" s="3"/>
      <c r="E1096" s="3"/>
      <c r="F1096" s="3"/>
      <c r="G1096" s="3"/>
      <c r="H1096" s="3"/>
      <c r="I1096" s="3"/>
      <c r="J1096" s="3"/>
      <c r="K1096" s="3"/>
      <c r="L1096" s="3"/>
      <c r="M1096" s="3"/>
      <c r="N1096" s="3"/>
      <c r="O1096" s="3"/>
      <c r="P1096" s="3"/>
      <c r="Q1096" s="3"/>
      <c r="R1096" s="3"/>
      <c r="S1096" s="3"/>
      <c r="T1096" s="3"/>
      <c r="U1096" s="3"/>
      <c r="V1096" s="3"/>
      <c r="W1096" s="3"/>
      <c r="X1096" s="3"/>
      <c r="Y1096" s="3"/>
      <c r="Z1096" s="3"/>
      <c r="AA1096" s="3"/>
      <c r="AB1096" s="3"/>
      <c r="AC1096" s="3"/>
      <c r="AD1096" s="3"/>
    </row>
    <row r="1097">
      <c r="A1097" s="3"/>
      <c r="B1097" s="3"/>
      <c r="C1097" s="3"/>
      <c r="D1097" s="3"/>
      <c r="E1097" s="3"/>
      <c r="F1097" s="3"/>
      <c r="G1097" s="3"/>
      <c r="H1097" s="3"/>
      <c r="I1097" s="3"/>
      <c r="J1097" s="3"/>
      <c r="K1097" s="3"/>
      <c r="L1097" s="3"/>
      <c r="M1097" s="3"/>
      <c r="N1097" s="3"/>
      <c r="O1097" s="3"/>
      <c r="P1097" s="3"/>
      <c r="Q1097" s="3"/>
      <c r="R1097" s="3"/>
      <c r="S1097" s="3"/>
      <c r="T1097" s="3"/>
      <c r="U1097" s="3"/>
      <c r="V1097" s="3"/>
      <c r="W1097" s="3"/>
      <c r="X1097" s="3"/>
      <c r="Y1097" s="3"/>
      <c r="Z1097" s="3"/>
      <c r="AA1097" s="3"/>
      <c r="AB1097" s="3"/>
      <c r="AC1097" s="3"/>
      <c r="AD1097" s="3"/>
    </row>
    <row r="1098">
      <c r="A1098" s="3"/>
      <c r="B1098" s="3"/>
      <c r="C1098" s="3"/>
      <c r="D1098" s="3"/>
      <c r="E1098" s="3"/>
      <c r="F1098" s="3"/>
      <c r="G1098" s="3"/>
      <c r="H1098" s="3"/>
      <c r="I1098" s="3"/>
      <c r="J1098" s="3"/>
      <c r="K1098" s="3"/>
      <c r="L1098" s="3"/>
      <c r="M1098" s="3"/>
      <c r="N1098" s="3"/>
      <c r="O1098" s="3"/>
      <c r="P1098" s="3"/>
      <c r="Q1098" s="3"/>
      <c r="R1098" s="3"/>
      <c r="S1098" s="3"/>
      <c r="T1098" s="3"/>
      <c r="U1098" s="3"/>
      <c r="V1098" s="3"/>
      <c r="W1098" s="3"/>
      <c r="X1098" s="3"/>
      <c r="Y1098" s="3"/>
      <c r="Z1098" s="3"/>
      <c r="AA1098" s="3"/>
      <c r="AB1098" s="3"/>
      <c r="AC1098" s="3"/>
      <c r="AD1098" s="3"/>
    </row>
    <row r="1099">
      <c r="A1099" s="3"/>
      <c r="B1099" s="3"/>
      <c r="C1099" s="3"/>
      <c r="D1099" s="3"/>
      <c r="E1099" s="3"/>
      <c r="F1099" s="3"/>
      <c r="G1099" s="3"/>
      <c r="H1099" s="3"/>
      <c r="I1099" s="3"/>
      <c r="J1099" s="3"/>
      <c r="K1099" s="3"/>
      <c r="L1099" s="3"/>
      <c r="M1099" s="3"/>
      <c r="N1099" s="3"/>
      <c r="O1099" s="3"/>
      <c r="P1099" s="3"/>
      <c r="Q1099" s="3"/>
      <c r="R1099" s="3"/>
      <c r="S1099" s="3"/>
      <c r="T1099" s="3"/>
      <c r="U1099" s="3"/>
      <c r="V1099" s="3"/>
      <c r="W1099" s="3"/>
      <c r="X1099" s="3"/>
      <c r="Y1099" s="3"/>
      <c r="Z1099" s="3"/>
      <c r="AA1099" s="3"/>
      <c r="AB1099" s="3"/>
      <c r="AC1099" s="3"/>
      <c r="AD1099" s="3"/>
    </row>
    <row r="1100">
      <c r="A1100" s="3"/>
      <c r="B1100" s="3"/>
      <c r="C1100" s="3"/>
      <c r="D1100" s="3"/>
      <c r="E1100" s="3"/>
      <c r="F1100" s="3"/>
      <c r="G1100" s="3"/>
      <c r="H1100" s="3"/>
      <c r="I1100" s="3"/>
      <c r="J1100" s="3"/>
      <c r="K1100" s="3"/>
      <c r="L1100" s="3"/>
      <c r="M1100" s="3"/>
      <c r="N1100" s="3"/>
      <c r="O1100" s="3"/>
      <c r="P1100" s="3"/>
      <c r="Q1100" s="3"/>
      <c r="R1100" s="3"/>
      <c r="S1100" s="3"/>
      <c r="T1100" s="3"/>
      <c r="U1100" s="3"/>
      <c r="V1100" s="3"/>
      <c r="W1100" s="3"/>
      <c r="X1100" s="3"/>
      <c r="Y1100" s="3"/>
      <c r="Z1100" s="3"/>
      <c r="AA1100" s="3"/>
      <c r="AB1100" s="3"/>
      <c r="AC1100" s="3"/>
      <c r="AD1100" s="3"/>
    </row>
    <row r="1101">
      <c r="A1101" s="3"/>
      <c r="B1101" s="3"/>
      <c r="C1101" s="3"/>
      <c r="D1101" s="3"/>
      <c r="E1101" s="3"/>
      <c r="F1101" s="3"/>
      <c r="G1101" s="3"/>
      <c r="H1101" s="3"/>
      <c r="I1101" s="3"/>
      <c r="J1101" s="3"/>
      <c r="K1101" s="3"/>
      <c r="L1101" s="3"/>
      <c r="M1101" s="3"/>
      <c r="N1101" s="3"/>
      <c r="O1101" s="3"/>
      <c r="P1101" s="3"/>
      <c r="Q1101" s="3"/>
      <c r="R1101" s="3"/>
      <c r="S1101" s="3"/>
      <c r="T1101" s="3"/>
      <c r="U1101" s="3"/>
      <c r="V1101" s="3"/>
      <c r="W1101" s="3"/>
      <c r="X1101" s="3"/>
      <c r="Y1101" s="3"/>
      <c r="Z1101" s="3"/>
      <c r="AA1101" s="3"/>
      <c r="AB1101" s="3"/>
      <c r="AC1101" s="3"/>
      <c r="AD1101" s="3"/>
    </row>
    <row r="1102">
      <c r="A1102" s="3"/>
      <c r="B1102" s="3"/>
      <c r="C1102" s="3"/>
      <c r="D1102" s="3"/>
      <c r="E1102" s="3"/>
      <c r="F1102" s="3"/>
      <c r="G1102" s="3"/>
      <c r="H1102" s="3"/>
      <c r="I1102" s="3"/>
      <c r="J1102" s="3"/>
      <c r="K1102" s="3"/>
      <c r="L1102" s="3"/>
      <c r="M1102" s="3"/>
      <c r="N1102" s="3"/>
      <c r="O1102" s="3"/>
      <c r="P1102" s="3"/>
      <c r="Q1102" s="3"/>
      <c r="R1102" s="3"/>
      <c r="S1102" s="3"/>
      <c r="T1102" s="3"/>
      <c r="U1102" s="3"/>
      <c r="V1102" s="3"/>
      <c r="W1102" s="3"/>
      <c r="X1102" s="3"/>
      <c r="Y1102" s="3"/>
      <c r="Z1102" s="3"/>
      <c r="AA1102" s="3"/>
      <c r="AB1102" s="3"/>
      <c r="AC1102" s="3"/>
      <c r="AD1102" s="3"/>
    </row>
    <row r="1103">
      <c r="A1103" s="3"/>
      <c r="B1103" s="3"/>
      <c r="C1103" s="3"/>
      <c r="D1103" s="3"/>
      <c r="E1103" s="3"/>
      <c r="F1103" s="3"/>
      <c r="G1103" s="3"/>
      <c r="H1103" s="3"/>
      <c r="I1103" s="3"/>
      <c r="J1103" s="3"/>
      <c r="K1103" s="3"/>
      <c r="L1103" s="3"/>
      <c r="M1103" s="3"/>
      <c r="N1103" s="3"/>
      <c r="O1103" s="3"/>
      <c r="P1103" s="3"/>
      <c r="Q1103" s="3"/>
      <c r="R1103" s="3"/>
      <c r="S1103" s="3"/>
      <c r="T1103" s="3"/>
      <c r="U1103" s="3"/>
      <c r="V1103" s="3"/>
      <c r="W1103" s="3"/>
      <c r="X1103" s="3"/>
      <c r="Y1103" s="3"/>
      <c r="Z1103" s="3"/>
      <c r="AA1103" s="3"/>
      <c r="AB1103" s="3"/>
      <c r="AC1103" s="3"/>
      <c r="AD1103" s="3"/>
    </row>
    <row r="1104">
      <c r="A1104" s="3"/>
      <c r="B1104" s="3"/>
      <c r="C1104" s="3"/>
      <c r="D1104" s="3"/>
      <c r="E1104" s="3"/>
      <c r="F1104" s="3"/>
      <c r="G1104" s="3"/>
      <c r="H1104" s="3"/>
      <c r="I1104" s="3"/>
      <c r="J1104" s="3"/>
      <c r="K1104" s="3"/>
      <c r="L1104" s="3"/>
      <c r="M1104" s="3"/>
      <c r="N1104" s="3"/>
      <c r="O1104" s="3"/>
      <c r="P1104" s="3"/>
      <c r="Q1104" s="3"/>
      <c r="R1104" s="3"/>
      <c r="S1104" s="3"/>
      <c r="T1104" s="3"/>
      <c r="U1104" s="3"/>
      <c r="V1104" s="3"/>
      <c r="W1104" s="3"/>
      <c r="X1104" s="3"/>
      <c r="Y1104" s="3"/>
      <c r="Z1104" s="3"/>
      <c r="AA1104" s="3"/>
      <c r="AB1104" s="3"/>
      <c r="AC1104" s="3"/>
      <c r="AD1104" s="3"/>
    </row>
    <row r="1105">
      <c r="A1105" s="3"/>
      <c r="B1105" s="3"/>
      <c r="C1105" s="3"/>
      <c r="D1105" s="3"/>
      <c r="E1105" s="3"/>
      <c r="F1105" s="3"/>
      <c r="G1105" s="3"/>
      <c r="H1105" s="3"/>
      <c r="I1105" s="3"/>
      <c r="J1105" s="3"/>
      <c r="K1105" s="3"/>
      <c r="L1105" s="3"/>
      <c r="M1105" s="3"/>
      <c r="N1105" s="3"/>
      <c r="O1105" s="3"/>
      <c r="P1105" s="3"/>
      <c r="Q1105" s="3"/>
      <c r="R1105" s="3"/>
      <c r="S1105" s="3"/>
      <c r="T1105" s="3"/>
      <c r="U1105" s="3"/>
      <c r="V1105" s="3"/>
      <c r="W1105" s="3"/>
      <c r="X1105" s="3"/>
      <c r="Y1105" s="3"/>
      <c r="Z1105" s="3"/>
      <c r="AA1105" s="3"/>
      <c r="AB1105" s="3"/>
      <c r="AC1105" s="3"/>
      <c r="AD1105" s="3"/>
    </row>
    <row r="1106">
      <c r="A1106" s="3"/>
      <c r="B1106" s="3"/>
      <c r="C1106" s="3"/>
      <c r="D1106" s="3"/>
      <c r="E1106" s="3"/>
      <c r="F1106" s="3"/>
      <c r="G1106" s="3"/>
      <c r="H1106" s="3"/>
      <c r="I1106" s="3"/>
      <c r="J1106" s="3"/>
      <c r="K1106" s="3"/>
      <c r="L1106" s="3"/>
      <c r="M1106" s="3"/>
      <c r="N1106" s="3"/>
      <c r="O1106" s="3"/>
      <c r="P1106" s="3"/>
      <c r="Q1106" s="3"/>
      <c r="R1106" s="3"/>
      <c r="S1106" s="3"/>
      <c r="T1106" s="3"/>
      <c r="U1106" s="3"/>
      <c r="V1106" s="3"/>
      <c r="W1106" s="3"/>
      <c r="X1106" s="3"/>
      <c r="Y1106" s="3"/>
      <c r="Z1106" s="3"/>
      <c r="AA1106" s="3"/>
      <c r="AB1106" s="3"/>
      <c r="AC1106" s="3"/>
      <c r="AD1106" s="3"/>
    </row>
    <row r="1107">
      <c r="A1107" s="3"/>
      <c r="B1107" s="3"/>
      <c r="C1107" s="3"/>
      <c r="D1107" s="3"/>
      <c r="E1107" s="3"/>
      <c r="F1107" s="3"/>
      <c r="G1107" s="3"/>
      <c r="H1107" s="3"/>
      <c r="I1107" s="3"/>
      <c r="J1107" s="3"/>
      <c r="K1107" s="3"/>
      <c r="L1107" s="3"/>
      <c r="M1107" s="3"/>
      <c r="N1107" s="3"/>
      <c r="O1107" s="3"/>
      <c r="P1107" s="3"/>
      <c r="Q1107" s="3"/>
      <c r="R1107" s="3"/>
      <c r="S1107" s="3"/>
      <c r="T1107" s="3"/>
      <c r="U1107" s="3"/>
      <c r="V1107" s="3"/>
      <c r="W1107" s="3"/>
      <c r="X1107" s="3"/>
      <c r="Y1107" s="3"/>
      <c r="Z1107" s="3"/>
      <c r="AA1107" s="3"/>
      <c r="AB1107" s="3"/>
      <c r="AC1107" s="3"/>
      <c r="AD1107" s="3"/>
    </row>
    <row r="1108">
      <c r="A1108" s="3"/>
      <c r="B1108" s="3"/>
      <c r="C1108" s="3"/>
      <c r="D1108" s="3"/>
      <c r="E1108" s="3"/>
      <c r="F1108" s="3"/>
      <c r="G1108" s="3"/>
      <c r="H1108" s="3"/>
      <c r="I1108" s="3"/>
      <c r="J1108" s="3"/>
      <c r="K1108" s="3"/>
      <c r="L1108" s="3"/>
      <c r="M1108" s="3"/>
      <c r="N1108" s="3"/>
      <c r="O1108" s="3"/>
      <c r="P1108" s="3"/>
      <c r="Q1108" s="3"/>
      <c r="R1108" s="3"/>
      <c r="S1108" s="3"/>
      <c r="T1108" s="3"/>
      <c r="U1108" s="3"/>
      <c r="V1108" s="3"/>
      <c r="W1108" s="3"/>
      <c r="X1108" s="3"/>
      <c r="Y1108" s="3"/>
      <c r="Z1108" s="3"/>
      <c r="AA1108" s="3"/>
      <c r="AB1108" s="3"/>
      <c r="AC1108" s="3"/>
      <c r="AD1108" s="3"/>
    </row>
    <row r="1109">
      <c r="A1109" s="3"/>
      <c r="B1109" s="3"/>
      <c r="C1109" s="3"/>
      <c r="D1109" s="3"/>
      <c r="E1109" s="3"/>
      <c r="F1109" s="3"/>
      <c r="G1109" s="3"/>
      <c r="H1109" s="3"/>
      <c r="I1109" s="3"/>
      <c r="J1109" s="3"/>
      <c r="K1109" s="3"/>
      <c r="L1109" s="3"/>
      <c r="M1109" s="3"/>
      <c r="N1109" s="3"/>
      <c r="O1109" s="3"/>
      <c r="P1109" s="3"/>
      <c r="Q1109" s="3"/>
      <c r="R1109" s="3"/>
      <c r="S1109" s="3"/>
      <c r="T1109" s="3"/>
      <c r="U1109" s="3"/>
      <c r="V1109" s="3"/>
      <c r="W1109" s="3"/>
      <c r="X1109" s="3"/>
      <c r="Y1109" s="3"/>
      <c r="Z1109" s="3"/>
      <c r="AA1109" s="3"/>
      <c r="AB1109" s="3"/>
      <c r="AC1109" s="3"/>
      <c r="AD1109" s="3"/>
    </row>
    <row r="1110">
      <c r="A1110" s="3"/>
      <c r="B1110" s="3"/>
      <c r="C1110" s="3"/>
      <c r="D1110" s="3"/>
      <c r="E1110" s="3"/>
      <c r="F1110" s="3"/>
      <c r="G1110" s="3"/>
      <c r="H1110" s="3"/>
      <c r="I1110" s="3"/>
      <c r="J1110" s="3"/>
      <c r="K1110" s="3"/>
      <c r="L1110" s="3"/>
      <c r="M1110" s="3"/>
      <c r="N1110" s="3"/>
      <c r="O1110" s="3"/>
      <c r="P1110" s="3"/>
      <c r="Q1110" s="3"/>
      <c r="R1110" s="3"/>
      <c r="S1110" s="3"/>
      <c r="T1110" s="3"/>
      <c r="U1110" s="3"/>
      <c r="V1110" s="3"/>
      <c r="W1110" s="3"/>
      <c r="X1110" s="3"/>
      <c r="Y1110" s="3"/>
      <c r="Z1110" s="3"/>
      <c r="AA1110" s="3"/>
      <c r="AB1110" s="3"/>
      <c r="AC1110" s="3"/>
      <c r="AD1110" s="3"/>
    </row>
    <row r="1111">
      <c r="A1111" s="3"/>
      <c r="B1111" s="3"/>
      <c r="C1111" s="3"/>
      <c r="D1111" s="3"/>
      <c r="E1111" s="3"/>
      <c r="F1111" s="3"/>
      <c r="G1111" s="3"/>
      <c r="H1111" s="3"/>
      <c r="I1111" s="3"/>
      <c r="J1111" s="3"/>
      <c r="K1111" s="3"/>
      <c r="L1111" s="3"/>
      <c r="M1111" s="3"/>
      <c r="N1111" s="3"/>
      <c r="O1111" s="3"/>
      <c r="P1111" s="3"/>
      <c r="Q1111" s="3"/>
      <c r="R1111" s="3"/>
      <c r="S1111" s="3"/>
      <c r="T1111" s="3"/>
      <c r="U1111" s="3"/>
      <c r="V1111" s="3"/>
      <c r="W1111" s="3"/>
      <c r="X1111" s="3"/>
      <c r="Y1111" s="3"/>
      <c r="Z1111" s="3"/>
      <c r="AA1111" s="3"/>
      <c r="AB1111" s="3"/>
      <c r="AC1111" s="3"/>
      <c r="AD1111" s="3"/>
    </row>
    <row r="1112">
      <c r="A1112" s="3"/>
      <c r="B1112" s="3"/>
      <c r="C1112" s="3"/>
      <c r="D1112" s="3"/>
      <c r="E1112" s="3"/>
      <c r="F1112" s="3"/>
      <c r="G1112" s="3"/>
      <c r="H1112" s="3"/>
      <c r="I1112" s="3"/>
      <c r="J1112" s="3"/>
      <c r="K1112" s="3"/>
      <c r="L1112" s="3"/>
      <c r="M1112" s="3"/>
      <c r="N1112" s="3"/>
      <c r="O1112" s="3"/>
      <c r="P1112" s="3"/>
      <c r="Q1112" s="3"/>
      <c r="R1112" s="3"/>
      <c r="S1112" s="3"/>
      <c r="T1112" s="3"/>
      <c r="U1112" s="3"/>
      <c r="V1112" s="3"/>
      <c r="W1112" s="3"/>
      <c r="X1112" s="3"/>
      <c r="Y1112" s="3"/>
      <c r="Z1112" s="3"/>
      <c r="AA1112" s="3"/>
      <c r="AB1112" s="3"/>
      <c r="AC1112" s="3"/>
      <c r="AD1112" s="3"/>
    </row>
    <row r="1113">
      <c r="A1113" s="3"/>
      <c r="B1113" s="3"/>
      <c r="C1113" s="3"/>
      <c r="D1113" s="3"/>
      <c r="E1113" s="3"/>
      <c r="F1113" s="3"/>
      <c r="G1113" s="3"/>
      <c r="H1113" s="3"/>
      <c r="I1113" s="3"/>
      <c r="J1113" s="3"/>
      <c r="K1113" s="3"/>
      <c r="L1113" s="3"/>
      <c r="M1113" s="3"/>
      <c r="N1113" s="3"/>
      <c r="O1113" s="3"/>
      <c r="P1113" s="3"/>
      <c r="Q1113" s="3"/>
      <c r="R1113" s="3"/>
      <c r="S1113" s="3"/>
      <c r="T1113" s="3"/>
      <c r="U1113" s="3"/>
      <c r="V1113" s="3"/>
      <c r="W1113" s="3"/>
      <c r="X1113" s="3"/>
    </row>
    <row r="1114">
      <c r="A1114" s="3"/>
      <c r="B1114" s="3"/>
      <c r="C1114" s="3"/>
      <c r="D1114" s="3"/>
      <c r="E1114" s="3"/>
      <c r="F1114" s="3"/>
      <c r="G1114" s="3"/>
      <c r="H1114" s="3"/>
      <c r="I1114" s="3"/>
      <c r="J1114" s="3"/>
      <c r="K1114" s="3"/>
      <c r="L1114" s="3"/>
      <c r="M1114" s="3"/>
      <c r="N1114" s="3"/>
      <c r="O1114" s="3"/>
      <c r="P1114" s="3"/>
      <c r="Q1114" s="3"/>
      <c r="R1114" s="3"/>
      <c r="S1114" s="3"/>
      <c r="T1114" s="3"/>
      <c r="U1114" s="3"/>
      <c r="V1114" s="3"/>
      <c r="W1114" s="3"/>
      <c r="X1114" s="3"/>
    </row>
    <row r="1115">
      <c r="A1115" s="3"/>
      <c r="B1115" s="3"/>
      <c r="C1115" s="3"/>
      <c r="D1115" s="3"/>
      <c r="E1115" s="3"/>
      <c r="F1115" s="3"/>
      <c r="G1115" s="3"/>
      <c r="H1115" s="3"/>
      <c r="I1115" s="3"/>
      <c r="J1115" s="3"/>
      <c r="K1115" s="3"/>
      <c r="L1115" s="3"/>
      <c r="M1115" s="3"/>
      <c r="N1115" s="3"/>
      <c r="O1115" s="3"/>
      <c r="P1115" s="3"/>
      <c r="Q1115" s="3"/>
      <c r="R1115" s="3"/>
      <c r="S1115" s="3"/>
      <c r="T1115" s="3"/>
      <c r="U1115" s="3"/>
      <c r="V1115" s="3"/>
      <c r="W1115" s="3"/>
      <c r="X1115" s="3"/>
    </row>
    <row r="1116">
      <c r="A1116" s="3"/>
      <c r="B1116" s="3"/>
      <c r="C1116" s="3"/>
      <c r="D1116" s="3"/>
      <c r="E1116" s="3"/>
      <c r="F1116" s="3"/>
      <c r="G1116" s="3"/>
      <c r="H1116" s="3"/>
      <c r="I1116" s="3"/>
      <c r="J1116" s="3"/>
      <c r="K1116" s="3"/>
      <c r="L1116" s="3"/>
      <c r="M1116" s="3"/>
      <c r="N1116" s="3"/>
      <c r="O1116" s="3"/>
      <c r="P1116" s="3"/>
      <c r="Q1116" s="3"/>
      <c r="R1116" s="3"/>
      <c r="S1116" s="3"/>
      <c r="T1116" s="3"/>
      <c r="U1116" s="3"/>
      <c r="V1116" s="3"/>
      <c r="W1116" s="3"/>
      <c r="X1116" s="3"/>
    </row>
    <row r="1117">
      <c r="A1117" s="3"/>
      <c r="B1117" s="3"/>
      <c r="C1117" s="3"/>
      <c r="D1117" s="3"/>
      <c r="E1117" s="3"/>
      <c r="F1117" s="3"/>
      <c r="G1117" s="3"/>
      <c r="H1117" s="3"/>
      <c r="I1117" s="3"/>
      <c r="J1117" s="3"/>
      <c r="K1117" s="3"/>
      <c r="L1117" s="3"/>
      <c r="M1117" s="3"/>
      <c r="N1117" s="3"/>
      <c r="O1117" s="3"/>
      <c r="P1117" s="3"/>
      <c r="Q1117" s="3"/>
      <c r="R1117" s="3"/>
      <c r="S1117" s="3"/>
      <c r="T1117" s="3"/>
      <c r="U1117" s="3"/>
      <c r="V1117" s="3"/>
      <c r="W1117" s="3"/>
      <c r="X1117" s="3"/>
    </row>
    <row r="1118">
      <c r="A1118" s="3"/>
      <c r="B1118" s="3"/>
      <c r="C1118" s="3"/>
      <c r="D1118" s="3"/>
      <c r="E1118" s="3"/>
      <c r="F1118" s="3"/>
      <c r="G1118" s="3"/>
      <c r="H1118" s="3"/>
      <c r="I1118" s="3"/>
      <c r="J1118" s="3"/>
      <c r="K1118" s="3"/>
      <c r="L1118" s="3"/>
      <c r="M1118" s="3"/>
      <c r="N1118" s="3"/>
      <c r="O1118" s="3"/>
      <c r="P1118" s="3"/>
      <c r="Q1118" s="3"/>
      <c r="R1118" s="3"/>
      <c r="S1118" s="3"/>
      <c r="T1118" s="3"/>
      <c r="U1118" s="3"/>
      <c r="V1118" s="3"/>
      <c r="W1118" s="3"/>
      <c r="X1118" s="3"/>
    </row>
    <row r="1119">
      <c r="A1119" s="3"/>
      <c r="B1119" s="3"/>
      <c r="C1119" s="3"/>
      <c r="D1119" s="3"/>
      <c r="E1119" s="3"/>
      <c r="F1119" s="3"/>
      <c r="G1119" s="3"/>
      <c r="H1119" s="3"/>
      <c r="I1119" s="3"/>
      <c r="J1119" s="3"/>
      <c r="K1119" s="3"/>
      <c r="L1119" s="3"/>
      <c r="M1119" s="3"/>
      <c r="N1119" s="3"/>
      <c r="O1119" s="3"/>
      <c r="P1119" s="3"/>
      <c r="Q1119" s="3"/>
      <c r="R1119" s="3"/>
      <c r="S1119" s="3"/>
      <c r="T1119" s="3"/>
      <c r="U1119" s="3"/>
      <c r="V1119" s="3"/>
      <c r="W1119" s="3"/>
      <c r="X1119" s="3"/>
    </row>
    <row r="1120">
      <c r="A1120" s="3"/>
      <c r="B1120" s="3"/>
      <c r="C1120" s="3"/>
      <c r="D1120" s="3"/>
      <c r="E1120" s="3"/>
      <c r="F1120" s="3"/>
      <c r="G1120" s="3"/>
      <c r="H1120" s="3"/>
      <c r="I1120" s="3"/>
      <c r="J1120" s="3"/>
      <c r="K1120" s="3"/>
      <c r="L1120" s="3"/>
      <c r="M1120" s="3"/>
      <c r="N1120" s="3"/>
      <c r="O1120" s="3"/>
      <c r="P1120" s="3"/>
      <c r="Q1120" s="3"/>
      <c r="R1120" s="3"/>
      <c r="S1120" s="3"/>
      <c r="T1120" s="3"/>
      <c r="U1120" s="3"/>
      <c r="V1120" s="3"/>
      <c r="W1120" s="3"/>
      <c r="X1120" s="3"/>
    </row>
    <row r="1121">
      <c r="A1121" s="3"/>
      <c r="B1121" s="3"/>
      <c r="C1121" s="3"/>
      <c r="D1121" s="3"/>
      <c r="E1121" s="3"/>
      <c r="F1121" s="3"/>
      <c r="G1121" s="3"/>
      <c r="H1121" s="3"/>
      <c r="I1121" s="3"/>
      <c r="J1121" s="3"/>
      <c r="K1121" s="3"/>
      <c r="L1121" s="3"/>
      <c r="M1121" s="3"/>
      <c r="N1121" s="3"/>
      <c r="O1121" s="3"/>
      <c r="P1121" s="3"/>
      <c r="Q1121" s="3"/>
      <c r="R1121" s="3"/>
      <c r="S1121" s="3"/>
      <c r="T1121" s="3"/>
      <c r="U1121" s="3"/>
      <c r="V1121" s="3"/>
      <c r="W1121" s="3"/>
      <c r="X1121" s="3"/>
    </row>
    <row r="1122">
      <c r="A1122" s="3"/>
      <c r="B1122" s="3"/>
      <c r="C1122" s="3"/>
      <c r="D1122" s="3"/>
      <c r="E1122" s="3"/>
      <c r="F1122" s="3"/>
      <c r="G1122" s="3"/>
      <c r="H1122" s="3"/>
      <c r="I1122" s="3"/>
      <c r="J1122" s="3"/>
      <c r="K1122" s="3"/>
      <c r="L1122" s="3"/>
      <c r="M1122" s="3"/>
      <c r="N1122" s="3"/>
      <c r="O1122" s="3"/>
      <c r="P1122" s="3"/>
      <c r="Q1122" s="3"/>
      <c r="R1122" s="3"/>
      <c r="S1122" s="3"/>
      <c r="T1122" s="3"/>
      <c r="U1122" s="3"/>
      <c r="V1122" s="3"/>
      <c r="W1122" s="3"/>
      <c r="X1122" s="3"/>
    </row>
    <row r="1123">
      <c r="A1123" s="3"/>
      <c r="B1123" s="3"/>
      <c r="C1123" s="3"/>
      <c r="D1123" s="3"/>
      <c r="E1123" s="3"/>
      <c r="F1123" s="3"/>
      <c r="G1123" s="3"/>
      <c r="H1123" s="3"/>
      <c r="I1123" s="3"/>
      <c r="J1123" s="3"/>
      <c r="K1123" s="3"/>
      <c r="L1123" s="3"/>
      <c r="M1123" s="3"/>
      <c r="N1123" s="3"/>
      <c r="O1123" s="3"/>
      <c r="P1123" s="3"/>
      <c r="Q1123" s="3"/>
      <c r="R1123" s="3"/>
      <c r="S1123" s="3"/>
      <c r="T1123" s="3"/>
      <c r="U1123" s="3"/>
      <c r="V1123" s="3"/>
      <c r="W1123" s="3"/>
      <c r="X1123" s="3"/>
    </row>
    <row r="1124">
      <c r="A1124" s="3"/>
      <c r="B1124" s="3"/>
      <c r="C1124" s="3"/>
      <c r="D1124" s="3"/>
      <c r="E1124" s="3"/>
      <c r="F1124" s="3"/>
      <c r="G1124" s="3"/>
      <c r="H1124" s="3"/>
      <c r="I1124" s="3"/>
      <c r="J1124" s="3"/>
      <c r="K1124" s="3"/>
      <c r="L1124" s="3"/>
      <c r="M1124" s="3"/>
      <c r="N1124" s="3"/>
      <c r="O1124" s="3"/>
      <c r="P1124" s="3"/>
      <c r="Q1124" s="3"/>
      <c r="R1124" s="3"/>
      <c r="S1124" s="3"/>
      <c r="T1124" s="3"/>
      <c r="U1124" s="3"/>
      <c r="V1124" s="3"/>
      <c r="W1124" s="3"/>
      <c r="X1124" s="3"/>
    </row>
    <row r="1125">
      <c r="A1125" s="3"/>
      <c r="B1125" s="3"/>
      <c r="C1125" s="3"/>
      <c r="D1125" s="3"/>
      <c r="E1125" s="3"/>
      <c r="F1125" s="3"/>
      <c r="G1125" s="3"/>
      <c r="H1125" s="3"/>
      <c r="I1125" s="3"/>
      <c r="J1125" s="3"/>
      <c r="K1125" s="3"/>
      <c r="L1125" s="3"/>
      <c r="M1125" s="3"/>
      <c r="N1125" s="3"/>
      <c r="O1125" s="3"/>
      <c r="P1125" s="3"/>
      <c r="Q1125" s="3"/>
      <c r="R1125" s="3"/>
      <c r="S1125" s="3"/>
      <c r="T1125" s="3"/>
      <c r="U1125" s="3"/>
      <c r="V1125" s="3"/>
      <c r="W1125" s="3"/>
      <c r="X1125" s="3"/>
    </row>
    <row r="1126">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row>
    <row r="1127">
      <c r="A1127" s="3"/>
      <c r="B1127" s="3"/>
      <c r="C1127" s="3"/>
      <c r="D1127" s="3"/>
      <c r="E1127" s="3"/>
      <c r="F1127" s="3"/>
      <c r="G1127" s="3"/>
      <c r="H1127" s="3"/>
      <c r="I1127" s="3"/>
      <c r="J1127" s="3"/>
      <c r="K1127" s="3"/>
      <c r="L1127" s="3"/>
      <c r="M1127" s="3"/>
      <c r="N1127" s="3"/>
      <c r="O1127" s="3"/>
      <c r="P1127" s="3"/>
      <c r="Q1127" s="3"/>
      <c r="R1127" s="3"/>
      <c r="S1127" s="3"/>
      <c r="T1127" s="3"/>
      <c r="U1127" s="3"/>
      <c r="V1127" s="3"/>
      <c r="W1127" s="3"/>
      <c r="X1127" s="3"/>
    </row>
  </sheetData>
  <mergeCells count="2">
    <mergeCell ref="S2:S3"/>
    <mergeCell ref="T2:T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8.0" topLeftCell="I1" activePane="topRight" state="frozen"/>
      <selection activeCell="J2" sqref="J2" pane="topRight"/>
    </sheetView>
  </sheetViews>
  <sheetFormatPr customHeight="1" defaultColWidth="12.63" defaultRowHeight="15.75" outlineLevelRow="1"/>
  <cols>
    <col customWidth="1" min="1" max="1" width="28.0"/>
    <col customWidth="1" min="3" max="3" width="40.25"/>
    <col customWidth="1" min="4" max="4" width="24.38"/>
    <col customWidth="1" min="5" max="5" width="14.5"/>
    <col customWidth="1" min="6" max="6" width="24.63"/>
    <col customWidth="1" min="9" max="9" width="14.25"/>
    <col customWidth="1" min="16" max="16" width="15.88"/>
    <col customWidth="1" min="20" max="20" width="12.75"/>
    <col customWidth="1" min="22" max="22" width="12.5"/>
    <col customWidth="1" min="24" max="24" width="77.75"/>
    <col customWidth="1" min="26" max="26" width="36.5"/>
    <col customWidth="1" min="27" max="27" width="29.75"/>
    <col customWidth="1" min="28" max="28" width="9.25"/>
    <col customWidth="1" min="29" max="29" width="13.75"/>
    <col customWidth="1" min="31" max="31" width="13.88"/>
    <col customWidth="1" min="32" max="32" width="10.0"/>
    <col customWidth="1" min="38" max="38" width="18.5"/>
    <col customWidth="1" min="46" max="46" width="20.38"/>
    <col customWidth="1" min="50" max="50" width="18.88"/>
  </cols>
  <sheetData>
    <row r="1">
      <c r="A1" s="348" t="s">
        <v>974</v>
      </c>
      <c r="B1" s="349" t="s">
        <v>975</v>
      </c>
      <c r="C1" s="280" t="s">
        <v>976</v>
      </c>
      <c r="D1" s="350" t="str">
        <f>CONCATENATE(TEXT(NOW(),"M-DD HH:MM")," ",C1)</f>
        <v>2-25 15:04 RT</v>
      </c>
    </row>
    <row r="2">
      <c r="B2" s="351" t="s">
        <v>977</v>
      </c>
    </row>
    <row r="3">
      <c r="A3" s="352"/>
      <c r="B3" s="53"/>
      <c r="C3" s="44"/>
      <c r="D3" s="44"/>
      <c r="I3" s="2"/>
      <c r="K3" s="2"/>
    </row>
    <row r="4" collapsed="1">
      <c r="A4" s="352" t="s">
        <v>978</v>
      </c>
      <c r="B4" s="353"/>
      <c r="C4" s="354" t="str">
        <f>IF(AND(A16:CS18,A26:CS27,A34:CS35,A44:CS46,G49:H73),"ALL MATCH","ERROR!! MISMATCH SOMEWHERE")</f>
        <v>#REF!</v>
      </c>
      <c r="D4" s="355"/>
      <c r="E4" s="355"/>
      <c r="F4" s="355"/>
      <c r="G4" s="355"/>
      <c r="H4" s="355"/>
      <c r="I4" s="356"/>
      <c r="J4" s="357"/>
      <c r="K4" s="356"/>
    </row>
    <row r="5" hidden="1" outlineLevel="1">
      <c r="A5" s="352"/>
      <c r="B5" s="53"/>
      <c r="C5" s="44"/>
      <c r="D5" s="44"/>
      <c r="I5" s="2"/>
      <c r="K5" s="2"/>
    </row>
    <row r="6" hidden="1" outlineLevel="1">
      <c r="A6" s="352"/>
      <c r="B6" s="53"/>
      <c r="C6" s="44"/>
      <c r="D6" s="44"/>
      <c r="I6" s="2"/>
      <c r="K6" s="2"/>
    </row>
    <row r="7" hidden="1" outlineLevel="1">
      <c r="A7" s="352"/>
      <c r="B7" s="53"/>
      <c r="C7" s="44"/>
      <c r="D7" s="44"/>
      <c r="E7" s="358"/>
      <c r="I7" s="2"/>
      <c r="K7" s="2"/>
    </row>
    <row r="8">
      <c r="A8" s="352"/>
      <c r="B8" s="53"/>
      <c r="C8" s="44"/>
      <c r="D8" s="44"/>
      <c r="I8" s="2"/>
      <c r="K8" s="2"/>
    </row>
    <row r="9" collapsed="1">
      <c r="A9" s="359" t="s">
        <v>979</v>
      </c>
      <c r="B9" s="53" t="str">
        <f>IFNA(IF(MATCH("END",A10:CS10,0)&gt;MATCH("END",A13:CS13,0),MATCH("END",A10:CS10,0),MATCH("END",A13:CS13,0)),"END Missing")</f>
        <v>END Missing</v>
      </c>
      <c r="C9" s="44" t="str">
        <f t="array" ref="C9">IF(AND(INDIRECT(CONCATENATE("$A$",ROW(C9)+7,":",ADDRESS(ROW(C9)+7,B9)))),"Headers Match","ERROR!! Headers Mismatch")</f>
        <v>#VALUE!</v>
      </c>
      <c r="D9" s="44" t="str">
        <f t="array" ref="D9">IF(AND(INDIRECT(CONCATENATE("$A$",ROW(C9)+8,":",ADDRESS(ROW(C9)+8,B9)))),"Header Formulas Match","ERROR!! Header Formulas Mismatch")</f>
        <v>#VALUE!</v>
      </c>
      <c r="E9" s="44" t="str">
        <f t="array" ref="E9">IF(AND(INDIRECT(CONCATENATE("$A$",ROW(E9)+9,":",ADDRESS(ROW(E9)+9,B9)))),"Formulas Match","ERROR!! Formulas Mismatch")</f>
        <v>#VALUE!</v>
      </c>
      <c r="F9" s="353"/>
      <c r="I9" s="2" t="s">
        <v>980</v>
      </c>
      <c r="J9" s="11" t="str">
        <f>ADDRESS(9,B9)</f>
        <v>#VALUE!</v>
      </c>
      <c r="K9" s="2" t="s">
        <v>981</v>
      </c>
      <c r="L9" s="11" t="str">
        <f>CONCATENATE("$A$",ROW(L9)+6,":",ADDRESS(ROW(L9)+6,B9-2))</f>
        <v>#VALUE!</v>
      </c>
    </row>
    <row r="10" hidden="1" outlineLevel="1">
      <c r="A10" s="58" t="str">
        <f t="shared" ref="A10:BS10" si="1">INDIRECT(CONCATENATE($A9,"!",ADDRESS(1,COLUMN(A10))))</f>
        <v>#REF!</v>
      </c>
      <c r="B10" s="58" t="str">
        <f t="shared" si="1"/>
        <v>#REF!</v>
      </c>
      <c r="C10" s="58" t="str">
        <f t="shared" si="1"/>
        <v>#REF!</v>
      </c>
      <c r="D10" s="58" t="str">
        <f t="shared" si="1"/>
        <v>#REF!</v>
      </c>
      <c r="E10" s="58" t="str">
        <f t="shared" si="1"/>
        <v>#REF!</v>
      </c>
      <c r="F10" s="58" t="str">
        <f t="shared" si="1"/>
        <v>#REF!</v>
      </c>
      <c r="G10" s="58" t="str">
        <f t="shared" si="1"/>
        <v>#REF!</v>
      </c>
      <c r="H10" s="58" t="str">
        <f t="shared" si="1"/>
        <v>#REF!</v>
      </c>
      <c r="I10" s="58" t="str">
        <f t="shared" si="1"/>
        <v>#REF!</v>
      </c>
      <c r="J10" s="58" t="str">
        <f t="shared" si="1"/>
        <v>#REF!</v>
      </c>
      <c r="K10" s="63" t="str">
        <f t="shared" si="1"/>
        <v>#REF!</v>
      </c>
      <c r="L10" s="58" t="str">
        <f t="shared" si="1"/>
        <v>#REF!</v>
      </c>
      <c r="M10" s="58" t="str">
        <f t="shared" si="1"/>
        <v>#REF!</v>
      </c>
      <c r="N10" s="63" t="str">
        <f t="shared" si="1"/>
        <v>#REF!</v>
      </c>
      <c r="O10" s="58" t="str">
        <f t="shared" si="1"/>
        <v>#REF!</v>
      </c>
      <c r="P10" s="51" t="str">
        <f t="shared" si="1"/>
        <v>#REF!</v>
      </c>
      <c r="Q10" s="51" t="str">
        <f t="shared" si="1"/>
        <v>#REF!</v>
      </c>
      <c r="R10" s="360" t="str">
        <f t="shared" si="1"/>
        <v>#REF!</v>
      </c>
      <c r="S10" s="51" t="str">
        <f t="shared" si="1"/>
        <v>#REF!</v>
      </c>
      <c r="T10" s="62" t="str">
        <f t="shared" si="1"/>
        <v>#REF!</v>
      </c>
      <c r="U10" s="63" t="str">
        <f t="shared" si="1"/>
        <v>#REF!</v>
      </c>
      <c r="V10" s="63" t="str">
        <f t="shared" si="1"/>
        <v>#REF!</v>
      </c>
      <c r="W10" s="58" t="str">
        <f t="shared" si="1"/>
        <v>#REF!</v>
      </c>
      <c r="X10" s="50" t="str">
        <f t="shared" si="1"/>
        <v>#REF!</v>
      </c>
      <c r="Y10" s="361" t="str">
        <f t="shared" si="1"/>
        <v>#REF!</v>
      </c>
      <c r="Z10" s="51" t="str">
        <f t="shared" si="1"/>
        <v>#REF!</v>
      </c>
      <c r="AA10" s="50" t="str">
        <f t="shared" si="1"/>
        <v>#REF!</v>
      </c>
      <c r="AB10" s="63" t="str">
        <f t="shared" si="1"/>
        <v>#REF!</v>
      </c>
      <c r="AC10" s="305" t="str">
        <f t="shared" si="1"/>
        <v>#REF!</v>
      </c>
      <c r="AD10" s="63" t="str">
        <f t="shared" si="1"/>
        <v>#REF!</v>
      </c>
      <c r="AE10" s="51" t="str">
        <f t="shared" si="1"/>
        <v>#REF!</v>
      </c>
      <c r="AF10" s="362" t="str">
        <f t="shared" si="1"/>
        <v>#REF!</v>
      </c>
      <c r="AG10" s="51" t="str">
        <f t="shared" si="1"/>
        <v>#REF!</v>
      </c>
      <c r="AH10" s="63" t="str">
        <f t="shared" si="1"/>
        <v>#REF!</v>
      </c>
      <c r="AI10" s="63" t="str">
        <f t="shared" si="1"/>
        <v>#REF!</v>
      </c>
      <c r="AJ10" s="63" t="str">
        <f t="shared" si="1"/>
        <v>#REF!</v>
      </c>
      <c r="AK10" s="51" t="str">
        <f t="shared" si="1"/>
        <v>#REF!</v>
      </c>
      <c r="AL10" s="63" t="str">
        <f t="shared" si="1"/>
        <v>#REF!</v>
      </c>
      <c r="AM10" s="51" t="str">
        <f t="shared" si="1"/>
        <v>#REF!</v>
      </c>
      <c r="AN10" s="51" t="str">
        <f t="shared" si="1"/>
        <v>#REF!</v>
      </c>
      <c r="AO10" s="51" t="str">
        <f t="shared" si="1"/>
        <v>#REF!</v>
      </c>
      <c r="AP10" s="51" t="str">
        <f t="shared" si="1"/>
        <v>#REF!</v>
      </c>
      <c r="AQ10" s="51" t="str">
        <f t="shared" si="1"/>
        <v>#REF!</v>
      </c>
      <c r="AR10" s="51" t="str">
        <f t="shared" si="1"/>
        <v>#REF!</v>
      </c>
      <c r="AS10" s="305" t="str">
        <f t="shared" si="1"/>
        <v>#REF!</v>
      </c>
      <c r="AT10" s="259" t="str">
        <f t="shared" si="1"/>
        <v>#REF!</v>
      </c>
      <c r="AU10" s="51" t="str">
        <f t="shared" si="1"/>
        <v>#REF!</v>
      </c>
      <c r="AV10" s="51" t="str">
        <f t="shared" si="1"/>
        <v>#REF!</v>
      </c>
      <c r="AW10" s="51" t="str">
        <f t="shared" si="1"/>
        <v>#REF!</v>
      </c>
      <c r="AX10" s="360" t="str">
        <f t="shared" si="1"/>
        <v>#REF!</v>
      </c>
      <c r="AY10" s="75" t="str">
        <f t="shared" si="1"/>
        <v>#REF!</v>
      </c>
      <c r="AZ10" s="247" t="str">
        <f t="shared" si="1"/>
        <v>#REF!</v>
      </c>
      <c r="BA10" s="363" t="str">
        <f t="shared" si="1"/>
        <v>#REF!</v>
      </c>
      <c r="BB10" s="63" t="str">
        <f t="shared" si="1"/>
        <v>#REF!</v>
      </c>
      <c r="BC10" s="85" t="str">
        <f t="shared" si="1"/>
        <v>#REF!</v>
      </c>
      <c r="BD10" s="63" t="str">
        <f t="shared" si="1"/>
        <v>#REF!</v>
      </c>
      <c r="BE10" s="63" t="str">
        <f t="shared" si="1"/>
        <v>#REF!</v>
      </c>
      <c r="BF10" s="63" t="str">
        <f t="shared" si="1"/>
        <v>#REF!</v>
      </c>
      <c r="BG10" s="63" t="str">
        <f t="shared" si="1"/>
        <v>#REF!</v>
      </c>
      <c r="BH10" s="63" t="str">
        <f t="shared" si="1"/>
        <v>#REF!</v>
      </c>
      <c r="BI10" s="63" t="str">
        <f t="shared" si="1"/>
        <v>#REF!</v>
      </c>
      <c r="BJ10" s="63" t="str">
        <f t="shared" si="1"/>
        <v>#REF!</v>
      </c>
      <c r="BK10" s="63" t="str">
        <f t="shared" si="1"/>
        <v>#REF!</v>
      </c>
      <c r="BL10" s="63" t="str">
        <f t="shared" si="1"/>
        <v>#REF!</v>
      </c>
      <c r="BM10" s="63" t="str">
        <f t="shared" si="1"/>
        <v>#REF!</v>
      </c>
      <c r="BN10" s="63" t="str">
        <f t="shared" si="1"/>
        <v>#REF!</v>
      </c>
      <c r="BO10" s="63" t="str">
        <f t="shared" si="1"/>
        <v>#REF!</v>
      </c>
      <c r="BP10" s="63" t="str">
        <f t="shared" si="1"/>
        <v>#REF!</v>
      </c>
      <c r="BQ10" s="63" t="str">
        <f t="shared" si="1"/>
        <v>#REF!</v>
      </c>
      <c r="BR10" s="63" t="str">
        <f t="shared" si="1"/>
        <v>#REF!</v>
      </c>
      <c r="BS10" s="63" t="str">
        <f t="shared" si="1"/>
        <v>#REF!</v>
      </c>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row>
    <row r="11" hidden="1" outlineLevel="1">
      <c r="A11" s="364" t="str">
        <f t="shared" ref="A11:AZ11" si="2">IF(_xlfn.ISFORMULA(INDIRECT(CONCATENATE($A9,"!",ADDRESS(1,COLUMN(A12))))),FORMULATEXT(INDIRECT(CONCATENATE($A9,"!",ADDRESS(1,COLUMN(A12))))),IFERROR(0/0,""))</f>
        <v>#REF!</v>
      </c>
      <c r="B11" s="364" t="str">
        <f t="shared" si="2"/>
        <v>#REF!</v>
      </c>
      <c r="C11" s="364" t="str">
        <f t="shared" si="2"/>
        <v>#REF!</v>
      </c>
      <c r="D11" s="364" t="str">
        <f t="shared" si="2"/>
        <v>#REF!</v>
      </c>
      <c r="E11" s="364" t="str">
        <f t="shared" si="2"/>
        <v>#REF!</v>
      </c>
      <c r="F11" s="364" t="str">
        <f t="shared" si="2"/>
        <v>#REF!</v>
      </c>
      <c r="G11" s="364" t="str">
        <f t="shared" si="2"/>
        <v>#REF!</v>
      </c>
      <c r="H11" s="364" t="str">
        <f t="shared" si="2"/>
        <v>#REF!</v>
      </c>
      <c r="I11" s="364" t="str">
        <f t="shared" si="2"/>
        <v>#REF!</v>
      </c>
      <c r="J11" s="364" t="str">
        <f t="shared" si="2"/>
        <v>#REF!</v>
      </c>
      <c r="K11" s="364" t="str">
        <f t="shared" si="2"/>
        <v>#REF!</v>
      </c>
      <c r="L11" s="364" t="str">
        <f t="shared" si="2"/>
        <v>#REF!</v>
      </c>
      <c r="M11" s="364" t="str">
        <f t="shared" si="2"/>
        <v>#REF!</v>
      </c>
      <c r="N11" s="364" t="str">
        <f t="shared" si="2"/>
        <v>#REF!</v>
      </c>
      <c r="O11" s="364" t="str">
        <f t="shared" si="2"/>
        <v>#REF!</v>
      </c>
      <c r="P11" s="364" t="str">
        <f t="shared" si="2"/>
        <v>#REF!</v>
      </c>
      <c r="Q11" s="364" t="str">
        <f t="shared" si="2"/>
        <v>#REF!</v>
      </c>
      <c r="R11" s="364" t="str">
        <f t="shared" si="2"/>
        <v>#REF!</v>
      </c>
      <c r="S11" s="364" t="str">
        <f t="shared" si="2"/>
        <v>#REF!</v>
      </c>
      <c r="T11" s="364" t="str">
        <f t="shared" si="2"/>
        <v>#REF!</v>
      </c>
      <c r="U11" s="364" t="str">
        <f t="shared" si="2"/>
        <v>#REF!</v>
      </c>
      <c r="V11" s="364" t="str">
        <f t="shared" si="2"/>
        <v>#REF!</v>
      </c>
      <c r="W11" s="364" t="str">
        <f t="shared" si="2"/>
        <v>#REF!</v>
      </c>
      <c r="X11" s="364" t="str">
        <f t="shared" si="2"/>
        <v>#REF!</v>
      </c>
      <c r="Y11" s="364" t="str">
        <f t="shared" si="2"/>
        <v>#REF!</v>
      </c>
      <c r="Z11" s="364" t="str">
        <f t="shared" si="2"/>
        <v>#REF!</v>
      </c>
      <c r="AA11" s="364" t="str">
        <f t="shared" si="2"/>
        <v>#REF!</v>
      </c>
      <c r="AB11" s="364" t="str">
        <f t="shared" si="2"/>
        <v>#REF!</v>
      </c>
      <c r="AC11" s="364" t="str">
        <f t="shared" si="2"/>
        <v>#REF!</v>
      </c>
      <c r="AD11" s="364" t="str">
        <f t="shared" si="2"/>
        <v>#REF!</v>
      </c>
      <c r="AE11" s="364" t="str">
        <f t="shared" si="2"/>
        <v>#REF!</v>
      </c>
      <c r="AF11" s="364" t="str">
        <f t="shared" si="2"/>
        <v>#REF!</v>
      </c>
      <c r="AG11" s="364" t="str">
        <f t="shared" si="2"/>
        <v>#REF!</v>
      </c>
      <c r="AH11" s="364" t="str">
        <f t="shared" si="2"/>
        <v>#REF!</v>
      </c>
      <c r="AI11" s="364" t="str">
        <f t="shared" si="2"/>
        <v>#REF!</v>
      </c>
      <c r="AJ11" s="364" t="str">
        <f t="shared" si="2"/>
        <v>#REF!</v>
      </c>
      <c r="AK11" s="364" t="str">
        <f t="shared" si="2"/>
        <v>#REF!</v>
      </c>
      <c r="AL11" s="364" t="str">
        <f t="shared" si="2"/>
        <v>#REF!</v>
      </c>
      <c r="AM11" s="364" t="str">
        <f t="shared" si="2"/>
        <v>#REF!</v>
      </c>
      <c r="AN11" s="364" t="str">
        <f t="shared" si="2"/>
        <v>#REF!</v>
      </c>
      <c r="AO11" s="364" t="str">
        <f t="shared" si="2"/>
        <v>#REF!</v>
      </c>
      <c r="AP11" s="364" t="str">
        <f t="shared" si="2"/>
        <v>#REF!</v>
      </c>
      <c r="AQ11" s="364" t="str">
        <f t="shared" si="2"/>
        <v>#REF!</v>
      </c>
      <c r="AR11" s="364" t="str">
        <f t="shared" si="2"/>
        <v>#REF!</v>
      </c>
      <c r="AS11" s="364" t="str">
        <f t="shared" si="2"/>
        <v>#REF!</v>
      </c>
      <c r="AT11" s="364" t="str">
        <f t="shared" si="2"/>
        <v>#REF!</v>
      </c>
      <c r="AU11" s="364" t="str">
        <f t="shared" si="2"/>
        <v>#REF!</v>
      </c>
      <c r="AV11" s="364" t="str">
        <f t="shared" si="2"/>
        <v>#REF!</v>
      </c>
      <c r="AW11" s="364" t="str">
        <f t="shared" si="2"/>
        <v>#REF!</v>
      </c>
      <c r="AX11" s="364" t="str">
        <f t="shared" si="2"/>
        <v>#REF!</v>
      </c>
      <c r="AY11" s="364" t="str">
        <f t="shared" si="2"/>
        <v>#REF!</v>
      </c>
      <c r="AZ11" s="364" t="str">
        <f t="shared" si="2"/>
        <v>#REF!</v>
      </c>
      <c r="BA11" s="365"/>
      <c r="BB11" s="365"/>
      <c r="BC11" s="365"/>
      <c r="BD11" s="365"/>
      <c r="BE11" s="365"/>
      <c r="BF11" s="365"/>
      <c r="BG11" s="365"/>
      <c r="BH11" s="365"/>
      <c r="BI11" s="365"/>
      <c r="BJ11" s="365"/>
      <c r="BK11" s="365"/>
      <c r="BL11" s="365"/>
      <c r="BM11" s="365"/>
      <c r="BN11" s="365"/>
      <c r="BO11" s="365"/>
      <c r="BP11" s="365"/>
      <c r="BQ11" s="365"/>
      <c r="BR11" s="365"/>
      <c r="BS11" s="365"/>
      <c r="BT11" s="365"/>
      <c r="BU11" s="365"/>
      <c r="BV11" s="365"/>
      <c r="BW11" s="365"/>
      <c r="BX11" s="365"/>
      <c r="BY11" s="365"/>
      <c r="BZ11" s="365"/>
      <c r="CA11" s="365"/>
      <c r="CB11" s="365"/>
      <c r="CC11" s="365"/>
      <c r="CD11" s="365"/>
      <c r="CE11" s="365"/>
      <c r="CF11" s="365"/>
      <c r="CG11" s="365"/>
      <c r="CH11" s="365"/>
      <c r="CI11" s="365"/>
      <c r="CJ11" s="365"/>
      <c r="CK11" s="365"/>
      <c r="CL11" s="365"/>
      <c r="CM11" s="365"/>
      <c r="CN11" s="365"/>
      <c r="CO11" s="365"/>
      <c r="CP11" s="365"/>
      <c r="CQ11" s="365"/>
      <c r="CR11" s="365"/>
      <c r="CS11" s="365"/>
    </row>
    <row r="12" hidden="1" outlineLevel="1">
      <c r="A12" s="365" t="str">
        <f t="shared" ref="A12:AZ12" si="3">IF(_xlfn.ISFORMULA(INDIRECT(CONCATENATE($A9,"!",ADDRESS(2,COLUMN(A12))))),FORMULATEXT(INDIRECT(CONCATENATE($A9,"!",ADDRESS(2,COLUMN(A12))))),IFERROR(0/0,""))</f>
        <v>#REF!</v>
      </c>
      <c r="B12" s="365" t="str">
        <f t="shared" si="3"/>
        <v>#REF!</v>
      </c>
      <c r="C12" s="365" t="str">
        <f t="shared" si="3"/>
        <v>#REF!</v>
      </c>
      <c r="D12" s="365" t="str">
        <f t="shared" si="3"/>
        <v>#REF!</v>
      </c>
      <c r="E12" s="365" t="str">
        <f t="shared" si="3"/>
        <v>#REF!</v>
      </c>
      <c r="F12" s="365" t="str">
        <f t="shared" si="3"/>
        <v>#REF!</v>
      </c>
      <c r="G12" s="365" t="str">
        <f t="shared" si="3"/>
        <v>#REF!</v>
      </c>
      <c r="H12" s="365" t="str">
        <f t="shared" si="3"/>
        <v>#REF!</v>
      </c>
      <c r="I12" s="365" t="str">
        <f t="shared" si="3"/>
        <v>#REF!</v>
      </c>
      <c r="J12" s="365" t="str">
        <f t="shared" si="3"/>
        <v>#REF!</v>
      </c>
      <c r="K12" s="365" t="str">
        <f t="shared" si="3"/>
        <v>#REF!</v>
      </c>
      <c r="L12" s="365" t="str">
        <f t="shared" si="3"/>
        <v>#REF!</v>
      </c>
      <c r="M12" s="365" t="str">
        <f t="shared" si="3"/>
        <v>#REF!</v>
      </c>
      <c r="N12" s="365" t="str">
        <f t="shared" si="3"/>
        <v>#REF!</v>
      </c>
      <c r="O12" s="365" t="str">
        <f t="shared" si="3"/>
        <v>#REF!</v>
      </c>
      <c r="P12" s="365" t="str">
        <f t="shared" si="3"/>
        <v>#REF!</v>
      </c>
      <c r="Q12" s="365" t="str">
        <f t="shared" si="3"/>
        <v>#REF!</v>
      </c>
      <c r="R12" s="365" t="str">
        <f t="shared" si="3"/>
        <v>#REF!</v>
      </c>
      <c r="S12" s="365" t="str">
        <f t="shared" si="3"/>
        <v>#REF!</v>
      </c>
      <c r="T12" s="365" t="str">
        <f t="shared" si="3"/>
        <v>#REF!</v>
      </c>
      <c r="U12" s="365" t="str">
        <f t="shared" si="3"/>
        <v>#REF!</v>
      </c>
      <c r="V12" s="365" t="str">
        <f t="shared" si="3"/>
        <v>#REF!</v>
      </c>
      <c r="W12" s="365" t="str">
        <f t="shared" si="3"/>
        <v>#REF!</v>
      </c>
      <c r="X12" s="365" t="str">
        <f t="shared" si="3"/>
        <v>#REF!</v>
      </c>
      <c r="Y12" s="365" t="str">
        <f t="shared" si="3"/>
        <v>#REF!</v>
      </c>
      <c r="Z12" s="365" t="str">
        <f t="shared" si="3"/>
        <v>#REF!</v>
      </c>
      <c r="AA12" s="365" t="str">
        <f t="shared" si="3"/>
        <v>#REF!</v>
      </c>
      <c r="AB12" s="365" t="str">
        <f t="shared" si="3"/>
        <v>#REF!</v>
      </c>
      <c r="AC12" s="366" t="str">
        <f t="shared" si="3"/>
        <v>#REF!</v>
      </c>
      <c r="AD12" s="366" t="str">
        <f t="shared" si="3"/>
        <v>#REF!</v>
      </c>
      <c r="AE12" s="365" t="str">
        <f t="shared" si="3"/>
        <v>#REF!</v>
      </c>
      <c r="AF12" s="365" t="str">
        <f t="shared" si="3"/>
        <v>#REF!</v>
      </c>
      <c r="AG12" s="365" t="str">
        <f t="shared" si="3"/>
        <v>#REF!</v>
      </c>
      <c r="AH12" s="365" t="str">
        <f t="shared" si="3"/>
        <v>#REF!</v>
      </c>
      <c r="AI12" s="365" t="str">
        <f t="shared" si="3"/>
        <v>#REF!</v>
      </c>
      <c r="AJ12" s="365" t="str">
        <f t="shared" si="3"/>
        <v>#REF!</v>
      </c>
      <c r="AK12" s="365" t="str">
        <f t="shared" si="3"/>
        <v>#REF!</v>
      </c>
      <c r="AL12" s="365" t="str">
        <f t="shared" si="3"/>
        <v>#REF!</v>
      </c>
      <c r="AM12" s="365" t="str">
        <f t="shared" si="3"/>
        <v>#REF!</v>
      </c>
      <c r="AN12" s="365" t="str">
        <f t="shared" si="3"/>
        <v>#REF!</v>
      </c>
      <c r="AO12" s="365" t="str">
        <f t="shared" si="3"/>
        <v>#REF!</v>
      </c>
      <c r="AP12" s="365" t="str">
        <f t="shared" si="3"/>
        <v>#REF!</v>
      </c>
      <c r="AQ12" s="365" t="str">
        <f t="shared" si="3"/>
        <v>#REF!</v>
      </c>
      <c r="AR12" s="365" t="str">
        <f t="shared" si="3"/>
        <v>#REF!</v>
      </c>
      <c r="AS12" s="365" t="str">
        <f t="shared" si="3"/>
        <v>#REF!</v>
      </c>
      <c r="AT12" s="365" t="str">
        <f t="shared" si="3"/>
        <v>#REF!</v>
      </c>
      <c r="AU12" s="365" t="str">
        <f t="shared" si="3"/>
        <v>#REF!</v>
      </c>
      <c r="AV12" s="365" t="str">
        <f t="shared" si="3"/>
        <v>#REF!</v>
      </c>
      <c r="AW12" s="365" t="str">
        <f t="shared" si="3"/>
        <v>#REF!</v>
      </c>
      <c r="AX12" s="365" t="str">
        <f t="shared" si="3"/>
        <v>#REF!</v>
      </c>
      <c r="AY12" s="365" t="str">
        <f t="shared" si="3"/>
        <v>#REF!</v>
      </c>
      <c r="AZ12" s="365" t="str">
        <f t="shared" si="3"/>
        <v>#REF!</v>
      </c>
      <c r="BA12" s="365"/>
      <c r="BB12" s="365"/>
      <c r="BC12" s="365"/>
      <c r="BD12" s="365"/>
      <c r="BE12" s="365"/>
      <c r="BF12" s="365"/>
      <c r="BG12" s="365"/>
      <c r="BH12" s="365"/>
      <c r="BI12" s="365"/>
      <c r="BJ12" s="365"/>
      <c r="BK12" s="365"/>
      <c r="BL12" s="365"/>
      <c r="BM12" s="365"/>
      <c r="BN12" s="365"/>
      <c r="BO12" s="365"/>
      <c r="BP12" s="365"/>
      <c r="BQ12" s="365"/>
      <c r="BR12" s="365"/>
      <c r="BS12" s="365"/>
      <c r="BT12" s="365"/>
      <c r="BU12" s="365"/>
      <c r="BV12" s="365"/>
      <c r="BW12" s="365"/>
      <c r="BX12" s="365"/>
      <c r="BY12" s="365"/>
      <c r="BZ12" s="365"/>
      <c r="CA12" s="365"/>
      <c r="CB12" s="365"/>
      <c r="CC12" s="365"/>
      <c r="CD12" s="365"/>
      <c r="CE12" s="365"/>
      <c r="CF12" s="365"/>
      <c r="CG12" s="365"/>
      <c r="CH12" s="365"/>
      <c r="CI12" s="365"/>
      <c r="CJ12" s="365"/>
      <c r="CK12" s="365"/>
      <c r="CL12" s="365"/>
      <c r="CM12" s="365"/>
      <c r="CN12" s="365"/>
      <c r="CO12" s="365"/>
      <c r="CP12" s="365"/>
      <c r="CQ12" s="365"/>
      <c r="CR12" s="365"/>
      <c r="CS12" s="365"/>
    </row>
    <row r="13" hidden="1" outlineLevel="1">
      <c r="A13" s="367" t="str">
        <f>IFERROR(__xludf.DUMMYFUNCTION("IMPORTRANGE($B$1,CONCATENATE($A9,""!A1:1""))"),"#REF!")</f>
        <v>#REF!</v>
      </c>
      <c r="B13" s="367"/>
      <c r="C13" s="367"/>
      <c r="D13" s="367"/>
      <c r="E13" s="367"/>
      <c r="F13" s="367"/>
      <c r="G13" s="367"/>
      <c r="H13" s="367"/>
      <c r="I13" s="367"/>
      <c r="J13" s="367"/>
      <c r="K13" s="367"/>
      <c r="L13" s="367"/>
      <c r="M13" s="367"/>
      <c r="N13" s="367"/>
      <c r="O13" s="367"/>
      <c r="P13" s="367"/>
      <c r="Q13" s="367"/>
      <c r="R13" s="367"/>
      <c r="S13" s="367"/>
      <c r="T13" s="367"/>
      <c r="U13" s="367"/>
      <c r="V13" s="367"/>
      <c r="W13" s="367"/>
      <c r="X13" s="367"/>
      <c r="Y13" s="367"/>
      <c r="Z13" s="367"/>
      <c r="AA13" s="367"/>
      <c r="AB13" s="367"/>
      <c r="AC13" s="367"/>
      <c r="AD13" s="367"/>
      <c r="AE13" s="367"/>
      <c r="AF13" s="368"/>
      <c r="AG13" s="367"/>
      <c r="AH13" s="367"/>
      <c r="AI13" s="367"/>
      <c r="AJ13" s="367"/>
      <c r="AK13" s="367"/>
      <c r="AL13" s="367"/>
      <c r="AM13" s="367"/>
      <c r="AN13" s="367"/>
      <c r="AO13" s="367"/>
      <c r="AP13" s="367"/>
      <c r="AQ13" s="367"/>
      <c r="AR13" s="367"/>
      <c r="AS13" s="367"/>
      <c r="AT13" s="367"/>
      <c r="AU13" s="367"/>
      <c r="AV13" s="367"/>
      <c r="AW13" s="367"/>
      <c r="AX13" s="367"/>
      <c r="AY13" s="369"/>
      <c r="AZ13" s="370"/>
      <c r="BA13" s="371"/>
      <c r="BB13" s="367"/>
      <c r="BC13" s="369"/>
      <c r="BD13" s="367"/>
      <c r="BE13" s="367"/>
      <c r="BF13" s="367"/>
      <c r="BG13" s="367"/>
      <c r="BH13" s="367"/>
      <c r="BI13" s="367"/>
      <c r="BJ13" s="367"/>
      <c r="BK13" s="367"/>
      <c r="BL13" s="367"/>
      <c r="BM13" s="367"/>
      <c r="BN13" s="367"/>
      <c r="BO13" s="367"/>
      <c r="BP13" s="367"/>
      <c r="BQ13" s="367"/>
      <c r="BR13" s="367"/>
      <c r="BS13" s="367"/>
      <c r="BT13" s="367"/>
      <c r="BU13" s="367"/>
      <c r="BV13" s="367"/>
      <c r="BW13" s="367"/>
      <c r="BX13" s="367"/>
      <c r="BY13" s="367"/>
      <c r="BZ13" s="367"/>
      <c r="CA13" s="367"/>
      <c r="CB13" s="367"/>
      <c r="CC13" s="367"/>
      <c r="CD13" s="367"/>
      <c r="CE13" s="367"/>
      <c r="CF13" s="367"/>
      <c r="CG13" s="367"/>
      <c r="CH13" s="367"/>
      <c r="CI13" s="367"/>
      <c r="CJ13" s="367"/>
      <c r="CK13" s="367"/>
      <c r="CL13" s="367"/>
      <c r="CM13" s="367"/>
      <c r="CN13" s="367"/>
      <c r="CO13" s="367"/>
      <c r="CP13" s="367"/>
      <c r="CQ13" s="367"/>
      <c r="CR13" s="367"/>
      <c r="CS13" s="367"/>
    </row>
    <row r="14" hidden="1" outlineLevel="1">
      <c r="A14" s="364" t="str">
        <f>IFERROR(__xludf.DUMMYFUNCTION("IMPORTRANGE($B$1,CONCATENATE(""Header Formulas"",""!A5:5""))"),"#REF!")</f>
        <v>#REF!</v>
      </c>
      <c r="B14" s="364"/>
      <c r="C14" s="364"/>
      <c r="D14" s="364"/>
      <c r="E14" s="364"/>
      <c r="F14" s="364"/>
      <c r="G14" s="364"/>
      <c r="H14" s="364"/>
      <c r="I14" s="364"/>
      <c r="J14" s="364"/>
      <c r="K14" s="364"/>
      <c r="L14" s="364"/>
      <c r="M14" s="364"/>
      <c r="N14" s="364"/>
      <c r="O14" s="372"/>
      <c r="P14" s="364"/>
      <c r="Q14" s="364"/>
      <c r="R14" s="364"/>
      <c r="S14" s="364"/>
      <c r="T14" s="364"/>
      <c r="U14" s="364"/>
      <c r="V14" s="364"/>
      <c r="W14" s="364"/>
      <c r="X14" s="364"/>
      <c r="Y14" s="364"/>
      <c r="Z14" s="364"/>
      <c r="AA14" s="364"/>
      <c r="AB14" s="364"/>
      <c r="AC14" s="364"/>
      <c r="AD14" s="364"/>
      <c r="AE14" s="364"/>
      <c r="AF14" s="364"/>
      <c r="AG14" s="364"/>
      <c r="AH14" s="364"/>
      <c r="AI14" s="364"/>
      <c r="AJ14" s="364"/>
      <c r="AK14" s="364"/>
      <c r="AL14" s="364"/>
      <c r="AM14" s="364"/>
      <c r="AN14" s="364"/>
      <c r="AO14" s="364"/>
      <c r="AP14" s="364"/>
      <c r="AQ14" s="364"/>
      <c r="AR14" s="364"/>
      <c r="AS14" s="364"/>
      <c r="AT14" s="364"/>
      <c r="AU14" s="364"/>
      <c r="AV14" s="364"/>
      <c r="AW14" s="364"/>
      <c r="AX14" s="364"/>
      <c r="AY14" s="364"/>
      <c r="AZ14" s="373"/>
      <c r="BA14" s="364"/>
      <c r="BB14" s="364"/>
      <c r="BC14" s="364"/>
      <c r="BD14" s="364"/>
      <c r="BE14" s="364"/>
      <c r="BF14" s="364"/>
      <c r="BG14" s="364"/>
      <c r="BH14" s="364"/>
      <c r="BI14" s="364"/>
      <c r="BJ14" s="364"/>
      <c r="BK14" s="364"/>
      <c r="BL14" s="364"/>
      <c r="BM14" s="364"/>
      <c r="BN14" s="364"/>
      <c r="BO14" s="364"/>
      <c r="BP14" s="364"/>
      <c r="BQ14" s="364"/>
      <c r="BR14" s="364"/>
      <c r="BS14" s="364"/>
      <c r="BT14" s="364"/>
      <c r="BU14" s="364"/>
      <c r="BV14" s="364"/>
      <c r="BW14" s="364"/>
      <c r="BX14" s="364"/>
      <c r="BY14" s="364"/>
      <c r="BZ14" s="364"/>
      <c r="CA14" s="364"/>
      <c r="CB14" s="364"/>
      <c r="CC14" s="364"/>
      <c r="CD14" s="364"/>
      <c r="CE14" s="364"/>
      <c r="CF14" s="364"/>
      <c r="CG14" s="364"/>
      <c r="CH14" s="364"/>
      <c r="CI14" s="364"/>
      <c r="CJ14" s="364"/>
      <c r="CK14" s="364"/>
      <c r="CL14" s="364"/>
      <c r="CM14" s="364"/>
      <c r="CN14" s="364"/>
      <c r="CO14" s="364"/>
      <c r="CP14" s="364"/>
      <c r="CQ14" s="364"/>
      <c r="CR14" s="364"/>
      <c r="CS14" s="364"/>
    </row>
    <row r="15" hidden="1" outlineLevel="1">
      <c r="A15" s="365"/>
      <c r="B15" s="365"/>
      <c r="C15" s="365"/>
      <c r="D15" s="365"/>
      <c r="E15" s="365"/>
      <c r="F15" s="365"/>
      <c r="G15" s="365"/>
      <c r="H15" s="365"/>
      <c r="I15" s="365"/>
      <c r="J15" s="365"/>
      <c r="K15" s="365"/>
      <c r="L15" s="365"/>
      <c r="M15" s="365"/>
      <c r="N15" s="365"/>
      <c r="O15" s="374" t="str">
        <f>IFERROR(__xludf.DUMMYFUNCTION("IMPORTRANGE($B$1,CONCATENATE($A9,""!O3:3""))"),"#REF!")</f>
        <v>#REF!</v>
      </c>
      <c r="P15" s="365"/>
      <c r="Q15" s="365"/>
      <c r="R15" s="365"/>
      <c r="S15" s="365"/>
      <c r="T15" s="365"/>
      <c r="U15" s="365"/>
      <c r="V15" s="365"/>
      <c r="W15" s="365"/>
      <c r="X15" s="365"/>
      <c r="Y15" s="365"/>
      <c r="Z15" s="365"/>
      <c r="AA15" s="365"/>
      <c r="AB15" s="365"/>
      <c r="AC15" s="365"/>
      <c r="AD15" s="365"/>
      <c r="AE15" s="365"/>
      <c r="AF15" s="365"/>
      <c r="AG15" s="365"/>
      <c r="AH15" s="365"/>
      <c r="AI15" s="365"/>
      <c r="AJ15" s="365"/>
      <c r="AK15" s="365"/>
      <c r="AL15" s="365"/>
      <c r="AM15" s="365"/>
      <c r="AN15" s="365"/>
      <c r="AO15" s="365"/>
      <c r="AP15" s="365"/>
      <c r="AQ15" s="365"/>
      <c r="AR15" s="365"/>
      <c r="AS15" s="365"/>
      <c r="AT15" s="365"/>
      <c r="AU15" s="365"/>
      <c r="AV15" s="365"/>
      <c r="AW15" s="365"/>
      <c r="AX15" s="365"/>
      <c r="AY15" s="365"/>
      <c r="AZ15" s="365"/>
      <c r="BA15" s="365"/>
      <c r="BB15" s="365"/>
      <c r="BC15" s="365"/>
      <c r="BD15" s="365"/>
      <c r="BE15" s="365"/>
      <c r="BF15" s="365"/>
      <c r="BG15" s="365"/>
      <c r="BH15" s="365"/>
      <c r="BI15" s="365"/>
      <c r="BJ15" s="365"/>
      <c r="BK15" s="365"/>
      <c r="BL15" s="365"/>
      <c r="BM15" s="365"/>
      <c r="BN15" s="365"/>
      <c r="BO15" s="365"/>
      <c r="BP15" s="365"/>
      <c r="BQ15" s="365"/>
      <c r="BR15" s="365"/>
      <c r="BS15" s="365"/>
      <c r="BT15" s="365"/>
      <c r="BU15" s="365"/>
      <c r="BV15" s="365"/>
      <c r="BW15" s="365"/>
      <c r="BX15" s="365"/>
      <c r="BY15" s="365"/>
      <c r="BZ15" s="365"/>
      <c r="CA15" s="365"/>
      <c r="CB15" s="365"/>
      <c r="CC15" s="365"/>
      <c r="CD15" s="365"/>
      <c r="CE15" s="365"/>
      <c r="CF15" s="365"/>
      <c r="CG15" s="365"/>
      <c r="CH15" s="365"/>
      <c r="CI15" s="365"/>
      <c r="CJ15" s="365"/>
      <c r="CK15" s="365"/>
      <c r="CL15" s="365"/>
      <c r="CM15" s="365"/>
      <c r="CN15" s="365"/>
      <c r="CO15" s="365"/>
      <c r="CP15" s="365"/>
      <c r="CQ15" s="365"/>
      <c r="CR15" s="365"/>
      <c r="CS15" s="365"/>
    </row>
    <row r="16" hidden="1" outlineLevel="1">
      <c r="A16" s="375" t="str">
        <f t="shared" ref="A16:AX16" si="4">IFS(AND(EXACT(LEFT(A13,5),"ERROR"),EXACT(LEFT(A10,5),"ERROR")), EXACT(MID(A13,9,10),MID(A10,9,10)), EXACT(LEFT(A13,5),"ERROR"), EXACT(LEFT(A10,10),MID(A13,9,10)),EXACT(LEFT(A10,5),"ERROR"), EXACT(LEFT(A13,10),MID(A10,9,10)),TRUE, EXACT(A10,A13))</f>
        <v>#REF!</v>
      </c>
      <c r="B16" s="375" t="str">
        <f t="shared" si="4"/>
        <v>#REF!</v>
      </c>
      <c r="C16" s="375" t="str">
        <f t="shared" si="4"/>
        <v>#REF!</v>
      </c>
      <c r="D16" s="375" t="str">
        <f t="shared" si="4"/>
        <v>#REF!</v>
      </c>
      <c r="E16" s="375" t="str">
        <f t="shared" si="4"/>
        <v>#REF!</v>
      </c>
      <c r="F16" s="375" t="str">
        <f t="shared" si="4"/>
        <v>#REF!</v>
      </c>
      <c r="G16" s="375" t="str">
        <f t="shared" si="4"/>
        <v>#REF!</v>
      </c>
      <c r="H16" s="375" t="str">
        <f t="shared" si="4"/>
        <v>#REF!</v>
      </c>
      <c r="I16" s="375" t="str">
        <f t="shared" si="4"/>
        <v>#REF!</v>
      </c>
      <c r="J16" s="375" t="str">
        <f t="shared" si="4"/>
        <v>#REF!</v>
      </c>
      <c r="K16" s="375" t="str">
        <f t="shared" si="4"/>
        <v>#REF!</v>
      </c>
      <c r="L16" s="375" t="str">
        <f t="shared" si="4"/>
        <v>#REF!</v>
      </c>
      <c r="M16" s="375" t="str">
        <f t="shared" si="4"/>
        <v>#REF!</v>
      </c>
      <c r="N16" s="375" t="str">
        <f t="shared" si="4"/>
        <v>#REF!</v>
      </c>
      <c r="O16" s="375" t="str">
        <f t="shared" si="4"/>
        <v>#REF!</v>
      </c>
      <c r="P16" s="375" t="str">
        <f t="shared" si="4"/>
        <v>#REF!</v>
      </c>
      <c r="Q16" s="375" t="str">
        <f t="shared" si="4"/>
        <v>#REF!</v>
      </c>
      <c r="R16" s="375" t="str">
        <f t="shared" si="4"/>
        <v>#REF!</v>
      </c>
      <c r="S16" s="375" t="str">
        <f t="shared" si="4"/>
        <v>#REF!</v>
      </c>
      <c r="T16" s="375" t="str">
        <f t="shared" si="4"/>
        <v>#REF!</v>
      </c>
      <c r="U16" s="375" t="str">
        <f t="shared" si="4"/>
        <v>#REF!</v>
      </c>
      <c r="V16" s="375" t="str">
        <f t="shared" si="4"/>
        <v>#REF!</v>
      </c>
      <c r="W16" s="375" t="str">
        <f t="shared" si="4"/>
        <v>#REF!</v>
      </c>
      <c r="X16" s="375" t="str">
        <f t="shared" si="4"/>
        <v>#REF!</v>
      </c>
      <c r="Y16" s="375" t="str">
        <f t="shared" si="4"/>
        <v>#REF!</v>
      </c>
      <c r="Z16" s="375" t="str">
        <f t="shared" si="4"/>
        <v>#REF!</v>
      </c>
      <c r="AA16" s="375" t="str">
        <f t="shared" si="4"/>
        <v>#REF!</v>
      </c>
      <c r="AB16" s="375" t="str">
        <f t="shared" si="4"/>
        <v>#REF!</v>
      </c>
      <c r="AC16" s="375" t="str">
        <f t="shared" si="4"/>
        <v>#REF!</v>
      </c>
      <c r="AD16" s="375" t="str">
        <f t="shared" si="4"/>
        <v>#REF!</v>
      </c>
      <c r="AE16" s="375" t="str">
        <f t="shared" si="4"/>
        <v>#REF!</v>
      </c>
      <c r="AF16" s="375" t="str">
        <f t="shared" si="4"/>
        <v>#REF!</v>
      </c>
      <c r="AG16" s="375" t="str">
        <f t="shared" si="4"/>
        <v>#REF!</v>
      </c>
      <c r="AH16" s="375" t="str">
        <f t="shared" si="4"/>
        <v>#REF!</v>
      </c>
      <c r="AI16" s="375" t="str">
        <f t="shared" si="4"/>
        <v>#REF!</v>
      </c>
      <c r="AJ16" s="375" t="str">
        <f t="shared" si="4"/>
        <v>#REF!</v>
      </c>
      <c r="AK16" s="375" t="str">
        <f t="shared" si="4"/>
        <v>#REF!</v>
      </c>
      <c r="AL16" s="375" t="str">
        <f t="shared" si="4"/>
        <v>#REF!</v>
      </c>
      <c r="AM16" s="375" t="str">
        <f t="shared" si="4"/>
        <v>#REF!</v>
      </c>
      <c r="AN16" s="375" t="str">
        <f t="shared" si="4"/>
        <v>#REF!</v>
      </c>
      <c r="AO16" s="375" t="str">
        <f t="shared" si="4"/>
        <v>#REF!</v>
      </c>
      <c r="AP16" s="375" t="str">
        <f t="shared" si="4"/>
        <v>#REF!</v>
      </c>
      <c r="AQ16" s="375" t="str">
        <f t="shared" si="4"/>
        <v>#REF!</v>
      </c>
      <c r="AR16" s="375" t="str">
        <f t="shared" si="4"/>
        <v>#REF!</v>
      </c>
      <c r="AS16" s="375" t="str">
        <f t="shared" si="4"/>
        <v>#REF!</v>
      </c>
      <c r="AT16" s="375" t="str">
        <f t="shared" si="4"/>
        <v>#REF!</v>
      </c>
      <c r="AU16" s="375" t="str">
        <f t="shared" si="4"/>
        <v>#REF!</v>
      </c>
      <c r="AV16" s="375" t="str">
        <f t="shared" si="4"/>
        <v>#REF!</v>
      </c>
      <c r="AW16" s="375" t="str">
        <f t="shared" si="4"/>
        <v>#REF!</v>
      </c>
      <c r="AX16" s="375" t="str">
        <f t="shared" si="4"/>
        <v>#REF!</v>
      </c>
      <c r="AY16" s="375"/>
      <c r="AZ16" s="376" t="s">
        <v>982</v>
      </c>
      <c r="BA16" s="375"/>
      <c r="BB16" s="375"/>
      <c r="BC16" s="375"/>
      <c r="BD16" s="375"/>
      <c r="BE16" s="375"/>
      <c r="BF16" s="375"/>
      <c r="BG16" s="375"/>
      <c r="BH16" s="375"/>
      <c r="BI16" s="375"/>
      <c r="BJ16" s="375"/>
      <c r="BK16" s="375"/>
      <c r="BL16" s="375"/>
      <c r="BM16" s="375"/>
      <c r="BN16" s="375"/>
      <c r="BO16" s="375"/>
      <c r="BP16" s="375"/>
      <c r="BQ16" s="375"/>
      <c r="BR16" s="375"/>
      <c r="BS16" s="375"/>
      <c r="BT16" s="375"/>
      <c r="BU16" s="375"/>
      <c r="BV16" s="375"/>
      <c r="BW16" s="375"/>
      <c r="BX16" s="375"/>
      <c r="BY16" s="375"/>
      <c r="BZ16" s="375"/>
      <c r="CA16" s="375"/>
      <c r="CB16" s="375"/>
      <c r="CC16" s="375"/>
      <c r="CD16" s="375"/>
      <c r="CE16" s="375"/>
      <c r="CF16" s="375"/>
      <c r="CG16" s="375"/>
      <c r="CH16" s="375"/>
      <c r="CI16" s="375"/>
      <c r="CJ16" s="375"/>
      <c r="CK16" s="375"/>
      <c r="CL16" s="375"/>
      <c r="CM16" s="375"/>
      <c r="CN16" s="375"/>
      <c r="CO16" s="375"/>
      <c r="CP16" s="375"/>
      <c r="CQ16" s="375"/>
      <c r="CR16" s="375"/>
      <c r="CS16" s="375"/>
    </row>
    <row r="17" hidden="1" outlineLevel="1">
      <c r="A17" s="364" t="str">
        <f t="shared" ref="A17:AY17" si="5">EXACT(A11,A14)</f>
        <v>#REF!</v>
      </c>
      <c r="B17" s="364" t="str">
        <f t="shared" si="5"/>
        <v>#REF!</v>
      </c>
      <c r="C17" s="364" t="str">
        <f t="shared" si="5"/>
        <v>#REF!</v>
      </c>
      <c r="D17" s="364" t="str">
        <f t="shared" si="5"/>
        <v>#REF!</v>
      </c>
      <c r="E17" s="364" t="str">
        <f t="shared" si="5"/>
        <v>#REF!</v>
      </c>
      <c r="F17" s="364" t="str">
        <f t="shared" si="5"/>
        <v>#REF!</v>
      </c>
      <c r="G17" s="364" t="str">
        <f t="shared" si="5"/>
        <v>#REF!</v>
      </c>
      <c r="H17" s="364" t="str">
        <f t="shared" si="5"/>
        <v>#REF!</v>
      </c>
      <c r="I17" s="364" t="str">
        <f t="shared" si="5"/>
        <v>#REF!</v>
      </c>
      <c r="J17" s="364" t="str">
        <f t="shared" si="5"/>
        <v>#REF!</v>
      </c>
      <c r="K17" s="364" t="str">
        <f t="shared" si="5"/>
        <v>#REF!</v>
      </c>
      <c r="L17" s="364" t="str">
        <f t="shared" si="5"/>
        <v>#REF!</v>
      </c>
      <c r="M17" s="364" t="str">
        <f t="shared" si="5"/>
        <v>#REF!</v>
      </c>
      <c r="N17" s="364" t="str">
        <f t="shared" si="5"/>
        <v>#REF!</v>
      </c>
      <c r="O17" s="364" t="str">
        <f t="shared" si="5"/>
        <v>#REF!</v>
      </c>
      <c r="P17" s="364" t="str">
        <f t="shared" si="5"/>
        <v>#REF!</v>
      </c>
      <c r="Q17" s="364" t="str">
        <f t="shared" si="5"/>
        <v>#REF!</v>
      </c>
      <c r="R17" s="364" t="str">
        <f t="shared" si="5"/>
        <v>#REF!</v>
      </c>
      <c r="S17" s="364" t="str">
        <f t="shared" si="5"/>
        <v>#REF!</v>
      </c>
      <c r="T17" s="364" t="str">
        <f t="shared" si="5"/>
        <v>#REF!</v>
      </c>
      <c r="U17" s="364" t="str">
        <f t="shared" si="5"/>
        <v>#REF!</v>
      </c>
      <c r="V17" s="364" t="str">
        <f t="shared" si="5"/>
        <v>#REF!</v>
      </c>
      <c r="W17" s="364" t="str">
        <f t="shared" si="5"/>
        <v>#REF!</v>
      </c>
      <c r="X17" s="364" t="str">
        <f t="shared" si="5"/>
        <v>#REF!</v>
      </c>
      <c r="Y17" s="364" t="str">
        <f t="shared" si="5"/>
        <v>#REF!</v>
      </c>
      <c r="Z17" s="364" t="str">
        <f t="shared" si="5"/>
        <v>#REF!</v>
      </c>
      <c r="AA17" s="364" t="str">
        <f t="shared" si="5"/>
        <v>#REF!</v>
      </c>
      <c r="AB17" s="364" t="str">
        <f t="shared" si="5"/>
        <v>#REF!</v>
      </c>
      <c r="AC17" s="364" t="str">
        <f t="shared" si="5"/>
        <v>#REF!</v>
      </c>
      <c r="AD17" s="364" t="str">
        <f t="shared" si="5"/>
        <v>#REF!</v>
      </c>
      <c r="AE17" s="364" t="str">
        <f t="shared" si="5"/>
        <v>#REF!</v>
      </c>
      <c r="AF17" s="364" t="str">
        <f t="shared" si="5"/>
        <v>#REF!</v>
      </c>
      <c r="AG17" s="364" t="str">
        <f t="shared" si="5"/>
        <v>#REF!</v>
      </c>
      <c r="AH17" s="364" t="str">
        <f t="shared" si="5"/>
        <v>#REF!</v>
      </c>
      <c r="AI17" s="364" t="str">
        <f t="shared" si="5"/>
        <v>#REF!</v>
      </c>
      <c r="AJ17" s="364" t="str">
        <f t="shared" si="5"/>
        <v>#REF!</v>
      </c>
      <c r="AK17" s="364" t="str">
        <f t="shared" si="5"/>
        <v>#REF!</v>
      </c>
      <c r="AL17" s="364" t="str">
        <f t="shared" si="5"/>
        <v>#REF!</v>
      </c>
      <c r="AM17" s="364" t="str">
        <f t="shared" si="5"/>
        <v>#REF!</v>
      </c>
      <c r="AN17" s="364" t="str">
        <f t="shared" si="5"/>
        <v>#REF!</v>
      </c>
      <c r="AO17" s="364" t="str">
        <f t="shared" si="5"/>
        <v>#REF!</v>
      </c>
      <c r="AP17" s="364" t="str">
        <f t="shared" si="5"/>
        <v>#REF!</v>
      </c>
      <c r="AQ17" s="364" t="str">
        <f t="shared" si="5"/>
        <v>#REF!</v>
      </c>
      <c r="AR17" s="364" t="str">
        <f t="shared" si="5"/>
        <v>#REF!</v>
      </c>
      <c r="AS17" s="364" t="str">
        <f t="shared" si="5"/>
        <v>#REF!</v>
      </c>
      <c r="AT17" s="364" t="str">
        <f t="shared" si="5"/>
        <v>#REF!</v>
      </c>
      <c r="AU17" s="364" t="str">
        <f t="shared" si="5"/>
        <v>#REF!</v>
      </c>
      <c r="AV17" s="364" t="str">
        <f t="shared" si="5"/>
        <v>#REF!</v>
      </c>
      <c r="AW17" s="364" t="str">
        <f t="shared" si="5"/>
        <v>#REF!</v>
      </c>
      <c r="AX17" s="364" t="str">
        <f t="shared" si="5"/>
        <v>#REF!</v>
      </c>
      <c r="AY17" s="364" t="str">
        <f t="shared" si="5"/>
        <v>#REF!</v>
      </c>
      <c r="AZ17" s="364"/>
      <c r="BA17" s="364"/>
      <c r="BB17" s="364"/>
      <c r="BC17" s="364"/>
      <c r="BD17" s="364"/>
      <c r="BE17" s="364"/>
      <c r="BF17" s="364"/>
      <c r="BG17" s="364"/>
      <c r="BH17" s="364"/>
      <c r="BI17" s="364"/>
      <c r="BJ17" s="364"/>
      <c r="BK17" s="364"/>
      <c r="BL17" s="364"/>
      <c r="BM17" s="364"/>
      <c r="BN17" s="364"/>
      <c r="BO17" s="364"/>
      <c r="BP17" s="364"/>
      <c r="BQ17" s="364"/>
      <c r="BR17" s="364"/>
      <c r="BS17" s="364"/>
      <c r="BT17" s="364"/>
      <c r="BU17" s="364"/>
      <c r="BV17" s="364"/>
      <c r="BW17" s="364"/>
      <c r="BX17" s="364"/>
      <c r="BY17" s="364"/>
      <c r="BZ17" s="364"/>
      <c r="CA17" s="364"/>
      <c r="CB17" s="364"/>
      <c r="CC17" s="364"/>
      <c r="CD17" s="364"/>
      <c r="CE17" s="364"/>
      <c r="CF17" s="364"/>
      <c r="CG17" s="364"/>
      <c r="CH17" s="364"/>
      <c r="CI17" s="364"/>
      <c r="CJ17" s="364"/>
      <c r="CK17" s="364"/>
      <c r="CL17" s="364"/>
      <c r="CM17" s="364"/>
      <c r="CN17" s="364"/>
      <c r="CO17" s="364"/>
      <c r="CP17" s="364"/>
      <c r="CQ17" s="364"/>
      <c r="CR17" s="364"/>
      <c r="CS17" s="364"/>
    </row>
    <row r="18" hidden="1" outlineLevel="1">
      <c r="A18" s="365" t="str">
        <f t="shared" ref="A18:AY18" si="6">EXACT(A12,A15)</f>
        <v>#REF!</v>
      </c>
      <c r="B18" s="365" t="str">
        <f t="shared" si="6"/>
        <v>#REF!</v>
      </c>
      <c r="C18" s="365" t="str">
        <f t="shared" si="6"/>
        <v>#REF!</v>
      </c>
      <c r="D18" s="365" t="str">
        <f t="shared" si="6"/>
        <v>#REF!</v>
      </c>
      <c r="E18" s="365" t="str">
        <f t="shared" si="6"/>
        <v>#REF!</v>
      </c>
      <c r="F18" s="365" t="str">
        <f t="shared" si="6"/>
        <v>#REF!</v>
      </c>
      <c r="G18" s="365" t="str">
        <f t="shared" si="6"/>
        <v>#REF!</v>
      </c>
      <c r="H18" s="365" t="str">
        <f t="shared" si="6"/>
        <v>#REF!</v>
      </c>
      <c r="I18" s="365" t="str">
        <f t="shared" si="6"/>
        <v>#REF!</v>
      </c>
      <c r="J18" s="365" t="str">
        <f t="shared" si="6"/>
        <v>#REF!</v>
      </c>
      <c r="K18" s="365" t="str">
        <f t="shared" si="6"/>
        <v>#REF!</v>
      </c>
      <c r="L18" s="365" t="str">
        <f t="shared" si="6"/>
        <v>#REF!</v>
      </c>
      <c r="M18" s="365" t="str">
        <f t="shared" si="6"/>
        <v>#REF!</v>
      </c>
      <c r="N18" s="365" t="str">
        <f t="shared" si="6"/>
        <v>#REF!</v>
      </c>
      <c r="O18" s="365" t="str">
        <f t="shared" si="6"/>
        <v>#REF!</v>
      </c>
      <c r="P18" s="365" t="str">
        <f t="shared" si="6"/>
        <v>#REF!</v>
      </c>
      <c r="Q18" s="365" t="str">
        <f t="shared" si="6"/>
        <v>#REF!</v>
      </c>
      <c r="R18" s="365" t="str">
        <f t="shared" si="6"/>
        <v>#REF!</v>
      </c>
      <c r="S18" s="365" t="str">
        <f t="shared" si="6"/>
        <v>#REF!</v>
      </c>
      <c r="T18" s="365" t="str">
        <f t="shared" si="6"/>
        <v>#REF!</v>
      </c>
      <c r="U18" s="365" t="str">
        <f t="shared" si="6"/>
        <v>#REF!</v>
      </c>
      <c r="V18" s="365" t="str">
        <f t="shared" si="6"/>
        <v>#REF!</v>
      </c>
      <c r="W18" s="365" t="str">
        <f t="shared" si="6"/>
        <v>#REF!</v>
      </c>
      <c r="X18" s="365" t="str">
        <f t="shared" si="6"/>
        <v>#REF!</v>
      </c>
      <c r="Y18" s="365" t="str">
        <f t="shared" si="6"/>
        <v>#REF!</v>
      </c>
      <c r="Z18" s="365" t="str">
        <f t="shared" si="6"/>
        <v>#REF!</v>
      </c>
      <c r="AA18" s="365" t="str">
        <f t="shared" si="6"/>
        <v>#REF!</v>
      </c>
      <c r="AB18" s="365" t="str">
        <f t="shared" si="6"/>
        <v>#REF!</v>
      </c>
      <c r="AC18" s="365" t="str">
        <f t="shared" si="6"/>
        <v>#REF!</v>
      </c>
      <c r="AD18" s="365" t="str">
        <f t="shared" si="6"/>
        <v>#REF!</v>
      </c>
      <c r="AE18" s="365" t="str">
        <f t="shared" si="6"/>
        <v>#REF!</v>
      </c>
      <c r="AF18" s="365" t="str">
        <f t="shared" si="6"/>
        <v>#REF!</v>
      </c>
      <c r="AG18" s="365" t="str">
        <f t="shared" si="6"/>
        <v>#REF!</v>
      </c>
      <c r="AH18" s="365" t="str">
        <f t="shared" si="6"/>
        <v>#REF!</v>
      </c>
      <c r="AI18" s="365" t="str">
        <f t="shared" si="6"/>
        <v>#REF!</v>
      </c>
      <c r="AJ18" s="365" t="str">
        <f t="shared" si="6"/>
        <v>#REF!</v>
      </c>
      <c r="AK18" s="365" t="str">
        <f t="shared" si="6"/>
        <v>#REF!</v>
      </c>
      <c r="AL18" s="365" t="str">
        <f t="shared" si="6"/>
        <v>#REF!</v>
      </c>
      <c r="AM18" s="365" t="str">
        <f t="shared" si="6"/>
        <v>#REF!</v>
      </c>
      <c r="AN18" s="365" t="str">
        <f t="shared" si="6"/>
        <v>#REF!</v>
      </c>
      <c r="AO18" s="365" t="str">
        <f t="shared" si="6"/>
        <v>#REF!</v>
      </c>
      <c r="AP18" s="365" t="str">
        <f t="shared" si="6"/>
        <v>#REF!</v>
      </c>
      <c r="AQ18" s="365" t="str">
        <f t="shared" si="6"/>
        <v>#REF!</v>
      </c>
      <c r="AR18" s="365" t="str">
        <f t="shared" si="6"/>
        <v>#REF!</v>
      </c>
      <c r="AS18" s="365" t="str">
        <f t="shared" si="6"/>
        <v>#REF!</v>
      </c>
      <c r="AT18" s="365" t="str">
        <f t="shared" si="6"/>
        <v>#REF!</v>
      </c>
      <c r="AU18" s="365" t="str">
        <f t="shared" si="6"/>
        <v>#REF!</v>
      </c>
      <c r="AV18" s="365" t="str">
        <f t="shared" si="6"/>
        <v>#REF!</v>
      </c>
      <c r="AW18" s="365" t="str">
        <f t="shared" si="6"/>
        <v>#REF!</v>
      </c>
      <c r="AX18" s="365" t="str">
        <f t="shared" si="6"/>
        <v>#REF!</v>
      </c>
      <c r="AY18" s="365" t="str">
        <f t="shared" si="6"/>
        <v>#REF!</v>
      </c>
      <c r="AZ18" s="365"/>
      <c r="BA18" s="365"/>
      <c r="BB18" s="365"/>
      <c r="BC18" s="365"/>
      <c r="BD18" s="365"/>
      <c r="BE18" s="365"/>
      <c r="BF18" s="365"/>
      <c r="BG18" s="365"/>
      <c r="BH18" s="365"/>
      <c r="BI18" s="365"/>
      <c r="BJ18" s="365"/>
      <c r="BK18" s="365"/>
      <c r="BL18" s="365"/>
      <c r="BM18" s="365"/>
      <c r="BN18" s="365"/>
      <c r="BO18" s="365"/>
      <c r="BP18" s="365"/>
      <c r="BQ18" s="365"/>
      <c r="BR18" s="365"/>
      <c r="BS18" s="365"/>
      <c r="BT18" s="365"/>
      <c r="BU18" s="365"/>
      <c r="BV18" s="365"/>
      <c r="BW18" s="365"/>
      <c r="BX18" s="365"/>
      <c r="BY18" s="365"/>
      <c r="BZ18" s="365"/>
      <c r="CA18" s="365"/>
      <c r="CB18" s="365"/>
      <c r="CC18" s="365"/>
      <c r="CD18" s="365"/>
      <c r="CE18" s="365"/>
      <c r="CF18" s="365"/>
      <c r="CG18" s="365"/>
      <c r="CH18" s="365"/>
      <c r="CI18" s="365"/>
      <c r="CJ18" s="365"/>
      <c r="CK18" s="365"/>
      <c r="CL18" s="365"/>
      <c r="CM18" s="365"/>
      <c r="CN18" s="365"/>
      <c r="CO18" s="365"/>
      <c r="CP18" s="365"/>
      <c r="CQ18" s="365"/>
      <c r="CR18" s="365"/>
      <c r="CS18" s="365"/>
    </row>
    <row r="19" hidden="1" outlineLevel="1">
      <c r="A19" s="377"/>
      <c r="B19" s="378"/>
      <c r="C19" s="379"/>
      <c r="D19" s="379"/>
      <c r="E19" s="379"/>
      <c r="F19" s="379"/>
      <c r="G19" s="379"/>
      <c r="H19" s="379"/>
      <c r="I19" s="379"/>
      <c r="J19" s="379"/>
      <c r="K19" s="379"/>
      <c r="L19" s="379"/>
      <c r="M19" s="379"/>
      <c r="N19" s="379"/>
      <c r="O19" s="379"/>
      <c r="P19" s="380"/>
      <c r="Q19" s="379"/>
      <c r="R19" s="379"/>
      <c r="S19" s="379"/>
      <c r="T19" s="379"/>
      <c r="U19" s="379"/>
      <c r="V19" s="379"/>
      <c r="W19" s="379"/>
      <c r="X19" s="379"/>
      <c r="Y19" s="379"/>
      <c r="Z19" s="379"/>
      <c r="AA19" s="379"/>
      <c r="AB19" s="379"/>
      <c r="AC19" s="379"/>
      <c r="AD19" s="379"/>
      <c r="AE19" s="380"/>
      <c r="AF19" s="380"/>
      <c r="AG19" s="379"/>
      <c r="AH19" s="379"/>
      <c r="AI19" s="379"/>
      <c r="AJ19" s="379"/>
      <c r="AK19" s="379"/>
      <c r="AL19" s="380"/>
      <c r="AM19" s="379"/>
      <c r="AN19" s="379"/>
      <c r="AO19" s="379"/>
      <c r="AP19" s="379"/>
      <c r="AQ19" s="379"/>
      <c r="AR19" s="379"/>
      <c r="AS19" s="379"/>
      <c r="AT19" s="379"/>
      <c r="AU19" s="379"/>
      <c r="AV19" s="379"/>
      <c r="AW19" s="379"/>
      <c r="AX19" s="379"/>
      <c r="AY19" s="379"/>
      <c r="AZ19" s="379"/>
      <c r="BA19" s="379"/>
      <c r="BB19" s="379"/>
      <c r="BC19" s="379"/>
      <c r="BD19" s="379"/>
      <c r="BE19" s="379"/>
      <c r="BF19" s="379"/>
      <c r="BG19" s="379"/>
      <c r="BH19" s="379"/>
      <c r="BI19" s="379"/>
      <c r="BJ19" s="379"/>
      <c r="BK19" s="379"/>
      <c r="BL19" s="379"/>
      <c r="BM19" s="379"/>
      <c r="BN19" s="379"/>
      <c r="BO19" s="379"/>
      <c r="BP19" s="379"/>
      <c r="BQ19" s="379"/>
      <c r="BR19" s="379"/>
      <c r="BS19" s="379"/>
      <c r="BT19" s="379"/>
      <c r="BU19" s="379"/>
      <c r="BV19" s="379"/>
      <c r="BW19" s="379"/>
      <c r="BX19" s="379"/>
      <c r="BY19" s="379"/>
      <c r="BZ19" s="379"/>
      <c r="CA19" s="379"/>
      <c r="CB19" s="379"/>
      <c r="CC19" s="379"/>
      <c r="CD19" s="379"/>
      <c r="CE19" s="379"/>
      <c r="CF19" s="379"/>
      <c r="CG19" s="379"/>
      <c r="CH19" s="379"/>
      <c r="CI19" s="379"/>
      <c r="CJ19" s="379"/>
      <c r="CK19" s="379"/>
      <c r="CL19" s="379"/>
      <c r="CM19" s="379"/>
      <c r="CN19" s="379"/>
      <c r="CO19" s="379"/>
      <c r="CP19" s="379"/>
      <c r="CQ19" s="379"/>
      <c r="CR19" s="379"/>
      <c r="CS19" s="379"/>
    </row>
    <row r="20">
      <c r="A20" s="365"/>
      <c r="B20" s="365"/>
      <c r="C20" s="365"/>
      <c r="D20" s="365"/>
      <c r="E20" s="365"/>
      <c r="F20" s="365"/>
      <c r="G20" s="365"/>
      <c r="H20" s="365"/>
      <c r="I20" s="365"/>
      <c r="J20" s="365"/>
      <c r="K20" s="365"/>
      <c r="L20" s="365"/>
      <c r="M20" s="365"/>
      <c r="N20" s="365"/>
      <c r="O20" s="365"/>
      <c r="P20" s="365"/>
      <c r="Q20" s="365"/>
      <c r="R20" s="365"/>
      <c r="S20" s="365"/>
      <c r="T20" s="365"/>
      <c r="U20" s="365"/>
      <c r="V20" s="365"/>
      <c r="W20" s="365"/>
      <c r="X20" s="365"/>
      <c r="Y20" s="365"/>
      <c r="Z20" s="365"/>
      <c r="AA20" s="365"/>
      <c r="AB20" s="365"/>
      <c r="AC20" s="365"/>
      <c r="AD20" s="365"/>
      <c r="AE20" s="381"/>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5"/>
      <c r="BV20" s="365"/>
      <c r="BW20" s="365"/>
      <c r="BX20" s="365"/>
      <c r="BY20" s="365"/>
      <c r="BZ20" s="365"/>
      <c r="CA20" s="365"/>
      <c r="CB20" s="365"/>
      <c r="CC20" s="365"/>
      <c r="CD20" s="365"/>
      <c r="CE20" s="365"/>
      <c r="CF20" s="365"/>
      <c r="CG20" s="365"/>
      <c r="CH20" s="365"/>
      <c r="CI20" s="365"/>
      <c r="CJ20" s="365"/>
      <c r="CK20" s="365"/>
      <c r="CL20" s="365"/>
      <c r="CM20" s="365"/>
      <c r="CN20" s="365"/>
      <c r="CO20" s="365"/>
      <c r="CP20" s="365"/>
      <c r="CQ20" s="365"/>
      <c r="CR20" s="365"/>
      <c r="CS20" s="365"/>
    </row>
    <row r="21" collapsed="1">
      <c r="A21" s="382" t="s">
        <v>983</v>
      </c>
      <c r="B21" s="53" t="str">
        <f>IFNA(IF(MATCH("END",A22:CS22,0)&gt;MATCH("END",A24:CS24,0),MATCH("END",A22:CS22,0),MATCH("END",A24:CS24,0)),"END Missing")</f>
        <v>END Missing</v>
      </c>
      <c r="C21" s="44" t="str">
        <f t="array" ref="C21">IF(AND(INDIRECT(CONCATENATE("$A$",ROW(C21)+5,":",ADDRESS(ROW(C21)+5,B21)))),"Headers Match","ERROR!! Headers Mismatch")</f>
        <v>#VALUE!</v>
      </c>
      <c r="E21" s="44" t="str">
        <f t="array" ref="E21">IF(AND(INDIRECT(CONCATENATE("$A$",ROW(E21)+6,":",ADDRESS(ROW(E21)+6,B21)))),"Formulas Match","ERROR!! Formulas Mismatch")</f>
        <v>#VALUE!</v>
      </c>
      <c r="F21" s="353"/>
    </row>
    <row r="22" hidden="1" outlineLevel="1">
      <c r="A22" s="58" t="str">
        <f t="shared" ref="A22:C22" si="7">INDIRECT(CONCATENATE($A21,"!",ADDRESS(1,COLUMN(A21))))</f>
        <v>TUBE ID</v>
      </c>
      <c r="B22" s="58" t="str">
        <f t="shared" si="7"/>
        <v>COLLECTION DATE</v>
      </c>
      <c r="C22" s="58" t="str">
        <f t="shared" si="7"/>
        <v>COLLECTION TIME</v>
      </c>
      <c r="E22" s="58" t="str">
        <f t="shared" ref="E22:AZ22" si="8">INDIRECT(CONCATENATE($A21,"!",ADDRESS(1,COLUMN(E21))))</f>
        <v>SPONSOR LASTNAME</v>
      </c>
      <c r="F22" s="58" t="str">
        <f t="shared" si="8"/>
        <v>PARTICIPANT FIRSTNAME</v>
      </c>
      <c r="G22" s="58" t="str">
        <f t="shared" si="8"/>
        <v>PARTICIPANT LASTNAME</v>
      </c>
      <c r="H22" s="58" t="str">
        <f t="shared" si="8"/>
        <v>PARTICIPANT EMAIL</v>
      </c>
      <c r="I22" s="58" t="str">
        <f t="shared" si="8"/>
        <v>MINOR FIRSTNAME</v>
      </c>
      <c r="J22" s="58" t="str">
        <f t="shared" si="8"/>
        <v>MINOR LASTNAME</v>
      </c>
      <c r="K22" s="58" t="str">
        <f t="shared" si="8"/>
        <v>APP
RESULT</v>
      </c>
      <c r="L22" s="58" t="str">
        <f t="shared" si="8"/>
        <v>RESULT DATE</v>
      </c>
      <c r="M22" s="58" t="str">
        <f t="shared" si="8"/>
        <v>RESULT TIME</v>
      </c>
      <c r="N22" s="58" t="str">
        <f t="shared" si="8"/>
        <v>APP
GROUP</v>
      </c>
      <c r="O22" s="58" t="str">
        <f t="shared" si="8"/>
        <v>NOTE</v>
      </c>
      <c r="P22" s="58" t="str">
        <f t="shared" si="8"/>
        <v>REPS IN RAW_APT?</v>
      </c>
      <c r="Q22" s="58" t="str">
        <f t="shared" si="8"/>
        <v>STATUS</v>
      </c>
      <c r="R22" s="58" t="str">
        <f t="shared" si="8"/>
        <v>Tube ID First Row?</v>
      </c>
      <c r="S22" s="58" t="str">
        <f t="shared" si="8"/>
        <v>Num Tube IDs</v>
      </c>
      <c r="T22" s="58" t="str">
        <f t="shared" si="8"/>
        <v>Add N Names</v>
      </c>
      <c r="U22" s="58" t="str">
        <f t="shared" si="8"/>
        <v>NOTE FIRSTNAME</v>
      </c>
      <c r="V22" s="58" t="str">
        <f t="shared" si="8"/>
        <v>NOTE LASTNAME</v>
      </c>
      <c r="W22" s="58" t="str">
        <f t="shared" si="8"/>
        <v>Names Adjust</v>
      </c>
      <c r="X22" s="58" t="str">
        <f t="shared" si="8"/>
        <v>Note Name?</v>
      </c>
      <c r="Y22" s="58" t="str">
        <f t="shared" si="8"/>
        <v>FRAN</v>
      </c>
      <c r="Z22" s="58" t="str">
        <f t="shared" si="8"/>
        <v>&gt;4 Samples</v>
      </c>
      <c r="AA22" s="58" t="str">
        <f t="shared" si="8"/>
        <v>Has Note?</v>
      </c>
      <c r="AB22" s="58" t="str">
        <f t="shared" si="8"/>
        <v>Preserve Note</v>
      </c>
      <c r="AC22" s="58" t="str">
        <f t="shared" si="8"/>
        <v>Initial Order</v>
      </c>
      <c r="AD22" s="58" t="str">
        <f t="shared" si="8"/>
        <v>Added from APT?</v>
      </c>
      <c r="AE22" s="58" t="str">
        <f t="shared" si="8"/>
        <v>Minutes Col to Result</v>
      </c>
      <c r="AF22" s="58" t="str">
        <f t="shared" si="8"/>
        <v>Tube IDs w Diff Times?</v>
      </c>
      <c r="AG22" s="58" t="str">
        <f t="shared" si="8"/>
        <v>Delete?</v>
      </c>
      <c r="AH22" s="58" t="str">
        <f t="shared" si="8"/>
        <v>Delete Code</v>
      </c>
      <c r="AI22" s="58" t="str">
        <f t="shared" si="8"/>
        <v>Basic Correct Code</v>
      </c>
      <c r="AJ22" s="58" t="str">
        <f t="shared" si="8"/>
        <v>Result Correct Code</v>
      </c>
      <c r="AK22" s="58" t="str">
        <f t="shared" si="8"/>
        <v>FINAL RESULT</v>
      </c>
      <c r="AL22" s="58" t="str">
        <f t="shared" si="8"/>
        <v>Correction Notes</v>
      </c>
      <c r="AM22" s="58" t="str">
        <f t="shared" si="8"/>
        <v>Sponsor ID</v>
      </c>
      <c r="AN22" s="58" t="str">
        <f t="shared" si="8"/>
        <v>Participant ID</v>
      </c>
      <c r="AO22" s="58" t="str">
        <f t="shared" si="8"/>
        <v>Sponsor
FullName</v>
      </c>
      <c r="AP22" s="58" t="str">
        <f t="shared" si="8"/>
        <v>Combined Participant Firstname</v>
      </c>
      <c r="AQ22" s="58" t="str">
        <f t="shared" si="8"/>
        <v>Combined Participant Lastname</v>
      </c>
      <c r="AR22" s="58" t="str">
        <f t="shared" si="8"/>
        <v>Combined Participant Fullname</v>
      </c>
      <c r="AS22" s="58" t="str">
        <f t="shared" si="8"/>
        <v>END</v>
      </c>
      <c r="AT22" s="58" t="str">
        <f t="shared" si="8"/>
        <v/>
      </c>
      <c r="AU22" s="58" t="str">
        <f t="shared" si="8"/>
        <v/>
      </c>
      <c r="AV22" s="58" t="str">
        <f t="shared" si="8"/>
        <v/>
      </c>
      <c r="AW22" s="58" t="str">
        <f t="shared" si="8"/>
        <v/>
      </c>
      <c r="AX22" s="58" t="str">
        <f t="shared" si="8"/>
        <v/>
      </c>
      <c r="AY22" s="58" t="str">
        <f t="shared" si="8"/>
        <v/>
      </c>
      <c r="AZ22" s="58" t="str">
        <f t="shared" si="8"/>
        <v/>
      </c>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row>
    <row r="23" hidden="1" outlineLevel="1">
      <c r="A23" s="365" t="str">
        <f t="shared" ref="A23:C23" si="9">IF(_xlfn.ISFORMULA(INDIRECT(CONCATENATE($A21,"!",ADDRESS(2,COLUMN(A23))))),FORMULATEXT(INDIRECT(CONCATENATE($A21,"!",ADDRESS(2,COLUMN(A23))))),IFERROR(0/0,""))</f>
        <v>=IF(preDEL!$AG2,IFERROR(0/0),preDEL!A2)</v>
      </c>
      <c r="B23" s="365" t="str">
        <f t="shared" si="9"/>
        <v>=IF(preDEL!$AG2,IFERROR(0/0),preDEL!B2)</v>
      </c>
      <c r="C23" s="365" t="str">
        <f t="shared" si="9"/>
        <v>=IF(preDEL!$AG2,IFERROR(0/0),preDEL!C2)</v>
      </c>
      <c r="E23" s="365" t="str">
        <f t="shared" ref="E23:AZ23" si="10">IF(_xlfn.ISFORMULA(INDIRECT(CONCATENATE($A21,"!",ADDRESS(2,COLUMN(E23))))),FORMULATEXT(INDIRECT(CONCATENATE($A21,"!",ADDRESS(2,COLUMN(E23))))),IFERROR(0/0,""))</f>
        <v>=IF(preDEL!$AG2,IFERROR(0/0),preDEL!E2)</v>
      </c>
      <c r="F23" s="365" t="str">
        <f t="shared" si="10"/>
        <v>=IF(preDEL!$AG2,IFERROR(0/0),preDEL!F2)</v>
      </c>
      <c r="G23" s="365" t="str">
        <f t="shared" si="10"/>
        <v>=IF(preDEL!$AG2,IFERROR(0/0),preDEL!G2)</v>
      </c>
      <c r="H23" s="365" t="str">
        <f t="shared" si="10"/>
        <v>=IF(preDEL!$AG2,IFERROR(0/0),preDEL!H2)</v>
      </c>
      <c r="I23" s="365" t="str">
        <f t="shared" si="10"/>
        <v>=IF(preDEL!$AG2,IFERROR(0/0),preDEL!I2)</v>
      </c>
      <c r="J23" s="365" t="str">
        <f t="shared" si="10"/>
        <v>=IF(preDEL!$AG2,IFERROR(0/0),preDEL!J2)</v>
      </c>
      <c r="K23" s="365" t="str">
        <f t="shared" si="10"/>
        <v>=IF(preDEL!$AG2,IFERROR(0/0),preDEL!K2)</v>
      </c>
      <c r="L23" s="365" t="str">
        <f t="shared" si="10"/>
        <v>=IF(preDEL!$AG2,IFERROR(0/0),preDEL!L2)</v>
      </c>
      <c r="M23" s="365" t="str">
        <f t="shared" si="10"/>
        <v>=IF(preDEL!$AG2,IFERROR(0/0),preDEL!M2)</v>
      </c>
      <c r="N23" s="365" t="str">
        <f t="shared" si="10"/>
        <v>=IF(preDEL!$AG2,IFERROR(0/0),preDEL!N2)</v>
      </c>
      <c r="O23" s="365" t="str">
        <f t="shared" si="10"/>
        <v>=IF(preDEL!$AG2,IFERROR(0/0),preDEL!O2)</v>
      </c>
      <c r="P23" s="365" t="str">
        <f t="shared" si="10"/>
        <v>=IF(preDEL!$AG2,IFERROR(0/0),preDEL!P2)</v>
      </c>
      <c r="Q23" s="365" t="str">
        <f t="shared" si="10"/>
        <v>=IF(preDEL!$AG2,IFERROR(0/0),preDEL!Q2)</v>
      </c>
      <c r="R23" s="365" t="str">
        <f t="shared" si="10"/>
        <v>=IF(preDEL!$AG2,IFERROR(0/0),preDEL!R2)</v>
      </c>
      <c r="S23" s="365" t="str">
        <f t="shared" si="10"/>
        <v>=IF(preDEL!$AG2,IFERROR(0/0),preDEL!S2)</v>
      </c>
      <c r="T23" s="365" t="str">
        <f t="shared" si="10"/>
        <v>=IF(preDEL!$AG2,IFERROR(0/0),preDEL!T2)</v>
      </c>
      <c r="U23" s="365" t="str">
        <f t="shared" si="10"/>
        <v>=IF(preDEL!$AG2,IFERROR(0/0),preDEL!U2)</v>
      </c>
      <c r="V23" s="365" t="str">
        <f t="shared" si="10"/>
        <v>=IF(preDEL!$AG2,IFERROR(0/0),preDEL!V2)</v>
      </c>
      <c r="W23" s="365" t="str">
        <f t="shared" si="10"/>
        <v>=IF(preDEL!$AG2,IFERROR(0/0),preDEL!W2)</v>
      </c>
      <c r="X23" s="365" t="str">
        <f t="shared" si="10"/>
        <v>=IF(preDEL!$AG2,IFERROR(0/0),preDEL!X2)</v>
      </c>
      <c r="Y23" s="365" t="str">
        <f t="shared" si="10"/>
        <v>=IF(preDEL!$AG2,IFERROR(0/0),preDEL!Y2)</v>
      </c>
      <c r="Z23" s="365" t="str">
        <f t="shared" si="10"/>
        <v>=IF(preDEL!$AG2,IFERROR(0/0),preDEL!Z2)</v>
      </c>
      <c r="AA23" s="365" t="str">
        <f t="shared" si="10"/>
        <v>=IF(preDEL!$AG2,IFERROR(0/0),preDEL!AA2)</v>
      </c>
      <c r="AB23" s="365" t="str">
        <f t="shared" si="10"/>
        <v>=IF(preDEL!$AG2,IFERROR(0/0),preDEL!AB2)</v>
      </c>
      <c r="AC23" s="365" t="str">
        <f t="shared" si="10"/>
        <v>=IF(preDEL!$AG2,IFERROR(0/0),preDEL!AC2)</v>
      </c>
      <c r="AD23" s="365" t="str">
        <f t="shared" si="10"/>
        <v>=IF(preDEL!$AG2,IFERROR(0/0),preDEL!AD2)</v>
      </c>
      <c r="AE23" s="365" t="str">
        <f t="shared" si="10"/>
        <v>=IF(preDEL!$AG2,IFERROR(0/0),preDEL!AE2)</v>
      </c>
      <c r="AF23" s="365" t="str">
        <f t="shared" si="10"/>
        <v>=IF(preDEL!$AG2,IFERROR(0/0),preDEL!AF2)</v>
      </c>
      <c r="AG23" s="365" t="str">
        <f t="shared" si="10"/>
        <v>=IF(preDEL!$AG2,IFERROR(0/0),preDEL!AG2)</v>
      </c>
      <c r="AH23" s="365" t="str">
        <f t="shared" si="10"/>
        <v>=IF(preDEL!$AG2,IFERROR(0/0),preDEL!AH2)</v>
      </c>
      <c r="AI23" s="365" t="str">
        <f t="shared" si="10"/>
        <v>=IF(preDEL!$AG2,IFERROR(0/0),preDEL!AI2)</v>
      </c>
      <c r="AJ23" s="365" t="str">
        <f t="shared" si="10"/>
        <v>=IF(preDEL!$AG2,IFERROR(0/0),preDEL!AJ2)</v>
      </c>
      <c r="AK23" s="365" t="str">
        <f t="shared" si="10"/>
        <v>=IF(preDEL!$AG2,IFERROR(0/0),preDEL!AK2)</v>
      </c>
      <c r="AL23" s="365" t="str">
        <f t="shared" si="10"/>
        <v>=IF(preDEL!$AG2,IFERROR(0/0),preDEL!AL2)</v>
      </c>
      <c r="AM23" s="365" t="str">
        <f t="shared" si="10"/>
        <v>=IF(preDEL!$AG2,IFERROR(0/0),preDEL!AM2)</v>
      </c>
      <c r="AN23" s="365" t="str">
        <f t="shared" si="10"/>
        <v>=IF(preDEL!$AG2,IFERROR(0/0),preDEL!AN2)</v>
      </c>
      <c r="AO23" s="365" t="str">
        <f t="shared" si="10"/>
        <v>=IF(preDEL!$AG2,IFERROR(0/0),preDEL!AO2)</v>
      </c>
      <c r="AP23" s="365" t="str">
        <f t="shared" si="10"/>
        <v>=IF(preDEL!$AG2,IFERROR(0/0),preDEL!AP2)</v>
      </c>
      <c r="AQ23" s="365" t="str">
        <f t="shared" si="10"/>
        <v>=IF(preDEL!$AG2,IFERROR(0/0),preDEL!AQ2)</v>
      </c>
      <c r="AR23" s="365" t="str">
        <f t="shared" si="10"/>
        <v>=IF(preDEL!$AG2,IFERROR(0/0),preDEL!AR2)</v>
      </c>
      <c r="AS23" s="365" t="str">
        <f t="shared" si="10"/>
        <v/>
      </c>
      <c r="AT23" s="365" t="str">
        <f t="shared" si="10"/>
        <v/>
      </c>
      <c r="AU23" s="365" t="str">
        <f t="shared" si="10"/>
        <v/>
      </c>
      <c r="AV23" s="365" t="str">
        <f t="shared" si="10"/>
        <v/>
      </c>
      <c r="AW23" s="365" t="str">
        <f t="shared" si="10"/>
        <v/>
      </c>
      <c r="AX23" s="365" t="str">
        <f t="shared" si="10"/>
        <v/>
      </c>
      <c r="AY23" s="365" t="str">
        <f t="shared" si="10"/>
        <v/>
      </c>
      <c r="AZ23" s="365" t="str">
        <f t="shared" si="10"/>
        <v/>
      </c>
      <c r="BA23" s="365"/>
      <c r="BB23" s="365"/>
      <c r="BC23" s="365"/>
      <c r="BD23" s="365"/>
      <c r="BE23" s="365"/>
      <c r="BF23" s="365"/>
      <c r="BG23" s="365"/>
      <c r="BH23" s="365"/>
      <c r="BI23" s="365"/>
      <c r="BJ23" s="365"/>
      <c r="BK23" s="365"/>
      <c r="BL23" s="365"/>
      <c r="BM23" s="365"/>
      <c r="BN23" s="365"/>
      <c r="BO23" s="365"/>
      <c r="BP23" s="365"/>
      <c r="BQ23" s="365"/>
      <c r="BR23" s="365"/>
      <c r="BS23" s="365"/>
      <c r="BT23" s="365"/>
      <c r="BU23" s="365"/>
      <c r="BV23" s="365"/>
      <c r="BW23" s="365"/>
      <c r="BX23" s="365"/>
      <c r="BY23" s="365"/>
      <c r="BZ23" s="365"/>
      <c r="CA23" s="365"/>
      <c r="CB23" s="365"/>
      <c r="CC23" s="365"/>
      <c r="CD23" s="365"/>
      <c r="CE23" s="365"/>
      <c r="CF23" s="365"/>
      <c r="CG23" s="365"/>
      <c r="CH23" s="365"/>
      <c r="CI23" s="365"/>
      <c r="CJ23" s="365"/>
      <c r="CK23" s="365"/>
      <c r="CL23" s="365"/>
      <c r="CM23" s="365"/>
      <c r="CN23" s="365"/>
      <c r="CO23" s="365"/>
      <c r="CP23" s="365"/>
      <c r="CQ23" s="365"/>
      <c r="CR23" s="365"/>
      <c r="CS23" s="365"/>
    </row>
    <row r="24" hidden="1" outlineLevel="1">
      <c r="A24" s="383" t="str">
        <f>IFERROR(__xludf.DUMMYFUNCTION("IMPORTRANGE($B$1,CONCATENATE($A21,""!A1:1""))"),"#REF!")</f>
        <v>#REF!</v>
      </c>
      <c r="B24" s="383"/>
      <c r="C24" s="383"/>
      <c r="E24" s="383"/>
      <c r="F24" s="383"/>
      <c r="G24" s="383"/>
      <c r="H24" s="383"/>
      <c r="I24" s="383"/>
      <c r="J24" s="383"/>
      <c r="K24" s="383"/>
      <c r="L24" s="383"/>
      <c r="M24" s="383"/>
      <c r="N24" s="383"/>
      <c r="O24" s="383"/>
      <c r="P24" s="383"/>
      <c r="Q24" s="383"/>
      <c r="R24" s="383"/>
      <c r="S24" s="383"/>
      <c r="T24" s="383"/>
      <c r="U24" s="383"/>
      <c r="V24" s="383"/>
      <c r="W24" s="383"/>
      <c r="X24" s="383"/>
      <c r="Y24" s="383"/>
      <c r="Z24" s="383"/>
      <c r="AA24" s="383"/>
      <c r="AB24" s="383"/>
      <c r="AC24" s="383"/>
      <c r="AD24" s="383"/>
      <c r="AE24" s="383"/>
      <c r="AF24" s="383"/>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383"/>
      <c r="BE24" s="383"/>
      <c r="BF24" s="383"/>
      <c r="BG24" s="62"/>
      <c r="BH24" s="62"/>
      <c r="BI24" s="62"/>
      <c r="BJ24" s="62"/>
      <c r="BK24" s="62"/>
      <c r="BL24" s="62"/>
      <c r="BM24" s="62"/>
      <c r="BN24" s="62"/>
      <c r="BO24" s="62"/>
      <c r="BP24" s="62"/>
      <c r="BQ24" s="62"/>
      <c r="BR24" s="62"/>
      <c r="BS24" s="62"/>
      <c r="BT24" s="62"/>
      <c r="BU24" s="62"/>
      <c r="BV24" s="62"/>
      <c r="BW24" s="62"/>
      <c r="BX24" s="62"/>
      <c r="BY24" s="62"/>
      <c r="BZ24" s="62"/>
      <c r="CA24" s="62"/>
      <c r="CB24" s="62"/>
      <c r="CC24" s="62"/>
      <c r="CD24" s="62"/>
      <c r="CE24" s="62"/>
      <c r="CF24" s="62"/>
      <c r="CG24" s="62"/>
      <c r="CH24" s="62"/>
      <c r="CI24" s="62"/>
      <c r="CJ24" s="62"/>
      <c r="CK24" s="62"/>
      <c r="CL24" s="62"/>
      <c r="CM24" s="62"/>
      <c r="CN24" s="62"/>
      <c r="CO24" s="62"/>
      <c r="CP24" s="62"/>
      <c r="CQ24" s="62"/>
      <c r="CR24" s="62"/>
      <c r="CS24" s="62"/>
    </row>
    <row r="25" hidden="1" outlineLevel="1">
      <c r="A25" s="365" t="str">
        <f>IFERROR(__xludf.DUMMYFUNCTION("IMPORTRANGE($B$1,CONCATENATE($A21,""!A3:3""))"),"#REF!")</f>
        <v>#REF!</v>
      </c>
      <c r="B25" s="55"/>
      <c r="C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5"/>
      <c r="AZ25" s="55"/>
      <c r="BA25" s="55"/>
      <c r="BB25" s="55"/>
      <c r="BC25" s="55"/>
      <c r="BD25" s="55"/>
      <c r="BE25" s="55"/>
      <c r="BF25" s="55"/>
      <c r="BG25" s="55"/>
      <c r="BH25" s="55"/>
      <c r="BI25" s="55"/>
      <c r="BJ25" s="55"/>
      <c r="BK25" s="55"/>
      <c r="BL25" s="55"/>
      <c r="BM25" s="55"/>
      <c r="BN25" s="55"/>
      <c r="BO25" s="55"/>
      <c r="BP25" s="55"/>
      <c r="BQ25" s="55"/>
      <c r="BR25" s="55"/>
      <c r="BS25" s="55"/>
      <c r="BT25" s="55"/>
      <c r="BU25" s="55"/>
      <c r="BV25" s="55"/>
      <c r="BW25" s="55"/>
      <c r="BX25" s="55"/>
      <c r="BY25" s="55"/>
      <c r="BZ25" s="55"/>
      <c r="CA25" s="55"/>
      <c r="CB25" s="55"/>
      <c r="CC25" s="55"/>
      <c r="CD25" s="55"/>
      <c r="CE25" s="55"/>
      <c r="CF25" s="55"/>
      <c r="CG25" s="55"/>
      <c r="CH25" s="55"/>
      <c r="CI25" s="55"/>
      <c r="CJ25" s="55"/>
      <c r="CK25" s="55"/>
      <c r="CL25" s="55"/>
      <c r="CM25" s="55"/>
      <c r="CN25" s="55"/>
      <c r="CO25" s="55"/>
      <c r="CP25" s="55"/>
      <c r="CQ25" s="55"/>
      <c r="CR25" s="55"/>
      <c r="CS25" s="55"/>
    </row>
    <row r="26" hidden="1" outlineLevel="1">
      <c r="A26" s="375" t="str">
        <f t="shared" ref="A26:C26" si="11">IFS(AND(EXACT(LEFT(A24,5),"ERROR"),EXACT(LEFT(A22,5),"ERROR")), EXACT(MID(A24,9,10),MID(A22,9,10)), EXACT(LEFT(A24,5),"ERROR"), EXACT(LEFT(A22,10),MID(A24,9,10)),EXACT(LEFT(A22,5),"ERROR"), EXACT(LEFT(A24,10),MID(A22,9,10)),TRUE, EXACT(A22,A24))</f>
        <v>#REF!</v>
      </c>
      <c r="B26" s="375" t="b">
        <f t="shared" si="11"/>
        <v>0</v>
      </c>
      <c r="C26" s="375" t="b">
        <f t="shared" si="11"/>
        <v>0</v>
      </c>
      <c r="E26" s="375" t="b">
        <f t="shared" ref="E26:AR26" si="12">IFS(AND(EXACT(LEFT(E24,5),"ERROR"),EXACT(LEFT(E22,5),"ERROR")), EXACT(MID(E24,9,10),MID(E22,9,10)), EXACT(LEFT(E24,5),"ERROR"), EXACT(LEFT(E22,10),MID(E24,9,10)),EXACT(LEFT(E22,5),"ERROR"), EXACT(LEFT(E24,10),MID(E22,9,10)),TRUE, EXACT(E22,E24))</f>
        <v>0</v>
      </c>
      <c r="F26" s="375" t="b">
        <f t="shared" si="12"/>
        <v>0</v>
      </c>
      <c r="G26" s="375" t="b">
        <f t="shared" si="12"/>
        <v>0</v>
      </c>
      <c r="H26" s="375" t="b">
        <f t="shared" si="12"/>
        <v>0</v>
      </c>
      <c r="I26" s="375" t="b">
        <f t="shared" si="12"/>
        <v>0</v>
      </c>
      <c r="J26" s="375" t="b">
        <f t="shared" si="12"/>
        <v>0</v>
      </c>
      <c r="K26" s="375" t="b">
        <f t="shared" si="12"/>
        <v>0</v>
      </c>
      <c r="L26" s="375" t="b">
        <f t="shared" si="12"/>
        <v>0</v>
      </c>
      <c r="M26" s="375" t="b">
        <f t="shared" si="12"/>
        <v>0</v>
      </c>
      <c r="N26" s="375" t="b">
        <f t="shared" si="12"/>
        <v>0</v>
      </c>
      <c r="O26" s="375" t="b">
        <f t="shared" si="12"/>
        <v>0</v>
      </c>
      <c r="P26" s="375" t="b">
        <f t="shared" si="12"/>
        <v>0</v>
      </c>
      <c r="Q26" s="375" t="b">
        <f t="shared" si="12"/>
        <v>0</v>
      </c>
      <c r="R26" s="375" t="b">
        <f t="shared" si="12"/>
        <v>0</v>
      </c>
      <c r="S26" s="375" t="b">
        <f t="shared" si="12"/>
        <v>0</v>
      </c>
      <c r="T26" s="375" t="b">
        <f t="shared" si="12"/>
        <v>0</v>
      </c>
      <c r="U26" s="375" t="b">
        <f t="shared" si="12"/>
        <v>0</v>
      </c>
      <c r="V26" s="375" t="b">
        <f t="shared" si="12"/>
        <v>0</v>
      </c>
      <c r="W26" s="375" t="b">
        <f t="shared" si="12"/>
        <v>0</v>
      </c>
      <c r="X26" s="375" t="b">
        <f t="shared" si="12"/>
        <v>0</v>
      </c>
      <c r="Y26" s="375" t="b">
        <f t="shared" si="12"/>
        <v>0</v>
      </c>
      <c r="Z26" s="375" t="b">
        <f t="shared" si="12"/>
        <v>0</v>
      </c>
      <c r="AA26" s="375" t="b">
        <f t="shared" si="12"/>
        <v>0</v>
      </c>
      <c r="AB26" s="375" t="b">
        <f t="shared" si="12"/>
        <v>0</v>
      </c>
      <c r="AC26" s="375" t="b">
        <f t="shared" si="12"/>
        <v>0</v>
      </c>
      <c r="AD26" s="375" t="b">
        <f t="shared" si="12"/>
        <v>0</v>
      </c>
      <c r="AE26" s="375" t="b">
        <f t="shared" si="12"/>
        <v>0</v>
      </c>
      <c r="AF26" s="375" t="b">
        <f t="shared" si="12"/>
        <v>0</v>
      </c>
      <c r="AG26" s="375" t="b">
        <f t="shared" si="12"/>
        <v>0</v>
      </c>
      <c r="AH26" s="375" t="b">
        <f t="shared" si="12"/>
        <v>0</v>
      </c>
      <c r="AI26" s="375" t="b">
        <f t="shared" si="12"/>
        <v>0</v>
      </c>
      <c r="AJ26" s="375" t="b">
        <f t="shared" si="12"/>
        <v>0</v>
      </c>
      <c r="AK26" s="375" t="b">
        <f t="shared" si="12"/>
        <v>0</v>
      </c>
      <c r="AL26" s="375" t="b">
        <f t="shared" si="12"/>
        <v>0</v>
      </c>
      <c r="AM26" s="375" t="b">
        <f t="shared" si="12"/>
        <v>0</v>
      </c>
      <c r="AN26" s="375" t="b">
        <f t="shared" si="12"/>
        <v>0</v>
      </c>
      <c r="AO26" s="375" t="b">
        <f t="shared" si="12"/>
        <v>0</v>
      </c>
      <c r="AP26" s="375" t="b">
        <f t="shared" si="12"/>
        <v>0</v>
      </c>
      <c r="AQ26" s="375" t="b">
        <f t="shared" si="12"/>
        <v>0</v>
      </c>
      <c r="AR26" s="375" t="b">
        <f t="shared" si="12"/>
        <v>0</v>
      </c>
      <c r="AS26" s="375"/>
      <c r="AT26" s="375"/>
      <c r="AU26" s="375"/>
      <c r="AV26" s="375"/>
      <c r="AW26" s="375"/>
      <c r="AX26" s="375"/>
      <c r="AY26" s="375"/>
      <c r="AZ26" s="375"/>
      <c r="BA26" s="375"/>
      <c r="BB26" s="375"/>
      <c r="BC26" s="375"/>
      <c r="BD26" s="375"/>
      <c r="BE26" s="375"/>
      <c r="BF26" s="375"/>
      <c r="BG26" s="375"/>
      <c r="BH26" s="375"/>
      <c r="BI26" s="375"/>
      <c r="BJ26" s="375"/>
      <c r="BK26" s="375"/>
      <c r="BL26" s="375"/>
      <c r="BM26" s="375"/>
      <c r="BN26" s="375"/>
      <c r="BO26" s="375"/>
      <c r="BP26" s="375"/>
      <c r="BQ26" s="375"/>
      <c r="BR26" s="375"/>
      <c r="BS26" s="375"/>
      <c r="BT26" s="375"/>
      <c r="BU26" s="375"/>
      <c r="BV26" s="375"/>
      <c r="BW26" s="375"/>
      <c r="BX26" s="375"/>
      <c r="BY26" s="375"/>
      <c r="BZ26" s="375"/>
      <c r="CA26" s="375"/>
      <c r="CB26" s="375"/>
      <c r="CC26" s="375"/>
      <c r="CD26" s="375"/>
      <c r="CE26" s="375"/>
      <c r="CF26" s="375"/>
      <c r="CG26" s="375"/>
      <c r="CH26" s="375"/>
      <c r="CI26" s="375"/>
      <c r="CJ26" s="375"/>
      <c r="CK26" s="375"/>
      <c r="CL26" s="375"/>
      <c r="CM26" s="375"/>
      <c r="CN26" s="375"/>
      <c r="CO26" s="375"/>
      <c r="CP26" s="375"/>
      <c r="CQ26" s="375"/>
      <c r="CR26" s="375"/>
      <c r="CS26" s="375"/>
    </row>
    <row r="27" hidden="1" outlineLevel="1">
      <c r="A27" s="365" t="str">
        <f t="shared" ref="A27:C27" si="13">EXACT(A23,A25)</f>
        <v>#REF!</v>
      </c>
      <c r="B27" s="365" t="b">
        <f t="shared" si="13"/>
        <v>0</v>
      </c>
      <c r="C27" s="365" t="b">
        <f t="shared" si="13"/>
        <v>0</v>
      </c>
      <c r="E27" s="365" t="b">
        <f t="shared" ref="E27:AR27" si="14">EXACT(E23,E25)</f>
        <v>0</v>
      </c>
      <c r="F27" s="365" t="b">
        <f t="shared" si="14"/>
        <v>0</v>
      </c>
      <c r="G27" s="365" t="b">
        <f t="shared" si="14"/>
        <v>0</v>
      </c>
      <c r="H27" s="365" t="b">
        <f t="shared" si="14"/>
        <v>0</v>
      </c>
      <c r="I27" s="365" t="b">
        <f t="shared" si="14"/>
        <v>0</v>
      </c>
      <c r="J27" s="365" t="b">
        <f t="shared" si="14"/>
        <v>0</v>
      </c>
      <c r="K27" s="365" t="b">
        <f t="shared" si="14"/>
        <v>0</v>
      </c>
      <c r="L27" s="365" t="b">
        <f t="shared" si="14"/>
        <v>0</v>
      </c>
      <c r="M27" s="365" t="b">
        <f t="shared" si="14"/>
        <v>0</v>
      </c>
      <c r="N27" s="365" t="b">
        <f t="shared" si="14"/>
        <v>0</v>
      </c>
      <c r="O27" s="365" t="b">
        <f t="shared" si="14"/>
        <v>0</v>
      </c>
      <c r="P27" s="365" t="b">
        <f t="shared" si="14"/>
        <v>0</v>
      </c>
      <c r="Q27" s="365" t="b">
        <f t="shared" si="14"/>
        <v>0</v>
      </c>
      <c r="R27" s="365" t="b">
        <f t="shared" si="14"/>
        <v>0</v>
      </c>
      <c r="S27" s="365" t="b">
        <f t="shared" si="14"/>
        <v>0</v>
      </c>
      <c r="T27" s="365" t="b">
        <f t="shared" si="14"/>
        <v>0</v>
      </c>
      <c r="U27" s="365" t="b">
        <f t="shared" si="14"/>
        <v>0</v>
      </c>
      <c r="V27" s="365" t="b">
        <f t="shared" si="14"/>
        <v>0</v>
      </c>
      <c r="W27" s="365" t="b">
        <f t="shared" si="14"/>
        <v>0</v>
      </c>
      <c r="X27" s="365" t="b">
        <f t="shared" si="14"/>
        <v>0</v>
      </c>
      <c r="Y27" s="365" t="b">
        <f t="shared" si="14"/>
        <v>0</v>
      </c>
      <c r="Z27" s="365" t="b">
        <f t="shared" si="14"/>
        <v>0</v>
      </c>
      <c r="AA27" s="365" t="b">
        <f t="shared" si="14"/>
        <v>0</v>
      </c>
      <c r="AB27" s="365" t="b">
        <f t="shared" si="14"/>
        <v>0</v>
      </c>
      <c r="AC27" s="365" t="b">
        <f t="shared" si="14"/>
        <v>0</v>
      </c>
      <c r="AD27" s="365" t="b">
        <f t="shared" si="14"/>
        <v>0</v>
      </c>
      <c r="AE27" s="365" t="b">
        <f t="shared" si="14"/>
        <v>0</v>
      </c>
      <c r="AF27" s="365" t="b">
        <f t="shared" si="14"/>
        <v>0</v>
      </c>
      <c r="AG27" s="365" t="b">
        <f t="shared" si="14"/>
        <v>0</v>
      </c>
      <c r="AH27" s="365" t="b">
        <f t="shared" si="14"/>
        <v>0</v>
      </c>
      <c r="AI27" s="365" t="b">
        <f t="shared" si="14"/>
        <v>0</v>
      </c>
      <c r="AJ27" s="365" t="b">
        <f t="shared" si="14"/>
        <v>0</v>
      </c>
      <c r="AK27" s="365" t="b">
        <f t="shared" si="14"/>
        <v>0</v>
      </c>
      <c r="AL27" s="365" t="b">
        <f t="shared" si="14"/>
        <v>0</v>
      </c>
      <c r="AM27" s="365" t="b">
        <f t="shared" si="14"/>
        <v>0</v>
      </c>
      <c r="AN27" s="365" t="b">
        <f t="shared" si="14"/>
        <v>0</v>
      </c>
      <c r="AO27" s="365" t="b">
        <f t="shared" si="14"/>
        <v>0</v>
      </c>
      <c r="AP27" s="365" t="b">
        <f t="shared" si="14"/>
        <v>0</v>
      </c>
      <c r="AQ27" s="365" t="b">
        <f t="shared" si="14"/>
        <v>0</v>
      </c>
      <c r="AR27" s="365" t="b">
        <f t="shared" si="14"/>
        <v>0</v>
      </c>
      <c r="AS27" s="365"/>
      <c r="AT27" s="365"/>
      <c r="AU27" s="365"/>
      <c r="AV27" s="365"/>
      <c r="AW27" s="365"/>
      <c r="AX27" s="365"/>
      <c r="AY27" s="365"/>
      <c r="AZ27" s="365"/>
      <c r="BA27" s="365"/>
      <c r="BB27" s="365"/>
      <c r="BC27" s="365"/>
      <c r="BD27" s="365"/>
      <c r="BE27" s="365"/>
      <c r="BF27" s="365"/>
      <c r="BG27" s="365"/>
      <c r="BH27" s="365"/>
      <c r="BI27" s="365"/>
      <c r="BJ27" s="365"/>
      <c r="BK27" s="365"/>
      <c r="BL27" s="365"/>
      <c r="BM27" s="365"/>
      <c r="BN27" s="365"/>
      <c r="BO27" s="365"/>
      <c r="BP27" s="365"/>
      <c r="BQ27" s="365"/>
      <c r="BR27" s="365"/>
      <c r="BS27" s="365"/>
      <c r="BT27" s="365"/>
      <c r="BU27" s="365"/>
      <c r="BV27" s="365"/>
      <c r="BW27" s="365"/>
      <c r="BX27" s="365"/>
      <c r="BY27" s="365"/>
      <c r="BZ27" s="365"/>
      <c r="CA27" s="365"/>
      <c r="CB27" s="365"/>
      <c r="CC27" s="365"/>
      <c r="CD27" s="365"/>
      <c r="CE27" s="365"/>
      <c r="CF27" s="365"/>
      <c r="CG27" s="365"/>
      <c r="CH27" s="365"/>
      <c r="CI27" s="365"/>
      <c r="CJ27" s="365"/>
      <c r="CK27" s="365"/>
      <c r="CL27" s="365"/>
      <c r="CM27" s="365"/>
      <c r="CN27" s="365"/>
      <c r="CO27" s="365"/>
      <c r="CP27" s="365"/>
      <c r="CQ27" s="365"/>
      <c r="CR27" s="365"/>
      <c r="CS27" s="365"/>
    </row>
    <row r="29" collapsed="1">
      <c r="A29" s="382" t="s">
        <v>984</v>
      </c>
      <c r="B29" s="53" t="str">
        <f>IFNA(IF(MATCH("END",A30:CS30,0)&gt;MATCH("END",A32:CS32,0),MATCH("END",A30:CS30,0),MATCH("END",A32:CS32,0)),"END Missing")</f>
        <v>END Missing</v>
      </c>
      <c r="C29" s="44" t="str">
        <f t="array" ref="C29">IF(AND(INDIRECT(CONCATENATE("$A$",ROW(C29)+5,":",ADDRESS(ROW(C29)+5,B29)))),"Headers Match","ERROR!! Headers Mismatch")</f>
        <v>#VALUE!</v>
      </c>
      <c r="E29" s="44" t="str">
        <f t="array" ref="E29">IF(AND(INDIRECT(CONCATENATE("$A$",ROW(E29)+6,":",ADDRESS(ROW(E29)+6,B29)))),"Formulas Match","ERROR!! Formulas Mismatch")</f>
        <v>#VALUE!</v>
      </c>
      <c r="F29" s="353"/>
    </row>
    <row r="30" hidden="1" outlineLevel="1">
      <c r="A30" s="58" t="str">
        <f t="shared" ref="A30:AZ30" si="15">INDIRECT(CONCATENATE($A29,"!",ADDRESS(1,COLUMN(A29))))</f>
        <v>#REF!</v>
      </c>
      <c r="B30" s="58" t="str">
        <f t="shared" si="15"/>
        <v>#REF!</v>
      </c>
      <c r="C30" s="58" t="str">
        <f t="shared" si="15"/>
        <v>#REF!</v>
      </c>
      <c r="D30" s="58" t="str">
        <f t="shared" si="15"/>
        <v>#REF!</v>
      </c>
      <c r="E30" s="58" t="str">
        <f t="shared" si="15"/>
        <v>#REF!</v>
      </c>
      <c r="F30" s="58" t="str">
        <f t="shared" si="15"/>
        <v>#REF!</v>
      </c>
      <c r="G30" s="58" t="str">
        <f t="shared" si="15"/>
        <v>#REF!</v>
      </c>
      <c r="H30" s="58" t="str">
        <f t="shared" si="15"/>
        <v>#REF!</v>
      </c>
      <c r="I30" s="58" t="str">
        <f t="shared" si="15"/>
        <v>#REF!</v>
      </c>
      <c r="J30" s="58" t="str">
        <f t="shared" si="15"/>
        <v>#REF!</v>
      </c>
      <c r="K30" s="58" t="str">
        <f t="shared" si="15"/>
        <v>#REF!</v>
      </c>
      <c r="L30" s="58" t="str">
        <f t="shared" si="15"/>
        <v>#REF!</v>
      </c>
      <c r="M30" s="58" t="str">
        <f t="shared" si="15"/>
        <v>#REF!</v>
      </c>
      <c r="N30" s="58" t="str">
        <f t="shared" si="15"/>
        <v>#REF!</v>
      </c>
      <c r="O30" s="58" t="str">
        <f t="shared" si="15"/>
        <v>#REF!</v>
      </c>
      <c r="P30" s="58" t="str">
        <f t="shared" si="15"/>
        <v>#REF!</v>
      </c>
      <c r="Q30" s="58" t="str">
        <f t="shared" si="15"/>
        <v>#REF!</v>
      </c>
      <c r="R30" s="58" t="str">
        <f t="shared" si="15"/>
        <v>#REF!</v>
      </c>
      <c r="S30" s="58" t="str">
        <f t="shared" si="15"/>
        <v>#REF!</v>
      </c>
      <c r="T30" s="58" t="str">
        <f t="shared" si="15"/>
        <v>#REF!</v>
      </c>
      <c r="U30" s="58" t="str">
        <f t="shared" si="15"/>
        <v>#REF!</v>
      </c>
      <c r="V30" s="58" t="str">
        <f t="shared" si="15"/>
        <v>#REF!</v>
      </c>
      <c r="W30" s="58" t="str">
        <f t="shared" si="15"/>
        <v>#REF!</v>
      </c>
      <c r="X30" s="58" t="str">
        <f t="shared" si="15"/>
        <v>#REF!</v>
      </c>
      <c r="Y30" s="58" t="str">
        <f t="shared" si="15"/>
        <v>#REF!</v>
      </c>
      <c r="Z30" s="58" t="str">
        <f t="shared" si="15"/>
        <v>#REF!</v>
      </c>
      <c r="AA30" s="58" t="str">
        <f t="shared" si="15"/>
        <v>#REF!</v>
      </c>
      <c r="AB30" s="58" t="str">
        <f t="shared" si="15"/>
        <v>#REF!</v>
      </c>
      <c r="AC30" s="58" t="str">
        <f t="shared" si="15"/>
        <v>#REF!</v>
      </c>
      <c r="AD30" s="58" t="str">
        <f t="shared" si="15"/>
        <v>#REF!</v>
      </c>
      <c r="AE30" s="58" t="str">
        <f t="shared" si="15"/>
        <v>#REF!</v>
      </c>
      <c r="AF30" s="58" t="str">
        <f t="shared" si="15"/>
        <v>#REF!</v>
      </c>
      <c r="AG30" s="58" t="str">
        <f t="shared" si="15"/>
        <v>#REF!</v>
      </c>
      <c r="AH30" s="58" t="str">
        <f t="shared" si="15"/>
        <v>#REF!</v>
      </c>
      <c r="AI30" s="58" t="str">
        <f t="shared" si="15"/>
        <v>#REF!</v>
      </c>
      <c r="AJ30" s="58" t="str">
        <f t="shared" si="15"/>
        <v>#REF!</v>
      </c>
      <c r="AK30" s="58" t="str">
        <f t="shared" si="15"/>
        <v>#REF!</v>
      </c>
      <c r="AL30" s="58" t="str">
        <f t="shared" si="15"/>
        <v>#REF!</v>
      </c>
      <c r="AM30" s="58" t="str">
        <f t="shared" si="15"/>
        <v>#REF!</v>
      </c>
      <c r="AN30" s="58" t="str">
        <f t="shared" si="15"/>
        <v>#REF!</v>
      </c>
      <c r="AO30" s="58" t="str">
        <f t="shared" si="15"/>
        <v>#REF!</v>
      </c>
      <c r="AP30" s="58" t="str">
        <f t="shared" si="15"/>
        <v>#REF!</v>
      </c>
      <c r="AQ30" s="58" t="str">
        <f t="shared" si="15"/>
        <v>#REF!</v>
      </c>
      <c r="AR30" s="58" t="str">
        <f t="shared" si="15"/>
        <v>#REF!</v>
      </c>
      <c r="AS30" s="58" t="str">
        <f t="shared" si="15"/>
        <v>#REF!</v>
      </c>
      <c r="AT30" s="58" t="str">
        <f t="shared" si="15"/>
        <v>#REF!</v>
      </c>
      <c r="AU30" s="58" t="str">
        <f t="shared" si="15"/>
        <v>#REF!</v>
      </c>
      <c r="AV30" s="58" t="str">
        <f t="shared" si="15"/>
        <v>#REF!</v>
      </c>
      <c r="AW30" s="58" t="str">
        <f t="shared" si="15"/>
        <v>#REF!</v>
      </c>
      <c r="AX30" s="58" t="str">
        <f t="shared" si="15"/>
        <v>#REF!</v>
      </c>
      <c r="AY30" s="58" t="str">
        <f t="shared" si="15"/>
        <v>#REF!</v>
      </c>
      <c r="AZ30" s="58" t="str">
        <f t="shared" si="15"/>
        <v>#REF!</v>
      </c>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row>
    <row r="31" hidden="1" outlineLevel="1">
      <c r="A31" s="384" t="str">
        <f t="array" ref="A31">IF(_xlfn.ISFORMULA(INDIRECT(CONCATENATE($A29,"!",ADDRESS(1,COLUMN(A29))))),FORMULATEXT(INDIRECT(CONCATENATE($A29,"!",ADDRESS(2,COLUMN(A29))))),"BLANK")</f>
        <v>#REF!</v>
      </c>
      <c r="B31" s="385"/>
      <c r="C31" s="385"/>
      <c r="D31" s="385"/>
      <c r="E31" s="386"/>
      <c r="F31" s="386"/>
      <c r="G31" s="386"/>
      <c r="H31" s="386"/>
      <c r="I31" s="386"/>
      <c r="J31" s="386"/>
      <c r="K31" s="386"/>
      <c r="L31" s="386"/>
      <c r="M31" s="386"/>
      <c r="N31" s="386"/>
      <c r="O31" s="386"/>
      <c r="P31" s="386"/>
      <c r="Q31" s="386"/>
      <c r="R31" s="386"/>
      <c r="S31" s="386"/>
      <c r="T31" s="386"/>
      <c r="U31" s="386"/>
      <c r="V31" s="386"/>
      <c r="W31" s="386"/>
      <c r="X31" s="386"/>
      <c r="Y31" s="386"/>
      <c r="Z31" s="386"/>
      <c r="AA31" s="386"/>
      <c r="AB31" s="386"/>
      <c r="AC31" s="386"/>
      <c r="AD31" s="386"/>
      <c r="AE31" s="386"/>
      <c r="AF31" s="386"/>
      <c r="AG31" s="386"/>
      <c r="AH31" s="386"/>
      <c r="AI31" s="386"/>
      <c r="AJ31" s="386"/>
      <c r="AK31" s="386"/>
      <c r="AL31" s="386"/>
      <c r="AM31" s="386"/>
      <c r="AN31" s="386"/>
      <c r="AO31" s="386"/>
      <c r="AP31" s="386"/>
      <c r="AQ31" s="386"/>
      <c r="AR31" s="386"/>
      <c r="AS31" s="386"/>
      <c r="AT31" s="386"/>
      <c r="AU31" s="386"/>
      <c r="AV31" s="386"/>
      <c r="AW31" s="386"/>
      <c r="AX31" s="386"/>
      <c r="AY31" s="386"/>
      <c r="AZ31" s="386"/>
      <c r="BA31" s="386"/>
      <c r="BB31" s="386"/>
      <c r="BC31" s="386"/>
      <c r="BD31" s="386"/>
      <c r="BE31" s="386"/>
      <c r="BF31" s="386"/>
      <c r="BG31" s="386"/>
      <c r="BH31" s="386"/>
      <c r="BI31" s="386"/>
      <c r="BJ31" s="386"/>
      <c r="BK31" s="386"/>
      <c r="BL31" s="386"/>
      <c r="BM31" s="386"/>
      <c r="BN31" s="386"/>
      <c r="BO31" s="386"/>
      <c r="BP31" s="386"/>
      <c r="BQ31" s="386"/>
      <c r="BR31" s="386"/>
      <c r="BS31" s="386"/>
      <c r="BT31" s="386"/>
      <c r="BU31" s="386"/>
      <c r="BV31" s="386"/>
      <c r="BW31" s="386"/>
      <c r="BX31" s="386"/>
      <c r="BY31" s="386"/>
      <c r="BZ31" s="386"/>
      <c r="CA31" s="386"/>
      <c r="CB31" s="386"/>
      <c r="CC31" s="386"/>
      <c r="CD31" s="386"/>
      <c r="CE31" s="386"/>
      <c r="CF31" s="386"/>
      <c r="CG31" s="386"/>
      <c r="CH31" s="386"/>
      <c r="CI31" s="386"/>
      <c r="CJ31" s="386"/>
      <c r="CK31" s="386"/>
      <c r="CL31" s="386"/>
      <c r="CM31" s="386"/>
      <c r="CN31" s="386"/>
      <c r="CO31" s="386"/>
      <c r="CP31" s="386"/>
      <c r="CQ31" s="386"/>
      <c r="CR31" s="386"/>
      <c r="CS31" s="386"/>
    </row>
    <row r="32" hidden="1" outlineLevel="1">
      <c r="A32" s="387" t="str">
        <f>IFERROR(__xludf.DUMMYFUNCTION("IMPORTRANGE($B$1,CONCATENATE($A29,""!A1:1""))"),"#REF!")</f>
        <v>#REF!</v>
      </c>
      <c r="B32" s="387"/>
      <c r="C32" s="387"/>
      <c r="D32" s="387"/>
      <c r="E32" s="387"/>
      <c r="F32" s="387"/>
      <c r="G32" s="387"/>
      <c r="H32" s="387"/>
      <c r="I32" s="387"/>
      <c r="J32" s="387"/>
      <c r="K32" s="387"/>
      <c r="L32" s="387"/>
      <c r="M32" s="387"/>
      <c r="N32" s="387"/>
      <c r="O32" s="387"/>
      <c r="P32" s="387"/>
      <c r="Q32" s="387"/>
      <c r="R32" s="387"/>
      <c r="S32" s="387"/>
      <c r="T32" s="387"/>
      <c r="U32" s="387"/>
      <c r="V32" s="387"/>
      <c r="W32" s="387"/>
      <c r="X32" s="387"/>
      <c r="Y32" s="387"/>
      <c r="Z32" s="387"/>
      <c r="AA32" s="387"/>
      <c r="AB32" s="387"/>
      <c r="AC32" s="387"/>
      <c r="AD32" s="387"/>
      <c r="AE32" s="387"/>
      <c r="AF32" s="387"/>
      <c r="AG32" s="387"/>
      <c r="AH32" s="387"/>
      <c r="AI32" s="387"/>
      <c r="AJ32" s="387"/>
      <c r="AK32" s="387"/>
      <c r="AL32" s="387"/>
      <c r="AM32" s="387"/>
      <c r="AN32" s="387"/>
      <c r="AO32" s="387"/>
      <c r="AP32" s="387"/>
      <c r="AQ32" s="387"/>
      <c r="AR32" s="387"/>
      <c r="AS32" s="387"/>
      <c r="AT32" s="387"/>
      <c r="AU32" s="387"/>
      <c r="AV32" s="387"/>
      <c r="AW32" s="387"/>
      <c r="AX32" s="387"/>
      <c r="AY32" s="387"/>
      <c r="AZ32" s="387"/>
      <c r="BA32" s="387"/>
      <c r="BB32" s="387"/>
      <c r="BC32" s="387"/>
      <c r="BD32" s="387"/>
      <c r="BE32" s="387"/>
      <c r="BF32" s="387"/>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row>
    <row r="33" hidden="1" outlineLevel="1">
      <c r="A33" s="384" t="str">
        <f>IFERROR(__xludf.DUMMYFUNCTION("IMPORTRANGE($B$1,CONCATENATE($A29,""!A3""))"),"#REF!")</f>
        <v>#REF!</v>
      </c>
      <c r="B33" s="388"/>
      <c r="C33" s="388"/>
      <c r="D33" s="388"/>
    </row>
    <row r="34" hidden="1" outlineLevel="1">
      <c r="A34" s="375" t="str">
        <f t="shared" ref="A34:AS34" si="16">IFS(AND(EXACT(LEFT(A32,5),"ERROR"),EXACT(LEFT(A30,5),"ERROR")), EXACT(MID(A32,9,10),MID(A30,9,10)), EXACT(LEFT(A32,5),"ERROR"), EXACT(LEFT(A30,10),MID(A32,9,10)),EXACT(LEFT(A30,5),"ERROR"), EXACT(LEFT(A32,10),MID(A30,9,10)),TRUE, EXACT(A30,A32))</f>
        <v>#REF!</v>
      </c>
      <c r="B34" s="375" t="str">
        <f t="shared" si="16"/>
        <v>#REF!</v>
      </c>
      <c r="C34" s="375" t="str">
        <f t="shared" si="16"/>
        <v>#REF!</v>
      </c>
      <c r="D34" s="375" t="str">
        <f t="shared" si="16"/>
        <v>#REF!</v>
      </c>
      <c r="E34" s="375" t="str">
        <f t="shared" si="16"/>
        <v>#REF!</v>
      </c>
      <c r="F34" s="375" t="str">
        <f t="shared" si="16"/>
        <v>#REF!</v>
      </c>
      <c r="G34" s="375" t="str">
        <f t="shared" si="16"/>
        <v>#REF!</v>
      </c>
      <c r="H34" s="375" t="str">
        <f t="shared" si="16"/>
        <v>#REF!</v>
      </c>
      <c r="I34" s="375" t="str">
        <f t="shared" si="16"/>
        <v>#REF!</v>
      </c>
      <c r="J34" s="375" t="str">
        <f t="shared" si="16"/>
        <v>#REF!</v>
      </c>
      <c r="K34" s="375" t="str">
        <f t="shared" si="16"/>
        <v>#REF!</v>
      </c>
      <c r="L34" s="375" t="str">
        <f t="shared" si="16"/>
        <v>#REF!</v>
      </c>
      <c r="M34" s="375" t="str">
        <f t="shared" si="16"/>
        <v>#REF!</v>
      </c>
      <c r="N34" s="375" t="str">
        <f t="shared" si="16"/>
        <v>#REF!</v>
      </c>
      <c r="O34" s="375" t="str">
        <f t="shared" si="16"/>
        <v>#REF!</v>
      </c>
      <c r="P34" s="375" t="str">
        <f t="shared" si="16"/>
        <v>#REF!</v>
      </c>
      <c r="Q34" s="375" t="str">
        <f t="shared" si="16"/>
        <v>#REF!</v>
      </c>
      <c r="R34" s="375" t="str">
        <f t="shared" si="16"/>
        <v>#REF!</v>
      </c>
      <c r="S34" s="375" t="str">
        <f t="shared" si="16"/>
        <v>#REF!</v>
      </c>
      <c r="T34" s="375" t="str">
        <f t="shared" si="16"/>
        <v>#REF!</v>
      </c>
      <c r="U34" s="375" t="str">
        <f t="shared" si="16"/>
        <v>#REF!</v>
      </c>
      <c r="V34" s="375" t="str">
        <f t="shared" si="16"/>
        <v>#REF!</v>
      </c>
      <c r="W34" s="375" t="str">
        <f t="shared" si="16"/>
        <v>#REF!</v>
      </c>
      <c r="X34" s="375" t="str">
        <f t="shared" si="16"/>
        <v>#REF!</v>
      </c>
      <c r="Y34" s="375" t="str">
        <f t="shared" si="16"/>
        <v>#REF!</v>
      </c>
      <c r="Z34" s="375" t="str">
        <f t="shared" si="16"/>
        <v>#REF!</v>
      </c>
      <c r="AA34" s="375" t="str">
        <f t="shared" si="16"/>
        <v>#REF!</v>
      </c>
      <c r="AB34" s="375" t="str">
        <f t="shared" si="16"/>
        <v>#REF!</v>
      </c>
      <c r="AC34" s="375" t="str">
        <f t="shared" si="16"/>
        <v>#REF!</v>
      </c>
      <c r="AD34" s="375" t="str">
        <f t="shared" si="16"/>
        <v>#REF!</v>
      </c>
      <c r="AE34" s="375" t="str">
        <f t="shared" si="16"/>
        <v>#REF!</v>
      </c>
      <c r="AF34" s="375" t="str">
        <f t="shared" si="16"/>
        <v>#REF!</v>
      </c>
      <c r="AG34" s="375" t="str">
        <f t="shared" si="16"/>
        <v>#REF!</v>
      </c>
      <c r="AH34" s="375" t="str">
        <f t="shared" si="16"/>
        <v>#REF!</v>
      </c>
      <c r="AI34" s="375" t="str">
        <f t="shared" si="16"/>
        <v>#REF!</v>
      </c>
      <c r="AJ34" s="375" t="str">
        <f t="shared" si="16"/>
        <v>#REF!</v>
      </c>
      <c r="AK34" s="375" t="str">
        <f t="shared" si="16"/>
        <v>#REF!</v>
      </c>
      <c r="AL34" s="375" t="str">
        <f t="shared" si="16"/>
        <v>#REF!</v>
      </c>
      <c r="AM34" s="375" t="str">
        <f t="shared" si="16"/>
        <v>#REF!</v>
      </c>
      <c r="AN34" s="375" t="str">
        <f t="shared" si="16"/>
        <v>#REF!</v>
      </c>
      <c r="AO34" s="375" t="str">
        <f t="shared" si="16"/>
        <v>#REF!</v>
      </c>
      <c r="AP34" s="375" t="str">
        <f t="shared" si="16"/>
        <v>#REF!</v>
      </c>
      <c r="AQ34" s="375" t="str">
        <f t="shared" si="16"/>
        <v>#REF!</v>
      </c>
      <c r="AR34" s="375" t="str">
        <f t="shared" si="16"/>
        <v>#REF!</v>
      </c>
      <c r="AS34" s="375" t="str">
        <f t="shared" si="16"/>
        <v>#REF!</v>
      </c>
      <c r="AT34" s="375"/>
      <c r="AU34" s="375"/>
      <c r="AV34" s="375"/>
      <c r="AW34" s="375"/>
      <c r="AX34" s="375"/>
      <c r="AY34" s="375"/>
      <c r="AZ34" s="375"/>
      <c r="BA34" s="375"/>
      <c r="BB34" s="375"/>
      <c r="BC34" s="375"/>
      <c r="BD34" s="375"/>
      <c r="BE34" s="375"/>
      <c r="BF34" s="375"/>
      <c r="BG34" s="375"/>
      <c r="BH34" s="375"/>
      <c r="BI34" s="375"/>
      <c r="BJ34" s="375"/>
      <c r="BK34" s="375"/>
      <c r="BL34" s="375"/>
      <c r="BM34" s="375"/>
      <c r="BN34" s="375"/>
      <c r="BO34" s="375"/>
      <c r="BP34" s="375"/>
      <c r="BQ34" s="375"/>
      <c r="BR34" s="375"/>
      <c r="BS34" s="375"/>
      <c r="BT34" s="375"/>
      <c r="BU34" s="375"/>
      <c r="BV34" s="375"/>
      <c r="BW34" s="375"/>
      <c r="BX34" s="375"/>
      <c r="BY34" s="375"/>
      <c r="BZ34" s="375"/>
      <c r="CA34" s="375"/>
      <c r="CB34" s="375"/>
      <c r="CC34" s="375"/>
      <c r="CD34" s="375"/>
      <c r="CE34" s="375"/>
      <c r="CF34" s="375"/>
      <c r="CG34" s="375"/>
      <c r="CH34" s="375"/>
      <c r="CI34" s="375"/>
      <c r="CJ34" s="375"/>
      <c r="CK34" s="375"/>
      <c r="CL34" s="375"/>
      <c r="CM34" s="375"/>
      <c r="CN34" s="375"/>
      <c r="CO34" s="375"/>
      <c r="CP34" s="375"/>
      <c r="CQ34" s="375"/>
      <c r="CR34" s="375"/>
      <c r="CS34" s="375"/>
    </row>
    <row r="35" hidden="1" outlineLevel="1">
      <c r="A35" s="365" t="str">
        <f>EXACT(A31,A33)</f>
        <v>#REF!</v>
      </c>
    </row>
    <row r="37" collapsed="1">
      <c r="A37" s="359" t="s">
        <v>930</v>
      </c>
      <c r="B37" s="53" t="str">
        <f>IFNA(IF(MATCH("END",A38:CS38,0)&gt;MATCH("END",A41:CS41,0),MATCH("END",A38:CS38,0),MATCH("END",A41:CS41,0)),"END Missing")</f>
        <v>END Missing</v>
      </c>
      <c r="C37" s="44" t="str">
        <f t="array" ref="C37">IF(AND(INDIRECT(CONCATENATE("$A$",ROW(C37)+7,":",ADDRESS(ROW(C37)+7,B37)))),"Headers Match","ERROR!! Headers Mismatch")</f>
        <v>#VALUE!</v>
      </c>
      <c r="D37" s="44" t="str">
        <f t="array" ref="D37">IF(AND(INDIRECT(CONCATENATE("$A$",ROW(C37)+8,":",ADDRESS(ROW(C37)+8,B37)))),"Header Formulas Match","ERROR!! Header Formulas Mismatch")</f>
        <v>#VALUE!</v>
      </c>
      <c r="E37" s="44" t="str">
        <f t="array" ref="E37">IF(AND(INDIRECT(CONCATENATE("$A$",ROW(E37)+9,":",ADDRESS(ROW(E37)+9,B37)))),"Formulas Match","ERROR!! Formulas Mismatch")</f>
        <v>#VALUE!</v>
      </c>
      <c r="F37" s="353"/>
      <c r="G37" s="389"/>
    </row>
    <row r="38" hidden="1" outlineLevel="1">
      <c r="A38" s="58" t="str">
        <f t="shared" ref="A38:AM38" si="17">INDIRECT(CONCATENATE($A37,"!",ADDRESS(1,COLUMN(A38))))</f>
        <v>Person 
Firstname</v>
      </c>
      <c r="B38" s="58" t="str">
        <f t="shared" si="17"/>
        <v>Person Lastname</v>
      </c>
      <c r="C38" s="58" t="str">
        <f t="shared" si="17"/>
        <v>Person 
Fullname</v>
      </c>
      <c r="D38" s="58" t="str">
        <f t="shared" si="17"/>
        <v>ERROR!! Num Person Samples = 0</v>
      </c>
      <c r="E38" s="58" t="str">
        <f t="shared" si="17"/>
        <v>Participant ID</v>
      </c>
      <c r="F38" s="58" t="str">
        <f t="shared" si="17"/>
        <v>OK UNIQUE - Participant ID Number</v>
      </c>
      <c r="G38" s="58" t="str">
        <f t="shared" si="17"/>
        <v/>
      </c>
      <c r="H38" s="58" t="str">
        <f t="shared" si="17"/>
        <v>Household ID</v>
      </c>
      <c r="I38" s="58" t="str">
        <f t="shared" si="17"/>
        <v>HH Code</v>
      </c>
      <c r="J38" s="58" t="str">
        <f t="shared" si="17"/>
        <v>Cohort</v>
      </c>
      <c r="K38" s="58" t="str">
        <f t="shared" si="17"/>
        <v>ERROR!! Num Sponsored Tubes = 0</v>
      </c>
      <c r="L38" s="58" t="str">
        <f t="shared" si="17"/>
        <v>Accounts CSV Designation</v>
      </c>
      <c r="M38" s="58" t="str">
        <f t="shared" si="17"/>
        <v>Relation</v>
      </c>
      <c r="N38" s="58" t="str">
        <f t="shared" si="17"/>
        <v>No Sample?</v>
      </c>
      <c r="O38" s="58" t="str">
        <f t="shared" si="17"/>
        <v>App Role</v>
      </c>
      <c r="P38" s="58" t="str">
        <f t="shared" si="17"/>
        <v>APP
GROUP</v>
      </c>
      <c r="Q38" s="58" t="str">
        <f t="shared" si="17"/>
        <v>FINAL
GROUP</v>
      </c>
      <c r="R38" s="58" t="str">
        <f t="shared" si="17"/>
        <v>Other Source (Not App)</v>
      </c>
      <c r="S38" s="58" t="str">
        <f t="shared" si="17"/>
        <v>Consent</v>
      </c>
      <c r="T38" s="58" t="str">
        <f t="shared" si="17"/>
        <v>1st FL Positive Date</v>
      </c>
      <c r="U38" s="58" t="str">
        <f t="shared" si="17"/>
        <v>FL Deconv Positive?</v>
      </c>
      <c r="V38" s="58" t="str">
        <f t="shared" si="17"/>
        <v>Referral Test Positive?</v>
      </c>
      <c r="W38" s="58" t="str">
        <f t="shared" si="17"/>
        <v>Referral Test Type?</v>
      </c>
      <c r="X38" s="58" t="str">
        <f t="shared" si="17"/>
        <v>Person Notes</v>
      </c>
      <c r="Y38" s="58" t="str">
        <f t="shared" si="17"/>
        <v>Values in Live</v>
      </c>
      <c r="Z38" s="58" t="str">
        <f t="shared" si="17"/>
        <v/>
      </c>
      <c r="AA38" s="58" t="str">
        <f t="shared" si="17"/>
        <v>Household ID for Count Check</v>
      </c>
      <c r="AB38" s="58" t="str">
        <f t="shared" si="17"/>
        <v>ERROR!! Num Persons in Household</v>
      </c>
      <c r="AC38" s="58" t="str">
        <f t="shared" si="17"/>
        <v>LIVE</v>
      </c>
      <c r="AD38" s="58" t="str">
        <f t="shared" si="17"/>
        <v>ERROR!! Live in Values</v>
      </c>
      <c r="AE38" s="58" t="str">
        <f t="shared" si="17"/>
        <v>Live Combined Participant Firstname</v>
      </c>
      <c r="AF38" s="58" t="str">
        <f t="shared" si="17"/>
        <v>Live Combined Participant Lastname</v>
      </c>
      <c r="AG38" s="58" t="str">
        <f t="shared" si="17"/>
        <v>Live Combined 
Participant Fullname</v>
      </c>
      <c r="AH38" s="58" t="str">
        <f t="shared" si="17"/>
        <v>ERROR!! Num Person Samples = 690</v>
      </c>
      <c r="AI38" s="58" t="str">
        <f t="shared" si="17"/>
        <v>Names Merge SetNum</v>
      </c>
      <c r="AJ38" s="58" t="str">
        <f t="shared" si="17"/>
        <v>Names Merge Notes</v>
      </c>
      <c r="AK38" s="58" t="str">
        <f t="shared" si="17"/>
        <v/>
      </c>
      <c r="AL38" s="58" t="str">
        <f t="shared" si="17"/>
        <v>Sponsor Fullnames - All Match Live CHECK LENGTH SAME</v>
      </c>
      <c r="AM38" s="58" t="str">
        <f t="shared" si="17"/>
        <v>Live Sponsor Fullname</v>
      </c>
      <c r="AN38" s="58"/>
      <c r="AO38" s="58"/>
      <c r="AP38" s="58"/>
      <c r="AQ38" s="58"/>
      <c r="AR38" s="58"/>
      <c r="AS38" s="58"/>
      <c r="AT38" s="58"/>
      <c r="AU38" s="58"/>
      <c r="AV38" s="58"/>
      <c r="AW38" s="58"/>
      <c r="AX38" s="58"/>
      <c r="AY38" s="58"/>
      <c r="AZ38" s="58"/>
      <c r="BA38" s="58"/>
      <c r="BB38" s="58"/>
      <c r="BC38" s="58"/>
      <c r="BD38" s="58"/>
      <c r="BE38" s="58"/>
      <c r="BF38" s="44"/>
      <c r="BG38" s="44"/>
      <c r="BH38" s="44"/>
      <c r="BI38" s="44"/>
      <c r="BJ38" s="44"/>
      <c r="BK38" s="44"/>
      <c r="BL38" s="44"/>
      <c r="BM38" s="44"/>
      <c r="BN38" s="44"/>
      <c r="BO38" s="44"/>
      <c r="BP38" s="44"/>
      <c r="BQ38" s="44"/>
      <c r="BR38" s="44"/>
      <c r="BS38" s="44"/>
      <c r="BT38" s="44"/>
      <c r="BU38" s="44"/>
      <c r="BV38" s="44"/>
      <c r="BW38" s="44"/>
      <c r="BX38" s="44"/>
      <c r="BY38" s="44"/>
      <c r="BZ38" s="44"/>
      <c r="CA38" s="44"/>
      <c r="CB38" s="44"/>
      <c r="CC38" s="44"/>
      <c r="CD38" s="44"/>
      <c r="CE38" s="44"/>
      <c r="CF38" s="44"/>
      <c r="CG38" s="44"/>
      <c r="CH38" s="44"/>
      <c r="CI38" s="44"/>
      <c r="CJ38" s="44"/>
      <c r="CK38" s="44"/>
      <c r="CL38" s="44"/>
      <c r="CM38" s="44"/>
      <c r="CN38" s="44"/>
      <c r="CO38" s="44"/>
      <c r="CP38" s="44"/>
      <c r="CQ38" s="44"/>
      <c r="CR38" s="44"/>
      <c r="CS38" s="44"/>
    </row>
    <row r="39" hidden="1" outlineLevel="1">
      <c r="A39" s="364" t="str">
        <f t="shared" ref="A39:AZ39" si="18">IF(_xlfn.ISFORMULA(INDIRECT(CONCATENATE($A37,"!",ADDRESS(1,COLUMN(A40))))),FORMULATEXT(INDIRECT(CONCATENATE($A37,"!",ADDRESS(1,COLUMN(A40))))),IFERROR(0/0,""))</f>
        <v/>
      </c>
      <c r="B39" s="364" t="str">
        <f t="shared" si="18"/>
        <v/>
      </c>
      <c r="C39" s="364" t="str">
        <f t="shared" si="18"/>
        <v/>
      </c>
      <c r="D39" s="364" t="str">
        <f t="shared" si="18"/>
        <v>=IF(SUM($D$2:$D)=ROWS(postDEL!$A$2:$A)-COUNTBLANK(postDEL!$A$2:$A),CONCATENATE("Num Person Samples = ",SUM($D$2:$D)),CONCATENATE("ERROR!! Num Person Samples = ",SUM($D$2:$D)))</v>
      </c>
      <c r="E39" s="364" t="str">
        <f t="shared" si="18"/>
        <v/>
      </c>
      <c r="F39" s="364" t="str">
        <f t="shared" si="18"/>
        <v>=CONCATENATE(IF(COUNTA(UNIQUE(F2:F))=COUNTA(F2:F),"OK UNIQUE - ","ERROR! REPEATS - "), "Participant ID Number")</v>
      </c>
      <c r="G39" s="364" t="str">
        <f t="shared" si="18"/>
        <v/>
      </c>
      <c r="H39" s="364" t="str">
        <f t="shared" si="18"/>
        <v/>
      </c>
      <c r="I39" s="364" t="str">
        <f t="shared" si="18"/>
        <v/>
      </c>
      <c r="J39" s="364" t="str">
        <f t="shared" si="18"/>
        <v/>
      </c>
      <c r="K39" s="364" t="str">
        <f t="shared" si="18"/>
        <v>=IF(SUM(D2:D)=ROWS(postDEL!$A$2:$A)-COUNTBLANK(postDEL!$A$2:$A),"Num Sponsored Tubes",CONCATENATE("ERROR!! Num Sponsored Tubes = ",SUM(D2:D)))</v>
      </c>
      <c r="L39" s="364" t="str">
        <f t="shared" si="18"/>
        <v/>
      </c>
      <c r="M39" s="364" t="str">
        <f t="shared" si="18"/>
        <v/>
      </c>
      <c r="N39" s="364" t="str">
        <f t="shared" si="18"/>
        <v/>
      </c>
      <c r="O39" s="364" t="str">
        <f t="shared" si="18"/>
        <v/>
      </c>
      <c r="P39" s="364" t="str">
        <f t="shared" si="18"/>
        <v/>
      </c>
      <c r="Q39" s="364" t="str">
        <f t="shared" si="18"/>
        <v/>
      </c>
      <c r="R39" s="364" t="str">
        <f t="shared" si="18"/>
        <v/>
      </c>
      <c r="S39" s="364" t="str">
        <f t="shared" si="18"/>
        <v/>
      </c>
      <c r="T39" s="364" t="str">
        <f t="shared" si="18"/>
        <v/>
      </c>
      <c r="U39" s="364" t="str">
        <f t="shared" si="18"/>
        <v/>
      </c>
      <c r="V39" s="364" t="str">
        <f t="shared" si="18"/>
        <v/>
      </c>
      <c r="W39" s="364" t="str">
        <f t="shared" si="18"/>
        <v/>
      </c>
      <c r="X39" s="364" t="str">
        <f t="shared" si="18"/>
        <v/>
      </c>
      <c r="Y39" s="364" t="str">
        <f t="shared" si="18"/>
        <v>=IF(COUNTBLANK(Y2:Y)=ROWS(Y2:Y),"Values in Live","ERROR!! Values in Live")</v>
      </c>
      <c r="Z39" s="364" t="str">
        <f t="shared" si="18"/>
        <v/>
      </c>
      <c r="AA39" s="364" t="str">
        <f t="shared" si="18"/>
        <v/>
      </c>
      <c r="AB39" s="364" t="str">
        <f t="shared" si="18"/>
        <v>=IF(SUM(AB2:AB)=COUNTA(C2:C), "Num Persons in Household", "ERROR!! Num Persons in Household")</v>
      </c>
      <c r="AC39" s="364" t="str">
        <f t="shared" si="18"/>
        <v/>
      </c>
      <c r="AD39" s="364" t="str">
        <f t="shared" si="18"/>
        <v>=IF(COUNTBLANK(AD2:AD)=ROWS(AD2:AD),"Live in Values","ERROR!! Live in Values")</v>
      </c>
      <c r="AE39" s="364" t="str">
        <f t="shared" si="18"/>
        <v/>
      </c>
      <c r="AF39" s="364" t="str">
        <f t="shared" si="18"/>
        <v/>
      </c>
      <c r="AG39" s="364" t="str">
        <f t="shared" si="18"/>
        <v/>
      </c>
      <c r="AH39" s="364" t="str">
        <f t="shared" si="18"/>
        <v>=IF(SUM(AH2:AH)=Rollup!$D$5,CONCATENATE("Num Person Samples = ",SUM(AH2:AH)),CONCATENATE("ERROR!! Num Person Samples = ",SUM(AH2:AH)))</v>
      </c>
      <c r="AI39" s="364" t="str">
        <f t="shared" si="18"/>
        <v/>
      </c>
      <c r="AJ39" s="364" t="str">
        <f t="shared" si="18"/>
        <v/>
      </c>
      <c r="AK39" s="364" t="str">
        <f t="shared" si="18"/>
        <v/>
      </c>
      <c r="AL39" s="364" t="str">
        <f t="shared" si="18"/>
        <v>=IF(COUNTIF(ARRAYFORMULA(FILTER(AL2:AL, AL2:AL&lt;&gt;"")=FILTER(AM2:AM, AM2:AM&lt;&gt;"")), FALSE)=0, "Sponsor Fullnames - All Match Live CHECK LENGTH SAME", "Sponsor Fullnames - ERROR Mismatch in Live Found")
</v>
      </c>
      <c r="AM39" s="364" t="str">
        <f t="shared" si="18"/>
        <v/>
      </c>
      <c r="AN39" s="364" t="str">
        <f t="shared" si="18"/>
        <v>=IFS(ISERR(AND(AN2:AN)),"ERROR!! Sponsors in Participants Live?",AND(AN2:AN),"Sponsors in Participants Live?",TRUE,"ERROR!! Sponsors in Participants Live?")</v>
      </c>
      <c r="AO39" s="364" t="str">
        <f t="shared" si="18"/>
        <v>=IFS(ISERR(AND(AO2:AO)),"ERROR!! Sponsors in Participants Values?",AND(AO2:AO),"Sponsors in Participants Values?",TRUE,"ERROR!! Sponsors in Participants Values?")</v>
      </c>
      <c r="AP39" s="364" t="str">
        <f t="shared" si="18"/>
        <v/>
      </c>
      <c r="AQ39" s="364" t="str">
        <f t="shared" si="18"/>
        <v/>
      </c>
      <c r="AR39" s="364" t="str">
        <f t="shared" si="18"/>
        <v>=CONCATENATE(IF(COUNTA(UNIQUE(AR2:AR))=COUNTA(AR2:AR),"OK UNIQUE - ","ERROR! REPEATS - "), "Participant ID Number")</v>
      </c>
      <c r="AS39" s="364" t="str">
        <f t="shared" si="18"/>
        <v/>
      </c>
      <c r="AT39" s="364" t="str">
        <f t="shared" si="18"/>
        <v/>
      </c>
      <c r="AU39" s="364" t="str">
        <f t="shared" si="18"/>
        <v/>
      </c>
      <c r="AV39" s="364" t="str">
        <f t="shared" si="18"/>
        <v/>
      </c>
      <c r="AW39" s="364" t="str">
        <f t="shared" si="18"/>
        <v/>
      </c>
      <c r="AX39" s="364" t="str">
        <f t="shared" si="18"/>
        <v/>
      </c>
      <c r="AY39" s="364" t="str">
        <f t="shared" si="18"/>
        <v/>
      </c>
      <c r="AZ39" s="364" t="str">
        <f t="shared" si="18"/>
        <v/>
      </c>
      <c r="BA39" s="364"/>
      <c r="BB39" s="364"/>
      <c r="BC39" s="364"/>
      <c r="BD39" s="364"/>
      <c r="BE39" s="364"/>
      <c r="BF39" s="364"/>
      <c r="BG39" s="364"/>
      <c r="BH39" s="364"/>
      <c r="BI39" s="364"/>
      <c r="BJ39" s="364"/>
      <c r="BK39" s="364"/>
      <c r="BL39" s="364"/>
      <c r="BM39" s="364"/>
      <c r="BN39" s="364"/>
      <c r="BO39" s="364"/>
      <c r="BP39" s="364"/>
      <c r="BQ39" s="364"/>
      <c r="BR39" s="364"/>
      <c r="BS39" s="364"/>
      <c r="BT39" s="364"/>
      <c r="BU39" s="364"/>
      <c r="BV39" s="364"/>
      <c r="BW39" s="364"/>
      <c r="BX39" s="364"/>
      <c r="BY39" s="364"/>
      <c r="BZ39" s="364"/>
      <c r="CA39" s="364"/>
      <c r="CB39" s="364"/>
      <c r="CC39" s="364"/>
      <c r="CD39" s="364"/>
      <c r="CE39" s="364"/>
      <c r="CF39" s="364"/>
      <c r="CG39" s="364"/>
      <c r="CH39" s="364"/>
      <c r="CI39" s="364"/>
      <c r="CJ39" s="364"/>
      <c r="CK39" s="364"/>
      <c r="CL39" s="364"/>
      <c r="CM39" s="364"/>
      <c r="CN39" s="364"/>
      <c r="CO39" s="364"/>
      <c r="CP39" s="364"/>
      <c r="CQ39" s="364"/>
      <c r="CR39" s="364"/>
      <c r="CS39" s="364"/>
    </row>
    <row r="40" hidden="1" outlineLevel="1">
      <c r="A40" s="365" t="str">
        <f t="shared" ref="A40:AZ40" si="19">IF(_xlfn.ISFORMULA(INDIRECT(CONCATENATE($A37,"!",ADDRESS(2,COLUMN(A40))))),FORMULATEXT(INDIRECT(CONCATENATE($A37,"!",ADDRESS(2,COLUMN(A40))))),IFERROR(0/0,""))</f>
        <v/>
      </c>
      <c r="B40" s="365" t="str">
        <f t="shared" si="19"/>
        <v/>
      </c>
      <c r="C40" s="365" t="str">
        <f t="shared" si="19"/>
        <v/>
      </c>
      <c r="D40" s="365" t="str">
        <f t="shared" si="19"/>
        <v>=COUNTIF(postDEL!$AR$2:$AR,$C2)</v>
      </c>
      <c r="E40" s="365" t="str">
        <f t="shared" si="19"/>
        <v>=CONCATENATE(Process!$A$1,F2)</v>
      </c>
      <c r="F40" s="365" t="str">
        <f t="shared" si="19"/>
        <v/>
      </c>
      <c r="G40" s="365" t="str">
        <f t="shared" si="19"/>
        <v/>
      </c>
      <c r="H40" s="365" t="str">
        <f t="shared" si="19"/>
        <v/>
      </c>
      <c r="I40" s="365" t="str">
        <f t="shared" si="19"/>
        <v/>
      </c>
      <c r="J40" s="365" t="str">
        <f t="shared" si="19"/>
        <v/>
      </c>
      <c r="K40" s="365" t="str">
        <f t="shared" si="19"/>
        <v>=COUNTIF(postDEL!$AO$2:$AO,$C2)</v>
      </c>
      <c r="L40" s="365" t="str">
        <f t="shared" si="19"/>
        <v/>
      </c>
      <c r="M40" s="365" t="str">
        <f t="shared" si="19"/>
        <v/>
      </c>
      <c r="N40" s="365" t="str">
        <f t="shared" si="19"/>
        <v>=IF($D2=0,TRUE,IFERROR(0/0))</v>
      </c>
      <c r="O40" s="365" t="str">
        <f t="shared" si="19"/>
        <v/>
      </c>
      <c r="P40" s="365" t="str">
        <f t="shared" si="19"/>
        <v/>
      </c>
      <c r="Q40" s="365" t="str">
        <f t="shared" si="19"/>
        <v/>
      </c>
      <c r="R40" s="365" t="str">
        <f t="shared" si="19"/>
        <v/>
      </c>
      <c r="S40" s="365" t="str">
        <f t="shared" si="19"/>
        <v/>
      </c>
      <c r="T40" s="365" t="str">
        <f t="shared" si="19"/>
        <v/>
      </c>
      <c r="U40" s="365" t="str">
        <f t="shared" si="19"/>
        <v/>
      </c>
      <c r="V40" s="365" t="str">
        <f t="shared" si="19"/>
        <v/>
      </c>
      <c r="W40" s="365" t="str">
        <f t="shared" si="19"/>
        <v/>
      </c>
      <c r="X40" s="365" t="str">
        <f t="shared" si="19"/>
        <v/>
      </c>
      <c r="Y40" s="365" t="str">
        <f t="shared" si="19"/>
        <v>=IF(OR(COUNTIF($AG$2:$AG,$C2)=1,$N2),IFERROR(0/0),"NOT")</v>
      </c>
      <c r="Z40" s="365" t="str">
        <f t="shared" si="19"/>
        <v/>
      </c>
      <c r="AA40" s="365" t="str">
        <f t="shared" si="19"/>
        <v>=SORT(UNIQUE(H2:H),1,TRUE)</v>
      </c>
      <c r="AB40" s="365" t="str">
        <f t="shared" si="19"/>
        <v>=COUNTIF(H$2:H,AA2)</v>
      </c>
      <c r="AC40" s="365" t="str">
        <f t="shared" si="19"/>
        <v/>
      </c>
      <c r="AD40" s="365" t="str">
        <f t="shared" si="19"/>
        <v>=IF(COUNTIF(C$2:C,AG2)=1,IFERROR(0/0),"NOT")</v>
      </c>
      <c r="AE40" s="365" t="str">
        <f t="shared" si="19"/>
        <v>=SORT(UNIQUE(postDEL!$AP$2:$AR),2,TRUE,1,TRUE)</v>
      </c>
      <c r="AF40" s="365" t="str">
        <f t="shared" si="19"/>
        <v/>
      </c>
      <c r="AG40" s="365" t="str">
        <f t="shared" si="19"/>
        <v/>
      </c>
      <c r="AH40" s="365" t="str">
        <f t="shared" si="19"/>
        <v>=COUNTIF(postDEL!$AR$2:$AR,AG2)</v>
      </c>
      <c r="AI40" s="365" t="str">
        <f t="shared" si="19"/>
        <v/>
      </c>
      <c r="AJ40" s="365" t="str">
        <f t="shared" si="19"/>
        <v/>
      </c>
      <c r="AK40" s="365" t="str">
        <f t="shared" si="19"/>
        <v/>
      </c>
      <c r="AL40" s="365" t="str">
        <f t="shared" si="19"/>
        <v/>
      </c>
      <c r="AM40" s="365" t="str">
        <f t="shared" si="19"/>
        <v>=SORT(UNIQUE(postDEL!$AO$2:$AO),1,TRUE)</v>
      </c>
      <c r="AN40" s="365" t="str">
        <f t="shared" si="19"/>
        <v>=IF(NOT(ISBLANK(AM2)), IF(COUNTIF(AG$2:AG,AM2)=1,TRUE,FALSE),IFERROR(0/0))</v>
      </c>
      <c r="AO40" s="365" t="str">
        <f t="shared" si="19"/>
        <v>=IF(NOT(ISBLANK(AM2)), IF(COUNTIF(C$2:C,AM2)=1,TRUE,FALSE),IFERROR(0/0))</v>
      </c>
      <c r="AP40" s="365" t="str">
        <f t="shared" si="19"/>
        <v/>
      </c>
      <c r="AQ40" s="365" t="str">
        <f t="shared" si="19"/>
        <v>=CONCATENATE("Sp",Process!$A$1,AR2)</v>
      </c>
      <c r="AR40" s="365" t="str">
        <f t="shared" si="19"/>
        <v/>
      </c>
      <c r="AS40" s="365" t="str">
        <f t="shared" si="19"/>
        <v/>
      </c>
      <c r="AT40" s="365" t="str">
        <f t="shared" si="19"/>
        <v/>
      </c>
      <c r="AU40" s="365" t="str">
        <f t="shared" si="19"/>
        <v/>
      </c>
      <c r="AV40" s="365" t="str">
        <f t="shared" si="19"/>
        <v/>
      </c>
      <c r="AW40" s="365" t="str">
        <f t="shared" si="19"/>
        <v/>
      </c>
      <c r="AX40" s="365" t="str">
        <f t="shared" si="19"/>
        <v/>
      </c>
      <c r="AY40" s="365" t="str">
        <f t="shared" si="19"/>
        <v/>
      </c>
      <c r="AZ40" s="365" t="str">
        <f t="shared" si="19"/>
        <v/>
      </c>
      <c r="BA40" s="365"/>
      <c r="BB40" s="365"/>
      <c r="BC40" s="365"/>
      <c r="BD40" s="365"/>
      <c r="BE40" s="365"/>
      <c r="BF40" s="365"/>
      <c r="BG40" s="365"/>
      <c r="BH40" s="365"/>
      <c r="BI40" s="365"/>
      <c r="BJ40" s="365"/>
      <c r="BK40" s="365"/>
      <c r="BL40" s="365"/>
      <c r="BM40" s="365"/>
      <c r="BN40" s="365"/>
      <c r="BO40" s="365"/>
      <c r="BP40" s="365"/>
      <c r="BQ40" s="365"/>
      <c r="BR40" s="365"/>
      <c r="BS40" s="365"/>
      <c r="BT40" s="365"/>
      <c r="BU40" s="365"/>
      <c r="BV40" s="365"/>
      <c r="BW40" s="365"/>
      <c r="BX40" s="365"/>
      <c r="BY40" s="365"/>
      <c r="BZ40" s="365"/>
      <c r="CA40" s="365"/>
      <c r="CB40" s="365"/>
      <c r="CC40" s="365"/>
      <c r="CD40" s="365"/>
      <c r="CE40" s="365"/>
      <c r="CF40" s="365"/>
      <c r="CG40" s="365"/>
      <c r="CH40" s="365"/>
      <c r="CI40" s="365"/>
      <c r="CJ40" s="365"/>
      <c r="CK40" s="365"/>
      <c r="CL40" s="365"/>
      <c r="CM40" s="365"/>
      <c r="CN40" s="365"/>
      <c r="CO40" s="365"/>
      <c r="CP40" s="365"/>
      <c r="CQ40" s="365"/>
      <c r="CR40" s="365"/>
      <c r="CS40" s="365"/>
    </row>
    <row r="41" hidden="1" outlineLevel="1">
      <c r="A41" s="383" t="str">
        <f>IFERROR(__xludf.DUMMYFUNCTION("IMPORTRANGE($B$1,CONCATENATE($A37,""!A1:1""))"),"#REF!")</f>
        <v>#REF!</v>
      </c>
      <c r="B41" s="383"/>
      <c r="C41" s="383"/>
      <c r="D41" s="383"/>
      <c r="E41" s="383"/>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c r="AF41" s="383"/>
      <c r="AG41" s="383"/>
      <c r="AH41" s="383"/>
      <c r="AI41" s="383"/>
      <c r="AJ41" s="383"/>
      <c r="AK41" s="383"/>
      <c r="AL41" s="383"/>
      <c r="AM41" s="383"/>
      <c r="AN41" s="383"/>
      <c r="AO41" s="383"/>
      <c r="AP41" s="383"/>
      <c r="AQ41" s="383"/>
      <c r="AR41" s="383"/>
      <c r="AS41" s="383"/>
      <c r="AT41" s="383"/>
      <c r="AU41" s="383"/>
      <c r="AV41" s="383"/>
      <c r="AW41" s="383"/>
      <c r="AX41" s="383"/>
      <c r="AY41" s="383"/>
      <c r="AZ41" s="383"/>
      <c r="BA41" s="383"/>
      <c r="BB41" s="383"/>
      <c r="BC41" s="383"/>
      <c r="BD41" s="383"/>
      <c r="BE41" s="383"/>
      <c r="BF41" s="383"/>
      <c r="BG41" s="62"/>
      <c r="BH41" s="62"/>
      <c r="BI41" s="62"/>
      <c r="BJ41" s="62"/>
      <c r="BK41" s="62"/>
      <c r="BL41" s="62"/>
      <c r="BM41" s="62"/>
      <c r="BN41" s="62"/>
      <c r="BO41" s="62"/>
      <c r="BP41" s="62"/>
      <c r="BQ41" s="62"/>
      <c r="BR41" s="62"/>
      <c r="BS41" s="62"/>
      <c r="BT41" s="62"/>
      <c r="BU41" s="62"/>
      <c r="BV41" s="62"/>
      <c r="BW41" s="62"/>
      <c r="BX41" s="62"/>
      <c r="BY41" s="62"/>
      <c r="BZ41" s="62"/>
      <c r="CA41" s="62"/>
      <c r="CB41" s="62"/>
      <c r="CC41" s="62"/>
      <c r="CD41" s="62"/>
      <c r="CE41" s="62"/>
      <c r="CF41" s="62"/>
      <c r="CG41" s="62"/>
      <c r="CH41" s="62"/>
      <c r="CI41" s="62"/>
      <c r="CJ41" s="62"/>
      <c r="CK41" s="62"/>
      <c r="CL41" s="62"/>
      <c r="CM41" s="62"/>
      <c r="CN41" s="62"/>
      <c r="CO41" s="62"/>
      <c r="CP41" s="62"/>
      <c r="CQ41" s="62"/>
      <c r="CR41" s="62"/>
      <c r="CS41" s="62"/>
    </row>
    <row r="42" hidden="1" outlineLevel="1">
      <c r="A42" s="364" t="str">
        <f>IFERROR(__xludf.DUMMYFUNCTION("IMPORTRANGE($B$1,CONCATENATE(""Header Formulas"",""!A9:9""))"),"#REF!")</f>
        <v>#REF!</v>
      </c>
      <c r="B42" s="364"/>
      <c r="C42" s="364"/>
      <c r="D42" s="364"/>
      <c r="E42" s="364"/>
      <c r="F42" s="364"/>
      <c r="G42" s="364"/>
      <c r="H42" s="364"/>
      <c r="I42" s="364"/>
      <c r="J42" s="364"/>
      <c r="K42" s="364"/>
      <c r="L42" s="364"/>
      <c r="M42" s="364"/>
      <c r="N42" s="364"/>
      <c r="O42" s="364"/>
      <c r="P42" s="364"/>
      <c r="Q42" s="364"/>
      <c r="R42" s="364"/>
      <c r="S42" s="364"/>
      <c r="T42" s="364"/>
      <c r="U42" s="364"/>
      <c r="V42" s="364"/>
      <c r="W42" s="364"/>
      <c r="X42" s="364"/>
      <c r="Y42" s="364"/>
      <c r="Z42" s="364"/>
      <c r="AA42" s="364"/>
      <c r="AB42" s="364"/>
      <c r="AC42" s="364"/>
      <c r="AD42" s="364"/>
      <c r="AE42" s="364"/>
      <c r="AF42" s="364"/>
      <c r="AG42" s="364"/>
      <c r="AH42" s="364"/>
      <c r="AI42" s="364"/>
      <c r="AJ42" s="364"/>
      <c r="AK42" s="364"/>
      <c r="AL42" s="364"/>
      <c r="AM42" s="364"/>
      <c r="AN42" s="364"/>
      <c r="AO42" s="364"/>
      <c r="AP42" s="364"/>
      <c r="AQ42" s="364"/>
      <c r="AR42" s="364"/>
      <c r="AS42" s="364"/>
      <c r="AT42" s="364"/>
      <c r="AU42" s="364"/>
      <c r="AV42" s="364"/>
      <c r="AW42" s="364"/>
      <c r="AX42" s="364"/>
      <c r="AY42" s="364"/>
      <c r="AZ42" s="364"/>
      <c r="BA42" s="364"/>
      <c r="BB42" s="364"/>
      <c r="BC42" s="364"/>
      <c r="BD42" s="364"/>
      <c r="BE42" s="364"/>
      <c r="BF42" s="364"/>
      <c r="BG42" s="364"/>
      <c r="BH42" s="364"/>
      <c r="BI42" s="364"/>
      <c r="BJ42" s="364"/>
      <c r="BK42" s="364"/>
      <c r="BL42" s="364"/>
      <c r="BM42" s="364"/>
      <c r="BN42" s="364"/>
      <c r="BO42" s="364"/>
      <c r="BP42" s="364"/>
      <c r="BQ42" s="364"/>
      <c r="BR42" s="364"/>
      <c r="BS42" s="364"/>
      <c r="BT42" s="364"/>
      <c r="BU42" s="364"/>
      <c r="BV42" s="364"/>
      <c r="BW42" s="364"/>
      <c r="BX42" s="364"/>
      <c r="BY42" s="364"/>
      <c r="BZ42" s="364"/>
      <c r="CA42" s="364"/>
      <c r="CB42" s="364"/>
      <c r="CC42" s="364"/>
      <c r="CD42" s="364"/>
      <c r="CE42" s="364"/>
      <c r="CF42" s="364"/>
      <c r="CG42" s="364"/>
      <c r="CH42" s="364"/>
      <c r="CI42" s="364"/>
      <c r="CJ42" s="364"/>
      <c r="CK42" s="364"/>
      <c r="CL42" s="364"/>
      <c r="CM42" s="364"/>
      <c r="CN42" s="364"/>
      <c r="CO42" s="364"/>
      <c r="CP42" s="364"/>
      <c r="CQ42" s="364"/>
      <c r="CR42" s="364"/>
      <c r="CS42" s="364"/>
    </row>
    <row r="43" hidden="1" outlineLevel="1">
      <c r="A43" s="365" t="str">
        <f>IFERROR(__xludf.DUMMYFUNCTION("IMPORTRANGE($B$1,CONCATENATE($A37,""!A3:3""))"),"#REF!")</f>
        <v>#REF!</v>
      </c>
      <c r="B43" s="365"/>
      <c r="C43" s="365"/>
      <c r="D43" s="365"/>
      <c r="E43" s="365"/>
      <c r="F43" s="365"/>
      <c r="G43" s="365"/>
      <c r="H43" s="365"/>
      <c r="I43" s="365"/>
      <c r="J43" s="365"/>
      <c r="K43" s="365"/>
      <c r="L43" s="365"/>
      <c r="M43" s="365"/>
      <c r="N43" s="365"/>
      <c r="O43" s="365"/>
      <c r="P43" s="365"/>
      <c r="Q43" s="365"/>
      <c r="R43" s="365"/>
      <c r="S43" s="365"/>
      <c r="T43" s="365"/>
      <c r="U43" s="365"/>
      <c r="V43" s="365"/>
      <c r="W43" s="365"/>
      <c r="X43" s="365"/>
      <c r="Y43" s="365"/>
      <c r="Z43" s="365"/>
      <c r="AA43" s="365"/>
      <c r="AB43" s="365"/>
      <c r="AC43" s="365"/>
      <c r="AD43" s="365"/>
      <c r="AE43" s="365"/>
      <c r="AF43" s="365"/>
      <c r="AG43" s="365"/>
      <c r="AH43" s="365"/>
      <c r="AI43" s="365"/>
      <c r="AJ43" s="365"/>
      <c r="AK43" s="365"/>
      <c r="AL43" s="365"/>
      <c r="AM43" s="365"/>
      <c r="AN43" s="365"/>
      <c r="AO43" s="365"/>
      <c r="AP43" s="365"/>
      <c r="AQ43" s="365"/>
      <c r="AR43" s="365"/>
      <c r="AS43" s="365"/>
      <c r="AT43" s="365"/>
      <c r="AU43" s="365"/>
      <c r="AV43" s="365"/>
      <c r="AW43" s="365"/>
      <c r="AX43" s="365"/>
      <c r="AY43" s="365"/>
      <c r="AZ43" s="365"/>
      <c r="BA43" s="365"/>
      <c r="BB43" s="365"/>
      <c r="BC43" s="365"/>
      <c r="BD43" s="365"/>
      <c r="BE43" s="365"/>
      <c r="BF43" s="365"/>
      <c r="BG43" s="365"/>
      <c r="BH43" s="365"/>
      <c r="BI43" s="365"/>
      <c r="BJ43" s="365"/>
      <c r="BK43" s="365"/>
      <c r="BL43" s="365"/>
      <c r="BM43" s="365"/>
      <c r="BN43" s="365"/>
      <c r="BO43" s="365"/>
      <c r="BP43" s="365"/>
      <c r="BQ43" s="365"/>
      <c r="BR43" s="365"/>
      <c r="BS43" s="365"/>
      <c r="BT43" s="365"/>
      <c r="BU43" s="365"/>
      <c r="BV43" s="365"/>
      <c r="BW43" s="365"/>
      <c r="BX43" s="365"/>
      <c r="BY43" s="365"/>
      <c r="BZ43" s="365"/>
      <c r="CA43" s="365"/>
      <c r="CB43" s="365"/>
      <c r="CC43" s="365"/>
      <c r="CD43" s="365"/>
      <c r="CE43" s="365"/>
      <c r="CF43" s="365"/>
      <c r="CG43" s="365"/>
      <c r="CH43" s="365"/>
      <c r="CI43" s="365"/>
      <c r="CJ43" s="365"/>
      <c r="CK43" s="365"/>
      <c r="CL43" s="365"/>
      <c r="CM43" s="365"/>
      <c r="CN43" s="365"/>
      <c r="CO43" s="365"/>
      <c r="CP43" s="365"/>
      <c r="CQ43" s="365"/>
      <c r="CR43" s="365"/>
      <c r="CS43" s="365"/>
    </row>
    <row r="44" hidden="1" outlineLevel="1">
      <c r="A44" s="375" t="str">
        <f t="shared" ref="A44:AJ44" si="20">IFS(AND(EXACT(LEFT(A41,5),"ERROR"),EXACT(LEFT(A38,5),"ERROR")), EXACT(MID(A41,9,10),MID(A38,9,10)), EXACT(LEFT(A41,5),"ERROR"), EXACT(LEFT(A38,10),MID(A41,9,10)),EXACT(LEFT(A38,5),"ERROR"), EXACT(LEFT(A41,10),MID(A38,9,10)),TRUE, EXACT(A38,A41))</f>
        <v>#REF!</v>
      </c>
      <c r="B44" s="375" t="b">
        <f t="shared" si="20"/>
        <v>0</v>
      </c>
      <c r="C44" s="375" t="b">
        <f t="shared" si="20"/>
        <v>0</v>
      </c>
      <c r="D44" s="375" t="b">
        <f t="shared" si="20"/>
        <v>0</v>
      </c>
      <c r="E44" s="375" t="b">
        <f t="shared" si="20"/>
        <v>0</v>
      </c>
      <c r="F44" s="375" t="b">
        <f t="shared" si="20"/>
        <v>0</v>
      </c>
      <c r="G44" s="375" t="b">
        <f t="shared" si="20"/>
        <v>1</v>
      </c>
      <c r="H44" s="375" t="b">
        <f t="shared" si="20"/>
        <v>0</v>
      </c>
      <c r="I44" s="375" t="b">
        <f t="shared" si="20"/>
        <v>0</v>
      </c>
      <c r="J44" s="375" t="b">
        <f t="shared" si="20"/>
        <v>0</v>
      </c>
      <c r="K44" s="375" t="b">
        <f t="shared" si="20"/>
        <v>0</v>
      </c>
      <c r="L44" s="375" t="b">
        <f t="shared" si="20"/>
        <v>0</v>
      </c>
      <c r="M44" s="375" t="b">
        <f t="shared" si="20"/>
        <v>0</v>
      </c>
      <c r="N44" s="375" t="b">
        <f t="shared" si="20"/>
        <v>0</v>
      </c>
      <c r="O44" s="375" t="b">
        <f t="shared" si="20"/>
        <v>0</v>
      </c>
      <c r="P44" s="375" t="b">
        <f t="shared" si="20"/>
        <v>0</v>
      </c>
      <c r="Q44" s="375" t="b">
        <f t="shared" si="20"/>
        <v>0</v>
      </c>
      <c r="R44" s="375" t="b">
        <f t="shared" si="20"/>
        <v>0</v>
      </c>
      <c r="S44" s="375" t="b">
        <f t="shared" si="20"/>
        <v>0</v>
      </c>
      <c r="T44" s="375" t="b">
        <f t="shared" si="20"/>
        <v>0</v>
      </c>
      <c r="U44" s="375" t="b">
        <f t="shared" si="20"/>
        <v>0</v>
      </c>
      <c r="V44" s="375" t="b">
        <f t="shared" si="20"/>
        <v>0</v>
      </c>
      <c r="W44" s="375" t="b">
        <f t="shared" si="20"/>
        <v>0</v>
      </c>
      <c r="X44" s="375" t="b">
        <f t="shared" si="20"/>
        <v>0</v>
      </c>
      <c r="Y44" s="375" t="b">
        <f t="shared" si="20"/>
        <v>0</v>
      </c>
      <c r="Z44" s="375" t="b">
        <f t="shared" si="20"/>
        <v>1</v>
      </c>
      <c r="AA44" s="375" t="b">
        <f t="shared" si="20"/>
        <v>0</v>
      </c>
      <c r="AB44" s="375" t="b">
        <f t="shared" si="20"/>
        <v>0</v>
      </c>
      <c r="AC44" s="375" t="b">
        <f t="shared" si="20"/>
        <v>0</v>
      </c>
      <c r="AD44" s="375" t="b">
        <f t="shared" si="20"/>
        <v>0</v>
      </c>
      <c r="AE44" s="375" t="b">
        <f t="shared" si="20"/>
        <v>0</v>
      </c>
      <c r="AF44" s="375" t="b">
        <f t="shared" si="20"/>
        <v>0</v>
      </c>
      <c r="AG44" s="375" t="b">
        <f t="shared" si="20"/>
        <v>0</v>
      </c>
      <c r="AH44" s="375" t="b">
        <f t="shared" si="20"/>
        <v>0</v>
      </c>
      <c r="AI44" s="375" t="b">
        <f t="shared" si="20"/>
        <v>0</v>
      </c>
      <c r="AJ44" s="375" t="b">
        <f t="shared" si="20"/>
        <v>0</v>
      </c>
      <c r="AK44" s="375"/>
      <c r="AL44" s="375"/>
      <c r="AM44" s="375"/>
      <c r="AN44" s="375"/>
      <c r="AO44" s="375"/>
      <c r="AP44" s="375"/>
      <c r="AQ44" s="375"/>
      <c r="AR44" s="375"/>
      <c r="AS44" s="375"/>
      <c r="AT44" s="375"/>
      <c r="AU44" s="375"/>
      <c r="AV44" s="375"/>
      <c r="AW44" s="375"/>
      <c r="AX44" s="375"/>
      <c r="AY44" s="375"/>
      <c r="AZ44" s="375"/>
      <c r="BA44" s="375"/>
      <c r="BB44" s="375"/>
      <c r="BC44" s="375"/>
      <c r="BD44" s="375"/>
      <c r="BE44" s="375"/>
      <c r="BF44" s="375"/>
      <c r="BG44" s="375"/>
      <c r="BH44" s="375"/>
      <c r="BI44" s="375"/>
      <c r="BJ44" s="375"/>
      <c r="BK44" s="375"/>
      <c r="BL44" s="375"/>
      <c r="BM44" s="375"/>
      <c r="BN44" s="375"/>
      <c r="BO44" s="375"/>
      <c r="BP44" s="375"/>
      <c r="BQ44" s="375"/>
      <c r="BR44" s="375"/>
      <c r="BS44" s="375"/>
      <c r="BT44" s="375"/>
      <c r="BU44" s="375"/>
      <c r="BV44" s="375"/>
      <c r="BW44" s="375"/>
      <c r="BX44" s="375"/>
      <c r="BY44" s="375"/>
      <c r="BZ44" s="375"/>
      <c r="CA44" s="375"/>
      <c r="CB44" s="375"/>
      <c r="CC44" s="375"/>
      <c r="CD44" s="375"/>
      <c r="CE44" s="375"/>
      <c r="CF44" s="375"/>
      <c r="CG44" s="375"/>
      <c r="CH44" s="375"/>
      <c r="CI44" s="375"/>
      <c r="CJ44" s="375"/>
      <c r="CK44" s="375"/>
      <c r="CL44" s="375"/>
      <c r="CM44" s="375"/>
      <c r="CN44" s="375"/>
      <c r="CO44" s="375"/>
      <c r="CP44" s="375"/>
      <c r="CQ44" s="375"/>
      <c r="CR44" s="375"/>
      <c r="CS44" s="375"/>
    </row>
    <row r="45" hidden="1" outlineLevel="1">
      <c r="A45" s="364" t="str">
        <f t="shared" ref="A45:AJ45" si="21">EXACT(A39,A42)</f>
        <v>#REF!</v>
      </c>
      <c r="B45" s="364" t="b">
        <f t="shared" si="21"/>
        <v>1</v>
      </c>
      <c r="C45" s="364" t="b">
        <f t="shared" si="21"/>
        <v>1</v>
      </c>
      <c r="D45" s="364" t="b">
        <f t="shared" si="21"/>
        <v>0</v>
      </c>
      <c r="E45" s="364" t="b">
        <f t="shared" si="21"/>
        <v>1</v>
      </c>
      <c r="F45" s="364" t="b">
        <f t="shared" si="21"/>
        <v>0</v>
      </c>
      <c r="G45" s="364" t="b">
        <f t="shared" si="21"/>
        <v>1</v>
      </c>
      <c r="H45" s="364" t="b">
        <f t="shared" si="21"/>
        <v>1</v>
      </c>
      <c r="I45" s="364" t="b">
        <f t="shared" si="21"/>
        <v>1</v>
      </c>
      <c r="J45" s="364" t="b">
        <f t="shared" si="21"/>
        <v>1</v>
      </c>
      <c r="K45" s="364" t="b">
        <f t="shared" si="21"/>
        <v>0</v>
      </c>
      <c r="L45" s="364" t="b">
        <f t="shared" si="21"/>
        <v>1</v>
      </c>
      <c r="M45" s="364" t="b">
        <f t="shared" si="21"/>
        <v>1</v>
      </c>
      <c r="N45" s="364" t="b">
        <f t="shared" si="21"/>
        <v>1</v>
      </c>
      <c r="O45" s="364" t="b">
        <f t="shared" si="21"/>
        <v>1</v>
      </c>
      <c r="P45" s="364" t="b">
        <f t="shared" si="21"/>
        <v>1</v>
      </c>
      <c r="Q45" s="364" t="b">
        <f t="shared" si="21"/>
        <v>1</v>
      </c>
      <c r="R45" s="364" t="b">
        <f t="shared" si="21"/>
        <v>1</v>
      </c>
      <c r="S45" s="364" t="b">
        <f t="shared" si="21"/>
        <v>1</v>
      </c>
      <c r="T45" s="364" t="b">
        <f t="shared" si="21"/>
        <v>1</v>
      </c>
      <c r="U45" s="364" t="b">
        <f t="shared" si="21"/>
        <v>1</v>
      </c>
      <c r="V45" s="364" t="b">
        <f t="shared" si="21"/>
        <v>1</v>
      </c>
      <c r="W45" s="364" t="b">
        <f t="shared" si="21"/>
        <v>1</v>
      </c>
      <c r="X45" s="364" t="b">
        <f t="shared" si="21"/>
        <v>1</v>
      </c>
      <c r="Y45" s="364" t="b">
        <f t="shared" si="21"/>
        <v>0</v>
      </c>
      <c r="Z45" s="364" t="b">
        <f t="shared" si="21"/>
        <v>1</v>
      </c>
      <c r="AA45" s="364" t="b">
        <f t="shared" si="21"/>
        <v>1</v>
      </c>
      <c r="AB45" s="364" t="b">
        <f t="shared" si="21"/>
        <v>0</v>
      </c>
      <c r="AC45" s="364" t="b">
        <f t="shared" si="21"/>
        <v>1</v>
      </c>
      <c r="AD45" s="364" t="b">
        <f t="shared" si="21"/>
        <v>0</v>
      </c>
      <c r="AE45" s="364" t="b">
        <f t="shared" si="21"/>
        <v>1</v>
      </c>
      <c r="AF45" s="364" t="b">
        <f t="shared" si="21"/>
        <v>1</v>
      </c>
      <c r="AG45" s="364" t="b">
        <f t="shared" si="21"/>
        <v>1</v>
      </c>
      <c r="AH45" s="364" t="b">
        <f t="shared" si="21"/>
        <v>0</v>
      </c>
      <c r="AI45" s="364" t="b">
        <f t="shared" si="21"/>
        <v>1</v>
      </c>
      <c r="AJ45" s="364" t="b">
        <f t="shared" si="21"/>
        <v>1</v>
      </c>
      <c r="AK45" s="364"/>
      <c r="AL45" s="364"/>
      <c r="AM45" s="364"/>
      <c r="AN45" s="364"/>
      <c r="AO45" s="364"/>
      <c r="AP45" s="364"/>
      <c r="AQ45" s="364"/>
      <c r="AR45" s="364"/>
      <c r="AS45" s="364"/>
      <c r="AT45" s="364"/>
      <c r="AU45" s="364"/>
      <c r="AV45" s="364"/>
      <c r="AW45" s="364"/>
      <c r="AX45" s="364"/>
      <c r="AY45" s="364"/>
      <c r="AZ45" s="364"/>
      <c r="BA45" s="364"/>
      <c r="BB45" s="364"/>
      <c r="BC45" s="364"/>
      <c r="BD45" s="364"/>
      <c r="BE45" s="364"/>
      <c r="BF45" s="364"/>
      <c r="BG45" s="364"/>
      <c r="BH45" s="364"/>
      <c r="BI45" s="364"/>
      <c r="BJ45" s="364"/>
      <c r="BK45" s="364"/>
      <c r="BL45" s="364"/>
      <c r="BM45" s="364"/>
      <c r="BN45" s="364"/>
      <c r="BO45" s="364"/>
      <c r="BP45" s="364"/>
      <c r="BQ45" s="364"/>
      <c r="BR45" s="364"/>
      <c r="BS45" s="364"/>
      <c r="BT45" s="364"/>
      <c r="BU45" s="364"/>
      <c r="BV45" s="364"/>
      <c r="BW45" s="364"/>
      <c r="BX45" s="364"/>
      <c r="BY45" s="364"/>
      <c r="BZ45" s="364"/>
      <c r="CA45" s="364"/>
      <c r="CB45" s="364"/>
      <c r="CC45" s="364"/>
      <c r="CD45" s="364"/>
      <c r="CE45" s="364"/>
      <c r="CF45" s="364"/>
      <c r="CG45" s="364"/>
      <c r="CH45" s="364"/>
      <c r="CI45" s="364"/>
      <c r="CJ45" s="364"/>
      <c r="CK45" s="364"/>
      <c r="CL45" s="364"/>
      <c r="CM45" s="364"/>
      <c r="CN45" s="364"/>
      <c r="CO45" s="364"/>
      <c r="CP45" s="364"/>
      <c r="CQ45" s="364"/>
      <c r="CR45" s="364"/>
      <c r="CS45" s="364"/>
    </row>
    <row r="46" hidden="1" outlineLevel="1">
      <c r="A46" s="365" t="str">
        <f t="shared" ref="A46:AJ46" si="22">EXACT(A40,A43)</f>
        <v>#REF!</v>
      </c>
      <c r="B46" s="365" t="b">
        <f t="shared" si="22"/>
        <v>1</v>
      </c>
      <c r="C46" s="365" t="b">
        <f t="shared" si="22"/>
        <v>1</v>
      </c>
      <c r="D46" s="365" t="b">
        <f t="shared" si="22"/>
        <v>0</v>
      </c>
      <c r="E46" s="365" t="b">
        <f t="shared" si="22"/>
        <v>0</v>
      </c>
      <c r="F46" s="365" t="b">
        <f t="shared" si="22"/>
        <v>1</v>
      </c>
      <c r="G46" s="365" t="b">
        <f t="shared" si="22"/>
        <v>1</v>
      </c>
      <c r="H46" s="365" t="b">
        <f t="shared" si="22"/>
        <v>1</v>
      </c>
      <c r="I46" s="365" t="b">
        <f t="shared" si="22"/>
        <v>1</v>
      </c>
      <c r="J46" s="365" t="b">
        <f t="shared" si="22"/>
        <v>1</v>
      </c>
      <c r="K46" s="365" t="b">
        <f t="shared" si="22"/>
        <v>0</v>
      </c>
      <c r="L46" s="365" t="b">
        <f t="shared" si="22"/>
        <v>1</v>
      </c>
      <c r="M46" s="365" t="b">
        <f t="shared" si="22"/>
        <v>1</v>
      </c>
      <c r="N46" s="365" t="b">
        <f t="shared" si="22"/>
        <v>0</v>
      </c>
      <c r="O46" s="365" t="b">
        <f t="shared" si="22"/>
        <v>1</v>
      </c>
      <c r="P46" s="365" t="b">
        <f t="shared" si="22"/>
        <v>1</v>
      </c>
      <c r="Q46" s="365" t="b">
        <f t="shared" si="22"/>
        <v>1</v>
      </c>
      <c r="R46" s="365" t="b">
        <f t="shared" si="22"/>
        <v>1</v>
      </c>
      <c r="S46" s="365" t="b">
        <f t="shared" si="22"/>
        <v>1</v>
      </c>
      <c r="T46" s="365" t="b">
        <f t="shared" si="22"/>
        <v>1</v>
      </c>
      <c r="U46" s="365" t="b">
        <f t="shared" si="22"/>
        <v>1</v>
      </c>
      <c r="V46" s="365" t="b">
        <f t="shared" si="22"/>
        <v>1</v>
      </c>
      <c r="W46" s="365" t="b">
        <f t="shared" si="22"/>
        <v>1</v>
      </c>
      <c r="X46" s="365" t="b">
        <f t="shared" si="22"/>
        <v>1</v>
      </c>
      <c r="Y46" s="365" t="b">
        <f t="shared" si="22"/>
        <v>0</v>
      </c>
      <c r="Z46" s="365" t="b">
        <f t="shared" si="22"/>
        <v>1</v>
      </c>
      <c r="AA46" s="365" t="b">
        <f t="shared" si="22"/>
        <v>0</v>
      </c>
      <c r="AB46" s="365" t="b">
        <f t="shared" si="22"/>
        <v>0</v>
      </c>
      <c r="AC46" s="365" t="b">
        <f t="shared" si="22"/>
        <v>1</v>
      </c>
      <c r="AD46" s="365" t="b">
        <f t="shared" si="22"/>
        <v>0</v>
      </c>
      <c r="AE46" s="365" t="b">
        <f t="shared" si="22"/>
        <v>0</v>
      </c>
      <c r="AF46" s="365" t="b">
        <f t="shared" si="22"/>
        <v>1</v>
      </c>
      <c r="AG46" s="365" t="b">
        <f t="shared" si="22"/>
        <v>1</v>
      </c>
      <c r="AH46" s="365" t="b">
        <f t="shared" si="22"/>
        <v>0</v>
      </c>
      <c r="AI46" s="365" t="b">
        <f t="shared" si="22"/>
        <v>1</v>
      </c>
      <c r="AJ46" s="365" t="b">
        <f t="shared" si="22"/>
        <v>1</v>
      </c>
      <c r="AK46" s="365"/>
      <c r="AL46" s="365"/>
      <c r="AM46" s="365"/>
      <c r="AN46" s="365"/>
      <c r="AO46" s="365"/>
      <c r="AP46" s="365"/>
      <c r="AQ46" s="365"/>
      <c r="AR46" s="365"/>
      <c r="AS46" s="365"/>
      <c r="AT46" s="365"/>
      <c r="AU46" s="365"/>
      <c r="AV46" s="365"/>
      <c r="AW46" s="365"/>
      <c r="AX46" s="365"/>
      <c r="AY46" s="365"/>
      <c r="AZ46" s="365"/>
      <c r="BA46" s="365"/>
      <c r="BB46" s="365"/>
      <c r="BC46" s="365"/>
      <c r="BD46" s="365"/>
      <c r="BE46" s="365"/>
      <c r="BF46" s="365"/>
      <c r="BG46" s="365"/>
      <c r="BH46" s="365"/>
      <c r="BI46" s="365"/>
      <c r="BJ46" s="365"/>
      <c r="BK46" s="365"/>
      <c r="BL46" s="365"/>
      <c r="BM46" s="365"/>
      <c r="BN46" s="365"/>
      <c r="BO46" s="365"/>
      <c r="BP46" s="365"/>
      <c r="BQ46" s="365"/>
      <c r="BR46" s="365"/>
      <c r="BS46" s="365"/>
      <c r="BT46" s="365"/>
      <c r="BU46" s="365"/>
      <c r="BV46" s="365"/>
      <c r="BW46" s="365"/>
      <c r="BX46" s="365"/>
      <c r="BY46" s="365"/>
      <c r="BZ46" s="365"/>
      <c r="CA46" s="365"/>
      <c r="CB46" s="365"/>
      <c r="CC46" s="365"/>
      <c r="CD46" s="365"/>
      <c r="CE46" s="365"/>
      <c r="CF46" s="365"/>
      <c r="CG46" s="365"/>
      <c r="CH46" s="365"/>
      <c r="CI46" s="365"/>
      <c r="CJ46" s="365"/>
      <c r="CK46" s="365"/>
      <c r="CL46" s="365"/>
      <c r="CM46" s="365"/>
      <c r="CN46" s="365"/>
      <c r="CO46" s="365"/>
      <c r="CP46" s="365"/>
      <c r="CQ46" s="365"/>
      <c r="CR46" s="365"/>
      <c r="CS46" s="365"/>
    </row>
    <row r="47">
      <c r="B47" s="11">
        <f>MATCH("END",A49:A1017,0)</f>
        <v>20</v>
      </c>
      <c r="C47" s="11" t="str">
        <f>MATCH("END",D49:D1017,0)</f>
        <v>#N/A</v>
      </c>
    </row>
    <row r="48" collapsed="1">
      <c r="A48" s="390" t="s">
        <v>985</v>
      </c>
      <c r="B48" s="53" t="str">
        <f>IFNA(IF(MATCH("END",A49:A74,0)&gt;MATCH("END",D49:D74,0),MATCH("END",A49:A74,0),MATCH("END",D49:D74,0)),"END Missing")</f>
        <v>END Missing</v>
      </c>
      <c r="C48" s="44" t="str">
        <f>IF(AND(G49:G73),"Headers Match","ERROR!! Headers Mismatch")</f>
        <v>#REF!</v>
      </c>
      <c r="D48" s="44" t="str">
        <f>IF(AND(H49:H73),"Formulas Match","ERROR!! Formulas Mismatch")</f>
        <v>#REF!</v>
      </c>
      <c r="E48" s="353"/>
      <c r="F48" s="389"/>
      <c r="G48" s="391" t="s">
        <v>986</v>
      </c>
      <c r="H48" s="391" t="s">
        <v>987</v>
      </c>
    </row>
    <row r="49" hidden="1" outlineLevel="1">
      <c r="A49" s="392" t="str">
        <f t="shared" ref="A49:A69" si="23">INDIRECT(CONCATENATE($A$48,"!",ADDRESS(ROW(A49)-ROW($A$48),3)))</f>
        <v>APS CHECK SUM MAIN</v>
      </c>
      <c r="B49" s="58"/>
      <c r="C49" s="92" t="str">
        <f t="shared" ref="C49:C68" si="24">IF(_xlfn.ISFORMULA(INDIRECT(CONCATENATE($A$48,"!",ADDRESS(ROW(A49)-ROW($A$48),4)))),FORMULATEXT(INDIRECT(CONCATENATE($A$48,"!",ADDRESS(ROW(A49)-ROW($A$48),4)))),IFERROR(0/0,""))</f>
        <v>=IF(D3=D11,"Check Sum OK", CONCATENATE(D11-D3," ERROR!! - Check Sum Fail"))</v>
      </c>
      <c r="D49" s="393" t="str">
        <f>IFERROR(__xludf.DUMMYFUNCTION("IMPORTRANGE($B$1,CONCATENATE($A$48,""!C1:C25""))"),"#REF!")</f>
        <v>#REF!</v>
      </c>
      <c r="E49" s="367"/>
      <c r="F49" s="92" t="str">
        <f>IFERROR(__xludf.DUMMYFUNCTION("IMPORTRANGE($B$1,CONCATENATE($A$48,""!A1:A25""))"),"#REF!")</f>
        <v>#REF!</v>
      </c>
      <c r="G49" s="62" t="str">
        <f t="shared" ref="G49:G61" si="25">EXACT(A49,D49)</f>
        <v>#REF!</v>
      </c>
      <c r="H49" s="394" t="str">
        <f t="shared" ref="H49:H61" si="26">EXACT(C49,F49)</f>
        <v>#REF!</v>
      </c>
      <c r="J49" s="58"/>
      <c r="K49" s="58"/>
      <c r="L49" s="58"/>
      <c r="M49" s="58"/>
      <c r="N49" s="58"/>
      <c r="O49" s="58"/>
      <c r="P49" s="58"/>
      <c r="Q49" s="58"/>
      <c r="R49" s="58"/>
      <c r="S49" s="58"/>
      <c r="T49" s="58"/>
      <c r="U49" s="58"/>
      <c r="V49" s="121"/>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row>
    <row r="50" hidden="1" outlineLevel="1">
      <c r="A50" s="392" t="str">
        <f t="shared" si="23"/>
        <v>RAW_APS Total Rows</v>
      </c>
      <c r="B50" s="365"/>
      <c r="C50" s="92" t="str">
        <f t="shared" si="24"/>
        <v>=ROWS(RAW_APS!A$3:A)</v>
      </c>
      <c r="D50" s="395"/>
      <c r="E50" s="396"/>
      <c r="F50" s="365"/>
      <c r="G50" s="62" t="b">
        <f t="shared" si="25"/>
        <v>0</v>
      </c>
      <c r="H50" s="394" t="b">
        <f t="shared" si="26"/>
        <v>0</v>
      </c>
      <c r="I50" s="365"/>
      <c r="J50" s="365"/>
      <c r="K50" s="365"/>
      <c r="L50" s="365"/>
      <c r="M50" s="365"/>
      <c r="N50" s="365"/>
      <c r="O50" s="365"/>
      <c r="P50" s="365"/>
      <c r="Q50" s="365"/>
      <c r="R50" s="365"/>
      <c r="S50" s="365"/>
      <c r="T50" s="365"/>
      <c r="U50" s="365"/>
      <c r="V50" s="121"/>
      <c r="W50" s="365"/>
      <c r="X50" s="365"/>
      <c r="Y50" s="365"/>
      <c r="Z50" s="365"/>
      <c r="AA50" s="365"/>
      <c r="AB50" s="365"/>
      <c r="AC50" s="365"/>
      <c r="AD50" s="365"/>
      <c r="AE50" s="365"/>
      <c r="AF50" s="365"/>
      <c r="AG50" s="365"/>
      <c r="AH50" s="365"/>
      <c r="AI50" s="365"/>
      <c r="AJ50" s="365"/>
      <c r="AK50" s="365"/>
      <c r="AL50" s="365"/>
      <c r="AM50" s="365"/>
      <c r="AN50" s="365"/>
      <c r="AO50" s="365"/>
      <c r="AP50" s="365"/>
      <c r="AQ50" s="365"/>
      <c r="AR50" s="365"/>
      <c r="AS50" s="365"/>
      <c r="AT50" s="365"/>
      <c r="AU50" s="365"/>
      <c r="AV50" s="365"/>
      <c r="AW50" s="365"/>
      <c r="AX50" s="365"/>
      <c r="AY50" s="365"/>
      <c r="AZ50" s="365"/>
      <c r="BA50" s="365"/>
      <c r="BB50" s="365"/>
      <c r="BC50" s="365"/>
      <c r="BD50" s="365"/>
      <c r="BE50" s="365"/>
      <c r="BF50" s="365"/>
      <c r="BG50" s="365"/>
      <c r="BH50" s="365"/>
      <c r="BI50" s="365"/>
      <c r="BJ50" s="365"/>
      <c r="BK50" s="365"/>
      <c r="BL50" s="365"/>
      <c r="BM50" s="365"/>
      <c r="BN50" s="365"/>
      <c r="BO50" s="365"/>
      <c r="BP50" s="365"/>
      <c r="BQ50" s="365"/>
      <c r="BR50" s="365"/>
      <c r="BS50" s="365"/>
      <c r="BT50" s="365"/>
      <c r="BU50" s="365"/>
      <c r="BV50" s="365"/>
      <c r="BW50" s="365"/>
      <c r="BX50" s="365"/>
      <c r="BY50" s="365"/>
      <c r="BZ50" s="365"/>
      <c r="CA50" s="365"/>
      <c r="CB50" s="365"/>
      <c r="CC50" s="365"/>
      <c r="CD50" s="365"/>
      <c r="CE50" s="365"/>
      <c r="CF50" s="365"/>
      <c r="CG50" s="365"/>
      <c r="CH50" s="365"/>
      <c r="CI50" s="365"/>
      <c r="CJ50" s="365"/>
      <c r="CK50" s="365"/>
      <c r="CL50" s="365"/>
      <c r="CM50" s="365"/>
      <c r="CN50" s="365"/>
      <c r="CO50" s="365"/>
      <c r="CP50" s="365"/>
      <c r="CQ50" s="365"/>
      <c r="CR50" s="365"/>
      <c r="CS50" s="365"/>
    </row>
    <row r="51" hidden="1" outlineLevel="1">
      <c r="A51" s="392" t="str">
        <f t="shared" si="23"/>
        <v>Total Rows</v>
      </c>
      <c r="B51" s="62"/>
      <c r="C51" s="92" t="str">
        <f t="shared" si="24"/>
        <v>=ROWS(preDEL!A$2:A)</v>
      </c>
      <c r="D51" s="397"/>
      <c r="E51" s="398"/>
      <c r="F51" s="399"/>
      <c r="G51" s="62" t="b">
        <f t="shared" si="25"/>
        <v>0</v>
      </c>
      <c r="H51" s="394" t="b">
        <f t="shared" si="26"/>
        <v>0</v>
      </c>
      <c r="I51" s="62"/>
      <c r="J51" s="62"/>
      <c r="K51" s="62"/>
      <c r="L51" s="62"/>
      <c r="M51" s="62"/>
      <c r="N51" s="62"/>
      <c r="O51" s="62"/>
      <c r="P51" s="62"/>
      <c r="Q51" s="62"/>
      <c r="R51" s="62"/>
      <c r="S51" s="62"/>
      <c r="T51" s="62"/>
      <c r="U51" s="62"/>
      <c r="V51" s="121"/>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62"/>
      <c r="CH51" s="62"/>
      <c r="CI51" s="62"/>
      <c r="CJ51" s="62"/>
      <c r="CK51" s="62"/>
      <c r="CL51" s="62"/>
      <c r="CM51" s="62"/>
      <c r="CN51" s="62"/>
      <c r="CO51" s="62"/>
      <c r="CP51" s="62"/>
      <c r="CQ51" s="62"/>
      <c r="CR51" s="62"/>
      <c r="CS51" s="62"/>
    </row>
    <row r="52" hidden="1" outlineLevel="1">
      <c r="A52" s="392" t="str">
        <f t="shared" si="23"/>
        <v>Delete Rows (from Delete? col)</v>
      </c>
      <c r="B52" s="365"/>
      <c r="C52" s="92" t="str">
        <f t="shared" si="24"/>
        <v>=COUNTIF(preDEL!$AG2:$AG,TRUE)</v>
      </c>
      <c r="D52" s="395"/>
      <c r="E52" s="396"/>
      <c r="F52" s="365"/>
      <c r="G52" s="62" t="b">
        <f t="shared" si="25"/>
        <v>0</v>
      </c>
      <c r="H52" s="394" t="b">
        <f t="shared" si="26"/>
        <v>0</v>
      </c>
      <c r="I52" s="365"/>
      <c r="J52" s="365"/>
      <c r="K52" s="365"/>
      <c r="L52" s="365"/>
      <c r="M52" s="365"/>
      <c r="N52" s="365"/>
      <c r="O52" s="365"/>
      <c r="P52" s="365"/>
      <c r="Q52" s="365"/>
      <c r="R52" s="365"/>
      <c r="S52" s="365"/>
      <c r="T52" s="365"/>
      <c r="U52" s="365"/>
      <c r="V52" s="121"/>
      <c r="W52" s="365"/>
      <c r="X52" s="365"/>
      <c r="Y52" s="365"/>
      <c r="Z52" s="365"/>
      <c r="AA52" s="365"/>
      <c r="AB52" s="365"/>
      <c r="AC52" s="365"/>
      <c r="AD52" s="365"/>
      <c r="AE52" s="365"/>
      <c r="AF52" s="365"/>
      <c r="AG52" s="365"/>
      <c r="AH52" s="365"/>
      <c r="AI52" s="365"/>
      <c r="AJ52" s="365"/>
      <c r="AK52" s="365"/>
      <c r="AL52" s="365"/>
      <c r="AM52" s="365"/>
      <c r="AN52" s="365"/>
      <c r="AO52" s="365"/>
      <c r="AP52" s="365"/>
      <c r="AQ52" s="365"/>
      <c r="AR52" s="365"/>
      <c r="AS52" s="365"/>
      <c r="AT52" s="365"/>
      <c r="AU52" s="365"/>
      <c r="AV52" s="365"/>
      <c r="AW52" s="365"/>
      <c r="AX52" s="365"/>
      <c r="AY52" s="365"/>
      <c r="AZ52" s="365"/>
      <c r="BA52" s="365"/>
      <c r="BB52" s="365"/>
      <c r="BC52" s="365"/>
      <c r="BD52" s="365"/>
      <c r="BE52" s="365"/>
      <c r="BF52" s="365"/>
      <c r="BG52" s="365"/>
      <c r="BH52" s="365"/>
      <c r="BI52" s="365"/>
      <c r="BJ52" s="365"/>
      <c r="BK52" s="365"/>
      <c r="BL52" s="365"/>
      <c r="BM52" s="365"/>
      <c r="BN52" s="365"/>
      <c r="BO52" s="365"/>
      <c r="BP52" s="365"/>
      <c r="BQ52" s="365"/>
      <c r="BR52" s="365"/>
      <c r="BS52" s="365"/>
      <c r="BT52" s="365"/>
      <c r="BU52" s="365"/>
      <c r="BV52" s="365"/>
      <c r="BW52" s="365"/>
      <c r="BX52" s="365"/>
      <c r="BY52" s="365"/>
      <c r="BZ52" s="365"/>
      <c r="CA52" s="365"/>
      <c r="CB52" s="365"/>
      <c r="CC52" s="365"/>
      <c r="CD52" s="365"/>
      <c r="CE52" s="365"/>
      <c r="CF52" s="365"/>
      <c r="CG52" s="365"/>
      <c r="CH52" s="365"/>
      <c r="CI52" s="365"/>
      <c r="CJ52" s="365"/>
      <c r="CK52" s="365"/>
      <c r="CL52" s="365"/>
      <c r="CM52" s="365"/>
      <c r="CN52" s="365"/>
      <c r="CO52" s="365"/>
      <c r="CP52" s="365"/>
      <c r="CQ52" s="365"/>
      <c r="CR52" s="365"/>
      <c r="CS52" s="365"/>
    </row>
    <row r="53" hidden="1" outlineLevel="1">
      <c r="A53" s="392" t="str">
        <f t="shared" si="23"/>
        <v>Keep Rows (Total - Delete)</v>
      </c>
      <c r="B53" s="375"/>
      <c r="C53" s="92" t="str">
        <f t="shared" si="24"/>
        <v>=D3-D4</v>
      </c>
      <c r="D53" s="400"/>
      <c r="E53" s="401"/>
      <c r="F53" s="366"/>
      <c r="G53" s="62" t="b">
        <f t="shared" si="25"/>
        <v>0</v>
      </c>
      <c r="H53" s="394" t="b">
        <f t="shared" si="26"/>
        <v>0</v>
      </c>
      <c r="I53" s="375"/>
      <c r="J53" s="375"/>
      <c r="K53" s="375"/>
      <c r="L53" s="375"/>
      <c r="M53" s="375"/>
      <c r="N53" s="375"/>
      <c r="O53" s="375"/>
      <c r="P53" s="375"/>
      <c r="Q53" s="375"/>
      <c r="R53" s="375"/>
      <c r="S53" s="375"/>
      <c r="T53" s="375"/>
      <c r="U53" s="375"/>
      <c r="V53" s="121"/>
      <c r="W53" s="375"/>
      <c r="X53" s="375"/>
      <c r="Y53" s="375"/>
      <c r="Z53" s="375"/>
      <c r="AA53" s="375"/>
      <c r="AB53" s="375"/>
      <c r="AC53" s="375"/>
      <c r="AD53" s="375"/>
      <c r="AE53" s="375"/>
      <c r="AF53" s="375"/>
      <c r="AG53" s="375"/>
      <c r="AH53" s="375"/>
      <c r="AI53" s="375"/>
      <c r="AJ53" s="375"/>
      <c r="AK53" s="375"/>
      <c r="AL53" s="375"/>
      <c r="AM53" s="375"/>
      <c r="AN53" s="375"/>
      <c r="AO53" s="375"/>
      <c r="AP53" s="375"/>
      <c r="AQ53" s="375"/>
      <c r="AR53" s="375"/>
      <c r="AS53" s="375"/>
      <c r="AT53" s="375"/>
      <c r="AU53" s="375"/>
      <c r="AV53" s="375"/>
      <c r="AW53" s="375"/>
      <c r="AX53" s="375"/>
      <c r="AY53" s="375"/>
      <c r="AZ53" s="375"/>
      <c r="BA53" s="375"/>
      <c r="BB53" s="375"/>
      <c r="BC53" s="375"/>
      <c r="BD53" s="375"/>
      <c r="BE53" s="375"/>
      <c r="BF53" s="375"/>
      <c r="BG53" s="375"/>
      <c r="BH53" s="375"/>
      <c r="BI53" s="375"/>
      <c r="BJ53" s="375"/>
      <c r="BK53" s="375"/>
      <c r="BL53" s="375"/>
      <c r="BM53" s="375"/>
      <c r="BN53" s="375"/>
      <c r="BO53" s="375"/>
      <c r="BP53" s="375"/>
      <c r="BQ53" s="375"/>
      <c r="BR53" s="375"/>
      <c r="BS53" s="375"/>
      <c r="BT53" s="375"/>
      <c r="BU53" s="375"/>
      <c r="BV53" s="375"/>
      <c r="BW53" s="375"/>
      <c r="BX53" s="375"/>
      <c r="BY53" s="375"/>
      <c r="BZ53" s="375"/>
      <c r="CA53" s="375"/>
      <c r="CB53" s="375"/>
      <c r="CC53" s="375"/>
      <c r="CD53" s="375"/>
      <c r="CE53" s="375"/>
      <c r="CF53" s="375"/>
      <c r="CG53" s="375"/>
      <c r="CH53" s="375"/>
      <c r="CI53" s="375"/>
      <c r="CJ53" s="375"/>
      <c r="CK53" s="375"/>
      <c r="CL53" s="375"/>
      <c r="CM53" s="375"/>
      <c r="CN53" s="375"/>
      <c r="CO53" s="375"/>
      <c r="CP53" s="375"/>
      <c r="CQ53" s="375"/>
      <c r="CR53" s="375"/>
      <c r="CS53" s="375"/>
    </row>
    <row r="54" hidden="1" outlineLevel="1">
      <c r="A54" s="392" t="str">
        <f t="shared" si="23"/>
        <v>Note Name Rows (from Note Name? col)</v>
      </c>
      <c r="B54" s="365"/>
      <c r="C54" s="92" t="str">
        <f t="shared" si="24"/>
        <v>=COUNTIF(preDEL!X$2:X,TRUE)</v>
      </c>
      <c r="D54" s="395"/>
      <c r="E54" s="396"/>
      <c r="F54" s="365"/>
      <c r="G54" s="62" t="b">
        <f t="shared" si="25"/>
        <v>0</v>
      </c>
      <c r="H54" s="394" t="b">
        <f t="shared" si="26"/>
        <v>0</v>
      </c>
      <c r="I54" s="365"/>
      <c r="J54" s="365"/>
      <c r="K54" s="365"/>
      <c r="L54" s="365"/>
      <c r="M54" s="365"/>
      <c r="N54" s="365"/>
      <c r="O54" s="365"/>
      <c r="P54" s="365"/>
      <c r="Q54" s="365"/>
      <c r="R54" s="365"/>
      <c r="S54" s="365"/>
      <c r="T54" s="365"/>
      <c r="U54" s="365"/>
      <c r="V54" s="121"/>
      <c r="W54" s="365"/>
      <c r="X54" s="365"/>
      <c r="Y54" s="365"/>
      <c r="Z54" s="365"/>
      <c r="AA54" s="365"/>
      <c r="AB54" s="365"/>
      <c r="AC54" s="365"/>
      <c r="AD54" s="365"/>
      <c r="AE54" s="365"/>
      <c r="AF54" s="365"/>
      <c r="AG54" s="365"/>
      <c r="AH54" s="365"/>
      <c r="AI54" s="365"/>
      <c r="AJ54" s="365"/>
      <c r="AK54" s="365"/>
      <c r="AL54" s="365"/>
      <c r="AM54" s="365"/>
      <c r="AN54" s="365"/>
      <c r="AO54" s="365"/>
      <c r="AP54" s="365"/>
      <c r="AQ54" s="365"/>
      <c r="AR54" s="365"/>
      <c r="AS54" s="365"/>
      <c r="AT54" s="365"/>
      <c r="AU54" s="365"/>
      <c r="AV54" s="365"/>
      <c r="AW54" s="365"/>
      <c r="AX54" s="365"/>
      <c r="AY54" s="365"/>
      <c r="AZ54" s="365"/>
      <c r="BA54" s="365"/>
      <c r="BB54" s="365"/>
      <c r="BC54" s="365"/>
      <c r="BD54" s="365"/>
      <c r="BE54" s="365"/>
      <c r="BF54" s="365"/>
      <c r="BG54" s="365"/>
      <c r="BH54" s="365"/>
      <c r="BI54" s="365"/>
      <c r="BJ54" s="365"/>
      <c r="BK54" s="365"/>
      <c r="BL54" s="365"/>
      <c r="BM54" s="365"/>
      <c r="BN54" s="365"/>
      <c r="BO54" s="365"/>
      <c r="BP54" s="365"/>
      <c r="BQ54" s="365"/>
      <c r="BR54" s="365"/>
      <c r="BS54" s="365"/>
      <c r="BT54" s="365"/>
      <c r="BU54" s="365"/>
      <c r="BV54" s="365"/>
      <c r="BW54" s="365"/>
      <c r="BX54" s="365"/>
      <c r="BY54" s="365"/>
      <c r="BZ54" s="365"/>
      <c r="CA54" s="365"/>
      <c r="CB54" s="365"/>
      <c r="CC54" s="365"/>
      <c r="CD54" s="365"/>
      <c r="CE54" s="365"/>
      <c r="CF54" s="365"/>
      <c r="CG54" s="365"/>
      <c r="CH54" s="365"/>
      <c r="CI54" s="365"/>
      <c r="CJ54" s="365"/>
      <c r="CK54" s="365"/>
      <c r="CL54" s="365"/>
      <c r="CM54" s="365"/>
      <c r="CN54" s="365"/>
      <c r="CO54" s="365"/>
      <c r="CP54" s="365"/>
      <c r="CQ54" s="365"/>
      <c r="CR54" s="365"/>
      <c r="CS54" s="365"/>
    </row>
    <row r="55" hidden="1" outlineLevel="1">
      <c r="A55" s="392" t="str">
        <f t="shared" si="23"/>
        <v>Rows with Add from APT = TRUE</v>
      </c>
      <c r="C55" s="92" t="str">
        <f t="shared" si="24"/>
        <v>=COUNTIF(preDEL!AD$2:AD,TRUE)</v>
      </c>
      <c r="D55" s="402"/>
      <c r="E55" s="403"/>
      <c r="F55" s="55"/>
      <c r="G55" s="62" t="b">
        <f t="shared" si="25"/>
        <v>0</v>
      </c>
      <c r="H55" s="394" t="b">
        <f t="shared" si="26"/>
        <v>0</v>
      </c>
      <c r="V55" s="121"/>
    </row>
    <row r="56" hidden="1" outlineLevel="1">
      <c r="A56" s="392" t="str">
        <f t="shared" si="23"/>
        <v>Initial Add from APT (from Add from APT tab)</v>
      </c>
      <c r="C56" s="92" t="str">
        <f t="shared" si="24"/>
        <v>='Add from APT'!S1</v>
      </c>
      <c r="D56" s="402"/>
      <c r="E56" s="403"/>
      <c r="F56" s="55"/>
      <c r="G56" s="62" t="b">
        <f t="shared" si="25"/>
        <v>0</v>
      </c>
      <c r="H56" s="394" t="b">
        <f t="shared" si="26"/>
        <v>0</v>
      </c>
      <c r="V56" s="121"/>
    </row>
    <row r="57" hidden="1" outlineLevel="1">
      <c r="A57" s="392" t="str">
        <f t="shared" si="23"/>
        <v>Note Name Rows Extra (excludes orig row) - Formula</v>
      </c>
      <c r="C57" s="92" t="str">
        <f t="shared" si="24"/>
        <v>=preDEL!AY1</v>
      </c>
      <c r="D57" s="402"/>
      <c r="E57" s="403"/>
      <c r="F57" s="55"/>
      <c r="G57" s="62" t="b">
        <f t="shared" si="25"/>
        <v>0</v>
      </c>
      <c r="H57" s="394" t="b">
        <f t="shared" si="26"/>
        <v>0</v>
      </c>
      <c r="V57" s="121"/>
    </row>
    <row r="58" hidden="1" outlineLevel="1">
      <c r="A58" s="392" t="str">
        <f t="shared" si="23"/>
        <v>Note Name Rows Extra (excludes orig row) - Value</v>
      </c>
      <c r="C58" s="92" t="str">
        <f t="shared" si="24"/>
        <v/>
      </c>
      <c r="D58" s="402"/>
      <c r="E58" s="403"/>
      <c r="F58" s="55"/>
      <c r="G58" s="62" t="b">
        <f t="shared" si="25"/>
        <v>0</v>
      </c>
      <c r="H58" s="394" t="b">
        <f t="shared" si="26"/>
        <v>1</v>
      </c>
      <c r="V58" s="121"/>
    </row>
    <row r="59" hidden="1" outlineLevel="1">
      <c r="A59" s="392" t="str">
        <f t="shared" si="23"/>
        <v>CHECK SUM for preDEL TOTAL ROWS</v>
      </c>
      <c r="C59" s="92" t="str">
        <f t="shared" si="24"/>
        <v>=D2+D10+D8</v>
      </c>
      <c r="D59" s="402"/>
      <c r="E59" s="403"/>
      <c r="F59" s="55"/>
      <c r="G59" s="62" t="b">
        <f t="shared" si="25"/>
        <v>0</v>
      </c>
      <c r="H59" s="394" t="b">
        <f t="shared" si="26"/>
        <v>0</v>
      </c>
      <c r="V59" s="121"/>
    </row>
    <row r="60" hidden="1" outlineLevel="1">
      <c r="A60" s="392" t="str">
        <f t="shared" si="23"/>
        <v>Total Rows in postDel</v>
      </c>
      <c r="C60" s="92" t="str">
        <f t="shared" si="24"/>
        <v>=ROWS(postDEL!$A$2:$A)-COUNTBLANK(postDEL!$A$2:$A)</v>
      </c>
      <c r="D60" s="402"/>
      <c r="E60" s="403"/>
      <c r="F60" s="55"/>
      <c r="G60" s="62" t="b">
        <f t="shared" si="25"/>
        <v>0</v>
      </c>
      <c r="H60" s="394" t="b">
        <f t="shared" si="26"/>
        <v>0</v>
      </c>
      <c r="V60" s="121"/>
    </row>
    <row r="61" hidden="1" outlineLevel="1">
      <c r="A61" s="392" t="str">
        <f t="shared" si="23"/>
        <v>Sum Person Samples</v>
      </c>
      <c r="C61" s="92" t="str">
        <f t="shared" si="24"/>
        <v>=SUM(INDIRECT(CONCATENATE(F!A37,"!D2:D")))</v>
      </c>
      <c r="D61" s="402"/>
      <c r="E61" s="404"/>
      <c r="F61" s="55"/>
      <c r="G61" s="62" t="b">
        <f t="shared" si="25"/>
        <v>0</v>
      </c>
      <c r="H61" s="394" t="b">
        <f t="shared" si="26"/>
        <v>0</v>
      </c>
      <c r="V61" s="121"/>
    </row>
    <row r="62" hidden="1" outlineLevel="1">
      <c r="A62" s="392" t="str">
        <f t="shared" si="23"/>
        <v/>
      </c>
      <c r="C62" s="92" t="str">
        <f t="shared" si="24"/>
        <v/>
      </c>
      <c r="D62" s="402"/>
      <c r="E62" s="404"/>
      <c r="F62" s="55"/>
    </row>
    <row r="63" hidden="1" outlineLevel="1">
      <c r="A63" s="392" t="str">
        <f t="shared" si="23"/>
        <v>NAME CHECKS</v>
      </c>
      <c r="C63" s="92" t="str">
        <f t="shared" si="24"/>
        <v>=AND(D16+D18=D17,D19=0)</v>
      </c>
      <c r="D63" s="402"/>
      <c r="E63" s="404"/>
      <c r="F63" s="55"/>
    </row>
    <row r="64" hidden="1" outlineLevel="1">
      <c r="A64" s="392" t="str">
        <f t="shared" si="23"/>
        <v>SUM Note Name Cols</v>
      </c>
      <c r="C64" s="92" t="str">
        <f t="shared" si="24"/>
        <v>=SUM(preDEL!AW2:AW)</v>
      </c>
      <c r="D64" s="402"/>
      <c r="E64" s="404"/>
      <c r="F64" s="55"/>
    </row>
    <row r="65" hidden="1" outlineLevel="1">
      <c r="A65" s="392" t="str">
        <f t="shared" si="23"/>
        <v>Count Note Name? TRUE - includes deleted rows</v>
      </c>
      <c r="C65" s="92" t="str">
        <f t="shared" si="24"/>
        <v>=COUNTIF(preDEL!X$2:X,TRUE)</v>
      </c>
      <c r="D65" s="402"/>
      <c r="E65" s="404"/>
      <c r="F65" s="55"/>
    </row>
    <row r="66" hidden="1" outlineLevel="1">
      <c r="A66" s="392" t="str">
        <f t="shared" si="23"/>
        <v>Deleted Note Name rows</v>
      </c>
      <c r="C66" s="92" t="str">
        <f t="shared" si="24"/>
        <v/>
      </c>
      <c r="D66" s="402"/>
      <c r="E66" s="404"/>
      <c r="F66" s="55"/>
    </row>
    <row r="67" hidden="1" outlineLevel="1">
      <c r="A67" s="392" t="str">
        <f t="shared" si="23"/>
        <v>Blank Combined Names</v>
      </c>
      <c r="C67" s="92" t="str">
        <f t="shared" si="24"/>
        <v>=COUNTBLANK(preDEL!$AR$2:$AR)</v>
      </c>
      <c r="D67" s="402"/>
      <c r="E67" s="404"/>
      <c r="F67" s="55"/>
    </row>
    <row r="68" hidden="1" outlineLevel="1">
      <c r="A68" s="392" t="str">
        <f t="shared" si="23"/>
        <v>END</v>
      </c>
      <c r="C68" s="121" t="str">
        <f t="shared" si="24"/>
        <v/>
      </c>
      <c r="D68" s="402"/>
      <c r="E68" s="404"/>
    </row>
    <row r="69" hidden="1" outlineLevel="1">
      <c r="A69" s="392" t="str">
        <f t="shared" si="23"/>
        <v/>
      </c>
      <c r="D69" s="405"/>
    </row>
    <row r="70" hidden="1" outlineLevel="1">
      <c r="A70" s="392"/>
      <c r="D70" s="405"/>
    </row>
    <row r="71" hidden="1" outlineLevel="1">
      <c r="A71" s="392" t="str">
        <f t="array" ref="A71">INDIRECT(CONCATENATE($A$48,"!",ADDRESS(ROW(A71)-ROW($A$48),3)))</f>
        <v>Tube ID blank</v>
      </c>
      <c r="D71" s="405"/>
    </row>
    <row r="72" hidden="1" outlineLevel="1">
      <c r="A72" s="406"/>
      <c r="D72" s="405"/>
    </row>
    <row r="73" hidden="1" outlineLevel="1">
      <c r="A73" s="406"/>
      <c r="D73" s="405"/>
    </row>
    <row r="74" hidden="1" outlineLevel="1">
      <c r="A74" s="407"/>
      <c r="B74" s="408" t="s">
        <v>988</v>
      </c>
      <c r="C74" s="407"/>
      <c r="D74" s="407"/>
      <c r="E74" s="407"/>
      <c r="F74" s="407"/>
    </row>
  </sheetData>
  <conditionalFormatting sqref="X10 AF10 AT10">
    <cfRule type="notContainsText" dxfId="0" priority="1" operator="notContains" text="ERROR">
      <formula>ISERROR(SEARCH(("ERROR"),(X10)))</formula>
    </cfRule>
  </conditionalFormatting>
  <conditionalFormatting sqref="A12:CS12 A15:CS15 A23:CS23 A25:CS25 A31:CS31 A33:CS33 A40:CS40 A43:CS43 C49:C73 F49:F73">
    <cfRule type="notContainsBlanks" dxfId="12" priority="2">
      <formula>LEN(TRIM(A12))&gt;0</formula>
    </cfRule>
  </conditionalFormatting>
  <conditionalFormatting sqref="C4:E9 C21:E21 C29:E29 C37:E37 C48:E48">
    <cfRule type="containsText" dxfId="1" priority="3" operator="containsText" text="ERROR">
      <formula>NOT(ISERROR(SEARCH(("ERROR"),(C4))))</formula>
    </cfRule>
  </conditionalFormatting>
  <conditionalFormatting sqref="C4:H4 E7 F9 A14 X14 A16:CS19 F21 A26:CS27 F29 A34:A35 B34:CS34 F37:G37 A42:CS42 A44:CS46 F48 G49:H73">
    <cfRule type="cellIs" dxfId="13" priority="4" operator="equal">
      <formula>"FALSE"</formula>
    </cfRule>
  </conditionalFormatting>
  <conditionalFormatting sqref="C4:E9 C21:E21 C29:E29 C37:E37 C48:E48">
    <cfRule type="containsText" dxfId="0" priority="5" operator="containsText" text="Match">
      <formula>NOT(ISERROR(SEARCH(("Match"),(C4))))</formula>
    </cfRule>
  </conditionalFormatting>
  <hyperlinks>
    <hyperlink r:id="rId2" location="gid=1761983769" ref="B1"/>
  </hyperlinks>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outlineLevelRow="1"/>
  <cols>
    <col customWidth="1" min="1" max="1" width="24.0"/>
    <col customWidth="1" min="2" max="2" width="17.38"/>
    <col customWidth="1" min="3" max="3" width="51.25"/>
    <col customWidth="1" min="4" max="4" width="15.88"/>
    <col customWidth="1" min="6" max="6" width="30.63"/>
    <col customWidth="1" min="7" max="8" width="9.5"/>
    <col customWidth="1" min="9" max="9" width="6.88"/>
    <col customWidth="1" min="10" max="10" width="29.38"/>
    <col customWidth="1" min="11" max="11" width="19.75"/>
  </cols>
  <sheetData>
    <row r="1">
      <c r="A1" s="132"/>
      <c r="C1" s="409" t="s">
        <v>989</v>
      </c>
      <c r="D1" s="410" t="str">
        <f>IF(D3=D11,"Check Sum OK", CONCATENATE(D11-D3," ERROR!! - Check Sum Fail"))</f>
        <v>Check Sum OK</v>
      </c>
      <c r="E1" s="26" t="s">
        <v>990</v>
      </c>
      <c r="F1" s="350" t="str">
        <f>CONCATENATE(TEXT(NOW(),"M-DD HH:MM")," ",E1)</f>
        <v>2-25 15:04 BS</v>
      </c>
      <c r="K1" s="348"/>
    </row>
    <row r="2">
      <c r="A2" s="57" t="str">
        <f t="shared" ref="A2:A17" si="1">IF(_xlfn.ISFORMULA(D2),FORMULATEXT(D2),IFERROR(0/0,""))</f>
        <v>=ROWS(RAW_APS!A$3:A)</v>
      </c>
      <c r="C2" s="2" t="s">
        <v>991</v>
      </c>
      <c r="D2" s="255">
        <f>ROWS(RAW_APS!A$3:A1821)</f>
        <v>234</v>
      </c>
    </row>
    <row r="3">
      <c r="A3" s="57" t="str">
        <f t="shared" si="1"/>
        <v>=ROWS(preDEL!A$2:A)</v>
      </c>
      <c r="C3" s="2" t="s">
        <v>992</v>
      </c>
      <c r="D3" s="411">
        <f>ROWS(preDEL!A$2:A1821)</f>
        <v>263</v>
      </c>
      <c r="G3" s="348"/>
      <c r="K3" s="348"/>
      <c r="L3" s="348"/>
    </row>
    <row r="4">
      <c r="A4" s="57" t="str">
        <f t="shared" si="1"/>
        <v>=COUNTIF(preDEL!$AG2:$AG,TRUE)</v>
      </c>
      <c r="C4" s="2" t="s">
        <v>993</v>
      </c>
      <c r="D4" s="255">
        <f>COUNTIF(preDEL!$AG2:$AG1821,TRUE)</f>
        <v>73</v>
      </c>
    </row>
    <row r="5">
      <c r="A5" s="57" t="str">
        <f t="shared" si="1"/>
        <v>=D3-D4</v>
      </c>
      <c r="C5" s="2" t="s">
        <v>994</v>
      </c>
      <c r="D5" s="412">
        <f>D3-D4</f>
        <v>190</v>
      </c>
    </row>
    <row r="6">
      <c r="A6" s="57" t="str">
        <f t="shared" si="1"/>
        <v>=COUNTIF(preDEL!X$2:X,TRUE)</v>
      </c>
      <c r="C6" s="413" t="s">
        <v>995</v>
      </c>
      <c r="D6" s="414">
        <f>COUNTIF(preDEL!X$2:X1821,TRUE)</f>
        <v>8</v>
      </c>
    </row>
    <row r="7">
      <c r="A7" s="57" t="str">
        <f t="shared" si="1"/>
        <v>=COUNTIF(preDEL!AD$2:AD,TRUE)</v>
      </c>
      <c r="C7" s="415" t="s">
        <v>996</v>
      </c>
      <c r="D7" s="255">
        <f>COUNTIF(preDEL!AD$2:AD1821,TRUE)</f>
        <v>0</v>
      </c>
      <c r="E7" s="2" t="s">
        <v>997</v>
      </c>
      <c r="I7" s="2"/>
    </row>
    <row r="8">
      <c r="A8" s="57" t="str">
        <f t="shared" si="1"/>
        <v>='Add from APT'!S1</v>
      </c>
      <c r="C8" s="415" t="s">
        <v>998</v>
      </c>
      <c r="D8" s="255">
        <f>'Add from APT'!S1</f>
        <v>1</v>
      </c>
      <c r="E8" s="416" t="s">
        <v>999</v>
      </c>
    </row>
    <row r="9">
      <c r="A9" s="57" t="str">
        <f t="shared" si="1"/>
        <v>=preDEL!AY1</v>
      </c>
      <c r="C9" s="2" t="s">
        <v>1000</v>
      </c>
      <c r="D9" s="417">
        <f>preDEL!AY1</f>
        <v>7</v>
      </c>
      <c r="E9" s="2" t="s">
        <v>1001</v>
      </c>
    </row>
    <row r="10">
      <c r="A10" s="57" t="str">
        <f t="shared" si="1"/>
        <v/>
      </c>
      <c r="C10" s="2" t="s">
        <v>1002</v>
      </c>
      <c r="D10" s="418">
        <v>28.0</v>
      </c>
      <c r="E10" s="2" t="s">
        <v>1003</v>
      </c>
    </row>
    <row r="11">
      <c r="A11" s="57" t="str">
        <f t="shared" si="1"/>
        <v>=D2+D10+D8</v>
      </c>
      <c r="C11" s="348" t="s">
        <v>1004</v>
      </c>
      <c r="D11" s="411">
        <f>D2+D10+D8</f>
        <v>263</v>
      </c>
      <c r="E11" s="2" t="s">
        <v>1005</v>
      </c>
    </row>
    <row r="12">
      <c r="A12" s="57" t="str">
        <f t="shared" si="1"/>
        <v>=ROWS(postDEL!$A$2:$A)-COUNTBLANK(postDEL!$A$2:$A)</v>
      </c>
      <c r="C12" s="2" t="s">
        <v>1006</v>
      </c>
      <c r="D12" s="255">
        <f>ROWS(postDEL!$A$2:$A1821)-COUNTBLANK(postDEL!$A$2:$A1821)</f>
        <v>190</v>
      </c>
    </row>
    <row r="13">
      <c r="A13" s="57" t="str">
        <f t="shared" si="1"/>
        <v>=SUM(INDIRECT(CONCATENATE(F!A37,"!D2:D")))</v>
      </c>
      <c r="C13" s="2" t="s">
        <v>1007</v>
      </c>
      <c r="D13" s="255">
        <f t="array" ref="D13">SUM(INDIRECT(CONCATENATE(F!A37,"!D2:D")))</f>
        <v>0</v>
      </c>
    </row>
    <row r="14">
      <c r="A14" s="57" t="str">
        <f t="shared" si="1"/>
        <v/>
      </c>
    </row>
    <row r="15" collapsed="1">
      <c r="A15" s="57" t="str">
        <f t="shared" si="1"/>
        <v>=AND(D16+D18=D17,D19=0)</v>
      </c>
      <c r="C15" s="409" t="s">
        <v>1008</v>
      </c>
      <c r="D15" s="419" t="b">
        <f>AND(D16+D18=D17,D19=0)</f>
        <v>0</v>
      </c>
      <c r="E15" s="3"/>
    </row>
    <row r="16" hidden="1" outlineLevel="1">
      <c r="A16" s="57" t="str">
        <f t="shared" si="1"/>
        <v>=SUM(preDEL!AW2:AW)</v>
      </c>
      <c r="B16" s="2"/>
      <c r="C16" s="2" t="s">
        <v>1009</v>
      </c>
      <c r="D16" s="420">
        <f>SUM(preDEL!AW2:AW1821)</f>
        <v>8</v>
      </c>
      <c r="E16" s="9" t="s">
        <v>1010</v>
      </c>
    </row>
    <row r="17" hidden="1" outlineLevel="1">
      <c r="A17" s="57" t="str">
        <f t="shared" si="1"/>
        <v>=COUNTIF(preDEL!X$2:X,TRUE)</v>
      </c>
      <c r="B17" s="2"/>
      <c r="C17" s="413" t="s">
        <v>1011</v>
      </c>
      <c r="D17" s="421">
        <f>COUNTIF(preDEL!X$2:X1821,TRUE)</f>
        <v>8</v>
      </c>
      <c r="E17" s="121"/>
    </row>
    <row r="18" hidden="1" outlineLevel="1">
      <c r="C18" s="2" t="s">
        <v>1012</v>
      </c>
      <c r="D18" s="422">
        <v>4.0</v>
      </c>
      <c r="E18" s="9" t="s">
        <v>1013</v>
      </c>
    </row>
    <row r="19" hidden="1" outlineLevel="1">
      <c r="A19" s="57" t="str">
        <f>IF(_xlfn.ISFORMULA(D19),FORMULATEXT(D19),IFERROR(0/0,""))</f>
        <v>=COUNTBLANK(preDEL!$AR$2:$AR)</v>
      </c>
      <c r="C19" s="2" t="s">
        <v>1014</v>
      </c>
      <c r="D19" s="420">
        <f>COUNTBLANK(preDEL!$AR$2:$AR1821)</f>
        <v>190</v>
      </c>
      <c r="E19" s="3"/>
    </row>
    <row r="20">
      <c r="C20" s="423" t="s">
        <v>192</v>
      </c>
      <c r="D20" s="424"/>
    </row>
    <row r="22" collapsed="1">
      <c r="A22" s="3"/>
      <c r="B22" s="3"/>
      <c r="C22" s="425" t="s">
        <v>1015</v>
      </c>
      <c r="D22" s="426" t="s">
        <v>1016</v>
      </c>
      <c r="E22" s="427">
        <f>SUM(E23:E63)</f>
        <v>67</v>
      </c>
      <c r="F22" s="3"/>
      <c r="G22" s="426" t="s">
        <v>1017</v>
      </c>
      <c r="H22" s="426" t="s">
        <v>1018</v>
      </c>
      <c r="I22" s="3"/>
      <c r="J22" s="3"/>
      <c r="K22" s="3"/>
      <c r="L22" s="3"/>
      <c r="M22" s="3"/>
      <c r="N22" s="3"/>
      <c r="O22" s="3"/>
      <c r="P22" s="3"/>
      <c r="Q22" s="3"/>
      <c r="R22" s="3"/>
      <c r="S22" s="3"/>
      <c r="T22" s="3"/>
      <c r="U22" s="3"/>
      <c r="V22" s="3"/>
      <c r="W22" s="3"/>
      <c r="X22" s="3"/>
      <c r="Y22" s="3"/>
      <c r="Z22" s="3"/>
      <c r="AA22" s="3"/>
      <c r="AB22" s="3"/>
      <c r="AC22" s="3"/>
      <c r="AD22" s="3"/>
    </row>
    <row r="23" hidden="1" outlineLevel="1">
      <c r="A23" s="3"/>
      <c r="B23" s="8">
        <v>1.0</v>
      </c>
      <c r="C23" s="3" t="s">
        <v>1019</v>
      </c>
      <c r="D23" s="428">
        <f t="shared" ref="D23:D63" si="2">B23</f>
        <v>1</v>
      </c>
      <c r="E23" s="94">
        <f>IF(COUNTIF(preDEL!$AH$2:$AH1821,D23)&gt;0,COUNTIF(preDEL!$AH$2:$AH1821,D23),IFERROR(0/0,""))</f>
        <v>19</v>
      </c>
      <c r="F23" s="3"/>
      <c r="G23" s="94">
        <f t="array" ref="G23:G29">SORT(UNIQUE(preDEL!$AH$2:$AH1821),1,TRUE)</f>
        <v>1</v>
      </c>
      <c r="H23" s="94" t="b">
        <f t="shared" ref="H23:H63" si="3">IF(COUNTIF(D$23:D$65,G23)=1,TRUE,IFERROR(0/0,""))</f>
        <v>1</v>
      </c>
      <c r="I23" s="8"/>
      <c r="J23" s="3"/>
      <c r="K23" s="3"/>
      <c r="L23" s="3"/>
      <c r="M23" s="3"/>
      <c r="N23" s="3"/>
      <c r="O23" s="3"/>
      <c r="P23" s="3"/>
      <c r="Q23" s="3"/>
      <c r="R23" s="3"/>
      <c r="S23" s="3"/>
      <c r="T23" s="3"/>
      <c r="U23" s="3"/>
      <c r="V23" s="3"/>
      <c r="W23" s="3"/>
      <c r="X23" s="3"/>
      <c r="Y23" s="3"/>
      <c r="Z23" s="3"/>
      <c r="AA23" s="3"/>
      <c r="AB23" s="3"/>
      <c r="AC23" s="3"/>
      <c r="AD23" s="3"/>
    </row>
    <row r="24" hidden="1" outlineLevel="1">
      <c r="A24" s="3"/>
      <c r="B24" s="8">
        <v>1.1</v>
      </c>
      <c r="C24" s="3" t="s">
        <v>1020</v>
      </c>
      <c r="D24" s="428">
        <f t="shared" si="2"/>
        <v>1.1</v>
      </c>
      <c r="E24" s="94" t="str">
        <f>IF(COUNTIF(preDEL!$AH$2:$AH1821,D24)&gt;0,COUNTIF(preDEL!$AH$2:$AH1821,D24),IFERROR(0/0,""))</f>
        <v/>
      </c>
      <c r="F24" s="429" t="s">
        <v>1021</v>
      </c>
      <c r="G24" s="3">
        <v>2.0</v>
      </c>
      <c r="H24" s="94" t="b">
        <f t="shared" si="3"/>
        <v>1</v>
      </c>
      <c r="I24" s="8"/>
      <c r="J24" s="3"/>
      <c r="K24" s="3"/>
      <c r="L24" s="3"/>
      <c r="M24" s="3"/>
      <c r="N24" s="3"/>
      <c r="O24" s="3"/>
      <c r="P24" s="3"/>
      <c r="Q24" s="3"/>
      <c r="R24" s="3"/>
      <c r="S24" s="3"/>
      <c r="T24" s="3"/>
      <c r="U24" s="3"/>
      <c r="V24" s="3"/>
      <c r="W24" s="3"/>
      <c r="X24" s="3"/>
      <c r="Y24" s="3"/>
      <c r="Z24" s="3"/>
      <c r="AA24" s="3"/>
      <c r="AB24" s="3"/>
      <c r="AC24" s="3"/>
      <c r="AD24" s="3"/>
    </row>
    <row r="25" hidden="1" outlineLevel="1">
      <c r="A25" s="3"/>
      <c r="B25" s="8">
        <v>2.0</v>
      </c>
      <c r="C25" s="3" t="s">
        <v>1022</v>
      </c>
      <c r="D25" s="428">
        <f t="shared" si="2"/>
        <v>2</v>
      </c>
      <c r="E25" s="94">
        <f>IF(COUNTIF(preDEL!$AH$2:$AH1821,D25)&gt;0,COUNTIF(preDEL!$AH$2:$AH1821,D25),IFERROR(0/0,""))</f>
        <v>21</v>
      </c>
      <c r="F25" s="3"/>
      <c r="G25" s="3">
        <v>4.1</v>
      </c>
      <c r="H25" s="94" t="b">
        <f t="shared" si="3"/>
        <v>1</v>
      </c>
      <c r="I25" s="8"/>
      <c r="J25" s="3"/>
      <c r="K25" s="3"/>
      <c r="L25" s="3"/>
      <c r="M25" s="3"/>
      <c r="N25" s="3"/>
      <c r="O25" s="3"/>
      <c r="P25" s="3"/>
      <c r="Q25" s="3"/>
      <c r="R25" s="3"/>
      <c r="S25" s="3"/>
      <c r="T25" s="3"/>
      <c r="U25" s="3"/>
      <c r="V25" s="3"/>
      <c r="W25" s="3"/>
      <c r="X25" s="3"/>
      <c r="Y25" s="3"/>
      <c r="Z25" s="3"/>
      <c r="AA25" s="3"/>
      <c r="AB25" s="3"/>
      <c r="AC25" s="3"/>
      <c r="AD25" s="3"/>
    </row>
    <row r="26" hidden="1" outlineLevel="1">
      <c r="A26" s="3"/>
      <c r="B26" s="8">
        <v>2.1</v>
      </c>
      <c r="C26" s="3" t="s">
        <v>774</v>
      </c>
      <c r="D26" s="428">
        <f t="shared" si="2"/>
        <v>2.1</v>
      </c>
      <c r="E26" s="94" t="str">
        <f>IF(COUNTIF(preDEL!$AH$2:$AH1821,D26)&gt;0,COUNTIF(preDEL!$AH$2:$AH1821,D26),IFERROR(0/0,""))</f>
        <v/>
      </c>
      <c r="F26" s="3"/>
      <c r="G26" s="3">
        <v>9.0</v>
      </c>
      <c r="H26" s="94" t="b">
        <f t="shared" si="3"/>
        <v>1</v>
      </c>
      <c r="I26" s="8"/>
      <c r="J26" s="3"/>
      <c r="K26" s="3"/>
      <c r="L26" s="3"/>
      <c r="M26" s="3"/>
      <c r="N26" s="3"/>
      <c r="O26" s="3"/>
      <c r="P26" s="3"/>
      <c r="Q26" s="3"/>
      <c r="R26" s="3"/>
      <c r="S26" s="3"/>
      <c r="T26" s="3"/>
      <c r="U26" s="3"/>
      <c r="V26" s="3"/>
      <c r="W26" s="3"/>
      <c r="X26" s="3"/>
      <c r="Y26" s="3"/>
      <c r="Z26" s="3"/>
      <c r="AA26" s="3"/>
      <c r="AB26" s="3"/>
      <c r="AC26" s="3"/>
      <c r="AD26" s="3"/>
    </row>
    <row r="27" hidden="1" outlineLevel="1">
      <c r="A27" s="3"/>
      <c r="B27" s="8">
        <v>2.2</v>
      </c>
      <c r="C27" s="3" t="s">
        <v>779</v>
      </c>
      <c r="D27" s="428">
        <f t="shared" si="2"/>
        <v>2.2</v>
      </c>
      <c r="E27" s="94" t="str">
        <f>IF(COUNTIF(preDEL!$AH$2:$AH1821,D27)&gt;0,COUNTIF(preDEL!$AH$2:$AH1821,D27),IFERROR(0/0,""))</f>
        <v/>
      </c>
      <c r="F27" s="3"/>
      <c r="G27" s="3">
        <v>9.1</v>
      </c>
      <c r="H27" s="94" t="b">
        <f t="shared" si="3"/>
        <v>1</v>
      </c>
      <c r="I27" s="8"/>
      <c r="J27" s="3"/>
      <c r="K27" s="3"/>
      <c r="L27" s="3"/>
      <c r="M27" s="3"/>
      <c r="N27" s="3"/>
      <c r="O27" s="3"/>
      <c r="P27" s="3"/>
      <c r="Q27" s="3"/>
      <c r="R27" s="3"/>
      <c r="S27" s="3"/>
      <c r="T27" s="3"/>
      <c r="U27" s="3"/>
      <c r="V27" s="3"/>
      <c r="W27" s="3"/>
      <c r="X27" s="3"/>
      <c r="Y27" s="3"/>
      <c r="Z27" s="3"/>
      <c r="AA27" s="3"/>
      <c r="AB27" s="3"/>
      <c r="AC27" s="3"/>
      <c r="AD27" s="3"/>
    </row>
    <row r="28" hidden="1" outlineLevel="1">
      <c r="A28" s="3"/>
      <c r="B28" s="8">
        <v>2.3</v>
      </c>
      <c r="C28" s="3" t="s">
        <v>784</v>
      </c>
      <c r="D28" s="428">
        <f t="shared" si="2"/>
        <v>2.3</v>
      </c>
      <c r="E28" s="94" t="str">
        <f>IF(COUNTIF(preDEL!$AH$2:$AH1821,D28)&gt;0,COUNTIF(preDEL!$AH$2:$AH1821,D28),IFERROR(0/0,""))</f>
        <v/>
      </c>
      <c r="F28" s="3"/>
      <c r="G28" s="3">
        <v>9.4</v>
      </c>
      <c r="H28" s="94" t="str">
        <f t="shared" si="3"/>
        <v/>
      </c>
      <c r="I28" s="8"/>
      <c r="J28" s="3"/>
      <c r="K28" s="3"/>
      <c r="L28" s="3"/>
      <c r="M28" s="3"/>
      <c r="N28" s="3"/>
      <c r="O28" s="3"/>
      <c r="P28" s="3"/>
      <c r="Q28" s="3"/>
      <c r="R28" s="3"/>
      <c r="S28" s="3"/>
      <c r="T28" s="3"/>
      <c r="U28" s="3"/>
      <c r="V28" s="3"/>
      <c r="W28" s="3"/>
      <c r="X28" s="3"/>
      <c r="Y28" s="3"/>
      <c r="Z28" s="3"/>
      <c r="AA28" s="3"/>
      <c r="AB28" s="3"/>
      <c r="AC28" s="3"/>
      <c r="AD28" s="3"/>
    </row>
    <row r="29" hidden="1" outlineLevel="1">
      <c r="A29" s="3"/>
      <c r="B29" s="8">
        <v>2.4</v>
      </c>
      <c r="C29" s="3" t="s">
        <v>789</v>
      </c>
      <c r="D29" s="428">
        <f t="shared" si="2"/>
        <v>2.4</v>
      </c>
      <c r="E29" s="94" t="str">
        <f>IF(COUNTIF(preDEL!$AH$2:$AH1821,D29)&gt;0,COUNTIF(preDEL!$AH$2:$AH1821,D29),IFERROR(0/0,""))</f>
        <v/>
      </c>
      <c r="F29" s="3"/>
      <c r="G29" s="3"/>
      <c r="H29" s="94" t="str">
        <f t="shared" si="3"/>
        <v/>
      </c>
      <c r="I29" s="8"/>
      <c r="J29" s="3"/>
      <c r="K29" s="3"/>
      <c r="L29" s="3"/>
      <c r="M29" s="3"/>
      <c r="N29" s="3"/>
      <c r="O29" s="3"/>
      <c r="P29" s="3"/>
      <c r="Q29" s="3"/>
      <c r="R29" s="3"/>
      <c r="S29" s="3"/>
      <c r="T29" s="3"/>
      <c r="U29" s="3"/>
      <c r="V29" s="3"/>
      <c r="W29" s="3"/>
      <c r="X29" s="3"/>
      <c r="Y29" s="3"/>
      <c r="Z29" s="3"/>
      <c r="AA29" s="3"/>
      <c r="AB29" s="3"/>
      <c r="AC29" s="3"/>
      <c r="AD29" s="3"/>
    </row>
    <row r="30" hidden="1" outlineLevel="1">
      <c r="A30" s="3"/>
      <c r="B30" s="8">
        <v>2.5</v>
      </c>
      <c r="C30" s="3" t="s">
        <v>793</v>
      </c>
      <c r="D30" s="428">
        <f t="shared" si="2"/>
        <v>2.5</v>
      </c>
      <c r="E30" s="94" t="str">
        <f>IF(COUNTIF(preDEL!$AH$2:$AH1821,D30)&gt;0,COUNTIF(preDEL!$AH$2:$AH1821,D30),IFERROR(0/0,""))</f>
        <v/>
      </c>
      <c r="F30" s="325"/>
      <c r="G30" s="3"/>
      <c r="H30" s="94" t="str">
        <f t="shared" si="3"/>
        <v/>
      </c>
      <c r="I30" s="3"/>
      <c r="J30" s="3"/>
      <c r="K30" s="3"/>
      <c r="L30" s="3"/>
      <c r="M30" s="3"/>
      <c r="N30" s="3"/>
      <c r="O30" s="3"/>
      <c r="P30" s="3"/>
      <c r="Q30" s="3"/>
      <c r="R30" s="3"/>
      <c r="S30" s="3"/>
      <c r="T30" s="3"/>
      <c r="U30" s="3"/>
      <c r="V30" s="3"/>
      <c r="W30" s="3"/>
      <c r="X30" s="3"/>
      <c r="Y30" s="3"/>
      <c r="Z30" s="3"/>
      <c r="AA30" s="3"/>
      <c r="AB30" s="3"/>
      <c r="AC30" s="3"/>
      <c r="AD30" s="3"/>
    </row>
    <row r="31" hidden="1" outlineLevel="1">
      <c r="A31" s="3"/>
      <c r="B31" s="8">
        <v>2.6</v>
      </c>
      <c r="C31" s="13" t="s">
        <v>798</v>
      </c>
      <c r="D31" s="428">
        <f t="shared" si="2"/>
        <v>2.6</v>
      </c>
      <c r="E31" s="94" t="str">
        <f>IF(COUNTIF(preDEL!$AH$2:$AH1821,D31)&gt;0,COUNTIF(preDEL!$AH$2:$AH1821,D31),IFERROR(0/0,""))</f>
        <v/>
      </c>
      <c r="F31" s="325"/>
      <c r="G31" s="3"/>
      <c r="H31" s="94" t="str">
        <f t="shared" si="3"/>
        <v/>
      </c>
      <c r="I31" s="3"/>
      <c r="J31" s="3"/>
      <c r="K31" s="3"/>
      <c r="L31" s="3"/>
      <c r="M31" s="3"/>
      <c r="N31" s="3"/>
      <c r="O31" s="3"/>
      <c r="P31" s="3"/>
      <c r="Q31" s="3"/>
      <c r="R31" s="3"/>
      <c r="S31" s="3"/>
      <c r="T31" s="3"/>
      <c r="U31" s="3"/>
      <c r="V31" s="3"/>
      <c r="W31" s="3"/>
      <c r="X31" s="3"/>
      <c r="Y31" s="3"/>
      <c r="Z31" s="3"/>
      <c r="AA31" s="3"/>
      <c r="AB31" s="3"/>
      <c r="AC31" s="3"/>
      <c r="AD31" s="3"/>
    </row>
    <row r="32" hidden="1" outlineLevel="1">
      <c r="A32" s="3"/>
      <c r="B32" s="8">
        <v>2.7</v>
      </c>
      <c r="C32" s="13" t="s">
        <v>801</v>
      </c>
      <c r="D32" s="428">
        <f t="shared" si="2"/>
        <v>2.7</v>
      </c>
      <c r="E32" s="94" t="str">
        <f>IF(COUNTIF(preDEL!$AH$2:$AH1821,D32)&gt;0,COUNTIF(preDEL!$AH$2:$AH1821,D32),IFERROR(0/0,""))</f>
        <v/>
      </c>
      <c r="F32" s="325"/>
      <c r="G32" s="3"/>
      <c r="H32" s="94" t="str">
        <f t="shared" si="3"/>
        <v/>
      </c>
      <c r="I32" s="3"/>
      <c r="J32" s="3"/>
      <c r="K32" s="3"/>
      <c r="L32" s="3"/>
      <c r="M32" s="3"/>
      <c r="N32" s="3"/>
      <c r="O32" s="3"/>
      <c r="P32" s="3"/>
      <c r="Q32" s="3"/>
      <c r="R32" s="3"/>
      <c r="S32" s="3"/>
      <c r="T32" s="3"/>
      <c r="U32" s="3"/>
      <c r="V32" s="3"/>
      <c r="W32" s="3"/>
      <c r="X32" s="3"/>
      <c r="Y32" s="3"/>
      <c r="Z32" s="3"/>
      <c r="AA32" s="3"/>
      <c r="AB32" s="3"/>
      <c r="AC32" s="3"/>
      <c r="AD32" s="3"/>
    </row>
    <row r="33" hidden="1" outlineLevel="1">
      <c r="A33" s="3"/>
      <c r="B33" s="8">
        <v>2.8</v>
      </c>
      <c r="C33" s="13" t="s">
        <v>1023</v>
      </c>
      <c r="D33" s="428">
        <f t="shared" si="2"/>
        <v>2.8</v>
      </c>
      <c r="E33" s="94" t="str">
        <f>IF(COUNTIF(preDEL!$AH$2:$AH1821,D33)&gt;0,COUNTIF(preDEL!$AH$2:$AH1821,D33),IFERROR(0/0,""))</f>
        <v/>
      </c>
      <c r="F33" s="325"/>
      <c r="G33" s="3"/>
      <c r="H33" s="94" t="str">
        <f t="shared" si="3"/>
        <v/>
      </c>
      <c r="I33" s="3"/>
      <c r="J33" s="3"/>
      <c r="K33" s="3"/>
      <c r="L33" s="3"/>
      <c r="M33" s="3"/>
      <c r="N33" s="3"/>
      <c r="O33" s="3"/>
      <c r="P33" s="3"/>
      <c r="Q33" s="3"/>
      <c r="R33" s="3"/>
      <c r="S33" s="3"/>
      <c r="T33" s="3"/>
      <c r="U33" s="3"/>
      <c r="V33" s="3"/>
      <c r="W33" s="3"/>
      <c r="X33" s="3"/>
      <c r="Y33" s="3"/>
      <c r="Z33" s="3"/>
      <c r="AA33" s="3"/>
      <c r="AB33" s="3"/>
      <c r="AC33" s="3"/>
      <c r="AD33" s="3"/>
    </row>
    <row r="34" hidden="1" outlineLevel="1">
      <c r="A34" s="3"/>
      <c r="B34" s="8">
        <v>3.0</v>
      </c>
      <c r="C34" s="13" t="s">
        <v>805</v>
      </c>
      <c r="D34" s="428">
        <f t="shared" si="2"/>
        <v>3</v>
      </c>
      <c r="E34" s="94" t="str">
        <f>IF(COUNTIF(preDEL!$AH$2:$AH1821,D34)&gt;0,COUNTIF(preDEL!$AH$2:$AH1821,D34),IFERROR(0/0,""))</f>
        <v/>
      </c>
      <c r="F34" s="325"/>
      <c r="G34" s="3"/>
      <c r="H34" s="94" t="str">
        <f t="shared" si="3"/>
        <v/>
      </c>
      <c r="I34" s="3"/>
      <c r="J34" s="3"/>
      <c r="K34" s="3"/>
      <c r="L34" s="3"/>
      <c r="M34" s="3"/>
      <c r="N34" s="3"/>
      <c r="O34" s="3"/>
      <c r="P34" s="3"/>
      <c r="Q34" s="3"/>
      <c r="R34" s="3"/>
      <c r="S34" s="3"/>
      <c r="T34" s="3"/>
      <c r="U34" s="3"/>
      <c r="V34" s="3"/>
      <c r="W34" s="3"/>
      <c r="X34" s="3"/>
      <c r="Y34" s="3"/>
      <c r="Z34" s="3"/>
      <c r="AA34" s="3"/>
      <c r="AB34" s="3"/>
      <c r="AC34" s="3"/>
      <c r="AD34" s="3"/>
    </row>
    <row r="35" hidden="1" outlineLevel="1">
      <c r="A35" s="3"/>
      <c r="B35" s="8">
        <v>4.0</v>
      </c>
      <c r="C35" s="13" t="s">
        <v>809</v>
      </c>
      <c r="D35" s="428">
        <f t="shared" si="2"/>
        <v>4</v>
      </c>
      <c r="E35" s="94" t="str">
        <f>IF(COUNTIF(preDEL!$AH$2:$AH1821,D35)&gt;0,COUNTIF(preDEL!$AH$2:$AH1821,D35),IFERROR(0/0,""))</f>
        <v/>
      </c>
      <c r="F35" s="325"/>
      <c r="G35" s="3"/>
      <c r="H35" s="94" t="str">
        <f t="shared" si="3"/>
        <v/>
      </c>
      <c r="I35" s="3"/>
      <c r="J35" s="3"/>
      <c r="K35" s="3"/>
      <c r="L35" s="3"/>
      <c r="M35" s="3"/>
      <c r="N35" s="3"/>
      <c r="O35" s="3"/>
      <c r="P35" s="3"/>
      <c r="Q35" s="3"/>
      <c r="R35" s="3"/>
      <c r="S35" s="3"/>
      <c r="T35" s="3"/>
      <c r="U35" s="3"/>
      <c r="V35" s="3"/>
      <c r="W35" s="3"/>
      <c r="X35" s="3"/>
      <c r="Y35" s="3"/>
      <c r="Z35" s="3"/>
      <c r="AA35" s="3"/>
      <c r="AB35" s="3"/>
      <c r="AC35" s="3"/>
      <c r="AD35" s="3"/>
    </row>
    <row r="36" hidden="1" outlineLevel="1">
      <c r="A36" s="13"/>
      <c r="B36" s="12">
        <v>4.1</v>
      </c>
      <c r="C36" s="13" t="s">
        <v>811</v>
      </c>
      <c r="D36" s="428">
        <f t="shared" si="2"/>
        <v>4.1</v>
      </c>
      <c r="E36" s="94">
        <f>IF(COUNTIF(preDEL!$AH$2:$AH1821,D36)&gt;0,COUNTIF(preDEL!$AH$2:$AH1821,D36),IFERROR(0/0,""))</f>
        <v>3</v>
      </c>
      <c r="F36" s="325"/>
      <c r="G36" s="3"/>
      <c r="H36" s="94" t="str">
        <f t="shared" si="3"/>
        <v/>
      </c>
      <c r="I36" s="3"/>
      <c r="J36" s="3"/>
      <c r="K36" s="3"/>
      <c r="L36" s="3"/>
      <c r="M36" s="3"/>
      <c r="N36" s="3"/>
      <c r="O36" s="3"/>
      <c r="P36" s="3"/>
      <c r="Q36" s="3"/>
      <c r="R36" s="3"/>
      <c r="S36" s="3"/>
      <c r="T36" s="3"/>
      <c r="U36" s="3"/>
      <c r="V36" s="3"/>
      <c r="W36" s="3"/>
      <c r="X36" s="3"/>
      <c r="Y36" s="3"/>
      <c r="Z36" s="3"/>
      <c r="AA36" s="3"/>
      <c r="AB36" s="3"/>
      <c r="AC36" s="3"/>
      <c r="AD36" s="3"/>
    </row>
    <row r="37" hidden="1" outlineLevel="1">
      <c r="A37" s="3"/>
      <c r="B37" s="12">
        <v>4.2</v>
      </c>
      <c r="C37" s="13" t="s">
        <v>1024</v>
      </c>
      <c r="D37" s="428">
        <f t="shared" si="2"/>
        <v>4.2</v>
      </c>
      <c r="E37" s="94" t="str">
        <f>IF(COUNTIF(preDEL!$AH$2:$AH1821,D37)&gt;0,COUNTIF(preDEL!$AH$2:$AH1821,D37),IFERROR(0/0,""))</f>
        <v/>
      </c>
      <c r="F37" s="430" t="s">
        <v>1025</v>
      </c>
      <c r="G37" s="3"/>
      <c r="H37" s="94" t="str">
        <f t="shared" si="3"/>
        <v/>
      </c>
      <c r="I37" s="3"/>
      <c r="J37" s="3"/>
      <c r="K37" s="3"/>
      <c r="L37" s="3"/>
      <c r="M37" s="3"/>
      <c r="N37" s="3"/>
      <c r="O37" s="3"/>
      <c r="P37" s="3"/>
      <c r="Q37" s="3"/>
      <c r="R37" s="3"/>
      <c r="S37" s="3"/>
      <c r="T37" s="3"/>
      <c r="U37" s="3"/>
      <c r="V37" s="3"/>
      <c r="W37" s="3"/>
      <c r="X37" s="3"/>
      <c r="Y37" s="3"/>
      <c r="Z37" s="3"/>
      <c r="AA37" s="3"/>
      <c r="AB37" s="3"/>
      <c r="AC37" s="3"/>
      <c r="AD37" s="3"/>
    </row>
    <row r="38" hidden="1" outlineLevel="1">
      <c r="A38" s="3"/>
      <c r="B38" s="8">
        <v>5.1</v>
      </c>
      <c r="C38" s="13" t="s">
        <v>1026</v>
      </c>
      <c r="D38" s="428">
        <f t="shared" si="2"/>
        <v>5.1</v>
      </c>
      <c r="E38" s="94" t="str">
        <f>IF(COUNTIF(preDEL!$AH$2:$AH1821,D38)&gt;0,COUNTIF(preDEL!$AH$2:$AH1821,D38),IFERROR(0/0,""))</f>
        <v/>
      </c>
      <c r="F38" s="430" t="s">
        <v>1027</v>
      </c>
      <c r="G38" s="3"/>
      <c r="H38" s="94" t="str">
        <f t="shared" si="3"/>
        <v/>
      </c>
      <c r="I38" s="3"/>
      <c r="J38" s="3"/>
      <c r="K38" s="3"/>
      <c r="L38" s="3"/>
      <c r="M38" s="3"/>
      <c r="N38" s="3"/>
      <c r="O38" s="3"/>
      <c r="P38" s="3"/>
      <c r="Q38" s="3"/>
      <c r="R38" s="3"/>
      <c r="S38" s="3"/>
      <c r="T38" s="3"/>
      <c r="U38" s="3"/>
      <c r="V38" s="3"/>
      <c r="W38" s="3"/>
      <c r="X38" s="3"/>
      <c r="Y38" s="3"/>
      <c r="Z38" s="3"/>
      <c r="AA38" s="3"/>
      <c r="AB38" s="3"/>
      <c r="AC38" s="3"/>
      <c r="AD38" s="3"/>
    </row>
    <row r="39" hidden="1" outlineLevel="1">
      <c r="A39" s="3"/>
      <c r="B39" s="8">
        <v>5.2</v>
      </c>
      <c r="C39" s="3" t="s">
        <v>815</v>
      </c>
      <c r="D39" s="428">
        <f t="shared" si="2"/>
        <v>5.2</v>
      </c>
      <c r="E39" s="94" t="str">
        <f>IF(COUNTIF(preDEL!$AH$2:$AH1821,D39)&gt;0,COUNTIF(preDEL!$AH$2:$AH1821,D39),IFERROR(0/0,""))</f>
        <v/>
      </c>
      <c r="F39" s="325"/>
      <c r="G39" s="3"/>
      <c r="H39" s="94" t="str">
        <f t="shared" si="3"/>
        <v/>
      </c>
      <c r="I39" s="3"/>
      <c r="J39" s="3"/>
      <c r="K39" s="3"/>
      <c r="L39" s="3"/>
      <c r="M39" s="3"/>
      <c r="N39" s="3"/>
      <c r="O39" s="3"/>
      <c r="P39" s="3"/>
      <c r="Q39" s="3"/>
      <c r="R39" s="3"/>
      <c r="S39" s="3"/>
      <c r="T39" s="3"/>
      <c r="U39" s="3"/>
      <c r="V39" s="3"/>
      <c r="W39" s="3"/>
      <c r="X39" s="3"/>
      <c r="Y39" s="3"/>
      <c r="Z39" s="3"/>
      <c r="AA39" s="3"/>
      <c r="AB39" s="3"/>
      <c r="AC39" s="3"/>
      <c r="AD39" s="3"/>
    </row>
    <row r="40" hidden="1" outlineLevel="1">
      <c r="A40" s="3"/>
      <c r="B40" s="8">
        <v>5.3</v>
      </c>
      <c r="C40" s="13" t="s">
        <v>1028</v>
      </c>
      <c r="D40" s="428">
        <f t="shared" si="2"/>
        <v>5.3</v>
      </c>
      <c r="E40" s="94" t="str">
        <f>IF(COUNTIF(preDEL!$AH$2:$AH1821,D40)&gt;0,COUNTIF(preDEL!$AH$2:$AH1821,D40),IFERROR(0/0,""))</f>
        <v/>
      </c>
      <c r="F40" s="431" t="s">
        <v>1029</v>
      </c>
      <c r="G40" s="3"/>
      <c r="H40" s="94" t="str">
        <f t="shared" si="3"/>
        <v/>
      </c>
      <c r="I40" s="3"/>
      <c r="J40" s="3"/>
      <c r="K40" s="3"/>
      <c r="L40" s="3"/>
      <c r="M40" s="3"/>
      <c r="N40" s="3"/>
      <c r="O40" s="3"/>
      <c r="P40" s="3"/>
      <c r="Q40" s="3"/>
      <c r="R40" s="3"/>
      <c r="S40" s="3"/>
      <c r="T40" s="3"/>
      <c r="U40" s="3"/>
      <c r="V40" s="3"/>
      <c r="W40" s="3"/>
      <c r="X40" s="3"/>
      <c r="Y40" s="3"/>
      <c r="Z40" s="3"/>
      <c r="AA40" s="3"/>
      <c r="AB40" s="3"/>
      <c r="AC40" s="3"/>
      <c r="AD40" s="3"/>
    </row>
    <row r="41" hidden="1" outlineLevel="1">
      <c r="A41" s="3"/>
      <c r="B41" s="8">
        <v>5.4</v>
      </c>
      <c r="C41" s="3" t="s">
        <v>819</v>
      </c>
      <c r="D41" s="428">
        <f t="shared" si="2"/>
        <v>5.4</v>
      </c>
      <c r="E41" s="94" t="str">
        <f>IF(COUNTIF(preDEL!$AH$2:$AH1821,D41)&gt;0,COUNTIF(preDEL!$AH$2:$AH1821,D41),IFERROR(0/0,""))</f>
        <v/>
      </c>
      <c r="F41" s="430" t="s">
        <v>1030</v>
      </c>
      <c r="G41" s="3"/>
      <c r="H41" s="94" t="str">
        <f t="shared" si="3"/>
        <v/>
      </c>
      <c r="I41" s="3"/>
      <c r="J41" s="3"/>
      <c r="K41" s="3"/>
      <c r="L41" s="3"/>
      <c r="M41" s="3"/>
      <c r="N41" s="3"/>
      <c r="O41" s="3"/>
      <c r="P41" s="3"/>
      <c r="Q41" s="3"/>
      <c r="R41" s="3"/>
      <c r="S41" s="3"/>
      <c r="T41" s="3"/>
      <c r="U41" s="3"/>
      <c r="V41" s="3"/>
      <c r="W41" s="3"/>
      <c r="X41" s="3"/>
      <c r="Y41" s="3"/>
      <c r="Z41" s="3"/>
      <c r="AA41" s="3"/>
      <c r="AB41" s="3"/>
      <c r="AC41" s="3"/>
      <c r="AD41" s="3"/>
    </row>
    <row r="42" hidden="1" outlineLevel="1">
      <c r="A42" s="3"/>
      <c r="B42" s="8">
        <v>5.5</v>
      </c>
      <c r="C42" s="3" t="s">
        <v>821</v>
      </c>
      <c r="D42" s="428">
        <f t="shared" si="2"/>
        <v>5.5</v>
      </c>
      <c r="E42" s="94" t="str">
        <f>IF(COUNTIF(preDEL!$AH$2:$AH1821,D42)&gt;0,COUNTIF(preDEL!$AH$2:$AH1821,D42),IFERROR(0/0,""))</f>
        <v/>
      </c>
      <c r="F42" s="325"/>
      <c r="G42" s="3"/>
      <c r="H42" s="94" t="str">
        <f t="shared" si="3"/>
        <v/>
      </c>
      <c r="I42" s="3"/>
      <c r="J42" s="3"/>
      <c r="K42" s="3"/>
      <c r="L42" s="3"/>
      <c r="M42" s="3"/>
      <c r="N42" s="3"/>
      <c r="O42" s="3"/>
      <c r="P42" s="3"/>
      <c r="Q42" s="3"/>
      <c r="R42" s="3"/>
      <c r="S42" s="3"/>
      <c r="T42" s="3"/>
      <c r="U42" s="3"/>
      <c r="V42" s="3"/>
      <c r="W42" s="3"/>
      <c r="X42" s="3"/>
      <c r="Y42" s="3"/>
      <c r="Z42" s="3"/>
      <c r="AA42" s="3"/>
      <c r="AB42" s="3"/>
      <c r="AC42" s="3"/>
      <c r="AD42" s="3"/>
    </row>
    <row r="43" hidden="1" outlineLevel="1">
      <c r="A43" s="3"/>
      <c r="B43" s="8">
        <v>6.0</v>
      </c>
      <c r="C43" s="3" t="s">
        <v>824</v>
      </c>
      <c r="D43" s="428">
        <f t="shared" si="2"/>
        <v>6</v>
      </c>
      <c r="E43" s="94" t="str">
        <f>IF(COUNTIF(preDEL!$AH$2:$AH1821,D43)&gt;0,COUNTIF(preDEL!$AH$2:$AH1821,D43),IFERROR(0/0,""))</f>
        <v/>
      </c>
      <c r="F43" s="325"/>
      <c r="G43" s="3"/>
      <c r="H43" s="94" t="str">
        <f t="shared" si="3"/>
        <v/>
      </c>
      <c r="I43" s="3"/>
      <c r="J43" s="3"/>
      <c r="K43" s="3"/>
      <c r="L43" s="3"/>
      <c r="M43" s="3"/>
      <c r="N43" s="3"/>
      <c r="O43" s="3"/>
      <c r="P43" s="3"/>
      <c r="Q43" s="3"/>
      <c r="R43" s="3"/>
      <c r="S43" s="3"/>
      <c r="T43" s="3"/>
      <c r="U43" s="3"/>
      <c r="V43" s="3"/>
      <c r="W43" s="3"/>
      <c r="X43" s="3"/>
      <c r="Y43" s="3"/>
      <c r="Z43" s="3"/>
      <c r="AA43" s="3"/>
      <c r="AB43" s="3"/>
      <c r="AC43" s="3"/>
      <c r="AD43" s="3"/>
    </row>
    <row r="44" hidden="1" outlineLevel="1">
      <c r="A44" s="3"/>
      <c r="B44" s="8">
        <v>7.0</v>
      </c>
      <c r="C44" s="13" t="s">
        <v>1031</v>
      </c>
      <c r="D44" s="428">
        <f t="shared" si="2"/>
        <v>7</v>
      </c>
      <c r="E44" s="94" t="str">
        <f>IF(COUNTIF(preDEL!$AH$2:$AH1821,D44)&gt;0,COUNTIF(preDEL!$AH$2:$AH1821,D44),IFERROR(0/0,""))</f>
        <v/>
      </c>
      <c r="F44" s="325"/>
      <c r="G44" s="3"/>
      <c r="H44" s="94" t="str">
        <f t="shared" si="3"/>
        <v/>
      </c>
      <c r="I44" s="3"/>
      <c r="J44" s="3"/>
      <c r="K44" s="3"/>
      <c r="L44" s="3"/>
      <c r="M44" s="3"/>
      <c r="N44" s="3"/>
      <c r="O44" s="3"/>
      <c r="P44" s="3"/>
      <c r="Q44" s="3"/>
      <c r="R44" s="3"/>
      <c r="S44" s="3"/>
      <c r="T44" s="3"/>
      <c r="U44" s="3"/>
      <c r="V44" s="3"/>
      <c r="W44" s="3"/>
      <c r="X44" s="3"/>
      <c r="Y44" s="3"/>
      <c r="Z44" s="3"/>
      <c r="AA44" s="3"/>
      <c r="AB44" s="3"/>
      <c r="AC44" s="3"/>
      <c r="AD44" s="3"/>
    </row>
    <row r="45" hidden="1" outlineLevel="1">
      <c r="A45" s="3"/>
      <c r="B45" s="8">
        <v>7.1</v>
      </c>
      <c r="C45" s="13" t="s">
        <v>1032</v>
      </c>
      <c r="D45" s="428">
        <f t="shared" si="2"/>
        <v>7.1</v>
      </c>
      <c r="E45" s="94" t="str">
        <f>IF(COUNTIF(preDEL!$AH$2:$AH1821,D45)&gt;0,COUNTIF(preDEL!$AH$2:$AH1821,D45),IFERROR(0/0,""))</f>
        <v/>
      </c>
      <c r="F45" s="325"/>
      <c r="G45" s="3"/>
      <c r="H45" s="94" t="str">
        <f t="shared" si="3"/>
        <v/>
      </c>
      <c r="I45" s="3"/>
      <c r="J45" s="3"/>
      <c r="K45" s="3"/>
      <c r="L45" s="3"/>
      <c r="M45" s="3"/>
      <c r="N45" s="3"/>
      <c r="O45" s="3"/>
      <c r="P45" s="3"/>
      <c r="Q45" s="3"/>
      <c r="R45" s="3"/>
      <c r="S45" s="3"/>
      <c r="T45" s="3"/>
      <c r="U45" s="3"/>
      <c r="V45" s="3"/>
      <c r="W45" s="3"/>
      <c r="X45" s="3"/>
      <c r="Y45" s="3"/>
      <c r="Z45" s="3"/>
      <c r="AA45" s="3"/>
      <c r="AB45" s="3"/>
      <c r="AC45" s="3"/>
      <c r="AD45" s="3"/>
    </row>
    <row r="46" hidden="1" outlineLevel="1">
      <c r="A46" s="3"/>
      <c r="B46" s="8">
        <v>7.2</v>
      </c>
      <c r="C46" s="3" t="s">
        <v>1033</v>
      </c>
      <c r="D46" s="428">
        <f t="shared" si="2"/>
        <v>7.2</v>
      </c>
      <c r="E46" s="94" t="str">
        <f>IF(COUNTIF(preDEL!$AH$2:$AH1821,D46)&gt;0,COUNTIF(preDEL!$AH$2:$AH1821,D46),IFERROR(0/0,""))</f>
        <v/>
      </c>
      <c r="F46" s="325"/>
      <c r="G46" s="3"/>
      <c r="H46" s="94" t="str">
        <f t="shared" si="3"/>
        <v/>
      </c>
      <c r="I46" s="3"/>
      <c r="J46" s="3"/>
      <c r="K46" s="3"/>
      <c r="L46" s="3"/>
      <c r="M46" s="3"/>
      <c r="N46" s="3"/>
      <c r="O46" s="3"/>
      <c r="P46" s="3"/>
      <c r="Q46" s="3"/>
      <c r="R46" s="3"/>
      <c r="S46" s="3"/>
      <c r="T46" s="3"/>
      <c r="U46" s="3"/>
      <c r="V46" s="3"/>
      <c r="W46" s="3"/>
      <c r="X46" s="3"/>
      <c r="Y46" s="3"/>
      <c r="Z46" s="3"/>
      <c r="AA46" s="3"/>
      <c r="AB46" s="3"/>
      <c r="AC46" s="3"/>
      <c r="AD46" s="3"/>
    </row>
    <row r="47" hidden="1" outlineLevel="1">
      <c r="A47" s="3"/>
      <c r="B47" s="12">
        <v>7.3</v>
      </c>
      <c r="C47" s="13" t="s">
        <v>1034</v>
      </c>
      <c r="D47" s="428">
        <f t="shared" si="2"/>
        <v>7.3</v>
      </c>
      <c r="E47" s="94" t="str">
        <f>IF(COUNTIF(preDEL!$AH$2:$AH1821,D47)&gt;0,COUNTIF(preDEL!$AH$2:$AH1821,D47),IFERROR(0/0,""))</f>
        <v/>
      </c>
      <c r="F47" s="325"/>
      <c r="G47" s="3"/>
      <c r="H47" s="94" t="str">
        <f t="shared" si="3"/>
        <v/>
      </c>
      <c r="I47" s="3"/>
      <c r="J47" s="3"/>
      <c r="K47" s="3"/>
      <c r="L47" s="3"/>
      <c r="M47" s="3"/>
      <c r="N47" s="3"/>
      <c r="O47" s="3"/>
      <c r="P47" s="3"/>
      <c r="Q47" s="3"/>
      <c r="R47" s="3"/>
      <c r="S47" s="3"/>
      <c r="T47" s="3"/>
      <c r="U47" s="3"/>
      <c r="V47" s="3"/>
      <c r="W47" s="3"/>
      <c r="X47" s="3"/>
      <c r="Y47" s="3"/>
      <c r="Z47" s="3"/>
      <c r="AA47" s="3"/>
      <c r="AB47" s="3"/>
      <c r="AC47" s="3"/>
      <c r="AD47" s="3"/>
    </row>
    <row r="48" hidden="1" outlineLevel="1">
      <c r="A48" s="3"/>
      <c r="B48" s="12">
        <v>7.4</v>
      </c>
      <c r="C48" s="3" t="s">
        <v>1035</v>
      </c>
      <c r="D48" s="428">
        <f t="shared" si="2"/>
        <v>7.4</v>
      </c>
      <c r="E48" s="94" t="str">
        <f>IF(COUNTIF(preDEL!$AH$2:$AH1821,D48)&gt;0,COUNTIF(preDEL!$AH$2:$AH1821,D48),IFERROR(0/0,""))</f>
        <v/>
      </c>
      <c r="F48" s="430" t="s">
        <v>1036</v>
      </c>
      <c r="G48" s="3"/>
      <c r="H48" s="94" t="str">
        <f t="shared" si="3"/>
        <v/>
      </c>
      <c r="I48" s="3"/>
      <c r="J48" s="3"/>
      <c r="K48" s="3"/>
      <c r="L48" s="3"/>
      <c r="M48" s="3"/>
      <c r="N48" s="3"/>
      <c r="O48" s="3"/>
      <c r="P48" s="3"/>
      <c r="Q48" s="3"/>
      <c r="R48" s="3"/>
      <c r="S48" s="3"/>
      <c r="T48" s="3"/>
      <c r="U48" s="3"/>
      <c r="V48" s="3"/>
      <c r="W48" s="3"/>
      <c r="X48" s="3"/>
      <c r="Y48" s="3"/>
      <c r="Z48" s="3"/>
      <c r="AA48" s="3"/>
      <c r="AB48" s="3"/>
      <c r="AC48" s="3"/>
      <c r="AD48" s="3"/>
    </row>
    <row r="49" hidden="1" outlineLevel="1">
      <c r="A49" s="3"/>
      <c r="B49" s="12">
        <v>7.5</v>
      </c>
      <c r="C49" s="3"/>
      <c r="D49" s="428">
        <f t="shared" si="2"/>
        <v>7.5</v>
      </c>
      <c r="E49" s="94" t="str">
        <f>IF(COUNTIF(preDEL!$AH$2:$AH1821,D49)&gt;0,COUNTIF(preDEL!$AH$2:$AH1821,D49),IFERROR(0/0,""))</f>
        <v/>
      </c>
      <c r="F49" s="325"/>
      <c r="G49" s="3"/>
      <c r="H49" s="94" t="str">
        <f t="shared" si="3"/>
        <v/>
      </c>
      <c r="I49" s="3"/>
      <c r="J49" s="3"/>
      <c r="K49" s="3"/>
      <c r="L49" s="3"/>
      <c r="M49" s="3"/>
      <c r="N49" s="3"/>
      <c r="O49" s="3"/>
      <c r="P49" s="3"/>
      <c r="Q49" s="3"/>
      <c r="R49" s="3"/>
      <c r="S49" s="3"/>
      <c r="T49" s="3"/>
      <c r="U49" s="3"/>
      <c r="V49" s="3"/>
      <c r="W49" s="3"/>
      <c r="X49" s="3"/>
      <c r="Y49" s="3"/>
      <c r="Z49" s="3"/>
      <c r="AA49" s="3"/>
      <c r="AB49" s="3"/>
      <c r="AC49" s="3"/>
      <c r="AD49" s="3"/>
    </row>
    <row r="50" hidden="1" outlineLevel="1">
      <c r="A50" s="3"/>
      <c r="B50" s="8">
        <v>8.0</v>
      </c>
      <c r="C50" s="3" t="s">
        <v>829</v>
      </c>
      <c r="D50" s="428">
        <f t="shared" si="2"/>
        <v>8</v>
      </c>
      <c r="E50" s="94" t="str">
        <f>IF(COUNTIF(preDEL!$AH$2:$AH1821,D50)&gt;0,COUNTIF(preDEL!$AH$2:$AH1821,D50),IFERROR(0/0,""))</f>
        <v/>
      </c>
      <c r="F50" s="325"/>
      <c r="G50" s="3"/>
      <c r="H50" s="94" t="str">
        <f t="shared" si="3"/>
        <v/>
      </c>
      <c r="I50" s="3"/>
      <c r="J50" s="3"/>
      <c r="K50" s="3"/>
      <c r="L50" s="3"/>
      <c r="M50" s="3"/>
      <c r="N50" s="3"/>
      <c r="O50" s="3"/>
      <c r="P50" s="3"/>
      <c r="Q50" s="3"/>
      <c r="R50" s="3"/>
      <c r="S50" s="3"/>
      <c r="T50" s="3"/>
      <c r="U50" s="3"/>
      <c r="V50" s="3"/>
      <c r="W50" s="3"/>
      <c r="X50" s="3"/>
      <c r="Y50" s="3"/>
      <c r="Z50" s="3"/>
      <c r="AA50" s="3"/>
      <c r="AB50" s="3"/>
      <c r="AC50" s="3"/>
      <c r="AD50" s="3"/>
    </row>
    <row r="51" hidden="1" outlineLevel="1">
      <c r="A51" s="3"/>
      <c r="B51" s="8">
        <v>8.1</v>
      </c>
      <c r="C51" s="3" t="s">
        <v>1037</v>
      </c>
      <c r="D51" s="428">
        <f t="shared" si="2"/>
        <v>8.1</v>
      </c>
      <c r="E51" s="94" t="str">
        <f>IF(COUNTIF(preDEL!$AH$2:$AH1821,D51)&gt;0,COUNTIF(preDEL!$AH$2:$AH1821,D51),IFERROR(0/0,""))</f>
        <v/>
      </c>
      <c r="F51" s="325"/>
      <c r="G51" s="3"/>
      <c r="H51" s="94" t="str">
        <f t="shared" si="3"/>
        <v/>
      </c>
      <c r="I51" s="3"/>
      <c r="J51" s="3"/>
      <c r="K51" s="3"/>
      <c r="L51" s="3"/>
      <c r="M51" s="3"/>
      <c r="N51" s="3"/>
      <c r="O51" s="3"/>
      <c r="P51" s="3"/>
      <c r="Q51" s="3"/>
      <c r="R51" s="3"/>
      <c r="S51" s="3"/>
      <c r="T51" s="3"/>
      <c r="U51" s="3"/>
      <c r="V51" s="3"/>
      <c r="W51" s="3"/>
      <c r="X51" s="3"/>
      <c r="Y51" s="3"/>
      <c r="Z51" s="3"/>
      <c r="AA51" s="3"/>
      <c r="AB51" s="3"/>
      <c r="AC51" s="3"/>
      <c r="AD51" s="3"/>
    </row>
    <row r="52" hidden="1" outlineLevel="1">
      <c r="A52" s="3"/>
      <c r="B52" s="8">
        <v>9.0</v>
      </c>
      <c r="C52" s="3" t="s">
        <v>1038</v>
      </c>
      <c r="D52" s="428">
        <f t="shared" si="2"/>
        <v>9</v>
      </c>
      <c r="E52" s="94">
        <f>IF(COUNTIF(preDEL!$AH$2:$AH1821,D52)&gt;0,COUNTIF(preDEL!$AH$2:$AH1821,D52),IFERROR(0/0,""))</f>
        <v>4</v>
      </c>
      <c r="F52" s="325"/>
      <c r="G52" s="3"/>
      <c r="H52" s="94" t="str">
        <f t="shared" si="3"/>
        <v/>
      </c>
      <c r="I52" s="3"/>
      <c r="J52" s="3"/>
      <c r="K52" s="3"/>
      <c r="L52" s="3"/>
      <c r="M52" s="3"/>
      <c r="N52" s="3"/>
      <c r="O52" s="3"/>
      <c r="P52" s="3"/>
      <c r="Q52" s="3"/>
      <c r="R52" s="3"/>
      <c r="S52" s="3"/>
      <c r="T52" s="3"/>
      <c r="U52" s="3"/>
      <c r="V52" s="3"/>
      <c r="W52" s="3"/>
      <c r="X52" s="3"/>
      <c r="Y52" s="3"/>
      <c r="Z52" s="3"/>
      <c r="AA52" s="3"/>
      <c r="AB52" s="3"/>
      <c r="AC52" s="3"/>
      <c r="AD52" s="3"/>
    </row>
    <row r="53" hidden="1" outlineLevel="1">
      <c r="A53" s="3"/>
      <c r="B53" s="8">
        <v>9.1</v>
      </c>
      <c r="C53" s="3" t="s">
        <v>1039</v>
      </c>
      <c r="D53" s="428">
        <f t="shared" si="2"/>
        <v>9.1</v>
      </c>
      <c r="E53" s="94">
        <f>IF(COUNTIF(preDEL!$AH$2:$AH1821,D53)&gt;0,COUNTIF(preDEL!$AH$2:$AH1821,D53),IFERROR(0/0,""))</f>
        <v>20</v>
      </c>
      <c r="F53" s="325"/>
      <c r="G53" s="3"/>
      <c r="H53" s="94" t="str">
        <f t="shared" si="3"/>
        <v/>
      </c>
      <c r="I53" s="3"/>
      <c r="J53" s="3"/>
      <c r="K53" s="3"/>
      <c r="L53" s="3"/>
      <c r="M53" s="3"/>
      <c r="N53" s="3"/>
      <c r="O53" s="3"/>
      <c r="P53" s="3"/>
      <c r="Q53" s="3"/>
      <c r="R53" s="3"/>
      <c r="S53" s="3"/>
      <c r="T53" s="3"/>
      <c r="U53" s="3"/>
      <c r="V53" s="3"/>
      <c r="W53" s="3"/>
      <c r="X53" s="3"/>
      <c r="Y53" s="3"/>
      <c r="Z53" s="3"/>
      <c r="AA53" s="3"/>
      <c r="AB53" s="3"/>
      <c r="AC53" s="3"/>
      <c r="AD53" s="3"/>
    </row>
    <row r="54" hidden="1" outlineLevel="1">
      <c r="A54" s="3"/>
      <c r="B54" s="8">
        <v>9.2</v>
      </c>
      <c r="C54" s="3" t="s">
        <v>1040</v>
      </c>
      <c r="D54" s="428">
        <f t="shared" si="2"/>
        <v>9.2</v>
      </c>
      <c r="E54" s="94" t="str">
        <f>IF(COUNTIF(preDEL!$AH$2:$AH1821,D54)&gt;0,COUNTIF(preDEL!$AH$2:$AH1821,D54),IFERROR(0/0,""))</f>
        <v/>
      </c>
      <c r="F54" s="325"/>
      <c r="G54" s="3"/>
      <c r="H54" s="94" t="str">
        <f t="shared" si="3"/>
        <v/>
      </c>
      <c r="I54" s="3"/>
      <c r="J54" s="3"/>
      <c r="K54" s="3"/>
      <c r="L54" s="3"/>
      <c r="M54" s="3"/>
      <c r="N54" s="3"/>
      <c r="O54" s="3"/>
      <c r="P54" s="3"/>
      <c r="Q54" s="3"/>
      <c r="R54" s="3"/>
      <c r="S54" s="3"/>
      <c r="T54" s="3"/>
      <c r="U54" s="3"/>
      <c r="V54" s="3"/>
      <c r="W54" s="3"/>
      <c r="X54" s="3"/>
      <c r="Y54" s="3"/>
      <c r="Z54" s="3"/>
      <c r="AA54" s="3"/>
      <c r="AB54" s="3"/>
      <c r="AC54" s="3"/>
      <c r="AD54" s="3"/>
    </row>
    <row r="55" hidden="1" outlineLevel="1">
      <c r="A55" s="3"/>
      <c r="B55" s="8">
        <v>9.3</v>
      </c>
      <c r="C55" s="3" t="s">
        <v>1041</v>
      </c>
      <c r="D55" s="428">
        <f t="shared" si="2"/>
        <v>9.3</v>
      </c>
      <c r="E55" s="94" t="str">
        <f>IF(COUNTIF(preDEL!$AH$2:$AH1821,D55)&gt;0,COUNTIF(preDEL!$AH$2:$AH1821,D55),IFERROR(0/0,""))</f>
        <v/>
      </c>
      <c r="F55" s="3"/>
      <c r="G55" s="3"/>
      <c r="H55" s="94" t="str">
        <f t="shared" si="3"/>
        <v/>
      </c>
      <c r="I55" s="3"/>
      <c r="J55" s="3"/>
      <c r="K55" s="3"/>
      <c r="L55" s="3"/>
      <c r="M55" s="3"/>
      <c r="N55" s="3"/>
      <c r="O55" s="3"/>
      <c r="P55" s="3"/>
      <c r="Q55" s="3"/>
      <c r="R55" s="3"/>
      <c r="S55" s="3"/>
      <c r="T55" s="3"/>
      <c r="U55" s="3"/>
      <c r="V55" s="3"/>
      <c r="W55" s="3"/>
      <c r="X55" s="3"/>
      <c r="Y55" s="3"/>
      <c r="Z55" s="3"/>
      <c r="AA55" s="3"/>
      <c r="AB55" s="3"/>
      <c r="AC55" s="3"/>
      <c r="AD55" s="3"/>
    </row>
    <row r="56" hidden="1" outlineLevel="1">
      <c r="A56" s="3"/>
      <c r="B56" s="8">
        <v>20.0</v>
      </c>
      <c r="C56" s="3" t="s">
        <v>1042</v>
      </c>
      <c r="D56" s="428">
        <f t="shared" si="2"/>
        <v>20</v>
      </c>
      <c r="E56" s="94" t="str">
        <f>IF(COUNTIF(preDEL!$AH$2:$AH1821,D56)&gt;0,COUNTIF(preDEL!$AH$2:$AH1821,D56),IFERROR(0/0,""))</f>
        <v/>
      </c>
      <c r="F56" s="3"/>
      <c r="G56" s="3"/>
      <c r="H56" s="94" t="str">
        <f t="shared" si="3"/>
        <v/>
      </c>
      <c r="I56" s="3"/>
      <c r="J56" s="3"/>
      <c r="K56" s="3"/>
      <c r="L56" s="3"/>
      <c r="M56" s="3"/>
      <c r="N56" s="3"/>
      <c r="O56" s="3"/>
      <c r="P56" s="3"/>
      <c r="Q56" s="3"/>
      <c r="R56" s="3"/>
      <c r="S56" s="3"/>
      <c r="T56" s="3"/>
      <c r="U56" s="3"/>
      <c r="V56" s="3"/>
      <c r="W56" s="3"/>
      <c r="X56" s="3"/>
      <c r="Y56" s="3"/>
      <c r="Z56" s="3"/>
      <c r="AA56" s="3"/>
      <c r="AB56" s="3"/>
      <c r="AC56" s="3"/>
      <c r="AD56" s="3"/>
    </row>
    <row r="57" hidden="1" outlineLevel="1">
      <c r="A57" s="3"/>
      <c r="B57" s="8">
        <v>21.0</v>
      </c>
      <c r="C57" s="3" t="s">
        <v>1042</v>
      </c>
      <c r="D57" s="428">
        <f t="shared" si="2"/>
        <v>21</v>
      </c>
      <c r="E57" s="94" t="str">
        <f>IF(COUNTIF(preDEL!$AH$2:$AH1821,D57)&gt;0,COUNTIF(preDEL!$AH$2:$AH1821,D57),IFERROR(0/0,""))</f>
        <v/>
      </c>
      <c r="F57" s="3"/>
      <c r="G57" s="3"/>
      <c r="H57" s="94" t="str">
        <f t="shared" si="3"/>
        <v/>
      </c>
      <c r="I57" s="3"/>
      <c r="J57" s="3"/>
      <c r="K57" s="3"/>
      <c r="L57" s="3"/>
      <c r="M57" s="3"/>
      <c r="N57" s="3"/>
      <c r="O57" s="3"/>
      <c r="P57" s="3"/>
      <c r="Q57" s="3"/>
      <c r="R57" s="3"/>
      <c r="S57" s="3"/>
      <c r="T57" s="3"/>
      <c r="U57" s="3"/>
      <c r="V57" s="3"/>
      <c r="W57" s="3"/>
      <c r="X57" s="3"/>
      <c r="Y57" s="3"/>
      <c r="Z57" s="3"/>
      <c r="AA57" s="3"/>
      <c r="AB57" s="3"/>
      <c r="AC57" s="3"/>
      <c r="AD57" s="3"/>
    </row>
    <row r="58" hidden="1" outlineLevel="1">
      <c r="A58" s="3"/>
      <c r="B58" s="8">
        <v>22.0</v>
      </c>
      <c r="C58" s="13" t="s">
        <v>1042</v>
      </c>
      <c r="D58" s="428">
        <f t="shared" si="2"/>
        <v>22</v>
      </c>
      <c r="E58" s="94" t="str">
        <f>IF(COUNTIF(preDEL!$AH$2:$AH1821,D58)&gt;0,COUNTIF(preDEL!$AH$2:$AH1821,D58),IFERROR(0/0,""))</f>
        <v/>
      </c>
      <c r="F58" s="3"/>
      <c r="G58" s="13"/>
      <c r="H58" s="94" t="str">
        <f t="shared" si="3"/>
        <v/>
      </c>
      <c r="I58" s="13"/>
      <c r="J58" s="3"/>
      <c r="K58" s="3"/>
      <c r="L58" s="3"/>
      <c r="M58" s="3"/>
      <c r="N58" s="3"/>
      <c r="O58" s="3"/>
      <c r="P58" s="3"/>
      <c r="Q58" s="3"/>
      <c r="R58" s="3"/>
      <c r="S58" s="3"/>
      <c r="T58" s="3"/>
      <c r="U58" s="3"/>
      <c r="V58" s="3"/>
      <c r="W58" s="3"/>
      <c r="X58" s="3"/>
      <c r="Y58" s="3"/>
      <c r="Z58" s="3"/>
      <c r="AA58" s="3"/>
      <c r="AB58" s="3"/>
      <c r="AC58" s="3"/>
      <c r="AD58" s="3"/>
    </row>
    <row r="59" hidden="1" outlineLevel="1">
      <c r="A59" s="3"/>
      <c r="B59" s="3"/>
      <c r="C59" s="3"/>
      <c r="D59" s="94" t="str">
        <f t="shared" si="2"/>
        <v/>
      </c>
      <c r="E59" s="94" t="str">
        <f>IF(COUNTIF(preDEL!$AH$2:$AH1821,D59)&gt;0,COUNTIF(preDEL!$AH$2:$AH1821,D59),IFERROR(0/0,""))</f>
        <v/>
      </c>
      <c r="F59" s="3"/>
      <c r="G59" s="3"/>
      <c r="H59" s="94" t="str">
        <f t="shared" si="3"/>
        <v/>
      </c>
      <c r="I59" s="3"/>
      <c r="J59" s="3"/>
      <c r="K59" s="3"/>
      <c r="L59" s="3"/>
      <c r="M59" s="3"/>
      <c r="N59" s="3"/>
      <c r="O59" s="3"/>
      <c r="P59" s="3"/>
      <c r="Q59" s="3"/>
      <c r="R59" s="3"/>
      <c r="S59" s="3"/>
      <c r="T59" s="3"/>
      <c r="U59" s="3"/>
      <c r="V59" s="3"/>
      <c r="W59" s="3"/>
      <c r="X59" s="3"/>
      <c r="Y59" s="3"/>
      <c r="Z59" s="3"/>
      <c r="AA59" s="3"/>
      <c r="AB59" s="3"/>
      <c r="AC59" s="3"/>
      <c r="AD59" s="3"/>
    </row>
    <row r="60" hidden="1" outlineLevel="1">
      <c r="A60" s="3"/>
      <c r="B60" s="3"/>
      <c r="C60" s="13"/>
      <c r="D60" s="94" t="str">
        <f t="shared" si="2"/>
        <v/>
      </c>
      <c r="E60" s="94" t="str">
        <f>IF(COUNTIF(preDEL!$AH$2:$AH1821,D60)&gt;0,COUNTIF(preDEL!$AH$2:$AH1821,D60),IFERROR(0/0,""))</f>
        <v/>
      </c>
      <c r="F60" s="3"/>
      <c r="G60" s="3"/>
      <c r="H60" s="94" t="str">
        <f t="shared" si="3"/>
        <v/>
      </c>
      <c r="I60" s="3"/>
      <c r="J60" s="3"/>
      <c r="K60" s="3"/>
      <c r="L60" s="3"/>
      <c r="M60" s="3"/>
      <c r="N60" s="3"/>
      <c r="O60" s="3"/>
      <c r="P60" s="3"/>
      <c r="Q60" s="3"/>
      <c r="R60" s="3"/>
      <c r="S60" s="3"/>
      <c r="T60" s="3"/>
      <c r="U60" s="3"/>
      <c r="V60" s="3"/>
      <c r="W60" s="3"/>
      <c r="X60" s="3"/>
      <c r="Y60" s="3"/>
      <c r="Z60" s="3"/>
      <c r="AA60" s="3"/>
      <c r="AB60" s="3"/>
      <c r="AC60" s="3"/>
      <c r="AD60" s="3"/>
    </row>
    <row r="61" hidden="1" outlineLevel="1">
      <c r="A61" s="3"/>
      <c r="B61" s="3"/>
      <c r="C61" s="3"/>
      <c r="D61" s="94" t="str">
        <f t="shared" si="2"/>
        <v/>
      </c>
      <c r="E61" s="94" t="str">
        <f>IF(COUNTIF(preDEL!$AH$2:$AH1821,D61)&gt;0,COUNTIF(preDEL!$AH$2:$AH1821,D61),IFERROR(0/0,""))</f>
        <v/>
      </c>
      <c r="F61" s="3"/>
      <c r="G61" s="3"/>
      <c r="H61" s="94" t="str">
        <f t="shared" si="3"/>
        <v/>
      </c>
      <c r="I61" s="3"/>
      <c r="J61" s="3"/>
      <c r="K61" s="3"/>
      <c r="L61" s="3"/>
      <c r="M61" s="3"/>
      <c r="N61" s="3"/>
      <c r="O61" s="3"/>
      <c r="P61" s="3"/>
      <c r="Q61" s="3"/>
      <c r="R61" s="3"/>
      <c r="S61" s="3"/>
      <c r="T61" s="3"/>
      <c r="U61" s="3"/>
      <c r="V61" s="3"/>
      <c r="W61" s="3"/>
      <c r="X61" s="3"/>
      <c r="Y61" s="3"/>
      <c r="Z61" s="3"/>
      <c r="AA61" s="3"/>
      <c r="AB61" s="3"/>
      <c r="AC61" s="3"/>
      <c r="AD61" s="3"/>
    </row>
    <row r="62" hidden="1" outlineLevel="1">
      <c r="A62" s="3"/>
      <c r="B62" s="3"/>
      <c r="C62" s="3"/>
      <c r="D62" s="94" t="str">
        <f t="shared" si="2"/>
        <v/>
      </c>
      <c r="E62" s="94" t="str">
        <f>IF(COUNTIF(preDEL!$AH$2:$AH1821,D62)&gt;0,COUNTIF(preDEL!$AH$2:$AH1821,D62),IFERROR(0/0,""))</f>
        <v/>
      </c>
      <c r="F62" s="3"/>
      <c r="G62" s="3"/>
      <c r="H62" s="94" t="str">
        <f t="shared" si="3"/>
        <v/>
      </c>
      <c r="I62" s="3"/>
      <c r="J62" s="3"/>
      <c r="K62" s="3"/>
      <c r="L62" s="3"/>
      <c r="M62" s="3"/>
      <c r="N62" s="3"/>
      <c r="O62" s="3"/>
      <c r="P62" s="3"/>
      <c r="Q62" s="3"/>
      <c r="R62" s="3"/>
      <c r="S62" s="3"/>
      <c r="T62" s="3"/>
      <c r="U62" s="3"/>
      <c r="V62" s="3"/>
      <c r="W62" s="3"/>
      <c r="X62" s="3"/>
      <c r="Y62" s="3"/>
      <c r="Z62" s="3"/>
      <c r="AA62" s="3"/>
      <c r="AB62" s="3"/>
      <c r="AC62" s="3"/>
      <c r="AD62" s="3"/>
    </row>
    <row r="63" hidden="1" outlineLevel="1">
      <c r="A63" s="3"/>
      <c r="B63" s="3"/>
      <c r="C63" s="3"/>
      <c r="D63" s="94" t="str">
        <f t="shared" si="2"/>
        <v/>
      </c>
      <c r="E63" s="94" t="str">
        <f>IF(COUNTIF(preDEL!$AH$2:$AH1821,D63)&gt;0,COUNTIF(preDEL!$AH$2:$AH1821,D63),IFERROR(0/0,""))</f>
        <v/>
      </c>
      <c r="F63" s="13"/>
      <c r="G63" s="3"/>
      <c r="H63" s="94" t="str">
        <f t="shared" si="3"/>
        <v/>
      </c>
      <c r="I63" s="3"/>
      <c r="J63" s="3"/>
      <c r="K63" s="3"/>
      <c r="L63" s="3"/>
      <c r="M63" s="3"/>
      <c r="N63" s="3"/>
      <c r="O63" s="3"/>
      <c r="P63" s="3"/>
      <c r="Q63" s="3"/>
      <c r="R63" s="3"/>
      <c r="S63" s="3"/>
      <c r="T63" s="3"/>
      <c r="U63" s="3"/>
      <c r="V63" s="3"/>
      <c r="W63" s="3"/>
      <c r="X63" s="3"/>
      <c r="Y63" s="3"/>
      <c r="Z63" s="3"/>
      <c r="AA63" s="3"/>
      <c r="AB63" s="3"/>
      <c r="AC63" s="3"/>
      <c r="AD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row>
    <row r="65" collapsed="1">
      <c r="A65" s="3"/>
      <c r="B65" s="3"/>
      <c r="C65" s="425" t="s">
        <v>1043</v>
      </c>
      <c r="D65" s="426" t="s">
        <v>1016</v>
      </c>
      <c r="E65" s="432" t="str">
        <f>CONCATENATE("Count = ",SUM(E66:E84))</f>
        <v>Count = 0</v>
      </c>
      <c r="F65" s="3"/>
      <c r="G65" s="426" t="s">
        <v>1044</v>
      </c>
      <c r="H65" s="426" t="s">
        <v>1018</v>
      </c>
      <c r="I65" s="121" t="s">
        <v>1045</v>
      </c>
      <c r="J65" s="3"/>
      <c r="K65" s="3"/>
      <c r="L65" s="3"/>
      <c r="M65" s="3"/>
      <c r="N65" s="3"/>
      <c r="O65" s="3"/>
      <c r="P65" s="3"/>
      <c r="Q65" s="3"/>
      <c r="R65" s="3"/>
      <c r="S65" s="3"/>
      <c r="T65" s="3"/>
      <c r="U65" s="3"/>
      <c r="V65" s="3"/>
      <c r="W65" s="3"/>
      <c r="X65" s="3"/>
      <c r="Y65" s="3"/>
      <c r="Z65" s="3"/>
      <c r="AA65" s="3"/>
      <c r="AB65" s="3"/>
      <c r="AC65" s="3"/>
      <c r="AD65" s="3"/>
    </row>
    <row r="66" hidden="1" outlineLevel="1">
      <c r="A66" s="3"/>
      <c r="B66" s="8">
        <v>1.3</v>
      </c>
      <c r="C66" s="3" t="s">
        <v>1046</v>
      </c>
      <c r="D66" s="428">
        <f t="shared" ref="D66:D84" si="4">B66</f>
        <v>1.3</v>
      </c>
      <c r="E66" s="94" t="str">
        <f>IF(COUNTIF(preDEL!$AI$2:$AI1821,D66)&gt;0,COUNTIF(preDEL!$AI$2:$AI1821,D66),IFERROR(0/0,""))</f>
        <v/>
      </c>
      <c r="F66" s="3"/>
      <c r="G66" s="94" t="str">
        <f t="array" ref="G66">SORT(UNIQUE(preDEL!$AI$2:$AI1821),1,TRUE)</f>
        <v/>
      </c>
      <c r="H66" s="94" t="str">
        <f t="shared" ref="H66:H84" si="5">IF(COUNTIF(D$66:D$84,G66)=1,TRUE,IFERROR(0/0,""))</f>
        <v/>
      </c>
      <c r="I66" s="8">
        <v>2.0</v>
      </c>
      <c r="J66" s="3" t="s">
        <v>842</v>
      </c>
      <c r="K66" s="3"/>
      <c r="L66" s="3"/>
      <c r="M66" s="3"/>
      <c r="N66" s="3"/>
      <c r="O66" s="3"/>
      <c r="P66" s="3"/>
      <c r="Q66" s="3"/>
      <c r="R66" s="3"/>
      <c r="S66" s="3"/>
      <c r="T66" s="3"/>
      <c r="U66" s="3"/>
      <c r="V66" s="3"/>
      <c r="W66" s="3"/>
      <c r="X66" s="3"/>
      <c r="Y66" s="3"/>
      <c r="Z66" s="3"/>
      <c r="AA66" s="3"/>
      <c r="AB66" s="3"/>
      <c r="AC66" s="3"/>
      <c r="AD66" s="3"/>
    </row>
    <row r="67" hidden="1" outlineLevel="1">
      <c r="A67" s="3"/>
      <c r="B67" s="8">
        <v>1.4</v>
      </c>
      <c r="C67" s="325" t="s">
        <v>1047</v>
      </c>
      <c r="D67" s="428">
        <f t="shared" si="4"/>
        <v>1.4</v>
      </c>
      <c r="E67" s="94" t="str">
        <f>IF(COUNTIF(preDEL!$AI$2:$AI1821,D67)&gt;0,COUNTIF(preDEL!$AI$2:$AI1821,D67),IFERROR(0/0,""))</f>
        <v/>
      </c>
      <c r="F67" s="3"/>
      <c r="G67" s="3"/>
      <c r="H67" s="94" t="str">
        <f t="shared" si="5"/>
        <v/>
      </c>
      <c r="I67" s="8">
        <v>2.11</v>
      </c>
      <c r="J67" s="3" t="s">
        <v>844</v>
      </c>
      <c r="K67" s="3"/>
      <c r="L67" s="3"/>
      <c r="M67" s="3"/>
      <c r="N67" s="3"/>
      <c r="O67" s="3"/>
      <c r="P67" s="3"/>
      <c r="Q67" s="3"/>
      <c r="R67" s="3"/>
      <c r="S67" s="3"/>
      <c r="T67" s="3"/>
      <c r="U67" s="3"/>
      <c r="V67" s="3"/>
      <c r="W67" s="3"/>
      <c r="X67" s="3"/>
      <c r="Y67" s="3"/>
      <c r="Z67" s="3"/>
      <c r="AA67" s="3"/>
      <c r="AB67" s="3"/>
      <c r="AC67" s="3"/>
      <c r="AD67" s="3"/>
    </row>
    <row r="68" hidden="1" outlineLevel="1">
      <c r="A68" s="3"/>
      <c r="B68" s="8">
        <v>1.5</v>
      </c>
      <c r="C68" s="3" t="s">
        <v>1048</v>
      </c>
      <c r="D68" s="428">
        <f t="shared" si="4"/>
        <v>1.5</v>
      </c>
      <c r="E68" s="94" t="str">
        <f>IF(COUNTIF(preDEL!$AI$2:$AI1821,D68)&gt;0,COUNTIF(preDEL!$AI$2:$AI1821,D68),IFERROR(0/0,""))</f>
        <v/>
      </c>
      <c r="F68" s="3"/>
      <c r="G68" s="3"/>
      <c r="H68" s="94" t="str">
        <f t="shared" si="5"/>
        <v/>
      </c>
      <c r="I68" s="8">
        <v>2.12</v>
      </c>
      <c r="J68" s="3" t="s">
        <v>846</v>
      </c>
      <c r="K68" s="3"/>
      <c r="L68" s="3"/>
      <c r="M68" s="3"/>
      <c r="N68" s="3"/>
      <c r="O68" s="3"/>
      <c r="P68" s="3"/>
      <c r="Q68" s="3"/>
      <c r="R68" s="3"/>
      <c r="S68" s="3"/>
      <c r="T68" s="3"/>
      <c r="U68" s="3"/>
      <c r="V68" s="3"/>
      <c r="W68" s="3"/>
      <c r="X68" s="3"/>
      <c r="Y68" s="3"/>
      <c r="Z68" s="3"/>
      <c r="AA68" s="3"/>
      <c r="AB68" s="3"/>
      <c r="AC68" s="3"/>
      <c r="AD68" s="3"/>
    </row>
    <row r="69" hidden="1" outlineLevel="1">
      <c r="A69" s="3"/>
      <c r="B69" s="8">
        <v>1.6</v>
      </c>
      <c r="C69" s="3" t="s">
        <v>1049</v>
      </c>
      <c r="D69" s="428">
        <f t="shared" si="4"/>
        <v>1.6</v>
      </c>
      <c r="E69" s="94" t="str">
        <f>IF(COUNTIF(preDEL!$AI$2:$AI1821,D69)&gt;0,COUNTIF(preDEL!$AI$2:$AI1821,D69),IFERROR(0/0,""))</f>
        <v/>
      </c>
      <c r="F69" s="3"/>
      <c r="G69" s="3"/>
      <c r="H69" s="94" t="str">
        <f t="shared" si="5"/>
        <v/>
      </c>
      <c r="I69" s="8">
        <v>2.2</v>
      </c>
      <c r="J69" s="3" t="s">
        <v>848</v>
      </c>
      <c r="K69" s="3"/>
      <c r="L69" s="3"/>
      <c r="M69" s="3"/>
      <c r="N69" s="3"/>
      <c r="O69" s="3"/>
      <c r="P69" s="3"/>
      <c r="Q69" s="3"/>
      <c r="R69" s="3"/>
      <c r="S69" s="3"/>
      <c r="T69" s="3"/>
      <c r="U69" s="3"/>
      <c r="V69" s="3"/>
      <c r="W69" s="3"/>
      <c r="X69" s="3"/>
      <c r="Y69" s="3"/>
      <c r="Z69" s="3"/>
      <c r="AA69" s="3"/>
      <c r="AB69" s="3"/>
      <c r="AC69" s="3"/>
      <c r="AD69" s="3"/>
    </row>
    <row r="70" hidden="1" outlineLevel="1">
      <c r="A70" s="3"/>
      <c r="B70" s="8">
        <v>4.0</v>
      </c>
      <c r="C70" s="13" t="s">
        <v>855</v>
      </c>
      <c r="D70" s="428">
        <f t="shared" si="4"/>
        <v>4</v>
      </c>
      <c r="E70" s="94" t="str">
        <f>IF(COUNTIF(preDEL!$AI$2:$AI1821,D70)&gt;0,COUNTIF(preDEL!$AI$2:$AI1821,D70),IFERROR(0/0,""))</f>
        <v/>
      </c>
      <c r="F70" s="345" t="s">
        <v>1025</v>
      </c>
      <c r="G70" s="3"/>
      <c r="H70" s="94" t="str">
        <f t="shared" si="5"/>
        <v/>
      </c>
      <c r="I70" s="8">
        <v>3.0</v>
      </c>
      <c r="J70" s="3" t="s">
        <v>851</v>
      </c>
      <c r="K70" s="3"/>
      <c r="L70" s="3"/>
      <c r="M70" s="3"/>
      <c r="N70" s="3"/>
      <c r="O70" s="3"/>
      <c r="P70" s="3"/>
      <c r="Q70" s="3"/>
      <c r="R70" s="3"/>
      <c r="S70" s="3"/>
      <c r="T70" s="3"/>
      <c r="U70" s="3"/>
      <c r="V70" s="3"/>
      <c r="W70" s="3"/>
      <c r="X70" s="3"/>
      <c r="Y70" s="3"/>
      <c r="Z70" s="3"/>
      <c r="AA70" s="3"/>
      <c r="AB70" s="3"/>
      <c r="AC70" s="3"/>
      <c r="AD70" s="3"/>
    </row>
    <row r="71" hidden="1" outlineLevel="1">
      <c r="A71" s="3"/>
      <c r="B71" s="8">
        <v>4.1</v>
      </c>
      <c r="C71" s="3" t="s">
        <v>857</v>
      </c>
      <c r="D71" s="428">
        <f t="shared" si="4"/>
        <v>4.1</v>
      </c>
      <c r="E71" s="94" t="str">
        <f>IF(COUNTIF(preDEL!$AI$2:$AI1821,D71)&gt;0,COUNTIF(preDEL!$AI$2:$AI1821,D71),IFERROR(0/0,""))</f>
        <v/>
      </c>
      <c r="F71" s="3"/>
      <c r="G71" s="3"/>
      <c r="H71" s="94" t="str">
        <f t="shared" si="5"/>
        <v/>
      </c>
      <c r="I71" s="3"/>
      <c r="J71" s="3"/>
      <c r="K71" s="3"/>
      <c r="L71" s="3"/>
      <c r="M71" s="3"/>
      <c r="N71" s="3"/>
      <c r="O71" s="3"/>
      <c r="P71" s="3"/>
      <c r="Q71" s="3"/>
      <c r="R71" s="3"/>
      <c r="S71" s="3"/>
      <c r="T71" s="3"/>
      <c r="U71" s="3"/>
      <c r="V71" s="3"/>
      <c r="W71" s="3"/>
      <c r="X71" s="3"/>
      <c r="Y71" s="3"/>
      <c r="Z71" s="3"/>
      <c r="AA71" s="3"/>
      <c r="AB71" s="3"/>
      <c r="AC71" s="3"/>
      <c r="AD71" s="3"/>
    </row>
    <row r="72" hidden="1" outlineLevel="1">
      <c r="A72" s="3"/>
      <c r="B72" s="8">
        <v>4.2</v>
      </c>
      <c r="C72" s="13" t="s">
        <v>859</v>
      </c>
      <c r="D72" s="428">
        <f t="shared" si="4"/>
        <v>4.2</v>
      </c>
      <c r="E72" s="94" t="str">
        <f>IF(COUNTIF(preDEL!$AI$2:$AI1821,D72)&gt;0,COUNTIF(preDEL!$AI$2:$AI1821,D72),IFERROR(0/0,""))</f>
        <v/>
      </c>
      <c r="F72" s="3"/>
      <c r="G72" s="3"/>
      <c r="H72" s="94" t="str">
        <f t="shared" si="5"/>
        <v/>
      </c>
      <c r="I72" s="3"/>
      <c r="J72" s="3"/>
      <c r="K72" s="3"/>
      <c r="L72" s="3"/>
      <c r="M72" s="3"/>
      <c r="N72" s="3"/>
      <c r="O72" s="3"/>
      <c r="P72" s="3"/>
      <c r="Q72" s="3"/>
      <c r="R72" s="3"/>
      <c r="S72" s="3"/>
      <c r="T72" s="3"/>
      <c r="U72" s="3"/>
      <c r="V72" s="3"/>
      <c r="W72" s="3"/>
      <c r="X72" s="3"/>
      <c r="Y72" s="3"/>
      <c r="Z72" s="3"/>
      <c r="AA72" s="3"/>
      <c r="AB72" s="3"/>
      <c r="AC72" s="3"/>
      <c r="AD72" s="3"/>
    </row>
    <row r="73" hidden="1" outlineLevel="1">
      <c r="A73" s="3"/>
      <c r="B73" s="8">
        <v>4.3</v>
      </c>
      <c r="C73" s="13" t="s">
        <v>1050</v>
      </c>
      <c r="D73" s="428">
        <f t="shared" si="4"/>
        <v>4.3</v>
      </c>
      <c r="E73" s="94" t="str">
        <f>IF(COUNTIF(preDEL!$AI$2:$AI1821,D73)&gt;0,COUNTIF(preDEL!$AI$2:$AI1821,D73),IFERROR(0/0,""))</f>
        <v/>
      </c>
      <c r="F73" s="3"/>
      <c r="G73" s="3"/>
      <c r="H73" s="94" t="str">
        <f t="shared" si="5"/>
        <v/>
      </c>
      <c r="I73" s="3"/>
      <c r="J73" s="3"/>
      <c r="K73" s="3"/>
      <c r="L73" s="3"/>
      <c r="M73" s="3"/>
      <c r="N73" s="3"/>
      <c r="O73" s="3"/>
      <c r="P73" s="3"/>
      <c r="Q73" s="3"/>
      <c r="R73" s="3"/>
      <c r="S73" s="3"/>
      <c r="T73" s="3"/>
      <c r="U73" s="3"/>
      <c r="V73" s="3"/>
      <c r="W73" s="3"/>
      <c r="X73" s="3"/>
      <c r="Y73" s="3"/>
      <c r="Z73" s="3"/>
      <c r="AA73" s="3"/>
      <c r="AB73" s="3"/>
      <c r="AC73" s="3"/>
      <c r="AD73" s="3"/>
    </row>
    <row r="74" hidden="1" outlineLevel="1">
      <c r="A74" s="3"/>
      <c r="B74" s="8">
        <v>5.0</v>
      </c>
      <c r="C74" s="3" t="s">
        <v>862</v>
      </c>
      <c r="D74" s="428">
        <f t="shared" si="4"/>
        <v>5</v>
      </c>
      <c r="E74" s="94" t="str">
        <f>IF(COUNTIF(preDEL!$AI$2:$AI1821,D74)&gt;0,COUNTIF(preDEL!$AI$2:$AI1821,D74),IFERROR(0/0,""))</f>
        <v/>
      </c>
      <c r="F74" s="345" t="s">
        <v>1051</v>
      </c>
      <c r="G74" s="3"/>
      <c r="H74" s="94" t="str">
        <f t="shared" si="5"/>
        <v/>
      </c>
      <c r="I74" s="3"/>
      <c r="J74" s="3"/>
      <c r="K74" s="3"/>
      <c r="L74" s="3"/>
      <c r="M74" s="3"/>
      <c r="N74" s="3"/>
      <c r="O74" s="3"/>
      <c r="P74" s="3"/>
      <c r="Q74" s="3"/>
      <c r="R74" s="3"/>
      <c r="S74" s="3"/>
      <c r="T74" s="3"/>
      <c r="U74" s="3"/>
      <c r="V74" s="3"/>
      <c r="W74" s="3"/>
      <c r="X74" s="3"/>
      <c r="Y74" s="3"/>
      <c r="Z74" s="3"/>
      <c r="AA74" s="3"/>
      <c r="AB74" s="3"/>
      <c r="AC74" s="3"/>
      <c r="AD74" s="3"/>
    </row>
    <row r="75" hidden="1" outlineLevel="1">
      <c r="A75" s="3"/>
      <c r="B75" s="8">
        <v>5.1</v>
      </c>
      <c r="C75" s="13" t="s">
        <v>864</v>
      </c>
      <c r="D75" s="428">
        <f t="shared" si="4"/>
        <v>5.1</v>
      </c>
      <c r="E75" s="94" t="str">
        <f>IF(COUNTIF(preDEL!$AI$2:$AI1821,D75)&gt;0,COUNTIF(preDEL!$AI$2:$AI1821,D75),IFERROR(0/0,""))</f>
        <v/>
      </c>
      <c r="F75" s="345" t="s">
        <v>1052</v>
      </c>
      <c r="G75" s="13"/>
      <c r="H75" s="94" t="str">
        <f t="shared" si="5"/>
        <v/>
      </c>
      <c r="I75" s="3"/>
      <c r="J75" s="3"/>
      <c r="K75" s="3"/>
      <c r="L75" s="3"/>
      <c r="M75" s="3"/>
      <c r="N75" s="3"/>
      <c r="O75" s="3"/>
      <c r="P75" s="3"/>
      <c r="Q75" s="3"/>
      <c r="R75" s="3"/>
      <c r="S75" s="3"/>
      <c r="T75" s="3"/>
      <c r="U75" s="3"/>
      <c r="V75" s="3"/>
      <c r="W75" s="3"/>
      <c r="X75" s="3"/>
      <c r="Y75" s="3"/>
      <c r="Z75" s="3"/>
      <c r="AA75" s="3"/>
      <c r="AB75" s="3"/>
      <c r="AC75" s="3"/>
      <c r="AD75" s="3"/>
    </row>
    <row r="76" hidden="1" outlineLevel="1">
      <c r="A76" s="3"/>
      <c r="B76" s="8">
        <v>6.0</v>
      </c>
      <c r="C76" s="3" t="s">
        <v>866</v>
      </c>
      <c r="D76" s="428">
        <f t="shared" si="4"/>
        <v>6</v>
      </c>
      <c r="E76" s="94" t="str">
        <f>IF(COUNTIF(preDEL!$AI$2:$AI1821,D76)&gt;0,COUNTIF(preDEL!$AI$2:$AI1821,D76),IFERROR(0/0,""))</f>
        <v/>
      </c>
      <c r="F76" s="3"/>
      <c r="G76" s="3"/>
      <c r="H76" s="94" t="str">
        <f t="shared" si="5"/>
        <v/>
      </c>
      <c r="I76" s="3"/>
      <c r="J76" s="3"/>
      <c r="K76" s="3"/>
      <c r="L76" s="3"/>
      <c r="M76" s="3"/>
      <c r="N76" s="3"/>
      <c r="O76" s="3"/>
      <c r="P76" s="3"/>
      <c r="Q76" s="3"/>
      <c r="R76" s="3"/>
      <c r="S76" s="3"/>
      <c r="T76" s="3"/>
      <c r="U76" s="3"/>
      <c r="V76" s="3"/>
      <c r="W76" s="3"/>
      <c r="X76" s="3"/>
      <c r="Y76" s="3"/>
      <c r="Z76" s="3"/>
      <c r="AA76" s="3"/>
      <c r="AB76" s="3"/>
      <c r="AC76" s="3"/>
      <c r="AD76" s="3"/>
    </row>
    <row r="77" hidden="1" outlineLevel="1">
      <c r="A77" s="3"/>
      <c r="B77" s="8">
        <v>6.1</v>
      </c>
      <c r="C77" s="3" t="s">
        <v>1053</v>
      </c>
      <c r="D77" s="428">
        <f t="shared" si="4"/>
        <v>6.1</v>
      </c>
      <c r="E77" s="94" t="str">
        <f>IF(COUNTIF(preDEL!$AI$2:$AI1821,D77)&gt;0,COUNTIF(preDEL!$AI$2:$AI1821,D77),IFERROR(0/0,""))</f>
        <v/>
      </c>
      <c r="F77" s="13"/>
      <c r="G77" s="3"/>
      <c r="H77" s="94" t="str">
        <f t="shared" si="5"/>
        <v/>
      </c>
      <c r="I77" s="3"/>
      <c r="J77" s="3"/>
      <c r="K77" s="3"/>
      <c r="L77" s="3"/>
      <c r="M77" s="3"/>
      <c r="N77" s="3"/>
      <c r="O77" s="3"/>
      <c r="P77" s="3"/>
      <c r="Q77" s="3"/>
      <c r="R77" s="3"/>
      <c r="S77" s="3"/>
      <c r="T77" s="3"/>
      <c r="U77" s="3"/>
      <c r="V77" s="3"/>
      <c r="W77" s="3"/>
      <c r="X77" s="3"/>
      <c r="Y77" s="3"/>
      <c r="Z77" s="3"/>
      <c r="AA77" s="3"/>
      <c r="AB77" s="3"/>
      <c r="AC77" s="3"/>
      <c r="AD77" s="3"/>
    </row>
    <row r="78" hidden="1" outlineLevel="1">
      <c r="A78" s="3"/>
      <c r="B78" s="8">
        <v>6.2</v>
      </c>
      <c r="C78" s="3" t="s">
        <v>1054</v>
      </c>
      <c r="D78" s="428">
        <f t="shared" si="4"/>
        <v>6.2</v>
      </c>
      <c r="E78" s="94" t="str">
        <f>IF(COUNTIF(preDEL!$AI$2:$AI1821,D78)&gt;0,COUNTIF(preDEL!$AI$2:$AI1821,D78),IFERROR(0/0,""))</f>
        <v/>
      </c>
      <c r="F78" s="3"/>
      <c r="G78" s="3"/>
      <c r="H78" s="94" t="str">
        <f t="shared" si="5"/>
        <v/>
      </c>
      <c r="I78" s="3"/>
      <c r="J78" s="3"/>
      <c r="K78" s="3"/>
      <c r="L78" s="3"/>
      <c r="M78" s="3"/>
      <c r="N78" s="3"/>
      <c r="O78" s="3"/>
      <c r="P78" s="3"/>
      <c r="Q78" s="3"/>
      <c r="R78" s="3"/>
      <c r="S78" s="3"/>
      <c r="T78" s="3"/>
      <c r="U78" s="3"/>
      <c r="V78" s="3"/>
      <c r="W78" s="3"/>
      <c r="X78" s="3"/>
      <c r="Y78" s="3"/>
      <c r="Z78" s="3"/>
      <c r="AA78" s="3"/>
      <c r="AB78" s="3"/>
      <c r="AC78" s="3"/>
      <c r="AD78" s="3"/>
    </row>
    <row r="79" hidden="1" outlineLevel="1">
      <c r="A79" s="3"/>
      <c r="B79" s="8">
        <v>6.3</v>
      </c>
      <c r="C79" s="3" t="s">
        <v>1055</v>
      </c>
      <c r="D79" s="428">
        <f t="shared" si="4"/>
        <v>6.3</v>
      </c>
      <c r="E79" s="94" t="str">
        <f>IF(COUNTIF(preDEL!$AI$2:$AI1821,D79)&gt;0,COUNTIF(preDEL!$AI$2:$AI1821,D79),IFERROR(0/0,""))</f>
        <v/>
      </c>
      <c r="F79" s="345" t="s">
        <v>1056</v>
      </c>
      <c r="G79" s="3"/>
      <c r="H79" s="94" t="str">
        <f t="shared" si="5"/>
        <v/>
      </c>
      <c r="I79" s="3"/>
      <c r="J79" s="3"/>
      <c r="K79" s="3"/>
      <c r="L79" s="3"/>
      <c r="M79" s="3"/>
      <c r="N79" s="3"/>
      <c r="O79" s="3"/>
      <c r="P79" s="3"/>
      <c r="Q79" s="3"/>
      <c r="R79" s="3"/>
      <c r="S79" s="3"/>
      <c r="T79" s="3"/>
      <c r="U79" s="3"/>
      <c r="V79" s="3"/>
      <c r="W79" s="3"/>
      <c r="X79" s="3"/>
      <c r="Y79" s="3"/>
      <c r="Z79" s="3"/>
      <c r="AA79" s="3"/>
      <c r="AB79" s="3"/>
      <c r="AC79" s="3"/>
      <c r="AD79" s="3"/>
    </row>
    <row r="80" hidden="1" outlineLevel="1">
      <c r="A80" s="3"/>
      <c r="B80" s="8">
        <v>7.0</v>
      </c>
      <c r="C80" s="3" t="s">
        <v>868</v>
      </c>
      <c r="D80" s="428">
        <f t="shared" si="4"/>
        <v>7</v>
      </c>
      <c r="E80" s="94" t="str">
        <f>IF(COUNTIF(preDEL!$AI$2:$AI1821,D80)&gt;0,COUNTIF(preDEL!$AI$2:$AI1821,D80),IFERROR(0/0,""))</f>
        <v/>
      </c>
      <c r="F80" s="345" t="s">
        <v>1056</v>
      </c>
      <c r="G80" s="3"/>
      <c r="H80" s="94" t="str">
        <f t="shared" si="5"/>
        <v/>
      </c>
      <c r="I80" s="3"/>
      <c r="J80" s="3"/>
      <c r="K80" s="3"/>
      <c r="L80" s="3"/>
      <c r="M80" s="3"/>
      <c r="N80" s="3"/>
      <c r="O80" s="3"/>
      <c r="P80" s="3"/>
      <c r="Q80" s="3"/>
      <c r="R80" s="3"/>
      <c r="S80" s="3"/>
      <c r="T80" s="3"/>
      <c r="U80" s="3"/>
      <c r="V80" s="3"/>
      <c r="W80" s="3"/>
      <c r="X80" s="3"/>
      <c r="Y80" s="3"/>
      <c r="Z80" s="3"/>
      <c r="AA80" s="3"/>
      <c r="AB80" s="3"/>
      <c r="AC80" s="3"/>
      <c r="AD80" s="3"/>
    </row>
    <row r="81" hidden="1" outlineLevel="1">
      <c r="A81" s="3"/>
      <c r="B81" s="8">
        <v>8.0</v>
      </c>
      <c r="C81" s="325" t="s">
        <v>1057</v>
      </c>
      <c r="D81" s="428">
        <f t="shared" si="4"/>
        <v>8</v>
      </c>
      <c r="E81" s="94" t="str">
        <f>IF(COUNTIF(preDEL!$AI$2:$AI1821,D81)&gt;0,COUNTIF(preDEL!$AI$2:$AI1821,D81),IFERROR(0/0,""))</f>
        <v/>
      </c>
      <c r="F81" s="3"/>
      <c r="G81" s="3"/>
      <c r="H81" s="94" t="str">
        <f t="shared" si="5"/>
        <v/>
      </c>
      <c r="I81" s="3"/>
      <c r="J81" s="3"/>
      <c r="K81" s="3"/>
      <c r="L81" s="3"/>
      <c r="M81" s="3"/>
      <c r="N81" s="3"/>
      <c r="O81" s="3"/>
      <c r="P81" s="3"/>
      <c r="Q81" s="3"/>
      <c r="R81" s="3"/>
      <c r="S81" s="3"/>
      <c r="T81" s="3"/>
      <c r="U81" s="3"/>
      <c r="V81" s="3"/>
      <c r="W81" s="3"/>
      <c r="X81" s="3"/>
      <c r="Y81" s="3"/>
      <c r="Z81" s="3"/>
      <c r="AA81" s="3"/>
      <c r="AB81" s="3"/>
      <c r="AC81" s="3"/>
      <c r="AD81" s="3"/>
    </row>
    <row r="82" hidden="1" outlineLevel="1">
      <c r="A82" s="3"/>
      <c r="B82" s="8">
        <v>9.0</v>
      </c>
      <c r="C82" s="325" t="s">
        <v>1058</v>
      </c>
      <c r="D82" s="428">
        <f t="shared" si="4"/>
        <v>9</v>
      </c>
      <c r="E82" s="94" t="str">
        <f>IF(COUNTIF(preDEL!$AI$2:$AI1821,D82)&gt;0,COUNTIF(preDEL!$AI$2:$AI1821,D82),IFERROR(0/0,""))</f>
        <v/>
      </c>
      <c r="F82" s="3"/>
      <c r="G82" s="3"/>
      <c r="H82" s="94" t="str">
        <f t="shared" si="5"/>
        <v/>
      </c>
      <c r="I82" s="3"/>
      <c r="J82" s="3"/>
      <c r="K82" s="3"/>
      <c r="L82" s="3"/>
      <c r="M82" s="3"/>
      <c r="N82" s="3"/>
      <c r="O82" s="3"/>
      <c r="P82" s="3"/>
      <c r="Q82" s="3"/>
      <c r="R82" s="3"/>
      <c r="S82" s="3"/>
      <c r="T82" s="3"/>
      <c r="U82" s="3"/>
      <c r="V82" s="3"/>
      <c r="W82" s="3"/>
      <c r="X82" s="3"/>
      <c r="Y82" s="3"/>
      <c r="Z82" s="3"/>
      <c r="AA82" s="3"/>
      <c r="AB82" s="3"/>
      <c r="AC82" s="3"/>
      <c r="AD82" s="3"/>
    </row>
    <row r="83" hidden="1" outlineLevel="1">
      <c r="A83" s="3"/>
      <c r="B83" s="8">
        <v>10.0</v>
      </c>
      <c r="C83" s="3" t="s">
        <v>1059</v>
      </c>
      <c r="D83" s="428">
        <f t="shared" si="4"/>
        <v>10</v>
      </c>
      <c r="E83" s="94" t="str">
        <f>IF(COUNTIF(preDEL!$AI$2:$AI1821,D83)&gt;0,COUNTIF(preDEL!$AI$2:$AI1821,D83),IFERROR(0/0,""))</f>
        <v/>
      </c>
      <c r="F83" s="3"/>
      <c r="G83" s="3"/>
      <c r="H83" s="94" t="str">
        <f t="shared" si="5"/>
        <v/>
      </c>
      <c r="I83" s="3"/>
      <c r="J83" s="3"/>
      <c r="K83" s="3"/>
      <c r="L83" s="3"/>
      <c r="M83" s="3"/>
      <c r="N83" s="3"/>
      <c r="O83" s="3"/>
      <c r="P83" s="3"/>
      <c r="Q83" s="3"/>
      <c r="R83" s="3"/>
      <c r="S83" s="3"/>
      <c r="T83" s="3"/>
      <c r="U83" s="3"/>
      <c r="V83" s="3"/>
      <c r="W83" s="3"/>
      <c r="X83" s="3"/>
      <c r="Y83" s="3"/>
      <c r="Z83" s="3"/>
      <c r="AA83" s="3"/>
      <c r="AB83" s="3"/>
      <c r="AC83" s="3"/>
      <c r="AD83" s="3"/>
    </row>
    <row r="84" hidden="1" outlineLevel="1">
      <c r="A84" s="3"/>
      <c r="B84" s="3"/>
      <c r="C84" s="3"/>
      <c r="D84" s="94" t="str">
        <f t="shared" si="4"/>
        <v/>
      </c>
      <c r="E84" s="94" t="str">
        <f>IF(COUNTIF(preDEL!$AI$2:$AI1821,D84)&gt;0,COUNTIF(preDEL!$AI$2:$AI1821,D84),IFERROR(0/0,""))</f>
        <v/>
      </c>
      <c r="F84" s="3"/>
      <c r="G84" s="3"/>
      <c r="H84" s="94" t="str">
        <f t="shared" si="5"/>
        <v/>
      </c>
      <c r="I84" s="3"/>
      <c r="J84" s="3"/>
      <c r="K84" s="3"/>
      <c r="L84" s="3"/>
      <c r="M84" s="3"/>
      <c r="N84" s="3"/>
      <c r="O84" s="3"/>
      <c r="P84" s="3"/>
      <c r="Q84" s="3"/>
      <c r="R84" s="3"/>
      <c r="S84" s="3"/>
      <c r="T84" s="3"/>
      <c r="U84" s="3"/>
      <c r="V84" s="3"/>
      <c r="W84" s="3"/>
      <c r="X84" s="3"/>
      <c r="Y84" s="3"/>
      <c r="Z84" s="3"/>
      <c r="AA84" s="3"/>
      <c r="AB84" s="3"/>
      <c r="AC84" s="3"/>
      <c r="AD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row>
    <row r="86" collapsed="1">
      <c r="A86" s="3"/>
      <c r="B86" s="3"/>
      <c r="C86" s="425" t="s">
        <v>1060</v>
      </c>
      <c r="D86" s="426" t="s">
        <v>1016</v>
      </c>
      <c r="E86" s="432" t="str">
        <f>CONCATENATE("Count = ",SUM(E87:E94))</f>
        <v>Count = 0</v>
      </c>
      <c r="F86" s="3"/>
      <c r="G86" s="426" t="s">
        <v>1061</v>
      </c>
      <c r="H86" s="426" t="s">
        <v>1018</v>
      </c>
      <c r="I86" s="3"/>
      <c r="J86" s="3"/>
      <c r="K86" s="3"/>
      <c r="L86" s="3"/>
      <c r="M86" s="3"/>
      <c r="N86" s="3"/>
      <c r="O86" s="3"/>
      <c r="P86" s="3"/>
      <c r="Q86" s="3"/>
      <c r="R86" s="3"/>
      <c r="S86" s="3"/>
      <c r="T86" s="3"/>
      <c r="U86" s="3"/>
      <c r="V86" s="3"/>
      <c r="W86" s="3"/>
      <c r="X86" s="3"/>
      <c r="Y86" s="3"/>
      <c r="Z86" s="3"/>
      <c r="AA86" s="3"/>
      <c r="AB86" s="3"/>
      <c r="AC86" s="3"/>
      <c r="AD86" s="3"/>
    </row>
    <row r="87" hidden="1" outlineLevel="1">
      <c r="A87" s="3"/>
      <c r="B87" s="8">
        <v>2.0</v>
      </c>
      <c r="C87" s="3" t="s">
        <v>1062</v>
      </c>
      <c r="D87" s="428">
        <f t="shared" ref="D87:D94" si="6">B87</f>
        <v>2</v>
      </c>
      <c r="E87" s="94" t="str">
        <f>IF(COUNTIF(preDEL!$AJ$2:$AJ1821,D87)&gt;0,COUNTIF(preDEL!$AJ$2:$AJ1821,D87),IFERROR(0/0,""))</f>
        <v/>
      </c>
      <c r="F87" s="3"/>
      <c r="G87" s="94" t="str">
        <f t="array" ref="G87">SORT(UNIQUE(preDEL!$AJ$2:$AJ1821),1,TRUE)</f>
        <v/>
      </c>
      <c r="H87" s="94" t="str">
        <f t="shared" ref="H87:H94" si="7">IF(COUNTIF(D$87:D$94,G87)=1,TRUE,IFERROR(0/0,""))</f>
        <v/>
      </c>
      <c r="I87" s="3"/>
      <c r="J87" s="3"/>
      <c r="K87" s="3"/>
      <c r="L87" s="3"/>
      <c r="M87" s="3"/>
      <c r="N87" s="3"/>
      <c r="O87" s="3"/>
      <c r="P87" s="3"/>
      <c r="Q87" s="3"/>
      <c r="R87" s="3"/>
      <c r="S87" s="3"/>
      <c r="T87" s="3"/>
      <c r="U87" s="3"/>
      <c r="V87" s="3"/>
      <c r="W87" s="3"/>
      <c r="X87" s="3"/>
      <c r="Y87" s="3"/>
      <c r="Z87" s="3"/>
      <c r="AA87" s="3"/>
      <c r="AB87" s="3"/>
      <c r="AC87" s="3"/>
      <c r="AD87" s="3"/>
    </row>
    <row r="88" hidden="1" outlineLevel="1">
      <c r="A88" s="3"/>
      <c r="B88" s="8">
        <v>2.1</v>
      </c>
      <c r="C88" s="3" t="s">
        <v>1063</v>
      </c>
      <c r="D88" s="428">
        <f t="shared" si="6"/>
        <v>2.1</v>
      </c>
      <c r="E88" s="94" t="str">
        <f>IF(COUNTIF(preDEL!$AI$2:$AI1821,D88)&gt;0,COUNTIF(preDEL!$AI$2:$AI1821,D88),IFERROR(0/0,""))</f>
        <v/>
      </c>
      <c r="F88" s="337" t="s">
        <v>1064</v>
      </c>
      <c r="G88" s="3"/>
      <c r="H88" s="94" t="str">
        <f t="shared" si="7"/>
        <v/>
      </c>
      <c r="I88" s="3"/>
      <c r="J88" s="3"/>
      <c r="K88" s="3"/>
      <c r="L88" s="3"/>
      <c r="M88" s="3"/>
      <c r="N88" s="3"/>
      <c r="O88" s="3"/>
      <c r="P88" s="3"/>
      <c r="Q88" s="3"/>
      <c r="R88" s="3"/>
      <c r="S88" s="3"/>
      <c r="T88" s="3"/>
      <c r="U88" s="3"/>
      <c r="V88" s="3"/>
      <c r="W88" s="3"/>
      <c r="X88" s="3"/>
      <c r="Y88" s="3"/>
      <c r="Z88" s="3"/>
      <c r="AA88" s="3"/>
      <c r="AB88" s="3"/>
      <c r="AC88" s="3"/>
      <c r="AD88" s="3"/>
    </row>
    <row r="89" hidden="1" outlineLevel="1">
      <c r="A89" s="3"/>
      <c r="B89" s="8">
        <v>2.2</v>
      </c>
      <c r="C89" s="3" t="s">
        <v>1065</v>
      </c>
      <c r="D89" s="428">
        <f t="shared" si="6"/>
        <v>2.2</v>
      </c>
      <c r="E89" s="94" t="str">
        <f>IF(COUNTIF(preDEL!$AI$2:$AI1821,D89)&gt;0,COUNTIF(preDEL!$AI$2:$AI1821,D89),IFERROR(0/0,""))</f>
        <v/>
      </c>
      <c r="F89" s="3"/>
      <c r="G89" s="3"/>
      <c r="H89" s="94" t="str">
        <f t="shared" si="7"/>
        <v/>
      </c>
      <c r="I89" s="3"/>
      <c r="J89" s="3"/>
      <c r="K89" s="3"/>
      <c r="L89" s="3"/>
      <c r="M89" s="3"/>
      <c r="N89" s="3"/>
      <c r="O89" s="3"/>
      <c r="P89" s="3"/>
      <c r="Q89" s="3"/>
      <c r="R89" s="3"/>
      <c r="S89" s="3"/>
      <c r="T89" s="3"/>
      <c r="U89" s="3"/>
      <c r="V89" s="3"/>
      <c r="W89" s="3"/>
      <c r="X89" s="3"/>
      <c r="Y89" s="3"/>
      <c r="Z89" s="3"/>
      <c r="AA89" s="3"/>
      <c r="AB89" s="3"/>
      <c r="AC89" s="3"/>
      <c r="AD89" s="3"/>
    </row>
    <row r="90" hidden="1" outlineLevel="1">
      <c r="A90" s="3"/>
      <c r="B90" s="8">
        <v>3.1</v>
      </c>
      <c r="C90" s="3" t="s">
        <v>1066</v>
      </c>
      <c r="D90" s="428">
        <f t="shared" si="6"/>
        <v>3.1</v>
      </c>
      <c r="E90" s="94" t="str">
        <f>IF(COUNTIF(preDEL!$AI$2:$AI1821,D90)&gt;0,COUNTIF(preDEL!$AI$2:$AI1821,D90),IFERROR(0/0,""))</f>
        <v/>
      </c>
      <c r="F90" s="3"/>
      <c r="G90" s="3"/>
      <c r="H90" s="94" t="str">
        <f t="shared" si="7"/>
        <v/>
      </c>
      <c r="I90" s="3"/>
      <c r="J90" s="3"/>
      <c r="K90" s="3"/>
      <c r="L90" s="3"/>
      <c r="M90" s="3"/>
      <c r="N90" s="3"/>
      <c r="O90" s="3"/>
      <c r="P90" s="3"/>
      <c r="Q90" s="3"/>
      <c r="R90" s="3"/>
      <c r="S90" s="3"/>
      <c r="T90" s="3"/>
      <c r="U90" s="3"/>
      <c r="V90" s="3"/>
      <c r="W90" s="3"/>
      <c r="X90" s="3"/>
      <c r="Y90" s="3"/>
      <c r="Z90" s="3"/>
      <c r="AA90" s="3"/>
      <c r="AB90" s="3"/>
      <c r="AC90" s="3"/>
      <c r="AD90" s="3"/>
    </row>
    <row r="91" hidden="1" outlineLevel="1">
      <c r="A91" s="3"/>
      <c r="B91" s="3"/>
      <c r="C91" s="3"/>
      <c r="D91" s="94" t="str">
        <f t="shared" si="6"/>
        <v/>
      </c>
      <c r="E91" s="94" t="str">
        <f>IF(COUNTIF(preDEL!$AI$2:$AI1821,D91)&gt;0,COUNTIF(preDEL!$AI$2:$AI1821,D91),IFERROR(0/0,""))</f>
        <v/>
      </c>
      <c r="F91" s="3"/>
      <c r="G91" s="3"/>
      <c r="H91" s="94" t="str">
        <f t="shared" si="7"/>
        <v/>
      </c>
      <c r="I91" s="3"/>
      <c r="J91" s="3"/>
      <c r="K91" s="3"/>
      <c r="L91" s="3"/>
      <c r="M91" s="3"/>
      <c r="N91" s="3"/>
      <c r="O91" s="3"/>
      <c r="P91" s="3"/>
      <c r="Q91" s="3"/>
      <c r="R91" s="3"/>
      <c r="S91" s="3"/>
      <c r="T91" s="3"/>
      <c r="U91" s="3"/>
      <c r="V91" s="3"/>
      <c r="W91" s="3"/>
      <c r="X91" s="3"/>
      <c r="Y91" s="3"/>
      <c r="Z91" s="3"/>
      <c r="AA91" s="3"/>
      <c r="AB91" s="3"/>
      <c r="AC91" s="3"/>
      <c r="AD91" s="3"/>
    </row>
    <row r="92" hidden="1" outlineLevel="1">
      <c r="A92" s="3"/>
      <c r="B92" s="3"/>
      <c r="C92" s="3"/>
      <c r="D92" s="94" t="str">
        <f t="shared" si="6"/>
        <v/>
      </c>
      <c r="E92" s="94" t="str">
        <f>IF(COUNTIF(preDEL!$AI$2:$AI1821,D92)&gt;0,COUNTIF(preDEL!$AI$2:$AI1821,D92),IFERROR(0/0,""))</f>
        <v/>
      </c>
      <c r="F92" s="3"/>
      <c r="G92" s="3"/>
      <c r="H92" s="94" t="str">
        <f t="shared" si="7"/>
        <v/>
      </c>
      <c r="I92" s="3"/>
      <c r="J92" s="3"/>
      <c r="K92" s="3"/>
      <c r="L92" s="3"/>
      <c r="M92" s="3"/>
      <c r="N92" s="3"/>
      <c r="O92" s="3"/>
      <c r="P92" s="3"/>
      <c r="Q92" s="3"/>
      <c r="R92" s="3"/>
      <c r="S92" s="3"/>
      <c r="T92" s="3"/>
      <c r="U92" s="3"/>
      <c r="V92" s="3"/>
      <c r="W92" s="3"/>
      <c r="X92" s="3"/>
      <c r="Y92" s="3"/>
      <c r="Z92" s="3"/>
      <c r="AA92" s="3"/>
      <c r="AB92" s="3"/>
      <c r="AC92" s="3"/>
      <c r="AD92" s="3"/>
    </row>
    <row r="93" hidden="1" outlineLevel="1">
      <c r="A93" s="3"/>
      <c r="B93" s="3"/>
      <c r="C93" s="3"/>
      <c r="D93" s="94" t="str">
        <f t="shared" si="6"/>
        <v/>
      </c>
      <c r="E93" s="94" t="str">
        <f>IF(COUNTIF(preDEL!$AI$2:$AI1821,D93)&gt;0,COUNTIF(preDEL!$AI$2:$AI1821,D93),IFERROR(0/0,""))</f>
        <v/>
      </c>
      <c r="F93" s="3"/>
      <c r="G93" s="3"/>
      <c r="H93" s="94" t="str">
        <f t="shared" si="7"/>
        <v/>
      </c>
      <c r="I93" s="3"/>
      <c r="J93" s="3"/>
      <c r="K93" s="3"/>
      <c r="L93" s="3"/>
      <c r="M93" s="3"/>
      <c r="N93" s="3"/>
      <c r="O93" s="3"/>
      <c r="P93" s="3"/>
      <c r="Q93" s="3"/>
      <c r="R93" s="3"/>
      <c r="S93" s="3"/>
      <c r="T93" s="3"/>
      <c r="U93" s="3"/>
      <c r="V93" s="3"/>
      <c r="W93" s="3"/>
      <c r="X93" s="3"/>
      <c r="Y93" s="3"/>
      <c r="Z93" s="3"/>
      <c r="AA93" s="3"/>
      <c r="AB93" s="3"/>
      <c r="AC93" s="3"/>
      <c r="AD93" s="3"/>
    </row>
    <row r="94" hidden="1" outlineLevel="1">
      <c r="A94" s="3"/>
      <c r="B94" s="3"/>
      <c r="C94" s="3"/>
      <c r="D94" s="94" t="str">
        <f t="shared" si="6"/>
        <v/>
      </c>
      <c r="E94" s="94" t="str">
        <f>IF(COUNTIF(preDEL!$AI$2:$AI1821,D94)&gt;0,COUNTIF(preDEL!$AI$2:$AI1821,D94),IFERROR(0/0,""))</f>
        <v/>
      </c>
      <c r="F94" s="3"/>
      <c r="G94" s="3"/>
      <c r="H94" s="94" t="str">
        <f t="shared" si="7"/>
        <v/>
      </c>
      <c r="I94" s="3"/>
      <c r="J94" s="3"/>
      <c r="K94" s="3"/>
      <c r="L94" s="3"/>
      <c r="M94" s="3"/>
      <c r="N94" s="3"/>
      <c r="O94" s="3"/>
      <c r="P94" s="3"/>
      <c r="Q94" s="3"/>
      <c r="R94" s="3"/>
      <c r="S94" s="3"/>
      <c r="T94" s="3"/>
      <c r="U94" s="3"/>
      <c r="V94" s="3"/>
      <c r="W94" s="3"/>
      <c r="X94" s="3"/>
      <c r="Y94" s="3"/>
      <c r="Z94" s="3"/>
      <c r="AA94" s="3"/>
      <c r="AB94" s="3"/>
      <c r="AC94" s="3"/>
      <c r="AD94" s="3"/>
    </row>
    <row r="96">
      <c r="A96" s="433" t="s">
        <v>1067</v>
      </c>
      <c r="B96" s="433"/>
      <c r="C96" s="434"/>
      <c r="D96" s="435"/>
    </row>
    <row r="97" collapsed="1">
      <c r="K97" s="266"/>
    </row>
    <row r="98" hidden="1" outlineLevel="1">
      <c r="A98" s="266" t="s">
        <v>1068</v>
      </c>
      <c r="C98" s="266" t="s">
        <v>989</v>
      </c>
      <c r="D98" s="266" t="s">
        <v>1069</v>
      </c>
      <c r="E98" s="266" t="s">
        <v>990</v>
      </c>
      <c r="F98" s="11" t="s">
        <v>1070</v>
      </c>
      <c r="K98" s="266"/>
    </row>
    <row r="99" hidden="1" outlineLevel="1">
      <c r="A99" s="266" t="s">
        <v>1071</v>
      </c>
      <c r="B99" s="266"/>
      <c r="C99" s="266" t="s">
        <v>991</v>
      </c>
      <c r="D99" s="11">
        <v>234.0</v>
      </c>
      <c r="K99" s="266"/>
    </row>
    <row r="100" hidden="1" outlineLevel="1">
      <c r="A100" s="266" t="s">
        <v>1072</v>
      </c>
      <c r="B100" s="266"/>
      <c r="C100" s="266" t="s">
        <v>992</v>
      </c>
      <c r="D100" s="11">
        <v>265.0</v>
      </c>
      <c r="G100" s="266"/>
      <c r="K100" s="266"/>
    </row>
    <row r="101" hidden="1" outlineLevel="1">
      <c r="A101" s="266" t="s">
        <v>1073</v>
      </c>
      <c r="C101" s="266" t="s">
        <v>993</v>
      </c>
      <c r="D101" s="11">
        <v>44.0</v>
      </c>
      <c r="K101" s="266"/>
    </row>
    <row r="102" hidden="1" outlineLevel="1">
      <c r="A102" s="266" t="s">
        <v>1074</v>
      </c>
      <c r="B102" s="266"/>
      <c r="C102" s="266" t="s">
        <v>994</v>
      </c>
      <c r="D102" s="266">
        <v>221.0</v>
      </c>
      <c r="K102" s="266"/>
    </row>
    <row r="103" hidden="1" outlineLevel="1">
      <c r="A103" s="266" t="s">
        <v>1075</v>
      </c>
      <c r="B103" s="266"/>
      <c r="C103" s="266" t="s">
        <v>995</v>
      </c>
      <c r="D103" s="11">
        <v>33.0</v>
      </c>
      <c r="K103" s="266"/>
    </row>
    <row r="104" hidden="1" outlineLevel="1">
      <c r="A104" s="266" t="s">
        <v>1076</v>
      </c>
      <c r="B104" s="266"/>
      <c r="C104" s="266" t="s">
        <v>996</v>
      </c>
      <c r="D104" s="11">
        <v>0.0</v>
      </c>
      <c r="E104" s="266" t="s">
        <v>997</v>
      </c>
      <c r="I104" s="266"/>
      <c r="K104" s="266"/>
    </row>
    <row r="105" hidden="1" outlineLevel="1">
      <c r="A105" s="266" t="s">
        <v>1077</v>
      </c>
      <c r="B105" s="266"/>
      <c r="C105" s="266" t="s">
        <v>998</v>
      </c>
      <c r="D105" s="11">
        <v>1.0</v>
      </c>
      <c r="E105" s="266" t="s">
        <v>999</v>
      </c>
      <c r="K105" s="266"/>
    </row>
    <row r="106" hidden="1" outlineLevel="1">
      <c r="A106" s="266" t="s">
        <v>1078</v>
      </c>
      <c r="B106" s="266"/>
      <c r="C106" s="266" t="s">
        <v>1000</v>
      </c>
      <c r="D106" s="266">
        <v>30.0</v>
      </c>
      <c r="E106" s="266" t="s">
        <v>1001</v>
      </c>
      <c r="K106" s="266"/>
    </row>
    <row r="107" hidden="1" outlineLevel="1">
      <c r="A107" s="266"/>
      <c r="B107" s="266"/>
      <c r="C107" s="266" t="s">
        <v>1002</v>
      </c>
      <c r="D107" s="266">
        <v>30.0</v>
      </c>
      <c r="E107" s="266" t="s">
        <v>1003</v>
      </c>
      <c r="K107" s="266"/>
    </row>
    <row r="108" hidden="1" outlineLevel="1">
      <c r="A108" s="266" t="s">
        <v>1079</v>
      </c>
      <c r="B108" s="266"/>
      <c r="C108" s="266" t="s">
        <v>1004</v>
      </c>
      <c r="D108" s="11">
        <v>265.0</v>
      </c>
      <c r="E108" s="266" t="s">
        <v>1005</v>
      </c>
      <c r="K108" s="266"/>
    </row>
    <row r="109" hidden="1" outlineLevel="1">
      <c r="A109" s="266" t="s">
        <v>1080</v>
      </c>
      <c r="C109" s="266" t="s">
        <v>1006</v>
      </c>
      <c r="D109" s="11">
        <v>221.0</v>
      </c>
    </row>
    <row r="110" hidden="1" outlineLevel="1">
      <c r="A110" s="266" t="s">
        <v>1081</v>
      </c>
      <c r="C110" s="266" t="s">
        <v>1007</v>
      </c>
      <c r="D110" s="11">
        <v>209.0</v>
      </c>
    </row>
    <row r="111" hidden="1" outlineLevel="1">
      <c r="A111" s="266"/>
      <c r="K111" s="266"/>
    </row>
    <row r="112" hidden="1" outlineLevel="1">
      <c r="A112" s="266" t="s">
        <v>1082</v>
      </c>
      <c r="B112" s="266"/>
      <c r="C112" s="266" t="s">
        <v>1008</v>
      </c>
      <c r="D112" s="11" t="b">
        <v>0</v>
      </c>
    </row>
    <row r="113" hidden="1" outlineLevel="1">
      <c r="A113" s="266" t="s">
        <v>1083</v>
      </c>
      <c r="B113" s="266"/>
      <c r="C113" s="266" t="s">
        <v>1009</v>
      </c>
      <c r="D113" s="11">
        <v>33.0</v>
      </c>
      <c r="E113" s="266" t="s">
        <v>1010</v>
      </c>
    </row>
    <row r="114" hidden="1" outlineLevel="1">
      <c r="A114" s="266" t="s">
        <v>1075</v>
      </c>
      <c r="B114" s="266"/>
      <c r="C114" s="266" t="s">
        <v>1011</v>
      </c>
      <c r="D114" s="11">
        <v>33.0</v>
      </c>
    </row>
    <row r="115" hidden="1" outlineLevel="1">
      <c r="C115" s="266" t="s">
        <v>1012</v>
      </c>
      <c r="D115" s="266">
        <v>4.0</v>
      </c>
      <c r="E115" s="266" t="s">
        <v>1013</v>
      </c>
      <c r="K115" s="266"/>
    </row>
    <row r="116" hidden="1" outlineLevel="1">
      <c r="A116" s="266" t="s">
        <v>1084</v>
      </c>
      <c r="C116" s="266" t="s">
        <v>1014</v>
      </c>
      <c r="D116" s="11">
        <v>0.0</v>
      </c>
      <c r="K116" s="266"/>
    </row>
    <row r="117" hidden="1" outlineLevel="1">
      <c r="C117" s="266" t="s">
        <v>192</v>
      </c>
      <c r="K117" s="266"/>
    </row>
    <row r="118" hidden="1" outlineLevel="1">
      <c r="K118" s="266"/>
    </row>
    <row r="119" hidden="1" outlineLevel="1">
      <c r="C119" s="11" t="s">
        <v>1015</v>
      </c>
      <c r="D119" s="11" t="s">
        <v>1016</v>
      </c>
      <c r="E119" s="11">
        <v>44.0</v>
      </c>
      <c r="G119" s="11" t="s">
        <v>1017</v>
      </c>
      <c r="H119" s="11" t="s">
        <v>1018</v>
      </c>
      <c r="K119" s="266"/>
    </row>
    <row r="120" hidden="1" outlineLevel="1">
      <c r="B120" s="11">
        <v>1.0</v>
      </c>
      <c r="C120" s="11" t="s">
        <v>1019</v>
      </c>
      <c r="D120" s="11">
        <v>1.0</v>
      </c>
      <c r="E120" s="11">
        <v>19.0</v>
      </c>
      <c r="G120" s="11">
        <v>1.0</v>
      </c>
      <c r="H120" s="11" t="b">
        <v>1</v>
      </c>
      <c r="K120" s="266"/>
    </row>
    <row r="121" hidden="1" outlineLevel="1">
      <c r="B121" s="11">
        <v>1.1</v>
      </c>
      <c r="C121" s="11" t="s">
        <v>1020</v>
      </c>
      <c r="D121" s="11">
        <v>1.1</v>
      </c>
      <c r="F121" s="11" t="s">
        <v>1021</v>
      </c>
      <c r="G121" s="11">
        <v>2.0</v>
      </c>
      <c r="H121" s="11" t="b">
        <v>1</v>
      </c>
      <c r="K121" s="266"/>
    </row>
    <row r="122" hidden="1" outlineLevel="1">
      <c r="B122" s="11">
        <v>2.0</v>
      </c>
      <c r="C122" s="11" t="s">
        <v>1022</v>
      </c>
      <c r="D122" s="11">
        <v>2.0</v>
      </c>
      <c r="E122" s="11">
        <v>21.0</v>
      </c>
      <c r="G122" s="11">
        <v>9.0</v>
      </c>
      <c r="H122" s="11" t="b">
        <v>1</v>
      </c>
      <c r="K122" s="266"/>
    </row>
    <row r="123" hidden="1" outlineLevel="1">
      <c r="B123" s="11">
        <v>2.1</v>
      </c>
      <c r="C123" s="11" t="s">
        <v>774</v>
      </c>
      <c r="D123" s="11">
        <v>2.1</v>
      </c>
      <c r="K123" s="266"/>
    </row>
    <row r="124" hidden="1" outlineLevel="1">
      <c r="B124" s="11">
        <v>2.2</v>
      </c>
      <c r="C124" s="11" t="s">
        <v>779</v>
      </c>
      <c r="D124" s="11">
        <v>2.2</v>
      </c>
      <c r="K124" s="266"/>
    </row>
    <row r="125" hidden="1" outlineLevel="1">
      <c r="B125" s="11">
        <v>2.3</v>
      </c>
      <c r="C125" s="11" t="s">
        <v>784</v>
      </c>
      <c r="D125" s="11">
        <v>2.3</v>
      </c>
      <c r="K125" s="266"/>
    </row>
    <row r="126" hidden="1" outlineLevel="1">
      <c r="B126" s="11">
        <v>2.4</v>
      </c>
      <c r="C126" s="11" t="s">
        <v>789</v>
      </c>
      <c r="D126" s="11">
        <v>2.4</v>
      </c>
    </row>
    <row r="127" hidden="1" outlineLevel="1">
      <c r="B127" s="11">
        <v>2.5</v>
      </c>
      <c r="C127" s="11" t="s">
        <v>793</v>
      </c>
      <c r="D127" s="11">
        <v>2.5</v>
      </c>
      <c r="K127" s="266"/>
    </row>
    <row r="128" hidden="1" outlineLevel="1">
      <c r="B128" s="11">
        <v>2.6</v>
      </c>
      <c r="C128" s="11" t="s">
        <v>798</v>
      </c>
      <c r="D128" s="11">
        <v>2.6</v>
      </c>
      <c r="K128" s="266"/>
    </row>
    <row r="129" hidden="1" outlineLevel="1">
      <c r="B129" s="11">
        <v>2.7</v>
      </c>
      <c r="C129" s="11" t="s">
        <v>801</v>
      </c>
      <c r="D129" s="11">
        <v>2.7</v>
      </c>
    </row>
    <row r="130" hidden="1" outlineLevel="1">
      <c r="B130" s="11">
        <v>2.8</v>
      </c>
      <c r="C130" s="11" t="s">
        <v>1023</v>
      </c>
      <c r="D130" s="11">
        <v>2.8</v>
      </c>
      <c r="K130" s="266"/>
    </row>
    <row r="131" hidden="1" outlineLevel="1">
      <c r="B131" s="11">
        <v>3.0</v>
      </c>
      <c r="C131" s="11" t="s">
        <v>805</v>
      </c>
      <c r="D131" s="11">
        <v>3.0</v>
      </c>
      <c r="K131" s="266"/>
    </row>
    <row r="132" hidden="1" outlineLevel="1">
      <c r="B132" s="11">
        <v>4.0</v>
      </c>
      <c r="C132" s="11" t="s">
        <v>809</v>
      </c>
      <c r="D132" s="11">
        <v>4.0</v>
      </c>
      <c r="K132" s="266"/>
    </row>
    <row r="133" hidden="1" outlineLevel="1">
      <c r="B133" s="11">
        <v>4.1</v>
      </c>
      <c r="C133" s="11" t="s">
        <v>811</v>
      </c>
      <c r="D133" s="11">
        <v>4.1</v>
      </c>
      <c r="K133" s="266"/>
    </row>
    <row r="134" hidden="1" outlineLevel="1">
      <c r="B134" s="11">
        <v>4.2</v>
      </c>
      <c r="C134" s="11" t="s">
        <v>1024</v>
      </c>
      <c r="D134" s="11">
        <v>4.2</v>
      </c>
      <c r="F134" s="11" t="s">
        <v>1025</v>
      </c>
      <c r="K134" s="266"/>
    </row>
    <row r="135" hidden="1" outlineLevel="1">
      <c r="B135" s="11">
        <v>5.1</v>
      </c>
      <c r="C135" s="11" t="s">
        <v>1026</v>
      </c>
      <c r="D135" s="11">
        <v>5.1</v>
      </c>
      <c r="F135" s="11" t="s">
        <v>1027</v>
      </c>
      <c r="K135" s="266"/>
    </row>
    <row r="136" hidden="1" outlineLevel="1">
      <c r="B136" s="11">
        <v>5.2</v>
      </c>
      <c r="C136" s="11" t="s">
        <v>815</v>
      </c>
      <c r="D136" s="11">
        <v>5.2</v>
      </c>
      <c r="K136" s="266"/>
    </row>
    <row r="137" hidden="1" outlineLevel="1">
      <c r="B137" s="11">
        <v>5.3</v>
      </c>
      <c r="C137" s="11" t="s">
        <v>1028</v>
      </c>
      <c r="D137" s="11">
        <v>5.3</v>
      </c>
      <c r="F137" s="11" t="s">
        <v>1029</v>
      </c>
      <c r="K137" s="266"/>
    </row>
    <row r="138" hidden="1" outlineLevel="1">
      <c r="B138" s="11">
        <v>5.4</v>
      </c>
      <c r="C138" s="11" t="s">
        <v>819</v>
      </c>
      <c r="D138" s="11">
        <v>5.4</v>
      </c>
      <c r="F138" s="11" t="s">
        <v>1030</v>
      </c>
      <c r="K138" s="266"/>
    </row>
    <row r="139" hidden="1" outlineLevel="1">
      <c r="B139" s="11">
        <v>5.5</v>
      </c>
      <c r="C139" s="11" t="s">
        <v>821</v>
      </c>
      <c r="D139" s="11">
        <v>5.5</v>
      </c>
      <c r="K139" s="266"/>
    </row>
    <row r="140" hidden="1" outlineLevel="1">
      <c r="B140" s="11">
        <v>6.0</v>
      </c>
      <c r="C140" s="11" t="s">
        <v>824</v>
      </c>
      <c r="D140" s="11">
        <v>6.0</v>
      </c>
      <c r="K140" s="266"/>
    </row>
    <row r="141" hidden="1" outlineLevel="1">
      <c r="B141" s="11">
        <v>7.0</v>
      </c>
      <c r="C141" s="11" t="s">
        <v>1031</v>
      </c>
      <c r="D141" s="11">
        <v>7.0</v>
      </c>
      <c r="K141" s="266"/>
    </row>
    <row r="142" hidden="1" outlineLevel="1">
      <c r="B142" s="11">
        <v>7.1</v>
      </c>
      <c r="C142" s="11" t="s">
        <v>1032</v>
      </c>
      <c r="D142" s="11">
        <v>7.1</v>
      </c>
      <c r="K142" s="266"/>
    </row>
    <row r="143" hidden="1" outlineLevel="1">
      <c r="B143" s="11">
        <v>7.2</v>
      </c>
      <c r="C143" s="11" t="s">
        <v>1033</v>
      </c>
      <c r="D143" s="11">
        <v>7.2</v>
      </c>
    </row>
    <row r="144" hidden="1" outlineLevel="1">
      <c r="B144" s="11">
        <v>7.3</v>
      </c>
      <c r="C144" s="11" t="s">
        <v>1034</v>
      </c>
      <c r="D144" s="11">
        <v>7.3</v>
      </c>
      <c r="K144" s="266"/>
    </row>
    <row r="145" hidden="1" outlineLevel="1">
      <c r="B145" s="11">
        <v>7.4</v>
      </c>
      <c r="C145" s="11" t="s">
        <v>1035</v>
      </c>
      <c r="D145" s="11">
        <v>7.4</v>
      </c>
      <c r="F145" s="11" t="s">
        <v>1036</v>
      </c>
      <c r="K145" s="266"/>
    </row>
    <row r="146" hidden="1" outlineLevel="1">
      <c r="B146" s="11">
        <v>7.5</v>
      </c>
      <c r="D146" s="11">
        <v>7.5</v>
      </c>
      <c r="K146" s="266"/>
    </row>
    <row r="147" hidden="1" outlineLevel="1">
      <c r="B147" s="11">
        <v>8.0</v>
      </c>
      <c r="C147" s="11" t="s">
        <v>829</v>
      </c>
      <c r="D147" s="11">
        <v>8.0</v>
      </c>
      <c r="K147" s="266"/>
    </row>
    <row r="148" hidden="1" outlineLevel="1">
      <c r="B148" s="11">
        <v>8.1</v>
      </c>
      <c r="C148" s="11" t="s">
        <v>1037</v>
      </c>
      <c r="D148" s="11">
        <v>8.1</v>
      </c>
    </row>
    <row r="149" hidden="1" outlineLevel="1">
      <c r="B149" s="11">
        <v>9.0</v>
      </c>
      <c r="C149" s="11" t="s">
        <v>1038</v>
      </c>
      <c r="D149" s="11">
        <v>9.0</v>
      </c>
      <c r="E149" s="11">
        <v>4.0</v>
      </c>
    </row>
    <row r="150" hidden="1" outlineLevel="1">
      <c r="B150" s="11">
        <v>9.1</v>
      </c>
      <c r="C150" s="11" t="s">
        <v>1039</v>
      </c>
      <c r="D150" s="11">
        <v>9.1</v>
      </c>
    </row>
    <row r="151" hidden="1" outlineLevel="1">
      <c r="B151" s="11">
        <v>9.2</v>
      </c>
      <c r="C151" s="11" t="s">
        <v>1040</v>
      </c>
      <c r="D151" s="11">
        <v>9.2</v>
      </c>
      <c r="K151" s="266"/>
    </row>
    <row r="152" hidden="1" outlineLevel="1">
      <c r="B152" s="11">
        <v>9.3</v>
      </c>
      <c r="C152" s="11" t="s">
        <v>1041</v>
      </c>
      <c r="D152" s="11">
        <v>9.3</v>
      </c>
      <c r="K152" s="266"/>
    </row>
    <row r="153" hidden="1" outlineLevel="1">
      <c r="B153" s="11">
        <v>20.0</v>
      </c>
      <c r="C153" s="11" t="s">
        <v>1042</v>
      </c>
      <c r="D153" s="11">
        <v>20.0</v>
      </c>
    </row>
    <row r="154" hidden="1" outlineLevel="1">
      <c r="B154" s="11">
        <v>21.0</v>
      </c>
      <c r="C154" s="11" t="s">
        <v>1042</v>
      </c>
      <c r="D154" s="11">
        <v>21.0</v>
      </c>
      <c r="K154" s="266"/>
    </row>
    <row r="155" hidden="1" outlineLevel="1">
      <c r="B155" s="11">
        <v>22.0</v>
      </c>
      <c r="C155" s="11" t="s">
        <v>1042</v>
      </c>
      <c r="D155" s="11">
        <v>22.0</v>
      </c>
      <c r="K155" s="266"/>
    </row>
    <row r="156" hidden="1" outlineLevel="1">
      <c r="K156" s="266"/>
    </row>
    <row r="157" hidden="1" outlineLevel="1">
      <c r="K157" s="266"/>
    </row>
    <row r="158" hidden="1" outlineLevel="1">
      <c r="K158" s="266">
        <v>9.1</v>
      </c>
    </row>
    <row r="159" hidden="1" outlineLevel="1">
      <c r="K159" s="266">
        <v>9.1</v>
      </c>
    </row>
    <row r="160" hidden="1" outlineLevel="1">
      <c r="K160" s="266">
        <v>9.1</v>
      </c>
    </row>
    <row r="161" hidden="1" outlineLevel="1"/>
    <row r="162" hidden="1" outlineLevel="1">
      <c r="C162" s="11" t="s">
        <v>1043</v>
      </c>
      <c r="D162" s="11" t="s">
        <v>1016</v>
      </c>
      <c r="E162" s="11" t="s">
        <v>1085</v>
      </c>
      <c r="G162" s="11" t="s">
        <v>1044</v>
      </c>
      <c r="H162" s="11" t="s">
        <v>1018</v>
      </c>
      <c r="I162" s="11" t="s">
        <v>1045</v>
      </c>
    </row>
    <row r="163" hidden="1" outlineLevel="1">
      <c r="B163" s="11">
        <v>1.3</v>
      </c>
      <c r="C163" s="11" t="s">
        <v>1046</v>
      </c>
      <c r="D163" s="11">
        <v>1.3</v>
      </c>
      <c r="I163" s="11">
        <v>2.0</v>
      </c>
    </row>
    <row r="164" hidden="1" outlineLevel="1">
      <c r="B164" s="11">
        <v>1.4</v>
      </c>
      <c r="C164" s="11" t="s">
        <v>1047</v>
      </c>
      <c r="D164" s="11">
        <v>1.4</v>
      </c>
      <c r="I164" s="11">
        <v>2.11</v>
      </c>
      <c r="K164" s="266"/>
    </row>
    <row r="165" hidden="1" outlineLevel="1">
      <c r="B165" s="11">
        <v>1.5</v>
      </c>
      <c r="C165" s="11" t="s">
        <v>1048</v>
      </c>
      <c r="D165" s="11">
        <v>1.5</v>
      </c>
      <c r="I165" s="11">
        <v>2.12</v>
      </c>
      <c r="K165" s="266"/>
    </row>
    <row r="166" hidden="1" outlineLevel="1">
      <c r="B166" s="11">
        <v>1.6</v>
      </c>
      <c r="C166" s="11" t="s">
        <v>1049</v>
      </c>
      <c r="D166" s="11">
        <v>1.6</v>
      </c>
      <c r="I166" s="11">
        <v>2.2</v>
      </c>
      <c r="K166" s="266"/>
    </row>
    <row r="167" hidden="1" outlineLevel="1">
      <c r="B167" s="11">
        <v>4.0</v>
      </c>
      <c r="C167" s="11" t="s">
        <v>855</v>
      </c>
      <c r="D167" s="11">
        <v>4.0</v>
      </c>
      <c r="F167" s="11" t="s">
        <v>1025</v>
      </c>
      <c r="I167" s="11">
        <v>3.0</v>
      </c>
      <c r="K167" s="266"/>
    </row>
    <row r="168" hidden="1" outlineLevel="1">
      <c r="B168" s="11">
        <v>4.1</v>
      </c>
      <c r="C168" s="11" t="s">
        <v>857</v>
      </c>
      <c r="D168" s="11">
        <v>4.1</v>
      </c>
    </row>
    <row r="169" hidden="1" outlineLevel="1">
      <c r="B169" s="11">
        <v>4.2</v>
      </c>
      <c r="C169" s="11" t="s">
        <v>859</v>
      </c>
      <c r="D169" s="11">
        <v>4.2</v>
      </c>
    </row>
    <row r="170" hidden="1" outlineLevel="1">
      <c r="B170" s="11">
        <v>4.3</v>
      </c>
      <c r="C170" s="11" t="s">
        <v>1050</v>
      </c>
      <c r="D170" s="11">
        <v>4.3</v>
      </c>
    </row>
    <row r="171" hidden="1" outlineLevel="1">
      <c r="B171" s="11">
        <v>5.0</v>
      </c>
      <c r="C171" s="11" t="s">
        <v>862</v>
      </c>
      <c r="D171" s="11">
        <v>5.0</v>
      </c>
      <c r="F171" s="11" t="s">
        <v>1051</v>
      </c>
      <c r="K171" s="266"/>
    </row>
    <row r="172" hidden="1" outlineLevel="1">
      <c r="B172" s="11">
        <v>5.1</v>
      </c>
      <c r="C172" s="11" t="s">
        <v>864</v>
      </c>
      <c r="D172" s="11">
        <v>5.1</v>
      </c>
      <c r="F172" s="11" t="s">
        <v>1052</v>
      </c>
      <c r="K172" s="266"/>
    </row>
    <row r="173" hidden="1" outlineLevel="1">
      <c r="B173" s="11">
        <v>6.0</v>
      </c>
      <c r="C173" s="11" t="s">
        <v>866</v>
      </c>
      <c r="D173" s="11">
        <v>6.0</v>
      </c>
      <c r="K173" s="266"/>
    </row>
    <row r="174" hidden="1" outlineLevel="1">
      <c r="B174" s="11">
        <v>6.1</v>
      </c>
      <c r="C174" s="11" t="s">
        <v>1053</v>
      </c>
      <c r="D174" s="11">
        <v>6.1</v>
      </c>
      <c r="K174" s="266"/>
    </row>
    <row r="175" hidden="1" outlineLevel="1">
      <c r="B175" s="11">
        <v>6.2</v>
      </c>
      <c r="C175" s="11" t="s">
        <v>1054</v>
      </c>
      <c r="D175" s="11">
        <v>6.2</v>
      </c>
      <c r="K175" s="266"/>
    </row>
    <row r="176" hidden="1" outlineLevel="1">
      <c r="B176" s="11">
        <v>6.3</v>
      </c>
      <c r="C176" s="11" t="s">
        <v>1055</v>
      </c>
      <c r="D176" s="11">
        <v>6.3</v>
      </c>
      <c r="F176" s="11" t="s">
        <v>1056</v>
      </c>
    </row>
    <row r="177" hidden="1" outlineLevel="1">
      <c r="B177" s="11">
        <v>7.0</v>
      </c>
      <c r="C177" s="11" t="s">
        <v>868</v>
      </c>
      <c r="D177" s="11">
        <v>7.0</v>
      </c>
      <c r="F177" s="11" t="s">
        <v>1056</v>
      </c>
    </row>
    <row r="178" hidden="1" outlineLevel="1">
      <c r="B178" s="11">
        <v>8.0</v>
      </c>
      <c r="C178" s="11" t="s">
        <v>1057</v>
      </c>
      <c r="D178" s="11">
        <v>8.0</v>
      </c>
    </row>
    <row r="179" hidden="1" outlineLevel="1">
      <c r="B179" s="11">
        <v>9.0</v>
      </c>
      <c r="C179" s="11" t="s">
        <v>1058</v>
      </c>
      <c r="D179" s="11">
        <v>9.0</v>
      </c>
      <c r="K179" s="266"/>
    </row>
    <row r="180" hidden="1" outlineLevel="1">
      <c r="B180" s="11">
        <v>10.0</v>
      </c>
      <c r="C180" s="11" t="s">
        <v>1059</v>
      </c>
      <c r="D180" s="11">
        <v>10.0</v>
      </c>
      <c r="K180" s="266"/>
    </row>
    <row r="181" hidden="1" outlineLevel="1">
      <c r="K181" s="266"/>
    </row>
    <row r="182" hidden="1" outlineLevel="1">
      <c r="K182" s="266"/>
    </row>
    <row r="183" hidden="1" outlineLevel="1">
      <c r="C183" s="11" t="s">
        <v>1060</v>
      </c>
      <c r="D183" s="11" t="s">
        <v>1016</v>
      </c>
      <c r="E183" s="11" t="s">
        <v>1085</v>
      </c>
      <c r="G183" s="11" t="s">
        <v>1061</v>
      </c>
      <c r="H183" s="11" t="s">
        <v>1018</v>
      </c>
      <c r="K183" s="266"/>
    </row>
    <row r="184">
      <c r="K184" s="266"/>
    </row>
    <row r="185">
      <c r="K185" s="266"/>
    </row>
    <row r="186">
      <c r="K186" s="266"/>
    </row>
    <row r="187">
      <c r="K187" s="266"/>
    </row>
    <row r="188">
      <c r="K188" s="266"/>
    </row>
    <row r="189">
      <c r="K189" s="266"/>
    </row>
    <row r="190">
      <c r="K190" s="266"/>
    </row>
    <row r="191">
      <c r="K191" s="266"/>
    </row>
    <row r="192">
      <c r="K192" s="266"/>
    </row>
    <row r="193">
      <c r="K193" s="266"/>
    </row>
    <row r="194">
      <c r="K194" s="266"/>
    </row>
    <row r="195">
      <c r="K195" s="266"/>
    </row>
    <row r="197">
      <c r="K197" s="266"/>
    </row>
    <row r="198">
      <c r="K198" s="266"/>
    </row>
    <row r="199">
      <c r="K199" s="266"/>
    </row>
    <row r="200">
      <c r="K200" s="266"/>
    </row>
    <row r="201">
      <c r="K201" s="266"/>
    </row>
    <row r="202">
      <c r="K202" s="266"/>
    </row>
    <row r="203">
      <c r="K203" s="266"/>
    </row>
    <row r="204">
      <c r="K204" s="266"/>
    </row>
    <row r="205">
      <c r="K205" s="266"/>
    </row>
    <row r="206">
      <c r="K206" s="266"/>
    </row>
    <row r="207">
      <c r="K207" s="266"/>
    </row>
    <row r="208">
      <c r="K208" s="266"/>
    </row>
    <row r="209">
      <c r="K209" s="266"/>
    </row>
    <row r="210">
      <c r="K210" s="266"/>
    </row>
    <row r="211">
      <c r="K211" s="266"/>
    </row>
    <row r="212">
      <c r="K212" s="266"/>
    </row>
    <row r="213">
      <c r="K213" s="266"/>
    </row>
    <row r="214">
      <c r="K214" s="266"/>
    </row>
    <row r="215">
      <c r="K215" s="266"/>
    </row>
    <row r="216">
      <c r="K216" s="266"/>
    </row>
    <row r="217">
      <c r="K217" s="266"/>
    </row>
    <row r="221">
      <c r="K221" s="266">
        <v>9.1</v>
      </c>
    </row>
    <row r="222">
      <c r="K222" s="266">
        <v>9.1</v>
      </c>
    </row>
    <row r="223">
      <c r="K223" s="266">
        <v>9.1</v>
      </c>
    </row>
    <row r="224">
      <c r="K224" s="266"/>
    </row>
    <row r="225">
      <c r="K225" s="266"/>
    </row>
    <row r="226">
      <c r="K226" s="266"/>
    </row>
    <row r="227">
      <c r="K227" s="266"/>
    </row>
    <row r="228">
      <c r="K228" s="266"/>
    </row>
    <row r="229">
      <c r="K229" s="266"/>
    </row>
    <row r="233">
      <c r="K233" s="266"/>
    </row>
    <row r="234">
      <c r="K234" s="266"/>
    </row>
    <row r="235">
      <c r="K235" s="266"/>
    </row>
    <row r="236">
      <c r="K236" s="266"/>
    </row>
    <row r="237">
      <c r="K237" s="266"/>
    </row>
    <row r="241">
      <c r="K241" s="266"/>
    </row>
    <row r="242">
      <c r="K242" s="266"/>
    </row>
    <row r="243">
      <c r="K243" s="266"/>
    </row>
    <row r="244">
      <c r="K244" s="266"/>
    </row>
    <row r="245">
      <c r="K245" s="266"/>
    </row>
    <row r="246">
      <c r="K246" s="266"/>
    </row>
    <row r="247">
      <c r="K247" s="266"/>
    </row>
    <row r="248">
      <c r="K248" s="266"/>
    </row>
    <row r="249">
      <c r="K249" s="266"/>
    </row>
    <row r="250">
      <c r="K250" s="266"/>
    </row>
    <row r="251">
      <c r="K251" s="266"/>
    </row>
    <row r="255">
      <c r="K255" s="266"/>
    </row>
    <row r="256">
      <c r="K256" s="266"/>
    </row>
    <row r="259">
      <c r="K259" s="266"/>
    </row>
    <row r="260">
      <c r="K260" s="266"/>
    </row>
    <row r="261">
      <c r="K261" s="266"/>
    </row>
    <row r="262">
      <c r="K262" s="266"/>
    </row>
    <row r="263">
      <c r="K263" s="266"/>
    </row>
    <row r="264">
      <c r="K264" s="266"/>
    </row>
    <row r="265">
      <c r="K265" s="266"/>
    </row>
    <row r="266">
      <c r="K266" s="266"/>
    </row>
    <row r="267">
      <c r="K267" s="266"/>
    </row>
    <row r="268">
      <c r="K268" s="266"/>
    </row>
    <row r="269">
      <c r="K269" s="266"/>
    </row>
    <row r="270">
      <c r="K270" s="266"/>
    </row>
    <row r="271">
      <c r="K271" s="266"/>
    </row>
    <row r="272">
      <c r="K272" s="266"/>
    </row>
    <row r="273">
      <c r="K273" s="266"/>
    </row>
    <row r="276">
      <c r="K276" s="266"/>
    </row>
    <row r="277">
      <c r="K277" s="266"/>
    </row>
    <row r="278">
      <c r="K278" s="266"/>
    </row>
    <row r="279">
      <c r="K279" s="266"/>
    </row>
    <row r="280">
      <c r="K280" s="266"/>
    </row>
    <row r="281">
      <c r="K281" s="266"/>
    </row>
    <row r="282">
      <c r="K282" s="266"/>
    </row>
    <row r="283">
      <c r="K283" s="266"/>
    </row>
    <row r="284">
      <c r="K284" s="266"/>
    </row>
    <row r="285">
      <c r="K285" s="266"/>
    </row>
    <row r="286">
      <c r="K286" s="266"/>
    </row>
    <row r="287">
      <c r="K287" s="266"/>
    </row>
    <row r="288">
      <c r="K288" s="266"/>
    </row>
    <row r="289">
      <c r="K289" s="266"/>
    </row>
    <row r="290">
      <c r="K290" s="266"/>
    </row>
    <row r="291">
      <c r="K291" s="266"/>
    </row>
    <row r="292">
      <c r="K292" s="266"/>
    </row>
    <row r="293">
      <c r="K293" s="266"/>
    </row>
    <row r="294">
      <c r="K294" s="266"/>
    </row>
    <row r="295">
      <c r="K295" s="266"/>
    </row>
    <row r="296">
      <c r="K296" s="266"/>
    </row>
    <row r="297">
      <c r="K297" s="266"/>
    </row>
    <row r="298">
      <c r="K298" s="266"/>
    </row>
    <row r="299">
      <c r="K299" s="266"/>
    </row>
    <row r="300">
      <c r="K300" s="266"/>
    </row>
    <row r="301">
      <c r="K301" s="266"/>
    </row>
    <row r="302">
      <c r="K302" s="266"/>
    </row>
    <row r="303">
      <c r="K303" s="266"/>
    </row>
    <row r="304">
      <c r="K304" s="266"/>
    </row>
    <row r="305">
      <c r="K305" s="266"/>
    </row>
    <row r="306">
      <c r="K306" s="266"/>
    </row>
    <row r="307">
      <c r="K307" s="266"/>
    </row>
    <row r="308">
      <c r="K308" s="266"/>
    </row>
    <row r="309">
      <c r="K309" s="266"/>
    </row>
    <row r="310">
      <c r="K310" s="266"/>
    </row>
    <row r="311">
      <c r="K311" s="266"/>
    </row>
    <row r="312">
      <c r="K312" s="266"/>
    </row>
    <row r="313">
      <c r="K313" s="266"/>
    </row>
    <row r="314">
      <c r="K314" s="266"/>
    </row>
    <row r="315">
      <c r="K315" s="266"/>
    </row>
    <row r="316">
      <c r="K316" s="266"/>
    </row>
    <row r="317">
      <c r="K317" s="266"/>
    </row>
    <row r="320">
      <c r="K320" s="266"/>
    </row>
    <row r="321">
      <c r="K321" s="266"/>
    </row>
    <row r="325">
      <c r="K325" s="266"/>
    </row>
    <row r="326">
      <c r="K326" s="266"/>
    </row>
    <row r="327">
      <c r="K327" s="266"/>
    </row>
    <row r="328">
      <c r="K328" s="266"/>
    </row>
    <row r="329">
      <c r="K329" s="266"/>
    </row>
    <row r="330">
      <c r="K330" s="266"/>
    </row>
    <row r="331">
      <c r="K331" s="266"/>
    </row>
    <row r="332">
      <c r="K332" s="266"/>
    </row>
    <row r="333">
      <c r="K333" s="266">
        <v>9.2</v>
      </c>
    </row>
    <row r="334">
      <c r="K334" s="266"/>
    </row>
    <row r="335">
      <c r="K335" s="266"/>
    </row>
    <row r="336">
      <c r="K336" s="266"/>
    </row>
    <row r="337">
      <c r="K337" s="266"/>
    </row>
    <row r="338">
      <c r="K338" s="266"/>
    </row>
    <row r="339">
      <c r="K339" s="266">
        <v>9.3</v>
      </c>
    </row>
    <row r="340">
      <c r="K340" s="266">
        <v>9.3</v>
      </c>
    </row>
    <row r="342">
      <c r="K342" s="266"/>
    </row>
    <row r="343">
      <c r="K343" s="266"/>
    </row>
    <row r="344">
      <c r="K344" s="266"/>
    </row>
    <row r="345">
      <c r="K345" s="266">
        <v>9.1</v>
      </c>
    </row>
    <row r="346">
      <c r="K346" s="266">
        <v>9.1</v>
      </c>
    </row>
    <row r="347">
      <c r="K347" s="266">
        <v>9.1</v>
      </c>
    </row>
    <row r="348">
      <c r="K348" s="266"/>
    </row>
    <row r="349">
      <c r="K349" s="266"/>
    </row>
    <row r="350">
      <c r="K350" s="266"/>
    </row>
    <row r="351">
      <c r="K351" s="266"/>
    </row>
    <row r="354">
      <c r="K354" s="266"/>
    </row>
    <row r="355">
      <c r="K355" s="266"/>
    </row>
    <row r="356">
      <c r="K356" s="266"/>
    </row>
    <row r="357">
      <c r="K357" s="266"/>
    </row>
    <row r="358">
      <c r="K358" s="266"/>
    </row>
    <row r="359">
      <c r="K359" s="266"/>
    </row>
    <row r="360">
      <c r="K360" s="266"/>
    </row>
    <row r="362">
      <c r="K362" s="266"/>
    </row>
    <row r="363">
      <c r="K363" s="266"/>
    </row>
    <row r="364">
      <c r="K364" s="266"/>
    </row>
    <row r="365">
      <c r="K365" s="266"/>
    </row>
    <row r="366">
      <c r="K366" s="266"/>
    </row>
    <row r="367">
      <c r="K367" s="266"/>
    </row>
    <row r="368">
      <c r="K368" s="266"/>
    </row>
    <row r="369">
      <c r="K369" s="266"/>
    </row>
    <row r="370">
      <c r="K370" s="266"/>
    </row>
    <row r="371">
      <c r="K371" s="266"/>
    </row>
    <row r="373">
      <c r="K373" s="266"/>
    </row>
    <row r="374">
      <c r="K374" s="266"/>
    </row>
    <row r="375">
      <c r="K375" s="266"/>
    </row>
    <row r="376">
      <c r="K376" s="266"/>
    </row>
    <row r="377">
      <c r="K377" s="266"/>
    </row>
    <row r="378">
      <c r="K378" s="266"/>
    </row>
    <row r="379">
      <c r="K379" s="266"/>
    </row>
    <row r="380">
      <c r="K380" s="266"/>
    </row>
    <row r="381">
      <c r="K381" s="266"/>
    </row>
    <row r="382">
      <c r="K382" s="266"/>
    </row>
    <row r="383">
      <c r="K383" s="266"/>
    </row>
    <row r="385">
      <c r="K385" s="266"/>
    </row>
    <row r="387">
      <c r="K387" s="266"/>
    </row>
    <row r="388">
      <c r="K388" s="266"/>
    </row>
    <row r="390">
      <c r="K390" s="266"/>
    </row>
    <row r="391">
      <c r="K391" s="266"/>
    </row>
    <row r="392">
      <c r="K392" s="266"/>
    </row>
    <row r="393">
      <c r="K393" s="266"/>
    </row>
    <row r="394">
      <c r="K394" s="266"/>
    </row>
    <row r="395">
      <c r="K395" s="266"/>
    </row>
    <row r="396">
      <c r="K396" s="266"/>
    </row>
    <row r="397">
      <c r="K397" s="266"/>
    </row>
    <row r="398">
      <c r="K398" s="266"/>
    </row>
    <row r="399">
      <c r="K399" s="266"/>
    </row>
    <row r="400">
      <c r="K400" s="266"/>
    </row>
    <row r="401">
      <c r="K401" s="266"/>
    </row>
    <row r="402">
      <c r="K402" s="266"/>
    </row>
    <row r="403">
      <c r="K403" s="266"/>
    </row>
    <row r="404">
      <c r="K404" s="266"/>
    </row>
    <row r="405">
      <c r="K405" s="266"/>
    </row>
    <row r="406">
      <c r="K406" s="266"/>
    </row>
    <row r="407">
      <c r="K407" s="266"/>
    </row>
    <row r="408">
      <c r="K408" s="266"/>
    </row>
    <row r="409">
      <c r="K409" s="266"/>
    </row>
    <row r="410">
      <c r="K410" s="266"/>
    </row>
    <row r="411">
      <c r="K411" s="266"/>
    </row>
    <row r="412">
      <c r="K412" s="266"/>
    </row>
    <row r="413">
      <c r="K413" s="266"/>
    </row>
    <row r="414">
      <c r="K414" s="266"/>
    </row>
    <row r="415">
      <c r="K415" s="266"/>
    </row>
    <row r="416">
      <c r="K416" s="266"/>
    </row>
    <row r="417">
      <c r="K417" s="266"/>
    </row>
    <row r="418">
      <c r="K418" s="266"/>
    </row>
    <row r="419">
      <c r="K419" s="266"/>
    </row>
    <row r="420">
      <c r="K420" s="266"/>
    </row>
    <row r="421">
      <c r="K421" s="266"/>
    </row>
    <row r="422">
      <c r="K422" s="266">
        <v>9.1</v>
      </c>
    </row>
    <row r="423">
      <c r="K423" s="266">
        <v>9.1</v>
      </c>
    </row>
    <row r="424">
      <c r="K424" s="266"/>
    </row>
    <row r="425">
      <c r="K425" s="266"/>
    </row>
    <row r="426">
      <c r="K426" s="266"/>
    </row>
    <row r="427">
      <c r="K427" s="266"/>
    </row>
    <row r="428">
      <c r="K428" s="266"/>
    </row>
    <row r="429">
      <c r="K429" s="266"/>
    </row>
    <row r="430">
      <c r="K430" s="266"/>
    </row>
    <row r="431">
      <c r="K431" s="266"/>
    </row>
    <row r="434">
      <c r="K434" s="266"/>
    </row>
    <row r="435">
      <c r="K435" s="266"/>
    </row>
    <row r="436">
      <c r="K436" s="266"/>
    </row>
    <row r="439">
      <c r="K439" s="266"/>
    </row>
    <row r="440">
      <c r="K440" s="266"/>
    </row>
    <row r="441">
      <c r="K441" s="266"/>
    </row>
    <row r="442">
      <c r="K442" s="266"/>
    </row>
    <row r="443">
      <c r="K443" s="266"/>
    </row>
    <row r="444">
      <c r="K444" s="266"/>
    </row>
    <row r="445">
      <c r="K445" s="266"/>
    </row>
    <row r="446">
      <c r="K446" s="266"/>
    </row>
    <row r="447">
      <c r="K447" s="266"/>
    </row>
    <row r="448">
      <c r="K448" s="266"/>
    </row>
    <row r="449">
      <c r="K449" s="266"/>
    </row>
    <row r="450">
      <c r="K450" s="266"/>
    </row>
    <row r="451">
      <c r="K451" s="266"/>
    </row>
    <row r="452">
      <c r="K452" s="266"/>
    </row>
    <row r="453">
      <c r="K453" s="266"/>
    </row>
    <row r="454">
      <c r="K454" s="266"/>
    </row>
    <row r="455">
      <c r="K455" s="266"/>
    </row>
    <row r="456">
      <c r="K456" s="266"/>
    </row>
    <row r="457">
      <c r="K457" s="266"/>
    </row>
    <row r="459">
      <c r="K459" s="266"/>
    </row>
    <row r="460">
      <c r="K460" s="266"/>
    </row>
    <row r="461">
      <c r="K461" s="266"/>
    </row>
    <row r="462">
      <c r="K462" s="266"/>
    </row>
    <row r="464">
      <c r="K464" s="266"/>
    </row>
    <row r="465">
      <c r="K465" s="266"/>
    </row>
    <row r="466">
      <c r="K466" s="266"/>
    </row>
    <row r="467">
      <c r="K467" s="266"/>
    </row>
    <row r="468">
      <c r="K468" s="266"/>
    </row>
    <row r="471">
      <c r="K471" s="266"/>
    </row>
    <row r="472">
      <c r="K472" s="266"/>
    </row>
    <row r="475">
      <c r="K475" s="266"/>
    </row>
    <row r="476">
      <c r="K476" s="266"/>
    </row>
    <row r="477">
      <c r="K477" s="266"/>
    </row>
    <row r="478">
      <c r="K478" s="266"/>
    </row>
    <row r="479">
      <c r="K479" s="266"/>
    </row>
    <row r="480">
      <c r="K480" s="266"/>
    </row>
    <row r="481">
      <c r="K481" s="266"/>
    </row>
    <row r="482">
      <c r="K482" s="266"/>
    </row>
    <row r="483">
      <c r="K483" s="266"/>
    </row>
    <row r="484">
      <c r="K484" s="266"/>
    </row>
    <row r="488">
      <c r="K488" s="266"/>
    </row>
    <row r="489">
      <c r="K489" s="266"/>
    </row>
    <row r="490">
      <c r="K490" s="266"/>
    </row>
    <row r="495">
      <c r="K495" s="266"/>
    </row>
    <row r="496">
      <c r="K496" s="266"/>
    </row>
    <row r="497">
      <c r="K497" s="266"/>
    </row>
    <row r="498">
      <c r="K498" s="266"/>
    </row>
    <row r="499">
      <c r="K499" s="266"/>
    </row>
    <row r="500">
      <c r="K500" s="266"/>
    </row>
    <row r="501">
      <c r="K501" s="266"/>
    </row>
    <row r="503">
      <c r="K503" s="266"/>
    </row>
    <row r="505">
      <c r="K505" s="266"/>
    </row>
    <row r="506">
      <c r="K506" s="266"/>
    </row>
    <row r="507">
      <c r="K507" s="266"/>
    </row>
    <row r="508">
      <c r="K508" s="266"/>
    </row>
    <row r="509">
      <c r="K509" s="266"/>
    </row>
    <row r="510">
      <c r="K510" s="266"/>
    </row>
    <row r="513">
      <c r="K513" s="266"/>
    </row>
    <row r="514">
      <c r="K514" s="266"/>
    </row>
    <row r="515">
      <c r="K515" s="266"/>
    </row>
    <row r="516">
      <c r="K516" s="266"/>
    </row>
    <row r="518">
      <c r="K518" s="266"/>
    </row>
    <row r="519">
      <c r="K519" s="266"/>
    </row>
    <row r="520">
      <c r="K520" s="266"/>
    </row>
    <row r="521">
      <c r="K521" s="266"/>
    </row>
    <row r="522">
      <c r="K522" s="266"/>
    </row>
    <row r="523">
      <c r="K523" s="266"/>
    </row>
    <row r="524">
      <c r="K524" s="266"/>
    </row>
    <row r="525">
      <c r="K525" s="266"/>
    </row>
    <row r="526">
      <c r="K526" s="266"/>
    </row>
    <row r="527">
      <c r="K527" s="266"/>
    </row>
    <row r="528">
      <c r="K528" s="266"/>
    </row>
    <row r="529">
      <c r="K529" s="266"/>
    </row>
    <row r="530">
      <c r="K530" s="266"/>
    </row>
    <row r="531">
      <c r="K531" s="266"/>
    </row>
    <row r="532">
      <c r="K532" s="266">
        <v>1.0</v>
      </c>
    </row>
    <row r="533">
      <c r="K533" s="266"/>
    </row>
    <row r="534">
      <c r="K534" s="266"/>
    </row>
    <row r="536">
      <c r="K536" s="266"/>
    </row>
    <row r="537">
      <c r="K537" s="266"/>
    </row>
    <row r="538">
      <c r="K538" s="266"/>
    </row>
    <row r="539">
      <c r="K539" s="266"/>
    </row>
    <row r="540">
      <c r="K540" s="266"/>
    </row>
    <row r="541">
      <c r="K541" s="266"/>
    </row>
    <row r="542">
      <c r="K542" s="266"/>
    </row>
    <row r="543">
      <c r="K543" s="266"/>
    </row>
    <row r="544">
      <c r="K544" s="266"/>
    </row>
    <row r="545">
      <c r="K545" s="266"/>
    </row>
    <row r="546">
      <c r="K546" s="266"/>
    </row>
    <row r="547">
      <c r="K547" s="266"/>
    </row>
    <row r="548">
      <c r="K548" s="266"/>
    </row>
    <row r="549">
      <c r="K549" s="266"/>
    </row>
    <row r="550">
      <c r="K550" s="266"/>
    </row>
    <row r="553">
      <c r="K553" s="266"/>
    </row>
    <row r="554">
      <c r="K554" s="266"/>
    </row>
    <row r="555">
      <c r="K555" s="266"/>
    </row>
    <row r="556">
      <c r="K556" s="266"/>
    </row>
    <row r="557">
      <c r="K557" s="266"/>
    </row>
    <row r="558">
      <c r="K558" s="266"/>
    </row>
    <row r="559">
      <c r="K559" s="266"/>
    </row>
    <row r="561">
      <c r="K561" s="266"/>
    </row>
    <row r="563">
      <c r="K563" s="266"/>
    </row>
    <row r="564">
      <c r="K564" s="266"/>
    </row>
    <row r="565">
      <c r="K565" s="266"/>
    </row>
    <row r="566">
      <c r="K566" s="266"/>
    </row>
    <row r="567">
      <c r="K567" s="266"/>
    </row>
    <row r="568">
      <c r="K568" s="266"/>
    </row>
    <row r="569">
      <c r="K569" s="266"/>
    </row>
    <row r="570">
      <c r="K570" s="266"/>
    </row>
    <row r="572">
      <c r="K572" s="266"/>
    </row>
    <row r="573">
      <c r="K573" s="266"/>
    </row>
    <row r="574">
      <c r="K574" s="266"/>
    </row>
    <row r="575">
      <c r="K575" s="266"/>
    </row>
    <row r="576">
      <c r="K576" s="266"/>
    </row>
    <row r="577">
      <c r="K577" s="266"/>
    </row>
    <row r="578">
      <c r="K578" s="266"/>
    </row>
    <row r="580">
      <c r="K580" s="266"/>
    </row>
    <row r="582">
      <c r="K582" s="266"/>
    </row>
    <row r="583">
      <c r="K583" s="266"/>
    </row>
    <row r="584">
      <c r="K584" s="266"/>
    </row>
    <row r="585">
      <c r="K585" s="266"/>
    </row>
    <row r="586">
      <c r="K586" s="266"/>
    </row>
    <row r="588">
      <c r="K588" s="266"/>
    </row>
    <row r="589">
      <c r="K589" s="266"/>
    </row>
    <row r="590">
      <c r="K590" s="266"/>
    </row>
    <row r="591">
      <c r="K591" s="266"/>
    </row>
    <row r="592">
      <c r="K592" s="266"/>
    </row>
    <row r="593">
      <c r="K593" s="266"/>
    </row>
    <row r="594">
      <c r="K594" s="266"/>
    </row>
    <row r="595">
      <c r="K595" s="266"/>
    </row>
    <row r="596">
      <c r="K596" s="266"/>
    </row>
    <row r="597">
      <c r="K597" s="266"/>
    </row>
    <row r="598">
      <c r="K598" s="266"/>
    </row>
    <row r="599">
      <c r="K599" s="266"/>
    </row>
    <row r="600">
      <c r="K600" s="266"/>
    </row>
    <row r="601">
      <c r="K601" s="266"/>
    </row>
    <row r="602">
      <c r="K602" s="266"/>
    </row>
    <row r="603">
      <c r="K603" s="266"/>
    </row>
    <row r="605">
      <c r="K605" s="266"/>
    </row>
    <row r="606">
      <c r="K606" s="266"/>
    </row>
    <row r="607">
      <c r="K607" s="266"/>
    </row>
    <row r="610">
      <c r="K610" s="266"/>
    </row>
    <row r="612">
      <c r="K612" s="266"/>
    </row>
    <row r="613">
      <c r="K613" s="266"/>
    </row>
    <row r="614">
      <c r="K614" s="266"/>
    </row>
    <row r="615">
      <c r="K615" s="266"/>
    </row>
    <row r="616">
      <c r="K616" s="266"/>
    </row>
    <row r="617">
      <c r="K617" s="266"/>
    </row>
    <row r="619">
      <c r="K619" s="266"/>
    </row>
    <row r="620">
      <c r="K620" s="266"/>
    </row>
    <row r="621">
      <c r="K621" s="266"/>
    </row>
    <row r="622">
      <c r="K622" s="266"/>
    </row>
    <row r="623">
      <c r="K623" s="266"/>
    </row>
    <row r="624">
      <c r="K624" s="266"/>
    </row>
    <row r="626">
      <c r="K626" s="266"/>
    </row>
    <row r="627">
      <c r="K627" s="266"/>
    </row>
    <row r="628">
      <c r="K628" s="266"/>
    </row>
    <row r="629">
      <c r="K629" s="266"/>
    </row>
    <row r="631">
      <c r="K631" s="266"/>
    </row>
    <row r="633">
      <c r="K633" s="266"/>
    </row>
    <row r="637">
      <c r="K637" s="266"/>
    </row>
    <row r="638">
      <c r="K638" s="266"/>
    </row>
    <row r="639">
      <c r="K639" s="266"/>
    </row>
    <row r="640">
      <c r="K640" s="266">
        <v>9.1</v>
      </c>
    </row>
    <row r="642">
      <c r="K642" s="266"/>
    </row>
    <row r="646">
      <c r="K646" s="266"/>
    </row>
    <row r="647">
      <c r="K647" s="266"/>
    </row>
    <row r="648">
      <c r="K648" s="266"/>
    </row>
    <row r="649">
      <c r="K649" s="266"/>
    </row>
    <row r="651">
      <c r="K651" s="266"/>
    </row>
    <row r="652">
      <c r="K652" s="266"/>
    </row>
    <row r="653">
      <c r="K653" s="266"/>
    </row>
    <row r="654">
      <c r="K654" s="266"/>
    </row>
    <row r="655">
      <c r="K655" s="266"/>
    </row>
    <row r="656">
      <c r="K656" s="266"/>
    </row>
    <row r="657">
      <c r="K657" s="266"/>
    </row>
    <row r="658">
      <c r="K658" s="266"/>
    </row>
    <row r="663">
      <c r="K663" s="266"/>
    </row>
    <row r="664">
      <c r="K664" s="266"/>
    </row>
    <row r="665">
      <c r="K665" s="266"/>
    </row>
    <row r="666">
      <c r="K666" s="266"/>
    </row>
    <row r="667">
      <c r="K667" s="266"/>
    </row>
    <row r="668">
      <c r="K668" s="266"/>
    </row>
    <row r="669">
      <c r="K669" s="266"/>
    </row>
    <row r="670">
      <c r="K670" s="266"/>
    </row>
    <row r="671">
      <c r="K671" s="266"/>
    </row>
    <row r="672">
      <c r="K672" s="266"/>
    </row>
    <row r="673">
      <c r="K673" s="266"/>
    </row>
    <row r="677">
      <c r="K677" s="266"/>
    </row>
    <row r="678">
      <c r="K678" s="266"/>
    </row>
    <row r="679">
      <c r="K679" s="266"/>
    </row>
    <row r="681">
      <c r="K681" s="266"/>
    </row>
    <row r="682">
      <c r="K682" s="266"/>
    </row>
    <row r="683">
      <c r="K683" s="266"/>
    </row>
    <row r="684">
      <c r="K684" s="266"/>
    </row>
    <row r="685">
      <c r="K685" s="266"/>
    </row>
    <row r="686">
      <c r="K686" s="266"/>
    </row>
    <row r="687">
      <c r="K687" s="266"/>
    </row>
    <row r="688">
      <c r="K688" s="266"/>
    </row>
    <row r="689">
      <c r="K689" s="266"/>
    </row>
    <row r="690">
      <c r="K690" s="266"/>
    </row>
    <row r="691">
      <c r="K691" s="266"/>
    </row>
    <row r="692">
      <c r="K692" s="266"/>
    </row>
    <row r="693">
      <c r="K693" s="266"/>
    </row>
    <row r="694">
      <c r="K694" s="266"/>
    </row>
    <row r="695">
      <c r="K695" s="266"/>
    </row>
    <row r="696">
      <c r="K696" s="266"/>
    </row>
    <row r="697">
      <c r="K697" s="266"/>
    </row>
    <row r="698">
      <c r="K698" s="266"/>
    </row>
    <row r="699">
      <c r="K699" s="266"/>
    </row>
    <row r="700">
      <c r="K700" s="266"/>
    </row>
    <row r="701">
      <c r="K701" s="266"/>
    </row>
    <row r="702">
      <c r="K702" s="266"/>
    </row>
    <row r="703">
      <c r="K703" s="266"/>
    </row>
    <row r="704">
      <c r="K704" s="266"/>
    </row>
    <row r="705">
      <c r="K705" s="266"/>
    </row>
    <row r="706">
      <c r="K706" s="266"/>
    </row>
    <row r="708">
      <c r="K708" s="266"/>
    </row>
    <row r="710">
      <c r="K710" s="266"/>
    </row>
    <row r="711">
      <c r="K711" s="266"/>
    </row>
    <row r="712">
      <c r="K712" s="266">
        <v>9.1</v>
      </c>
    </row>
    <row r="713">
      <c r="K713" s="266">
        <v>9.1</v>
      </c>
    </row>
    <row r="714">
      <c r="K714" s="266"/>
    </row>
    <row r="715">
      <c r="K715" s="266"/>
    </row>
    <row r="716">
      <c r="K716" s="266"/>
    </row>
    <row r="717">
      <c r="K717" s="266"/>
    </row>
    <row r="718">
      <c r="K718" s="266"/>
    </row>
    <row r="719">
      <c r="K719" s="266"/>
    </row>
    <row r="720">
      <c r="K720" s="266"/>
    </row>
    <row r="721">
      <c r="K721" s="266"/>
    </row>
    <row r="722">
      <c r="K722" s="266"/>
    </row>
    <row r="723">
      <c r="K723" s="266"/>
    </row>
    <row r="724">
      <c r="K724" s="266"/>
    </row>
    <row r="728">
      <c r="K728" s="266"/>
    </row>
    <row r="729">
      <c r="K729" s="266"/>
    </row>
    <row r="730">
      <c r="K730" s="266"/>
    </row>
    <row r="733">
      <c r="K733" s="266"/>
    </row>
    <row r="734">
      <c r="K734" s="266"/>
    </row>
    <row r="735">
      <c r="K735" s="266"/>
    </row>
    <row r="736">
      <c r="K736" s="266"/>
    </row>
    <row r="737">
      <c r="K737" s="266"/>
    </row>
    <row r="738">
      <c r="K738" s="266"/>
    </row>
    <row r="739">
      <c r="K739" s="266"/>
    </row>
    <row r="740">
      <c r="K740" s="266"/>
    </row>
    <row r="741">
      <c r="K741" s="266"/>
    </row>
    <row r="742">
      <c r="K742" s="266"/>
    </row>
    <row r="743">
      <c r="K743" s="266"/>
    </row>
    <row r="744">
      <c r="K744" s="266"/>
    </row>
    <row r="745">
      <c r="K745" s="266"/>
    </row>
    <row r="746">
      <c r="K746" s="266"/>
    </row>
    <row r="748">
      <c r="K748" s="266"/>
    </row>
    <row r="749">
      <c r="K749" s="266"/>
    </row>
    <row r="750">
      <c r="K750" s="266"/>
    </row>
    <row r="751">
      <c r="K751" s="266"/>
    </row>
    <row r="752">
      <c r="K752" s="266"/>
    </row>
    <row r="753">
      <c r="K753" s="266"/>
    </row>
    <row r="754">
      <c r="K754" s="266"/>
    </row>
    <row r="755">
      <c r="K755" s="266"/>
    </row>
    <row r="756">
      <c r="K756" s="266"/>
    </row>
    <row r="757">
      <c r="K757" s="266"/>
    </row>
    <row r="758">
      <c r="K758" s="266"/>
    </row>
    <row r="759">
      <c r="K759" s="266"/>
    </row>
    <row r="760">
      <c r="K760" s="266"/>
    </row>
    <row r="761">
      <c r="K761" s="266"/>
    </row>
    <row r="762">
      <c r="K762" s="266"/>
    </row>
    <row r="763">
      <c r="K763" s="266"/>
    </row>
    <row r="764">
      <c r="K764" s="266"/>
    </row>
    <row r="765">
      <c r="K765" s="266"/>
    </row>
    <row r="766">
      <c r="K766" s="266"/>
    </row>
    <row r="768">
      <c r="K768" s="266"/>
    </row>
    <row r="769">
      <c r="K769" s="266"/>
    </row>
    <row r="770">
      <c r="K770" s="266"/>
    </row>
    <row r="771">
      <c r="K771" s="266"/>
    </row>
    <row r="772">
      <c r="K772" s="266"/>
    </row>
    <row r="773">
      <c r="K773" s="266"/>
    </row>
    <row r="774">
      <c r="K774" s="266"/>
    </row>
    <row r="776">
      <c r="K776" s="266"/>
    </row>
    <row r="777">
      <c r="K777" s="266"/>
    </row>
    <row r="778">
      <c r="K778" s="266"/>
    </row>
    <row r="779">
      <c r="K779" s="266"/>
    </row>
    <row r="780">
      <c r="K780" s="266"/>
    </row>
    <row r="781">
      <c r="K781" s="266"/>
    </row>
    <row r="782">
      <c r="K782" s="266"/>
    </row>
    <row r="783">
      <c r="K783" s="266"/>
    </row>
    <row r="784">
      <c r="K784" s="266"/>
    </row>
    <row r="785">
      <c r="K785" s="266"/>
    </row>
    <row r="786">
      <c r="K786" s="266"/>
    </row>
    <row r="787">
      <c r="K787" s="266"/>
    </row>
    <row r="788">
      <c r="K788" s="266"/>
    </row>
    <row r="789">
      <c r="K789" s="266"/>
    </row>
    <row r="790">
      <c r="K790" s="266"/>
    </row>
    <row r="792">
      <c r="K792" s="266"/>
    </row>
    <row r="793">
      <c r="K793" s="266"/>
    </row>
    <row r="794">
      <c r="K794" s="266"/>
    </row>
    <row r="795">
      <c r="K795" s="266"/>
    </row>
    <row r="796">
      <c r="K796" s="266"/>
    </row>
    <row r="797">
      <c r="K797" s="266"/>
    </row>
    <row r="798">
      <c r="K798" s="266"/>
    </row>
    <row r="799">
      <c r="K799" s="266"/>
    </row>
    <row r="800">
      <c r="K800" s="266"/>
    </row>
    <row r="801">
      <c r="K801" s="266"/>
    </row>
    <row r="802">
      <c r="K802" s="266"/>
    </row>
    <row r="803">
      <c r="K803" s="266"/>
    </row>
    <row r="804">
      <c r="K804" s="266"/>
    </row>
    <row r="805">
      <c r="K805" s="266"/>
    </row>
    <row r="806">
      <c r="K806" s="266"/>
    </row>
    <row r="807">
      <c r="K807" s="266"/>
    </row>
    <row r="808">
      <c r="K808" s="266"/>
    </row>
    <row r="809">
      <c r="K809" s="266"/>
    </row>
    <row r="810">
      <c r="K810" s="266"/>
    </row>
    <row r="811">
      <c r="K811" s="266"/>
    </row>
    <row r="812">
      <c r="K812" s="266"/>
    </row>
    <row r="813">
      <c r="K813" s="266"/>
    </row>
    <row r="814">
      <c r="K814" s="266"/>
    </row>
    <row r="815">
      <c r="K815" s="266"/>
    </row>
    <row r="816">
      <c r="K816" s="266"/>
    </row>
    <row r="817">
      <c r="K817" s="266"/>
    </row>
    <row r="818">
      <c r="K818" s="266"/>
    </row>
    <row r="819">
      <c r="K819" s="266"/>
    </row>
    <row r="820">
      <c r="K820" s="266">
        <v>9.1</v>
      </c>
    </row>
    <row r="821">
      <c r="K821" s="266">
        <v>9.1</v>
      </c>
    </row>
    <row r="822">
      <c r="K822" s="266"/>
    </row>
    <row r="823">
      <c r="K823" s="266"/>
    </row>
    <row r="824">
      <c r="K824" s="266"/>
    </row>
    <row r="825">
      <c r="K825" s="266"/>
    </row>
    <row r="826">
      <c r="K826" s="266"/>
    </row>
    <row r="827">
      <c r="K827" s="266"/>
    </row>
    <row r="831">
      <c r="K831" s="266"/>
    </row>
    <row r="832">
      <c r="K832" s="266"/>
    </row>
    <row r="833">
      <c r="K833" s="266"/>
    </row>
    <row r="834">
      <c r="K834" s="266"/>
    </row>
    <row r="837">
      <c r="K837" s="266"/>
    </row>
    <row r="838">
      <c r="K838" s="266"/>
    </row>
    <row r="839">
      <c r="K839" s="266"/>
    </row>
    <row r="840">
      <c r="K840" s="266"/>
    </row>
    <row r="841">
      <c r="K841" s="266"/>
    </row>
    <row r="842">
      <c r="K842" s="266"/>
    </row>
    <row r="849">
      <c r="K849" s="266"/>
    </row>
    <row r="850">
      <c r="K850" s="266"/>
    </row>
    <row r="851">
      <c r="K851" s="266"/>
    </row>
    <row r="852">
      <c r="K852" s="266"/>
    </row>
    <row r="853">
      <c r="K853" s="266"/>
    </row>
    <row r="854">
      <c r="K854" s="266"/>
    </row>
    <row r="855">
      <c r="K855" s="266"/>
    </row>
    <row r="856">
      <c r="K856" s="266"/>
    </row>
    <row r="857">
      <c r="K857" s="266"/>
    </row>
    <row r="858">
      <c r="K858" s="266"/>
    </row>
    <row r="859">
      <c r="K859" s="266"/>
    </row>
    <row r="860">
      <c r="K860" s="266"/>
    </row>
    <row r="861">
      <c r="K861" s="266"/>
    </row>
    <row r="863">
      <c r="K863" s="266"/>
    </row>
    <row r="864">
      <c r="K864" s="266"/>
    </row>
    <row r="865">
      <c r="K865" s="266"/>
    </row>
    <row r="869">
      <c r="K869" s="266"/>
    </row>
    <row r="870">
      <c r="K870" s="266"/>
    </row>
    <row r="871">
      <c r="K871" s="266"/>
    </row>
    <row r="872">
      <c r="K872" s="266"/>
    </row>
    <row r="876">
      <c r="K876" s="266"/>
    </row>
    <row r="877">
      <c r="K877" s="266"/>
    </row>
    <row r="878">
      <c r="K878" s="266"/>
    </row>
    <row r="879">
      <c r="K879" s="266"/>
    </row>
    <row r="881">
      <c r="K881" s="266"/>
    </row>
    <row r="882">
      <c r="K882" s="266"/>
    </row>
    <row r="883">
      <c r="K883" s="266"/>
    </row>
    <row r="884">
      <c r="K884" s="266"/>
    </row>
    <row r="885">
      <c r="K885" s="266"/>
    </row>
    <row r="887">
      <c r="K887" s="266"/>
    </row>
    <row r="888">
      <c r="K888" s="266"/>
    </row>
    <row r="889">
      <c r="K889" s="266"/>
    </row>
    <row r="890">
      <c r="K890" s="266"/>
    </row>
    <row r="892">
      <c r="K892" s="266"/>
    </row>
    <row r="893">
      <c r="K893" s="266">
        <v>8.0</v>
      </c>
    </row>
    <row r="895">
      <c r="K895" s="266"/>
    </row>
    <row r="896">
      <c r="K896" s="266"/>
    </row>
    <row r="897">
      <c r="K897" s="266"/>
    </row>
    <row r="898">
      <c r="K898" s="266"/>
    </row>
    <row r="899">
      <c r="K899" s="266"/>
    </row>
    <row r="900">
      <c r="K900" s="266"/>
    </row>
    <row r="901">
      <c r="K901" s="266">
        <v>9.1</v>
      </c>
    </row>
    <row r="902">
      <c r="K902" s="266">
        <v>9.1</v>
      </c>
    </row>
    <row r="903">
      <c r="K903" s="266">
        <v>9.1</v>
      </c>
    </row>
    <row r="904">
      <c r="K904" s="266"/>
    </row>
    <row r="908">
      <c r="K908" s="266"/>
    </row>
    <row r="910">
      <c r="K910" s="266"/>
    </row>
    <row r="911">
      <c r="K911" s="266"/>
    </row>
    <row r="912">
      <c r="K912" s="266"/>
    </row>
    <row r="913">
      <c r="K913" s="266"/>
    </row>
    <row r="914">
      <c r="K914" s="266"/>
    </row>
    <row r="915">
      <c r="K915" s="266"/>
    </row>
    <row r="916">
      <c r="K916" s="266"/>
    </row>
    <row r="922">
      <c r="K922" s="266"/>
    </row>
    <row r="923">
      <c r="K923" s="266"/>
    </row>
    <row r="925">
      <c r="K925" s="266"/>
    </row>
    <row r="926">
      <c r="K926" s="266"/>
    </row>
    <row r="927">
      <c r="K927" s="266"/>
    </row>
    <row r="928">
      <c r="K928" s="266"/>
    </row>
    <row r="929">
      <c r="K929" s="266"/>
    </row>
    <row r="930">
      <c r="K930" s="266"/>
    </row>
    <row r="931">
      <c r="K931" s="266"/>
    </row>
    <row r="932">
      <c r="K932" s="266"/>
    </row>
    <row r="933">
      <c r="K933" s="266"/>
    </row>
    <row r="934">
      <c r="K934" s="266"/>
    </row>
    <row r="935">
      <c r="K935" s="266"/>
    </row>
    <row r="939">
      <c r="K939" s="266"/>
    </row>
    <row r="940">
      <c r="K940" s="266"/>
    </row>
    <row r="941">
      <c r="K941" s="266"/>
    </row>
    <row r="942">
      <c r="K942" s="266"/>
    </row>
    <row r="945">
      <c r="K945" s="266"/>
    </row>
    <row r="946">
      <c r="K946" s="266"/>
    </row>
    <row r="947">
      <c r="K947" s="266"/>
    </row>
    <row r="949">
      <c r="K949" s="266"/>
    </row>
    <row r="951">
      <c r="K951" s="266"/>
    </row>
    <row r="952">
      <c r="K952" s="266"/>
    </row>
    <row r="957">
      <c r="K957" s="266"/>
    </row>
    <row r="958">
      <c r="K958" s="266"/>
    </row>
    <row r="959">
      <c r="K959" s="266"/>
    </row>
    <row r="960">
      <c r="K960" s="266"/>
    </row>
    <row r="961">
      <c r="K961" s="266"/>
    </row>
    <row r="962">
      <c r="K962" s="266"/>
    </row>
    <row r="964">
      <c r="K964" s="266"/>
    </row>
    <row r="966">
      <c r="K966" s="266"/>
    </row>
    <row r="967">
      <c r="K967" s="266"/>
    </row>
    <row r="968">
      <c r="K968" s="266"/>
    </row>
    <row r="969">
      <c r="K969" s="266"/>
    </row>
    <row r="970">
      <c r="K970" s="266"/>
    </row>
    <row r="971">
      <c r="K971" s="266"/>
    </row>
    <row r="973">
      <c r="K973" s="266"/>
    </row>
    <row r="974">
      <c r="K974" s="266"/>
    </row>
    <row r="977">
      <c r="K977" s="266"/>
    </row>
    <row r="978">
      <c r="K978" s="266"/>
    </row>
    <row r="979">
      <c r="K979" s="266"/>
    </row>
    <row r="980">
      <c r="K980" s="266"/>
    </row>
    <row r="981">
      <c r="K981" s="266"/>
    </row>
    <row r="983">
      <c r="K983" s="266"/>
    </row>
    <row r="984">
      <c r="K984" s="266"/>
    </row>
    <row r="985">
      <c r="K985" s="266"/>
    </row>
    <row r="986">
      <c r="K986" s="266"/>
    </row>
    <row r="987">
      <c r="K987" s="266"/>
    </row>
    <row r="988">
      <c r="K988" s="266"/>
    </row>
    <row r="992">
      <c r="K992" s="266"/>
    </row>
    <row r="993">
      <c r="K993" s="266"/>
    </row>
    <row r="994">
      <c r="K994" s="266"/>
    </row>
    <row r="995">
      <c r="K995" s="266"/>
    </row>
    <row r="996">
      <c r="K996" s="266"/>
    </row>
    <row r="997">
      <c r="K997" s="266"/>
    </row>
    <row r="998">
      <c r="K998" s="266"/>
    </row>
    <row r="999">
      <c r="K999" s="266"/>
    </row>
    <row r="1000">
      <c r="K1000" s="266"/>
    </row>
    <row r="1001">
      <c r="K1001" s="266"/>
    </row>
    <row r="1002">
      <c r="K1002" s="266"/>
    </row>
    <row r="1003">
      <c r="K1003" s="266"/>
    </row>
    <row r="1004">
      <c r="K1004" s="266"/>
    </row>
    <row r="1005">
      <c r="K1005" s="266"/>
    </row>
    <row r="1006">
      <c r="K1006" s="266"/>
    </row>
    <row r="1007">
      <c r="K1007" s="266"/>
    </row>
    <row r="1008">
      <c r="K1008" s="266"/>
    </row>
    <row r="1009">
      <c r="K1009" s="266"/>
    </row>
    <row r="1010">
      <c r="K1010" s="266"/>
    </row>
    <row r="1011">
      <c r="K1011" s="266"/>
    </row>
    <row r="1012">
      <c r="K1012" s="266">
        <v>8.0</v>
      </c>
    </row>
    <row r="1014">
      <c r="K1014" s="266"/>
    </row>
    <row r="1017">
      <c r="K1017" s="266"/>
    </row>
    <row r="1018">
      <c r="K1018" s="266"/>
    </row>
    <row r="1019">
      <c r="K1019" s="266"/>
    </row>
    <row r="1020">
      <c r="K1020" s="266"/>
    </row>
    <row r="1021">
      <c r="K1021" s="266"/>
    </row>
    <row r="1022">
      <c r="K1022" s="266"/>
    </row>
    <row r="1023">
      <c r="K1023" s="266"/>
    </row>
    <row r="1024">
      <c r="K1024" s="266"/>
    </row>
    <row r="1025">
      <c r="K1025" s="266"/>
    </row>
    <row r="1026">
      <c r="K1026" s="266"/>
    </row>
    <row r="1027">
      <c r="K1027" s="266"/>
    </row>
    <row r="1028">
      <c r="K1028" s="266"/>
    </row>
    <row r="1029">
      <c r="K1029" s="266"/>
    </row>
    <row r="1030">
      <c r="K1030" s="266"/>
    </row>
    <row r="1031">
      <c r="K1031" s="266"/>
    </row>
    <row r="1032">
      <c r="K1032" s="266"/>
    </row>
    <row r="1033">
      <c r="K1033" s="266"/>
    </row>
    <row r="1034">
      <c r="K1034" s="266"/>
    </row>
    <row r="1035">
      <c r="K1035" s="266"/>
    </row>
    <row r="1036">
      <c r="K1036" s="266"/>
    </row>
    <row r="1037">
      <c r="K1037" s="266">
        <v>1.0</v>
      </c>
    </row>
    <row r="1038">
      <c r="K1038" s="266"/>
    </row>
    <row r="1039">
      <c r="K1039" s="266"/>
    </row>
    <row r="1040">
      <c r="K1040" s="266"/>
    </row>
    <row r="1041">
      <c r="K1041" s="266"/>
    </row>
    <row r="1042">
      <c r="K1042" s="266"/>
    </row>
    <row r="1043">
      <c r="K1043" s="266"/>
    </row>
    <row r="1044">
      <c r="K1044" s="266"/>
    </row>
    <row r="1047">
      <c r="K1047" s="266"/>
    </row>
    <row r="1048">
      <c r="K1048" s="266"/>
    </row>
    <row r="1049">
      <c r="K1049" s="266"/>
    </row>
    <row r="1050">
      <c r="K1050" s="266"/>
    </row>
    <row r="1051">
      <c r="K1051" s="266"/>
    </row>
    <row r="1052">
      <c r="K1052" s="266"/>
    </row>
    <row r="1053">
      <c r="K1053" s="266"/>
    </row>
    <row r="1054">
      <c r="K1054" s="266"/>
    </row>
    <row r="1055">
      <c r="K1055" s="266"/>
    </row>
    <row r="1056">
      <c r="K1056" s="266"/>
    </row>
    <row r="1057">
      <c r="K1057" s="266"/>
    </row>
    <row r="1058">
      <c r="K1058" s="266"/>
    </row>
    <row r="1059">
      <c r="K1059" s="266"/>
    </row>
    <row r="1060">
      <c r="K1060" s="266"/>
    </row>
    <row r="1061">
      <c r="K1061" s="266"/>
    </row>
    <row r="1062">
      <c r="K1062" s="266"/>
    </row>
    <row r="1063">
      <c r="K1063" s="266"/>
    </row>
    <row r="1064">
      <c r="K1064" s="266"/>
    </row>
    <row r="1065">
      <c r="K1065" s="266"/>
    </row>
    <row r="1066">
      <c r="K1066" s="266"/>
    </row>
    <row r="1067">
      <c r="K1067" s="266"/>
    </row>
    <row r="1068">
      <c r="K1068" s="266"/>
    </row>
    <row r="1069">
      <c r="K1069" s="266"/>
    </row>
    <row r="1070">
      <c r="K1070" s="266"/>
    </row>
    <row r="1071">
      <c r="K1071" s="266"/>
    </row>
    <row r="1072">
      <c r="K1072" s="266"/>
    </row>
    <row r="1073">
      <c r="K1073" s="266"/>
    </row>
    <row r="1074">
      <c r="K1074" s="266">
        <v>9.1</v>
      </c>
    </row>
    <row r="1075">
      <c r="K1075" s="266">
        <v>9.1</v>
      </c>
    </row>
    <row r="1076">
      <c r="K1076" s="266"/>
    </row>
    <row r="1077">
      <c r="K1077" s="266">
        <v>9.1</v>
      </c>
    </row>
    <row r="1078">
      <c r="K1078" s="266">
        <v>9.1</v>
      </c>
    </row>
    <row r="1079">
      <c r="K1079" s="266"/>
    </row>
    <row r="1081">
      <c r="K1081" s="266"/>
    </row>
    <row r="1082">
      <c r="K1082" s="266"/>
    </row>
    <row r="1083">
      <c r="K1083" s="266"/>
    </row>
    <row r="1084">
      <c r="K1084" s="266"/>
    </row>
    <row r="1085">
      <c r="K1085" s="266"/>
    </row>
    <row r="1086">
      <c r="K1086" s="266"/>
    </row>
    <row r="1087">
      <c r="K1087" s="266"/>
    </row>
    <row r="1088">
      <c r="K1088" s="266"/>
    </row>
    <row r="1089">
      <c r="K1089" s="266"/>
    </row>
    <row r="1090">
      <c r="K1090" s="266"/>
    </row>
    <row r="1091">
      <c r="K1091" s="266">
        <v>9.1</v>
      </c>
    </row>
    <row r="1092">
      <c r="K1092" s="266"/>
    </row>
    <row r="1093">
      <c r="K1093" s="266"/>
    </row>
    <row r="1094">
      <c r="K1094" s="266"/>
    </row>
    <row r="1095">
      <c r="K1095" s="266"/>
    </row>
    <row r="1096">
      <c r="K1096" s="266"/>
    </row>
    <row r="1097">
      <c r="K1097" s="266"/>
    </row>
    <row r="1099">
      <c r="K1099" s="266"/>
    </row>
    <row r="1100">
      <c r="K1100" s="266">
        <v>9.1</v>
      </c>
    </row>
    <row r="1101">
      <c r="K1101" s="266">
        <v>9.1</v>
      </c>
    </row>
    <row r="1102">
      <c r="K1102" s="266">
        <v>9.1</v>
      </c>
    </row>
    <row r="1103">
      <c r="K1103" s="266">
        <v>9.1</v>
      </c>
    </row>
    <row r="1104">
      <c r="K1104" s="266"/>
    </row>
    <row r="1105">
      <c r="K1105" s="266"/>
    </row>
    <row r="1106">
      <c r="K1106" s="266"/>
    </row>
    <row r="1107">
      <c r="K1107" s="266"/>
    </row>
    <row r="1108">
      <c r="K1108" s="266"/>
    </row>
    <row r="1109">
      <c r="K1109" s="266"/>
    </row>
    <row r="1118">
      <c r="K1118" s="266">
        <v>1.0</v>
      </c>
    </row>
    <row r="1119">
      <c r="K1119" s="266"/>
    </row>
    <row r="1120">
      <c r="K1120" s="266"/>
    </row>
    <row r="1122">
      <c r="K1122" s="266"/>
    </row>
    <row r="1123">
      <c r="K1123" s="266"/>
    </row>
    <row r="1124">
      <c r="K1124" s="266"/>
    </row>
    <row r="1125">
      <c r="K1125" s="266"/>
    </row>
    <row r="1126">
      <c r="K1126" s="266"/>
    </row>
    <row r="1127">
      <c r="K1127" s="266"/>
    </row>
    <row r="1128">
      <c r="K1128" s="266"/>
    </row>
    <row r="1129">
      <c r="K1129" s="266"/>
    </row>
    <row r="1130">
      <c r="K1130" s="266"/>
    </row>
    <row r="1131">
      <c r="K1131" s="266"/>
    </row>
    <row r="1132">
      <c r="K1132" s="266"/>
    </row>
    <row r="1133">
      <c r="K1133" s="266"/>
    </row>
    <row r="1135">
      <c r="K1135" s="266"/>
    </row>
    <row r="1136">
      <c r="K1136" s="266"/>
    </row>
    <row r="1137">
      <c r="K1137" s="266"/>
    </row>
    <row r="1138">
      <c r="K1138" s="266"/>
    </row>
    <row r="1139">
      <c r="K1139" s="266"/>
    </row>
    <row r="1143">
      <c r="K1143" s="266"/>
    </row>
    <row r="1144">
      <c r="K1144" s="266"/>
    </row>
    <row r="1145">
      <c r="K1145" s="266"/>
    </row>
    <row r="1146">
      <c r="K1146" s="266"/>
    </row>
    <row r="1147">
      <c r="K1147" s="266"/>
    </row>
    <row r="1148">
      <c r="K1148" s="266"/>
    </row>
    <row r="1149">
      <c r="K1149" s="266"/>
    </row>
    <row r="1150">
      <c r="K1150" s="266"/>
    </row>
    <row r="1151">
      <c r="K1151" s="266"/>
    </row>
    <row r="1152">
      <c r="K1152" s="266"/>
    </row>
    <row r="1153">
      <c r="K1153" s="266"/>
    </row>
    <row r="1154">
      <c r="K1154" s="266"/>
    </row>
    <row r="1156">
      <c r="K1156" s="266"/>
    </row>
    <row r="1157">
      <c r="K1157" s="266"/>
    </row>
    <row r="1158">
      <c r="K1158" s="266"/>
    </row>
    <row r="1159">
      <c r="K1159" s="266"/>
    </row>
    <row r="1160">
      <c r="K1160" s="266"/>
    </row>
    <row r="1161">
      <c r="K1161" s="266"/>
    </row>
    <row r="1162">
      <c r="K1162" s="266"/>
    </row>
    <row r="1164">
      <c r="K1164" s="266"/>
    </row>
    <row r="1165">
      <c r="K1165" s="266"/>
    </row>
    <row r="1169">
      <c r="K1169" s="266"/>
    </row>
    <row r="1170">
      <c r="K1170" s="266"/>
    </row>
    <row r="1171">
      <c r="K1171" s="266"/>
    </row>
    <row r="1172">
      <c r="K1172" s="266"/>
    </row>
    <row r="1173">
      <c r="K1173" s="266"/>
    </row>
    <row r="1174">
      <c r="K1174" s="266"/>
    </row>
    <row r="1175">
      <c r="K1175" s="266"/>
    </row>
    <row r="1176">
      <c r="K1176" s="266"/>
    </row>
    <row r="1177">
      <c r="K1177" s="266"/>
    </row>
    <row r="1178">
      <c r="K1178" s="266"/>
    </row>
    <row r="1182">
      <c r="K1182" s="266"/>
    </row>
    <row r="1183">
      <c r="K1183" s="266"/>
    </row>
    <row r="1184">
      <c r="K1184" s="266"/>
    </row>
    <row r="1185">
      <c r="K1185" s="266"/>
    </row>
    <row r="1186">
      <c r="K1186" s="266"/>
    </row>
    <row r="1187">
      <c r="K1187" s="266"/>
    </row>
    <row r="1188">
      <c r="K1188" s="266"/>
    </row>
    <row r="1189">
      <c r="K1189" s="266"/>
    </row>
    <row r="1190">
      <c r="K1190" s="266"/>
    </row>
    <row r="1191">
      <c r="K1191" s="266"/>
    </row>
    <row r="1192">
      <c r="K1192" s="266"/>
    </row>
    <row r="1193">
      <c r="K1193" s="266"/>
    </row>
    <row r="1194">
      <c r="K1194" s="266"/>
    </row>
    <row r="1195">
      <c r="K1195" s="266"/>
    </row>
    <row r="1196">
      <c r="K1196" s="266"/>
    </row>
    <row r="1197">
      <c r="K1197" s="266"/>
    </row>
    <row r="1198">
      <c r="K1198" s="266"/>
    </row>
    <row r="1199">
      <c r="K1199" s="266"/>
    </row>
    <row r="1200">
      <c r="K1200" s="266"/>
    </row>
    <row r="1201">
      <c r="K1201" s="266"/>
    </row>
    <row r="1202">
      <c r="K1202" s="266"/>
    </row>
    <row r="1203">
      <c r="K1203" s="266"/>
    </row>
    <row r="1204">
      <c r="K1204" s="266"/>
    </row>
    <row r="1205">
      <c r="K1205" s="266"/>
    </row>
    <row r="1206">
      <c r="K1206" s="266"/>
    </row>
    <row r="1207">
      <c r="K1207" s="266"/>
    </row>
    <row r="1208">
      <c r="K1208" s="266"/>
    </row>
    <row r="1209">
      <c r="K1209" s="266"/>
    </row>
    <row r="1210">
      <c r="K1210" s="266"/>
    </row>
    <row r="1211">
      <c r="K1211" s="266"/>
    </row>
    <row r="1212">
      <c r="K1212" s="266"/>
    </row>
    <row r="1213">
      <c r="K1213" s="266"/>
    </row>
    <row r="1214">
      <c r="K1214" s="266"/>
    </row>
    <row r="1215">
      <c r="K1215" s="266"/>
    </row>
    <row r="1216">
      <c r="K1216" s="266"/>
    </row>
    <row r="1217">
      <c r="K1217" s="266"/>
    </row>
    <row r="1218">
      <c r="K1218" s="266"/>
    </row>
    <row r="1219">
      <c r="K1219" s="266"/>
    </row>
    <row r="1220">
      <c r="K1220" s="266"/>
    </row>
    <row r="1221">
      <c r="K1221" s="266"/>
    </row>
    <row r="1222">
      <c r="K1222" s="266"/>
    </row>
    <row r="1223">
      <c r="K1223" s="266"/>
    </row>
    <row r="1224">
      <c r="K1224" s="266"/>
    </row>
    <row r="1225">
      <c r="K1225" s="266"/>
    </row>
    <row r="1226">
      <c r="K1226" s="266"/>
    </row>
    <row r="1227">
      <c r="K1227" s="266"/>
    </row>
    <row r="1228">
      <c r="K1228" s="266"/>
    </row>
    <row r="1229">
      <c r="K1229" s="266"/>
    </row>
    <row r="1230">
      <c r="K1230" s="266"/>
    </row>
    <row r="1231">
      <c r="K1231" s="266"/>
    </row>
    <row r="1233">
      <c r="K1233" s="266"/>
    </row>
    <row r="1234">
      <c r="K1234" s="266"/>
    </row>
    <row r="1235">
      <c r="K1235" s="266"/>
    </row>
    <row r="1236">
      <c r="K1236" s="266"/>
    </row>
    <row r="1239">
      <c r="K1239" s="266"/>
    </row>
    <row r="1241">
      <c r="K1241" s="266"/>
    </row>
    <row r="1242">
      <c r="K1242" s="266"/>
    </row>
    <row r="1243">
      <c r="K1243" s="266"/>
    </row>
    <row r="1244">
      <c r="K1244" s="266"/>
    </row>
    <row r="1245">
      <c r="K1245" s="266"/>
    </row>
    <row r="1246">
      <c r="K1246" s="266"/>
    </row>
    <row r="1247">
      <c r="K1247" s="266"/>
    </row>
    <row r="1250">
      <c r="K1250" s="266"/>
    </row>
    <row r="1251">
      <c r="K1251" s="266"/>
    </row>
    <row r="1252">
      <c r="K1252" s="266"/>
    </row>
    <row r="1253">
      <c r="K1253" s="266"/>
    </row>
    <row r="1254">
      <c r="K1254" s="266"/>
    </row>
    <row r="1255">
      <c r="K1255" s="266"/>
    </row>
    <row r="1256">
      <c r="K1256" s="266"/>
    </row>
    <row r="1257">
      <c r="K1257" s="266"/>
    </row>
    <row r="1258">
      <c r="K1258" s="266"/>
    </row>
    <row r="1259">
      <c r="K1259" s="266"/>
    </row>
    <row r="1260">
      <c r="K1260" s="266"/>
    </row>
    <row r="1261">
      <c r="K1261" s="266"/>
    </row>
    <row r="1262">
      <c r="K1262" s="266"/>
    </row>
    <row r="1263">
      <c r="K1263" s="266"/>
    </row>
    <row r="1264">
      <c r="K1264" s="266"/>
    </row>
    <row r="1265">
      <c r="K1265" s="266"/>
    </row>
    <row r="1266">
      <c r="K1266" s="266"/>
    </row>
    <row r="1267">
      <c r="K1267" s="266"/>
    </row>
    <row r="1274">
      <c r="K1274" s="266"/>
    </row>
    <row r="1275">
      <c r="K1275" s="266"/>
    </row>
    <row r="1276">
      <c r="K1276" s="266"/>
    </row>
    <row r="1277">
      <c r="K1277" s="266"/>
    </row>
    <row r="1278">
      <c r="K1278" s="266"/>
    </row>
    <row r="1279">
      <c r="K1279" s="266"/>
    </row>
    <row r="1280">
      <c r="K1280" s="266"/>
    </row>
    <row r="1281">
      <c r="K1281" s="266"/>
    </row>
    <row r="1283">
      <c r="K1283" s="266"/>
    </row>
    <row r="1286">
      <c r="K1286" s="266"/>
    </row>
    <row r="1288">
      <c r="K1288" s="266"/>
    </row>
    <row r="1290">
      <c r="K1290" s="266"/>
    </row>
    <row r="1291">
      <c r="K1291" s="266"/>
    </row>
    <row r="1292">
      <c r="K1292" s="266"/>
    </row>
    <row r="1293">
      <c r="K1293" s="266"/>
    </row>
    <row r="1294">
      <c r="K1294" s="266"/>
    </row>
    <row r="1295">
      <c r="K1295" s="266"/>
    </row>
    <row r="1296">
      <c r="K1296" s="266"/>
    </row>
    <row r="1297">
      <c r="K1297" s="266"/>
    </row>
    <row r="1298">
      <c r="K1298" s="266"/>
    </row>
    <row r="1299">
      <c r="K1299" s="266"/>
    </row>
    <row r="1300">
      <c r="K1300" s="266"/>
    </row>
    <row r="1301">
      <c r="K1301" s="266"/>
    </row>
    <row r="1302">
      <c r="K1302" s="266"/>
    </row>
    <row r="1303">
      <c r="K1303" s="266"/>
    </row>
    <row r="1304">
      <c r="K1304" s="266"/>
    </row>
    <row r="1305">
      <c r="K1305" s="266"/>
    </row>
    <row r="1306">
      <c r="K1306" s="266"/>
    </row>
    <row r="1308">
      <c r="K1308" s="266"/>
    </row>
    <row r="1309">
      <c r="K1309" s="266"/>
    </row>
    <row r="1310">
      <c r="K1310" s="266"/>
    </row>
    <row r="1311">
      <c r="K1311" s="266"/>
    </row>
    <row r="1312">
      <c r="K1312" s="266"/>
    </row>
    <row r="1313">
      <c r="K1313" s="266"/>
    </row>
    <row r="1314">
      <c r="K1314" s="266"/>
    </row>
    <row r="1315">
      <c r="K1315" s="266"/>
    </row>
    <row r="1316">
      <c r="K1316" s="266"/>
    </row>
    <row r="1317">
      <c r="K1317" s="266"/>
    </row>
    <row r="1318">
      <c r="K1318" s="266"/>
    </row>
    <row r="1319">
      <c r="K1319" s="266"/>
    </row>
    <row r="1320">
      <c r="K1320" s="266"/>
    </row>
    <row r="1321">
      <c r="K1321" s="266"/>
    </row>
    <row r="1322">
      <c r="K1322" s="266"/>
    </row>
    <row r="1324">
      <c r="K1324" s="266"/>
    </row>
    <row r="1325">
      <c r="K1325" s="266"/>
    </row>
    <row r="1326">
      <c r="K1326" s="266"/>
    </row>
    <row r="1327">
      <c r="K1327" s="266"/>
    </row>
    <row r="1328">
      <c r="K1328" s="266"/>
    </row>
    <row r="1329">
      <c r="K1329" s="266"/>
    </row>
    <row r="1330">
      <c r="K1330" s="266"/>
    </row>
    <row r="1331">
      <c r="K1331" s="266"/>
    </row>
    <row r="1332">
      <c r="K1332" s="266"/>
    </row>
    <row r="1333">
      <c r="K1333" s="266"/>
    </row>
    <row r="1336">
      <c r="K1336" s="266"/>
    </row>
    <row r="1337">
      <c r="K1337" s="266"/>
    </row>
    <row r="1338">
      <c r="K1338" s="266"/>
    </row>
    <row r="1339">
      <c r="K1339" s="266"/>
    </row>
    <row r="1340">
      <c r="K1340" s="266"/>
    </row>
    <row r="1341">
      <c r="K1341" s="266"/>
    </row>
    <row r="1342">
      <c r="K1342" s="266"/>
    </row>
    <row r="1343">
      <c r="K1343" s="266"/>
    </row>
    <row r="1344">
      <c r="K1344" s="266"/>
    </row>
    <row r="1345">
      <c r="K1345" s="266"/>
    </row>
    <row r="1346">
      <c r="K1346" s="266"/>
    </row>
    <row r="1347">
      <c r="K1347" s="266"/>
    </row>
    <row r="1348">
      <c r="K1348" s="266"/>
    </row>
    <row r="1349">
      <c r="K1349" s="266"/>
    </row>
    <row r="1350">
      <c r="K1350" s="266"/>
    </row>
    <row r="1351">
      <c r="K1351" s="266"/>
    </row>
    <row r="1352">
      <c r="K1352" s="266"/>
    </row>
    <row r="1355">
      <c r="K1355" s="266"/>
    </row>
    <row r="1356">
      <c r="K1356" s="266">
        <v>9.1</v>
      </c>
    </row>
    <row r="1357">
      <c r="K1357" s="266">
        <v>9.1</v>
      </c>
    </row>
    <row r="1358">
      <c r="K1358" s="266"/>
    </row>
    <row r="1359">
      <c r="K1359" s="266"/>
    </row>
    <row r="1360">
      <c r="K1360" s="266"/>
    </row>
    <row r="1361">
      <c r="K1361" s="266"/>
    </row>
    <row r="1362">
      <c r="K1362" s="266"/>
    </row>
    <row r="1363">
      <c r="K1363" s="266"/>
    </row>
    <row r="1364">
      <c r="K1364" s="266"/>
    </row>
    <row r="1365">
      <c r="K1365" s="266"/>
    </row>
    <row r="1366">
      <c r="K1366" s="266"/>
    </row>
    <row r="1367">
      <c r="K1367" s="266"/>
    </row>
    <row r="1368">
      <c r="K1368" s="266"/>
    </row>
    <row r="1369">
      <c r="K1369" s="266"/>
    </row>
    <row r="1370">
      <c r="K1370" s="266"/>
    </row>
    <row r="1371">
      <c r="K1371" s="266"/>
    </row>
    <row r="1372">
      <c r="K1372" s="266"/>
    </row>
    <row r="1373">
      <c r="K1373" s="266"/>
    </row>
    <row r="1374">
      <c r="K1374" s="266"/>
    </row>
    <row r="1375">
      <c r="K1375" s="266"/>
    </row>
    <row r="1376">
      <c r="K1376" s="266"/>
    </row>
    <row r="1377">
      <c r="K1377" s="266"/>
    </row>
    <row r="1378">
      <c r="K1378" s="266"/>
    </row>
    <row r="1379">
      <c r="K1379" s="266"/>
    </row>
    <row r="1380">
      <c r="K1380" s="266"/>
    </row>
    <row r="1381">
      <c r="K1381" s="266"/>
    </row>
    <row r="1382">
      <c r="K1382" s="266"/>
    </row>
    <row r="1383">
      <c r="K1383" s="266"/>
    </row>
    <row r="1384">
      <c r="K1384" s="266"/>
    </row>
    <row r="1385">
      <c r="K1385" s="266"/>
    </row>
    <row r="1386">
      <c r="K1386" s="266"/>
    </row>
    <row r="1387">
      <c r="K1387" s="266"/>
    </row>
    <row r="1389">
      <c r="K1389" s="266"/>
    </row>
    <row r="1390">
      <c r="K1390" s="266"/>
    </row>
    <row r="1391">
      <c r="K1391" s="266"/>
    </row>
    <row r="1392">
      <c r="K1392" s="266"/>
    </row>
    <row r="1393">
      <c r="K1393" s="266"/>
    </row>
    <row r="1394">
      <c r="K1394" s="266"/>
    </row>
    <row r="1395">
      <c r="K1395" s="266"/>
    </row>
    <row r="1396">
      <c r="K1396" s="266"/>
    </row>
    <row r="1397">
      <c r="K1397" s="266"/>
    </row>
    <row r="1398">
      <c r="K1398" s="266"/>
    </row>
    <row r="1399">
      <c r="K1399" s="266"/>
    </row>
    <row r="1400">
      <c r="K1400" s="266"/>
    </row>
    <row r="1401">
      <c r="K1401" s="266"/>
    </row>
    <row r="1402">
      <c r="K1402" s="266"/>
    </row>
    <row r="1403">
      <c r="K1403" s="266"/>
    </row>
    <row r="1404">
      <c r="K1404" s="266"/>
    </row>
    <row r="1405">
      <c r="K1405" s="266"/>
    </row>
    <row r="1406">
      <c r="K1406" s="266"/>
    </row>
    <row r="1407">
      <c r="K1407" s="266"/>
    </row>
    <row r="1408">
      <c r="K1408" s="266"/>
    </row>
    <row r="1409">
      <c r="K1409" s="266"/>
    </row>
    <row r="1410">
      <c r="K1410" s="266"/>
    </row>
    <row r="1411">
      <c r="K1411" s="266"/>
    </row>
    <row r="1412">
      <c r="K1412" s="266"/>
    </row>
    <row r="1413">
      <c r="K1413" s="266"/>
    </row>
    <row r="1414">
      <c r="K1414" s="266"/>
    </row>
    <row r="1415">
      <c r="K1415" s="266"/>
    </row>
    <row r="1419">
      <c r="K1419" s="266"/>
    </row>
    <row r="1420">
      <c r="K1420" s="266"/>
    </row>
    <row r="1421">
      <c r="K1421" s="266"/>
    </row>
    <row r="1422">
      <c r="K1422" s="266"/>
    </row>
    <row r="1423">
      <c r="K1423" s="266"/>
    </row>
    <row r="1424">
      <c r="K1424" s="266"/>
    </row>
    <row r="1425">
      <c r="K1425" s="266"/>
    </row>
    <row r="1428">
      <c r="K1428" s="266">
        <v>9.1</v>
      </c>
    </row>
    <row r="1429">
      <c r="K1429" s="266">
        <v>9.1</v>
      </c>
    </row>
    <row r="1430">
      <c r="K1430" s="266"/>
    </row>
    <row r="1435">
      <c r="K1435" s="266"/>
    </row>
    <row r="1436">
      <c r="K1436" s="266"/>
    </row>
    <row r="1437">
      <c r="K1437" s="266"/>
    </row>
    <row r="1438">
      <c r="K1438" s="266"/>
    </row>
    <row r="1440">
      <c r="K1440" s="266"/>
    </row>
    <row r="1441">
      <c r="K1441" s="266"/>
    </row>
    <row r="1442">
      <c r="K1442" s="266"/>
    </row>
    <row r="1444">
      <c r="K1444" s="266"/>
    </row>
    <row r="1445">
      <c r="K1445" s="266"/>
    </row>
    <row r="1446">
      <c r="K1446" s="266"/>
    </row>
    <row r="1447">
      <c r="K1447" s="266"/>
    </row>
    <row r="1448">
      <c r="K1448" s="266"/>
    </row>
    <row r="1449">
      <c r="K1449" s="266"/>
    </row>
    <row r="1450">
      <c r="K1450" s="266"/>
    </row>
    <row r="1451">
      <c r="K1451" s="266"/>
    </row>
    <row r="1452">
      <c r="K1452" s="266"/>
    </row>
    <row r="1453">
      <c r="K1453" s="266"/>
    </row>
    <row r="1454">
      <c r="K1454" s="266"/>
    </row>
    <row r="1455">
      <c r="K1455" s="266"/>
    </row>
    <row r="1456">
      <c r="K1456" s="266"/>
    </row>
    <row r="1457">
      <c r="K1457" s="266"/>
    </row>
    <row r="1458">
      <c r="K1458" s="266"/>
    </row>
    <row r="1459">
      <c r="K1459" s="266">
        <v>9.1</v>
      </c>
    </row>
    <row r="1460">
      <c r="K1460" s="266">
        <v>9.1</v>
      </c>
    </row>
    <row r="1461">
      <c r="K1461" s="266">
        <v>9.1</v>
      </c>
    </row>
    <row r="1462">
      <c r="K1462" s="266"/>
    </row>
    <row r="1463">
      <c r="K1463" s="266"/>
    </row>
    <row r="1464">
      <c r="K1464" s="266"/>
    </row>
    <row r="1466">
      <c r="K1466" s="266"/>
    </row>
    <row r="1467">
      <c r="K1467" s="266"/>
    </row>
    <row r="1468">
      <c r="K1468" s="266"/>
    </row>
    <row r="1469">
      <c r="K1469" s="266"/>
    </row>
    <row r="1470">
      <c r="K1470" s="266"/>
    </row>
    <row r="1471">
      <c r="K1471" s="266"/>
    </row>
    <row r="1472">
      <c r="K1472" s="266"/>
    </row>
    <row r="1473">
      <c r="K1473" s="266"/>
    </row>
    <row r="1474">
      <c r="K1474" s="266"/>
    </row>
    <row r="1475">
      <c r="K1475" s="266"/>
    </row>
    <row r="1476">
      <c r="K1476" s="266"/>
    </row>
    <row r="1477">
      <c r="K1477" s="266"/>
    </row>
    <row r="1478">
      <c r="K1478" s="266"/>
    </row>
    <row r="1479">
      <c r="K1479" s="266"/>
    </row>
    <row r="1480">
      <c r="K1480" s="266"/>
    </row>
    <row r="1481">
      <c r="K1481" s="266"/>
    </row>
    <row r="1482">
      <c r="K1482" s="266"/>
    </row>
    <row r="1483">
      <c r="K1483" s="266"/>
    </row>
    <row r="1484">
      <c r="K1484" s="266"/>
    </row>
    <row r="1485">
      <c r="K1485" s="266"/>
    </row>
    <row r="1486">
      <c r="K1486" s="266"/>
    </row>
    <row r="1487">
      <c r="K1487" s="266"/>
    </row>
    <row r="1488">
      <c r="K1488" s="266"/>
    </row>
    <row r="1489">
      <c r="K1489" s="266">
        <v>9.1</v>
      </c>
    </row>
    <row r="1490">
      <c r="K1490" s="266">
        <v>9.1</v>
      </c>
    </row>
    <row r="1491">
      <c r="K1491" s="266">
        <v>2.0</v>
      </c>
    </row>
    <row r="1492">
      <c r="K1492" s="266">
        <v>2.0</v>
      </c>
    </row>
    <row r="1493">
      <c r="K1493" s="266">
        <v>2.0</v>
      </c>
    </row>
    <row r="1494">
      <c r="K1494" s="266">
        <v>2.0</v>
      </c>
    </row>
    <row r="1495">
      <c r="K1495" s="266">
        <v>2.0</v>
      </c>
    </row>
    <row r="1496">
      <c r="K1496" s="266">
        <v>2.0</v>
      </c>
    </row>
    <row r="1497">
      <c r="K1497" s="266">
        <v>1.0</v>
      </c>
    </row>
    <row r="1498">
      <c r="K1498" s="266">
        <v>1.0</v>
      </c>
    </row>
    <row r="1499">
      <c r="K1499" s="266">
        <v>1.0</v>
      </c>
    </row>
    <row r="1500">
      <c r="K1500" s="266">
        <v>1.0</v>
      </c>
    </row>
    <row r="1501">
      <c r="K1501" s="266">
        <v>1.0</v>
      </c>
    </row>
    <row r="1502">
      <c r="K1502" s="266">
        <v>1.0</v>
      </c>
    </row>
    <row r="1503">
      <c r="K1503" s="266">
        <v>1.0</v>
      </c>
    </row>
    <row r="1504">
      <c r="K1504" s="266">
        <v>1.0</v>
      </c>
    </row>
    <row r="1505">
      <c r="K1505" s="266">
        <v>1.0</v>
      </c>
    </row>
    <row r="1506">
      <c r="K1506" s="266">
        <v>1.0</v>
      </c>
    </row>
    <row r="1507">
      <c r="K1507" s="266">
        <v>1.0</v>
      </c>
    </row>
    <row r="1508">
      <c r="K1508" s="266">
        <v>1.0</v>
      </c>
    </row>
    <row r="1509">
      <c r="K1509" s="266">
        <v>1.0</v>
      </c>
    </row>
    <row r="1510">
      <c r="K1510" s="266">
        <v>1.0</v>
      </c>
    </row>
    <row r="1511">
      <c r="K1511" s="266">
        <v>1.0</v>
      </c>
    </row>
    <row r="1512">
      <c r="K1512" s="266">
        <v>1.0</v>
      </c>
    </row>
    <row r="1513">
      <c r="K1513" s="266">
        <v>1.0</v>
      </c>
    </row>
    <row r="1514">
      <c r="K1514" s="266">
        <v>1.0</v>
      </c>
    </row>
    <row r="1515">
      <c r="K1515" s="266">
        <v>1.0</v>
      </c>
    </row>
    <row r="1516">
      <c r="K1516" s="266">
        <v>1.0</v>
      </c>
    </row>
    <row r="1517">
      <c r="K1517" s="266">
        <v>2.0</v>
      </c>
    </row>
    <row r="1518">
      <c r="K1518" s="266">
        <v>2.0</v>
      </c>
    </row>
    <row r="1519">
      <c r="K1519" s="266">
        <v>2.0</v>
      </c>
    </row>
    <row r="1520">
      <c r="K1520" s="266">
        <v>2.0</v>
      </c>
    </row>
    <row r="1521">
      <c r="K1521" s="266">
        <v>2.0</v>
      </c>
    </row>
    <row r="1522">
      <c r="K1522" s="266">
        <v>2.0</v>
      </c>
    </row>
    <row r="1523">
      <c r="K1523" s="266">
        <v>2.0</v>
      </c>
    </row>
    <row r="1524">
      <c r="K1524" s="266">
        <v>2.0</v>
      </c>
    </row>
    <row r="1525">
      <c r="K1525" s="266">
        <v>2.0</v>
      </c>
    </row>
    <row r="1526">
      <c r="K1526" s="266">
        <v>2.0</v>
      </c>
    </row>
    <row r="1527">
      <c r="K1527" s="266">
        <v>2.0</v>
      </c>
    </row>
    <row r="1528">
      <c r="K1528" s="266">
        <v>2.0</v>
      </c>
    </row>
    <row r="1529">
      <c r="K1529" s="266">
        <v>2.0</v>
      </c>
    </row>
    <row r="1530">
      <c r="K1530" s="266">
        <v>2.0</v>
      </c>
    </row>
    <row r="1531">
      <c r="K1531" s="266">
        <v>2.0</v>
      </c>
    </row>
    <row r="1532">
      <c r="K1532" s="266">
        <v>2.0</v>
      </c>
    </row>
    <row r="1533">
      <c r="K1533" s="266">
        <v>2.0</v>
      </c>
    </row>
    <row r="1534">
      <c r="K1534" s="266">
        <v>2.0</v>
      </c>
    </row>
    <row r="1535">
      <c r="K1535" s="266">
        <v>2.0</v>
      </c>
    </row>
    <row r="1536">
      <c r="K1536" s="266">
        <v>2.0</v>
      </c>
    </row>
    <row r="1537">
      <c r="K1537" s="266">
        <v>2.0</v>
      </c>
    </row>
    <row r="1538">
      <c r="K1538" s="266">
        <v>2.0</v>
      </c>
    </row>
    <row r="1539">
      <c r="K1539" s="266">
        <v>2.0</v>
      </c>
    </row>
    <row r="1540">
      <c r="K1540" s="266">
        <v>5.4</v>
      </c>
    </row>
    <row r="1541">
      <c r="K1541" s="266">
        <v>2.0</v>
      </c>
    </row>
    <row r="1542">
      <c r="K1542" s="266">
        <v>2.0</v>
      </c>
    </row>
    <row r="1543">
      <c r="K1543" s="266">
        <v>2.0</v>
      </c>
    </row>
    <row r="1544">
      <c r="K1544" s="266">
        <v>1.0</v>
      </c>
    </row>
    <row r="1545">
      <c r="K1545" s="266">
        <v>1.0</v>
      </c>
    </row>
    <row r="1546">
      <c r="K1546" s="266">
        <v>1.0</v>
      </c>
    </row>
  </sheetData>
  <mergeCells count="14">
    <mergeCell ref="A9:B9"/>
    <mergeCell ref="A10:B10"/>
    <mergeCell ref="A11:B11"/>
    <mergeCell ref="A12:B12"/>
    <mergeCell ref="A13:B13"/>
    <mergeCell ref="A14:B14"/>
    <mergeCell ref="A15:B15"/>
    <mergeCell ref="A2:B2"/>
    <mergeCell ref="A3:B3"/>
    <mergeCell ref="A4:B4"/>
    <mergeCell ref="A5:B5"/>
    <mergeCell ref="A6:B6"/>
    <mergeCell ref="A7:B7"/>
    <mergeCell ref="A8:B8"/>
  </mergeCells>
  <conditionalFormatting sqref="F77">
    <cfRule type="expression" dxfId="14" priority="1">
      <formula>ISNUMBER($F77)</formula>
    </cfRule>
  </conditionalFormatting>
  <conditionalFormatting sqref="C6">
    <cfRule type="expression" dxfId="1" priority="2">
      <formula>NOT(D15)</formula>
    </cfRule>
  </conditionalFormatting>
  <conditionalFormatting sqref="D6">
    <cfRule type="expression" dxfId="1" priority="3">
      <formula>NOT(D15)</formula>
    </cfRule>
  </conditionalFormatting>
  <conditionalFormatting sqref="D11">
    <cfRule type="expression" dxfId="1" priority="4">
      <formula>NOT(D1)</formula>
    </cfRule>
  </conditionalFormatting>
  <conditionalFormatting sqref="C11">
    <cfRule type="expression" dxfId="1" priority="5">
      <formula>NOT(D1)</formula>
    </cfRule>
  </conditionalFormatting>
  <conditionalFormatting sqref="C1">
    <cfRule type="expression" dxfId="1" priority="6">
      <formula>NOT(D1)</formula>
    </cfRule>
  </conditionalFormatting>
  <conditionalFormatting sqref="D11">
    <cfRule type="expression" dxfId="15" priority="7">
      <formula>D3</formula>
    </cfRule>
  </conditionalFormatting>
  <conditionalFormatting sqref="D12:D13">
    <cfRule type="cellIs" dxfId="1" priority="8" operator="notEqual">
      <formula>D$5</formula>
    </cfRule>
  </conditionalFormatting>
  <conditionalFormatting sqref="D1">
    <cfRule type="containsText" dxfId="1" priority="9" operator="containsText" text="ERROR">
      <formula>NOT(ISERROR(SEARCH(("ERROR"),(D1))))</formula>
    </cfRule>
  </conditionalFormatting>
  <conditionalFormatting sqref="B23:B83 C23:C64 D23:E83 C66:C83">
    <cfRule type="expression" dxfId="14" priority="10">
      <formula>ISNUMBER($E23)</formula>
    </cfRule>
  </conditionalFormatting>
  <conditionalFormatting sqref="E22">
    <cfRule type="cellIs" dxfId="0" priority="11" operator="equal">
      <formula>D4</formula>
    </cfRule>
  </conditionalFormatting>
  <conditionalFormatting sqref="E22">
    <cfRule type="cellIs" dxfId="1" priority="12" operator="notEqual">
      <formula>D4</formula>
    </cfRule>
  </conditionalFormatting>
  <conditionalFormatting sqref="D3">
    <cfRule type="expression" dxfId="15" priority="13">
      <formula>D11</formula>
    </cfRule>
  </conditionalFormatting>
  <conditionalFormatting sqref="D1">
    <cfRule type="containsText" dxfId="0" priority="14" operator="containsText" text="OK">
      <formula>NOT(ISERROR(SEARCH(("OK"),(D1))))</formula>
    </cfRule>
  </conditionalFormatting>
  <conditionalFormatting sqref="D12:D13">
    <cfRule type="cellIs" dxfId="0" priority="15" operator="equal">
      <formula>D$5</formula>
    </cfRule>
  </conditionalFormatting>
  <drawing r:id="rId2"/>
  <legacyDrawing r:id="rId3"/>
</worksheet>
</file>