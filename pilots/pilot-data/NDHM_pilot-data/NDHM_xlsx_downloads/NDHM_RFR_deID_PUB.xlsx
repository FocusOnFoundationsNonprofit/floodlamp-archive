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Tube Results" sheetId="1" r:id="rId4"/>
    <sheet state="visible" name="Weekly" sheetId="2" r:id="rId5"/>
    <sheet state="visible" name="Runs Compare" sheetId="3" r:id="rId6"/>
    <sheet state="visible" name="Run Reconcile" sheetId="4" r:id="rId7"/>
    <sheet state="visible" name="RFR Data - preExcl" sheetId="5" r:id="rId8"/>
    <sheet state="visible" name="APS Tubes Import" sheetId="6" r:id="rId9"/>
    <sheet state="visible" name="APS Tubes by Date Import" sheetId="7" r:id="rId10"/>
    <sheet state="visible" name="ARF Tubes" sheetId="8" r:id="rId11"/>
    <sheet state="visible" name="Process Ref"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 num means Inconclusive in ALL Results (Appivo Final + ARF)but not RFR Audit (preExcl) 
- num means Inconclusive in RFR Audit (preExcl) but not ALL Results (Appivo Final + ARF)</t>
      </text>
    </comment>
    <comment authorId="0" ref="AE2">
      <text>
        <t xml:space="preserve">used for lookup in column A (RUN ID INTERNAL)
FORMULA:
=IFNA(MATCH(A9,'RFR Data - preExcl'!A$2:A,0))</t>
      </text>
    </comment>
    <comment authorId="0" ref="L8">
      <text>
        <t xml:space="preserve">Conclude Audit num was wrong because of GForm number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=SORT(UNIQUE(R2:S),2,TRUE)</t>
      </text>
    </comment>
    <comment authorId="0" ref="H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L1">
      <text>
        <t xml:space="preserve">=IF(ISBLANK(BN2),IFERROR(0/0),BG2)
final starts as RFR Audit Num Collect Tubes
changes in yellow, usually when 2 initial runs in one day</t>
      </text>
    </comment>
    <comment authorId="0" ref="N1">
      <text>
        <t xml:space="preserve">0   Same Audit RFR: APS Collect = APS Result = RFR
0.1 same as above except Null &gt; Neg
0.2 All same with APS Collect on previous days
1 Same Audit RFR: APS Collect = RFR (disregard Result Count)
1.1 same as above except Null &gt; Neg
2 Same Audit RFR: Extra tubes in RFR not in Appivo
2.1 same as above except Null &gt; Neg
3 Same Audit RFR : Delete Null Tube
4 Same Audit RFR: extra tube in Appivo not in LUM marked for delete
4.5 Run with No RFR
4.6 RFR Raw Num Samples Gform = APS Collect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8 Tube in Appivo not in RFR
9 Tube in RFR not in Appivo
highlighting shows which rows need entries in delta col
blue gets + num
red gets - num
green gets +/- num depending</t>
      </text>
    </comment>
    <comment authorId="0" ref="O1">
      <text>
        <t xml:space="preserve">=IF(ISBLANK(BO2),IFERROR(0/0),IF($BN2&lt;=3,TRUE,IFERROR(0/0)))</t>
      </text>
    </comment>
    <comment authorId="0" ref="U1">
      <text>
        <t xml:space="preserve">TOP PORTION FORMULA:
=IF(EXACT('RFR Data - preExcl'!W1,"Initial"),'RFR Data - preExcl'!U1,IFERROR(0/0))
BOTTOM PORTION FORMULA:
</t>
      </text>
    </comment>
    <comment authorId="0" ref="W1">
      <text>
        <t xml:space="preserve">Starts with hardcoded 1 in blue cell and increments below</t>
      </text>
    </comment>
    <comment authorId="0" ref="T23">
      <text>
        <t xml:space="preserve">Only populate this cell with an APS run ID if there is not a corresponding initial RFR run, meaning if there's a date in column U and if the APS run number hasn't been manually blanked out during the run reconciliation process.
FORMULA:
=IF(AND(NOT(ISBLANK(U53)),NOT(ISBLANK(V53)),NOT(ISBLANK(W53))),CONCATENATE("RUN_",TEXT(V53,"YYYY-MM-DD"),"_APS-",TEXT(W53,"000")),IFERROR(0/0))</t>
      </text>
    </comment>
    <comment authorId="0" ref="U23">
      <text>
        <t xml:space="preserve">Propagate APS Collection Date from right if that date is not present above in the RFR run dates
FORMULA:
=IF(COUNTIF(U$2:U$52,V53)=0,V53,IFERROR(0/0))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=IF(ISDATE(B81),CONCATENATE("R_",Process!$D$8,"-",AR81),)
USE ABOVE TO START THEN BELOW WHEN DONE
=CONCATENATE("R_XXXX-",TEXT(AR2,"000"))</t>
      </text>
    </comment>
    <comment authorId="0" ref="B1">
      <text>
        <t xml:space="preserve">Highlighted are dates to get RUN ID assignment on Pass2</t>
      </text>
    </comment>
    <comment authorId="0" ref="E1">
      <text>
        <t xml:space="preserve">"Samples" should be Collection Tubes but the form was made a long time ago</t>
      </text>
    </comment>
    <comment authorId="0" ref="G1">
      <text>
        <t xml:space="preserve">Duplicate link to photo of run form for re-runs. Conditional formatting light blue if duplicated link (= cell above), but fix if there are delete rows.</t>
      </text>
    </comment>
    <comment authorId="0" ref="I1">
      <text>
        <t xml:space="preserve">Results photos must correspond to the run. Don't duplicate initial run results photos for rerun if they don't apply. If it's one photo of both initial and rerun, then duplicate it and indicate which conclude are which in notes. Or screenshot and separate.
Conditional formatting light blue if duplicated link (= cell above)</t>
      </text>
    </comment>
    <comment authorId="0" ref="J1">
      <text>
        <t xml:space="preserve">don't duplicate for added rerun</t>
      </text>
    </comment>
    <comment authorId="0" ref="K1">
      <text>
        <t xml:space="preserve">duplicate for added rerun if applies</t>
      </text>
    </comment>
    <comment authorId="0" ref="L1">
      <text>
        <t xml:space="preserve">1	Date Not In Range
2	Note Indicates Test
3	Email Indicates Test
4	Duplicate Entry
5	Development Run
6	Contrived Positive / Validation Run
7	Non standard run (add note)
8	Invalid run from control fail (add note)
9      Other (add note)</t>
      </text>
    </comment>
    <comment authorId="0" ref="M1">
      <text>
        <t xml:space="preserve">1     Added Entry
1.1	Gform - Num Samples incorrect or missing
1.2	RunForm - Num Rxns incl cntrl incorrect or missing
1.3	Gform - Incorrect Date or missing
1.4	RunForm - Incorrect Date or missing
1.5	Extra pink rxn in image, conclude empty
1.6	Tubes from GForm or RunForm not in Appivo
1.7	Number of control rxns not definitive
1.8	Combination of multiple, use RFR Correct Notes
1.9	No Run Form Photo or no Result Photo</t>
      </text>
    </comment>
    <comment authorId="0" ref="N1">
      <text>
        <t xml:space="preserve">2.1	GForm InitIncl I -&gt; N
2.2	GForm InitIncl I -&gt; P
2.3	GForm InitIncl N -&gt; I
2.4	GForm InitIncl P -&gt; I
2.5	GForm InitIncl N -&gt; P
2.6	GForm InitIncl P -&gt; N
3.1	Notes ...
4.1	Both ...
6	Other - enter notes</t>
      </text>
    </comment>
    <comment authorId="0" ref="P1">
      <text>
        <t xml:space="preserve">N2&gt;=2</t>
      </text>
    </comment>
    <comment authorId="0" ref="Q1">
      <text>
        <t xml:space="preserve">Use when either the run is invalid (if it was logged separately) or if this is the valid run but it had an invalid run associated with it. If the run itself is invalid, mark for deletion so it does not corrupt the stats. Summarizing invalid runs needs to be done with the pre delete version.</t>
      </text>
    </comment>
    <comment authorId="0" ref="S1">
      <text>
        <t xml:space="preserve">Only mark daughter (can be rerun or initial)</t>
      </text>
    </comment>
    <comment authorId="0" ref="V1">
      <text>
        <t xml:space="preserve">don't leave blank, estimate based on when gform is logged if no time on run form</t>
      </text>
    </comment>
    <comment authorId="0" ref="W1">
      <text>
        <t xml:space="preserve">Initial = first time tubes are run
Re-run = subsequent times tubes are run
Xclude = remove for CD (use Xclude instead of Exclude so it shows up at end on sort)
Use the term "repeat" for when an initial run is repeated because of a problem and the first run is rejected</t>
      </text>
    </comment>
    <comment authorId="0" ref="Y1">
      <text>
        <t xml:space="preserve">Only TRUE if explicit indication of inconclusive or positive. It can still be resulted  Incl/Pos in Appivo though FALSE here</t>
      </text>
    </comment>
    <comment authorId="0" ref="AA1">
      <text>
        <t xml:space="preserve">=IF(ISBLANK(Z2),IFERROR(0/0),Z2-E2)</t>
      </text>
    </comment>
    <comment authorId="0" ref="AB1">
      <text>
        <t xml:space="preserve">IF(AA2 = 2,FALSE,TRUE)</t>
      </text>
    </comment>
    <comment authorId="0" ref="AF1">
      <text>
        <t xml:space="preserve">Resulting Decision Chart https://docs.google.com/spreadsheets/d/1hSqrQPAmpFeEcgxNxtFhQyBI904lUhvz1yx7GcAbefo
</t>
      </text>
    </comment>
    <comment authorId="0" ref="AI1">
      <text>
        <t xml:space="preserve">put same entry for initial and all reruns</t>
      </text>
    </comment>
    <comment authorId="0" ref="AJ1">
      <text>
        <t xml:space="preserve">this is a rerun that is not in triplicate</t>
      </text>
    </comment>
    <comment authorId="0" ref="AL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AM1">
      <text>
        <t xml:space="preserve">=IF(EXACT(W2,"Initial"),"Audit","")
Only for Initial runs</t>
      </text>
    </comment>
    <comment authorId="0" ref="AN1">
      <text>
        <t xml:space="preserve">=IFNA(VLOOKUP($A2,'Tube Result Table Draft'!$I$2:$J,2,FALSE))</t>
      </text>
    </comment>
    <comment authorId="0" ref="AO1">
      <text>
        <t xml:space="preserve">=IF(AND(AN2&gt;0,AN2&lt;&gt;AO2),"NOT EQUAL","")</t>
      </text>
    </comment>
    <comment authorId="0" ref="AP1">
      <text>
        <t xml:space="preserve">Absent
Initials/First Letters
First Names
Full Names
Tube ID's
Results Included
Tube ID's and Results</t>
      </text>
    </comment>
    <comment authorId="0" ref="AR1">
      <text>
        <t xml:space="preserve">=ROW(AR2)-1</t>
      </text>
    </comment>
    <comment authorId="0" ref="AT1">
      <text>
        <t xml:space="preserve">replace PII with initials, names, firstname, lastname</t>
      </text>
    </comment>
    <comment authorId="0" ref="AX1">
      <text>
        <t xml:space="preserve">=IF(OR(AND(AL2=0,AW2),AND(AL2&lt;&gt;0,NOT(AW2))),TRUE,FALSE)</t>
      </text>
    </comment>
    <comment authorId="0" ref="BA1">
      <text>
        <t xml:space="preserve">=IF(AND(U2&lt;&gt;U3,U2&lt;&gt;U1),TRUE,FALSE)
MUST BE SORTED BY Run Date
PASTE AS VALUES after so can sort again</t>
      </text>
    </comment>
    <comment authorId="0" ref="BK1">
      <text>
        <t xml:space="preserve">RFR Run Code	Definition (Auditied unless says otherwise)
ONLY FOR INITIAL RUNS - INCLUDES RERUNS
0	All Neg
1	Initial Inconcl, No rerun
1.1	Initial Inconcl, All rerun rxn are neg
1.2	Initial Inconcl, one or more rerun rxn inconcl but no pos
1.3	Initial Inconcl, one or more rerun rxn pos
1.4	Only initial run in triplicate, 1 I 2N
1.6 Rerun - inconcl rxn but no inconcl run
1.7 Rerun - inconcl run but no inconcl session
2	Inconclusive session call
4	Positive run call (anywhere in session)
5	Invalid - results rejected or repeated (excluding technically invalid runs that are kept)
Highest non 5 (invalid) code is assigned</t>
      </text>
    </comment>
    <comment authorId="0" ref="BP1">
      <text>
        <t xml:space="preserve">=IF(ISBLANK(BN2),IFERROR(0/0),BG2)
final starts as RFR Audit Num Collect Tubes
changes in yellow, usually when 2 initial runs in one day</t>
      </text>
    </comment>
    <comment authorId="0" ref="BR1">
      <text>
        <t xml:space="preserve">0   Same Audit RFR: APS Collect = APS Result = RFR
0.1 same as above except Null &gt; Neg
1 Same Audit RFR: APS Collect = RFR (disregard Result Count)
1.1 same as above except Null &gt; Neg
2 Same Audit RFR - Extra tubes in RFR not in Appivo
2.1 same as above except Null &gt; Neg
3 Same Audit RFR - Delete Null Tube
4 Same Audit RFR - extra tube in Appivo not in LUM marked for delete
BELOW CODES HAVE MANUAL RUN ASSIGNMENT IN PASS2
5 Multiple Initial runs on same day - final count is sum of RFR Audit = APS Collect
5.1 same as above except NULL is deleted
6 Same Audit RFR - nets out with next or prev day
7 Same Audit RFR - all tubes assigned to 2nd initial run of day
7.1 same as above but with Extra tubes in RFR not in Appivo
highlighting shows which rows need entries in delta col
blue gets + num
red gets - num
green gets +/- num depending</t>
      </text>
    </comment>
    <comment authorId="0" ref="BS1">
      <text>
        <t xml:space="preserve">=IF(ISBLANK(BO2),IFERROR(0/0),IF($BN2&lt;=3,TRUE,IFERROR(0/0)))</t>
      </text>
    </comment>
    <comment authorId="0" ref="BL2">
      <text>
        <t xml:space="preserve">1st row is different formula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this is an older formula that works for Next Day but not for 2nd Run of Same Day - Needham has no 2nd Run so don't update to newer version in Bend FLMP and Abrome</t>
      </text>
    </comment>
    <comment authorId="0" ref="V1">
      <text>
        <t xml:space="preserve">=CONCATENATE(P2,Q2)</t>
      </text>
    </comment>
    <comment authorId="0" ref="W1">
      <text>
        <t xml:space="preserve">=IF(P2,$A2,IFERROR(0/0))
</t>
      </text>
    </comment>
    <comment authorId="0" ref="X1">
      <text>
        <t xml:space="preserve">=IF(Q2,$A2,IFERROR(0/0))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The difference of 770 APS COLLECT - 766 APS RESULT tubes is 4 that are Null called Neg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Manually paste TRUE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3">
      <text>
        <t xml:space="preserve">Only apply to initial run and classifies the whole sequence (session for tube)</t>
      </text>
    </comment>
  </commentList>
</comments>
</file>

<file path=xl/sharedStrings.xml><?xml version="1.0" encoding="utf-8"?>
<sst xmlns="http://schemas.openxmlformats.org/spreadsheetml/2006/main" count="769" uniqueCount="485">
  <si>
    <t>Week Start Date</t>
  </si>
  <si>
    <t>Week End Date</t>
  </si>
  <si>
    <t>% Positive</t>
  </si>
  <si>
    <t>ALL Tube RESULTS by Run ID</t>
  </si>
  <si>
    <t>Run Reconciled RESULTS</t>
  </si>
  <si>
    <t>RFR Data - PreExcl RESULTS</t>
  </si>
  <si>
    <t>APS Final RESULTS by Reconciled Run ID</t>
  </si>
  <si>
    <t>APS Final RESULTS by Collect Date</t>
  </si>
  <si>
    <t>Run ID</t>
  </si>
  <si>
    <t>Run Date</t>
  </si>
  <si>
    <t>Number of Tubes</t>
  </si>
  <si>
    <t>Negative</t>
  </si>
  <si>
    <t>Positive</t>
  </si>
  <si>
    <t>Inconclusive</t>
  </si>
  <si>
    <t>Delta to Run Reconciled Results</t>
  </si>
  <si>
    <t>T</t>
  </si>
  <si>
    <t>P</t>
  </si>
  <si>
    <t>I</t>
  </si>
  <si>
    <t>Delta to RFR preExcl Audit Num Run Tubes</t>
  </si>
  <si>
    <t>Delta to RFR preExcl Audit Num Positives</t>
  </si>
  <si>
    <t>Delta to RFR preExcl Audit Num Inconclusives</t>
  </si>
  <si>
    <t>Delta to APS</t>
  </si>
  <si>
    <t>Reconciled Tube Run Count</t>
  </si>
  <si>
    <t>Run ID - RFR Initial Only</t>
  </si>
  <si>
    <t>Calculated Negs</t>
  </si>
  <si>
    <t>preExcl Match Row</t>
  </si>
  <si>
    <t>Final Assigned Run ID</t>
  </si>
  <si>
    <t>Null</t>
  </si>
  <si>
    <t>RUN-NDHM_2022-05-09_RFR-009</t>
  </si>
  <si>
    <t>RUN-NDHM_2022-05-16_RFR-010</t>
  </si>
  <si>
    <t>RUN-NDHM_2022-05-23_RFR-011</t>
  </si>
  <si>
    <t>RUN-NDHM_2022-06-01_RFR-012</t>
  </si>
  <si>
    <t>RUN-NDHM_2022-06-06_RFR-013</t>
  </si>
  <si>
    <t>RUN-NDHM_2022-06-13_RFR-014</t>
  </si>
  <si>
    <t>RUN-NDHM_2022-06-21_RFR-016</t>
  </si>
  <si>
    <t>RUN-NDHM_2022-06-27_RFR-017</t>
  </si>
  <si>
    <t>RUN-NDHM_2022-07-11_RFR-018</t>
  </si>
  <si>
    <t>RUN-NDHM_2022-07-18_RFR-019</t>
  </si>
  <si>
    <t>RUN-NDHM_2022-07-25_RFR-020</t>
  </si>
  <si>
    <t>RUN-NDHM_2022-08-01_APS-001</t>
  </si>
  <si>
    <t>RUN-NDHM_2022-09-12_APS-002</t>
  </si>
  <si>
    <t>RUN-NDHM_2022-10-03_RFR-021</t>
  </si>
  <si>
    <t>RUN ID</t>
  </si>
  <si>
    <t>RUN DATE</t>
  </si>
  <si>
    <t>Run with No RFR?</t>
  </si>
  <si>
    <t>PHOTO RESULTS Num rxn  
(excl ctrls)</t>
  </si>
  <si>
    <t>Run Code</t>
  </si>
  <si>
    <t>APS
NUM COLLECT
TUBES</t>
  </si>
  <si>
    <t>Final Num - APS Num Tubes</t>
  </si>
  <si>
    <t>Tube Run Count Reconcile Code</t>
  </si>
  <si>
    <t>Assign Run ID by Collect Date</t>
  </si>
  <si>
    <t>RUN COUNT RECONCILE CODE REASON - Process Ref tab</t>
  </si>
  <si>
    <t>Count Reconcile Notes</t>
  </si>
  <si>
    <t>Stacked Run ID Internal</t>
  </si>
  <si>
    <t xml:space="preserve">Stacked Date: 
RFR (Top)
APS Tubes Collection (Bottom) </t>
  </si>
  <si>
    <t>APS Tubes Collection Date</t>
  </si>
  <si>
    <t>APS Run Number</t>
  </si>
  <si>
    <t>Run ID - Reruns</t>
  </si>
  <si>
    <t>Num rxn  
(excl ctrls)</t>
  </si>
  <si>
    <t>RFR Audit
Num
Run Tubes</t>
  </si>
  <si>
    <t>APS Only Runs</t>
  </si>
  <si>
    <t>AJ9614 resulted on 7-11, conclude never run, delete with code 9.4 in APS preDel</t>
  </si>
  <si>
    <t>AH8283 resulted on 7-11, conclude never run, delete with code 9.4 in APS preDel - but for single tube collected on 7-11 everything is same for code 0</t>
  </si>
  <si>
    <t>Manually copy blank white cells over numbers to remove APS run</t>
  </si>
  <si>
    <t>Timestamp</t>
  </si>
  <si>
    <t>Email Address</t>
  </si>
  <si>
    <t>Location</t>
  </si>
  <si>
    <t>RAW Num of Samples (Gform)</t>
  </si>
  <si>
    <t>Sample Batch ID (from App)</t>
  </si>
  <si>
    <t>Photo of Run Sheet Printout</t>
  </si>
  <si>
    <t>Photo of Run Look Up</t>
  </si>
  <si>
    <t>Photo of Results</t>
  </si>
  <si>
    <t>RAW Number of Initial Inconclusives (if any)</t>
  </si>
  <si>
    <t>Response Notes</t>
  </si>
  <si>
    <t>OVERALL SECTION
Exclude Code</t>
  </si>
  <si>
    <t>RFR Misc Audit Code</t>
  </si>
  <si>
    <t>RFR Results Audit Code</t>
  </si>
  <si>
    <t>RFR Audit Code Notes</t>
  </si>
  <si>
    <t>Audit Corrected Call?</t>
  </si>
  <si>
    <t>Control Fail Invalid Run?</t>
  </si>
  <si>
    <t>Invalid Notes</t>
  </si>
  <si>
    <t>Daughter Row?</t>
  </si>
  <si>
    <t>Is/Has Re Run?</t>
  </si>
  <si>
    <t>RUN FORM SECTION
Audit
Run Date</t>
  </si>
  <si>
    <t>Audit
Run Time</t>
  </si>
  <si>
    <t>Run Type</t>
  </si>
  <si>
    <t>Run Form Photo Note</t>
  </si>
  <si>
    <t>Inc/Pos in Note?</t>
  </si>
  <si>
    <t>Num Rxn Including Controls (from paper form)</t>
  </si>
  <si>
    <t>Audit Num Rxns - Run Form Num Samples</t>
  </si>
  <si>
    <t>Discrepant Num Rxns or Samples?</t>
  </si>
  <si>
    <t>RESULTS PHOTO SECTION
Num rxn  
(excl ctrls)</t>
  </si>
  <si>
    <t>Audit
Inc Rxns
(excl ctrls)</t>
  </si>
  <si>
    <t>Audit
Inc Run Calls</t>
  </si>
  <si>
    <t>Audit
Inc Session Calls</t>
  </si>
  <si>
    <t>Audit
Pos Rxns
(excl ctrls)</t>
  </si>
  <si>
    <t xml:space="preserve">Audit
Pos Run
Calls </t>
  </si>
  <si>
    <t>Audit
Pos Session
Calls</t>
  </si>
  <si>
    <t>Non Triplicate Re-Run Flag</t>
  </si>
  <si>
    <t>RUN CODE SECTION
Run Code</t>
  </si>
  <si>
    <t># of Tube Result Table Rows created</t>
  </si>
  <si>
    <t>TRT # Tubes</t>
  </si>
  <si>
    <t>Lookup Map Status</t>
  </si>
  <si>
    <t>Enter Tube ID from LUM?</t>
  </si>
  <si>
    <t>Index (For Run ID Creation)</t>
  </si>
  <si>
    <t>NOTES</t>
  </si>
  <si>
    <t>NOTES w PHI</t>
  </si>
  <si>
    <t>Initials &amp; Date</t>
  </si>
  <si>
    <t>Num PCR Tubes in Results Photo</t>
  </si>
  <si>
    <t>Only Upper Left Yellow?</t>
  </si>
  <si>
    <t>Run Code=0 Check</t>
  </si>
  <si>
    <t>Diff PCR Tube Check</t>
  </si>
  <si>
    <t>Diff Check Notes</t>
  </si>
  <si>
    <t>Unique Run Date?</t>
  </si>
  <si>
    <t>Unique Run Date is Initial?</t>
  </si>
  <si>
    <t>Run Code 0?</t>
  </si>
  <si>
    <t xml:space="preserve">RECONCILE
&gt;&gt;
</t>
  </si>
  <si>
    <t>INITIAL ONLY 
&gt;&gt;&gt;&gt;&gt;&gt;
AUDIT
RUN DATE</t>
  </si>
  <si>
    <t>APS
COLLECT DATE</t>
  </si>
  <si>
    <t>APS Collect Num = Result Num?</t>
  </si>
  <si>
    <t>Final Tube Run Count</t>
  </si>
  <si>
    <t>Final Num - APS Collect Num Tubes</t>
  </si>
  <si>
    <t>Assign Run ID by Collection Date</t>
  </si>
  <si>
    <t>Needham</t>
  </si>
  <si>
    <t>test</t>
  </si>
  <si>
    <t>Exclude</t>
  </si>
  <si>
    <t>BS 1/6</t>
  </si>
  <si>
    <t>NeedhamTBS</t>
  </si>
  <si>
    <t>https://drive.google.com/open?id=1BjTJybZNFQxq3S8K_z8CmOmjx3_Imnli</t>
  </si>
  <si>
    <t>https://drive.google.com/open?id=1dsw2JFpNalKr_F8TqaZIgFnlGBBnF9V4</t>
  </si>
  <si>
    <t>validation run w GD50 contriv pos</t>
  </si>
  <si>
    <t>N/A</t>
  </si>
  <si>
    <t>https://drive.google.com/open?id=1HPnnB5N68TryT-yW_DGyIrOHZ4_0eZpD</t>
  </si>
  <si>
    <t>https://drive.google.com/open?id=18aV2koMDFv1aMOVs8irkewBcHlprYvjT</t>
  </si>
  <si>
    <t>https://drive.google.com/open?id=1d9idm20ZO1CWGf6E4PcokCdfb0l3_Spz</t>
  </si>
  <si>
    <t>in the future will use run lookup sheet instead of writing it on the notes sections of long run</t>
  </si>
  <si>
    <t>220425_1</t>
  </si>
  <si>
    <t>https://drive.google.com/open?id=1x7VS-okFDPAY4f0YnUZX9J6MpusehsgI</t>
  </si>
  <si>
    <t>https://drive.google.com/open?id=1clEBCL01EdXUgpEF6gF3BTidYf7Xmw4w</t>
  </si>
  <si>
    <t>test run- mock!</t>
  </si>
  <si>
    <t>220427_1</t>
  </si>
  <si>
    <t>https://drive.google.com/open?id=1PwZjYRGQLRp5n2h2w39Ph4ByLWP1CBAg</t>
  </si>
  <si>
    <t>https://drive.google.com/open?id=1m14RJZnnOm8bpj1CAZKo88NMh4WLhz2P</t>
  </si>
  <si>
    <t>trial run 2</t>
  </si>
  <si>
    <t>needham tbs</t>
  </si>
  <si>
    <t>220522_1</t>
  </si>
  <si>
    <t>https://drive.google.com/open?id=11vtZDrH95aCCUX7PoAorOMhg71MvMwhM</t>
  </si>
  <si>
    <t>https://drive.google.com/open?id=18tMUR5VgF0QC4z-xYlDyQiXtzWvxSnTb</t>
  </si>
  <si>
    <t>Appivo has 17 Collection tubes on this day, there is one extra tube.</t>
  </si>
  <si>
    <t>Initial</t>
  </si>
  <si>
    <t>Not imaged</t>
  </si>
  <si>
    <t>220502_2</t>
  </si>
  <si>
    <t>https://drive.google.com/open?id=1YmL6eCcjTb_KuX7mAyiUfcDPaOJgC2f9</t>
  </si>
  <si>
    <t>https://drive.google.com/open?id=1Z5q1HablHFIpe85kuWyY7axI4OFck-Aw</t>
  </si>
  <si>
    <t>initially 3- after rerun 1 sample remained inconclusive</t>
  </si>
  <si>
    <t>rerun</t>
  </si>
  <si>
    <t>Re-run</t>
  </si>
  <si>
    <t>Inconclusive re-run</t>
  </si>
  <si>
    <t>Rerun</t>
  </si>
  <si>
    <t>220502_3</t>
  </si>
  <si>
    <t>https://drive.google.com/open?id=1m_E-KsOJUSGONV2-axYC47hKgvEFXtkz</t>
  </si>
  <si>
    <t>https://drive.google.com/open?id=1F0q8JrNLmuJJI4T82_WSMjdNAPXDcUX8</t>
  </si>
  <si>
    <t>Guessing there are 3 blanks in middle of strip because of levels.</t>
  </si>
  <si>
    <t>3 of the reactions are blank. Assuming a triplicate run.</t>
  </si>
  <si>
    <t>220509_1</t>
  </si>
  <si>
    <t>https://drive.google.com/open?id=1y5W9Lifemc6D1X6tn3i5R5PpDhj5DmZz</t>
  </si>
  <si>
    <t>https://drive.google.com/open?id=1zCrW_XCa-A4RsqFL_NyaM9r9ZLx-Hs3r</t>
  </si>
  <si>
    <t>https://drive.google.com/open?id=13TrLRYIy-piUvbQWrJSfdLQACN3tsluW</t>
  </si>
  <si>
    <t>all seem to be negative !</t>
  </si>
  <si>
    <t>9 Samples ... 11 Reactions</t>
  </si>
  <si>
    <t>https://drive.google.com/open?id=1RM8Nu3_LxhpV9mQ6U5K5o6srXhvLSkLa</t>
  </si>
  <si>
    <t>https://drive.google.com/open?id=1liIgEqVcL9cV4INLhU97gTIMjlcW76JO</t>
  </si>
  <si>
    <t>https://drive.google.com/open?id=1BpSBcQfCj3azvqUeXD7jmiMEilTwskYz</t>
  </si>
  <si>
    <t>emily perlman is run as a sponsor under my profile</t>
  </si>
  <si>
    <t>10 Samples -&gt; 12 Reactions, NDHM273699 - AH63</t>
  </si>
  <si>
    <t>realized photo was from prev day so deleted</t>
  </si>
  <si>
    <t>220523_1</t>
  </si>
  <si>
    <t>https://drive.google.com/open?id=1n33Lyu3PaM6_CdNpWiQJoWvBasQfoqOQ</t>
  </si>
  <si>
    <t>https://drive.google.com/open?id=1HUWY2NVlmFJv6NvgIkNSw4yCUN5pLoCo</t>
  </si>
  <si>
    <t>https://drive.google.com/open?id=1RGL3H8AGtP8YWShC2rKG98i1eT9g0qBm</t>
  </si>
  <si>
    <t>manually entered for geshem teperow with myself as the sponsor as it was not inputted by the participant in advance</t>
  </si>
  <si>
    <t>8 Samples, Manual Entrry for NDHM251519</t>
  </si>
  <si>
    <t>220601-1</t>
  </si>
  <si>
    <t>https://drive.google.com/open?id=1JS0geHIGgPv8jwDbX30lFx8behvVLyRd</t>
  </si>
  <si>
    <t>https://drive.google.com/open?id=1CRKGq_-5qBcYv1N2ufZOtUVnLhCLBe8v</t>
  </si>
  <si>
    <t>https://drive.google.com/open?id=1Nr3DTV2AM-EdEk7HHI9k0YkSbeAUeBfH</t>
  </si>
  <si>
    <t>A7 and B2 were more red than pink, but not orange.</t>
  </si>
  <si>
    <t xml:space="preserve">Extra blank assumed at end, 1.5 and 1.1 and 1.2 </t>
  </si>
  <si>
    <t>Image is horribly compressed by a saturation boost. Tubes are noted as being more red than normal. Could this be improper reaction mix?</t>
  </si>
  <si>
    <t>220606-1</t>
  </si>
  <si>
    <t>https://drive.google.com/open?id=1VrUIpv6xD2SVmvFRDsB8ihDgeFejzXAh</t>
  </si>
  <si>
    <t>https://drive.google.com/open?id=1unASn4Gtj2wECmCWAt8laI3cLMd2m5Aw</t>
  </si>
  <si>
    <t>https://drive.google.com/open?id=1L0uCP5HxTnplJgQytbVm3K-xk_SGGqjW</t>
  </si>
  <si>
    <t>A 3&amp;4 are slightly lighter. in past runs this color has been fine to call negative.</t>
  </si>
  <si>
    <t>6 blanks in last strip</t>
  </si>
  <si>
    <t>AG417 not in appivo</t>
  </si>
  <si>
    <t>220613-1</t>
  </si>
  <si>
    <t>https://drive.google.com/open?id=1wtZppJTrRINj8aoKEYBDPrCxw_iCn09v</t>
  </si>
  <si>
    <t>https://drive.google.com/open?id=1IsSNG79No27AK9Kw2OyucssGDirtFp_V</t>
  </si>
  <si>
    <t>https://drive.google.com/open?id=1EIRH_GizuMdHmoysBVxndXWUgGTJI8Lo</t>
  </si>
  <si>
    <t>1 inconclusive, will re run sample AH9644</t>
  </si>
  <si>
    <t>sample in spot A3 is inconclusive and will be rerun</t>
  </si>
  <si>
    <t>2 blanks</t>
  </si>
  <si>
    <t>Run form list 4 tube IDs run</t>
  </si>
  <si>
    <t>needham tbh</t>
  </si>
  <si>
    <t>https://drive.google.com/open?id=1rOtIhx03aNQ3ZZiJQOvW1URI1TZor3LS</t>
  </si>
  <si>
    <t>https://drive.google.com/open?id=1PLawb2eN8Upohy96ZMdXH7VY4SjuyJXI</t>
  </si>
  <si>
    <t>https://drive.google.com/open?id=1iGdm0ek_bP8BnNWCXENjjADsoBsnZnxg</t>
  </si>
  <si>
    <t>originally inconclusive, rerun is done to address that</t>
  </si>
  <si>
    <t>sample is negative</t>
  </si>
  <si>
    <t>Reuploded initial run form</t>
  </si>
  <si>
    <t>https://drive.google.com/open?id=1oKnVyN0ZPD7-WrHPBnBafNRnx5PY6dO2</t>
  </si>
  <si>
    <t>https://drive.google.com/open?id=1ERWpQnqcUDXg9nt1ed43YPE3bGssqNMK</t>
  </si>
  <si>
    <t>https://drive.google.com/open?id=18-PCz5uo9JV_C7VWlqhXUKknKj0-eTaF</t>
  </si>
  <si>
    <t>sample in spot A3 was darker red instead of pink but should be fine since it wasn’t orange.</t>
  </si>
  <si>
    <t>layla taylor did not input her collection tube so I had to collect and sponsor for her.</t>
  </si>
  <si>
    <t>Self Input tube AG4603 for NDHM689009</t>
  </si>
  <si>
    <t>220627-1</t>
  </si>
  <si>
    <t>https://drive.google.com/open?id=1YtyAEu96dMsYgvRuXGZOuWFXIthAG-FF</t>
  </si>
  <si>
    <t>https://drive.google.com/open?id=1Ot1xHRqelI_jVpMw-0S_8fFz1YR9sfJ_</t>
  </si>
  <si>
    <t>1 Test -&gt; Negative Result</t>
  </si>
  <si>
    <t>220711-1</t>
  </si>
  <si>
    <t>https://drive.google.com/open?id=1bkP-Yg71e_UOLKRLaGte6e9MPrti92r1</t>
  </si>
  <si>
    <t>https://drive.google.com/open?id=1LPYeW83Y8NsWLvnBMU6jQvey_9vVdIP1</t>
  </si>
  <si>
    <t>all negative!</t>
  </si>
  <si>
    <t>https://drive.google.com/open?id=1Ka3ZjbaCoPNnFfx3y6_1pE2JWE1F6oYj</t>
  </si>
  <si>
    <t>https://drive.google.com/open?id=1mIuDA95xNz1JHMmrj7bgGAisSRzQUEH2</t>
  </si>
  <si>
    <t>only one test and it came back negative</t>
  </si>
  <si>
    <t>220725-1</t>
  </si>
  <si>
    <t>https://drive.google.com/open?id=1YEbG5fMwAkOVA8NmhHedanumSrjUoKej</t>
  </si>
  <si>
    <t>https://drive.google.com/open?id=120LJ4LuTcvI1a6Fe3KieZ1mpmTzM2VxI</t>
  </si>
  <si>
    <t>https://drive.google.com/open?id=19hBDAiTTDTL1OABR29vUQi5zjf3M5k4G</t>
  </si>
  <si>
    <t>only 3 tests today</t>
  </si>
  <si>
    <t>3 Samples, New 1X ISS</t>
  </si>
  <si>
    <t>https://drive.google.com/open?id=1ctsNeqo0z6vLIzBXF8KrpNZ29gGZg8Kj</t>
  </si>
  <si>
    <t>https://drive.google.com/open?id=1QENx0Hj5GX2F6WcJHO7HyPZraREyMKB6</t>
  </si>
  <si>
    <t>none</t>
  </si>
  <si>
    <t>only one sample. next 2 weeks are jewish holidays and the temple will be closed.</t>
  </si>
  <si>
    <t>note explicitly says only one sample was run</t>
  </si>
  <si>
    <t>First Row of Collection Date</t>
  </si>
  <si>
    <t>AUTO ASSIGN RUN ID?</t>
  </si>
  <si>
    <t>PASS1 ASSIGNED
RUN ID</t>
  </si>
  <si>
    <t>TUBE RUN DAY AFTER COLLECT?</t>
  </si>
  <si>
    <t>TUBE RUN IN 2ND RUN OF SAME DAY?</t>
  </si>
  <si>
    <t>PASS2 ASSIGNED
RUN ID</t>
  </si>
  <si>
    <t>FINAL
ASSIGNED RUN ID</t>
  </si>
  <si>
    <t>TUBE ID RUN DAY AFTER COLLECT</t>
  </si>
  <si>
    <t>TUBE ID RUN IN 2ND RUN OF SAME DAY</t>
  </si>
  <si>
    <t>AK5211</t>
  </si>
  <si>
    <t>AJ8574</t>
  </si>
  <si>
    <t>AG663</t>
  </si>
  <si>
    <t>AH9070</t>
  </si>
  <si>
    <t>AH258</t>
  </si>
  <si>
    <t>IMPORTS &gt;&gt;
URL link below</t>
  </si>
  <si>
    <t>Manually Reassign Result Date</t>
  </si>
  <si>
    <t>NDHM_APS_deID_PUB</t>
  </si>
  <si>
    <t>RUN ID INTERNAL</t>
  </si>
  <si>
    <t>Run not in Appivo at All?</t>
  </si>
  <si>
    <t>RFR Audit
Pos Session
Calls</t>
  </si>
  <si>
    <t>RFR Audit
Inc Session
Calls</t>
  </si>
  <si>
    <t>APS Final Results Positives</t>
  </si>
  <si>
    <t>APS Final Results Inconclusives</t>
  </si>
  <si>
    <t>Delta Positives</t>
  </si>
  <si>
    <t>Delta Inconclusives</t>
  </si>
  <si>
    <t>Both Deltas Zero</t>
  </si>
  <si>
    <t>ARF Suffix</t>
  </si>
  <si>
    <t>ARF Tube ID</t>
  </si>
  <si>
    <t>APS Run ID</t>
  </si>
  <si>
    <t>Determined from RFR Audit RESULT</t>
  </si>
  <si>
    <t>ARF Result Call Comment</t>
  </si>
  <si>
    <t>ARFNDHM002</t>
  </si>
  <si>
    <t>Run form said Tube ID is AG417</t>
  </si>
  <si>
    <t>NDHM</t>
  </si>
  <si>
    <t>v2.2 RT 1-4 11am</t>
  </si>
  <si>
    <t>Run Index Paste as Values - Keep Run IDs as formulas - Now can SORT</t>
  </si>
  <si>
    <t>CHECKS AND REVIEWS</t>
  </si>
  <si>
    <t>v2.1 12-24 RT</t>
  </si>
  <si>
    <t>Check sum of rows in Tube Result Table (select and look at SUM in lower right corner)</t>
  </si>
  <si>
    <t>Check TRT Num Tubes Match - in TRT Check col fix any NOT EQUAL entries</t>
  </si>
  <si>
    <t>Data tab - Diff PCR Tube Check</t>
  </si>
  <si>
    <t>Data tab - Run Code=0 Check</t>
  </si>
  <si>
    <t>V2.2 1-4 BS</t>
  </si>
  <si>
    <t>TRT Result code check</t>
  </si>
  <si>
    <t>TRT Reaction Count Check</t>
  </si>
  <si>
    <t xml:space="preserve">TRT ID Source Code Check </t>
  </si>
  <si>
    <t>Data tab - Check run code not = 0 and UL Yellow checked</t>
  </si>
  <si>
    <t>Sort Data preDel tab by Run ID</t>
  </si>
  <si>
    <t>Sort Tube Result Table by Run ID then Tube ID</t>
  </si>
  <si>
    <t>WRAPUP AND DEID - DO AFTER RUN RECONCILIATION</t>
  </si>
  <si>
    <t>Name Version "Pre Wrapup and DeID"</t>
  </si>
  <si>
    <t>Delete email, Run Form and LUM Photos</t>
  </si>
  <si>
    <t>Sort by Exclude Code - delete all grayed (any nonzero/blank)</t>
  </si>
  <si>
    <t>Review all Response Notes and Run Form Notes cols for names/PII (use XXX/[DeID] + Person ID)</t>
  </si>
  <si>
    <t>Review Notes col for PHI - do highlighted cells per cell note</t>
  </si>
  <si>
    <t>Delete all cols to right of Notes, TRT # Tubes, TRT Check</t>
  </si>
  <si>
    <t>Double check that Tube Results Table has no names/PII</t>
  </si>
  <si>
    <t>In MAIN drive Program subfolder - create new gsheet, name same except replace PHI with CD</t>
  </si>
  <si>
    <t>Copy 2 tabs (CD RFR and Tube Results Tabel Draft) and rename, delete Sheet 1</t>
  </si>
  <si>
    <t>LOG CHANGES</t>
  </si>
  <si>
    <t>Needs Work</t>
  </si>
  <si>
    <t>Fix Run ID Formula to have leading zeros</t>
  </si>
  <si>
    <t>RT 1-4 4:30pm</t>
  </si>
  <si>
    <t>ABCF</t>
  </si>
  <si>
    <t>Change TUNK format to TUNKXXXX001 and use formula to get from index col - see note</t>
  </si>
  <si>
    <t>SETUP</t>
  </si>
  <si>
    <t>Loom Video Link</t>
  </si>
  <si>
    <t>Make a copy of the RFR audit Template and name it the appropriate file name in the deployment folder: &lt;PRGMCODE&gt;_RFR_&lt;YYYY_MM_DD&gt;_CDwPHI_WIP</t>
  </si>
  <si>
    <t xml:space="preserve">Copy and paste the raw data into the template. </t>
  </si>
  <si>
    <t>Only paste the from the first entry down, preserving the headers in the template</t>
  </si>
  <si>
    <t>Update below with the 4 character program label (for run ID generation)</t>
  </si>
  <si>
    <t>Program Code:</t>
  </si>
  <si>
    <t>vX.X Initials</t>
  </si>
  <si>
    <t>FOR EACH ROW</t>
  </si>
  <si>
    <t>Open the Run Form Image and eval for combined entries needing splitting</t>
  </si>
  <si>
    <t>If rerun is mentioned in notes but subsequent runs are not logged, split the run</t>
  </si>
  <si>
    <t>Eval for any apparent required flags (Invalid Run, Split Run, Is/Has Rerun)</t>
  </si>
  <si>
    <t>Complete Run Form section with information from the image</t>
  </si>
  <si>
    <t>If Tube IDs written in RForm Notes, then check to see if it exists in APS and matches date</t>
  </si>
  <si>
    <t>If it's not then enter it in Tube Result Table Draft and assign Tube ID Source Code 2.2</t>
  </si>
  <si>
    <t xml:space="preserve">Open the Results Image and fill in the Results section </t>
  </si>
  <si>
    <t>If the calculated results from the inc run calls is a non integer, or is marked as needing correction, rectify using results image</t>
  </si>
  <si>
    <t>Eval for any apparent required flags (RFR Misc Correct Code, RFR Results Correct Code, RFR Correct Notes)</t>
  </si>
  <si>
    <t>Eval for needed splits</t>
  </si>
  <si>
    <t>Extra reactions off to side are a red flag for a combined entry</t>
  </si>
  <si>
    <t>Situations with improper reruns are common, use best judgement to asess what took place</t>
  </si>
  <si>
    <t>Assign Run Code based on info from Run Form Image and Results Image (and accompanying initial/rerun, if applicable)</t>
  </si>
  <si>
    <t>Open the Lookup map if not absent, mark as "Complete" if completely filled in with tube ID's, otherwise mark as "Incomplete"</t>
  </si>
  <si>
    <t>Refer below for Data Table creation instructions</t>
  </si>
  <si>
    <t>SPLITTING A RUN</t>
  </si>
  <si>
    <t>Insert a row below and copy/paste its parent row</t>
  </si>
  <si>
    <t>Inconclusive run call</t>
  </si>
  <si>
    <t>has corrected call - have corrected code</t>
  </si>
  <si>
    <t xml:space="preserve">Fix Images, Note, Initial inconclusives, and Number of Samples </t>
  </si>
  <si>
    <r>
      <rPr>
        <rFont val="Arial"/>
        <color theme="1"/>
        <sz val="11.0"/>
      </rPr>
      <t xml:space="preserve">Positive call in any individual reaction </t>
    </r>
    <r>
      <rPr>
        <rFont val="Arial"/>
        <color rgb="FF980000"/>
        <sz val="11.0"/>
      </rPr>
      <t>but no positive run call</t>
    </r>
  </si>
  <si>
    <t>Mark as a split run, select Run Type = Re-run (if case)</t>
  </si>
  <si>
    <t>Positive run call, audited</t>
  </si>
  <si>
    <t>Audit each row as a separate run, splitting according to the available information and your best judgement
(Increment rerun time by 1 hour)</t>
  </si>
  <si>
    <t xml:space="preserve">Invalid </t>
  </si>
  <si>
    <t>OLD VERSION _ KEEP FOR BIT FOR REF</t>
  </si>
  <si>
    <t>Verify that parent and child rows have independent, correct data</t>
  </si>
  <si>
    <t>TUBE RESULT TABLE DRAFT CREATION (add to table with each row in RFR audit)</t>
  </si>
  <si>
    <t>Add one entry for each tube that matches the criteria for inclusion in the Reaction Table Draft (for more detailed criteria see Data Notes)</t>
  </si>
  <si>
    <r>
      <rPr>
        <rFont val="Arial"/>
        <color theme="1"/>
      </rPr>
      <t xml:space="preserve">Enter </t>
    </r>
    <r>
      <rPr>
        <rFont val="Arial"/>
        <b/>
        <color theme="1"/>
      </rPr>
      <t>Tube ID, Initial Run ID, Tube ID Source Code, Tube Result Code, Num Rxns (for that tube in that session), Tube Result Notes</t>
    </r>
  </si>
  <si>
    <t>REACTION TABLE DRAFT CREATION (either with each row or after RFR audit is complete)</t>
  </si>
  <si>
    <t>Add one entry for each reaction for which anywhere in the re-run chain exists a valid positive or inconclusive result by the original call or audit call (for more detailed criteria see Data Notes)</t>
  </si>
  <si>
    <r>
      <rPr>
        <rFont val="Arial"/>
        <color theme="1"/>
        <sz val="11.0"/>
      </rPr>
      <t xml:space="preserve">Copy and paste the </t>
    </r>
    <r>
      <rPr>
        <rFont val="Arial"/>
        <b/>
        <color theme="1"/>
        <sz val="11.0"/>
      </rPr>
      <t>Run ID</t>
    </r>
  </si>
  <si>
    <r>
      <rPr>
        <rFont val="Arial"/>
        <b/>
        <color theme="1"/>
        <sz val="11.0"/>
      </rPr>
      <t>Reaction ID</t>
    </r>
    <r>
      <rPr>
        <rFont val="Arial"/>
        <b/>
        <color theme="1"/>
        <sz val="11.0"/>
      </rPr>
      <t xml:space="preserve"> is generated automatically, </t>
    </r>
    <r>
      <rPr>
        <rFont val="Arial"/>
        <b/>
        <color theme="1"/>
        <sz val="11.0"/>
      </rPr>
      <t>Run Type</t>
    </r>
    <r>
      <rPr>
        <rFont val="Arial"/>
        <b/>
        <color theme="1"/>
        <sz val="11.0"/>
      </rPr>
      <t xml:space="preserve"> is matched from RFR</t>
    </r>
  </si>
  <si>
    <r>
      <rPr>
        <rFont val="Arial"/>
        <color theme="1"/>
        <sz val="11.0"/>
      </rPr>
      <t>Enter or verify the</t>
    </r>
    <r>
      <rPr>
        <rFont val="Arial"/>
        <b/>
        <color theme="1"/>
        <sz val="11.0"/>
      </rPr>
      <t xml:space="preserve"> Audit Reaction Result</t>
    </r>
    <r>
      <rPr>
        <rFont val="Arial"/>
        <color theme="1"/>
        <sz val="11.0"/>
      </rPr>
      <t xml:space="preserve">, </t>
    </r>
    <r>
      <rPr>
        <rFont val="Arial"/>
        <b/>
        <color theme="1"/>
        <sz val="11.0"/>
      </rPr>
      <t>Audit Run Call Result</t>
    </r>
    <r>
      <rPr>
        <rFont val="Arial"/>
        <color theme="1"/>
        <sz val="11.0"/>
      </rPr>
      <t xml:space="preserve">, and </t>
    </r>
    <r>
      <rPr>
        <rFont val="Arial"/>
        <b/>
        <color theme="1"/>
        <sz val="11.0"/>
      </rPr>
      <t>Audit Session Call Result</t>
    </r>
    <r>
      <rPr>
        <rFont val="Arial"/>
        <color theme="1"/>
        <sz val="11.0"/>
      </rPr>
      <t xml:space="preserve"> as follows: </t>
    </r>
  </si>
  <si>
    <t>Reaction Result is made on the individual-tube basis and is judged from the final color of the reaction in that tube</t>
  </si>
  <si>
    <r>
      <rPr>
        <rFont val="Arial"/>
        <b/>
        <color theme="1"/>
        <sz val="11.0"/>
      </rPr>
      <t>Run Call Result</t>
    </r>
    <r>
      <rPr>
        <rFont val="Arial"/>
        <b/>
        <color theme="1"/>
        <sz val="11.0"/>
      </rPr>
      <t xml:space="preserve"> for a reaction = </t>
    </r>
    <r>
      <rPr>
        <rFont val="Arial"/>
        <b/>
        <color theme="1"/>
        <sz val="11.0"/>
      </rPr>
      <t xml:space="preserve">Run Call Result </t>
    </r>
    <r>
      <rPr>
        <rFont val="Arial"/>
        <b/>
        <color theme="1"/>
        <sz val="11.0"/>
      </rPr>
      <t>for its respective tube in that run - This value is auto-generated and should be verified</t>
    </r>
  </si>
  <si>
    <r>
      <rPr>
        <rFont val="Arial"/>
        <b/>
        <color theme="1"/>
        <sz val="11.0"/>
      </rPr>
      <t>Session Call Result</t>
    </r>
    <r>
      <rPr>
        <rFont val="Arial"/>
        <b/>
        <color theme="1"/>
        <sz val="11.0"/>
      </rPr>
      <t xml:space="preserve"> for a reaction  = </t>
    </r>
    <r>
      <rPr>
        <rFont val="Arial"/>
        <b/>
        <color theme="1"/>
        <sz val="11.0"/>
      </rPr>
      <t>Session Call Result</t>
    </r>
    <r>
      <rPr>
        <rFont val="Arial"/>
        <b/>
        <color theme="1"/>
        <sz val="11.0"/>
      </rPr>
      <t xml:space="preserve"> for its respective tube in that session</t>
    </r>
  </si>
  <si>
    <r>
      <rPr>
        <rFont val="Arial"/>
        <color theme="1"/>
        <sz val="11.0"/>
      </rPr>
      <t xml:space="preserve">For any runs with </t>
    </r>
    <r>
      <rPr>
        <rFont val="Arial"/>
        <b/>
        <color theme="1"/>
        <sz val="11.0"/>
      </rPr>
      <t>Enter Tube ID from LUM?</t>
    </r>
    <r>
      <rPr>
        <rFont val="Arial"/>
        <color theme="1"/>
        <sz val="11.0"/>
      </rPr>
      <t xml:space="preserve"> = TRUE, read the file and add the </t>
    </r>
    <r>
      <rPr>
        <rFont val="Arial"/>
        <b/>
        <color theme="1"/>
        <sz val="11.0"/>
      </rPr>
      <t>Tube IDs</t>
    </r>
    <r>
      <rPr>
        <rFont val="Arial"/>
        <color theme="1"/>
        <sz val="11.0"/>
      </rPr>
      <t xml:space="preserve"> to their respective reactions</t>
    </r>
  </si>
  <si>
    <r>
      <rPr>
        <rFont val="Arial"/>
        <color theme="1"/>
        <sz val="11.0"/>
      </rPr>
      <t xml:space="preserve">If LUM is incomplete, use </t>
    </r>
    <r>
      <rPr>
        <rFont val="Arial"/>
        <b/>
        <color theme="1"/>
        <sz val="11.0"/>
      </rPr>
      <t>Note</t>
    </r>
    <r>
      <rPr>
        <rFont val="Arial"/>
        <color theme="1"/>
        <sz val="11.0"/>
      </rPr>
      <t xml:space="preserve"> field to add whatever identifying information is avalible </t>
    </r>
  </si>
  <si>
    <t>For Unknown Tube IDs w reruns, apply the same Unknown Tube ID to rerun rxns as initial rxns by referencing the rerun rxn cells in “Index Unknown Tube ID”</t>
  </si>
  <si>
    <t>WRAPUP: CREATE CD RFR, MOVE COPY TO MAIN &gt; DATA</t>
  </si>
  <si>
    <t>Duplicate the "RFR Data w PHI - preExcl" tab, name as "CD RFR", delete marked rows</t>
  </si>
  <si>
    <t>Delete columns: Email address, Photo of Run Sheet Printout (?), Photo of Run Lookup (?), Photo of Results</t>
  </si>
  <si>
    <r>
      <rPr>
        <rFont val="Arial"/>
        <color theme="1"/>
        <sz val="11.0"/>
      </rPr>
      <t xml:space="preserve">Check notes columns (Response Notes, Run Form Photo Notes, &amp; Notes) for PII, replace names with </t>
    </r>
    <r>
      <rPr>
        <rFont val="Arial"/>
        <b/>
        <color theme="1"/>
        <sz val="11.0"/>
      </rPr>
      <t xml:space="preserve">Person ID </t>
    </r>
    <r>
      <rPr>
        <rFont val="Arial"/>
        <color theme="1"/>
        <sz val="11.0"/>
      </rPr>
      <t>from the APS DeID key</t>
    </r>
  </si>
  <si>
    <t>E.g., for "John's family", change to "Person ID Family", delete phone numbers &amp; email addresses</t>
  </si>
  <si>
    <t>Copy the CD RFR and the Tube Result Table to a new file on the Main &gt; Data drive (CD RFR)</t>
  </si>
  <si>
    <t>BS 12/22</t>
  </si>
  <si>
    <t>RFR Back Propogation v2.0 from v1.0</t>
  </si>
  <si>
    <t>Setup</t>
  </si>
  <si>
    <t>Make a new copy of the template and add “-V2” at the end of the copy as you move it next to the old version.</t>
  </si>
  <si>
    <t>Copy and paste the only data in segments that are unseperated by new or deleted columns</t>
  </si>
  <si>
    <t>Paste the run code into the run code header (Even though it’s ben redefined)</t>
  </si>
  <si>
    <t>Paste the old correction codes into the correction notes, where you can extract and re assign them later.</t>
  </si>
  <si>
    <t>Set the timestamps of all the rows as pale blue</t>
  </si>
  <si>
    <t>Per Row</t>
  </si>
  <si>
    <t>Assign new correction codes and notes from old codes located in the notes field</t>
  </si>
  <si>
    <t>Assign the new run code according to the updated definitions</t>
  </si>
  <si>
    <t>Determine and assign the # of Tubes added to Tube Result Table for each row with “Audit” in that column</t>
  </si>
  <si>
    <t>Create the required Tube Result Table rows</t>
  </si>
  <si>
    <t>Mark the row as pale green once complete.</t>
  </si>
  <si>
    <t>Add initials and date to far right column</t>
  </si>
  <si>
    <t>CODES AND ENTRIES</t>
  </si>
  <si>
    <t>Tube Result Codes</t>
  </si>
  <si>
    <t>Session</t>
  </si>
  <si>
    <t>Rerun 1</t>
  </si>
  <si>
    <t>Rerun 2</t>
  </si>
  <si>
    <t xml:space="preserve">  Initial Session  Rerun 1 Rerun 2</t>
  </si>
  <si>
    <t>N</t>
  </si>
  <si>
    <t>no rerun</t>
  </si>
  <si>
    <t>initially call I but corrected to N</t>
  </si>
  <si>
    <t>I/N/P</t>
  </si>
  <si>
    <t>rerun even though initial N</t>
  </si>
  <si>
    <t>INN</t>
  </si>
  <si>
    <t>non-triplicate I/N/P rerun</t>
  </si>
  <si>
    <t>I/N</t>
  </si>
  <si>
    <t>rerun singlet</t>
  </si>
  <si>
    <t>Contaminated run</t>
  </si>
  <si>
    <t>PPP</t>
  </si>
  <si>
    <t>non-3 replicates all P</t>
  </si>
  <si>
    <t>Rerun Singlet</t>
  </si>
  <si>
    <t>specify in Tube Result Notes</t>
  </si>
  <si>
    <t>Tube ID Source Code</t>
  </si>
  <si>
    <t>Rxn Table Code</t>
  </si>
  <si>
    <t>Definition</t>
  </si>
  <si>
    <t>APS</t>
  </si>
  <si>
    <t>no rxns added to rxn table for that run</t>
  </si>
  <si>
    <t>RForm LUM</t>
  </si>
  <si>
    <t>is/has rerun, no corrected call</t>
  </si>
  <si>
    <t>RForm Notes</t>
  </si>
  <si>
    <t>initial run (with no rerun) call that is pos, inconcl, invalid (not corrected)</t>
  </si>
  <si>
    <t>GForm Notes</t>
  </si>
  <si>
    <t>RTR</t>
  </si>
  <si>
    <t>Unknown - assigned</t>
  </si>
  <si>
    <t>Results</t>
  </si>
  <si>
    <t>Gform - Num Samples incorrect or missing</t>
  </si>
  <si>
    <t>Absent</t>
  </si>
  <si>
    <t>Number of control rxns not definitive</t>
  </si>
  <si>
    <t>Initials/First Letters</t>
  </si>
  <si>
    <t>Combination of multiple, use RFR Correct Notes</t>
  </si>
  <si>
    <t>First Names</t>
  </si>
  <si>
    <t>No Run Form Photo or no Result Photo</t>
  </si>
  <si>
    <t>Full Names</t>
  </si>
  <si>
    <t>Invalid</t>
  </si>
  <si>
    <t>1.X</t>
  </si>
  <si>
    <t>add for any others</t>
  </si>
  <si>
    <t>Tube ID's</t>
  </si>
  <si>
    <t>Fail</t>
  </si>
  <si>
    <t>Results Included</t>
  </si>
  <si>
    <t>GForm InitIncl I -&gt; N</t>
  </si>
  <si>
    <t>Tube ID's and Results</t>
  </si>
  <si>
    <t>GForm InitIncl I -&gt; P</t>
  </si>
  <si>
    <t>GForm InitIncl N -&gt; I</t>
  </si>
  <si>
    <t>GForm InitIncl P -&gt; I</t>
  </si>
  <si>
    <t>GForm InitIncl N -&gt; P</t>
  </si>
  <si>
    <t>RFR Exclude Code</t>
  </si>
  <si>
    <t>Reason</t>
  </si>
  <si>
    <t>GForm InitIncl P -&gt; N</t>
  </si>
  <si>
    <t>Contrived Positive / Validation Run</t>
  </si>
  <si>
    <t>Notes ...</t>
  </si>
  <si>
    <t>Non standard run (add note)</t>
  </si>
  <si>
    <t>Both ...</t>
  </si>
  <si>
    <t>Invalid run from control fail (add note)</t>
  </si>
  <si>
    <t xml:space="preserve">Invalid - Control Fail </t>
  </si>
  <si>
    <t>Other (add note)</t>
  </si>
  <si>
    <t>Invalid - specify in RFR Audit Notes</t>
  </si>
  <si>
    <t>Other - enter notes</t>
  </si>
  <si>
    <r>
      <rPr>
        <rFont val="Arial"/>
        <b/>
        <color theme="1"/>
        <sz val="11.0"/>
      </rPr>
      <t xml:space="preserve">RFR Audit Code Notes </t>
    </r>
    <r>
      <rPr>
        <rFont val="Arial"/>
        <b val="0"/>
        <color theme="1"/>
        <sz val="11.0"/>
      </rPr>
      <t>(a col used for both)</t>
    </r>
  </si>
  <si>
    <t>RFR Run Code</t>
  </si>
  <si>
    <t>Definition (Auditied unless says otherwise)</t>
  </si>
  <si>
    <t>All Neg</t>
  </si>
  <si>
    <t>Initial Inconcl, No rerun</t>
  </si>
  <si>
    <t>Initial Inconcl, All rerun rxn are neg</t>
  </si>
  <si>
    <t>Initial Inconcl, one or more rerun rxn inconcl but no pos</t>
  </si>
  <si>
    <t>Initial Inconcl, one or more rerun rxn pos</t>
  </si>
  <si>
    <t>Only initial run in triplicate, 1 I 2N</t>
  </si>
  <si>
    <t>Inconclusive session call</t>
  </si>
  <si>
    <t>Positive run call (anywhere in session)</t>
  </si>
  <si>
    <t>Highest non 5 (invalid) code is assigned</t>
  </si>
  <si>
    <t>RUN COUNT RECONCILE CODES:</t>
  </si>
  <si>
    <t>ALL 3 COUNTS SAME meaning APS Collect = APS Result = RFR</t>
  </si>
  <si>
    <t>ALL 3 COUNTS SAME after Null called Neg</t>
  </si>
  <si>
    <t>ALL 3 COUNTS SAME with APS Collect on previous days</t>
  </si>
  <si>
    <t>ALL 3 COUNTS SAME after Null called Neg with APS Collect on previous days</t>
  </si>
  <si>
    <t>ALL 3 COUNTS SAME but GFORM Num of Samples is different</t>
  </si>
  <si>
    <t>Use APS Collect = RFR (diff APS Result count but nets out)</t>
  </si>
  <si>
    <t>Use APS Collect = RFR (diff APS Result count but nets out) after Null called Neg</t>
  </si>
  <si>
    <t>Use APS Collect = RFR Audit (ignore APS Result and GFORM Num samples is different)</t>
  </si>
  <si>
    <t>Use Audit RFR count (extra tubes in RFR not in Appivo)</t>
  </si>
  <si>
    <t>Use Audit RFR count (extra tubes in RFR not in Appivo) after Null called Neg</t>
  </si>
  <si>
    <t>ALL 3 COUNTS SAME after Null deleted</t>
  </si>
  <si>
    <t>Use APS Collect = RFR (diff APS Result count but nets out) after Null deleted</t>
  </si>
  <si>
    <t>Add Run from APS with no RFR (assume run on same day as Collect, ignore Result day)</t>
  </si>
  <si>
    <t>Add Run from APS with no RFR (extra APS tube and conclude done in sep run with no RFR)</t>
  </si>
  <si>
    <t>RFR Raw Num Samples Gform = APS Collect</t>
  </si>
  <si>
    <t>Same Audit RFR: extra tube in Appivo not in LUM marked for delete</t>
  </si>
  <si>
    <t>BELOW CODES HAVE MANUAL RUN ASSIGNMENT IN PASS2</t>
  </si>
  <si>
    <t>RFR Raw Num Samples Gform = APS Collect sum of different days so need Manual Run assign</t>
  </si>
  <si>
    <t>Use GFORM Raw Num of Samples because nets out with surrounding days</t>
  </si>
  <si>
    <t>Multiple Initial runs on same day - final count is sum of RFR Audit = APS Collect</t>
  </si>
  <si>
    <t>Multiple Initial runs on same day - final count is sum of RFR Audit = APS Collect (NULL is deleted)</t>
  </si>
  <si>
    <t>Use Audit RFR - nets out with next or prev day</t>
  </si>
  <si>
    <t>No Run - APS Collect run next day</t>
  </si>
  <si>
    <t>No Run - APS Collect run 2 or more days later</t>
  </si>
  <si>
    <t>Use Audit RFR - all tubes assigned to 2nd initial run of day</t>
  </si>
  <si>
    <t>Use Audit RFR - all tubes assigned to 2nd initial run of day but with Extra tubes in RFR not in Appivo</t>
  </si>
  <si>
    <t>Use Audit RFR count (tube in Appivo not in RFR)</t>
  </si>
  <si>
    <t>Use APS Collect count != RFR Audit</t>
  </si>
  <si>
    <t>Use APS Collect count != RFR Audit (with different Collect days)</t>
  </si>
  <si>
    <t>Entire run in RFR not in Appivo</t>
  </si>
  <si>
    <t>Tube was in Appivo but not RFR and concluded never run so delete in APS preDel with code 9.4</t>
  </si>
  <si>
    <t>see Notes for reason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</si>
</sst>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0.0%"/>
    <numFmt numFmtId="166" formatCode="h:mm am/pm"/>
    <numFmt numFmtId="167" formatCode="m/d/yyyy h:mm:ss"/>
    <numFmt numFmtId="168" formatCode="0.0"/>
    <numFmt numFmtId="169" formatCode="mm&quot;/&quot;dd&quot;/&quot;yyyy"/>
    <numFmt numFmtId="170" formatCode="M/d/yyyy H:mm:ss"/>
  </numFmts>
  <fonts count="27">
    <font>
      <sz val="10.0"/>
      <color rgb="FF000000"/>
      <name val="Arial"/>
      <scheme val="minor"/>
    </font>
    <font>
      <b/>
      <color theme="1"/>
      <name val="Arial"/>
      <scheme val="minor"/>
    </font>
    <font>
      <b/>
      <color theme="1"/>
      <name val="Arial"/>
    </font>
    <font>
      <color theme="1"/>
      <name val="Arial"/>
      <scheme val="minor"/>
    </font>
    <font>
      <color theme="1"/>
      <name val="Arial"/>
    </font>
    <font>
      <b/>
      <sz val="10.0"/>
      <color theme="1"/>
      <name val="Arial"/>
    </font>
    <font>
      <sz val="10.0"/>
      <color theme="1"/>
      <name val="Arial"/>
      <scheme val="minor"/>
    </font>
    <font>
      <sz val="9.0"/>
      <color rgb="FF000000"/>
      <name val="&quot;Google Sans Mono&quot;"/>
    </font>
    <font>
      <b/>
      <color rgb="FFFFFFFF"/>
      <name val="Arial"/>
    </font>
    <font>
      <sz val="10.0"/>
      <color theme="1"/>
      <name val="Arial"/>
    </font>
    <font>
      <sz val="11.0"/>
      <color rgb="FF000000"/>
      <name val="Inconsolata"/>
    </font>
    <font>
      <u/>
      <color rgb="FF1155CC"/>
      <name val="Arial"/>
    </font>
    <font>
      <u/>
      <color rgb="FF0000FF"/>
      <name val="Arial"/>
    </font>
    <font>
      <u/>
      <color rgb="FF1155CC"/>
      <name val="Arial"/>
    </font>
    <font>
      <u/>
      <color rgb="FF1155CC"/>
      <name val="Arial"/>
    </font>
    <font>
      <i/>
      <color theme="1"/>
      <name val="Arial"/>
      <scheme val="minor"/>
    </font>
    <font>
      <u/>
      <color rgb="FF1155CC"/>
      <name val="Arial"/>
    </font>
    <font>
      <sz val="11.0"/>
      <color theme="1"/>
      <name val="Arial"/>
    </font>
    <font>
      <b/>
      <sz val="14.0"/>
      <color theme="1"/>
      <name val="Arial"/>
    </font>
    <font>
      <b/>
      <sz val="14.0"/>
      <color rgb="FFFF0000"/>
      <name val="Arial"/>
    </font>
    <font>
      <sz val="11.0"/>
      <color theme="1"/>
      <name val="Arial"/>
      <scheme val="minor"/>
    </font>
    <font>
      <sz val="11.0"/>
      <color rgb="FF000000"/>
      <name val="Arial"/>
    </font>
    <font>
      <b/>
      <sz val="11.0"/>
      <color theme="1"/>
      <name val="Arial"/>
    </font>
    <font>
      <sz val="11.0"/>
      <color rgb="FF000000"/>
      <name val="Roboto"/>
    </font>
    <font>
      <b/>
      <sz val="11.0"/>
      <color rgb="FF000000"/>
      <name val="Arial"/>
    </font>
    <font>
      <b/>
      <sz val="11.0"/>
      <color theme="1"/>
      <name val="Arial"/>
      <scheme val="minor"/>
    </font>
    <font>
      <i/>
      <sz val="11.0"/>
      <color theme="1"/>
      <name val="Arial"/>
    </font>
  </fonts>
  <fills count="31">
    <fill>
      <patternFill patternType="none"/>
    </fill>
    <fill>
      <patternFill patternType="lightGray"/>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00FF00"/>
        <bgColor rgb="FF00FF00"/>
      </patternFill>
    </fill>
    <fill>
      <patternFill patternType="solid">
        <fgColor rgb="FF434343"/>
        <bgColor rgb="FF434343"/>
      </patternFill>
    </fill>
    <fill>
      <patternFill patternType="solid">
        <fgColor rgb="FFB6D7A8"/>
        <bgColor rgb="FFB6D7A8"/>
      </patternFill>
    </fill>
    <fill>
      <patternFill patternType="solid">
        <fgColor rgb="FFFFE599"/>
        <bgColor rgb="FFFFE599"/>
      </patternFill>
    </fill>
    <fill>
      <patternFill patternType="solid">
        <fgColor rgb="FFF9CB9C"/>
        <bgColor rgb="FFF9CB9C"/>
      </patternFill>
    </fill>
    <fill>
      <patternFill patternType="solid">
        <fgColor rgb="FFEFEFEF"/>
        <bgColor rgb="FFEFEFEF"/>
      </patternFill>
    </fill>
    <fill>
      <patternFill patternType="solid">
        <fgColor rgb="FFC27BA0"/>
        <bgColor rgb="FFC27BA0"/>
      </patternFill>
    </fill>
    <fill>
      <patternFill patternType="solid">
        <fgColor rgb="FFFF0000"/>
        <bgColor rgb="FFFF0000"/>
      </patternFill>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rgb="FFFF9900"/>
        <bgColor rgb="FFFF9900"/>
      </patternFill>
    </fill>
    <fill>
      <patternFill patternType="solid">
        <fgColor rgb="FF00FFFF"/>
        <bgColor rgb="FF00FFFF"/>
      </patternFill>
    </fill>
    <fill>
      <patternFill patternType="solid">
        <fgColor rgb="FF4A86E8"/>
        <bgColor rgb="FF4A86E8"/>
      </patternFill>
    </fill>
    <fill>
      <patternFill patternType="solid">
        <fgColor rgb="FFFCE5CD"/>
        <bgColor rgb="FFFCE5CD"/>
      </patternFill>
    </fill>
    <fill>
      <patternFill patternType="solid">
        <fgColor rgb="FFEA9999"/>
        <bgColor rgb="FFEA9999"/>
      </patternFill>
    </fill>
    <fill>
      <patternFill patternType="solid">
        <fgColor rgb="FFA2C4C9"/>
        <bgColor rgb="FFA2C4C9"/>
      </patternFill>
    </fill>
    <fill>
      <patternFill patternType="solid">
        <fgColor rgb="FF9900FF"/>
        <bgColor rgb="FF9900FF"/>
      </patternFill>
    </fill>
    <fill>
      <patternFill patternType="solid">
        <fgColor rgb="FFD9D9D9"/>
        <bgColor rgb="FFD9D9D9"/>
      </patternFill>
    </fill>
    <fill>
      <patternFill patternType="solid">
        <fgColor rgb="FFFF00FF"/>
        <bgColor rgb="FFFF00FF"/>
      </patternFill>
    </fill>
    <fill>
      <patternFill patternType="solid">
        <fgColor rgb="FFBF9000"/>
        <bgColor rgb="FFBF9000"/>
      </patternFill>
    </fill>
    <fill>
      <patternFill patternType="solid">
        <fgColor rgb="FFCC0000"/>
        <bgColor rgb="FFCC0000"/>
      </patternFill>
    </fill>
    <fill>
      <patternFill patternType="solid">
        <fgColor rgb="FF45818E"/>
        <bgColor rgb="FF45818E"/>
      </patternFill>
    </fill>
  </fills>
  <borders count="13">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top style="thick">
        <color rgb="FF000000"/>
      </top>
    </border>
    <border>
      <right style="medium">
        <color rgb="FF000000"/>
      </right>
    </border>
    <border>
      <left style="thick">
        <color rgb="FF000000"/>
      </left>
    </border>
    <border>
      <right style="thick">
        <color rgb="FF000000"/>
      </right>
    </border>
    <border>
      <left style="medium">
        <color rgb="FF000000"/>
      </left>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9">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Alignment="1" applyFill="1" applyFont="1">
      <alignment shrinkToFit="0" vertical="bottom" wrapText="1"/>
    </xf>
    <xf borderId="0" fillId="4" fontId="1" numFmtId="0" xfId="0" applyAlignment="1" applyFill="1" applyFont="1">
      <alignment shrinkToFit="0" wrapText="1"/>
    </xf>
    <xf borderId="0" fillId="4" fontId="2" numFmtId="0" xfId="0" applyAlignment="1" applyFont="1">
      <alignment shrinkToFit="0" vertical="bottom" wrapText="1"/>
    </xf>
    <xf borderId="0" fillId="3" fontId="2" numFmtId="0" xfId="0" applyAlignment="1" applyFont="1">
      <alignment shrinkToFit="0" vertical="bottom" wrapText="1"/>
    </xf>
    <xf borderId="0" fillId="0" fontId="1" numFmtId="0" xfId="0" applyAlignment="1" applyFont="1">
      <alignment shrinkToFit="0" wrapText="1"/>
    </xf>
    <xf borderId="0" fillId="0" fontId="3" numFmtId="0" xfId="0" applyFont="1"/>
    <xf borderId="0" fillId="3" fontId="4" numFmtId="164" xfId="0" applyAlignment="1" applyFont="1" applyNumberFormat="1">
      <alignment horizontal="right" vertical="bottom"/>
    </xf>
    <xf borderId="0" fillId="2" fontId="3" numFmtId="164" xfId="0" applyFont="1" applyNumberFormat="1"/>
    <xf borderId="0" fillId="2" fontId="4" numFmtId="21" xfId="0" applyAlignment="1" applyFont="1" applyNumberFormat="1">
      <alignment horizontal="right" vertical="bottom"/>
    </xf>
    <xf borderId="0" fillId="2" fontId="4" numFmtId="0" xfId="0" applyAlignment="1" applyFont="1">
      <alignment horizontal="right" vertical="bottom"/>
    </xf>
    <xf borderId="0" fillId="0" fontId="3" numFmtId="164" xfId="0" applyFont="1" applyNumberFormat="1"/>
    <xf borderId="0" fillId="0" fontId="3" numFmtId="21" xfId="0" applyFont="1" applyNumberFormat="1"/>
    <xf borderId="0" fillId="0" fontId="4" numFmtId="164" xfId="0" applyAlignment="1" applyFont="1" applyNumberFormat="1">
      <alignment horizontal="right" vertical="bottom"/>
    </xf>
    <xf borderId="0" fillId="0" fontId="1" numFmtId="0" xfId="0" applyAlignment="1" applyFont="1">
      <alignment readingOrder="0" shrinkToFit="0" wrapText="1"/>
    </xf>
    <xf borderId="0" fillId="0" fontId="2" numFmtId="0" xfId="0" applyAlignment="1" applyFont="1">
      <alignment shrinkToFit="0" vertical="bottom" wrapText="1"/>
    </xf>
    <xf borderId="0" fillId="5" fontId="3" numFmtId="164" xfId="0" applyFill="1" applyFont="1" applyNumberFormat="1"/>
    <xf borderId="0" fillId="6" fontId="3" numFmtId="164" xfId="0" applyFill="1" applyFont="1" applyNumberFormat="1"/>
    <xf borderId="0" fillId="3" fontId="4" numFmtId="0" xfId="0" applyAlignment="1" applyFont="1">
      <alignment horizontal="right" vertical="bottom"/>
    </xf>
    <xf borderId="0" fillId="3" fontId="3" numFmtId="0" xfId="0" applyFont="1"/>
    <xf borderId="0" fillId="3" fontId="3" numFmtId="165" xfId="0" applyFont="1" applyNumberFormat="1"/>
    <xf borderId="0" fillId="7" fontId="3" numFmtId="164" xfId="0" applyFill="1" applyFont="1" applyNumberFormat="1"/>
    <xf borderId="0" fillId="8" fontId="1" numFmtId="0" xfId="0" applyAlignment="1" applyFill="1" applyFont="1">
      <alignment readingOrder="0" shrinkToFit="0" wrapText="1"/>
    </xf>
    <xf borderId="0" fillId="8" fontId="1" numFmtId="0" xfId="0" applyAlignment="1" applyFont="1">
      <alignment horizontal="center"/>
    </xf>
    <xf borderId="0" fillId="8" fontId="4" numFmtId="0" xfId="0" applyAlignment="1" applyFont="1">
      <alignment vertical="bottom"/>
    </xf>
    <xf borderId="0" fillId="8" fontId="2" numFmtId="0" xfId="0" applyAlignment="1" applyFont="1">
      <alignment horizontal="center" vertical="bottom"/>
    </xf>
    <xf borderId="0" fillId="9" fontId="1" numFmtId="0" xfId="0" applyAlignment="1" applyFill="1" applyFont="1">
      <alignment readingOrder="0"/>
    </xf>
    <xf borderId="0" fillId="10" fontId="1" numFmtId="0" xfId="0" applyAlignment="1" applyFill="1" applyFont="1">
      <alignment readingOrder="0"/>
    </xf>
    <xf borderId="0" fillId="10" fontId="1" numFmtId="0" xfId="0" applyAlignment="1" applyFont="1">
      <alignment readingOrder="0" shrinkToFit="0" wrapText="1"/>
    </xf>
    <xf borderId="0" fillId="10" fontId="1" numFmtId="0" xfId="0" applyAlignment="1" applyFont="1">
      <alignment horizontal="center"/>
    </xf>
    <xf borderId="0" fillId="9" fontId="5" numFmtId="0" xfId="0" applyAlignment="1" applyFont="1">
      <alignment horizontal="left" readingOrder="0" shrinkToFit="0" vertical="bottom" wrapText="1"/>
    </xf>
    <xf borderId="0" fillId="11" fontId="1" numFmtId="0" xfId="0" applyAlignment="1" applyFill="1" applyFont="1">
      <alignment readingOrder="0"/>
    </xf>
    <xf borderId="0" fillId="11" fontId="1" numFmtId="0" xfId="0" applyAlignment="1" applyFont="1">
      <alignment horizontal="center"/>
    </xf>
    <xf borderId="0" fillId="4" fontId="1" numFmtId="0" xfId="0" applyAlignment="1" applyFont="1">
      <alignment readingOrder="0" shrinkToFit="0" wrapText="1"/>
    </xf>
    <xf borderId="0" fillId="4" fontId="1" numFmtId="0" xfId="0" applyAlignment="1" applyFont="1">
      <alignment horizontal="center" readingOrder="0" shrinkToFit="0" wrapText="1"/>
    </xf>
    <xf borderId="0" fillId="12" fontId="1" numFmtId="0" xfId="0" applyAlignment="1" applyFill="1" applyFont="1">
      <alignment readingOrder="0" shrinkToFit="0" wrapText="1"/>
    </xf>
    <xf borderId="0" fillId="12" fontId="1" numFmtId="0" xfId="0" applyAlignment="1" applyFont="1">
      <alignment horizontal="center"/>
    </xf>
    <xf borderId="0" fillId="0" fontId="2" numFmtId="0" xfId="0" applyAlignment="1" applyFont="1">
      <alignment readingOrder="0" shrinkToFit="0" vertical="bottom" wrapText="1"/>
    </xf>
    <xf borderId="0" fillId="8" fontId="2" numFmtId="0" xfId="0" applyAlignment="1" applyFont="1">
      <alignment readingOrder="0" shrinkToFit="0" vertical="bottom" wrapText="1"/>
    </xf>
    <xf borderId="0" fillId="11" fontId="2" numFmtId="0" xfId="0" applyAlignment="1" applyFont="1">
      <alignment shrinkToFit="0" vertical="bottom" wrapText="1"/>
    </xf>
    <xf borderId="0" fillId="9" fontId="1" numFmtId="0" xfId="0" applyAlignment="1" applyFont="1">
      <alignment readingOrder="0" shrinkToFit="0" wrapText="1"/>
    </xf>
    <xf borderId="0" fillId="9" fontId="3" numFmtId="0" xfId="0" applyFont="1"/>
    <xf borderId="0" fillId="11" fontId="1" numFmtId="0" xfId="0" applyAlignment="1" applyFont="1">
      <alignment readingOrder="0" shrinkToFit="0" wrapText="1"/>
    </xf>
    <xf borderId="0" fillId="13" fontId="1" numFmtId="0" xfId="0" applyAlignment="1" applyFill="1" applyFont="1">
      <alignment readingOrder="0" shrinkToFit="0" wrapText="1"/>
    </xf>
    <xf borderId="0" fillId="2" fontId="3" numFmtId="0" xfId="0" applyFont="1"/>
    <xf borderId="0" fillId="0" fontId="3" numFmtId="164" xfId="0" applyAlignment="1" applyFont="1" applyNumberFormat="1">
      <alignment horizontal="center"/>
    </xf>
    <xf borderId="0" fillId="8" fontId="3" numFmtId="0" xfId="0" applyAlignment="1" applyFont="1">
      <alignment horizontal="center"/>
    </xf>
    <xf borderId="0" fillId="3" fontId="3" numFmtId="0" xfId="0" applyAlignment="1" applyFont="1">
      <alignment horizontal="center"/>
    </xf>
    <xf borderId="0" fillId="10" fontId="3" numFmtId="0" xfId="0" applyAlignment="1" applyFont="1">
      <alignment horizontal="center"/>
    </xf>
    <xf borderId="0" fillId="11" fontId="3" numFmtId="0" xfId="0" applyAlignment="1" applyFont="1">
      <alignment horizontal="center"/>
    </xf>
    <xf borderId="0" fillId="11" fontId="4" numFmtId="0" xfId="0" applyAlignment="1" applyFont="1">
      <alignment horizontal="center" vertical="bottom"/>
    </xf>
    <xf borderId="0" fillId="4" fontId="3" numFmtId="0" xfId="0" applyAlignment="1" applyFont="1">
      <alignment horizontal="center" readingOrder="0" shrinkToFit="0" wrapText="1"/>
    </xf>
    <xf borderId="0" fillId="14" fontId="3" numFmtId="0" xfId="0" applyFill="1" applyFont="1"/>
    <xf borderId="0" fillId="0" fontId="3" numFmtId="0" xfId="0" applyAlignment="1" applyFont="1">
      <alignment horizontal="center"/>
    </xf>
    <xf borderId="0" fillId="13" fontId="0" numFmtId="0" xfId="0" applyAlignment="1" applyFont="1">
      <alignment horizontal="center" readingOrder="0"/>
    </xf>
    <xf borderId="0" fillId="14" fontId="4" numFmtId="166" xfId="0" applyAlignment="1" applyFont="1" applyNumberFormat="1">
      <alignment vertical="bottom"/>
    </xf>
    <xf borderId="0" fillId="0" fontId="4" numFmtId="164" xfId="0" applyAlignment="1" applyFont="1" applyNumberFormat="1">
      <alignment horizontal="center" vertical="bottom"/>
    </xf>
    <xf borderId="0" fillId="0" fontId="4" numFmtId="0" xfId="0" applyAlignment="1" applyFont="1">
      <alignment horizontal="center" vertical="bottom"/>
    </xf>
    <xf borderId="0" fillId="0" fontId="3" numFmtId="166" xfId="0" applyFont="1" applyNumberFormat="1"/>
    <xf borderId="0" fillId="0" fontId="0" numFmtId="0" xfId="0" applyAlignment="1" applyFont="1">
      <alignment horizontal="center" readingOrder="0"/>
    </xf>
    <xf borderId="0" fillId="0" fontId="3" numFmtId="0" xfId="0" applyAlignment="1" applyFont="1">
      <alignment horizontal="center" readingOrder="0" shrinkToFit="0" wrapText="1"/>
    </xf>
    <xf borderId="0" fillId="3" fontId="5" numFmtId="0" xfId="0" applyAlignment="1" applyFont="1">
      <alignment horizontal="left" readingOrder="0" shrinkToFit="0" vertical="bottom" wrapText="1"/>
    </xf>
    <xf borderId="0" fillId="3" fontId="2" numFmtId="0" xfId="0" applyAlignment="1" applyFont="1">
      <alignment readingOrder="0" shrinkToFit="0" vertical="bottom" wrapText="1"/>
    </xf>
    <xf borderId="0" fillId="0" fontId="5" numFmtId="0" xfId="0" applyAlignment="1" applyFont="1">
      <alignment horizontal="left" readingOrder="0" shrinkToFit="0" vertical="bottom" wrapText="1"/>
    </xf>
    <xf borderId="0" fillId="5" fontId="5" numFmtId="0" xfId="0" applyAlignment="1" applyFont="1">
      <alignment horizontal="center" readingOrder="0" shrinkToFit="0" vertical="bottom" wrapText="1"/>
    </xf>
    <xf borderId="0" fillId="0" fontId="1" numFmtId="0" xfId="0" applyAlignment="1" applyFont="1">
      <alignment readingOrder="0"/>
    </xf>
    <xf borderId="0" fillId="14" fontId="2" numFmtId="0" xfId="0" applyAlignment="1" applyFont="1">
      <alignment shrinkToFit="0" vertical="bottom" wrapText="1"/>
    </xf>
    <xf borderId="0" fillId="5" fontId="2" numFmtId="0" xfId="0" applyAlignment="1" applyFont="1">
      <alignment shrinkToFit="0" vertical="bottom" wrapText="1"/>
    </xf>
    <xf borderId="0" fillId="9" fontId="4" numFmtId="0" xfId="0" applyAlignment="1" applyFont="1">
      <alignment vertical="bottom"/>
    </xf>
    <xf borderId="0" fillId="0" fontId="2" numFmtId="0" xfId="0" applyAlignment="1" applyFont="1">
      <alignment vertical="bottom"/>
    </xf>
    <xf borderId="0" fillId="0" fontId="1" numFmtId="0" xfId="0" applyAlignment="1" applyFont="1">
      <alignment horizontal="center" readingOrder="0" shrinkToFit="0" wrapText="1"/>
    </xf>
    <xf borderId="0" fillId="0" fontId="2" numFmtId="0" xfId="0" applyAlignment="1" applyFont="1">
      <alignment shrinkToFit="0" vertical="bottom" wrapText="1"/>
    </xf>
    <xf borderId="0" fillId="9" fontId="4" numFmtId="0" xfId="0" applyAlignment="1" applyFont="1">
      <alignment vertical="bottom"/>
    </xf>
    <xf borderId="0" fillId="3" fontId="2" numFmtId="0" xfId="0" applyAlignment="1" applyFont="1">
      <alignment horizontal="center" shrinkToFit="0" vertical="bottom" wrapText="1"/>
    </xf>
    <xf borderId="0" fillId="0" fontId="4" numFmtId="0" xfId="0" applyAlignment="1" applyFont="1">
      <alignment vertical="bottom"/>
    </xf>
    <xf borderId="0" fillId="0" fontId="4" numFmtId="0" xfId="0" applyAlignment="1" applyFont="1">
      <alignment vertical="bottom"/>
    </xf>
    <xf borderId="0" fillId="15" fontId="4" numFmtId="0" xfId="0" applyAlignment="1" applyFill="1" applyFont="1">
      <alignment horizontal="center" vertical="bottom"/>
    </xf>
    <xf borderId="0" fillId="8" fontId="4" numFmtId="0" xfId="0" applyAlignment="1" applyFont="1">
      <alignment horizontal="center" vertical="bottom"/>
    </xf>
    <xf borderId="0" fillId="8" fontId="3" numFmtId="0" xfId="0" applyAlignment="1" applyFont="1">
      <alignment horizontal="center" readingOrder="0"/>
    </xf>
    <xf borderId="0" fillId="8" fontId="4" numFmtId="0" xfId="0" applyAlignment="1" applyFont="1">
      <alignment horizontal="center" readingOrder="0" vertical="bottom"/>
    </xf>
    <xf borderId="0" fillId="3" fontId="4" numFmtId="164" xfId="0" applyAlignment="1" applyFont="1" applyNumberFormat="1">
      <alignment horizontal="center" vertical="bottom"/>
    </xf>
    <xf borderId="0" fillId="0" fontId="4" numFmtId="0" xfId="0" applyAlignment="1" applyFont="1">
      <alignment readingOrder="0" vertical="bottom"/>
    </xf>
    <xf borderId="0" fillId="0" fontId="4" numFmtId="164" xfId="0" applyAlignment="1" applyFont="1" applyNumberFormat="1">
      <alignment vertical="bottom"/>
    </xf>
    <xf borderId="0" fillId="16" fontId="0" numFmtId="0" xfId="0" applyAlignment="1" applyFill="1" applyFont="1">
      <alignment horizontal="center" readingOrder="0"/>
    </xf>
    <xf borderId="0" fillId="14" fontId="4" numFmtId="0" xfId="0" applyAlignment="1" applyFont="1">
      <alignment vertical="bottom"/>
    </xf>
    <xf borderId="0" fillId="17" fontId="4" numFmtId="167" xfId="0" applyAlignment="1" applyFill="1" applyFont="1" applyNumberFormat="1">
      <alignment horizontal="left" vertical="bottom"/>
    </xf>
    <xf borderId="0" fillId="3" fontId="4" numFmtId="0" xfId="0" applyAlignment="1" applyFont="1">
      <alignment horizontal="center" vertical="bottom"/>
    </xf>
    <xf borderId="1" fillId="0" fontId="3" numFmtId="0" xfId="0" applyAlignment="1" applyBorder="1" applyFont="1">
      <alignment horizontal="center"/>
    </xf>
    <xf borderId="0" fillId="0" fontId="4" numFmtId="0" xfId="0" applyAlignment="1" applyFont="1">
      <alignment horizontal="center" readingOrder="0" vertical="bottom"/>
    </xf>
    <xf borderId="0" fillId="17" fontId="4" numFmtId="0" xfId="0" applyAlignment="1" applyFont="1">
      <alignment vertical="bottom"/>
    </xf>
    <xf borderId="0" fillId="0" fontId="3" numFmtId="0" xfId="0" applyAlignment="1" applyFont="1">
      <alignment horizontal="center" readingOrder="0"/>
    </xf>
    <xf borderId="2" fillId="0" fontId="3" numFmtId="0" xfId="0" applyAlignment="1" applyBorder="1" applyFont="1">
      <alignment horizontal="center"/>
    </xf>
    <xf borderId="1" fillId="8" fontId="3" numFmtId="0" xfId="0" applyAlignment="1" applyBorder="1" applyFont="1">
      <alignment horizontal="center"/>
    </xf>
    <xf borderId="2" fillId="8" fontId="3" numFmtId="0" xfId="0" applyAlignment="1" applyBorder="1" applyFont="1">
      <alignment horizontal="center"/>
    </xf>
    <xf borderId="0" fillId="0" fontId="4" numFmtId="0" xfId="0" applyAlignment="1" applyFont="1">
      <alignment horizontal="center" vertical="bottom"/>
    </xf>
    <xf borderId="0" fillId="3" fontId="3" numFmtId="164" xfId="0" applyFont="1" applyNumberFormat="1"/>
    <xf borderId="0" fillId="18" fontId="3" numFmtId="0" xfId="0" applyAlignment="1" applyFill="1" applyFont="1">
      <alignment horizontal="center"/>
    </xf>
    <xf borderId="0" fillId="19" fontId="3" numFmtId="0" xfId="0" applyAlignment="1" applyFill="1" applyFont="1">
      <alignment horizontal="center"/>
    </xf>
    <xf borderId="0" fillId="18" fontId="4" numFmtId="0" xfId="0" applyAlignment="1" applyFont="1">
      <alignment horizontal="center" readingOrder="0" vertical="bottom"/>
    </xf>
    <xf borderId="0" fillId="18" fontId="4" numFmtId="164" xfId="0" applyAlignment="1" applyFont="1" applyNumberFormat="1">
      <alignment vertical="bottom"/>
    </xf>
    <xf borderId="0" fillId="6" fontId="3" numFmtId="0" xfId="0" applyAlignment="1" applyFont="1">
      <alignment horizontal="center"/>
    </xf>
    <xf borderId="0" fillId="15" fontId="4" numFmtId="0" xfId="0" applyAlignment="1" applyFont="1">
      <alignment horizontal="center" readingOrder="0" vertical="bottom"/>
    </xf>
    <xf borderId="0" fillId="15" fontId="4" numFmtId="0" xfId="0" applyAlignment="1" applyFont="1">
      <alignment readingOrder="0" vertical="bottom"/>
    </xf>
    <xf borderId="0" fillId="0" fontId="4" numFmtId="0" xfId="0" applyFont="1"/>
    <xf borderId="0" fillId="15" fontId="3" numFmtId="0" xfId="0" applyAlignment="1" applyFont="1">
      <alignment horizontal="center"/>
    </xf>
    <xf borderId="0" fillId="5" fontId="3" numFmtId="0" xfId="0" applyAlignment="1" applyFont="1">
      <alignment horizontal="center"/>
    </xf>
    <xf borderId="0" fillId="10" fontId="4" numFmtId="0" xfId="0" applyAlignment="1" applyFont="1">
      <alignment horizontal="center" readingOrder="0" vertical="bottom"/>
    </xf>
    <xf borderId="0" fillId="20" fontId="4" numFmtId="0" xfId="0" applyAlignment="1" applyFill="1" applyFont="1">
      <alignment horizontal="center" readingOrder="0" vertical="bottom"/>
    </xf>
    <xf borderId="0" fillId="5" fontId="3" numFmtId="0" xfId="0" applyAlignment="1" applyFont="1">
      <alignment horizontal="center" readingOrder="0"/>
    </xf>
    <xf borderId="0" fillId="0" fontId="3" numFmtId="0" xfId="0" applyAlignment="1" applyFont="1">
      <alignment readingOrder="0"/>
    </xf>
    <xf borderId="0" fillId="0" fontId="0" numFmtId="0" xfId="0" applyFont="1"/>
    <xf borderId="0" fillId="21" fontId="3" numFmtId="0" xfId="0" applyAlignment="1" applyFill="1" applyFont="1">
      <alignment horizontal="center" readingOrder="0"/>
    </xf>
    <xf borderId="3" fillId="3" fontId="4" numFmtId="0" xfId="0" applyAlignment="1" applyBorder="1" applyFont="1">
      <alignment vertical="bottom"/>
    </xf>
    <xf borderId="3" fillId="3" fontId="4" numFmtId="164" xfId="0" applyAlignment="1" applyBorder="1" applyFont="1" applyNumberFormat="1">
      <alignment horizontal="right" vertical="bottom"/>
    </xf>
    <xf borderId="3" fillId="14" fontId="4" numFmtId="164" xfId="0" applyAlignment="1" applyBorder="1" applyFont="1" applyNumberFormat="1">
      <alignment horizontal="right" vertical="bottom"/>
    </xf>
    <xf borderId="3" fillId="5" fontId="4" numFmtId="0" xfId="0" applyAlignment="1" applyBorder="1" applyFont="1">
      <alignment horizontal="center"/>
    </xf>
    <xf borderId="0" fillId="0" fontId="6" numFmtId="164" xfId="0" applyFont="1" applyNumberFormat="1"/>
    <xf borderId="0" fillId="0" fontId="4" numFmtId="0" xfId="0" applyAlignment="1" applyFont="1">
      <alignment horizontal="center"/>
    </xf>
    <xf borderId="0" fillId="5" fontId="4" numFmtId="0" xfId="0" applyAlignment="1" applyFont="1">
      <alignment horizontal="center"/>
    </xf>
    <xf borderId="0" fillId="0" fontId="6" numFmtId="0" xfId="0" applyFont="1"/>
    <xf borderId="0" fillId="0" fontId="7" numFmtId="0" xfId="0" applyFont="1"/>
    <xf borderId="0" fillId="16" fontId="7" numFmtId="0" xfId="0" applyFont="1"/>
    <xf borderId="4" fillId="0" fontId="2" numFmtId="0" xfId="0" applyAlignment="1" applyBorder="1" applyFont="1">
      <alignment shrinkToFit="0" vertical="bottom" wrapText="0"/>
    </xf>
    <xf borderId="0" fillId="5" fontId="2" numFmtId="0" xfId="0" applyAlignment="1" applyFont="1">
      <alignment shrinkToFit="0" vertical="bottom" wrapText="1"/>
    </xf>
    <xf borderId="5" fillId="0" fontId="2" numFmtId="0" xfId="0" applyAlignment="1" applyBorder="1" applyFont="1">
      <alignment shrinkToFit="0" vertical="bottom" wrapText="1"/>
    </xf>
    <xf borderId="4" fillId="3" fontId="2" numFmtId="0" xfId="0" applyAlignment="1" applyBorder="1" applyFont="1">
      <alignment shrinkToFit="0" vertical="bottom" wrapText="1"/>
    </xf>
    <xf borderId="0" fillId="22" fontId="2" numFmtId="0" xfId="0" applyAlignment="1" applyFill="1" applyFont="1">
      <alignment shrinkToFit="0" vertical="bottom" wrapText="1"/>
    </xf>
    <xf borderId="0" fillId="12" fontId="2" numFmtId="0" xfId="0" applyAlignment="1" applyFont="1">
      <alignment shrinkToFit="0" vertical="bottom" wrapText="1"/>
    </xf>
    <xf borderId="0" fillId="6" fontId="2" numFmtId="0" xfId="0" applyAlignment="1" applyFont="1">
      <alignment shrinkToFit="0" vertical="bottom" wrapText="1"/>
    </xf>
    <xf borderId="0" fillId="23" fontId="2" numFmtId="0" xfId="0" applyAlignment="1" applyFill="1" applyFont="1">
      <alignment shrinkToFit="0" vertical="bottom" wrapText="1"/>
    </xf>
    <xf borderId="4" fillId="0" fontId="5" numFmtId="0" xfId="0" applyAlignment="1" applyBorder="1" applyFont="1">
      <alignment readingOrder="0" shrinkToFit="0" vertical="bottom" wrapText="1"/>
    </xf>
    <xf borderId="0" fillId="24" fontId="2" numFmtId="0" xfId="0" applyAlignment="1" applyFill="1" applyFont="1">
      <alignment shrinkToFit="0" vertical="bottom" wrapText="1"/>
    </xf>
    <xf borderId="0" fillId="11" fontId="2" numFmtId="0" xfId="0" applyAlignment="1" applyFont="1">
      <alignment vertical="bottom"/>
    </xf>
    <xf borderId="6" fillId="0" fontId="2" numFmtId="0" xfId="0" applyAlignment="1" applyBorder="1" applyFont="1">
      <alignment shrinkToFit="0" vertical="bottom" wrapText="1"/>
    </xf>
    <xf borderId="0" fillId="19" fontId="2" numFmtId="0" xfId="0" applyAlignment="1" applyFont="1">
      <alignment shrinkToFit="0" vertical="bottom" wrapText="1"/>
    </xf>
    <xf borderId="0" fillId="25" fontId="8" numFmtId="0" xfId="0" applyAlignment="1" applyFill="1" applyFont="1">
      <alignment shrinkToFit="0" vertical="bottom" wrapText="1"/>
    </xf>
    <xf borderId="0" fillId="8" fontId="2" numFmtId="0" xfId="0" applyAlignment="1" applyFont="1">
      <alignment shrinkToFit="0" vertical="bottom" wrapText="1"/>
    </xf>
    <xf borderId="0" fillId="3" fontId="9" numFmtId="0" xfId="0" applyAlignment="1" applyFont="1">
      <alignment vertical="bottom"/>
    </xf>
    <xf borderId="0" fillId="26" fontId="4" numFmtId="167" xfId="0" applyAlignment="1" applyFill="1" applyFont="1" applyNumberFormat="1">
      <alignment horizontal="right" vertical="bottom"/>
    </xf>
    <xf borderId="0" fillId="26" fontId="4" numFmtId="0" xfId="0" applyAlignment="1" applyFont="1">
      <alignment vertical="bottom"/>
    </xf>
    <xf borderId="0" fillId="26" fontId="4" numFmtId="0" xfId="0" applyAlignment="1" applyFont="1">
      <alignment horizontal="center" vertical="bottom"/>
    </xf>
    <xf borderId="0" fillId="26" fontId="4" numFmtId="0" xfId="0" applyAlignment="1" applyFont="1">
      <alignment horizontal="left" vertical="bottom"/>
    </xf>
    <xf borderId="0" fillId="26" fontId="4" numFmtId="0" xfId="0" applyAlignment="1" applyFont="1">
      <alignment horizontal="center" vertical="bottom"/>
    </xf>
    <xf borderId="4" fillId="26" fontId="4" numFmtId="0" xfId="0" applyAlignment="1" applyBorder="1" applyFont="1">
      <alignment shrinkToFit="0" vertical="bottom" wrapText="0"/>
    </xf>
    <xf borderId="7" fillId="26" fontId="4" numFmtId="0" xfId="0" applyAlignment="1" applyBorder="1" applyFont="1">
      <alignment horizontal="center" readingOrder="0" vertical="bottom"/>
    </xf>
    <xf borderId="0" fillId="26" fontId="4" numFmtId="168" xfId="0" applyAlignment="1" applyFont="1" applyNumberFormat="1">
      <alignment readingOrder="0" vertical="bottom"/>
    </xf>
    <xf borderId="0" fillId="26" fontId="4" numFmtId="0" xfId="0" applyFont="1"/>
    <xf borderId="0" fillId="26" fontId="3" numFmtId="0" xfId="0" applyAlignment="1" applyFont="1">
      <alignment readingOrder="0"/>
    </xf>
    <xf borderId="0" fillId="26" fontId="4" numFmtId="0" xfId="0" applyAlignment="1" applyFont="1">
      <alignment vertical="bottom"/>
    </xf>
    <xf borderId="5" fillId="26" fontId="4" numFmtId="164" xfId="0" applyAlignment="1" applyBorder="1" applyFont="1" applyNumberFormat="1">
      <alignment horizontal="right" readingOrder="0" vertical="bottom"/>
    </xf>
    <xf borderId="0" fillId="26" fontId="4" numFmtId="169" xfId="0" applyAlignment="1" applyFont="1" applyNumberFormat="1">
      <alignment horizontal="right" vertical="bottom"/>
    </xf>
    <xf borderId="0" fillId="26" fontId="3" numFmtId="0" xfId="0" applyFont="1"/>
    <xf borderId="4" fillId="26" fontId="4" numFmtId="0" xfId="0" applyBorder="1" applyFont="1"/>
    <xf borderId="0" fillId="26" fontId="4" numFmtId="0" xfId="0" applyAlignment="1" applyFont="1">
      <alignment horizontal="center" readingOrder="0" vertical="bottom"/>
    </xf>
    <xf borderId="0" fillId="26" fontId="4" numFmtId="0" xfId="0" applyAlignment="1" applyFont="1">
      <alignment horizontal="center"/>
    </xf>
    <xf borderId="4" fillId="26" fontId="4" numFmtId="0" xfId="0" applyAlignment="1" applyBorder="1" applyFont="1">
      <alignment horizontal="center" vertical="bottom"/>
    </xf>
    <xf borderId="0" fillId="26" fontId="10" numFmtId="0" xfId="0" applyAlignment="1" applyFont="1">
      <alignment horizontal="left"/>
    </xf>
    <xf borderId="0" fillId="26" fontId="4" numFmtId="0" xfId="0" applyAlignment="1" applyFont="1">
      <alignment readingOrder="0" shrinkToFit="0" vertical="bottom" wrapText="1"/>
    </xf>
    <xf borderId="0" fillId="26" fontId="4" numFmtId="0" xfId="0" applyAlignment="1" applyFont="1">
      <alignment horizontal="center" readingOrder="0"/>
    </xf>
    <xf borderId="5" fillId="0" fontId="4" numFmtId="0" xfId="0" applyAlignment="1" applyBorder="1" applyFont="1">
      <alignment horizontal="center" vertical="bottom"/>
    </xf>
    <xf borderId="0" fillId="25" fontId="4" numFmtId="0" xfId="0" applyAlignment="1" applyFont="1">
      <alignment vertical="bottom"/>
    </xf>
    <xf borderId="0" fillId="3" fontId="4" numFmtId="0" xfId="0" applyAlignment="1" applyFont="1">
      <alignment vertical="bottom"/>
    </xf>
    <xf borderId="0" fillId="2" fontId="4" numFmtId="164" xfId="0" applyAlignment="1" applyFont="1" applyNumberFormat="1">
      <alignment horizontal="right" vertical="bottom"/>
    </xf>
    <xf borderId="0" fillId="5" fontId="4" numFmtId="164" xfId="0" applyAlignment="1" applyFont="1" applyNumberFormat="1">
      <alignment vertical="bottom"/>
    </xf>
    <xf borderId="0" fillId="26" fontId="11" numFmtId="0" xfId="0" applyAlignment="1" applyFont="1">
      <alignment horizontal="right" shrinkToFit="0" vertical="bottom" wrapText="0"/>
    </xf>
    <xf borderId="0" fillId="26" fontId="4" numFmtId="0" xfId="0" applyAlignment="1" applyFont="1">
      <alignment horizontal="right" shrinkToFit="0" vertical="bottom" wrapText="0"/>
    </xf>
    <xf borderId="0" fillId="26" fontId="4" numFmtId="168" xfId="0" applyAlignment="1" applyFont="1" applyNumberFormat="1">
      <alignment vertical="bottom"/>
    </xf>
    <xf borderId="5" fillId="26" fontId="4" numFmtId="164" xfId="0" applyAlignment="1" applyBorder="1" applyFont="1" applyNumberFormat="1">
      <alignment horizontal="right" vertical="bottom"/>
    </xf>
    <xf borderId="0" fillId="26" fontId="4" numFmtId="166" xfId="0" applyAlignment="1" applyFont="1" applyNumberFormat="1">
      <alignment horizontal="right" readingOrder="0" vertical="bottom"/>
    </xf>
    <xf borderId="4" fillId="26" fontId="4" numFmtId="0" xfId="0" applyAlignment="1" applyBorder="1" applyFont="1">
      <alignment horizontal="center" readingOrder="0" vertical="bottom"/>
    </xf>
    <xf borderId="0" fillId="26" fontId="3" numFmtId="0" xfId="0" applyFont="1"/>
    <xf borderId="0" fillId="26" fontId="4" numFmtId="0" xfId="0" applyAlignment="1" applyFont="1">
      <alignment shrinkToFit="0" vertical="bottom" wrapText="0"/>
    </xf>
    <xf borderId="0" fillId="26" fontId="12" numFmtId="0" xfId="0" applyAlignment="1" applyFont="1">
      <alignment horizontal="right" readingOrder="0" shrinkToFit="0" vertical="bottom" wrapText="0"/>
    </xf>
    <xf borderId="4" fillId="26" fontId="4" numFmtId="0" xfId="0" applyAlignment="1" applyBorder="1" applyFont="1">
      <alignment shrinkToFit="0" vertical="bottom" wrapText="0"/>
    </xf>
    <xf borderId="0" fillId="26" fontId="3" numFmtId="0" xfId="0" applyAlignment="1" applyFont="1">
      <alignment horizontal="center" readingOrder="0"/>
    </xf>
    <xf borderId="0" fillId="26" fontId="4" numFmtId="168" xfId="0" applyAlignment="1" applyFont="1" applyNumberFormat="1">
      <alignment horizontal="center" vertical="bottom"/>
    </xf>
    <xf borderId="0" fillId="0" fontId="4" numFmtId="167" xfId="0" applyAlignment="1" applyFont="1" applyNumberFormat="1">
      <alignment horizontal="right" vertical="bottom"/>
    </xf>
    <xf borderId="0" fillId="0" fontId="4" numFmtId="0" xfId="0" applyAlignment="1" applyFont="1">
      <alignment horizontal="left" vertical="bottom"/>
    </xf>
    <xf borderId="0" fillId="0" fontId="13" numFmtId="0" xfId="0" applyAlignment="1" applyFont="1">
      <alignment horizontal="right" shrinkToFit="0" vertical="bottom" wrapText="0"/>
    </xf>
    <xf borderId="0" fillId="0" fontId="4" numFmtId="0" xfId="0" applyAlignment="1" applyFont="1">
      <alignment horizontal="right" shrinkToFit="0" vertical="bottom" wrapText="0"/>
    </xf>
    <xf borderId="4" fillId="0" fontId="4" numFmtId="0" xfId="0" applyAlignment="1" applyBorder="1" applyFont="1">
      <alignment shrinkToFit="0" vertical="bottom" wrapText="0"/>
    </xf>
    <xf borderId="7" fillId="0" fontId="4" numFmtId="0" xfId="0" applyAlignment="1" applyBorder="1" applyFont="1">
      <alignment horizontal="center" readingOrder="0" vertical="bottom"/>
    </xf>
    <xf borderId="0" fillId="0" fontId="4" numFmtId="168" xfId="0" applyAlignment="1" applyFont="1" applyNumberFormat="1">
      <alignment horizontal="center" readingOrder="0" vertical="bottom"/>
    </xf>
    <xf borderId="0" fillId="0" fontId="4" numFmtId="168" xfId="0" applyAlignment="1" applyFont="1" applyNumberFormat="1">
      <alignment vertical="bottom"/>
    </xf>
    <xf borderId="0" fillId="0" fontId="4" numFmtId="168" xfId="0" applyAlignment="1" applyFont="1" applyNumberFormat="1">
      <alignment readingOrder="0" vertical="bottom"/>
    </xf>
    <xf borderId="0" fillId="5" fontId="4" numFmtId="0" xfId="0" applyFont="1"/>
    <xf borderId="0" fillId="0" fontId="4" numFmtId="0" xfId="0" applyAlignment="1" applyFont="1">
      <alignment readingOrder="0"/>
    </xf>
    <xf borderId="5" fillId="0" fontId="4" numFmtId="164" xfId="0" applyAlignment="1" applyBorder="1" applyFont="1" applyNumberFormat="1">
      <alignment horizontal="right" vertical="bottom"/>
    </xf>
    <xf borderId="0" fillId="0" fontId="4" numFmtId="166" xfId="0" applyAlignment="1" applyFont="1" applyNumberFormat="1">
      <alignment horizontal="right" readingOrder="0" vertical="bottom"/>
    </xf>
    <xf borderId="0" fillId="0" fontId="3" numFmtId="0" xfId="0" applyFont="1"/>
    <xf borderId="4" fillId="3" fontId="4" numFmtId="0" xfId="0" applyBorder="1" applyFont="1"/>
    <xf borderId="0" fillId="0" fontId="4" numFmtId="0" xfId="0" applyAlignment="1" applyFont="1">
      <alignment horizontal="center" readingOrder="0"/>
    </xf>
    <xf borderId="4" fillId="5" fontId="4" numFmtId="0" xfId="0" applyAlignment="1" applyBorder="1" applyFont="1">
      <alignment horizontal="center" vertical="bottom"/>
    </xf>
    <xf borderId="0" fillId="5" fontId="10" numFmtId="0" xfId="0" applyAlignment="1" applyFont="1">
      <alignment horizontal="left"/>
    </xf>
    <xf borderId="0" fillId="24" fontId="4" numFmtId="0" xfId="0" applyAlignment="1" applyFont="1">
      <alignment horizontal="center" vertical="bottom"/>
    </xf>
    <xf borderId="0" fillId="11" fontId="4" numFmtId="0" xfId="0" applyAlignment="1" applyFont="1">
      <alignment readingOrder="0" shrinkToFit="0" vertical="bottom" wrapText="1"/>
    </xf>
    <xf borderId="0" fillId="0" fontId="4" numFmtId="0" xfId="0" applyAlignment="1" applyFont="1">
      <alignment readingOrder="0" shrinkToFit="0" vertical="bottom" wrapText="1"/>
    </xf>
    <xf borderId="0" fillId="5" fontId="4" numFmtId="0" xfId="0" applyAlignment="1" applyFont="1">
      <alignment horizontal="center" vertical="bottom"/>
    </xf>
    <xf borderId="7" fillId="0" fontId="4" numFmtId="0" xfId="0" applyAlignment="1" applyBorder="1" applyFont="1">
      <alignment vertical="bottom"/>
    </xf>
    <xf borderId="0" fillId="0" fontId="4" numFmtId="168" xfId="0" applyAlignment="1" applyFont="1" applyNumberFormat="1">
      <alignment horizontal="center" vertical="bottom"/>
    </xf>
    <xf borderId="4" fillId="0" fontId="4" numFmtId="0" xfId="0" applyAlignment="1" applyBorder="1" applyFont="1">
      <alignment horizontal="center" readingOrder="0" vertical="bottom"/>
    </xf>
    <xf borderId="0" fillId="0" fontId="14" numFmtId="0" xfId="0" applyAlignment="1" applyFont="1">
      <alignment horizontal="right" shrinkToFit="0" vertical="bottom" wrapText="0"/>
    </xf>
    <xf borderId="0" fillId="0" fontId="4" numFmtId="0" xfId="0" applyAlignment="1" applyFont="1">
      <alignment shrinkToFit="0" vertical="bottom" wrapText="0"/>
    </xf>
    <xf borderId="0" fillId="0" fontId="4" numFmtId="0" xfId="0" applyAlignment="1" applyFont="1">
      <alignment shrinkToFit="0" vertical="bottom" wrapText="0"/>
    </xf>
    <xf borderId="0" fillId="0" fontId="4" numFmtId="168" xfId="0" applyAlignment="1" applyFont="1" applyNumberFormat="1">
      <alignment horizontal="right" vertical="bottom"/>
    </xf>
    <xf borderId="0" fillId="0" fontId="4" numFmtId="168" xfId="0" applyAlignment="1" applyFont="1" applyNumberFormat="1">
      <alignment horizontal="right" readingOrder="0" vertical="bottom"/>
    </xf>
    <xf borderId="0" fillId="0" fontId="4" numFmtId="0" xfId="0" applyAlignment="1" applyFont="1">
      <alignment horizontal="left" vertical="bottom"/>
    </xf>
    <xf borderId="4" fillId="0" fontId="4" numFmtId="0" xfId="0" applyAlignment="1" applyBorder="1" applyFont="1">
      <alignment horizontal="center" vertical="bottom"/>
    </xf>
    <xf borderId="0" fillId="0" fontId="4" numFmtId="170" xfId="0" applyAlignment="1" applyFont="1" applyNumberFormat="1">
      <alignment horizontal="right" vertical="bottom"/>
    </xf>
    <xf borderId="0" fillId="0" fontId="4" numFmtId="0" xfId="0" applyAlignment="1" applyFont="1">
      <alignment readingOrder="0" shrinkToFit="0" vertical="bottom" wrapText="0"/>
    </xf>
    <xf borderId="0" fillId="14" fontId="2" numFmtId="0" xfId="0" applyAlignment="1" applyFont="1">
      <alignment readingOrder="0" shrinkToFit="0" vertical="bottom" wrapText="1"/>
    </xf>
    <xf borderId="0" fillId="0" fontId="2" numFmtId="0" xfId="0" applyAlignment="1" applyFont="1">
      <alignment horizontal="left" readingOrder="0" shrinkToFit="0" vertical="bottom" wrapText="1"/>
    </xf>
    <xf borderId="0" fillId="14" fontId="2" numFmtId="0" xfId="0" applyAlignment="1" applyFont="1">
      <alignment horizontal="left" readingOrder="0" shrinkToFit="0" vertical="bottom" wrapText="1"/>
    </xf>
    <xf borderId="0" fillId="14" fontId="2" numFmtId="0" xfId="0" applyAlignment="1" applyFont="1">
      <alignment shrinkToFit="0" vertical="bottom" wrapText="1"/>
    </xf>
    <xf borderId="0" fillId="5" fontId="2" numFmtId="0" xfId="0" applyAlignment="1" applyFont="1">
      <alignment readingOrder="0" shrinkToFit="0" vertical="bottom" wrapText="1"/>
    </xf>
    <xf borderId="0" fillId="0" fontId="15" numFmtId="0" xfId="0" applyAlignment="1" applyFont="1">
      <alignment horizontal="center" shrinkToFit="0" vertical="center" wrapText="1"/>
    </xf>
    <xf borderId="0" fillId="0" fontId="4" numFmtId="164" xfId="0" applyAlignment="1" applyFont="1" applyNumberFormat="1">
      <alignment horizontal="left" vertical="bottom"/>
    </xf>
    <xf borderId="0" fillId="0" fontId="3" numFmtId="164" xfId="0" applyAlignment="1" applyFont="1" applyNumberFormat="1">
      <alignment horizontal="right"/>
    </xf>
    <xf borderId="0" fillId="0" fontId="3" numFmtId="21" xfId="0" applyAlignment="1" applyFont="1" applyNumberFormat="1">
      <alignment horizontal="right"/>
    </xf>
    <xf borderId="0" fillId="0" fontId="3" numFmtId="0" xfId="0" applyAlignment="1" applyFont="1">
      <alignment horizontal="left"/>
    </xf>
    <xf borderId="0" fillId="0" fontId="3" numFmtId="21" xfId="0" applyAlignment="1" applyFont="1" applyNumberFormat="1">
      <alignment horizontal="center"/>
    </xf>
    <xf borderId="0" fillId="17" fontId="4" numFmtId="3" xfId="0" applyAlignment="1" applyFont="1" applyNumberFormat="1">
      <alignment horizontal="center" vertical="bottom"/>
    </xf>
    <xf borderId="0" fillId="3" fontId="4" numFmtId="164" xfId="0" applyAlignment="1" applyFont="1" applyNumberFormat="1">
      <alignment vertical="bottom"/>
    </xf>
    <xf borderId="0" fillId="5" fontId="4" numFmtId="0" xfId="0" applyAlignment="1" applyFont="1">
      <alignment vertical="bottom"/>
    </xf>
    <xf borderId="0" fillId="3" fontId="4" numFmtId="166" xfId="0" applyAlignment="1" applyFont="1" applyNumberFormat="1">
      <alignment vertical="bottom"/>
    </xf>
    <xf borderId="0" fillId="0" fontId="3" numFmtId="0" xfId="0" applyAlignment="1" applyFont="1">
      <alignment horizontal="right"/>
    </xf>
    <xf borderId="0" fillId="3" fontId="4" numFmtId="3" xfId="0" applyAlignment="1" applyFont="1" applyNumberFormat="1">
      <alignment horizontal="center" vertical="bottom"/>
    </xf>
    <xf borderId="0" fillId="22" fontId="2" numFmtId="0" xfId="0" applyAlignment="1" applyFont="1">
      <alignment horizontal="center" vertical="bottom"/>
    </xf>
    <xf borderId="0" fillId="2" fontId="2" numFmtId="0" xfId="0" applyAlignment="1" applyFont="1">
      <alignment shrinkToFit="0" vertical="bottom" wrapText="1"/>
    </xf>
    <xf borderId="0" fillId="27" fontId="2" numFmtId="0" xfId="0" applyAlignment="1" applyFill="1" applyFont="1">
      <alignment shrinkToFit="0" vertical="bottom" wrapText="1"/>
    </xf>
    <xf borderId="0" fillId="2" fontId="2" numFmtId="0" xfId="0" applyAlignment="1" applyFont="1">
      <alignment shrinkToFit="0" vertical="bottom" wrapText="1"/>
    </xf>
    <xf borderId="0" fillId="18" fontId="2" numFmtId="0" xfId="0" applyAlignment="1" applyFont="1">
      <alignment shrinkToFit="0" vertical="bottom" wrapText="1"/>
    </xf>
    <xf borderId="0" fillId="27" fontId="2" numFmtId="0" xfId="0" applyAlignment="1" applyFont="1">
      <alignment shrinkToFit="0" vertical="bottom" wrapText="1"/>
    </xf>
    <xf borderId="0" fillId="20" fontId="16" numFmtId="0" xfId="0" applyAlignment="1" applyFont="1">
      <alignment readingOrder="0" vertical="bottom"/>
    </xf>
    <xf borderId="0" fillId="0" fontId="3" numFmtId="4" xfId="0" applyFont="1" applyNumberFormat="1"/>
    <xf borderId="0" fillId="10" fontId="3" numFmtId="0" xfId="0" applyFont="1"/>
    <xf borderId="0" fillId="10" fontId="4" numFmtId="164" xfId="0" applyAlignment="1" applyFont="1" applyNumberFormat="1">
      <alignment horizontal="right" vertical="bottom"/>
    </xf>
    <xf borderId="0" fillId="3" fontId="4" numFmtId="0" xfId="0" applyAlignment="1" applyFont="1">
      <alignment vertical="bottom"/>
    </xf>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0" fontId="18" numFmtId="0" xfId="0" applyAlignment="1" applyFont="1">
      <alignment readingOrder="0" vertical="bottom"/>
    </xf>
    <xf borderId="0" fillId="0" fontId="17" numFmtId="0" xfId="0" applyAlignment="1" applyFont="1">
      <alignment vertical="bottom"/>
    </xf>
    <xf borderId="0" fillId="0" fontId="4" numFmtId="0" xfId="0" applyFont="1"/>
    <xf borderId="0" fillId="0" fontId="17" numFmtId="0" xfId="0" applyAlignment="1" applyFont="1">
      <alignment shrinkToFit="0" vertical="bottom" wrapText="0"/>
    </xf>
    <xf borderId="0" fillId="0" fontId="3" numFmtId="168" xfId="0" applyFont="1" applyNumberFormat="1"/>
    <xf borderId="0" fillId="0" fontId="19" numFmtId="0" xfId="0" applyAlignment="1" applyFont="1">
      <alignment readingOrder="0" vertical="bottom"/>
    </xf>
    <xf borderId="0" fillId="0" fontId="18" numFmtId="0" xfId="0" applyAlignment="1" applyFont="1">
      <alignment vertical="bottom"/>
    </xf>
    <xf borderId="0" fillId="0" fontId="17" numFmtId="0" xfId="0" applyAlignment="1" applyFont="1">
      <alignment vertical="bottom"/>
    </xf>
    <xf borderId="0" fillId="17" fontId="17" numFmtId="0" xfId="0" applyAlignment="1" applyFont="1">
      <alignment readingOrder="0" vertical="bottom"/>
    </xf>
    <xf borderId="0" fillId="0" fontId="18" numFmtId="0" xfId="0" applyAlignment="1" applyFont="1">
      <alignment shrinkToFit="0" vertical="bottom" wrapText="0"/>
    </xf>
    <xf borderId="0" fillId="0" fontId="3" numFmtId="1" xfId="0" applyFont="1" applyNumberFormat="1"/>
    <xf borderId="0" fillId="0" fontId="17" numFmtId="0" xfId="0" applyAlignment="1" applyFont="1">
      <alignment readingOrder="0" vertical="bottom"/>
    </xf>
    <xf borderId="0" fillId="18" fontId="17" numFmtId="0" xfId="0" applyAlignment="1" applyFont="1">
      <alignment readingOrder="0" vertical="bottom"/>
    </xf>
    <xf borderId="8" fillId="13" fontId="17" numFmtId="0" xfId="0" applyAlignment="1" applyBorder="1" applyFont="1">
      <alignment horizontal="center" vertical="bottom"/>
    </xf>
    <xf borderId="9" fillId="13" fontId="17" numFmtId="0" xfId="0" applyAlignment="1" applyBorder="1" applyFont="1">
      <alignment readingOrder="0" shrinkToFit="0" vertical="bottom" wrapText="1"/>
    </xf>
    <xf borderId="0" fillId="0" fontId="20" numFmtId="0" xfId="0" applyAlignment="1" applyFont="1">
      <alignment horizontal="right" readingOrder="0"/>
    </xf>
    <xf borderId="10" fillId="26" fontId="4" numFmtId="0" xfId="0" applyAlignment="1" applyBorder="1" applyFont="1">
      <alignment horizontal="center" shrinkToFit="0" vertical="bottom" wrapText="1"/>
    </xf>
    <xf borderId="11" fillId="26" fontId="17" numFmtId="0" xfId="0" applyAlignment="1" applyBorder="1" applyFont="1">
      <alignment readingOrder="0" shrinkToFit="0" vertical="bottom" wrapText="1"/>
    </xf>
    <xf borderId="0" fillId="0" fontId="17" numFmtId="168" xfId="0" applyAlignment="1" applyFont="1" applyNumberFormat="1">
      <alignment horizontal="center" readingOrder="0" shrinkToFit="0" vertical="bottom" wrapText="1"/>
    </xf>
    <xf borderId="0" fillId="0" fontId="21" numFmtId="0" xfId="0" applyAlignment="1" applyFont="1">
      <alignment readingOrder="0" shrinkToFit="0" vertical="bottom" wrapText="0"/>
    </xf>
    <xf borderId="9" fillId="13" fontId="17" numFmtId="0" xfId="0" applyAlignment="1" applyBorder="1" applyFont="1">
      <alignment shrinkToFit="0" vertical="bottom" wrapText="1"/>
    </xf>
    <xf borderId="10" fillId="13" fontId="17" numFmtId="0" xfId="0" applyAlignment="1" applyBorder="1" applyFont="1">
      <alignment horizontal="center" vertical="bottom"/>
    </xf>
    <xf borderId="11" fillId="13" fontId="17" numFmtId="0" xfId="0" applyAlignment="1" applyBorder="1" applyFont="1">
      <alignment shrinkToFit="0" vertical="bottom" wrapText="1"/>
    </xf>
    <xf borderId="0" fillId="26" fontId="17" numFmtId="0" xfId="0" applyAlignment="1" applyFont="1">
      <alignment readingOrder="0" shrinkToFit="0" vertical="bottom" wrapText="1"/>
    </xf>
    <xf borderId="0" fillId="26" fontId="17" numFmtId="1" xfId="0" applyAlignment="1" applyFont="1" applyNumberFormat="1">
      <alignment horizontal="center" shrinkToFit="0" vertical="bottom" wrapText="1"/>
    </xf>
    <xf borderId="0" fillId="26" fontId="17" numFmtId="0" xfId="0" applyAlignment="1" applyFont="1">
      <alignment readingOrder="0" shrinkToFit="0" vertical="bottom" wrapText="0"/>
    </xf>
    <xf borderId="0" fillId="26" fontId="17" numFmtId="168" xfId="0" applyAlignment="1" applyFont="1" applyNumberFormat="1">
      <alignment horizontal="center" shrinkToFit="0" vertical="bottom" wrapText="1"/>
    </xf>
    <xf borderId="0" fillId="0" fontId="18" numFmtId="0" xfId="0" applyAlignment="1" applyFont="1">
      <alignment readingOrder="0" shrinkToFit="0" vertical="bottom" wrapText="0"/>
    </xf>
    <xf borderId="0" fillId="0" fontId="17" numFmtId="168" xfId="0" applyAlignment="1" applyFont="1" applyNumberFormat="1">
      <alignment horizontal="center" shrinkToFit="0" vertical="bottom" wrapText="1"/>
    </xf>
    <xf borderId="0" fillId="0" fontId="21" numFmtId="0" xfId="0" applyAlignment="1" applyFont="1">
      <alignment readingOrder="0"/>
    </xf>
    <xf borderId="0" fillId="0" fontId="17" numFmtId="1" xfId="0" applyAlignment="1" applyFont="1" applyNumberFormat="1">
      <alignment horizontal="center" readingOrder="0" shrinkToFit="0" vertical="bottom" wrapText="1"/>
    </xf>
    <xf borderId="0" fillId="0" fontId="19" numFmtId="168" xfId="0" applyAlignment="1" applyFont="1" applyNumberFormat="1">
      <alignment horizontal="left" readingOrder="0" vertical="bottom"/>
    </xf>
    <xf borderId="0" fillId="0" fontId="22" numFmtId="168" xfId="0" applyAlignment="1" applyFont="1" applyNumberFormat="1">
      <alignment horizontal="left" readingOrder="0" shrinkToFit="0" vertical="bottom" wrapText="1"/>
    </xf>
    <xf borderId="0" fillId="0" fontId="19" numFmtId="0" xfId="0" applyAlignment="1" applyFont="1">
      <alignment vertical="bottom"/>
    </xf>
    <xf borderId="0" fillId="0" fontId="17" numFmtId="0" xfId="0" applyAlignment="1" applyFont="1">
      <alignment horizontal="left" readingOrder="0" shrinkToFit="0" vertical="bottom" wrapText="1"/>
    </xf>
    <xf borderId="0" fillId="0" fontId="17" numFmtId="0" xfId="0" applyAlignment="1" applyFont="1">
      <alignment readingOrder="0" shrinkToFit="0" vertical="bottom" wrapText="1"/>
    </xf>
    <xf borderId="0" fillId="0" fontId="17" numFmtId="1" xfId="0" applyAlignment="1" applyFont="1" applyNumberFormat="1">
      <alignment horizontal="center" shrinkToFit="0" vertical="bottom" wrapText="1"/>
    </xf>
    <xf borderId="0" fillId="0" fontId="22" numFmtId="0" xfId="0" applyAlignment="1" applyFont="1">
      <alignment shrinkToFit="0" vertical="bottom" wrapText="0"/>
    </xf>
    <xf borderId="0" fillId="0" fontId="22" numFmtId="0" xfId="0" applyAlignment="1" applyFont="1">
      <alignment readingOrder="0" shrinkToFit="0" vertical="bottom" wrapText="0"/>
    </xf>
    <xf borderId="0" fillId="16" fontId="23" numFmtId="0" xfId="0" applyAlignment="1" applyFont="1">
      <alignment readingOrder="0"/>
    </xf>
    <xf borderId="0" fillId="0" fontId="24" numFmtId="0" xfId="0" applyAlignment="1" applyFont="1">
      <alignment readingOrder="0"/>
    </xf>
    <xf borderId="12" fillId="0" fontId="1" numFmtId="0" xfId="0" applyAlignment="1" applyBorder="1" applyFont="1">
      <alignment shrinkToFit="0" wrapText="0"/>
    </xf>
    <xf borderId="12" fillId="0" fontId="1" numFmtId="0" xfId="0" applyAlignment="1" applyBorder="1" applyFont="1">
      <alignment shrinkToFit="0" wrapText="0"/>
    </xf>
    <xf borderId="12" fillId="0" fontId="3" numFmtId="0" xfId="0" applyBorder="1" applyFont="1"/>
    <xf borderId="12" fillId="0" fontId="3" numFmtId="0" xfId="0" applyBorder="1" applyFont="1"/>
    <xf borderId="12" fillId="0" fontId="3" numFmtId="0" xfId="0" applyAlignment="1" applyBorder="1" applyFont="1">
      <alignment readingOrder="0"/>
    </xf>
    <xf borderId="0" fillId="0" fontId="1" numFmtId="0" xfId="0" applyFont="1"/>
    <xf borderId="0" fillId="0" fontId="25" numFmtId="0" xfId="0" applyFont="1"/>
    <xf borderId="0" fillId="0" fontId="25" numFmtId="0" xfId="0" applyFont="1"/>
    <xf borderId="0" fillId="0" fontId="17" numFmtId="0" xfId="0" applyAlignment="1" applyFont="1">
      <alignment horizontal="right" vertical="bottom"/>
    </xf>
    <xf borderId="0" fillId="0" fontId="17" numFmtId="0" xfId="0" applyAlignment="1" applyFont="1">
      <alignment horizontal="right" readingOrder="0" vertical="bottom"/>
    </xf>
    <xf borderId="0" fillId="0" fontId="17" numFmtId="0" xfId="0" applyAlignment="1" applyFont="1">
      <alignment horizontal="center" shrinkToFit="0" vertical="bottom" wrapText="1"/>
    </xf>
    <xf borderId="0" fillId="0" fontId="20" numFmtId="0" xfId="0" applyFont="1"/>
    <xf borderId="0" fillId="0" fontId="22" numFmtId="0" xfId="0" applyAlignment="1" applyFont="1">
      <alignment readingOrder="0" vertical="bottom"/>
    </xf>
    <xf borderId="0" fillId="0" fontId="22" numFmtId="0" xfId="0" applyAlignment="1" applyFont="1">
      <alignment shrinkToFit="0" vertical="bottom" wrapText="1"/>
    </xf>
    <xf borderId="0" fillId="0" fontId="17" numFmtId="0" xfId="0" applyAlignment="1" applyFont="1">
      <alignment shrinkToFit="0" vertical="bottom" wrapText="1"/>
    </xf>
    <xf borderId="0" fillId="0" fontId="17" numFmtId="0" xfId="0" applyAlignment="1" applyFont="1">
      <alignment readingOrder="0" shrinkToFit="0" vertical="bottom" wrapText="0"/>
    </xf>
    <xf borderId="0" fillId="0" fontId="17" numFmtId="0" xfId="0" applyAlignment="1" applyFont="1">
      <alignment shrinkToFit="0" vertical="bottom" wrapText="1"/>
    </xf>
    <xf borderId="0" fillId="0" fontId="26" numFmtId="0" xfId="0" applyAlignment="1" applyFont="1">
      <alignment readingOrder="0" shrinkToFit="0" vertical="bottom" wrapText="0"/>
    </xf>
    <xf borderId="0" fillId="0" fontId="22" numFmtId="0" xfId="0" applyAlignment="1" applyFont="1">
      <alignment readingOrder="0" shrinkToFit="0" wrapText="1"/>
    </xf>
    <xf borderId="0" fillId="0" fontId="22" numFmtId="0" xfId="0" applyFont="1"/>
    <xf borderId="0" fillId="0" fontId="17" numFmtId="168" xfId="0" applyAlignment="1" applyFont="1" applyNumberFormat="1">
      <alignment horizontal="center"/>
    </xf>
    <xf borderId="0" fillId="0" fontId="4" numFmtId="168" xfId="0" applyFont="1" applyNumberFormat="1"/>
    <xf borderId="0" fillId="0" fontId="22" numFmtId="168" xfId="0" applyAlignment="1" applyFont="1" applyNumberFormat="1">
      <alignment horizontal="center" readingOrder="0"/>
    </xf>
    <xf borderId="0" fillId="0" fontId="22" numFmtId="0" xfId="0" applyAlignment="1" applyFont="1">
      <alignment readingOrder="0"/>
    </xf>
    <xf borderId="0" fillId="0" fontId="17" numFmtId="1" xfId="0" applyAlignment="1" applyFont="1" applyNumberFormat="1">
      <alignment horizontal="center"/>
    </xf>
    <xf borderId="0" fillId="0" fontId="17" numFmtId="0" xfId="0" applyAlignment="1" applyFont="1">
      <alignment horizontal="center"/>
    </xf>
    <xf borderId="0" fillId="0" fontId="20" numFmtId="0" xfId="0" applyAlignment="1" applyFont="1">
      <alignment horizontal="center" readingOrder="0"/>
    </xf>
    <xf borderId="0" fillId="0" fontId="17" numFmtId="0" xfId="0" applyAlignment="1" applyFont="1">
      <alignment horizontal="center" readingOrder="0"/>
    </xf>
    <xf borderId="0" fillId="0" fontId="2" numFmtId="0" xfId="0" applyAlignment="1" applyFont="1">
      <alignment readingOrder="0" vertical="bottom"/>
    </xf>
    <xf borderId="0" fillId="0" fontId="4" numFmtId="0" xfId="0" applyAlignment="1" applyFont="1">
      <alignment readingOrder="0" vertical="bottom"/>
    </xf>
    <xf borderId="0" fillId="8" fontId="4" numFmtId="0" xfId="0" applyAlignment="1" applyFont="1">
      <alignment horizontal="right" vertical="bottom"/>
    </xf>
    <xf borderId="0" fillId="21" fontId="4" numFmtId="0" xfId="0" applyAlignment="1" applyFont="1">
      <alignment horizontal="right" vertical="bottom"/>
    </xf>
    <xf borderId="0" fillId="21" fontId="4" numFmtId="0" xfId="0" applyAlignment="1" applyFont="1">
      <alignment vertical="bottom"/>
    </xf>
    <xf borderId="0" fillId="20" fontId="4" numFmtId="0" xfId="0" applyAlignment="1" applyFont="1">
      <alignment horizontal="right" vertical="bottom"/>
    </xf>
    <xf borderId="0" fillId="20" fontId="4" numFmtId="0" xfId="0" applyAlignment="1" applyFont="1">
      <alignment vertical="bottom"/>
    </xf>
    <xf borderId="0" fillId="19" fontId="4" numFmtId="0" xfId="0" applyAlignment="1" applyFont="1">
      <alignment horizontal="right" vertical="bottom"/>
    </xf>
    <xf borderId="0" fillId="19" fontId="4" numFmtId="0" xfId="0" applyAlignment="1" applyFont="1">
      <alignment vertical="bottom"/>
    </xf>
    <xf borderId="0" fillId="0" fontId="4" numFmtId="0" xfId="0" applyAlignment="1" applyFont="1">
      <alignment horizontal="right" vertical="bottom"/>
    </xf>
    <xf borderId="0" fillId="25" fontId="4" numFmtId="0" xfId="0" applyAlignment="1" applyFont="1">
      <alignment horizontal="right" vertical="bottom"/>
    </xf>
    <xf borderId="0" fillId="27" fontId="4" numFmtId="0" xfId="0" applyAlignment="1" applyFont="1">
      <alignment horizontal="right" vertical="bottom"/>
    </xf>
    <xf borderId="0" fillId="27" fontId="4" numFmtId="0" xfId="0" applyAlignment="1" applyFont="1">
      <alignment vertical="bottom"/>
    </xf>
    <xf borderId="0" fillId="28" fontId="4" numFmtId="0" xfId="0" applyAlignment="1" applyFill="1" applyFont="1">
      <alignment horizontal="right" vertical="bottom"/>
    </xf>
    <xf borderId="0" fillId="28" fontId="4" numFmtId="0" xfId="0" applyAlignment="1" applyFont="1">
      <alignment vertical="bottom"/>
    </xf>
    <xf borderId="0" fillId="29" fontId="4" numFmtId="0" xfId="0" applyAlignment="1" applyFill="1" applyFont="1">
      <alignment horizontal="right" vertical="bottom"/>
    </xf>
    <xf borderId="0" fillId="29" fontId="4" numFmtId="0" xfId="0" applyAlignment="1" applyFont="1">
      <alignment vertical="bottom"/>
    </xf>
    <xf borderId="0" fillId="30" fontId="4" numFmtId="0" xfId="0" applyAlignment="1" applyFill="1" applyFont="1">
      <alignment horizontal="right" vertical="bottom"/>
    </xf>
    <xf borderId="0" fillId="30" fontId="4" numFmtId="0" xfId="0" applyAlignment="1" applyFont="1">
      <alignment vertical="bottom"/>
    </xf>
  </cellXfs>
  <cellStyles count="1">
    <cellStyle xfId="0" name="Normal" builtinId="0"/>
  </cellStyles>
  <dxfs count="17">
    <dxf>
      <font/>
      <fill>
        <patternFill patternType="solid">
          <fgColor rgb="FFFF0000"/>
          <bgColor rgb="FFFF0000"/>
        </patternFill>
      </fill>
      <border/>
    </dxf>
    <dxf>
      <font/>
      <fill>
        <patternFill patternType="solid">
          <fgColor rgb="FF00FF00"/>
          <bgColor rgb="FF00FF00"/>
        </patternFill>
      </fill>
      <border/>
    </dxf>
    <dxf>
      <font/>
      <fill>
        <patternFill patternType="solid">
          <fgColor rgb="FFA4C2F4"/>
          <bgColor rgb="FFA4C2F4"/>
        </patternFill>
      </fill>
      <border/>
    </dxf>
    <dxf>
      <font/>
      <fill>
        <patternFill patternType="solid">
          <fgColor rgb="FF00FFFF"/>
          <bgColor rgb="FF00FFFF"/>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9CB9C"/>
          <bgColor rgb="FFF9CB9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E06666"/>
          <bgColor rgb="FFE06666"/>
        </patternFill>
      </fill>
      <border/>
    </dxf>
    <dxf>
      <font/>
      <fill>
        <patternFill patternType="solid">
          <fgColor rgb="FFEA9999"/>
          <bgColor rgb="FFEA9999"/>
        </patternFill>
      </fill>
      <border/>
    </dxf>
    <dxf>
      <font>
        <b/>
      </font>
      <fill>
        <patternFill patternType="solid">
          <fgColor rgb="FF00FF00"/>
          <bgColor rgb="FF00FF00"/>
        </patternFill>
      </fill>
      <border/>
    </dxf>
    <dxf>
      <font/>
      <fill>
        <patternFill patternType="solid">
          <fgColor rgb="FFB7B7B7"/>
          <bgColor rgb="FFB7B7B7"/>
        </patternFill>
      </fill>
      <border/>
    </dxf>
    <dxf>
      <font/>
      <fill>
        <patternFill patternType="solid">
          <fgColor rgb="FFB4A7D6"/>
          <bgColor rgb="FFB4A7D6"/>
        </patternFill>
      </fill>
      <border/>
    </dxf>
    <dxf>
      <font/>
      <fill>
        <patternFill patternType="solid">
          <fgColor rgb="FF9FC5E8"/>
          <bgColor rgb="FF9FC5E8"/>
        </patternFill>
      </fill>
      <border/>
    </dxf>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8-PCz5uo9JV_C7VWlqhXUKknKj0-eTaF" TargetMode="External"/><Relationship Id="rId42" Type="http://schemas.openxmlformats.org/officeDocument/2006/relationships/hyperlink" Target="https://drive.google.com/open?id=1Ot1xHRqelI_jVpMw-0S_8fFz1YR9sfJ_" TargetMode="External"/><Relationship Id="rId41" Type="http://schemas.openxmlformats.org/officeDocument/2006/relationships/hyperlink" Target="https://drive.google.com/open?id=1YtyAEu96dMsYgvRuXGZOuWFXIthAG-FF" TargetMode="External"/><Relationship Id="rId44" Type="http://schemas.openxmlformats.org/officeDocument/2006/relationships/hyperlink" Target="https://drive.google.com/open?id=1LPYeW83Y8NsWLvnBMU6jQvey_9vVdIP1" TargetMode="External"/><Relationship Id="rId43" Type="http://schemas.openxmlformats.org/officeDocument/2006/relationships/hyperlink" Target="https://drive.google.com/open?id=1bkP-Yg71e_UOLKRLaGte6e9MPrti92r1" TargetMode="External"/><Relationship Id="rId46" Type="http://schemas.openxmlformats.org/officeDocument/2006/relationships/hyperlink" Target="https://drive.google.com/open?id=1mIuDA95xNz1JHMmrj7bgGAisSRzQUEH2" TargetMode="External"/><Relationship Id="rId45" Type="http://schemas.openxmlformats.org/officeDocument/2006/relationships/hyperlink" Target="https://drive.google.com/open?id=1Ka3ZjbaCoPNnFfx3y6_1pE2JWE1F6oYj" TargetMode="External"/><Relationship Id="rId1" Type="http://schemas.openxmlformats.org/officeDocument/2006/relationships/comments" Target="../comments3.xml"/><Relationship Id="rId2" Type="http://schemas.openxmlformats.org/officeDocument/2006/relationships/hyperlink" Target="https://drive.google.com/open?id=1BjTJybZNFQxq3S8K_z8CmOmjx3_Imnli" TargetMode="External"/><Relationship Id="rId3" Type="http://schemas.openxmlformats.org/officeDocument/2006/relationships/hyperlink" Target="https://drive.google.com/open?id=1dsw2JFpNalKr_F8TqaZIgFnlGBBnF9V4" TargetMode="External"/><Relationship Id="rId4" Type="http://schemas.openxmlformats.org/officeDocument/2006/relationships/hyperlink" Target="https://drive.google.com/open?id=1HPnnB5N68TryT-yW_DGyIrOHZ4_0eZpD" TargetMode="External"/><Relationship Id="rId9" Type="http://schemas.openxmlformats.org/officeDocument/2006/relationships/hyperlink" Target="https://drive.google.com/open?id=1PwZjYRGQLRp5n2h2w39Ph4ByLWP1CBAg" TargetMode="External"/><Relationship Id="rId48" Type="http://schemas.openxmlformats.org/officeDocument/2006/relationships/hyperlink" Target="https://drive.google.com/open?id=120LJ4LuTcvI1a6Fe3KieZ1mpmTzM2VxI" TargetMode="External"/><Relationship Id="rId47" Type="http://schemas.openxmlformats.org/officeDocument/2006/relationships/hyperlink" Target="https://drive.google.com/open?id=1YEbG5fMwAkOVA8NmhHedanumSrjUoKej" TargetMode="External"/><Relationship Id="rId49" Type="http://schemas.openxmlformats.org/officeDocument/2006/relationships/hyperlink" Target="https://drive.google.com/open?id=19hBDAiTTDTL1OABR29vUQi5zjf3M5k4G" TargetMode="External"/><Relationship Id="rId5" Type="http://schemas.openxmlformats.org/officeDocument/2006/relationships/hyperlink" Target="https://drive.google.com/open?id=18aV2koMDFv1aMOVs8irkewBcHlprYvjT" TargetMode="External"/><Relationship Id="rId6" Type="http://schemas.openxmlformats.org/officeDocument/2006/relationships/hyperlink" Target="https://drive.google.com/open?id=1d9idm20ZO1CWGf6E4PcokCdfb0l3_Spz" TargetMode="External"/><Relationship Id="rId7" Type="http://schemas.openxmlformats.org/officeDocument/2006/relationships/hyperlink" Target="https://drive.google.com/open?id=1x7VS-okFDPAY4f0YnUZX9J6MpusehsgI" TargetMode="External"/><Relationship Id="rId8" Type="http://schemas.openxmlformats.org/officeDocument/2006/relationships/hyperlink" Target="https://drive.google.com/open?id=1clEBCL01EdXUgpEF6gF3BTidYf7Xmw4w" TargetMode="External"/><Relationship Id="rId31" Type="http://schemas.openxmlformats.org/officeDocument/2006/relationships/hyperlink" Target="https://drive.google.com/open?id=1L0uCP5HxTnplJgQytbVm3K-xk_SGGqjW" TargetMode="External"/><Relationship Id="rId30" Type="http://schemas.openxmlformats.org/officeDocument/2006/relationships/hyperlink" Target="https://drive.google.com/open?id=1unASn4Gtj2wECmCWAt8laI3cLMd2m5Aw" TargetMode="External"/><Relationship Id="rId33" Type="http://schemas.openxmlformats.org/officeDocument/2006/relationships/hyperlink" Target="https://drive.google.com/open?id=1IsSNG79No27AK9Kw2OyucssGDirtFp_V" TargetMode="External"/><Relationship Id="rId32" Type="http://schemas.openxmlformats.org/officeDocument/2006/relationships/hyperlink" Target="https://drive.google.com/open?id=1wtZppJTrRINj8aoKEYBDPrCxw_iCn09v" TargetMode="External"/><Relationship Id="rId35" Type="http://schemas.openxmlformats.org/officeDocument/2006/relationships/hyperlink" Target="https://drive.google.com/open?id=1rOtIhx03aNQ3ZZiJQOvW1URI1TZor3LS" TargetMode="External"/><Relationship Id="rId34" Type="http://schemas.openxmlformats.org/officeDocument/2006/relationships/hyperlink" Target="https://drive.google.com/open?id=1EIRH_GizuMdHmoysBVxndXWUgGTJI8Lo" TargetMode="External"/><Relationship Id="rId37" Type="http://schemas.openxmlformats.org/officeDocument/2006/relationships/hyperlink" Target="https://drive.google.com/open?id=1iGdm0ek_bP8BnNWCXENjjADsoBsnZnxg" TargetMode="External"/><Relationship Id="rId36" Type="http://schemas.openxmlformats.org/officeDocument/2006/relationships/hyperlink" Target="https://drive.google.com/open?id=1PLawb2eN8Upohy96ZMdXH7VY4SjuyJXI" TargetMode="External"/><Relationship Id="rId39" Type="http://schemas.openxmlformats.org/officeDocument/2006/relationships/hyperlink" Target="https://drive.google.com/open?id=1ERWpQnqcUDXg9nt1ed43YPE3bGssqNMK" TargetMode="External"/><Relationship Id="rId38" Type="http://schemas.openxmlformats.org/officeDocument/2006/relationships/hyperlink" Target="https://drive.google.com/open?id=1oKnVyN0ZPD7-WrHPBnBafNRnx5PY6dO2" TargetMode="External"/><Relationship Id="rId20" Type="http://schemas.openxmlformats.org/officeDocument/2006/relationships/hyperlink" Target="https://drive.google.com/open?id=1RM8Nu3_LxhpV9mQ6U5K5o6srXhvLSkLa" TargetMode="External"/><Relationship Id="rId22" Type="http://schemas.openxmlformats.org/officeDocument/2006/relationships/hyperlink" Target="https://drive.google.com/open?id=1BpSBcQfCj3azvqUeXD7jmiMEilTwskYz" TargetMode="External"/><Relationship Id="rId21" Type="http://schemas.openxmlformats.org/officeDocument/2006/relationships/hyperlink" Target="https://drive.google.com/open?id=1liIgEqVcL9cV4INLhU97gTIMjlcW76JO" TargetMode="External"/><Relationship Id="rId24" Type="http://schemas.openxmlformats.org/officeDocument/2006/relationships/hyperlink" Target="https://drive.google.com/open?id=1HUWY2NVlmFJv6NvgIkNSw4yCUN5pLoCo" TargetMode="External"/><Relationship Id="rId23" Type="http://schemas.openxmlformats.org/officeDocument/2006/relationships/hyperlink" Target="https://drive.google.com/open?id=1n33Lyu3PaM6_CdNpWiQJoWvBasQfoqOQ" TargetMode="External"/><Relationship Id="rId26" Type="http://schemas.openxmlformats.org/officeDocument/2006/relationships/hyperlink" Target="https://drive.google.com/open?id=1JS0geHIGgPv8jwDbX30lFx8behvVLyRd" TargetMode="External"/><Relationship Id="rId25" Type="http://schemas.openxmlformats.org/officeDocument/2006/relationships/hyperlink" Target="https://drive.google.com/open?id=1RGL3H8AGtP8YWShC2rKG98i1eT9g0qBm" TargetMode="External"/><Relationship Id="rId28" Type="http://schemas.openxmlformats.org/officeDocument/2006/relationships/hyperlink" Target="https://drive.google.com/open?id=1Nr3DTV2AM-EdEk7HHI9k0YkSbeAUeBfH" TargetMode="External"/><Relationship Id="rId27" Type="http://schemas.openxmlformats.org/officeDocument/2006/relationships/hyperlink" Target="https://drive.google.com/open?id=1CRKGq_-5qBcYv1N2ufZOtUVnLhCLBe8v" TargetMode="External"/><Relationship Id="rId29" Type="http://schemas.openxmlformats.org/officeDocument/2006/relationships/hyperlink" Target="https://drive.google.com/open?id=1VrUIpv6xD2SVmvFRDsB8ihDgeFejzXAh" TargetMode="External"/><Relationship Id="rId51" Type="http://schemas.openxmlformats.org/officeDocument/2006/relationships/hyperlink" Target="https://drive.google.com/open?id=1QENx0Hj5GX2F6WcJHO7HyPZraREyMKB6" TargetMode="External"/><Relationship Id="rId50" Type="http://schemas.openxmlformats.org/officeDocument/2006/relationships/hyperlink" Target="https://drive.google.com/open?id=1ctsNeqo0z6vLIzBXF8KrpNZ29gGZg8Kj" TargetMode="External"/><Relationship Id="rId53" Type="http://schemas.openxmlformats.org/officeDocument/2006/relationships/vmlDrawing" Target="../drawings/vmlDrawing3.vml"/><Relationship Id="rId52" Type="http://schemas.openxmlformats.org/officeDocument/2006/relationships/drawing" Target="../drawings/drawing5.xml"/><Relationship Id="rId11" Type="http://schemas.openxmlformats.org/officeDocument/2006/relationships/hyperlink" Target="https://drive.google.com/open?id=11vtZDrH95aCCUX7PoAorOMhg71MvMwhM" TargetMode="External"/><Relationship Id="rId10" Type="http://schemas.openxmlformats.org/officeDocument/2006/relationships/hyperlink" Target="https://drive.google.com/open?id=1m14RJZnnOm8bpj1CAZKo88NMh4WLhz2P" TargetMode="External"/><Relationship Id="rId13" Type="http://schemas.openxmlformats.org/officeDocument/2006/relationships/hyperlink" Target="https://drive.google.com/open?id=1YmL6eCcjTb_KuX7mAyiUfcDPaOJgC2f9" TargetMode="External"/><Relationship Id="rId12" Type="http://schemas.openxmlformats.org/officeDocument/2006/relationships/hyperlink" Target="https://drive.google.com/open?id=18tMUR5VgF0QC4z-xYlDyQiXtzWvxSnTb" TargetMode="External"/><Relationship Id="rId15" Type="http://schemas.openxmlformats.org/officeDocument/2006/relationships/hyperlink" Target="https://drive.google.com/open?id=1m_E-KsOJUSGONV2-axYC47hKgvEFXtkz" TargetMode="External"/><Relationship Id="rId14" Type="http://schemas.openxmlformats.org/officeDocument/2006/relationships/hyperlink" Target="https://drive.google.com/open?id=1Z5q1HablHFIpe85kuWyY7axI4OFck-Aw" TargetMode="External"/><Relationship Id="rId17" Type="http://schemas.openxmlformats.org/officeDocument/2006/relationships/hyperlink" Target="https://drive.google.com/open?id=1y5W9Lifemc6D1X6tn3i5R5PpDhj5DmZz" TargetMode="External"/><Relationship Id="rId16" Type="http://schemas.openxmlformats.org/officeDocument/2006/relationships/hyperlink" Target="https://drive.google.com/open?id=1F0q8JrNLmuJJI4T82_WSMjdNAPXDcUX8" TargetMode="External"/><Relationship Id="rId19" Type="http://schemas.openxmlformats.org/officeDocument/2006/relationships/hyperlink" Target="https://drive.google.com/open?id=13TrLRYIy-piUvbQWrJSfdLQACN3tsluW" TargetMode="External"/><Relationship Id="rId18" Type="http://schemas.openxmlformats.org/officeDocument/2006/relationships/hyperlink" Target="https://drive.google.com/open?id=1zCrW_XCa-A4RsqFL_NyaM9r9ZLx-Hs3r"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9gjZ2g6wjAQfB0WsPoEvDEr3R4sIK6sjT3g2ofL9Qeo/edit?usp=sharing" TargetMode="External"/><Relationship Id="rId3" Type="http://schemas.openxmlformats.org/officeDocument/2006/relationships/drawing" Target="../drawings/drawing7.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38"/>
  </cols>
  <sheetData>
    <row r="1" ht="41.25" customHeight="1">
      <c r="A1" s="1" t="str">
        <f>IFERROR(__xludf.DUMMYFUNCTION("QUERY({
  'APS Tubes Import'!A1:A100; 
  'ARF Tubes'!M2:M100
}, 
""SELECT Col1 WHERE Col1 IS NOT NULL"", 0)"),"TUBE ID")</f>
        <v>TUBE ID</v>
      </c>
      <c r="B1" s="1" t="str">
        <f>IFERROR(__xludf.DUMMYFUNCTION("QUERY({
  'APS Tubes Import'!V1:V100; 
  'ARF Tubes'!N2:N100
}, 
""SELECT Col1 WHERE Col1 IS NOT NULL"", 0)"),"FINAL
ASSIGNED RUN ID")</f>
        <v>FINAL
ASSIGNED RUN ID</v>
      </c>
      <c r="C1" s="2" t="str">
        <f>'Run Reconcile'!B1</f>
        <v>RUN DATE</v>
      </c>
      <c r="D1" s="3" t="str">
        <f>'APS Tubes Import'!B1</f>
        <v>COLLECTION DATE</v>
      </c>
      <c r="E1" s="4" t="str">
        <f>'APS Tubes Import'!C1</f>
        <v>COLLECTION TIME</v>
      </c>
      <c r="F1" s="1" t="str">
        <f>IFERROR(__xludf.DUMMYFUNCTION("QUERY({
  'APS Tubes Import'!H1:H100; 
  'ARF Tubes'!P2:P100
}, 
""SELECT Col1 WHERE Col1 IS NOT NULL"", 0)"),"FINAL RESULT")</f>
        <v>FINAL RESULT</v>
      </c>
      <c r="G1" s="5" t="str">
        <f>'APS Tubes Import'!N1</f>
        <v>NUM SAMPLES (Pool Level)</v>
      </c>
      <c r="H1" s="6"/>
      <c r="I1" s="6"/>
      <c r="J1" s="6"/>
      <c r="K1" s="6"/>
      <c r="L1" s="6"/>
      <c r="M1" s="6"/>
      <c r="N1" s="6"/>
      <c r="O1" s="6"/>
      <c r="P1" s="6"/>
      <c r="Q1" s="6"/>
      <c r="R1" s="6"/>
      <c r="S1" s="6"/>
      <c r="T1" s="6"/>
      <c r="U1" s="6"/>
      <c r="V1" s="6"/>
      <c r="W1" s="6"/>
      <c r="X1" s="6"/>
      <c r="Y1" s="6"/>
      <c r="Z1" s="6"/>
    </row>
    <row r="2">
      <c r="A2" s="7" t="str">
        <f>IFERROR(__xludf.DUMMYFUNCTION("""COMPUTED_VALUE"""),"AG575")</f>
        <v>AG575</v>
      </c>
      <c r="B2" s="7" t="str">
        <f>IFERROR(__xludf.DUMMYFUNCTION("""COMPUTED_VALUE"""),"RUN-NDHM_2022-05-02_RFR-006")</f>
        <v>RUN-NDHM_2022-05-02_RFR-006</v>
      </c>
      <c r="C2" s="8">
        <f>VLOOKUP(B2,'Run Reconcile'!A$2:B100,2,FALSE)</f>
        <v>44683</v>
      </c>
      <c r="D2" s="9">
        <f>IFERROR(__xludf.DUMMYFUNCTION("QUERY({
  'APS Tubes Import'!B2:B100
}, 
""SELECT Col1 WHERE Col1 IS NOT NULL"", 0)"),44683.0)</f>
        <v>44683</v>
      </c>
      <c r="E2" s="10">
        <f>IFERROR(__xludf.DUMMYFUNCTION("QUERY({
  'APS Tubes Import'!C2:C100; 
  'ARF Tubes'!P2:P100
}, 
""SELECT Col1 WHERE Col1 IS NOT NULL"", 0)"),0.17497685185298906)</f>
        <v>0.1749768519</v>
      </c>
      <c r="F2" s="7" t="str">
        <f>IFERROR(__xludf.DUMMYFUNCTION("""COMPUTED_VALUE"""),"Negative")</f>
        <v>Negative</v>
      </c>
      <c r="G2" s="11">
        <f>IFERROR(__xludf.DUMMYFUNCTION("QUERY({
  'APS Tubes Import'!N2:N100
}, 
""SELECT Col1 WHERE Col1 IS NOT NULL"", 0)"),4.0)</f>
        <v>4</v>
      </c>
    </row>
    <row r="3">
      <c r="A3" s="7" t="str">
        <f>IFERROR(__xludf.DUMMYFUNCTION("""COMPUTED_VALUE"""),"AK7133")</f>
        <v>AK7133</v>
      </c>
      <c r="B3" s="7" t="str">
        <f>IFERROR(__xludf.DUMMYFUNCTION("""COMPUTED_VALUE"""),"RUN-NDHM_2022-05-02_RFR-006")</f>
        <v>RUN-NDHM_2022-05-02_RFR-006</v>
      </c>
      <c r="C3" s="8">
        <f>VLOOKUP(B3,'Run Reconcile'!A$2:B100,2,FALSE)</f>
        <v>44683</v>
      </c>
      <c r="D3" s="12">
        <f>IFERROR(__xludf.DUMMYFUNCTION("""COMPUTED_VALUE"""),44683.0)</f>
        <v>44683</v>
      </c>
      <c r="E3" s="13">
        <f>IFERROR(__xludf.DUMMYFUNCTION("""COMPUTED_VALUE"""),0.17721064814759302)</f>
        <v>0.1772106481</v>
      </c>
      <c r="F3" s="7" t="str">
        <f>IFERROR(__xludf.DUMMYFUNCTION("""COMPUTED_VALUE"""),"Negative")</f>
        <v>Negative</v>
      </c>
      <c r="G3" s="7">
        <f>IFERROR(__xludf.DUMMYFUNCTION("""COMPUTED_VALUE"""),2.0)</f>
        <v>2</v>
      </c>
    </row>
    <row r="4">
      <c r="A4" s="7" t="str">
        <f>IFERROR(__xludf.DUMMYFUNCTION("""COMPUTED_VALUE"""),"AG91")</f>
        <v>AG91</v>
      </c>
      <c r="B4" s="7" t="str">
        <f>IFERROR(__xludf.DUMMYFUNCTION("""COMPUTED_VALUE"""),"RUN-NDHM_2022-05-02_RFR-006")</f>
        <v>RUN-NDHM_2022-05-02_RFR-006</v>
      </c>
      <c r="C4" s="8">
        <f>VLOOKUP(B4,'Run Reconcile'!A$2:B100,2,FALSE)</f>
        <v>44683</v>
      </c>
      <c r="D4" s="12">
        <f>IFERROR(__xludf.DUMMYFUNCTION("""COMPUTED_VALUE"""),44683.0)</f>
        <v>44683</v>
      </c>
      <c r="E4" s="13">
        <f>IFERROR(__xludf.DUMMYFUNCTION("""COMPUTED_VALUE"""),0.17770833333270275)</f>
        <v>0.1777083333</v>
      </c>
      <c r="F4" s="7" t="str">
        <f>IFERROR(__xludf.DUMMYFUNCTION("""COMPUTED_VALUE"""),"Negative")</f>
        <v>Negative</v>
      </c>
      <c r="G4" s="7">
        <f>IFERROR(__xludf.DUMMYFUNCTION("""COMPUTED_VALUE"""),2.0)</f>
        <v>2</v>
      </c>
    </row>
    <row r="5">
      <c r="A5" s="7" t="str">
        <f>IFERROR(__xludf.DUMMYFUNCTION("""COMPUTED_VALUE"""),"AG1419")</f>
        <v>AG1419</v>
      </c>
      <c r="B5" s="7" t="str">
        <f>IFERROR(__xludf.DUMMYFUNCTION("""COMPUTED_VALUE"""),"RUN-NDHM_2022-05-02_RFR-006")</f>
        <v>RUN-NDHM_2022-05-02_RFR-006</v>
      </c>
      <c r="C5" s="8">
        <f>VLOOKUP(B5,'Run Reconcile'!A$2:B100,2,FALSE)</f>
        <v>44683</v>
      </c>
      <c r="D5" s="12">
        <f>IFERROR(__xludf.DUMMYFUNCTION("""COMPUTED_VALUE"""),44683.0)</f>
        <v>44683</v>
      </c>
      <c r="E5" s="13">
        <f>IFERROR(__xludf.DUMMYFUNCTION("""COMPUTED_VALUE"""),0.17806712962919846)</f>
        <v>0.1780671296</v>
      </c>
      <c r="F5" s="7" t="str">
        <f>IFERROR(__xludf.DUMMYFUNCTION("""COMPUTED_VALUE"""),"Negative")</f>
        <v>Negative</v>
      </c>
      <c r="G5" s="7">
        <f>IFERROR(__xludf.DUMMYFUNCTION("""COMPUTED_VALUE"""),2.0)</f>
        <v>2</v>
      </c>
    </row>
    <row r="6">
      <c r="A6" s="7" t="str">
        <f>IFERROR(__xludf.DUMMYFUNCTION("""COMPUTED_VALUE"""),"AH7292")</f>
        <v>AH7292</v>
      </c>
      <c r="B6" s="7" t="str">
        <f>IFERROR(__xludf.DUMMYFUNCTION("""COMPUTED_VALUE"""),"RUN-NDHM_2022-05-02_RFR-006")</f>
        <v>RUN-NDHM_2022-05-02_RFR-006</v>
      </c>
      <c r="C6" s="8">
        <f>VLOOKUP(B6,'Run Reconcile'!A$2:B100,2,FALSE)</f>
        <v>44683</v>
      </c>
      <c r="D6" s="12">
        <f>IFERROR(__xludf.DUMMYFUNCTION("""COMPUTED_VALUE"""),44683.0)</f>
        <v>44683</v>
      </c>
      <c r="E6" s="13">
        <f>IFERROR(__xludf.DUMMYFUNCTION("""COMPUTED_VALUE"""),0.17832175926014315)</f>
        <v>0.1783217593</v>
      </c>
      <c r="F6" s="7" t="str">
        <f>IFERROR(__xludf.DUMMYFUNCTION("""COMPUTED_VALUE"""),"Negative")</f>
        <v>Negative</v>
      </c>
      <c r="G6" s="7">
        <f>IFERROR(__xludf.DUMMYFUNCTION("""COMPUTED_VALUE"""),1.0)</f>
        <v>1</v>
      </c>
    </row>
    <row r="7">
      <c r="A7" s="7" t="str">
        <f>IFERROR(__xludf.DUMMYFUNCTION("""COMPUTED_VALUE"""),"AH7299")</f>
        <v>AH7299</v>
      </c>
      <c r="B7" s="7" t="str">
        <f>IFERROR(__xludf.DUMMYFUNCTION("""COMPUTED_VALUE"""),"RUN-NDHM_2022-05-02_RFR-006")</f>
        <v>RUN-NDHM_2022-05-02_RFR-006</v>
      </c>
      <c r="C7" s="8">
        <f>VLOOKUP(B7,'Run Reconcile'!A$2:B100,2,FALSE)</f>
        <v>44683</v>
      </c>
      <c r="D7" s="12">
        <f>IFERROR(__xludf.DUMMYFUNCTION("""COMPUTED_VALUE"""),44683.0)</f>
        <v>44683</v>
      </c>
      <c r="E7" s="13">
        <f>IFERROR(__xludf.DUMMYFUNCTION("""COMPUTED_VALUE"""),0.1799421296309447)</f>
        <v>0.1799421296</v>
      </c>
      <c r="F7" s="7" t="str">
        <f>IFERROR(__xludf.DUMMYFUNCTION("""COMPUTED_VALUE"""),"Negative")</f>
        <v>Negative</v>
      </c>
      <c r="G7" s="7">
        <f>IFERROR(__xludf.DUMMYFUNCTION("""COMPUTED_VALUE"""),2.0)</f>
        <v>2</v>
      </c>
    </row>
    <row r="8">
      <c r="A8" s="7" t="str">
        <f>IFERROR(__xludf.DUMMYFUNCTION("""COMPUTED_VALUE"""),"AJ9453")</f>
        <v>AJ9453</v>
      </c>
      <c r="B8" s="7" t="str">
        <f>IFERROR(__xludf.DUMMYFUNCTION("""COMPUTED_VALUE"""),"RUN-NDHM_2022-05-02_RFR-006")</f>
        <v>RUN-NDHM_2022-05-02_RFR-006</v>
      </c>
      <c r="C8" s="8">
        <f>VLOOKUP(B8,'Run Reconcile'!A$2:B100,2,FALSE)</f>
        <v>44683</v>
      </c>
      <c r="D8" s="12">
        <f>IFERROR(__xludf.DUMMYFUNCTION("""COMPUTED_VALUE"""),44683.0)</f>
        <v>44683</v>
      </c>
      <c r="E8" s="13">
        <f>IFERROR(__xludf.DUMMYFUNCTION("""COMPUTED_VALUE"""),0.19702546296321088)</f>
        <v>0.197025463</v>
      </c>
      <c r="F8" s="7" t="str">
        <f>IFERROR(__xludf.DUMMYFUNCTION("""COMPUTED_VALUE"""),"Negative")</f>
        <v>Negative</v>
      </c>
      <c r="G8" s="7">
        <f>IFERROR(__xludf.DUMMYFUNCTION("""COMPUTED_VALUE"""),4.0)</f>
        <v>4</v>
      </c>
    </row>
    <row r="9">
      <c r="A9" s="7" t="str">
        <f>IFERROR(__xludf.DUMMYFUNCTION("""COMPUTED_VALUE"""),"AJ8392")</f>
        <v>AJ8392</v>
      </c>
      <c r="B9" s="7" t="str">
        <f>IFERROR(__xludf.DUMMYFUNCTION("""COMPUTED_VALUE"""),"RUN-NDHM_2022-05-02_RFR-006")</f>
        <v>RUN-NDHM_2022-05-02_RFR-006</v>
      </c>
      <c r="C9" s="8">
        <f>VLOOKUP(B9,'Run Reconcile'!A$2:B100,2,FALSE)</f>
        <v>44683</v>
      </c>
      <c r="D9" s="12">
        <f>IFERROR(__xludf.DUMMYFUNCTION("""COMPUTED_VALUE"""),44683.0)</f>
        <v>44683</v>
      </c>
      <c r="E9" s="13">
        <f>IFERROR(__xludf.DUMMYFUNCTION("""COMPUTED_VALUE"""),0.20218749999912689)</f>
        <v>0.2021875</v>
      </c>
      <c r="F9" s="7" t="str">
        <f>IFERROR(__xludf.DUMMYFUNCTION("""COMPUTED_VALUE"""),"Negative")</f>
        <v>Negative</v>
      </c>
      <c r="G9" s="7">
        <f>IFERROR(__xludf.DUMMYFUNCTION("""COMPUTED_VALUE"""),2.0)</f>
        <v>2</v>
      </c>
    </row>
    <row r="10">
      <c r="A10" s="7" t="str">
        <f>IFERROR(__xludf.DUMMYFUNCTION("""COMPUTED_VALUE"""),"AJ9417")</f>
        <v>AJ9417</v>
      </c>
      <c r="B10" s="7" t="str">
        <f>IFERROR(__xludf.DUMMYFUNCTION("""COMPUTED_VALUE"""),"RUN-NDHM_2022-05-02_RFR-006")</f>
        <v>RUN-NDHM_2022-05-02_RFR-006</v>
      </c>
      <c r="C10" s="8">
        <f>VLOOKUP(B10,'Run Reconcile'!A$2:B100,2,FALSE)</f>
        <v>44683</v>
      </c>
      <c r="D10" s="12">
        <f>IFERROR(__xludf.DUMMYFUNCTION("""COMPUTED_VALUE"""),44683.0)</f>
        <v>44683</v>
      </c>
      <c r="E10" s="13">
        <f>IFERROR(__xludf.DUMMYFUNCTION("""COMPUTED_VALUE"""),0.20903935185197042)</f>
        <v>0.2090393519</v>
      </c>
      <c r="F10" s="7" t="str">
        <f>IFERROR(__xludf.DUMMYFUNCTION("""COMPUTED_VALUE"""),"Negative")</f>
        <v>Negative</v>
      </c>
      <c r="G10" s="7">
        <f>IFERROR(__xludf.DUMMYFUNCTION("""COMPUTED_VALUE"""),4.0)</f>
        <v>4</v>
      </c>
    </row>
    <row r="11">
      <c r="A11" s="7" t="str">
        <f>IFERROR(__xludf.DUMMYFUNCTION("""COMPUTED_VALUE"""),"AG1713")</f>
        <v>AG1713</v>
      </c>
      <c r="B11" s="7" t="str">
        <f>IFERROR(__xludf.DUMMYFUNCTION("""COMPUTED_VALUE"""),"RUN-NDHM_2022-05-02_RFR-006")</f>
        <v>RUN-NDHM_2022-05-02_RFR-006</v>
      </c>
      <c r="C11" s="8">
        <f>VLOOKUP(B11,'Run Reconcile'!A$2:B100,2,FALSE)</f>
        <v>44683</v>
      </c>
      <c r="D11" s="12">
        <f>IFERROR(__xludf.DUMMYFUNCTION("""COMPUTED_VALUE"""),44683.0)</f>
        <v>44683</v>
      </c>
      <c r="E11" s="13">
        <f>IFERROR(__xludf.DUMMYFUNCTION("""COMPUTED_VALUE"""),0.2125694444439432)</f>
        <v>0.2125694444</v>
      </c>
      <c r="F11" s="7" t="str">
        <f>IFERROR(__xludf.DUMMYFUNCTION("""COMPUTED_VALUE"""),"Negative")</f>
        <v>Negative</v>
      </c>
      <c r="G11" s="7">
        <f>IFERROR(__xludf.DUMMYFUNCTION("""COMPUTED_VALUE"""),4.0)</f>
        <v>4</v>
      </c>
    </row>
    <row r="12">
      <c r="A12" s="7" t="str">
        <f>IFERROR(__xludf.DUMMYFUNCTION("""COMPUTED_VALUE"""),"AJ9703")</f>
        <v>AJ9703</v>
      </c>
      <c r="B12" s="7" t="str">
        <f>IFERROR(__xludf.DUMMYFUNCTION("""COMPUTED_VALUE"""),"RUN-NDHM_2022-05-02_RFR-006")</f>
        <v>RUN-NDHM_2022-05-02_RFR-006</v>
      </c>
      <c r="C12" s="8">
        <f>VLOOKUP(B12,'Run Reconcile'!A$2:B100,2,FALSE)</f>
        <v>44683</v>
      </c>
      <c r="D12" s="12">
        <f>IFERROR(__xludf.DUMMYFUNCTION("""COMPUTED_VALUE"""),44683.0)</f>
        <v>44683</v>
      </c>
      <c r="E12" s="13">
        <f>IFERROR(__xludf.DUMMYFUNCTION("""COMPUTED_VALUE"""),0.23635416666729725)</f>
        <v>0.2363541667</v>
      </c>
      <c r="F12" s="7" t="str">
        <f>IFERROR(__xludf.DUMMYFUNCTION("""COMPUTED_VALUE"""),"Negative")</f>
        <v>Negative</v>
      </c>
      <c r="G12" s="7">
        <f>IFERROR(__xludf.DUMMYFUNCTION("""COMPUTED_VALUE"""),1.0)</f>
        <v>1</v>
      </c>
    </row>
    <row r="13">
      <c r="A13" s="7" t="str">
        <f>IFERROR(__xludf.DUMMYFUNCTION("""COMPUTED_VALUE"""),"AG213")</f>
        <v>AG213</v>
      </c>
      <c r="B13" s="7" t="str">
        <f>IFERROR(__xludf.DUMMYFUNCTION("""COMPUTED_VALUE"""),"RUN-NDHM_2022-05-02_RFR-006")</f>
        <v>RUN-NDHM_2022-05-02_RFR-006</v>
      </c>
      <c r="C13" s="8">
        <f>VLOOKUP(B13,'Run Reconcile'!A$2:B100,2,FALSE)</f>
        <v>44683</v>
      </c>
      <c r="D13" s="12">
        <f>IFERROR(__xludf.DUMMYFUNCTION("""COMPUTED_VALUE"""),44683.0)</f>
        <v>44683</v>
      </c>
      <c r="E13" s="13">
        <f>IFERROR(__xludf.DUMMYFUNCTION("""COMPUTED_VALUE"""),0.2382638888884685)</f>
        <v>0.2382638889</v>
      </c>
      <c r="F13" s="7" t="str">
        <f>IFERROR(__xludf.DUMMYFUNCTION("""COMPUTED_VALUE"""),"Negative")</f>
        <v>Negative</v>
      </c>
      <c r="G13" s="7">
        <f>IFERROR(__xludf.DUMMYFUNCTION("""COMPUTED_VALUE"""),1.0)</f>
        <v>1</v>
      </c>
    </row>
    <row r="14">
      <c r="A14" s="7" t="str">
        <f>IFERROR(__xludf.DUMMYFUNCTION("""COMPUTED_VALUE"""),"AG252")</f>
        <v>AG252</v>
      </c>
      <c r="B14" s="7" t="str">
        <f>IFERROR(__xludf.DUMMYFUNCTION("""COMPUTED_VALUE"""),"RUN-NDHM_2022-05-02_RFR-006")</f>
        <v>RUN-NDHM_2022-05-02_RFR-006</v>
      </c>
      <c r="C14" s="8">
        <f>VLOOKUP(B14,'Run Reconcile'!A$2:B100,2,FALSE)</f>
        <v>44683</v>
      </c>
      <c r="D14" s="12">
        <f>IFERROR(__xludf.DUMMYFUNCTION("""COMPUTED_VALUE"""),44683.0)</f>
        <v>44683</v>
      </c>
      <c r="E14" s="13">
        <f>IFERROR(__xludf.DUMMYFUNCTION("""COMPUTED_VALUE"""),0.23990740740919136)</f>
        <v>0.2399074074</v>
      </c>
      <c r="F14" s="7" t="str">
        <f>IFERROR(__xludf.DUMMYFUNCTION("""COMPUTED_VALUE"""),"Negative")</f>
        <v>Negative</v>
      </c>
      <c r="G14" s="7">
        <f>IFERROR(__xludf.DUMMYFUNCTION("""COMPUTED_VALUE"""),1.0)</f>
        <v>1</v>
      </c>
    </row>
    <row r="15">
      <c r="A15" s="7" t="str">
        <f>IFERROR(__xludf.DUMMYFUNCTION("""COMPUTED_VALUE"""),"AG2164")</f>
        <v>AG2164</v>
      </c>
      <c r="B15" s="7" t="str">
        <f>IFERROR(__xludf.DUMMYFUNCTION("""COMPUTED_VALUE"""),"RUN-NDHM_2022-05-02_RFR-006")</f>
        <v>RUN-NDHM_2022-05-02_RFR-006</v>
      </c>
      <c r="C15" s="8">
        <f>VLOOKUP(B15,'Run Reconcile'!A$2:B100,2,FALSE)</f>
        <v>44683</v>
      </c>
      <c r="D15" s="12">
        <f>IFERROR(__xludf.DUMMYFUNCTION("""COMPUTED_VALUE"""),44683.0)</f>
        <v>44683</v>
      </c>
      <c r="E15" s="13">
        <f>IFERROR(__xludf.DUMMYFUNCTION("""COMPUTED_VALUE"""),0.2581712962964957)</f>
        <v>0.2581712963</v>
      </c>
      <c r="F15" s="7" t="str">
        <f>IFERROR(__xludf.DUMMYFUNCTION("""COMPUTED_VALUE"""),"Negative")</f>
        <v>Negative</v>
      </c>
      <c r="G15" s="7">
        <f>IFERROR(__xludf.DUMMYFUNCTION("""COMPUTED_VALUE"""),1.0)</f>
        <v>1</v>
      </c>
    </row>
    <row r="16">
      <c r="A16" s="7" t="str">
        <f>IFERROR(__xludf.DUMMYFUNCTION("""COMPUTED_VALUE"""),"AK7529")</f>
        <v>AK7529</v>
      </c>
      <c r="B16" s="7" t="str">
        <f>IFERROR(__xludf.DUMMYFUNCTION("""COMPUTED_VALUE"""),"RUN-NDHM_2022-05-02_RFR-006")</f>
        <v>RUN-NDHM_2022-05-02_RFR-006</v>
      </c>
      <c r="C16" s="8">
        <f>VLOOKUP(B16,'Run Reconcile'!A$2:B100,2,FALSE)</f>
        <v>44683</v>
      </c>
      <c r="D16" s="12">
        <f>IFERROR(__xludf.DUMMYFUNCTION("""COMPUTED_VALUE"""),44683.0)</f>
        <v>44683</v>
      </c>
      <c r="E16" s="13">
        <f>IFERROR(__xludf.DUMMYFUNCTION("""COMPUTED_VALUE"""),0.2757638888906513)</f>
        <v>0.2757638889</v>
      </c>
      <c r="F16" s="7" t="str">
        <f>IFERROR(__xludf.DUMMYFUNCTION("""COMPUTED_VALUE"""),"Negative")</f>
        <v>Negative</v>
      </c>
      <c r="G16" s="7">
        <f>IFERROR(__xludf.DUMMYFUNCTION("""COMPUTED_VALUE"""),1.0)</f>
        <v>1</v>
      </c>
    </row>
    <row r="17">
      <c r="A17" s="7" t="str">
        <f>IFERROR(__xludf.DUMMYFUNCTION("""COMPUTED_VALUE"""),"AH9504")</f>
        <v>AH9504</v>
      </c>
      <c r="B17" s="7" t="str">
        <f>IFERROR(__xludf.DUMMYFUNCTION("""COMPUTED_VALUE"""),"RUN-NDHM_2022-05-02_RFR-006")</f>
        <v>RUN-NDHM_2022-05-02_RFR-006</v>
      </c>
      <c r="C17" s="8">
        <f>VLOOKUP(B17,'Run Reconcile'!A$2:B100,2,FALSE)</f>
        <v>44683</v>
      </c>
      <c r="D17" s="12">
        <f>IFERROR(__xludf.DUMMYFUNCTION("""COMPUTED_VALUE"""),44683.0)</f>
        <v>44683</v>
      </c>
      <c r="E17" s="13">
        <f>IFERROR(__xludf.DUMMYFUNCTION("""COMPUTED_VALUE"""),0.27810185185080627)</f>
        <v>0.2781018519</v>
      </c>
      <c r="F17" s="7" t="str">
        <f>IFERROR(__xludf.DUMMYFUNCTION("""COMPUTED_VALUE"""),"Negative")</f>
        <v>Negative</v>
      </c>
      <c r="G17" s="7">
        <f>IFERROR(__xludf.DUMMYFUNCTION("""COMPUTED_VALUE"""),1.0)</f>
        <v>1</v>
      </c>
    </row>
    <row r="18">
      <c r="A18" s="7" t="str">
        <f>IFERROR(__xludf.DUMMYFUNCTION("""COMPUTED_VALUE"""),"AG1866")</f>
        <v>AG1866</v>
      </c>
      <c r="B18" s="7" t="str">
        <f>IFERROR(__xludf.DUMMYFUNCTION("""COMPUTED_VALUE"""),"RUN-NDHM_2022-05-02_RFR-006")</f>
        <v>RUN-NDHM_2022-05-02_RFR-006</v>
      </c>
      <c r="C18" s="8">
        <f>VLOOKUP(B18,'Run Reconcile'!A$2:B100,2,FALSE)</f>
        <v>44683</v>
      </c>
      <c r="D18" s="12">
        <f>IFERROR(__xludf.DUMMYFUNCTION("""COMPUTED_VALUE"""),44683.0)</f>
        <v>44683</v>
      </c>
      <c r="E18" s="13">
        <f>IFERROR(__xludf.DUMMYFUNCTION("""COMPUTED_VALUE"""),0.3842013888897782)</f>
        <v>0.3842013889</v>
      </c>
      <c r="F18" s="7" t="str">
        <f>IFERROR(__xludf.DUMMYFUNCTION("""COMPUTED_VALUE"""),"Negative")</f>
        <v>Negative</v>
      </c>
      <c r="G18" s="7">
        <f>IFERROR(__xludf.DUMMYFUNCTION("""COMPUTED_VALUE"""),1.0)</f>
        <v>1</v>
      </c>
    </row>
    <row r="19">
      <c r="A19" s="7" t="str">
        <f>IFERROR(__xludf.DUMMYFUNCTION("""COMPUTED_VALUE"""),"AK5211")</f>
        <v>AK5211</v>
      </c>
      <c r="B19" s="7" t="str">
        <f>IFERROR(__xludf.DUMMYFUNCTION("""COMPUTED_VALUE"""),"RUN-NDHM_2022-05-09_RFR-009")</f>
        <v>RUN-NDHM_2022-05-09_RFR-009</v>
      </c>
      <c r="C19" s="8">
        <f>VLOOKUP(B19,'Run Reconcile'!A$2:B100,2,FALSE)</f>
        <v>44690</v>
      </c>
      <c r="D19" s="12">
        <f>IFERROR(__xludf.DUMMYFUNCTION("""COMPUTED_VALUE"""),44689.0)</f>
        <v>44689</v>
      </c>
      <c r="E19" s="13">
        <f>IFERROR(__xludf.DUMMYFUNCTION("""COMPUTED_VALUE"""),0.8260300925940101)</f>
        <v>0.8260300926</v>
      </c>
      <c r="F19" s="7" t="str">
        <f>IFERROR(__xludf.DUMMYFUNCTION("""COMPUTED_VALUE"""),"Negative")</f>
        <v>Negative</v>
      </c>
      <c r="G19" s="7">
        <f>IFERROR(__xludf.DUMMYFUNCTION("""COMPUTED_VALUE"""),4.0)</f>
        <v>4</v>
      </c>
    </row>
    <row r="20">
      <c r="A20" s="7" t="str">
        <f>IFERROR(__xludf.DUMMYFUNCTION("""COMPUTED_VALUE"""),"AG469")</f>
        <v>AG469</v>
      </c>
      <c r="B20" s="7" t="str">
        <f>IFERROR(__xludf.DUMMYFUNCTION("""COMPUTED_VALUE"""),"RUN-NDHM_2022-05-09_RFR-009")</f>
        <v>RUN-NDHM_2022-05-09_RFR-009</v>
      </c>
      <c r="C20" s="8">
        <f>VLOOKUP(B20,'Run Reconcile'!A$2:B100,2,FALSE)</f>
        <v>44690</v>
      </c>
      <c r="D20" s="12">
        <f>IFERROR(__xludf.DUMMYFUNCTION("""COMPUTED_VALUE"""),44690.0)</f>
        <v>44690</v>
      </c>
      <c r="E20" s="13">
        <f>IFERROR(__xludf.DUMMYFUNCTION("""COMPUTED_VALUE"""),0.1700231481481751)</f>
        <v>0.1700231481</v>
      </c>
      <c r="F20" s="7" t="str">
        <f>IFERROR(__xludf.DUMMYFUNCTION("""COMPUTED_VALUE"""),"Negative")</f>
        <v>Negative</v>
      </c>
      <c r="G20" s="7">
        <f>IFERROR(__xludf.DUMMYFUNCTION("""COMPUTED_VALUE"""),4.0)</f>
        <v>4</v>
      </c>
    </row>
    <row r="21">
      <c r="A21" s="7" t="str">
        <f>IFERROR(__xludf.DUMMYFUNCTION("""COMPUTED_VALUE"""),"AH7931")</f>
        <v>AH7931</v>
      </c>
      <c r="B21" s="7" t="str">
        <f>IFERROR(__xludf.DUMMYFUNCTION("""COMPUTED_VALUE"""),"RUN-NDHM_2022-05-09_RFR-009")</f>
        <v>RUN-NDHM_2022-05-09_RFR-009</v>
      </c>
      <c r="C21" s="8">
        <f>VLOOKUP(B21,'Run Reconcile'!A$2:B100,2,FALSE)</f>
        <v>44690</v>
      </c>
      <c r="D21" s="12">
        <f>IFERROR(__xludf.DUMMYFUNCTION("""COMPUTED_VALUE"""),44690.0)</f>
        <v>44690</v>
      </c>
      <c r="E21" s="13">
        <f>IFERROR(__xludf.DUMMYFUNCTION("""COMPUTED_VALUE"""),0.1787037037029222)</f>
        <v>0.1787037037</v>
      </c>
      <c r="F21" s="7" t="str">
        <f>IFERROR(__xludf.DUMMYFUNCTION("""COMPUTED_VALUE"""),"Negative")</f>
        <v>Negative</v>
      </c>
      <c r="G21" s="7">
        <f>IFERROR(__xludf.DUMMYFUNCTION("""COMPUTED_VALUE"""),3.0)</f>
        <v>3</v>
      </c>
    </row>
    <row r="22">
      <c r="A22" s="7" t="str">
        <f>IFERROR(__xludf.DUMMYFUNCTION("""COMPUTED_VALUE"""),"AH1039")</f>
        <v>AH1039</v>
      </c>
      <c r="B22" s="7" t="str">
        <f>IFERROR(__xludf.DUMMYFUNCTION("""COMPUTED_VALUE"""),"RUN-NDHM_2022-05-09_RFR-009")</f>
        <v>RUN-NDHM_2022-05-09_RFR-009</v>
      </c>
      <c r="C22" s="8">
        <f>VLOOKUP(B22,'Run Reconcile'!A$2:B100,2,FALSE)</f>
        <v>44690</v>
      </c>
      <c r="D22" s="12">
        <f>IFERROR(__xludf.DUMMYFUNCTION("""COMPUTED_VALUE"""),44690.0)</f>
        <v>44690</v>
      </c>
      <c r="E22" s="13">
        <f>IFERROR(__xludf.DUMMYFUNCTION("""COMPUTED_VALUE"""),0.2029050925921183)</f>
        <v>0.2029050926</v>
      </c>
      <c r="F22" s="7" t="str">
        <f>IFERROR(__xludf.DUMMYFUNCTION("""COMPUTED_VALUE"""),"Negative")</f>
        <v>Negative</v>
      </c>
      <c r="G22" s="7">
        <f>IFERROR(__xludf.DUMMYFUNCTION("""COMPUTED_VALUE"""),3.0)</f>
        <v>3</v>
      </c>
    </row>
    <row r="23">
      <c r="A23" s="7" t="str">
        <f>IFERROR(__xludf.DUMMYFUNCTION("""COMPUTED_VALUE"""),"AJ8556")</f>
        <v>AJ8556</v>
      </c>
      <c r="B23" s="7" t="str">
        <f>IFERROR(__xludf.DUMMYFUNCTION("""COMPUTED_VALUE"""),"RUN-NDHM_2022-05-09_RFR-009")</f>
        <v>RUN-NDHM_2022-05-09_RFR-009</v>
      </c>
      <c r="C23" s="8">
        <f>VLOOKUP(B23,'Run Reconcile'!A$2:B100,2,FALSE)</f>
        <v>44690</v>
      </c>
      <c r="D23" s="12">
        <f>IFERROR(__xludf.DUMMYFUNCTION("""COMPUTED_VALUE"""),44690.0)</f>
        <v>44690</v>
      </c>
      <c r="E23" s="13">
        <f>IFERROR(__xludf.DUMMYFUNCTION("""COMPUTED_VALUE"""),0.21353009259109967)</f>
        <v>0.2135300926</v>
      </c>
      <c r="F23" s="7" t="str">
        <f>IFERROR(__xludf.DUMMYFUNCTION("""COMPUTED_VALUE"""),"Negative")</f>
        <v>Negative</v>
      </c>
      <c r="G23" s="7">
        <f>IFERROR(__xludf.DUMMYFUNCTION("""COMPUTED_VALUE"""),4.0)</f>
        <v>4</v>
      </c>
    </row>
    <row r="24">
      <c r="A24" s="7" t="str">
        <f>IFERROR(__xludf.DUMMYFUNCTION("""COMPUTED_VALUE"""),"AG815")</f>
        <v>AG815</v>
      </c>
      <c r="B24" s="7" t="str">
        <f>IFERROR(__xludf.DUMMYFUNCTION("""COMPUTED_VALUE"""),"RUN-NDHM_2022-05-09_RFR-009")</f>
        <v>RUN-NDHM_2022-05-09_RFR-009</v>
      </c>
      <c r="C24" s="8">
        <f>VLOOKUP(B24,'Run Reconcile'!A$2:B100,2,FALSE)</f>
        <v>44690</v>
      </c>
      <c r="D24" s="12">
        <f>IFERROR(__xludf.DUMMYFUNCTION("""COMPUTED_VALUE"""),44690.0)</f>
        <v>44690</v>
      </c>
      <c r="E24" s="13">
        <f>IFERROR(__xludf.DUMMYFUNCTION("""COMPUTED_VALUE"""),0.24370370370525052)</f>
        <v>0.2437037037</v>
      </c>
      <c r="F24" s="7" t="str">
        <f>IFERROR(__xludf.DUMMYFUNCTION("""COMPUTED_VALUE"""),"Negative")</f>
        <v>Negative</v>
      </c>
      <c r="G24" s="7">
        <f>IFERROR(__xludf.DUMMYFUNCTION("""COMPUTED_VALUE"""),1.0)</f>
        <v>1</v>
      </c>
    </row>
    <row r="25">
      <c r="A25" s="7" t="str">
        <f>IFERROR(__xludf.DUMMYFUNCTION("""COMPUTED_VALUE"""),"AG1523")</f>
        <v>AG1523</v>
      </c>
      <c r="B25" s="7" t="str">
        <f>IFERROR(__xludf.DUMMYFUNCTION("""COMPUTED_VALUE"""),"RUN-NDHM_2022-05-09_RFR-009")</f>
        <v>RUN-NDHM_2022-05-09_RFR-009</v>
      </c>
      <c r="C25" s="8">
        <f>VLOOKUP(B25,'Run Reconcile'!A$2:B100,2,FALSE)</f>
        <v>44690</v>
      </c>
      <c r="D25" s="12">
        <f>IFERROR(__xludf.DUMMYFUNCTION("""COMPUTED_VALUE"""),44690.0)</f>
        <v>44690</v>
      </c>
      <c r="E25" s="13">
        <f>IFERROR(__xludf.DUMMYFUNCTION("""COMPUTED_VALUE"""),0.27951388889050577)</f>
        <v>0.2795138889</v>
      </c>
      <c r="F25" s="7" t="str">
        <f>IFERROR(__xludf.DUMMYFUNCTION("""COMPUTED_VALUE"""),"Negative")</f>
        <v>Negative</v>
      </c>
      <c r="G25" s="7">
        <f>IFERROR(__xludf.DUMMYFUNCTION("""COMPUTED_VALUE"""),1.0)</f>
        <v>1</v>
      </c>
    </row>
    <row r="26">
      <c r="A26" s="7" t="str">
        <f>IFERROR(__xludf.DUMMYFUNCTION("""COMPUTED_VALUE"""),"AH266")</f>
        <v>AH266</v>
      </c>
      <c r="B26" s="7" t="str">
        <f>IFERROR(__xludf.DUMMYFUNCTION("""COMPUTED_VALUE"""),"RUN-NDHM_2022-05-09_RFR-009")</f>
        <v>RUN-NDHM_2022-05-09_RFR-009</v>
      </c>
      <c r="C26" s="8">
        <f>VLOOKUP(B26,'Run Reconcile'!A$2:B100,2,FALSE)</f>
        <v>44690</v>
      </c>
      <c r="D26" s="12">
        <f>IFERROR(__xludf.DUMMYFUNCTION("""COMPUTED_VALUE"""),44690.0)</f>
        <v>44690</v>
      </c>
      <c r="E26" s="13">
        <f>IFERROR(__xludf.DUMMYFUNCTION("""COMPUTED_VALUE"""),0.2801620370373712)</f>
        <v>0.280162037</v>
      </c>
      <c r="F26" s="7" t="str">
        <f>IFERROR(__xludf.DUMMYFUNCTION("""COMPUTED_VALUE"""),"Negative")</f>
        <v>Negative</v>
      </c>
      <c r="G26" s="7">
        <f>IFERROR(__xludf.DUMMYFUNCTION("""COMPUTED_VALUE"""),2.0)</f>
        <v>2</v>
      </c>
    </row>
    <row r="27">
      <c r="A27" s="7" t="str">
        <f>IFERROR(__xludf.DUMMYFUNCTION("""COMPUTED_VALUE"""),"AJ8574")</f>
        <v>AJ8574</v>
      </c>
      <c r="B27" s="7" t="str">
        <f>IFERROR(__xludf.DUMMYFUNCTION("""COMPUTED_VALUE"""),"RUN-NDHM_2022-05-16_RFR-010")</f>
        <v>RUN-NDHM_2022-05-16_RFR-010</v>
      </c>
      <c r="C27" s="8">
        <f>VLOOKUP(B27,'Run Reconcile'!A$2:B100,2,FALSE)</f>
        <v>44697</v>
      </c>
      <c r="D27" s="12">
        <f>IFERROR(__xludf.DUMMYFUNCTION("""COMPUTED_VALUE"""),44696.0)</f>
        <v>44696</v>
      </c>
      <c r="E27" s="13">
        <f>IFERROR(__xludf.DUMMYFUNCTION("""COMPUTED_VALUE"""),0.7482523148137261)</f>
        <v>0.7482523148</v>
      </c>
      <c r="F27" s="7" t="str">
        <f>IFERROR(__xludf.DUMMYFUNCTION("""COMPUTED_VALUE"""),"Negative")</f>
        <v>Negative</v>
      </c>
      <c r="G27" s="7">
        <f>IFERROR(__xludf.DUMMYFUNCTION("""COMPUTED_VALUE"""),2.0)</f>
        <v>2</v>
      </c>
    </row>
    <row r="28">
      <c r="A28" s="7" t="str">
        <f>IFERROR(__xludf.DUMMYFUNCTION("""COMPUTED_VALUE"""),"AH7225")</f>
        <v>AH7225</v>
      </c>
      <c r="B28" s="7" t="str">
        <f>IFERROR(__xludf.DUMMYFUNCTION("""COMPUTED_VALUE"""),"RUN-NDHM_2022-05-16_RFR-010")</f>
        <v>RUN-NDHM_2022-05-16_RFR-010</v>
      </c>
      <c r="C28" s="8">
        <f>VLOOKUP(B28,'Run Reconcile'!A$2:B100,2,FALSE)</f>
        <v>44697</v>
      </c>
      <c r="D28" s="12">
        <f>IFERROR(__xludf.DUMMYFUNCTION("""COMPUTED_VALUE"""),44697.0)</f>
        <v>44697</v>
      </c>
      <c r="E28" s="13">
        <f>IFERROR(__xludf.DUMMYFUNCTION("""COMPUTED_VALUE"""),0.15361111111269565)</f>
        <v>0.1536111111</v>
      </c>
      <c r="F28" s="7" t="str">
        <f>IFERROR(__xludf.DUMMYFUNCTION("""COMPUTED_VALUE"""),"Negative")</f>
        <v>Negative</v>
      </c>
      <c r="G28" s="7">
        <f>IFERROR(__xludf.DUMMYFUNCTION("""COMPUTED_VALUE"""),2.0)</f>
        <v>2</v>
      </c>
    </row>
    <row r="29">
      <c r="A29" s="7" t="str">
        <f>IFERROR(__xludf.DUMMYFUNCTION("""COMPUTED_VALUE"""),"AG1637")</f>
        <v>AG1637</v>
      </c>
      <c r="B29" s="7" t="str">
        <f>IFERROR(__xludf.DUMMYFUNCTION("""COMPUTED_VALUE"""),"RUN-NDHM_2022-05-16_RFR-010")</f>
        <v>RUN-NDHM_2022-05-16_RFR-010</v>
      </c>
      <c r="C29" s="8">
        <f>VLOOKUP(B29,'Run Reconcile'!A$2:B100,2,FALSE)</f>
        <v>44697</v>
      </c>
      <c r="D29" s="12">
        <f>IFERROR(__xludf.DUMMYFUNCTION("""COMPUTED_VALUE"""),44697.0)</f>
        <v>44697</v>
      </c>
      <c r="E29" s="13">
        <f>IFERROR(__xludf.DUMMYFUNCTION("""COMPUTED_VALUE"""),0.17675925925868796)</f>
        <v>0.1767592593</v>
      </c>
      <c r="F29" s="7" t="str">
        <f>IFERROR(__xludf.DUMMYFUNCTION("""COMPUTED_VALUE"""),"Negative")</f>
        <v>Negative</v>
      </c>
      <c r="G29" s="7">
        <f>IFERROR(__xludf.DUMMYFUNCTION("""COMPUTED_VALUE"""),4.0)</f>
        <v>4</v>
      </c>
    </row>
    <row r="30">
      <c r="A30" s="7" t="str">
        <f>IFERROR(__xludf.DUMMYFUNCTION("""COMPUTED_VALUE"""),"AG1103")</f>
        <v>AG1103</v>
      </c>
      <c r="B30" s="7" t="str">
        <f>IFERROR(__xludf.DUMMYFUNCTION("""COMPUTED_VALUE"""),"RUN-NDHM_2022-05-16_RFR-010")</f>
        <v>RUN-NDHM_2022-05-16_RFR-010</v>
      </c>
      <c r="C30" s="8">
        <f>VLOOKUP(B30,'Run Reconcile'!A$2:B100,2,FALSE)</f>
        <v>44697</v>
      </c>
      <c r="D30" s="12">
        <f>IFERROR(__xludf.DUMMYFUNCTION("""COMPUTED_VALUE"""),44697.0)</f>
        <v>44697</v>
      </c>
      <c r="E30" s="13">
        <f>IFERROR(__xludf.DUMMYFUNCTION("""COMPUTED_VALUE"""),0.1903009259258397)</f>
        <v>0.1903009259</v>
      </c>
      <c r="F30" s="7" t="str">
        <f>IFERROR(__xludf.DUMMYFUNCTION("""COMPUTED_VALUE"""),"Negative")</f>
        <v>Negative</v>
      </c>
      <c r="G30" s="7">
        <f>IFERROR(__xludf.DUMMYFUNCTION("""COMPUTED_VALUE"""),4.0)</f>
        <v>4</v>
      </c>
    </row>
    <row r="31">
      <c r="A31" s="7" t="str">
        <f>IFERROR(__xludf.DUMMYFUNCTION("""COMPUTED_VALUE"""),"AJ7985")</f>
        <v>AJ7985</v>
      </c>
      <c r="B31" s="7" t="str">
        <f>IFERROR(__xludf.DUMMYFUNCTION("""COMPUTED_VALUE"""),"RUN-NDHM_2022-05-16_RFR-010")</f>
        <v>RUN-NDHM_2022-05-16_RFR-010</v>
      </c>
      <c r="C31" s="8">
        <f>VLOOKUP(B31,'Run Reconcile'!A$2:B100,2,FALSE)</f>
        <v>44697</v>
      </c>
      <c r="D31" s="12">
        <f>IFERROR(__xludf.DUMMYFUNCTION("""COMPUTED_VALUE"""),44697.0)</f>
        <v>44697</v>
      </c>
      <c r="E31" s="13">
        <f>IFERROR(__xludf.DUMMYFUNCTION("""COMPUTED_VALUE"""),0.2023611111108039)</f>
        <v>0.2023611111</v>
      </c>
      <c r="F31" s="7" t="str">
        <f>IFERROR(__xludf.DUMMYFUNCTION("""COMPUTED_VALUE"""),"Negative")</f>
        <v>Negative</v>
      </c>
      <c r="G31" s="7">
        <f>IFERROR(__xludf.DUMMYFUNCTION("""COMPUTED_VALUE"""),3.0)</f>
        <v>3</v>
      </c>
    </row>
    <row r="32">
      <c r="A32" s="7" t="str">
        <f>IFERROR(__xludf.DUMMYFUNCTION("""COMPUTED_VALUE"""),"AH9668")</f>
        <v>AH9668</v>
      </c>
      <c r="B32" s="7" t="str">
        <f>IFERROR(__xludf.DUMMYFUNCTION("""COMPUTED_VALUE"""),"RUN-NDHM_2022-05-16_RFR-010")</f>
        <v>RUN-NDHM_2022-05-16_RFR-010</v>
      </c>
      <c r="C32" s="8">
        <f>VLOOKUP(B32,'Run Reconcile'!A$2:B100,2,FALSE)</f>
        <v>44697</v>
      </c>
      <c r="D32" s="12">
        <f>IFERROR(__xludf.DUMMYFUNCTION("""COMPUTED_VALUE"""),44697.0)</f>
        <v>44697</v>
      </c>
      <c r="E32" s="13">
        <f>IFERROR(__xludf.DUMMYFUNCTION("""COMPUTED_VALUE"""),0.20684027777679148)</f>
        <v>0.2068402778</v>
      </c>
      <c r="F32" s="7" t="str">
        <f>IFERROR(__xludf.DUMMYFUNCTION("""COMPUTED_VALUE"""),"Negative")</f>
        <v>Negative</v>
      </c>
      <c r="G32" s="7">
        <f>IFERROR(__xludf.DUMMYFUNCTION("""COMPUTED_VALUE"""),2.0)</f>
        <v>2</v>
      </c>
    </row>
    <row r="33">
      <c r="A33" s="7" t="str">
        <f>IFERROR(__xludf.DUMMYFUNCTION("""COMPUTED_VALUE"""),"AJ8977")</f>
        <v>AJ8977</v>
      </c>
      <c r="B33" s="7" t="str">
        <f>IFERROR(__xludf.DUMMYFUNCTION("""COMPUTED_VALUE"""),"RUN-NDHM_2022-05-16_RFR-010")</f>
        <v>RUN-NDHM_2022-05-16_RFR-010</v>
      </c>
      <c r="C33" s="8">
        <f>VLOOKUP(B33,'Run Reconcile'!A$2:B100,2,FALSE)</f>
        <v>44697</v>
      </c>
      <c r="D33" s="12">
        <f>IFERROR(__xludf.DUMMYFUNCTION("""COMPUTED_VALUE"""),44697.0)</f>
        <v>44697</v>
      </c>
      <c r="E33" s="13">
        <f>IFERROR(__xludf.DUMMYFUNCTION("""COMPUTED_VALUE"""),0.20903935185197042)</f>
        <v>0.2090393519</v>
      </c>
      <c r="F33" s="7" t="str">
        <f>IFERROR(__xludf.DUMMYFUNCTION("""COMPUTED_VALUE"""),"Negative")</f>
        <v>Negative</v>
      </c>
      <c r="G33" s="7">
        <f>IFERROR(__xludf.DUMMYFUNCTION("""COMPUTED_VALUE"""),4.0)</f>
        <v>4</v>
      </c>
    </row>
    <row r="34">
      <c r="A34" s="7" t="str">
        <f>IFERROR(__xludf.DUMMYFUNCTION("""COMPUTED_VALUE"""),"AG570")</f>
        <v>AG570</v>
      </c>
      <c r="B34" s="7" t="str">
        <f>IFERROR(__xludf.DUMMYFUNCTION("""COMPUTED_VALUE"""),"RUN-NDHM_2022-05-16_RFR-010")</f>
        <v>RUN-NDHM_2022-05-16_RFR-010</v>
      </c>
      <c r="C34" s="8">
        <f>VLOOKUP(B34,'Run Reconcile'!A$2:B100,2,FALSE)</f>
        <v>44697</v>
      </c>
      <c r="D34" s="12">
        <f>IFERROR(__xludf.DUMMYFUNCTION("""COMPUTED_VALUE"""),44697.0)</f>
        <v>44697</v>
      </c>
      <c r="E34" s="13">
        <f>IFERROR(__xludf.DUMMYFUNCTION("""COMPUTED_VALUE"""),0.2689351851840911)</f>
        <v>0.2689351852</v>
      </c>
      <c r="F34" s="7" t="str">
        <f>IFERROR(__xludf.DUMMYFUNCTION("""COMPUTED_VALUE"""),"Negative")</f>
        <v>Negative</v>
      </c>
      <c r="G34" s="7">
        <f>IFERROR(__xludf.DUMMYFUNCTION("""COMPUTED_VALUE"""),1.0)</f>
        <v>1</v>
      </c>
    </row>
    <row r="35">
      <c r="A35" s="7" t="str">
        <f>IFERROR(__xludf.DUMMYFUNCTION("""COMPUTED_VALUE"""),"AH63")</f>
        <v>AH63</v>
      </c>
      <c r="B35" s="7" t="str">
        <f>IFERROR(__xludf.DUMMYFUNCTION("""COMPUTED_VALUE"""),"RUN-NDHM_2022-05-16_RFR-010")</f>
        <v>RUN-NDHM_2022-05-16_RFR-010</v>
      </c>
      <c r="C35" s="8">
        <f>VLOOKUP(B35,'Run Reconcile'!A$2:B100,2,FALSE)</f>
        <v>44697</v>
      </c>
      <c r="D35" s="12">
        <f>IFERROR(__xludf.DUMMYFUNCTION("""COMPUTED_VALUE"""),44697.0)</f>
        <v>44697</v>
      </c>
      <c r="E35" s="13">
        <f>IFERROR(__xludf.DUMMYFUNCTION("""COMPUTED_VALUE"""),0.3187152777791198)</f>
        <v>0.3187152778</v>
      </c>
      <c r="F35" s="7" t="str">
        <f>IFERROR(__xludf.DUMMYFUNCTION("""COMPUTED_VALUE"""),"Negative")</f>
        <v>Negative</v>
      </c>
      <c r="G35" s="7">
        <f>IFERROR(__xludf.DUMMYFUNCTION("""COMPUTED_VALUE"""),1.0)</f>
        <v>1</v>
      </c>
    </row>
    <row r="36">
      <c r="A36" s="7" t="str">
        <f>IFERROR(__xludf.DUMMYFUNCTION("""COMPUTED_VALUE"""),"AG2159")</f>
        <v>AG2159</v>
      </c>
      <c r="B36" s="7" t="str">
        <f>IFERROR(__xludf.DUMMYFUNCTION("""COMPUTED_VALUE"""),"RUN-NDHM_2022-05-16_RFR-010")</f>
        <v>RUN-NDHM_2022-05-16_RFR-010</v>
      </c>
      <c r="C36" s="8">
        <f>VLOOKUP(B36,'Run Reconcile'!A$2:B100,2,FALSE)</f>
        <v>44697</v>
      </c>
      <c r="D36" s="12">
        <f>IFERROR(__xludf.DUMMYFUNCTION("""COMPUTED_VALUE"""),44697.0)</f>
        <v>44697</v>
      </c>
      <c r="E36" s="13">
        <f>IFERROR(__xludf.DUMMYFUNCTION("""COMPUTED_VALUE"""),0.32215277777868323)</f>
        <v>0.3221527778</v>
      </c>
      <c r="F36" s="7" t="str">
        <f>IFERROR(__xludf.DUMMYFUNCTION("""COMPUTED_VALUE"""),"Negative")</f>
        <v>Negative</v>
      </c>
      <c r="G36" s="7">
        <f>IFERROR(__xludf.DUMMYFUNCTION("""COMPUTED_VALUE"""),3.0)</f>
        <v>3</v>
      </c>
    </row>
    <row r="37">
      <c r="A37" s="7" t="str">
        <f>IFERROR(__xludf.DUMMYFUNCTION("""COMPUTED_VALUE"""),"AJ5950")</f>
        <v>AJ5950</v>
      </c>
      <c r="B37" s="7" t="str">
        <f>IFERROR(__xludf.DUMMYFUNCTION("""COMPUTED_VALUE"""),"RUN-NDHM_2022-05-23_RFR-011")</f>
        <v>RUN-NDHM_2022-05-23_RFR-011</v>
      </c>
      <c r="C37" s="8">
        <f>VLOOKUP(B37,'Run Reconcile'!A$2:B100,2,FALSE)</f>
        <v>44704</v>
      </c>
      <c r="D37" s="12">
        <f>IFERROR(__xludf.DUMMYFUNCTION("""COMPUTED_VALUE"""),44704.0)</f>
        <v>44704</v>
      </c>
      <c r="E37" s="13">
        <f>IFERROR(__xludf.DUMMYFUNCTION("""COMPUTED_VALUE"""),0.1565393518503697)</f>
        <v>0.1565393519</v>
      </c>
      <c r="F37" s="7" t="str">
        <f>IFERROR(__xludf.DUMMYFUNCTION("""COMPUTED_VALUE"""),"Negative")</f>
        <v>Negative</v>
      </c>
      <c r="G37" s="7">
        <f>IFERROR(__xludf.DUMMYFUNCTION("""COMPUTED_VALUE"""),4.0)</f>
        <v>4</v>
      </c>
    </row>
    <row r="38">
      <c r="A38" s="7" t="str">
        <f>IFERROR(__xludf.DUMMYFUNCTION("""COMPUTED_VALUE"""),"AH7211")</f>
        <v>AH7211</v>
      </c>
      <c r="B38" s="7" t="str">
        <f>IFERROR(__xludf.DUMMYFUNCTION("""COMPUTED_VALUE"""),"RUN-NDHM_2022-05-23_RFR-011")</f>
        <v>RUN-NDHM_2022-05-23_RFR-011</v>
      </c>
      <c r="C38" s="8">
        <f>VLOOKUP(B38,'Run Reconcile'!A$2:B100,2,FALSE)</f>
        <v>44704</v>
      </c>
      <c r="D38" s="12">
        <f>IFERROR(__xludf.DUMMYFUNCTION("""COMPUTED_VALUE"""),44704.0)</f>
        <v>44704</v>
      </c>
      <c r="E38" s="13">
        <f>IFERROR(__xludf.DUMMYFUNCTION("""COMPUTED_VALUE"""),0.17846064814875717)</f>
        <v>0.1784606481</v>
      </c>
      <c r="F38" s="7" t="str">
        <f>IFERROR(__xludf.DUMMYFUNCTION("""COMPUTED_VALUE"""),"Negative")</f>
        <v>Negative</v>
      </c>
      <c r="G38" s="7">
        <f>IFERROR(__xludf.DUMMYFUNCTION("""COMPUTED_VALUE"""),4.0)</f>
        <v>4</v>
      </c>
    </row>
    <row r="39">
      <c r="A39" s="7" t="str">
        <f>IFERROR(__xludf.DUMMYFUNCTION("""COMPUTED_VALUE"""),"AH330")</f>
        <v>AH330</v>
      </c>
      <c r="B39" s="7" t="str">
        <f>IFERROR(__xludf.DUMMYFUNCTION("""COMPUTED_VALUE"""),"RUN-NDHM_2022-05-23_RFR-011")</f>
        <v>RUN-NDHM_2022-05-23_RFR-011</v>
      </c>
      <c r="C39" s="8">
        <f>VLOOKUP(B39,'Run Reconcile'!A$2:B100,2,FALSE)</f>
        <v>44704</v>
      </c>
      <c r="D39" s="12">
        <f>IFERROR(__xludf.DUMMYFUNCTION("""COMPUTED_VALUE"""),44704.0)</f>
        <v>44704</v>
      </c>
      <c r="E39" s="13">
        <f>IFERROR(__xludf.DUMMYFUNCTION("""COMPUTED_VALUE"""),0.1878240740734327)</f>
        <v>0.1878240741</v>
      </c>
      <c r="F39" s="7" t="str">
        <f>IFERROR(__xludf.DUMMYFUNCTION("""COMPUTED_VALUE"""),"Negative")</f>
        <v>Negative</v>
      </c>
      <c r="G39" s="7">
        <f>IFERROR(__xludf.DUMMYFUNCTION("""COMPUTED_VALUE"""),4.0)</f>
        <v>4</v>
      </c>
    </row>
    <row r="40">
      <c r="A40" s="7" t="str">
        <f>IFERROR(__xludf.DUMMYFUNCTION("""COMPUTED_VALUE"""),"AG1640")</f>
        <v>AG1640</v>
      </c>
      <c r="B40" s="7" t="str">
        <f>IFERROR(__xludf.DUMMYFUNCTION("""COMPUTED_VALUE"""),"RUN-NDHM_2022-05-23_RFR-011")</f>
        <v>RUN-NDHM_2022-05-23_RFR-011</v>
      </c>
      <c r="C40" s="8">
        <f>VLOOKUP(B40,'Run Reconcile'!A$2:B100,2,FALSE)</f>
        <v>44704</v>
      </c>
      <c r="D40" s="12">
        <f>IFERROR(__xludf.DUMMYFUNCTION("""COMPUTED_VALUE"""),44704.0)</f>
        <v>44704</v>
      </c>
      <c r="E40" s="13">
        <f>IFERROR(__xludf.DUMMYFUNCTION("""COMPUTED_VALUE"""),0.19054398148000473)</f>
        <v>0.1905439815</v>
      </c>
      <c r="F40" s="7" t="str">
        <f>IFERROR(__xludf.DUMMYFUNCTION("""COMPUTED_VALUE"""),"Negative")</f>
        <v>Negative</v>
      </c>
      <c r="G40" s="7">
        <f>IFERROR(__xludf.DUMMYFUNCTION("""COMPUTED_VALUE"""),2.0)</f>
        <v>2</v>
      </c>
    </row>
    <row r="41">
      <c r="A41" s="7" t="str">
        <f>IFERROR(__xludf.DUMMYFUNCTION("""COMPUTED_VALUE"""),"AJ9479")</f>
        <v>AJ9479</v>
      </c>
      <c r="B41" s="7" t="str">
        <f>IFERROR(__xludf.DUMMYFUNCTION("""COMPUTED_VALUE"""),"RUN-NDHM_2022-05-23_RFR-011")</f>
        <v>RUN-NDHM_2022-05-23_RFR-011</v>
      </c>
      <c r="C41" s="8">
        <f>VLOOKUP(B41,'Run Reconcile'!A$2:B100,2,FALSE)</f>
        <v>44704</v>
      </c>
      <c r="D41" s="12">
        <f>IFERROR(__xludf.DUMMYFUNCTION("""COMPUTED_VALUE"""),44704.0)</f>
        <v>44704</v>
      </c>
      <c r="E41" s="13">
        <f>IFERROR(__xludf.DUMMYFUNCTION("""COMPUTED_VALUE"""),0.21826388888803194)</f>
        <v>0.2182638889</v>
      </c>
      <c r="F41" s="7" t="str">
        <f>IFERROR(__xludf.DUMMYFUNCTION("""COMPUTED_VALUE"""),"Negative")</f>
        <v>Negative</v>
      </c>
      <c r="G41" s="7">
        <f>IFERROR(__xludf.DUMMYFUNCTION("""COMPUTED_VALUE"""),2.0)</f>
        <v>2</v>
      </c>
    </row>
    <row r="42">
      <c r="A42" s="7" t="str">
        <f>IFERROR(__xludf.DUMMYFUNCTION("""COMPUTED_VALUE"""),"AH7289")</f>
        <v>AH7289</v>
      </c>
      <c r="B42" s="7" t="str">
        <f>IFERROR(__xludf.DUMMYFUNCTION("""COMPUTED_VALUE"""),"RUN-NDHM_2022-05-23_RFR-011")</f>
        <v>RUN-NDHM_2022-05-23_RFR-011</v>
      </c>
      <c r="C42" s="8">
        <f>VLOOKUP(B42,'Run Reconcile'!A$2:B100,2,FALSE)</f>
        <v>44704</v>
      </c>
      <c r="D42" s="12">
        <f>IFERROR(__xludf.DUMMYFUNCTION("""COMPUTED_VALUE"""),44704.0)</f>
        <v>44704</v>
      </c>
      <c r="E42" s="13">
        <f>IFERROR(__xludf.DUMMYFUNCTION("""COMPUTED_VALUE"""),0.21884259259240935)</f>
        <v>0.2188425926</v>
      </c>
      <c r="F42" s="7" t="str">
        <f>IFERROR(__xludf.DUMMYFUNCTION("""COMPUTED_VALUE"""),"Negative")</f>
        <v>Negative</v>
      </c>
      <c r="G42" s="7">
        <f>IFERROR(__xludf.DUMMYFUNCTION("""COMPUTED_VALUE"""),3.0)</f>
        <v>3</v>
      </c>
    </row>
    <row r="43">
      <c r="A43" s="7" t="str">
        <f>IFERROR(__xludf.DUMMYFUNCTION("""COMPUTED_VALUE"""),"AG1828")</f>
        <v>AG1828</v>
      </c>
      <c r="B43" s="7" t="str">
        <f>IFERROR(__xludf.DUMMYFUNCTION("""COMPUTED_VALUE"""),"RUN-NDHM_2022-05-23_RFR-011")</f>
        <v>RUN-NDHM_2022-05-23_RFR-011</v>
      </c>
      <c r="C43" s="8">
        <f>VLOOKUP(B43,'Run Reconcile'!A$2:B100,2,FALSE)</f>
        <v>44704</v>
      </c>
      <c r="D43" s="12">
        <f>IFERROR(__xludf.DUMMYFUNCTION("""COMPUTED_VALUE"""),44704.0)</f>
        <v>44704</v>
      </c>
      <c r="E43" s="13">
        <f>IFERROR(__xludf.DUMMYFUNCTION("""COMPUTED_VALUE"""),0.22446759259401006)</f>
        <v>0.2244675926</v>
      </c>
      <c r="F43" s="7" t="str">
        <f>IFERROR(__xludf.DUMMYFUNCTION("""COMPUTED_VALUE"""),"Negative")</f>
        <v>Negative</v>
      </c>
      <c r="G43" s="7">
        <f>IFERROR(__xludf.DUMMYFUNCTION("""COMPUTED_VALUE"""),2.0)</f>
        <v>2</v>
      </c>
    </row>
    <row r="44">
      <c r="A44" s="7" t="str">
        <f>IFERROR(__xludf.DUMMYFUNCTION("""COMPUTED_VALUE"""),"AH6802")</f>
        <v>AH6802</v>
      </c>
      <c r="B44" s="7" t="str">
        <f>IFERROR(__xludf.DUMMYFUNCTION("""COMPUTED_VALUE"""),"RUN-NDHM_2022-05-23_RFR-011")</f>
        <v>RUN-NDHM_2022-05-23_RFR-011</v>
      </c>
      <c r="C44" s="8">
        <f>VLOOKUP(B44,'Run Reconcile'!A$2:B100,2,FALSE)</f>
        <v>44704</v>
      </c>
      <c r="D44" s="12">
        <f>IFERROR(__xludf.DUMMYFUNCTION("""COMPUTED_VALUE"""),44704.0)</f>
        <v>44704</v>
      </c>
      <c r="E44" s="13">
        <f>IFERROR(__xludf.DUMMYFUNCTION("""COMPUTED_VALUE"""),0.3195138888877409)</f>
        <v>0.3195138889</v>
      </c>
      <c r="F44" s="7" t="str">
        <f>IFERROR(__xludf.DUMMYFUNCTION("""COMPUTED_VALUE"""),"Negative")</f>
        <v>Negative</v>
      </c>
      <c r="G44" s="7">
        <f>IFERROR(__xludf.DUMMYFUNCTION("""COMPUTED_VALUE"""),1.0)</f>
        <v>1</v>
      </c>
    </row>
    <row r="45">
      <c r="A45" s="7" t="str">
        <f>IFERROR(__xludf.DUMMYFUNCTION("""COMPUTED_VALUE"""),"AG663")</f>
        <v>AG663</v>
      </c>
      <c r="B45" s="7" t="str">
        <f>IFERROR(__xludf.DUMMYFUNCTION("""COMPUTED_VALUE"""),"RUN-NDHM_2022-06-01_RFR-012")</f>
        <v>RUN-NDHM_2022-06-01_RFR-012</v>
      </c>
      <c r="C45" s="8">
        <f>VLOOKUP(B45,'Run Reconcile'!A$2:B100,2,FALSE)</f>
        <v>44713</v>
      </c>
      <c r="D45" s="12">
        <f>IFERROR(__xludf.DUMMYFUNCTION("""COMPUTED_VALUE"""),44712.0)</f>
        <v>44712</v>
      </c>
      <c r="E45" s="13">
        <f>IFERROR(__xludf.DUMMYFUNCTION("""COMPUTED_VALUE"""),0.18675925926072523)</f>
        <v>0.1867592593</v>
      </c>
      <c r="F45" s="7" t="str">
        <f>IFERROR(__xludf.DUMMYFUNCTION("""COMPUTED_VALUE"""),"Negative")</f>
        <v>Negative</v>
      </c>
      <c r="G45" s="7">
        <f>IFERROR(__xludf.DUMMYFUNCTION("""COMPUTED_VALUE"""),1.0)</f>
        <v>1</v>
      </c>
    </row>
    <row r="46">
      <c r="A46" s="7" t="str">
        <f>IFERROR(__xludf.DUMMYFUNCTION("""COMPUTED_VALUE"""),"AH9070")</f>
        <v>AH9070</v>
      </c>
      <c r="B46" s="7" t="str">
        <f>IFERROR(__xludf.DUMMYFUNCTION("""COMPUTED_VALUE"""),"RUN-NDHM_2022-06-01_RFR-012")</f>
        <v>RUN-NDHM_2022-06-01_RFR-012</v>
      </c>
      <c r="C46" s="8">
        <f>VLOOKUP(B46,'Run Reconcile'!A$2:B100,2,FALSE)</f>
        <v>44713</v>
      </c>
      <c r="D46" s="12">
        <f>IFERROR(__xludf.DUMMYFUNCTION("""COMPUTED_VALUE"""),44712.0)</f>
        <v>44712</v>
      </c>
      <c r="E46" s="13">
        <f>IFERROR(__xludf.DUMMYFUNCTION("""COMPUTED_VALUE"""),0.19265046296277433)</f>
        <v>0.192650463</v>
      </c>
      <c r="F46" s="7" t="str">
        <f>IFERROR(__xludf.DUMMYFUNCTION("""COMPUTED_VALUE"""),"Negative")</f>
        <v>Negative</v>
      </c>
      <c r="G46" s="7">
        <f>IFERROR(__xludf.DUMMYFUNCTION("""COMPUTED_VALUE"""),4.0)</f>
        <v>4</v>
      </c>
    </row>
    <row r="47">
      <c r="A47" s="7" t="str">
        <f>IFERROR(__xludf.DUMMYFUNCTION("""COMPUTED_VALUE"""),"AH258")</f>
        <v>AH258</v>
      </c>
      <c r="B47" s="7" t="str">
        <f>IFERROR(__xludf.DUMMYFUNCTION("""COMPUTED_VALUE"""),"RUN-NDHM_2022-06-01_RFR-012")</f>
        <v>RUN-NDHM_2022-06-01_RFR-012</v>
      </c>
      <c r="C47" s="8">
        <f>VLOOKUP(B47,'Run Reconcile'!A$2:B100,2,FALSE)</f>
        <v>44713</v>
      </c>
      <c r="D47" s="12">
        <f>IFERROR(__xludf.DUMMYFUNCTION("""COMPUTED_VALUE"""),44712.0)</f>
        <v>44712</v>
      </c>
      <c r="E47" s="13">
        <f>IFERROR(__xludf.DUMMYFUNCTION("""COMPUTED_VALUE"""),0.7929166666654055)</f>
        <v>0.7929166667</v>
      </c>
      <c r="F47" s="7" t="str">
        <f>IFERROR(__xludf.DUMMYFUNCTION("""COMPUTED_VALUE"""),"Negative")</f>
        <v>Negative</v>
      </c>
      <c r="G47" s="7">
        <f>IFERROR(__xludf.DUMMYFUNCTION("""COMPUTED_VALUE"""),2.0)</f>
        <v>2</v>
      </c>
    </row>
    <row r="48">
      <c r="A48" s="7" t="str">
        <f>IFERROR(__xludf.DUMMYFUNCTION("""COMPUTED_VALUE"""),"AG718")</f>
        <v>AG718</v>
      </c>
      <c r="B48" s="7" t="str">
        <f>IFERROR(__xludf.DUMMYFUNCTION("""COMPUTED_VALUE"""),"RUN-NDHM_2022-06-01_RFR-012")</f>
        <v>RUN-NDHM_2022-06-01_RFR-012</v>
      </c>
      <c r="C48" s="8">
        <f>VLOOKUP(B48,'Run Reconcile'!A$2:B100,2,FALSE)</f>
        <v>44713</v>
      </c>
      <c r="D48" s="12">
        <f>IFERROR(__xludf.DUMMYFUNCTION("""COMPUTED_VALUE"""),44713.0)</f>
        <v>44713</v>
      </c>
      <c r="E48" s="13">
        <f>IFERROR(__xludf.DUMMYFUNCTION("""COMPUTED_VALUE"""),0.17925925926101627)</f>
        <v>0.1792592593</v>
      </c>
      <c r="F48" s="7" t="str">
        <f>IFERROR(__xludf.DUMMYFUNCTION("""COMPUTED_VALUE"""),"Negative")</f>
        <v>Negative</v>
      </c>
      <c r="G48" s="7">
        <f>IFERROR(__xludf.DUMMYFUNCTION("""COMPUTED_VALUE"""),1.0)</f>
        <v>1</v>
      </c>
    </row>
    <row r="49">
      <c r="A49" s="7" t="str">
        <f>IFERROR(__xludf.DUMMYFUNCTION("""COMPUTED_VALUE"""),"AH1486")</f>
        <v>AH1486</v>
      </c>
      <c r="B49" s="7" t="str">
        <f>IFERROR(__xludf.DUMMYFUNCTION("""COMPUTED_VALUE"""),"RUN-NDHM_2022-06-01_RFR-012")</f>
        <v>RUN-NDHM_2022-06-01_RFR-012</v>
      </c>
      <c r="C49" s="8">
        <f>VLOOKUP(B49,'Run Reconcile'!A$2:B100,2,FALSE)</f>
        <v>44713</v>
      </c>
      <c r="D49" s="12">
        <f>IFERROR(__xludf.DUMMYFUNCTION("""COMPUTED_VALUE"""),44713.0)</f>
        <v>44713</v>
      </c>
      <c r="E49" s="13">
        <f>IFERROR(__xludf.DUMMYFUNCTION("""COMPUTED_VALUE"""),0.1832175925919728)</f>
        <v>0.1832175926</v>
      </c>
      <c r="F49" s="7" t="str">
        <f>IFERROR(__xludf.DUMMYFUNCTION("""COMPUTED_VALUE"""),"Negative")</f>
        <v>Negative</v>
      </c>
      <c r="G49" s="7">
        <f>IFERROR(__xludf.DUMMYFUNCTION("""COMPUTED_VALUE"""),1.0)</f>
        <v>1</v>
      </c>
    </row>
    <row r="50">
      <c r="A50" s="7" t="str">
        <f>IFERROR(__xludf.DUMMYFUNCTION("""COMPUTED_VALUE"""),"AH7650")</f>
        <v>AH7650</v>
      </c>
      <c r="B50" s="7" t="str">
        <f>IFERROR(__xludf.DUMMYFUNCTION("""COMPUTED_VALUE"""),"RUN-NDHM_2022-06-01_RFR-012")</f>
        <v>RUN-NDHM_2022-06-01_RFR-012</v>
      </c>
      <c r="C50" s="8">
        <f>VLOOKUP(B50,'Run Reconcile'!A$2:B100,2,FALSE)</f>
        <v>44713</v>
      </c>
      <c r="D50" s="12">
        <f>IFERROR(__xludf.DUMMYFUNCTION("""COMPUTED_VALUE"""),44713.0)</f>
        <v>44713</v>
      </c>
      <c r="E50" s="13">
        <f>IFERROR(__xludf.DUMMYFUNCTION("""COMPUTED_VALUE"""),0.19666666666671517)</f>
        <v>0.1966666667</v>
      </c>
      <c r="F50" s="7" t="str">
        <f>IFERROR(__xludf.DUMMYFUNCTION("""COMPUTED_VALUE"""),"Negative")</f>
        <v>Negative</v>
      </c>
      <c r="G50" s="7">
        <f>IFERROR(__xludf.DUMMYFUNCTION("""COMPUTED_VALUE"""),2.0)</f>
        <v>2</v>
      </c>
    </row>
    <row r="51">
      <c r="A51" s="7" t="str">
        <f>IFERROR(__xludf.DUMMYFUNCTION("""COMPUTED_VALUE"""),"AK6972")</f>
        <v>AK6972</v>
      </c>
      <c r="B51" s="7" t="str">
        <f>IFERROR(__xludf.DUMMYFUNCTION("""COMPUTED_VALUE"""),"RUN-NDHM_2022-06-01_RFR-012")</f>
        <v>RUN-NDHM_2022-06-01_RFR-012</v>
      </c>
      <c r="C51" s="8">
        <f>VLOOKUP(B51,'Run Reconcile'!A$2:B100,2,FALSE)</f>
        <v>44713</v>
      </c>
      <c r="D51" s="12">
        <f>IFERROR(__xludf.DUMMYFUNCTION("""COMPUTED_VALUE"""),44713.0)</f>
        <v>44713</v>
      </c>
      <c r="E51" s="13">
        <f>IFERROR(__xludf.DUMMYFUNCTION("""COMPUTED_VALUE"""),0.1976388888906513)</f>
        <v>0.1976388889</v>
      </c>
      <c r="F51" s="7" t="str">
        <f>IFERROR(__xludf.DUMMYFUNCTION("""COMPUTED_VALUE"""),"Negative")</f>
        <v>Negative</v>
      </c>
      <c r="G51" s="7">
        <f>IFERROR(__xludf.DUMMYFUNCTION("""COMPUTED_VALUE"""),4.0)</f>
        <v>4</v>
      </c>
    </row>
    <row r="52">
      <c r="A52" s="7" t="str">
        <f>IFERROR(__xludf.DUMMYFUNCTION("""COMPUTED_VALUE"""),"AG1821")</f>
        <v>AG1821</v>
      </c>
      <c r="B52" s="7" t="str">
        <f>IFERROR(__xludf.DUMMYFUNCTION("""COMPUTED_VALUE"""),"RUN-NDHM_2022-06-01_RFR-012")</f>
        <v>RUN-NDHM_2022-06-01_RFR-012</v>
      </c>
      <c r="C52" s="8">
        <f>VLOOKUP(B52,'Run Reconcile'!A$2:B100,2,FALSE)</f>
        <v>44713</v>
      </c>
      <c r="D52" s="12">
        <f>IFERROR(__xludf.DUMMYFUNCTION("""COMPUTED_VALUE"""),44713.0)</f>
        <v>44713</v>
      </c>
      <c r="E52" s="13">
        <f>IFERROR(__xludf.DUMMYFUNCTION("""COMPUTED_VALUE"""),0.2007638888899237)</f>
        <v>0.2007638889</v>
      </c>
      <c r="F52" s="7" t="str">
        <f>IFERROR(__xludf.DUMMYFUNCTION("""COMPUTED_VALUE"""),"Negative")</f>
        <v>Negative</v>
      </c>
      <c r="G52" s="7">
        <f>IFERROR(__xludf.DUMMYFUNCTION("""COMPUTED_VALUE"""),2.0)</f>
        <v>2</v>
      </c>
    </row>
    <row r="53">
      <c r="A53" s="7" t="str">
        <f>IFERROR(__xludf.DUMMYFUNCTION("""COMPUTED_VALUE"""),"AH6875")</f>
        <v>AH6875</v>
      </c>
      <c r="B53" s="7" t="str">
        <f>IFERROR(__xludf.DUMMYFUNCTION("""COMPUTED_VALUE"""),"RUN-NDHM_2022-06-01_RFR-012")</f>
        <v>RUN-NDHM_2022-06-01_RFR-012</v>
      </c>
      <c r="C53" s="8">
        <f>VLOOKUP(B53,'Run Reconcile'!A$2:B100,2,FALSE)</f>
        <v>44713</v>
      </c>
      <c r="D53" s="12">
        <f>IFERROR(__xludf.DUMMYFUNCTION("""COMPUTED_VALUE"""),44713.0)</f>
        <v>44713</v>
      </c>
      <c r="E53" s="13">
        <f>IFERROR(__xludf.DUMMYFUNCTION("""COMPUTED_VALUE"""),0.20396990740846377)</f>
        <v>0.2039699074</v>
      </c>
      <c r="F53" s="7" t="str">
        <f>IFERROR(__xludf.DUMMYFUNCTION("""COMPUTED_VALUE"""),"Negative")</f>
        <v>Negative</v>
      </c>
      <c r="G53" s="7">
        <f>IFERROR(__xludf.DUMMYFUNCTION("""COMPUTED_VALUE"""),2.0)</f>
        <v>2</v>
      </c>
    </row>
    <row r="54">
      <c r="A54" s="7" t="str">
        <f>IFERROR(__xludf.DUMMYFUNCTION("""COMPUTED_VALUE"""),"AH8860")</f>
        <v>AH8860</v>
      </c>
      <c r="B54" s="7" t="str">
        <f>IFERROR(__xludf.DUMMYFUNCTION("""COMPUTED_VALUE"""),"RUN-NDHM_2022-06-01_RFR-012")</f>
        <v>RUN-NDHM_2022-06-01_RFR-012</v>
      </c>
      <c r="C54" s="8">
        <f>VLOOKUP(B54,'Run Reconcile'!A$2:B100,2,FALSE)</f>
        <v>44713</v>
      </c>
      <c r="D54" s="12">
        <f>IFERROR(__xludf.DUMMYFUNCTION("""COMPUTED_VALUE"""),44713.0)</f>
        <v>44713</v>
      </c>
      <c r="E54" s="13">
        <f>IFERROR(__xludf.DUMMYFUNCTION("""COMPUTED_VALUE"""),0.2053124999983993)</f>
        <v>0.2053125</v>
      </c>
      <c r="F54" s="7" t="str">
        <f>IFERROR(__xludf.DUMMYFUNCTION("""COMPUTED_VALUE"""),"Negative")</f>
        <v>Negative</v>
      </c>
      <c r="G54" s="7">
        <f>IFERROR(__xludf.DUMMYFUNCTION("""COMPUTED_VALUE"""),4.0)</f>
        <v>4</v>
      </c>
    </row>
    <row r="55">
      <c r="A55" s="7" t="str">
        <f>IFERROR(__xludf.DUMMYFUNCTION("""COMPUTED_VALUE"""),"AG2246")</f>
        <v>AG2246</v>
      </c>
      <c r="B55" s="7" t="str">
        <f>IFERROR(__xludf.DUMMYFUNCTION("""COMPUTED_VALUE"""),"RUN-NDHM_2022-06-01_RFR-012")</f>
        <v>RUN-NDHM_2022-06-01_RFR-012</v>
      </c>
      <c r="C55" s="8">
        <f>VLOOKUP(B55,'Run Reconcile'!A$2:B100,2,FALSE)</f>
        <v>44713</v>
      </c>
      <c r="D55" s="12">
        <f>IFERROR(__xludf.DUMMYFUNCTION("""COMPUTED_VALUE"""),44713.0)</f>
        <v>44713</v>
      </c>
      <c r="E55" s="13">
        <f>IFERROR(__xludf.DUMMYFUNCTION("""COMPUTED_VALUE"""),0.20859953703620704)</f>
        <v>0.208599537</v>
      </c>
      <c r="F55" s="7" t="str">
        <f>IFERROR(__xludf.DUMMYFUNCTION("""COMPUTED_VALUE"""),"Negative")</f>
        <v>Negative</v>
      </c>
      <c r="G55" s="7">
        <f>IFERROR(__xludf.DUMMYFUNCTION("""COMPUTED_VALUE"""),3.0)</f>
        <v>3</v>
      </c>
    </row>
    <row r="56">
      <c r="A56" s="7" t="str">
        <f>IFERROR(__xludf.DUMMYFUNCTION("""COMPUTED_VALUE"""),"AH9625")</f>
        <v>AH9625</v>
      </c>
      <c r="B56" s="7" t="str">
        <f>IFERROR(__xludf.DUMMYFUNCTION("""COMPUTED_VALUE"""),"RUN-NDHM_2022-06-01_RFR-012")</f>
        <v>RUN-NDHM_2022-06-01_RFR-012</v>
      </c>
      <c r="C56" s="8">
        <f>VLOOKUP(B56,'Run Reconcile'!A$2:B100,2,FALSE)</f>
        <v>44713</v>
      </c>
      <c r="D56" s="12">
        <f>IFERROR(__xludf.DUMMYFUNCTION("""COMPUTED_VALUE"""),44713.0)</f>
        <v>44713</v>
      </c>
      <c r="E56" s="13">
        <f>IFERROR(__xludf.DUMMYFUNCTION("""COMPUTED_VALUE"""),0.25175925925941556)</f>
        <v>0.2517592593</v>
      </c>
      <c r="F56" s="7" t="str">
        <f>IFERROR(__xludf.DUMMYFUNCTION("""COMPUTED_VALUE"""),"Negative")</f>
        <v>Negative</v>
      </c>
      <c r="G56" s="7">
        <f>IFERROR(__xludf.DUMMYFUNCTION("""COMPUTED_VALUE"""),1.0)</f>
        <v>1</v>
      </c>
    </row>
    <row r="57">
      <c r="A57" s="7" t="str">
        <f>IFERROR(__xludf.DUMMYFUNCTION("""COMPUTED_VALUE"""),"AG256")</f>
        <v>AG256</v>
      </c>
      <c r="B57" s="7" t="str">
        <f>IFERROR(__xludf.DUMMYFUNCTION("""COMPUTED_VALUE"""),"RUN-NDHM_2022-06-01_RFR-012")</f>
        <v>RUN-NDHM_2022-06-01_RFR-012</v>
      </c>
      <c r="C57" s="8">
        <f>VLOOKUP(B57,'Run Reconcile'!A$2:B100,2,FALSE)</f>
        <v>44713</v>
      </c>
      <c r="D57" s="12">
        <f>IFERROR(__xludf.DUMMYFUNCTION("""COMPUTED_VALUE"""),44713.0)</f>
        <v>44713</v>
      </c>
      <c r="E57" s="13">
        <f>IFERROR(__xludf.DUMMYFUNCTION("""COMPUTED_VALUE"""),0.2727893518531346)</f>
        <v>0.2727893519</v>
      </c>
      <c r="F57" s="7" t="str">
        <f>IFERROR(__xludf.DUMMYFUNCTION("""COMPUTED_VALUE"""),"Negative")</f>
        <v>Negative</v>
      </c>
      <c r="G57" s="7">
        <f>IFERROR(__xludf.DUMMYFUNCTION("""COMPUTED_VALUE"""),1.0)</f>
        <v>1</v>
      </c>
    </row>
    <row r="58">
      <c r="A58" s="7" t="str">
        <f>IFERROR(__xludf.DUMMYFUNCTION("""COMPUTED_VALUE"""),"AG1608")</f>
        <v>AG1608</v>
      </c>
      <c r="B58" s="7" t="str">
        <f>IFERROR(__xludf.DUMMYFUNCTION("""COMPUTED_VALUE"""),"RUN-NDHM_2022-06-06_RFR-013")</f>
        <v>RUN-NDHM_2022-06-06_RFR-013</v>
      </c>
      <c r="C58" s="8">
        <f>VLOOKUP(B58,'Run Reconcile'!A$2:B100,2,FALSE)</f>
        <v>44718</v>
      </c>
      <c r="D58" s="12">
        <f>IFERROR(__xludf.DUMMYFUNCTION("""COMPUTED_VALUE"""),44718.0)</f>
        <v>44718</v>
      </c>
      <c r="E58" s="13">
        <f>IFERROR(__xludf.DUMMYFUNCTION("""COMPUTED_VALUE"""),0.15692129629678675)</f>
        <v>0.1569212963</v>
      </c>
      <c r="F58" s="7" t="str">
        <f>IFERROR(__xludf.DUMMYFUNCTION("""COMPUTED_VALUE"""),"Negative")</f>
        <v>Negative</v>
      </c>
      <c r="G58" s="7">
        <f>IFERROR(__xludf.DUMMYFUNCTION("""COMPUTED_VALUE"""),3.0)</f>
        <v>3</v>
      </c>
    </row>
    <row r="59">
      <c r="A59" s="7" t="str">
        <f>IFERROR(__xludf.DUMMYFUNCTION("""COMPUTED_VALUE"""),"AH707")</f>
        <v>AH707</v>
      </c>
      <c r="B59" s="7" t="str">
        <f>IFERROR(__xludf.DUMMYFUNCTION("""COMPUTED_VALUE"""),"RUN-NDHM_2022-06-06_RFR-013")</f>
        <v>RUN-NDHM_2022-06-06_RFR-013</v>
      </c>
      <c r="C59" s="8">
        <f>VLOOKUP(B59,'Run Reconcile'!A$2:B100,2,FALSE)</f>
        <v>44718</v>
      </c>
      <c r="D59" s="12">
        <f>IFERROR(__xludf.DUMMYFUNCTION("""COMPUTED_VALUE"""),44718.0)</f>
        <v>44718</v>
      </c>
      <c r="E59" s="13">
        <f>IFERROR(__xludf.DUMMYFUNCTION("""COMPUTED_VALUE"""),0.17775462962890742)</f>
        <v>0.1777546296</v>
      </c>
      <c r="F59" s="7" t="str">
        <f>IFERROR(__xludf.DUMMYFUNCTION("""COMPUTED_VALUE"""),"Negative")</f>
        <v>Negative</v>
      </c>
      <c r="G59" s="7">
        <f>IFERROR(__xludf.DUMMYFUNCTION("""COMPUTED_VALUE"""),4.0)</f>
        <v>4</v>
      </c>
    </row>
    <row r="60">
      <c r="A60" s="7" t="str">
        <f>IFERROR(__xludf.DUMMYFUNCTION("""COMPUTED_VALUE"""),"AG615")</f>
        <v>AG615</v>
      </c>
      <c r="B60" s="7" t="str">
        <f>IFERROR(__xludf.DUMMYFUNCTION("""COMPUTED_VALUE"""),"RUN-NDHM_2022-06-06_RFR-013")</f>
        <v>RUN-NDHM_2022-06-06_RFR-013</v>
      </c>
      <c r="C60" s="8">
        <f>VLOOKUP(B60,'Run Reconcile'!A$2:B100,2,FALSE)</f>
        <v>44718</v>
      </c>
      <c r="D60" s="12">
        <f>IFERROR(__xludf.DUMMYFUNCTION("""COMPUTED_VALUE"""),44718.0)</f>
        <v>44718</v>
      </c>
      <c r="E60" s="13">
        <f>IFERROR(__xludf.DUMMYFUNCTION("""COMPUTED_VALUE"""),0.20266203703795327)</f>
        <v>0.202662037</v>
      </c>
      <c r="F60" s="7" t="str">
        <f>IFERROR(__xludf.DUMMYFUNCTION("""COMPUTED_VALUE"""),"Negative")</f>
        <v>Negative</v>
      </c>
      <c r="G60" s="7">
        <f>IFERROR(__xludf.DUMMYFUNCTION("""COMPUTED_VALUE"""),2.0)</f>
        <v>2</v>
      </c>
    </row>
    <row r="61">
      <c r="A61" s="7" t="str">
        <f>IFERROR(__xludf.DUMMYFUNCTION("""COMPUTED_VALUE"""),"AH7933")</f>
        <v>AH7933</v>
      </c>
      <c r="B61" s="7" t="str">
        <f>IFERROR(__xludf.DUMMYFUNCTION("""COMPUTED_VALUE"""),"RUN-NDHM_2022-06-06_RFR-013")</f>
        <v>RUN-NDHM_2022-06-06_RFR-013</v>
      </c>
      <c r="C61" s="8">
        <f>VLOOKUP(B61,'Run Reconcile'!A$2:B100,2,FALSE)</f>
        <v>44718</v>
      </c>
      <c r="D61" s="12">
        <f>IFERROR(__xludf.DUMMYFUNCTION("""COMPUTED_VALUE"""),44718.0)</f>
        <v>44718</v>
      </c>
      <c r="E61" s="13">
        <f>IFERROR(__xludf.DUMMYFUNCTION("""COMPUTED_VALUE"""),0.21167824073927477)</f>
        <v>0.2116782407</v>
      </c>
      <c r="F61" s="7" t="str">
        <f>IFERROR(__xludf.DUMMYFUNCTION("""COMPUTED_VALUE"""),"Negative")</f>
        <v>Negative</v>
      </c>
      <c r="G61" s="7">
        <f>IFERROR(__xludf.DUMMYFUNCTION("""COMPUTED_VALUE"""),3.0)</f>
        <v>3</v>
      </c>
    </row>
    <row r="62">
      <c r="A62" s="7" t="str">
        <f>IFERROR(__xludf.DUMMYFUNCTION("""COMPUTED_VALUE"""),"AH9741")</f>
        <v>AH9741</v>
      </c>
      <c r="B62" s="7" t="str">
        <f>IFERROR(__xludf.DUMMYFUNCTION("""COMPUTED_VALUE"""),"RUN-NDHM_2022-06-06_RFR-013")</f>
        <v>RUN-NDHM_2022-06-06_RFR-013</v>
      </c>
      <c r="C62" s="8">
        <f>VLOOKUP(B62,'Run Reconcile'!A$2:B100,2,FALSE)</f>
        <v>44718</v>
      </c>
      <c r="D62" s="12">
        <f>IFERROR(__xludf.DUMMYFUNCTION("""COMPUTED_VALUE"""),44718.0)</f>
        <v>44718</v>
      </c>
      <c r="E62" s="13">
        <f>IFERROR(__xludf.DUMMYFUNCTION("""COMPUTED_VALUE"""),0.21364583333343035)</f>
        <v>0.2136458333</v>
      </c>
      <c r="F62" s="7" t="str">
        <f>IFERROR(__xludf.DUMMYFUNCTION("""COMPUTED_VALUE"""),"Negative")</f>
        <v>Negative</v>
      </c>
      <c r="G62" s="7">
        <f>IFERROR(__xludf.DUMMYFUNCTION("""COMPUTED_VALUE"""),2.0)</f>
        <v>2</v>
      </c>
    </row>
    <row r="63">
      <c r="A63" s="7" t="str">
        <f>IFERROR(__xludf.DUMMYFUNCTION("""COMPUTED_VALUE"""),"AJ8368")</f>
        <v>AJ8368</v>
      </c>
      <c r="B63" s="7" t="str">
        <f>IFERROR(__xludf.DUMMYFUNCTION("""COMPUTED_VALUE"""),"RUN-NDHM_2022-06-06_RFR-013")</f>
        <v>RUN-NDHM_2022-06-06_RFR-013</v>
      </c>
      <c r="C63" s="8">
        <f>VLOOKUP(B63,'Run Reconcile'!A$2:B100,2,FALSE)</f>
        <v>44718</v>
      </c>
      <c r="D63" s="12">
        <f>IFERROR(__xludf.DUMMYFUNCTION("""COMPUTED_VALUE"""),44718.0)</f>
        <v>44718</v>
      </c>
      <c r="E63" s="13">
        <f>IFERROR(__xludf.DUMMYFUNCTION("""COMPUTED_VALUE"""),0.23652777777897427)</f>
        <v>0.2365277778</v>
      </c>
      <c r="F63" s="7" t="str">
        <f>IFERROR(__xludf.DUMMYFUNCTION("""COMPUTED_VALUE"""),"Negative")</f>
        <v>Negative</v>
      </c>
      <c r="G63" s="7">
        <f>IFERROR(__xludf.DUMMYFUNCTION("""COMPUTED_VALUE"""),3.0)</f>
        <v>3</v>
      </c>
    </row>
    <row r="64">
      <c r="A64" s="7" t="str">
        <f>IFERROR(__xludf.DUMMYFUNCTION("""COMPUTED_VALUE"""),"AG2202")</f>
        <v>AG2202</v>
      </c>
      <c r="B64" s="7" t="str">
        <f>IFERROR(__xludf.DUMMYFUNCTION("""COMPUTED_VALUE"""),"RUN-NDHM_2022-06-06_RFR-013")</f>
        <v>RUN-NDHM_2022-06-06_RFR-013</v>
      </c>
      <c r="C64" s="8">
        <f>VLOOKUP(B64,'Run Reconcile'!A$2:B100,2,FALSE)</f>
        <v>44718</v>
      </c>
      <c r="D64" s="12">
        <f>IFERROR(__xludf.DUMMYFUNCTION("""COMPUTED_VALUE"""),44718.0)</f>
        <v>44718</v>
      </c>
      <c r="E64" s="13">
        <f>IFERROR(__xludf.DUMMYFUNCTION("""COMPUTED_VALUE"""),0.29980324074131204)</f>
        <v>0.2998032407</v>
      </c>
      <c r="F64" s="7" t="str">
        <f>IFERROR(__xludf.DUMMYFUNCTION("""COMPUTED_VALUE"""),"Negative")</f>
        <v>Negative</v>
      </c>
      <c r="G64" s="7">
        <f>IFERROR(__xludf.DUMMYFUNCTION("""COMPUTED_VALUE"""),2.0)</f>
        <v>2</v>
      </c>
    </row>
    <row r="65">
      <c r="A65" s="7" t="str">
        <f>IFERROR(__xludf.DUMMYFUNCTION("""COMPUTED_VALUE"""),"AH8786")</f>
        <v>AH8786</v>
      </c>
      <c r="B65" s="7" t="str">
        <f>IFERROR(__xludf.DUMMYFUNCTION("""COMPUTED_VALUE"""),"RUN-NDHM_2022-06-13_RFR-014")</f>
        <v>RUN-NDHM_2022-06-13_RFR-014</v>
      </c>
      <c r="C65" s="8">
        <f>VLOOKUP(B65,'Run Reconcile'!A$2:B100,2,FALSE)</f>
        <v>44725</v>
      </c>
      <c r="D65" s="12">
        <f>IFERROR(__xludf.DUMMYFUNCTION("""COMPUTED_VALUE"""),44725.0)</f>
        <v>44725</v>
      </c>
      <c r="E65" s="13">
        <f>IFERROR(__xludf.DUMMYFUNCTION("""COMPUTED_VALUE"""),0.20103009259401006)</f>
        <v>0.2010300926</v>
      </c>
      <c r="F65" s="7" t="str">
        <f>IFERROR(__xludf.DUMMYFUNCTION("""COMPUTED_VALUE"""),"Negative")</f>
        <v>Negative</v>
      </c>
      <c r="G65" s="7">
        <f>IFERROR(__xludf.DUMMYFUNCTION("""COMPUTED_VALUE"""),4.0)</f>
        <v>4</v>
      </c>
    </row>
    <row r="66">
      <c r="A66" s="7" t="str">
        <f>IFERROR(__xludf.DUMMYFUNCTION("""COMPUTED_VALUE"""),"AG1844")</f>
        <v>AG1844</v>
      </c>
      <c r="B66" s="7" t="str">
        <f>IFERROR(__xludf.DUMMYFUNCTION("""COMPUTED_VALUE"""),"RUN-NDHM_2022-06-13_RFR-014")</f>
        <v>RUN-NDHM_2022-06-13_RFR-014</v>
      </c>
      <c r="C66" s="8">
        <f>VLOOKUP(B66,'Run Reconcile'!A$2:B100,2,FALSE)</f>
        <v>44725</v>
      </c>
      <c r="D66" s="12">
        <f>IFERROR(__xludf.DUMMYFUNCTION("""COMPUTED_VALUE"""),44725.0)</f>
        <v>44725</v>
      </c>
      <c r="E66" s="13">
        <f>IFERROR(__xludf.DUMMYFUNCTION("""COMPUTED_VALUE"""),0.22523148148320615)</f>
        <v>0.2252314815</v>
      </c>
      <c r="F66" s="7" t="str">
        <f>IFERROR(__xludf.DUMMYFUNCTION("""COMPUTED_VALUE"""),"Negative")</f>
        <v>Negative</v>
      </c>
      <c r="G66" s="7">
        <f>IFERROR(__xludf.DUMMYFUNCTION("""COMPUTED_VALUE"""),3.0)</f>
        <v>3</v>
      </c>
    </row>
    <row r="67">
      <c r="A67" s="7" t="str">
        <f>IFERROR(__xludf.DUMMYFUNCTION("""COMPUTED_VALUE"""),"AH9644")</f>
        <v>AH9644</v>
      </c>
      <c r="B67" s="7" t="str">
        <f>IFERROR(__xludf.DUMMYFUNCTION("""COMPUTED_VALUE"""),"RUN-NDHM_2022-06-13_RFR-014")</f>
        <v>RUN-NDHM_2022-06-13_RFR-014</v>
      </c>
      <c r="C67" s="8">
        <f>VLOOKUP(B67,'Run Reconcile'!A$2:B100,2,FALSE)</f>
        <v>44725</v>
      </c>
      <c r="D67" s="12">
        <f>IFERROR(__xludf.DUMMYFUNCTION("""COMPUTED_VALUE"""),44725.0)</f>
        <v>44725</v>
      </c>
      <c r="E67" s="13">
        <f>IFERROR(__xludf.DUMMYFUNCTION("""COMPUTED_VALUE"""),0.23350694444525288)</f>
        <v>0.2335069444</v>
      </c>
      <c r="F67" s="7" t="str">
        <f>IFERROR(__xludf.DUMMYFUNCTION("""COMPUTED_VALUE"""),"Negative")</f>
        <v>Negative</v>
      </c>
      <c r="G67" s="7">
        <f>IFERROR(__xludf.DUMMYFUNCTION("""COMPUTED_VALUE"""),3.0)</f>
        <v>3</v>
      </c>
    </row>
    <row r="68">
      <c r="A68" s="7" t="str">
        <f>IFERROR(__xludf.DUMMYFUNCTION("""COMPUTED_VALUE"""),"AK6656")</f>
        <v>AK6656</v>
      </c>
      <c r="B68" s="7" t="str">
        <f>IFERROR(__xludf.DUMMYFUNCTION("""COMPUTED_VALUE"""),"RUN-NDHM_2022-06-13_RFR-014")</f>
        <v>RUN-NDHM_2022-06-13_RFR-014</v>
      </c>
      <c r="C68" s="8">
        <f>VLOOKUP(B68,'Run Reconcile'!A$2:B100,2,FALSE)</f>
        <v>44725</v>
      </c>
      <c r="D68" s="12">
        <f>IFERROR(__xludf.DUMMYFUNCTION("""COMPUTED_VALUE"""),44725.0)</f>
        <v>44725</v>
      </c>
      <c r="E68" s="13">
        <f>IFERROR(__xludf.DUMMYFUNCTION("""COMPUTED_VALUE"""),0.24435185185211594)</f>
        <v>0.2443518519</v>
      </c>
      <c r="F68" s="7" t="str">
        <f>IFERROR(__xludf.DUMMYFUNCTION("""COMPUTED_VALUE"""),"Negative")</f>
        <v>Negative</v>
      </c>
      <c r="G68" s="7">
        <f>IFERROR(__xludf.DUMMYFUNCTION("""COMPUTED_VALUE"""),2.0)</f>
        <v>2</v>
      </c>
    </row>
    <row r="69">
      <c r="A69" s="7" t="str">
        <f>IFERROR(__xludf.DUMMYFUNCTION("""COMPUTED_VALUE"""),"AG611")</f>
        <v>AG611</v>
      </c>
      <c r="B69" s="7" t="str">
        <f>IFERROR(__xludf.DUMMYFUNCTION("""COMPUTED_VALUE"""),"RUN-NDHM_2022-06-21_RFR-016")</f>
        <v>RUN-NDHM_2022-06-21_RFR-016</v>
      </c>
      <c r="C69" s="8">
        <f>VLOOKUP(B69,'Run Reconcile'!A$2:B100,2,FALSE)</f>
        <v>44733</v>
      </c>
      <c r="D69" s="12">
        <f>IFERROR(__xludf.DUMMYFUNCTION("""COMPUTED_VALUE"""),44733.0)</f>
        <v>44733</v>
      </c>
      <c r="E69" s="13">
        <f>IFERROR(__xludf.DUMMYFUNCTION("""COMPUTED_VALUE"""),0.21247685185153387)</f>
        <v>0.2124768519</v>
      </c>
      <c r="F69" s="7" t="str">
        <f>IFERROR(__xludf.DUMMYFUNCTION("""COMPUTED_VALUE"""),"Negative")</f>
        <v>Negative</v>
      </c>
      <c r="G69" s="7">
        <f>IFERROR(__xludf.DUMMYFUNCTION("""COMPUTED_VALUE"""),3.0)</f>
        <v>3</v>
      </c>
    </row>
    <row r="70">
      <c r="A70" s="7" t="str">
        <f>IFERROR(__xludf.DUMMYFUNCTION("""COMPUTED_VALUE"""),"AG4603")</f>
        <v>AG4603</v>
      </c>
      <c r="B70" s="7" t="str">
        <f>IFERROR(__xludf.DUMMYFUNCTION("""COMPUTED_VALUE"""),"RUN-NDHM_2022-06-21_RFR-016")</f>
        <v>RUN-NDHM_2022-06-21_RFR-016</v>
      </c>
      <c r="C70" s="8">
        <f>VLOOKUP(B70,'Run Reconcile'!A$2:B100,2,FALSE)</f>
        <v>44733</v>
      </c>
      <c r="D70" s="12">
        <f>IFERROR(__xludf.DUMMYFUNCTION("""COMPUTED_VALUE"""),44733.0)</f>
        <v>44733</v>
      </c>
      <c r="E70" s="13">
        <f>IFERROR(__xludf.DUMMYFUNCTION("""COMPUTED_VALUE"""),0.34039351851970423)</f>
        <v>0.3403935185</v>
      </c>
      <c r="F70" s="7" t="str">
        <f>IFERROR(__xludf.DUMMYFUNCTION("""COMPUTED_VALUE"""),"Negative")</f>
        <v>Negative</v>
      </c>
      <c r="G70" s="7">
        <f>IFERROR(__xludf.DUMMYFUNCTION("""COMPUTED_VALUE"""),1.0)</f>
        <v>1</v>
      </c>
    </row>
    <row r="71">
      <c r="A71" s="7" t="str">
        <f>IFERROR(__xludf.DUMMYFUNCTION("""COMPUTED_VALUE"""),"AH772")</f>
        <v>AH772</v>
      </c>
      <c r="B71" s="7" t="str">
        <f>IFERROR(__xludf.DUMMYFUNCTION("""COMPUTED_VALUE"""),"RUN-NDHM_2022-06-27_RFR-017")</f>
        <v>RUN-NDHM_2022-06-27_RFR-017</v>
      </c>
      <c r="C71" s="8">
        <f>VLOOKUP(B71,'Run Reconcile'!A$2:B100,2,FALSE)</f>
        <v>44739</v>
      </c>
      <c r="D71" s="12">
        <f>IFERROR(__xludf.DUMMYFUNCTION("""COMPUTED_VALUE"""),44739.0)</f>
        <v>44739</v>
      </c>
      <c r="E71" s="13">
        <f>IFERROR(__xludf.DUMMYFUNCTION("""COMPUTED_VALUE"""),0.22328703703533392)</f>
        <v>0.223287037</v>
      </c>
      <c r="F71" s="7" t="str">
        <f>IFERROR(__xludf.DUMMYFUNCTION("""COMPUTED_VALUE"""),"Negative")</f>
        <v>Negative</v>
      </c>
      <c r="G71" s="7">
        <f>IFERROR(__xludf.DUMMYFUNCTION("""COMPUTED_VALUE"""),3.0)</f>
        <v>3</v>
      </c>
    </row>
    <row r="72">
      <c r="A72" s="7" t="str">
        <f>IFERROR(__xludf.DUMMYFUNCTION("""COMPUTED_VALUE"""),"AG1259")</f>
        <v>AG1259</v>
      </c>
      <c r="B72" s="7" t="str">
        <f>IFERROR(__xludf.DUMMYFUNCTION("""COMPUTED_VALUE"""),"RUN-NDHM_2022-07-11_RFR-018")</f>
        <v>RUN-NDHM_2022-07-11_RFR-018</v>
      </c>
      <c r="C72" s="8">
        <f>VLOOKUP(B72,'Run Reconcile'!A$2:B100,2,FALSE)</f>
        <v>44753</v>
      </c>
      <c r="D72" s="12">
        <f>IFERROR(__xludf.DUMMYFUNCTION("""COMPUTED_VALUE"""),44753.0)</f>
        <v>44753</v>
      </c>
      <c r="E72" s="13">
        <f>IFERROR(__xludf.DUMMYFUNCTION("""COMPUTED_VALUE"""),0.252719907406572)</f>
        <v>0.2527199074</v>
      </c>
      <c r="F72" s="7" t="str">
        <f>IFERROR(__xludf.DUMMYFUNCTION("""COMPUTED_VALUE"""),"Negative")</f>
        <v>Negative</v>
      </c>
      <c r="G72" s="7">
        <f>IFERROR(__xludf.DUMMYFUNCTION("""COMPUTED_VALUE"""),2.0)</f>
        <v>2</v>
      </c>
    </row>
    <row r="73">
      <c r="A73" s="7" t="str">
        <f>IFERROR(__xludf.DUMMYFUNCTION("""COMPUTED_VALUE"""),"AH7951")</f>
        <v>AH7951</v>
      </c>
      <c r="B73" s="7" t="str">
        <f>IFERROR(__xludf.DUMMYFUNCTION("""COMPUTED_VALUE"""),"RUN-NDHM_2022-07-18_RFR-019")</f>
        <v>RUN-NDHM_2022-07-18_RFR-019</v>
      </c>
      <c r="C73" s="8">
        <f>VLOOKUP(B73,'Run Reconcile'!A$2:B100,2,FALSE)</f>
        <v>44760</v>
      </c>
      <c r="D73" s="12">
        <f>IFERROR(__xludf.DUMMYFUNCTION("""COMPUTED_VALUE"""),44760.0)</f>
        <v>44760</v>
      </c>
      <c r="E73" s="13">
        <f>IFERROR(__xludf.DUMMYFUNCTION("""COMPUTED_VALUE"""),0.3808796296289074)</f>
        <v>0.3808796296</v>
      </c>
      <c r="F73" s="7" t="str">
        <f>IFERROR(__xludf.DUMMYFUNCTION("""COMPUTED_VALUE"""),"Negative")</f>
        <v>Negative</v>
      </c>
      <c r="G73" s="7">
        <f>IFERROR(__xludf.DUMMYFUNCTION("""COMPUTED_VALUE"""),2.0)</f>
        <v>2</v>
      </c>
    </row>
    <row r="74">
      <c r="A74" s="7" t="str">
        <f>IFERROR(__xludf.DUMMYFUNCTION("""COMPUTED_VALUE"""),"AJ9836")</f>
        <v>AJ9836</v>
      </c>
      <c r="B74" s="7" t="str">
        <f>IFERROR(__xludf.DUMMYFUNCTION("""COMPUTED_VALUE"""),"RUN-NDHM_2022-07-25_RFR-020")</f>
        <v>RUN-NDHM_2022-07-25_RFR-020</v>
      </c>
      <c r="C74" s="8">
        <f>VLOOKUP(B74,'Run Reconcile'!A$2:B100,2,FALSE)</f>
        <v>44767</v>
      </c>
      <c r="D74" s="12">
        <f>IFERROR(__xludf.DUMMYFUNCTION("""COMPUTED_VALUE"""),44767.0)</f>
        <v>44767</v>
      </c>
      <c r="E74" s="13">
        <f>IFERROR(__xludf.DUMMYFUNCTION("""COMPUTED_VALUE"""),0.20652777777650044)</f>
        <v>0.2065277778</v>
      </c>
      <c r="F74" s="7" t="str">
        <f>IFERROR(__xludf.DUMMYFUNCTION("""COMPUTED_VALUE"""),"Negative")</f>
        <v>Negative</v>
      </c>
      <c r="G74" s="7">
        <f>IFERROR(__xludf.DUMMYFUNCTION("""COMPUTED_VALUE"""),3.0)</f>
        <v>3</v>
      </c>
    </row>
    <row r="75">
      <c r="A75" s="7" t="str">
        <f>IFERROR(__xludf.DUMMYFUNCTION("""COMPUTED_VALUE"""),"AH248")</f>
        <v>AH248</v>
      </c>
      <c r="B75" s="7" t="str">
        <f>IFERROR(__xludf.DUMMYFUNCTION("""COMPUTED_VALUE"""),"RUN-NDHM_2022-07-25_RFR-020")</f>
        <v>RUN-NDHM_2022-07-25_RFR-020</v>
      </c>
      <c r="C75" s="8">
        <f>VLOOKUP(B75,'Run Reconcile'!A$2:B100,2,FALSE)</f>
        <v>44767</v>
      </c>
      <c r="D75" s="12">
        <f>IFERROR(__xludf.DUMMYFUNCTION("""COMPUTED_VALUE"""),44767.0)</f>
        <v>44767</v>
      </c>
      <c r="E75" s="13">
        <f>IFERROR(__xludf.DUMMYFUNCTION("""COMPUTED_VALUE"""),0.3024421296286164)</f>
        <v>0.3024421296</v>
      </c>
      <c r="F75" s="7" t="str">
        <f>IFERROR(__xludf.DUMMYFUNCTION("""COMPUTED_VALUE"""),"Negative")</f>
        <v>Negative</v>
      </c>
      <c r="G75" s="7">
        <f>IFERROR(__xludf.DUMMYFUNCTION("""COMPUTED_VALUE"""),1.0)</f>
        <v>1</v>
      </c>
    </row>
    <row r="76">
      <c r="A76" s="7" t="str">
        <f>IFERROR(__xludf.DUMMYFUNCTION("""COMPUTED_VALUE"""),"AG1224")</f>
        <v>AG1224</v>
      </c>
      <c r="B76" s="7" t="str">
        <f>IFERROR(__xludf.DUMMYFUNCTION("""COMPUTED_VALUE"""),"RUN-NDHM_2022-07-25_RFR-020")</f>
        <v>RUN-NDHM_2022-07-25_RFR-020</v>
      </c>
      <c r="C76" s="8">
        <f>VLOOKUP(B76,'Run Reconcile'!A$2:B100,2,FALSE)</f>
        <v>44767</v>
      </c>
      <c r="D76" s="12">
        <f>IFERROR(__xludf.DUMMYFUNCTION("""COMPUTED_VALUE"""),44767.0)</f>
        <v>44767</v>
      </c>
      <c r="E76" s="13">
        <f>IFERROR(__xludf.DUMMYFUNCTION("""COMPUTED_VALUE"""),0.3788773148153268)</f>
        <v>0.3788773148</v>
      </c>
      <c r="F76" s="7" t="str">
        <f>IFERROR(__xludf.DUMMYFUNCTION("""COMPUTED_VALUE"""),"Negative")</f>
        <v>Negative</v>
      </c>
      <c r="G76" s="7">
        <f>IFERROR(__xludf.DUMMYFUNCTION("""COMPUTED_VALUE"""),2.0)</f>
        <v>2</v>
      </c>
    </row>
    <row r="77">
      <c r="A77" s="7" t="str">
        <f>IFERROR(__xludf.DUMMYFUNCTION("""COMPUTED_VALUE"""),"AG299")</f>
        <v>AG299</v>
      </c>
      <c r="B77" s="7" t="str">
        <f>IFERROR(__xludf.DUMMYFUNCTION("""COMPUTED_VALUE"""),"RUN-NDHM_2022-08-01_APS-001")</f>
        <v>RUN-NDHM_2022-08-01_APS-001</v>
      </c>
      <c r="C77" s="8">
        <f>VLOOKUP(B77,'Run Reconcile'!A$2:B100,2,FALSE)</f>
        <v>44774</v>
      </c>
      <c r="D77" s="12">
        <f>IFERROR(__xludf.DUMMYFUNCTION("""COMPUTED_VALUE"""),44774.0)</f>
        <v>44774</v>
      </c>
      <c r="E77" s="13">
        <f>IFERROR(__xludf.DUMMYFUNCTION("""COMPUTED_VALUE"""),0.21421296296466608)</f>
        <v>0.214212963</v>
      </c>
      <c r="F77" s="7" t="str">
        <f>IFERROR(__xludf.DUMMYFUNCTION("""COMPUTED_VALUE"""),"Negative")</f>
        <v>Negative</v>
      </c>
      <c r="G77" s="7">
        <f>IFERROR(__xludf.DUMMYFUNCTION("""COMPUTED_VALUE"""),3.0)</f>
        <v>3</v>
      </c>
    </row>
    <row r="78">
      <c r="A78" s="7" t="str">
        <f>IFERROR(__xludf.DUMMYFUNCTION("""COMPUTED_VALUE"""),"AG1858")</f>
        <v>AG1858</v>
      </c>
      <c r="B78" s="7" t="str">
        <f>IFERROR(__xludf.DUMMYFUNCTION("""COMPUTED_VALUE"""),"RUN-NDHM_2022-09-12_APS-002")</f>
        <v>RUN-NDHM_2022-09-12_APS-002</v>
      </c>
      <c r="C78" s="8">
        <f>VLOOKUP(B78,'Run Reconcile'!A$2:B100,2,FALSE)</f>
        <v>44816</v>
      </c>
      <c r="D78" s="12">
        <f>IFERROR(__xludf.DUMMYFUNCTION("""COMPUTED_VALUE"""),44816.0)</f>
        <v>44816</v>
      </c>
      <c r="E78" s="13">
        <f>IFERROR(__xludf.DUMMYFUNCTION("""COMPUTED_VALUE"""),0.16901620370481396)</f>
        <v>0.1690162037</v>
      </c>
      <c r="F78" s="7" t="str">
        <f>IFERROR(__xludf.DUMMYFUNCTION("""COMPUTED_VALUE"""),"Negative")</f>
        <v>Negative</v>
      </c>
      <c r="G78" s="7">
        <f>IFERROR(__xludf.DUMMYFUNCTION("""COMPUTED_VALUE"""),4.0)</f>
        <v>4</v>
      </c>
    </row>
    <row r="79">
      <c r="A79" s="7" t="str">
        <f>IFERROR(__xludf.DUMMYFUNCTION("""COMPUTED_VALUE"""),"AJ9077")</f>
        <v>AJ9077</v>
      </c>
      <c r="B79" s="7" t="str">
        <f>IFERROR(__xludf.DUMMYFUNCTION("""COMPUTED_VALUE"""),"RUN-NDHM_2022-10-03_RFR-021")</f>
        <v>RUN-NDHM_2022-10-03_RFR-021</v>
      </c>
      <c r="C79" s="8">
        <f>VLOOKUP(B79,'Run Reconcile'!A$2:B100,2,FALSE)</f>
        <v>44837</v>
      </c>
      <c r="D79" s="12">
        <f>IFERROR(__xludf.DUMMYFUNCTION("""COMPUTED_VALUE"""),44837.0)</f>
        <v>44837</v>
      </c>
      <c r="E79" s="13">
        <f>IFERROR(__xludf.DUMMYFUNCTION("""COMPUTED_VALUE"""),0.19859953703780775)</f>
        <v>0.198599537</v>
      </c>
      <c r="F79" s="7" t="str">
        <f>IFERROR(__xludf.DUMMYFUNCTION("""COMPUTED_VALUE"""),"Negative")</f>
        <v>Negative</v>
      </c>
      <c r="G79" s="7">
        <f>IFERROR(__xludf.DUMMYFUNCTION("""COMPUTED_VALUE"""),3.0)</f>
        <v>3</v>
      </c>
    </row>
    <row r="80">
      <c r="A80" s="7" t="str">
        <f>IFERROR(__xludf.DUMMYFUNCTION("""COMPUTED_VALUE"""),"ARFNDHM001")</f>
        <v>ARFNDHM001</v>
      </c>
      <c r="B80" s="7" t="str">
        <f>IFERROR(__xludf.DUMMYFUNCTION("""COMPUTED_VALUE"""),"RUN-NDHM_2022-05-09_RFR-009")</f>
        <v>RUN-NDHM_2022-05-09_RFR-009</v>
      </c>
      <c r="C80" s="8">
        <f>VLOOKUP(B80,'Run Reconcile'!A$2:B100,2,FALSE)</f>
        <v>44690</v>
      </c>
      <c r="F80" s="7" t="str">
        <f>IFERROR(__xludf.DUMMYFUNCTION("""COMPUTED_VALUE"""),"Negative")</f>
        <v>Negative</v>
      </c>
    </row>
    <row r="81">
      <c r="A81" s="7" t="str">
        <f>IFERROR(__xludf.DUMMYFUNCTION("""COMPUTED_VALUE"""),"ARFNDHM002")</f>
        <v>ARFNDHM002</v>
      </c>
      <c r="B81" s="7" t="str">
        <f>IFERROR(__xludf.DUMMYFUNCTION("""COMPUTED_VALUE"""),"RUN-NDHM_2022-06-06_RFR-013")</f>
        <v>RUN-NDHM_2022-06-06_RFR-013</v>
      </c>
      <c r="C81" s="8">
        <f>VLOOKUP(B81,'Run Reconcile'!A$2:B100,2,FALSE)</f>
        <v>44718</v>
      </c>
      <c r="F81" s="7" t="str">
        <f>IFERROR(__xludf.DUMMYFUNCTION("""COMPUTED_VALUE"""),"Negative")</f>
        <v>Negative</v>
      </c>
    </row>
    <row r="82">
      <c r="C82" s="8"/>
    </row>
    <row r="83">
      <c r="C83" s="14"/>
    </row>
    <row r="84">
      <c r="C84" s="14"/>
    </row>
    <row r="85">
      <c r="C85" s="14"/>
    </row>
    <row r="86">
      <c r="C86" s="14"/>
    </row>
    <row r="87">
      <c r="C87" s="14"/>
    </row>
    <row r="88">
      <c r="C88" s="14"/>
    </row>
    <row r="89">
      <c r="C89" s="14"/>
    </row>
    <row r="90">
      <c r="C90" s="14"/>
    </row>
    <row r="91">
      <c r="C91" s="14"/>
    </row>
    <row r="92">
      <c r="C92" s="14"/>
    </row>
    <row r="93">
      <c r="C93" s="14"/>
    </row>
    <row r="94">
      <c r="C94" s="14"/>
    </row>
    <row r="95">
      <c r="C95" s="14"/>
    </row>
    <row r="96">
      <c r="C96" s="14"/>
    </row>
    <row r="97">
      <c r="C97" s="14"/>
    </row>
    <row r="98">
      <c r="C98" s="14"/>
    </row>
    <row r="99">
      <c r="C99" s="14"/>
    </row>
    <row r="100">
      <c r="C10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75"/>
    <col customWidth="1" min="4" max="4" width="9.88"/>
    <col customWidth="1" min="5" max="5" width="9.5"/>
  </cols>
  <sheetData>
    <row r="1">
      <c r="A1" s="15" t="s">
        <v>0</v>
      </c>
      <c r="B1" s="15" t="s">
        <v>1</v>
      </c>
      <c r="C1" s="16" t="str">
        <f>CONCATENATE("Weekly Participants ",SUM(C2:C99))</f>
        <v>Weekly Participants 190</v>
      </c>
      <c r="D1" s="15" t="str">
        <f>CONCATENATE("Weekly Tubes Run ",SUM(D2:D99))</f>
        <v>Weekly Tubes Run 80</v>
      </c>
      <c r="E1" s="15" t="str">
        <f>CONCATENATE("Weekly Positive Tubes ",SUM(E2:E99))</f>
        <v>Weekly Positive Tubes 0</v>
      </c>
      <c r="F1" s="15" t="str">
        <f>CONCATENATE("Weekly Inconclusive Tubes ",SUM(F2:F99))</f>
        <v>Weekly Inconclusive Tubes 0</v>
      </c>
      <c r="G1" s="15" t="s">
        <v>2</v>
      </c>
      <c r="H1" s="6"/>
      <c r="I1" s="6"/>
      <c r="J1" s="6"/>
      <c r="K1" s="6"/>
      <c r="L1" s="6"/>
      <c r="M1" s="6"/>
      <c r="N1" s="6"/>
      <c r="O1" s="6"/>
      <c r="P1" s="6"/>
      <c r="Q1" s="6"/>
      <c r="R1" s="6"/>
      <c r="S1" s="6"/>
      <c r="T1" s="6"/>
      <c r="U1" s="6"/>
      <c r="V1" s="6"/>
      <c r="W1" s="6"/>
      <c r="X1" s="6"/>
      <c r="Y1" s="6"/>
      <c r="Z1" s="6"/>
      <c r="AA1" s="6"/>
    </row>
    <row r="2">
      <c r="A2" s="17">
        <f>MIN('ALL Tube Results'!C:C) - WEEKDAY(MIN('ALL Tube Results'!C:C), 3)
</f>
        <v>44683</v>
      </c>
      <c r="B2" s="18">
        <f t="shared" ref="B2:B24" si="1">A2+6</f>
        <v>44689</v>
      </c>
      <c r="C2" s="19">
        <f>SUMIFS('ALL Tube Results'!$G$2:$G99, 'ALL Tube Results'!$C$2:$C99, "&gt;="&amp;A2, 'ALL Tube Results'!$C$2:$C99, "&lt;="&amp;B2)
</f>
        <v>34</v>
      </c>
      <c r="D2" s="20">
        <f>COUNTIFS('ALL Tube Results'!$C2:$C99, "&gt;="&amp;A2, 'ALL Tube Results'!$C2:$C99, "&lt;="&amp;B2)</f>
        <v>17</v>
      </c>
      <c r="E2" s="20">
        <f>COUNTIFS('ALL Tube Results'!$C2:$C99, "&gt;="&amp;A2, 'ALL Tube Results'!$C2:$C99, "&lt;="&amp;B2, 'ALL Tube Results'!$F2:$F99, "Positive")</f>
        <v>0</v>
      </c>
      <c r="F2" s="20">
        <f>COUNTIFS('ALL Tube Results'!$C2:$C99, "&gt;="&amp;A2, 'ALL Tube Results'!$C2:$C99, "&lt;="&amp;B2, 'ALL Tube Results'!$F2:$F99, "Inconclusive")</f>
        <v>0</v>
      </c>
      <c r="G2" s="21">
        <f t="shared" ref="G2:G24" si="2">IFERROR(E2/D2,IFERROR(0/0,""))</f>
        <v>0</v>
      </c>
      <c r="I2" s="7" t="str">
        <f>TEXT(A2,"ddd")</f>
        <v>Mon</v>
      </c>
    </row>
    <row r="3">
      <c r="A3" s="22">
        <f>B2+1</f>
        <v>44690</v>
      </c>
      <c r="B3" s="18">
        <f t="shared" si="1"/>
        <v>44696</v>
      </c>
      <c r="C3" s="19">
        <f>SUMIFS('ALL Tube Results'!$G$2:$G99, 'ALL Tube Results'!$C$2:$C99, "&gt;="&amp;A3, 'ALL Tube Results'!$C$2:$C99, "&lt;="&amp;B3)
</f>
        <v>22</v>
      </c>
      <c r="D3" s="20">
        <f>COUNTIFS('ALL Tube Results'!$C3:$C99, "&gt;="&amp;A3, 'ALL Tube Results'!$C3:$C99, "&lt;="&amp;B3)</f>
        <v>9</v>
      </c>
      <c r="E3" s="20">
        <f>COUNTIFS('ALL Tube Results'!$C3:$C99, "&gt;="&amp;A3, 'ALL Tube Results'!$C3:$C99, "&lt;="&amp;B3, 'ALL Tube Results'!$F3:$F99, "Positive")</f>
        <v>0</v>
      </c>
      <c r="F3" s="20">
        <f>COUNTIFS('ALL Tube Results'!$C3:$C99, "&gt;="&amp;A3, 'ALL Tube Results'!$C3:$C99, "&lt;="&amp;B3, 'ALL Tube Results'!$F3:$F99, "Inconclusive")</f>
        <v>0</v>
      </c>
      <c r="G3" s="21">
        <f t="shared" si="2"/>
        <v>0</v>
      </c>
    </row>
    <row r="4">
      <c r="A4" s="22">
        <f t="shared" ref="A4:A24" si="3">A3+7</f>
        <v>44697</v>
      </c>
      <c r="B4" s="18">
        <f t="shared" si="1"/>
        <v>44703</v>
      </c>
      <c r="C4" s="19">
        <f>SUMIFS('ALL Tube Results'!$G$2:$G99, 'ALL Tube Results'!$C$2:$C99, "&gt;="&amp;A4, 'ALL Tube Results'!$C$2:$C99, "&lt;="&amp;B4)
</f>
        <v>26</v>
      </c>
      <c r="D4" s="20">
        <f>COUNTIFS('ALL Tube Results'!$C4:$C99, "&gt;="&amp;A4, 'ALL Tube Results'!$C4:$C99, "&lt;="&amp;B4)</f>
        <v>10</v>
      </c>
      <c r="E4" s="20">
        <f>COUNTIFS('ALL Tube Results'!$C4:$C99, "&gt;="&amp;A4, 'ALL Tube Results'!$C4:$C99, "&lt;="&amp;B4, 'ALL Tube Results'!$F4:$F99, "Positive")</f>
        <v>0</v>
      </c>
      <c r="F4" s="20">
        <f>COUNTIFS('ALL Tube Results'!$C4:$C99, "&gt;="&amp;A4, 'ALL Tube Results'!$C4:$C99, "&lt;="&amp;B4, 'ALL Tube Results'!$F4:$F99, "Inconclusive")</f>
        <v>0</v>
      </c>
      <c r="G4" s="21">
        <f t="shared" si="2"/>
        <v>0</v>
      </c>
    </row>
    <row r="5">
      <c r="A5" s="22">
        <f t="shared" si="3"/>
        <v>44704</v>
      </c>
      <c r="B5" s="18">
        <f t="shared" si="1"/>
        <v>44710</v>
      </c>
      <c r="C5" s="19">
        <f>SUMIFS('ALL Tube Results'!$G$2:$G99, 'ALL Tube Results'!$C$2:$C99, "&gt;="&amp;A5, 'ALL Tube Results'!$C$2:$C99, "&lt;="&amp;B5)
</f>
        <v>22</v>
      </c>
      <c r="D5" s="20">
        <f>COUNTIFS('ALL Tube Results'!$C5:$C99, "&gt;="&amp;A5, 'ALL Tube Results'!$C5:$C99, "&lt;="&amp;B5)</f>
        <v>8</v>
      </c>
      <c r="E5" s="20">
        <f>COUNTIFS('ALL Tube Results'!$C5:$C99, "&gt;="&amp;A5, 'ALL Tube Results'!$C5:$C99, "&lt;="&amp;B5, 'ALL Tube Results'!$F5:$F99, "Positive")</f>
        <v>0</v>
      </c>
      <c r="F5" s="20">
        <f>COUNTIFS('ALL Tube Results'!$C5:$C99, "&gt;="&amp;A5, 'ALL Tube Results'!$C5:$C99, "&lt;="&amp;B5, 'ALL Tube Results'!$F5:$F99, "Inconclusive")</f>
        <v>0</v>
      </c>
      <c r="G5" s="21">
        <f t="shared" si="2"/>
        <v>0</v>
      </c>
    </row>
    <row r="6">
      <c r="A6" s="22">
        <f t="shared" si="3"/>
        <v>44711</v>
      </c>
      <c r="B6" s="18">
        <f t="shared" si="1"/>
        <v>44717</v>
      </c>
      <c r="C6" s="19">
        <f>SUMIFS('ALL Tube Results'!$G$2:$G99, 'ALL Tube Results'!$C$2:$C99, "&gt;="&amp;A6, 'ALL Tube Results'!$C$2:$C99, "&lt;="&amp;B6)
</f>
        <v>28</v>
      </c>
      <c r="D6" s="20">
        <f>COUNTIFS('ALL Tube Results'!$C6:$C99, "&gt;="&amp;A6, 'ALL Tube Results'!$C6:$C99, "&lt;="&amp;B6)</f>
        <v>13</v>
      </c>
      <c r="E6" s="20">
        <f>COUNTIFS('ALL Tube Results'!$C6:$C99, "&gt;="&amp;A6, 'ALL Tube Results'!$C6:$C99, "&lt;="&amp;B6, 'ALL Tube Results'!$F6:$F99, "Positive")</f>
        <v>0</v>
      </c>
      <c r="F6" s="20">
        <f>COUNTIFS('ALL Tube Results'!$C6:$C99, "&gt;="&amp;A6, 'ALL Tube Results'!$C6:$C99, "&lt;="&amp;B6, 'ALL Tube Results'!$F6:$F99, "Inconclusive")</f>
        <v>0</v>
      </c>
      <c r="G6" s="21">
        <f t="shared" si="2"/>
        <v>0</v>
      </c>
    </row>
    <row r="7">
      <c r="A7" s="22">
        <f t="shared" si="3"/>
        <v>44718</v>
      </c>
      <c r="B7" s="18">
        <f t="shared" si="1"/>
        <v>44724</v>
      </c>
      <c r="C7" s="19">
        <f>SUMIFS('ALL Tube Results'!$G$2:$G99, 'ALL Tube Results'!$C$2:$C99, "&gt;="&amp;A7, 'ALL Tube Results'!$C$2:$C99, "&lt;="&amp;B7)
</f>
        <v>19</v>
      </c>
      <c r="D7" s="20">
        <f>COUNTIFS('ALL Tube Results'!$C7:$C99, "&gt;="&amp;A7, 'ALL Tube Results'!$C7:$C99, "&lt;="&amp;B7)</f>
        <v>8</v>
      </c>
      <c r="E7" s="20">
        <f>COUNTIFS('ALL Tube Results'!$C7:$C99, "&gt;="&amp;A7, 'ALL Tube Results'!$C7:$C99, "&lt;="&amp;B7, 'ALL Tube Results'!$F7:$F99, "Positive")</f>
        <v>0</v>
      </c>
      <c r="F7" s="20">
        <f>COUNTIFS('ALL Tube Results'!$C7:$C99, "&gt;="&amp;A7, 'ALL Tube Results'!$C7:$C99, "&lt;="&amp;B7, 'ALL Tube Results'!$F7:$F99, "Inconclusive")</f>
        <v>0</v>
      </c>
      <c r="G7" s="21">
        <f t="shared" si="2"/>
        <v>0</v>
      </c>
    </row>
    <row r="8">
      <c r="A8" s="22">
        <f t="shared" si="3"/>
        <v>44725</v>
      </c>
      <c r="B8" s="18">
        <f t="shared" si="1"/>
        <v>44731</v>
      </c>
      <c r="C8" s="19">
        <f>SUMIFS('ALL Tube Results'!$G$2:$G99, 'ALL Tube Results'!$C$2:$C99, "&gt;="&amp;A8, 'ALL Tube Results'!$C$2:$C99, "&lt;="&amp;B8)
</f>
        <v>12</v>
      </c>
      <c r="D8" s="20">
        <f>COUNTIFS('ALL Tube Results'!$C8:$C99, "&gt;="&amp;A8, 'ALL Tube Results'!$C8:$C99, "&lt;="&amp;B8)</f>
        <v>4</v>
      </c>
      <c r="E8" s="20">
        <f>COUNTIFS('ALL Tube Results'!$C8:$C99, "&gt;="&amp;A8, 'ALL Tube Results'!$C8:$C99, "&lt;="&amp;B8, 'ALL Tube Results'!$F8:$F99, "Positive")</f>
        <v>0</v>
      </c>
      <c r="F8" s="20">
        <f>COUNTIFS('ALL Tube Results'!$C8:$C99, "&gt;="&amp;A8, 'ALL Tube Results'!$C8:$C99, "&lt;="&amp;B8, 'ALL Tube Results'!$F8:$F99, "Inconclusive")</f>
        <v>0</v>
      </c>
      <c r="G8" s="21">
        <f t="shared" si="2"/>
        <v>0</v>
      </c>
    </row>
    <row r="9">
      <c r="A9" s="22">
        <f t="shared" si="3"/>
        <v>44732</v>
      </c>
      <c r="B9" s="18">
        <f t="shared" si="1"/>
        <v>44738</v>
      </c>
      <c r="C9" s="19">
        <f>SUMIFS('ALL Tube Results'!$G$2:$G99, 'ALL Tube Results'!$C$2:$C99, "&gt;="&amp;A9, 'ALL Tube Results'!$C$2:$C99, "&lt;="&amp;B9)
</f>
        <v>4</v>
      </c>
      <c r="D9" s="20">
        <f>COUNTIFS('ALL Tube Results'!$C9:$C99, "&gt;="&amp;A9, 'ALL Tube Results'!$C9:$C99, "&lt;="&amp;B9)</f>
        <v>2</v>
      </c>
      <c r="E9" s="20">
        <f>COUNTIFS('ALL Tube Results'!$C9:$C99, "&gt;="&amp;A9, 'ALL Tube Results'!$C9:$C99, "&lt;="&amp;B9, 'ALL Tube Results'!$F9:$F99, "Positive")</f>
        <v>0</v>
      </c>
      <c r="F9" s="20">
        <f>COUNTIFS('ALL Tube Results'!$C9:$C99, "&gt;="&amp;A9, 'ALL Tube Results'!$C9:$C99, "&lt;="&amp;B9, 'ALL Tube Results'!$F9:$F99, "Inconclusive")</f>
        <v>0</v>
      </c>
      <c r="G9" s="21">
        <f t="shared" si="2"/>
        <v>0</v>
      </c>
    </row>
    <row r="10">
      <c r="A10" s="22">
        <f t="shared" si="3"/>
        <v>44739</v>
      </c>
      <c r="B10" s="18">
        <f t="shared" si="1"/>
        <v>44745</v>
      </c>
      <c r="C10" s="19">
        <f>SUMIFS('ALL Tube Results'!$G$2:$G99, 'ALL Tube Results'!$C$2:$C99, "&gt;="&amp;A10, 'ALL Tube Results'!$C$2:$C99, "&lt;="&amp;B10)
</f>
        <v>3</v>
      </c>
      <c r="D10" s="20">
        <f>COUNTIFS('ALL Tube Results'!$C10:$C99, "&gt;="&amp;A10, 'ALL Tube Results'!$C10:$C99, "&lt;="&amp;B10)</f>
        <v>1</v>
      </c>
      <c r="E10" s="20">
        <f>COUNTIFS('ALL Tube Results'!$C10:$C99, "&gt;="&amp;A10, 'ALL Tube Results'!$C10:$C99, "&lt;="&amp;B10, 'ALL Tube Results'!$F10:$F99, "Positive")</f>
        <v>0</v>
      </c>
      <c r="F10" s="20">
        <f>COUNTIFS('ALL Tube Results'!$C10:$C99, "&gt;="&amp;A10, 'ALL Tube Results'!$C10:$C99, "&lt;="&amp;B10, 'ALL Tube Results'!$F10:$F99, "Inconclusive")</f>
        <v>0</v>
      </c>
      <c r="G10" s="21">
        <f t="shared" si="2"/>
        <v>0</v>
      </c>
    </row>
    <row r="11">
      <c r="A11" s="22">
        <f t="shared" si="3"/>
        <v>44746</v>
      </c>
      <c r="B11" s="18">
        <f t="shared" si="1"/>
        <v>44752</v>
      </c>
      <c r="C11" s="19">
        <f>SUMIFS('ALL Tube Results'!$G$2:$G99, 'ALL Tube Results'!$C$2:$C99, "&gt;="&amp;A11, 'ALL Tube Results'!$C$2:$C99, "&lt;="&amp;B11)
</f>
        <v>0</v>
      </c>
      <c r="D11" s="20">
        <f>COUNTIFS('ALL Tube Results'!$C11:$C99, "&gt;="&amp;A11, 'ALL Tube Results'!$C11:$C99, "&lt;="&amp;B11)</f>
        <v>0</v>
      </c>
      <c r="E11" s="20">
        <f>COUNTIFS('ALL Tube Results'!$C11:$C99, "&gt;="&amp;A11, 'ALL Tube Results'!$C11:$C99, "&lt;="&amp;B11, 'ALL Tube Results'!$F11:$F99, "Positive")</f>
        <v>0</v>
      </c>
      <c r="F11" s="20">
        <f>COUNTIFS('ALL Tube Results'!$C11:$C99, "&gt;="&amp;A11, 'ALL Tube Results'!$C11:$C99, "&lt;="&amp;B11, 'ALL Tube Results'!$F11:$F99, "Inconclusive")</f>
        <v>0</v>
      </c>
      <c r="G11" s="21" t="str">
        <f t="shared" si="2"/>
        <v/>
      </c>
    </row>
    <row r="12">
      <c r="A12" s="22">
        <f t="shared" si="3"/>
        <v>44753</v>
      </c>
      <c r="B12" s="18">
        <f t="shared" si="1"/>
        <v>44759</v>
      </c>
      <c r="C12" s="19">
        <f>SUMIFS('ALL Tube Results'!$G$2:$G99, 'ALL Tube Results'!$C$2:$C99, "&gt;="&amp;A12, 'ALL Tube Results'!$C$2:$C99, "&lt;="&amp;B12)
</f>
        <v>2</v>
      </c>
      <c r="D12" s="20">
        <f>COUNTIFS('ALL Tube Results'!$C12:$C99, "&gt;="&amp;A12, 'ALL Tube Results'!$C12:$C99, "&lt;="&amp;B12)</f>
        <v>1</v>
      </c>
      <c r="E12" s="20">
        <f>COUNTIFS('ALL Tube Results'!$C12:$C99, "&gt;="&amp;A12, 'ALL Tube Results'!$C12:$C99, "&lt;="&amp;B12, 'ALL Tube Results'!$F12:$F99, "Positive")</f>
        <v>0</v>
      </c>
      <c r="F12" s="20">
        <f>COUNTIFS('ALL Tube Results'!$C12:$C99, "&gt;="&amp;A12, 'ALL Tube Results'!$C12:$C99, "&lt;="&amp;B12, 'ALL Tube Results'!$F12:$F99, "Inconclusive")</f>
        <v>0</v>
      </c>
      <c r="G12" s="21">
        <f t="shared" si="2"/>
        <v>0</v>
      </c>
    </row>
    <row r="13">
      <c r="A13" s="22">
        <f t="shared" si="3"/>
        <v>44760</v>
      </c>
      <c r="B13" s="18">
        <f t="shared" si="1"/>
        <v>44766</v>
      </c>
      <c r="C13" s="19">
        <f>SUMIFS('ALL Tube Results'!$G$2:$G99, 'ALL Tube Results'!$C$2:$C99, "&gt;="&amp;A13, 'ALL Tube Results'!$C$2:$C99, "&lt;="&amp;B13)
</f>
        <v>2</v>
      </c>
      <c r="D13" s="20">
        <f>COUNTIFS('ALL Tube Results'!$C13:$C99, "&gt;="&amp;A13, 'ALL Tube Results'!$C13:$C99, "&lt;="&amp;B13)</f>
        <v>1</v>
      </c>
      <c r="E13" s="20">
        <f>COUNTIFS('ALL Tube Results'!$C13:$C99, "&gt;="&amp;A13, 'ALL Tube Results'!$C13:$C99, "&lt;="&amp;B13, 'ALL Tube Results'!$F13:$F99, "Positive")</f>
        <v>0</v>
      </c>
      <c r="F13" s="20">
        <f>COUNTIFS('ALL Tube Results'!$C13:$C99, "&gt;="&amp;A13, 'ALL Tube Results'!$C13:$C99, "&lt;="&amp;B13, 'ALL Tube Results'!$F13:$F99, "Inconclusive")</f>
        <v>0</v>
      </c>
      <c r="G13" s="21">
        <f t="shared" si="2"/>
        <v>0</v>
      </c>
    </row>
    <row r="14">
      <c r="A14" s="22">
        <f t="shared" si="3"/>
        <v>44767</v>
      </c>
      <c r="B14" s="18">
        <f t="shared" si="1"/>
        <v>44773</v>
      </c>
      <c r="C14" s="19">
        <f>SUMIFS('ALL Tube Results'!$G$2:$G99, 'ALL Tube Results'!$C$2:$C99, "&gt;="&amp;A14, 'ALL Tube Results'!$C$2:$C99, "&lt;="&amp;B14)
</f>
        <v>6</v>
      </c>
      <c r="D14" s="20">
        <f>COUNTIFS('ALL Tube Results'!$C14:$C99, "&gt;="&amp;A14, 'ALL Tube Results'!$C14:$C99, "&lt;="&amp;B14)</f>
        <v>3</v>
      </c>
      <c r="E14" s="20">
        <f>COUNTIFS('ALL Tube Results'!$C14:$C99, "&gt;="&amp;A14, 'ALL Tube Results'!$C14:$C99, "&lt;="&amp;B14, 'ALL Tube Results'!$F14:$F99, "Positive")</f>
        <v>0</v>
      </c>
      <c r="F14" s="20">
        <f>COUNTIFS('ALL Tube Results'!$C14:$C99, "&gt;="&amp;A14, 'ALL Tube Results'!$C14:$C99, "&lt;="&amp;B14, 'ALL Tube Results'!$F14:$F99, "Inconclusive")</f>
        <v>0</v>
      </c>
      <c r="G14" s="21">
        <f t="shared" si="2"/>
        <v>0</v>
      </c>
    </row>
    <row r="15">
      <c r="A15" s="22">
        <f t="shared" si="3"/>
        <v>44774</v>
      </c>
      <c r="B15" s="18">
        <f t="shared" si="1"/>
        <v>44780</v>
      </c>
      <c r="C15" s="19">
        <f>SUMIFS('ALL Tube Results'!$G$2:$G99, 'ALL Tube Results'!$C$2:$C99, "&gt;="&amp;A15, 'ALL Tube Results'!$C$2:$C99, "&lt;="&amp;B15)
</f>
        <v>3</v>
      </c>
      <c r="D15" s="20">
        <f>COUNTIFS('ALL Tube Results'!$C15:$C99, "&gt;="&amp;A15, 'ALL Tube Results'!$C15:$C99, "&lt;="&amp;B15)</f>
        <v>1</v>
      </c>
      <c r="E15" s="20">
        <f>COUNTIFS('ALL Tube Results'!$C15:$C99, "&gt;="&amp;A15, 'ALL Tube Results'!$C15:$C99, "&lt;="&amp;B15, 'ALL Tube Results'!$F15:$F99, "Positive")</f>
        <v>0</v>
      </c>
      <c r="F15" s="20">
        <f>COUNTIFS('ALL Tube Results'!$C15:$C99, "&gt;="&amp;A15, 'ALL Tube Results'!$C15:$C99, "&lt;="&amp;B15, 'ALL Tube Results'!$F15:$F99, "Inconclusive")</f>
        <v>0</v>
      </c>
      <c r="G15" s="21">
        <f t="shared" si="2"/>
        <v>0</v>
      </c>
    </row>
    <row r="16">
      <c r="A16" s="22">
        <f t="shared" si="3"/>
        <v>44781</v>
      </c>
      <c r="B16" s="18">
        <f t="shared" si="1"/>
        <v>44787</v>
      </c>
      <c r="C16" s="19">
        <f>SUMIFS('ALL Tube Results'!$G$2:$G99, 'ALL Tube Results'!$C$2:$C99, "&gt;="&amp;A16, 'ALL Tube Results'!$C$2:$C99, "&lt;="&amp;B16)
</f>
        <v>0</v>
      </c>
      <c r="D16" s="20">
        <f>COUNTIFS('ALL Tube Results'!$C16:$C99, "&gt;="&amp;A16, 'ALL Tube Results'!$C16:$C99, "&lt;="&amp;B16)</f>
        <v>0</v>
      </c>
      <c r="E16" s="20">
        <f>COUNTIFS('ALL Tube Results'!$C16:$C99, "&gt;="&amp;A16, 'ALL Tube Results'!$C16:$C99, "&lt;="&amp;B16, 'ALL Tube Results'!$F16:$F99, "Positive")</f>
        <v>0</v>
      </c>
      <c r="F16" s="20">
        <f>COUNTIFS('ALL Tube Results'!$C16:$C99, "&gt;="&amp;A16, 'ALL Tube Results'!$C16:$C99, "&lt;="&amp;B16, 'ALL Tube Results'!$F16:$F99, "Inconclusive")</f>
        <v>0</v>
      </c>
      <c r="G16" s="21" t="str">
        <f t="shared" si="2"/>
        <v/>
      </c>
    </row>
    <row r="17">
      <c r="A17" s="22">
        <f t="shared" si="3"/>
        <v>44788</v>
      </c>
      <c r="B17" s="18">
        <f t="shared" si="1"/>
        <v>44794</v>
      </c>
      <c r="C17" s="19">
        <f>SUMIFS('ALL Tube Results'!$G$2:$G99, 'ALL Tube Results'!$C$2:$C99, "&gt;="&amp;A17, 'ALL Tube Results'!$C$2:$C99, "&lt;="&amp;B17)
</f>
        <v>0</v>
      </c>
      <c r="D17" s="20">
        <f>COUNTIFS('ALL Tube Results'!$C17:$C99, "&gt;="&amp;A17, 'ALL Tube Results'!$C17:$C99, "&lt;="&amp;B17)</f>
        <v>0</v>
      </c>
      <c r="E17" s="20">
        <f>COUNTIFS('ALL Tube Results'!$C17:$C99, "&gt;="&amp;A17, 'ALL Tube Results'!$C17:$C99, "&lt;="&amp;B17, 'ALL Tube Results'!$F17:$F99, "Positive")</f>
        <v>0</v>
      </c>
      <c r="F17" s="20">
        <f>COUNTIFS('ALL Tube Results'!$C17:$C99, "&gt;="&amp;A17, 'ALL Tube Results'!$C17:$C99, "&lt;="&amp;B17, 'ALL Tube Results'!$F17:$F99, "Inconclusive")</f>
        <v>0</v>
      </c>
      <c r="G17" s="21" t="str">
        <f t="shared" si="2"/>
        <v/>
      </c>
    </row>
    <row r="18">
      <c r="A18" s="22">
        <f t="shared" si="3"/>
        <v>44795</v>
      </c>
      <c r="B18" s="18">
        <f t="shared" si="1"/>
        <v>44801</v>
      </c>
      <c r="C18" s="19">
        <f>SUMIFS('ALL Tube Results'!$G$2:$G99, 'ALL Tube Results'!$C$2:$C99, "&gt;="&amp;A18, 'ALL Tube Results'!$C$2:$C99, "&lt;="&amp;B18)
</f>
        <v>0</v>
      </c>
      <c r="D18" s="20">
        <f>COUNTIFS('ALL Tube Results'!$C18:$C99, "&gt;="&amp;A18, 'ALL Tube Results'!$C18:$C99, "&lt;="&amp;B18)</f>
        <v>0</v>
      </c>
      <c r="E18" s="20">
        <f>COUNTIFS('ALL Tube Results'!$C18:$C99, "&gt;="&amp;A18, 'ALL Tube Results'!$C18:$C99, "&lt;="&amp;B18, 'ALL Tube Results'!$F18:$F99, "Positive")</f>
        <v>0</v>
      </c>
      <c r="F18" s="20">
        <f>COUNTIFS('ALL Tube Results'!$C18:$C99, "&gt;="&amp;A18, 'ALL Tube Results'!$C18:$C99, "&lt;="&amp;B18, 'ALL Tube Results'!$F18:$F99, "Inconclusive")</f>
        <v>0</v>
      </c>
      <c r="G18" s="21" t="str">
        <f t="shared" si="2"/>
        <v/>
      </c>
    </row>
    <row r="19">
      <c r="A19" s="22">
        <f t="shared" si="3"/>
        <v>44802</v>
      </c>
      <c r="B19" s="18">
        <f t="shared" si="1"/>
        <v>44808</v>
      </c>
      <c r="C19" s="19">
        <f>SUMIFS('ALL Tube Results'!$G$2:$G99, 'ALL Tube Results'!$C$2:$C99, "&gt;="&amp;A19, 'ALL Tube Results'!$C$2:$C99, "&lt;="&amp;B19)
</f>
        <v>0</v>
      </c>
      <c r="D19" s="20">
        <f>COUNTIFS('ALL Tube Results'!$C19:$C99, "&gt;="&amp;A19, 'ALL Tube Results'!$C19:$C99, "&lt;="&amp;B19)</f>
        <v>0</v>
      </c>
      <c r="E19" s="20">
        <f>COUNTIFS('ALL Tube Results'!$C19:$C99, "&gt;="&amp;A19, 'ALL Tube Results'!$C19:$C99, "&lt;="&amp;B19, 'ALL Tube Results'!$F19:$F99, "Positive")</f>
        <v>0</v>
      </c>
      <c r="F19" s="20">
        <f>COUNTIFS('ALL Tube Results'!$C19:$C99, "&gt;="&amp;A19, 'ALL Tube Results'!$C19:$C99, "&lt;="&amp;B19, 'ALL Tube Results'!$F19:$F99, "Inconclusive")</f>
        <v>0</v>
      </c>
      <c r="G19" s="21" t="str">
        <f t="shared" si="2"/>
        <v/>
      </c>
    </row>
    <row r="20">
      <c r="A20" s="22">
        <f t="shared" si="3"/>
        <v>44809</v>
      </c>
      <c r="B20" s="18">
        <f t="shared" si="1"/>
        <v>44815</v>
      </c>
      <c r="C20" s="19">
        <f>SUMIFS('ALL Tube Results'!$G$2:$G99, 'ALL Tube Results'!$C$2:$C99, "&gt;="&amp;A20, 'ALL Tube Results'!$C$2:$C99, "&lt;="&amp;B20)
</f>
        <v>0</v>
      </c>
      <c r="D20" s="20">
        <f>COUNTIFS('ALL Tube Results'!$C20:$C99, "&gt;="&amp;A20, 'ALL Tube Results'!$C20:$C99, "&lt;="&amp;B20)</f>
        <v>0</v>
      </c>
      <c r="E20" s="20">
        <f>COUNTIFS('ALL Tube Results'!$C20:$C99, "&gt;="&amp;A20, 'ALL Tube Results'!$C20:$C99, "&lt;="&amp;B20, 'ALL Tube Results'!$F20:$F99, "Positive")</f>
        <v>0</v>
      </c>
      <c r="F20" s="20">
        <f>COUNTIFS('ALL Tube Results'!$C20:$C99, "&gt;="&amp;A20, 'ALL Tube Results'!$C20:$C99, "&lt;="&amp;B20, 'ALL Tube Results'!$F20:$F99, "Inconclusive")</f>
        <v>0</v>
      </c>
      <c r="G20" s="21" t="str">
        <f t="shared" si="2"/>
        <v/>
      </c>
    </row>
    <row r="21">
      <c r="A21" s="22">
        <f t="shared" si="3"/>
        <v>44816</v>
      </c>
      <c r="B21" s="18">
        <f t="shared" si="1"/>
        <v>44822</v>
      </c>
      <c r="C21" s="19">
        <f>SUMIFS('ALL Tube Results'!$G$2:$G99, 'ALL Tube Results'!$C$2:$C99, "&gt;="&amp;A21, 'ALL Tube Results'!$C$2:$C99, "&lt;="&amp;B21)
</f>
        <v>4</v>
      </c>
      <c r="D21" s="20">
        <f>COUNTIFS('ALL Tube Results'!$C21:$C99, "&gt;="&amp;A21, 'ALL Tube Results'!$C21:$C99, "&lt;="&amp;B21)</f>
        <v>1</v>
      </c>
      <c r="E21" s="20">
        <f>COUNTIFS('ALL Tube Results'!$C21:$C99, "&gt;="&amp;A21, 'ALL Tube Results'!$C21:$C99, "&lt;="&amp;B21, 'ALL Tube Results'!$F21:$F99, "Positive")</f>
        <v>0</v>
      </c>
      <c r="F21" s="20">
        <f>COUNTIFS('ALL Tube Results'!$C21:$C99, "&gt;="&amp;A21, 'ALL Tube Results'!$C21:$C99, "&lt;="&amp;B21, 'ALL Tube Results'!$F21:$F99, "Inconclusive")</f>
        <v>0</v>
      </c>
      <c r="G21" s="21">
        <f t="shared" si="2"/>
        <v>0</v>
      </c>
    </row>
    <row r="22">
      <c r="A22" s="22">
        <f t="shared" si="3"/>
        <v>44823</v>
      </c>
      <c r="B22" s="18">
        <f t="shared" si="1"/>
        <v>44829</v>
      </c>
      <c r="C22" s="19">
        <f>SUMIFS('ALL Tube Results'!$G$2:$G99, 'ALL Tube Results'!$C$2:$C99, "&gt;="&amp;A22, 'ALL Tube Results'!$C$2:$C99, "&lt;="&amp;B22)
</f>
        <v>0</v>
      </c>
      <c r="D22" s="20">
        <f>COUNTIFS('ALL Tube Results'!$C22:$C99, "&gt;="&amp;A22, 'ALL Tube Results'!$C22:$C99, "&lt;="&amp;B22)</f>
        <v>0</v>
      </c>
      <c r="E22" s="20">
        <f>COUNTIFS('ALL Tube Results'!$C22:$C99, "&gt;="&amp;A22, 'ALL Tube Results'!$C22:$C99, "&lt;="&amp;B22, 'ALL Tube Results'!$F22:$F99, "Positive")</f>
        <v>0</v>
      </c>
      <c r="F22" s="20">
        <f>COUNTIFS('ALL Tube Results'!$C22:$C99, "&gt;="&amp;A22, 'ALL Tube Results'!$C22:$C99, "&lt;="&amp;B22, 'ALL Tube Results'!$F22:$F99, "Inconclusive")</f>
        <v>0</v>
      </c>
      <c r="G22" s="21" t="str">
        <f t="shared" si="2"/>
        <v/>
      </c>
    </row>
    <row r="23">
      <c r="A23" s="22">
        <f t="shared" si="3"/>
        <v>44830</v>
      </c>
      <c r="B23" s="18">
        <f t="shared" si="1"/>
        <v>44836</v>
      </c>
      <c r="C23" s="19">
        <f>SUMIFS('ALL Tube Results'!$G$2:$G99, 'ALL Tube Results'!$C$2:$C99, "&gt;="&amp;A23, 'ALL Tube Results'!$C$2:$C99, "&lt;="&amp;B23)
</f>
        <v>0</v>
      </c>
      <c r="D23" s="20">
        <f>COUNTIFS('ALL Tube Results'!$C23:$C99, "&gt;="&amp;A23, 'ALL Tube Results'!$C23:$C99, "&lt;="&amp;B23)</f>
        <v>0</v>
      </c>
      <c r="E23" s="20">
        <f>COUNTIFS('ALL Tube Results'!$C23:$C99, "&gt;="&amp;A23, 'ALL Tube Results'!$C23:$C99, "&lt;="&amp;B23, 'ALL Tube Results'!$F23:$F99, "Positive")</f>
        <v>0</v>
      </c>
      <c r="F23" s="20">
        <f>COUNTIFS('ALL Tube Results'!$C23:$C99, "&gt;="&amp;A23, 'ALL Tube Results'!$C23:$C99, "&lt;="&amp;B23, 'ALL Tube Results'!$F23:$F99, "Inconclusive")</f>
        <v>0</v>
      </c>
      <c r="G23" s="21" t="str">
        <f t="shared" si="2"/>
        <v/>
      </c>
    </row>
    <row r="24">
      <c r="A24" s="22">
        <f t="shared" si="3"/>
        <v>44837</v>
      </c>
      <c r="B24" s="18">
        <f t="shared" si="1"/>
        <v>44843</v>
      </c>
      <c r="C24" s="19">
        <f>SUMIFS('ALL Tube Results'!$G$2:$G99, 'ALL Tube Results'!$C$2:$C99, "&gt;="&amp;A24, 'ALL Tube Results'!$C$2:$C99, "&lt;="&amp;B24)
</f>
        <v>3</v>
      </c>
      <c r="D24" s="20">
        <f>COUNTIFS('ALL Tube Results'!$C24:$C99, "&gt;="&amp;A24, 'ALL Tube Results'!$C24:$C99, "&lt;="&amp;B24)</f>
        <v>1</v>
      </c>
      <c r="E24" s="20">
        <f>COUNTIFS('ALL Tube Results'!$C24:$C99, "&gt;="&amp;A24, 'ALL Tube Results'!$C24:$C99, "&lt;="&amp;B24, 'ALL Tube Results'!$F24:$F99, "Positive")</f>
        <v>0</v>
      </c>
      <c r="F24" s="20">
        <f>COUNTIFS('ALL Tube Results'!$C24:$C99, "&gt;="&amp;A24, 'ALL Tube Results'!$C24:$C99, "&lt;="&amp;B24, 'ALL Tube Results'!$F24:$F99, "Inconclusive")</f>
        <v>0</v>
      </c>
      <c r="G24" s="21">
        <f t="shared" si="2"/>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6.88"/>
    <col customWidth="1" min="2" max="2" width="10.88"/>
    <col customWidth="1" min="3" max="3" width="8.88"/>
    <col customWidth="1" min="4" max="4" width="8.63"/>
    <col customWidth="1" min="5" max="5" width="8.25"/>
    <col customWidth="1" min="6" max="6" width="11.75"/>
    <col customWidth="1" min="7" max="7" width="4.25"/>
    <col customWidth="1" min="8" max="8" width="11.38"/>
    <col customWidth="1" min="9" max="11" width="3.13"/>
    <col customWidth="1" min="12" max="14" width="13.25"/>
    <col customWidth="1" min="15" max="15" width="3.75"/>
    <col customWidth="1" min="16" max="16" width="11.75"/>
    <col customWidth="1" min="17" max="17" width="2.63"/>
    <col customWidth="1" min="18" max="18" width="26.88"/>
    <col customWidth="1" min="19" max="19" width="14.38"/>
    <col customWidth="1" min="21" max="21" width="4.0"/>
    <col customWidth="1" min="22" max="22" width="5.25"/>
    <col customWidth="1" min="23" max="23" width="4.88"/>
    <col customWidth="1" min="24" max="24" width="3.13"/>
    <col customWidth="1" min="25" max="25" width="26.88" outlineLevel="1"/>
    <col customWidth="1" min="26" max="26" width="15.63" outlineLevel="1"/>
    <col min="27" max="30" width="12.63" outlineLevel="1"/>
    <col customWidth="1" min="31" max="31" width="7.13" outlineLevel="1"/>
    <col customWidth="1" min="32" max="32" width="3.13"/>
    <col customWidth="1" min="33" max="33" width="26.88" outlineLevel="1"/>
    <col customWidth="1" min="34" max="34" width="11.38" outlineLevel="1"/>
    <col customWidth="1" min="35" max="37" width="8.88" outlineLevel="1"/>
    <col customWidth="1" min="38" max="38" width="11.13" outlineLevel="1"/>
    <col customWidth="1" min="39" max="39" width="8.88" outlineLevel="1"/>
    <col customWidth="1" min="40" max="40" width="2.38"/>
    <col customWidth="1" min="41" max="41" width="18.38" outlineLevel="1"/>
    <col customWidth="1" min="42" max="42" width="9.25" outlineLevel="1"/>
    <col customWidth="1" min="43" max="43" width="8.88" outlineLevel="1"/>
    <col customWidth="1" min="44" max="44" width="8.63" outlineLevel="1"/>
    <col customWidth="1" min="45" max="45" width="11.13" outlineLevel="1"/>
    <col customWidth="1" min="46" max="46" width="5.5" outlineLevel="1"/>
    <col customWidth="1" min="47" max="47" width="2.38"/>
  </cols>
  <sheetData>
    <row r="1">
      <c r="A1" s="23" t="s">
        <v>3</v>
      </c>
      <c r="B1" s="24">
        <f>COUNT(B3:B49)</f>
        <v>15</v>
      </c>
      <c r="C1" s="24">
        <f t="shared" ref="C1:F1" si="1">SUM(C2:C49)</f>
        <v>80</v>
      </c>
      <c r="D1" s="24">
        <f t="shared" si="1"/>
        <v>80</v>
      </c>
      <c r="E1" s="24">
        <f t="shared" si="1"/>
        <v>0</v>
      </c>
      <c r="F1" s="24">
        <f t="shared" si="1"/>
        <v>0</v>
      </c>
      <c r="G1" s="24"/>
      <c r="H1" s="24">
        <f>SUM(H2:H49)</f>
        <v>0</v>
      </c>
      <c r="I1" s="25"/>
      <c r="J1" s="25"/>
      <c r="K1" s="25"/>
      <c r="L1" s="26">
        <f t="shared" ref="L1:N1" si="2">SUM(L2:L49)</f>
        <v>-6</v>
      </c>
      <c r="M1" s="26">
        <f t="shared" si="2"/>
        <v>0</v>
      </c>
      <c r="N1" s="26">
        <f t="shared" si="2"/>
        <v>0</v>
      </c>
      <c r="O1" s="24"/>
      <c r="P1" s="24">
        <f>SUM(P2:P49)</f>
        <v>2</v>
      </c>
      <c r="Q1" s="27"/>
      <c r="R1" s="28" t="s">
        <v>4</v>
      </c>
      <c r="S1" s="29" t="str">
        <f>CONCATENATE("Delta Run Reconciled to ALL Tubes ",T1-C1)</f>
        <v>Delta Run Reconciled to ALL Tubes 0</v>
      </c>
      <c r="T1" s="30">
        <f t="shared" ref="T1:W1" si="3">SUM(T2:T49)</f>
        <v>80</v>
      </c>
      <c r="U1" s="30">
        <f t="shared" si="3"/>
        <v>0</v>
      </c>
      <c r="V1" s="30">
        <f t="shared" si="3"/>
        <v>0</v>
      </c>
      <c r="W1" s="30">
        <f t="shared" si="3"/>
        <v>0</v>
      </c>
      <c r="X1" s="31"/>
      <c r="Y1" s="32" t="s">
        <v>5</v>
      </c>
      <c r="Z1" s="32"/>
      <c r="AA1" s="33">
        <f t="shared" ref="AA1:AD1" si="4">SUM(AA2:AA49)</f>
        <v>86</v>
      </c>
      <c r="AB1" s="33">
        <f t="shared" si="4"/>
        <v>86</v>
      </c>
      <c r="AC1" s="33">
        <f t="shared" si="4"/>
        <v>0</v>
      </c>
      <c r="AD1" s="33">
        <f t="shared" si="4"/>
        <v>0</v>
      </c>
      <c r="AE1" s="32"/>
      <c r="AF1" s="31"/>
      <c r="AG1" s="34" t="s">
        <v>6</v>
      </c>
      <c r="AH1" s="35"/>
      <c r="AI1" s="35">
        <f t="shared" ref="AI1:AM1" si="5">SUM(AI3:AI49)</f>
        <v>78</v>
      </c>
      <c r="AJ1" s="35">
        <f t="shared" si="5"/>
        <v>78</v>
      </c>
      <c r="AK1" s="35">
        <f t="shared" si="5"/>
        <v>0</v>
      </c>
      <c r="AL1" s="35">
        <f t="shared" si="5"/>
        <v>0</v>
      </c>
      <c r="AM1" s="35">
        <f t="shared" si="5"/>
        <v>0</v>
      </c>
      <c r="AN1" s="31"/>
      <c r="AO1" s="36" t="s">
        <v>7</v>
      </c>
      <c r="AP1" s="37">
        <f t="shared" ref="AP1:AT1" si="6">SUM(AP2:AP49)</f>
        <v>78</v>
      </c>
      <c r="AQ1" s="37">
        <f t="shared" si="6"/>
        <v>78</v>
      </c>
      <c r="AR1" s="37">
        <f t="shared" si="6"/>
        <v>0</v>
      </c>
      <c r="AS1" s="37">
        <f t="shared" si="6"/>
        <v>0</v>
      </c>
      <c r="AT1" s="37">
        <f t="shared" si="6"/>
        <v>0</v>
      </c>
      <c r="AU1" s="31"/>
    </row>
    <row r="2">
      <c r="A2" s="15" t="s">
        <v>8</v>
      </c>
      <c r="B2" s="38" t="s">
        <v>9</v>
      </c>
      <c r="C2" s="39" t="s">
        <v>10</v>
      </c>
      <c r="D2" s="38" t="s">
        <v>11</v>
      </c>
      <c r="E2" s="15" t="s">
        <v>12</v>
      </c>
      <c r="F2" s="15" t="s">
        <v>13</v>
      </c>
      <c r="G2" s="29"/>
      <c r="H2" s="29" t="s">
        <v>14</v>
      </c>
      <c r="I2" s="40" t="s">
        <v>15</v>
      </c>
      <c r="J2" s="40" t="s">
        <v>16</v>
      </c>
      <c r="K2" s="40" t="s">
        <v>17</v>
      </c>
      <c r="L2" s="40" t="s">
        <v>18</v>
      </c>
      <c r="M2" s="40" t="s">
        <v>19</v>
      </c>
      <c r="N2" s="40" t="s">
        <v>20</v>
      </c>
      <c r="O2" s="34"/>
      <c r="P2" s="34" t="s">
        <v>21</v>
      </c>
      <c r="Q2" s="41"/>
      <c r="R2" s="15" t="s">
        <v>8</v>
      </c>
      <c r="S2" s="15" t="s">
        <v>9</v>
      </c>
      <c r="T2" s="15" t="s">
        <v>22</v>
      </c>
      <c r="U2" s="15"/>
      <c r="V2" s="6"/>
      <c r="W2" s="6"/>
      <c r="X2" s="42"/>
      <c r="Y2" s="15" t="s">
        <v>23</v>
      </c>
      <c r="Z2" s="15" t="s">
        <v>9</v>
      </c>
      <c r="AA2" s="43" t="str">
        <f>'RFR Data - preExcl'!AK1</f>
        <v>RFR Audit
Num
Run Tubes</v>
      </c>
      <c r="AB2" s="15" t="s">
        <v>24</v>
      </c>
      <c r="AC2" s="6" t="str">
        <f>'RFR Data - preExcl'!AI1</f>
        <v>Audit
Pos Session
Calls</v>
      </c>
      <c r="AD2" s="6" t="str">
        <f>'RFR Data - preExcl'!AF1</f>
        <v>Audit
Inc Session Calls</v>
      </c>
      <c r="AE2" s="44" t="s">
        <v>25</v>
      </c>
      <c r="AF2" s="42"/>
      <c r="AG2" s="15" t="s">
        <v>26</v>
      </c>
      <c r="AH2" s="38" t="s">
        <v>9</v>
      </c>
      <c r="AI2" s="38" t="s">
        <v>10</v>
      </c>
      <c r="AJ2" s="38" t="s">
        <v>11</v>
      </c>
      <c r="AK2" s="15" t="s">
        <v>12</v>
      </c>
      <c r="AL2" s="15" t="s">
        <v>13</v>
      </c>
      <c r="AM2" s="15" t="s">
        <v>27</v>
      </c>
      <c r="AN2" s="42"/>
      <c r="AO2" s="6" t="str">
        <f>'APS Tubes by Date Import'!B1</f>
        <v>APS
COLLECT DATE</v>
      </c>
      <c r="AP2" s="38" t="s">
        <v>10</v>
      </c>
      <c r="AQ2" s="38" t="s">
        <v>11</v>
      </c>
      <c r="AR2" s="15" t="s">
        <v>12</v>
      </c>
      <c r="AS2" s="15" t="s">
        <v>13</v>
      </c>
      <c r="AT2" s="15" t="s">
        <v>27</v>
      </c>
      <c r="AU2" s="42"/>
    </row>
    <row r="3">
      <c r="A3" s="45" t="str">
        <f t="array" ref="A3:A18">UNIQUE('ALL Tube Results'!B2:B49)</f>
        <v>RUN-NDHM_2022-05-02_RFR-006</v>
      </c>
      <c r="B3" s="46">
        <f>VLOOKUP(A3,'ALL Tube Results'!$B$2:$D49,2,FALSE)</f>
        <v>44683</v>
      </c>
      <c r="C3" s="47">
        <f>COUNTIF('ALL Tube Results'!B2:B49, A3)
</f>
        <v>17</v>
      </c>
      <c r="D3" s="48">
        <f>COUNTIFS('ALL Tube Results'!$B2:$B49, $A3, 'ALL Tube Results'!$F2:$F49, "Negative")
</f>
        <v>17</v>
      </c>
      <c r="E3" s="48">
        <f>COUNTIFS('ALL Tube Results'!$B2:$B49, $A3, 'ALL Tube Results'!$F2:$F49, "Positive")
</f>
        <v>0</v>
      </c>
      <c r="F3" s="48">
        <f>COUNTIFS('ALL Tube Results'!$B2:$B49, $A3, 'ALL Tube Results'!$F2:$F49, "Inconclusive")
</f>
        <v>0</v>
      </c>
      <c r="G3" s="49">
        <f t="shared" ref="G3:G17" si="7">IFERROR(VLOOKUP($A3,R$3:T49,3,FALSE),IFERROR(0/0,"")  )</f>
        <v>17</v>
      </c>
      <c r="H3" s="49" t="str">
        <f t="shared" ref="H3:H17" si="8">IF($C3=G3,IFERROR(0/0,""),$C3-G3)</f>
        <v/>
      </c>
      <c r="I3" s="50">
        <f t="shared" ref="I3:I17" si="9">IFERROR(VLOOKUP($A3,Y$3:AA49,3,FALSE),IFERROR(0/0,"")  )</f>
        <v>18</v>
      </c>
      <c r="J3" s="51">
        <f t="shared" ref="J3:J17" si="10">IFERROR(VLOOKUP($A3,Y$3:AD49,5,FALSE),IFERROR(0/0,"")  )</f>
        <v>0</v>
      </c>
      <c r="K3" s="51">
        <f t="shared" ref="K3:K17" si="11">IFERROR(VLOOKUP($A3,Y$3:AD49,6,FALSE),IFERROR(0/0,""))</f>
        <v>0</v>
      </c>
      <c r="L3" s="51">
        <f t="shared" ref="L3:L17" si="12">IF($C3=I3,IFERROR(0/0,""),$C3-I3)</f>
        <v>-1</v>
      </c>
      <c r="M3" s="51" t="str">
        <f t="shared" ref="M3:M17" si="13">IF($E3=J3,IFERROR(0/0,""),$E3-J3)</f>
        <v/>
      </c>
      <c r="N3" s="51" t="str">
        <f t="shared" ref="N3:N17" si="14">IF($F3=K3,IFERROR(0/0,""),$F3-K3)</f>
        <v/>
      </c>
      <c r="O3" s="52">
        <f t="shared" ref="O3:O17" si="15">IFERROR(VLOOKUP($A3,AG$3:AI49,3,FALSE),IFERROR(0/0,"")  )</f>
        <v>17</v>
      </c>
      <c r="P3" s="52" t="str">
        <f t="shared" ref="P3:P17" si="16">IF($C3=O3,IFERROR(0/0,""),$C3-O3)</f>
        <v/>
      </c>
      <c r="Q3" s="42"/>
      <c r="R3" s="53" t="str">
        <f t="array" ref="R3:S64">SORT('Run Reconcile'!A2:B49,1,TRUE)</f>
        <v>RUN-NDHM_2022-05-02_RFR-006</v>
      </c>
      <c r="S3" s="12">
        <v>44683.0</v>
      </c>
      <c r="T3" s="54">
        <f>VLOOKUP(R3,'Run Reconcile'!$A$2:$L49,12,FALSE)</f>
        <v>17</v>
      </c>
      <c r="U3" s="54"/>
      <c r="V3" s="54"/>
      <c r="W3" s="54"/>
      <c r="X3" s="42"/>
      <c r="Y3" s="7" t="str">
        <f>IFERROR(__xludf.DUMMYFUNCTION("SORT(FILTER('Run Reconcile'!A2:B49,'Run Reconcile'!A2:A49&lt;&gt;""*"",REGEXMATCH('Run Reconcile'!A2:A49,""RFR-"")),1,TRUE)
"),"RUN-NDHM_2022-05-02_RFR-006")</f>
        <v>RUN-NDHM_2022-05-02_RFR-006</v>
      </c>
      <c r="Z3" s="12">
        <f>IFERROR(__xludf.DUMMYFUNCTION("""COMPUTED_VALUE"""),44683.0)</f>
        <v>44683</v>
      </c>
      <c r="AA3" s="50">
        <f t="array" ref="AA3">INDEX('RFR Data - preExcl'!AK$2:AK49,$AE3,1)</f>
        <v>18</v>
      </c>
      <c r="AB3" s="54">
        <f t="shared" ref="AB3:AB15" si="17">AA3-AC3-AD3</f>
        <v>18</v>
      </c>
      <c r="AC3" s="54">
        <f t="array" ref="AC3">INDEX('RFR Data - preExcl'!AI$2:AI49,$AE3,1)</f>
        <v>0</v>
      </c>
      <c r="AD3" s="54">
        <f t="array" ref="AD3">INDEX('RFR Data - preExcl'!AF$2:AF49,$AE3,1)</f>
        <v>0</v>
      </c>
      <c r="AE3" s="55">
        <f>IFNA(MATCH(Y3,'RFR Data - preExcl'!A$2:A49,0),"")</f>
        <v>6</v>
      </c>
      <c r="AF3" s="42"/>
      <c r="AG3" s="56" t="str">
        <f t="array" ref="AG3:AG18">SORT(UNIQUE('APS Tubes Import'!V2:V49))</f>
        <v>RUN-NDHM_2022-05-02_RFR-006</v>
      </c>
      <c r="AH3" s="57">
        <f>VLOOKUP(AG3,'Run Reconcile'!A$2:B49,2,FALSE)</f>
        <v>44683</v>
      </c>
      <c r="AI3" s="58">
        <f>COUNTIF('APS Tubes Import'!$V$2:$V49, AG3)
</f>
        <v>17</v>
      </c>
      <c r="AJ3" s="58">
        <f>COUNTIFS('APS Tubes Import'!V$2:V49, AG3, 'APS Tubes Import'!H$2:H49, "Negative")
</f>
        <v>17</v>
      </c>
      <c r="AK3" s="58">
        <f>COUNTIFS('APS Tubes Import'!V$2:V49, AG3, 'APS Tubes Import'!H$2:H49, "Positive")
</f>
        <v>0</v>
      </c>
      <c r="AL3" s="58">
        <f>COUNTIFS('APS Tubes Import'!V$2:V49, AG3, 'APS Tubes Import'!H$2:H49, "Inconclusive")
</f>
        <v>0</v>
      </c>
      <c r="AM3" s="58">
        <f>COUNTIFS('APS Tubes Import'!V$2:V49, AG3, 'APS Tubes Import'!H$2:H49, "Null")
</f>
        <v>0</v>
      </c>
      <c r="AN3" s="42"/>
      <c r="AO3" s="12">
        <f>'APS Tubes by Date Import'!B2</f>
        <v>44683</v>
      </c>
      <c r="AP3" s="54">
        <f>'APS Tubes by Date Import'!C2</f>
        <v>17</v>
      </c>
      <c r="AQ3" s="54">
        <f>'APS Tubes by Date Import'!D2</f>
        <v>17</v>
      </c>
      <c r="AR3" s="54">
        <f>'APS Tubes by Date Import'!E2</f>
        <v>0</v>
      </c>
      <c r="AS3" s="54">
        <f>'APS Tubes by Date Import'!F2</f>
        <v>0</v>
      </c>
      <c r="AT3" s="54">
        <f>'APS Tubes by Date Import'!G2</f>
        <v>0</v>
      </c>
      <c r="AU3" s="42"/>
    </row>
    <row r="4">
      <c r="A4" s="7" t="s">
        <v>28</v>
      </c>
      <c r="B4" s="46">
        <f>VLOOKUP(A4,'ALL Tube Results'!$B$2:$D49,2,FALSE)</f>
        <v>44690</v>
      </c>
      <c r="C4" s="47">
        <f>COUNTIF('ALL Tube Results'!B3:B49, A4)
</f>
        <v>9</v>
      </c>
      <c r="D4" s="48">
        <f>COUNTIFS('ALL Tube Results'!$B3:$B49, $A4, 'ALL Tube Results'!$F3:$F49, "Negative")
</f>
        <v>9</v>
      </c>
      <c r="E4" s="48">
        <f>COUNTIFS('ALL Tube Results'!$B3:$B49, $A4, 'ALL Tube Results'!$F3:$F49, "Positive")
</f>
        <v>0</v>
      </c>
      <c r="F4" s="48">
        <f>COUNTIFS('ALL Tube Results'!$B3:$B49, $A4, 'ALL Tube Results'!$F3:$F49, "Inconclusive")
</f>
        <v>0</v>
      </c>
      <c r="G4" s="49">
        <f t="shared" si="7"/>
        <v>9</v>
      </c>
      <c r="H4" s="49" t="str">
        <f t="shared" si="8"/>
        <v/>
      </c>
      <c r="I4" s="50">
        <f t="shared" si="9"/>
        <v>9</v>
      </c>
      <c r="J4" s="51">
        <f t="shared" si="10"/>
        <v>0</v>
      </c>
      <c r="K4" s="51">
        <f t="shared" si="11"/>
        <v>0</v>
      </c>
      <c r="L4" s="51" t="str">
        <f t="shared" si="12"/>
        <v/>
      </c>
      <c r="M4" s="51" t="str">
        <f t="shared" si="13"/>
        <v/>
      </c>
      <c r="N4" s="51" t="str">
        <f t="shared" si="14"/>
        <v/>
      </c>
      <c r="O4" s="52">
        <f t="shared" si="15"/>
        <v>8</v>
      </c>
      <c r="P4" s="52">
        <f t="shared" si="16"/>
        <v>1</v>
      </c>
      <c r="Q4" s="42"/>
      <c r="R4" s="7" t="s">
        <v>28</v>
      </c>
      <c r="S4" s="12">
        <v>44690.0</v>
      </c>
      <c r="T4" s="54">
        <f>VLOOKUP(R4,'Run Reconcile'!$A$2:$L49,12,FALSE)</f>
        <v>9</v>
      </c>
      <c r="U4" s="54"/>
      <c r="V4" s="54"/>
      <c r="W4" s="54"/>
      <c r="X4" s="42"/>
      <c r="Y4" s="7" t="str">
        <f>IFERROR(__xludf.DUMMYFUNCTION("""COMPUTED_VALUE"""),"RUN-NDHM_2022-05-09_RFR-009")</f>
        <v>RUN-NDHM_2022-05-09_RFR-009</v>
      </c>
      <c r="Z4" s="12">
        <f>IFERROR(__xludf.DUMMYFUNCTION("""COMPUTED_VALUE"""),44690.0)</f>
        <v>44690</v>
      </c>
      <c r="AA4" s="50">
        <f t="array" ref="AA4">INDEX('RFR Data - preExcl'!AK$2:AK49,$AE4,1)</f>
        <v>9</v>
      </c>
      <c r="AB4" s="54">
        <f t="shared" si="17"/>
        <v>9</v>
      </c>
      <c r="AC4" s="54">
        <f t="array" ref="AC4">INDEX('RFR Data - preExcl'!AI$2:AI49,$AE4,1)</f>
        <v>0</v>
      </c>
      <c r="AD4" s="54">
        <f t="array" ref="AD4">INDEX('RFR Data - preExcl'!AF$2:AF49,$AE4,1)</f>
        <v>0</v>
      </c>
      <c r="AE4" s="55">
        <f>IFNA(MATCH(Y4,'RFR Data - preExcl'!A$2:A49,0),"")</f>
        <v>9</v>
      </c>
      <c r="AF4" s="42"/>
      <c r="AG4" s="59" t="s">
        <v>28</v>
      </c>
      <c r="AH4" s="57">
        <f>VLOOKUP(AG4,'Run Reconcile'!A$2:B49,2,FALSE)</f>
        <v>44690</v>
      </c>
      <c r="AI4" s="58">
        <f>COUNTIF('APS Tubes Import'!$V$2:$V49, AG4)
</f>
        <v>8</v>
      </c>
      <c r="AJ4" s="58">
        <f>COUNTIFS('APS Tubes Import'!V$2:V49, AG4, 'APS Tubes Import'!H$2:H49, "Negative")
</f>
        <v>8</v>
      </c>
      <c r="AK4" s="58">
        <f>COUNTIFS('APS Tubes Import'!V$2:V49, AG4, 'APS Tubes Import'!H$2:H49, "Positive")
</f>
        <v>0</v>
      </c>
      <c r="AL4" s="58">
        <f>COUNTIFS('APS Tubes Import'!V$2:V49, AG4, 'APS Tubes Import'!H$2:H49, "Inconclusive")
</f>
        <v>0</v>
      </c>
      <c r="AM4" s="58">
        <f>COUNTIFS('APS Tubes Import'!V$2:V49, AG4, 'APS Tubes Import'!H$2:H49, "Null")
</f>
        <v>0</v>
      </c>
      <c r="AN4" s="42"/>
      <c r="AO4" s="12">
        <f>'APS Tubes by Date Import'!B3</f>
        <v>44689</v>
      </c>
      <c r="AP4" s="54">
        <f>'APS Tubes by Date Import'!C3</f>
        <v>1</v>
      </c>
      <c r="AQ4" s="54">
        <f>'APS Tubes by Date Import'!D3</f>
        <v>1</v>
      </c>
      <c r="AR4" s="54">
        <f>'APS Tubes by Date Import'!E3</f>
        <v>0</v>
      </c>
      <c r="AS4" s="54">
        <f>'APS Tubes by Date Import'!F3</f>
        <v>0</v>
      </c>
      <c r="AT4" s="54">
        <f>'APS Tubes by Date Import'!G3</f>
        <v>0</v>
      </c>
      <c r="AU4" s="42"/>
    </row>
    <row r="5">
      <c r="A5" s="7" t="s">
        <v>29</v>
      </c>
      <c r="B5" s="46">
        <f>VLOOKUP(A5,'ALL Tube Results'!$B$2:$D49,2,FALSE)</f>
        <v>44697</v>
      </c>
      <c r="C5" s="47">
        <f>COUNTIF('ALL Tube Results'!B4:B49, A5)
</f>
        <v>10</v>
      </c>
      <c r="D5" s="48">
        <f>COUNTIFS('ALL Tube Results'!$B4:$B49, $A5, 'ALL Tube Results'!$F4:$F49, "Negative")
</f>
        <v>10</v>
      </c>
      <c r="E5" s="48">
        <f>COUNTIFS('ALL Tube Results'!$B4:$B49, $A5, 'ALL Tube Results'!$F4:$F49, "Positive")
</f>
        <v>0</v>
      </c>
      <c r="F5" s="48">
        <f>COUNTIFS('ALL Tube Results'!$B4:$B49, $A5, 'ALL Tube Results'!$F4:$F49, "Inconclusive")
</f>
        <v>0</v>
      </c>
      <c r="G5" s="49">
        <f t="shared" si="7"/>
        <v>10</v>
      </c>
      <c r="H5" s="49" t="str">
        <f t="shared" si="8"/>
        <v/>
      </c>
      <c r="I5" s="50">
        <f t="shared" si="9"/>
        <v>10</v>
      </c>
      <c r="J5" s="51">
        <f t="shared" si="10"/>
        <v>0</v>
      </c>
      <c r="K5" s="51">
        <f t="shared" si="11"/>
        <v>0</v>
      </c>
      <c r="L5" s="51" t="str">
        <f t="shared" si="12"/>
        <v/>
      </c>
      <c r="M5" s="51" t="str">
        <f t="shared" si="13"/>
        <v/>
      </c>
      <c r="N5" s="51" t="str">
        <f t="shared" si="14"/>
        <v/>
      </c>
      <c r="O5" s="52">
        <f t="shared" si="15"/>
        <v>10</v>
      </c>
      <c r="P5" s="52" t="str">
        <f t="shared" si="16"/>
        <v/>
      </c>
      <c r="Q5" s="42"/>
      <c r="R5" s="7" t="s">
        <v>29</v>
      </c>
      <c r="S5" s="12">
        <v>44697.0</v>
      </c>
      <c r="T5" s="54">
        <f>VLOOKUP(R5,'Run Reconcile'!$A$2:$L49,12,FALSE)</f>
        <v>10</v>
      </c>
      <c r="U5" s="54"/>
      <c r="V5" s="54"/>
      <c r="W5" s="54"/>
      <c r="X5" s="42"/>
      <c r="Y5" s="7" t="str">
        <f>IFERROR(__xludf.DUMMYFUNCTION("""COMPUTED_VALUE"""),"RUN-NDHM_2022-05-16_RFR-010")</f>
        <v>RUN-NDHM_2022-05-16_RFR-010</v>
      </c>
      <c r="Z5" s="12">
        <f>IFERROR(__xludf.DUMMYFUNCTION("""COMPUTED_VALUE"""),44697.0)</f>
        <v>44697</v>
      </c>
      <c r="AA5" s="50">
        <f t="array" ref="AA5">INDEX('RFR Data - preExcl'!AK$2:AK49,$AE5,1)</f>
        <v>10</v>
      </c>
      <c r="AB5" s="54">
        <f t="shared" si="17"/>
        <v>10</v>
      </c>
      <c r="AC5" s="54">
        <f t="array" ref="AC5">INDEX('RFR Data - preExcl'!AI$2:AI49,$AE5,1)</f>
        <v>0</v>
      </c>
      <c r="AD5" s="54">
        <f t="array" ref="AD5">INDEX('RFR Data - preExcl'!AF$2:AF49,$AE5,1)</f>
        <v>0</v>
      </c>
      <c r="AE5" s="55">
        <f>IFNA(MATCH(Y5,'RFR Data - preExcl'!A$2:A49,0),"")</f>
        <v>10</v>
      </c>
      <c r="AF5" s="42"/>
      <c r="AG5" s="59" t="s">
        <v>29</v>
      </c>
      <c r="AH5" s="57">
        <f>VLOOKUP(AG5,'Run Reconcile'!A$2:B49,2,FALSE)</f>
        <v>44697</v>
      </c>
      <c r="AI5" s="58">
        <f>COUNTIF('APS Tubes Import'!$V$2:$V49, AG5)
</f>
        <v>10</v>
      </c>
      <c r="AJ5" s="58">
        <f>COUNTIFS('APS Tubes Import'!V$2:V49, AG5, 'APS Tubes Import'!H$2:H49, "Negative")
</f>
        <v>10</v>
      </c>
      <c r="AK5" s="58">
        <f>COUNTIFS('APS Tubes Import'!V$2:V49, AG5, 'APS Tubes Import'!H$2:H49, "Positive")
</f>
        <v>0</v>
      </c>
      <c r="AL5" s="58">
        <f>COUNTIFS('APS Tubes Import'!V$2:V49, AG5, 'APS Tubes Import'!H$2:H49, "Inconclusive")
</f>
        <v>0</v>
      </c>
      <c r="AM5" s="58">
        <f>COUNTIFS('APS Tubes Import'!V$2:V49, AG5, 'APS Tubes Import'!H$2:H49, "Null")
</f>
        <v>0</v>
      </c>
      <c r="AN5" s="42"/>
      <c r="AO5" s="12">
        <f>'APS Tubes by Date Import'!B4</f>
        <v>44690</v>
      </c>
      <c r="AP5" s="54">
        <f>'APS Tubes by Date Import'!C4</f>
        <v>7</v>
      </c>
      <c r="AQ5" s="54">
        <f>'APS Tubes by Date Import'!D4</f>
        <v>7</v>
      </c>
      <c r="AR5" s="54">
        <f>'APS Tubes by Date Import'!E4</f>
        <v>0</v>
      </c>
      <c r="AS5" s="54">
        <f>'APS Tubes by Date Import'!F4</f>
        <v>0</v>
      </c>
      <c r="AT5" s="54">
        <f>'APS Tubes by Date Import'!G4</f>
        <v>0</v>
      </c>
      <c r="AU5" s="42"/>
    </row>
    <row r="6">
      <c r="A6" s="7" t="s">
        <v>30</v>
      </c>
      <c r="B6" s="46">
        <f>VLOOKUP(A6,'ALL Tube Results'!$B$2:$D49,2,FALSE)</f>
        <v>44704</v>
      </c>
      <c r="C6" s="47">
        <f>COUNTIF('ALL Tube Results'!B5:B49, A6)
</f>
        <v>8</v>
      </c>
      <c r="D6" s="48">
        <f>COUNTIFS('ALL Tube Results'!$B5:$B49, $A6, 'ALL Tube Results'!$F5:$F49, "Negative")
</f>
        <v>8</v>
      </c>
      <c r="E6" s="48">
        <f>COUNTIFS('ALL Tube Results'!$B5:$B49, $A6, 'ALL Tube Results'!$F5:$F49, "Positive")
</f>
        <v>0</v>
      </c>
      <c r="F6" s="48">
        <f>COUNTIFS('ALL Tube Results'!$B5:$B49, $A6, 'ALL Tube Results'!$F5:$F49, "Inconclusive")
</f>
        <v>0</v>
      </c>
      <c r="G6" s="49">
        <f t="shared" si="7"/>
        <v>8</v>
      </c>
      <c r="H6" s="49" t="str">
        <f t="shared" si="8"/>
        <v/>
      </c>
      <c r="I6" s="50">
        <f t="shared" si="9"/>
        <v>8</v>
      </c>
      <c r="J6" s="51">
        <f t="shared" si="10"/>
        <v>0</v>
      </c>
      <c r="K6" s="51">
        <f t="shared" si="11"/>
        <v>0</v>
      </c>
      <c r="L6" s="51" t="str">
        <f t="shared" si="12"/>
        <v/>
      </c>
      <c r="M6" s="51" t="str">
        <f t="shared" si="13"/>
        <v/>
      </c>
      <c r="N6" s="51" t="str">
        <f t="shared" si="14"/>
        <v/>
      </c>
      <c r="O6" s="52">
        <f t="shared" si="15"/>
        <v>8</v>
      </c>
      <c r="P6" s="52" t="str">
        <f t="shared" si="16"/>
        <v/>
      </c>
      <c r="Q6" s="42"/>
      <c r="R6" s="7" t="s">
        <v>30</v>
      </c>
      <c r="S6" s="12">
        <v>44704.0</v>
      </c>
      <c r="T6" s="54">
        <f>VLOOKUP(R6,'Run Reconcile'!$A$2:$L49,12,FALSE)</f>
        <v>8</v>
      </c>
      <c r="U6" s="54"/>
      <c r="V6" s="54"/>
      <c r="W6" s="54"/>
      <c r="X6" s="42"/>
      <c r="Y6" s="7" t="str">
        <f>IFERROR(__xludf.DUMMYFUNCTION("""COMPUTED_VALUE"""),"RUN-NDHM_2022-05-23_RFR-011")</f>
        <v>RUN-NDHM_2022-05-23_RFR-011</v>
      </c>
      <c r="Z6" s="12">
        <f>IFERROR(__xludf.DUMMYFUNCTION("""COMPUTED_VALUE"""),44704.0)</f>
        <v>44704</v>
      </c>
      <c r="AA6" s="50">
        <f t="array" ref="AA6">INDEX('RFR Data - preExcl'!AK$2:AK49,$AE6,1)</f>
        <v>8</v>
      </c>
      <c r="AB6" s="54">
        <f t="shared" si="17"/>
        <v>8</v>
      </c>
      <c r="AC6" s="54">
        <f t="array" ref="AC6">INDEX('RFR Data - preExcl'!AI$2:AI49,$AE6,1)</f>
        <v>0</v>
      </c>
      <c r="AD6" s="54">
        <f t="array" ref="AD6">INDEX('RFR Data - preExcl'!AF$2:AF49,$AE6,1)</f>
        <v>0</v>
      </c>
      <c r="AE6" s="55">
        <f>IFNA(MATCH(Y6,'RFR Data - preExcl'!A$2:A49,0),"")</f>
        <v>11</v>
      </c>
      <c r="AF6" s="42"/>
      <c r="AG6" s="59" t="s">
        <v>30</v>
      </c>
      <c r="AH6" s="57">
        <f>VLOOKUP(AG6,'Run Reconcile'!A$2:B49,2,FALSE)</f>
        <v>44704</v>
      </c>
      <c r="AI6" s="58">
        <f>COUNTIF('APS Tubes Import'!$V$2:$V49, AG6)
</f>
        <v>8</v>
      </c>
      <c r="AJ6" s="58">
        <f>COUNTIFS('APS Tubes Import'!V$2:V49, AG6, 'APS Tubes Import'!H$2:H49, "Negative")
</f>
        <v>8</v>
      </c>
      <c r="AK6" s="58">
        <f>COUNTIFS('APS Tubes Import'!V$2:V49, AG6, 'APS Tubes Import'!H$2:H49, "Positive")
</f>
        <v>0</v>
      </c>
      <c r="AL6" s="58">
        <f>COUNTIFS('APS Tubes Import'!V$2:V49, AG6, 'APS Tubes Import'!H$2:H49, "Inconclusive")
</f>
        <v>0</v>
      </c>
      <c r="AM6" s="58">
        <f>COUNTIFS('APS Tubes Import'!V$2:V49, AG6, 'APS Tubes Import'!H$2:H49, "Null")
</f>
        <v>0</v>
      </c>
      <c r="AN6" s="42"/>
      <c r="AO6" s="12">
        <f>'APS Tubes by Date Import'!B5</f>
        <v>44696</v>
      </c>
      <c r="AP6" s="54">
        <f>'APS Tubes by Date Import'!C5</f>
        <v>1</v>
      </c>
      <c r="AQ6" s="54">
        <f>'APS Tubes by Date Import'!D5</f>
        <v>1</v>
      </c>
      <c r="AR6" s="54">
        <f>'APS Tubes by Date Import'!E5</f>
        <v>0</v>
      </c>
      <c r="AS6" s="54">
        <f>'APS Tubes by Date Import'!F5</f>
        <v>0</v>
      </c>
      <c r="AT6" s="54">
        <f>'APS Tubes by Date Import'!G5</f>
        <v>0</v>
      </c>
      <c r="AU6" s="42"/>
    </row>
    <row r="7">
      <c r="A7" s="7" t="s">
        <v>31</v>
      </c>
      <c r="B7" s="46">
        <f>VLOOKUP(A7,'ALL Tube Results'!$B$2:$D49,2,FALSE)</f>
        <v>44713</v>
      </c>
      <c r="C7" s="47">
        <f>COUNTIF('ALL Tube Results'!B6:B49, A7)
</f>
        <v>13</v>
      </c>
      <c r="D7" s="48">
        <f>COUNTIFS('ALL Tube Results'!$B6:$B49, $A7, 'ALL Tube Results'!$F6:$F49, "Negative")
</f>
        <v>13</v>
      </c>
      <c r="E7" s="48">
        <f>COUNTIFS('ALL Tube Results'!$B6:$B49, $A7, 'ALL Tube Results'!$F6:$F49, "Positive")
</f>
        <v>0</v>
      </c>
      <c r="F7" s="48">
        <f>COUNTIFS('ALL Tube Results'!$B6:$B49, $A7, 'ALL Tube Results'!$F6:$F49, "Inconclusive")
</f>
        <v>0</v>
      </c>
      <c r="G7" s="49">
        <f t="shared" si="7"/>
        <v>13</v>
      </c>
      <c r="H7" s="49" t="str">
        <f t="shared" si="8"/>
        <v/>
      </c>
      <c r="I7" s="50">
        <f t="shared" si="9"/>
        <v>14</v>
      </c>
      <c r="J7" s="51">
        <f t="shared" si="10"/>
        <v>0</v>
      </c>
      <c r="K7" s="51">
        <f t="shared" si="11"/>
        <v>0</v>
      </c>
      <c r="L7" s="51">
        <f t="shared" si="12"/>
        <v>-1</v>
      </c>
      <c r="M7" s="51" t="str">
        <f t="shared" si="13"/>
        <v/>
      </c>
      <c r="N7" s="51" t="str">
        <f t="shared" si="14"/>
        <v/>
      </c>
      <c r="O7" s="52">
        <f t="shared" si="15"/>
        <v>13</v>
      </c>
      <c r="P7" s="52" t="str">
        <f t="shared" si="16"/>
        <v/>
      </c>
      <c r="Q7" s="42"/>
      <c r="R7" s="7" t="s">
        <v>31</v>
      </c>
      <c r="S7" s="12">
        <v>44713.0</v>
      </c>
      <c r="T7" s="54">
        <f>VLOOKUP(R7,'Run Reconcile'!$A$2:$L49,12,FALSE)</f>
        <v>13</v>
      </c>
      <c r="U7" s="54"/>
      <c r="V7" s="54"/>
      <c r="W7" s="54"/>
      <c r="X7" s="42"/>
      <c r="Y7" s="7" t="str">
        <f>IFERROR(__xludf.DUMMYFUNCTION("""COMPUTED_VALUE"""),"RUN-NDHM_2022-06-01_RFR-012")</f>
        <v>RUN-NDHM_2022-06-01_RFR-012</v>
      </c>
      <c r="Z7" s="12">
        <f>IFERROR(__xludf.DUMMYFUNCTION("""COMPUTED_VALUE"""),44713.0)</f>
        <v>44713</v>
      </c>
      <c r="AA7" s="50">
        <f t="array" ref="AA7">INDEX('RFR Data - preExcl'!AK$2:AK49,$AE7,1)</f>
        <v>14</v>
      </c>
      <c r="AB7" s="54">
        <f t="shared" si="17"/>
        <v>14</v>
      </c>
      <c r="AC7" s="54">
        <f t="array" ref="AC7">INDEX('RFR Data - preExcl'!AI$2:AI49,$AE7,1)</f>
        <v>0</v>
      </c>
      <c r="AD7" s="54">
        <f t="array" ref="AD7">INDEX('RFR Data - preExcl'!AF$2:AF49,$AE7,1)</f>
        <v>0</v>
      </c>
      <c r="AE7" s="55">
        <f>IFNA(MATCH(Y7,'RFR Data - preExcl'!A$2:A49,0),"")</f>
        <v>12</v>
      </c>
      <c r="AF7" s="42"/>
      <c r="AG7" s="59" t="s">
        <v>31</v>
      </c>
      <c r="AH7" s="57">
        <f>VLOOKUP(AG7,'Run Reconcile'!A$2:B49,2,FALSE)</f>
        <v>44713</v>
      </c>
      <c r="AI7" s="58">
        <f>COUNTIF('APS Tubes Import'!$V$2:$V49, AG7)
</f>
        <v>13</v>
      </c>
      <c r="AJ7" s="58">
        <f>COUNTIFS('APS Tubes Import'!V$2:V49, AG7, 'APS Tubes Import'!H$2:H49, "Negative")
</f>
        <v>13</v>
      </c>
      <c r="AK7" s="58">
        <f>COUNTIFS('APS Tubes Import'!V$2:V49, AG7, 'APS Tubes Import'!H$2:H49, "Positive")
</f>
        <v>0</v>
      </c>
      <c r="AL7" s="58">
        <f>COUNTIFS('APS Tubes Import'!V$2:V49, AG7, 'APS Tubes Import'!H$2:H49, "Inconclusive")
</f>
        <v>0</v>
      </c>
      <c r="AM7" s="58">
        <f>COUNTIFS('APS Tubes Import'!V$2:V49, AG7, 'APS Tubes Import'!H$2:H49, "Null")
</f>
        <v>0</v>
      </c>
      <c r="AN7" s="42"/>
      <c r="AO7" s="12">
        <f>'APS Tubes by Date Import'!B6</f>
        <v>44697</v>
      </c>
      <c r="AP7" s="54">
        <f>'APS Tubes by Date Import'!C6</f>
        <v>9</v>
      </c>
      <c r="AQ7" s="54">
        <f>'APS Tubes by Date Import'!D6</f>
        <v>9</v>
      </c>
      <c r="AR7" s="54">
        <f>'APS Tubes by Date Import'!E6</f>
        <v>0</v>
      </c>
      <c r="AS7" s="54">
        <f>'APS Tubes by Date Import'!F6</f>
        <v>0</v>
      </c>
      <c r="AT7" s="54">
        <f>'APS Tubes by Date Import'!G6</f>
        <v>0</v>
      </c>
      <c r="AU7" s="42"/>
    </row>
    <row r="8">
      <c r="A8" s="7" t="s">
        <v>32</v>
      </c>
      <c r="B8" s="46">
        <f>VLOOKUP(A8,'ALL Tube Results'!$B$2:$D49,2,FALSE)</f>
        <v>44718</v>
      </c>
      <c r="C8" s="47">
        <f>COUNTIF('ALL Tube Results'!B7:B49, A8)
</f>
        <v>8</v>
      </c>
      <c r="D8" s="48">
        <f>COUNTIFS('ALL Tube Results'!$B7:$B49, $A8, 'ALL Tube Results'!$F7:$F49, "Negative")
</f>
        <v>8</v>
      </c>
      <c r="E8" s="48">
        <f>COUNTIFS('ALL Tube Results'!$B7:$B49, $A8, 'ALL Tube Results'!$F7:$F49, "Positive")
</f>
        <v>0</v>
      </c>
      <c r="F8" s="48">
        <f>COUNTIFS('ALL Tube Results'!$B7:$B49, $A8, 'ALL Tube Results'!$F7:$F49, "Inconclusive")
</f>
        <v>0</v>
      </c>
      <c r="G8" s="49">
        <f t="shared" si="7"/>
        <v>8</v>
      </c>
      <c r="H8" s="49" t="str">
        <f t="shared" si="8"/>
        <v/>
      </c>
      <c r="I8" s="50">
        <f t="shared" si="9"/>
        <v>14</v>
      </c>
      <c r="J8" s="51">
        <f t="shared" si="10"/>
        <v>0</v>
      </c>
      <c r="K8" s="51">
        <f t="shared" si="11"/>
        <v>0</v>
      </c>
      <c r="L8" s="51">
        <f t="shared" si="12"/>
        <v>-6</v>
      </c>
      <c r="M8" s="51" t="str">
        <f t="shared" si="13"/>
        <v/>
      </c>
      <c r="N8" s="51" t="str">
        <f t="shared" si="14"/>
        <v/>
      </c>
      <c r="O8" s="52">
        <f t="shared" si="15"/>
        <v>7</v>
      </c>
      <c r="P8" s="52">
        <f t="shared" si="16"/>
        <v>1</v>
      </c>
      <c r="Q8" s="42"/>
      <c r="R8" s="7" t="s">
        <v>32</v>
      </c>
      <c r="S8" s="12">
        <v>44718.0</v>
      </c>
      <c r="T8" s="54">
        <f>VLOOKUP(R8,'Run Reconcile'!$A$2:$L49,12,FALSE)</f>
        <v>8</v>
      </c>
      <c r="U8" s="54"/>
      <c r="V8" s="54"/>
      <c r="W8" s="54"/>
      <c r="X8" s="42"/>
      <c r="Y8" s="7" t="str">
        <f>IFERROR(__xludf.DUMMYFUNCTION("""COMPUTED_VALUE"""),"RUN-NDHM_2022-06-06_RFR-013")</f>
        <v>RUN-NDHM_2022-06-06_RFR-013</v>
      </c>
      <c r="Z8" s="12">
        <f>IFERROR(__xludf.DUMMYFUNCTION("""COMPUTED_VALUE"""),44718.0)</f>
        <v>44718</v>
      </c>
      <c r="AA8" s="50">
        <f t="array" ref="AA8">INDEX('RFR Data - preExcl'!AK$2:AK49,$AE8,1)</f>
        <v>14</v>
      </c>
      <c r="AB8" s="54">
        <f t="shared" si="17"/>
        <v>14</v>
      </c>
      <c r="AC8" s="54">
        <f t="array" ref="AC8">INDEX('RFR Data - preExcl'!AI$2:AI49,$AE8,1)</f>
        <v>0</v>
      </c>
      <c r="AD8" s="54">
        <f t="array" ref="AD8">INDEX('RFR Data - preExcl'!AF$2:AF49,$AE8,1)</f>
        <v>0</v>
      </c>
      <c r="AE8" s="55">
        <f>IFNA(MATCH(Y8,'RFR Data - preExcl'!A$2:A49,0),"")</f>
        <v>13</v>
      </c>
      <c r="AF8" s="42"/>
      <c r="AG8" s="59" t="s">
        <v>32</v>
      </c>
      <c r="AH8" s="57">
        <f>VLOOKUP(AG8,'Run Reconcile'!A$2:B49,2,FALSE)</f>
        <v>44718</v>
      </c>
      <c r="AI8" s="58">
        <f>COUNTIF('APS Tubes Import'!$V$2:$V49, AG8)
</f>
        <v>7</v>
      </c>
      <c r="AJ8" s="58">
        <f>COUNTIFS('APS Tubes Import'!V$2:V49, AG8, 'APS Tubes Import'!H$2:H49, "Negative")
</f>
        <v>7</v>
      </c>
      <c r="AK8" s="58">
        <f>COUNTIFS('APS Tubes Import'!V$2:V49, AG8, 'APS Tubes Import'!H$2:H49, "Positive")
</f>
        <v>0</v>
      </c>
      <c r="AL8" s="58">
        <f>COUNTIFS('APS Tubes Import'!V$2:V49, AG8, 'APS Tubes Import'!H$2:H49, "Inconclusive")
</f>
        <v>0</v>
      </c>
      <c r="AM8" s="58">
        <f>COUNTIFS('APS Tubes Import'!V$2:V49, AG8, 'APS Tubes Import'!H$2:H49, "Null")
</f>
        <v>0</v>
      </c>
      <c r="AN8" s="42"/>
      <c r="AO8" s="12">
        <f>'APS Tubes by Date Import'!B7</f>
        <v>44704</v>
      </c>
      <c r="AP8" s="54">
        <f>'APS Tubes by Date Import'!C7</f>
        <v>8</v>
      </c>
      <c r="AQ8" s="54">
        <f>'APS Tubes by Date Import'!D7</f>
        <v>8</v>
      </c>
      <c r="AR8" s="54">
        <f>'APS Tubes by Date Import'!E7</f>
        <v>0</v>
      </c>
      <c r="AS8" s="54">
        <f>'APS Tubes by Date Import'!F7</f>
        <v>0</v>
      </c>
      <c r="AT8" s="54">
        <f>'APS Tubes by Date Import'!G7</f>
        <v>0</v>
      </c>
      <c r="AU8" s="42"/>
    </row>
    <row r="9">
      <c r="A9" s="7" t="s">
        <v>33</v>
      </c>
      <c r="B9" s="46">
        <f>VLOOKUP(A9,'ALL Tube Results'!$B$2:$D49,2,FALSE)</f>
        <v>44725</v>
      </c>
      <c r="C9" s="47">
        <f>COUNTIF('ALL Tube Results'!B8:B49, A9)
</f>
        <v>4</v>
      </c>
      <c r="D9" s="48">
        <f>COUNTIFS('ALL Tube Results'!$B8:$B49, $A9, 'ALL Tube Results'!$F8:$F49, "Negative")
</f>
        <v>4</v>
      </c>
      <c r="E9" s="48">
        <f>COUNTIFS('ALL Tube Results'!$B8:$B49, $A9, 'ALL Tube Results'!$F8:$F49, "Positive")
</f>
        <v>0</v>
      </c>
      <c r="F9" s="48">
        <f>COUNTIFS('ALL Tube Results'!$B8:$B49, $A9, 'ALL Tube Results'!$F8:$F49, "Inconclusive")
</f>
        <v>0</v>
      </c>
      <c r="G9" s="49">
        <f t="shared" si="7"/>
        <v>4</v>
      </c>
      <c r="H9" s="49" t="str">
        <f t="shared" si="8"/>
        <v/>
      </c>
      <c r="I9" s="50">
        <f t="shared" si="9"/>
        <v>4</v>
      </c>
      <c r="J9" s="51">
        <f t="shared" si="10"/>
        <v>0</v>
      </c>
      <c r="K9" s="51">
        <f t="shared" si="11"/>
        <v>0</v>
      </c>
      <c r="L9" s="51" t="str">
        <f t="shared" si="12"/>
        <v/>
      </c>
      <c r="M9" s="51" t="str">
        <f t="shared" si="13"/>
        <v/>
      </c>
      <c r="N9" s="51" t="str">
        <f t="shared" si="14"/>
        <v/>
      </c>
      <c r="O9" s="52">
        <f t="shared" si="15"/>
        <v>4</v>
      </c>
      <c r="P9" s="52" t="str">
        <f t="shared" si="16"/>
        <v/>
      </c>
      <c r="Q9" s="42"/>
      <c r="R9" s="12" t="s">
        <v>33</v>
      </c>
      <c r="S9" s="12">
        <v>44725.0</v>
      </c>
      <c r="T9" s="54">
        <f>VLOOKUP(R9,'Run Reconcile'!$A$2:$L49,12,FALSE)</f>
        <v>4</v>
      </c>
      <c r="U9" s="54"/>
      <c r="V9" s="54"/>
      <c r="W9" s="54"/>
      <c r="X9" s="42"/>
      <c r="Y9" s="12" t="str">
        <f>IFERROR(__xludf.DUMMYFUNCTION("""COMPUTED_VALUE"""),"RUN-NDHM_2022-06-13_RFR-014")</f>
        <v>RUN-NDHM_2022-06-13_RFR-014</v>
      </c>
      <c r="Z9" s="12">
        <f>IFERROR(__xludf.DUMMYFUNCTION("""COMPUTED_VALUE"""),44725.0)</f>
        <v>44725</v>
      </c>
      <c r="AA9" s="50">
        <f t="array" ref="AA9">INDEX('RFR Data - preExcl'!AK$2:AK49,$AE9,1)</f>
        <v>4</v>
      </c>
      <c r="AB9" s="54">
        <f t="shared" si="17"/>
        <v>4</v>
      </c>
      <c r="AC9" s="54">
        <f t="array" ref="AC9">INDEX('RFR Data - preExcl'!AI$2:AI49,$AE9,1)</f>
        <v>0</v>
      </c>
      <c r="AD9" s="54">
        <f t="array" ref="AD9">INDEX('RFR Data - preExcl'!AF$2:AF49,$AE9,1)</f>
        <v>0</v>
      </c>
      <c r="AE9" s="55">
        <f>IFNA(MATCH(Y9,'RFR Data - preExcl'!A$2:A49,0),"")</f>
        <v>14</v>
      </c>
      <c r="AF9" s="42"/>
      <c r="AG9" s="59" t="s">
        <v>33</v>
      </c>
      <c r="AH9" s="57">
        <f>VLOOKUP(AG9,'Run Reconcile'!A$2:B49,2,FALSE)</f>
        <v>44725</v>
      </c>
      <c r="AI9" s="58">
        <f>COUNTIF('APS Tubes Import'!$V$2:$V49, AG9)
</f>
        <v>4</v>
      </c>
      <c r="AJ9" s="58">
        <f>COUNTIFS('APS Tubes Import'!V$2:V49, AG9, 'APS Tubes Import'!H$2:H49, "Negative")
</f>
        <v>4</v>
      </c>
      <c r="AK9" s="58">
        <f>COUNTIFS('APS Tubes Import'!V$2:V49, AG9, 'APS Tubes Import'!H$2:H49, "Positive")
</f>
        <v>0</v>
      </c>
      <c r="AL9" s="58">
        <f>COUNTIFS('APS Tubes Import'!V$2:V49, AG9, 'APS Tubes Import'!H$2:H49, "Inconclusive")
</f>
        <v>0</v>
      </c>
      <c r="AM9" s="58">
        <f>COUNTIFS('APS Tubes Import'!V$2:V49, AG9, 'APS Tubes Import'!H$2:H49, "Null")
</f>
        <v>0</v>
      </c>
      <c r="AN9" s="42"/>
      <c r="AO9" s="12">
        <f>'APS Tubes by Date Import'!B8</f>
        <v>44712</v>
      </c>
      <c r="AP9" s="54">
        <f>'APS Tubes by Date Import'!C8</f>
        <v>3</v>
      </c>
      <c r="AQ9" s="54">
        <f>'APS Tubes by Date Import'!D8</f>
        <v>3</v>
      </c>
      <c r="AR9" s="54">
        <f>'APS Tubes by Date Import'!E8</f>
        <v>0</v>
      </c>
      <c r="AS9" s="54">
        <f>'APS Tubes by Date Import'!F8</f>
        <v>0</v>
      </c>
      <c r="AT9" s="54">
        <f>'APS Tubes by Date Import'!G8</f>
        <v>0</v>
      </c>
      <c r="AU9" s="42"/>
    </row>
    <row r="10">
      <c r="A10" s="7" t="s">
        <v>34</v>
      </c>
      <c r="B10" s="46">
        <f>VLOOKUP(A10,'ALL Tube Results'!$B$2:$D49,2,FALSE)</f>
        <v>44733</v>
      </c>
      <c r="C10" s="47">
        <f>COUNTIF('ALL Tube Results'!B9:B49, A10)
</f>
        <v>2</v>
      </c>
      <c r="D10" s="48">
        <f>COUNTIFS('ALL Tube Results'!$B9:$B49, $A10, 'ALL Tube Results'!$F9:$F49, "Negative")
</f>
        <v>2</v>
      </c>
      <c r="E10" s="48">
        <f>COUNTIFS('ALL Tube Results'!$B9:$B49, $A10, 'ALL Tube Results'!$F9:$F49, "Positive")
</f>
        <v>0</v>
      </c>
      <c r="F10" s="48">
        <f>COUNTIFS('ALL Tube Results'!$B9:$B49, $A10, 'ALL Tube Results'!$F9:$F49, "Inconclusive")
</f>
        <v>0</v>
      </c>
      <c r="G10" s="49">
        <f t="shared" si="7"/>
        <v>2</v>
      </c>
      <c r="H10" s="49" t="str">
        <f t="shared" si="8"/>
        <v/>
      </c>
      <c r="I10" s="50">
        <f t="shared" si="9"/>
        <v>2</v>
      </c>
      <c r="J10" s="51">
        <f t="shared" si="10"/>
        <v>0</v>
      </c>
      <c r="K10" s="51">
        <f t="shared" si="11"/>
        <v>0</v>
      </c>
      <c r="L10" s="51" t="str">
        <f t="shared" si="12"/>
        <v/>
      </c>
      <c r="M10" s="51" t="str">
        <f t="shared" si="13"/>
        <v/>
      </c>
      <c r="N10" s="51" t="str">
        <f t="shared" si="14"/>
        <v/>
      </c>
      <c r="O10" s="52">
        <f t="shared" si="15"/>
        <v>2</v>
      </c>
      <c r="P10" s="52" t="str">
        <f t="shared" si="16"/>
        <v/>
      </c>
      <c r="Q10" s="42"/>
      <c r="R10" s="7" t="s">
        <v>34</v>
      </c>
      <c r="S10" s="12">
        <v>44733.0</v>
      </c>
      <c r="T10" s="54">
        <f>VLOOKUP(R10,'Run Reconcile'!$A$2:$L49,12,FALSE)</f>
        <v>2</v>
      </c>
      <c r="U10" s="54"/>
      <c r="V10" s="54"/>
      <c r="W10" s="54"/>
      <c r="X10" s="42"/>
      <c r="Y10" s="7" t="str">
        <f>IFERROR(__xludf.DUMMYFUNCTION("""COMPUTED_VALUE"""),"RUN-NDHM_2022-06-21_RFR-016")</f>
        <v>RUN-NDHM_2022-06-21_RFR-016</v>
      </c>
      <c r="Z10" s="12">
        <f>IFERROR(__xludf.DUMMYFUNCTION("""COMPUTED_VALUE"""),44733.0)</f>
        <v>44733</v>
      </c>
      <c r="AA10" s="50">
        <f t="array" ref="AA10">INDEX('RFR Data - preExcl'!AK$2:AK49,$AE10,1)</f>
        <v>2</v>
      </c>
      <c r="AB10" s="54">
        <f t="shared" si="17"/>
        <v>2</v>
      </c>
      <c r="AC10" s="54">
        <f t="array" ref="AC10">INDEX('RFR Data - preExcl'!AI$2:AI49,$AE10,1)</f>
        <v>0</v>
      </c>
      <c r="AD10" s="54">
        <f t="array" ref="AD10">INDEX('RFR Data - preExcl'!AF$2:AF49,$AE10,1)</f>
        <v>0</v>
      </c>
      <c r="AE10" s="55">
        <f>IFNA(MATCH(Y10,'RFR Data - preExcl'!A$2:A49,0),"")</f>
        <v>16</v>
      </c>
      <c r="AF10" s="42"/>
      <c r="AG10" s="59" t="s">
        <v>34</v>
      </c>
      <c r="AH10" s="57">
        <f>VLOOKUP(AG10,'Run Reconcile'!A$2:B49,2,FALSE)</f>
        <v>44733</v>
      </c>
      <c r="AI10" s="58">
        <f>COUNTIF('APS Tubes Import'!$V$2:$V49, AG10)
</f>
        <v>2</v>
      </c>
      <c r="AJ10" s="58">
        <f>COUNTIFS('APS Tubes Import'!V$2:V49, AG10, 'APS Tubes Import'!H$2:H49, "Negative")
</f>
        <v>2</v>
      </c>
      <c r="AK10" s="58">
        <f>COUNTIFS('APS Tubes Import'!V$2:V49, AG10, 'APS Tubes Import'!H$2:H49, "Positive")
</f>
        <v>0</v>
      </c>
      <c r="AL10" s="58">
        <f>COUNTIFS('APS Tubes Import'!V$2:V49, AG10, 'APS Tubes Import'!H$2:H49, "Inconclusive")
</f>
        <v>0</v>
      </c>
      <c r="AM10" s="58">
        <f>COUNTIFS('APS Tubes Import'!V$2:V49, AG10, 'APS Tubes Import'!H$2:H49, "Null")
</f>
        <v>0</v>
      </c>
      <c r="AN10" s="42"/>
      <c r="AO10" s="12">
        <f>'APS Tubes by Date Import'!B9</f>
        <v>44713</v>
      </c>
      <c r="AP10" s="54">
        <f>'APS Tubes by Date Import'!C9</f>
        <v>10</v>
      </c>
      <c r="AQ10" s="54">
        <f>'APS Tubes by Date Import'!D9</f>
        <v>10</v>
      </c>
      <c r="AR10" s="54">
        <f>'APS Tubes by Date Import'!E9</f>
        <v>0</v>
      </c>
      <c r="AS10" s="54">
        <f>'APS Tubes by Date Import'!F9</f>
        <v>0</v>
      </c>
      <c r="AT10" s="54">
        <f>'APS Tubes by Date Import'!G9</f>
        <v>0</v>
      </c>
      <c r="AU10" s="42"/>
    </row>
    <row r="11">
      <c r="A11" s="7" t="s">
        <v>35</v>
      </c>
      <c r="B11" s="46">
        <f>VLOOKUP(A11,'ALL Tube Results'!$B$2:$D49,2,FALSE)</f>
        <v>44739</v>
      </c>
      <c r="C11" s="47">
        <f>COUNTIF('ALL Tube Results'!B10:B49, A11)
</f>
        <v>1</v>
      </c>
      <c r="D11" s="48">
        <f>COUNTIFS('ALL Tube Results'!$B10:$B49, $A11, 'ALL Tube Results'!$F10:$F49, "Negative")
</f>
        <v>1</v>
      </c>
      <c r="E11" s="48">
        <f>COUNTIFS('ALL Tube Results'!$B10:$B49, $A11, 'ALL Tube Results'!$F10:$F49, "Positive")
</f>
        <v>0</v>
      </c>
      <c r="F11" s="48">
        <f>COUNTIFS('ALL Tube Results'!$B10:$B49, $A11, 'ALL Tube Results'!$F10:$F49, "Inconclusive")
</f>
        <v>0</v>
      </c>
      <c r="G11" s="49">
        <f t="shared" si="7"/>
        <v>1</v>
      </c>
      <c r="H11" s="49" t="str">
        <f t="shared" si="8"/>
        <v/>
      </c>
      <c r="I11" s="50">
        <f t="shared" si="9"/>
        <v>1</v>
      </c>
      <c r="J11" s="51">
        <f t="shared" si="10"/>
        <v>0</v>
      </c>
      <c r="K11" s="51">
        <f t="shared" si="11"/>
        <v>0</v>
      </c>
      <c r="L11" s="51" t="str">
        <f t="shared" si="12"/>
        <v/>
      </c>
      <c r="M11" s="51" t="str">
        <f t="shared" si="13"/>
        <v/>
      </c>
      <c r="N11" s="51" t="str">
        <f t="shared" si="14"/>
        <v/>
      </c>
      <c r="O11" s="52">
        <f t="shared" si="15"/>
        <v>1</v>
      </c>
      <c r="P11" s="52" t="str">
        <f t="shared" si="16"/>
        <v/>
      </c>
      <c r="Q11" s="42"/>
      <c r="R11" s="7" t="s">
        <v>35</v>
      </c>
      <c r="S11" s="12">
        <v>44739.0</v>
      </c>
      <c r="T11" s="54">
        <f>VLOOKUP(R11,'Run Reconcile'!$A$2:$L49,12,FALSE)</f>
        <v>1</v>
      </c>
      <c r="U11" s="54"/>
      <c r="V11" s="54"/>
      <c r="W11" s="54"/>
      <c r="X11" s="42"/>
      <c r="Y11" s="7" t="str">
        <f>IFERROR(__xludf.DUMMYFUNCTION("""COMPUTED_VALUE"""),"RUN-NDHM_2022-06-27_RFR-017")</f>
        <v>RUN-NDHM_2022-06-27_RFR-017</v>
      </c>
      <c r="Z11" s="12">
        <f>IFERROR(__xludf.DUMMYFUNCTION("""COMPUTED_VALUE"""),44739.0)</f>
        <v>44739</v>
      </c>
      <c r="AA11" s="50">
        <f t="array" ref="AA11">INDEX('RFR Data - preExcl'!AK$2:AK49,$AE11,1)</f>
        <v>1</v>
      </c>
      <c r="AB11" s="54">
        <f t="shared" si="17"/>
        <v>1</v>
      </c>
      <c r="AC11" s="54">
        <f t="array" ref="AC11">INDEX('RFR Data - preExcl'!AI$2:AI49,$AE11,1)</f>
        <v>0</v>
      </c>
      <c r="AD11" s="54">
        <f t="array" ref="AD11">INDEX('RFR Data - preExcl'!AF$2:AF49,$AE11,1)</f>
        <v>0</v>
      </c>
      <c r="AE11" s="55">
        <f>IFNA(MATCH(Y11,'RFR Data - preExcl'!A$2:A49,0),"")</f>
        <v>17</v>
      </c>
      <c r="AF11" s="42"/>
      <c r="AG11" s="59" t="s">
        <v>35</v>
      </c>
      <c r="AH11" s="57">
        <f>VLOOKUP(AG11,'Run Reconcile'!A$2:B49,2,FALSE)</f>
        <v>44739</v>
      </c>
      <c r="AI11" s="58">
        <f>COUNTIF('APS Tubes Import'!$V$2:$V49, AG11)
</f>
        <v>1</v>
      </c>
      <c r="AJ11" s="58">
        <f>COUNTIFS('APS Tubes Import'!V$2:V49, AG11, 'APS Tubes Import'!H$2:H49, "Negative")
</f>
        <v>1</v>
      </c>
      <c r="AK11" s="58">
        <f>COUNTIFS('APS Tubes Import'!V$2:V49, AG11, 'APS Tubes Import'!H$2:H49, "Positive")
</f>
        <v>0</v>
      </c>
      <c r="AL11" s="58">
        <f>COUNTIFS('APS Tubes Import'!V$2:V49, AG11, 'APS Tubes Import'!H$2:H49, "Inconclusive")
</f>
        <v>0</v>
      </c>
      <c r="AM11" s="58">
        <f>COUNTIFS('APS Tubes Import'!V$2:V49, AG11, 'APS Tubes Import'!H$2:H49, "Null")
</f>
        <v>0</v>
      </c>
      <c r="AN11" s="42"/>
      <c r="AO11" s="12">
        <f>'APS Tubes by Date Import'!B10</f>
        <v>44718</v>
      </c>
      <c r="AP11" s="54">
        <f>'APS Tubes by Date Import'!C10</f>
        <v>7</v>
      </c>
      <c r="AQ11" s="54">
        <f>'APS Tubes by Date Import'!D10</f>
        <v>7</v>
      </c>
      <c r="AR11" s="54">
        <f>'APS Tubes by Date Import'!E10</f>
        <v>0</v>
      </c>
      <c r="AS11" s="54">
        <f>'APS Tubes by Date Import'!F10</f>
        <v>0</v>
      </c>
      <c r="AT11" s="54">
        <f>'APS Tubes by Date Import'!G10</f>
        <v>0</v>
      </c>
      <c r="AU11" s="42"/>
    </row>
    <row r="12">
      <c r="A12" s="7" t="s">
        <v>36</v>
      </c>
      <c r="B12" s="46">
        <f>VLOOKUP(A12,'ALL Tube Results'!$B$2:$D49,2,FALSE)</f>
        <v>44753</v>
      </c>
      <c r="C12" s="47">
        <f>COUNTIF('ALL Tube Results'!B11:B49, A12)
</f>
        <v>1</v>
      </c>
      <c r="D12" s="48">
        <f>COUNTIFS('ALL Tube Results'!$B11:$B49, $A12, 'ALL Tube Results'!$F11:$F49, "Negative")
</f>
        <v>1</v>
      </c>
      <c r="E12" s="48">
        <f>COUNTIFS('ALL Tube Results'!$B11:$B49, $A12, 'ALL Tube Results'!$F11:$F49, "Positive")
</f>
        <v>0</v>
      </c>
      <c r="F12" s="48">
        <f>COUNTIFS('ALL Tube Results'!$B11:$B49, $A12, 'ALL Tube Results'!$F11:$F49, "Inconclusive")
</f>
        <v>0</v>
      </c>
      <c r="G12" s="49">
        <f t="shared" si="7"/>
        <v>1</v>
      </c>
      <c r="H12" s="49" t="str">
        <f t="shared" si="8"/>
        <v/>
      </c>
      <c r="I12" s="50">
        <f t="shared" si="9"/>
        <v>1</v>
      </c>
      <c r="J12" s="51">
        <f t="shared" si="10"/>
        <v>0</v>
      </c>
      <c r="K12" s="51">
        <f t="shared" si="11"/>
        <v>0</v>
      </c>
      <c r="L12" s="51" t="str">
        <f t="shared" si="12"/>
        <v/>
      </c>
      <c r="M12" s="51" t="str">
        <f t="shared" si="13"/>
        <v/>
      </c>
      <c r="N12" s="51" t="str">
        <f t="shared" si="14"/>
        <v/>
      </c>
      <c r="O12" s="52">
        <f t="shared" si="15"/>
        <v>1</v>
      </c>
      <c r="P12" s="52" t="str">
        <f t="shared" si="16"/>
        <v/>
      </c>
      <c r="Q12" s="42"/>
      <c r="R12" s="7" t="s">
        <v>36</v>
      </c>
      <c r="S12" s="12">
        <v>44753.0</v>
      </c>
      <c r="T12" s="54">
        <f>VLOOKUP(R12,'Run Reconcile'!$A$2:$L49,12,FALSE)</f>
        <v>1</v>
      </c>
      <c r="U12" s="54"/>
      <c r="V12" s="54"/>
      <c r="W12" s="54"/>
      <c r="X12" s="42"/>
      <c r="Y12" s="7" t="str">
        <f>IFERROR(__xludf.DUMMYFUNCTION("""COMPUTED_VALUE"""),"RUN-NDHM_2022-07-11_RFR-018")</f>
        <v>RUN-NDHM_2022-07-11_RFR-018</v>
      </c>
      <c r="Z12" s="12">
        <f>IFERROR(__xludf.DUMMYFUNCTION("""COMPUTED_VALUE"""),44753.0)</f>
        <v>44753</v>
      </c>
      <c r="AA12" s="50">
        <f t="array" ref="AA12">INDEX('RFR Data - preExcl'!AK$2:AK49,$AE12,1)</f>
        <v>1</v>
      </c>
      <c r="AB12" s="54">
        <f t="shared" si="17"/>
        <v>1</v>
      </c>
      <c r="AC12" s="54">
        <f t="array" ref="AC12">INDEX('RFR Data - preExcl'!AI$2:AI49,$AE12,1)</f>
        <v>0</v>
      </c>
      <c r="AD12" s="54">
        <f t="array" ref="AD12">INDEX('RFR Data - preExcl'!AF$2:AF49,$AE12,1)</f>
        <v>0</v>
      </c>
      <c r="AE12" s="55">
        <f>IFNA(MATCH(Y12,'RFR Data - preExcl'!A$2:A49,0),"")</f>
        <v>18</v>
      </c>
      <c r="AF12" s="42"/>
      <c r="AG12" s="59" t="s">
        <v>36</v>
      </c>
      <c r="AH12" s="57">
        <f>VLOOKUP(AG12,'Run Reconcile'!A$2:B49,2,FALSE)</f>
        <v>44753</v>
      </c>
      <c r="AI12" s="58">
        <f>COUNTIF('APS Tubes Import'!$V$2:$V49, AG12)
</f>
        <v>1</v>
      </c>
      <c r="AJ12" s="58">
        <f>COUNTIFS('APS Tubes Import'!V$2:V49, AG12, 'APS Tubes Import'!H$2:H49, "Negative")
</f>
        <v>1</v>
      </c>
      <c r="AK12" s="58">
        <f>COUNTIFS('APS Tubes Import'!V$2:V49, AG12, 'APS Tubes Import'!H$2:H49, "Positive")
</f>
        <v>0</v>
      </c>
      <c r="AL12" s="58">
        <f>COUNTIFS('APS Tubes Import'!V$2:V49, AG12, 'APS Tubes Import'!H$2:H49, "Inconclusive")
</f>
        <v>0</v>
      </c>
      <c r="AM12" s="58">
        <f>COUNTIFS('APS Tubes Import'!V$2:V49, AG12, 'APS Tubes Import'!H$2:H49, "Null")
</f>
        <v>0</v>
      </c>
      <c r="AN12" s="42"/>
      <c r="AO12" s="12">
        <f>'APS Tubes by Date Import'!B11</f>
        <v>44725</v>
      </c>
      <c r="AP12" s="54">
        <f>'APS Tubes by Date Import'!C11</f>
        <v>4</v>
      </c>
      <c r="AQ12" s="54">
        <f>'APS Tubes by Date Import'!D11</f>
        <v>4</v>
      </c>
      <c r="AR12" s="54">
        <f>'APS Tubes by Date Import'!E11</f>
        <v>0</v>
      </c>
      <c r="AS12" s="54">
        <f>'APS Tubes by Date Import'!F11</f>
        <v>0</v>
      </c>
      <c r="AT12" s="54">
        <f>'APS Tubes by Date Import'!G11</f>
        <v>0</v>
      </c>
      <c r="AU12" s="42"/>
    </row>
    <row r="13">
      <c r="A13" s="7" t="s">
        <v>37</v>
      </c>
      <c r="B13" s="46">
        <f>VLOOKUP(A13,'ALL Tube Results'!$B$2:$D49,2,FALSE)</f>
        <v>44760</v>
      </c>
      <c r="C13" s="47">
        <f>COUNTIF('ALL Tube Results'!B12:B49, A13)
</f>
        <v>1</v>
      </c>
      <c r="D13" s="48">
        <f>COUNTIFS('ALL Tube Results'!$B12:$B49, $A13, 'ALL Tube Results'!$F12:$F49, "Negative")
</f>
        <v>1</v>
      </c>
      <c r="E13" s="48">
        <f>COUNTIFS('ALL Tube Results'!$B12:$B49, $A13, 'ALL Tube Results'!$F12:$F49, "Positive")
</f>
        <v>0</v>
      </c>
      <c r="F13" s="48">
        <f>COUNTIFS('ALL Tube Results'!$B12:$B49, $A13, 'ALL Tube Results'!$F12:$F49, "Inconclusive")
</f>
        <v>0</v>
      </c>
      <c r="G13" s="49">
        <f t="shared" si="7"/>
        <v>1</v>
      </c>
      <c r="H13" s="49" t="str">
        <f t="shared" si="8"/>
        <v/>
      </c>
      <c r="I13" s="50">
        <f t="shared" si="9"/>
        <v>1</v>
      </c>
      <c r="J13" s="51">
        <f t="shared" si="10"/>
        <v>0</v>
      </c>
      <c r="K13" s="51">
        <f t="shared" si="11"/>
        <v>0</v>
      </c>
      <c r="L13" s="51" t="str">
        <f t="shared" si="12"/>
        <v/>
      </c>
      <c r="M13" s="51" t="str">
        <f t="shared" si="13"/>
        <v/>
      </c>
      <c r="N13" s="51" t="str">
        <f t="shared" si="14"/>
        <v/>
      </c>
      <c r="O13" s="52">
        <f t="shared" si="15"/>
        <v>1</v>
      </c>
      <c r="P13" s="52" t="str">
        <f t="shared" si="16"/>
        <v/>
      </c>
      <c r="Q13" s="42"/>
      <c r="R13" s="7" t="s">
        <v>37</v>
      </c>
      <c r="S13" s="12">
        <v>44760.0</v>
      </c>
      <c r="T13" s="54">
        <f>VLOOKUP(R13,'Run Reconcile'!$A$2:$L49,12,FALSE)</f>
        <v>1</v>
      </c>
      <c r="U13" s="54"/>
      <c r="V13" s="54"/>
      <c r="W13" s="54"/>
      <c r="X13" s="42"/>
      <c r="Y13" s="7" t="str">
        <f>IFERROR(__xludf.DUMMYFUNCTION("""COMPUTED_VALUE"""),"RUN-NDHM_2022-07-18_RFR-019")</f>
        <v>RUN-NDHM_2022-07-18_RFR-019</v>
      </c>
      <c r="Z13" s="12">
        <f>IFERROR(__xludf.DUMMYFUNCTION("""COMPUTED_VALUE"""),44760.0)</f>
        <v>44760</v>
      </c>
      <c r="AA13" s="50">
        <f t="array" ref="AA13">INDEX('RFR Data - preExcl'!AK$2:AK49,$AE13,1)</f>
        <v>1</v>
      </c>
      <c r="AB13" s="54">
        <f t="shared" si="17"/>
        <v>1</v>
      </c>
      <c r="AC13" s="54">
        <f t="array" ref="AC13">INDEX('RFR Data - preExcl'!AI$2:AI49,$AE13,1)</f>
        <v>0</v>
      </c>
      <c r="AD13" s="54">
        <f t="array" ref="AD13">INDEX('RFR Data - preExcl'!AF$2:AF49,$AE13,1)</f>
        <v>0</v>
      </c>
      <c r="AE13" s="55">
        <f>IFNA(MATCH(Y13,'RFR Data - preExcl'!A$2:A49,0),"")</f>
        <v>19</v>
      </c>
      <c r="AF13" s="42"/>
      <c r="AG13" s="59" t="s">
        <v>37</v>
      </c>
      <c r="AH13" s="57">
        <f>VLOOKUP(AG13,'Run Reconcile'!A$2:B49,2,FALSE)</f>
        <v>44760</v>
      </c>
      <c r="AI13" s="58">
        <f>COUNTIF('APS Tubes Import'!$V$2:$V49, AG13)
</f>
        <v>1</v>
      </c>
      <c r="AJ13" s="58">
        <f>COUNTIFS('APS Tubes Import'!V$2:V49, AG13, 'APS Tubes Import'!H$2:H49, "Negative")
</f>
        <v>1</v>
      </c>
      <c r="AK13" s="58">
        <f>COUNTIFS('APS Tubes Import'!V$2:V49, AG13, 'APS Tubes Import'!H$2:H49, "Positive")
</f>
        <v>0</v>
      </c>
      <c r="AL13" s="58">
        <f>COUNTIFS('APS Tubes Import'!V$2:V49, AG13, 'APS Tubes Import'!H$2:H49, "Inconclusive")
</f>
        <v>0</v>
      </c>
      <c r="AM13" s="58">
        <f>COUNTIFS('APS Tubes Import'!V$2:V49, AG13, 'APS Tubes Import'!H$2:H49, "Null")
</f>
        <v>0</v>
      </c>
      <c r="AN13" s="42"/>
      <c r="AO13" s="12">
        <f>'APS Tubes by Date Import'!B12</f>
        <v>44733</v>
      </c>
      <c r="AP13" s="54">
        <f>'APS Tubes by Date Import'!C12</f>
        <v>2</v>
      </c>
      <c r="AQ13" s="54">
        <f>'APS Tubes by Date Import'!D12</f>
        <v>2</v>
      </c>
      <c r="AR13" s="54">
        <f>'APS Tubes by Date Import'!E12</f>
        <v>0</v>
      </c>
      <c r="AS13" s="54">
        <f>'APS Tubes by Date Import'!F12</f>
        <v>0</v>
      </c>
      <c r="AT13" s="54">
        <f>'APS Tubes by Date Import'!G12</f>
        <v>0</v>
      </c>
      <c r="AU13" s="42"/>
    </row>
    <row r="14">
      <c r="A14" s="7" t="s">
        <v>38</v>
      </c>
      <c r="B14" s="46">
        <f>VLOOKUP(A14,'ALL Tube Results'!$B$2:$D49,2,FALSE)</f>
        <v>44767</v>
      </c>
      <c r="C14" s="47">
        <f>COUNTIF('ALL Tube Results'!B13:B49, A14)
</f>
        <v>3</v>
      </c>
      <c r="D14" s="48">
        <f>COUNTIFS('ALL Tube Results'!$B13:$B49, $A14, 'ALL Tube Results'!$F13:$F49, "Negative")
</f>
        <v>3</v>
      </c>
      <c r="E14" s="48">
        <f>COUNTIFS('ALL Tube Results'!$B13:$B49, $A14, 'ALL Tube Results'!$F13:$F49, "Positive")
</f>
        <v>0</v>
      </c>
      <c r="F14" s="48">
        <f>COUNTIFS('ALL Tube Results'!$B13:$B49, $A14, 'ALL Tube Results'!$F13:$F49, "Inconclusive")
</f>
        <v>0</v>
      </c>
      <c r="G14" s="49">
        <f t="shared" si="7"/>
        <v>3</v>
      </c>
      <c r="H14" s="49" t="str">
        <f t="shared" si="8"/>
        <v/>
      </c>
      <c r="I14" s="50">
        <f t="shared" si="9"/>
        <v>3</v>
      </c>
      <c r="J14" s="51">
        <f t="shared" si="10"/>
        <v>0</v>
      </c>
      <c r="K14" s="51">
        <f t="shared" si="11"/>
        <v>0</v>
      </c>
      <c r="L14" s="51" t="str">
        <f t="shared" si="12"/>
        <v/>
      </c>
      <c r="M14" s="51" t="str">
        <f t="shared" si="13"/>
        <v/>
      </c>
      <c r="N14" s="51" t="str">
        <f t="shared" si="14"/>
        <v/>
      </c>
      <c r="O14" s="52">
        <f t="shared" si="15"/>
        <v>3</v>
      </c>
      <c r="P14" s="52" t="str">
        <f t="shared" si="16"/>
        <v/>
      </c>
      <c r="Q14" s="42"/>
      <c r="R14" s="7" t="s">
        <v>38</v>
      </c>
      <c r="S14" s="12">
        <v>44767.0</v>
      </c>
      <c r="T14" s="54">
        <f>VLOOKUP(R14,'Run Reconcile'!$A$2:$L49,12,FALSE)</f>
        <v>3</v>
      </c>
      <c r="U14" s="54"/>
      <c r="V14" s="54"/>
      <c r="W14" s="54"/>
      <c r="X14" s="42"/>
      <c r="Y14" s="7" t="str">
        <f>IFERROR(__xludf.DUMMYFUNCTION("""COMPUTED_VALUE"""),"RUN-NDHM_2022-07-25_RFR-020")</f>
        <v>RUN-NDHM_2022-07-25_RFR-020</v>
      </c>
      <c r="Z14" s="12">
        <f>IFERROR(__xludf.DUMMYFUNCTION("""COMPUTED_VALUE"""),44767.0)</f>
        <v>44767</v>
      </c>
      <c r="AA14" s="50">
        <f t="array" ref="AA14">INDEX('RFR Data - preExcl'!AK$2:AK49,$AE14,1)</f>
        <v>3</v>
      </c>
      <c r="AB14" s="54">
        <f t="shared" si="17"/>
        <v>3</v>
      </c>
      <c r="AC14" s="54">
        <f t="array" ref="AC14">INDEX('RFR Data - preExcl'!AI$2:AI49,$AE14,1)</f>
        <v>0</v>
      </c>
      <c r="AD14" s="54">
        <f t="array" ref="AD14">INDEX('RFR Data - preExcl'!AF$2:AF49,$AE14,1)</f>
        <v>0</v>
      </c>
      <c r="AE14" s="55">
        <f>IFNA(MATCH(Y14,'RFR Data - preExcl'!A$2:A49,0),"")</f>
        <v>20</v>
      </c>
      <c r="AF14" s="42"/>
      <c r="AG14" s="59" t="s">
        <v>38</v>
      </c>
      <c r="AH14" s="57">
        <f>VLOOKUP(AG14,'Run Reconcile'!A$2:B49,2,FALSE)</f>
        <v>44767</v>
      </c>
      <c r="AI14" s="58">
        <f>COUNTIF('APS Tubes Import'!$V$2:$V49, AG14)
</f>
        <v>3</v>
      </c>
      <c r="AJ14" s="58">
        <f>COUNTIFS('APS Tubes Import'!V$2:V49, AG14, 'APS Tubes Import'!H$2:H49, "Negative")
</f>
        <v>3</v>
      </c>
      <c r="AK14" s="58">
        <f>COUNTIFS('APS Tubes Import'!V$2:V49, AG14, 'APS Tubes Import'!H$2:H49, "Positive")
</f>
        <v>0</v>
      </c>
      <c r="AL14" s="58">
        <f>COUNTIFS('APS Tubes Import'!V$2:V49, AG14, 'APS Tubes Import'!H$2:H49, "Inconclusive")
</f>
        <v>0</v>
      </c>
      <c r="AM14" s="58">
        <f>COUNTIFS('APS Tubes Import'!V$2:V49, AG14, 'APS Tubes Import'!H$2:H49, "Null")
</f>
        <v>0</v>
      </c>
      <c r="AN14" s="42"/>
      <c r="AO14" s="12">
        <f>'APS Tubes by Date Import'!B13</f>
        <v>44739</v>
      </c>
      <c r="AP14" s="54">
        <f>'APS Tubes by Date Import'!C13</f>
        <v>1</v>
      </c>
      <c r="AQ14" s="54">
        <f>'APS Tubes by Date Import'!D13</f>
        <v>1</v>
      </c>
      <c r="AR14" s="54">
        <f>'APS Tubes by Date Import'!E13</f>
        <v>0</v>
      </c>
      <c r="AS14" s="54">
        <f>'APS Tubes by Date Import'!F13</f>
        <v>0</v>
      </c>
      <c r="AT14" s="54">
        <f>'APS Tubes by Date Import'!G13</f>
        <v>0</v>
      </c>
      <c r="AU14" s="42"/>
    </row>
    <row r="15">
      <c r="A15" s="7" t="s">
        <v>39</v>
      </c>
      <c r="B15" s="46">
        <f>VLOOKUP(A15,'ALL Tube Results'!$B$2:$D49,2,FALSE)</f>
        <v>44774</v>
      </c>
      <c r="C15" s="47">
        <f>COUNTIF('ALL Tube Results'!B14:B49, A15)
</f>
        <v>1</v>
      </c>
      <c r="D15" s="48">
        <f>COUNTIFS('ALL Tube Results'!$B14:$B49, $A15, 'ALL Tube Results'!$F14:$F49, "Negative")
</f>
        <v>1</v>
      </c>
      <c r="E15" s="48">
        <f>COUNTIFS('ALL Tube Results'!$B14:$B49, $A15, 'ALL Tube Results'!$F14:$F49, "Positive")
</f>
        <v>0</v>
      </c>
      <c r="F15" s="48">
        <f>COUNTIFS('ALL Tube Results'!$B14:$B49, $A15, 'ALL Tube Results'!$F14:$F49, "Inconclusive")
</f>
        <v>0</v>
      </c>
      <c r="G15" s="49">
        <f t="shared" si="7"/>
        <v>1</v>
      </c>
      <c r="H15" s="49" t="str">
        <f t="shared" si="8"/>
        <v/>
      </c>
      <c r="I15" s="50" t="str">
        <f t="shared" si="9"/>
        <v/>
      </c>
      <c r="J15" s="51" t="str">
        <f t="shared" si="10"/>
        <v/>
      </c>
      <c r="K15" s="51" t="str">
        <f t="shared" si="11"/>
        <v/>
      </c>
      <c r="L15" s="51">
        <f t="shared" si="12"/>
        <v>1</v>
      </c>
      <c r="M15" s="51" t="str">
        <f t="shared" si="13"/>
        <v/>
      </c>
      <c r="N15" s="51" t="str">
        <f t="shared" si="14"/>
        <v/>
      </c>
      <c r="O15" s="52">
        <f t="shared" si="15"/>
        <v>1</v>
      </c>
      <c r="P15" s="52" t="str">
        <f t="shared" si="16"/>
        <v/>
      </c>
      <c r="Q15" s="42"/>
      <c r="R15" s="7" t="s">
        <v>39</v>
      </c>
      <c r="S15" s="12">
        <v>44774.0</v>
      </c>
      <c r="T15" s="54">
        <f>VLOOKUP(R15,'Run Reconcile'!$A$2:$L49,12,FALSE)</f>
        <v>1</v>
      </c>
      <c r="U15" s="54"/>
      <c r="V15" s="54"/>
      <c r="W15" s="54"/>
      <c r="X15" s="42"/>
      <c r="Y15" s="7" t="str">
        <f>IFERROR(__xludf.DUMMYFUNCTION("""COMPUTED_VALUE"""),"RUN-NDHM_2022-10-03_RFR-021")</f>
        <v>RUN-NDHM_2022-10-03_RFR-021</v>
      </c>
      <c r="Z15" s="12">
        <f>IFERROR(__xludf.DUMMYFUNCTION("""COMPUTED_VALUE"""),44837.0)</f>
        <v>44837</v>
      </c>
      <c r="AA15" s="50">
        <f t="array" ref="AA15">INDEX('RFR Data - preExcl'!AK$2:AK49,$AE15,1)</f>
        <v>1</v>
      </c>
      <c r="AB15" s="54">
        <f t="shared" si="17"/>
        <v>1</v>
      </c>
      <c r="AC15" s="54">
        <f t="array" ref="AC15">INDEX('RFR Data - preExcl'!AI$2:AI49,$AE15,1)</f>
        <v>0</v>
      </c>
      <c r="AD15" s="54">
        <f t="array" ref="AD15">INDEX('RFR Data - preExcl'!AF$2:AF49,$AE15,1)</f>
        <v>0</v>
      </c>
      <c r="AE15" s="55">
        <f>IFNA(MATCH(Y15,'RFR Data - preExcl'!A$2:A49,0),"")</f>
        <v>21</v>
      </c>
      <c r="AF15" s="42"/>
      <c r="AG15" s="59" t="s">
        <v>39</v>
      </c>
      <c r="AH15" s="57">
        <f>VLOOKUP(AG15,'Run Reconcile'!A$2:B49,2,FALSE)</f>
        <v>44774</v>
      </c>
      <c r="AI15" s="58">
        <f>COUNTIF('APS Tubes Import'!$V$2:$V49, AG15)
</f>
        <v>1</v>
      </c>
      <c r="AJ15" s="58">
        <f>COUNTIFS('APS Tubes Import'!V$2:V49, AG15, 'APS Tubes Import'!H$2:H49, "Negative")
</f>
        <v>1</v>
      </c>
      <c r="AK15" s="58">
        <f>COUNTIFS('APS Tubes Import'!V$2:V49, AG15, 'APS Tubes Import'!H$2:H49, "Positive")
</f>
        <v>0</v>
      </c>
      <c r="AL15" s="58">
        <f>COUNTIFS('APS Tubes Import'!V$2:V49, AG15, 'APS Tubes Import'!H$2:H49, "Inconclusive")
</f>
        <v>0</v>
      </c>
      <c r="AM15" s="58">
        <f>COUNTIFS('APS Tubes Import'!V$2:V49, AG15, 'APS Tubes Import'!H$2:H49, "Null")
</f>
        <v>0</v>
      </c>
      <c r="AN15" s="42"/>
      <c r="AO15" s="12">
        <f>'APS Tubes by Date Import'!B14</f>
        <v>44753</v>
      </c>
      <c r="AP15" s="54">
        <f>'APS Tubes by Date Import'!C14</f>
        <v>1</v>
      </c>
      <c r="AQ15" s="54">
        <f>'APS Tubes by Date Import'!D14</f>
        <v>1</v>
      </c>
      <c r="AR15" s="54">
        <f>'APS Tubes by Date Import'!E14</f>
        <v>0</v>
      </c>
      <c r="AS15" s="54">
        <f>'APS Tubes by Date Import'!F14</f>
        <v>0</v>
      </c>
      <c r="AT15" s="54">
        <f>'APS Tubes by Date Import'!G14</f>
        <v>0</v>
      </c>
      <c r="AU15" s="42"/>
    </row>
    <row r="16">
      <c r="A16" s="7" t="s">
        <v>40</v>
      </c>
      <c r="B16" s="46">
        <f>VLOOKUP(A16,'ALL Tube Results'!$B$2:$D49,2,FALSE)</f>
        <v>44816</v>
      </c>
      <c r="C16" s="47">
        <f>COUNTIF('ALL Tube Results'!B15:B49, A16)
</f>
        <v>1</v>
      </c>
      <c r="D16" s="48">
        <f>COUNTIFS('ALL Tube Results'!$B15:$B49, $A16, 'ALL Tube Results'!$F15:$F49, "Negative")
</f>
        <v>1</v>
      </c>
      <c r="E16" s="48">
        <f>COUNTIFS('ALL Tube Results'!$B15:$B49, $A16, 'ALL Tube Results'!$F15:$F49, "Positive")
</f>
        <v>0</v>
      </c>
      <c r="F16" s="48">
        <f>COUNTIFS('ALL Tube Results'!$B15:$B49, $A16, 'ALL Tube Results'!$F15:$F49, "Inconclusive")
</f>
        <v>0</v>
      </c>
      <c r="G16" s="49">
        <f t="shared" si="7"/>
        <v>1</v>
      </c>
      <c r="H16" s="49" t="str">
        <f t="shared" si="8"/>
        <v/>
      </c>
      <c r="I16" s="50" t="str">
        <f t="shared" si="9"/>
        <v/>
      </c>
      <c r="J16" s="51" t="str">
        <f t="shared" si="10"/>
        <v/>
      </c>
      <c r="K16" s="51" t="str">
        <f t="shared" si="11"/>
        <v/>
      </c>
      <c r="L16" s="51">
        <f t="shared" si="12"/>
        <v>1</v>
      </c>
      <c r="M16" s="51" t="str">
        <f t="shared" si="13"/>
        <v/>
      </c>
      <c r="N16" s="51" t="str">
        <f t="shared" si="14"/>
        <v/>
      </c>
      <c r="O16" s="52">
        <f t="shared" si="15"/>
        <v>1</v>
      </c>
      <c r="P16" s="52" t="str">
        <f t="shared" si="16"/>
        <v/>
      </c>
      <c r="Q16" s="42"/>
      <c r="R16" s="7" t="s">
        <v>40</v>
      </c>
      <c r="S16" s="12">
        <v>44816.0</v>
      </c>
      <c r="T16" s="54">
        <f>VLOOKUP(R16,'Run Reconcile'!$A$2:$L49,12,FALSE)</f>
        <v>1</v>
      </c>
      <c r="U16" s="54"/>
      <c r="V16" s="54"/>
      <c r="W16" s="54"/>
      <c r="X16" s="42"/>
      <c r="AA16" s="54"/>
      <c r="AB16" s="54"/>
      <c r="AC16" s="54"/>
      <c r="AD16" s="54"/>
      <c r="AE16" s="60"/>
      <c r="AF16" s="42"/>
      <c r="AG16" s="59" t="s">
        <v>40</v>
      </c>
      <c r="AH16" s="57">
        <f>VLOOKUP(AG16,'Run Reconcile'!A$2:B49,2,FALSE)</f>
        <v>44816</v>
      </c>
      <c r="AI16" s="58">
        <f>COUNTIF('APS Tubes Import'!$V$2:$V49, AG16)
</f>
        <v>1</v>
      </c>
      <c r="AJ16" s="58">
        <f>COUNTIFS('APS Tubes Import'!V$2:V49, AG16, 'APS Tubes Import'!H$2:H49, "Negative")
</f>
        <v>1</v>
      </c>
      <c r="AK16" s="58">
        <f>COUNTIFS('APS Tubes Import'!V$2:V49, AG16, 'APS Tubes Import'!H$2:H49, "Positive")
</f>
        <v>0</v>
      </c>
      <c r="AL16" s="58">
        <f>COUNTIFS('APS Tubes Import'!V$2:V49, AG16, 'APS Tubes Import'!H$2:H49, "Inconclusive")
</f>
        <v>0</v>
      </c>
      <c r="AM16" s="58">
        <f>COUNTIFS('APS Tubes Import'!V$2:V49, AG16, 'APS Tubes Import'!H$2:H49, "Null")
</f>
        <v>0</v>
      </c>
      <c r="AN16" s="42"/>
      <c r="AO16" s="12">
        <f>'APS Tubes by Date Import'!B15</f>
        <v>44760</v>
      </c>
      <c r="AP16" s="54">
        <f>'APS Tubes by Date Import'!C15</f>
        <v>1</v>
      </c>
      <c r="AQ16" s="54">
        <f>'APS Tubes by Date Import'!D15</f>
        <v>1</v>
      </c>
      <c r="AR16" s="54">
        <f>'APS Tubes by Date Import'!E15</f>
        <v>0</v>
      </c>
      <c r="AS16" s="54">
        <f>'APS Tubes by Date Import'!F15</f>
        <v>0</v>
      </c>
      <c r="AT16" s="54">
        <f>'APS Tubes by Date Import'!G15</f>
        <v>0</v>
      </c>
      <c r="AU16" s="42"/>
    </row>
    <row r="17">
      <c r="A17" s="7" t="s">
        <v>41</v>
      </c>
      <c r="B17" s="46">
        <f>VLOOKUP(A17,'ALL Tube Results'!$B$2:$D49,2,FALSE)</f>
        <v>44837</v>
      </c>
      <c r="C17" s="47">
        <f>COUNTIF('ALL Tube Results'!B16:B49, A17)
</f>
        <v>1</v>
      </c>
      <c r="D17" s="48">
        <f>COUNTIFS('ALL Tube Results'!$B16:$B49, $A17, 'ALL Tube Results'!$F16:$F49, "Negative")
</f>
        <v>1</v>
      </c>
      <c r="E17" s="48">
        <f>COUNTIFS('ALL Tube Results'!$B16:$B49, $A17, 'ALL Tube Results'!$F16:$F49, "Positive")
</f>
        <v>0</v>
      </c>
      <c r="F17" s="48">
        <f>COUNTIFS('ALL Tube Results'!$B16:$B49, $A17, 'ALL Tube Results'!$F16:$F49, "Inconclusive")
</f>
        <v>0</v>
      </c>
      <c r="G17" s="49">
        <f t="shared" si="7"/>
        <v>1</v>
      </c>
      <c r="H17" s="49" t="str">
        <f t="shared" si="8"/>
        <v/>
      </c>
      <c r="I17" s="50">
        <f t="shared" si="9"/>
        <v>1</v>
      </c>
      <c r="J17" s="51">
        <f t="shared" si="10"/>
        <v>0</v>
      </c>
      <c r="K17" s="51">
        <f t="shared" si="11"/>
        <v>0</v>
      </c>
      <c r="L17" s="51" t="str">
        <f t="shared" si="12"/>
        <v/>
      </c>
      <c r="M17" s="51" t="str">
        <f t="shared" si="13"/>
        <v/>
      </c>
      <c r="N17" s="51" t="str">
        <f t="shared" si="14"/>
        <v/>
      </c>
      <c r="O17" s="52">
        <f t="shared" si="15"/>
        <v>1</v>
      </c>
      <c r="P17" s="52" t="str">
        <f t="shared" si="16"/>
        <v/>
      </c>
      <c r="Q17" s="42"/>
      <c r="R17" s="7" t="s">
        <v>41</v>
      </c>
      <c r="S17" s="12">
        <v>44837.0</v>
      </c>
      <c r="T17" s="54">
        <f>VLOOKUP(R17,'Run Reconcile'!$A$2:$L49,12,FALSE)</f>
        <v>1</v>
      </c>
      <c r="U17" s="54"/>
      <c r="V17" s="54"/>
      <c r="W17" s="54"/>
      <c r="X17" s="42"/>
      <c r="AA17" s="54"/>
      <c r="AB17" s="54"/>
      <c r="AC17" s="54"/>
      <c r="AD17" s="54"/>
      <c r="AE17" s="60"/>
      <c r="AF17" s="42"/>
      <c r="AG17" s="59" t="s">
        <v>41</v>
      </c>
      <c r="AH17" s="57">
        <f>VLOOKUP(AG17,'Run Reconcile'!A$2:B49,2,FALSE)</f>
        <v>44837</v>
      </c>
      <c r="AI17" s="58">
        <f>COUNTIF('APS Tubes Import'!$V$2:$V49, AG17)
</f>
        <v>1</v>
      </c>
      <c r="AJ17" s="58">
        <f>COUNTIFS('APS Tubes Import'!V$2:V49, AG17, 'APS Tubes Import'!H$2:H49, "Negative")
</f>
        <v>1</v>
      </c>
      <c r="AK17" s="58">
        <f>COUNTIFS('APS Tubes Import'!V$2:V49, AG17, 'APS Tubes Import'!H$2:H49, "Positive")
</f>
        <v>0</v>
      </c>
      <c r="AL17" s="58">
        <f>COUNTIFS('APS Tubes Import'!V$2:V49, AG17, 'APS Tubes Import'!H$2:H49, "Inconclusive")
</f>
        <v>0</v>
      </c>
      <c r="AM17" s="58">
        <f>COUNTIFS('APS Tubes Import'!V$2:V49, AG17, 'APS Tubes Import'!H$2:H49, "Null")
</f>
        <v>0</v>
      </c>
      <c r="AN17" s="42"/>
      <c r="AO17" s="12">
        <f>'APS Tubes by Date Import'!B16</f>
        <v>44767</v>
      </c>
      <c r="AP17" s="54">
        <f>'APS Tubes by Date Import'!C16</f>
        <v>3</v>
      </c>
      <c r="AQ17" s="54">
        <f>'APS Tubes by Date Import'!D16</f>
        <v>3</v>
      </c>
      <c r="AR17" s="54">
        <f>'APS Tubes by Date Import'!E16</f>
        <v>0</v>
      </c>
      <c r="AS17" s="54">
        <f>'APS Tubes by Date Import'!F16</f>
        <v>0</v>
      </c>
      <c r="AT17" s="54">
        <f>'APS Tubes by Date Import'!G16</f>
        <v>0</v>
      </c>
      <c r="AU17" s="42"/>
    </row>
    <row r="18">
      <c r="A18" s="7"/>
      <c r="B18" s="54"/>
      <c r="C18" s="54"/>
      <c r="D18" s="54"/>
      <c r="E18" s="54"/>
      <c r="F18" s="54"/>
      <c r="G18" s="54"/>
      <c r="H18" s="54"/>
      <c r="I18" s="54"/>
      <c r="J18" s="54"/>
      <c r="K18" s="54"/>
      <c r="L18" s="54"/>
      <c r="M18" s="54"/>
      <c r="N18" s="54"/>
      <c r="O18" s="61"/>
      <c r="P18" s="61"/>
      <c r="Q18" s="42"/>
      <c r="R18" s="7"/>
      <c r="S18" s="12">
        <v>44689.0</v>
      </c>
      <c r="T18" s="54"/>
      <c r="U18" s="54"/>
      <c r="V18" s="54"/>
      <c r="W18" s="54"/>
      <c r="X18" s="42"/>
      <c r="AA18" s="54"/>
      <c r="AB18" s="54"/>
      <c r="AC18" s="54"/>
      <c r="AD18" s="54"/>
      <c r="AE18" s="60"/>
      <c r="AF18" s="42"/>
      <c r="AG18" s="59"/>
      <c r="AH18" s="54"/>
      <c r="AI18" s="54"/>
      <c r="AJ18" s="54"/>
      <c r="AK18" s="54"/>
      <c r="AL18" s="54"/>
      <c r="AM18" s="54"/>
      <c r="AN18" s="42"/>
      <c r="AO18" s="12">
        <f>'APS Tubes by Date Import'!B17</f>
        <v>44774</v>
      </c>
      <c r="AP18" s="54">
        <f>'APS Tubes by Date Import'!C17</f>
        <v>1</v>
      </c>
      <c r="AQ18" s="54">
        <f>'APS Tubes by Date Import'!D17</f>
        <v>1</v>
      </c>
      <c r="AR18" s="54">
        <f>'APS Tubes by Date Import'!E17</f>
        <v>0</v>
      </c>
      <c r="AS18" s="54">
        <f>'APS Tubes by Date Import'!F17</f>
        <v>0</v>
      </c>
      <c r="AT18" s="54">
        <f>'APS Tubes by Date Import'!G17</f>
        <v>0</v>
      </c>
      <c r="AU18" s="42"/>
    </row>
    <row r="19">
      <c r="B19" s="54"/>
      <c r="C19" s="54"/>
      <c r="D19" s="54"/>
      <c r="E19" s="54"/>
      <c r="F19" s="54"/>
      <c r="G19" s="54"/>
      <c r="H19" s="54"/>
      <c r="I19" s="54"/>
      <c r="J19" s="54"/>
      <c r="K19" s="54"/>
      <c r="L19" s="54"/>
      <c r="M19" s="54"/>
      <c r="N19" s="54"/>
      <c r="O19" s="61"/>
      <c r="P19" s="61"/>
      <c r="Q19" s="42"/>
      <c r="R19" s="7"/>
      <c r="S19" s="12">
        <v>44696.0</v>
      </c>
      <c r="T19" s="54"/>
      <c r="U19" s="54"/>
      <c r="V19" s="54"/>
      <c r="W19" s="54"/>
      <c r="X19" s="42"/>
      <c r="AA19" s="54"/>
      <c r="AB19" s="54"/>
      <c r="AC19" s="54"/>
      <c r="AD19" s="54"/>
      <c r="AE19" s="60"/>
      <c r="AF19" s="42"/>
      <c r="AH19" s="54"/>
      <c r="AI19" s="54"/>
      <c r="AJ19" s="54"/>
      <c r="AK19" s="54"/>
      <c r="AL19" s="54"/>
      <c r="AM19" s="54"/>
      <c r="AN19" s="42"/>
      <c r="AO19" s="12">
        <f>'APS Tubes by Date Import'!B18</f>
        <v>44816</v>
      </c>
      <c r="AP19" s="54">
        <f>'APS Tubes by Date Import'!C18</f>
        <v>1</v>
      </c>
      <c r="AQ19" s="54">
        <f>'APS Tubes by Date Import'!D18</f>
        <v>1</v>
      </c>
      <c r="AR19" s="54">
        <f>'APS Tubes by Date Import'!E18</f>
        <v>0</v>
      </c>
      <c r="AS19" s="54">
        <f>'APS Tubes by Date Import'!F18</f>
        <v>0</v>
      </c>
      <c r="AT19" s="54">
        <f>'APS Tubes by Date Import'!G18</f>
        <v>0</v>
      </c>
      <c r="AU19" s="42"/>
    </row>
    <row r="20">
      <c r="B20" s="54"/>
      <c r="C20" s="54"/>
      <c r="D20" s="54"/>
      <c r="E20" s="54"/>
      <c r="F20" s="54"/>
      <c r="G20" s="54"/>
      <c r="H20" s="54"/>
      <c r="I20" s="54"/>
      <c r="J20" s="54"/>
      <c r="K20" s="54"/>
      <c r="L20" s="54"/>
      <c r="M20" s="54"/>
      <c r="N20" s="54"/>
      <c r="O20" s="61"/>
      <c r="P20" s="61"/>
      <c r="Q20" s="42"/>
      <c r="R20" s="7"/>
      <c r="S20" s="12">
        <v>44712.0</v>
      </c>
      <c r="T20" s="54"/>
      <c r="U20" s="54"/>
      <c r="V20" s="54"/>
      <c r="W20" s="54"/>
      <c r="X20" s="42"/>
      <c r="AA20" s="54"/>
      <c r="AB20" s="54"/>
      <c r="AC20" s="54"/>
      <c r="AD20" s="54"/>
      <c r="AE20" s="60"/>
      <c r="AF20" s="42"/>
      <c r="AH20" s="54"/>
      <c r="AI20" s="54"/>
      <c r="AJ20" s="54"/>
      <c r="AK20" s="54"/>
      <c r="AL20" s="54"/>
      <c r="AM20" s="54"/>
      <c r="AN20" s="42"/>
      <c r="AO20" s="12">
        <f>'APS Tubes by Date Import'!B19</f>
        <v>44837</v>
      </c>
      <c r="AP20" s="54">
        <f>'APS Tubes by Date Import'!C19</f>
        <v>1</v>
      </c>
      <c r="AQ20" s="54">
        <f>'APS Tubes by Date Import'!D19</f>
        <v>1</v>
      </c>
      <c r="AR20" s="54">
        <f>'APS Tubes by Date Import'!E19</f>
        <v>0</v>
      </c>
      <c r="AS20" s="54">
        <f>'APS Tubes by Date Import'!F19</f>
        <v>0</v>
      </c>
      <c r="AT20" s="54">
        <f>'APS Tubes by Date Import'!G19</f>
        <v>0</v>
      </c>
      <c r="AU20" s="42"/>
    </row>
    <row r="21">
      <c r="B21" s="54"/>
      <c r="C21" s="54"/>
      <c r="D21" s="54"/>
      <c r="E21" s="54"/>
      <c r="F21" s="54"/>
      <c r="G21" s="54"/>
      <c r="H21" s="54"/>
      <c r="I21" s="54"/>
      <c r="J21" s="54"/>
      <c r="K21" s="54"/>
      <c r="L21" s="54"/>
      <c r="M21" s="54"/>
      <c r="N21" s="54"/>
      <c r="O21" s="61"/>
      <c r="P21" s="61"/>
      <c r="Q21" s="42"/>
      <c r="R21" s="7"/>
      <c r="S21" s="12"/>
      <c r="T21" s="54"/>
      <c r="U21" s="54"/>
      <c r="V21" s="54"/>
      <c r="W21" s="54"/>
      <c r="X21" s="42"/>
      <c r="AA21" s="54"/>
      <c r="AB21" s="54"/>
      <c r="AC21" s="54"/>
      <c r="AD21" s="54"/>
      <c r="AE21" s="60"/>
      <c r="AF21" s="42"/>
      <c r="AH21" s="54"/>
      <c r="AI21" s="54"/>
      <c r="AJ21" s="54"/>
      <c r="AK21" s="54"/>
      <c r="AL21" s="54"/>
      <c r="AM21" s="54"/>
      <c r="AN21" s="42"/>
      <c r="AO21" s="7" t="str">
        <f>'APS Tubes by Date Import'!B20</f>
        <v/>
      </c>
      <c r="AP21" s="54" t="str">
        <f>'APS Tubes by Date Import'!C20</f>
        <v/>
      </c>
      <c r="AQ21" s="54" t="str">
        <f>'APS Tubes by Date Import'!D20</f>
        <v/>
      </c>
      <c r="AR21" s="54" t="str">
        <f>'APS Tubes by Date Import'!E20</f>
        <v/>
      </c>
      <c r="AS21" s="54" t="str">
        <f>'APS Tubes by Date Import'!F20</f>
        <v/>
      </c>
      <c r="AT21" s="54" t="str">
        <f>'APS Tubes by Date Import'!G20</f>
        <v/>
      </c>
      <c r="AU21" s="42"/>
    </row>
    <row r="22">
      <c r="B22" s="54"/>
      <c r="C22" s="54"/>
      <c r="D22" s="54"/>
      <c r="E22" s="54"/>
      <c r="F22" s="54"/>
      <c r="G22" s="54"/>
      <c r="H22" s="54"/>
      <c r="I22" s="54"/>
      <c r="J22" s="54"/>
      <c r="K22" s="54"/>
      <c r="L22" s="54"/>
      <c r="M22" s="54"/>
      <c r="N22" s="54"/>
      <c r="O22" s="61"/>
      <c r="P22" s="61"/>
      <c r="Q22" s="42"/>
      <c r="R22" s="7"/>
      <c r="S22" s="12"/>
      <c r="T22" s="54"/>
      <c r="U22" s="54"/>
      <c r="V22" s="54"/>
      <c r="W22" s="54"/>
      <c r="X22" s="42"/>
      <c r="AA22" s="54"/>
      <c r="AB22" s="54"/>
      <c r="AC22" s="54"/>
      <c r="AD22" s="54"/>
      <c r="AE22" s="60"/>
      <c r="AF22" s="42"/>
      <c r="AH22" s="54"/>
      <c r="AI22" s="54"/>
      <c r="AJ22" s="54"/>
      <c r="AK22" s="54"/>
      <c r="AL22" s="54"/>
      <c r="AM22" s="54"/>
      <c r="AN22" s="42"/>
      <c r="AO22" s="7" t="str">
        <f>'APS Tubes by Date Import'!B21</f>
        <v/>
      </c>
      <c r="AP22" s="54" t="str">
        <f>'APS Tubes by Date Import'!C21</f>
        <v/>
      </c>
      <c r="AQ22" s="54" t="str">
        <f>'APS Tubes by Date Import'!D21</f>
        <v/>
      </c>
      <c r="AR22" s="54" t="str">
        <f>'APS Tubes by Date Import'!E21</f>
        <v/>
      </c>
      <c r="AS22" s="54" t="str">
        <f>'APS Tubes by Date Import'!F21</f>
        <v/>
      </c>
      <c r="AT22" s="54" t="str">
        <f>'APS Tubes by Date Import'!G21</f>
        <v/>
      </c>
      <c r="AU22" s="42"/>
    </row>
    <row r="23">
      <c r="B23" s="54"/>
      <c r="C23" s="54"/>
      <c r="D23" s="54"/>
      <c r="E23" s="54"/>
      <c r="F23" s="54"/>
      <c r="G23" s="54"/>
      <c r="H23" s="54"/>
      <c r="I23" s="54"/>
      <c r="J23" s="54"/>
      <c r="K23" s="54"/>
      <c r="L23" s="54"/>
      <c r="M23" s="54"/>
      <c r="N23" s="54"/>
      <c r="O23" s="61"/>
      <c r="P23" s="61"/>
      <c r="Q23" s="42"/>
      <c r="R23" s="7"/>
      <c r="S23" s="12"/>
      <c r="T23" s="54"/>
      <c r="U23" s="54"/>
      <c r="V23" s="54"/>
      <c r="W23" s="54"/>
      <c r="X23" s="42"/>
      <c r="AA23" s="54"/>
      <c r="AB23" s="54"/>
      <c r="AC23" s="54"/>
      <c r="AD23" s="54"/>
      <c r="AE23" s="60"/>
      <c r="AF23" s="42"/>
      <c r="AH23" s="54"/>
      <c r="AI23" s="54"/>
      <c r="AJ23" s="54"/>
      <c r="AK23" s="54"/>
      <c r="AL23" s="54"/>
      <c r="AM23" s="54"/>
      <c r="AN23" s="42"/>
      <c r="AO23" s="7" t="str">
        <f>'APS Tubes by Date Import'!B22</f>
        <v/>
      </c>
      <c r="AP23" s="54" t="str">
        <f>'APS Tubes by Date Import'!C22</f>
        <v/>
      </c>
      <c r="AQ23" s="54" t="str">
        <f>'APS Tubes by Date Import'!D22</f>
        <v/>
      </c>
      <c r="AR23" s="54" t="str">
        <f>'APS Tubes by Date Import'!E22</f>
        <v/>
      </c>
      <c r="AS23" s="54" t="str">
        <f>'APS Tubes by Date Import'!F22</f>
        <v/>
      </c>
      <c r="AT23" s="54" t="str">
        <f>'APS Tubes by Date Import'!G22</f>
        <v/>
      </c>
      <c r="AU23" s="42"/>
    </row>
    <row r="24">
      <c r="B24" s="54"/>
      <c r="C24" s="54"/>
      <c r="D24" s="54"/>
      <c r="E24" s="54"/>
      <c r="F24" s="54"/>
      <c r="G24" s="54"/>
      <c r="H24" s="54"/>
      <c r="I24" s="54"/>
      <c r="J24" s="54"/>
      <c r="K24" s="54"/>
      <c r="L24" s="54"/>
      <c r="M24" s="54"/>
      <c r="N24" s="54"/>
      <c r="O24" s="61"/>
      <c r="P24" s="61"/>
      <c r="Q24" s="42"/>
      <c r="R24" s="7"/>
      <c r="S24" s="12"/>
      <c r="T24" s="54"/>
      <c r="U24" s="54"/>
      <c r="V24" s="54"/>
      <c r="W24" s="54"/>
      <c r="X24" s="42"/>
      <c r="AA24" s="54"/>
      <c r="AB24" s="54"/>
      <c r="AC24" s="54"/>
      <c r="AD24" s="54"/>
      <c r="AE24" s="60"/>
      <c r="AF24" s="42"/>
      <c r="AH24" s="54"/>
      <c r="AI24" s="54"/>
      <c r="AJ24" s="54"/>
      <c r="AK24" s="54"/>
      <c r="AL24" s="54"/>
      <c r="AM24" s="54"/>
      <c r="AN24" s="42"/>
      <c r="AO24" s="7" t="str">
        <f>'APS Tubes by Date Import'!B23</f>
        <v/>
      </c>
      <c r="AP24" s="54" t="str">
        <f>'APS Tubes by Date Import'!C23</f>
        <v/>
      </c>
      <c r="AQ24" s="54" t="str">
        <f>'APS Tubes by Date Import'!D23</f>
        <v/>
      </c>
      <c r="AR24" s="54" t="str">
        <f>'APS Tubes by Date Import'!E23</f>
        <v/>
      </c>
      <c r="AS24" s="54" t="str">
        <f>'APS Tubes by Date Import'!F23</f>
        <v/>
      </c>
      <c r="AT24" s="54" t="str">
        <f>'APS Tubes by Date Import'!G23</f>
        <v/>
      </c>
      <c r="AU24" s="42"/>
    </row>
    <row r="25">
      <c r="B25" s="54"/>
      <c r="C25" s="54"/>
      <c r="D25" s="54"/>
      <c r="E25" s="54"/>
      <c r="F25" s="54"/>
      <c r="G25" s="54"/>
      <c r="H25" s="54"/>
      <c r="I25" s="54"/>
      <c r="J25" s="54"/>
      <c r="K25" s="54"/>
      <c r="L25" s="54"/>
      <c r="M25" s="54"/>
      <c r="N25" s="54"/>
      <c r="O25" s="61"/>
      <c r="P25" s="61"/>
      <c r="Q25" s="42"/>
      <c r="R25" s="7"/>
      <c r="S25" s="12"/>
      <c r="T25" s="54"/>
      <c r="U25" s="54"/>
      <c r="V25" s="54"/>
      <c r="W25" s="54"/>
      <c r="X25" s="42"/>
      <c r="AA25" s="54"/>
      <c r="AB25" s="54"/>
      <c r="AC25" s="54"/>
      <c r="AD25" s="54"/>
      <c r="AE25" s="60"/>
      <c r="AF25" s="42"/>
      <c r="AH25" s="54"/>
      <c r="AI25" s="54"/>
      <c r="AJ25" s="54"/>
      <c r="AK25" s="54"/>
      <c r="AL25" s="54"/>
      <c r="AM25" s="54"/>
      <c r="AN25" s="42"/>
      <c r="AO25" s="7" t="str">
        <f>'APS Tubes by Date Import'!B24</f>
        <v/>
      </c>
      <c r="AP25" s="54" t="str">
        <f>'APS Tubes by Date Import'!C24</f>
        <v/>
      </c>
      <c r="AQ25" s="54" t="str">
        <f>'APS Tubes by Date Import'!D24</f>
        <v/>
      </c>
      <c r="AR25" s="54" t="str">
        <f>'APS Tubes by Date Import'!E24</f>
        <v/>
      </c>
      <c r="AS25" s="54" t="str">
        <f>'APS Tubes by Date Import'!F24</f>
        <v/>
      </c>
      <c r="AT25" s="54" t="str">
        <f>'APS Tubes by Date Import'!G24</f>
        <v/>
      </c>
      <c r="AU25" s="42"/>
    </row>
    <row r="26">
      <c r="B26" s="54"/>
      <c r="C26" s="54"/>
      <c r="D26" s="54"/>
      <c r="E26" s="54"/>
      <c r="F26" s="54"/>
      <c r="G26" s="54"/>
      <c r="H26" s="54"/>
      <c r="I26" s="54"/>
      <c r="J26" s="54"/>
      <c r="K26" s="54"/>
      <c r="L26" s="54"/>
      <c r="M26" s="54"/>
      <c r="N26" s="54"/>
      <c r="O26" s="61"/>
      <c r="P26" s="61"/>
      <c r="Q26" s="42"/>
      <c r="R26" s="7"/>
      <c r="S26" s="12"/>
      <c r="T26" s="54"/>
      <c r="U26" s="54"/>
      <c r="V26" s="54"/>
      <c r="W26" s="54"/>
      <c r="X26" s="42"/>
      <c r="AA26" s="54"/>
      <c r="AB26" s="54"/>
      <c r="AC26" s="54"/>
      <c r="AD26" s="54"/>
      <c r="AE26" s="60"/>
      <c r="AF26" s="42"/>
      <c r="AH26" s="54"/>
      <c r="AI26" s="54"/>
      <c r="AJ26" s="54"/>
      <c r="AK26" s="54"/>
      <c r="AL26" s="54"/>
      <c r="AM26" s="54"/>
      <c r="AN26" s="42"/>
      <c r="AO26" s="7" t="str">
        <f>'APS Tubes by Date Import'!B25</f>
        <v/>
      </c>
      <c r="AP26" s="54" t="str">
        <f>'APS Tubes by Date Import'!C25</f>
        <v/>
      </c>
      <c r="AQ26" s="54" t="str">
        <f>'APS Tubes by Date Import'!D25</f>
        <v/>
      </c>
      <c r="AR26" s="54" t="str">
        <f>'APS Tubes by Date Import'!E25</f>
        <v/>
      </c>
      <c r="AS26" s="54" t="str">
        <f>'APS Tubes by Date Import'!F25</f>
        <v/>
      </c>
      <c r="AT26" s="54" t="str">
        <f>'APS Tubes by Date Import'!G25</f>
        <v/>
      </c>
      <c r="AU26" s="42"/>
    </row>
    <row r="27">
      <c r="B27" s="54"/>
      <c r="C27" s="54"/>
      <c r="D27" s="54"/>
      <c r="E27" s="54"/>
      <c r="F27" s="54"/>
      <c r="G27" s="54"/>
      <c r="H27" s="54"/>
      <c r="I27" s="54"/>
      <c r="J27" s="54"/>
      <c r="K27" s="54"/>
      <c r="L27" s="54"/>
      <c r="M27" s="54"/>
      <c r="N27" s="54"/>
      <c r="O27" s="61"/>
      <c r="P27" s="61"/>
      <c r="Q27" s="42"/>
      <c r="R27" s="7"/>
      <c r="S27" s="12"/>
      <c r="T27" s="54"/>
      <c r="U27" s="54"/>
      <c r="V27" s="54"/>
      <c r="W27" s="54"/>
      <c r="X27" s="42"/>
      <c r="AA27" s="54"/>
      <c r="AB27" s="54"/>
      <c r="AC27" s="54"/>
      <c r="AD27" s="54"/>
      <c r="AE27" s="60"/>
      <c r="AF27" s="42"/>
      <c r="AH27" s="54"/>
      <c r="AI27" s="54"/>
      <c r="AJ27" s="54"/>
      <c r="AK27" s="54"/>
      <c r="AL27" s="54"/>
      <c r="AM27" s="54"/>
      <c r="AN27" s="42"/>
      <c r="AO27" s="7" t="str">
        <f>'APS Tubes by Date Import'!B26</f>
        <v/>
      </c>
      <c r="AP27" s="54" t="str">
        <f>'APS Tubes by Date Import'!C26</f>
        <v/>
      </c>
      <c r="AQ27" s="54" t="str">
        <f>'APS Tubes by Date Import'!D26</f>
        <v/>
      </c>
      <c r="AR27" s="54" t="str">
        <f>'APS Tubes by Date Import'!E26</f>
        <v/>
      </c>
      <c r="AS27" s="54" t="str">
        <f>'APS Tubes by Date Import'!F26</f>
        <v/>
      </c>
      <c r="AT27" s="54" t="str">
        <f>'APS Tubes by Date Import'!G26</f>
        <v/>
      </c>
      <c r="AU27" s="42"/>
    </row>
    <row r="28">
      <c r="B28" s="54"/>
      <c r="C28" s="54"/>
      <c r="D28" s="54"/>
      <c r="E28" s="54"/>
      <c r="F28" s="54"/>
      <c r="G28" s="54"/>
      <c r="H28" s="54"/>
      <c r="I28" s="54"/>
      <c r="J28" s="54"/>
      <c r="K28" s="54"/>
      <c r="L28" s="54"/>
      <c r="M28" s="54"/>
      <c r="N28" s="54"/>
      <c r="O28" s="61"/>
      <c r="P28" s="61"/>
      <c r="Q28" s="42"/>
      <c r="R28" s="7"/>
      <c r="S28" s="12"/>
      <c r="T28" s="54"/>
      <c r="U28" s="54"/>
      <c r="V28" s="54"/>
      <c r="W28" s="54"/>
      <c r="X28" s="42"/>
      <c r="AA28" s="54"/>
      <c r="AB28" s="54"/>
      <c r="AC28" s="54"/>
      <c r="AD28" s="54"/>
      <c r="AE28" s="60"/>
      <c r="AF28" s="42"/>
      <c r="AH28" s="54"/>
      <c r="AI28" s="54"/>
      <c r="AJ28" s="54"/>
      <c r="AK28" s="54"/>
      <c r="AL28" s="54"/>
      <c r="AM28" s="54"/>
      <c r="AN28" s="42"/>
      <c r="AO28" s="7" t="str">
        <f>'APS Tubes by Date Import'!B27</f>
        <v/>
      </c>
      <c r="AP28" s="54" t="str">
        <f>'APS Tubes by Date Import'!C27</f>
        <v/>
      </c>
      <c r="AQ28" s="54" t="str">
        <f>'APS Tubes by Date Import'!D27</f>
        <v/>
      </c>
      <c r="AR28" s="54" t="str">
        <f>'APS Tubes by Date Import'!E27</f>
        <v/>
      </c>
      <c r="AS28" s="54" t="str">
        <f>'APS Tubes by Date Import'!F27</f>
        <v/>
      </c>
      <c r="AT28" s="54" t="str">
        <f>'APS Tubes by Date Import'!G27</f>
        <v/>
      </c>
      <c r="AU28" s="42"/>
    </row>
    <row r="29">
      <c r="B29" s="54"/>
      <c r="C29" s="54"/>
      <c r="D29" s="54"/>
      <c r="E29" s="54"/>
      <c r="F29" s="54"/>
      <c r="G29" s="54"/>
      <c r="H29" s="54"/>
      <c r="I29" s="54"/>
      <c r="J29" s="54"/>
      <c r="K29" s="54"/>
      <c r="L29" s="54"/>
      <c r="M29" s="54"/>
      <c r="N29" s="54"/>
      <c r="O29" s="61"/>
      <c r="P29" s="61"/>
      <c r="Q29" s="42"/>
      <c r="R29" s="7"/>
      <c r="S29" s="12"/>
      <c r="T29" s="54"/>
      <c r="U29" s="54"/>
      <c r="V29" s="54"/>
      <c r="W29" s="54"/>
      <c r="X29" s="42"/>
      <c r="AA29" s="54"/>
      <c r="AB29" s="54"/>
      <c r="AC29" s="54"/>
      <c r="AD29" s="54"/>
      <c r="AE29" s="60"/>
      <c r="AF29" s="42"/>
      <c r="AH29" s="54"/>
      <c r="AI29" s="54"/>
      <c r="AJ29" s="54"/>
      <c r="AK29" s="54"/>
      <c r="AL29" s="54"/>
      <c r="AM29" s="54"/>
      <c r="AN29" s="42"/>
      <c r="AO29" s="7" t="str">
        <f>'APS Tubes by Date Import'!B28</f>
        <v/>
      </c>
      <c r="AP29" s="54" t="str">
        <f>'APS Tubes by Date Import'!C28</f>
        <v/>
      </c>
      <c r="AQ29" s="54" t="str">
        <f>'APS Tubes by Date Import'!D28</f>
        <v/>
      </c>
      <c r="AR29" s="54" t="str">
        <f>'APS Tubes by Date Import'!E28</f>
        <v/>
      </c>
      <c r="AS29" s="54" t="str">
        <f>'APS Tubes by Date Import'!F28</f>
        <v/>
      </c>
      <c r="AT29" s="54" t="str">
        <f>'APS Tubes by Date Import'!G28</f>
        <v/>
      </c>
      <c r="AU29" s="42"/>
    </row>
    <row r="30">
      <c r="B30" s="54"/>
      <c r="C30" s="54"/>
      <c r="D30" s="54"/>
      <c r="E30" s="54"/>
      <c r="F30" s="54"/>
      <c r="G30" s="54"/>
      <c r="H30" s="54"/>
      <c r="I30" s="54"/>
      <c r="J30" s="54"/>
      <c r="K30" s="54"/>
      <c r="L30" s="54"/>
      <c r="M30" s="54"/>
      <c r="N30" s="54"/>
      <c r="O30" s="61"/>
      <c r="P30" s="61"/>
      <c r="Q30" s="42"/>
      <c r="R30" s="7"/>
      <c r="S30" s="12"/>
      <c r="T30" s="54"/>
      <c r="U30" s="54"/>
      <c r="V30" s="54"/>
      <c r="W30" s="54"/>
      <c r="X30" s="42"/>
      <c r="AA30" s="54"/>
      <c r="AB30" s="54"/>
      <c r="AC30" s="54"/>
      <c r="AD30" s="54"/>
      <c r="AE30" s="60"/>
      <c r="AF30" s="42"/>
      <c r="AH30" s="54"/>
      <c r="AI30" s="54"/>
      <c r="AJ30" s="54"/>
      <c r="AK30" s="54"/>
      <c r="AL30" s="54"/>
      <c r="AM30" s="54"/>
      <c r="AN30" s="42"/>
      <c r="AO30" s="7" t="str">
        <f>'APS Tubes by Date Import'!B29</f>
        <v/>
      </c>
      <c r="AP30" s="54" t="str">
        <f>'APS Tubes by Date Import'!C29</f>
        <v/>
      </c>
      <c r="AQ30" s="54" t="str">
        <f>'APS Tubes by Date Import'!D29</f>
        <v/>
      </c>
      <c r="AR30" s="54" t="str">
        <f>'APS Tubes by Date Import'!E29</f>
        <v/>
      </c>
      <c r="AS30" s="54" t="str">
        <f>'APS Tubes by Date Import'!F29</f>
        <v/>
      </c>
      <c r="AT30" s="54" t="str">
        <f>'APS Tubes by Date Import'!G29</f>
        <v/>
      </c>
      <c r="AU30" s="42"/>
    </row>
    <row r="31">
      <c r="B31" s="54"/>
      <c r="C31" s="54"/>
      <c r="D31" s="54"/>
      <c r="E31" s="54"/>
      <c r="F31" s="54"/>
      <c r="G31" s="54"/>
      <c r="H31" s="54"/>
      <c r="I31" s="54"/>
      <c r="J31" s="54"/>
      <c r="K31" s="54"/>
      <c r="L31" s="54"/>
      <c r="M31" s="54"/>
      <c r="N31" s="54"/>
      <c r="O31" s="61"/>
      <c r="P31" s="61"/>
      <c r="Q31" s="42"/>
      <c r="R31" s="7"/>
      <c r="S31" s="12"/>
      <c r="T31" s="54"/>
      <c r="U31" s="54"/>
      <c r="V31" s="54"/>
      <c r="W31" s="54"/>
      <c r="X31" s="42"/>
      <c r="AA31" s="54"/>
      <c r="AB31" s="54"/>
      <c r="AC31" s="54"/>
      <c r="AD31" s="54"/>
      <c r="AE31" s="60"/>
      <c r="AF31" s="42"/>
      <c r="AH31" s="54"/>
      <c r="AI31" s="54"/>
      <c r="AJ31" s="54"/>
      <c r="AK31" s="54"/>
      <c r="AL31" s="54"/>
      <c r="AM31" s="54"/>
      <c r="AN31" s="42"/>
      <c r="AO31" s="7" t="str">
        <f>'APS Tubes by Date Import'!B30</f>
        <v/>
      </c>
      <c r="AP31" s="54" t="str">
        <f>'APS Tubes by Date Import'!C30</f>
        <v/>
      </c>
      <c r="AQ31" s="54" t="str">
        <f>'APS Tubes by Date Import'!D30</f>
        <v/>
      </c>
      <c r="AR31" s="54" t="str">
        <f>'APS Tubes by Date Import'!E30</f>
        <v/>
      </c>
      <c r="AS31" s="54" t="str">
        <f>'APS Tubes by Date Import'!F30</f>
        <v/>
      </c>
      <c r="AT31" s="54" t="str">
        <f>'APS Tubes by Date Import'!G30</f>
        <v/>
      </c>
      <c r="AU31" s="42"/>
    </row>
    <row r="32">
      <c r="B32" s="54"/>
      <c r="C32" s="54"/>
      <c r="D32" s="54"/>
      <c r="E32" s="54"/>
      <c r="F32" s="54"/>
      <c r="G32" s="54"/>
      <c r="H32" s="54"/>
      <c r="I32" s="54"/>
      <c r="J32" s="54"/>
      <c r="K32" s="54"/>
      <c r="L32" s="54"/>
      <c r="M32" s="54"/>
      <c r="N32" s="54"/>
      <c r="O32" s="61"/>
      <c r="P32" s="61"/>
      <c r="Q32" s="42"/>
      <c r="R32" s="7"/>
      <c r="S32" s="12"/>
      <c r="T32" s="54"/>
      <c r="U32" s="54"/>
      <c r="V32" s="54"/>
      <c r="W32" s="54"/>
      <c r="X32" s="42"/>
      <c r="AA32" s="54"/>
      <c r="AB32" s="54"/>
      <c r="AC32" s="54"/>
      <c r="AD32" s="54"/>
      <c r="AE32" s="60"/>
      <c r="AF32" s="42"/>
      <c r="AH32" s="54"/>
      <c r="AI32" s="54"/>
      <c r="AJ32" s="54"/>
      <c r="AK32" s="54"/>
      <c r="AL32" s="54"/>
      <c r="AM32" s="54"/>
      <c r="AN32" s="42"/>
      <c r="AO32" s="7" t="str">
        <f>'APS Tubes by Date Import'!B31</f>
        <v/>
      </c>
      <c r="AP32" s="54" t="str">
        <f>'APS Tubes by Date Import'!C31</f>
        <v/>
      </c>
      <c r="AQ32" s="54" t="str">
        <f>'APS Tubes by Date Import'!D31</f>
        <v/>
      </c>
      <c r="AR32" s="54" t="str">
        <f>'APS Tubes by Date Import'!E31</f>
        <v/>
      </c>
      <c r="AS32" s="54" t="str">
        <f>'APS Tubes by Date Import'!F31</f>
        <v/>
      </c>
      <c r="AT32" s="54" t="str">
        <f>'APS Tubes by Date Import'!G31</f>
        <v/>
      </c>
      <c r="AU32" s="42"/>
    </row>
    <row r="33">
      <c r="B33" s="54"/>
      <c r="C33" s="54"/>
      <c r="D33" s="54"/>
      <c r="E33" s="54"/>
      <c r="F33" s="54"/>
      <c r="G33" s="54"/>
      <c r="H33" s="54"/>
      <c r="I33" s="54"/>
      <c r="J33" s="54"/>
      <c r="K33" s="54"/>
      <c r="L33" s="54"/>
      <c r="M33" s="54"/>
      <c r="N33" s="54"/>
      <c r="O33" s="61"/>
      <c r="P33" s="61"/>
      <c r="Q33" s="42"/>
      <c r="R33" s="7"/>
      <c r="S33" s="12"/>
      <c r="T33" s="54"/>
      <c r="U33" s="54"/>
      <c r="V33" s="54"/>
      <c r="W33" s="54"/>
      <c r="X33" s="42"/>
      <c r="AA33" s="54"/>
      <c r="AB33" s="54"/>
      <c r="AC33" s="54"/>
      <c r="AD33" s="54"/>
      <c r="AE33" s="60"/>
      <c r="AF33" s="42"/>
      <c r="AH33" s="54"/>
      <c r="AI33" s="54"/>
      <c r="AJ33" s="54"/>
      <c r="AK33" s="54"/>
      <c r="AL33" s="54"/>
      <c r="AM33" s="54"/>
      <c r="AN33" s="42"/>
      <c r="AO33" s="7" t="str">
        <f>'APS Tubes by Date Import'!B32</f>
        <v/>
      </c>
      <c r="AP33" s="54" t="str">
        <f>'APS Tubes by Date Import'!C32</f>
        <v/>
      </c>
      <c r="AQ33" s="54" t="str">
        <f>'APS Tubes by Date Import'!D32</f>
        <v/>
      </c>
      <c r="AR33" s="54" t="str">
        <f>'APS Tubes by Date Import'!E32</f>
        <v/>
      </c>
      <c r="AS33" s="54" t="str">
        <f>'APS Tubes by Date Import'!F32</f>
        <v/>
      </c>
      <c r="AT33" s="54" t="str">
        <f>'APS Tubes by Date Import'!G32</f>
        <v/>
      </c>
      <c r="AU33" s="42"/>
    </row>
    <row r="34">
      <c r="B34" s="54"/>
      <c r="C34" s="54"/>
      <c r="D34" s="54"/>
      <c r="E34" s="54"/>
      <c r="F34" s="54"/>
      <c r="G34" s="54"/>
      <c r="H34" s="54"/>
      <c r="I34" s="54"/>
      <c r="J34" s="54"/>
      <c r="K34" s="54"/>
      <c r="L34" s="54"/>
      <c r="M34" s="54"/>
      <c r="N34" s="54"/>
      <c r="O34" s="61"/>
      <c r="P34" s="61"/>
      <c r="Q34" s="42"/>
      <c r="R34" s="7"/>
      <c r="S34" s="12"/>
      <c r="T34" s="54"/>
      <c r="U34" s="54"/>
      <c r="V34" s="54"/>
      <c r="W34" s="54"/>
      <c r="X34" s="42"/>
      <c r="AA34" s="54"/>
      <c r="AB34" s="54"/>
      <c r="AC34" s="54"/>
      <c r="AD34" s="54"/>
      <c r="AE34" s="60"/>
      <c r="AF34" s="42"/>
      <c r="AH34" s="54"/>
      <c r="AI34" s="54"/>
      <c r="AJ34" s="54"/>
      <c r="AK34" s="54"/>
      <c r="AL34" s="54"/>
      <c r="AM34" s="54"/>
      <c r="AN34" s="42"/>
      <c r="AO34" s="7" t="str">
        <f>'APS Tubes by Date Import'!B33</f>
        <v/>
      </c>
      <c r="AP34" s="54" t="str">
        <f>'APS Tubes by Date Import'!C33</f>
        <v/>
      </c>
      <c r="AQ34" s="54" t="str">
        <f>'APS Tubes by Date Import'!D33</f>
        <v/>
      </c>
      <c r="AR34" s="54" t="str">
        <f>'APS Tubes by Date Import'!E33</f>
        <v/>
      </c>
      <c r="AS34" s="54" t="str">
        <f>'APS Tubes by Date Import'!F33</f>
        <v/>
      </c>
      <c r="AT34" s="54" t="str">
        <f>'APS Tubes by Date Import'!G33</f>
        <v/>
      </c>
      <c r="AU34" s="42"/>
    </row>
    <row r="35">
      <c r="B35" s="54"/>
      <c r="C35" s="54"/>
      <c r="D35" s="54"/>
      <c r="E35" s="54"/>
      <c r="F35" s="54"/>
      <c r="G35" s="54"/>
      <c r="H35" s="54"/>
      <c r="I35" s="54"/>
      <c r="J35" s="54"/>
      <c r="K35" s="54"/>
      <c r="L35" s="54"/>
      <c r="M35" s="54"/>
      <c r="N35" s="54"/>
      <c r="O35" s="61"/>
      <c r="P35" s="61"/>
      <c r="Q35" s="42"/>
      <c r="R35" s="7"/>
      <c r="S35" s="12"/>
      <c r="T35" s="54"/>
      <c r="U35" s="54"/>
      <c r="V35" s="54"/>
      <c r="W35" s="54"/>
      <c r="X35" s="42"/>
      <c r="AA35" s="54"/>
      <c r="AB35" s="54"/>
      <c r="AC35" s="54"/>
      <c r="AD35" s="54"/>
      <c r="AE35" s="60"/>
      <c r="AF35" s="42"/>
      <c r="AH35" s="54"/>
      <c r="AI35" s="54"/>
      <c r="AJ35" s="54"/>
      <c r="AK35" s="54"/>
      <c r="AL35" s="54"/>
      <c r="AM35" s="54"/>
      <c r="AN35" s="42"/>
      <c r="AO35" s="7" t="str">
        <f>'APS Tubes by Date Import'!B34</f>
        <v/>
      </c>
      <c r="AP35" s="54" t="str">
        <f>'APS Tubes by Date Import'!C34</f>
        <v/>
      </c>
      <c r="AQ35" s="54" t="str">
        <f>'APS Tubes by Date Import'!D34</f>
        <v/>
      </c>
      <c r="AR35" s="54" t="str">
        <f>'APS Tubes by Date Import'!E34</f>
        <v/>
      </c>
      <c r="AS35" s="54" t="str">
        <f>'APS Tubes by Date Import'!F34</f>
        <v/>
      </c>
      <c r="AT35" s="54" t="str">
        <f>'APS Tubes by Date Import'!G34</f>
        <v/>
      </c>
      <c r="AU35" s="42"/>
    </row>
    <row r="36">
      <c r="B36" s="54"/>
      <c r="C36" s="54"/>
      <c r="D36" s="54"/>
      <c r="E36" s="54"/>
      <c r="F36" s="54"/>
      <c r="G36" s="54"/>
      <c r="H36" s="54"/>
      <c r="I36" s="54"/>
      <c r="J36" s="54"/>
      <c r="K36" s="54"/>
      <c r="L36" s="54"/>
      <c r="M36" s="54"/>
      <c r="N36" s="54"/>
      <c r="O36" s="61"/>
      <c r="P36" s="61"/>
      <c r="Q36" s="42"/>
      <c r="R36" s="7"/>
      <c r="S36" s="12"/>
      <c r="T36" s="54"/>
      <c r="U36" s="54"/>
      <c r="V36" s="54"/>
      <c r="W36" s="54"/>
      <c r="X36" s="42"/>
      <c r="AA36" s="54"/>
      <c r="AB36" s="54"/>
      <c r="AC36" s="54"/>
      <c r="AD36" s="54"/>
      <c r="AE36" s="60"/>
      <c r="AF36" s="42"/>
      <c r="AH36" s="54"/>
      <c r="AI36" s="54"/>
      <c r="AJ36" s="54"/>
      <c r="AK36" s="54"/>
      <c r="AL36" s="54"/>
      <c r="AM36" s="54"/>
      <c r="AN36" s="42"/>
      <c r="AO36" s="7" t="str">
        <f>'APS Tubes by Date Import'!B35</f>
        <v/>
      </c>
      <c r="AP36" s="54" t="str">
        <f>'APS Tubes by Date Import'!C35</f>
        <v/>
      </c>
      <c r="AQ36" s="54" t="str">
        <f>'APS Tubes by Date Import'!D35</f>
        <v/>
      </c>
      <c r="AR36" s="54" t="str">
        <f>'APS Tubes by Date Import'!E35</f>
        <v/>
      </c>
      <c r="AS36" s="54" t="str">
        <f>'APS Tubes by Date Import'!F35</f>
        <v/>
      </c>
      <c r="AT36" s="54" t="str">
        <f>'APS Tubes by Date Import'!G35</f>
        <v/>
      </c>
      <c r="AU36" s="42"/>
    </row>
    <row r="37">
      <c r="B37" s="54"/>
      <c r="C37" s="54"/>
      <c r="D37" s="54"/>
      <c r="E37" s="54"/>
      <c r="F37" s="54"/>
      <c r="G37" s="54"/>
      <c r="H37" s="54"/>
      <c r="I37" s="54"/>
      <c r="J37" s="54"/>
      <c r="K37" s="54"/>
      <c r="L37" s="54"/>
      <c r="M37" s="54"/>
      <c r="N37" s="54"/>
      <c r="O37" s="61"/>
      <c r="P37" s="61"/>
      <c r="Q37" s="42"/>
      <c r="R37" s="7"/>
      <c r="S37" s="12"/>
      <c r="T37" s="54"/>
      <c r="U37" s="54"/>
      <c r="V37" s="54"/>
      <c r="W37" s="54"/>
      <c r="X37" s="42"/>
      <c r="AA37" s="54"/>
      <c r="AB37" s="54"/>
      <c r="AC37" s="54"/>
      <c r="AD37" s="54"/>
      <c r="AE37" s="60"/>
      <c r="AF37" s="42"/>
      <c r="AH37" s="54"/>
      <c r="AI37" s="54"/>
      <c r="AJ37" s="54"/>
      <c r="AK37" s="54"/>
      <c r="AL37" s="54"/>
      <c r="AM37" s="54"/>
      <c r="AN37" s="42"/>
      <c r="AO37" s="7" t="str">
        <f>'APS Tubes by Date Import'!B36</f>
        <v/>
      </c>
      <c r="AP37" s="54" t="str">
        <f>'APS Tubes by Date Import'!C36</f>
        <v/>
      </c>
      <c r="AQ37" s="54" t="str">
        <f>'APS Tubes by Date Import'!D36</f>
        <v/>
      </c>
      <c r="AR37" s="54" t="str">
        <f>'APS Tubes by Date Import'!E36</f>
        <v/>
      </c>
      <c r="AS37" s="54" t="str">
        <f>'APS Tubes by Date Import'!F36</f>
        <v/>
      </c>
      <c r="AT37" s="54" t="str">
        <f>'APS Tubes by Date Import'!G36</f>
        <v/>
      </c>
      <c r="AU37" s="42"/>
    </row>
    <row r="38">
      <c r="B38" s="54"/>
      <c r="C38" s="54"/>
      <c r="D38" s="54"/>
      <c r="E38" s="54"/>
      <c r="F38" s="54"/>
      <c r="G38" s="54"/>
      <c r="H38" s="54"/>
      <c r="I38" s="54"/>
      <c r="J38" s="54"/>
      <c r="K38" s="54"/>
      <c r="L38" s="54"/>
      <c r="M38" s="54"/>
      <c r="N38" s="54"/>
      <c r="O38" s="61"/>
      <c r="P38" s="61"/>
      <c r="Q38" s="42"/>
      <c r="R38" s="7"/>
      <c r="S38" s="12"/>
      <c r="T38" s="54"/>
      <c r="U38" s="54"/>
      <c r="V38" s="54"/>
      <c r="W38" s="54"/>
      <c r="X38" s="42"/>
      <c r="AA38" s="54"/>
      <c r="AB38" s="54"/>
      <c r="AC38" s="54"/>
      <c r="AD38" s="54"/>
      <c r="AE38" s="60"/>
      <c r="AF38" s="42"/>
      <c r="AH38" s="54"/>
      <c r="AI38" s="54"/>
      <c r="AJ38" s="54"/>
      <c r="AK38" s="54"/>
      <c r="AL38" s="54"/>
      <c r="AM38" s="54"/>
      <c r="AN38" s="42"/>
      <c r="AO38" s="7" t="str">
        <f>'APS Tubes by Date Import'!B37</f>
        <v/>
      </c>
      <c r="AP38" s="54" t="str">
        <f>'APS Tubes by Date Import'!C37</f>
        <v/>
      </c>
      <c r="AQ38" s="54" t="str">
        <f>'APS Tubes by Date Import'!D37</f>
        <v/>
      </c>
      <c r="AR38" s="54" t="str">
        <f>'APS Tubes by Date Import'!E37</f>
        <v/>
      </c>
      <c r="AS38" s="54" t="str">
        <f>'APS Tubes by Date Import'!F37</f>
        <v/>
      </c>
      <c r="AT38" s="54" t="str">
        <f>'APS Tubes by Date Import'!G37</f>
        <v/>
      </c>
      <c r="AU38" s="42"/>
    </row>
    <row r="39">
      <c r="B39" s="54"/>
      <c r="C39" s="54"/>
      <c r="D39" s="54"/>
      <c r="E39" s="54"/>
      <c r="F39" s="54"/>
      <c r="G39" s="54"/>
      <c r="H39" s="54"/>
      <c r="I39" s="54"/>
      <c r="J39" s="54"/>
      <c r="K39" s="54"/>
      <c r="L39" s="54"/>
      <c r="M39" s="54"/>
      <c r="N39" s="54"/>
      <c r="O39" s="61"/>
      <c r="P39" s="61"/>
      <c r="Q39" s="42"/>
      <c r="R39" s="7"/>
      <c r="S39" s="12"/>
      <c r="T39" s="54"/>
      <c r="U39" s="54"/>
      <c r="V39" s="54"/>
      <c r="W39" s="54"/>
      <c r="X39" s="42"/>
      <c r="AA39" s="54"/>
      <c r="AB39" s="54"/>
      <c r="AC39" s="54"/>
      <c r="AD39" s="54"/>
      <c r="AE39" s="60"/>
      <c r="AF39" s="42"/>
      <c r="AH39" s="54"/>
      <c r="AI39" s="54"/>
      <c r="AJ39" s="54"/>
      <c r="AK39" s="54"/>
      <c r="AL39" s="54"/>
      <c r="AM39" s="54"/>
      <c r="AN39" s="42"/>
      <c r="AO39" s="7" t="str">
        <f>'APS Tubes by Date Import'!B38</f>
        <v/>
      </c>
      <c r="AP39" s="54" t="str">
        <f>'APS Tubes by Date Import'!C38</f>
        <v/>
      </c>
      <c r="AQ39" s="54" t="str">
        <f>'APS Tubes by Date Import'!D38</f>
        <v/>
      </c>
      <c r="AR39" s="54" t="str">
        <f>'APS Tubes by Date Import'!E38</f>
        <v/>
      </c>
      <c r="AS39" s="54" t="str">
        <f>'APS Tubes by Date Import'!F38</f>
        <v/>
      </c>
      <c r="AT39" s="54" t="str">
        <f>'APS Tubes by Date Import'!G38</f>
        <v/>
      </c>
      <c r="AU39" s="42"/>
    </row>
    <row r="40">
      <c r="B40" s="54"/>
      <c r="C40" s="54"/>
      <c r="D40" s="54"/>
      <c r="E40" s="54"/>
      <c r="F40" s="54"/>
      <c r="G40" s="54"/>
      <c r="H40" s="54"/>
      <c r="I40" s="54"/>
      <c r="J40" s="54"/>
      <c r="K40" s="54"/>
      <c r="L40" s="54"/>
      <c r="M40" s="54"/>
      <c r="N40" s="54"/>
      <c r="O40" s="61"/>
      <c r="P40" s="61"/>
      <c r="Q40" s="42"/>
      <c r="R40" s="7"/>
      <c r="S40" s="12"/>
      <c r="T40" s="54"/>
      <c r="U40" s="54"/>
      <c r="V40" s="54"/>
      <c r="W40" s="54"/>
      <c r="X40" s="42"/>
      <c r="AA40" s="54"/>
      <c r="AB40" s="54"/>
      <c r="AC40" s="54"/>
      <c r="AD40" s="54"/>
      <c r="AE40" s="60"/>
      <c r="AF40" s="42"/>
      <c r="AH40" s="54"/>
      <c r="AI40" s="54"/>
      <c r="AJ40" s="54"/>
      <c r="AK40" s="54"/>
      <c r="AL40" s="54"/>
      <c r="AM40" s="54"/>
      <c r="AN40" s="42"/>
      <c r="AO40" s="7" t="str">
        <f>'APS Tubes by Date Import'!B39</f>
        <v/>
      </c>
      <c r="AP40" s="54" t="str">
        <f>'APS Tubes by Date Import'!C39</f>
        <v/>
      </c>
      <c r="AQ40" s="54" t="str">
        <f>'APS Tubes by Date Import'!D39</f>
        <v/>
      </c>
      <c r="AR40" s="54" t="str">
        <f>'APS Tubes by Date Import'!E39</f>
        <v/>
      </c>
      <c r="AS40" s="54" t="str">
        <f>'APS Tubes by Date Import'!F39</f>
        <v/>
      </c>
      <c r="AT40" s="54" t="str">
        <f>'APS Tubes by Date Import'!G39</f>
        <v/>
      </c>
      <c r="AU40" s="42"/>
    </row>
    <row r="41">
      <c r="B41" s="54"/>
      <c r="C41" s="54"/>
      <c r="D41" s="54"/>
      <c r="E41" s="54"/>
      <c r="F41" s="54"/>
      <c r="G41" s="54"/>
      <c r="H41" s="54"/>
      <c r="I41" s="54"/>
      <c r="J41" s="54"/>
      <c r="K41" s="54"/>
      <c r="L41" s="54"/>
      <c r="M41" s="54"/>
      <c r="N41" s="54"/>
      <c r="O41" s="61"/>
      <c r="P41" s="61"/>
      <c r="Q41" s="42"/>
      <c r="R41" s="7"/>
      <c r="S41" s="12"/>
      <c r="T41" s="54"/>
      <c r="U41" s="54"/>
      <c r="V41" s="54"/>
      <c r="W41" s="54"/>
      <c r="X41" s="42"/>
      <c r="AA41" s="54"/>
      <c r="AB41" s="54"/>
      <c r="AC41" s="54"/>
      <c r="AD41" s="54"/>
      <c r="AE41" s="60"/>
      <c r="AF41" s="42"/>
      <c r="AH41" s="54"/>
      <c r="AI41" s="54"/>
      <c r="AJ41" s="54"/>
      <c r="AK41" s="54"/>
      <c r="AL41" s="54"/>
      <c r="AM41" s="54"/>
      <c r="AN41" s="42"/>
      <c r="AO41" s="7" t="str">
        <f>'APS Tubes by Date Import'!B40</f>
        <v/>
      </c>
      <c r="AP41" s="54" t="str">
        <f>'APS Tubes by Date Import'!C40</f>
        <v/>
      </c>
      <c r="AQ41" s="54" t="str">
        <f>'APS Tubes by Date Import'!D40</f>
        <v/>
      </c>
      <c r="AR41" s="54" t="str">
        <f>'APS Tubes by Date Import'!E40</f>
        <v/>
      </c>
      <c r="AS41" s="54" t="str">
        <f>'APS Tubes by Date Import'!F40</f>
        <v/>
      </c>
      <c r="AT41" s="54" t="str">
        <f>'APS Tubes by Date Import'!G40</f>
        <v/>
      </c>
      <c r="AU41" s="42"/>
    </row>
    <row r="42">
      <c r="B42" s="54"/>
      <c r="C42" s="54"/>
      <c r="D42" s="54"/>
      <c r="E42" s="54"/>
      <c r="F42" s="54"/>
      <c r="G42" s="54"/>
      <c r="H42" s="54"/>
      <c r="I42" s="54"/>
      <c r="J42" s="54"/>
      <c r="K42" s="54"/>
      <c r="L42" s="54"/>
      <c r="M42" s="54"/>
      <c r="N42" s="54"/>
      <c r="O42" s="61"/>
      <c r="P42" s="61"/>
      <c r="Q42" s="42"/>
      <c r="R42" s="7"/>
      <c r="S42" s="12"/>
      <c r="T42" s="54"/>
      <c r="U42" s="54"/>
      <c r="V42" s="54"/>
      <c r="W42" s="54"/>
      <c r="X42" s="42"/>
      <c r="AA42" s="54"/>
      <c r="AB42" s="54"/>
      <c r="AC42" s="54"/>
      <c r="AD42" s="54"/>
      <c r="AE42" s="60"/>
      <c r="AF42" s="42"/>
      <c r="AH42" s="54"/>
      <c r="AI42" s="54"/>
      <c r="AJ42" s="54"/>
      <c r="AK42" s="54"/>
      <c r="AL42" s="54"/>
      <c r="AM42" s="54"/>
      <c r="AN42" s="42"/>
      <c r="AO42" s="7" t="str">
        <f>'APS Tubes by Date Import'!B41</f>
        <v/>
      </c>
      <c r="AP42" s="54" t="str">
        <f>'APS Tubes by Date Import'!C41</f>
        <v/>
      </c>
      <c r="AQ42" s="54" t="str">
        <f>'APS Tubes by Date Import'!D41</f>
        <v/>
      </c>
      <c r="AR42" s="54" t="str">
        <f>'APS Tubes by Date Import'!E41</f>
        <v/>
      </c>
      <c r="AS42" s="54" t="str">
        <f>'APS Tubes by Date Import'!F41</f>
        <v/>
      </c>
      <c r="AT42" s="54" t="str">
        <f>'APS Tubes by Date Import'!G41</f>
        <v/>
      </c>
      <c r="AU42" s="42"/>
    </row>
    <row r="43">
      <c r="B43" s="54"/>
      <c r="C43" s="54"/>
      <c r="D43" s="54"/>
      <c r="E43" s="54"/>
      <c r="F43" s="54"/>
      <c r="G43" s="54"/>
      <c r="H43" s="54"/>
      <c r="I43" s="54"/>
      <c r="J43" s="54"/>
      <c r="K43" s="54"/>
      <c r="L43" s="54"/>
      <c r="M43" s="54"/>
      <c r="N43" s="54"/>
      <c r="O43" s="61"/>
      <c r="P43" s="61"/>
      <c r="Q43" s="42"/>
      <c r="R43" s="7"/>
      <c r="S43" s="12"/>
      <c r="T43" s="54"/>
      <c r="U43" s="54"/>
      <c r="V43" s="54"/>
      <c r="W43" s="54"/>
      <c r="X43" s="42"/>
      <c r="AA43" s="54"/>
      <c r="AB43" s="54"/>
      <c r="AC43" s="54"/>
      <c r="AD43" s="54"/>
      <c r="AE43" s="60"/>
      <c r="AF43" s="42"/>
      <c r="AH43" s="54"/>
      <c r="AI43" s="54"/>
      <c r="AJ43" s="54"/>
      <c r="AK43" s="54"/>
      <c r="AL43" s="54"/>
      <c r="AM43" s="54"/>
      <c r="AN43" s="42"/>
      <c r="AO43" s="7" t="str">
        <f>'APS Tubes by Date Import'!B42</f>
        <v/>
      </c>
      <c r="AP43" s="54" t="str">
        <f>'APS Tubes by Date Import'!C42</f>
        <v/>
      </c>
      <c r="AQ43" s="54" t="str">
        <f>'APS Tubes by Date Import'!D42</f>
        <v/>
      </c>
      <c r="AR43" s="54" t="str">
        <f>'APS Tubes by Date Import'!E42</f>
        <v/>
      </c>
      <c r="AS43" s="54" t="str">
        <f>'APS Tubes by Date Import'!F42</f>
        <v/>
      </c>
      <c r="AT43" s="54" t="str">
        <f>'APS Tubes by Date Import'!G42</f>
        <v/>
      </c>
      <c r="AU43" s="42"/>
    </row>
    <row r="44">
      <c r="B44" s="54"/>
      <c r="C44" s="54"/>
      <c r="D44" s="54"/>
      <c r="E44" s="54"/>
      <c r="F44" s="54"/>
      <c r="G44" s="54"/>
      <c r="H44" s="54"/>
      <c r="I44" s="54"/>
      <c r="J44" s="54"/>
      <c r="K44" s="54"/>
      <c r="L44" s="54"/>
      <c r="M44" s="54"/>
      <c r="N44" s="54"/>
      <c r="O44" s="61"/>
      <c r="P44" s="61"/>
      <c r="Q44" s="42"/>
      <c r="R44" s="7"/>
      <c r="S44" s="12"/>
      <c r="T44" s="54"/>
      <c r="U44" s="54"/>
      <c r="V44" s="54"/>
      <c r="W44" s="54"/>
      <c r="X44" s="42"/>
      <c r="AA44" s="54"/>
      <c r="AB44" s="54"/>
      <c r="AC44" s="54"/>
      <c r="AD44" s="54"/>
      <c r="AE44" s="60"/>
      <c r="AF44" s="42"/>
      <c r="AH44" s="54"/>
      <c r="AI44" s="54"/>
      <c r="AJ44" s="54"/>
      <c r="AK44" s="54"/>
      <c r="AL44" s="54"/>
      <c r="AM44" s="54"/>
      <c r="AN44" s="42"/>
      <c r="AO44" s="7" t="str">
        <f>'APS Tubes by Date Import'!B43</f>
        <v/>
      </c>
      <c r="AP44" s="54" t="str">
        <f>'APS Tubes by Date Import'!C43</f>
        <v/>
      </c>
      <c r="AQ44" s="54" t="str">
        <f>'APS Tubes by Date Import'!D43</f>
        <v/>
      </c>
      <c r="AR44" s="54" t="str">
        <f>'APS Tubes by Date Import'!E43</f>
        <v/>
      </c>
      <c r="AS44" s="54" t="str">
        <f>'APS Tubes by Date Import'!F43</f>
        <v/>
      </c>
      <c r="AT44" s="54" t="str">
        <f>'APS Tubes by Date Import'!G43</f>
        <v/>
      </c>
      <c r="AU44" s="42"/>
    </row>
    <row r="45">
      <c r="B45" s="54"/>
      <c r="C45" s="54"/>
      <c r="D45" s="54"/>
      <c r="E45" s="54"/>
      <c r="F45" s="54"/>
      <c r="G45" s="54"/>
      <c r="H45" s="54"/>
      <c r="I45" s="54"/>
      <c r="J45" s="54"/>
      <c r="K45" s="54"/>
      <c r="L45" s="54"/>
      <c r="M45" s="54"/>
      <c r="N45" s="54"/>
      <c r="O45" s="61"/>
      <c r="P45" s="61"/>
      <c r="Q45" s="42"/>
      <c r="R45" s="7"/>
      <c r="S45" s="12"/>
      <c r="T45" s="54"/>
      <c r="U45" s="54"/>
      <c r="V45" s="54"/>
      <c r="W45" s="54"/>
      <c r="X45" s="42"/>
      <c r="AA45" s="54"/>
      <c r="AB45" s="54"/>
      <c r="AC45" s="54"/>
      <c r="AD45" s="54"/>
      <c r="AE45" s="60"/>
      <c r="AF45" s="42"/>
      <c r="AH45" s="54"/>
      <c r="AI45" s="54"/>
      <c r="AJ45" s="54"/>
      <c r="AK45" s="54"/>
      <c r="AL45" s="54"/>
      <c r="AM45" s="54"/>
      <c r="AN45" s="42"/>
      <c r="AO45" s="7" t="str">
        <f>'APS Tubes by Date Import'!B44</f>
        <v/>
      </c>
      <c r="AP45" s="54" t="str">
        <f>'APS Tubes by Date Import'!C44</f>
        <v/>
      </c>
      <c r="AQ45" s="54" t="str">
        <f>'APS Tubes by Date Import'!D44</f>
        <v/>
      </c>
      <c r="AR45" s="54" t="str">
        <f>'APS Tubes by Date Import'!E44</f>
        <v/>
      </c>
      <c r="AS45" s="54" t="str">
        <f>'APS Tubes by Date Import'!F44</f>
        <v/>
      </c>
      <c r="AT45" s="54" t="str">
        <f>'APS Tubes by Date Import'!G44</f>
        <v/>
      </c>
      <c r="AU45" s="42"/>
    </row>
    <row r="46">
      <c r="B46" s="54"/>
      <c r="C46" s="54"/>
      <c r="D46" s="54"/>
      <c r="E46" s="54"/>
      <c r="F46" s="54"/>
      <c r="G46" s="54"/>
      <c r="H46" s="54"/>
      <c r="I46" s="54"/>
      <c r="J46" s="54"/>
      <c r="K46" s="54"/>
      <c r="L46" s="54"/>
      <c r="M46" s="54"/>
      <c r="N46" s="54"/>
      <c r="O46" s="61"/>
      <c r="P46" s="61"/>
      <c r="Q46" s="42"/>
      <c r="R46" s="7"/>
      <c r="S46" s="12"/>
      <c r="T46" s="54"/>
      <c r="U46" s="54"/>
      <c r="V46" s="54"/>
      <c r="W46" s="54"/>
      <c r="X46" s="42"/>
      <c r="AA46" s="54"/>
      <c r="AB46" s="54"/>
      <c r="AC46" s="54"/>
      <c r="AD46" s="54"/>
      <c r="AE46" s="60"/>
      <c r="AF46" s="42"/>
      <c r="AH46" s="54"/>
      <c r="AI46" s="54"/>
      <c r="AJ46" s="54"/>
      <c r="AK46" s="54"/>
      <c r="AL46" s="54"/>
      <c r="AM46" s="54"/>
      <c r="AN46" s="42"/>
      <c r="AO46" s="7" t="str">
        <f>'APS Tubes by Date Import'!B45</f>
        <v/>
      </c>
      <c r="AP46" s="54" t="str">
        <f>'APS Tubes by Date Import'!C45</f>
        <v/>
      </c>
      <c r="AQ46" s="54" t="str">
        <f>'APS Tubes by Date Import'!D45</f>
        <v/>
      </c>
      <c r="AR46" s="54" t="str">
        <f>'APS Tubes by Date Import'!E45</f>
        <v/>
      </c>
      <c r="AS46" s="54" t="str">
        <f>'APS Tubes by Date Import'!F45</f>
        <v/>
      </c>
      <c r="AT46" s="54" t="str">
        <f>'APS Tubes by Date Import'!G45</f>
        <v/>
      </c>
      <c r="AU46" s="42"/>
    </row>
    <row r="47">
      <c r="B47" s="54"/>
      <c r="C47" s="54"/>
      <c r="D47" s="54"/>
      <c r="E47" s="54"/>
      <c r="F47" s="54"/>
      <c r="G47" s="54"/>
      <c r="H47" s="54"/>
      <c r="I47" s="54"/>
      <c r="J47" s="54"/>
      <c r="K47" s="54"/>
      <c r="L47" s="54"/>
      <c r="M47" s="54"/>
      <c r="N47" s="54"/>
      <c r="O47" s="61"/>
      <c r="P47" s="61"/>
      <c r="Q47" s="42"/>
      <c r="R47" s="7"/>
      <c r="S47" s="12"/>
      <c r="T47" s="54"/>
      <c r="U47" s="54" t="str">
        <f t="shared" ref="U47:U49" si="18">IF(T47=C47,IFERROR(0/0,""),T47-C47)</f>
        <v/>
      </c>
      <c r="V47" s="54"/>
      <c r="W47" s="54"/>
      <c r="X47" s="42"/>
      <c r="AA47" s="54"/>
      <c r="AB47" s="54"/>
      <c r="AC47" s="54"/>
      <c r="AD47" s="54"/>
      <c r="AE47" s="60"/>
      <c r="AF47" s="42"/>
      <c r="AN47" s="42"/>
      <c r="AO47" s="7" t="str">
        <f>'APS Tubes by Date Import'!B46</f>
        <v/>
      </c>
      <c r="AP47" s="54" t="str">
        <f>'APS Tubes by Date Import'!C46</f>
        <v/>
      </c>
      <c r="AQ47" s="54" t="str">
        <f>'APS Tubes by Date Import'!D46</f>
        <v/>
      </c>
      <c r="AR47" s="54" t="str">
        <f>'APS Tubes by Date Import'!E46</f>
        <v/>
      </c>
      <c r="AS47" s="54" t="str">
        <f>'APS Tubes by Date Import'!F46</f>
        <v/>
      </c>
      <c r="AT47" s="54" t="str">
        <f>'APS Tubes by Date Import'!G46</f>
        <v/>
      </c>
      <c r="AU47" s="42"/>
    </row>
    <row r="48">
      <c r="B48" s="54"/>
      <c r="C48" s="54"/>
      <c r="D48" s="54"/>
      <c r="E48" s="54"/>
      <c r="F48" s="54"/>
      <c r="G48" s="54"/>
      <c r="H48" s="54"/>
      <c r="I48" s="54"/>
      <c r="J48" s="54"/>
      <c r="K48" s="54"/>
      <c r="L48" s="54"/>
      <c r="M48" s="54"/>
      <c r="N48" s="54"/>
      <c r="O48" s="61"/>
      <c r="P48" s="61"/>
      <c r="Q48" s="42"/>
      <c r="R48" s="7"/>
      <c r="S48" s="12"/>
      <c r="T48" s="54"/>
      <c r="U48" s="54" t="str">
        <f t="shared" si="18"/>
        <v/>
      </c>
      <c r="V48" s="54"/>
      <c r="W48" s="54"/>
      <c r="X48" s="42"/>
      <c r="AA48" s="54"/>
      <c r="AB48" s="54"/>
      <c r="AC48" s="54"/>
      <c r="AD48" s="54"/>
      <c r="AE48" s="60"/>
      <c r="AF48" s="42"/>
      <c r="AN48" s="42"/>
      <c r="AO48" s="7" t="str">
        <f>'APS Tubes by Date Import'!B47</f>
        <v/>
      </c>
      <c r="AP48" s="54" t="str">
        <f>'APS Tubes by Date Import'!C47</f>
        <v/>
      </c>
      <c r="AQ48" s="54" t="str">
        <f>'APS Tubes by Date Import'!D47</f>
        <v/>
      </c>
      <c r="AR48" s="54" t="str">
        <f>'APS Tubes by Date Import'!E47</f>
        <v/>
      </c>
      <c r="AS48" s="54" t="str">
        <f>'APS Tubes by Date Import'!F47</f>
        <v/>
      </c>
      <c r="AT48" s="54" t="str">
        <f>'APS Tubes by Date Import'!G47</f>
        <v/>
      </c>
      <c r="AU48" s="42"/>
    </row>
    <row r="49">
      <c r="B49" s="54"/>
      <c r="C49" s="54"/>
      <c r="D49" s="54"/>
      <c r="E49" s="54"/>
      <c r="F49" s="54"/>
      <c r="G49" s="54"/>
      <c r="H49" s="54"/>
      <c r="I49" s="54"/>
      <c r="J49" s="54"/>
      <c r="K49" s="54"/>
      <c r="L49" s="54"/>
      <c r="M49" s="54"/>
      <c r="N49" s="54"/>
      <c r="O49" s="61"/>
      <c r="P49" s="61"/>
      <c r="Q49" s="42"/>
      <c r="R49" s="7"/>
      <c r="S49" s="12"/>
      <c r="T49" s="54"/>
      <c r="U49" s="54" t="str">
        <f t="shared" si="18"/>
        <v/>
      </c>
      <c r="V49" s="54"/>
      <c r="W49" s="54"/>
      <c r="X49" s="42"/>
      <c r="AA49" s="54"/>
      <c r="AB49" s="54"/>
      <c r="AC49" s="54"/>
      <c r="AD49" s="54"/>
      <c r="AE49" s="60"/>
      <c r="AF49" s="42"/>
      <c r="AN49" s="42"/>
      <c r="AO49" s="7" t="str">
        <f>'APS Tubes by Date Import'!B48</f>
        <v/>
      </c>
      <c r="AP49" s="54" t="str">
        <f>'APS Tubes by Date Import'!C48</f>
        <v/>
      </c>
      <c r="AQ49" s="54" t="str">
        <f>'APS Tubes by Date Import'!D48</f>
        <v/>
      </c>
      <c r="AR49" s="54" t="str">
        <f>'APS Tubes by Date Import'!E48</f>
        <v/>
      </c>
      <c r="AS49" s="54" t="str">
        <f>'APS Tubes by Date Import'!F48</f>
        <v/>
      </c>
      <c r="AT49" s="54" t="str">
        <f>'APS Tubes by Date Import'!G48</f>
        <v/>
      </c>
      <c r="AU49" s="4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7.63"/>
    <col customWidth="1" min="3" max="3" width="11.25"/>
    <col customWidth="1" min="7" max="7" width="10.63"/>
    <col customWidth="1" min="10" max="10" width="12.13"/>
    <col customWidth="1" min="13" max="13" width="11.63"/>
    <col customWidth="1" min="16" max="16" width="26.88"/>
    <col customWidth="1" min="17" max="17" width="21.38"/>
    <col customWidth="1" min="18" max="18" width="7.13"/>
    <col customWidth="1" min="19" max="19" width="3.13"/>
    <col customWidth="1" min="20" max="20" width="32.5"/>
    <col customWidth="1" min="21" max="21" width="13.88"/>
    <col customWidth="1" min="22" max="22" width="14.75"/>
    <col customWidth="1" min="24" max="24" width="3.0"/>
    <col customWidth="1" min="25" max="25" width="33.38"/>
    <col customWidth="1" min="26" max="26" width="18.88"/>
    <col customWidth="1" min="27" max="27" width="10.88"/>
    <col customWidth="1" min="28" max="28" width="11.25"/>
    <col customWidth="1" min="29" max="29" width="3.88"/>
    <col customWidth="1" min="32" max="32" width="3.5"/>
    <col customWidth="1" min="33" max="36" width="8.0"/>
  </cols>
  <sheetData>
    <row r="1">
      <c r="A1" s="62" t="s">
        <v>42</v>
      </c>
      <c r="B1" s="62" t="s">
        <v>43</v>
      </c>
      <c r="C1" s="63" t="s">
        <v>44</v>
      </c>
      <c r="D1" s="2" t="str">
        <f>'RFR Data - preExcl'!E1</f>
        <v>RAW Num of Samples (Gform)</v>
      </c>
      <c r="E1" s="2" t="str">
        <f>'RFR Data - preExcl'!Z1</f>
        <v>Num Rxn Including Controls (from paper form)</v>
      </c>
      <c r="F1" s="63" t="s">
        <v>45</v>
      </c>
      <c r="G1" s="2" t="str">
        <f>'RFR Data - preExcl'!AK1</f>
        <v>RFR Audit
Num
Run Tubes</v>
      </c>
      <c r="H1" s="2" t="s">
        <v>46</v>
      </c>
      <c r="I1" s="2" t="s">
        <v>47</v>
      </c>
      <c r="J1" s="2" t="str">
        <f>'APS Tubes by Date Import'!J1</f>
        <v>All Non-Null Tubes Resulted Same Day?</v>
      </c>
      <c r="K1" s="64" t="str">
        <f>IF(SUM(K3:K23)&gt;0,"Num NULL &gt; 0 NEEDS CHANGE", "Num NULL = 0 OK")</f>
        <v>Num NULL = 0 OK</v>
      </c>
      <c r="L1" s="65" t="str">
        <f>CONCATENATE("Reconciled Tube Run Count ",SUM(L2:L63))</f>
        <v>Reconciled Tube Run Count 80</v>
      </c>
      <c r="M1" s="64" t="s">
        <v>48</v>
      </c>
      <c r="N1" s="64" t="s">
        <v>49</v>
      </c>
      <c r="O1" s="62" t="s">
        <v>50</v>
      </c>
      <c r="P1" s="66" t="s">
        <v>51</v>
      </c>
      <c r="Q1" s="64" t="s">
        <v>52</v>
      </c>
      <c r="R1" s="15" t="s">
        <v>25</v>
      </c>
      <c r="S1" s="31"/>
      <c r="T1" s="2" t="s">
        <v>53</v>
      </c>
      <c r="U1" s="2" t="s">
        <v>54</v>
      </c>
      <c r="V1" s="67" t="s">
        <v>55</v>
      </c>
      <c r="W1" s="68" t="s">
        <v>56</v>
      </c>
      <c r="X1" s="69"/>
      <c r="Y1" s="70" t="s">
        <v>57</v>
      </c>
      <c r="Z1" s="71">
        <f>COUNTA(Z2:Z63)</f>
        <v>3</v>
      </c>
      <c r="AA1" s="16" t="s">
        <v>58</v>
      </c>
      <c r="AB1" s="72" t="s">
        <v>59</v>
      </c>
      <c r="AC1" s="73"/>
      <c r="AD1" s="72" t="s">
        <v>60</v>
      </c>
      <c r="AE1" s="74">
        <f>SUM(AE2:AE63)</f>
        <v>0</v>
      </c>
      <c r="AF1" s="73"/>
      <c r="AG1" s="75"/>
      <c r="AH1" s="75"/>
      <c r="AI1" s="75"/>
      <c r="AJ1" s="75"/>
    </row>
    <row r="2">
      <c r="A2" s="53" t="str">
        <f t="array" ref="A2:B20">SORT(UNIQUE(T2:U63),2,TRUE)</f>
        <v>RUN-NDHM_2022-05-02_RFR-006</v>
      </c>
      <c r="B2" s="14">
        <v>44683.0</v>
      </c>
      <c r="C2" s="76"/>
      <c r="D2" s="77">
        <f t="array" ref="D2">IF(OR(ISBLANK($A2),$C2),IFERROR(0/0,""),INDEX('RFR Data - preExcl'!E$2:E63,$R2,1))</f>
        <v>14</v>
      </c>
      <c r="E2" s="58" t="str">
        <f t="array" ref="E2">IF(OR(ISBLANK($A2),$C2),IFERROR(0/0,""),INDEX('RFR Data - preExcl'!Z$2:Z63,$R2,1))</f>
        <v/>
      </c>
      <c r="F2" s="58">
        <f t="array" ref="F2">IF(OR(ISBLANK(A2),C2),IFERROR(0/0,""),INDEX('RFR Data - preExcl'!AC$2:AC63,$R2,1))</f>
        <v>18</v>
      </c>
      <c r="G2" s="58">
        <f t="array" ref="G2">IF(OR(ISBLANK(A2),C2),IFERROR(0/0,""),INDEX('RFR Data - preExcl'!AK$2:AK63,$R2,1))</f>
        <v>18</v>
      </c>
      <c r="H2" s="58">
        <f t="array" ref="H2">IF(OR(ISBLANK(A2),C2),IFERROR(0/0,""),INDEX('RFR Data - preExcl'!AL$2:AL63,$R2,1))</f>
        <v>1.1</v>
      </c>
      <c r="I2" s="78">
        <f>IFERROR(VLOOKUP($B2,'APS Tubes by Date Import'!$B$2:$J63,2,FALSE),"")</f>
        <v>17</v>
      </c>
      <c r="J2" s="75" t="str">
        <f>IFERROR(VLOOKUP($B2,'APS Tubes by Date Import'!$B$2:$J63,9,FALSE),"")</f>
        <v/>
      </c>
      <c r="K2" s="54">
        <f>IFNA(VLOOKUP($B2,'APS Tubes by Date Import'!$B$2:$J63,6,FALSE),"")</f>
        <v>0</v>
      </c>
      <c r="L2" s="79">
        <v>17.0</v>
      </c>
      <c r="M2" s="54">
        <f>L2-I2</f>
        <v>0</v>
      </c>
      <c r="N2" s="80">
        <v>0.0</v>
      </c>
      <c r="O2" s="81" t="b">
        <f t="shared" ref="O2:O18" si="1">IF(ISBLANK(M2),IFERROR(0/0,""),IF($BX2&lt;=4,TRUE,IFERROR(0/0,"")))</f>
        <v>1</v>
      </c>
      <c r="P2" s="82" t="str">
        <f>IF(ISBLANK(N2),IFERROR(0/0,""),IFERROR(VLOOKUP(N2, 'Process Ref'!$A$220:$D$250, 2, FALSE), IFERROR(0/0,"")))</f>
        <v>ALL 3 COUNTS SAME meaning APS Collect = APS Result = RFR</v>
      </c>
      <c r="Q2" s="83"/>
      <c r="R2" s="84">
        <f>IFNA(MATCH(A2,'RFR Data - preExcl'!A$2:A63,0),"")</f>
        <v>6</v>
      </c>
      <c r="S2" s="42"/>
      <c r="T2" s="20" t="str">
        <f>IF(EXACT('RFR Data - preExcl'!W2,"Initial"),'RFR Data - preExcl'!A2,IFERROR(0/0,""))</f>
        <v/>
      </c>
      <c r="U2" s="20" t="str">
        <f>IF(EXACT('RFR Data - preExcl'!W2,"Initial"),'RFR Data - preExcl'!U2,IFERROR(0/0,""))</f>
        <v/>
      </c>
      <c r="X2" s="73"/>
      <c r="Y2" s="85" t="str">
        <f>IFERROR(__xludf.DUMMYFUNCTION("SORT(FILTER('RFR Data - preExcl'!A2:B63,'RFR Data - preExcl'!$W2:$W63=""Re-run""))
"),"RUN-NDHM_2022-05-02_RFR-007_Re-run")</f>
        <v>RUN-NDHM_2022-05-02_RFR-007_Re-run</v>
      </c>
      <c r="Z2" s="86">
        <f>IFERROR(__xludf.DUMMYFUNCTION("""COMPUTED_VALUE"""),44683.359189814815)</f>
        <v>44683.35919</v>
      </c>
      <c r="AA2" s="87">
        <f>VLOOKUP($Y2,'RFR Data - preExcl'!$A$2:$AK63,29,FALSE)</f>
        <v>9</v>
      </c>
      <c r="AB2" s="87">
        <f>VLOOKUP($Y2,'RFR Data - preExcl'!$A$2:$AK63,37,FALSE)</f>
        <v>3</v>
      </c>
      <c r="AC2" s="73"/>
      <c r="AD2" s="85" t="str">
        <f>IFERROR(__xludf.DUMMYFUNCTION("SORT(FILTER(A2:A63,ISNUMBER(SEARCH(""APS"",A2:A63))))
"),"RUN-NDHM_2022-08-01_APS-001")</f>
        <v>RUN-NDHM_2022-08-01_APS-001</v>
      </c>
      <c r="AE2" s="87"/>
      <c r="AF2" s="73"/>
      <c r="AG2" s="75"/>
      <c r="AH2" s="75"/>
      <c r="AI2" s="75"/>
      <c r="AJ2" s="75"/>
    </row>
    <row r="3">
      <c r="A3" s="7"/>
      <c r="B3" s="12">
        <v>44689.0</v>
      </c>
      <c r="C3" s="54"/>
      <c r="D3" s="54" t="str">
        <f t="array" ref="D3">IF(OR(ISBLANK($A3),C3),IFERROR(0/0,""),INDEX('RFR Data - preExcl'!E$2:E63,$R3,1))</f>
        <v/>
      </c>
      <c r="E3" s="54" t="str">
        <f t="array" ref="E3">IF(OR(ISBLANK($A3),$C3),IFERROR(0/0,""),INDEX('RFR Data - preExcl'!Z$2:Z63,$R3,1))</f>
        <v/>
      </c>
      <c r="F3" s="54" t="str">
        <f t="array" ref="F3">IF(OR(ISBLANK(A3),C3),IFERROR(0/0,""),INDEX('RFR Data - preExcl'!AC$2:AC63,$R3,1))</f>
        <v/>
      </c>
      <c r="G3" s="54" t="str">
        <f t="array" ref="G3">IF(OR(ISBLANK(A3),C3),IFERROR(0/0,""),INDEX('RFR Data - preExcl'!AK$2:AK63,$R3,1))</f>
        <v/>
      </c>
      <c r="H3" s="54" t="str">
        <f t="array" ref="H3">IF(OR(ISBLANK(A3),C3),IFERROR(0/0,""),INDEX('RFR Data - preExcl'!AL$2:AL63,$R3,1))</f>
        <v/>
      </c>
      <c r="I3" s="88">
        <f>IFERROR(VLOOKUP($B3,'APS Tubes by Date Import'!$B$2:$J63,2,FALSE),"")</f>
        <v>1</v>
      </c>
      <c r="J3" s="54" t="str">
        <f>IFERROR(VLOOKUP($B3,'APS Tubes by Date Import'!$B$2:$J63,9,FALSE),"")</f>
        <v/>
      </c>
      <c r="K3" s="54">
        <f>IFNA(VLOOKUP($B3,'APS Tubes by Date Import'!$B$2:$J63,6,FALSE),"")</f>
        <v>0</v>
      </c>
      <c r="L3" s="54" t="str">
        <f t="shared" ref="L3:L8" si="2">G3</f>
        <v/>
      </c>
      <c r="M3" s="54"/>
      <c r="N3" s="89">
        <v>6.1</v>
      </c>
      <c r="O3" s="81" t="str">
        <f t="shared" si="1"/>
        <v/>
      </c>
      <c r="P3" s="82" t="str">
        <f>IF(ISBLANK(N3),IFERROR(0/0,""),IFERROR(VLOOKUP(N3, 'Process Ref'!$A$220:$D$250, 2, FALSE), IFERROR(0/0,"")))</f>
        <v>No Run - APS Collect run next day</v>
      </c>
      <c r="Q3" s="83"/>
      <c r="R3" s="84" t="str">
        <f>IFNA(MATCH(A3,'RFR Data - preExcl'!A$2:A63,0),"")</f>
        <v/>
      </c>
      <c r="S3" s="42"/>
      <c r="T3" s="20" t="str">
        <f>IF(EXACT('RFR Data - preExcl'!W3,"Initial"),'RFR Data - preExcl'!A3,IFERROR(0/0,""))</f>
        <v/>
      </c>
      <c r="U3" s="20" t="str">
        <f>IF(EXACT('RFR Data - preExcl'!W3,"Initial"),'RFR Data - preExcl'!U3,IFERROR(0/0,""))</f>
        <v/>
      </c>
      <c r="X3" s="73"/>
      <c r="Y3" s="90" t="str">
        <f>IFERROR(__xludf.DUMMYFUNCTION("""COMPUTED_VALUE"""),"RUN-NDHM_2022-05-02_RFR-008_Re-run")</f>
        <v>RUN-NDHM_2022-05-02_RFR-008_Re-run</v>
      </c>
      <c r="Z3" s="86">
        <f>IFERROR(__xludf.DUMMYFUNCTION("""COMPUTED_VALUE"""),44683.38811342593)</f>
        <v>44683.38811</v>
      </c>
      <c r="AA3" s="87">
        <f>VLOOKUP($Y3,'RFR Data - preExcl'!$A$2:$AK63,29,FALSE)</f>
        <v>6</v>
      </c>
      <c r="AB3" s="87">
        <f>VLOOKUP($Y3,'RFR Data - preExcl'!$A$2:$AK63,37,FALSE)</f>
        <v>1</v>
      </c>
      <c r="AC3" s="73"/>
      <c r="AD3" s="75" t="str">
        <f>IFERROR(__xludf.DUMMYFUNCTION("""COMPUTED_VALUE"""),"RUN-NDHM_2022-09-12_APS-002")</f>
        <v>RUN-NDHM_2022-09-12_APS-002</v>
      </c>
      <c r="AE3" s="58"/>
      <c r="AF3" s="73"/>
      <c r="AG3" s="75"/>
      <c r="AH3" s="75"/>
      <c r="AI3" s="75"/>
      <c r="AJ3" s="75"/>
    </row>
    <row r="4">
      <c r="A4" s="7" t="s">
        <v>28</v>
      </c>
      <c r="B4" s="12">
        <v>44690.0</v>
      </c>
      <c r="C4" s="91"/>
      <c r="D4" s="54">
        <f t="array" ref="D4">IF(OR(ISBLANK($A4),C4),IFERROR(0/0,""),INDEX('RFR Data - preExcl'!E$2:E63,$R4,1))</f>
        <v>9</v>
      </c>
      <c r="E4" s="54">
        <f t="array" ref="E4">IF(OR(ISBLANK($A4),$C4),IFERROR(0/0,""),INDEX('RFR Data - preExcl'!Z$2:Z63,$R4,1))</f>
        <v>11</v>
      </c>
      <c r="F4" s="54">
        <f t="array" ref="F4">IF(OR(ISBLANK(A4),C4),IFERROR(0/0,""),INDEX('RFR Data - preExcl'!AC$2:AC63,$R4,1))</f>
        <v>9</v>
      </c>
      <c r="G4" s="54">
        <f t="array" ref="G4">IF(OR(ISBLANK(A4),C4),IFERROR(0/0,""),INDEX('RFR Data - preExcl'!AK$2:AK63,$R4,1))</f>
        <v>9</v>
      </c>
      <c r="H4" s="54">
        <f t="array" ref="H4">IF(OR(ISBLANK(A4),C4),IFERROR(0/0,""),INDEX('RFR Data - preExcl'!AL$2:AL63,$R4,1))</f>
        <v>0</v>
      </c>
      <c r="I4" s="92">
        <f>IFERROR(VLOOKUP($B4,'APS Tubes by Date Import'!$B$2:$J63,2,FALSE),"")</f>
        <v>7</v>
      </c>
      <c r="J4" s="54" t="b">
        <f>IFERROR(VLOOKUP($B4,'APS Tubes by Date Import'!$B$2:$J63,9,FALSE),"")</f>
        <v>1</v>
      </c>
      <c r="K4" s="54">
        <f>IFNA(VLOOKUP($B4,'APS Tubes by Date Import'!$B$2:$J63,6,FALSE),"")</f>
        <v>0</v>
      </c>
      <c r="L4" s="47">
        <f t="shared" si="2"/>
        <v>9</v>
      </c>
      <c r="M4" s="54">
        <f>L4-I4-I3</f>
        <v>1</v>
      </c>
      <c r="N4" s="89">
        <v>9.0</v>
      </c>
      <c r="O4" s="81" t="b">
        <f t="shared" si="1"/>
        <v>1</v>
      </c>
      <c r="P4" s="82" t="str">
        <f>IF(ISBLANK(N4),IFERROR(0/0,""),IFERROR(VLOOKUP(N4, 'Process Ref'!$A$220:$D$250, 2, FALSE), IFERROR(0/0,"")))</f>
        <v/>
      </c>
      <c r="Q4" s="83"/>
      <c r="R4" s="84">
        <f>IFNA(MATCH(A4,'RFR Data - preExcl'!A$2:A63,0),"")</f>
        <v>9</v>
      </c>
      <c r="S4" s="42"/>
      <c r="T4" s="20" t="str">
        <f>IF(EXACT('RFR Data - preExcl'!W4,"Initial"),'RFR Data - preExcl'!A4,IFERROR(0/0,""))</f>
        <v/>
      </c>
      <c r="U4" s="20" t="str">
        <f>IF(EXACT('RFR Data - preExcl'!W4,"Initial"),'RFR Data - preExcl'!U4,IFERROR(0/0,""))</f>
        <v/>
      </c>
      <c r="X4" s="73"/>
      <c r="Y4" s="90" t="str">
        <f>IFERROR(__xludf.DUMMYFUNCTION("""COMPUTED_VALUE"""),"RUN-NDHM_2022-06-13_RFR-015_Re-run")</f>
        <v>RUN-NDHM_2022-06-13_RFR-015_Re-run</v>
      </c>
      <c r="Z4" s="86">
        <f>IFERROR(__xludf.DUMMYFUNCTION("""COMPUTED_VALUE"""),44725.41195601852)</f>
        <v>44725.41196</v>
      </c>
      <c r="AA4" s="87">
        <f>VLOOKUP($Y4,'RFR Data - preExcl'!$A$2:$AK63,29,FALSE)</f>
        <v>3</v>
      </c>
      <c r="AB4" s="87">
        <f>VLOOKUP($Y4,'RFR Data - preExcl'!$A$2:$AK63,37,FALSE)</f>
        <v>1</v>
      </c>
      <c r="AC4" s="73"/>
      <c r="AD4" s="75"/>
      <c r="AE4" s="58"/>
      <c r="AF4" s="73"/>
      <c r="AG4" s="75"/>
      <c r="AH4" s="75"/>
      <c r="AI4" s="75"/>
      <c r="AJ4" s="75"/>
    </row>
    <row r="5">
      <c r="A5" s="7"/>
      <c r="B5" s="12">
        <v>44696.0</v>
      </c>
      <c r="C5" s="91"/>
      <c r="D5" s="54" t="str">
        <f t="array" ref="D5">IF(OR(ISBLANK($A5),C5),IFERROR(0/0,""),INDEX('RFR Data - preExcl'!E$2:E63,$R5,1))</f>
        <v/>
      </c>
      <c r="E5" s="54" t="str">
        <f t="array" ref="E5">IF(OR(ISBLANK($A5),$C5),IFERROR(0/0,""),INDEX('RFR Data - preExcl'!Z$2:Z63,$R5,1))</f>
        <v/>
      </c>
      <c r="F5" s="54" t="str">
        <f t="array" ref="F5">IF(OR(ISBLANK(A5),C5),IFERROR(0/0,""),INDEX('RFR Data - preExcl'!AC$2:AC63,$R5,1))</f>
        <v/>
      </c>
      <c r="G5" s="54" t="str">
        <f t="array" ref="G5">IF(OR(ISBLANK(A5),C5),IFERROR(0/0,""),INDEX('RFR Data - preExcl'!AK$2:AK63,$R5,1))</f>
        <v/>
      </c>
      <c r="H5" s="54" t="str">
        <f t="array" ref="H5">IF(OR(ISBLANK(A5),C5),IFERROR(0/0,""),INDEX('RFR Data - preExcl'!AL$2:AL63,$R5,1))</f>
        <v/>
      </c>
      <c r="I5" s="93">
        <f>IFERROR(VLOOKUP($B5,'APS Tubes by Date Import'!$B$2:$J63,2,FALSE),"")</f>
        <v>1</v>
      </c>
      <c r="J5" s="54" t="str">
        <f>IFERROR(VLOOKUP($B5,'APS Tubes by Date Import'!$B$2:$J63,9,FALSE),"")</f>
        <v/>
      </c>
      <c r="K5" s="54">
        <f>IFNA(VLOOKUP($B5,'APS Tubes by Date Import'!$B$2:$J63,6,FALSE),"")</f>
        <v>0</v>
      </c>
      <c r="L5" s="54" t="str">
        <f t="shared" si="2"/>
        <v/>
      </c>
      <c r="M5" s="54"/>
      <c r="N5" s="89">
        <v>6.1</v>
      </c>
      <c r="O5" s="81" t="str">
        <f t="shared" si="1"/>
        <v/>
      </c>
      <c r="P5" s="82" t="str">
        <f>IF(ISBLANK(N5),IFERROR(0/0,""),IFERROR(VLOOKUP(N5, 'Process Ref'!$A$220:$D$250, 2, FALSE), IFERROR(0/0,"")))</f>
        <v>No Run - APS Collect run next day</v>
      </c>
      <c r="Q5" s="83"/>
      <c r="R5" s="84" t="str">
        <f>IFNA(MATCH(A5,'RFR Data - preExcl'!A$2:A63,0),"")</f>
        <v/>
      </c>
      <c r="S5" s="42"/>
      <c r="T5" s="20" t="str">
        <f>IF(EXACT('RFR Data - preExcl'!W5,"Initial"),'RFR Data - preExcl'!A5,IFERROR(0/0,""))</f>
        <v/>
      </c>
      <c r="U5" s="20" t="str">
        <f>IF(EXACT('RFR Data - preExcl'!W5,"Initial"),'RFR Data - preExcl'!U5,IFERROR(0/0,""))</f>
        <v/>
      </c>
      <c r="X5" s="73"/>
      <c r="Y5" s="75"/>
      <c r="Z5" s="58"/>
      <c r="AA5" s="58"/>
      <c r="AB5" s="58"/>
      <c r="AC5" s="73"/>
      <c r="AD5" s="75"/>
      <c r="AE5" s="58"/>
      <c r="AF5" s="73"/>
      <c r="AG5" s="75"/>
      <c r="AH5" s="75"/>
      <c r="AI5" s="75"/>
      <c r="AJ5" s="75"/>
    </row>
    <row r="6">
      <c r="A6" s="7" t="s">
        <v>29</v>
      </c>
      <c r="B6" s="12">
        <v>44697.0</v>
      </c>
      <c r="C6" s="54"/>
      <c r="D6" s="47">
        <f t="array" ref="D6">IF(OR(ISBLANK($A6),C6),IFERROR(0/0,""),INDEX('RFR Data - preExcl'!E$2:E63,$R6,1))</f>
        <v>10</v>
      </c>
      <c r="E6" s="54">
        <f t="array" ref="E6">IF(OR(ISBLANK($A6),$C6),IFERROR(0/0,""),INDEX('RFR Data - preExcl'!Z$2:Z63,$R6,1))</f>
        <v>12</v>
      </c>
      <c r="F6" s="54">
        <f t="array" ref="F6">IF(OR(ISBLANK(A6),C6),IFERROR(0/0,""),INDEX('RFR Data - preExcl'!AC$2:AC63,$R6,1))</f>
        <v>10</v>
      </c>
      <c r="G6" s="54">
        <f t="array" ref="G6">IF(OR(ISBLANK(A6),C6),IFERROR(0/0,""),INDEX('RFR Data - preExcl'!AK$2:AK63,$R6,1))</f>
        <v>10</v>
      </c>
      <c r="H6" s="54">
        <f t="array" ref="H6">IF(OR(ISBLANK(A6),C6),IFERROR(0/0,""),INDEX('RFR Data - preExcl'!AL$2:AL63,$R6,1))</f>
        <v>0</v>
      </c>
      <c r="I6" s="94">
        <f>IFERROR(VLOOKUP($B6,'APS Tubes by Date Import'!$B$2:$J63,2,FALSE),"")</f>
        <v>9</v>
      </c>
      <c r="J6" s="54" t="b">
        <f>IFERROR(VLOOKUP($B6,'APS Tubes by Date Import'!$B$2:$J63,9,FALSE),"")</f>
        <v>1</v>
      </c>
      <c r="K6" s="54">
        <f>IFNA(VLOOKUP($B6,'APS Tubes by Date Import'!$B$2:$J63,6,FALSE),"")</f>
        <v>0</v>
      </c>
      <c r="L6" s="47">
        <f t="shared" si="2"/>
        <v>10</v>
      </c>
      <c r="M6" s="54">
        <f>L6-I6-I5</f>
        <v>0</v>
      </c>
      <c r="N6" s="80">
        <v>0.2</v>
      </c>
      <c r="O6" s="81" t="b">
        <f t="shared" si="1"/>
        <v>1</v>
      </c>
      <c r="P6" s="82" t="str">
        <f>IF(ISBLANK(N6),IFERROR(0/0,""),IFERROR(VLOOKUP(N6, 'Process Ref'!$A$220:$D$250, 2, FALSE), IFERROR(0/0,"")))</f>
        <v>ALL 3 COUNTS SAME with APS Collect on previous days</v>
      </c>
      <c r="Q6" s="83"/>
      <c r="R6" s="84">
        <f>IFNA(MATCH(A6,'RFR Data - preExcl'!A$2:A63,0),"")</f>
        <v>10</v>
      </c>
      <c r="S6" s="42"/>
      <c r="T6" s="20" t="str">
        <f>IF(EXACT('RFR Data - preExcl'!W6,"Initial"),'RFR Data - preExcl'!A6,IFERROR(0/0,""))</f>
        <v/>
      </c>
      <c r="U6" s="20" t="str">
        <f>IF(EXACT('RFR Data - preExcl'!W6,"Initial"),'RFR Data - preExcl'!U6,IFERROR(0/0,""))</f>
        <v/>
      </c>
      <c r="X6" s="73"/>
      <c r="Y6" s="75"/>
      <c r="Z6" s="95"/>
      <c r="AA6" s="95"/>
      <c r="AB6" s="58"/>
      <c r="AC6" s="73"/>
      <c r="AD6" s="75"/>
      <c r="AE6" s="58"/>
      <c r="AF6" s="73"/>
      <c r="AG6" s="75"/>
      <c r="AH6" s="75"/>
      <c r="AI6" s="75"/>
      <c r="AJ6" s="75"/>
    </row>
    <row r="7">
      <c r="A7" s="7" t="s">
        <v>30</v>
      </c>
      <c r="B7" s="12">
        <v>44704.0</v>
      </c>
      <c r="C7" s="54"/>
      <c r="D7" s="47">
        <f t="array" ref="D7">IF(OR(ISBLANK($A7),C7),IFERROR(0/0,""),INDEX('RFR Data - preExcl'!E$2:E63,$R7,1))</f>
        <v>8</v>
      </c>
      <c r="E7" s="54">
        <f t="array" ref="E7">IF(OR(ISBLANK($A7),$C7),IFERROR(0/0,""),INDEX('RFR Data - preExcl'!Z$2:Z63,$R7,1))</f>
        <v>10</v>
      </c>
      <c r="F7" s="54">
        <f t="array" ref="F7">IF(OR(ISBLANK(A7),C7),IFERROR(0/0,""),INDEX('RFR Data - preExcl'!AC$2:AC63,$R7,1))</f>
        <v>8</v>
      </c>
      <c r="G7" s="54">
        <f t="array" ref="G7">IF(OR(ISBLANK(A7),C7),IFERROR(0/0,""),INDEX('RFR Data - preExcl'!AK$2:AK63,$R7,1))</f>
        <v>8</v>
      </c>
      <c r="H7" s="54">
        <f t="array" ref="H7">IF(OR(ISBLANK(A7),C7),IFERROR(0/0,""),INDEX('RFR Data - preExcl'!AL$2:AL63,$R7,1))</f>
        <v>0</v>
      </c>
      <c r="I7" s="47">
        <f>IFERROR(VLOOKUP($B7,'APS Tubes by Date Import'!$B$2:$J63,2,FALSE),"")</f>
        <v>8</v>
      </c>
      <c r="J7" s="54" t="b">
        <f>IFERROR(VLOOKUP($B7,'APS Tubes by Date Import'!$B$2:$J63,9,FALSE),"")</f>
        <v>1</v>
      </c>
      <c r="K7" s="54">
        <f>IFNA(VLOOKUP($B7,'APS Tubes by Date Import'!$B$2:$J63,6,FALSE),"")</f>
        <v>0</v>
      </c>
      <c r="L7" s="47">
        <f t="shared" si="2"/>
        <v>8</v>
      </c>
      <c r="M7" s="54">
        <f>L7-I7</f>
        <v>0</v>
      </c>
      <c r="N7" s="80">
        <v>0.0</v>
      </c>
      <c r="O7" s="81" t="b">
        <f t="shared" si="1"/>
        <v>1</v>
      </c>
      <c r="P7" s="82" t="str">
        <f>IF(ISBLANK(N7),IFERROR(0/0,""),IFERROR(VLOOKUP(N7, 'Process Ref'!$A$220:$D$250, 2, FALSE), IFERROR(0/0,"")))</f>
        <v>ALL 3 COUNTS SAME meaning APS Collect = APS Result = RFR</v>
      </c>
      <c r="Q7" s="83"/>
      <c r="R7" s="84">
        <f>IFNA(MATCH(A7,'RFR Data - preExcl'!A$2:A63,0),"")</f>
        <v>11</v>
      </c>
      <c r="S7" s="42"/>
      <c r="T7" s="20" t="str">
        <f>IF(EXACT('RFR Data - preExcl'!W7,"Initial"),'RFR Data - preExcl'!A7,IFERROR(0/0,""))</f>
        <v>RUN-NDHM_2022-05-02_RFR-006</v>
      </c>
      <c r="U7" s="96">
        <f>IF(EXACT('RFR Data - preExcl'!W7,"Initial"),'RFR Data - preExcl'!U7,IFERROR(0/0,""))</f>
        <v>44683</v>
      </c>
      <c r="X7" s="73"/>
      <c r="Y7" s="75"/>
      <c r="Z7" s="57"/>
      <c r="AA7" s="57"/>
      <c r="AB7" s="58"/>
      <c r="AC7" s="73"/>
      <c r="AD7" s="75"/>
      <c r="AE7" s="58"/>
      <c r="AF7" s="73"/>
      <c r="AG7" s="75"/>
      <c r="AH7" s="75"/>
      <c r="AI7" s="75"/>
      <c r="AJ7" s="75"/>
    </row>
    <row r="8">
      <c r="A8" s="7"/>
      <c r="B8" s="12">
        <v>44712.0</v>
      </c>
      <c r="C8" s="54"/>
      <c r="D8" s="54" t="str">
        <f t="array" ref="D8">IF(OR(ISBLANK($A8),C8),IFERROR(0/0,""),INDEX('RFR Data - preExcl'!E$2:E63,$R8,1))</f>
        <v/>
      </c>
      <c r="E8" s="54" t="str">
        <f t="array" ref="E8">IF(OR(ISBLANK($A8),$C8),IFERROR(0/0,""),INDEX('RFR Data - preExcl'!Z$2:Z63,$R8,1))</f>
        <v/>
      </c>
      <c r="F8" s="54" t="str">
        <f t="array" ref="F8">IF(OR(ISBLANK(A8),C8),IFERROR(0/0,""),INDEX('RFR Data - preExcl'!AC$2:AC63,$R8,1))</f>
        <v/>
      </c>
      <c r="G8" s="54" t="str">
        <f t="array" ref="G8">IF(OR(ISBLANK(A8),C8),IFERROR(0/0,""),INDEX('RFR Data - preExcl'!AK$2:AK63,$R8,1))</f>
        <v/>
      </c>
      <c r="H8" s="54" t="str">
        <f t="array" ref="H8">IF(OR(ISBLANK(A8),C8),IFERROR(0/0,""),INDEX('RFR Data - preExcl'!AL$2:AL63,$R8,1))</f>
        <v/>
      </c>
      <c r="I8" s="93">
        <f>IFERROR(VLOOKUP($B8,'APS Tubes by Date Import'!$B$2:$J63,2,FALSE),"")</f>
        <v>3</v>
      </c>
      <c r="J8" s="54" t="str">
        <f>IFERROR(VLOOKUP($B8,'APS Tubes by Date Import'!$B$2:$J63,9,FALSE),"")</f>
        <v/>
      </c>
      <c r="K8" s="54">
        <f>IFNA(VLOOKUP($B8,'APS Tubes by Date Import'!$B$2:$J63,6,FALSE),"")</f>
        <v>0</v>
      </c>
      <c r="L8" s="54" t="str">
        <f t="shared" si="2"/>
        <v/>
      </c>
      <c r="M8" s="54"/>
      <c r="N8" s="89">
        <v>6.1</v>
      </c>
      <c r="O8" s="81" t="str">
        <f t="shared" si="1"/>
        <v/>
      </c>
      <c r="P8" s="82" t="str">
        <f>IF(ISBLANK(N8),IFERROR(0/0,""),IFERROR(VLOOKUP(N8, 'Process Ref'!$A$220:$D$250, 2, FALSE), IFERROR(0/0,"")))</f>
        <v>No Run - APS Collect run next day</v>
      </c>
      <c r="Q8" s="83"/>
      <c r="R8" s="84" t="str">
        <f>IFNA(MATCH(A8,'RFR Data - preExcl'!A$2:A63,0),"")</f>
        <v/>
      </c>
      <c r="S8" s="42"/>
      <c r="T8" s="20" t="str">
        <f>IF(EXACT('RFR Data - preExcl'!W8,"Initial"),'RFR Data - preExcl'!A8,IFERROR(0/0,""))</f>
        <v/>
      </c>
      <c r="U8" s="20" t="str">
        <f>IF(EXACT('RFR Data - preExcl'!W8,"Initial"),'RFR Data - preExcl'!U8,IFERROR(0/0,""))</f>
        <v/>
      </c>
      <c r="X8" s="73"/>
      <c r="Y8" s="75"/>
      <c r="Z8" s="58"/>
      <c r="AA8" s="58"/>
      <c r="AB8" s="58"/>
      <c r="AC8" s="73"/>
      <c r="AD8" s="75"/>
      <c r="AE8" s="58"/>
      <c r="AF8" s="73"/>
      <c r="AG8" s="75"/>
      <c r="AH8" s="75"/>
      <c r="AI8" s="75"/>
      <c r="AJ8" s="75"/>
    </row>
    <row r="9">
      <c r="A9" s="7" t="s">
        <v>31</v>
      </c>
      <c r="B9" s="12">
        <v>44713.0</v>
      </c>
      <c r="C9" s="54"/>
      <c r="D9" s="47">
        <f t="array" ref="D9">IF(OR(ISBLANK($A9),C9),IFERROR(0/0,""),INDEX('RFR Data - preExcl'!E$2:E63,$R9,1))</f>
        <v>13</v>
      </c>
      <c r="E9" s="54">
        <f t="array" ref="E9">IF(OR(ISBLANK($A9),$C9),IFERROR(0/0,""),INDEX('RFR Data - preExcl'!Z$2:Z63,$R9,1))</f>
        <v>15</v>
      </c>
      <c r="F9" s="54">
        <f t="array" ref="F9">IF(OR(ISBLANK(A9),C9),IFERROR(0/0,""),INDEX('RFR Data - preExcl'!AC$2:AC63,$R9,1))</f>
        <v>14</v>
      </c>
      <c r="G9" s="54">
        <f t="array" ref="G9">IF(OR(ISBLANK(A9),C9),IFERROR(0/0,""),INDEX('RFR Data - preExcl'!AK$2:AK63,$R9,1))</f>
        <v>14</v>
      </c>
      <c r="H9" s="54">
        <f t="array" ref="H9">IF(OR(ISBLANK(A9),C9),IFERROR(0/0,""),INDEX('RFR Data - preExcl'!AL$2:AL63,$R9,1))</f>
        <v>0</v>
      </c>
      <c r="I9" s="94">
        <f>IFERROR(VLOOKUP($B9,'APS Tubes by Date Import'!$B$2:$J63,2,FALSE),"")</f>
        <v>10</v>
      </c>
      <c r="J9" s="54" t="b">
        <f>IFERROR(VLOOKUP($B9,'APS Tubes by Date Import'!$B$2:$J63,9,FALSE),"")</f>
        <v>1</v>
      </c>
      <c r="K9" s="54">
        <f>IFNA(VLOOKUP($B9,'APS Tubes by Date Import'!$B$2:$J63,6,FALSE),"")</f>
        <v>0</v>
      </c>
      <c r="L9" s="79">
        <v>13.0</v>
      </c>
      <c r="M9" s="54">
        <f>L9-I9-I8</f>
        <v>0</v>
      </c>
      <c r="N9" s="80">
        <v>0.2</v>
      </c>
      <c r="O9" s="81" t="b">
        <f t="shared" si="1"/>
        <v>1</v>
      </c>
      <c r="P9" s="82" t="str">
        <f>IF(ISBLANK(N9),IFERROR(0/0,""),IFERROR(VLOOKUP(N9, 'Process Ref'!$A$220:$D$250, 2, FALSE), IFERROR(0/0,"")))</f>
        <v>ALL 3 COUNTS SAME with APS Collect on previous days</v>
      </c>
      <c r="Q9" s="83"/>
      <c r="R9" s="84">
        <f>IFNA(MATCH(A9,'RFR Data - preExcl'!A$2:A63,0),"")</f>
        <v>12</v>
      </c>
      <c r="S9" s="42"/>
      <c r="T9" s="20" t="str">
        <f>IF(EXACT('RFR Data - preExcl'!W9,"Initial"),'RFR Data - preExcl'!A9,IFERROR(0/0,""))</f>
        <v/>
      </c>
      <c r="U9" s="20" t="str">
        <f>IF(EXACT('RFR Data - preExcl'!W9,"Initial"),'RFR Data - preExcl'!U9,IFERROR(0/0,""))</f>
        <v/>
      </c>
      <c r="X9" s="73"/>
      <c r="Y9" s="75"/>
      <c r="Z9" s="58"/>
      <c r="AA9" s="58"/>
      <c r="AB9" s="58"/>
      <c r="AC9" s="73"/>
      <c r="AD9" s="75"/>
      <c r="AE9" s="58"/>
      <c r="AF9" s="73"/>
      <c r="AG9" s="75"/>
      <c r="AH9" s="75"/>
      <c r="AI9" s="75"/>
      <c r="AJ9" s="75"/>
    </row>
    <row r="10">
      <c r="A10" s="7" t="s">
        <v>32</v>
      </c>
      <c r="B10" s="12">
        <v>44718.0</v>
      </c>
      <c r="C10" s="54"/>
      <c r="D10" s="97">
        <f t="array" ref="D10">IF(OR(ISBLANK($A10),C10),IFERROR(0/0,""),INDEX('RFR Data - preExcl'!E$2:E63,$R10,1))</f>
        <v>8</v>
      </c>
      <c r="E10" s="54">
        <f t="array" ref="E10">IF(OR(ISBLANK($A10),$C10),IFERROR(0/0,""),INDEX('RFR Data - preExcl'!Z$2:Z63,$R10,1))</f>
        <v>10</v>
      </c>
      <c r="F10" s="54">
        <f t="array" ref="F10">IF(OR(ISBLANK(A10),C10),IFERROR(0/0,""),INDEX('RFR Data - preExcl'!AC$2:AC63,$R10,1))</f>
        <v>14</v>
      </c>
      <c r="G10" s="54">
        <f t="array" ref="G10">IF(OR(ISBLANK(A10),C10),IFERROR(0/0,""),INDEX('RFR Data - preExcl'!AK$2:AK63,$R10,1))</f>
        <v>14</v>
      </c>
      <c r="H10" s="54">
        <f t="array" ref="H10">IF(OR(ISBLANK(A10),C10),IFERROR(0/0,""),INDEX('RFR Data - preExcl'!AL$2:AL63,$R10,1))</f>
        <v>0</v>
      </c>
      <c r="I10" s="98">
        <f>IFERROR(VLOOKUP($B10,'APS Tubes by Date Import'!$B$2:$J63,2,FALSE),"")</f>
        <v>7</v>
      </c>
      <c r="J10" s="54" t="b">
        <f>IFERROR(VLOOKUP($B10,'APS Tubes by Date Import'!$B$2:$J63,9,FALSE),"")</f>
        <v>1</v>
      </c>
      <c r="K10" s="54">
        <f>IFNA(VLOOKUP($B10,'APS Tubes by Date Import'!$B$2:$J63,6,FALSE),"")</f>
        <v>0</v>
      </c>
      <c r="L10" s="97">
        <f>D10</f>
        <v>8</v>
      </c>
      <c r="M10" s="54">
        <f t="shared" ref="M10:M19" si="3">L10-I10</f>
        <v>1</v>
      </c>
      <c r="N10" s="99">
        <v>9.0</v>
      </c>
      <c r="O10" s="81" t="b">
        <f t="shared" si="1"/>
        <v>1</v>
      </c>
      <c r="P10" s="82" t="str">
        <f>IF(ISBLANK(N10),IFERROR(0/0,""),IFERROR(VLOOKUP(N10, 'Process Ref'!$A$220:$D$250, 2, FALSE), IFERROR(0/0,"")))</f>
        <v/>
      </c>
      <c r="Q10" s="100" t="str">
        <f>'RFR Data - preExcl'!X14</f>
        <v>AG417 not in appivo</v>
      </c>
      <c r="R10" s="84">
        <f>IFNA(MATCH(A10,'RFR Data - preExcl'!A$2:A63,0),"")</f>
        <v>13</v>
      </c>
      <c r="S10" s="42"/>
      <c r="T10" s="20" t="str">
        <f>IF(EXACT('RFR Data - preExcl'!W10,"Initial"),'RFR Data - preExcl'!A10,IFERROR(0/0,""))</f>
        <v>RUN-NDHM_2022-05-09_RFR-009</v>
      </c>
      <c r="U10" s="96">
        <f>IF(EXACT('RFR Data - preExcl'!W10,"Initial"),'RFR Data - preExcl'!U10,IFERROR(0/0,""))</f>
        <v>44690</v>
      </c>
      <c r="X10" s="73"/>
      <c r="Y10" s="75"/>
      <c r="Z10" s="58"/>
      <c r="AA10" s="58"/>
      <c r="AB10" s="58"/>
      <c r="AC10" s="73"/>
      <c r="AD10" s="75"/>
      <c r="AE10" s="58"/>
      <c r="AF10" s="73"/>
      <c r="AG10" s="75"/>
      <c r="AH10" s="75"/>
      <c r="AI10" s="75"/>
      <c r="AJ10" s="75"/>
    </row>
    <row r="11">
      <c r="A11" s="12" t="s">
        <v>33</v>
      </c>
      <c r="B11" s="12">
        <v>44725.0</v>
      </c>
      <c r="C11" s="54"/>
      <c r="D11" s="101">
        <f t="array" ref="D11">IF(OR(ISBLANK($A11),C11),IFERROR(0/0,""),INDEX('RFR Data - preExcl'!E$2:E63,$R11,1))</f>
        <v>4</v>
      </c>
      <c r="E11" s="54">
        <f t="array" ref="E11">IF(OR(ISBLANK($A11),$C11),IFERROR(0/0,""),INDEX('RFR Data - preExcl'!Z$2:Z63,$R11,1))</f>
        <v>6</v>
      </c>
      <c r="F11" s="54">
        <f t="array" ref="F11">IF(OR(ISBLANK(A11),C11),IFERROR(0/0,""),INDEX('RFR Data - preExcl'!AC$2:AC63,$R11,1))</f>
        <v>6</v>
      </c>
      <c r="G11" s="101">
        <f t="array" ref="G11">IF(OR(ISBLANK(A11),C11),IFERROR(0/0,""),INDEX('RFR Data - preExcl'!AK$2:AK63,$R11,1))</f>
        <v>4</v>
      </c>
      <c r="H11" s="54">
        <f t="array" ref="H11">IF(OR(ISBLANK(A11),C11),IFERROR(0/0,""),INDEX('RFR Data - preExcl'!AL$2:AL63,$R11,1))</f>
        <v>1.1</v>
      </c>
      <c r="I11" s="101">
        <f>IFERROR(VLOOKUP($B11,'APS Tubes by Date Import'!$B$2:$J63,2,FALSE),"")</f>
        <v>4</v>
      </c>
      <c r="J11" s="54" t="b">
        <f>IFERROR(VLOOKUP($B11,'APS Tubes by Date Import'!$B$2:$J63,9,FALSE),"")</f>
        <v>1</v>
      </c>
      <c r="K11" s="54">
        <f>IFNA(VLOOKUP($B11,'APS Tubes by Date Import'!$B$2:$J63,6,FALSE),"")</f>
        <v>0</v>
      </c>
      <c r="L11" s="101">
        <f>G11</f>
        <v>4</v>
      </c>
      <c r="M11" s="54">
        <f t="shared" si="3"/>
        <v>0</v>
      </c>
      <c r="N11" s="102">
        <v>9.4</v>
      </c>
      <c r="O11" s="81" t="b">
        <f t="shared" si="1"/>
        <v>1</v>
      </c>
      <c r="P11" s="82" t="str">
        <f>IF(ISBLANK(N11),IFERROR(0/0,""),IFERROR(VLOOKUP(N11, 'Process Ref'!$A$220:$D$250, 2, FALSE), IFERROR(0/0,"")))</f>
        <v/>
      </c>
      <c r="Q11" s="103" t="s">
        <v>61</v>
      </c>
      <c r="R11" s="84">
        <f>IFNA(MATCH(A11,'RFR Data - preExcl'!A$2:A63,0),"")</f>
        <v>14</v>
      </c>
      <c r="S11" s="42"/>
      <c r="T11" s="20" t="str">
        <f>IF(EXACT('RFR Data - preExcl'!W11,"Initial"),'RFR Data - preExcl'!A11,IFERROR(0/0,""))</f>
        <v>RUN-NDHM_2022-05-16_RFR-010</v>
      </c>
      <c r="U11" s="96">
        <f>IF(EXACT('RFR Data - preExcl'!W11,"Initial"),'RFR Data - preExcl'!U11,IFERROR(0/0,""))</f>
        <v>44697</v>
      </c>
      <c r="X11" s="73"/>
      <c r="Y11" s="75"/>
      <c r="Z11" s="58"/>
      <c r="AA11" s="58"/>
      <c r="AB11" s="58"/>
      <c r="AC11" s="73"/>
      <c r="AD11" s="75"/>
      <c r="AE11" s="58"/>
      <c r="AF11" s="73"/>
      <c r="AG11" s="75"/>
      <c r="AH11" s="75"/>
      <c r="AI11" s="75"/>
      <c r="AJ11" s="75"/>
    </row>
    <row r="12">
      <c r="A12" s="7" t="s">
        <v>34</v>
      </c>
      <c r="B12" s="12">
        <v>44733.0</v>
      </c>
      <c r="C12" s="54"/>
      <c r="D12" s="47">
        <f t="array" ref="D12">IF(OR(ISBLANK($A12),C12),IFERROR(0/0,""),INDEX('RFR Data - preExcl'!E$2:E63,$R12,1))</f>
        <v>2</v>
      </c>
      <c r="E12" s="54">
        <f t="array" ref="E12">IF(OR(ISBLANK($A12),$C12),IFERROR(0/0,""),INDEX('RFR Data - preExcl'!Z$2:Z63,$R12,1))</f>
        <v>4</v>
      </c>
      <c r="F12" s="54">
        <f t="array" ref="F12">IF(OR(ISBLANK(A12),C12),IFERROR(0/0,""),INDEX('RFR Data - preExcl'!AC$2:AC63,$R12,1))</f>
        <v>2</v>
      </c>
      <c r="G12" s="47">
        <f t="array" ref="G12">IF(OR(ISBLANK(A12),C12),IFERROR(0/0,""),INDEX('RFR Data - preExcl'!AK$2:AK63,$R12,1))</f>
        <v>2</v>
      </c>
      <c r="H12" s="54">
        <f t="array" ref="H12">IF(OR(ISBLANK(A12),C12),IFERROR(0/0,""),INDEX('RFR Data - preExcl'!AL$2:AL63,$R12,1))</f>
        <v>0</v>
      </c>
      <c r="I12" s="47">
        <f>IFERROR(VLOOKUP($B12,'APS Tubes by Date Import'!$B$2:$J63,2,FALSE),"")</f>
        <v>2</v>
      </c>
      <c r="J12" s="54" t="b">
        <f>IFERROR(VLOOKUP($B12,'APS Tubes by Date Import'!$B$2:$J63,9,FALSE),"")</f>
        <v>1</v>
      </c>
      <c r="K12" s="54">
        <f>IFNA(VLOOKUP($B12,'APS Tubes by Date Import'!$B$2:$J63,6,FALSE),"")</f>
        <v>0</v>
      </c>
      <c r="L12" s="79">
        <v>2.0</v>
      </c>
      <c r="M12" s="54">
        <f t="shared" si="3"/>
        <v>0</v>
      </c>
      <c r="N12" s="80">
        <v>0.0</v>
      </c>
      <c r="O12" s="81" t="b">
        <f t="shared" si="1"/>
        <v>1</v>
      </c>
      <c r="P12" s="82" t="str">
        <f>IF(ISBLANK(N12),IFERROR(0/0,""),IFERROR(VLOOKUP(N12, 'Process Ref'!$A$220:$D$250, 2, FALSE), IFERROR(0/0,"")))</f>
        <v>ALL 3 COUNTS SAME meaning APS Collect = APS Result = RFR</v>
      </c>
      <c r="Q12" s="83"/>
      <c r="R12" s="84">
        <f>IFNA(MATCH(A12,'RFR Data - preExcl'!A$2:A63,0),"")</f>
        <v>16</v>
      </c>
      <c r="S12" s="42"/>
      <c r="T12" s="20" t="str">
        <f>IF(EXACT('RFR Data - preExcl'!W12,"Initial"),'RFR Data - preExcl'!A12,IFERROR(0/0,""))</f>
        <v>RUN-NDHM_2022-05-23_RFR-011</v>
      </c>
      <c r="U12" s="96">
        <f>IF(EXACT('RFR Data - preExcl'!W12,"Initial"),'RFR Data - preExcl'!U12,IFERROR(0/0,""))</f>
        <v>44704</v>
      </c>
      <c r="X12" s="42"/>
      <c r="Y12" s="104"/>
      <c r="AC12" s="42"/>
      <c r="AF12" s="42"/>
    </row>
    <row r="13">
      <c r="A13" s="7" t="s">
        <v>35</v>
      </c>
      <c r="B13" s="12">
        <v>44739.0</v>
      </c>
      <c r="C13" s="54"/>
      <c r="D13" s="47">
        <f t="array" ref="D13">IF(OR(ISBLANK($A13),C13),IFERROR(0/0,""),INDEX('RFR Data - preExcl'!E$2:E63,$R13,1))</f>
        <v>1</v>
      </c>
      <c r="E13" s="54">
        <f t="array" ref="E13">IF(OR(ISBLANK($A13),$C13),IFERROR(0/0,""),INDEX('RFR Data - preExcl'!Z$2:Z63,$R13,1))</f>
        <v>3</v>
      </c>
      <c r="F13" s="54">
        <f t="array" ref="F13">IF(OR(ISBLANK(A13),C13),IFERROR(0/0,""),INDEX('RFR Data - preExcl'!AC$2:AC63,$R13,1))</f>
        <v>1</v>
      </c>
      <c r="G13" s="47">
        <f t="array" ref="G13">IF(OR(ISBLANK(A13),C13),IFERROR(0/0,""),INDEX('RFR Data - preExcl'!AK$2:AK63,$R13,1))</f>
        <v>1</v>
      </c>
      <c r="H13" s="54">
        <f t="array" ref="H13">IF(OR(ISBLANK(A13),C13),IFERROR(0/0,""),INDEX('RFR Data - preExcl'!AL$2:AL63,$R13,1))</f>
        <v>0</v>
      </c>
      <c r="I13" s="47">
        <f>IFERROR(VLOOKUP($B13,'APS Tubes by Date Import'!$B$2:$J63,2,FALSE),"")</f>
        <v>1</v>
      </c>
      <c r="J13" s="54" t="b">
        <f>IFERROR(VLOOKUP($B13,'APS Tubes by Date Import'!$B$2:$J63,9,FALSE),"")</f>
        <v>1</v>
      </c>
      <c r="K13" s="54">
        <f>IFNA(VLOOKUP($B13,'APS Tubes by Date Import'!$B$2:$J63,6,FALSE),"")</f>
        <v>0</v>
      </c>
      <c r="L13" s="47">
        <f t="shared" ref="L13:L16" si="4">G13</f>
        <v>1</v>
      </c>
      <c r="M13" s="54">
        <f t="shared" si="3"/>
        <v>0</v>
      </c>
      <c r="N13" s="80">
        <v>0.0</v>
      </c>
      <c r="O13" s="81" t="b">
        <f t="shared" si="1"/>
        <v>1</v>
      </c>
      <c r="P13" s="82" t="str">
        <f>IF(ISBLANK(N13),IFERROR(0/0,""),IFERROR(VLOOKUP(N13, 'Process Ref'!$A$220:$D$250, 2, FALSE), IFERROR(0/0,"")))</f>
        <v>ALL 3 COUNTS SAME meaning APS Collect = APS Result = RFR</v>
      </c>
      <c r="Q13" s="83"/>
      <c r="R13" s="84">
        <f>IFNA(MATCH(A13,'RFR Data - preExcl'!A$2:A63,0),"")</f>
        <v>17</v>
      </c>
      <c r="S13" s="42"/>
      <c r="T13" s="20" t="str">
        <f>IF(EXACT('RFR Data - preExcl'!W13,"Initial"),'RFR Data - preExcl'!A13,IFERROR(0/0,""))</f>
        <v>RUN-NDHM_2022-06-01_RFR-012</v>
      </c>
      <c r="U13" s="96">
        <f>IF(EXACT('RFR Data - preExcl'!W13,"Initial"),'RFR Data - preExcl'!U13,IFERROR(0/0,""))</f>
        <v>44713</v>
      </c>
      <c r="X13" s="42"/>
      <c r="Y13" s="104"/>
      <c r="AC13" s="42"/>
      <c r="AF13" s="42"/>
    </row>
    <row r="14">
      <c r="A14" s="7" t="s">
        <v>36</v>
      </c>
      <c r="B14" s="12">
        <v>44753.0</v>
      </c>
      <c r="C14" s="54"/>
      <c r="D14" s="54">
        <f t="array" ref="D14">IF(OR(ISBLANK($A14),C14),IFERROR(0/0,""),INDEX('RFR Data - preExcl'!E$2:E63,$R14,1))</f>
        <v>3</v>
      </c>
      <c r="E14" s="54">
        <f t="array" ref="E14">IF(OR(ISBLANK($A14),$C14),IFERROR(0/0,""),INDEX('RFR Data - preExcl'!Z$2:Z63,$R14,1))</f>
        <v>5</v>
      </c>
      <c r="F14" s="54">
        <f t="array" ref="F14">IF(OR(ISBLANK(A14),C14),IFERROR(0/0,""),INDEX('RFR Data - preExcl'!AC$2:AC63,$R14,1))</f>
        <v>3</v>
      </c>
      <c r="G14" s="54">
        <f t="array" ref="G14">IF(OR(ISBLANK(A14),C14),IFERROR(0/0,""),INDEX('RFR Data - preExcl'!AK$2:AK63,$R14,1))</f>
        <v>1</v>
      </c>
      <c r="H14" s="54">
        <f t="array" ref="H14">IF(OR(ISBLANK(A14),C14),IFERROR(0/0,""),INDEX('RFR Data - preExcl'!AL$2:AL63,$R14,1))</f>
        <v>0</v>
      </c>
      <c r="I14" s="105">
        <f>IFERROR(VLOOKUP($B14,'APS Tubes by Date Import'!$B$2:$J63,2,FALSE),"")</f>
        <v>1</v>
      </c>
      <c r="J14" s="54" t="b">
        <f>IFERROR(VLOOKUP($B14,'APS Tubes by Date Import'!$B$2:$J63,9,FALSE),"")</f>
        <v>1</v>
      </c>
      <c r="K14" s="54">
        <f>IFNA(VLOOKUP($B14,'APS Tubes by Date Import'!$B$2:$J63,6,FALSE),"")</f>
        <v>0</v>
      </c>
      <c r="L14" s="106">
        <f t="shared" si="4"/>
        <v>1</v>
      </c>
      <c r="M14" s="54">
        <f t="shared" si="3"/>
        <v>0</v>
      </c>
      <c r="N14" s="89">
        <v>0.0</v>
      </c>
      <c r="O14" s="81" t="b">
        <f t="shared" si="1"/>
        <v>1</v>
      </c>
      <c r="P14" s="82" t="str">
        <f>IF(ISBLANK(N14),IFERROR(0/0,""),IFERROR(VLOOKUP(N14, 'Process Ref'!$A$220:$D$250, 2, FALSE), IFERROR(0/0,"")))</f>
        <v>ALL 3 COUNTS SAME meaning APS Collect = APS Result = RFR</v>
      </c>
      <c r="Q14" s="103" t="s">
        <v>62</v>
      </c>
      <c r="R14" s="84">
        <f>IFNA(MATCH(A14,'RFR Data - preExcl'!A$2:A63,0),"")</f>
        <v>18</v>
      </c>
      <c r="S14" s="42"/>
      <c r="T14" s="20" t="str">
        <f>IF(EXACT('RFR Data - preExcl'!W14,"Initial"),'RFR Data - preExcl'!A14,IFERROR(0/0,""))</f>
        <v>RUN-NDHM_2022-06-06_RFR-013</v>
      </c>
      <c r="U14" s="96">
        <f>IF(EXACT('RFR Data - preExcl'!W14,"Initial"),'RFR Data - preExcl'!U14,IFERROR(0/0,""))</f>
        <v>44718</v>
      </c>
      <c r="X14" s="42"/>
      <c r="Y14" s="104"/>
      <c r="AC14" s="42"/>
      <c r="AF14" s="42"/>
    </row>
    <row r="15">
      <c r="A15" s="7" t="s">
        <v>37</v>
      </c>
      <c r="B15" s="12">
        <v>44760.0</v>
      </c>
      <c r="C15" s="54"/>
      <c r="D15" s="105">
        <f t="array" ref="D15">IF(OR(ISBLANK($A15),C15),IFERROR(0/0,""),INDEX('RFR Data - preExcl'!E$2:E63,$R15,1))</f>
        <v>1</v>
      </c>
      <c r="E15" s="54">
        <f t="array" ref="E15">IF(OR(ISBLANK($A15),$C15),IFERROR(0/0,""),INDEX('RFR Data - preExcl'!Z$2:Z63,$R15,1))</f>
        <v>3</v>
      </c>
      <c r="F15" s="54">
        <f t="array" ref="F15">IF(OR(ISBLANK(A15),C15),IFERROR(0/0,""),INDEX('RFR Data - preExcl'!AC$2:AC63,$R15,1))</f>
        <v>1</v>
      </c>
      <c r="G15" s="54">
        <f t="array" ref="G15">IF(OR(ISBLANK(A15),C15),IFERROR(0/0,""),INDEX('RFR Data - preExcl'!AK$2:AK63,$R15,1))</f>
        <v>1</v>
      </c>
      <c r="H15" s="54">
        <f t="array" ref="H15">IF(OR(ISBLANK(A15),C15),IFERROR(0/0,""),INDEX('RFR Data - preExcl'!AL$2:AL63,$R15,1))</f>
        <v>0</v>
      </c>
      <c r="I15" s="49">
        <f>IFERROR(VLOOKUP($B15,'APS Tubes by Date Import'!$B$2:$J63,2,FALSE),"")</f>
        <v>1</v>
      </c>
      <c r="J15" s="54" t="b">
        <f>IFERROR(VLOOKUP($B15,'APS Tubes by Date Import'!$B$2:$J63,9,FALSE),"")</f>
        <v>1</v>
      </c>
      <c r="K15" s="54">
        <f>IFNA(VLOOKUP($B15,'APS Tubes by Date Import'!$B$2:$J63,6,FALSE),"")</f>
        <v>0</v>
      </c>
      <c r="L15" s="49">
        <f t="shared" si="4"/>
        <v>1</v>
      </c>
      <c r="M15" s="54">
        <f t="shared" si="3"/>
        <v>0</v>
      </c>
      <c r="N15" s="107">
        <v>1.4</v>
      </c>
      <c r="O15" s="81" t="b">
        <f t="shared" si="1"/>
        <v>1</v>
      </c>
      <c r="P15" s="82" t="str">
        <f>IF(ISBLANK(N15),IFERROR(0/0,""),IFERROR(VLOOKUP(N15, 'Process Ref'!$A$220:$D$250, 2, FALSE), IFERROR(0/0,"")))</f>
        <v>Use APS Collect = RFR Audit (ignore APS Result and GFORM Num samples is different)</v>
      </c>
      <c r="Q15" s="83"/>
      <c r="R15" s="84">
        <f>IFNA(MATCH(A15,'RFR Data - preExcl'!A$2:A63,0),"")</f>
        <v>19</v>
      </c>
      <c r="S15" s="42"/>
      <c r="T15" s="20" t="str">
        <f>IF(EXACT('RFR Data - preExcl'!W15,"Initial"),'RFR Data - preExcl'!A15,IFERROR(0/0,""))</f>
        <v>RUN-NDHM_2022-06-13_RFR-014</v>
      </c>
      <c r="U15" s="96">
        <f>IF(EXACT('RFR Data - preExcl'!W15,"Initial"),'RFR Data - preExcl'!U15,IFERROR(0/0,""))</f>
        <v>44725</v>
      </c>
      <c r="X15" s="42"/>
      <c r="Y15" s="104"/>
      <c r="AC15" s="42"/>
      <c r="AF15" s="42"/>
    </row>
    <row r="16">
      <c r="A16" s="7" t="s">
        <v>38</v>
      </c>
      <c r="B16" s="12">
        <v>44767.0</v>
      </c>
      <c r="C16" s="54"/>
      <c r="D16" s="47">
        <f t="array" ref="D16">IF(OR(ISBLANK($A16),C16),IFERROR(0/0,""),INDEX('RFR Data - preExcl'!E$2:E63,$R16,1))</f>
        <v>3</v>
      </c>
      <c r="E16" s="54">
        <f t="array" ref="E16">IF(OR(ISBLANK($A16),$C16),IFERROR(0/0,""),INDEX('RFR Data - preExcl'!Z$2:Z63,$R16,1))</f>
        <v>5</v>
      </c>
      <c r="F16" s="54">
        <f t="array" ref="F16">IF(OR(ISBLANK(A16),C16),IFERROR(0/0,""),INDEX('RFR Data - preExcl'!AC$2:AC63,$R16,1))</f>
        <v>3</v>
      </c>
      <c r="G16" s="54">
        <f t="array" ref="G16">IF(OR(ISBLANK(A16),C16),IFERROR(0/0,""),INDEX('RFR Data - preExcl'!AK$2:AK63,$R16,1))</f>
        <v>3</v>
      </c>
      <c r="H16" s="54">
        <f t="array" ref="H16">IF(OR(ISBLANK(A16),C16),IFERROR(0/0,""),INDEX('RFR Data - preExcl'!AL$2:AL63,$R16,1))</f>
        <v>0</v>
      </c>
      <c r="I16" s="47">
        <f>IFERROR(VLOOKUP($B16,'APS Tubes by Date Import'!$B$2:$J63,2,FALSE),"")</f>
        <v>3</v>
      </c>
      <c r="J16" s="54" t="b">
        <f>IFERROR(VLOOKUP($B16,'APS Tubes by Date Import'!$B$2:$J63,9,FALSE),"")</f>
        <v>1</v>
      </c>
      <c r="K16" s="54">
        <f>IFNA(VLOOKUP($B16,'APS Tubes by Date Import'!$B$2:$J63,6,FALSE),"")</f>
        <v>0</v>
      </c>
      <c r="L16" s="47">
        <f t="shared" si="4"/>
        <v>3</v>
      </c>
      <c r="M16" s="54">
        <f t="shared" si="3"/>
        <v>0</v>
      </c>
      <c r="N16" s="80">
        <v>0.0</v>
      </c>
      <c r="O16" s="81" t="b">
        <f t="shared" si="1"/>
        <v>1</v>
      </c>
      <c r="P16" s="82" t="str">
        <f>IF(ISBLANK(N16),IFERROR(0/0,""),IFERROR(VLOOKUP(N16, 'Process Ref'!$A$220:$D$250, 2, FALSE), IFERROR(0/0,"")))</f>
        <v>ALL 3 COUNTS SAME meaning APS Collect = APS Result = RFR</v>
      </c>
      <c r="Q16" s="83"/>
      <c r="R16" s="84">
        <f>IFNA(MATCH(A16,'RFR Data - preExcl'!A$2:A63,0),"")</f>
        <v>20</v>
      </c>
      <c r="S16" s="42"/>
      <c r="T16" s="20" t="str">
        <f>IF(EXACT('RFR Data - preExcl'!W16,"Initial"),'RFR Data - preExcl'!A16,IFERROR(0/0,""))</f>
        <v/>
      </c>
      <c r="U16" s="20" t="str">
        <f>IF(EXACT('RFR Data - preExcl'!W16,"Initial"),'RFR Data - preExcl'!U16,IFERROR(0/0,""))</f>
        <v/>
      </c>
      <c r="X16" s="42"/>
      <c r="Y16" s="104"/>
      <c r="AC16" s="42"/>
      <c r="AF16" s="42"/>
    </row>
    <row r="17">
      <c r="A17" s="7" t="s">
        <v>39</v>
      </c>
      <c r="B17" s="12">
        <v>44774.0</v>
      </c>
      <c r="C17" s="54"/>
      <c r="D17" s="54"/>
      <c r="E17" s="54"/>
      <c r="F17" s="54"/>
      <c r="G17" s="54"/>
      <c r="H17" s="54"/>
      <c r="I17" s="54">
        <f>IFERROR(VLOOKUP($B17,'APS Tubes by Date Import'!$B$2:$J63,2,FALSE),"")</f>
        <v>1</v>
      </c>
      <c r="J17" s="54" t="str">
        <f>IFERROR(VLOOKUP($B17,'APS Tubes by Date Import'!$B$2:$J63,9,FALSE),"")</f>
        <v/>
      </c>
      <c r="K17" s="54">
        <f>IFNA(VLOOKUP($B17,'APS Tubes by Date Import'!$B$2:$J63,6,FALSE),"")</f>
        <v>0</v>
      </c>
      <c r="L17" s="106">
        <f t="shared" ref="L17:L18" si="5">I17</f>
        <v>1</v>
      </c>
      <c r="M17" s="54">
        <f t="shared" si="3"/>
        <v>0</v>
      </c>
      <c r="N17" s="108">
        <v>3.4</v>
      </c>
      <c r="O17" s="81" t="b">
        <f t="shared" si="1"/>
        <v>1</v>
      </c>
      <c r="P17" s="82" t="str">
        <f>IF(ISBLANK(N17),IFERROR(0/0,""),IFERROR(VLOOKUP(N17, 'Process Ref'!$A$220:$D$250, 2, FALSE), IFERROR(0/0,"")))</f>
        <v>Add Run from APS with no RFR (assume run on same day as Collect, ignore Result day)</v>
      </c>
      <c r="Q17" s="83"/>
      <c r="R17" s="84" t="str">
        <f>IFNA(MATCH(A17,'RFR Data - preExcl'!A$2:A63,0),"")</f>
        <v/>
      </c>
      <c r="S17" s="42"/>
      <c r="T17" s="20" t="str">
        <f>IF(EXACT('RFR Data - preExcl'!W17,"Initial"),'RFR Data - preExcl'!A17,IFERROR(0/0,""))</f>
        <v>RUN-NDHM_2022-06-21_RFR-016</v>
      </c>
      <c r="U17" s="96">
        <f>IF(EXACT('RFR Data - preExcl'!W17,"Initial"),'RFR Data - preExcl'!U17,IFERROR(0/0,""))</f>
        <v>44733</v>
      </c>
      <c r="X17" s="42"/>
      <c r="Y17" s="104"/>
      <c r="AC17" s="42"/>
      <c r="AF17" s="42"/>
    </row>
    <row r="18">
      <c r="A18" s="7" t="s">
        <v>40</v>
      </c>
      <c r="B18" s="12">
        <v>44816.0</v>
      </c>
      <c r="C18" s="54"/>
      <c r="D18" s="54"/>
      <c r="E18" s="54"/>
      <c r="F18" s="54"/>
      <c r="G18" s="54"/>
      <c r="H18" s="54"/>
      <c r="I18" s="54">
        <f>IFERROR(VLOOKUP($B18,'APS Tubes by Date Import'!$B$2:$J63,2,FALSE),"")</f>
        <v>1</v>
      </c>
      <c r="J18" s="54" t="b">
        <f>IFERROR(VLOOKUP($B18,'APS Tubes by Date Import'!$B$2:$J63,9,FALSE),"")</f>
        <v>1</v>
      </c>
      <c r="K18" s="54"/>
      <c r="L18" s="106">
        <f t="shared" si="5"/>
        <v>1</v>
      </c>
      <c r="M18" s="54">
        <f t="shared" si="3"/>
        <v>0</v>
      </c>
      <c r="N18" s="108">
        <v>3.4</v>
      </c>
      <c r="O18" s="81" t="b">
        <f t="shared" si="1"/>
        <v>1</v>
      </c>
      <c r="P18" s="82" t="str">
        <f>IF(ISBLANK(N18),IFERROR(0/0,""),IFERROR(VLOOKUP(N18, 'Process Ref'!$A$220:$D$250, 2, FALSE), IFERROR(0/0,"")))</f>
        <v>Add Run from APS with no RFR (assume run on same day as Collect, ignore Result day)</v>
      </c>
      <c r="Q18" s="83"/>
      <c r="R18" s="84" t="str">
        <f>IFNA(MATCH(A18,'RFR Data - preExcl'!A$2:A63,0),"")</f>
        <v/>
      </c>
      <c r="S18" s="42"/>
      <c r="T18" s="20" t="str">
        <f>IF(EXACT('RFR Data - preExcl'!W18,"Initial"),'RFR Data - preExcl'!A18,IFERROR(0/0,""))</f>
        <v>RUN-NDHM_2022-06-27_RFR-017</v>
      </c>
      <c r="U18" s="96">
        <f>IF(EXACT('RFR Data - preExcl'!W18,"Initial"),'RFR Data - preExcl'!U18,IFERROR(0/0,""))</f>
        <v>44739</v>
      </c>
      <c r="X18" s="42"/>
      <c r="Y18" s="104"/>
      <c r="AC18" s="42"/>
      <c r="AF18" s="42"/>
    </row>
    <row r="19">
      <c r="A19" s="7" t="s">
        <v>41</v>
      </c>
      <c r="B19" s="12">
        <v>44837.0</v>
      </c>
      <c r="C19" s="54"/>
      <c r="D19" s="54">
        <f t="array" ref="D19">IF(OR(ISBLANK($A19),C19),IFERROR(0/0,""),INDEX('RFR Data - preExcl'!E$2:E63,$R19,1))</f>
        <v>1</v>
      </c>
      <c r="E19" s="54">
        <f t="array" ref="E19">IF(OR(ISBLANK($A19),$C19),IFERROR(0/0,""),INDEX('RFR Data - preExcl'!Z$2:Z63,$R19,1))</f>
        <v>4</v>
      </c>
      <c r="F19" s="54">
        <f t="array" ref="F19">IF(OR(ISBLANK(A19),C19),IFERROR(0/0,""),INDEX('RFR Data - preExcl'!AC$2:AC63,$R19,1))</f>
        <v>2</v>
      </c>
      <c r="G19" s="54">
        <f t="array" ref="G19">IF(OR(ISBLANK(A19),C19),IFERROR(0/0,""),INDEX('RFR Data - preExcl'!AK$2:AK63,$R19,1))</f>
        <v>1</v>
      </c>
      <c r="H19" s="54">
        <f t="array" ref="H19">IF(OR(ISBLANK(A19),C19),IFERROR(0/0,""),INDEX('RFR Data - preExcl'!AL$2:AL63,$R19,1))</f>
        <v>0</v>
      </c>
      <c r="I19" s="54">
        <f>IFERROR(VLOOKUP($B19,'APS Tubes by Date Import'!$B$2:$J63,2,FALSE),"")</f>
        <v>1</v>
      </c>
      <c r="J19" s="54" t="b">
        <f>IFERROR(VLOOKUP($B19,'APS Tubes by Date Import'!$B$2:$J63,9,FALSE),"")</f>
        <v>1</v>
      </c>
      <c r="K19" s="54"/>
      <c r="L19" s="106">
        <f>G19</f>
        <v>1</v>
      </c>
      <c r="M19" s="54">
        <f t="shared" si="3"/>
        <v>0</v>
      </c>
      <c r="N19" s="80">
        <v>0.0</v>
      </c>
      <c r="O19" s="81"/>
      <c r="P19" s="82" t="str">
        <f>IF(ISBLANK(N19),IFERROR(0/0,""),IFERROR(VLOOKUP(N19, 'Process Ref'!$A$220:$D$250, 2, FALSE), IFERROR(0/0,"")))</f>
        <v>ALL 3 COUNTS SAME meaning APS Collect = APS Result = RFR</v>
      </c>
      <c r="Q19" s="83"/>
      <c r="R19" s="84">
        <f>IFNA(MATCH(A19,'RFR Data - preExcl'!A$2:A63,0),"")</f>
        <v>21</v>
      </c>
      <c r="S19" s="42"/>
      <c r="T19" s="20" t="str">
        <f>IF(EXACT('RFR Data - preExcl'!W19,"Initial"),'RFR Data - preExcl'!A19,IFERROR(0/0,""))</f>
        <v>RUN-NDHM_2022-07-11_RFR-018</v>
      </c>
      <c r="U19" s="96">
        <f>IF(EXACT('RFR Data - preExcl'!W19,"Initial"),'RFR Data - preExcl'!U19,IFERROR(0/0,""))</f>
        <v>44753</v>
      </c>
      <c r="X19" s="42"/>
      <c r="Y19" s="104"/>
      <c r="AC19" s="42"/>
      <c r="AF19" s="42"/>
    </row>
    <row r="20">
      <c r="A20" s="7"/>
      <c r="B20" s="12"/>
      <c r="C20" s="54"/>
      <c r="D20" s="54" t="str">
        <f t="array" ref="D20">IF(OR(ISBLANK($A20),C20),IFERROR(0/0,""),INDEX('RFR Data - preExcl'!E$2:E63,$R20,1))</f>
        <v/>
      </c>
      <c r="E20" s="54" t="str">
        <f t="array" ref="E20">IF(OR(ISBLANK($A20),$C20),IFERROR(0/0,""),INDEX('RFR Data - preExcl'!Z$2:Z63,$R20,1))</f>
        <v/>
      </c>
      <c r="F20" s="54" t="str">
        <f t="array" ref="F20">IF(OR(ISBLANK(A20),C20),IFERROR(0/0,""),INDEX('RFR Data - preExcl'!AC$2:AC63,$R20,1))</f>
        <v/>
      </c>
      <c r="G20" s="54" t="str">
        <f t="array" ref="G20">IF(OR(ISBLANK(A20),C20),IFERROR(0/0,""),INDEX('RFR Data - preExcl'!AK$2:AK63,$R20,1))</f>
        <v/>
      </c>
      <c r="H20" s="54" t="str">
        <f t="array" ref="H20">IF(OR(ISBLANK(A20),C20),IFERROR(0/0,""),INDEX('RFR Data - preExcl'!AL$2:AL63,$R20,1))</f>
        <v/>
      </c>
      <c r="I20" s="54" t="str">
        <f>IFERROR(VLOOKUP($B20,'APS Tubes by Date Import'!$B$2:$J63,2,FALSE),"")</f>
        <v/>
      </c>
      <c r="J20" s="54" t="str">
        <f>IFERROR(VLOOKUP($B20,'APS Tubes by Date Import'!$B$2:$J63,9,FALSE),"")</f>
        <v/>
      </c>
      <c r="K20" s="54"/>
      <c r="L20" s="109"/>
      <c r="M20" s="54"/>
      <c r="N20" s="95"/>
      <c r="O20" s="81"/>
      <c r="P20" s="82"/>
      <c r="Q20" s="83"/>
      <c r="R20" s="84" t="str">
        <f>IFNA(MATCH(A20,'RFR Data - preExcl'!A$2:A63,0),"")</f>
        <v/>
      </c>
      <c r="S20" s="42"/>
      <c r="T20" s="20" t="str">
        <f>IF(EXACT('RFR Data - preExcl'!W20,"Initial"),'RFR Data - preExcl'!A20,IFERROR(0/0,""))</f>
        <v>RUN-NDHM_2022-07-18_RFR-019</v>
      </c>
      <c r="U20" s="96">
        <f>IF(EXACT('RFR Data - preExcl'!W20,"Initial"),'RFR Data - preExcl'!U20,IFERROR(0/0,""))</f>
        <v>44760</v>
      </c>
      <c r="X20" s="42"/>
      <c r="Y20" s="104"/>
      <c r="AC20" s="42"/>
      <c r="AF20" s="42"/>
    </row>
    <row r="21">
      <c r="B21" s="12"/>
      <c r="C21" s="54"/>
      <c r="D21" s="54" t="str">
        <f t="array" ref="D21">IF(OR(ISBLANK($A21),C21),IFERROR(0/0,""),INDEX('RFR Data - preExcl'!E$2:E63,$R21,1))</f>
        <v/>
      </c>
      <c r="E21" s="54" t="str">
        <f t="array" ref="E21">IF(OR(ISBLANK($A21),$C21),IFERROR(0/0,""),INDEX('RFR Data - preExcl'!Z$2:Z63,$R21,1))</f>
        <v/>
      </c>
      <c r="F21" s="54" t="str">
        <f t="array" ref="F21">IF(OR(ISBLANK(A21),C21),IFERROR(0/0,""),INDEX('RFR Data - preExcl'!AC$2:AC63,$R21,1))</f>
        <v/>
      </c>
      <c r="G21" s="54" t="str">
        <f t="array" ref="G21">IF(OR(ISBLANK(A21),C21),IFERROR(0/0,""),INDEX('RFR Data - preExcl'!AK$2:AK63,$R21,1))</f>
        <v/>
      </c>
      <c r="H21" s="54" t="str">
        <f t="array" ref="H21">IF(OR(ISBLANK(A21),C21),IFERROR(0/0,""),INDEX('RFR Data - preExcl'!AL$2:AL63,$R21,1))</f>
        <v/>
      </c>
      <c r="I21" s="54" t="str">
        <f>IFERROR(VLOOKUP($B21,'APS Tubes by Date Import'!$B$2:$J63,2,FALSE),"")</f>
        <v/>
      </c>
      <c r="J21" s="54" t="str">
        <f>IFERROR(VLOOKUP($B21,'APS Tubes by Date Import'!$B$2:$J63,9,FALSE),"")</f>
        <v/>
      </c>
      <c r="K21" s="54"/>
      <c r="L21" s="106"/>
      <c r="M21" s="54"/>
      <c r="N21" s="95"/>
      <c r="O21" s="81"/>
      <c r="P21" s="83"/>
      <c r="Q21" s="83"/>
      <c r="R21" s="84" t="str">
        <f>IFNA(MATCH(A21,'RFR Data - preExcl'!A$2:A63,0),"")</f>
        <v/>
      </c>
      <c r="S21" s="42"/>
      <c r="T21" s="20" t="str">
        <f>IF(EXACT('RFR Data - preExcl'!W21,"Initial"),'RFR Data - preExcl'!A21,IFERROR(0/0,""))</f>
        <v>RUN-NDHM_2022-07-25_RFR-020</v>
      </c>
      <c r="U21" s="96">
        <f>IF(EXACT('RFR Data - preExcl'!W21,"Initial"),'RFR Data - preExcl'!U21,IFERROR(0/0,""))</f>
        <v>44767</v>
      </c>
      <c r="W21" s="110" t="s">
        <v>63</v>
      </c>
      <c r="X21" s="42"/>
      <c r="Y21" s="104"/>
      <c r="AC21" s="42"/>
      <c r="AF21" s="42"/>
    </row>
    <row r="22">
      <c r="B22" s="12"/>
      <c r="C22" s="54"/>
      <c r="D22" s="54"/>
      <c r="E22" s="54"/>
      <c r="F22" s="54"/>
      <c r="G22" s="54"/>
      <c r="H22" s="54"/>
      <c r="I22" s="54"/>
      <c r="J22" s="54"/>
      <c r="K22" s="54"/>
      <c r="L22" s="106"/>
      <c r="M22" s="54"/>
      <c r="N22" s="95"/>
      <c r="O22" s="81"/>
      <c r="P22" s="83"/>
      <c r="Q22" s="83"/>
      <c r="R22" s="84"/>
      <c r="S22" s="42"/>
      <c r="T22" s="20" t="str">
        <f>IF(EXACT('RFR Data - preExcl'!W22,"Initial"),'RFR Data - preExcl'!A22,IFERROR(0/0,""))</f>
        <v>RUN-NDHM_2022-10-03_RFR-021</v>
      </c>
      <c r="U22" s="96">
        <f>IF(EXACT('RFR Data - preExcl'!W22,"Initial"),'RFR Data - preExcl'!U22,IFERROR(0/0,""))</f>
        <v>44837</v>
      </c>
      <c r="V22" s="111"/>
      <c r="W22" s="112">
        <v>0.0</v>
      </c>
      <c r="X22" s="42"/>
      <c r="Y22" s="104"/>
      <c r="AC22" s="42"/>
      <c r="AF22" s="42"/>
    </row>
    <row r="23">
      <c r="B23" s="12"/>
      <c r="C23" s="54"/>
      <c r="D23" s="54"/>
      <c r="E23" s="54"/>
      <c r="F23" s="54"/>
      <c r="G23" s="54"/>
      <c r="H23" s="54"/>
      <c r="I23" s="54"/>
      <c r="J23" s="54"/>
      <c r="K23" s="54"/>
      <c r="L23" s="106"/>
      <c r="M23" s="54"/>
      <c r="N23" s="95"/>
      <c r="O23" s="81"/>
      <c r="P23" s="83"/>
      <c r="Q23" s="83"/>
      <c r="R23" s="84"/>
      <c r="S23" s="42"/>
      <c r="T23" s="113" t="str">
        <f>IF(AND(NOT(ISBLANK(U23)),NOT(ISBLANK(V23)),NOT(ISBLANK(W23))),CONCATENATE("RUN-",'Process Ref'!$A$1,"_",TEXT(V23,"YYYY-MM-DD"),"_APS-",TEXT(W23,"000")),IFERROR(0/0,""))</f>
        <v/>
      </c>
      <c r="U23" s="114" t="str">
        <f t="shared" ref="U23:U40" si="6">IF(COUNTIF(U$2:U$22,V23)=0,V23,IFERROR(0/0,""))</f>
        <v/>
      </c>
      <c r="V23" s="115">
        <f t="array" ref="V23:V1019">SORT('APS Tubes by Date Import'!B2:B63,1,TRUE)</f>
        <v>44683</v>
      </c>
      <c r="W23" s="116" t="str">
        <f>IF(NOT(ISBLANK(U23)),MAX(W$1:W22)+1,IFERROR(0/0,""))</f>
        <v/>
      </c>
      <c r="X23" s="42"/>
      <c r="Y23" s="104"/>
      <c r="AC23" s="42"/>
      <c r="AF23" s="42"/>
    </row>
    <row r="24">
      <c r="B24" s="12"/>
      <c r="C24" s="54"/>
      <c r="D24" s="54"/>
      <c r="E24" s="54"/>
      <c r="F24" s="54"/>
      <c r="G24" s="54"/>
      <c r="H24" s="54"/>
      <c r="I24" s="54"/>
      <c r="J24" s="54"/>
      <c r="K24" s="54"/>
      <c r="L24" s="106"/>
      <c r="M24" s="54"/>
      <c r="N24" s="95"/>
      <c r="O24" s="81"/>
      <c r="P24" s="83"/>
      <c r="Q24" s="83"/>
      <c r="R24" s="84"/>
      <c r="S24" s="42"/>
      <c r="T24" s="20" t="str">
        <f>IF(AND(NOT(ISBLANK(U24)),NOT(ISBLANK(V24)),NOT(ISBLANK(W24))),CONCATENATE("RUN-",'Process Ref'!$A$1,"_",TEXT(V24,"YYYY-MM-DD"),"_APS-",TEXT(W24,"000")),IFERROR(0/0,""))</f>
        <v/>
      </c>
      <c r="U24" s="8">
        <f t="shared" si="6"/>
        <v>44689</v>
      </c>
      <c r="V24" s="117">
        <v>44689.0</v>
      </c>
      <c r="W24" s="118"/>
      <c r="X24" s="42"/>
      <c r="Y24" s="104"/>
      <c r="AC24" s="42"/>
      <c r="AF24" s="42"/>
    </row>
    <row r="25">
      <c r="B25" s="12"/>
      <c r="C25" s="54"/>
      <c r="D25" s="54"/>
      <c r="E25" s="54"/>
      <c r="F25" s="54"/>
      <c r="G25" s="54"/>
      <c r="H25" s="54"/>
      <c r="I25" s="54"/>
      <c r="J25" s="54"/>
      <c r="K25" s="54"/>
      <c r="L25" s="106"/>
      <c r="M25" s="54"/>
      <c r="N25" s="95"/>
      <c r="O25" s="81"/>
      <c r="P25" s="83"/>
      <c r="Q25" s="83"/>
      <c r="R25" s="84" t="str">
        <f>IFNA(MATCH(A25,'RFR Data - preExcl'!A$2:A63,0),"")</f>
        <v/>
      </c>
      <c r="S25" s="42"/>
      <c r="T25" s="20" t="str">
        <f>IF(AND(NOT(ISBLANK(U25)),NOT(ISBLANK(V25)),NOT(ISBLANK(W25))),CONCATENATE("RUN-",'Process Ref'!$A$1,"_",TEXT(V25,"YYYY-MM-DD"),"_APS-",TEXT(W25,"000")),IFERROR(0/0,""))</f>
        <v/>
      </c>
      <c r="U25" s="8" t="str">
        <f t="shared" si="6"/>
        <v/>
      </c>
      <c r="V25" s="117">
        <v>44690.0</v>
      </c>
      <c r="W25" s="119" t="str">
        <f>IF(NOT(ISBLANK(U25)),MAX(W$1:W24)+1,IFERROR(0/0,""))</f>
        <v/>
      </c>
      <c r="X25" s="42"/>
      <c r="Y25" s="104"/>
      <c r="AC25" s="42"/>
      <c r="AF25" s="42"/>
    </row>
    <row r="26">
      <c r="B26" s="12"/>
      <c r="C26" s="54"/>
      <c r="D26" s="54"/>
      <c r="E26" s="54"/>
      <c r="F26" s="54"/>
      <c r="G26" s="54"/>
      <c r="H26" s="54"/>
      <c r="I26" s="54"/>
      <c r="J26" s="54"/>
      <c r="K26" s="54"/>
      <c r="L26" s="106"/>
      <c r="M26" s="54"/>
      <c r="N26" s="95"/>
      <c r="O26" s="81"/>
      <c r="P26" s="83"/>
      <c r="Q26" s="83"/>
      <c r="R26" s="84" t="str">
        <f>IFNA(MATCH(A26,'RFR Data - preExcl'!A$2:A63,0),"")</f>
        <v/>
      </c>
      <c r="S26" s="42"/>
      <c r="T26" s="20" t="str">
        <f>IF(AND(NOT(ISBLANK(U26)),NOT(ISBLANK(V26)),NOT(ISBLANK(W26))),CONCATENATE("RUN-",'Process Ref'!$A$1,"_",TEXT(V26,"YYYY-MM-DD"),"_APS-",TEXT(W26,"000")),IFERROR(0/0,""))</f>
        <v/>
      </c>
      <c r="U26" s="8">
        <f t="shared" si="6"/>
        <v>44696</v>
      </c>
      <c r="V26" s="117">
        <v>44696.0</v>
      </c>
      <c r="W26" s="118"/>
      <c r="X26" s="42"/>
      <c r="Y26" s="104"/>
      <c r="AC26" s="42"/>
      <c r="AF26" s="42"/>
    </row>
    <row r="27">
      <c r="B27" s="12"/>
      <c r="C27" s="54"/>
      <c r="D27" s="54"/>
      <c r="E27" s="54"/>
      <c r="F27" s="54"/>
      <c r="G27" s="54"/>
      <c r="H27" s="54"/>
      <c r="I27" s="54"/>
      <c r="J27" s="54"/>
      <c r="K27" s="54"/>
      <c r="L27" s="106"/>
      <c r="M27" s="54"/>
      <c r="N27" s="95"/>
      <c r="O27" s="81"/>
      <c r="P27" s="83"/>
      <c r="Q27" s="83"/>
      <c r="R27" s="84" t="str">
        <f>IFNA(MATCH(A27,'RFR Data - preExcl'!A$2:A63,0),"")</f>
        <v/>
      </c>
      <c r="S27" s="42"/>
      <c r="T27" s="20" t="str">
        <f>IF(AND(NOT(ISBLANK(U27)),NOT(ISBLANK(V27)),NOT(ISBLANK(W27))),CONCATENATE("RUN-",'Process Ref'!$A$1,"_",TEXT(V27,"YYYY-MM-DD"),"_APS-",TEXT(W27,"000")),IFERROR(0/0,""))</f>
        <v/>
      </c>
      <c r="U27" s="8" t="str">
        <f t="shared" si="6"/>
        <v/>
      </c>
      <c r="V27" s="117">
        <v>44697.0</v>
      </c>
      <c r="W27" s="119" t="str">
        <f t="shared" ref="W27:W28" si="7">IF(NOT(ISBLANK(U27)),MAX(W$1:W26)+1,IFERROR(0/0,""))</f>
        <v/>
      </c>
      <c r="X27" s="42"/>
      <c r="Y27" s="104"/>
      <c r="AC27" s="42"/>
      <c r="AF27" s="42"/>
    </row>
    <row r="28">
      <c r="B28" s="12"/>
      <c r="C28" s="54"/>
      <c r="D28" s="54"/>
      <c r="E28" s="54"/>
      <c r="F28" s="54"/>
      <c r="G28" s="54"/>
      <c r="H28" s="54"/>
      <c r="I28" s="54"/>
      <c r="J28" s="54"/>
      <c r="K28" s="54"/>
      <c r="L28" s="106"/>
      <c r="M28" s="54"/>
      <c r="N28" s="95"/>
      <c r="O28" s="81"/>
      <c r="P28" s="83"/>
      <c r="Q28" s="83"/>
      <c r="R28" s="84" t="str">
        <f>IFNA(MATCH(A28,'RFR Data - preExcl'!A$2:A63,0),"")</f>
        <v/>
      </c>
      <c r="S28" s="42"/>
      <c r="T28" s="20" t="str">
        <f>IF(AND(NOT(ISBLANK(U28)),NOT(ISBLANK(V28)),NOT(ISBLANK(W28))),CONCATENATE("RUN-",'Process Ref'!$A$1,"_",TEXT(V28,"YYYY-MM-DD"),"_APS-",TEXT(W28,"000")),IFERROR(0/0,""))</f>
        <v/>
      </c>
      <c r="U28" s="8" t="str">
        <f t="shared" si="6"/>
        <v/>
      </c>
      <c r="V28" s="117">
        <v>44704.0</v>
      </c>
      <c r="W28" s="119" t="str">
        <f t="shared" si="7"/>
        <v/>
      </c>
      <c r="X28" s="42"/>
      <c r="Y28" s="104"/>
      <c r="AC28" s="42"/>
      <c r="AF28" s="42"/>
    </row>
    <row r="29">
      <c r="B29" s="12"/>
      <c r="C29" s="54"/>
      <c r="D29" s="54"/>
      <c r="E29" s="54"/>
      <c r="F29" s="54"/>
      <c r="G29" s="54"/>
      <c r="H29" s="54"/>
      <c r="I29" s="54"/>
      <c r="J29" s="54"/>
      <c r="K29" s="54"/>
      <c r="L29" s="106"/>
      <c r="M29" s="54"/>
      <c r="N29" s="95"/>
      <c r="O29" s="81"/>
      <c r="P29" s="83"/>
      <c r="Q29" s="83"/>
      <c r="R29" s="84" t="str">
        <f>IFNA(MATCH(A29,'RFR Data - preExcl'!A$2:A63,0),"")</f>
        <v/>
      </c>
      <c r="S29" s="42"/>
      <c r="T29" s="20" t="str">
        <f>IF(AND(NOT(ISBLANK(U29)),NOT(ISBLANK(V29)),NOT(ISBLANK(W29))),CONCATENATE("RUN-",'Process Ref'!$A$1,"_",TEXT(V29,"YYYY-MM-DD"),"_APS-",TEXT(W29,"000")),IFERROR(0/0,""))</f>
        <v/>
      </c>
      <c r="U29" s="8">
        <f t="shared" si="6"/>
        <v>44712</v>
      </c>
      <c r="V29" s="117">
        <v>44712.0</v>
      </c>
      <c r="W29" s="118"/>
      <c r="X29" s="42"/>
      <c r="Y29" s="104"/>
      <c r="AC29" s="42"/>
      <c r="AF29" s="42"/>
    </row>
    <row r="30">
      <c r="B30" s="12"/>
      <c r="C30" s="54"/>
      <c r="D30" s="54"/>
      <c r="E30" s="54"/>
      <c r="F30" s="54"/>
      <c r="G30" s="54"/>
      <c r="H30" s="54"/>
      <c r="I30" s="54"/>
      <c r="J30" s="54"/>
      <c r="K30" s="54"/>
      <c r="L30" s="106"/>
      <c r="M30" s="54"/>
      <c r="N30" s="95"/>
      <c r="O30" s="81"/>
      <c r="P30" s="83"/>
      <c r="Q30" s="83"/>
      <c r="R30" s="84"/>
      <c r="S30" s="42"/>
      <c r="T30" s="20" t="str">
        <f>IF(AND(NOT(ISBLANK(U30)),NOT(ISBLANK(V30)),NOT(ISBLANK(W30))),CONCATENATE("RUN-",'Process Ref'!$A$1,"_",TEXT(V30,"YYYY-MM-DD"),"_APS-",TEXT(W30,"000")),IFERROR(0/0,""))</f>
        <v/>
      </c>
      <c r="U30" s="8" t="str">
        <f t="shared" si="6"/>
        <v/>
      </c>
      <c r="V30" s="117">
        <v>44713.0</v>
      </c>
      <c r="W30" s="119" t="str">
        <f t="shared" ref="W30:W40" si="8">IF(NOT(ISBLANK(U30)),MAX(W$1:W29)+1,IFERROR(0/0,""))</f>
        <v/>
      </c>
      <c r="X30" s="42"/>
      <c r="Y30" s="104"/>
      <c r="AC30" s="42"/>
      <c r="AF30" s="42"/>
    </row>
    <row r="31">
      <c r="B31" s="12"/>
      <c r="C31" s="54"/>
      <c r="D31" s="54"/>
      <c r="E31" s="54"/>
      <c r="F31" s="54"/>
      <c r="G31" s="54"/>
      <c r="H31" s="54"/>
      <c r="I31" s="54"/>
      <c r="J31" s="54"/>
      <c r="K31" s="54"/>
      <c r="L31" s="106"/>
      <c r="M31" s="54"/>
      <c r="N31" s="95"/>
      <c r="O31" s="81"/>
      <c r="P31" s="83"/>
      <c r="Q31" s="83"/>
      <c r="R31" s="84"/>
      <c r="S31" s="42"/>
      <c r="T31" s="20" t="str">
        <f>IF(AND(NOT(ISBLANK(U31)),NOT(ISBLANK(V31)),NOT(ISBLANK(W31))),CONCATENATE("RUN-",'Process Ref'!$A$1,"_",TEXT(V31,"YYYY-MM-DD"),"_APS-",TEXT(W31,"000")),IFERROR(0/0,""))</f>
        <v/>
      </c>
      <c r="U31" s="8" t="str">
        <f t="shared" si="6"/>
        <v/>
      </c>
      <c r="V31" s="117">
        <v>44718.0</v>
      </c>
      <c r="W31" s="119" t="str">
        <f t="shared" si="8"/>
        <v/>
      </c>
      <c r="X31" s="42"/>
      <c r="Y31" s="104"/>
      <c r="AC31" s="42"/>
      <c r="AF31" s="42"/>
    </row>
    <row r="32">
      <c r="B32" s="12"/>
      <c r="C32" s="54"/>
      <c r="D32" s="54"/>
      <c r="E32" s="54"/>
      <c r="F32" s="54"/>
      <c r="G32" s="54"/>
      <c r="H32" s="54"/>
      <c r="I32" s="54"/>
      <c r="J32" s="54"/>
      <c r="K32" s="54"/>
      <c r="L32" s="106"/>
      <c r="M32" s="54"/>
      <c r="N32" s="95"/>
      <c r="O32" s="81"/>
      <c r="P32" s="83"/>
      <c r="Q32" s="83"/>
      <c r="R32" s="84"/>
      <c r="S32" s="42"/>
      <c r="T32" s="20" t="str">
        <f>IF(AND(NOT(ISBLANK(U32)),NOT(ISBLANK(V32)),NOT(ISBLANK(W32))),CONCATENATE("RUN-",'Process Ref'!$A$1,"_",TEXT(V32,"YYYY-MM-DD"),"_APS-",TEXT(W32,"000")),IFERROR(0/0,""))</f>
        <v/>
      </c>
      <c r="U32" s="8" t="str">
        <f t="shared" si="6"/>
        <v/>
      </c>
      <c r="V32" s="117">
        <v>44725.0</v>
      </c>
      <c r="W32" s="119" t="str">
        <f t="shared" si="8"/>
        <v/>
      </c>
      <c r="X32" s="42"/>
      <c r="Y32" s="104"/>
      <c r="AC32" s="42"/>
      <c r="AF32" s="42"/>
    </row>
    <row r="33">
      <c r="B33" s="12"/>
      <c r="C33" s="54"/>
      <c r="D33" s="54"/>
      <c r="E33" s="54"/>
      <c r="F33" s="54"/>
      <c r="G33" s="54"/>
      <c r="H33" s="54"/>
      <c r="I33" s="54"/>
      <c r="J33" s="54"/>
      <c r="K33" s="54"/>
      <c r="L33" s="106"/>
      <c r="M33" s="54"/>
      <c r="N33" s="95"/>
      <c r="O33" s="81"/>
      <c r="P33" s="83"/>
      <c r="Q33" s="83"/>
      <c r="R33" s="84"/>
      <c r="S33" s="42"/>
      <c r="T33" s="20" t="str">
        <f>IF(AND(NOT(ISBLANK(U33)),NOT(ISBLANK(V33)),NOT(ISBLANK(W33))),CONCATENATE("RUN-",'Process Ref'!$A$1,"_",TEXT(V33,"YYYY-MM-DD"),"_APS-",TEXT(W33,"000")),IFERROR(0/0,""))</f>
        <v/>
      </c>
      <c r="U33" s="8" t="str">
        <f t="shared" si="6"/>
        <v/>
      </c>
      <c r="V33" s="117">
        <v>44733.0</v>
      </c>
      <c r="W33" s="119" t="str">
        <f t="shared" si="8"/>
        <v/>
      </c>
      <c r="X33" s="42"/>
      <c r="Y33" s="104"/>
      <c r="AC33" s="42"/>
      <c r="AF33" s="42"/>
    </row>
    <row r="34">
      <c r="B34" s="12"/>
      <c r="C34" s="54"/>
      <c r="D34" s="54"/>
      <c r="E34" s="54"/>
      <c r="F34" s="54"/>
      <c r="G34" s="54"/>
      <c r="H34" s="54"/>
      <c r="I34" s="54"/>
      <c r="J34" s="54"/>
      <c r="K34" s="54"/>
      <c r="L34" s="106"/>
      <c r="M34" s="54"/>
      <c r="N34" s="95"/>
      <c r="O34" s="81"/>
      <c r="P34" s="83"/>
      <c r="Q34" s="83"/>
      <c r="R34" s="84"/>
      <c r="S34" s="42"/>
      <c r="T34" s="20" t="str">
        <f>IF(AND(NOT(ISBLANK(U34)),NOT(ISBLANK(V34)),NOT(ISBLANK(W34))),CONCATENATE("RUN-",'Process Ref'!$A$1,"_",TEXT(V34,"YYYY-MM-DD"),"_APS-",TEXT(W34,"000")),IFERROR(0/0,""))</f>
        <v/>
      </c>
      <c r="U34" s="8" t="str">
        <f t="shared" si="6"/>
        <v/>
      </c>
      <c r="V34" s="117">
        <v>44739.0</v>
      </c>
      <c r="W34" s="119" t="str">
        <f t="shared" si="8"/>
        <v/>
      </c>
      <c r="X34" s="42"/>
      <c r="Y34" s="104"/>
      <c r="AC34" s="42"/>
      <c r="AF34" s="42"/>
    </row>
    <row r="35">
      <c r="B35" s="12"/>
      <c r="C35" s="54"/>
      <c r="D35" s="54"/>
      <c r="E35" s="54"/>
      <c r="F35" s="54"/>
      <c r="G35" s="54"/>
      <c r="H35" s="54"/>
      <c r="I35" s="54"/>
      <c r="J35" s="54"/>
      <c r="K35" s="54"/>
      <c r="L35" s="106"/>
      <c r="M35" s="54"/>
      <c r="N35" s="95"/>
      <c r="O35" s="81"/>
      <c r="P35" s="83"/>
      <c r="Q35" s="83"/>
      <c r="R35" s="84"/>
      <c r="S35" s="42"/>
      <c r="T35" s="20" t="str">
        <f>IF(AND(NOT(ISBLANK(U35)),NOT(ISBLANK(V35)),NOT(ISBLANK(W35))),CONCATENATE("RUN-",'Process Ref'!$A$1,"_",TEXT(V35,"YYYY-MM-DD"),"_APS-",TEXT(W35,"000")),IFERROR(0/0,""))</f>
        <v/>
      </c>
      <c r="U35" s="8" t="str">
        <f t="shared" si="6"/>
        <v/>
      </c>
      <c r="V35" s="117">
        <v>44753.0</v>
      </c>
      <c r="W35" s="119" t="str">
        <f t="shared" si="8"/>
        <v/>
      </c>
      <c r="X35" s="42"/>
      <c r="Y35" s="104"/>
      <c r="AC35" s="42"/>
      <c r="AF35" s="42"/>
    </row>
    <row r="36">
      <c r="B36" s="12"/>
      <c r="C36" s="54"/>
      <c r="D36" s="54"/>
      <c r="E36" s="54"/>
      <c r="F36" s="54"/>
      <c r="G36" s="54"/>
      <c r="H36" s="54"/>
      <c r="I36" s="54"/>
      <c r="J36" s="54"/>
      <c r="K36" s="54"/>
      <c r="L36" s="106"/>
      <c r="M36" s="54"/>
      <c r="N36" s="95"/>
      <c r="O36" s="81"/>
      <c r="P36" s="83"/>
      <c r="Q36" s="83"/>
      <c r="R36" s="84"/>
      <c r="S36" s="42"/>
      <c r="T36" s="20" t="str">
        <f>IF(AND(NOT(ISBLANK(U36)),NOT(ISBLANK(V36)),NOT(ISBLANK(W36))),CONCATENATE("RUN-",'Process Ref'!$A$1,"_",TEXT(V36,"YYYY-MM-DD"),"_APS-",TEXT(W36,"000")),IFERROR(0/0,""))</f>
        <v/>
      </c>
      <c r="U36" s="8" t="str">
        <f t="shared" si="6"/>
        <v/>
      </c>
      <c r="V36" s="117">
        <v>44760.0</v>
      </c>
      <c r="W36" s="119" t="str">
        <f t="shared" si="8"/>
        <v/>
      </c>
      <c r="X36" s="42"/>
      <c r="Y36" s="104"/>
      <c r="AC36" s="42"/>
      <c r="AF36" s="42"/>
    </row>
    <row r="37">
      <c r="B37" s="12"/>
      <c r="C37" s="54"/>
      <c r="D37" s="54"/>
      <c r="E37" s="54"/>
      <c r="F37" s="54"/>
      <c r="G37" s="54"/>
      <c r="H37" s="54"/>
      <c r="I37" s="54"/>
      <c r="J37" s="54"/>
      <c r="K37" s="54"/>
      <c r="L37" s="106"/>
      <c r="M37" s="54"/>
      <c r="N37" s="95"/>
      <c r="O37" s="81"/>
      <c r="P37" s="83"/>
      <c r="Q37" s="83"/>
      <c r="R37" s="84"/>
      <c r="S37" s="42"/>
      <c r="T37" s="20" t="str">
        <f>IF(AND(NOT(ISBLANK(U37)),NOT(ISBLANK(V37)),NOT(ISBLANK(W37))),CONCATENATE("RUN-",'Process Ref'!$A$1,"_",TEXT(V37,"YYYY-MM-DD"),"_APS-",TEXT(W37,"000")),IFERROR(0/0,""))</f>
        <v/>
      </c>
      <c r="U37" s="8" t="str">
        <f t="shared" si="6"/>
        <v/>
      </c>
      <c r="V37" s="117">
        <v>44767.0</v>
      </c>
      <c r="W37" s="119" t="str">
        <f t="shared" si="8"/>
        <v/>
      </c>
      <c r="X37" s="42"/>
      <c r="Y37" s="104"/>
      <c r="AC37" s="42"/>
      <c r="AF37" s="42"/>
    </row>
    <row r="38">
      <c r="B38" s="12"/>
      <c r="C38" s="54"/>
      <c r="D38" s="54"/>
      <c r="E38" s="54"/>
      <c r="F38" s="54"/>
      <c r="G38" s="54"/>
      <c r="H38" s="54"/>
      <c r="I38" s="54"/>
      <c r="J38" s="54"/>
      <c r="K38" s="54"/>
      <c r="L38" s="106"/>
      <c r="M38" s="54"/>
      <c r="N38" s="95"/>
      <c r="O38" s="81"/>
      <c r="P38" s="83"/>
      <c r="Q38" s="83"/>
      <c r="R38" s="84"/>
      <c r="S38" s="42"/>
      <c r="T38" s="7" t="str">
        <f>IF(AND(NOT(ISBLANK(U38)),NOT(ISBLANK(V38)),NOT(ISBLANK(W38))),CONCATENATE("RUN-",'Process Ref'!$A$1,"_",TEXT(V38,"YYYY-MM-DD"),"_APS-",TEXT(W38,"000")),IFERROR(0/0,""))</f>
        <v>RUN-NDHM_2022-08-01_APS-001</v>
      </c>
      <c r="U38" s="14">
        <f t="shared" si="6"/>
        <v>44774</v>
      </c>
      <c r="V38" s="117">
        <v>44774.0</v>
      </c>
      <c r="W38" s="119">
        <f t="shared" si="8"/>
        <v>1</v>
      </c>
      <c r="X38" s="42"/>
      <c r="Y38" s="104"/>
      <c r="AC38" s="42"/>
      <c r="AF38" s="42"/>
    </row>
    <row r="39">
      <c r="B39" s="12"/>
      <c r="C39" s="54"/>
      <c r="D39" s="54"/>
      <c r="E39" s="54"/>
      <c r="F39" s="54"/>
      <c r="G39" s="54"/>
      <c r="H39" s="54"/>
      <c r="I39" s="54"/>
      <c r="J39" s="54"/>
      <c r="K39" s="54"/>
      <c r="L39" s="106"/>
      <c r="M39" s="54"/>
      <c r="N39" s="95"/>
      <c r="O39" s="81"/>
      <c r="P39" s="83"/>
      <c r="Q39" s="83"/>
      <c r="R39" s="84"/>
      <c r="S39" s="42"/>
      <c r="T39" s="7" t="str">
        <f>IF(AND(NOT(ISBLANK(U39)),NOT(ISBLANK(V39)),NOT(ISBLANK(W39))),CONCATENATE("RUN-",'Process Ref'!$A$1,"_",TEXT(V39,"YYYY-MM-DD"),"_APS-",TEXT(W39,"000")),IFERROR(0/0,""))</f>
        <v>RUN-NDHM_2022-09-12_APS-002</v>
      </c>
      <c r="U39" s="14">
        <f t="shared" si="6"/>
        <v>44816</v>
      </c>
      <c r="V39" s="117">
        <v>44816.0</v>
      </c>
      <c r="W39" s="119">
        <f t="shared" si="8"/>
        <v>2</v>
      </c>
      <c r="X39" s="42"/>
      <c r="Y39" s="104"/>
      <c r="AC39" s="42"/>
      <c r="AF39" s="42"/>
    </row>
    <row r="40">
      <c r="B40" s="12"/>
      <c r="C40" s="54"/>
      <c r="D40" s="54"/>
      <c r="E40" s="54"/>
      <c r="F40" s="54"/>
      <c r="G40" s="54"/>
      <c r="H40" s="54"/>
      <c r="I40" s="54"/>
      <c r="J40" s="54"/>
      <c r="K40" s="54"/>
      <c r="L40" s="106"/>
      <c r="M40" s="54"/>
      <c r="N40" s="95"/>
      <c r="O40" s="81"/>
      <c r="P40" s="83"/>
      <c r="Q40" s="83"/>
      <c r="R40" s="84"/>
      <c r="S40" s="42"/>
      <c r="T40" s="7" t="str">
        <f>IF(AND(NOT(ISBLANK(U40)),NOT(ISBLANK(V40)),NOT(ISBLANK(W40))),CONCATENATE("RUN-",'Process Ref'!$A$1,"_",TEXT(V40,"YYYY-MM-DD"),"_APS-",TEXT(W40,"000")),IFERROR(0/0,""))</f>
        <v/>
      </c>
      <c r="U40" s="14" t="str">
        <f t="shared" si="6"/>
        <v/>
      </c>
      <c r="V40" s="117">
        <v>44837.0</v>
      </c>
      <c r="W40" s="119" t="str">
        <f t="shared" si="8"/>
        <v/>
      </c>
      <c r="X40" s="42"/>
      <c r="Y40" s="104"/>
      <c r="AC40" s="42"/>
      <c r="AF40" s="42"/>
    </row>
    <row r="41">
      <c r="B41" s="12"/>
      <c r="C41" s="54"/>
      <c r="D41" s="54"/>
      <c r="E41" s="54"/>
      <c r="F41" s="54"/>
      <c r="G41" s="54"/>
      <c r="H41" s="54"/>
      <c r="I41" s="54"/>
      <c r="J41" s="54"/>
      <c r="K41" s="54"/>
      <c r="L41" s="106"/>
      <c r="M41" s="54"/>
      <c r="N41" s="95"/>
      <c r="O41" s="81"/>
      <c r="P41" s="83"/>
      <c r="Q41" s="83"/>
      <c r="R41" s="84"/>
      <c r="S41" s="42"/>
      <c r="U41" s="14"/>
      <c r="V41" s="120"/>
      <c r="W41" s="58"/>
      <c r="X41" s="42"/>
      <c r="Y41" s="104"/>
      <c r="AC41" s="42"/>
      <c r="AF41" s="42"/>
    </row>
    <row r="42">
      <c r="B42" s="12"/>
      <c r="C42" s="54"/>
      <c r="D42" s="54"/>
      <c r="E42" s="54"/>
      <c r="F42" s="54"/>
      <c r="G42" s="54"/>
      <c r="H42" s="54"/>
      <c r="I42" s="54"/>
      <c r="J42" s="54"/>
      <c r="K42" s="54"/>
      <c r="L42" s="106"/>
      <c r="M42" s="54"/>
      <c r="N42" s="95"/>
      <c r="O42" s="81"/>
      <c r="P42" s="83"/>
      <c r="Q42" s="83"/>
      <c r="R42" s="84"/>
      <c r="S42" s="42"/>
      <c r="U42" s="111" t="str">
        <f t="shared" ref="U42:U43" si="9">IF(COUNTIF(U$2:U$22,V42)=0,V42,IFERROR(0/0,""))</f>
        <v/>
      </c>
      <c r="V42" s="120"/>
      <c r="X42" s="42"/>
      <c r="Y42" s="104"/>
      <c r="AC42" s="42"/>
      <c r="AF42" s="42"/>
    </row>
    <row r="43">
      <c r="B43" s="12"/>
      <c r="C43" s="54"/>
      <c r="D43" s="54"/>
      <c r="E43" s="54"/>
      <c r="F43" s="54"/>
      <c r="G43" s="54"/>
      <c r="H43" s="54"/>
      <c r="I43" s="54"/>
      <c r="J43" s="54"/>
      <c r="K43" s="54"/>
      <c r="L43" s="106"/>
      <c r="M43" s="54"/>
      <c r="N43" s="95"/>
      <c r="O43" s="81" t="str">
        <f>IF(ISBLANK(M43),IFERROR(0/0,""),IF($BX43&lt;=4,TRUE,IFERROR(0/0,"")))</f>
        <v/>
      </c>
      <c r="P43" s="83"/>
      <c r="Q43" s="83"/>
      <c r="R43" s="84"/>
      <c r="S43" s="42"/>
      <c r="U43" s="121" t="str">
        <f t="shared" si="9"/>
        <v/>
      </c>
      <c r="V43" s="120"/>
      <c r="X43" s="42"/>
      <c r="Y43" s="104"/>
      <c r="AC43" s="42"/>
      <c r="AF43" s="42"/>
    </row>
    <row r="44">
      <c r="B44" s="12"/>
      <c r="C44" s="54"/>
      <c r="D44" s="54"/>
      <c r="E44" s="54"/>
      <c r="F44" s="54"/>
      <c r="G44" s="54"/>
      <c r="H44" s="54"/>
      <c r="I44" s="54"/>
      <c r="J44" s="54"/>
      <c r="K44" s="54"/>
      <c r="L44" s="106"/>
      <c r="M44" s="54"/>
      <c r="N44" s="95"/>
      <c r="O44" s="81"/>
      <c r="P44" s="83"/>
      <c r="Q44" s="83"/>
      <c r="R44" s="84"/>
      <c r="S44" s="42"/>
      <c r="U44" s="122"/>
      <c r="V44" s="120"/>
      <c r="X44" s="42"/>
      <c r="Y44" s="104"/>
      <c r="AC44" s="42"/>
      <c r="AF44" s="42"/>
    </row>
    <row r="45">
      <c r="B45" s="12"/>
      <c r="C45" s="54"/>
      <c r="D45" s="54"/>
      <c r="E45" s="54"/>
      <c r="F45" s="54"/>
      <c r="G45" s="54"/>
      <c r="H45" s="54"/>
      <c r="I45" s="54"/>
      <c r="J45" s="54"/>
      <c r="K45" s="54"/>
      <c r="L45" s="106"/>
      <c r="M45" s="54"/>
      <c r="N45" s="95"/>
      <c r="O45" s="81"/>
      <c r="P45" s="83"/>
      <c r="Q45" s="83"/>
      <c r="R45" s="84"/>
      <c r="S45" s="42"/>
      <c r="U45" s="122"/>
      <c r="V45" s="120"/>
      <c r="X45" s="42"/>
      <c r="Y45" s="104"/>
      <c r="AC45" s="42"/>
      <c r="AF45" s="42"/>
    </row>
    <row r="46">
      <c r="B46" s="12"/>
      <c r="C46" s="54"/>
      <c r="D46" s="54"/>
      <c r="E46" s="54"/>
      <c r="F46" s="54"/>
      <c r="G46" s="54"/>
      <c r="H46" s="54"/>
      <c r="I46" s="54"/>
      <c r="J46" s="54"/>
      <c r="K46" s="54"/>
      <c r="L46" s="106"/>
      <c r="M46" s="54"/>
      <c r="N46" s="95"/>
      <c r="O46" s="81"/>
      <c r="P46" s="83"/>
      <c r="Q46" s="83"/>
      <c r="R46" s="84"/>
      <c r="S46" s="42"/>
      <c r="U46" s="122"/>
      <c r="V46" s="120"/>
      <c r="X46" s="42"/>
      <c r="Y46" s="104"/>
      <c r="AC46" s="42"/>
      <c r="AF46" s="42"/>
    </row>
    <row r="47">
      <c r="B47" s="12"/>
      <c r="C47" s="54"/>
      <c r="D47" s="54"/>
      <c r="E47" s="54"/>
      <c r="F47" s="54"/>
      <c r="G47" s="54"/>
      <c r="H47" s="54"/>
      <c r="I47" s="54"/>
      <c r="J47" s="54"/>
      <c r="K47" s="54"/>
      <c r="L47" s="106"/>
      <c r="M47" s="54"/>
      <c r="N47" s="95"/>
      <c r="O47" s="81"/>
      <c r="P47" s="83"/>
      <c r="Q47" s="83"/>
      <c r="R47" s="84"/>
      <c r="S47" s="42"/>
      <c r="U47" s="122"/>
      <c r="V47" s="120"/>
      <c r="X47" s="42"/>
      <c r="Y47" s="104"/>
      <c r="AC47" s="42"/>
      <c r="AF47" s="42"/>
    </row>
    <row r="48">
      <c r="B48" s="12"/>
      <c r="C48" s="54"/>
      <c r="D48" s="54"/>
      <c r="E48" s="54"/>
      <c r="F48" s="54"/>
      <c r="G48" s="54"/>
      <c r="H48" s="54"/>
      <c r="I48" s="54"/>
      <c r="J48" s="54"/>
      <c r="K48" s="54"/>
      <c r="L48" s="106"/>
      <c r="M48" s="54"/>
      <c r="N48" s="95"/>
      <c r="O48" s="81"/>
      <c r="P48" s="83"/>
      <c r="Q48" s="83"/>
      <c r="R48" s="84"/>
      <c r="S48" s="42"/>
      <c r="U48" s="122"/>
      <c r="V48" s="120"/>
      <c r="X48" s="42"/>
      <c r="Y48" s="104"/>
      <c r="AC48" s="42"/>
      <c r="AF48" s="42"/>
    </row>
    <row r="49">
      <c r="B49" s="12"/>
      <c r="C49" s="54"/>
      <c r="D49" s="54"/>
      <c r="E49" s="54"/>
      <c r="F49" s="54"/>
      <c r="G49" s="54"/>
      <c r="H49" s="54"/>
      <c r="I49" s="54"/>
      <c r="J49" s="54"/>
      <c r="K49" s="54"/>
      <c r="L49" s="106"/>
      <c r="M49" s="54"/>
      <c r="N49" s="95"/>
      <c r="O49" s="81"/>
      <c r="P49" s="83"/>
      <c r="Q49" s="83"/>
      <c r="R49" s="84"/>
      <c r="S49" s="42"/>
      <c r="U49" s="122"/>
      <c r="V49" s="120"/>
      <c r="X49" s="42"/>
      <c r="Y49" s="104"/>
      <c r="AC49" s="42"/>
      <c r="AF49" s="42"/>
    </row>
    <row r="50">
      <c r="B50" s="12"/>
      <c r="C50" s="54"/>
      <c r="D50" s="54"/>
      <c r="E50" s="54"/>
      <c r="F50" s="54"/>
      <c r="G50" s="54"/>
      <c r="H50" s="54"/>
      <c r="I50" s="54"/>
      <c r="J50" s="54"/>
      <c r="K50" s="54"/>
      <c r="L50" s="106"/>
      <c r="M50" s="54"/>
      <c r="N50" s="95"/>
      <c r="O50" s="81"/>
      <c r="P50" s="83"/>
      <c r="Q50" s="83"/>
      <c r="R50" s="84"/>
      <c r="S50" s="42"/>
      <c r="U50" s="122"/>
      <c r="V50" s="120"/>
      <c r="X50" s="42"/>
      <c r="Y50" s="104"/>
      <c r="AC50" s="42"/>
      <c r="AF50" s="42"/>
    </row>
    <row r="51">
      <c r="B51" s="12"/>
      <c r="C51" s="54"/>
      <c r="D51" s="54"/>
      <c r="E51" s="54"/>
      <c r="F51" s="54"/>
      <c r="G51" s="54"/>
      <c r="H51" s="54"/>
      <c r="I51" s="54"/>
      <c r="J51" s="54"/>
      <c r="K51" s="54"/>
      <c r="L51" s="106"/>
      <c r="M51" s="54"/>
      <c r="N51" s="95"/>
      <c r="O51" s="81"/>
      <c r="P51" s="83"/>
      <c r="Q51" s="83"/>
      <c r="R51" s="84"/>
      <c r="S51" s="42"/>
      <c r="U51" s="122"/>
      <c r="V51" s="120"/>
      <c r="X51" s="42"/>
      <c r="Y51" s="104"/>
      <c r="AC51" s="42"/>
      <c r="AF51" s="42"/>
    </row>
    <row r="52">
      <c r="B52" s="12"/>
      <c r="C52" s="54"/>
      <c r="D52" s="54"/>
      <c r="E52" s="54"/>
      <c r="F52" s="54"/>
      <c r="G52" s="54"/>
      <c r="H52" s="54"/>
      <c r="I52" s="54"/>
      <c r="J52" s="54"/>
      <c r="K52" s="54"/>
      <c r="L52" s="106"/>
      <c r="M52" s="54"/>
      <c r="N52" s="95"/>
      <c r="O52" s="81"/>
      <c r="P52" s="83"/>
      <c r="Q52" s="83"/>
      <c r="R52" s="84"/>
      <c r="S52" s="42"/>
      <c r="U52" s="122"/>
      <c r="V52" s="120"/>
      <c r="X52" s="42"/>
      <c r="Y52" s="104"/>
      <c r="AC52" s="42"/>
      <c r="AF52" s="42"/>
    </row>
    <row r="53">
      <c r="B53" s="12"/>
      <c r="C53" s="54"/>
      <c r="D53" s="54"/>
      <c r="E53" s="54"/>
      <c r="F53" s="54"/>
      <c r="G53" s="54"/>
      <c r="H53" s="54"/>
      <c r="I53" s="54"/>
      <c r="J53" s="54"/>
      <c r="K53" s="54"/>
      <c r="L53" s="106"/>
      <c r="M53" s="54"/>
      <c r="N53" s="95"/>
      <c r="O53" s="81"/>
      <c r="P53" s="83"/>
      <c r="Q53" s="83"/>
      <c r="R53" s="84"/>
      <c r="S53" s="42"/>
      <c r="U53" s="122"/>
      <c r="V53" s="120"/>
      <c r="X53" s="42"/>
      <c r="Y53" s="104"/>
      <c r="AC53" s="42"/>
      <c r="AF53" s="42"/>
    </row>
    <row r="54">
      <c r="B54" s="12"/>
      <c r="C54" s="54"/>
      <c r="D54" s="54"/>
      <c r="E54" s="54"/>
      <c r="F54" s="54"/>
      <c r="G54" s="54"/>
      <c r="H54" s="54"/>
      <c r="I54" s="54"/>
      <c r="J54" s="54"/>
      <c r="K54" s="54"/>
      <c r="L54" s="106"/>
      <c r="M54" s="54"/>
      <c r="N54" s="95"/>
      <c r="O54" s="81"/>
      <c r="P54" s="83"/>
      <c r="Q54" s="83"/>
      <c r="R54" s="84"/>
      <c r="S54" s="42"/>
      <c r="U54" s="122"/>
      <c r="V54" s="120"/>
      <c r="X54" s="42"/>
      <c r="Y54" s="104"/>
      <c r="AC54" s="42"/>
      <c r="AF54" s="42"/>
    </row>
    <row r="55">
      <c r="B55" s="12"/>
      <c r="C55" s="54"/>
      <c r="D55" s="54"/>
      <c r="E55" s="54"/>
      <c r="F55" s="54"/>
      <c r="G55" s="54"/>
      <c r="H55" s="54"/>
      <c r="I55" s="54"/>
      <c r="J55" s="54"/>
      <c r="K55" s="54"/>
      <c r="L55" s="106"/>
      <c r="M55" s="54"/>
      <c r="N55" s="95"/>
      <c r="O55" s="81"/>
      <c r="P55" s="83"/>
      <c r="Q55" s="83"/>
      <c r="R55" s="84"/>
      <c r="S55" s="42"/>
      <c r="U55" s="122"/>
      <c r="V55" s="120"/>
      <c r="X55" s="42"/>
      <c r="Y55" s="104"/>
      <c r="AC55" s="42"/>
      <c r="AF55" s="42"/>
    </row>
    <row r="56">
      <c r="B56" s="12"/>
      <c r="C56" s="54"/>
      <c r="D56" s="54"/>
      <c r="E56" s="54"/>
      <c r="F56" s="54"/>
      <c r="G56" s="54"/>
      <c r="H56" s="54"/>
      <c r="I56" s="54"/>
      <c r="J56" s="54"/>
      <c r="K56" s="54"/>
      <c r="L56" s="106"/>
      <c r="M56" s="54"/>
      <c r="N56" s="95"/>
      <c r="O56" s="81"/>
      <c r="P56" s="83"/>
      <c r="Q56" s="83"/>
      <c r="R56" s="84"/>
      <c r="S56" s="42"/>
      <c r="U56" s="122"/>
      <c r="V56" s="120"/>
      <c r="X56" s="42"/>
      <c r="Y56" s="104"/>
      <c r="AC56" s="42"/>
      <c r="AF56" s="42"/>
    </row>
    <row r="57">
      <c r="B57" s="12"/>
      <c r="C57" s="54"/>
      <c r="D57" s="54"/>
      <c r="E57" s="54"/>
      <c r="F57" s="54"/>
      <c r="G57" s="54"/>
      <c r="H57" s="54"/>
      <c r="I57" s="54"/>
      <c r="J57" s="54"/>
      <c r="K57" s="54"/>
      <c r="L57" s="106"/>
      <c r="M57" s="54"/>
      <c r="N57" s="95"/>
      <c r="O57" s="81"/>
      <c r="P57" s="83"/>
      <c r="Q57" s="83"/>
      <c r="R57" s="84"/>
      <c r="S57" s="42"/>
      <c r="U57" s="122"/>
      <c r="V57" s="120"/>
      <c r="X57" s="42"/>
      <c r="Y57" s="104"/>
      <c r="AC57" s="42"/>
      <c r="AF57" s="42"/>
    </row>
    <row r="58">
      <c r="B58" s="12"/>
      <c r="C58" s="54"/>
      <c r="D58" s="54"/>
      <c r="E58" s="54"/>
      <c r="F58" s="54"/>
      <c r="G58" s="54"/>
      <c r="H58" s="54"/>
      <c r="I58" s="54"/>
      <c r="J58" s="54"/>
      <c r="K58" s="54"/>
      <c r="L58" s="106"/>
      <c r="M58" s="54"/>
      <c r="N58" s="95"/>
      <c r="O58" s="81"/>
      <c r="P58" s="83"/>
      <c r="Q58" s="83"/>
      <c r="R58" s="84"/>
      <c r="S58" s="42"/>
      <c r="U58" s="122"/>
      <c r="V58" s="120"/>
      <c r="X58" s="42"/>
      <c r="Y58" s="104"/>
      <c r="AC58" s="42"/>
      <c r="AF58" s="42"/>
    </row>
    <row r="59">
      <c r="B59" s="12"/>
      <c r="C59" s="54"/>
      <c r="D59" s="54"/>
      <c r="E59" s="54"/>
      <c r="F59" s="54"/>
      <c r="G59" s="54"/>
      <c r="H59" s="54"/>
      <c r="I59" s="54"/>
      <c r="J59" s="54"/>
      <c r="K59" s="54"/>
      <c r="L59" s="106"/>
      <c r="M59" s="54"/>
      <c r="N59" s="95"/>
      <c r="O59" s="81"/>
      <c r="P59" s="83"/>
      <c r="Q59" s="83"/>
      <c r="R59" s="84"/>
      <c r="S59" s="42"/>
      <c r="U59" s="122"/>
      <c r="V59" s="120"/>
      <c r="X59" s="42"/>
      <c r="Y59" s="104"/>
      <c r="AC59" s="42"/>
      <c r="AF59" s="42"/>
    </row>
    <row r="60">
      <c r="B60" s="12"/>
      <c r="C60" s="54"/>
      <c r="D60" s="54"/>
      <c r="E60" s="54"/>
      <c r="F60" s="54"/>
      <c r="G60" s="54"/>
      <c r="H60" s="54"/>
      <c r="I60" s="54"/>
      <c r="J60" s="54"/>
      <c r="K60" s="54"/>
      <c r="L60" s="106"/>
      <c r="M60" s="54"/>
      <c r="N60" s="95"/>
      <c r="O60" s="81"/>
      <c r="P60" s="83"/>
      <c r="Q60" s="83"/>
      <c r="R60" s="84"/>
      <c r="S60" s="42"/>
      <c r="U60" s="122"/>
      <c r="V60" s="120"/>
      <c r="X60" s="42"/>
      <c r="Y60" s="104"/>
      <c r="AC60" s="42"/>
      <c r="AF60" s="42"/>
    </row>
    <row r="61">
      <c r="B61" s="12"/>
      <c r="C61" s="54"/>
      <c r="D61" s="54"/>
      <c r="E61" s="54"/>
      <c r="F61" s="54"/>
      <c r="G61" s="54"/>
      <c r="H61" s="54"/>
      <c r="I61" s="54"/>
      <c r="J61" s="54"/>
      <c r="K61" s="54"/>
      <c r="L61" s="106"/>
      <c r="M61" s="54"/>
      <c r="N61" s="95"/>
      <c r="O61" s="81"/>
      <c r="P61" s="83"/>
      <c r="Q61" s="83"/>
      <c r="R61" s="84"/>
      <c r="S61" s="42"/>
      <c r="U61" s="122"/>
      <c r="V61" s="120"/>
      <c r="X61" s="42"/>
      <c r="Y61" s="104"/>
      <c r="AC61" s="42"/>
      <c r="AF61" s="42"/>
    </row>
    <row r="62">
      <c r="B62" s="12"/>
      <c r="C62" s="54"/>
      <c r="D62" s="54"/>
      <c r="E62" s="54"/>
      <c r="F62" s="54"/>
      <c r="G62" s="54"/>
      <c r="H62" s="54"/>
      <c r="I62" s="54"/>
      <c r="J62" s="54"/>
      <c r="K62" s="54"/>
      <c r="L62" s="106"/>
      <c r="M62" s="54"/>
      <c r="N62" s="95"/>
      <c r="O62" s="81"/>
      <c r="P62" s="83"/>
      <c r="Q62" s="83"/>
      <c r="R62" s="84"/>
      <c r="S62" s="42"/>
      <c r="U62" s="122"/>
      <c r="V62" s="120"/>
      <c r="X62" s="42"/>
      <c r="Y62" s="104"/>
      <c r="AC62" s="42"/>
      <c r="AF62" s="42"/>
    </row>
    <row r="63">
      <c r="B63" s="12"/>
      <c r="C63" s="54"/>
      <c r="D63" s="54"/>
      <c r="E63" s="54"/>
      <c r="F63" s="54"/>
      <c r="G63" s="54"/>
      <c r="H63" s="54"/>
      <c r="I63" s="54"/>
      <c r="J63" s="54"/>
      <c r="K63" s="54"/>
      <c r="L63" s="106"/>
      <c r="M63" s="54"/>
      <c r="N63" s="95"/>
      <c r="O63" s="81"/>
      <c r="P63" s="83"/>
      <c r="Q63" s="83"/>
      <c r="R63" s="84"/>
      <c r="S63" s="42"/>
      <c r="U63" s="122"/>
      <c r="V63" s="120"/>
      <c r="X63" s="42"/>
      <c r="Y63" s="104"/>
      <c r="AC63" s="42"/>
      <c r="AF63" s="42"/>
    </row>
  </sheetData>
  <conditionalFormatting sqref="K1">
    <cfRule type="expression" dxfId="0" priority="1">
      <formula>SUM(K3:K63)&gt;0</formula>
    </cfRule>
  </conditionalFormatting>
  <conditionalFormatting sqref="K1">
    <cfRule type="expression" dxfId="1" priority="2">
      <formula>SUM(K3:K63)=0</formula>
    </cfRule>
  </conditionalFormatting>
  <conditionalFormatting sqref="M2:M63">
    <cfRule type="colorScale" priority="3">
      <colorScale>
        <cfvo type="formula" val="-1"/>
        <cfvo type="formula" val="0"/>
        <cfvo type="formula" val="1"/>
        <color rgb="FFCC0000"/>
        <color rgb="FF6AA84F"/>
        <color rgb="FF3C78D8"/>
      </colorScale>
    </cfRule>
  </conditionalFormatting>
  <conditionalFormatting sqref="K1:K63">
    <cfRule type="cellIs" dxfId="2" priority="4" operator="greaterThan">
      <formula>0</formula>
    </cfRule>
  </conditionalFormatting>
  <conditionalFormatting sqref="A2:B17">
    <cfRule type="expression" dxfId="3" priority="5">
      <formula>$C2</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cols>
    <col customWidth="1" min="1" max="1" width="33.5"/>
    <col customWidth="1" min="2" max="2" width="16.25"/>
    <col collapsed="1" customWidth="1" min="11" max="11" width="29.38"/>
    <col customWidth="1" hidden="1" min="12" max="12" width="9.5" outlineLevel="1"/>
    <col hidden="1" min="13" max="15" width="12.63" outlineLevel="1"/>
    <col customWidth="1" hidden="1" min="16" max="16" width="8.88" outlineLevel="1"/>
    <col customWidth="1" hidden="1" min="17" max="17" width="9.63" outlineLevel="1"/>
    <col hidden="1" min="18" max="18" width="12.63" outlineLevel="1"/>
    <col customWidth="1" hidden="1" min="19" max="19" width="8.38" outlineLevel="1"/>
    <col customWidth="1" hidden="1" min="20" max="20" width="8.63" outlineLevel="1"/>
    <col customWidth="1" min="22" max="22" width="11.88"/>
    <col customWidth="1" min="23" max="23" width="8.38"/>
    <col customWidth="1" min="32" max="32" width="9.5"/>
    <col customWidth="1" min="35" max="35" width="9.38"/>
    <col customWidth="1" min="36" max="36" width="11.25"/>
    <col customWidth="1" min="37" max="37" width="10.88"/>
    <col customWidth="1" min="39" max="39" width="9.75"/>
    <col customWidth="1" min="40" max="41" width="8.25"/>
    <col customWidth="1" min="42" max="42" width="10.13"/>
    <col customWidth="1" min="43" max="44" width="9.13"/>
    <col customWidth="1" min="45" max="46" width="30.75"/>
    <col customWidth="1" min="47" max="47" width="12.88"/>
    <col customWidth="1" min="48" max="48" width="8.63"/>
    <col customWidth="1" min="49" max="49" width="9.63"/>
    <col customWidth="1" min="50" max="50" width="8.88"/>
    <col customWidth="1" min="54" max="54" width="8.25"/>
  </cols>
  <sheetData>
    <row r="1">
      <c r="A1" s="2" t="s">
        <v>8</v>
      </c>
      <c r="B1" s="72" t="s">
        <v>64</v>
      </c>
      <c r="C1" s="72" t="s">
        <v>65</v>
      </c>
      <c r="D1" s="72" t="s">
        <v>66</v>
      </c>
      <c r="E1" s="16" t="s">
        <v>67</v>
      </c>
      <c r="F1" s="72" t="s">
        <v>68</v>
      </c>
      <c r="G1" s="72" t="s">
        <v>69</v>
      </c>
      <c r="H1" s="72" t="s">
        <v>70</v>
      </c>
      <c r="I1" s="72" t="s">
        <v>71</v>
      </c>
      <c r="J1" s="16" t="s">
        <v>72</v>
      </c>
      <c r="K1" s="123" t="s">
        <v>73</v>
      </c>
      <c r="L1" s="16" t="s">
        <v>74</v>
      </c>
      <c r="M1" s="16" t="s">
        <v>75</v>
      </c>
      <c r="N1" s="16" t="s">
        <v>76</v>
      </c>
      <c r="O1" s="16" t="s">
        <v>77</v>
      </c>
      <c r="P1" s="124" t="s">
        <v>78</v>
      </c>
      <c r="Q1" s="16" t="s">
        <v>79</v>
      </c>
      <c r="R1" s="16" t="s">
        <v>80</v>
      </c>
      <c r="S1" s="16" t="s">
        <v>81</v>
      </c>
      <c r="T1" s="16" t="s">
        <v>82</v>
      </c>
      <c r="U1" s="125" t="s">
        <v>83</v>
      </c>
      <c r="V1" s="16" t="s">
        <v>84</v>
      </c>
      <c r="W1" s="16" t="s">
        <v>85</v>
      </c>
      <c r="X1" s="16" t="s">
        <v>86</v>
      </c>
      <c r="Y1" s="16" t="s">
        <v>87</v>
      </c>
      <c r="Z1" s="16" t="s">
        <v>88</v>
      </c>
      <c r="AA1" s="2" t="s">
        <v>89</v>
      </c>
      <c r="AB1" s="126" t="s">
        <v>90</v>
      </c>
      <c r="AC1" s="16" t="s">
        <v>91</v>
      </c>
      <c r="AD1" s="16" t="s">
        <v>92</v>
      </c>
      <c r="AE1" s="127" t="s">
        <v>93</v>
      </c>
      <c r="AF1" s="128" t="s">
        <v>94</v>
      </c>
      <c r="AG1" s="16" t="s">
        <v>95</v>
      </c>
      <c r="AH1" s="129" t="s">
        <v>96</v>
      </c>
      <c r="AI1" s="130" t="s">
        <v>97</v>
      </c>
      <c r="AJ1" s="16" t="s">
        <v>98</v>
      </c>
      <c r="AK1" s="131" t="s">
        <v>59</v>
      </c>
      <c r="AL1" s="16" t="s">
        <v>99</v>
      </c>
      <c r="AM1" s="16" t="s">
        <v>100</v>
      </c>
      <c r="AN1" s="2" t="s">
        <v>101</v>
      </c>
      <c r="AO1" s="2" t="str">
        <f>IF(COUNT(AO2:AO22),"ERROR","TRT CHECK")</f>
        <v>TRT CHECK</v>
      </c>
      <c r="AP1" s="124" t="s">
        <v>102</v>
      </c>
      <c r="AQ1" s="5" t="s">
        <v>103</v>
      </c>
      <c r="AR1" s="132" t="s">
        <v>104</v>
      </c>
      <c r="AS1" s="133" t="s">
        <v>105</v>
      </c>
      <c r="AT1" s="16" t="s">
        <v>106</v>
      </c>
      <c r="AU1" s="16" t="s">
        <v>107</v>
      </c>
      <c r="AV1" s="16" t="s">
        <v>108</v>
      </c>
      <c r="AW1" s="16" t="s">
        <v>109</v>
      </c>
      <c r="AX1" s="124" t="s">
        <v>110</v>
      </c>
      <c r="AY1" s="2" t="s">
        <v>111</v>
      </c>
      <c r="AZ1" s="134" t="s">
        <v>112</v>
      </c>
      <c r="BA1" s="135" t="s">
        <v>113</v>
      </c>
      <c r="BB1" s="2" t="s">
        <v>114</v>
      </c>
      <c r="BC1" s="2" t="s">
        <v>115</v>
      </c>
      <c r="BD1" s="2" t="str">
        <f>AK1</f>
        <v>RFR Audit
Num
Run Tubes</v>
      </c>
      <c r="BE1" s="136" t="s">
        <v>116</v>
      </c>
      <c r="BF1" s="2" t="s">
        <v>117</v>
      </c>
      <c r="BG1" s="2" t="s">
        <v>42</v>
      </c>
      <c r="BH1" s="2" t="str">
        <f>E1</f>
        <v>RAW Num of Samples (Gform)</v>
      </c>
      <c r="BI1" s="2" t="s">
        <v>58</v>
      </c>
      <c r="BJ1" s="2" t="str">
        <f>AK1</f>
        <v>RFR Audit
Num
Run Tubes</v>
      </c>
      <c r="BK1" s="2" t="s">
        <v>46</v>
      </c>
      <c r="BL1" s="2" t="s">
        <v>118</v>
      </c>
      <c r="BM1" s="2" t="s">
        <v>47</v>
      </c>
      <c r="BN1" s="2" t="s">
        <v>119</v>
      </c>
      <c r="BO1" s="137" t="str">
        <f>IF(SUM(BO2:BO22)&gt;0,"Num NULL &gt; 0 NEEDS CHANGE", "Num NULL = 0 OK")</f>
        <v>#N/A</v>
      </c>
      <c r="BP1" s="2" t="s">
        <v>120</v>
      </c>
      <c r="BQ1" s="16" t="s">
        <v>121</v>
      </c>
      <c r="BR1" s="16" t="s">
        <v>49</v>
      </c>
      <c r="BS1" s="2" t="s">
        <v>122</v>
      </c>
      <c r="BT1" s="124" t="s">
        <v>52</v>
      </c>
      <c r="BU1" s="16"/>
      <c r="BV1" s="16"/>
      <c r="BW1" s="16"/>
      <c r="BX1" s="16"/>
    </row>
    <row r="2">
      <c r="A2" s="138" t="str">
        <f>CONCATENATE("RUN-",'Process Ref'!$A$1,"_",TEXT(U2,"YYYY-MM-DD"),"_RFR-",TEXT(AR2,"000"),IF(EXACT(W2,"Initial"),"",CONCATENATE("_",W2)))</f>
        <v>RUN-NDHM_2022-04-03_RFR-001_Exclude</v>
      </c>
      <c r="B2" s="139">
        <v>44654.55472222222</v>
      </c>
      <c r="C2" s="140"/>
      <c r="D2" s="140" t="s">
        <v>123</v>
      </c>
      <c r="E2" s="141" t="s">
        <v>124</v>
      </c>
      <c r="F2" s="142"/>
      <c r="G2" s="140"/>
      <c r="H2" s="140"/>
      <c r="I2" s="140"/>
      <c r="J2" s="143">
        <v>0.0</v>
      </c>
      <c r="K2" s="144"/>
      <c r="L2" s="145">
        <v>2.0</v>
      </c>
      <c r="M2" s="146"/>
      <c r="N2" s="146"/>
      <c r="O2" s="146"/>
      <c r="P2" s="147" t="b">
        <f t="shared" ref="P2:P22" si="1">M2&gt;=2</f>
        <v>0</v>
      </c>
      <c r="Q2" s="148" t="b">
        <v>0</v>
      </c>
      <c r="R2" s="149"/>
      <c r="S2" s="147" t="b">
        <v>0</v>
      </c>
      <c r="T2" s="147" t="b">
        <v>0</v>
      </c>
      <c r="U2" s="150">
        <v>44654.0</v>
      </c>
      <c r="V2" s="151"/>
      <c r="W2" s="152" t="s">
        <v>125</v>
      </c>
      <c r="X2" s="149"/>
      <c r="Y2" s="147" t="b">
        <v>0</v>
      </c>
      <c r="Z2" s="143"/>
      <c r="AA2" s="143" t="str">
        <f t="shared" ref="AA2:AA22" si="2">IF(ISBLANK(Z2),IFERROR(0/0,""),Z2-E2)</f>
        <v/>
      </c>
      <c r="AB2" s="153"/>
      <c r="AC2" s="145">
        <v>0.0</v>
      </c>
      <c r="AD2" s="154">
        <v>0.0</v>
      </c>
      <c r="AE2" s="141">
        <f>IF(W2="Initial",AD2,(IF(AJ2=TRUE,"CORRECT ME",AD2/3)))</f>
        <v>0</v>
      </c>
      <c r="AF2" s="154">
        <v>0.0</v>
      </c>
      <c r="AG2" s="154">
        <v>0.0</v>
      </c>
      <c r="AH2" s="143">
        <f>IF(W2="Initial",AG2,(IF(AJ2=TRUE,"CORRECT ME",AG2/3)))</f>
        <v>0</v>
      </c>
      <c r="AI2" s="154">
        <v>0.0</v>
      </c>
      <c r="AJ2" s="155" t="b">
        <v>0</v>
      </c>
      <c r="AK2" s="156">
        <f>IF(W2="Initial",AC2,IF(AJ2=TRUE,"CORRECT ME",AC2/3))</f>
        <v>0</v>
      </c>
      <c r="AL2" s="143"/>
      <c r="AM2" s="143" t="str">
        <f>IF(EXACT(W2,"Initial"),"Audit","")</f>
        <v/>
      </c>
      <c r="AN2" s="143" t="str">
        <f t="shared" ref="AN2:AN9" si="3">IFNA(VLOOKUP($A2,'Tube Reactions'!$I$2:$J22,2,FALSE),"")</f>
        <v>#REF!</v>
      </c>
      <c r="AO2" s="149" t="str">
        <f t="shared" ref="AO2:AO22" si="4">IF(AND(AM2&gt;0,AM2&lt;&gt;AN2),"NOT EQUAL","")</f>
        <v>#REF!</v>
      </c>
      <c r="AP2" s="157" t="str">
        <f t="shared" ref="AP2:AP22" si="5">IF(ISTEXT(H2),"", "Absent")</f>
        <v>Absent</v>
      </c>
      <c r="AQ2" s="143" t="b">
        <f t="shared" ref="AQ2:AQ22" si="6">NOT(ISBLANK(I2))</f>
        <v>0</v>
      </c>
      <c r="AR2" s="143">
        <f t="shared" ref="AR2:AR22" si="7">ROW(AR2)-1</f>
        <v>1</v>
      </c>
      <c r="AS2" s="158"/>
      <c r="AT2" s="158"/>
      <c r="AU2" s="154" t="s">
        <v>126</v>
      </c>
      <c r="AV2" s="143"/>
      <c r="AW2" s="159" t="b">
        <v>0</v>
      </c>
      <c r="AX2" s="143" t="b">
        <f t="shared" ref="AX2:AX22" si="8">IF(OR(AND(AL2=0,AW2),AND(AL2&lt;&gt;0,NOT(AW2))),TRUE,FALSE)</f>
        <v>0</v>
      </c>
      <c r="AY2" s="143">
        <f t="shared" ref="AY2:AY22" si="9">AV2-AC2</f>
        <v>0</v>
      </c>
      <c r="AZ2" s="149"/>
      <c r="BA2" s="160" t="b">
        <v>1</v>
      </c>
      <c r="BB2" s="87" t="b">
        <f t="shared" ref="BB2:BB22" si="10">IF(BA2,IF(EXACT(W2,"Initial"),TRUE,FALSE),"")</f>
        <v>0</v>
      </c>
      <c r="BC2" s="87" t="str">
        <f t="shared" ref="BC2:BC22" si="11">IF(BB2,IF(AL2=0,TRUE,AL2),"")</f>
        <v/>
      </c>
      <c r="BD2" s="87" t="str">
        <f t="shared" ref="BD2:BD22" si="12">IF(BC2,AK2,"")</f>
        <v/>
      </c>
      <c r="BE2" s="161"/>
      <c r="BF2" s="8" t="str">
        <f t="shared" ref="BF2:BF22" si="13">IF(EXACT($W2,"Initial"),$U2,IFERROR(0/0,""))</f>
        <v/>
      </c>
      <c r="BG2" s="162" t="str">
        <f t="shared" ref="BG2:BG22" si="14">IF(EXACT($W2,"Initial"),$A2,IFERROR(0/0,""))</f>
        <v/>
      </c>
      <c r="BH2" s="87" t="str">
        <f t="shared" ref="BH2:BH22" si="15">IF(EXACT($W2,"Initial"),E2,IFERROR(0/0,""))</f>
        <v/>
      </c>
      <c r="BI2" s="87" t="str">
        <f t="shared" ref="BI2:BI22" si="16">IF(EXACT($W2,"Initial"),AC2,IFERROR(0/0,""))</f>
        <v/>
      </c>
      <c r="BJ2" s="87" t="str">
        <f t="shared" ref="BJ2:BJ22" si="17">IF(EXACT($W2,"Initial"),$AK2,IFERROR(0/0,""))</f>
        <v/>
      </c>
      <c r="BK2" s="87" t="str">
        <f t="shared" ref="BK2:BK22" si="18">IF(EXACT($W2,"Initial"),$AL2,IFERROR(0/0,""))</f>
        <v/>
      </c>
      <c r="BL2" s="163" t="str">
        <f>VLOOKUP(FLOOR($B2,1),'APS Tubes by Date Import'!$B$2:$L22,1,FALSE)</f>
        <v>#N/A</v>
      </c>
      <c r="BM2" s="87" t="str">
        <f>IF(ISBLANK($BL2),IFERROR(0/0,""),VLOOKUP(FLOOR($B2,1),'APS Tubes by Date Import'!$B$2:$L22,2,FALSE))</f>
        <v>#N/A</v>
      </c>
      <c r="BN2" s="87" t="str">
        <f>IF(ISBLANK($BL2),IFERROR(0/0,""),VLOOKUP(FLOOR($B2,1),'APS Tubes by Date Import'!$B$2:$L22,11,FALSE))</f>
        <v>#N/A</v>
      </c>
      <c r="BO2" s="87" t="str">
        <f>IF(ISBLANK($BL2),IFERROR(0/0,""),VLOOKUP(FLOOR($B2,1),'APS Tubes by Date Import'!$B$2:$L22,6,FALSE))</f>
        <v>#N/A</v>
      </c>
      <c r="BP2" s="87" t="str">
        <f t="shared" ref="BP2:BP22" si="19">BJ2</f>
        <v/>
      </c>
      <c r="BQ2" s="58" t="str">
        <f t="shared" ref="BQ2:BQ22" si="20">BP2-BM2</f>
        <v>#N/A</v>
      </c>
      <c r="BR2" s="58"/>
      <c r="BS2" s="81" t="str">
        <f t="shared" ref="BS2:BS22" si="21">IF(ISBLANK(BP2),IFERROR(0/0,""),IF($BR2&lt;=4,TRUE,IFERROR(0/0,"")))</f>
        <v/>
      </c>
      <c r="BT2" s="164" t="str">
        <f t="shared" ref="BT2:BT10" si="22">IFS(OR(BR2=0.1,BR2=1.1,BR2=2.1),"NULL &gt; NEG",BR2=3, "Delete NULL",TRUE,IFERROR(0/0,""))</f>
        <v/>
      </c>
      <c r="BU2" s="164"/>
      <c r="BV2" s="164"/>
      <c r="BW2" s="164"/>
      <c r="BX2" s="164"/>
    </row>
    <row r="3">
      <c r="A3" s="138" t="str">
        <f>CONCATENATE("RUN-",'Process Ref'!$A$1,"_",TEXT(U3,"YYYY-MM-DD"),"_RFR-",TEXT(AR3,"000"),IF(EXACT(W3,"Initial"),"",CONCATENATE("_",W3)))</f>
        <v>RUN-NDHM_2022-04-07_RFR-002_Exclude</v>
      </c>
      <c r="B3" s="139">
        <v>44659.53787037037</v>
      </c>
      <c r="C3" s="140"/>
      <c r="D3" s="140" t="s">
        <v>127</v>
      </c>
      <c r="E3" s="141">
        <v>2.0</v>
      </c>
      <c r="F3" s="142"/>
      <c r="G3" s="165" t="s">
        <v>128</v>
      </c>
      <c r="H3" s="166"/>
      <c r="I3" s="165" t="s">
        <v>129</v>
      </c>
      <c r="J3" s="143">
        <v>0.0</v>
      </c>
      <c r="K3" s="144" t="s">
        <v>130</v>
      </c>
      <c r="L3" s="145">
        <v>6.0</v>
      </c>
      <c r="M3" s="167"/>
      <c r="N3" s="167"/>
      <c r="O3" s="167"/>
      <c r="P3" s="147" t="b">
        <f t="shared" si="1"/>
        <v>0</v>
      </c>
      <c r="Q3" s="148" t="b">
        <v>0</v>
      </c>
      <c r="R3" s="149"/>
      <c r="S3" s="147" t="b">
        <v>0</v>
      </c>
      <c r="T3" s="147" t="b">
        <v>0</v>
      </c>
      <c r="U3" s="168">
        <v>44658.0</v>
      </c>
      <c r="V3" s="169">
        <v>0.5416666666666666</v>
      </c>
      <c r="W3" s="152" t="s">
        <v>125</v>
      </c>
      <c r="X3" s="149"/>
      <c r="Y3" s="147" t="b">
        <v>0</v>
      </c>
      <c r="Z3" s="154">
        <v>8.0</v>
      </c>
      <c r="AA3" s="143">
        <f t="shared" si="2"/>
        <v>6</v>
      </c>
      <c r="AB3" s="153"/>
      <c r="AC3" s="145">
        <v>0.0</v>
      </c>
      <c r="AD3" s="154">
        <v>0.0</v>
      </c>
      <c r="AE3" s="141">
        <v>0.0</v>
      </c>
      <c r="AF3" s="154">
        <v>0.0</v>
      </c>
      <c r="AG3" s="154">
        <v>0.0</v>
      </c>
      <c r="AH3" s="143">
        <v>0.0</v>
      </c>
      <c r="AI3" s="154">
        <v>0.0</v>
      </c>
      <c r="AJ3" s="155" t="b">
        <v>0</v>
      </c>
      <c r="AK3" s="170">
        <v>0.0</v>
      </c>
      <c r="AL3" s="143"/>
      <c r="AM3" s="143"/>
      <c r="AN3" s="143" t="str">
        <f t="shared" si="3"/>
        <v>#REF!</v>
      </c>
      <c r="AO3" s="149" t="str">
        <f t="shared" si="4"/>
        <v>#REF!</v>
      </c>
      <c r="AP3" s="157" t="str">
        <f t="shared" si="5"/>
        <v>Absent</v>
      </c>
      <c r="AQ3" s="143" t="b">
        <f t="shared" si="6"/>
        <v>1</v>
      </c>
      <c r="AR3" s="143">
        <f t="shared" si="7"/>
        <v>2</v>
      </c>
      <c r="AS3" s="158"/>
      <c r="AT3" s="158"/>
      <c r="AU3" s="154" t="s">
        <v>126</v>
      </c>
      <c r="AV3" s="143"/>
      <c r="AW3" s="159" t="b">
        <v>0</v>
      </c>
      <c r="AX3" s="143" t="b">
        <f t="shared" si="8"/>
        <v>0</v>
      </c>
      <c r="AY3" s="143">
        <f t="shared" si="9"/>
        <v>0</v>
      </c>
      <c r="AZ3" s="171"/>
      <c r="BA3" s="160" t="b">
        <v>1</v>
      </c>
      <c r="BB3" s="87" t="b">
        <f t="shared" si="10"/>
        <v>0</v>
      </c>
      <c r="BC3" s="87" t="str">
        <f t="shared" si="11"/>
        <v/>
      </c>
      <c r="BD3" s="87" t="str">
        <f t="shared" si="12"/>
        <v/>
      </c>
      <c r="BE3" s="161"/>
      <c r="BF3" s="8" t="str">
        <f t="shared" si="13"/>
        <v/>
      </c>
      <c r="BG3" s="162" t="str">
        <f t="shared" si="14"/>
        <v/>
      </c>
      <c r="BH3" s="87" t="str">
        <f t="shared" si="15"/>
        <v/>
      </c>
      <c r="BI3" s="87" t="str">
        <f t="shared" si="16"/>
        <v/>
      </c>
      <c r="BJ3" s="87" t="str">
        <f t="shared" si="17"/>
        <v/>
      </c>
      <c r="BK3" s="87" t="str">
        <f t="shared" si="18"/>
        <v/>
      </c>
      <c r="BL3" s="8" t="str">
        <f>IFNA(IF(VLOOKUP(FLOOR($B3,1),'APS Tubes by Date Import'!$B$2:$L22,1,FALSE)=FLOOR($BL2,1),IFERROR(0/0,""),VLOOKUP(FLOOR($B3,1),'APS Tubes by Date Import'!$B$2:$L22,1,FALSE)),"")</f>
        <v/>
      </c>
      <c r="BM3" s="87" t="str">
        <f>IF(ISBLANK($BL3),IFERROR(0/0,""),VLOOKUP(FLOOR($B3,1),'APS Tubes by Date Import'!$B$2:$L22,2,FALSE))</f>
        <v/>
      </c>
      <c r="BN3" s="87" t="str">
        <f>IF(ISBLANK($BL3),IFERROR(0/0,""),VLOOKUP(FLOOR($B3,1),'APS Tubes by Date Import'!$B$2:$L22,11,FALSE))</f>
        <v/>
      </c>
      <c r="BO3" s="87" t="str">
        <f>IF(ISBLANK($BL3),IFERROR(0/0,""),VLOOKUP(FLOOR($B3,1),'APS Tubes by Date Import'!$B$2:$L22,6,FALSE))</f>
        <v/>
      </c>
      <c r="BP3" s="87" t="str">
        <f t="shared" si="19"/>
        <v/>
      </c>
      <c r="BQ3" s="58">
        <f t="shared" si="20"/>
        <v>0</v>
      </c>
      <c r="BR3" s="58"/>
      <c r="BS3" s="81" t="str">
        <f t="shared" si="21"/>
        <v/>
      </c>
      <c r="BT3" s="164" t="str">
        <f t="shared" si="22"/>
        <v/>
      </c>
      <c r="BU3" s="164"/>
      <c r="BV3" s="164"/>
      <c r="BW3" s="164"/>
      <c r="BX3" s="164"/>
    </row>
    <row r="4">
      <c r="A4" s="138" t="str">
        <f>CONCATENATE("RUN-",'Process Ref'!$A$1,"_",TEXT(U4,"YYYY-MM-DD"),"_RFR-",TEXT(AR4,"000"),IF(EXACT(W4,"Initial"),"",CONCATENATE("_",W4)))</f>
        <v>RUN-NDHM_2022-04-19_RFR-003_Exclude</v>
      </c>
      <c r="B4" s="139">
        <v>44670.65537037037</v>
      </c>
      <c r="C4" s="140"/>
      <c r="D4" s="140" t="s">
        <v>127</v>
      </c>
      <c r="E4" s="141">
        <v>6.0</v>
      </c>
      <c r="F4" s="142" t="s">
        <v>131</v>
      </c>
      <c r="G4" s="165" t="s">
        <v>132</v>
      </c>
      <c r="H4" s="165" t="s">
        <v>133</v>
      </c>
      <c r="I4" s="165" t="s">
        <v>134</v>
      </c>
      <c r="J4" s="141">
        <v>0.0</v>
      </c>
      <c r="K4" s="172" t="s">
        <v>135</v>
      </c>
      <c r="L4" s="145">
        <v>5.0</v>
      </c>
      <c r="M4" s="167"/>
      <c r="N4" s="167"/>
      <c r="O4" s="167"/>
      <c r="P4" s="147" t="b">
        <f t="shared" si="1"/>
        <v>0</v>
      </c>
      <c r="Q4" s="148" t="b">
        <v>0</v>
      </c>
      <c r="R4" s="149"/>
      <c r="S4" s="147" t="b">
        <v>0</v>
      </c>
      <c r="T4" s="147" t="b">
        <v>0</v>
      </c>
      <c r="U4" s="150">
        <v>44670.0</v>
      </c>
      <c r="V4" s="151"/>
      <c r="W4" s="152" t="s">
        <v>125</v>
      </c>
      <c r="X4" s="149"/>
      <c r="Y4" s="147" t="b">
        <v>0</v>
      </c>
      <c r="Z4" s="143"/>
      <c r="AA4" s="143" t="str">
        <f t="shared" si="2"/>
        <v/>
      </c>
      <c r="AB4" s="153"/>
      <c r="AC4" s="145">
        <v>0.0</v>
      </c>
      <c r="AD4" s="154">
        <v>0.0</v>
      </c>
      <c r="AE4" s="141">
        <v>0.0</v>
      </c>
      <c r="AF4" s="154">
        <v>0.0</v>
      </c>
      <c r="AG4" s="154">
        <v>0.0</v>
      </c>
      <c r="AH4" s="143">
        <v>0.0</v>
      </c>
      <c r="AI4" s="154">
        <v>0.0</v>
      </c>
      <c r="AJ4" s="155" t="b">
        <v>0</v>
      </c>
      <c r="AK4" s="156">
        <f t="shared" ref="AK4:AK8" si="23">IF(W4="Initial",AC4,IF(AJ4=TRUE,"CORRECT ME",AC4/3))</f>
        <v>0</v>
      </c>
      <c r="AL4" s="143"/>
      <c r="AM4" s="143"/>
      <c r="AN4" s="143" t="str">
        <f t="shared" si="3"/>
        <v>#REF!</v>
      </c>
      <c r="AO4" s="149" t="str">
        <f t="shared" si="4"/>
        <v>#REF!</v>
      </c>
      <c r="AP4" s="157" t="str">
        <f t="shared" si="5"/>
        <v/>
      </c>
      <c r="AQ4" s="143" t="b">
        <f t="shared" si="6"/>
        <v>1</v>
      </c>
      <c r="AR4" s="143">
        <f t="shared" si="7"/>
        <v>3</v>
      </c>
      <c r="AS4" s="158"/>
      <c r="AT4" s="158"/>
      <c r="AU4" s="154" t="s">
        <v>126</v>
      </c>
      <c r="AV4" s="143"/>
      <c r="AW4" s="159" t="b">
        <v>0</v>
      </c>
      <c r="AX4" s="143" t="b">
        <f t="shared" si="8"/>
        <v>0</v>
      </c>
      <c r="AY4" s="143">
        <f t="shared" si="9"/>
        <v>0</v>
      </c>
      <c r="AZ4" s="171"/>
      <c r="BA4" s="160" t="b">
        <v>1</v>
      </c>
      <c r="BB4" s="87" t="b">
        <f t="shared" si="10"/>
        <v>0</v>
      </c>
      <c r="BC4" s="87" t="str">
        <f t="shared" si="11"/>
        <v/>
      </c>
      <c r="BD4" s="87" t="str">
        <f t="shared" si="12"/>
        <v/>
      </c>
      <c r="BE4" s="161"/>
      <c r="BF4" s="8" t="str">
        <f t="shared" si="13"/>
        <v/>
      </c>
      <c r="BG4" s="162" t="str">
        <f t="shared" si="14"/>
        <v/>
      </c>
      <c r="BH4" s="87" t="str">
        <f t="shared" si="15"/>
        <v/>
      </c>
      <c r="BI4" s="87" t="str">
        <f t="shared" si="16"/>
        <v/>
      </c>
      <c r="BJ4" s="87" t="str">
        <f t="shared" si="17"/>
        <v/>
      </c>
      <c r="BK4" s="87" t="str">
        <f t="shared" si="18"/>
        <v/>
      </c>
      <c r="BL4" s="8" t="str">
        <f>IFNA(IF(VLOOKUP(FLOOR($B4,1),'APS Tubes by Date Import'!$B$2:$L22,1,FALSE)=FLOOR($BL3,1),IFERROR(0/0,""),VLOOKUP(FLOOR($B4,1),'APS Tubes by Date Import'!$B$2:$L22,1,FALSE)),"")</f>
        <v/>
      </c>
      <c r="BM4" s="87" t="str">
        <f>IF(ISBLANK($BL4),IFERROR(0/0,""),VLOOKUP(FLOOR($B4,1),'APS Tubes by Date Import'!$B$2:$L22,2,FALSE))</f>
        <v/>
      </c>
      <c r="BN4" s="87" t="str">
        <f>IF(ISBLANK($BL4),IFERROR(0/0,""),VLOOKUP(FLOOR($B4,1),'APS Tubes by Date Import'!$B$2:$L22,11,FALSE))</f>
        <v/>
      </c>
      <c r="BO4" s="87" t="str">
        <f>IF(ISBLANK($BL4),IFERROR(0/0,""),VLOOKUP(FLOOR($B4,1),'APS Tubes by Date Import'!$B$2:$L22,6,FALSE))</f>
        <v/>
      </c>
      <c r="BP4" s="87" t="str">
        <f t="shared" si="19"/>
        <v/>
      </c>
      <c r="BQ4" s="58">
        <f t="shared" si="20"/>
        <v>0</v>
      </c>
      <c r="BR4" s="58"/>
      <c r="BS4" s="81" t="str">
        <f t="shared" si="21"/>
        <v/>
      </c>
      <c r="BT4" s="164" t="str">
        <f t="shared" si="22"/>
        <v/>
      </c>
      <c r="BU4" s="164"/>
      <c r="BV4" s="164"/>
      <c r="BW4" s="164"/>
      <c r="BX4" s="164"/>
    </row>
    <row r="5">
      <c r="A5" s="138" t="str">
        <f>CONCATENATE("RUN-",'Process Ref'!$A$1,"_",TEXT(U5,"YYYY-MM-DD"),"_RFR-",TEXT(AR5,"000"),IF(EXACT(W5,"Initial"),"",CONCATENATE("_",W5)))</f>
        <v>RUN-NDHM_2022-04-25_RFR-004_Exclude</v>
      </c>
      <c r="B5" s="139">
        <v>44676.43886574074</v>
      </c>
      <c r="C5" s="140"/>
      <c r="D5" s="140" t="s">
        <v>127</v>
      </c>
      <c r="E5" s="143">
        <v>1.0</v>
      </c>
      <c r="F5" s="142" t="s">
        <v>136</v>
      </c>
      <c r="G5" s="173" t="s">
        <v>137</v>
      </c>
      <c r="H5" s="166"/>
      <c r="I5" s="165" t="s">
        <v>138</v>
      </c>
      <c r="J5" s="143">
        <v>0.0</v>
      </c>
      <c r="K5" s="174" t="s">
        <v>139</v>
      </c>
      <c r="L5" s="145">
        <v>2.0</v>
      </c>
      <c r="M5" s="167"/>
      <c r="N5" s="167"/>
      <c r="O5" s="167"/>
      <c r="P5" s="147" t="b">
        <f t="shared" si="1"/>
        <v>0</v>
      </c>
      <c r="Q5" s="148" t="b">
        <v>0</v>
      </c>
      <c r="R5" s="149"/>
      <c r="S5" s="147" t="b">
        <v>0</v>
      </c>
      <c r="T5" s="147" t="b">
        <v>0</v>
      </c>
      <c r="U5" s="150">
        <v>44676.0</v>
      </c>
      <c r="V5" s="151"/>
      <c r="W5" s="152" t="s">
        <v>125</v>
      </c>
      <c r="X5" s="149"/>
      <c r="Y5" s="147" t="b">
        <v>0</v>
      </c>
      <c r="Z5" s="143"/>
      <c r="AA5" s="143" t="str">
        <f t="shared" si="2"/>
        <v/>
      </c>
      <c r="AB5" s="153"/>
      <c r="AC5" s="145">
        <v>0.0</v>
      </c>
      <c r="AD5" s="154">
        <v>0.0</v>
      </c>
      <c r="AE5" s="141">
        <v>0.0</v>
      </c>
      <c r="AF5" s="154">
        <v>0.0</v>
      </c>
      <c r="AG5" s="154">
        <v>0.0</v>
      </c>
      <c r="AH5" s="143">
        <v>0.0</v>
      </c>
      <c r="AI5" s="175">
        <v>0.0</v>
      </c>
      <c r="AJ5" s="155" t="b">
        <v>0</v>
      </c>
      <c r="AK5" s="156">
        <f t="shared" si="23"/>
        <v>0</v>
      </c>
      <c r="AL5" s="143"/>
      <c r="AM5" s="143"/>
      <c r="AN5" s="143" t="str">
        <f t="shared" si="3"/>
        <v>#REF!</v>
      </c>
      <c r="AO5" s="149" t="str">
        <f t="shared" si="4"/>
        <v>#REF!</v>
      </c>
      <c r="AP5" s="157" t="str">
        <f t="shared" si="5"/>
        <v>Absent</v>
      </c>
      <c r="AQ5" s="143" t="b">
        <f t="shared" si="6"/>
        <v>1</v>
      </c>
      <c r="AR5" s="143">
        <f t="shared" si="7"/>
        <v>4</v>
      </c>
      <c r="AS5" s="158"/>
      <c r="AT5" s="158"/>
      <c r="AU5" s="154" t="s">
        <v>126</v>
      </c>
      <c r="AV5" s="143"/>
      <c r="AW5" s="159" t="b">
        <v>0</v>
      </c>
      <c r="AX5" s="143" t="b">
        <f t="shared" si="8"/>
        <v>0</v>
      </c>
      <c r="AY5" s="143">
        <f t="shared" si="9"/>
        <v>0</v>
      </c>
      <c r="AZ5" s="171"/>
      <c r="BA5" s="160" t="b">
        <v>0</v>
      </c>
      <c r="BB5" s="162" t="str">
        <f t="shared" si="10"/>
        <v/>
      </c>
      <c r="BC5" s="162" t="str">
        <f t="shared" si="11"/>
        <v/>
      </c>
      <c r="BD5" s="87" t="str">
        <f t="shared" si="12"/>
        <v/>
      </c>
      <c r="BE5" s="161"/>
      <c r="BF5" s="8" t="str">
        <f t="shared" si="13"/>
        <v/>
      </c>
      <c r="BG5" s="162" t="str">
        <f t="shared" si="14"/>
        <v/>
      </c>
      <c r="BH5" s="87" t="str">
        <f t="shared" si="15"/>
        <v/>
      </c>
      <c r="BI5" s="87" t="str">
        <f t="shared" si="16"/>
        <v/>
      </c>
      <c r="BJ5" s="87" t="str">
        <f t="shared" si="17"/>
        <v/>
      </c>
      <c r="BK5" s="87" t="str">
        <f t="shared" si="18"/>
        <v/>
      </c>
      <c r="BL5" s="8" t="str">
        <f>IFNA(IF(VLOOKUP(FLOOR($B5,1),'APS Tubes by Date Import'!$B$2:$L22,1,FALSE)=FLOOR($BL4,1),IFERROR(0/0,""),VLOOKUP(FLOOR($B5,1),'APS Tubes by Date Import'!$B$2:$L22,1,FALSE)),"")</f>
        <v/>
      </c>
      <c r="BM5" s="87" t="str">
        <f>IF(ISBLANK($BL5),IFERROR(0/0,""),VLOOKUP(FLOOR($B5,1),'APS Tubes by Date Import'!$B$2:$L22,2,FALSE))</f>
        <v/>
      </c>
      <c r="BN5" s="87" t="str">
        <f>IF(ISBLANK($BL5),IFERROR(0/0,""),VLOOKUP(FLOOR($B5,1),'APS Tubes by Date Import'!$B$2:$L22,11,FALSE))</f>
        <v/>
      </c>
      <c r="BO5" s="87" t="str">
        <f>IF(ISBLANK($BL5),IFERROR(0/0,""),VLOOKUP(FLOOR($B5,1),'APS Tubes by Date Import'!$B$2:$L22,6,FALSE))</f>
        <v/>
      </c>
      <c r="BP5" s="87" t="str">
        <f t="shared" si="19"/>
        <v/>
      </c>
      <c r="BQ5" s="58">
        <f t="shared" si="20"/>
        <v>0</v>
      </c>
      <c r="BR5" s="58"/>
      <c r="BS5" s="81" t="str">
        <f t="shared" si="21"/>
        <v/>
      </c>
      <c r="BT5" s="164" t="str">
        <f t="shared" si="22"/>
        <v/>
      </c>
      <c r="BU5" s="164"/>
      <c r="BV5" s="164"/>
      <c r="BW5" s="164"/>
      <c r="BX5" s="164"/>
    </row>
    <row r="6">
      <c r="A6" s="138" t="str">
        <f>CONCATENATE("RUN-",'Process Ref'!$A$1,"_",TEXT(U6,"YYYY-MM-DD"),"_RFR-",TEXT(AR6,"000"),IF(EXACT(W6,"Initial"),"",CONCATENATE("_",W6)))</f>
        <v>RUN-NDHM_2022-04-27_RFR-005_Exclude</v>
      </c>
      <c r="B6" s="139">
        <v>44678.62946759259</v>
      </c>
      <c r="C6" s="140"/>
      <c r="D6" s="140" t="s">
        <v>127</v>
      </c>
      <c r="E6" s="141">
        <v>14.0</v>
      </c>
      <c r="F6" s="142" t="s">
        <v>140</v>
      </c>
      <c r="G6" s="165" t="s">
        <v>141</v>
      </c>
      <c r="H6" s="166"/>
      <c r="I6" s="165" t="s">
        <v>142</v>
      </c>
      <c r="J6" s="141">
        <v>0.0</v>
      </c>
      <c r="K6" s="174" t="s">
        <v>143</v>
      </c>
      <c r="L6" s="145">
        <v>2.0</v>
      </c>
      <c r="M6" s="176"/>
      <c r="N6" s="167"/>
      <c r="O6" s="146"/>
      <c r="P6" s="147" t="b">
        <f t="shared" si="1"/>
        <v>0</v>
      </c>
      <c r="Q6" s="148" t="b">
        <v>0</v>
      </c>
      <c r="R6" s="149"/>
      <c r="S6" s="147" t="b">
        <v>0</v>
      </c>
      <c r="T6" s="147" t="b">
        <v>0</v>
      </c>
      <c r="U6" s="150">
        <v>44678.0</v>
      </c>
      <c r="V6" s="151"/>
      <c r="W6" s="152" t="s">
        <v>125</v>
      </c>
      <c r="X6" s="140"/>
      <c r="Y6" s="147" t="b">
        <v>0</v>
      </c>
      <c r="Z6" s="143"/>
      <c r="AA6" s="143" t="str">
        <f t="shared" si="2"/>
        <v/>
      </c>
      <c r="AB6" s="153"/>
      <c r="AC6" s="145">
        <v>0.0</v>
      </c>
      <c r="AD6" s="154">
        <v>0.0</v>
      </c>
      <c r="AE6" s="141">
        <v>0.0</v>
      </c>
      <c r="AF6" s="154">
        <v>0.0</v>
      </c>
      <c r="AG6" s="154">
        <v>0.0</v>
      </c>
      <c r="AH6" s="143">
        <v>0.0</v>
      </c>
      <c r="AI6" s="154">
        <v>0.0</v>
      </c>
      <c r="AJ6" s="155" t="b">
        <v>0</v>
      </c>
      <c r="AK6" s="156">
        <f t="shared" si="23"/>
        <v>0</v>
      </c>
      <c r="AL6" s="141"/>
      <c r="AM6" s="143"/>
      <c r="AN6" s="143" t="str">
        <f t="shared" si="3"/>
        <v>#REF!</v>
      </c>
      <c r="AO6" s="149" t="str">
        <f t="shared" si="4"/>
        <v>#REF!</v>
      </c>
      <c r="AP6" s="157" t="str">
        <f t="shared" si="5"/>
        <v>Absent</v>
      </c>
      <c r="AQ6" s="143" t="b">
        <f t="shared" si="6"/>
        <v>1</v>
      </c>
      <c r="AR6" s="143">
        <f t="shared" si="7"/>
        <v>5</v>
      </c>
      <c r="AS6" s="158"/>
      <c r="AT6" s="158"/>
      <c r="AU6" s="154" t="s">
        <v>126</v>
      </c>
      <c r="AV6" s="143"/>
      <c r="AW6" s="159" t="b">
        <v>0</v>
      </c>
      <c r="AX6" s="143" t="b">
        <f t="shared" si="8"/>
        <v>0</v>
      </c>
      <c r="AY6" s="143">
        <f t="shared" si="9"/>
        <v>0</v>
      </c>
      <c r="AZ6" s="149"/>
      <c r="BA6" s="160" t="b">
        <v>0</v>
      </c>
      <c r="BB6" s="162" t="str">
        <f t="shared" si="10"/>
        <v/>
      </c>
      <c r="BC6" s="162" t="str">
        <f t="shared" si="11"/>
        <v/>
      </c>
      <c r="BD6" s="87" t="str">
        <f t="shared" si="12"/>
        <v/>
      </c>
      <c r="BE6" s="161"/>
      <c r="BF6" s="8" t="str">
        <f t="shared" si="13"/>
        <v/>
      </c>
      <c r="BG6" s="162" t="str">
        <f t="shared" si="14"/>
        <v/>
      </c>
      <c r="BH6" s="87" t="str">
        <f t="shared" si="15"/>
        <v/>
      </c>
      <c r="BI6" s="87" t="str">
        <f t="shared" si="16"/>
        <v/>
      </c>
      <c r="BJ6" s="87" t="str">
        <f t="shared" si="17"/>
        <v/>
      </c>
      <c r="BK6" s="87" t="str">
        <f t="shared" si="18"/>
        <v/>
      </c>
      <c r="BL6" s="8" t="str">
        <f>IFNA(IF(VLOOKUP(FLOOR($B6,1),'APS Tubes by Date Import'!$B$2:$L22,1,FALSE)=FLOOR($BL5,1),IFERROR(0/0,""),VLOOKUP(FLOOR($B6,1),'APS Tubes by Date Import'!$B$2:$L22,1,FALSE)),"")</f>
        <v/>
      </c>
      <c r="BM6" s="87" t="str">
        <f>IF(ISBLANK($BL6),IFERROR(0/0,""),VLOOKUP(FLOOR($B6,1),'APS Tubes by Date Import'!$B$2:$L22,2,FALSE))</f>
        <v/>
      </c>
      <c r="BN6" s="87" t="str">
        <f>IF(ISBLANK($BL6),IFERROR(0/0,""),VLOOKUP(FLOOR($B6,1),'APS Tubes by Date Import'!$B$2:$L22,11,FALSE))</f>
        <v/>
      </c>
      <c r="BO6" s="87" t="str">
        <f>IF(ISBLANK($BL6),IFERROR(0/0,""),VLOOKUP(FLOOR($B6,1),'APS Tubes by Date Import'!$B$2:$L22,6,FALSE))</f>
        <v/>
      </c>
      <c r="BP6" s="87" t="str">
        <f t="shared" si="19"/>
        <v/>
      </c>
      <c r="BQ6" s="58">
        <f t="shared" si="20"/>
        <v>0</v>
      </c>
      <c r="BR6" s="58"/>
      <c r="BS6" s="81" t="str">
        <f t="shared" si="21"/>
        <v/>
      </c>
      <c r="BT6" s="164" t="str">
        <f t="shared" si="22"/>
        <v/>
      </c>
      <c r="BU6" s="164"/>
      <c r="BV6" s="164"/>
      <c r="BW6" s="164"/>
      <c r="BX6" s="164"/>
    </row>
    <row r="7">
      <c r="A7" s="138" t="str">
        <f>CONCATENATE("RUN-",'Process Ref'!$A$1,"_",TEXT(U7,"YYYY-MM-DD"),"_RFR-",TEXT(AR7,"000"),IF(EXACT(W7,"Initial"),"",CONCATENATE("_",W7)))</f>
        <v>RUN-NDHM_2022-05-02_RFR-006</v>
      </c>
      <c r="B7" s="177">
        <v>44683.329421296294</v>
      </c>
      <c r="C7" s="76"/>
      <c r="D7" s="76" t="s">
        <v>144</v>
      </c>
      <c r="E7" s="95">
        <v>14.0</v>
      </c>
      <c r="F7" s="178" t="s">
        <v>145</v>
      </c>
      <c r="G7" s="179" t="s">
        <v>146</v>
      </c>
      <c r="H7" s="180"/>
      <c r="I7" s="179" t="s">
        <v>147</v>
      </c>
      <c r="J7" s="95">
        <v>3.0</v>
      </c>
      <c r="K7" s="181"/>
      <c r="L7" s="182"/>
      <c r="M7" s="183">
        <v>1.5</v>
      </c>
      <c r="N7" s="184"/>
      <c r="O7" s="185" t="s">
        <v>148</v>
      </c>
      <c r="P7" s="186" t="b">
        <f t="shared" si="1"/>
        <v>0</v>
      </c>
      <c r="Q7" s="110" t="b">
        <v>0</v>
      </c>
      <c r="R7" s="75"/>
      <c r="S7" s="104" t="b">
        <v>0</v>
      </c>
      <c r="T7" s="187" t="b">
        <v>1</v>
      </c>
      <c r="U7" s="188">
        <v>44683.0</v>
      </c>
      <c r="V7" s="189">
        <v>0.3194444444444444</v>
      </c>
      <c r="W7" s="190" t="s">
        <v>149</v>
      </c>
      <c r="X7" s="82" t="s">
        <v>150</v>
      </c>
      <c r="Y7" s="104" t="b">
        <v>0</v>
      </c>
      <c r="Z7" s="89"/>
      <c r="AA7" s="87" t="str">
        <f t="shared" si="2"/>
        <v/>
      </c>
      <c r="AB7" s="191" t="b">
        <f t="shared" ref="AB7:AB22" si="24">IF(AA7 = 2,FALSE,TRUE)</f>
        <v>1</v>
      </c>
      <c r="AC7" s="182">
        <v>18.0</v>
      </c>
      <c r="AD7" s="89">
        <v>2.0</v>
      </c>
      <c r="AE7" s="95">
        <f>IF(W7="Initial",AD7,(IF(AJ7=TRUE,"CORRECT ME",AD7/3)))</f>
        <v>2</v>
      </c>
      <c r="AF7" s="89">
        <v>0.0</v>
      </c>
      <c r="AG7" s="89">
        <v>0.0</v>
      </c>
      <c r="AH7" s="58">
        <f t="shared" ref="AH7:AH10" si="25">IF(W7="Initial",AG7,(IF(AJ7=TRUE,"CORRECT ME",AG7/3)))</f>
        <v>0</v>
      </c>
      <c r="AI7" s="89">
        <v>0.0</v>
      </c>
      <c r="AJ7" s="192" t="b">
        <v>0</v>
      </c>
      <c r="AK7" s="193">
        <f t="shared" si="23"/>
        <v>18</v>
      </c>
      <c r="AL7" s="89">
        <v>1.1</v>
      </c>
      <c r="AM7" s="89">
        <v>2.0</v>
      </c>
      <c r="AN7" s="87" t="str">
        <f t="shared" si="3"/>
        <v>#REF!</v>
      </c>
      <c r="AO7" s="162" t="str">
        <f t="shared" si="4"/>
        <v>#REF!</v>
      </c>
      <c r="AP7" s="194" t="str">
        <f t="shared" si="5"/>
        <v>Absent</v>
      </c>
      <c r="AQ7" s="87" t="b">
        <f t="shared" si="6"/>
        <v>1</v>
      </c>
      <c r="AR7" s="195">
        <f t="shared" si="7"/>
        <v>6</v>
      </c>
      <c r="AS7" s="196"/>
      <c r="AT7" s="197"/>
      <c r="AU7" s="89" t="s">
        <v>126</v>
      </c>
      <c r="AV7" s="89">
        <v>20.0</v>
      </c>
      <c r="AW7" s="192" t="b">
        <v>0</v>
      </c>
      <c r="AX7" s="198" t="b">
        <f t="shared" si="8"/>
        <v>1</v>
      </c>
      <c r="AY7" s="87">
        <f t="shared" si="9"/>
        <v>2</v>
      </c>
      <c r="AZ7" s="75"/>
      <c r="BA7" s="160" t="b">
        <v>1</v>
      </c>
      <c r="BB7" s="87" t="b">
        <f t="shared" si="10"/>
        <v>1</v>
      </c>
      <c r="BC7" s="87">
        <f t="shared" si="11"/>
        <v>1.1</v>
      </c>
      <c r="BD7" s="87">
        <f t="shared" si="12"/>
        <v>18</v>
      </c>
      <c r="BE7" s="161"/>
      <c r="BF7" s="8">
        <f t="shared" si="13"/>
        <v>44683</v>
      </c>
      <c r="BG7" s="162" t="str">
        <f t="shared" si="14"/>
        <v>RUN-NDHM_2022-05-02_RFR-006</v>
      </c>
      <c r="BH7" s="87">
        <f t="shared" si="15"/>
        <v>14</v>
      </c>
      <c r="BI7" s="87">
        <f t="shared" si="16"/>
        <v>18</v>
      </c>
      <c r="BJ7" s="87">
        <f t="shared" si="17"/>
        <v>18</v>
      </c>
      <c r="BK7" s="87">
        <f t="shared" si="18"/>
        <v>1.1</v>
      </c>
      <c r="BL7" s="8">
        <f>IFNA(IF(VLOOKUP(FLOOR($B7,1),'APS Tubes by Date Import'!$B$2:$L22,1,FALSE)=FLOOR($BL6,1),IFERROR(0/0,""),VLOOKUP(FLOOR($B7,1),'APS Tubes by Date Import'!$B$2:$L22,1,FALSE)),"")</f>
        <v>44683</v>
      </c>
      <c r="BM7" s="87">
        <f>IF(ISBLANK($BL7),IFERROR(0/0,""),VLOOKUP(FLOOR($B7,1),'APS Tubes by Date Import'!$B$2:$L22,2,FALSE))</f>
        <v>17</v>
      </c>
      <c r="BN7" s="81">
        <f>IF(ISBLANK($BL7),IFERROR(0/0,""),VLOOKUP(FLOOR($B7,1),'APS Tubes by Date Import'!$B$2:$L22,11,FALSE))</f>
        <v>44683</v>
      </c>
      <c r="BO7" s="87">
        <f>IF(ISBLANK($BL7),IFERROR(0/0,""),VLOOKUP(FLOOR($B7,1),'APS Tubes by Date Import'!$B$2:$L22,6,FALSE))</f>
        <v>0</v>
      </c>
      <c r="BP7" s="87">
        <f t="shared" si="19"/>
        <v>18</v>
      </c>
      <c r="BQ7" s="58">
        <f t="shared" si="20"/>
        <v>1</v>
      </c>
      <c r="BR7" s="58"/>
      <c r="BS7" s="81" t="b">
        <f t="shared" si="21"/>
        <v>1</v>
      </c>
      <c r="BT7" s="164" t="str">
        <f t="shared" si="22"/>
        <v/>
      </c>
      <c r="BU7" s="164"/>
      <c r="BV7" s="164"/>
      <c r="BW7" s="164"/>
      <c r="BX7" s="164"/>
    </row>
    <row r="8">
      <c r="A8" s="138" t="str">
        <f>CONCATENATE("RUN-",'Process Ref'!$A$1,"_",TEXT(U8,"YYYY-MM-DD"),"_RFR-",TEXT(AR8,"000"),IF(EXACT(W8,"Initial"),"",CONCATENATE("_",W8)))</f>
        <v>RUN-NDHM_2022-05-02_RFR-007_Re-run</v>
      </c>
      <c r="B8" s="177">
        <v>44683.359189814815</v>
      </c>
      <c r="C8" s="76"/>
      <c r="D8" s="76" t="s">
        <v>127</v>
      </c>
      <c r="E8" s="95">
        <v>3.0</v>
      </c>
      <c r="F8" s="178" t="s">
        <v>151</v>
      </c>
      <c r="G8" s="179" t="s">
        <v>152</v>
      </c>
      <c r="H8" s="180"/>
      <c r="I8" s="179" t="s">
        <v>153</v>
      </c>
      <c r="J8" s="178" t="s">
        <v>154</v>
      </c>
      <c r="K8" s="181" t="s">
        <v>155</v>
      </c>
      <c r="L8" s="199"/>
      <c r="M8" s="200"/>
      <c r="N8" s="184"/>
      <c r="O8" s="184"/>
      <c r="P8" s="186" t="b">
        <f t="shared" si="1"/>
        <v>0</v>
      </c>
      <c r="Q8" s="110" t="b">
        <v>0</v>
      </c>
      <c r="R8" s="75"/>
      <c r="S8" s="104" t="b">
        <v>0</v>
      </c>
      <c r="T8" s="187" t="b">
        <v>1</v>
      </c>
      <c r="U8" s="188">
        <v>44683.0</v>
      </c>
      <c r="V8" s="189">
        <v>0.4583333333333333</v>
      </c>
      <c r="W8" s="190" t="s">
        <v>156</v>
      </c>
      <c r="X8" s="82" t="s">
        <v>157</v>
      </c>
      <c r="Y8" s="104" t="b">
        <v>0</v>
      </c>
      <c r="Z8" s="89">
        <v>11.0</v>
      </c>
      <c r="AA8" s="87">
        <f t="shared" si="2"/>
        <v>8</v>
      </c>
      <c r="AB8" s="191" t="b">
        <f t="shared" si="24"/>
        <v>1</v>
      </c>
      <c r="AC8" s="182">
        <v>9.0</v>
      </c>
      <c r="AD8" s="89">
        <v>2.0</v>
      </c>
      <c r="AE8" s="89">
        <v>1.0</v>
      </c>
      <c r="AF8" s="89">
        <v>0.0</v>
      </c>
      <c r="AG8" s="89">
        <v>0.0</v>
      </c>
      <c r="AH8" s="58">
        <f t="shared" si="25"/>
        <v>0</v>
      </c>
      <c r="AI8" s="89">
        <v>0.0</v>
      </c>
      <c r="AJ8" s="118" t="b">
        <v>0</v>
      </c>
      <c r="AK8" s="193">
        <f t="shared" si="23"/>
        <v>3</v>
      </c>
      <c r="AL8" s="89" t="s">
        <v>158</v>
      </c>
      <c r="AM8" s="58"/>
      <c r="AN8" s="87" t="str">
        <f t="shared" si="3"/>
        <v>#REF!</v>
      </c>
      <c r="AO8" s="162" t="str">
        <f t="shared" si="4"/>
        <v>#REF!</v>
      </c>
      <c r="AP8" s="194" t="str">
        <f t="shared" si="5"/>
        <v>Absent</v>
      </c>
      <c r="AQ8" s="87" t="b">
        <f t="shared" si="6"/>
        <v>1</v>
      </c>
      <c r="AR8" s="195">
        <f t="shared" si="7"/>
        <v>7</v>
      </c>
      <c r="AS8" s="196"/>
      <c r="AT8" s="197"/>
      <c r="AU8" s="89" t="s">
        <v>126</v>
      </c>
      <c r="AV8" s="89">
        <v>11.0</v>
      </c>
      <c r="AW8" s="192" t="b">
        <v>0</v>
      </c>
      <c r="AX8" s="198" t="b">
        <f t="shared" si="8"/>
        <v>1</v>
      </c>
      <c r="AY8" s="87">
        <f t="shared" si="9"/>
        <v>2</v>
      </c>
      <c r="AZ8" s="75"/>
      <c r="BA8" s="160" t="b">
        <v>1</v>
      </c>
      <c r="BB8" s="87" t="b">
        <f t="shared" si="10"/>
        <v>0</v>
      </c>
      <c r="BC8" s="87" t="str">
        <f t="shared" si="11"/>
        <v/>
      </c>
      <c r="BD8" s="87" t="str">
        <f t="shared" si="12"/>
        <v/>
      </c>
      <c r="BE8" s="161"/>
      <c r="BF8" s="8" t="str">
        <f t="shared" si="13"/>
        <v/>
      </c>
      <c r="BG8" s="162" t="str">
        <f t="shared" si="14"/>
        <v/>
      </c>
      <c r="BH8" s="87" t="str">
        <f t="shared" si="15"/>
        <v/>
      </c>
      <c r="BI8" s="87" t="str">
        <f t="shared" si="16"/>
        <v/>
      </c>
      <c r="BJ8" s="87" t="str">
        <f t="shared" si="17"/>
        <v/>
      </c>
      <c r="BK8" s="87" t="str">
        <f t="shared" si="18"/>
        <v/>
      </c>
      <c r="BL8" s="8" t="str">
        <f>IFNA(IF(VLOOKUP(FLOOR($B8,1),'APS Tubes by Date Import'!$B$2:$L22,1,FALSE)=FLOOR($BL7,1),IFERROR(0/0,""),VLOOKUP(FLOOR($B8,1),'APS Tubes by Date Import'!$B$2:$L22,1,FALSE)),"")</f>
        <v/>
      </c>
      <c r="BM8" s="87" t="str">
        <f>IF(ISBLANK($BL8),IFERROR(0/0,""),VLOOKUP(FLOOR($B8,1),'APS Tubes by Date Import'!$B$2:$L22,2,FALSE))</f>
        <v/>
      </c>
      <c r="BN8" s="87" t="str">
        <f>IF(ISBLANK($BL8),IFERROR(0/0,""),VLOOKUP(FLOOR($B8,1),'APS Tubes by Date Import'!$B$2:$L22,11,FALSE))</f>
        <v/>
      </c>
      <c r="BO8" s="87" t="str">
        <f>IF(ISBLANK($BL8),IFERROR(0/0,""),VLOOKUP(FLOOR($B8,1),'APS Tubes by Date Import'!$B$2:$L22,6,FALSE))</f>
        <v/>
      </c>
      <c r="BP8" s="87" t="str">
        <f t="shared" si="19"/>
        <v/>
      </c>
      <c r="BQ8" s="58">
        <f t="shared" si="20"/>
        <v>0</v>
      </c>
      <c r="BR8" s="58"/>
      <c r="BS8" s="81" t="str">
        <f t="shared" si="21"/>
        <v/>
      </c>
      <c r="BT8" s="164" t="str">
        <f t="shared" si="22"/>
        <v/>
      </c>
      <c r="BU8" s="164"/>
      <c r="BV8" s="164"/>
      <c r="BW8" s="164"/>
      <c r="BX8" s="164"/>
    </row>
    <row r="9" ht="15.75" customHeight="1">
      <c r="A9" s="138" t="str">
        <f>CONCATENATE("RUN-",'Process Ref'!$A$1,"_",TEXT(U9,"YYYY-MM-DD"),"_RFR-",TEXT(AR9,"000"),IF(EXACT(W9,"Initial"),"",CONCATENATE("_",W9)))</f>
        <v>RUN-NDHM_2022-05-02_RFR-008_Re-run</v>
      </c>
      <c r="B9" s="177">
        <v>44683.38811342593</v>
      </c>
      <c r="C9" s="76"/>
      <c r="D9" s="76" t="s">
        <v>127</v>
      </c>
      <c r="E9" s="95">
        <v>1.0</v>
      </c>
      <c r="F9" s="178" t="s">
        <v>159</v>
      </c>
      <c r="G9" s="179" t="s">
        <v>160</v>
      </c>
      <c r="H9" s="180"/>
      <c r="I9" s="179" t="s">
        <v>161</v>
      </c>
      <c r="J9" s="95">
        <v>0.0</v>
      </c>
      <c r="K9" s="181" t="s">
        <v>155</v>
      </c>
      <c r="L9" s="199"/>
      <c r="M9" s="183">
        <v>1.5</v>
      </c>
      <c r="N9" s="184"/>
      <c r="O9" s="185" t="s">
        <v>162</v>
      </c>
      <c r="P9" s="186" t="b">
        <f t="shared" si="1"/>
        <v>0</v>
      </c>
      <c r="Q9" s="110" t="b">
        <v>0</v>
      </c>
      <c r="R9" s="75"/>
      <c r="S9" s="187" t="b">
        <v>0</v>
      </c>
      <c r="T9" s="187" t="b">
        <v>1</v>
      </c>
      <c r="U9" s="188">
        <v>44683.0</v>
      </c>
      <c r="V9" s="189">
        <v>0.5104166666666666</v>
      </c>
      <c r="W9" s="190" t="s">
        <v>156</v>
      </c>
      <c r="X9" s="82" t="s">
        <v>158</v>
      </c>
      <c r="Y9" s="104" t="b">
        <v>0</v>
      </c>
      <c r="Z9" s="89">
        <v>8.0</v>
      </c>
      <c r="AA9" s="87">
        <f t="shared" si="2"/>
        <v>7</v>
      </c>
      <c r="AB9" s="191" t="b">
        <f t="shared" si="24"/>
        <v>1</v>
      </c>
      <c r="AC9" s="182">
        <v>6.0</v>
      </c>
      <c r="AD9" s="89">
        <v>0.0</v>
      </c>
      <c r="AE9" s="95">
        <f t="shared" ref="AE9:AE13" si="26">IF(W9="Initial",AD9,(IF(AJ9=TRUE,"CORRECT ME",AD9/3)))</f>
        <v>0</v>
      </c>
      <c r="AF9" s="89">
        <v>0.0</v>
      </c>
      <c r="AG9" s="89">
        <v>0.0</v>
      </c>
      <c r="AH9" s="58">
        <f t="shared" si="25"/>
        <v>0</v>
      </c>
      <c r="AI9" s="89">
        <v>0.0</v>
      </c>
      <c r="AJ9" s="118" t="b">
        <v>0</v>
      </c>
      <c r="AK9" s="201">
        <v>1.0</v>
      </c>
      <c r="AL9" s="89" t="s">
        <v>158</v>
      </c>
      <c r="AM9" s="58"/>
      <c r="AN9" s="87" t="str">
        <f t="shared" si="3"/>
        <v>#REF!</v>
      </c>
      <c r="AO9" s="162" t="str">
        <f t="shared" si="4"/>
        <v>#REF!</v>
      </c>
      <c r="AP9" s="194" t="str">
        <f t="shared" si="5"/>
        <v>Absent</v>
      </c>
      <c r="AQ9" s="87" t="b">
        <f t="shared" si="6"/>
        <v>1</v>
      </c>
      <c r="AR9" s="195">
        <f t="shared" si="7"/>
        <v>8</v>
      </c>
      <c r="AS9" s="196" t="s">
        <v>163</v>
      </c>
      <c r="AT9" s="197" t="s">
        <v>163</v>
      </c>
      <c r="AU9" s="89" t="s">
        <v>126</v>
      </c>
      <c r="AV9" s="89">
        <v>8.0</v>
      </c>
      <c r="AW9" s="192" t="b">
        <v>1</v>
      </c>
      <c r="AX9" s="198" t="b">
        <f t="shared" si="8"/>
        <v>0</v>
      </c>
      <c r="AY9" s="87">
        <f t="shared" si="9"/>
        <v>2</v>
      </c>
      <c r="AZ9" s="75"/>
      <c r="BA9" s="160" t="b">
        <v>0</v>
      </c>
      <c r="BB9" s="162" t="str">
        <f t="shared" si="10"/>
        <v/>
      </c>
      <c r="BC9" s="162" t="str">
        <f t="shared" si="11"/>
        <v/>
      </c>
      <c r="BD9" s="87" t="str">
        <f t="shared" si="12"/>
        <v/>
      </c>
      <c r="BE9" s="161"/>
      <c r="BF9" s="8" t="str">
        <f t="shared" si="13"/>
        <v/>
      </c>
      <c r="BG9" s="162" t="str">
        <f t="shared" si="14"/>
        <v/>
      </c>
      <c r="BH9" s="87" t="str">
        <f t="shared" si="15"/>
        <v/>
      </c>
      <c r="BI9" s="87" t="str">
        <f t="shared" si="16"/>
        <v/>
      </c>
      <c r="BJ9" s="87" t="str">
        <f t="shared" si="17"/>
        <v/>
      </c>
      <c r="BK9" s="87" t="str">
        <f t="shared" si="18"/>
        <v/>
      </c>
      <c r="BL9" s="8">
        <f>IFNA(IF(VLOOKUP(FLOOR($B9,1),'APS Tubes by Date Import'!$B$2:$L22,1,FALSE)=FLOOR($BL8,1),IFERROR(0/0,""),VLOOKUP(FLOOR($B9,1),'APS Tubes by Date Import'!$B$2:$L22,1,FALSE)),"")</f>
        <v>44683</v>
      </c>
      <c r="BM9" s="87">
        <f>IF(ISBLANK($BL9),IFERROR(0/0,""),VLOOKUP(FLOOR($B9,1),'APS Tubes by Date Import'!$B$2:$L22,2,FALSE))</f>
        <v>17</v>
      </c>
      <c r="BN9" s="81">
        <f>IF(ISBLANK($BL9),IFERROR(0/0,""),VLOOKUP(FLOOR($B9,1),'APS Tubes by Date Import'!$B$2:$L22,11,FALSE))</f>
        <v>44683</v>
      </c>
      <c r="BO9" s="87">
        <f>IF(ISBLANK($BL9),IFERROR(0/0,""),VLOOKUP(FLOOR($B9,1),'APS Tubes by Date Import'!$B$2:$L22,6,FALSE))</f>
        <v>0</v>
      </c>
      <c r="BP9" s="87" t="str">
        <f t="shared" si="19"/>
        <v/>
      </c>
      <c r="BQ9" s="58">
        <f t="shared" si="20"/>
        <v>-17</v>
      </c>
      <c r="BR9" s="58"/>
      <c r="BS9" s="81" t="str">
        <f t="shared" si="21"/>
        <v/>
      </c>
      <c r="BT9" s="164" t="str">
        <f t="shared" si="22"/>
        <v/>
      </c>
      <c r="BU9" s="164"/>
      <c r="BV9" s="164"/>
      <c r="BW9" s="164"/>
      <c r="BX9" s="164"/>
    </row>
    <row r="10">
      <c r="A10" s="138" t="str">
        <f>CONCATENATE("RUN-",'Process Ref'!$A$1,"_",TEXT(U10,"YYYY-MM-DD"),"_RFR-",TEXT(AR10,"000"),IF(EXACT(W10,"Initial"),"",CONCATENATE("_",W10)))</f>
        <v>RUN-NDHM_2022-05-09_RFR-009</v>
      </c>
      <c r="B10" s="177">
        <v>44690.326203703706</v>
      </c>
      <c r="C10" s="76"/>
      <c r="D10" s="76" t="s">
        <v>127</v>
      </c>
      <c r="E10" s="95">
        <v>9.0</v>
      </c>
      <c r="F10" s="178" t="s">
        <v>164</v>
      </c>
      <c r="G10" s="179" t="s">
        <v>165</v>
      </c>
      <c r="H10" s="179" t="s">
        <v>166</v>
      </c>
      <c r="I10" s="179" t="s">
        <v>167</v>
      </c>
      <c r="J10" s="95">
        <v>0.0</v>
      </c>
      <c r="K10" s="181" t="s">
        <v>168</v>
      </c>
      <c r="L10" s="199"/>
      <c r="M10" s="200"/>
      <c r="N10" s="184"/>
      <c r="O10" s="184"/>
      <c r="P10" s="186" t="b">
        <f t="shared" si="1"/>
        <v>0</v>
      </c>
      <c r="Q10" s="110" t="b">
        <v>0</v>
      </c>
      <c r="R10" s="75"/>
      <c r="S10" s="104" t="b">
        <v>0</v>
      </c>
      <c r="T10" s="104" t="b">
        <v>0</v>
      </c>
      <c r="U10" s="188">
        <v>44690.0</v>
      </c>
      <c r="V10" s="189">
        <v>0.375</v>
      </c>
      <c r="W10" s="190" t="s">
        <v>149</v>
      </c>
      <c r="X10" s="82" t="s">
        <v>169</v>
      </c>
      <c r="Y10" s="104" t="b">
        <v>0</v>
      </c>
      <c r="Z10" s="89">
        <v>11.0</v>
      </c>
      <c r="AA10" s="87">
        <f t="shared" si="2"/>
        <v>2</v>
      </c>
      <c r="AB10" s="191" t="b">
        <f t="shared" si="24"/>
        <v>0</v>
      </c>
      <c r="AC10" s="182">
        <v>9.0</v>
      </c>
      <c r="AD10" s="89">
        <v>0.0</v>
      </c>
      <c r="AE10" s="95">
        <f t="shared" si="26"/>
        <v>0</v>
      </c>
      <c r="AF10" s="89">
        <v>0.0</v>
      </c>
      <c r="AG10" s="89">
        <v>0.0</v>
      </c>
      <c r="AH10" s="58">
        <f t="shared" si="25"/>
        <v>0</v>
      </c>
      <c r="AI10" s="89">
        <v>0.0</v>
      </c>
      <c r="AJ10" s="118" t="b">
        <v>0</v>
      </c>
      <c r="AK10" s="193">
        <f t="shared" ref="AK10:AK14" si="27">IF(W10="Initial",AC10,IF(AJ10=TRUE,"CORRECT ME",AC10/3))</f>
        <v>9</v>
      </c>
      <c r="AL10" s="89">
        <v>0.0</v>
      </c>
      <c r="AM10" s="89">
        <v>0.0</v>
      </c>
      <c r="AN10" s="87"/>
      <c r="AO10" s="162" t="str">
        <f t="shared" si="4"/>
        <v/>
      </c>
      <c r="AP10" s="194" t="str">
        <f t="shared" si="5"/>
        <v/>
      </c>
      <c r="AQ10" s="87" t="b">
        <f t="shared" si="6"/>
        <v>1</v>
      </c>
      <c r="AR10" s="195">
        <f t="shared" si="7"/>
        <v>9</v>
      </c>
      <c r="AS10" s="196"/>
      <c r="AT10" s="197"/>
      <c r="AU10" s="89" t="s">
        <v>126</v>
      </c>
      <c r="AV10" s="89">
        <v>11.0</v>
      </c>
      <c r="AW10" s="192" t="b">
        <v>1</v>
      </c>
      <c r="AX10" s="198" t="b">
        <f t="shared" si="8"/>
        <v>1</v>
      </c>
      <c r="AY10" s="87">
        <f t="shared" si="9"/>
        <v>2</v>
      </c>
      <c r="AZ10" s="75"/>
      <c r="BA10" s="160" t="b">
        <v>1</v>
      </c>
      <c r="BB10" s="87" t="b">
        <f t="shared" si="10"/>
        <v>1</v>
      </c>
      <c r="BC10" s="87" t="b">
        <f t="shared" si="11"/>
        <v>1</v>
      </c>
      <c r="BD10" s="87">
        <f t="shared" si="12"/>
        <v>9</v>
      </c>
      <c r="BE10" s="161"/>
      <c r="BF10" s="8">
        <f t="shared" si="13"/>
        <v>44690</v>
      </c>
      <c r="BG10" s="162" t="str">
        <f t="shared" si="14"/>
        <v>RUN-NDHM_2022-05-09_RFR-009</v>
      </c>
      <c r="BH10" s="87">
        <f t="shared" si="15"/>
        <v>9</v>
      </c>
      <c r="BI10" s="87">
        <f t="shared" si="16"/>
        <v>9</v>
      </c>
      <c r="BJ10" s="87">
        <f t="shared" si="17"/>
        <v>9</v>
      </c>
      <c r="BK10" s="87">
        <f t="shared" si="18"/>
        <v>0</v>
      </c>
      <c r="BL10" s="8">
        <f>IFNA(IF(VLOOKUP(FLOOR($B10,1),'APS Tubes by Date Import'!$B$2:$L22,1,FALSE)=FLOOR($BL9,1),IFERROR(0/0,""),VLOOKUP(FLOOR($B10,1),'APS Tubes by Date Import'!$B$2:$L22,1,FALSE)),"")</f>
        <v>44690</v>
      </c>
      <c r="BM10" s="87">
        <f>IF(ISBLANK($BL10),IFERROR(0/0,""),VLOOKUP(FLOOR($B10,1),'APS Tubes by Date Import'!$B$2:$L22,2,FALSE))</f>
        <v>7</v>
      </c>
      <c r="BN10" s="81">
        <f>IF(ISBLANK($BL10),IFERROR(0/0,""),VLOOKUP(FLOOR($B10,1),'APS Tubes by Date Import'!$B$2:$L22,11,FALSE))</f>
        <v>44697</v>
      </c>
      <c r="BO10" s="87">
        <f>IF(ISBLANK($BL10),IFERROR(0/0,""),VLOOKUP(FLOOR($B10,1),'APS Tubes by Date Import'!$B$2:$L22,6,FALSE))</f>
        <v>0</v>
      </c>
      <c r="BP10" s="87">
        <f t="shared" si="19"/>
        <v>9</v>
      </c>
      <c r="BQ10" s="58">
        <f t="shared" si="20"/>
        <v>2</v>
      </c>
      <c r="BR10" s="58"/>
      <c r="BS10" s="81" t="b">
        <f t="shared" si="21"/>
        <v>1</v>
      </c>
      <c r="BT10" s="164" t="str">
        <f t="shared" si="22"/>
        <v/>
      </c>
      <c r="BU10" s="164"/>
      <c r="BV10" s="164"/>
      <c r="BW10" s="164"/>
      <c r="BX10" s="164"/>
    </row>
    <row r="11">
      <c r="A11" s="138" t="str">
        <f>CONCATENATE("RUN-",'Process Ref'!$A$1,"_",TEXT(U11,"YYYY-MM-DD"),"_RFR-",TEXT(AR11,"000"),IF(EXACT(W11,"Initial"),"",CONCATENATE("_",W11)))</f>
        <v>RUN-NDHM_2022-05-16_RFR-010</v>
      </c>
      <c r="B11" s="177">
        <v>44697.365949074076</v>
      </c>
      <c r="C11" s="76"/>
      <c r="D11" s="76" t="s">
        <v>127</v>
      </c>
      <c r="E11" s="95">
        <v>10.0</v>
      </c>
      <c r="F11" s="178">
        <v>220516.0</v>
      </c>
      <c r="G11" s="179" t="s">
        <v>170</v>
      </c>
      <c r="H11" s="202" t="s">
        <v>171</v>
      </c>
      <c r="I11" s="179" t="s">
        <v>172</v>
      </c>
      <c r="J11" s="95">
        <v>0.0</v>
      </c>
      <c r="K11" s="203" t="s">
        <v>173</v>
      </c>
      <c r="L11" s="199"/>
      <c r="M11" s="200"/>
      <c r="N11" s="184"/>
      <c r="O11" s="184"/>
      <c r="P11" s="186" t="b">
        <f t="shared" si="1"/>
        <v>0</v>
      </c>
      <c r="Q11" s="110" t="b">
        <v>0</v>
      </c>
      <c r="R11" s="75"/>
      <c r="S11" s="104" t="b">
        <v>0</v>
      </c>
      <c r="T11" s="104" t="b">
        <v>0</v>
      </c>
      <c r="U11" s="188">
        <v>44697.0</v>
      </c>
      <c r="V11" s="189">
        <v>0.375</v>
      </c>
      <c r="W11" s="190" t="s">
        <v>149</v>
      </c>
      <c r="X11" s="82" t="s">
        <v>174</v>
      </c>
      <c r="Y11" s="104" t="b">
        <v>0</v>
      </c>
      <c r="Z11" s="89">
        <v>12.0</v>
      </c>
      <c r="AA11" s="87">
        <f t="shared" si="2"/>
        <v>2</v>
      </c>
      <c r="AB11" s="191" t="b">
        <f t="shared" si="24"/>
        <v>0</v>
      </c>
      <c r="AC11" s="182">
        <v>10.0</v>
      </c>
      <c r="AD11" s="89">
        <v>0.0</v>
      </c>
      <c r="AE11" s="95">
        <f t="shared" si="26"/>
        <v>0</v>
      </c>
      <c r="AF11" s="89">
        <v>0.0</v>
      </c>
      <c r="AG11" s="89">
        <v>0.0</v>
      </c>
      <c r="AH11" s="89">
        <v>0.0</v>
      </c>
      <c r="AI11" s="89">
        <v>0.0</v>
      </c>
      <c r="AJ11" s="118" t="b">
        <v>0</v>
      </c>
      <c r="AK11" s="193">
        <f t="shared" si="27"/>
        <v>10</v>
      </c>
      <c r="AL11" s="89">
        <v>0.0</v>
      </c>
      <c r="AM11" s="89">
        <v>0.0</v>
      </c>
      <c r="AN11" s="87" t="str">
        <f t="shared" ref="AN11:AN22" si="28">IFNA(VLOOKUP($A11,'Tube Reactions'!$I$2:$J22,2,FALSE),"")</f>
        <v>#REF!</v>
      </c>
      <c r="AO11" s="162" t="str">
        <f t="shared" si="4"/>
        <v>#REF!</v>
      </c>
      <c r="AP11" s="194" t="str">
        <f t="shared" si="5"/>
        <v/>
      </c>
      <c r="AQ11" s="87" t="b">
        <f t="shared" si="6"/>
        <v>1</v>
      </c>
      <c r="AR11" s="195">
        <f t="shared" si="7"/>
        <v>10</v>
      </c>
      <c r="AS11" s="196"/>
      <c r="AT11" s="197"/>
      <c r="AU11" s="89" t="s">
        <v>126</v>
      </c>
      <c r="AV11" s="89">
        <v>12.0</v>
      </c>
      <c r="AW11" s="192" t="b">
        <v>1</v>
      </c>
      <c r="AX11" s="198" t="b">
        <f t="shared" si="8"/>
        <v>1</v>
      </c>
      <c r="AY11" s="87">
        <f t="shared" si="9"/>
        <v>2</v>
      </c>
      <c r="BA11" s="160" t="b">
        <v>1</v>
      </c>
      <c r="BB11" s="87" t="b">
        <f t="shared" si="10"/>
        <v>1</v>
      </c>
      <c r="BC11" s="87" t="b">
        <f t="shared" si="11"/>
        <v>1</v>
      </c>
      <c r="BD11" s="87">
        <f t="shared" si="12"/>
        <v>10</v>
      </c>
      <c r="BE11" s="161"/>
      <c r="BF11" s="8">
        <f t="shared" si="13"/>
        <v>44697</v>
      </c>
      <c r="BG11" s="162" t="str">
        <f t="shared" si="14"/>
        <v>RUN-NDHM_2022-05-16_RFR-010</v>
      </c>
      <c r="BH11" s="87">
        <f t="shared" si="15"/>
        <v>10</v>
      </c>
      <c r="BI11" s="87">
        <f t="shared" si="16"/>
        <v>10</v>
      </c>
      <c r="BJ11" s="87">
        <f t="shared" si="17"/>
        <v>10</v>
      </c>
      <c r="BK11" s="87">
        <f t="shared" si="18"/>
        <v>0</v>
      </c>
      <c r="BL11" s="8">
        <f>IFNA(IF(VLOOKUP(FLOOR($B11,1),'APS Tubes by Date Import'!$B$2:$L22,1,FALSE)=FLOOR($BL10,1),IFERROR(0/0,""),VLOOKUP(FLOOR($B11,1),'APS Tubes by Date Import'!$B$2:$L22,1,FALSE)),"")</f>
        <v>44697</v>
      </c>
      <c r="BM11" s="87">
        <f>IF(ISBLANK($BL11),IFERROR(0/0,""),VLOOKUP(FLOOR($B11,1),'APS Tubes by Date Import'!$B$2:$L22,2,FALSE))</f>
        <v>9</v>
      </c>
      <c r="BN11" s="81">
        <f>IF(ISBLANK($BL11),IFERROR(0/0,""),VLOOKUP(FLOOR($B11,1),'APS Tubes by Date Import'!$B$2:$L22,11,FALSE))</f>
        <v>44713</v>
      </c>
      <c r="BO11" s="87">
        <f>IF(ISBLANK($BL11),IFERROR(0/0,""),VLOOKUP(FLOOR($B11,1),'APS Tubes by Date Import'!$B$2:$L22,6,FALSE))</f>
        <v>0</v>
      </c>
      <c r="BP11" s="87">
        <f t="shared" si="19"/>
        <v>10</v>
      </c>
      <c r="BQ11" s="58">
        <f t="shared" si="20"/>
        <v>1</v>
      </c>
      <c r="BR11" s="58"/>
      <c r="BS11" s="81" t="b">
        <f t="shared" si="21"/>
        <v>1</v>
      </c>
      <c r="BT11" s="75" t="s">
        <v>175</v>
      </c>
      <c r="BU11" s="75"/>
      <c r="BV11" s="75"/>
      <c r="BW11" s="75"/>
      <c r="BX11" s="75"/>
    </row>
    <row r="12">
      <c r="A12" s="138" t="str">
        <f>CONCATENATE("RUN-",'Process Ref'!$A$1,"_",TEXT(U12,"YYYY-MM-DD"),"_RFR-",TEXT(AR12,"000"),IF(EXACT(W12,"Initial"),"",CONCATENATE("_",W12)))</f>
        <v>RUN-NDHM_2022-05-23_RFR-011</v>
      </c>
      <c r="B12" s="177">
        <v>44704.39399305556</v>
      </c>
      <c r="C12" s="76"/>
      <c r="D12" s="76" t="s">
        <v>127</v>
      </c>
      <c r="E12" s="95">
        <v>8.0</v>
      </c>
      <c r="F12" s="178" t="s">
        <v>176</v>
      </c>
      <c r="G12" s="179" t="s">
        <v>177</v>
      </c>
      <c r="H12" s="179" t="s">
        <v>178</v>
      </c>
      <c r="I12" s="179" t="s">
        <v>179</v>
      </c>
      <c r="J12" s="95">
        <v>0.0</v>
      </c>
      <c r="K12" s="203" t="s">
        <v>180</v>
      </c>
      <c r="L12" s="199"/>
      <c r="M12" s="200"/>
      <c r="N12" s="184"/>
      <c r="O12" s="184"/>
      <c r="P12" s="186" t="b">
        <f t="shared" si="1"/>
        <v>0</v>
      </c>
      <c r="Q12" s="110" t="b">
        <v>0</v>
      </c>
      <c r="R12" s="75"/>
      <c r="S12" s="104" t="b">
        <v>0</v>
      </c>
      <c r="T12" s="104" t="b">
        <v>0</v>
      </c>
      <c r="U12" s="188">
        <v>44704.0</v>
      </c>
      <c r="V12" s="189">
        <v>0.4166666666666667</v>
      </c>
      <c r="W12" s="190" t="s">
        <v>149</v>
      </c>
      <c r="X12" s="82" t="s">
        <v>181</v>
      </c>
      <c r="Y12" s="104" t="b">
        <v>0</v>
      </c>
      <c r="Z12" s="89">
        <v>10.0</v>
      </c>
      <c r="AA12" s="87">
        <f t="shared" si="2"/>
        <v>2</v>
      </c>
      <c r="AB12" s="191" t="b">
        <f t="shared" si="24"/>
        <v>0</v>
      </c>
      <c r="AC12" s="182">
        <v>8.0</v>
      </c>
      <c r="AD12" s="89">
        <v>0.0</v>
      </c>
      <c r="AE12" s="95">
        <f t="shared" si="26"/>
        <v>0</v>
      </c>
      <c r="AF12" s="89">
        <v>0.0</v>
      </c>
      <c r="AG12" s="89">
        <v>0.0</v>
      </c>
      <c r="AH12" s="58">
        <f>IF(W12="Initial",AG12,(IF(AJ12=TRUE,"CORRECT ME",AG12/3)))</f>
        <v>0</v>
      </c>
      <c r="AI12" s="89">
        <v>0.0</v>
      </c>
      <c r="AJ12" s="118" t="b">
        <v>0</v>
      </c>
      <c r="AK12" s="193">
        <f t="shared" si="27"/>
        <v>8</v>
      </c>
      <c r="AL12" s="89">
        <v>0.0</v>
      </c>
      <c r="AM12" s="89">
        <v>0.0</v>
      </c>
      <c r="AN12" s="87" t="str">
        <f t="shared" si="28"/>
        <v>#REF!</v>
      </c>
      <c r="AO12" s="162" t="str">
        <f t="shared" si="4"/>
        <v>#REF!</v>
      </c>
      <c r="AP12" s="194" t="str">
        <f t="shared" si="5"/>
        <v/>
      </c>
      <c r="AQ12" s="87" t="b">
        <f t="shared" si="6"/>
        <v>1</v>
      </c>
      <c r="AR12" s="195">
        <f t="shared" si="7"/>
        <v>11</v>
      </c>
      <c r="AS12" s="196"/>
      <c r="AT12" s="197"/>
      <c r="AU12" s="89" t="s">
        <v>126</v>
      </c>
      <c r="AV12" s="89">
        <v>10.0</v>
      </c>
      <c r="AW12" s="192" t="b">
        <v>1</v>
      </c>
      <c r="AX12" s="198" t="b">
        <f t="shared" si="8"/>
        <v>1</v>
      </c>
      <c r="AY12" s="87">
        <f t="shared" si="9"/>
        <v>2</v>
      </c>
      <c r="BA12" s="160" t="b">
        <v>0</v>
      </c>
      <c r="BB12" s="162" t="str">
        <f t="shared" si="10"/>
        <v/>
      </c>
      <c r="BC12" s="162" t="str">
        <f t="shared" si="11"/>
        <v/>
      </c>
      <c r="BD12" s="87" t="str">
        <f t="shared" si="12"/>
        <v/>
      </c>
      <c r="BE12" s="161"/>
      <c r="BF12" s="8">
        <f t="shared" si="13"/>
        <v>44704</v>
      </c>
      <c r="BG12" s="162" t="str">
        <f t="shared" si="14"/>
        <v>RUN-NDHM_2022-05-23_RFR-011</v>
      </c>
      <c r="BH12" s="87">
        <f t="shared" si="15"/>
        <v>8</v>
      </c>
      <c r="BI12" s="87">
        <f t="shared" si="16"/>
        <v>8</v>
      </c>
      <c r="BJ12" s="87">
        <f t="shared" si="17"/>
        <v>8</v>
      </c>
      <c r="BK12" s="87">
        <f t="shared" si="18"/>
        <v>0</v>
      </c>
      <c r="BL12" s="8">
        <f>IFNA(IF(VLOOKUP(FLOOR($B12,1),'APS Tubes by Date Import'!$B$2:$L22,1,FALSE)=FLOOR($BL11,1),IFERROR(0/0,""),VLOOKUP(FLOOR($B12,1),'APS Tubes by Date Import'!$B$2:$L22,1,FALSE)),"")</f>
        <v>44704</v>
      </c>
      <c r="BM12" s="87">
        <f>IF(ISBLANK($BL12),IFERROR(0/0,""),VLOOKUP(FLOOR($B12,1),'APS Tubes by Date Import'!$B$2:$L22,2,FALSE))</f>
        <v>8</v>
      </c>
      <c r="BN12" s="81">
        <f>IF(ISBLANK($BL12),IFERROR(0/0,""),VLOOKUP(FLOOR($B12,1),'APS Tubes by Date Import'!$B$2:$L22,11,FALSE))</f>
        <v>44718</v>
      </c>
      <c r="BO12" s="87">
        <f>IF(ISBLANK($BL12),IFERROR(0/0,""),VLOOKUP(FLOOR($B12,1),'APS Tubes by Date Import'!$B$2:$L22,6,FALSE))</f>
        <v>0</v>
      </c>
      <c r="BP12" s="87">
        <f t="shared" si="19"/>
        <v>8</v>
      </c>
      <c r="BQ12" s="58">
        <f t="shared" si="20"/>
        <v>0</v>
      </c>
      <c r="BR12" s="58"/>
      <c r="BS12" s="81" t="b">
        <f t="shared" si="21"/>
        <v>1</v>
      </c>
      <c r="BT12" s="164" t="str">
        <f t="shared" ref="BT12:BT22" si="29">IFS(BR12=2,"NULL &gt; NEG",BR12=3, "Delete NULL",TRUE,IFERROR(0/0,""))</f>
        <v/>
      </c>
      <c r="BU12" s="164"/>
      <c r="BV12" s="164"/>
      <c r="BW12" s="164"/>
      <c r="BX12" s="164"/>
    </row>
    <row r="13" ht="16.5" customHeight="1">
      <c r="A13" s="138" t="str">
        <f>CONCATENATE("RUN-",'Process Ref'!$A$1,"_",TEXT(U13,"YYYY-MM-DD"),"_RFR-",TEXT(AR13,"000"),IF(EXACT(W13,"Initial"),"",CONCATENATE("_",W13)))</f>
        <v>RUN-NDHM_2022-06-01_RFR-012</v>
      </c>
      <c r="B13" s="177">
        <v>44713.34119212963</v>
      </c>
      <c r="C13" s="76"/>
      <c r="D13" s="76" t="s">
        <v>127</v>
      </c>
      <c r="E13" s="95">
        <v>13.0</v>
      </c>
      <c r="F13" s="178" t="s">
        <v>182</v>
      </c>
      <c r="G13" s="179" t="s">
        <v>183</v>
      </c>
      <c r="H13" s="179" t="s">
        <v>184</v>
      </c>
      <c r="I13" s="179" t="s">
        <v>185</v>
      </c>
      <c r="J13" s="95">
        <v>0.0</v>
      </c>
      <c r="K13" s="203" t="s">
        <v>186</v>
      </c>
      <c r="L13" s="199"/>
      <c r="M13" s="183">
        <v>1.8</v>
      </c>
      <c r="N13" s="184"/>
      <c r="O13" s="185" t="s">
        <v>187</v>
      </c>
      <c r="P13" s="186" t="b">
        <f t="shared" si="1"/>
        <v>0</v>
      </c>
      <c r="Q13" s="110" t="b">
        <v>0</v>
      </c>
      <c r="R13" s="75"/>
      <c r="S13" s="104" t="b">
        <v>0</v>
      </c>
      <c r="T13" s="104" t="b">
        <v>0</v>
      </c>
      <c r="U13" s="188">
        <v>44713.0</v>
      </c>
      <c r="V13" s="189">
        <v>0.3958333333333333</v>
      </c>
      <c r="W13" s="190" t="s">
        <v>149</v>
      </c>
      <c r="X13" s="75"/>
      <c r="Y13" s="104" t="b">
        <v>0</v>
      </c>
      <c r="Z13" s="89">
        <v>15.0</v>
      </c>
      <c r="AA13" s="87">
        <f t="shared" si="2"/>
        <v>2</v>
      </c>
      <c r="AB13" s="191" t="b">
        <f t="shared" si="24"/>
        <v>0</v>
      </c>
      <c r="AC13" s="182">
        <v>14.0</v>
      </c>
      <c r="AD13" s="89">
        <v>0.0</v>
      </c>
      <c r="AE13" s="95">
        <f t="shared" si="26"/>
        <v>0</v>
      </c>
      <c r="AF13" s="89">
        <v>0.0</v>
      </c>
      <c r="AG13" s="89">
        <v>0.0</v>
      </c>
      <c r="AH13" s="89">
        <v>0.0</v>
      </c>
      <c r="AI13" s="89">
        <v>0.0</v>
      </c>
      <c r="AJ13" s="118" t="b">
        <v>0</v>
      </c>
      <c r="AK13" s="193">
        <f t="shared" si="27"/>
        <v>14</v>
      </c>
      <c r="AL13" s="89">
        <v>0.0</v>
      </c>
      <c r="AM13" s="89">
        <v>0.0</v>
      </c>
      <c r="AN13" s="87" t="str">
        <f t="shared" si="28"/>
        <v>#REF!</v>
      </c>
      <c r="AO13" s="162" t="str">
        <f t="shared" si="4"/>
        <v>#REF!</v>
      </c>
      <c r="AP13" s="194" t="str">
        <f t="shared" si="5"/>
        <v/>
      </c>
      <c r="AQ13" s="87" t="b">
        <f t="shared" si="6"/>
        <v>1</v>
      </c>
      <c r="AR13" s="195">
        <f t="shared" si="7"/>
        <v>12</v>
      </c>
      <c r="AS13" s="196" t="s">
        <v>188</v>
      </c>
      <c r="AT13" s="197" t="s">
        <v>188</v>
      </c>
      <c r="AU13" s="89" t="s">
        <v>126</v>
      </c>
      <c r="AV13" s="89">
        <v>16.0</v>
      </c>
      <c r="AW13" s="192" t="b">
        <v>1</v>
      </c>
      <c r="AX13" s="198" t="b">
        <f t="shared" si="8"/>
        <v>1</v>
      </c>
      <c r="AY13" s="87">
        <f t="shared" si="9"/>
        <v>2</v>
      </c>
      <c r="BA13" s="160" t="b">
        <v>1</v>
      </c>
      <c r="BB13" s="87" t="b">
        <f t="shared" si="10"/>
        <v>1</v>
      </c>
      <c r="BC13" s="87" t="b">
        <f t="shared" si="11"/>
        <v>1</v>
      </c>
      <c r="BD13" s="87">
        <f t="shared" si="12"/>
        <v>14</v>
      </c>
      <c r="BE13" s="161"/>
      <c r="BF13" s="8">
        <f t="shared" si="13"/>
        <v>44713</v>
      </c>
      <c r="BG13" s="162" t="str">
        <f t="shared" si="14"/>
        <v>RUN-NDHM_2022-06-01_RFR-012</v>
      </c>
      <c r="BH13" s="87">
        <f t="shared" si="15"/>
        <v>13</v>
      </c>
      <c r="BI13" s="87">
        <f t="shared" si="16"/>
        <v>14</v>
      </c>
      <c r="BJ13" s="87">
        <f t="shared" si="17"/>
        <v>14</v>
      </c>
      <c r="BK13" s="87">
        <f t="shared" si="18"/>
        <v>0</v>
      </c>
      <c r="BL13" s="8">
        <f>IFNA(IF(VLOOKUP(FLOOR($B13,1),'APS Tubes by Date Import'!$B$2:$L22,1,FALSE)=FLOOR($BL12,1),IFERROR(0/0,""),VLOOKUP(FLOOR($B13,1),'APS Tubes by Date Import'!$B$2:$L22,1,FALSE)),"")</f>
        <v>44713</v>
      </c>
      <c r="BM13" s="87">
        <f>IF(ISBLANK($BL13),IFERROR(0/0,""),VLOOKUP(FLOOR($B13,1),'APS Tubes by Date Import'!$B$2:$L22,2,FALSE))</f>
        <v>10</v>
      </c>
      <c r="BN13" s="81">
        <f>IF(ISBLANK($BL13),IFERROR(0/0,""),VLOOKUP(FLOOR($B13,1),'APS Tubes by Date Import'!$B$2:$L22,11,FALSE))</f>
        <v>44733</v>
      </c>
      <c r="BO13" s="87">
        <f>IF(ISBLANK($BL13),IFERROR(0/0,""),VLOOKUP(FLOOR($B13,1),'APS Tubes by Date Import'!$B$2:$L22,6,FALSE))</f>
        <v>0</v>
      </c>
      <c r="BP13" s="87">
        <f t="shared" si="19"/>
        <v>14</v>
      </c>
      <c r="BQ13" s="58">
        <f t="shared" si="20"/>
        <v>4</v>
      </c>
      <c r="BR13" s="58"/>
      <c r="BS13" s="81" t="b">
        <f t="shared" si="21"/>
        <v>1</v>
      </c>
      <c r="BT13" s="164" t="str">
        <f t="shared" si="29"/>
        <v/>
      </c>
      <c r="BU13" s="164"/>
      <c r="BV13" s="164"/>
      <c r="BW13" s="164"/>
      <c r="BX13" s="164"/>
    </row>
    <row r="14" ht="12.75" customHeight="1">
      <c r="A14" s="138" t="str">
        <f>CONCATENATE("RUN-",'Process Ref'!$A$1,"_",TEXT(U14,"YYYY-MM-DD"),"_RFR-",TEXT(AR14,"000"),IF(EXACT(W14,"Initial"),"",CONCATENATE("_",W14)))</f>
        <v>RUN-NDHM_2022-06-06_RFR-013</v>
      </c>
      <c r="B14" s="177">
        <v>44718.36240740741</v>
      </c>
      <c r="C14" s="76"/>
      <c r="D14" s="76" t="s">
        <v>127</v>
      </c>
      <c r="E14" s="95">
        <v>8.0</v>
      </c>
      <c r="F14" s="178" t="s">
        <v>189</v>
      </c>
      <c r="G14" s="179" t="s">
        <v>190</v>
      </c>
      <c r="H14" s="179" t="s">
        <v>191</v>
      </c>
      <c r="I14" s="179" t="s">
        <v>192</v>
      </c>
      <c r="J14" s="95">
        <v>0.0</v>
      </c>
      <c r="K14" s="203" t="s">
        <v>193</v>
      </c>
      <c r="L14" s="199"/>
      <c r="M14" s="183">
        <v>1.5</v>
      </c>
      <c r="N14" s="184"/>
      <c r="O14" s="185" t="s">
        <v>194</v>
      </c>
      <c r="P14" s="186" t="b">
        <f t="shared" si="1"/>
        <v>0</v>
      </c>
      <c r="Q14" s="110" t="b">
        <v>0</v>
      </c>
      <c r="R14" s="75"/>
      <c r="S14" s="104" t="b">
        <v>0</v>
      </c>
      <c r="T14" s="104" t="b">
        <v>0</v>
      </c>
      <c r="U14" s="188">
        <v>44718.0</v>
      </c>
      <c r="V14" s="189">
        <v>0.4166666666666667</v>
      </c>
      <c r="W14" s="190" t="s">
        <v>149</v>
      </c>
      <c r="X14" s="82" t="s">
        <v>195</v>
      </c>
      <c r="Y14" s="104" t="b">
        <v>0</v>
      </c>
      <c r="Z14" s="89">
        <v>10.0</v>
      </c>
      <c r="AA14" s="87">
        <f t="shared" si="2"/>
        <v>2</v>
      </c>
      <c r="AB14" s="191" t="b">
        <f t="shared" si="24"/>
        <v>0</v>
      </c>
      <c r="AC14" s="182">
        <v>14.0</v>
      </c>
      <c r="AD14" s="89">
        <v>0.0</v>
      </c>
      <c r="AE14" s="89">
        <v>0.0</v>
      </c>
      <c r="AF14" s="89">
        <v>0.0</v>
      </c>
      <c r="AG14" s="89">
        <v>0.0</v>
      </c>
      <c r="AH14" s="89">
        <v>0.0</v>
      </c>
      <c r="AI14" s="89">
        <v>0.0</v>
      </c>
      <c r="AJ14" s="118" t="b">
        <v>0</v>
      </c>
      <c r="AK14" s="193">
        <f t="shared" si="27"/>
        <v>14</v>
      </c>
      <c r="AL14" s="89">
        <v>0.0</v>
      </c>
      <c r="AM14" s="89">
        <v>1.0</v>
      </c>
      <c r="AN14" s="87" t="str">
        <f t="shared" si="28"/>
        <v>#REF!</v>
      </c>
      <c r="AO14" s="162" t="str">
        <f t="shared" si="4"/>
        <v>#REF!</v>
      </c>
      <c r="AP14" s="194" t="str">
        <f t="shared" si="5"/>
        <v/>
      </c>
      <c r="AQ14" s="87" t="b">
        <f t="shared" si="6"/>
        <v>1</v>
      </c>
      <c r="AR14" s="195">
        <f t="shared" si="7"/>
        <v>13</v>
      </c>
      <c r="AS14" s="196"/>
      <c r="AT14" s="197"/>
      <c r="AU14" s="89" t="s">
        <v>126</v>
      </c>
      <c r="AV14" s="89">
        <v>16.0</v>
      </c>
      <c r="AW14" s="192" t="b">
        <v>1</v>
      </c>
      <c r="AX14" s="198" t="b">
        <f t="shared" si="8"/>
        <v>1</v>
      </c>
      <c r="AY14" s="87">
        <f t="shared" si="9"/>
        <v>2</v>
      </c>
      <c r="BA14" s="160" t="b">
        <v>1</v>
      </c>
      <c r="BB14" s="87" t="b">
        <f t="shared" si="10"/>
        <v>1</v>
      </c>
      <c r="BC14" s="87" t="b">
        <f t="shared" si="11"/>
        <v>1</v>
      </c>
      <c r="BD14" s="87">
        <f t="shared" si="12"/>
        <v>14</v>
      </c>
      <c r="BE14" s="161"/>
      <c r="BF14" s="8">
        <f t="shared" si="13"/>
        <v>44718</v>
      </c>
      <c r="BG14" s="162" t="str">
        <f t="shared" si="14"/>
        <v>RUN-NDHM_2022-06-06_RFR-013</v>
      </c>
      <c r="BH14" s="87">
        <f t="shared" si="15"/>
        <v>8</v>
      </c>
      <c r="BI14" s="87">
        <f t="shared" si="16"/>
        <v>14</v>
      </c>
      <c r="BJ14" s="87">
        <f t="shared" si="17"/>
        <v>14</v>
      </c>
      <c r="BK14" s="87">
        <f t="shared" si="18"/>
        <v>0</v>
      </c>
      <c r="BL14" s="8">
        <f>IFNA(IF(VLOOKUP(FLOOR($B14,1),'APS Tubes by Date Import'!$B$2:$L22,1,FALSE)=FLOOR($BL13,1),IFERROR(0/0,""),VLOOKUP(FLOOR($B14,1),'APS Tubes by Date Import'!$B$2:$L22,1,FALSE)),"")</f>
        <v>44718</v>
      </c>
      <c r="BM14" s="87">
        <f>IF(ISBLANK($BL14),IFERROR(0/0,""),VLOOKUP(FLOOR($B14,1),'APS Tubes by Date Import'!$B$2:$L22,2,FALSE))</f>
        <v>7</v>
      </c>
      <c r="BN14" s="81">
        <f>IF(ISBLANK($BL14),IFERROR(0/0,""),VLOOKUP(FLOOR($B14,1),'APS Tubes by Date Import'!$B$2:$L22,11,FALSE))</f>
        <v>44739</v>
      </c>
      <c r="BO14" s="87">
        <f>IF(ISBLANK($BL14),IFERROR(0/0,""),VLOOKUP(FLOOR($B14,1),'APS Tubes by Date Import'!$B$2:$L22,6,FALSE))</f>
        <v>0</v>
      </c>
      <c r="BP14" s="87">
        <f t="shared" si="19"/>
        <v>14</v>
      </c>
      <c r="BQ14" s="58">
        <f t="shared" si="20"/>
        <v>7</v>
      </c>
      <c r="BR14" s="58"/>
      <c r="BS14" s="81" t="b">
        <f t="shared" si="21"/>
        <v>1</v>
      </c>
      <c r="BT14" s="164" t="str">
        <f t="shared" si="29"/>
        <v/>
      </c>
      <c r="BU14" s="164"/>
      <c r="BV14" s="164"/>
      <c r="BW14" s="164"/>
      <c r="BX14" s="164"/>
    </row>
    <row r="15">
      <c r="A15" s="138" t="str">
        <f>CONCATENATE("RUN-",'Process Ref'!$A$1,"_",TEXT(U15,"YYYY-MM-DD"),"_RFR-",TEXT(AR15,"000"),IF(EXACT(W15,"Initial"),"",CONCATENATE("_",W15)))</f>
        <v>RUN-NDHM_2022-06-13_RFR-014</v>
      </c>
      <c r="B15" s="177">
        <v>44725.38884259259</v>
      </c>
      <c r="C15" s="76"/>
      <c r="D15" s="76" t="s">
        <v>127</v>
      </c>
      <c r="E15" s="95">
        <v>4.0</v>
      </c>
      <c r="F15" s="178" t="s">
        <v>196</v>
      </c>
      <c r="G15" s="179" t="s">
        <v>197</v>
      </c>
      <c r="H15" s="179" t="s">
        <v>198</v>
      </c>
      <c r="I15" s="179" t="s">
        <v>199</v>
      </c>
      <c r="J15" s="178" t="s">
        <v>200</v>
      </c>
      <c r="K15" s="204" t="s">
        <v>201</v>
      </c>
      <c r="L15" s="199"/>
      <c r="M15" s="183">
        <v>1.5</v>
      </c>
      <c r="N15" s="205"/>
      <c r="O15" s="206" t="s">
        <v>202</v>
      </c>
      <c r="P15" s="186" t="b">
        <f t="shared" si="1"/>
        <v>0</v>
      </c>
      <c r="Q15" s="110" t="b">
        <v>0</v>
      </c>
      <c r="R15" s="75"/>
      <c r="S15" s="104" t="b">
        <v>0</v>
      </c>
      <c r="T15" s="187" t="b">
        <v>1</v>
      </c>
      <c r="U15" s="188">
        <v>44725.0</v>
      </c>
      <c r="V15" s="189">
        <v>0.4166666666666667</v>
      </c>
      <c r="W15" s="190" t="s">
        <v>149</v>
      </c>
      <c r="X15" s="75"/>
      <c r="Y15" s="187" t="b">
        <v>1</v>
      </c>
      <c r="Z15" s="89">
        <v>6.0</v>
      </c>
      <c r="AA15" s="87">
        <f t="shared" si="2"/>
        <v>2</v>
      </c>
      <c r="AB15" s="191" t="b">
        <f t="shared" si="24"/>
        <v>0</v>
      </c>
      <c r="AC15" s="182">
        <v>6.0</v>
      </c>
      <c r="AD15" s="89">
        <v>1.0</v>
      </c>
      <c r="AE15" s="95">
        <f t="shared" ref="AE15:AE16" si="30">IF(W15="Initial",AD15,(IF(AJ15=TRUE,"CORRECT ME",AD15/3)))</f>
        <v>1</v>
      </c>
      <c r="AF15" s="89">
        <v>0.0</v>
      </c>
      <c r="AG15" s="89">
        <v>0.0</v>
      </c>
      <c r="AH15" s="89">
        <v>0.0</v>
      </c>
      <c r="AI15" s="89">
        <v>0.0</v>
      </c>
      <c r="AJ15" s="118" t="b">
        <v>0</v>
      </c>
      <c r="AK15" s="201">
        <v>4.0</v>
      </c>
      <c r="AL15" s="89">
        <v>1.1</v>
      </c>
      <c r="AM15" s="89">
        <v>1.0</v>
      </c>
      <c r="AN15" s="87" t="str">
        <f t="shared" si="28"/>
        <v>#REF!</v>
      </c>
      <c r="AO15" s="162" t="str">
        <f t="shared" si="4"/>
        <v>#REF!</v>
      </c>
      <c r="AP15" s="194" t="str">
        <f t="shared" si="5"/>
        <v/>
      </c>
      <c r="AQ15" s="87" t="b">
        <f t="shared" si="6"/>
        <v>1</v>
      </c>
      <c r="AR15" s="195">
        <f t="shared" si="7"/>
        <v>14</v>
      </c>
      <c r="AS15" s="196" t="s">
        <v>203</v>
      </c>
      <c r="AT15" s="197"/>
      <c r="AU15" s="89" t="s">
        <v>126</v>
      </c>
      <c r="AV15" s="89">
        <v>8.0</v>
      </c>
      <c r="AW15" s="192" t="b">
        <v>0</v>
      </c>
      <c r="AX15" s="198" t="b">
        <f t="shared" si="8"/>
        <v>1</v>
      </c>
      <c r="AY15" s="87">
        <f t="shared" si="9"/>
        <v>2</v>
      </c>
      <c r="BA15" s="160" t="b">
        <v>0</v>
      </c>
      <c r="BB15" s="162" t="str">
        <f t="shared" si="10"/>
        <v/>
      </c>
      <c r="BC15" s="162" t="str">
        <f t="shared" si="11"/>
        <v/>
      </c>
      <c r="BD15" s="87" t="str">
        <f t="shared" si="12"/>
        <v/>
      </c>
      <c r="BE15" s="161"/>
      <c r="BF15" s="8">
        <f t="shared" si="13"/>
        <v>44725</v>
      </c>
      <c r="BG15" s="162" t="str">
        <f t="shared" si="14"/>
        <v>RUN-NDHM_2022-06-13_RFR-014</v>
      </c>
      <c r="BH15" s="87">
        <f t="shared" si="15"/>
        <v>4</v>
      </c>
      <c r="BI15" s="87">
        <f t="shared" si="16"/>
        <v>6</v>
      </c>
      <c r="BJ15" s="87">
        <f t="shared" si="17"/>
        <v>4</v>
      </c>
      <c r="BK15" s="87">
        <f t="shared" si="18"/>
        <v>1.1</v>
      </c>
      <c r="BL15" s="8">
        <f>IFNA(IF(VLOOKUP(FLOOR($B15,1),'APS Tubes by Date Import'!$B$2:$L22,1,FALSE)=FLOOR($BL14,1),IFERROR(0/0,""),VLOOKUP(FLOOR($B15,1),'APS Tubes by Date Import'!$B$2:$L22,1,FALSE)),"")</f>
        <v>44725</v>
      </c>
      <c r="BM15" s="87">
        <f>IF(ISBLANK($BL15),IFERROR(0/0,""),VLOOKUP(FLOOR($B15,1),'APS Tubes by Date Import'!$B$2:$L22,2,FALSE))</f>
        <v>4</v>
      </c>
      <c r="BN15" s="81">
        <f>IF(ISBLANK($BL15),IFERROR(0/0,""),VLOOKUP(FLOOR($B15,1),'APS Tubes by Date Import'!$B$2:$L22,11,FALSE))</f>
        <v>44753</v>
      </c>
      <c r="BO15" s="87">
        <f>IF(ISBLANK($BL15),IFERROR(0/0,""),VLOOKUP(FLOOR($B15,1),'APS Tubes by Date Import'!$B$2:$L22,6,FALSE))</f>
        <v>0</v>
      </c>
      <c r="BP15" s="87">
        <f t="shared" si="19"/>
        <v>4</v>
      </c>
      <c r="BQ15" s="58">
        <f t="shared" si="20"/>
        <v>0</v>
      </c>
      <c r="BR15" s="58"/>
      <c r="BS15" s="81" t="b">
        <f t="shared" si="21"/>
        <v>1</v>
      </c>
      <c r="BT15" s="164" t="str">
        <f t="shared" si="29"/>
        <v/>
      </c>
      <c r="BU15" s="164"/>
      <c r="BV15" s="164"/>
      <c r="BW15" s="164"/>
      <c r="BX15" s="164"/>
    </row>
    <row r="16">
      <c r="A16" s="138" t="str">
        <f>CONCATENATE("RUN-",'Process Ref'!$A$1,"_",TEXT(U16,"YYYY-MM-DD"),"_RFR-",TEXT(AR16,"000"),IF(EXACT(W16,"Initial"),"",CONCATENATE("_",W16)))</f>
        <v>RUN-NDHM_2022-06-13_RFR-015_Re-run</v>
      </c>
      <c r="B16" s="177">
        <v>44725.41195601852</v>
      </c>
      <c r="C16" s="76"/>
      <c r="D16" s="76" t="s">
        <v>204</v>
      </c>
      <c r="E16" s="95">
        <v>1.0</v>
      </c>
      <c r="F16" s="178" t="s">
        <v>196</v>
      </c>
      <c r="G16" s="179" t="s">
        <v>205</v>
      </c>
      <c r="H16" s="179" t="s">
        <v>206</v>
      </c>
      <c r="I16" s="179" t="s">
        <v>207</v>
      </c>
      <c r="J16" s="207" t="s">
        <v>208</v>
      </c>
      <c r="K16" s="181" t="s">
        <v>209</v>
      </c>
      <c r="L16" s="199"/>
      <c r="M16" s="183">
        <v>1.9</v>
      </c>
      <c r="N16" s="184"/>
      <c r="O16" s="185" t="s">
        <v>210</v>
      </c>
      <c r="P16" s="186" t="b">
        <f t="shared" si="1"/>
        <v>0</v>
      </c>
      <c r="Q16" s="110" t="b">
        <v>0</v>
      </c>
      <c r="R16" s="75"/>
      <c r="S16" s="104" t="b">
        <v>0</v>
      </c>
      <c r="T16" s="187" t="b">
        <v>1</v>
      </c>
      <c r="U16" s="188">
        <v>44725.0</v>
      </c>
      <c r="V16" s="189">
        <v>0.4583333333333333</v>
      </c>
      <c r="W16" s="190" t="s">
        <v>156</v>
      </c>
      <c r="X16" s="75"/>
      <c r="Y16" s="104" t="b">
        <v>0</v>
      </c>
      <c r="Z16" s="89"/>
      <c r="AA16" s="87" t="str">
        <f t="shared" si="2"/>
        <v/>
      </c>
      <c r="AB16" s="191" t="b">
        <f t="shared" si="24"/>
        <v>1</v>
      </c>
      <c r="AC16" s="182">
        <v>3.0</v>
      </c>
      <c r="AD16" s="89">
        <v>0.0</v>
      </c>
      <c r="AE16" s="95">
        <f t="shared" si="30"/>
        <v>0</v>
      </c>
      <c r="AF16" s="89">
        <v>0.0</v>
      </c>
      <c r="AG16" s="89">
        <v>0.0</v>
      </c>
      <c r="AH16" s="58">
        <f t="shared" ref="AH16:AH17" si="31">IF(W16="Initial",AG16,(IF(AJ16=TRUE,"CORRECT ME",AG16/3)))</f>
        <v>0</v>
      </c>
      <c r="AI16" s="89">
        <v>0.0</v>
      </c>
      <c r="AJ16" s="118" t="b">
        <v>0</v>
      </c>
      <c r="AK16" s="193">
        <f t="shared" ref="AK16:AK18" si="32">IF(W16="Initial",AC16,IF(AJ16=TRUE,"CORRECT ME",AC16/3))</f>
        <v>1</v>
      </c>
      <c r="AL16" s="89" t="s">
        <v>158</v>
      </c>
      <c r="AM16" s="89"/>
      <c r="AN16" s="87" t="str">
        <f t="shared" si="28"/>
        <v>#REF!</v>
      </c>
      <c r="AO16" s="162" t="str">
        <f t="shared" si="4"/>
        <v>#REF!</v>
      </c>
      <c r="AP16" s="194" t="str">
        <f t="shared" si="5"/>
        <v/>
      </c>
      <c r="AQ16" s="87" t="b">
        <f t="shared" si="6"/>
        <v>1</v>
      </c>
      <c r="AR16" s="195">
        <f t="shared" si="7"/>
        <v>15</v>
      </c>
      <c r="AS16" s="196"/>
      <c r="AT16" s="197"/>
      <c r="AU16" s="89" t="s">
        <v>126</v>
      </c>
      <c r="AV16" s="89">
        <v>5.0</v>
      </c>
      <c r="AW16" s="192" t="b">
        <v>1</v>
      </c>
      <c r="AX16" s="198" t="b">
        <f t="shared" si="8"/>
        <v>0</v>
      </c>
      <c r="AY16" s="87">
        <f t="shared" si="9"/>
        <v>2</v>
      </c>
      <c r="BA16" s="160" t="b">
        <v>1</v>
      </c>
      <c r="BB16" s="87" t="b">
        <f t="shared" si="10"/>
        <v>0</v>
      </c>
      <c r="BC16" s="87" t="str">
        <f t="shared" si="11"/>
        <v/>
      </c>
      <c r="BD16" s="87" t="str">
        <f t="shared" si="12"/>
        <v/>
      </c>
      <c r="BE16" s="161"/>
      <c r="BF16" s="8" t="str">
        <f t="shared" si="13"/>
        <v/>
      </c>
      <c r="BG16" s="162" t="str">
        <f t="shared" si="14"/>
        <v/>
      </c>
      <c r="BH16" s="87" t="str">
        <f t="shared" si="15"/>
        <v/>
      </c>
      <c r="BI16" s="87" t="str">
        <f t="shared" si="16"/>
        <v/>
      </c>
      <c r="BJ16" s="87" t="str">
        <f t="shared" si="17"/>
        <v/>
      </c>
      <c r="BK16" s="87" t="str">
        <f t="shared" si="18"/>
        <v/>
      </c>
      <c r="BL16" s="8" t="str">
        <f>IFNA(IF(VLOOKUP(FLOOR($B16,1),'APS Tubes by Date Import'!$B$2:$L22,1,FALSE)=FLOOR($BL15,1),IFERROR(0/0,""),VLOOKUP(FLOOR($B16,1),'APS Tubes by Date Import'!$B$2:$L22,1,FALSE)),"")</f>
        <v/>
      </c>
      <c r="BM16" s="87" t="str">
        <f>IF(ISBLANK($BL16),IFERROR(0/0,""),VLOOKUP(FLOOR($B16,1),'APS Tubes by Date Import'!$B$2:$L22,2,FALSE))</f>
        <v/>
      </c>
      <c r="BN16" s="87" t="str">
        <f>IF(ISBLANK($BL16),IFERROR(0/0,""),VLOOKUP(FLOOR($B16,1),'APS Tubes by Date Import'!$B$2:$L22,11,FALSE))</f>
        <v/>
      </c>
      <c r="BO16" s="87" t="str">
        <f>IF(ISBLANK($BL16),IFERROR(0/0,""),VLOOKUP(FLOOR($B16,1),'APS Tubes by Date Import'!$B$2:$L22,6,FALSE))</f>
        <v/>
      </c>
      <c r="BP16" s="87" t="str">
        <f t="shared" si="19"/>
        <v/>
      </c>
      <c r="BQ16" s="58">
        <f t="shared" si="20"/>
        <v>0</v>
      </c>
      <c r="BR16" s="58"/>
      <c r="BS16" s="81" t="str">
        <f t="shared" si="21"/>
        <v/>
      </c>
      <c r="BT16" s="164" t="str">
        <f t="shared" si="29"/>
        <v/>
      </c>
      <c r="BU16" s="164"/>
      <c r="BV16" s="164"/>
      <c r="BW16" s="164"/>
      <c r="BX16" s="164"/>
    </row>
    <row r="17">
      <c r="A17" s="138" t="str">
        <f>CONCATENATE("RUN-",'Process Ref'!$A$1,"_",TEXT(U17,"YYYY-MM-DD"),"_RFR-",TEXT(AR17,"000"),IF(EXACT(W17,"Initial"),"",CONCATENATE("_",W17)))</f>
        <v>RUN-NDHM_2022-06-21_RFR-016</v>
      </c>
      <c r="B17" s="177">
        <v>44733.40393518518</v>
      </c>
      <c r="C17" s="76"/>
      <c r="D17" s="76" t="s">
        <v>144</v>
      </c>
      <c r="E17" s="95">
        <v>2.0</v>
      </c>
      <c r="F17" s="178">
        <v>220621.0</v>
      </c>
      <c r="G17" s="179" t="s">
        <v>211</v>
      </c>
      <c r="H17" s="179" t="s">
        <v>212</v>
      </c>
      <c r="I17" s="179" t="s">
        <v>213</v>
      </c>
      <c r="J17" s="207" t="s">
        <v>214</v>
      </c>
      <c r="K17" s="204" t="s">
        <v>215</v>
      </c>
      <c r="L17" s="199"/>
      <c r="M17" s="200"/>
      <c r="N17" s="184"/>
      <c r="O17" s="184"/>
      <c r="P17" s="186" t="b">
        <f t="shared" si="1"/>
        <v>0</v>
      </c>
      <c r="Q17" s="110" t="b">
        <v>0</v>
      </c>
      <c r="R17" s="75"/>
      <c r="S17" s="104" t="b">
        <v>0</v>
      </c>
      <c r="T17" s="104" t="b">
        <v>0</v>
      </c>
      <c r="U17" s="188">
        <v>44733.0</v>
      </c>
      <c r="V17" s="189">
        <v>0.4583333333333333</v>
      </c>
      <c r="W17" s="190" t="s">
        <v>149</v>
      </c>
      <c r="X17" s="82" t="s">
        <v>216</v>
      </c>
      <c r="Y17" s="104" t="b">
        <v>0</v>
      </c>
      <c r="Z17" s="89">
        <v>4.0</v>
      </c>
      <c r="AA17" s="87">
        <f t="shared" si="2"/>
        <v>2</v>
      </c>
      <c r="AB17" s="191" t="b">
        <f t="shared" si="24"/>
        <v>0</v>
      </c>
      <c r="AC17" s="182">
        <v>2.0</v>
      </c>
      <c r="AD17" s="89">
        <v>0.0</v>
      </c>
      <c r="AE17" s="95">
        <v>0.0</v>
      </c>
      <c r="AF17" s="89">
        <v>0.0</v>
      </c>
      <c r="AG17" s="89">
        <v>0.0</v>
      </c>
      <c r="AH17" s="58">
        <f t="shared" si="31"/>
        <v>0</v>
      </c>
      <c r="AI17" s="89">
        <v>0.0</v>
      </c>
      <c r="AJ17" s="118" t="b">
        <v>0</v>
      </c>
      <c r="AK17" s="193">
        <f t="shared" si="32"/>
        <v>2</v>
      </c>
      <c r="AL17" s="89">
        <v>0.0</v>
      </c>
      <c r="AM17" s="89">
        <v>0.0</v>
      </c>
      <c r="AN17" s="87" t="str">
        <f t="shared" si="28"/>
        <v>#REF!</v>
      </c>
      <c r="AO17" s="162" t="str">
        <f t="shared" si="4"/>
        <v>#REF!</v>
      </c>
      <c r="AP17" s="194" t="str">
        <f t="shared" si="5"/>
        <v/>
      </c>
      <c r="AQ17" s="87" t="b">
        <f t="shared" si="6"/>
        <v>1</v>
      </c>
      <c r="AR17" s="195">
        <f t="shared" si="7"/>
        <v>16</v>
      </c>
      <c r="AS17" s="196"/>
      <c r="AT17" s="197"/>
      <c r="AU17" s="89" t="s">
        <v>126</v>
      </c>
      <c r="AV17" s="89">
        <v>4.0</v>
      </c>
      <c r="AW17" s="192" t="b">
        <v>1</v>
      </c>
      <c r="AX17" s="198" t="b">
        <f t="shared" si="8"/>
        <v>1</v>
      </c>
      <c r="AY17" s="87">
        <f t="shared" si="9"/>
        <v>2</v>
      </c>
      <c r="BA17" s="160" t="b">
        <v>1</v>
      </c>
      <c r="BB17" s="87" t="b">
        <f t="shared" si="10"/>
        <v>1</v>
      </c>
      <c r="BC17" s="87" t="b">
        <f t="shared" si="11"/>
        <v>1</v>
      </c>
      <c r="BD17" s="87">
        <f t="shared" si="12"/>
        <v>2</v>
      </c>
      <c r="BE17" s="161"/>
      <c r="BF17" s="8">
        <f t="shared" si="13"/>
        <v>44733</v>
      </c>
      <c r="BG17" s="162" t="str">
        <f t="shared" si="14"/>
        <v>RUN-NDHM_2022-06-21_RFR-016</v>
      </c>
      <c r="BH17" s="87">
        <f t="shared" si="15"/>
        <v>2</v>
      </c>
      <c r="BI17" s="87">
        <f t="shared" si="16"/>
        <v>2</v>
      </c>
      <c r="BJ17" s="87">
        <f t="shared" si="17"/>
        <v>2</v>
      </c>
      <c r="BK17" s="87">
        <f t="shared" si="18"/>
        <v>0</v>
      </c>
      <c r="BL17" s="8">
        <f>IFNA(IF(VLOOKUP(FLOOR($B17,1),'APS Tubes by Date Import'!$B$2:$L22,1,FALSE)=FLOOR($BL16,1),IFERROR(0/0,""),VLOOKUP(FLOOR($B17,1),'APS Tubes by Date Import'!$B$2:$L22,1,FALSE)),"")</f>
        <v>44733</v>
      </c>
      <c r="BM17" s="87">
        <f>IF(ISBLANK($BL17),IFERROR(0/0,""),VLOOKUP(FLOOR($B17,1),'APS Tubes by Date Import'!$B$2:$L22,2,FALSE))</f>
        <v>2</v>
      </c>
      <c r="BN17" s="81">
        <f>IF(ISBLANK($BL17),IFERROR(0/0,""),VLOOKUP(FLOOR($B17,1),'APS Tubes by Date Import'!$B$2:$L22,11,FALSE))</f>
        <v>44760</v>
      </c>
      <c r="BO17" s="87">
        <f>IF(ISBLANK($BL17),IFERROR(0/0,""),VLOOKUP(FLOOR($B17,1),'APS Tubes by Date Import'!$B$2:$L22,6,FALSE))</f>
        <v>0</v>
      </c>
      <c r="BP17" s="87">
        <f t="shared" si="19"/>
        <v>2</v>
      </c>
      <c r="BQ17" s="58">
        <f t="shared" si="20"/>
        <v>0</v>
      </c>
      <c r="BR17" s="58"/>
      <c r="BS17" s="81" t="b">
        <f t="shared" si="21"/>
        <v>1</v>
      </c>
      <c r="BT17" s="164" t="str">
        <f t="shared" si="29"/>
        <v/>
      </c>
      <c r="BU17" s="164"/>
      <c r="BV17" s="164"/>
      <c r="BW17" s="164"/>
      <c r="BX17" s="164"/>
    </row>
    <row r="18">
      <c r="A18" s="138" t="str">
        <f>CONCATENATE("RUN-",'Process Ref'!$A$1,"_",TEXT(U18,"YYYY-MM-DD"),"_RFR-",TEXT(AR18,"000"),IF(EXACT(W18,"Initial"),"",CONCATENATE("_",W18)))</f>
        <v>RUN-NDHM_2022-06-27_RFR-017</v>
      </c>
      <c r="B18" s="177">
        <v>44739.376863425925</v>
      </c>
      <c r="C18" s="76"/>
      <c r="D18" s="76" t="s">
        <v>127</v>
      </c>
      <c r="E18" s="95">
        <v>1.0</v>
      </c>
      <c r="F18" s="178" t="s">
        <v>217</v>
      </c>
      <c r="G18" s="179" t="s">
        <v>218</v>
      </c>
      <c r="H18" s="180"/>
      <c r="I18" s="179" t="s">
        <v>219</v>
      </c>
      <c r="J18" s="95">
        <v>0.0</v>
      </c>
      <c r="K18" s="181"/>
      <c r="L18" s="199"/>
      <c r="M18" s="205"/>
      <c r="N18" s="205"/>
      <c r="O18" s="205"/>
      <c r="P18" s="186" t="b">
        <f t="shared" si="1"/>
        <v>0</v>
      </c>
      <c r="Q18" s="110" t="b">
        <v>0</v>
      </c>
      <c r="R18" s="75"/>
      <c r="S18" s="104" t="b">
        <v>0</v>
      </c>
      <c r="T18" s="104" t="b">
        <v>0</v>
      </c>
      <c r="U18" s="188">
        <v>44739.0</v>
      </c>
      <c r="V18" s="189">
        <v>0.4166666666666667</v>
      </c>
      <c r="W18" s="190" t="s">
        <v>149</v>
      </c>
      <c r="X18" s="82" t="s">
        <v>220</v>
      </c>
      <c r="Y18" s="104" t="b">
        <v>0</v>
      </c>
      <c r="Z18" s="89">
        <v>3.0</v>
      </c>
      <c r="AA18" s="87">
        <f t="shared" si="2"/>
        <v>2</v>
      </c>
      <c r="AB18" s="191" t="b">
        <f t="shared" si="24"/>
        <v>0</v>
      </c>
      <c r="AC18" s="182">
        <v>1.0</v>
      </c>
      <c r="AD18" s="89">
        <v>0.0</v>
      </c>
      <c r="AE18" s="95">
        <f>IF(W18="Initial",AD18,(IF(AJ18=TRUE,"CORRECT ME",AD18/3)))</f>
        <v>0</v>
      </c>
      <c r="AF18" s="89">
        <v>0.0</v>
      </c>
      <c r="AG18" s="89">
        <v>0.0</v>
      </c>
      <c r="AH18" s="89">
        <v>0.0</v>
      </c>
      <c r="AI18" s="89">
        <v>0.0</v>
      </c>
      <c r="AJ18" s="118" t="b">
        <v>0</v>
      </c>
      <c r="AK18" s="193">
        <f t="shared" si="32"/>
        <v>1</v>
      </c>
      <c r="AL18" s="89">
        <v>0.0</v>
      </c>
      <c r="AM18" s="89">
        <v>0.0</v>
      </c>
      <c r="AN18" s="87" t="str">
        <f t="shared" si="28"/>
        <v>#REF!</v>
      </c>
      <c r="AO18" s="162" t="str">
        <f t="shared" si="4"/>
        <v>#REF!</v>
      </c>
      <c r="AP18" s="194" t="str">
        <f t="shared" si="5"/>
        <v>Absent</v>
      </c>
      <c r="AQ18" s="87" t="b">
        <f t="shared" si="6"/>
        <v>1</v>
      </c>
      <c r="AR18" s="195">
        <f t="shared" si="7"/>
        <v>17</v>
      </c>
      <c r="AS18" s="196"/>
      <c r="AT18" s="197"/>
      <c r="AU18" s="89" t="s">
        <v>126</v>
      </c>
      <c r="AV18" s="89">
        <v>3.0</v>
      </c>
      <c r="AW18" s="192" t="b">
        <v>1</v>
      </c>
      <c r="AX18" s="198" t="b">
        <f t="shared" si="8"/>
        <v>1</v>
      </c>
      <c r="AY18" s="87">
        <f t="shared" si="9"/>
        <v>2</v>
      </c>
      <c r="BA18" s="160" t="b">
        <v>0</v>
      </c>
      <c r="BB18" s="162" t="str">
        <f t="shared" si="10"/>
        <v/>
      </c>
      <c r="BC18" s="162" t="str">
        <f t="shared" si="11"/>
        <v/>
      </c>
      <c r="BD18" s="87" t="str">
        <f t="shared" si="12"/>
        <v/>
      </c>
      <c r="BE18" s="161"/>
      <c r="BF18" s="8">
        <f t="shared" si="13"/>
        <v>44739</v>
      </c>
      <c r="BG18" s="162" t="str">
        <f t="shared" si="14"/>
        <v>RUN-NDHM_2022-06-27_RFR-017</v>
      </c>
      <c r="BH18" s="87">
        <f t="shared" si="15"/>
        <v>1</v>
      </c>
      <c r="BI18" s="87">
        <f t="shared" si="16"/>
        <v>1</v>
      </c>
      <c r="BJ18" s="87">
        <f t="shared" si="17"/>
        <v>1</v>
      </c>
      <c r="BK18" s="87">
        <f t="shared" si="18"/>
        <v>0</v>
      </c>
      <c r="BL18" s="8">
        <f>IFNA(IF(VLOOKUP(FLOOR($B18,1),'APS Tubes by Date Import'!$B$2:$L22,1,FALSE)=FLOOR($BL17,1),IFERROR(0/0,""),VLOOKUP(FLOOR($B18,1),'APS Tubes by Date Import'!$B$2:$L22,1,FALSE)),"")</f>
        <v>44739</v>
      </c>
      <c r="BM18" s="87">
        <f>IF(ISBLANK($BL18),IFERROR(0/0,""),VLOOKUP(FLOOR($B18,1),'APS Tubes by Date Import'!$B$2:$L22,2,FALSE))</f>
        <v>1</v>
      </c>
      <c r="BN18" s="81">
        <f>IF(ISBLANK($BL18),IFERROR(0/0,""),VLOOKUP(FLOOR($B18,1),'APS Tubes by Date Import'!$B$2:$L22,11,FALSE))</f>
        <v>44767</v>
      </c>
      <c r="BO18" s="87">
        <f>IF(ISBLANK($BL18),IFERROR(0/0,""),VLOOKUP(FLOOR($B18,1),'APS Tubes by Date Import'!$B$2:$L22,6,FALSE))</f>
        <v>0</v>
      </c>
      <c r="BP18" s="87">
        <f t="shared" si="19"/>
        <v>1</v>
      </c>
      <c r="BQ18" s="58">
        <f t="shared" si="20"/>
        <v>0</v>
      </c>
      <c r="BR18" s="58"/>
      <c r="BS18" s="81" t="b">
        <f t="shared" si="21"/>
        <v>1</v>
      </c>
      <c r="BT18" s="164" t="str">
        <f t="shared" si="29"/>
        <v/>
      </c>
      <c r="BU18" s="164"/>
      <c r="BV18" s="164"/>
      <c r="BW18" s="164"/>
      <c r="BX18" s="164"/>
    </row>
    <row r="19">
      <c r="A19" s="138" t="str">
        <f>CONCATENATE("RUN-",'Process Ref'!$A$1,"_",TEXT(U19,"YYYY-MM-DD"),"_RFR-",TEXT(AR19,"000"),IF(EXACT(W19,"Initial"),"",CONCATENATE("_",W19)))</f>
        <v>RUN-NDHM_2022-07-11_RFR-018</v>
      </c>
      <c r="B19" s="177">
        <v>44753.40096064815</v>
      </c>
      <c r="C19" s="76"/>
      <c r="D19" s="76" t="s">
        <v>127</v>
      </c>
      <c r="E19" s="95">
        <v>3.0</v>
      </c>
      <c r="F19" s="178" t="s">
        <v>221</v>
      </c>
      <c r="G19" s="179" t="s">
        <v>222</v>
      </c>
      <c r="H19" s="180"/>
      <c r="I19" s="179" t="s">
        <v>223</v>
      </c>
      <c r="J19" s="95">
        <v>0.0</v>
      </c>
      <c r="K19" s="181" t="s">
        <v>224</v>
      </c>
      <c r="L19" s="199"/>
      <c r="M19" s="184"/>
      <c r="N19" s="184"/>
      <c r="O19" s="184"/>
      <c r="P19" s="186" t="b">
        <f t="shared" si="1"/>
        <v>0</v>
      </c>
      <c r="Q19" s="110" t="b">
        <v>0</v>
      </c>
      <c r="R19" s="75"/>
      <c r="S19" s="104" t="b">
        <v>0</v>
      </c>
      <c r="T19" s="104" t="b">
        <v>0</v>
      </c>
      <c r="U19" s="188">
        <v>44753.0</v>
      </c>
      <c r="V19" s="189">
        <v>0.4583333333333333</v>
      </c>
      <c r="W19" s="190" t="s">
        <v>149</v>
      </c>
      <c r="X19" s="75"/>
      <c r="Y19" s="104" t="b">
        <v>0</v>
      </c>
      <c r="Z19" s="89">
        <v>5.0</v>
      </c>
      <c r="AA19" s="87">
        <f t="shared" si="2"/>
        <v>2</v>
      </c>
      <c r="AB19" s="191" t="b">
        <f t="shared" si="24"/>
        <v>0</v>
      </c>
      <c r="AC19" s="182">
        <v>3.0</v>
      </c>
      <c r="AD19" s="89">
        <v>0.0</v>
      </c>
      <c r="AE19" s="95">
        <v>0.0</v>
      </c>
      <c r="AF19" s="89">
        <v>0.0</v>
      </c>
      <c r="AG19" s="89">
        <v>0.0</v>
      </c>
      <c r="AH19" s="58">
        <f t="shared" ref="AH19:AH22" si="33">IF(W19="Initial",AG19,(IF(AJ19=TRUE,"CORRECT ME",AG19/3)))</f>
        <v>0</v>
      </c>
      <c r="AI19" s="89">
        <v>0.0</v>
      </c>
      <c r="AJ19" s="118" t="b">
        <v>0</v>
      </c>
      <c r="AK19" s="208">
        <v>1.0</v>
      </c>
      <c r="AL19" s="89">
        <v>0.0</v>
      </c>
      <c r="AM19" s="89">
        <v>0.0</v>
      </c>
      <c r="AN19" s="87" t="str">
        <f t="shared" si="28"/>
        <v>#REF!</v>
      </c>
      <c r="AO19" s="162" t="str">
        <f t="shared" si="4"/>
        <v>#REF!</v>
      </c>
      <c r="AP19" s="194" t="str">
        <f t="shared" si="5"/>
        <v>Absent</v>
      </c>
      <c r="AQ19" s="87" t="b">
        <f t="shared" si="6"/>
        <v>1</v>
      </c>
      <c r="AR19" s="195">
        <f t="shared" si="7"/>
        <v>18</v>
      </c>
      <c r="AS19" s="196"/>
      <c r="AT19" s="197"/>
      <c r="AU19" s="89" t="s">
        <v>126</v>
      </c>
      <c r="AV19" s="89">
        <v>5.0</v>
      </c>
      <c r="AW19" s="192" t="b">
        <v>1</v>
      </c>
      <c r="AX19" s="198" t="b">
        <f t="shared" si="8"/>
        <v>1</v>
      </c>
      <c r="AY19" s="87">
        <f t="shared" si="9"/>
        <v>2</v>
      </c>
      <c r="BA19" s="160" t="b">
        <v>1</v>
      </c>
      <c r="BB19" s="87" t="b">
        <f t="shared" si="10"/>
        <v>1</v>
      </c>
      <c r="BC19" s="87" t="b">
        <f t="shared" si="11"/>
        <v>1</v>
      </c>
      <c r="BD19" s="87">
        <f t="shared" si="12"/>
        <v>1</v>
      </c>
      <c r="BE19" s="161"/>
      <c r="BF19" s="8">
        <f t="shared" si="13"/>
        <v>44753</v>
      </c>
      <c r="BG19" s="162" t="str">
        <f t="shared" si="14"/>
        <v>RUN-NDHM_2022-07-11_RFR-018</v>
      </c>
      <c r="BH19" s="87">
        <f t="shared" si="15"/>
        <v>3</v>
      </c>
      <c r="BI19" s="87">
        <f t="shared" si="16"/>
        <v>3</v>
      </c>
      <c r="BJ19" s="87">
        <f t="shared" si="17"/>
        <v>1</v>
      </c>
      <c r="BK19" s="87">
        <f t="shared" si="18"/>
        <v>0</v>
      </c>
      <c r="BL19" s="8">
        <f>IFNA(IF(VLOOKUP(FLOOR($B19,1),'APS Tubes by Date Import'!$B$2:$L22,1,FALSE)=FLOOR($BL18,1),IFERROR(0/0,""),VLOOKUP(FLOOR($B19,1),'APS Tubes by Date Import'!$B$2:$L22,1,FALSE)),"")</f>
        <v>44753</v>
      </c>
      <c r="BM19" s="87">
        <f>IF(ISBLANK($BL19),IFERROR(0/0,""),VLOOKUP(FLOOR($B19,1),'APS Tubes by Date Import'!$B$2:$L22,2,FALSE))</f>
        <v>1</v>
      </c>
      <c r="BN19" s="81">
        <f>IF(ISBLANK($BL19),IFERROR(0/0,""),VLOOKUP(FLOOR($B19,1),'APS Tubes by Date Import'!$B$2:$L22,11,FALSE))</f>
        <v>44816</v>
      </c>
      <c r="BO19" s="87">
        <f>IF(ISBLANK($BL19),IFERROR(0/0,""),VLOOKUP(FLOOR($B19,1),'APS Tubes by Date Import'!$B$2:$L22,6,FALSE))</f>
        <v>0</v>
      </c>
      <c r="BP19" s="87">
        <f t="shared" si="19"/>
        <v>1</v>
      </c>
      <c r="BQ19" s="58">
        <f t="shared" si="20"/>
        <v>0</v>
      </c>
      <c r="BR19" s="58"/>
      <c r="BS19" s="81" t="b">
        <f t="shared" si="21"/>
        <v>1</v>
      </c>
      <c r="BT19" s="164" t="str">
        <f t="shared" si="29"/>
        <v/>
      </c>
      <c r="BU19" s="164"/>
      <c r="BV19" s="164"/>
      <c r="BW19" s="164"/>
      <c r="BX19" s="164"/>
    </row>
    <row r="20">
      <c r="A20" s="138" t="str">
        <f>CONCATENATE("RUN-",'Process Ref'!$A$1,"_",TEXT(U20,"YYYY-MM-DD"),"_RFR-",TEXT(AR20,"000"),IF(EXACT(W20,"Initial"),"",CONCATENATE("_",W20)))</f>
        <v>RUN-NDHM_2022-07-18_RFR-019</v>
      </c>
      <c r="B20" s="177">
        <v>44760.42265046296</v>
      </c>
      <c r="C20" s="76"/>
      <c r="D20" s="76" t="s">
        <v>127</v>
      </c>
      <c r="E20" s="95">
        <v>1.0</v>
      </c>
      <c r="F20" s="178">
        <v>2201718.0</v>
      </c>
      <c r="G20" s="179" t="s">
        <v>225</v>
      </c>
      <c r="H20" s="180"/>
      <c r="I20" s="179" t="s">
        <v>226</v>
      </c>
      <c r="J20" s="95">
        <v>0.0</v>
      </c>
      <c r="K20" s="204" t="s">
        <v>227</v>
      </c>
      <c r="L20" s="199"/>
      <c r="M20" s="184"/>
      <c r="N20" s="184"/>
      <c r="O20" s="184"/>
      <c r="P20" s="186" t="b">
        <f t="shared" si="1"/>
        <v>0</v>
      </c>
      <c r="Q20" s="110" t="b">
        <v>0</v>
      </c>
      <c r="R20" s="75"/>
      <c r="S20" s="104" t="b">
        <v>0</v>
      </c>
      <c r="T20" s="104" t="b">
        <v>0</v>
      </c>
      <c r="U20" s="188">
        <v>44760.0</v>
      </c>
      <c r="V20" s="189">
        <v>0.4583333333333333</v>
      </c>
      <c r="W20" s="190" t="s">
        <v>149</v>
      </c>
      <c r="X20" s="75"/>
      <c r="Y20" s="104" t="b">
        <v>0</v>
      </c>
      <c r="Z20" s="89">
        <v>3.0</v>
      </c>
      <c r="AA20" s="87">
        <f t="shared" si="2"/>
        <v>2</v>
      </c>
      <c r="AB20" s="191" t="b">
        <f t="shared" si="24"/>
        <v>0</v>
      </c>
      <c r="AC20" s="182">
        <v>1.0</v>
      </c>
      <c r="AD20" s="89">
        <v>0.0</v>
      </c>
      <c r="AE20" s="95">
        <f t="shared" ref="AE20:AE22" si="34">IF(W20="Initial",AD20,(IF(AJ20=TRUE,"CORRECT ME",AD20/3)))</f>
        <v>0</v>
      </c>
      <c r="AF20" s="89">
        <v>0.0</v>
      </c>
      <c r="AG20" s="89">
        <v>0.0</v>
      </c>
      <c r="AH20" s="58">
        <f t="shared" si="33"/>
        <v>0</v>
      </c>
      <c r="AI20" s="89">
        <v>0.0</v>
      </c>
      <c r="AJ20" s="118" t="b">
        <v>0</v>
      </c>
      <c r="AK20" s="193">
        <f t="shared" ref="AK20:AK21" si="35">IF(W20="Initial",AC20,IF(AJ20=TRUE,"CORRECT ME",AC20/3))</f>
        <v>1</v>
      </c>
      <c r="AL20" s="89">
        <v>0.0</v>
      </c>
      <c r="AM20" s="89">
        <v>0.0</v>
      </c>
      <c r="AN20" s="87" t="str">
        <f t="shared" si="28"/>
        <v>#REF!</v>
      </c>
      <c r="AO20" s="162" t="str">
        <f t="shared" si="4"/>
        <v>#REF!</v>
      </c>
      <c r="AP20" s="194" t="str">
        <f t="shared" si="5"/>
        <v>Absent</v>
      </c>
      <c r="AQ20" s="87" t="b">
        <f t="shared" si="6"/>
        <v>1</v>
      </c>
      <c r="AR20" s="195">
        <f t="shared" si="7"/>
        <v>19</v>
      </c>
      <c r="AS20" s="196"/>
      <c r="AT20" s="197"/>
      <c r="AU20" s="89" t="s">
        <v>126</v>
      </c>
      <c r="AV20" s="89">
        <v>3.0</v>
      </c>
      <c r="AW20" s="192" t="b">
        <v>1</v>
      </c>
      <c r="AX20" s="198" t="b">
        <f t="shared" si="8"/>
        <v>1</v>
      </c>
      <c r="AY20" s="87">
        <f t="shared" si="9"/>
        <v>2</v>
      </c>
      <c r="BA20" s="160" t="b">
        <v>0</v>
      </c>
      <c r="BB20" s="162" t="str">
        <f t="shared" si="10"/>
        <v/>
      </c>
      <c r="BC20" s="162" t="str">
        <f t="shared" si="11"/>
        <v/>
      </c>
      <c r="BD20" s="87" t="str">
        <f t="shared" si="12"/>
        <v/>
      </c>
      <c r="BE20" s="161"/>
      <c r="BF20" s="8">
        <f t="shared" si="13"/>
        <v>44760</v>
      </c>
      <c r="BG20" s="162" t="str">
        <f t="shared" si="14"/>
        <v>RUN-NDHM_2022-07-18_RFR-019</v>
      </c>
      <c r="BH20" s="87">
        <f t="shared" si="15"/>
        <v>1</v>
      </c>
      <c r="BI20" s="87">
        <f t="shared" si="16"/>
        <v>1</v>
      </c>
      <c r="BJ20" s="87">
        <f t="shared" si="17"/>
        <v>1</v>
      </c>
      <c r="BK20" s="87">
        <f t="shared" si="18"/>
        <v>0</v>
      </c>
      <c r="BL20" s="8">
        <f>IFNA(IF(VLOOKUP(FLOOR($B20,1),'APS Tubes by Date Import'!$B$2:$L22,1,FALSE)=FLOOR($BL19,1),IFERROR(0/0,""),VLOOKUP(FLOOR($B20,1),'APS Tubes by Date Import'!$B$2:$L22,1,FALSE)),"")</f>
        <v>44760</v>
      </c>
      <c r="BM20" s="87">
        <f>IF(ISBLANK($BL20),IFERROR(0/0,""),VLOOKUP(FLOOR($B20,1),'APS Tubes by Date Import'!$B$2:$L22,2,FALSE))</f>
        <v>1</v>
      </c>
      <c r="BN20" s="81">
        <f>IF(ISBLANK($BL20),IFERROR(0/0,""),VLOOKUP(FLOOR($B20,1),'APS Tubes by Date Import'!$B$2:$L22,11,FALSE))</f>
        <v>44837</v>
      </c>
      <c r="BO20" s="87">
        <f>IF(ISBLANK($BL20),IFERROR(0/0,""),VLOOKUP(FLOOR($B20,1),'APS Tubes by Date Import'!$B$2:$L22,6,FALSE))</f>
        <v>0</v>
      </c>
      <c r="BP20" s="87">
        <f t="shared" si="19"/>
        <v>1</v>
      </c>
      <c r="BQ20" s="58">
        <f t="shared" si="20"/>
        <v>0</v>
      </c>
      <c r="BR20" s="58"/>
      <c r="BS20" s="81" t="b">
        <f t="shared" si="21"/>
        <v>1</v>
      </c>
      <c r="BT20" s="164" t="str">
        <f t="shared" si="29"/>
        <v/>
      </c>
      <c r="BU20" s="164"/>
      <c r="BV20" s="164"/>
      <c r="BW20" s="164"/>
      <c r="BX20" s="164"/>
    </row>
    <row r="21">
      <c r="A21" s="138" t="str">
        <f>CONCATENATE("RUN-",'Process Ref'!$A$1,"_",TEXT(U21,"YYYY-MM-DD"),"_RFR-",TEXT(AR21,"000"),IF(EXACT(W21,"Initial"),"",CONCATENATE("_",W21)))</f>
        <v>RUN-NDHM_2022-07-25_RFR-020</v>
      </c>
      <c r="B21" s="177">
        <v>44767.43415509259</v>
      </c>
      <c r="C21" s="76"/>
      <c r="D21" s="76" t="s">
        <v>127</v>
      </c>
      <c r="E21" s="95">
        <v>3.0</v>
      </c>
      <c r="F21" s="178" t="s">
        <v>228</v>
      </c>
      <c r="G21" s="179" t="s">
        <v>229</v>
      </c>
      <c r="H21" s="179" t="s">
        <v>230</v>
      </c>
      <c r="I21" s="179" t="s">
        <v>231</v>
      </c>
      <c r="J21" s="95">
        <v>0.0</v>
      </c>
      <c r="K21" s="181" t="s">
        <v>232</v>
      </c>
      <c r="L21" s="199"/>
      <c r="M21" s="184"/>
      <c r="N21" s="184"/>
      <c r="O21" s="184"/>
      <c r="P21" s="186" t="b">
        <f t="shared" si="1"/>
        <v>0</v>
      </c>
      <c r="Q21" s="110" t="b">
        <v>0</v>
      </c>
      <c r="R21" s="75"/>
      <c r="S21" s="104" t="b">
        <v>0</v>
      </c>
      <c r="T21" s="104" t="b">
        <v>0</v>
      </c>
      <c r="U21" s="188">
        <v>44767.0</v>
      </c>
      <c r="V21" s="189">
        <v>0.4583333333333333</v>
      </c>
      <c r="W21" s="190" t="s">
        <v>149</v>
      </c>
      <c r="X21" s="82" t="s">
        <v>233</v>
      </c>
      <c r="Y21" s="104" t="b">
        <v>0</v>
      </c>
      <c r="Z21" s="89">
        <v>5.0</v>
      </c>
      <c r="AA21" s="87">
        <f t="shared" si="2"/>
        <v>2</v>
      </c>
      <c r="AB21" s="191" t="b">
        <f t="shared" si="24"/>
        <v>0</v>
      </c>
      <c r="AC21" s="182">
        <v>3.0</v>
      </c>
      <c r="AD21" s="89">
        <v>0.0</v>
      </c>
      <c r="AE21" s="95">
        <f t="shared" si="34"/>
        <v>0</v>
      </c>
      <c r="AF21" s="89">
        <v>0.0</v>
      </c>
      <c r="AG21" s="89">
        <v>0.0</v>
      </c>
      <c r="AH21" s="58">
        <f t="shared" si="33"/>
        <v>0</v>
      </c>
      <c r="AI21" s="89">
        <v>0.0</v>
      </c>
      <c r="AJ21" s="118" t="b">
        <v>0</v>
      </c>
      <c r="AK21" s="193">
        <f t="shared" si="35"/>
        <v>3</v>
      </c>
      <c r="AL21" s="89">
        <v>0.0</v>
      </c>
      <c r="AM21" s="89">
        <v>0.0</v>
      </c>
      <c r="AN21" s="87" t="str">
        <f t="shared" si="28"/>
        <v>#REF!</v>
      </c>
      <c r="AO21" s="162" t="str">
        <f t="shared" si="4"/>
        <v>#REF!</v>
      </c>
      <c r="AP21" s="194" t="str">
        <f t="shared" si="5"/>
        <v/>
      </c>
      <c r="AQ21" s="87" t="b">
        <f t="shared" si="6"/>
        <v>1</v>
      </c>
      <c r="AR21" s="195">
        <f t="shared" si="7"/>
        <v>20</v>
      </c>
      <c r="AS21" s="196"/>
      <c r="AT21" s="197"/>
      <c r="AU21" s="89" t="s">
        <v>126</v>
      </c>
      <c r="AV21" s="89">
        <v>5.0</v>
      </c>
      <c r="AW21" s="192" t="b">
        <v>1</v>
      </c>
      <c r="AX21" s="198" t="b">
        <f t="shared" si="8"/>
        <v>1</v>
      </c>
      <c r="AY21" s="87">
        <f t="shared" si="9"/>
        <v>2</v>
      </c>
      <c r="BA21" s="160" t="b">
        <v>0</v>
      </c>
      <c r="BB21" s="162" t="str">
        <f t="shared" si="10"/>
        <v/>
      </c>
      <c r="BC21" s="162" t="str">
        <f t="shared" si="11"/>
        <v/>
      </c>
      <c r="BD21" s="87" t="str">
        <f t="shared" si="12"/>
        <v/>
      </c>
      <c r="BE21" s="161"/>
      <c r="BF21" s="8">
        <f t="shared" si="13"/>
        <v>44767</v>
      </c>
      <c r="BG21" s="162" t="str">
        <f t="shared" si="14"/>
        <v>RUN-NDHM_2022-07-25_RFR-020</v>
      </c>
      <c r="BH21" s="87">
        <f t="shared" si="15"/>
        <v>3</v>
      </c>
      <c r="BI21" s="87">
        <f t="shared" si="16"/>
        <v>3</v>
      </c>
      <c r="BJ21" s="87">
        <f t="shared" si="17"/>
        <v>3</v>
      </c>
      <c r="BK21" s="87">
        <f t="shared" si="18"/>
        <v>0</v>
      </c>
      <c r="BL21" s="8">
        <f>IFNA(IF(VLOOKUP(FLOOR($B21,1),'APS Tubes by Date Import'!$B$2:$L22,1,FALSE)=FLOOR($BL20,1),IFERROR(0/0,""),VLOOKUP(FLOOR($B21,1),'APS Tubes by Date Import'!$B$2:$L22,1,FALSE)),"")</f>
        <v>44767</v>
      </c>
      <c r="BM21" s="87">
        <f>IF(ISBLANK($BL21),IFERROR(0/0,""),VLOOKUP(FLOOR($B21,1),'APS Tubes by Date Import'!$B$2:$L22,2,FALSE))</f>
        <v>3</v>
      </c>
      <c r="BN21" s="81" t="str">
        <f>IF(ISBLANK($BL21),IFERROR(0/0,""),VLOOKUP(FLOOR($B21,1),'APS Tubes by Date Import'!$B$2:$L22,11,FALSE))</f>
        <v/>
      </c>
      <c r="BO21" s="87">
        <f>IF(ISBLANK($BL21),IFERROR(0/0,""),VLOOKUP(FLOOR($B21,1),'APS Tubes by Date Import'!$B$2:$L22,6,FALSE))</f>
        <v>0</v>
      </c>
      <c r="BP21" s="87">
        <f t="shared" si="19"/>
        <v>3</v>
      </c>
      <c r="BQ21" s="58">
        <f t="shared" si="20"/>
        <v>0</v>
      </c>
      <c r="BR21" s="58"/>
      <c r="BS21" s="81" t="b">
        <f t="shared" si="21"/>
        <v>1</v>
      </c>
      <c r="BT21" s="164" t="str">
        <f t="shared" si="29"/>
        <v/>
      </c>
      <c r="BU21" s="164"/>
      <c r="BV21" s="164"/>
      <c r="BW21" s="164"/>
      <c r="BX21" s="164"/>
    </row>
    <row r="22">
      <c r="A22" s="138" t="str">
        <f>CONCATENATE("RUN-",'Process Ref'!$A$1,"_",TEXT(U22,"YYYY-MM-DD"),"_RFR-",TEXT(AR22,"000"),IF(EXACT(W22,"Initial"),"",CONCATENATE("_",W22)))</f>
        <v>RUN-NDHM_2022-10-03_RFR-021</v>
      </c>
      <c r="B22" s="209">
        <v>44837.511921296296</v>
      </c>
      <c r="C22" s="75"/>
      <c r="D22" s="75" t="s">
        <v>144</v>
      </c>
      <c r="E22" s="89">
        <v>1.0</v>
      </c>
      <c r="F22" s="207">
        <v>220310.0</v>
      </c>
      <c r="G22" s="179" t="s">
        <v>234</v>
      </c>
      <c r="H22" s="180"/>
      <c r="I22" s="179" t="s">
        <v>235</v>
      </c>
      <c r="J22" s="58" t="s">
        <v>236</v>
      </c>
      <c r="K22" s="203" t="s">
        <v>237</v>
      </c>
      <c r="L22" s="199"/>
      <c r="M22" s="184"/>
      <c r="N22" s="184"/>
      <c r="O22" s="184"/>
      <c r="P22" s="186" t="b">
        <f t="shared" si="1"/>
        <v>0</v>
      </c>
      <c r="Q22" s="110" t="b">
        <v>0</v>
      </c>
      <c r="R22" s="75"/>
      <c r="S22" s="104" t="b">
        <v>0</v>
      </c>
      <c r="T22" s="104" t="b">
        <v>0</v>
      </c>
      <c r="U22" s="188">
        <v>44837.0</v>
      </c>
      <c r="V22" s="189">
        <v>0.5416666666666666</v>
      </c>
      <c r="W22" s="190" t="s">
        <v>149</v>
      </c>
      <c r="X22" s="75"/>
      <c r="Y22" s="104" t="b">
        <v>0</v>
      </c>
      <c r="Z22" s="89">
        <v>4.0</v>
      </c>
      <c r="AA22" s="87">
        <f t="shared" si="2"/>
        <v>3</v>
      </c>
      <c r="AB22" s="191" t="b">
        <f t="shared" si="24"/>
        <v>1</v>
      </c>
      <c r="AC22" s="182">
        <v>2.0</v>
      </c>
      <c r="AD22" s="89">
        <v>0.0</v>
      </c>
      <c r="AE22" s="95">
        <f t="shared" si="34"/>
        <v>0</v>
      </c>
      <c r="AF22" s="89">
        <v>0.0</v>
      </c>
      <c r="AG22" s="89">
        <v>0.0</v>
      </c>
      <c r="AH22" s="58">
        <f t="shared" si="33"/>
        <v>0</v>
      </c>
      <c r="AI22" s="89">
        <v>0.0</v>
      </c>
      <c r="AJ22" s="118" t="b">
        <v>0</v>
      </c>
      <c r="AK22" s="201">
        <v>1.0</v>
      </c>
      <c r="AL22" s="89">
        <v>0.0</v>
      </c>
      <c r="AM22" s="89">
        <v>0.0</v>
      </c>
      <c r="AN22" s="87" t="str">
        <f t="shared" si="28"/>
        <v>#REF!</v>
      </c>
      <c r="AO22" s="162" t="str">
        <f t="shared" si="4"/>
        <v>#REF!</v>
      </c>
      <c r="AP22" s="194" t="str">
        <f t="shared" si="5"/>
        <v>Absent</v>
      </c>
      <c r="AQ22" s="87" t="b">
        <f t="shared" si="6"/>
        <v>1</v>
      </c>
      <c r="AR22" s="195">
        <f t="shared" si="7"/>
        <v>21</v>
      </c>
      <c r="AS22" s="196"/>
      <c r="AT22" s="210" t="s">
        <v>238</v>
      </c>
      <c r="AU22" s="89" t="s">
        <v>126</v>
      </c>
      <c r="AV22" s="89">
        <v>4.0</v>
      </c>
      <c r="AW22" s="192" t="b">
        <v>1</v>
      </c>
      <c r="AX22" s="198" t="b">
        <f t="shared" si="8"/>
        <v>1</v>
      </c>
      <c r="AY22" s="87">
        <f t="shared" si="9"/>
        <v>2</v>
      </c>
      <c r="BA22" s="160" t="b">
        <v>0</v>
      </c>
      <c r="BB22" s="162" t="str">
        <f t="shared" si="10"/>
        <v/>
      </c>
      <c r="BC22" s="162" t="str">
        <f t="shared" si="11"/>
        <v/>
      </c>
      <c r="BD22" s="87" t="str">
        <f t="shared" si="12"/>
        <v/>
      </c>
      <c r="BE22" s="161"/>
      <c r="BF22" s="8">
        <f t="shared" si="13"/>
        <v>44837</v>
      </c>
      <c r="BG22" s="162" t="str">
        <f t="shared" si="14"/>
        <v>RUN-NDHM_2022-10-03_RFR-021</v>
      </c>
      <c r="BH22" s="87">
        <f t="shared" si="15"/>
        <v>1</v>
      </c>
      <c r="BI22" s="87">
        <f t="shared" si="16"/>
        <v>2</v>
      </c>
      <c r="BJ22" s="87">
        <f t="shared" si="17"/>
        <v>1</v>
      </c>
      <c r="BK22" s="87">
        <f t="shared" si="18"/>
        <v>0</v>
      </c>
      <c r="BL22" s="8">
        <f>IFNA(IF(VLOOKUP(FLOOR($B22,1),'APS Tubes by Date Import'!$B$2:$L22,1,FALSE)=FLOOR($BL21,1),IFERROR(0/0,""),VLOOKUP(FLOOR($B22,1),'APS Tubes by Date Import'!$B$2:$L22,1,FALSE)),"")</f>
        <v>44837</v>
      </c>
      <c r="BM22" s="87">
        <f>IF(ISBLANK($BL22),IFERROR(0/0,""),VLOOKUP(FLOOR($B22,1),'APS Tubes by Date Import'!$B$2:$L22,2,FALSE))</f>
        <v>1</v>
      </c>
      <c r="BN22" s="81" t="str">
        <f>IF(ISBLANK($BL22),IFERROR(0/0,""),VLOOKUP(FLOOR($B22,1),'APS Tubes by Date Import'!$B$2:$L22,11,FALSE))</f>
        <v/>
      </c>
      <c r="BO22" s="87">
        <f>IF(ISBLANK($BL22),IFERROR(0/0,""),VLOOKUP(FLOOR($B22,1),'APS Tubes by Date Import'!$B$2:$L22,6,FALSE))</f>
        <v>0</v>
      </c>
      <c r="BP22" s="87">
        <f t="shared" si="19"/>
        <v>1</v>
      </c>
      <c r="BQ22" s="58">
        <f t="shared" si="20"/>
        <v>0</v>
      </c>
      <c r="BR22" s="58"/>
      <c r="BS22" s="81" t="b">
        <f t="shared" si="21"/>
        <v>1</v>
      </c>
      <c r="BT22" s="164" t="str">
        <f t="shared" si="29"/>
        <v/>
      </c>
      <c r="BU22" s="164"/>
      <c r="BV22" s="164"/>
      <c r="BW22" s="164"/>
      <c r="BX22" s="164"/>
    </row>
  </sheetData>
  <conditionalFormatting sqref="AX2:AX22">
    <cfRule type="cellIs" dxfId="4" priority="1" operator="equal">
      <formula>"FLASE"</formula>
    </cfRule>
  </conditionalFormatting>
  <conditionalFormatting sqref="AY2:AY22">
    <cfRule type="cellIs" dxfId="5" priority="2" operator="greaterThan">
      <formula>2</formula>
    </cfRule>
  </conditionalFormatting>
  <conditionalFormatting sqref="AY2:AY22">
    <cfRule type="cellIs" dxfId="4" priority="3" operator="lessThan">
      <formula>2</formula>
    </cfRule>
  </conditionalFormatting>
  <conditionalFormatting sqref="BB2:BB22">
    <cfRule type="cellIs" dxfId="0" priority="4" operator="equal">
      <formula>"FALSE"</formula>
    </cfRule>
  </conditionalFormatting>
  <conditionalFormatting sqref="AE2:AE22">
    <cfRule type="cellIs" dxfId="6" priority="5" operator="greaterThan">
      <formula>0</formula>
    </cfRule>
  </conditionalFormatting>
  <conditionalFormatting sqref="AF2:AF22">
    <cfRule type="cellIs" dxfId="7" priority="6" operator="greaterThan">
      <formula>0</formula>
    </cfRule>
  </conditionalFormatting>
  <conditionalFormatting sqref="AH2:AH22">
    <cfRule type="notContainsBlanks" dxfId="4" priority="7">
      <formula>LEN(TRIM(AH2))&gt;0</formula>
    </cfRule>
  </conditionalFormatting>
  <conditionalFormatting sqref="BQ2:BQ22">
    <cfRule type="colorScale" priority="8">
      <colorScale>
        <cfvo type="formula" val="-1"/>
        <cfvo type="formula" val="0"/>
        <cfvo type="formula" val="1"/>
        <color rgb="FFE06666"/>
        <color rgb="FF93C47D"/>
        <color rgb="FF6D9EEB"/>
      </colorScale>
    </cfRule>
  </conditionalFormatting>
  <conditionalFormatting sqref="B2:B22 BS2:BS22">
    <cfRule type="expression" dxfId="8" priority="9">
      <formula>NOT($BS2)</formula>
    </cfRule>
  </conditionalFormatting>
  <conditionalFormatting sqref="BO2:BO22">
    <cfRule type="cellIs" dxfId="9" priority="10" operator="greaterThan">
      <formula>0</formula>
    </cfRule>
  </conditionalFormatting>
  <conditionalFormatting sqref="BO1">
    <cfRule type="expression" dxfId="0" priority="11">
      <formula>SUM(BO2:BO22)&gt;0</formula>
    </cfRule>
  </conditionalFormatting>
  <conditionalFormatting sqref="BO1">
    <cfRule type="expression" dxfId="1" priority="12">
      <formula>SUM(BO2:BO22)=0</formula>
    </cfRule>
  </conditionalFormatting>
  <conditionalFormatting sqref="AW2:AW22">
    <cfRule type="cellIs" dxfId="8" priority="13" operator="equal">
      <formula>"TRUE"</formula>
    </cfRule>
  </conditionalFormatting>
  <conditionalFormatting sqref="P2:Q22">
    <cfRule type="cellIs" dxfId="10" priority="14" operator="equal">
      <formula>"TRUE"</formula>
    </cfRule>
  </conditionalFormatting>
  <conditionalFormatting sqref="S2:T22">
    <cfRule type="cellIs" dxfId="9" priority="15" operator="equal">
      <formula>"TRUE"</formula>
    </cfRule>
  </conditionalFormatting>
  <conditionalFormatting sqref="Y2:Y22">
    <cfRule type="cellIs" dxfId="6" priority="16" operator="equal">
      <formula>"TRUE"</formula>
    </cfRule>
  </conditionalFormatting>
  <conditionalFormatting sqref="AI2:AI22">
    <cfRule type="cellIs" dxfId="11" priority="17" operator="greaterThan">
      <formula>0</formula>
    </cfRule>
  </conditionalFormatting>
  <hyperlinks>
    <hyperlink r:id="rId2" ref="G3"/>
    <hyperlink r:id="rId3" ref="I3"/>
    <hyperlink r:id="rId4" ref="G4"/>
    <hyperlink r:id="rId5" ref="H4"/>
    <hyperlink r:id="rId6" ref="I4"/>
    <hyperlink r:id="rId7" ref="G5"/>
    <hyperlink r:id="rId8" ref="I5"/>
    <hyperlink r:id="rId9" ref="G6"/>
    <hyperlink r:id="rId10" ref="I6"/>
    <hyperlink r:id="rId11" ref="G7"/>
    <hyperlink r:id="rId12" ref="I7"/>
    <hyperlink r:id="rId13" ref="G8"/>
    <hyperlink r:id="rId14" ref="I8"/>
    <hyperlink r:id="rId15" ref="G9"/>
    <hyperlink r:id="rId16" ref="I9"/>
    <hyperlink r:id="rId17" ref="G10"/>
    <hyperlink r:id="rId18" ref="H10"/>
    <hyperlink r:id="rId19" ref="I10"/>
    <hyperlink r:id="rId20" ref="G11"/>
    <hyperlink r:id="rId21" ref="H11"/>
    <hyperlink r:id="rId22" ref="I11"/>
    <hyperlink r:id="rId23" ref="G12"/>
    <hyperlink r:id="rId24" ref="H12"/>
    <hyperlink r:id="rId25" ref="I12"/>
    <hyperlink r:id="rId26" ref="G13"/>
    <hyperlink r:id="rId27" ref="H13"/>
    <hyperlink r:id="rId28" ref="I13"/>
    <hyperlink r:id="rId29" ref="G14"/>
    <hyperlink r:id="rId30" ref="H14"/>
    <hyperlink r:id="rId31" ref="I14"/>
    <hyperlink r:id="rId32" ref="G15"/>
    <hyperlink r:id="rId33" ref="H15"/>
    <hyperlink r:id="rId34" ref="I15"/>
    <hyperlink r:id="rId35" ref="G16"/>
    <hyperlink r:id="rId36" ref="H16"/>
    <hyperlink r:id="rId37" ref="I16"/>
    <hyperlink r:id="rId38" ref="G17"/>
    <hyperlink r:id="rId39" ref="H17"/>
    <hyperlink r:id="rId40" ref="I17"/>
    <hyperlink r:id="rId41" ref="G18"/>
    <hyperlink r:id="rId42" ref="I18"/>
    <hyperlink r:id="rId43" ref="G19"/>
    <hyperlink r:id="rId44" ref="I19"/>
    <hyperlink r:id="rId45" ref="G20"/>
    <hyperlink r:id="rId46" ref="I20"/>
    <hyperlink r:id="rId47" ref="G21"/>
    <hyperlink r:id="rId48" ref="H21"/>
    <hyperlink r:id="rId49" ref="I21"/>
    <hyperlink r:id="rId50" ref="G22"/>
    <hyperlink r:id="rId51" ref="I22"/>
  </hyperlinks>
  <drawing r:id="rId52"/>
  <legacyDrawing r:id="rId5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13"/>
    <col customWidth="1" min="3" max="3" width="12.75"/>
    <col customWidth="1" min="4" max="4" width="14.63"/>
    <col customWidth="1" min="5" max="5" width="5.63"/>
    <col customWidth="1" min="6" max="6" width="4.38"/>
    <col customWidth="1" min="7" max="7" width="11.38"/>
    <col customWidth="1" min="8" max="8" width="11.25"/>
    <col customWidth="1" min="9" max="9" width="10.0"/>
    <col customWidth="1" min="10" max="10" width="9.38"/>
    <col customWidth="1" min="11" max="11" width="8.63"/>
    <col customWidth="1" min="12" max="12" width="18.75"/>
    <col customWidth="1" min="13" max="15" width="14.38"/>
    <col customWidth="1" min="18" max="18" width="30.5"/>
    <col customWidth="1" min="19" max="20" width="12.13"/>
    <col customWidth="1" min="21" max="21" width="28.88"/>
    <col customWidth="1" min="22" max="22" width="28.25"/>
    <col customWidth="1" min="25" max="25" width="20.88"/>
    <col customWidth="1" min="26" max="26" width="7.0"/>
  </cols>
  <sheetData>
    <row r="1">
      <c r="A1" s="211" t="str">
        <f>IFERROR(__xludf.DUMMYFUNCTION("IMPORTRANGE('APS Tubes by Date Import'!$A$2,""APS Tubes!$A1:$D"")"),"TUBE ID")</f>
        <v>TUBE ID</v>
      </c>
      <c r="B1" s="38" t="str">
        <f>IFERROR(__xludf.DUMMYFUNCTION("""COMPUTED_VALUE"""),"COLLECTION DATE")</f>
        <v>COLLECTION DATE</v>
      </c>
      <c r="C1" s="38" t="str">
        <f>IFERROR(__xludf.DUMMYFUNCTION("""COMPUTED_VALUE"""),"COLLECTION TIME")</f>
        <v>COLLECTION TIME</v>
      </c>
      <c r="D1" s="212" t="str">
        <f>IFERROR(__xludf.DUMMYFUNCTION("""COMPUTED_VALUE"""),"SPONSOR PERSON ID")</f>
        <v>SPONSOR PERSON ID</v>
      </c>
      <c r="E1" s="38"/>
      <c r="F1" s="38"/>
      <c r="G1" s="213" t="str">
        <f>IFERROR(__xludf.DUMMYFUNCTION("IMPORTRANGE('APS Tubes by Date Import'!$A$2,""APS Tubes!$G1:$N"")"),"APP
RESULT")</f>
        <v>APP
RESULT</v>
      </c>
      <c r="H1" s="38" t="str">
        <f>IFERROR(__xludf.DUMMYFUNCTION("""COMPUTED_VALUE"""),"FINAL RESULT")</f>
        <v>FINAL RESULT</v>
      </c>
      <c r="I1" s="16" t="str">
        <f>IFERROR(__xludf.DUMMYFUNCTION("""COMPUTED_VALUE"""),"RESULT DATE")</f>
        <v>RESULT DATE</v>
      </c>
      <c r="J1" s="16" t="str">
        <f>IFERROR(__xludf.DUMMYFUNCTION("""COMPUTED_VALUE"""),"RESULT TIME")</f>
        <v>RESULT TIME</v>
      </c>
      <c r="K1" s="16" t="str">
        <f>IFERROR(__xludf.DUMMYFUNCTION("""COMPUTED_VALUE"""),"Result Correct Code")</f>
        <v>Result Correct Code</v>
      </c>
      <c r="L1" s="38" t="str">
        <f>IFERROR(__xludf.DUMMYFUNCTION("""COMPUTED_VALUE"""),"Correction Notes")</f>
        <v>Correction Notes</v>
      </c>
      <c r="M1" s="16" t="str">
        <f>IFERROR(__xludf.DUMMYFUNCTION("""COMPUTED_VALUE"""),"NOTE")</f>
        <v>NOTE</v>
      </c>
      <c r="N1" s="16" t="str">
        <f>IFERROR(__xludf.DUMMYFUNCTION("""COMPUTED_VALUE"""),"NUM SAMPLES (Pool Level)")</f>
        <v>NUM SAMPLES (Pool Level)</v>
      </c>
      <c r="O1" s="16" t="s">
        <v>239</v>
      </c>
      <c r="P1" s="214" t="str">
        <f>IFERROR(__xludf.DUMMYFUNCTION("IMPORTRANGE('APS Tubes by Date Import'!$A$2,""APS Tubes!$Q1:$Q"")"),"Result Date Minus Collect Date")</f>
        <v>Result Date Minus Collect Date</v>
      </c>
      <c r="Q1" s="5" t="s">
        <v>240</v>
      </c>
      <c r="R1" s="5" t="s">
        <v>241</v>
      </c>
      <c r="S1" s="124" t="s">
        <v>242</v>
      </c>
      <c r="T1" s="215" t="s">
        <v>243</v>
      </c>
      <c r="U1" s="5" t="s">
        <v>244</v>
      </c>
      <c r="V1" s="5" t="s">
        <v>245</v>
      </c>
      <c r="W1" s="38" t="s">
        <v>246</v>
      </c>
      <c r="X1" s="38" t="s">
        <v>247</v>
      </c>
      <c r="Y1" s="216" t="str">
        <f>IF(Z1=0,"IN SYNC!","NOT IN SYNC - VALUES IN BOOLEAN COLS (CYAN)")</f>
        <v>IN SYNC!</v>
      </c>
      <c r="Z1" s="48">
        <f>COUNTIF($Y$2:$Z89,TRUE)</f>
        <v>0</v>
      </c>
    </row>
    <row r="2">
      <c r="A2" s="217" t="str">
        <f>IFERROR(__xludf.DUMMYFUNCTION("""COMPUTED_VALUE"""),"AG575")</f>
        <v>AG575</v>
      </c>
      <c r="B2" s="218">
        <f>IFERROR(__xludf.DUMMYFUNCTION("""COMPUTED_VALUE"""),44683.0)</f>
        <v>44683</v>
      </c>
      <c r="C2" s="219">
        <f>IFERROR(__xludf.DUMMYFUNCTION("""COMPUTED_VALUE"""),0.17497685185185186)</f>
        <v>0.1749768519</v>
      </c>
      <c r="D2" s="220" t="str">
        <f>IFERROR(__xludf.DUMMYFUNCTION("""COMPUTED_VALUE"""),"SpNDHM955894")</f>
        <v>SpNDHM955894</v>
      </c>
      <c r="E2" s="220"/>
      <c r="F2" s="220"/>
      <c r="G2" s="220" t="str">
        <f>IFERROR(__xludf.DUMMYFUNCTION("""COMPUTED_VALUE"""),"Negative")</f>
        <v>Negative</v>
      </c>
      <c r="H2" s="218" t="str">
        <f>IFERROR(__xludf.DUMMYFUNCTION("""COMPUTED_VALUE"""),"Negative")</f>
        <v>Negative</v>
      </c>
      <c r="I2" s="219">
        <f>IFERROR(__xludf.DUMMYFUNCTION("""COMPUTED_VALUE"""),44683.0)</f>
        <v>44683</v>
      </c>
      <c r="J2" s="221">
        <f>IFERROR(__xludf.DUMMYFUNCTION("""COMPUTED_VALUE"""),0.3578125)</f>
        <v>0.3578125</v>
      </c>
      <c r="K2" s="54"/>
      <c r="L2" s="220"/>
      <c r="M2" s="58"/>
      <c r="N2" s="58">
        <f>IFERROR(__xludf.DUMMYFUNCTION("""COMPUTED_VALUE"""),4.0)</f>
        <v>4</v>
      </c>
      <c r="O2" s="58" t="b">
        <f t="shared" ref="O2:O76" si="3">IF(B2&lt;&gt;B1,TRUE,IFERROR(0/0,""))</f>
        <v>1</v>
      </c>
      <c r="P2" s="222">
        <f>IFERROR(__xludf.DUMMYFUNCTION("""COMPUTED_VALUE"""),0.0)</f>
        <v>0</v>
      </c>
      <c r="Q2" s="81" t="b">
        <f>VLOOKUP(B2,'Run Reconcile'!B$2:O89,14,FALSE)</f>
        <v>1</v>
      </c>
      <c r="R2" s="223" t="str">
        <f t="array" ref="R2">IF(Q2, INDEX('Run Reconcile'!A$2:A89,MATCH(B2,'Run Reconcile'!B$2:B89,0),1),IFERROR(0/0,""))</f>
        <v>RUN-NDHM_2022-05-02_RFR-006</v>
      </c>
      <c r="S2" s="224" t="str">
        <f t="shared" ref="S2:T2" si="1">IF(ISBLANK(W2),IFERROR(0/0,""),TRUE)</f>
        <v/>
      </c>
      <c r="T2" s="224" t="str">
        <f t="shared" si="1"/>
        <v/>
      </c>
      <c r="U2" s="162" t="str">
        <f t="array" ref="U2">IF(ISBLANK(R2), IF(S2,INDEX('Run Reconcile'!A$2:A89,1+MATCH(B2,'Run Reconcile'!B$2:B89,0),1),IF(T2,INDEX('Run Reconcile'!A$2:A89,1+MATCH(B2,'Run Reconcile'!B$2:B89,0),1),INDEX('Run Reconcile'!A$2:A89,MATCH(B2,'Run Reconcile'!B$2:B89,0),1))),IFERROR(0/0,""))</f>
        <v/>
      </c>
      <c r="V2" s="225" t="str">
        <f t="shared" ref="V2:V79" si="5">CONCATENATE($R2,$U2)</f>
        <v>RUN-NDHM_2022-05-02_RFR-006</v>
      </c>
      <c r="W2" s="75"/>
      <c r="X2" s="75"/>
      <c r="Y2" s="162" t="str">
        <f t="shared" ref="Y2:Z2" si="2">IF(_xlfn.ISFORMULA(S2),IFERROR(0/0,""),TRUE)</f>
        <v/>
      </c>
      <c r="Z2" s="162" t="str">
        <f t="shared" si="2"/>
        <v/>
      </c>
    </row>
    <row r="3">
      <c r="A3" s="7" t="str">
        <f>IFERROR(__xludf.DUMMYFUNCTION("""COMPUTED_VALUE"""),"AK7133")</f>
        <v>AK7133</v>
      </c>
      <c r="B3" s="218">
        <f>IFERROR(__xludf.DUMMYFUNCTION("""COMPUTED_VALUE"""),44683.0)</f>
        <v>44683</v>
      </c>
      <c r="C3" s="219">
        <f>IFERROR(__xludf.DUMMYFUNCTION("""COMPUTED_VALUE"""),0.17721064814814816)</f>
        <v>0.1772106481</v>
      </c>
      <c r="D3" s="220" t="str">
        <f>IFERROR(__xludf.DUMMYFUNCTION("""COMPUTED_VALUE"""),"SpNDHM118014")</f>
        <v>SpNDHM118014</v>
      </c>
      <c r="E3" s="220"/>
      <c r="F3" s="220"/>
      <c r="G3" s="220" t="str">
        <f>IFERROR(__xludf.DUMMYFUNCTION("""COMPUTED_VALUE"""),"Negative")</f>
        <v>Negative</v>
      </c>
      <c r="H3" s="218" t="str">
        <f>IFERROR(__xludf.DUMMYFUNCTION("""COMPUTED_VALUE"""),"Negative")</f>
        <v>Negative</v>
      </c>
      <c r="I3" s="219">
        <f>IFERROR(__xludf.DUMMYFUNCTION("""COMPUTED_VALUE"""),44683.0)</f>
        <v>44683</v>
      </c>
      <c r="J3" s="221">
        <f>IFERROR(__xludf.DUMMYFUNCTION("""COMPUTED_VALUE"""),0.3578125)</f>
        <v>0.3578125</v>
      </c>
      <c r="K3" s="54"/>
      <c r="L3" s="7"/>
      <c r="M3" s="58"/>
      <c r="N3" s="58">
        <f>IFERROR(__xludf.DUMMYFUNCTION("""COMPUTED_VALUE"""),2.0)</f>
        <v>2</v>
      </c>
      <c r="O3" s="58" t="str">
        <f t="shared" si="3"/>
        <v/>
      </c>
      <c r="P3" s="222">
        <f>IFERROR(__xludf.DUMMYFUNCTION("""COMPUTED_VALUE"""),0.0)</f>
        <v>0</v>
      </c>
      <c r="Q3" s="81" t="b">
        <f>VLOOKUP(B3,'Run Reconcile'!B$2:O89,14,FALSE)</f>
        <v>1</v>
      </c>
      <c r="R3" s="223" t="str">
        <f t="array" ref="R3">IF(Q3, INDEX('Run Reconcile'!A$2:A89,MATCH(B3,'Run Reconcile'!B$2:B89,0),1),IFERROR(0/0,""))</f>
        <v>RUN-NDHM_2022-05-02_RFR-006</v>
      </c>
      <c r="S3" s="224" t="str">
        <f t="shared" ref="S3:T3" si="4">IF(ISBLANK(W3),IFERROR(0/0,""),TRUE)</f>
        <v/>
      </c>
      <c r="T3" s="224" t="str">
        <f t="shared" si="4"/>
        <v/>
      </c>
      <c r="U3" s="162" t="str">
        <f t="array" ref="U3">IF(ISBLANK(R3), IF(S3,INDEX('Run Reconcile'!A$2:A89,1+MATCH(B3,'Run Reconcile'!B$2:B89,0),1),IF(T3,INDEX('Run Reconcile'!A$2:A89,1+MATCH(B3,'Run Reconcile'!B$2:B89,0),1),INDEX('Run Reconcile'!A$2:A89,MATCH(B3,'Run Reconcile'!B$2:B89,0),1))),IFERROR(0/0,""))</f>
        <v/>
      </c>
      <c r="V3" s="225" t="str">
        <f t="shared" si="5"/>
        <v>RUN-NDHM_2022-05-02_RFR-006</v>
      </c>
      <c r="W3" s="75"/>
      <c r="X3" s="75"/>
      <c r="Y3" s="162" t="str">
        <f t="shared" ref="Y3:Z3" si="6">IF(_xlfn.ISFORMULA(S3),IFERROR(0/0,""),TRUE)</f>
        <v/>
      </c>
      <c r="Z3" s="162" t="str">
        <f t="shared" si="6"/>
        <v/>
      </c>
    </row>
    <row r="4">
      <c r="A4" s="7" t="str">
        <f>IFERROR(__xludf.DUMMYFUNCTION("""COMPUTED_VALUE"""),"AG91")</f>
        <v>AG91</v>
      </c>
      <c r="B4" s="218">
        <f>IFERROR(__xludf.DUMMYFUNCTION("""COMPUTED_VALUE"""),44683.0)</f>
        <v>44683</v>
      </c>
      <c r="C4" s="219">
        <f>IFERROR(__xludf.DUMMYFUNCTION("""COMPUTED_VALUE"""),0.17770833333333333)</f>
        <v>0.1777083333</v>
      </c>
      <c r="D4" s="220" t="str">
        <f>IFERROR(__xludf.DUMMYFUNCTION("""COMPUTED_VALUE"""),"SpNDHM118014")</f>
        <v>SpNDHM118014</v>
      </c>
      <c r="E4" s="220"/>
      <c r="F4" s="220"/>
      <c r="G4" s="220" t="str">
        <f>IFERROR(__xludf.DUMMYFUNCTION("""COMPUTED_VALUE"""),"Negative")</f>
        <v>Negative</v>
      </c>
      <c r="H4" s="218" t="str">
        <f>IFERROR(__xludf.DUMMYFUNCTION("""COMPUTED_VALUE"""),"Negative")</f>
        <v>Negative</v>
      </c>
      <c r="I4" s="219">
        <f>IFERROR(__xludf.DUMMYFUNCTION("""COMPUTED_VALUE"""),44683.0)</f>
        <v>44683</v>
      </c>
      <c r="J4" s="221">
        <f>IFERROR(__xludf.DUMMYFUNCTION("""COMPUTED_VALUE"""),0.3578125)</f>
        <v>0.3578125</v>
      </c>
      <c r="K4" s="54"/>
      <c r="L4" s="7"/>
      <c r="M4" s="58"/>
      <c r="N4" s="58">
        <f>IFERROR(__xludf.DUMMYFUNCTION("""COMPUTED_VALUE"""),2.0)</f>
        <v>2</v>
      </c>
      <c r="O4" s="58" t="str">
        <f t="shared" si="3"/>
        <v/>
      </c>
      <c r="P4" s="222">
        <f>IFERROR(__xludf.DUMMYFUNCTION("""COMPUTED_VALUE"""),0.0)</f>
        <v>0</v>
      </c>
      <c r="Q4" s="81" t="b">
        <f>VLOOKUP(B4,'Run Reconcile'!B$2:O89,14,FALSE)</f>
        <v>1</v>
      </c>
      <c r="R4" s="223" t="str">
        <f t="array" ref="R4">IF(Q4, INDEX('Run Reconcile'!A$2:A89,MATCH(B4,'Run Reconcile'!B$2:B89,0),1),IFERROR(0/0,""))</f>
        <v>RUN-NDHM_2022-05-02_RFR-006</v>
      </c>
      <c r="S4" s="224" t="str">
        <f t="shared" ref="S4:T4" si="7">IF(ISBLANK(W4),IFERROR(0/0,""),TRUE)</f>
        <v/>
      </c>
      <c r="T4" s="224" t="str">
        <f t="shared" si="7"/>
        <v/>
      </c>
      <c r="U4" s="162" t="str">
        <f t="array" ref="U4">IF(ISBLANK(R4), IF(S4,INDEX('Run Reconcile'!A$2:A89,1+MATCH(B4,'Run Reconcile'!B$2:B89,0),1),IF(T4,INDEX('Run Reconcile'!A$2:A89,1+MATCH(B4,'Run Reconcile'!B$2:B89,0),1),INDEX('Run Reconcile'!A$2:A89,MATCH(B4,'Run Reconcile'!B$2:B89,0),1))),IFERROR(0/0,""))</f>
        <v/>
      </c>
      <c r="V4" s="225" t="str">
        <f t="shared" si="5"/>
        <v>RUN-NDHM_2022-05-02_RFR-006</v>
      </c>
      <c r="W4" s="75"/>
      <c r="X4" s="75"/>
      <c r="Y4" s="162" t="str">
        <f t="shared" ref="Y4:Z4" si="8">IF(_xlfn.ISFORMULA(S4),IFERROR(0/0,""),TRUE)</f>
        <v/>
      </c>
      <c r="Z4" s="162" t="str">
        <f t="shared" si="8"/>
        <v/>
      </c>
    </row>
    <row r="5">
      <c r="A5" s="7" t="str">
        <f>IFERROR(__xludf.DUMMYFUNCTION("""COMPUTED_VALUE"""),"AG1419")</f>
        <v>AG1419</v>
      </c>
      <c r="B5" s="218">
        <f>IFERROR(__xludf.DUMMYFUNCTION("""COMPUTED_VALUE"""),44683.0)</f>
        <v>44683</v>
      </c>
      <c r="C5" s="219">
        <f>IFERROR(__xludf.DUMMYFUNCTION("""COMPUTED_VALUE"""),0.17806712962962962)</f>
        <v>0.1780671296</v>
      </c>
      <c r="D5" s="220" t="str">
        <f>IFERROR(__xludf.DUMMYFUNCTION("""COMPUTED_VALUE"""),"SpNDHM118014")</f>
        <v>SpNDHM118014</v>
      </c>
      <c r="E5" s="220"/>
      <c r="F5" s="220"/>
      <c r="G5" s="220" t="str">
        <f>IFERROR(__xludf.DUMMYFUNCTION("""COMPUTED_VALUE"""),"Negative")</f>
        <v>Negative</v>
      </c>
      <c r="H5" s="218" t="str">
        <f>IFERROR(__xludf.DUMMYFUNCTION("""COMPUTED_VALUE"""),"Negative")</f>
        <v>Negative</v>
      </c>
      <c r="I5" s="219">
        <f>IFERROR(__xludf.DUMMYFUNCTION("""COMPUTED_VALUE"""),44683.0)</f>
        <v>44683</v>
      </c>
      <c r="J5" s="221">
        <f>IFERROR(__xludf.DUMMYFUNCTION("""COMPUTED_VALUE"""),0.3578125)</f>
        <v>0.3578125</v>
      </c>
      <c r="K5" s="54"/>
      <c r="L5" s="7"/>
      <c r="M5" s="58"/>
      <c r="N5" s="58">
        <f>IFERROR(__xludf.DUMMYFUNCTION("""COMPUTED_VALUE"""),2.0)</f>
        <v>2</v>
      </c>
      <c r="O5" s="58" t="str">
        <f t="shared" si="3"/>
        <v/>
      </c>
      <c r="P5" s="222">
        <f>IFERROR(__xludf.DUMMYFUNCTION("""COMPUTED_VALUE"""),0.0)</f>
        <v>0</v>
      </c>
      <c r="Q5" s="81" t="b">
        <f>VLOOKUP(B5,'Run Reconcile'!B$2:O89,14,FALSE)</f>
        <v>1</v>
      </c>
      <c r="R5" s="223" t="str">
        <f t="array" ref="R5">IF(Q5, INDEX('Run Reconcile'!A$2:A89,MATCH(B5,'Run Reconcile'!B$2:B89,0),1),IFERROR(0/0,""))</f>
        <v>RUN-NDHM_2022-05-02_RFR-006</v>
      </c>
      <c r="S5" s="224" t="str">
        <f t="shared" ref="S5:T5" si="9">IF(ISBLANK(W5),IFERROR(0/0,""),TRUE)</f>
        <v/>
      </c>
      <c r="T5" s="224" t="str">
        <f t="shared" si="9"/>
        <v/>
      </c>
      <c r="U5" s="162" t="str">
        <f t="array" ref="U5">IF(ISBLANK(R5), IF(S5,INDEX('Run Reconcile'!A$2:A89,1+MATCH(B5,'Run Reconcile'!B$2:B89,0),1),IF(T5,INDEX('Run Reconcile'!A$2:A89,1+MATCH(B5,'Run Reconcile'!B$2:B89,0),1),INDEX('Run Reconcile'!A$2:A89,MATCH(B5,'Run Reconcile'!B$2:B89,0),1))),IFERROR(0/0,""))</f>
        <v/>
      </c>
      <c r="V5" s="225" t="str">
        <f t="shared" si="5"/>
        <v>RUN-NDHM_2022-05-02_RFR-006</v>
      </c>
      <c r="W5" s="75"/>
      <c r="X5" s="75"/>
      <c r="Y5" s="162" t="str">
        <f t="shared" ref="Y5:Z5" si="10">IF(_xlfn.ISFORMULA(S5),IFERROR(0/0,""),TRUE)</f>
        <v/>
      </c>
      <c r="Z5" s="162" t="str">
        <f t="shared" si="10"/>
        <v/>
      </c>
    </row>
    <row r="6">
      <c r="A6" s="7" t="str">
        <f>IFERROR(__xludf.DUMMYFUNCTION("""COMPUTED_VALUE"""),"AH7292")</f>
        <v>AH7292</v>
      </c>
      <c r="B6" s="218">
        <f>IFERROR(__xludf.DUMMYFUNCTION("""COMPUTED_VALUE"""),44683.0)</f>
        <v>44683</v>
      </c>
      <c r="C6" s="219">
        <f>IFERROR(__xludf.DUMMYFUNCTION("""COMPUTED_VALUE"""),0.17832175925925925)</f>
        <v>0.1783217593</v>
      </c>
      <c r="D6" s="220" t="str">
        <f>IFERROR(__xludf.DUMMYFUNCTION("""COMPUTED_VALUE"""),"SpNDHM118014")</f>
        <v>SpNDHM118014</v>
      </c>
      <c r="E6" s="220"/>
      <c r="F6" s="220"/>
      <c r="G6" s="220" t="str">
        <f>IFERROR(__xludf.DUMMYFUNCTION("""COMPUTED_VALUE"""),"Negative")</f>
        <v>Negative</v>
      </c>
      <c r="H6" s="218" t="str">
        <f>IFERROR(__xludf.DUMMYFUNCTION("""COMPUTED_VALUE"""),"Negative")</f>
        <v>Negative</v>
      </c>
      <c r="I6" s="219">
        <f>IFERROR(__xludf.DUMMYFUNCTION("""COMPUTED_VALUE"""),44683.0)</f>
        <v>44683</v>
      </c>
      <c r="J6" s="221">
        <f>IFERROR(__xludf.DUMMYFUNCTION("""COMPUTED_VALUE"""),0.3578125)</f>
        <v>0.3578125</v>
      </c>
      <c r="K6" s="54"/>
      <c r="L6" s="7"/>
      <c r="M6" s="58"/>
      <c r="N6" s="58">
        <f>IFERROR(__xludf.DUMMYFUNCTION("""COMPUTED_VALUE"""),1.0)</f>
        <v>1</v>
      </c>
      <c r="O6" s="58" t="str">
        <f t="shared" si="3"/>
        <v/>
      </c>
      <c r="P6" s="222">
        <f>IFERROR(__xludf.DUMMYFUNCTION("""COMPUTED_VALUE"""),0.0)</f>
        <v>0</v>
      </c>
      <c r="Q6" s="81" t="b">
        <f>VLOOKUP(B6,'Run Reconcile'!B$2:O89,14,FALSE)</f>
        <v>1</v>
      </c>
      <c r="R6" s="223" t="str">
        <f t="array" ref="R6">IF(Q6, INDEX('Run Reconcile'!A$2:A89,MATCH(B6,'Run Reconcile'!B$2:B89,0),1),IFERROR(0/0,""))</f>
        <v>RUN-NDHM_2022-05-02_RFR-006</v>
      </c>
      <c r="S6" s="224" t="str">
        <f t="shared" ref="S6:T6" si="11">IF(ISBLANK(W6),IFERROR(0/0,""),TRUE)</f>
        <v/>
      </c>
      <c r="T6" s="224" t="str">
        <f t="shared" si="11"/>
        <v/>
      </c>
      <c r="U6" s="162" t="str">
        <f t="array" ref="U6">IF(ISBLANK(R6), IF(S6,INDEX('Run Reconcile'!A$2:A89,1+MATCH(B6,'Run Reconcile'!B$2:B89,0),1),IF(T6,INDEX('Run Reconcile'!A$2:A89,1+MATCH(B6,'Run Reconcile'!B$2:B89,0),1),INDEX('Run Reconcile'!A$2:A89,MATCH(B6,'Run Reconcile'!B$2:B89,0),1))),IFERROR(0/0,""))</f>
        <v/>
      </c>
      <c r="V6" s="225" t="str">
        <f t="shared" si="5"/>
        <v>RUN-NDHM_2022-05-02_RFR-006</v>
      </c>
      <c r="W6" s="75"/>
      <c r="X6" s="75"/>
      <c r="Y6" s="162" t="str">
        <f t="shared" ref="Y6:Z6" si="12">IF(_xlfn.ISFORMULA(S6),IFERROR(0/0,""),TRUE)</f>
        <v/>
      </c>
      <c r="Z6" s="162" t="str">
        <f t="shared" si="12"/>
        <v/>
      </c>
    </row>
    <row r="7">
      <c r="A7" s="7" t="str">
        <f>IFERROR(__xludf.DUMMYFUNCTION("""COMPUTED_VALUE"""),"AH7299")</f>
        <v>AH7299</v>
      </c>
      <c r="B7" s="218">
        <f>IFERROR(__xludf.DUMMYFUNCTION("""COMPUTED_VALUE"""),44683.0)</f>
        <v>44683</v>
      </c>
      <c r="C7" s="219">
        <f>IFERROR(__xludf.DUMMYFUNCTION("""COMPUTED_VALUE"""),0.17994212962962963)</f>
        <v>0.1799421296</v>
      </c>
      <c r="D7" s="220" t="str">
        <f>IFERROR(__xludf.DUMMYFUNCTION("""COMPUTED_VALUE"""),"SpNDHM842569")</f>
        <v>SpNDHM842569</v>
      </c>
      <c r="E7" s="220"/>
      <c r="F7" s="220"/>
      <c r="G7" s="220" t="str">
        <f>IFERROR(__xludf.DUMMYFUNCTION("""COMPUTED_VALUE"""),"Negative")</f>
        <v>Negative</v>
      </c>
      <c r="H7" s="218" t="str">
        <f>IFERROR(__xludf.DUMMYFUNCTION("""COMPUTED_VALUE"""),"Negative")</f>
        <v>Negative</v>
      </c>
      <c r="I7" s="219">
        <f>IFERROR(__xludf.DUMMYFUNCTION("""COMPUTED_VALUE"""),44683.0)</f>
        <v>44683</v>
      </c>
      <c r="J7" s="221">
        <f>IFERROR(__xludf.DUMMYFUNCTION("""COMPUTED_VALUE"""),0.35782407407407407)</f>
        <v>0.3578240741</v>
      </c>
      <c r="K7" s="54"/>
      <c r="L7" s="7"/>
      <c r="M7" s="58"/>
      <c r="N7" s="58">
        <f>IFERROR(__xludf.DUMMYFUNCTION("""COMPUTED_VALUE"""),2.0)</f>
        <v>2</v>
      </c>
      <c r="O7" s="58" t="str">
        <f t="shared" si="3"/>
        <v/>
      </c>
      <c r="P7" s="222">
        <f>IFERROR(__xludf.DUMMYFUNCTION("""COMPUTED_VALUE"""),0.0)</f>
        <v>0</v>
      </c>
      <c r="Q7" s="81" t="b">
        <f>VLOOKUP(B7,'Run Reconcile'!B$2:O89,14,FALSE)</f>
        <v>1</v>
      </c>
      <c r="R7" s="223" t="str">
        <f t="array" ref="R7">IF(Q7, INDEX('Run Reconcile'!A$2:A89,MATCH(B7,'Run Reconcile'!B$2:B89,0),1),IFERROR(0/0,""))</f>
        <v>RUN-NDHM_2022-05-02_RFR-006</v>
      </c>
      <c r="S7" s="224" t="str">
        <f t="shared" ref="S7:T7" si="13">IF(ISBLANK(W7),IFERROR(0/0,""),TRUE)</f>
        <v/>
      </c>
      <c r="T7" s="224" t="str">
        <f t="shared" si="13"/>
        <v/>
      </c>
      <c r="U7" s="162" t="str">
        <f t="array" ref="U7">IF(ISBLANK(R7), IF(S7,INDEX('Run Reconcile'!A$2:A89,1+MATCH(B7,'Run Reconcile'!B$2:B89,0),1),IF(T7,INDEX('Run Reconcile'!A$2:A89,1+MATCH(B7,'Run Reconcile'!B$2:B89,0),1),INDEX('Run Reconcile'!A$2:A89,MATCH(B7,'Run Reconcile'!B$2:B89,0),1))),IFERROR(0/0,""))</f>
        <v/>
      </c>
      <c r="V7" s="225" t="str">
        <f t="shared" si="5"/>
        <v>RUN-NDHM_2022-05-02_RFR-006</v>
      </c>
      <c r="W7" s="75"/>
      <c r="X7" s="75"/>
      <c r="Y7" s="162" t="str">
        <f t="shared" ref="Y7:Z7" si="14">IF(_xlfn.ISFORMULA(S7),IFERROR(0/0,""),TRUE)</f>
        <v/>
      </c>
      <c r="Z7" s="162" t="str">
        <f t="shared" si="14"/>
        <v/>
      </c>
    </row>
    <row r="8">
      <c r="A8" s="7" t="str">
        <f>IFERROR(__xludf.DUMMYFUNCTION("""COMPUTED_VALUE"""),"AJ9453")</f>
        <v>AJ9453</v>
      </c>
      <c r="B8" s="218">
        <f>IFERROR(__xludf.DUMMYFUNCTION("""COMPUTED_VALUE"""),44683.0)</f>
        <v>44683</v>
      </c>
      <c r="C8" s="219">
        <f>IFERROR(__xludf.DUMMYFUNCTION("""COMPUTED_VALUE"""),0.19702546296296297)</f>
        <v>0.197025463</v>
      </c>
      <c r="D8" s="220" t="str">
        <f>IFERROR(__xludf.DUMMYFUNCTION("""COMPUTED_VALUE"""),"SpNDHM394507")</f>
        <v>SpNDHM394507</v>
      </c>
      <c r="E8" s="220"/>
      <c r="F8" s="220"/>
      <c r="G8" s="220" t="str">
        <f>IFERROR(__xludf.DUMMYFUNCTION("""COMPUTED_VALUE"""),"Negative")</f>
        <v>Negative</v>
      </c>
      <c r="H8" s="218" t="str">
        <f>IFERROR(__xludf.DUMMYFUNCTION("""COMPUTED_VALUE"""),"Negative")</f>
        <v>Negative</v>
      </c>
      <c r="I8" s="219">
        <f>IFERROR(__xludf.DUMMYFUNCTION("""COMPUTED_VALUE"""),44690.0)</f>
        <v>44690</v>
      </c>
      <c r="J8" s="221">
        <f>IFERROR(__xludf.DUMMYFUNCTION("""COMPUTED_VALUE"""),0.3232291666666667)</f>
        <v>0.3232291667</v>
      </c>
      <c r="K8" s="54"/>
      <c r="L8" s="7"/>
      <c r="M8" s="58"/>
      <c r="N8" s="58">
        <f>IFERROR(__xludf.DUMMYFUNCTION("""COMPUTED_VALUE"""),4.0)</f>
        <v>4</v>
      </c>
      <c r="O8" s="58" t="str">
        <f t="shared" si="3"/>
        <v/>
      </c>
      <c r="P8" s="222">
        <f>IFERROR(__xludf.DUMMYFUNCTION("""COMPUTED_VALUE"""),7.0)</f>
        <v>7</v>
      </c>
      <c r="Q8" s="81" t="b">
        <f>VLOOKUP(B8,'Run Reconcile'!B$2:O89,14,FALSE)</f>
        <v>1</v>
      </c>
      <c r="R8" s="223" t="str">
        <f t="array" ref="R8">IF(Q8, INDEX('Run Reconcile'!A$2:A89,MATCH(B8,'Run Reconcile'!B$2:B89,0),1),IFERROR(0/0,""))</f>
        <v>RUN-NDHM_2022-05-02_RFR-006</v>
      </c>
      <c r="S8" s="224" t="str">
        <f t="shared" ref="S8:T8" si="15">IF(ISBLANK(W8),IFERROR(0/0,""),TRUE)</f>
        <v/>
      </c>
      <c r="T8" s="224" t="str">
        <f t="shared" si="15"/>
        <v/>
      </c>
      <c r="U8" s="162" t="str">
        <f t="array" ref="U8">IF(ISBLANK(R8), IF(S8,INDEX('Run Reconcile'!A$2:A89,1+MATCH(B8,'Run Reconcile'!B$2:B89,0),1),IF(T8,INDEX('Run Reconcile'!A$2:A89,1+MATCH(B8,'Run Reconcile'!B$2:B89,0),1),INDEX('Run Reconcile'!A$2:A89,MATCH(B8,'Run Reconcile'!B$2:B89,0),1))),IFERROR(0/0,""))</f>
        <v/>
      </c>
      <c r="V8" s="225" t="str">
        <f t="shared" si="5"/>
        <v>RUN-NDHM_2022-05-02_RFR-006</v>
      </c>
      <c r="W8" s="75"/>
      <c r="X8" s="75"/>
      <c r="Y8" s="162" t="str">
        <f t="shared" ref="Y8:Z8" si="16">IF(_xlfn.ISFORMULA(S8),IFERROR(0/0,""),TRUE)</f>
        <v/>
      </c>
      <c r="Z8" s="162" t="str">
        <f t="shared" si="16"/>
        <v/>
      </c>
    </row>
    <row r="9">
      <c r="A9" s="7" t="str">
        <f>IFERROR(__xludf.DUMMYFUNCTION("""COMPUTED_VALUE"""),"AJ8392")</f>
        <v>AJ8392</v>
      </c>
      <c r="B9" s="218">
        <f>IFERROR(__xludf.DUMMYFUNCTION("""COMPUTED_VALUE"""),44683.0)</f>
        <v>44683</v>
      </c>
      <c r="C9" s="219">
        <f>IFERROR(__xludf.DUMMYFUNCTION("""COMPUTED_VALUE"""),0.2021875)</f>
        <v>0.2021875</v>
      </c>
      <c r="D9" s="220" t="str">
        <f>IFERROR(__xludf.DUMMYFUNCTION("""COMPUTED_VALUE"""),"SpNDHM645491")</f>
        <v>SpNDHM645491</v>
      </c>
      <c r="E9" s="220"/>
      <c r="F9" s="220"/>
      <c r="G9" s="220" t="str">
        <f>IFERROR(__xludf.DUMMYFUNCTION("""COMPUTED_VALUE"""),"Negative")</f>
        <v>Negative</v>
      </c>
      <c r="H9" s="218" t="str">
        <f>IFERROR(__xludf.DUMMYFUNCTION("""COMPUTED_VALUE"""),"Negative")</f>
        <v>Negative</v>
      </c>
      <c r="I9" s="219">
        <f>IFERROR(__xludf.DUMMYFUNCTION("""COMPUTED_VALUE"""),44683.0)</f>
        <v>44683</v>
      </c>
      <c r="J9" s="221">
        <f>IFERROR(__xludf.DUMMYFUNCTION("""COMPUTED_VALUE"""),0.35782407407407407)</f>
        <v>0.3578240741</v>
      </c>
      <c r="K9" s="54"/>
      <c r="L9" s="7"/>
      <c r="M9" s="58"/>
      <c r="N9" s="58">
        <f>IFERROR(__xludf.DUMMYFUNCTION("""COMPUTED_VALUE"""),2.0)</f>
        <v>2</v>
      </c>
      <c r="O9" s="58" t="str">
        <f t="shared" si="3"/>
        <v/>
      </c>
      <c r="P9" s="222">
        <f>IFERROR(__xludf.DUMMYFUNCTION("""COMPUTED_VALUE"""),0.0)</f>
        <v>0</v>
      </c>
      <c r="Q9" s="81" t="b">
        <f>VLOOKUP(B9,'Run Reconcile'!B$2:O89,14,FALSE)</f>
        <v>1</v>
      </c>
      <c r="R9" s="223" t="str">
        <f t="array" ref="R9">IF(Q9, INDEX('Run Reconcile'!A$2:A89,MATCH(B9,'Run Reconcile'!B$2:B89,0),1),IFERROR(0/0,""))</f>
        <v>RUN-NDHM_2022-05-02_RFR-006</v>
      </c>
      <c r="S9" s="224" t="str">
        <f t="shared" ref="S9:T9" si="17">IF(ISBLANK(W9),IFERROR(0/0,""),TRUE)</f>
        <v/>
      </c>
      <c r="T9" s="224" t="str">
        <f t="shared" si="17"/>
        <v/>
      </c>
      <c r="U9" s="162" t="str">
        <f t="array" ref="U9">IF(ISBLANK(R9), IF(S9,INDEX('Run Reconcile'!A$2:A89,1+MATCH(B9,'Run Reconcile'!B$2:B89,0),1),IF(T9,INDEX('Run Reconcile'!A$2:A89,1+MATCH(B9,'Run Reconcile'!B$2:B89,0),1),INDEX('Run Reconcile'!A$2:A89,MATCH(B9,'Run Reconcile'!B$2:B89,0),1))),IFERROR(0/0,""))</f>
        <v/>
      </c>
      <c r="V9" s="225" t="str">
        <f t="shared" si="5"/>
        <v>RUN-NDHM_2022-05-02_RFR-006</v>
      </c>
      <c r="W9" s="75"/>
      <c r="X9" s="75"/>
      <c r="Y9" s="162" t="str">
        <f t="shared" ref="Y9:Z9" si="18">IF(_xlfn.ISFORMULA(S9),IFERROR(0/0,""),TRUE)</f>
        <v/>
      </c>
      <c r="Z9" s="162" t="str">
        <f t="shared" si="18"/>
        <v/>
      </c>
    </row>
    <row r="10">
      <c r="A10" s="7" t="str">
        <f>IFERROR(__xludf.DUMMYFUNCTION("""COMPUTED_VALUE"""),"AJ9417")</f>
        <v>AJ9417</v>
      </c>
      <c r="B10" s="218">
        <f>IFERROR(__xludf.DUMMYFUNCTION("""COMPUTED_VALUE"""),44683.0)</f>
        <v>44683</v>
      </c>
      <c r="C10" s="219">
        <f>IFERROR(__xludf.DUMMYFUNCTION("""COMPUTED_VALUE"""),0.20903935185185185)</f>
        <v>0.2090393519</v>
      </c>
      <c r="D10" s="220" t="str">
        <f>IFERROR(__xludf.DUMMYFUNCTION("""COMPUTED_VALUE"""),"SpNDHM189649")</f>
        <v>SpNDHM189649</v>
      </c>
      <c r="E10" s="220"/>
      <c r="F10" s="220"/>
      <c r="G10" s="220" t="str">
        <f>IFERROR(__xludf.DUMMYFUNCTION("""COMPUTED_VALUE"""),"Negative")</f>
        <v>Negative</v>
      </c>
      <c r="H10" s="218" t="str">
        <f>IFERROR(__xludf.DUMMYFUNCTION("""COMPUTED_VALUE"""),"Negative")</f>
        <v>Negative</v>
      </c>
      <c r="I10" s="219">
        <f>IFERROR(__xludf.DUMMYFUNCTION("""COMPUTED_VALUE"""),44683.0)</f>
        <v>44683</v>
      </c>
      <c r="J10" s="221">
        <f>IFERROR(__xludf.DUMMYFUNCTION("""COMPUTED_VALUE"""),0.35782407407407407)</f>
        <v>0.3578240741</v>
      </c>
      <c r="K10" s="54"/>
      <c r="L10" s="7"/>
      <c r="M10" s="58"/>
      <c r="N10" s="58">
        <f>IFERROR(__xludf.DUMMYFUNCTION("""COMPUTED_VALUE"""),4.0)</f>
        <v>4</v>
      </c>
      <c r="O10" s="58" t="str">
        <f t="shared" si="3"/>
        <v/>
      </c>
      <c r="P10" s="222">
        <f>IFERROR(__xludf.DUMMYFUNCTION("""COMPUTED_VALUE"""),0.0)</f>
        <v>0</v>
      </c>
      <c r="Q10" s="81" t="b">
        <f>VLOOKUP(B10,'Run Reconcile'!B$2:O89,14,FALSE)</f>
        <v>1</v>
      </c>
      <c r="R10" s="223" t="str">
        <f t="array" ref="R10">IF(Q10, INDEX('Run Reconcile'!A$2:A89,MATCH(B10,'Run Reconcile'!B$2:B89,0),1),IFERROR(0/0,""))</f>
        <v>RUN-NDHM_2022-05-02_RFR-006</v>
      </c>
      <c r="S10" s="224" t="str">
        <f t="shared" ref="S10:T10" si="19">IF(ISBLANK(W10),IFERROR(0/0,""),TRUE)</f>
        <v/>
      </c>
      <c r="T10" s="224" t="str">
        <f t="shared" si="19"/>
        <v/>
      </c>
      <c r="U10" s="162" t="str">
        <f t="array" ref="U10">IF(ISBLANK(R10), IF(S10,INDEX('Run Reconcile'!A$2:A89,1+MATCH(B10,'Run Reconcile'!B$2:B89,0),1),IF(T10,INDEX('Run Reconcile'!A$2:A89,1+MATCH(B10,'Run Reconcile'!B$2:B89,0),1),INDEX('Run Reconcile'!A$2:A89,MATCH(B10,'Run Reconcile'!B$2:B89,0),1))),IFERROR(0/0,""))</f>
        <v/>
      </c>
      <c r="V10" s="225" t="str">
        <f t="shared" si="5"/>
        <v>RUN-NDHM_2022-05-02_RFR-006</v>
      </c>
      <c r="W10" s="75"/>
      <c r="X10" s="75"/>
      <c r="Y10" s="162" t="str">
        <f t="shared" ref="Y10:Z10" si="20">IF(_xlfn.ISFORMULA(S10),IFERROR(0/0,""),TRUE)</f>
        <v/>
      </c>
      <c r="Z10" s="162" t="str">
        <f t="shared" si="20"/>
        <v/>
      </c>
    </row>
    <row r="11">
      <c r="A11" s="7" t="str">
        <f>IFERROR(__xludf.DUMMYFUNCTION("""COMPUTED_VALUE"""),"AG1713")</f>
        <v>AG1713</v>
      </c>
      <c r="B11" s="218">
        <f>IFERROR(__xludf.DUMMYFUNCTION("""COMPUTED_VALUE"""),44683.0)</f>
        <v>44683</v>
      </c>
      <c r="C11" s="219">
        <f>IFERROR(__xludf.DUMMYFUNCTION("""COMPUTED_VALUE"""),0.21256944444444445)</f>
        <v>0.2125694444</v>
      </c>
      <c r="D11" s="220" t="str">
        <f>IFERROR(__xludf.DUMMYFUNCTION("""COMPUTED_VALUE"""),"SpNDHM966349")</f>
        <v>SpNDHM966349</v>
      </c>
      <c r="E11" s="220"/>
      <c r="F11" s="220"/>
      <c r="G11" s="220" t="str">
        <f>IFERROR(__xludf.DUMMYFUNCTION("""COMPUTED_VALUE"""),"Negative")</f>
        <v>Negative</v>
      </c>
      <c r="H11" s="218" t="str">
        <f>IFERROR(__xludf.DUMMYFUNCTION("""COMPUTED_VALUE"""),"Negative")</f>
        <v>Negative</v>
      </c>
      <c r="I11" s="219">
        <f>IFERROR(__xludf.DUMMYFUNCTION("""COMPUTED_VALUE"""),44683.0)</f>
        <v>44683</v>
      </c>
      <c r="J11" s="221">
        <f>IFERROR(__xludf.DUMMYFUNCTION("""COMPUTED_VALUE"""),0.35782407407407407)</f>
        <v>0.3578240741</v>
      </c>
      <c r="K11" s="54"/>
      <c r="L11" s="7"/>
      <c r="M11" s="58"/>
      <c r="N11" s="58">
        <f>IFERROR(__xludf.DUMMYFUNCTION("""COMPUTED_VALUE"""),4.0)</f>
        <v>4</v>
      </c>
      <c r="O11" s="58" t="str">
        <f t="shared" si="3"/>
        <v/>
      </c>
      <c r="P11" s="222">
        <f>IFERROR(__xludf.DUMMYFUNCTION("""COMPUTED_VALUE"""),0.0)</f>
        <v>0</v>
      </c>
      <c r="Q11" s="81" t="b">
        <f>VLOOKUP(B11,'Run Reconcile'!B$2:O89,14,FALSE)</f>
        <v>1</v>
      </c>
      <c r="R11" s="223" t="str">
        <f t="array" ref="R11">IF(Q11, INDEX('Run Reconcile'!A$2:A89,MATCH(B11,'Run Reconcile'!B$2:B89,0),1),IFERROR(0/0,""))</f>
        <v>RUN-NDHM_2022-05-02_RFR-006</v>
      </c>
      <c r="S11" s="224" t="str">
        <f t="shared" ref="S11:T11" si="21">IF(ISBLANK(W11),IFERROR(0/0,""),TRUE)</f>
        <v/>
      </c>
      <c r="T11" s="224" t="str">
        <f t="shared" si="21"/>
        <v/>
      </c>
      <c r="U11" s="162" t="str">
        <f t="array" ref="U11">IF(ISBLANK(R11), IF(S11,INDEX('Run Reconcile'!A$2:A89,1+MATCH(B11,'Run Reconcile'!B$2:B89,0),1),IF(T11,INDEX('Run Reconcile'!A$2:A89,1+MATCH(B11,'Run Reconcile'!B$2:B89,0),1),INDEX('Run Reconcile'!A$2:A89,MATCH(B11,'Run Reconcile'!B$2:B89,0),1))),IFERROR(0/0,""))</f>
        <v/>
      </c>
      <c r="V11" s="225" t="str">
        <f t="shared" si="5"/>
        <v>RUN-NDHM_2022-05-02_RFR-006</v>
      </c>
      <c r="W11" s="75"/>
      <c r="X11" s="75"/>
      <c r="Y11" s="162" t="str">
        <f t="shared" ref="Y11:Z11" si="22">IF(_xlfn.ISFORMULA(S11),IFERROR(0/0,""),TRUE)</f>
        <v/>
      </c>
      <c r="Z11" s="162" t="str">
        <f t="shared" si="22"/>
        <v/>
      </c>
    </row>
    <row r="12">
      <c r="A12" s="7" t="str">
        <f>IFERROR(__xludf.DUMMYFUNCTION("""COMPUTED_VALUE"""),"AJ9703")</f>
        <v>AJ9703</v>
      </c>
      <c r="B12" s="218">
        <f>IFERROR(__xludf.DUMMYFUNCTION("""COMPUTED_VALUE"""),44683.0)</f>
        <v>44683</v>
      </c>
      <c r="C12" s="219">
        <f>IFERROR(__xludf.DUMMYFUNCTION("""COMPUTED_VALUE"""),0.23635416666666667)</f>
        <v>0.2363541667</v>
      </c>
      <c r="D12" s="220" t="str">
        <f>IFERROR(__xludf.DUMMYFUNCTION("""COMPUTED_VALUE"""),"SpNDHM241897")</f>
        <v>SpNDHM241897</v>
      </c>
      <c r="E12" s="220"/>
      <c r="F12" s="220"/>
      <c r="G12" s="220" t="str">
        <f>IFERROR(__xludf.DUMMYFUNCTION("""COMPUTED_VALUE"""),"Negative")</f>
        <v>Negative</v>
      </c>
      <c r="H12" s="218" t="str">
        <f>IFERROR(__xludf.DUMMYFUNCTION("""COMPUTED_VALUE"""),"Negative")</f>
        <v>Negative</v>
      </c>
      <c r="I12" s="219">
        <f>IFERROR(__xludf.DUMMYFUNCTION("""COMPUTED_VALUE"""),44683.0)</f>
        <v>44683</v>
      </c>
      <c r="J12" s="221">
        <f>IFERROR(__xludf.DUMMYFUNCTION("""COMPUTED_VALUE"""),0.35782407407407407)</f>
        <v>0.3578240741</v>
      </c>
      <c r="K12" s="54"/>
      <c r="L12" s="7"/>
      <c r="M12" s="58"/>
      <c r="N12" s="58">
        <f>IFERROR(__xludf.DUMMYFUNCTION("""COMPUTED_VALUE"""),1.0)</f>
        <v>1</v>
      </c>
      <c r="O12" s="58" t="str">
        <f t="shared" si="3"/>
        <v/>
      </c>
      <c r="P12" s="222">
        <f>IFERROR(__xludf.DUMMYFUNCTION("""COMPUTED_VALUE"""),0.0)</f>
        <v>0</v>
      </c>
      <c r="Q12" s="81" t="b">
        <f>VLOOKUP(B12,'Run Reconcile'!B$2:O89,14,FALSE)</f>
        <v>1</v>
      </c>
      <c r="R12" s="223" t="str">
        <f t="array" ref="R12">IF(Q12, INDEX('Run Reconcile'!A$2:A89,MATCH(B12,'Run Reconcile'!B$2:B89,0),1),IFERROR(0/0,""))</f>
        <v>RUN-NDHM_2022-05-02_RFR-006</v>
      </c>
      <c r="S12" s="224" t="str">
        <f t="shared" ref="S12:T12" si="23">IF(ISBLANK(W12),IFERROR(0/0,""),TRUE)</f>
        <v/>
      </c>
      <c r="T12" s="224" t="str">
        <f t="shared" si="23"/>
        <v/>
      </c>
      <c r="U12" s="162" t="str">
        <f t="array" ref="U12">IF(ISBLANK(R12), IF(S12,INDEX('Run Reconcile'!A$2:A89,1+MATCH(B12,'Run Reconcile'!B$2:B89,0),1),IF(T12,INDEX('Run Reconcile'!A$2:A89,1+MATCH(B12,'Run Reconcile'!B$2:B89,0),1),INDEX('Run Reconcile'!A$2:A89,MATCH(B12,'Run Reconcile'!B$2:B89,0),1))),IFERROR(0/0,""))</f>
        <v/>
      </c>
      <c r="V12" s="225" t="str">
        <f t="shared" si="5"/>
        <v>RUN-NDHM_2022-05-02_RFR-006</v>
      </c>
      <c r="W12" s="75"/>
      <c r="X12" s="75"/>
      <c r="Y12" s="162" t="str">
        <f t="shared" ref="Y12:Z12" si="24">IF(_xlfn.ISFORMULA(S12),IFERROR(0/0,""),TRUE)</f>
        <v/>
      </c>
      <c r="Z12" s="162" t="str">
        <f t="shared" si="24"/>
        <v/>
      </c>
    </row>
    <row r="13">
      <c r="A13" s="7" t="str">
        <f>IFERROR(__xludf.DUMMYFUNCTION("""COMPUTED_VALUE"""),"AG213")</f>
        <v>AG213</v>
      </c>
      <c r="B13" s="218">
        <f>IFERROR(__xludf.DUMMYFUNCTION("""COMPUTED_VALUE"""),44683.0)</f>
        <v>44683</v>
      </c>
      <c r="C13" s="219">
        <f>IFERROR(__xludf.DUMMYFUNCTION("""COMPUTED_VALUE"""),0.2382638888888889)</f>
        <v>0.2382638889</v>
      </c>
      <c r="D13" s="220" t="str">
        <f>IFERROR(__xludf.DUMMYFUNCTION("""COMPUTED_VALUE"""),"SpNDHM241897")</f>
        <v>SpNDHM241897</v>
      </c>
      <c r="E13" s="220"/>
      <c r="F13" s="220"/>
      <c r="G13" s="220" t="str">
        <f>IFERROR(__xludf.DUMMYFUNCTION("""COMPUTED_VALUE"""),"Negative")</f>
        <v>Negative</v>
      </c>
      <c r="H13" s="218" t="str">
        <f>IFERROR(__xludf.DUMMYFUNCTION("""COMPUTED_VALUE"""),"Negative")</f>
        <v>Negative</v>
      </c>
      <c r="I13" s="219">
        <f>IFERROR(__xludf.DUMMYFUNCTION("""COMPUTED_VALUE"""),44683.0)</f>
        <v>44683</v>
      </c>
      <c r="J13" s="221">
        <f>IFERROR(__xludf.DUMMYFUNCTION("""COMPUTED_VALUE"""),0.35782407407407407)</f>
        <v>0.3578240741</v>
      </c>
      <c r="K13" s="54"/>
      <c r="L13" s="7"/>
      <c r="M13" s="58"/>
      <c r="N13" s="58">
        <f>IFERROR(__xludf.DUMMYFUNCTION("""COMPUTED_VALUE"""),1.0)</f>
        <v>1</v>
      </c>
      <c r="O13" s="58" t="str">
        <f t="shared" si="3"/>
        <v/>
      </c>
      <c r="P13" s="222">
        <f>IFERROR(__xludf.DUMMYFUNCTION("""COMPUTED_VALUE"""),0.0)</f>
        <v>0</v>
      </c>
      <c r="Q13" s="81" t="b">
        <f>VLOOKUP(B13,'Run Reconcile'!B$2:O89,14,FALSE)</f>
        <v>1</v>
      </c>
      <c r="R13" s="223" t="str">
        <f t="array" ref="R13">IF(Q13, INDEX('Run Reconcile'!A$2:A89,MATCH(B13,'Run Reconcile'!B$2:B89,0),1),IFERROR(0/0,""))</f>
        <v>RUN-NDHM_2022-05-02_RFR-006</v>
      </c>
      <c r="S13" s="224" t="str">
        <f t="shared" ref="S13:T13" si="25">IF(ISBLANK(W13),IFERROR(0/0,""),TRUE)</f>
        <v/>
      </c>
      <c r="T13" s="224" t="str">
        <f t="shared" si="25"/>
        <v/>
      </c>
      <c r="U13" s="162" t="str">
        <f t="array" ref="U13">IF(ISBLANK(R13), IF(S13,INDEX('Run Reconcile'!A$2:A89,1+MATCH(B13,'Run Reconcile'!B$2:B89,0),1),IF(T13,INDEX('Run Reconcile'!A$2:A89,1+MATCH(B13,'Run Reconcile'!B$2:B89,0),1),INDEX('Run Reconcile'!A$2:A89,MATCH(B13,'Run Reconcile'!B$2:B89,0),1))),IFERROR(0/0,""))</f>
        <v/>
      </c>
      <c r="V13" s="225" t="str">
        <f t="shared" si="5"/>
        <v>RUN-NDHM_2022-05-02_RFR-006</v>
      </c>
      <c r="W13" s="75"/>
      <c r="X13" s="75"/>
      <c r="Y13" s="162" t="str">
        <f t="shared" ref="Y13:Z13" si="26">IF(_xlfn.ISFORMULA(S13),IFERROR(0/0,""),TRUE)</f>
        <v/>
      </c>
      <c r="Z13" s="162" t="str">
        <f t="shared" si="26"/>
        <v/>
      </c>
    </row>
    <row r="14">
      <c r="A14" s="7" t="str">
        <f>IFERROR(__xludf.DUMMYFUNCTION("""COMPUTED_VALUE"""),"AG252")</f>
        <v>AG252</v>
      </c>
      <c r="B14" s="218">
        <f>IFERROR(__xludf.DUMMYFUNCTION("""COMPUTED_VALUE"""),44683.0)</f>
        <v>44683</v>
      </c>
      <c r="C14" s="219">
        <f>IFERROR(__xludf.DUMMYFUNCTION("""COMPUTED_VALUE"""),0.2399074074074074)</f>
        <v>0.2399074074</v>
      </c>
      <c r="D14" s="220" t="str">
        <f>IFERROR(__xludf.DUMMYFUNCTION("""COMPUTED_VALUE"""),"SpNDHM241897")</f>
        <v>SpNDHM241897</v>
      </c>
      <c r="E14" s="220"/>
      <c r="F14" s="220"/>
      <c r="G14" s="220" t="str">
        <f>IFERROR(__xludf.DUMMYFUNCTION("""COMPUTED_VALUE"""),"Negative")</f>
        <v>Negative</v>
      </c>
      <c r="H14" s="218" t="str">
        <f>IFERROR(__xludf.DUMMYFUNCTION("""COMPUTED_VALUE"""),"Negative")</f>
        <v>Negative</v>
      </c>
      <c r="I14" s="219">
        <f>IFERROR(__xludf.DUMMYFUNCTION("""COMPUTED_VALUE"""),44683.0)</f>
        <v>44683</v>
      </c>
      <c r="J14" s="221">
        <f>IFERROR(__xludf.DUMMYFUNCTION("""COMPUTED_VALUE"""),0.35782407407407407)</f>
        <v>0.3578240741</v>
      </c>
      <c r="K14" s="54"/>
      <c r="L14" s="7" t="str">
        <f>IFERROR(__xludf.DUMMYFUNCTION("""COMPUTED_VALUE"""),"Even though in reality they collected individually, for all individual tubes, they've accidentally recorded all participants in each tube. So I'm removing previously added ad note names.")</f>
        <v>Even though in reality they collected individually, for all individual tubes, they've accidentally recorded all participants in each tube. So I'm removing previously added ad note names.</v>
      </c>
      <c r="M14" s="58"/>
      <c r="N14" s="58">
        <f>IFERROR(__xludf.DUMMYFUNCTION("""COMPUTED_VALUE"""),1.0)</f>
        <v>1</v>
      </c>
      <c r="O14" s="58" t="str">
        <f t="shared" si="3"/>
        <v/>
      </c>
      <c r="P14" s="222">
        <f>IFERROR(__xludf.DUMMYFUNCTION("""COMPUTED_VALUE"""),0.0)</f>
        <v>0</v>
      </c>
      <c r="Q14" s="81" t="b">
        <f>VLOOKUP(B14,'Run Reconcile'!B$2:O89,14,FALSE)</f>
        <v>1</v>
      </c>
      <c r="R14" s="223" t="str">
        <f t="array" ref="R14">IF(Q14, INDEX('Run Reconcile'!A$2:A89,MATCH(B14,'Run Reconcile'!B$2:B89,0),1),IFERROR(0/0,""))</f>
        <v>RUN-NDHM_2022-05-02_RFR-006</v>
      </c>
      <c r="S14" s="224" t="str">
        <f t="shared" ref="S14:T14" si="27">IF(ISBLANK(W14),IFERROR(0/0,""),TRUE)</f>
        <v/>
      </c>
      <c r="T14" s="224" t="str">
        <f t="shared" si="27"/>
        <v/>
      </c>
      <c r="U14" s="162" t="str">
        <f t="array" ref="U14">IF(ISBLANK(R14), IF(S14,INDEX('Run Reconcile'!A$2:A89,1+MATCH(B14,'Run Reconcile'!B$2:B89,0),1),IF(T14,INDEX('Run Reconcile'!A$2:A89,1+MATCH(B14,'Run Reconcile'!B$2:B89,0),1),INDEX('Run Reconcile'!A$2:A89,MATCH(B14,'Run Reconcile'!B$2:B89,0),1))),IFERROR(0/0,""))</f>
        <v/>
      </c>
      <c r="V14" s="225" t="str">
        <f t="shared" si="5"/>
        <v>RUN-NDHM_2022-05-02_RFR-006</v>
      </c>
      <c r="W14" s="75"/>
      <c r="X14" s="75"/>
      <c r="Y14" s="162" t="str">
        <f t="shared" ref="Y14:Z14" si="28">IF(_xlfn.ISFORMULA(S14),IFERROR(0/0,""),TRUE)</f>
        <v/>
      </c>
      <c r="Z14" s="162" t="str">
        <f t="shared" si="28"/>
        <v/>
      </c>
    </row>
    <row r="15">
      <c r="A15" s="7" t="str">
        <f>IFERROR(__xludf.DUMMYFUNCTION("""COMPUTED_VALUE"""),"AG2164")</f>
        <v>AG2164</v>
      </c>
      <c r="B15" s="218">
        <f>IFERROR(__xludf.DUMMYFUNCTION("""COMPUTED_VALUE"""),44683.0)</f>
        <v>44683</v>
      </c>
      <c r="C15" s="219">
        <f>IFERROR(__xludf.DUMMYFUNCTION("""COMPUTED_VALUE"""),0.2581712962962963)</f>
        <v>0.2581712963</v>
      </c>
      <c r="D15" s="220" t="str">
        <f>IFERROR(__xludf.DUMMYFUNCTION("""COMPUTED_VALUE"""),"SpNDHM463607")</f>
        <v>SpNDHM463607</v>
      </c>
      <c r="E15" s="220"/>
      <c r="F15" s="220"/>
      <c r="G15" s="220" t="str">
        <f>IFERROR(__xludf.DUMMYFUNCTION("""COMPUTED_VALUE"""),"Negative")</f>
        <v>Negative</v>
      </c>
      <c r="H15" s="218" t="str">
        <f>IFERROR(__xludf.DUMMYFUNCTION("""COMPUTED_VALUE"""),"Negative")</f>
        <v>Negative</v>
      </c>
      <c r="I15" s="219">
        <f>IFERROR(__xludf.DUMMYFUNCTION("""COMPUTED_VALUE"""),44683.0)</f>
        <v>44683</v>
      </c>
      <c r="J15" s="221">
        <f>IFERROR(__xludf.DUMMYFUNCTION("""COMPUTED_VALUE"""),0.35782407407407407)</f>
        <v>0.3578240741</v>
      </c>
      <c r="K15" s="54"/>
      <c r="L15" s="7"/>
      <c r="M15" s="58"/>
      <c r="N15" s="58">
        <f>IFERROR(__xludf.DUMMYFUNCTION("""COMPUTED_VALUE"""),1.0)</f>
        <v>1</v>
      </c>
      <c r="O15" s="58" t="str">
        <f t="shared" si="3"/>
        <v/>
      </c>
      <c r="P15" s="222">
        <f>IFERROR(__xludf.DUMMYFUNCTION("""COMPUTED_VALUE"""),0.0)</f>
        <v>0</v>
      </c>
      <c r="Q15" s="81" t="b">
        <f>VLOOKUP(B15,'Run Reconcile'!B$2:O89,14,FALSE)</f>
        <v>1</v>
      </c>
      <c r="R15" s="223" t="str">
        <f t="array" ref="R15">IF(Q15, INDEX('Run Reconcile'!A$2:A89,MATCH(B15,'Run Reconcile'!B$2:B89,0),1),IFERROR(0/0,""))</f>
        <v>RUN-NDHM_2022-05-02_RFR-006</v>
      </c>
      <c r="S15" s="224" t="str">
        <f t="shared" ref="S15:T15" si="29">IF(ISBLANK(W15),IFERROR(0/0,""),TRUE)</f>
        <v/>
      </c>
      <c r="T15" s="224" t="str">
        <f t="shared" si="29"/>
        <v/>
      </c>
      <c r="U15" s="162" t="str">
        <f t="array" ref="U15">IF(ISBLANK(R15), IF(S15,INDEX('Run Reconcile'!A$2:A89,1+MATCH(B15,'Run Reconcile'!B$2:B89,0),1),IF(T15,INDEX('Run Reconcile'!A$2:A89,1+MATCH(B15,'Run Reconcile'!B$2:B89,0),1),INDEX('Run Reconcile'!A$2:A89,MATCH(B15,'Run Reconcile'!B$2:B89,0),1))),IFERROR(0/0,""))</f>
        <v/>
      </c>
      <c r="V15" s="225" t="str">
        <f t="shared" si="5"/>
        <v>RUN-NDHM_2022-05-02_RFR-006</v>
      </c>
      <c r="W15" s="75"/>
      <c r="X15" s="75"/>
      <c r="Y15" s="162" t="str">
        <f t="shared" ref="Y15:Z15" si="30">IF(_xlfn.ISFORMULA(S15),IFERROR(0/0,""),TRUE)</f>
        <v/>
      </c>
      <c r="Z15" s="162" t="str">
        <f t="shared" si="30"/>
        <v/>
      </c>
    </row>
    <row r="16">
      <c r="A16" s="7" t="str">
        <f>IFERROR(__xludf.DUMMYFUNCTION("""COMPUTED_VALUE"""),"AK7529")</f>
        <v>AK7529</v>
      </c>
      <c r="B16" s="218">
        <f>IFERROR(__xludf.DUMMYFUNCTION("""COMPUTED_VALUE"""),44683.0)</f>
        <v>44683</v>
      </c>
      <c r="C16" s="219">
        <f>IFERROR(__xludf.DUMMYFUNCTION("""COMPUTED_VALUE"""),0.27576388888888886)</f>
        <v>0.2757638889</v>
      </c>
      <c r="D16" s="220" t="str">
        <f>IFERROR(__xludf.DUMMYFUNCTION("""COMPUTED_VALUE"""),"SpNDHM672043")</f>
        <v>SpNDHM672043</v>
      </c>
      <c r="E16" s="220"/>
      <c r="F16" s="220"/>
      <c r="G16" s="220" t="str">
        <f>IFERROR(__xludf.DUMMYFUNCTION("""COMPUTED_VALUE"""),"Negative")</f>
        <v>Negative</v>
      </c>
      <c r="H16" s="218" t="str">
        <f>IFERROR(__xludf.DUMMYFUNCTION("""COMPUTED_VALUE"""),"Negative")</f>
        <v>Negative</v>
      </c>
      <c r="I16" s="219">
        <f>IFERROR(__xludf.DUMMYFUNCTION("""COMPUTED_VALUE"""),44683.0)</f>
        <v>44683</v>
      </c>
      <c r="J16" s="221">
        <f>IFERROR(__xludf.DUMMYFUNCTION("""COMPUTED_VALUE"""),0.35783564814814817)</f>
        <v>0.3578356481</v>
      </c>
      <c r="K16" s="54"/>
      <c r="L16" s="7"/>
      <c r="M16" s="58"/>
      <c r="N16" s="58">
        <f>IFERROR(__xludf.DUMMYFUNCTION("""COMPUTED_VALUE"""),1.0)</f>
        <v>1</v>
      </c>
      <c r="O16" s="58" t="str">
        <f t="shared" si="3"/>
        <v/>
      </c>
      <c r="P16" s="222">
        <f>IFERROR(__xludf.DUMMYFUNCTION("""COMPUTED_VALUE"""),0.0)</f>
        <v>0</v>
      </c>
      <c r="Q16" s="81" t="b">
        <f>VLOOKUP(B16,'Run Reconcile'!B$2:O89,14,FALSE)</f>
        <v>1</v>
      </c>
      <c r="R16" s="223" t="str">
        <f t="array" ref="R16">IF(Q16, INDEX('Run Reconcile'!A$2:A89,MATCH(B16,'Run Reconcile'!B$2:B89,0),1),IFERROR(0/0,""))</f>
        <v>RUN-NDHM_2022-05-02_RFR-006</v>
      </c>
      <c r="S16" s="224" t="str">
        <f t="shared" ref="S16:T16" si="31">IF(ISBLANK(W16),IFERROR(0/0,""),TRUE)</f>
        <v/>
      </c>
      <c r="T16" s="224" t="str">
        <f t="shared" si="31"/>
        <v/>
      </c>
      <c r="U16" s="162" t="str">
        <f t="array" ref="U16">IF(ISBLANK(R16), IF(S16,INDEX('Run Reconcile'!A$2:A89,1+MATCH(B16,'Run Reconcile'!B$2:B89,0),1),IF(T16,INDEX('Run Reconcile'!A$2:A89,1+MATCH(B16,'Run Reconcile'!B$2:B89,0),1),INDEX('Run Reconcile'!A$2:A89,MATCH(B16,'Run Reconcile'!B$2:B89,0),1))),IFERROR(0/0,""))</f>
        <v/>
      </c>
      <c r="V16" s="225" t="str">
        <f t="shared" si="5"/>
        <v>RUN-NDHM_2022-05-02_RFR-006</v>
      </c>
      <c r="W16" s="75"/>
      <c r="X16" s="75"/>
      <c r="Y16" s="162" t="str">
        <f t="shared" ref="Y16:Z16" si="32">IF(_xlfn.ISFORMULA(S16),IFERROR(0/0,""),TRUE)</f>
        <v/>
      </c>
      <c r="Z16" s="162" t="str">
        <f t="shared" si="32"/>
        <v/>
      </c>
    </row>
    <row r="17">
      <c r="A17" s="7" t="str">
        <f>IFERROR(__xludf.DUMMYFUNCTION("""COMPUTED_VALUE"""),"AH9504")</f>
        <v>AH9504</v>
      </c>
      <c r="B17" s="218">
        <f>IFERROR(__xludf.DUMMYFUNCTION("""COMPUTED_VALUE"""),44683.0)</f>
        <v>44683</v>
      </c>
      <c r="C17" s="219">
        <f>IFERROR(__xludf.DUMMYFUNCTION("""COMPUTED_VALUE"""),0.2781018518518519)</f>
        <v>0.2781018519</v>
      </c>
      <c r="D17" s="220" t="str">
        <f>IFERROR(__xludf.DUMMYFUNCTION("""COMPUTED_VALUE"""),"SpNDHM122532")</f>
        <v>SpNDHM122532</v>
      </c>
      <c r="E17" s="220"/>
      <c r="F17" s="220"/>
      <c r="G17" s="220" t="str">
        <f>IFERROR(__xludf.DUMMYFUNCTION("""COMPUTED_VALUE"""),"Negative")</f>
        <v>Negative</v>
      </c>
      <c r="H17" s="218" t="str">
        <f>IFERROR(__xludf.DUMMYFUNCTION("""COMPUTED_VALUE"""),"Negative")</f>
        <v>Negative</v>
      </c>
      <c r="I17" s="219">
        <f>IFERROR(__xludf.DUMMYFUNCTION("""COMPUTED_VALUE"""),44683.0)</f>
        <v>44683</v>
      </c>
      <c r="J17" s="221">
        <f>IFERROR(__xludf.DUMMYFUNCTION("""COMPUTED_VALUE"""),0.3578125)</f>
        <v>0.3578125</v>
      </c>
      <c r="K17" s="54"/>
      <c r="L17" s="7"/>
      <c r="M17" s="58"/>
      <c r="N17" s="58">
        <f>IFERROR(__xludf.DUMMYFUNCTION("""COMPUTED_VALUE"""),1.0)</f>
        <v>1</v>
      </c>
      <c r="O17" s="58" t="str">
        <f t="shared" si="3"/>
        <v/>
      </c>
      <c r="P17" s="222">
        <f>IFERROR(__xludf.DUMMYFUNCTION("""COMPUTED_VALUE"""),0.0)</f>
        <v>0</v>
      </c>
      <c r="Q17" s="81" t="b">
        <f>VLOOKUP(B17,'Run Reconcile'!B$2:O89,14,FALSE)</f>
        <v>1</v>
      </c>
      <c r="R17" s="223" t="str">
        <f t="array" ref="R17">IF(Q17, INDEX('Run Reconcile'!A$2:A89,MATCH(B17,'Run Reconcile'!B$2:B89,0),1),IFERROR(0/0,""))</f>
        <v>RUN-NDHM_2022-05-02_RFR-006</v>
      </c>
      <c r="S17" s="224" t="str">
        <f t="shared" ref="S17:T17" si="33">IF(ISBLANK(W17),IFERROR(0/0,""),TRUE)</f>
        <v/>
      </c>
      <c r="T17" s="224" t="str">
        <f t="shared" si="33"/>
        <v/>
      </c>
      <c r="U17" s="162" t="str">
        <f t="array" ref="U17">IF(ISBLANK(R17), IF(S17,INDEX('Run Reconcile'!A$2:A89,1+MATCH(B17,'Run Reconcile'!B$2:B89,0),1),IF(T17,INDEX('Run Reconcile'!A$2:A89,1+MATCH(B17,'Run Reconcile'!B$2:B89,0),1),INDEX('Run Reconcile'!A$2:A89,MATCH(B17,'Run Reconcile'!B$2:B89,0),1))),IFERROR(0/0,""))</f>
        <v/>
      </c>
      <c r="V17" s="225" t="str">
        <f t="shared" si="5"/>
        <v>RUN-NDHM_2022-05-02_RFR-006</v>
      </c>
      <c r="W17" s="75"/>
      <c r="X17" s="75"/>
      <c r="Y17" s="162" t="str">
        <f t="shared" ref="Y17:Z17" si="34">IF(_xlfn.ISFORMULA(S17),IFERROR(0/0,""),TRUE)</f>
        <v/>
      </c>
      <c r="Z17" s="162" t="str">
        <f t="shared" si="34"/>
        <v/>
      </c>
    </row>
    <row r="18">
      <c r="A18" s="7" t="str">
        <f>IFERROR(__xludf.DUMMYFUNCTION("""COMPUTED_VALUE"""),"AG1866")</f>
        <v>AG1866</v>
      </c>
      <c r="B18" s="218">
        <f>IFERROR(__xludf.DUMMYFUNCTION("""COMPUTED_VALUE"""),44683.0)</f>
        <v>44683</v>
      </c>
      <c r="C18" s="219">
        <f>IFERROR(__xludf.DUMMYFUNCTION("""COMPUTED_VALUE"""),0.3842013888888889)</f>
        <v>0.3842013889</v>
      </c>
      <c r="D18" s="220" t="str">
        <f>IFERROR(__xludf.DUMMYFUNCTION("""COMPUTED_VALUE"""),"SpNDHM500119")</f>
        <v>SpNDHM500119</v>
      </c>
      <c r="E18" s="220"/>
      <c r="F18" s="220"/>
      <c r="G18" s="220" t="str">
        <f>IFERROR(__xludf.DUMMYFUNCTION("""COMPUTED_VALUE"""),"Negative")</f>
        <v>Negative</v>
      </c>
      <c r="H18" s="218" t="str">
        <f>IFERROR(__xludf.DUMMYFUNCTION("""COMPUTED_VALUE"""),"Negative")</f>
        <v>Negative</v>
      </c>
      <c r="I18" s="219">
        <f>IFERROR(__xludf.DUMMYFUNCTION("""COMPUTED_VALUE"""),44683.0)</f>
        <v>44683</v>
      </c>
      <c r="J18" s="221">
        <f>IFERROR(__xludf.DUMMYFUNCTION("""COMPUTED_VALUE"""),0.6373958333333334)</f>
        <v>0.6373958333</v>
      </c>
      <c r="K18" s="54"/>
      <c r="L18" s="7"/>
      <c r="M18" s="58"/>
      <c r="N18" s="58">
        <f>IFERROR(__xludf.DUMMYFUNCTION("""COMPUTED_VALUE"""),1.0)</f>
        <v>1</v>
      </c>
      <c r="O18" s="58" t="str">
        <f t="shared" si="3"/>
        <v/>
      </c>
      <c r="P18" s="222">
        <f>IFERROR(__xludf.DUMMYFUNCTION("""COMPUTED_VALUE"""),0.0)</f>
        <v>0</v>
      </c>
      <c r="Q18" s="81" t="b">
        <f>VLOOKUP(B18,'Run Reconcile'!B$2:O89,14,FALSE)</f>
        <v>1</v>
      </c>
      <c r="R18" s="223" t="str">
        <f t="array" ref="R18">IF(Q18, INDEX('Run Reconcile'!A$2:A89,MATCH(B18,'Run Reconcile'!B$2:B89,0),1),IFERROR(0/0,""))</f>
        <v>RUN-NDHM_2022-05-02_RFR-006</v>
      </c>
      <c r="S18" s="224" t="str">
        <f t="shared" ref="S18:T18" si="35">IF(ISBLANK(W18),IFERROR(0/0,""),TRUE)</f>
        <v/>
      </c>
      <c r="T18" s="224" t="str">
        <f t="shared" si="35"/>
        <v/>
      </c>
      <c r="U18" s="162" t="str">
        <f t="array" ref="U18">IF(ISBLANK(R18), IF(S18,INDEX('Run Reconcile'!A$2:A89,1+MATCH(B18,'Run Reconcile'!B$2:B89,0),1),IF(T18,INDEX('Run Reconcile'!A$2:A89,1+MATCH(B18,'Run Reconcile'!B$2:B89,0),1),INDEX('Run Reconcile'!A$2:A89,MATCH(B18,'Run Reconcile'!B$2:B89,0),1))),IFERROR(0/0,""))</f>
        <v/>
      </c>
      <c r="V18" s="225" t="str">
        <f t="shared" si="5"/>
        <v>RUN-NDHM_2022-05-02_RFR-006</v>
      </c>
      <c r="W18" s="75"/>
      <c r="X18" s="75"/>
      <c r="Y18" s="162" t="str">
        <f t="shared" ref="Y18:Z18" si="36">IF(_xlfn.ISFORMULA(S18),IFERROR(0/0,""),TRUE)</f>
        <v/>
      </c>
      <c r="Z18" s="162" t="str">
        <f t="shared" si="36"/>
        <v/>
      </c>
    </row>
    <row r="19">
      <c r="A19" s="7" t="str">
        <f>IFERROR(__xludf.DUMMYFUNCTION("""COMPUTED_VALUE"""),"AK5211")</f>
        <v>AK5211</v>
      </c>
      <c r="B19" s="218">
        <f>IFERROR(__xludf.DUMMYFUNCTION("""COMPUTED_VALUE"""),44689.0)</f>
        <v>44689</v>
      </c>
      <c r="C19" s="219">
        <f>IFERROR(__xludf.DUMMYFUNCTION("""COMPUTED_VALUE"""),0.8260300925925926)</f>
        <v>0.8260300926</v>
      </c>
      <c r="D19" s="220" t="str">
        <f>IFERROR(__xludf.DUMMYFUNCTION("""COMPUTED_VALUE"""),"SpNDHM435885")</f>
        <v>SpNDHM435885</v>
      </c>
      <c r="E19" s="220"/>
      <c r="F19" s="220"/>
      <c r="G19" s="220" t="str">
        <f>IFERROR(__xludf.DUMMYFUNCTION("""COMPUTED_VALUE"""),"Negative")</f>
        <v>Negative</v>
      </c>
      <c r="H19" s="218" t="str">
        <f>IFERROR(__xludf.DUMMYFUNCTION("""COMPUTED_VALUE"""),"Negative")</f>
        <v>Negative</v>
      </c>
      <c r="I19" s="219">
        <f>IFERROR(__xludf.DUMMYFUNCTION("""COMPUTED_VALUE"""),44690.0)</f>
        <v>44690</v>
      </c>
      <c r="J19" s="221">
        <f>IFERROR(__xludf.DUMMYFUNCTION("""COMPUTED_VALUE"""),0.3232291666666667)</f>
        <v>0.3232291667</v>
      </c>
      <c r="K19" s="54"/>
      <c r="L19" s="7"/>
      <c r="M19" s="58"/>
      <c r="N19" s="58">
        <f>IFERROR(__xludf.DUMMYFUNCTION("""COMPUTED_VALUE"""),4.0)</f>
        <v>4</v>
      </c>
      <c r="O19" s="58" t="b">
        <f t="shared" si="3"/>
        <v>1</v>
      </c>
      <c r="P19" s="222">
        <f>IFERROR(__xludf.DUMMYFUNCTION("""COMPUTED_VALUE"""),1.0)</f>
        <v>1</v>
      </c>
      <c r="Q19" s="81" t="str">
        <f>VLOOKUP(B19,'Run Reconcile'!B$2:O89,14,FALSE)</f>
        <v/>
      </c>
      <c r="R19" s="223" t="str">
        <f t="array" ref="R19">IF(Q19, INDEX('Run Reconcile'!A$2:A89,MATCH(B19,'Run Reconcile'!B$2:B89,0),1),IFERROR(0/0,""))</f>
        <v/>
      </c>
      <c r="S19" s="224" t="b">
        <f t="shared" ref="S19:T19" si="37">IF(ISBLANK(W19),IFERROR(0/0,""),TRUE)</f>
        <v>1</v>
      </c>
      <c r="T19" s="224" t="str">
        <f t="shared" si="37"/>
        <v/>
      </c>
      <c r="U19" s="162" t="str">
        <f t="array" ref="U19">IF(ISBLANK(R19), IF(S19,INDEX('Run Reconcile'!A$2:A89,1+MATCH(B19,'Run Reconcile'!B$2:B89,0),1),IF(T19,INDEX('Run Reconcile'!A$2:A89,1+MATCH(B19,'Run Reconcile'!B$2:B89,0),1),INDEX('Run Reconcile'!A$2:A89,MATCH(B19,'Run Reconcile'!B$2:B89,0),1))),IFERROR(0/0,""))</f>
        <v>RUN-NDHM_2022-05-09_RFR-009</v>
      </c>
      <c r="V19" s="225" t="str">
        <f t="shared" si="5"/>
        <v>RUN-NDHM_2022-05-09_RFR-009</v>
      </c>
      <c r="W19" s="7" t="s">
        <v>248</v>
      </c>
      <c r="X19" s="75"/>
      <c r="Y19" s="162" t="str">
        <f t="shared" ref="Y19:Z19" si="38">IF(_xlfn.ISFORMULA(S19),IFERROR(0/0,""),TRUE)</f>
        <v/>
      </c>
      <c r="Z19" s="162" t="str">
        <f t="shared" si="38"/>
        <v/>
      </c>
    </row>
    <row r="20">
      <c r="A20" s="7" t="str">
        <f>IFERROR(__xludf.DUMMYFUNCTION("""COMPUTED_VALUE"""),"AG469")</f>
        <v>AG469</v>
      </c>
      <c r="B20" s="218">
        <f>IFERROR(__xludf.DUMMYFUNCTION("""COMPUTED_VALUE"""),44690.0)</f>
        <v>44690</v>
      </c>
      <c r="C20" s="219">
        <f>IFERROR(__xludf.DUMMYFUNCTION("""COMPUTED_VALUE"""),0.17002314814814815)</f>
        <v>0.1700231481</v>
      </c>
      <c r="D20" s="220" t="str">
        <f>IFERROR(__xludf.DUMMYFUNCTION("""COMPUTED_VALUE"""),"SpNDHM955894")</f>
        <v>SpNDHM955894</v>
      </c>
      <c r="E20" s="220"/>
      <c r="F20" s="220"/>
      <c r="G20" s="220" t="str">
        <f>IFERROR(__xludf.DUMMYFUNCTION("""COMPUTED_VALUE"""),"Negative")</f>
        <v>Negative</v>
      </c>
      <c r="H20" s="218" t="str">
        <f>IFERROR(__xludf.DUMMYFUNCTION("""COMPUTED_VALUE"""),"Negative")</f>
        <v>Negative</v>
      </c>
      <c r="I20" s="219">
        <f>IFERROR(__xludf.DUMMYFUNCTION("""COMPUTED_VALUE"""),44690.0)</f>
        <v>44690</v>
      </c>
      <c r="J20" s="221">
        <f>IFERROR(__xludf.DUMMYFUNCTION("""COMPUTED_VALUE"""),0.3232291666666667)</f>
        <v>0.3232291667</v>
      </c>
      <c r="K20" s="54"/>
      <c r="L20" s="7"/>
      <c r="M20" s="58"/>
      <c r="N20" s="58">
        <f>IFERROR(__xludf.DUMMYFUNCTION("""COMPUTED_VALUE"""),4.0)</f>
        <v>4</v>
      </c>
      <c r="O20" s="58" t="b">
        <f t="shared" si="3"/>
        <v>1</v>
      </c>
      <c r="P20" s="222">
        <f>IFERROR(__xludf.DUMMYFUNCTION("""COMPUTED_VALUE"""),0.0)</f>
        <v>0</v>
      </c>
      <c r="Q20" s="81" t="b">
        <f>VLOOKUP(B20,'Run Reconcile'!B$2:O89,14,FALSE)</f>
        <v>1</v>
      </c>
      <c r="R20" s="223" t="str">
        <f t="array" ref="R20">IF(Q20, INDEX('Run Reconcile'!A$2:A89,MATCH(B20,'Run Reconcile'!B$2:B89,0),1),IFERROR(0/0,""))</f>
        <v>RUN-NDHM_2022-05-09_RFR-009</v>
      </c>
      <c r="S20" s="224" t="str">
        <f t="shared" ref="S20:T20" si="39">IF(ISBLANK(W20),IFERROR(0/0,""),TRUE)</f>
        <v/>
      </c>
      <c r="T20" s="224" t="str">
        <f t="shared" si="39"/>
        <v/>
      </c>
      <c r="U20" s="162" t="str">
        <f t="array" ref="U20">IF(ISBLANK(R20), IF(S20,INDEX('Run Reconcile'!A$2:A89,1+MATCH(B20,'Run Reconcile'!B$2:B89,0),1),IF(T20,INDEX('Run Reconcile'!A$2:A89,1+MATCH(B20,'Run Reconcile'!B$2:B89,0),1),INDEX('Run Reconcile'!A$2:A89,MATCH(B20,'Run Reconcile'!B$2:B89,0),1))),IFERROR(0/0,""))</f>
        <v/>
      </c>
      <c r="V20" s="225" t="str">
        <f t="shared" si="5"/>
        <v>RUN-NDHM_2022-05-09_RFR-009</v>
      </c>
      <c r="W20" s="75"/>
      <c r="X20" s="75"/>
      <c r="Y20" s="162" t="str">
        <f t="shared" ref="Y20:Z20" si="40">IF(_xlfn.ISFORMULA(S20),IFERROR(0/0,""),TRUE)</f>
        <v/>
      </c>
      <c r="Z20" s="162" t="str">
        <f t="shared" si="40"/>
        <v/>
      </c>
    </row>
    <row r="21">
      <c r="A21" s="7" t="str">
        <f>IFERROR(__xludf.DUMMYFUNCTION("""COMPUTED_VALUE"""),"AH7931")</f>
        <v>AH7931</v>
      </c>
      <c r="B21" s="218">
        <f>IFERROR(__xludf.DUMMYFUNCTION("""COMPUTED_VALUE"""),44690.0)</f>
        <v>44690</v>
      </c>
      <c r="C21" s="219">
        <f>IFERROR(__xludf.DUMMYFUNCTION("""COMPUTED_VALUE"""),0.1787037037037037)</f>
        <v>0.1787037037</v>
      </c>
      <c r="D21" s="220" t="str">
        <f>IFERROR(__xludf.DUMMYFUNCTION("""COMPUTED_VALUE"""),"SpNDHM966349")</f>
        <v>SpNDHM966349</v>
      </c>
      <c r="E21" s="220"/>
      <c r="F21" s="220"/>
      <c r="G21" s="220" t="str">
        <f>IFERROR(__xludf.DUMMYFUNCTION("""COMPUTED_VALUE"""),"Negative")</f>
        <v>Negative</v>
      </c>
      <c r="H21" s="218" t="str">
        <f>IFERROR(__xludf.DUMMYFUNCTION("""COMPUTED_VALUE"""),"Negative")</f>
        <v>Negative</v>
      </c>
      <c r="I21" s="219">
        <f>IFERROR(__xludf.DUMMYFUNCTION("""COMPUTED_VALUE"""),44690.0)</f>
        <v>44690</v>
      </c>
      <c r="J21" s="221">
        <f>IFERROR(__xludf.DUMMYFUNCTION("""COMPUTED_VALUE"""),0.3232407407407407)</f>
        <v>0.3232407407</v>
      </c>
      <c r="K21" s="54"/>
      <c r="L21" s="7"/>
      <c r="M21" s="58"/>
      <c r="N21" s="58">
        <f>IFERROR(__xludf.DUMMYFUNCTION("""COMPUTED_VALUE"""),3.0)</f>
        <v>3</v>
      </c>
      <c r="O21" s="58" t="str">
        <f t="shared" si="3"/>
        <v/>
      </c>
      <c r="P21" s="222">
        <f>IFERROR(__xludf.DUMMYFUNCTION("""COMPUTED_VALUE"""),0.0)</f>
        <v>0</v>
      </c>
      <c r="Q21" s="81" t="b">
        <f>VLOOKUP(B21,'Run Reconcile'!B$2:O89,14,FALSE)</f>
        <v>1</v>
      </c>
      <c r="R21" s="223" t="str">
        <f t="array" ref="R21">IF(Q21, INDEX('Run Reconcile'!A$2:A89,MATCH(B21,'Run Reconcile'!B$2:B89,0),1),IFERROR(0/0,""))</f>
        <v>RUN-NDHM_2022-05-09_RFR-009</v>
      </c>
      <c r="S21" s="224" t="str">
        <f t="shared" ref="S21:T21" si="41">IF(ISBLANK(W21),IFERROR(0/0,""),TRUE)</f>
        <v/>
      </c>
      <c r="T21" s="224" t="str">
        <f t="shared" si="41"/>
        <v/>
      </c>
      <c r="U21" s="162" t="str">
        <f t="array" ref="U21">IF(ISBLANK(R21), IF(S21,INDEX('Run Reconcile'!A$2:A89,1+MATCH(B21,'Run Reconcile'!B$2:B89,0),1),IF(T21,INDEX('Run Reconcile'!A$2:A89,1+MATCH(B21,'Run Reconcile'!B$2:B89,0),1),INDEX('Run Reconcile'!A$2:A89,MATCH(B21,'Run Reconcile'!B$2:B89,0),1))),IFERROR(0/0,""))</f>
        <v/>
      </c>
      <c r="V21" s="225" t="str">
        <f t="shared" si="5"/>
        <v>RUN-NDHM_2022-05-09_RFR-009</v>
      </c>
      <c r="W21" s="75"/>
      <c r="X21" s="75"/>
      <c r="Y21" s="162" t="str">
        <f t="shared" ref="Y21:Z21" si="42">IF(_xlfn.ISFORMULA(S21),IFERROR(0/0,""),TRUE)</f>
        <v/>
      </c>
      <c r="Z21" s="162" t="str">
        <f t="shared" si="42"/>
        <v/>
      </c>
    </row>
    <row r="22">
      <c r="A22" s="7" t="str">
        <f>IFERROR(__xludf.DUMMYFUNCTION("""COMPUTED_VALUE"""),"AH1039")</f>
        <v>AH1039</v>
      </c>
      <c r="B22" s="218">
        <f>IFERROR(__xludf.DUMMYFUNCTION("""COMPUTED_VALUE"""),44690.0)</f>
        <v>44690</v>
      </c>
      <c r="C22" s="219">
        <f>IFERROR(__xludf.DUMMYFUNCTION("""COMPUTED_VALUE"""),0.2029050925925926)</f>
        <v>0.2029050926</v>
      </c>
      <c r="D22" s="220" t="str">
        <f>IFERROR(__xludf.DUMMYFUNCTION("""COMPUTED_VALUE"""),"SpNDHM189649")</f>
        <v>SpNDHM189649</v>
      </c>
      <c r="E22" s="220"/>
      <c r="F22" s="220"/>
      <c r="G22" s="220" t="str">
        <f>IFERROR(__xludf.DUMMYFUNCTION("""COMPUTED_VALUE"""),"Negative")</f>
        <v>Negative</v>
      </c>
      <c r="H22" s="218" t="str">
        <f>IFERROR(__xludf.DUMMYFUNCTION("""COMPUTED_VALUE"""),"Negative")</f>
        <v>Negative</v>
      </c>
      <c r="I22" s="219">
        <f>IFERROR(__xludf.DUMMYFUNCTION("""COMPUTED_VALUE"""),44690.0)</f>
        <v>44690</v>
      </c>
      <c r="J22" s="221">
        <f>IFERROR(__xludf.DUMMYFUNCTION("""COMPUTED_VALUE"""),0.3232407407407407)</f>
        <v>0.3232407407</v>
      </c>
      <c r="K22" s="54"/>
      <c r="L22" s="7"/>
      <c r="M22" s="58"/>
      <c r="N22" s="58">
        <f>IFERROR(__xludf.DUMMYFUNCTION("""COMPUTED_VALUE"""),3.0)</f>
        <v>3</v>
      </c>
      <c r="O22" s="58" t="str">
        <f t="shared" si="3"/>
        <v/>
      </c>
      <c r="P22" s="222">
        <f>IFERROR(__xludf.DUMMYFUNCTION("""COMPUTED_VALUE"""),0.0)</f>
        <v>0</v>
      </c>
      <c r="Q22" s="81" t="b">
        <f>VLOOKUP(B22,'Run Reconcile'!B$2:O89,14,FALSE)</f>
        <v>1</v>
      </c>
      <c r="R22" s="223" t="str">
        <f t="array" ref="R22">IF(Q22, INDEX('Run Reconcile'!A$2:A89,MATCH(B22,'Run Reconcile'!B$2:B89,0),1),IFERROR(0/0,""))</f>
        <v>RUN-NDHM_2022-05-09_RFR-009</v>
      </c>
      <c r="S22" s="224" t="str">
        <f t="shared" ref="S22:T22" si="43">IF(ISBLANK(W22),IFERROR(0/0,""),TRUE)</f>
        <v/>
      </c>
      <c r="T22" s="224" t="str">
        <f t="shared" si="43"/>
        <v/>
      </c>
      <c r="U22" s="162" t="str">
        <f t="array" ref="U22">IF(ISBLANK(R22), IF(S22,INDEX('Run Reconcile'!A$2:A89,1+MATCH(B22,'Run Reconcile'!B$2:B89,0),1),IF(T22,INDEX('Run Reconcile'!A$2:A89,1+MATCH(B22,'Run Reconcile'!B$2:B89,0),1),INDEX('Run Reconcile'!A$2:A89,MATCH(B22,'Run Reconcile'!B$2:B89,0),1))),IFERROR(0/0,""))</f>
        <v/>
      </c>
      <c r="V22" s="225" t="str">
        <f t="shared" si="5"/>
        <v>RUN-NDHM_2022-05-09_RFR-009</v>
      </c>
      <c r="W22" s="75"/>
      <c r="X22" s="75"/>
      <c r="Y22" s="162" t="str">
        <f t="shared" ref="Y22:Z22" si="44">IF(_xlfn.ISFORMULA(S22),IFERROR(0/0,""),TRUE)</f>
        <v/>
      </c>
      <c r="Z22" s="162" t="str">
        <f t="shared" si="44"/>
        <v/>
      </c>
    </row>
    <row r="23">
      <c r="A23" s="7" t="str">
        <f>IFERROR(__xludf.DUMMYFUNCTION("""COMPUTED_VALUE"""),"AJ8556")</f>
        <v>AJ8556</v>
      </c>
      <c r="B23" s="218">
        <f>IFERROR(__xludf.DUMMYFUNCTION("""COMPUTED_VALUE"""),44690.0)</f>
        <v>44690</v>
      </c>
      <c r="C23" s="219">
        <f>IFERROR(__xludf.DUMMYFUNCTION("""COMPUTED_VALUE"""),0.2135300925925926)</f>
        <v>0.2135300926</v>
      </c>
      <c r="D23" s="220" t="str">
        <f>IFERROR(__xludf.DUMMYFUNCTION("""COMPUTED_VALUE"""),"SpNDHM118014")</f>
        <v>SpNDHM118014</v>
      </c>
      <c r="E23" s="220"/>
      <c r="F23" s="220"/>
      <c r="G23" s="220" t="str">
        <f>IFERROR(__xludf.DUMMYFUNCTION("""COMPUTED_VALUE"""),"Negative")</f>
        <v>Negative</v>
      </c>
      <c r="H23" s="218" t="str">
        <f>IFERROR(__xludf.DUMMYFUNCTION("""COMPUTED_VALUE"""),"Negative")</f>
        <v>Negative</v>
      </c>
      <c r="I23" s="219">
        <f>IFERROR(__xludf.DUMMYFUNCTION("""COMPUTED_VALUE"""),44690.0)</f>
        <v>44690</v>
      </c>
      <c r="J23" s="221">
        <f>IFERROR(__xludf.DUMMYFUNCTION("""COMPUTED_VALUE"""),0.3232407407407407)</f>
        <v>0.3232407407</v>
      </c>
      <c r="K23" s="54"/>
      <c r="L23" s="7"/>
      <c r="M23" s="58"/>
      <c r="N23" s="58">
        <f>IFERROR(__xludf.DUMMYFUNCTION("""COMPUTED_VALUE"""),4.0)</f>
        <v>4</v>
      </c>
      <c r="O23" s="58" t="str">
        <f t="shared" si="3"/>
        <v/>
      </c>
      <c r="P23" s="222">
        <f>IFERROR(__xludf.DUMMYFUNCTION("""COMPUTED_VALUE"""),0.0)</f>
        <v>0</v>
      </c>
      <c r="Q23" s="81" t="b">
        <f>VLOOKUP(B23,'Run Reconcile'!B$2:O89,14,FALSE)</f>
        <v>1</v>
      </c>
      <c r="R23" s="223" t="str">
        <f t="array" ref="R23">IF(Q23, INDEX('Run Reconcile'!A$2:A89,MATCH(B23,'Run Reconcile'!B$2:B89,0),1),IFERROR(0/0,""))</f>
        <v>RUN-NDHM_2022-05-09_RFR-009</v>
      </c>
      <c r="S23" s="224" t="str">
        <f t="shared" ref="S23:T23" si="45">IF(ISBLANK(W23),IFERROR(0/0,""),TRUE)</f>
        <v/>
      </c>
      <c r="T23" s="224" t="str">
        <f t="shared" si="45"/>
        <v/>
      </c>
      <c r="U23" s="162" t="str">
        <f t="array" ref="U23">IF(ISBLANK(R23), IF(S23,INDEX('Run Reconcile'!A$2:A89,1+MATCH(B23,'Run Reconcile'!B$2:B89,0),1),IF(T23,INDEX('Run Reconcile'!A$2:A89,1+MATCH(B23,'Run Reconcile'!B$2:B89,0),1),INDEX('Run Reconcile'!A$2:A89,MATCH(B23,'Run Reconcile'!B$2:B89,0),1))),IFERROR(0/0,""))</f>
        <v/>
      </c>
      <c r="V23" s="225" t="str">
        <f t="shared" si="5"/>
        <v>RUN-NDHM_2022-05-09_RFR-009</v>
      </c>
      <c r="W23" s="75"/>
      <c r="X23" s="75"/>
      <c r="Y23" s="162" t="str">
        <f t="shared" ref="Y23:Z23" si="46">IF(_xlfn.ISFORMULA(S23),IFERROR(0/0,""),TRUE)</f>
        <v/>
      </c>
      <c r="Z23" s="162" t="str">
        <f t="shared" si="46"/>
        <v/>
      </c>
    </row>
    <row r="24">
      <c r="A24" s="7" t="str">
        <f>IFERROR(__xludf.DUMMYFUNCTION("""COMPUTED_VALUE"""),"AG815")</f>
        <v>AG815</v>
      </c>
      <c r="B24" s="218">
        <f>IFERROR(__xludf.DUMMYFUNCTION("""COMPUTED_VALUE"""),44690.0)</f>
        <v>44690</v>
      </c>
      <c r="C24" s="219">
        <f>IFERROR(__xludf.DUMMYFUNCTION("""COMPUTED_VALUE"""),0.2437037037037037)</f>
        <v>0.2437037037</v>
      </c>
      <c r="D24" s="220" t="str">
        <f>IFERROR(__xludf.DUMMYFUNCTION("""COMPUTED_VALUE"""),"SpNDHM122532")</f>
        <v>SpNDHM122532</v>
      </c>
      <c r="E24" s="220"/>
      <c r="F24" s="220"/>
      <c r="G24" s="220" t="str">
        <f>IFERROR(__xludf.DUMMYFUNCTION("""COMPUTED_VALUE"""),"Negative")</f>
        <v>Negative</v>
      </c>
      <c r="H24" s="218" t="str">
        <f>IFERROR(__xludf.DUMMYFUNCTION("""COMPUTED_VALUE"""),"Negative")</f>
        <v>Negative</v>
      </c>
      <c r="I24" s="219">
        <f>IFERROR(__xludf.DUMMYFUNCTION("""COMPUTED_VALUE"""),44690.0)</f>
        <v>44690</v>
      </c>
      <c r="J24" s="221">
        <f>IFERROR(__xludf.DUMMYFUNCTION("""COMPUTED_VALUE"""),0.3232523148148148)</f>
        <v>0.3232523148</v>
      </c>
      <c r="K24" s="54"/>
      <c r="L24" s="7"/>
      <c r="M24" s="58"/>
      <c r="N24" s="58">
        <f>IFERROR(__xludf.DUMMYFUNCTION("""COMPUTED_VALUE"""),1.0)</f>
        <v>1</v>
      </c>
      <c r="O24" s="58" t="str">
        <f t="shared" si="3"/>
        <v/>
      </c>
      <c r="P24" s="222">
        <f>IFERROR(__xludf.DUMMYFUNCTION("""COMPUTED_VALUE"""),0.0)</f>
        <v>0</v>
      </c>
      <c r="Q24" s="81" t="b">
        <f>VLOOKUP(B24,'Run Reconcile'!B$2:O89,14,FALSE)</f>
        <v>1</v>
      </c>
      <c r="R24" s="223" t="str">
        <f t="array" ref="R24">IF(Q24, INDEX('Run Reconcile'!A$2:A89,MATCH(B24,'Run Reconcile'!B$2:B89,0),1),IFERROR(0/0,""))</f>
        <v>RUN-NDHM_2022-05-09_RFR-009</v>
      </c>
      <c r="S24" s="224" t="str">
        <f t="shared" ref="S24:T24" si="47">IF(ISBLANK(W24),IFERROR(0/0,""),TRUE)</f>
        <v/>
      </c>
      <c r="T24" s="224" t="str">
        <f t="shared" si="47"/>
        <v/>
      </c>
      <c r="U24" s="162" t="str">
        <f t="array" ref="U24">IF(ISBLANK(R24), IF(S24,INDEX('Run Reconcile'!A$2:A89,1+MATCH(B24,'Run Reconcile'!B$2:B89,0),1),IF(T24,INDEX('Run Reconcile'!A$2:A89,1+MATCH(B24,'Run Reconcile'!B$2:B89,0),1),INDEX('Run Reconcile'!A$2:A89,MATCH(B24,'Run Reconcile'!B$2:B89,0),1))),IFERROR(0/0,""))</f>
        <v/>
      </c>
      <c r="V24" s="225" t="str">
        <f t="shared" si="5"/>
        <v>RUN-NDHM_2022-05-09_RFR-009</v>
      </c>
      <c r="W24" s="75"/>
      <c r="X24" s="75"/>
      <c r="Y24" s="162" t="str">
        <f t="shared" ref="Y24:Z24" si="48">IF(_xlfn.ISFORMULA(S24),IFERROR(0/0,""),TRUE)</f>
        <v/>
      </c>
      <c r="Z24" s="162" t="str">
        <f t="shared" si="48"/>
        <v/>
      </c>
    </row>
    <row r="25">
      <c r="A25" s="7" t="str">
        <f>IFERROR(__xludf.DUMMYFUNCTION("""COMPUTED_VALUE"""),"AG1523")</f>
        <v>AG1523</v>
      </c>
      <c r="B25" s="218">
        <f>IFERROR(__xludf.DUMMYFUNCTION("""COMPUTED_VALUE"""),44690.0)</f>
        <v>44690</v>
      </c>
      <c r="C25" s="219">
        <f>IFERROR(__xludf.DUMMYFUNCTION("""COMPUTED_VALUE"""),0.2795138888888889)</f>
        <v>0.2795138889</v>
      </c>
      <c r="D25" s="220" t="str">
        <f>IFERROR(__xludf.DUMMYFUNCTION("""COMPUTED_VALUE"""),"SpNDHM122532")</f>
        <v>SpNDHM122532</v>
      </c>
      <c r="E25" s="220"/>
      <c r="F25" s="220"/>
      <c r="G25" s="220" t="str">
        <f>IFERROR(__xludf.DUMMYFUNCTION("""COMPUTED_VALUE"""),"Negative")</f>
        <v>Negative</v>
      </c>
      <c r="H25" s="218" t="str">
        <f>IFERROR(__xludf.DUMMYFUNCTION("""COMPUTED_VALUE"""),"Negative")</f>
        <v>Negative</v>
      </c>
      <c r="I25" s="219">
        <f>IFERROR(__xludf.DUMMYFUNCTION("""COMPUTED_VALUE"""),44690.0)</f>
        <v>44690</v>
      </c>
      <c r="J25" s="221">
        <f>IFERROR(__xludf.DUMMYFUNCTION("""COMPUTED_VALUE"""),0.3232523148148148)</f>
        <v>0.3232523148</v>
      </c>
      <c r="K25" s="54"/>
      <c r="L25" s="7"/>
      <c r="M25" s="58"/>
      <c r="N25" s="58">
        <f>IFERROR(__xludf.DUMMYFUNCTION("""COMPUTED_VALUE"""),1.0)</f>
        <v>1</v>
      </c>
      <c r="O25" s="58" t="str">
        <f t="shared" si="3"/>
        <v/>
      </c>
      <c r="P25" s="222">
        <f>IFERROR(__xludf.DUMMYFUNCTION("""COMPUTED_VALUE"""),0.0)</f>
        <v>0</v>
      </c>
      <c r="Q25" s="81" t="b">
        <f>VLOOKUP(B25,'Run Reconcile'!B$2:O89,14,FALSE)</f>
        <v>1</v>
      </c>
      <c r="R25" s="223" t="str">
        <f t="array" ref="R25">IF(Q25, INDEX('Run Reconcile'!A$2:A89,MATCH(B25,'Run Reconcile'!B$2:B89,0),1),IFERROR(0/0,""))</f>
        <v>RUN-NDHM_2022-05-09_RFR-009</v>
      </c>
      <c r="S25" s="224" t="str">
        <f t="shared" ref="S25:T25" si="49">IF(ISBLANK(W25),IFERROR(0/0,""),TRUE)</f>
        <v/>
      </c>
      <c r="T25" s="224" t="str">
        <f t="shared" si="49"/>
        <v/>
      </c>
      <c r="U25" s="162" t="str">
        <f t="array" ref="U25">IF(ISBLANK(R25), IF(S25,INDEX('Run Reconcile'!A$2:A89,1+MATCH(B25,'Run Reconcile'!B$2:B89,0),1),IF(T25,INDEX('Run Reconcile'!A$2:A89,1+MATCH(B25,'Run Reconcile'!B$2:B89,0),1),INDEX('Run Reconcile'!A$2:A89,MATCH(B25,'Run Reconcile'!B$2:B89,0),1))),IFERROR(0/0,""))</f>
        <v/>
      </c>
      <c r="V25" s="225" t="str">
        <f t="shared" si="5"/>
        <v>RUN-NDHM_2022-05-09_RFR-009</v>
      </c>
      <c r="W25" s="75"/>
      <c r="X25" s="75"/>
      <c r="Y25" s="162" t="str">
        <f t="shared" ref="Y25:Z25" si="50">IF(_xlfn.ISFORMULA(S25),IFERROR(0/0,""),TRUE)</f>
        <v/>
      </c>
      <c r="Z25" s="162" t="str">
        <f t="shared" si="50"/>
        <v/>
      </c>
    </row>
    <row r="26">
      <c r="A26" s="7" t="str">
        <f>IFERROR(__xludf.DUMMYFUNCTION("""COMPUTED_VALUE"""),"AH266")</f>
        <v>AH266</v>
      </c>
      <c r="B26" s="218">
        <f>IFERROR(__xludf.DUMMYFUNCTION("""COMPUTED_VALUE"""),44690.0)</f>
        <v>44690</v>
      </c>
      <c r="C26" s="219">
        <f>IFERROR(__xludf.DUMMYFUNCTION("""COMPUTED_VALUE"""),0.280162037037037)</f>
        <v>0.280162037</v>
      </c>
      <c r="D26" s="220" t="str">
        <f>IFERROR(__xludf.DUMMYFUNCTION("""COMPUTED_VALUE"""),"SpNDHM122532")</f>
        <v>SpNDHM122532</v>
      </c>
      <c r="E26" s="220"/>
      <c r="F26" s="220"/>
      <c r="G26" s="220" t="str">
        <f>IFERROR(__xludf.DUMMYFUNCTION("""COMPUTED_VALUE"""),"Negative")</f>
        <v>Negative</v>
      </c>
      <c r="H26" s="226" t="str">
        <f>IFERROR(__xludf.DUMMYFUNCTION("""COMPUTED_VALUE"""),"Negative")</f>
        <v>Negative</v>
      </c>
      <c r="I26" s="218">
        <f>IFERROR(__xludf.DUMMYFUNCTION("""COMPUTED_VALUE"""),44690.0)</f>
        <v>44690</v>
      </c>
      <c r="J26" s="221">
        <f>IFERROR(__xludf.DUMMYFUNCTION("""COMPUTED_VALUE"""),0.3232523148148148)</f>
        <v>0.3232523148</v>
      </c>
      <c r="K26" s="54"/>
      <c r="L26" s="7"/>
      <c r="M26" s="58"/>
      <c r="N26" s="58">
        <f>IFERROR(__xludf.DUMMYFUNCTION("""COMPUTED_VALUE"""),2.0)</f>
        <v>2</v>
      </c>
      <c r="O26" s="58" t="str">
        <f t="shared" si="3"/>
        <v/>
      </c>
      <c r="P26" s="222">
        <f>IFERROR(__xludf.DUMMYFUNCTION("""COMPUTED_VALUE"""),0.0)</f>
        <v>0</v>
      </c>
      <c r="Q26" s="81" t="b">
        <f>VLOOKUP(B26,'Run Reconcile'!B$2:O89,14,FALSE)</f>
        <v>1</v>
      </c>
      <c r="R26" s="223" t="str">
        <f t="array" ref="R26">IF(Q26, INDEX('Run Reconcile'!A$2:A89,MATCH(B26,'Run Reconcile'!B$2:B89,0),1),IFERROR(0/0,""))</f>
        <v>RUN-NDHM_2022-05-09_RFR-009</v>
      </c>
      <c r="S26" s="224" t="str">
        <f t="shared" ref="S26:T26" si="51">IF(ISBLANK(W26),IFERROR(0/0,""),TRUE)</f>
        <v/>
      </c>
      <c r="T26" s="224" t="str">
        <f t="shared" si="51"/>
        <v/>
      </c>
      <c r="U26" s="162" t="str">
        <f t="array" ref="U26">IF(ISBLANK(R26), IF(S26,INDEX('Run Reconcile'!A$2:A89,1+MATCH(B26,'Run Reconcile'!B$2:B89,0),1),IF(T26,INDEX('Run Reconcile'!A$2:A89,1+MATCH(B26,'Run Reconcile'!B$2:B89,0),1),INDEX('Run Reconcile'!A$2:A89,MATCH(B26,'Run Reconcile'!B$2:B89,0),1))),IFERROR(0/0,""))</f>
        <v/>
      </c>
      <c r="V26" s="225" t="str">
        <f t="shared" si="5"/>
        <v>RUN-NDHM_2022-05-09_RFR-009</v>
      </c>
      <c r="W26" s="75"/>
      <c r="X26" s="75"/>
      <c r="Y26" s="162" t="str">
        <f t="shared" ref="Y26:Z26" si="52">IF(_xlfn.ISFORMULA(S26),IFERROR(0/0,""),TRUE)</f>
        <v/>
      </c>
      <c r="Z26" s="162" t="str">
        <f t="shared" si="52"/>
        <v/>
      </c>
    </row>
    <row r="27">
      <c r="A27" s="7" t="str">
        <f>IFERROR(__xludf.DUMMYFUNCTION("""COMPUTED_VALUE"""),"AJ8574")</f>
        <v>AJ8574</v>
      </c>
      <c r="B27" s="218">
        <f>IFERROR(__xludf.DUMMYFUNCTION("""COMPUTED_VALUE"""),44696.0)</f>
        <v>44696</v>
      </c>
      <c r="C27" s="219">
        <f>IFERROR(__xludf.DUMMYFUNCTION("""COMPUTED_VALUE"""),0.7482523148148148)</f>
        <v>0.7482523148</v>
      </c>
      <c r="D27" s="220" t="str">
        <f>IFERROR(__xludf.DUMMYFUNCTION("""COMPUTED_VALUE"""),"SpNDHM768644")</f>
        <v>SpNDHM768644</v>
      </c>
      <c r="E27" s="220"/>
      <c r="F27" s="220"/>
      <c r="G27" s="220" t="str">
        <f>IFERROR(__xludf.DUMMYFUNCTION("""COMPUTED_VALUE"""),"Negative")</f>
        <v>Negative</v>
      </c>
      <c r="H27" s="226" t="str">
        <f>IFERROR(__xludf.DUMMYFUNCTION("""COMPUTED_VALUE"""),"Negative")</f>
        <v>Negative</v>
      </c>
      <c r="I27" s="218">
        <f>IFERROR(__xludf.DUMMYFUNCTION("""COMPUTED_VALUE"""),44697.0)</f>
        <v>44697</v>
      </c>
      <c r="J27" s="221">
        <f>IFERROR(__xludf.DUMMYFUNCTION("""COMPUTED_VALUE"""),0.361099537037037)</f>
        <v>0.361099537</v>
      </c>
      <c r="K27" s="54"/>
      <c r="L27" s="7"/>
      <c r="M27" s="58"/>
      <c r="N27" s="58">
        <f>IFERROR(__xludf.DUMMYFUNCTION("""COMPUTED_VALUE"""),2.0)</f>
        <v>2</v>
      </c>
      <c r="O27" s="58" t="b">
        <f t="shared" si="3"/>
        <v>1</v>
      </c>
      <c r="P27" s="222">
        <f>IFERROR(__xludf.DUMMYFUNCTION("""COMPUTED_VALUE"""),1.0)</f>
        <v>1</v>
      </c>
      <c r="Q27" s="81" t="str">
        <f>VLOOKUP(B27,'Run Reconcile'!B$2:O89,14,FALSE)</f>
        <v/>
      </c>
      <c r="R27" s="223" t="str">
        <f t="array" ref="R27">IF(Q27, INDEX('Run Reconcile'!A$2:A89,MATCH(B27,'Run Reconcile'!B$2:B89,0),1),IFERROR(0/0,""))</f>
        <v/>
      </c>
      <c r="S27" s="224" t="b">
        <f t="shared" ref="S27:T27" si="53">IF(ISBLANK(W27),IFERROR(0/0,""),TRUE)</f>
        <v>1</v>
      </c>
      <c r="T27" s="224" t="str">
        <f t="shared" si="53"/>
        <v/>
      </c>
      <c r="U27" s="162" t="str">
        <f t="array" ref="U27">IF(ISBLANK(R27), IF(S27,INDEX('Run Reconcile'!A$2:A89,1+MATCH(B27,'Run Reconcile'!B$2:B89,0),1),IF(T27,INDEX('Run Reconcile'!A$2:A89,1+MATCH(B27,'Run Reconcile'!B$2:B89,0),1),INDEX('Run Reconcile'!A$2:A89,MATCH(B27,'Run Reconcile'!B$2:B89,0),1))),IFERROR(0/0,""))</f>
        <v>RUN-NDHM_2022-05-16_RFR-010</v>
      </c>
      <c r="V27" s="225" t="str">
        <f t="shared" si="5"/>
        <v>RUN-NDHM_2022-05-16_RFR-010</v>
      </c>
      <c r="W27" s="7" t="s">
        <v>249</v>
      </c>
      <c r="X27" s="75"/>
      <c r="Y27" s="162" t="str">
        <f t="shared" ref="Y27:Z27" si="54">IF(_xlfn.ISFORMULA(S27),IFERROR(0/0,""),TRUE)</f>
        <v/>
      </c>
      <c r="Z27" s="162" t="str">
        <f t="shared" si="54"/>
        <v/>
      </c>
    </row>
    <row r="28">
      <c r="A28" s="7" t="str">
        <f>IFERROR(__xludf.DUMMYFUNCTION("""COMPUTED_VALUE"""),"AH7225")</f>
        <v>AH7225</v>
      </c>
      <c r="B28" s="218">
        <f>IFERROR(__xludf.DUMMYFUNCTION("""COMPUTED_VALUE"""),44697.0)</f>
        <v>44697</v>
      </c>
      <c r="C28" s="219">
        <f>IFERROR(__xludf.DUMMYFUNCTION("""COMPUTED_VALUE"""),0.15361111111111111)</f>
        <v>0.1536111111</v>
      </c>
      <c r="D28" s="220" t="str">
        <f>IFERROR(__xludf.DUMMYFUNCTION("""COMPUTED_VALUE"""),"SpNDHM842569")</f>
        <v>SpNDHM842569</v>
      </c>
      <c r="E28" s="220"/>
      <c r="F28" s="220"/>
      <c r="G28" s="220" t="str">
        <f>IFERROR(__xludf.DUMMYFUNCTION("""COMPUTED_VALUE"""),"Negative")</f>
        <v>Negative</v>
      </c>
      <c r="H28" s="226" t="str">
        <f>IFERROR(__xludf.DUMMYFUNCTION("""COMPUTED_VALUE"""),"Negative")</f>
        <v>Negative</v>
      </c>
      <c r="I28" s="218">
        <f>IFERROR(__xludf.DUMMYFUNCTION("""COMPUTED_VALUE"""),44697.0)</f>
        <v>44697</v>
      </c>
      <c r="J28" s="221">
        <f>IFERROR(__xludf.DUMMYFUNCTION("""COMPUTED_VALUE"""),0.361099537037037)</f>
        <v>0.361099537</v>
      </c>
      <c r="K28" s="54"/>
      <c r="L28" s="7"/>
      <c r="M28" s="58"/>
      <c r="N28" s="58">
        <f>IFERROR(__xludf.DUMMYFUNCTION("""COMPUTED_VALUE"""),2.0)</f>
        <v>2</v>
      </c>
      <c r="O28" s="58" t="b">
        <f t="shared" si="3"/>
        <v>1</v>
      </c>
      <c r="P28" s="222">
        <f>IFERROR(__xludf.DUMMYFUNCTION("""COMPUTED_VALUE"""),0.0)</f>
        <v>0</v>
      </c>
      <c r="Q28" s="81" t="b">
        <f>VLOOKUP(B28,'Run Reconcile'!B$2:O89,14,FALSE)</f>
        <v>1</v>
      </c>
      <c r="R28" s="223" t="str">
        <f t="array" ref="R28">IF(Q28, INDEX('Run Reconcile'!A$2:A89,MATCH(B28,'Run Reconcile'!B$2:B89,0),1),IFERROR(0/0,""))</f>
        <v>RUN-NDHM_2022-05-16_RFR-010</v>
      </c>
      <c r="S28" s="224" t="str">
        <f t="shared" ref="S28:T28" si="55">IF(ISBLANK(W28),IFERROR(0/0,""),TRUE)</f>
        <v/>
      </c>
      <c r="T28" s="224" t="str">
        <f t="shared" si="55"/>
        <v/>
      </c>
      <c r="U28" s="162" t="str">
        <f t="array" ref="U28">IF(ISBLANK(R28), IF(S28,INDEX('Run Reconcile'!A$2:A89,1+MATCH(B28,'Run Reconcile'!B$2:B89,0),1),IF(T28,INDEX('Run Reconcile'!A$2:A89,1+MATCH(B28,'Run Reconcile'!B$2:B89,0),1),INDEX('Run Reconcile'!A$2:A89,MATCH(B28,'Run Reconcile'!B$2:B89,0),1))),IFERROR(0/0,""))</f>
        <v/>
      </c>
      <c r="V28" s="225" t="str">
        <f t="shared" si="5"/>
        <v>RUN-NDHM_2022-05-16_RFR-010</v>
      </c>
      <c r="W28" s="75"/>
      <c r="X28" s="75"/>
      <c r="Y28" s="162" t="str">
        <f t="shared" ref="Y28:Z28" si="56">IF(_xlfn.ISFORMULA(S28),IFERROR(0/0,""),TRUE)</f>
        <v/>
      </c>
      <c r="Z28" s="162" t="str">
        <f t="shared" si="56"/>
        <v/>
      </c>
    </row>
    <row r="29">
      <c r="A29" s="7" t="str">
        <f>IFERROR(__xludf.DUMMYFUNCTION("""COMPUTED_VALUE"""),"AG1637")</f>
        <v>AG1637</v>
      </c>
      <c r="B29" s="218">
        <f>IFERROR(__xludf.DUMMYFUNCTION("""COMPUTED_VALUE"""),44697.0)</f>
        <v>44697</v>
      </c>
      <c r="C29" s="219">
        <f>IFERROR(__xludf.DUMMYFUNCTION("""COMPUTED_VALUE"""),0.17675925925925925)</f>
        <v>0.1767592593</v>
      </c>
      <c r="D29" s="220" t="str">
        <f>IFERROR(__xludf.DUMMYFUNCTION("""COMPUTED_VALUE"""),"SpNDHM955894")</f>
        <v>SpNDHM955894</v>
      </c>
      <c r="E29" s="220"/>
      <c r="F29" s="220"/>
      <c r="G29" s="220" t="str">
        <f>IFERROR(__xludf.DUMMYFUNCTION("""COMPUTED_VALUE"""),"Negative")</f>
        <v>Negative</v>
      </c>
      <c r="H29" s="226" t="str">
        <f>IFERROR(__xludf.DUMMYFUNCTION("""COMPUTED_VALUE"""),"Negative")</f>
        <v>Negative</v>
      </c>
      <c r="I29" s="218">
        <f>IFERROR(__xludf.DUMMYFUNCTION("""COMPUTED_VALUE"""),44697.0)</f>
        <v>44697</v>
      </c>
      <c r="J29" s="221">
        <f>IFERROR(__xludf.DUMMYFUNCTION("""COMPUTED_VALUE"""),0.361099537037037)</f>
        <v>0.361099537</v>
      </c>
      <c r="K29" s="54"/>
      <c r="L29" s="7"/>
      <c r="M29" s="58"/>
      <c r="N29" s="58">
        <f>IFERROR(__xludf.DUMMYFUNCTION("""COMPUTED_VALUE"""),4.0)</f>
        <v>4</v>
      </c>
      <c r="O29" s="58" t="str">
        <f t="shared" si="3"/>
        <v/>
      </c>
      <c r="P29" s="222">
        <f>IFERROR(__xludf.DUMMYFUNCTION("""COMPUTED_VALUE"""),0.0)</f>
        <v>0</v>
      </c>
      <c r="Q29" s="81" t="b">
        <f>VLOOKUP(B29,'Run Reconcile'!B$2:O89,14,FALSE)</f>
        <v>1</v>
      </c>
      <c r="R29" s="223" t="str">
        <f t="array" ref="R29">IF(Q29, INDEX('Run Reconcile'!A$2:A89,MATCH(B29,'Run Reconcile'!B$2:B89,0),1),IFERROR(0/0,""))</f>
        <v>RUN-NDHM_2022-05-16_RFR-010</v>
      </c>
      <c r="S29" s="224" t="str">
        <f t="shared" ref="S29:T29" si="57">IF(ISBLANK(W29),IFERROR(0/0,""),TRUE)</f>
        <v/>
      </c>
      <c r="T29" s="224" t="str">
        <f t="shared" si="57"/>
        <v/>
      </c>
      <c r="U29" s="162" t="str">
        <f t="array" ref="U29">IF(ISBLANK(R29), IF(S29,INDEX('Run Reconcile'!A$2:A89,1+MATCH(B29,'Run Reconcile'!B$2:B89,0),1),IF(T29,INDEX('Run Reconcile'!A$2:A89,1+MATCH(B29,'Run Reconcile'!B$2:B89,0),1),INDEX('Run Reconcile'!A$2:A89,MATCH(B29,'Run Reconcile'!B$2:B89,0),1))),IFERROR(0/0,""))</f>
        <v/>
      </c>
      <c r="V29" s="225" t="str">
        <f t="shared" si="5"/>
        <v>RUN-NDHM_2022-05-16_RFR-010</v>
      </c>
      <c r="W29" s="75"/>
      <c r="X29" s="75"/>
      <c r="Y29" s="162" t="str">
        <f t="shared" ref="Y29:Z29" si="58">IF(_xlfn.ISFORMULA(S29),IFERROR(0/0,""),TRUE)</f>
        <v/>
      </c>
      <c r="Z29" s="162" t="str">
        <f t="shared" si="58"/>
        <v/>
      </c>
    </row>
    <row r="30">
      <c r="A30" s="7" t="str">
        <f>IFERROR(__xludf.DUMMYFUNCTION("""COMPUTED_VALUE"""),"AG1103")</f>
        <v>AG1103</v>
      </c>
      <c r="B30" s="218">
        <f>IFERROR(__xludf.DUMMYFUNCTION("""COMPUTED_VALUE"""),44697.0)</f>
        <v>44697</v>
      </c>
      <c r="C30" s="219">
        <f>IFERROR(__xludf.DUMMYFUNCTION("""COMPUTED_VALUE"""),0.19030092592592593)</f>
        <v>0.1903009259</v>
      </c>
      <c r="D30" s="220" t="str">
        <f>IFERROR(__xludf.DUMMYFUNCTION("""COMPUTED_VALUE"""),"SpNDHM189649")</f>
        <v>SpNDHM189649</v>
      </c>
      <c r="E30" s="220"/>
      <c r="F30" s="220"/>
      <c r="G30" s="220" t="str">
        <f>IFERROR(__xludf.DUMMYFUNCTION("""COMPUTED_VALUE"""),"Negative")</f>
        <v>Negative</v>
      </c>
      <c r="H30" s="226" t="str">
        <f>IFERROR(__xludf.DUMMYFUNCTION("""COMPUTED_VALUE"""),"Negative")</f>
        <v>Negative</v>
      </c>
      <c r="I30" s="218">
        <f>IFERROR(__xludf.DUMMYFUNCTION("""COMPUTED_VALUE"""),44697.0)</f>
        <v>44697</v>
      </c>
      <c r="J30" s="221">
        <f>IFERROR(__xludf.DUMMYFUNCTION("""COMPUTED_VALUE"""),0.361099537037037)</f>
        <v>0.361099537</v>
      </c>
      <c r="K30" s="54"/>
      <c r="L30" s="7"/>
      <c r="M30" s="58"/>
      <c r="N30" s="58">
        <f>IFERROR(__xludf.DUMMYFUNCTION("""COMPUTED_VALUE"""),4.0)</f>
        <v>4</v>
      </c>
      <c r="O30" s="58" t="str">
        <f t="shared" si="3"/>
        <v/>
      </c>
      <c r="P30" s="222">
        <f>IFERROR(__xludf.DUMMYFUNCTION("""COMPUTED_VALUE"""),0.0)</f>
        <v>0</v>
      </c>
      <c r="Q30" s="81" t="b">
        <f>VLOOKUP(B30,'Run Reconcile'!B$2:O89,14,FALSE)</f>
        <v>1</v>
      </c>
      <c r="R30" s="223" t="str">
        <f t="array" ref="R30">IF(Q30, INDEX('Run Reconcile'!A$2:A89,MATCH(B30,'Run Reconcile'!B$2:B89,0),1),IFERROR(0/0,""))</f>
        <v>RUN-NDHM_2022-05-16_RFR-010</v>
      </c>
      <c r="S30" s="224" t="str">
        <f t="shared" ref="S30:T30" si="59">IF(ISBLANK(W30),IFERROR(0/0,""),TRUE)</f>
        <v/>
      </c>
      <c r="T30" s="224" t="str">
        <f t="shared" si="59"/>
        <v/>
      </c>
      <c r="U30" s="162" t="str">
        <f t="array" ref="U30">IF(ISBLANK(R30), IF(S30,INDEX('Run Reconcile'!A$2:A89,1+MATCH(B30,'Run Reconcile'!B$2:B89,0),1),IF(T30,INDEX('Run Reconcile'!A$2:A89,1+MATCH(B30,'Run Reconcile'!B$2:B89,0),1),INDEX('Run Reconcile'!A$2:A89,MATCH(B30,'Run Reconcile'!B$2:B89,0),1))),IFERROR(0/0,""))</f>
        <v/>
      </c>
      <c r="V30" s="225" t="str">
        <f t="shared" si="5"/>
        <v>RUN-NDHM_2022-05-16_RFR-010</v>
      </c>
      <c r="W30" s="75"/>
      <c r="X30" s="75"/>
      <c r="Y30" s="162" t="str">
        <f t="shared" ref="Y30:Z30" si="60">IF(_xlfn.ISFORMULA(S30),IFERROR(0/0,""),TRUE)</f>
        <v/>
      </c>
      <c r="Z30" s="162" t="str">
        <f t="shared" si="60"/>
        <v/>
      </c>
    </row>
    <row r="31">
      <c r="A31" s="7" t="str">
        <f>IFERROR(__xludf.DUMMYFUNCTION("""COMPUTED_VALUE"""),"AJ7985")</f>
        <v>AJ7985</v>
      </c>
      <c r="B31" s="218">
        <f>IFERROR(__xludf.DUMMYFUNCTION("""COMPUTED_VALUE"""),44697.0)</f>
        <v>44697</v>
      </c>
      <c r="C31" s="219">
        <f>IFERROR(__xludf.DUMMYFUNCTION("""COMPUTED_VALUE"""),0.2023611111111111)</f>
        <v>0.2023611111</v>
      </c>
      <c r="D31" s="220" t="str">
        <f>IFERROR(__xludf.DUMMYFUNCTION("""COMPUTED_VALUE"""),"SpNDHM966349")</f>
        <v>SpNDHM966349</v>
      </c>
      <c r="E31" s="220"/>
      <c r="F31" s="220"/>
      <c r="G31" s="220" t="str">
        <f>IFERROR(__xludf.DUMMYFUNCTION("""COMPUTED_VALUE"""),"Negative")</f>
        <v>Negative</v>
      </c>
      <c r="H31" s="226" t="str">
        <f>IFERROR(__xludf.DUMMYFUNCTION("""COMPUTED_VALUE"""),"Negative")</f>
        <v>Negative</v>
      </c>
      <c r="I31" s="218">
        <f>IFERROR(__xludf.DUMMYFUNCTION("""COMPUTED_VALUE"""),44697.0)</f>
        <v>44697</v>
      </c>
      <c r="J31" s="221">
        <f>IFERROR(__xludf.DUMMYFUNCTION("""COMPUTED_VALUE"""),0.3611111111111111)</f>
        <v>0.3611111111</v>
      </c>
      <c r="K31" s="54"/>
      <c r="L31" s="7"/>
      <c r="M31" s="58"/>
      <c r="N31" s="58">
        <f>IFERROR(__xludf.DUMMYFUNCTION("""COMPUTED_VALUE"""),3.0)</f>
        <v>3</v>
      </c>
      <c r="O31" s="58" t="str">
        <f t="shared" si="3"/>
        <v/>
      </c>
      <c r="P31" s="222">
        <f>IFERROR(__xludf.DUMMYFUNCTION("""COMPUTED_VALUE"""),0.0)</f>
        <v>0</v>
      </c>
      <c r="Q31" s="81" t="b">
        <f>VLOOKUP(B31,'Run Reconcile'!B$2:O89,14,FALSE)</f>
        <v>1</v>
      </c>
      <c r="R31" s="223" t="str">
        <f t="array" ref="R31">IF(Q31, INDEX('Run Reconcile'!A$2:A89,MATCH(B31,'Run Reconcile'!B$2:B89,0),1),IFERROR(0/0,""))</f>
        <v>RUN-NDHM_2022-05-16_RFR-010</v>
      </c>
      <c r="S31" s="224" t="str">
        <f t="shared" ref="S31:T31" si="61">IF(ISBLANK(W31),IFERROR(0/0,""),TRUE)</f>
        <v/>
      </c>
      <c r="T31" s="224" t="str">
        <f t="shared" si="61"/>
        <v/>
      </c>
      <c r="U31" s="162" t="str">
        <f t="array" ref="U31">IF(ISBLANK(R31), IF(S31,INDEX('Run Reconcile'!A$2:A89,1+MATCH(B31,'Run Reconcile'!B$2:B89,0),1),IF(T31,INDEX('Run Reconcile'!A$2:A89,1+MATCH(B31,'Run Reconcile'!B$2:B89,0),1),INDEX('Run Reconcile'!A$2:A89,MATCH(B31,'Run Reconcile'!B$2:B89,0),1))),IFERROR(0/0,""))</f>
        <v/>
      </c>
      <c r="V31" s="225" t="str">
        <f t="shared" si="5"/>
        <v>RUN-NDHM_2022-05-16_RFR-010</v>
      </c>
      <c r="W31" s="75"/>
      <c r="X31" s="75"/>
      <c r="Y31" s="162" t="str">
        <f t="shared" ref="Y31:Z31" si="62">IF(_xlfn.ISFORMULA(S31),IFERROR(0/0,""),TRUE)</f>
        <v/>
      </c>
      <c r="Z31" s="162" t="str">
        <f t="shared" si="62"/>
        <v/>
      </c>
    </row>
    <row r="32">
      <c r="A32" s="7" t="str">
        <f>IFERROR(__xludf.DUMMYFUNCTION("""COMPUTED_VALUE"""),"AH9668")</f>
        <v>AH9668</v>
      </c>
      <c r="B32" s="218">
        <f>IFERROR(__xludf.DUMMYFUNCTION("""COMPUTED_VALUE"""),44697.0)</f>
        <v>44697</v>
      </c>
      <c r="C32" s="219">
        <f>IFERROR(__xludf.DUMMYFUNCTION("""COMPUTED_VALUE"""),0.20684027777777778)</f>
        <v>0.2068402778</v>
      </c>
      <c r="D32" s="220" t="str">
        <f>IFERROR(__xludf.DUMMYFUNCTION("""COMPUTED_VALUE"""),"SpNDHM645491")</f>
        <v>SpNDHM645491</v>
      </c>
      <c r="E32" s="220"/>
      <c r="F32" s="220"/>
      <c r="G32" s="220" t="str">
        <f>IFERROR(__xludf.DUMMYFUNCTION("""COMPUTED_VALUE"""),"Negative")</f>
        <v>Negative</v>
      </c>
      <c r="H32" s="226" t="str">
        <f>IFERROR(__xludf.DUMMYFUNCTION("""COMPUTED_VALUE"""),"Negative")</f>
        <v>Negative</v>
      </c>
      <c r="I32" s="218">
        <f>IFERROR(__xludf.DUMMYFUNCTION("""COMPUTED_VALUE"""),44697.0)</f>
        <v>44697</v>
      </c>
      <c r="J32" s="221">
        <f>IFERROR(__xludf.DUMMYFUNCTION("""COMPUTED_VALUE"""),0.3611111111111111)</f>
        <v>0.3611111111</v>
      </c>
      <c r="K32" s="54"/>
      <c r="L32" s="7"/>
      <c r="M32" s="58"/>
      <c r="N32" s="58">
        <f>IFERROR(__xludf.DUMMYFUNCTION("""COMPUTED_VALUE"""),2.0)</f>
        <v>2</v>
      </c>
      <c r="O32" s="58" t="str">
        <f t="shared" si="3"/>
        <v/>
      </c>
      <c r="P32" s="222">
        <f>IFERROR(__xludf.DUMMYFUNCTION("""COMPUTED_VALUE"""),0.0)</f>
        <v>0</v>
      </c>
      <c r="Q32" s="81" t="b">
        <f>VLOOKUP(B32,'Run Reconcile'!B$2:O89,14,FALSE)</f>
        <v>1</v>
      </c>
      <c r="R32" s="223" t="str">
        <f t="array" ref="R32">IF(Q32, INDEX('Run Reconcile'!A$2:A89,MATCH(B32,'Run Reconcile'!B$2:B89,0),1),IFERROR(0/0,""))</f>
        <v>RUN-NDHM_2022-05-16_RFR-010</v>
      </c>
      <c r="S32" s="224" t="str">
        <f t="shared" ref="S32:T32" si="63">IF(ISBLANK(W32),IFERROR(0/0,""),TRUE)</f>
        <v/>
      </c>
      <c r="T32" s="224" t="str">
        <f t="shared" si="63"/>
        <v/>
      </c>
      <c r="U32" s="162" t="str">
        <f t="array" ref="U32">IF(ISBLANK(R32), IF(S32,INDEX('Run Reconcile'!A$2:A89,1+MATCH(B32,'Run Reconcile'!B$2:B89,0),1),IF(T32,INDEX('Run Reconcile'!A$2:A89,1+MATCH(B32,'Run Reconcile'!B$2:B89,0),1),INDEX('Run Reconcile'!A$2:A89,MATCH(B32,'Run Reconcile'!B$2:B89,0),1))),IFERROR(0/0,""))</f>
        <v/>
      </c>
      <c r="V32" s="225" t="str">
        <f t="shared" si="5"/>
        <v>RUN-NDHM_2022-05-16_RFR-010</v>
      </c>
      <c r="W32" s="75"/>
      <c r="X32" s="75"/>
      <c r="Y32" s="162" t="str">
        <f t="shared" ref="Y32:Z32" si="64">IF(_xlfn.ISFORMULA(S32),IFERROR(0/0,""),TRUE)</f>
        <v/>
      </c>
      <c r="Z32" s="162" t="str">
        <f t="shared" si="64"/>
        <v/>
      </c>
    </row>
    <row r="33">
      <c r="A33" s="7" t="str">
        <f>IFERROR(__xludf.DUMMYFUNCTION("""COMPUTED_VALUE"""),"AJ8977")</f>
        <v>AJ8977</v>
      </c>
      <c r="B33" s="218">
        <f>IFERROR(__xludf.DUMMYFUNCTION("""COMPUTED_VALUE"""),44697.0)</f>
        <v>44697</v>
      </c>
      <c r="C33" s="219">
        <f>IFERROR(__xludf.DUMMYFUNCTION("""COMPUTED_VALUE"""),0.20903935185185185)</f>
        <v>0.2090393519</v>
      </c>
      <c r="D33" s="220" t="str">
        <f>IFERROR(__xludf.DUMMYFUNCTION("""COMPUTED_VALUE"""),"SpNDHM284552")</f>
        <v>SpNDHM284552</v>
      </c>
      <c r="E33" s="220"/>
      <c r="F33" s="220"/>
      <c r="G33" s="220" t="str">
        <f>IFERROR(__xludf.DUMMYFUNCTION("""COMPUTED_VALUE"""),"Negative")</f>
        <v>Negative</v>
      </c>
      <c r="H33" s="226" t="str">
        <f>IFERROR(__xludf.DUMMYFUNCTION("""COMPUTED_VALUE"""),"Negative")</f>
        <v>Negative</v>
      </c>
      <c r="I33" s="218">
        <f>IFERROR(__xludf.DUMMYFUNCTION("""COMPUTED_VALUE"""),44697.0)</f>
        <v>44697</v>
      </c>
      <c r="J33" s="221">
        <f>IFERROR(__xludf.DUMMYFUNCTION("""COMPUTED_VALUE"""),0.3611111111111111)</f>
        <v>0.3611111111</v>
      </c>
      <c r="K33" s="54"/>
      <c r="L33" s="7"/>
      <c r="M33" s="58"/>
      <c r="N33" s="58">
        <f>IFERROR(__xludf.DUMMYFUNCTION("""COMPUTED_VALUE"""),4.0)</f>
        <v>4</v>
      </c>
      <c r="O33" s="58" t="str">
        <f t="shared" si="3"/>
        <v/>
      </c>
      <c r="P33" s="222">
        <f>IFERROR(__xludf.DUMMYFUNCTION("""COMPUTED_VALUE"""),0.0)</f>
        <v>0</v>
      </c>
      <c r="Q33" s="81" t="b">
        <f>VLOOKUP(B33,'Run Reconcile'!B$2:O89,14,FALSE)</f>
        <v>1</v>
      </c>
      <c r="R33" s="223" t="str">
        <f t="array" ref="R33">IF(Q33, INDEX('Run Reconcile'!A$2:A89,MATCH(B33,'Run Reconcile'!B$2:B89,0),1),IFERROR(0/0,""))</f>
        <v>RUN-NDHM_2022-05-16_RFR-010</v>
      </c>
      <c r="S33" s="224" t="str">
        <f t="shared" ref="S33:T33" si="65">IF(ISBLANK(W33),IFERROR(0/0,""),TRUE)</f>
        <v/>
      </c>
      <c r="T33" s="224" t="str">
        <f t="shared" si="65"/>
        <v/>
      </c>
      <c r="U33" s="162" t="str">
        <f t="array" ref="U33">IF(ISBLANK(R33), IF(S33,INDEX('Run Reconcile'!A$2:A89,1+MATCH(B33,'Run Reconcile'!B$2:B89,0),1),IF(T33,INDEX('Run Reconcile'!A$2:A89,1+MATCH(B33,'Run Reconcile'!B$2:B89,0),1),INDEX('Run Reconcile'!A$2:A89,MATCH(B33,'Run Reconcile'!B$2:B89,0),1))),IFERROR(0/0,""))</f>
        <v/>
      </c>
      <c r="V33" s="225" t="str">
        <f t="shared" si="5"/>
        <v>RUN-NDHM_2022-05-16_RFR-010</v>
      </c>
      <c r="W33" s="75"/>
      <c r="X33" s="75"/>
      <c r="Y33" s="162" t="str">
        <f t="shared" ref="Y33:Z33" si="66">IF(_xlfn.ISFORMULA(S33),IFERROR(0/0,""),TRUE)</f>
        <v/>
      </c>
      <c r="Z33" s="162" t="str">
        <f t="shared" si="66"/>
        <v/>
      </c>
    </row>
    <row r="34">
      <c r="A34" s="7" t="str">
        <f>IFERROR(__xludf.DUMMYFUNCTION("""COMPUTED_VALUE"""),"AG570")</f>
        <v>AG570</v>
      </c>
      <c r="B34" s="218">
        <f>IFERROR(__xludf.DUMMYFUNCTION("""COMPUTED_VALUE"""),44697.0)</f>
        <v>44697</v>
      </c>
      <c r="C34" s="219">
        <f>IFERROR(__xludf.DUMMYFUNCTION("""COMPUTED_VALUE"""),0.26893518518518517)</f>
        <v>0.2689351852</v>
      </c>
      <c r="D34" s="220" t="str">
        <f>IFERROR(__xludf.DUMMYFUNCTION("""COMPUTED_VALUE"""),"SpNDHM672043")</f>
        <v>SpNDHM672043</v>
      </c>
      <c r="E34" s="220"/>
      <c r="F34" s="220"/>
      <c r="G34" s="220" t="str">
        <f>IFERROR(__xludf.DUMMYFUNCTION("""COMPUTED_VALUE"""),"Negative")</f>
        <v>Negative</v>
      </c>
      <c r="H34" s="226" t="str">
        <f>IFERROR(__xludf.DUMMYFUNCTION("""COMPUTED_VALUE"""),"Negative")</f>
        <v>Negative</v>
      </c>
      <c r="I34" s="218">
        <f>IFERROR(__xludf.DUMMYFUNCTION("""COMPUTED_VALUE"""),44697.0)</f>
        <v>44697</v>
      </c>
      <c r="J34" s="221">
        <f>IFERROR(__xludf.DUMMYFUNCTION("""COMPUTED_VALUE"""),0.3611111111111111)</f>
        <v>0.3611111111</v>
      </c>
      <c r="K34" s="54"/>
      <c r="L34" s="7"/>
      <c r="M34" s="58"/>
      <c r="N34" s="58">
        <f>IFERROR(__xludf.DUMMYFUNCTION("""COMPUTED_VALUE"""),1.0)</f>
        <v>1</v>
      </c>
      <c r="O34" s="58" t="str">
        <f t="shared" si="3"/>
        <v/>
      </c>
      <c r="P34" s="222">
        <f>IFERROR(__xludf.DUMMYFUNCTION("""COMPUTED_VALUE"""),0.0)</f>
        <v>0</v>
      </c>
      <c r="Q34" s="81" t="b">
        <f>VLOOKUP(B34,'Run Reconcile'!B$2:O89,14,FALSE)</f>
        <v>1</v>
      </c>
      <c r="R34" s="223" t="str">
        <f t="array" ref="R34">IF(Q34, INDEX('Run Reconcile'!A$2:A89,MATCH(B34,'Run Reconcile'!B$2:B89,0),1),IFERROR(0/0,""))</f>
        <v>RUN-NDHM_2022-05-16_RFR-010</v>
      </c>
      <c r="S34" s="224" t="str">
        <f t="shared" ref="S34:T34" si="67">IF(ISBLANK(W34),IFERROR(0/0,""),TRUE)</f>
        <v/>
      </c>
      <c r="T34" s="224" t="str">
        <f t="shared" si="67"/>
        <v/>
      </c>
      <c r="U34" s="162" t="str">
        <f t="array" ref="U34">IF(ISBLANK(R34), IF(S34,INDEX('Run Reconcile'!A$2:A89,1+MATCH(B34,'Run Reconcile'!B$2:B89,0),1),IF(T34,INDEX('Run Reconcile'!A$2:A89,1+MATCH(B34,'Run Reconcile'!B$2:B89,0),1),INDEX('Run Reconcile'!A$2:A89,MATCH(B34,'Run Reconcile'!B$2:B89,0),1))),IFERROR(0/0,""))</f>
        <v/>
      </c>
      <c r="V34" s="225" t="str">
        <f t="shared" si="5"/>
        <v>RUN-NDHM_2022-05-16_RFR-010</v>
      </c>
      <c r="W34" s="75"/>
      <c r="X34" s="75"/>
      <c r="Y34" s="162" t="str">
        <f t="shared" ref="Y34:Z34" si="68">IF(_xlfn.ISFORMULA(S34),IFERROR(0/0,""),TRUE)</f>
        <v/>
      </c>
      <c r="Z34" s="162" t="str">
        <f t="shared" si="68"/>
        <v/>
      </c>
    </row>
    <row r="35">
      <c r="A35" s="7" t="str">
        <f>IFERROR(__xludf.DUMMYFUNCTION("""COMPUTED_VALUE"""),"AH63")</f>
        <v>AH63</v>
      </c>
      <c r="B35" s="218">
        <f>IFERROR(__xludf.DUMMYFUNCTION("""COMPUTED_VALUE"""),44697.0)</f>
        <v>44697</v>
      </c>
      <c r="C35" s="219">
        <f>IFERROR(__xludf.DUMMYFUNCTION("""COMPUTED_VALUE"""),0.31871527777777775)</f>
        <v>0.3187152778</v>
      </c>
      <c r="D35" s="220" t="str">
        <f>IFERROR(__xludf.DUMMYFUNCTION("""COMPUTED_VALUE"""),"SpNDHM122532")</f>
        <v>SpNDHM122532</v>
      </c>
      <c r="E35" s="220"/>
      <c r="F35" s="220"/>
      <c r="G35" s="220" t="str">
        <f>IFERROR(__xludf.DUMMYFUNCTION("""COMPUTED_VALUE"""),"Negative")</f>
        <v>Negative</v>
      </c>
      <c r="H35" s="226" t="str">
        <f>IFERROR(__xludf.DUMMYFUNCTION("""COMPUTED_VALUE"""),"Negative")</f>
        <v>Negative</v>
      </c>
      <c r="I35" s="218">
        <f>IFERROR(__xludf.DUMMYFUNCTION("""COMPUTED_VALUE"""),44697.0)</f>
        <v>44697</v>
      </c>
      <c r="J35" s="221">
        <f>IFERROR(__xludf.DUMMYFUNCTION("""COMPUTED_VALUE"""),0.3611111111111111)</f>
        <v>0.3611111111</v>
      </c>
      <c r="K35" s="54"/>
      <c r="L35" s="7"/>
      <c r="M35" s="58"/>
      <c r="N35" s="58">
        <f>IFERROR(__xludf.DUMMYFUNCTION("""COMPUTED_VALUE"""),1.0)</f>
        <v>1</v>
      </c>
      <c r="O35" s="58" t="str">
        <f t="shared" si="3"/>
        <v/>
      </c>
      <c r="P35" s="222">
        <f>IFERROR(__xludf.DUMMYFUNCTION("""COMPUTED_VALUE"""),0.0)</f>
        <v>0</v>
      </c>
      <c r="Q35" s="81" t="b">
        <f>VLOOKUP(B35,'Run Reconcile'!B$2:O89,14,FALSE)</f>
        <v>1</v>
      </c>
      <c r="R35" s="223" t="str">
        <f t="array" ref="R35">IF(Q35, INDEX('Run Reconcile'!A$2:A89,MATCH(B35,'Run Reconcile'!B$2:B89,0),1),IFERROR(0/0,""))</f>
        <v>RUN-NDHM_2022-05-16_RFR-010</v>
      </c>
      <c r="S35" s="224" t="str">
        <f t="shared" ref="S35:T35" si="69">IF(ISBLANK(W35),IFERROR(0/0,""),TRUE)</f>
        <v/>
      </c>
      <c r="T35" s="224" t="str">
        <f t="shared" si="69"/>
        <v/>
      </c>
      <c r="U35" s="162" t="str">
        <f t="array" ref="U35">IF(ISBLANK(R35), IF(S35,INDEX('Run Reconcile'!A$2:A89,1+MATCH(B35,'Run Reconcile'!B$2:B89,0),1),IF(T35,INDEX('Run Reconcile'!A$2:A89,1+MATCH(B35,'Run Reconcile'!B$2:B89,0),1),INDEX('Run Reconcile'!A$2:A89,MATCH(B35,'Run Reconcile'!B$2:B89,0),1))),IFERROR(0/0,""))</f>
        <v/>
      </c>
      <c r="V35" s="225" t="str">
        <f t="shared" si="5"/>
        <v>RUN-NDHM_2022-05-16_RFR-010</v>
      </c>
      <c r="W35" s="75"/>
      <c r="X35" s="75"/>
      <c r="Y35" s="162" t="str">
        <f t="shared" ref="Y35:Z35" si="70">IF(_xlfn.ISFORMULA(S35),IFERROR(0/0,""),TRUE)</f>
        <v/>
      </c>
      <c r="Z35" s="162" t="str">
        <f t="shared" si="70"/>
        <v/>
      </c>
    </row>
    <row r="36">
      <c r="A36" s="7" t="str">
        <f>IFERROR(__xludf.DUMMYFUNCTION("""COMPUTED_VALUE"""),"AG2159")</f>
        <v>AG2159</v>
      </c>
      <c r="B36" s="218">
        <f>IFERROR(__xludf.DUMMYFUNCTION("""COMPUTED_VALUE"""),44697.0)</f>
        <v>44697</v>
      </c>
      <c r="C36" s="219">
        <f>IFERROR(__xludf.DUMMYFUNCTION("""COMPUTED_VALUE"""),0.3221527777777778)</f>
        <v>0.3221527778</v>
      </c>
      <c r="D36" s="220" t="str">
        <f>IFERROR(__xludf.DUMMYFUNCTION("""COMPUTED_VALUE"""),"SpNDHM957722")</f>
        <v>SpNDHM957722</v>
      </c>
      <c r="E36" s="220"/>
      <c r="F36" s="220"/>
      <c r="G36" s="220" t="str">
        <f>IFERROR(__xludf.DUMMYFUNCTION("""COMPUTED_VALUE"""),"Negative")</f>
        <v>Negative</v>
      </c>
      <c r="H36" s="226" t="str">
        <f>IFERROR(__xludf.DUMMYFUNCTION("""COMPUTED_VALUE"""),"Negative")</f>
        <v>Negative</v>
      </c>
      <c r="I36" s="218">
        <f>IFERROR(__xludf.DUMMYFUNCTION("""COMPUTED_VALUE"""),44697.0)</f>
        <v>44697</v>
      </c>
      <c r="J36" s="221">
        <f>IFERROR(__xludf.DUMMYFUNCTION("""COMPUTED_VALUE"""),0.3611226851851852)</f>
        <v>0.3611226852</v>
      </c>
      <c r="K36" s="54"/>
      <c r="L36" s="7"/>
      <c r="M36" s="58"/>
      <c r="N36" s="58">
        <f>IFERROR(__xludf.DUMMYFUNCTION("""COMPUTED_VALUE"""),3.0)</f>
        <v>3</v>
      </c>
      <c r="O36" s="58" t="str">
        <f t="shared" si="3"/>
        <v/>
      </c>
      <c r="P36" s="222">
        <f>IFERROR(__xludf.DUMMYFUNCTION("""COMPUTED_VALUE"""),0.0)</f>
        <v>0</v>
      </c>
      <c r="Q36" s="81" t="b">
        <f>VLOOKUP(B36,'Run Reconcile'!B$2:O89,14,FALSE)</f>
        <v>1</v>
      </c>
      <c r="R36" s="223" t="str">
        <f t="array" ref="R36">IF(Q36, INDEX('Run Reconcile'!A$2:A89,MATCH(B36,'Run Reconcile'!B$2:B89,0),1),IFERROR(0/0,""))</f>
        <v>RUN-NDHM_2022-05-16_RFR-010</v>
      </c>
      <c r="S36" s="224" t="str">
        <f t="shared" ref="S36:T36" si="71">IF(ISBLANK(W36),IFERROR(0/0,""),TRUE)</f>
        <v/>
      </c>
      <c r="T36" s="224" t="str">
        <f t="shared" si="71"/>
        <v/>
      </c>
      <c r="U36" s="162" t="str">
        <f t="array" ref="U36">IF(ISBLANK(R36), IF(S36,INDEX('Run Reconcile'!A$2:A89,1+MATCH(B36,'Run Reconcile'!B$2:B89,0),1),IF(T36,INDEX('Run Reconcile'!A$2:A89,1+MATCH(B36,'Run Reconcile'!B$2:B89,0),1),INDEX('Run Reconcile'!A$2:A89,MATCH(B36,'Run Reconcile'!B$2:B89,0),1))),IFERROR(0/0,""))</f>
        <v/>
      </c>
      <c r="V36" s="225" t="str">
        <f t="shared" si="5"/>
        <v>RUN-NDHM_2022-05-16_RFR-010</v>
      </c>
      <c r="W36" s="75"/>
      <c r="X36" s="75"/>
      <c r="Y36" s="162" t="str">
        <f t="shared" ref="Y36:Z36" si="72">IF(_xlfn.ISFORMULA(S36),IFERROR(0/0,""),TRUE)</f>
        <v/>
      </c>
      <c r="Z36" s="162" t="str">
        <f t="shared" si="72"/>
        <v/>
      </c>
    </row>
    <row r="37">
      <c r="A37" s="7" t="str">
        <f>IFERROR(__xludf.DUMMYFUNCTION("""COMPUTED_VALUE"""),"AJ5950")</f>
        <v>AJ5950</v>
      </c>
      <c r="B37" s="218">
        <f>IFERROR(__xludf.DUMMYFUNCTION("""COMPUTED_VALUE"""),44704.0)</f>
        <v>44704</v>
      </c>
      <c r="C37" s="219">
        <f>IFERROR(__xludf.DUMMYFUNCTION("""COMPUTED_VALUE"""),0.15653935185185186)</f>
        <v>0.1565393519</v>
      </c>
      <c r="D37" s="220" t="str">
        <f>IFERROR(__xludf.DUMMYFUNCTION("""COMPUTED_VALUE"""),"SpNDHM955894")</f>
        <v>SpNDHM955894</v>
      </c>
      <c r="E37" s="220"/>
      <c r="F37" s="220"/>
      <c r="G37" s="220" t="str">
        <f>IFERROR(__xludf.DUMMYFUNCTION("""COMPUTED_VALUE"""),"Negative")</f>
        <v>Negative</v>
      </c>
      <c r="H37" s="226" t="str">
        <f>IFERROR(__xludf.DUMMYFUNCTION("""COMPUTED_VALUE"""),"Negative")</f>
        <v>Negative</v>
      </c>
      <c r="I37" s="218">
        <f>IFERROR(__xludf.DUMMYFUNCTION("""COMPUTED_VALUE"""),44704.0)</f>
        <v>44704</v>
      </c>
      <c r="J37" s="221">
        <f>IFERROR(__xludf.DUMMYFUNCTION("""COMPUTED_VALUE"""),0.39489583333333333)</f>
        <v>0.3948958333</v>
      </c>
      <c r="K37" s="54"/>
      <c r="L37" s="7"/>
      <c r="M37" s="58"/>
      <c r="N37" s="58">
        <f>IFERROR(__xludf.DUMMYFUNCTION("""COMPUTED_VALUE"""),4.0)</f>
        <v>4</v>
      </c>
      <c r="O37" s="58" t="b">
        <f t="shared" si="3"/>
        <v>1</v>
      </c>
      <c r="P37" s="222">
        <f>IFERROR(__xludf.DUMMYFUNCTION("""COMPUTED_VALUE"""),0.0)</f>
        <v>0</v>
      </c>
      <c r="Q37" s="81" t="b">
        <f>VLOOKUP(B37,'Run Reconcile'!B$2:O89,14,FALSE)</f>
        <v>1</v>
      </c>
      <c r="R37" s="223" t="str">
        <f t="array" ref="R37">IF(Q37, INDEX('Run Reconcile'!A$2:A89,MATCH(B37,'Run Reconcile'!B$2:B89,0),1),IFERROR(0/0,""))</f>
        <v>RUN-NDHM_2022-05-23_RFR-011</v>
      </c>
      <c r="S37" s="224" t="str">
        <f t="shared" ref="S37:T37" si="73">IF(ISBLANK(W37),IFERROR(0/0,""),TRUE)</f>
        <v/>
      </c>
      <c r="T37" s="224" t="str">
        <f t="shared" si="73"/>
        <v/>
      </c>
      <c r="U37" s="162" t="str">
        <f t="array" ref="U37">IF(ISBLANK(R37), IF(S37,INDEX('Run Reconcile'!A$2:A89,1+MATCH(B37,'Run Reconcile'!B$2:B89,0),1),IF(T37,INDEX('Run Reconcile'!A$2:A89,1+MATCH(B37,'Run Reconcile'!B$2:B89,0),1),INDEX('Run Reconcile'!A$2:A89,MATCH(B37,'Run Reconcile'!B$2:B89,0),1))),IFERROR(0/0,""))</f>
        <v/>
      </c>
      <c r="V37" s="225" t="str">
        <f t="shared" si="5"/>
        <v>RUN-NDHM_2022-05-23_RFR-011</v>
      </c>
      <c r="W37" s="75"/>
      <c r="X37" s="75"/>
      <c r="Y37" s="162" t="str">
        <f t="shared" ref="Y37:Z37" si="74">IF(_xlfn.ISFORMULA(S37),IFERROR(0/0,""),TRUE)</f>
        <v/>
      </c>
      <c r="Z37" s="162" t="str">
        <f t="shared" si="74"/>
        <v/>
      </c>
    </row>
    <row r="38">
      <c r="A38" s="7" t="str">
        <f>IFERROR(__xludf.DUMMYFUNCTION("""COMPUTED_VALUE"""),"AH7211")</f>
        <v>AH7211</v>
      </c>
      <c r="B38" s="218">
        <f>IFERROR(__xludf.DUMMYFUNCTION("""COMPUTED_VALUE"""),44704.0)</f>
        <v>44704</v>
      </c>
      <c r="C38" s="219">
        <f>IFERROR(__xludf.DUMMYFUNCTION("""COMPUTED_VALUE"""),0.17846064814814816)</f>
        <v>0.1784606481</v>
      </c>
      <c r="D38" s="220" t="str">
        <f>IFERROR(__xludf.DUMMYFUNCTION("""COMPUTED_VALUE"""),"SpNDHM118014")</f>
        <v>SpNDHM118014</v>
      </c>
      <c r="E38" s="220"/>
      <c r="F38" s="220"/>
      <c r="G38" s="220" t="str">
        <f>IFERROR(__xludf.DUMMYFUNCTION("""COMPUTED_VALUE"""),"Negative")</f>
        <v>Negative</v>
      </c>
      <c r="H38" s="226" t="str">
        <f>IFERROR(__xludf.DUMMYFUNCTION("""COMPUTED_VALUE"""),"Negative")</f>
        <v>Negative</v>
      </c>
      <c r="I38" s="218">
        <f>IFERROR(__xludf.DUMMYFUNCTION("""COMPUTED_VALUE"""),44704.0)</f>
        <v>44704</v>
      </c>
      <c r="J38" s="221">
        <f>IFERROR(__xludf.DUMMYFUNCTION("""COMPUTED_VALUE"""),0.39490740740740743)</f>
        <v>0.3949074074</v>
      </c>
      <c r="K38" s="54"/>
      <c r="L38" s="7"/>
      <c r="M38" s="58"/>
      <c r="N38" s="58">
        <f>IFERROR(__xludf.DUMMYFUNCTION("""COMPUTED_VALUE"""),4.0)</f>
        <v>4</v>
      </c>
      <c r="O38" s="58" t="str">
        <f t="shared" si="3"/>
        <v/>
      </c>
      <c r="P38" s="222">
        <f>IFERROR(__xludf.DUMMYFUNCTION("""COMPUTED_VALUE"""),0.0)</f>
        <v>0</v>
      </c>
      <c r="Q38" s="81" t="b">
        <f>VLOOKUP(B38,'Run Reconcile'!B$2:O89,14,FALSE)</f>
        <v>1</v>
      </c>
      <c r="R38" s="223" t="str">
        <f t="array" ref="R38">IF(Q38, INDEX('Run Reconcile'!A$2:A89,MATCH(B38,'Run Reconcile'!B$2:B89,0),1),IFERROR(0/0,""))</f>
        <v>RUN-NDHM_2022-05-23_RFR-011</v>
      </c>
      <c r="S38" s="224" t="str">
        <f t="shared" ref="S38:T38" si="75">IF(ISBLANK(W38),IFERROR(0/0,""),TRUE)</f>
        <v/>
      </c>
      <c r="T38" s="224" t="str">
        <f t="shared" si="75"/>
        <v/>
      </c>
      <c r="U38" s="162" t="str">
        <f t="array" ref="U38">IF(ISBLANK(R38), IF(S38,INDEX('Run Reconcile'!A$2:A89,1+MATCH(B38,'Run Reconcile'!B$2:B89,0),1),IF(T38,INDEX('Run Reconcile'!A$2:A89,1+MATCH(B38,'Run Reconcile'!B$2:B89,0),1),INDEX('Run Reconcile'!A$2:A89,MATCH(B38,'Run Reconcile'!B$2:B89,0),1))),IFERROR(0/0,""))</f>
        <v/>
      </c>
      <c r="V38" s="225" t="str">
        <f t="shared" si="5"/>
        <v>RUN-NDHM_2022-05-23_RFR-011</v>
      </c>
      <c r="W38" s="75"/>
      <c r="X38" s="75"/>
      <c r="Y38" s="162" t="str">
        <f t="shared" ref="Y38:Z38" si="76">IF(_xlfn.ISFORMULA(S38),IFERROR(0/0,""),TRUE)</f>
        <v/>
      </c>
      <c r="Z38" s="162" t="str">
        <f t="shared" si="76"/>
        <v/>
      </c>
    </row>
    <row r="39">
      <c r="A39" s="7" t="str">
        <f>IFERROR(__xludf.DUMMYFUNCTION("""COMPUTED_VALUE"""),"AH330")</f>
        <v>AH330</v>
      </c>
      <c r="B39" s="218">
        <f>IFERROR(__xludf.DUMMYFUNCTION("""COMPUTED_VALUE"""),44704.0)</f>
        <v>44704</v>
      </c>
      <c r="C39" s="219">
        <f>IFERROR(__xludf.DUMMYFUNCTION("""COMPUTED_VALUE"""),0.1878240740740741)</f>
        <v>0.1878240741</v>
      </c>
      <c r="D39" s="220" t="str">
        <f>IFERROR(__xludf.DUMMYFUNCTION("""COMPUTED_VALUE"""),"SpNDHM189649")</f>
        <v>SpNDHM189649</v>
      </c>
      <c r="E39" s="220"/>
      <c r="F39" s="220"/>
      <c r="G39" s="220" t="str">
        <f>IFERROR(__xludf.DUMMYFUNCTION("""COMPUTED_VALUE"""),"Negative")</f>
        <v>Negative</v>
      </c>
      <c r="H39" s="226" t="str">
        <f>IFERROR(__xludf.DUMMYFUNCTION("""COMPUTED_VALUE"""),"Negative")</f>
        <v>Negative</v>
      </c>
      <c r="I39" s="218">
        <f>IFERROR(__xludf.DUMMYFUNCTION("""COMPUTED_VALUE"""),44704.0)</f>
        <v>44704</v>
      </c>
      <c r="J39" s="221">
        <f>IFERROR(__xludf.DUMMYFUNCTION("""COMPUTED_VALUE"""),0.39490740740740743)</f>
        <v>0.3949074074</v>
      </c>
      <c r="K39" s="54"/>
      <c r="L39" s="7"/>
      <c r="M39" s="58"/>
      <c r="N39" s="58">
        <f>IFERROR(__xludf.DUMMYFUNCTION("""COMPUTED_VALUE"""),4.0)</f>
        <v>4</v>
      </c>
      <c r="O39" s="58" t="str">
        <f t="shared" si="3"/>
        <v/>
      </c>
      <c r="P39" s="222">
        <f>IFERROR(__xludf.DUMMYFUNCTION("""COMPUTED_VALUE"""),0.0)</f>
        <v>0</v>
      </c>
      <c r="Q39" s="81" t="b">
        <f>VLOOKUP(B39,'Run Reconcile'!B$2:O89,14,FALSE)</f>
        <v>1</v>
      </c>
      <c r="R39" s="223" t="str">
        <f t="array" ref="R39">IF(Q39, INDEX('Run Reconcile'!A$2:A89,MATCH(B39,'Run Reconcile'!B$2:B89,0),1),IFERROR(0/0,""))</f>
        <v>RUN-NDHM_2022-05-23_RFR-011</v>
      </c>
      <c r="S39" s="224" t="str">
        <f t="shared" ref="S39:T39" si="77">IF(ISBLANK(W39),IFERROR(0/0,""),TRUE)</f>
        <v/>
      </c>
      <c r="T39" s="224" t="str">
        <f t="shared" si="77"/>
        <v/>
      </c>
      <c r="U39" s="162" t="str">
        <f t="array" ref="U39">IF(ISBLANK(R39), IF(S39,INDEX('Run Reconcile'!A$2:A89,1+MATCH(B39,'Run Reconcile'!B$2:B89,0),1),IF(T39,INDEX('Run Reconcile'!A$2:A89,1+MATCH(B39,'Run Reconcile'!B$2:B89,0),1),INDEX('Run Reconcile'!A$2:A89,MATCH(B39,'Run Reconcile'!B$2:B89,0),1))),IFERROR(0/0,""))</f>
        <v/>
      </c>
      <c r="V39" s="225" t="str">
        <f t="shared" si="5"/>
        <v>RUN-NDHM_2022-05-23_RFR-011</v>
      </c>
      <c r="W39" s="75"/>
      <c r="X39" s="75"/>
      <c r="Y39" s="162" t="str">
        <f t="shared" ref="Y39:Z39" si="78">IF(_xlfn.ISFORMULA(S39),IFERROR(0/0,""),TRUE)</f>
        <v/>
      </c>
      <c r="Z39" s="162" t="str">
        <f t="shared" si="78"/>
        <v/>
      </c>
    </row>
    <row r="40">
      <c r="A40" s="7" t="str">
        <f>IFERROR(__xludf.DUMMYFUNCTION("""COMPUTED_VALUE"""),"AG1640")</f>
        <v>AG1640</v>
      </c>
      <c r="B40" s="218">
        <f>IFERROR(__xludf.DUMMYFUNCTION("""COMPUTED_VALUE"""),44704.0)</f>
        <v>44704</v>
      </c>
      <c r="C40" s="219">
        <f>IFERROR(__xludf.DUMMYFUNCTION("""COMPUTED_VALUE"""),0.1905439814814815)</f>
        <v>0.1905439815</v>
      </c>
      <c r="D40" s="220" t="str">
        <f>IFERROR(__xludf.DUMMYFUNCTION("""COMPUTED_VALUE"""),"SpNDHM645491")</f>
        <v>SpNDHM645491</v>
      </c>
      <c r="E40" s="220"/>
      <c r="F40" s="220"/>
      <c r="G40" s="220" t="str">
        <f>IFERROR(__xludf.DUMMYFUNCTION("""COMPUTED_VALUE"""),"Negative")</f>
        <v>Negative</v>
      </c>
      <c r="H40" s="226" t="str">
        <f>IFERROR(__xludf.DUMMYFUNCTION("""COMPUTED_VALUE"""),"Negative")</f>
        <v>Negative</v>
      </c>
      <c r="I40" s="218">
        <f>IFERROR(__xludf.DUMMYFUNCTION("""COMPUTED_VALUE"""),44704.0)</f>
        <v>44704</v>
      </c>
      <c r="J40" s="221">
        <f>IFERROR(__xludf.DUMMYFUNCTION("""COMPUTED_VALUE"""),0.39490740740740743)</f>
        <v>0.3949074074</v>
      </c>
      <c r="K40" s="54"/>
      <c r="L40" s="7"/>
      <c r="M40" s="58"/>
      <c r="N40" s="58">
        <f>IFERROR(__xludf.DUMMYFUNCTION("""COMPUTED_VALUE"""),2.0)</f>
        <v>2</v>
      </c>
      <c r="O40" s="58" t="str">
        <f t="shared" si="3"/>
        <v/>
      </c>
      <c r="P40" s="222">
        <f>IFERROR(__xludf.DUMMYFUNCTION("""COMPUTED_VALUE"""),0.0)</f>
        <v>0</v>
      </c>
      <c r="Q40" s="81" t="b">
        <f>VLOOKUP(B40,'Run Reconcile'!B$2:O89,14,FALSE)</f>
        <v>1</v>
      </c>
      <c r="R40" s="223" t="str">
        <f t="array" ref="R40">IF(Q40, INDEX('Run Reconcile'!A$2:A89,MATCH(B40,'Run Reconcile'!B$2:B89,0),1),IFERROR(0/0,""))</f>
        <v>RUN-NDHM_2022-05-23_RFR-011</v>
      </c>
      <c r="S40" s="224" t="str">
        <f t="shared" ref="S40:T40" si="79">IF(ISBLANK(W40),IFERROR(0/0,""),TRUE)</f>
        <v/>
      </c>
      <c r="T40" s="224" t="str">
        <f t="shared" si="79"/>
        <v/>
      </c>
      <c r="U40" s="162" t="str">
        <f t="array" ref="U40">IF(ISBLANK(R40), IF(S40,INDEX('Run Reconcile'!A$2:A89,1+MATCH(B40,'Run Reconcile'!B$2:B89,0),1),IF(T40,INDEX('Run Reconcile'!A$2:A89,1+MATCH(B40,'Run Reconcile'!B$2:B89,0),1),INDEX('Run Reconcile'!A$2:A89,MATCH(B40,'Run Reconcile'!B$2:B89,0),1))),IFERROR(0/0,""))</f>
        <v/>
      </c>
      <c r="V40" s="225" t="str">
        <f t="shared" si="5"/>
        <v>RUN-NDHM_2022-05-23_RFR-011</v>
      </c>
      <c r="W40" s="75"/>
      <c r="X40" s="75"/>
      <c r="Y40" s="162" t="str">
        <f t="shared" ref="Y40:Z40" si="80">IF(_xlfn.ISFORMULA(S40),IFERROR(0/0,""),TRUE)</f>
        <v/>
      </c>
      <c r="Z40" s="162" t="str">
        <f t="shared" si="80"/>
        <v/>
      </c>
    </row>
    <row r="41">
      <c r="A41" s="7" t="str">
        <f>IFERROR(__xludf.DUMMYFUNCTION("""COMPUTED_VALUE"""),"AJ9479")</f>
        <v>AJ9479</v>
      </c>
      <c r="B41" s="218">
        <f>IFERROR(__xludf.DUMMYFUNCTION("""COMPUTED_VALUE"""),44704.0)</f>
        <v>44704</v>
      </c>
      <c r="C41" s="219">
        <f>IFERROR(__xludf.DUMMYFUNCTION("""COMPUTED_VALUE"""),0.2182638888888889)</f>
        <v>0.2182638889</v>
      </c>
      <c r="D41" s="220" t="str">
        <f>IFERROR(__xludf.DUMMYFUNCTION("""COMPUTED_VALUE"""),"SpNDHM109523")</f>
        <v>SpNDHM109523</v>
      </c>
      <c r="E41" s="220"/>
      <c r="F41" s="220"/>
      <c r="G41" s="220" t="str">
        <f>IFERROR(__xludf.DUMMYFUNCTION("""COMPUTED_VALUE"""),"Negative")</f>
        <v>Negative</v>
      </c>
      <c r="H41" s="226" t="str">
        <f>IFERROR(__xludf.DUMMYFUNCTION("""COMPUTED_VALUE"""),"Negative")</f>
        <v>Negative</v>
      </c>
      <c r="I41" s="218">
        <f>IFERROR(__xludf.DUMMYFUNCTION("""COMPUTED_VALUE"""),44704.0)</f>
        <v>44704</v>
      </c>
      <c r="J41" s="221">
        <f>IFERROR(__xludf.DUMMYFUNCTION("""COMPUTED_VALUE"""),0.39490740740740743)</f>
        <v>0.3949074074</v>
      </c>
      <c r="K41" s="54"/>
      <c r="L41" s="7"/>
      <c r="M41" s="58"/>
      <c r="N41" s="58">
        <f>IFERROR(__xludf.DUMMYFUNCTION("""COMPUTED_VALUE"""),2.0)</f>
        <v>2</v>
      </c>
      <c r="O41" s="58" t="str">
        <f t="shared" si="3"/>
        <v/>
      </c>
      <c r="P41" s="222">
        <f>IFERROR(__xludf.DUMMYFUNCTION("""COMPUTED_VALUE"""),0.0)</f>
        <v>0</v>
      </c>
      <c r="Q41" s="81" t="b">
        <f>VLOOKUP(B41,'Run Reconcile'!B$2:O89,14,FALSE)</f>
        <v>1</v>
      </c>
      <c r="R41" s="223" t="str">
        <f t="array" ref="R41">IF(Q41, INDEX('Run Reconcile'!A$2:A89,MATCH(B41,'Run Reconcile'!B$2:B89,0),1),IFERROR(0/0,""))</f>
        <v>RUN-NDHM_2022-05-23_RFR-011</v>
      </c>
      <c r="S41" s="224" t="str">
        <f t="shared" ref="S41:T41" si="81">IF(ISBLANK(W41),IFERROR(0/0,""),TRUE)</f>
        <v/>
      </c>
      <c r="T41" s="224" t="str">
        <f t="shared" si="81"/>
        <v/>
      </c>
      <c r="U41" s="162" t="str">
        <f t="array" ref="U41">IF(ISBLANK(R41), IF(S41,INDEX('Run Reconcile'!A$2:A89,1+MATCH(B41,'Run Reconcile'!B$2:B89,0),1),IF(T41,INDEX('Run Reconcile'!A$2:A89,1+MATCH(B41,'Run Reconcile'!B$2:B89,0),1),INDEX('Run Reconcile'!A$2:A89,MATCH(B41,'Run Reconcile'!B$2:B89,0),1))),IFERROR(0/0,""))</f>
        <v/>
      </c>
      <c r="V41" s="225" t="str">
        <f t="shared" si="5"/>
        <v>RUN-NDHM_2022-05-23_RFR-011</v>
      </c>
      <c r="W41" s="75"/>
      <c r="X41" s="75"/>
      <c r="Y41" s="162" t="str">
        <f t="shared" ref="Y41:Z41" si="82">IF(_xlfn.ISFORMULA(S41),IFERROR(0/0,""),TRUE)</f>
        <v/>
      </c>
      <c r="Z41" s="162" t="str">
        <f t="shared" si="82"/>
        <v/>
      </c>
    </row>
    <row r="42">
      <c r="A42" s="7" t="str">
        <f>IFERROR(__xludf.DUMMYFUNCTION("""COMPUTED_VALUE"""),"AH7289")</f>
        <v>AH7289</v>
      </c>
      <c r="B42" s="218">
        <f>IFERROR(__xludf.DUMMYFUNCTION("""COMPUTED_VALUE"""),44704.0)</f>
        <v>44704</v>
      </c>
      <c r="C42" s="219">
        <f>IFERROR(__xludf.DUMMYFUNCTION("""COMPUTED_VALUE"""),0.2188425925925926)</f>
        <v>0.2188425926</v>
      </c>
      <c r="D42" s="220" t="str">
        <f>IFERROR(__xludf.DUMMYFUNCTION("""COMPUTED_VALUE"""),"SpNDHM957722")</f>
        <v>SpNDHM957722</v>
      </c>
      <c r="E42" s="220"/>
      <c r="F42" s="220"/>
      <c r="G42" s="220" t="str">
        <f>IFERROR(__xludf.DUMMYFUNCTION("""COMPUTED_VALUE"""),"Negative")</f>
        <v>Negative</v>
      </c>
      <c r="H42" s="226" t="str">
        <f>IFERROR(__xludf.DUMMYFUNCTION("""COMPUTED_VALUE"""),"Negative")</f>
        <v>Negative</v>
      </c>
      <c r="I42" s="218">
        <f>IFERROR(__xludf.DUMMYFUNCTION("""COMPUTED_VALUE"""),44704.0)</f>
        <v>44704</v>
      </c>
      <c r="J42" s="221">
        <f>IFERROR(__xludf.DUMMYFUNCTION("""COMPUTED_VALUE"""),0.39490740740740743)</f>
        <v>0.3949074074</v>
      </c>
      <c r="K42" s="54"/>
      <c r="L42" s="7"/>
      <c r="M42" s="58"/>
      <c r="N42" s="58">
        <f>IFERROR(__xludf.DUMMYFUNCTION("""COMPUTED_VALUE"""),3.0)</f>
        <v>3</v>
      </c>
      <c r="O42" s="58" t="str">
        <f t="shared" si="3"/>
        <v/>
      </c>
      <c r="P42" s="222">
        <f>IFERROR(__xludf.DUMMYFUNCTION("""COMPUTED_VALUE"""),0.0)</f>
        <v>0</v>
      </c>
      <c r="Q42" s="81" t="b">
        <f>VLOOKUP(B42,'Run Reconcile'!B$2:O89,14,FALSE)</f>
        <v>1</v>
      </c>
      <c r="R42" s="223" t="str">
        <f t="array" ref="R42">IF(Q42, INDEX('Run Reconcile'!A$2:A89,MATCH(B42,'Run Reconcile'!B$2:B89,0),1),IFERROR(0/0,""))</f>
        <v>RUN-NDHM_2022-05-23_RFR-011</v>
      </c>
      <c r="S42" s="224" t="str">
        <f t="shared" ref="S42:T42" si="83">IF(ISBLANK(W42),IFERROR(0/0,""),TRUE)</f>
        <v/>
      </c>
      <c r="T42" s="224" t="str">
        <f t="shared" si="83"/>
        <v/>
      </c>
      <c r="U42" s="162" t="str">
        <f t="array" ref="U42">IF(ISBLANK(R42), IF(S42,INDEX('Run Reconcile'!A$2:A89,1+MATCH(B42,'Run Reconcile'!B$2:B89,0),1),IF(T42,INDEX('Run Reconcile'!A$2:A89,1+MATCH(B42,'Run Reconcile'!B$2:B89,0),1),INDEX('Run Reconcile'!A$2:A89,MATCH(B42,'Run Reconcile'!B$2:B89,0),1))),IFERROR(0/0,""))</f>
        <v/>
      </c>
      <c r="V42" s="225" t="str">
        <f t="shared" si="5"/>
        <v>RUN-NDHM_2022-05-23_RFR-011</v>
      </c>
      <c r="W42" s="75"/>
      <c r="X42" s="75"/>
      <c r="Y42" s="162" t="str">
        <f t="shared" ref="Y42:Z42" si="84">IF(_xlfn.ISFORMULA(S42),IFERROR(0/0,""),TRUE)</f>
        <v/>
      </c>
      <c r="Z42" s="162" t="str">
        <f t="shared" si="84"/>
        <v/>
      </c>
    </row>
    <row r="43">
      <c r="A43" s="7" t="str">
        <f>IFERROR(__xludf.DUMMYFUNCTION("""COMPUTED_VALUE"""),"AG1828")</f>
        <v>AG1828</v>
      </c>
      <c r="B43" s="218">
        <f>IFERROR(__xludf.DUMMYFUNCTION("""COMPUTED_VALUE"""),44704.0)</f>
        <v>44704</v>
      </c>
      <c r="C43" s="219">
        <f>IFERROR(__xludf.DUMMYFUNCTION("""COMPUTED_VALUE"""),0.22446759259259258)</f>
        <v>0.2244675926</v>
      </c>
      <c r="D43" s="220" t="str">
        <f>IFERROR(__xludf.DUMMYFUNCTION("""COMPUTED_VALUE"""),"SpNDHM284552")</f>
        <v>SpNDHM284552</v>
      </c>
      <c r="E43" s="220"/>
      <c r="F43" s="220"/>
      <c r="G43" s="220" t="str">
        <f>IFERROR(__xludf.DUMMYFUNCTION("""COMPUTED_VALUE"""),"Negative")</f>
        <v>Negative</v>
      </c>
      <c r="H43" s="226" t="str">
        <f>IFERROR(__xludf.DUMMYFUNCTION("""COMPUTED_VALUE"""),"Negative")</f>
        <v>Negative</v>
      </c>
      <c r="I43" s="218">
        <f>IFERROR(__xludf.DUMMYFUNCTION("""COMPUTED_VALUE"""),44704.0)</f>
        <v>44704</v>
      </c>
      <c r="J43" s="221">
        <f>IFERROR(__xludf.DUMMYFUNCTION("""COMPUTED_VALUE"""),0.39491898148148147)</f>
        <v>0.3949189815</v>
      </c>
      <c r="K43" s="54"/>
      <c r="L43" s="7"/>
      <c r="M43" s="58"/>
      <c r="N43" s="58">
        <f>IFERROR(__xludf.DUMMYFUNCTION("""COMPUTED_VALUE"""),2.0)</f>
        <v>2</v>
      </c>
      <c r="O43" s="58" t="str">
        <f t="shared" si="3"/>
        <v/>
      </c>
      <c r="P43" s="222">
        <f>IFERROR(__xludf.DUMMYFUNCTION("""COMPUTED_VALUE"""),0.0)</f>
        <v>0</v>
      </c>
      <c r="Q43" s="81" t="b">
        <f>VLOOKUP(B43,'Run Reconcile'!B$2:O89,14,FALSE)</f>
        <v>1</v>
      </c>
      <c r="R43" s="223" t="str">
        <f t="array" ref="R43">IF(Q43, INDEX('Run Reconcile'!A$2:A89,MATCH(B43,'Run Reconcile'!B$2:B89,0),1),IFERROR(0/0,""))</f>
        <v>RUN-NDHM_2022-05-23_RFR-011</v>
      </c>
      <c r="S43" s="224" t="str">
        <f t="shared" ref="S43:T43" si="85">IF(ISBLANK(W43),IFERROR(0/0,""),TRUE)</f>
        <v/>
      </c>
      <c r="T43" s="224" t="str">
        <f t="shared" si="85"/>
        <v/>
      </c>
      <c r="U43" s="162" t="str">
        <f t="array" ref="U43">IF(ISBLANK(R43), IF(S43,INDEX('Run Reconcile'!A$2:A89,1+MATCH(B43,'Run Reconcile'!B$2:B89,0),1),IF(T43,INDEX('Run Reconcile'!A$2:A89,1+MATCH(B43,'Run Reconcile'!B$2:B89,0),1),INDEX('Run Reconcile'!A$2:A89,MATCH(B43,'Run Reconcile'!B$2:B89,0),1))),IFERROR(0/0,""))</f>
        <v/>
      </c>
      <c r="V43" s="225" t="str">
        <f t="shared" si="5"/>
        <v>RUN-NDHM_2022-05-23_RFR-011</v>
      </c>
      <c r="W43" s="75"/>
      <c r="X43" s="75"/>
      <c r="Y43" s="162" t="str">
        <f t="shared" ref="Y43:Z43" si="86">IF(_xlfn.ISFORMULA(S43),IFERROR(0/0,""),TRUE)</f>
        <v/>
      </c>
      <c r="Z43" s="162" t="str">
        <f t="shared" si="86"/>
        <v/>
      </c>
    </row>
    <row r="44">
      <c r="A44" s="7" t="str">
        <f>IFERROR(__xludf.DUMMYFUNCTION("""COMPUTED_VALUE"""),"AH6802")</f>
        <v>AH6802</v>
      </c>
      <c r="B44" s="218">
        <f>IFERROR(__xludf.DUMMYFUNCTION("""COMPUTED_VALUE"""),44704.0)</f>
        <v>44704</v>
      </c>
      <c r="C44" s="219">
        <f>IFERROR(__xludf.DUMMYFUNCTION("""COMPUTED_VALUE"""),0.3195138888888889)</f>
        <v>0.3195138889</v>
      </c>
      <c r="D44" s="220" t="str">
        <f>IFERROR(__xludf.DUMMYFUNCTION("""COMPUTED_VALUE"""),"SpNDHM122532")</f>
        <v>SpNDHM122532</v>
      </c>
      <c r="E44" s="220"/>
      <c r="F44" s="220"/>
      <c r="G44" s="220" t="str">
        <f>IFERROR(__xludf.DUMMYFUNCTION("""COMPUTED_VALUE"""),"Negative")</f>
        <v>Negative</v>
      </c>
      <c r="H44" s="226" t="str">
        <f>IFERROR(__xludf.DUMMYFUNCTION("""COMPUTED_VALUE"""),"Negative")</f>
        <v>Negative</v>
      </c>
      <c r="I44" s="218">
        <f>IFERROR(__xludf.DUMMYFUNCTION("""COMPUTED_VALUE"""),44704.0)</f>
        <v>44704</v>
      </c>
      <c r="J44" s="221">
        <f>IFERROR(__xludf.DUMMYFUNCTION("""COMPUTED_VALUE"""),0.39491898148148147)</f>
        <v>0.3949189815</v>
      </c>
      <c r="K44" s="54"/>
      <c r="L44" s="7"/>
      <c r="M44" s="58"/>
      <c r="N44" s="58">
        <f>IFERROR(__xludf.DUMMYFUNCTION("""COMPUTED_VALUE"""),1.0)</f>
        <v>1</v>
      </c>
      <c r="O44" s="58" t="str">
        <f t="shared" si="3"/>
        <v/>
      </c>
      <c r="P44" s="222">
        <f>IFERROR(__xludf.DUMMYFUNCTION("""COMPUTED_VALUE"""),0.0)</f>
        <v>0</v>
      </c>
      <c r="Q44" s="81" t="b">
        <f>VLOOKUP(B44,'Run Reconcile'!B$2:O89,14,FALSE)</f>
        <v>1</v>
      </c>
      <c r="R44" s="223" t="str">
        <f t="array" ref="R44">IF(Q44, INDEX('Run Reconcile'!A$2:A89,MATCH(B44,'Run Reconcile'!B$2:B89,0),1),IFERROR(0/0,""))</f>
        <v>RUN-NDHM_2022-05-23_RFR-011</v>
      </c>
      <c r="S44" s="224" t="str">
        <f t="shared" ref="S44:T44" si="87">IF(ISBLANK(W44),IFERROR(0/0,""),TRUE)</f>
        <v/>
      </c>
      <c r="T44" s="224" t="str">
        <f t="shared" si="87"/>
        <v/>
      </c>
      <c r="U44" s="162" t="str">
        <f t="array" ref="U44">IF(ISBLANK(R44), IF(S44,INDEX('Run Reconcile'!A$2:A89,1+MATCH(B44,'Run Reconcile'!B$2:B89,0),1),IF(T44,INDEX('Run Reconcile'!A$2:A89,1+MATCH(B44,'Run Reconcile'!B$2:B89,0),1),INDEX('Run Reconcile'!A$2:A89,MATCH(B44,'Run Reconcile'!B$2:B89,0),1))),IFERROR(0/0,""))</f>
        <v/>
      </c>
      <c r="V44" s="225" t="str">
        <f t="shared" si="5"/>
        <v>RUN-NDHM_2022-05-23_RFR-011</v>
      </c>
      <c r="W44" s="75"/>
      <c r="X44" s="75"/>
      <c r="Y44" s="162" t="str">
        <f t="shared" ref="Y44:Z44" si="88">IF(_xlfn.ISFORMULA(S44),IFERROR(0/0,""),TRUE)</f>
        <v/>
      </c>
      <c r="Z44" s="162" t="str">
        <f t="shared" si="88"/>
        <v/>
      </c>
    </row>
    <row r="45">
      <c r="A45" s="7" t="str">
        <f>IFERROR(__xludf.DUMMYFUNCTION("""COMPUTED_VALUE"""),"AG663")</f>
        <v>AG663</v>
      </c>
      <c r="B45" s="218">
        <f>IFERROR(__xludf.DUMMYFUNCTION("""COMPUTED_VALUE"""),44712.0)</f>
        <v>44712</v>
      </c>
      <c r="C45" s="219">
        <f>IFERROR(__xludf.DUMMYFUNCTION("""COMPUTED_VALUE"""),0.18675925925925926)</f>
        <v>0.1867592593</v>
      </c>
      <c r="D45" s="220" t="str">
        <f>IFERROR(__xludf.DUMMYFUNCTION("""COMPUTED_VALUE"""),"SpNDHM109523")</f>
        <v>SpNDHM109523</v>
      </c>
      <c r="E45" s="220"/>
      <c r="F45" s="220"/>
      <c r="G45" s="220" t="str">
        <f>IFERROR(__xludf.DUMMYFUNCTION("""COMPUTED_VALUE"""),"Negative")</f>
        <v>Negative</v>
      </c>
      <c r="H45" s="226" t="str">
        <f>IFERROR(__xludf.DUMMYFUNCTION("""COMPUTED_VALUE"""),"Negative")</f>
        <v>Negative</v>
      </c>
      <c r="I45" s="218">
        <f>IFERROR(__xludf.DUMMYFUNCTION("""COMPUTED_VALUE"""),44713.0)</f>
        <v>44713</v>
      </c>
      <c r="J45" s="221">
        <f>IFERROR(__xludf.DUMMYFUNCTION("""COMPUTED_VALUE"""),0.3414814814814815)</f>
        <v>0.3414814815</v>
      </c>
      <c r="K45" s="54"/>
      <c r="L45" s="7"/>
      <c r="M45" s="58"/>
      <c r="N45" s="58">
        <f>IFERROR(__xludf.DUMMYFUNCTION("""COMPUTED_VALUE"""),1.0)</f>
        <v>1</v>
      </c>
      <c r="O45" s="58" t="b">
        <f t="shared" si="3"/>
        <v>1</v>
      </c>
      <c r="P45" s="222">
        <f>IFERROR(__xludf.DUMMYFUNCTION("""COMPUTED_VALUE"""),1.0)</f>
        <v>1</v>
      </c>
      <c r="Q45" s="81" t="str">
        <f>VLOOKUP(B45,'Run Reconcile'!B$2:O89,14,FALSE)</f>
        <v/>
      </c>
      <c r="R45" s="223" t="str">
        <f t="array" ref="R45">IF(Q45, INDEX('Run Reconcile'!A$2:A89,MATCH(B45,'Run Reconcile'!B$2:B89,0),1),IFERROR(0/0,""))</f>
        <v/>
      </c>
      <c r="S45" s="224" t="b">
        <f t="shared" ref="S45:T45" si="89">IF(ISBLANK(W45),IFERROR(0/0,""),TRUE)</f>
        <v>1</v>
      </c>
      <c r="T45" s="224" t="str">
        <f t="shared" si="89"/>
        <v/>
      </c>
      <c r="U45" s="162" t="str">
        <f t="array" ref="U45">IF(ISBLANK(R45), IF(S45,INDEX('Run Reconcile'!A$2:A89,1+MATCH(B45,'Run Reconcile'!B$2:B89,0),1),IF(T45,INDEX('Run Reconcile'!A$2:A89,1+MATCH(B45,'Run Reconcile'!B$2:B89,0),1),INDEX('Run Reconcile'!A$2:A89,MATCH(B45,'Run Reconcile'!B$2:B89,0),1))),IFERROR(0/0,""))</f>
        <v>RUN-NDHM_2022-06-01_RFR-012</v>
      </c>
      <c r="V45" s="225" t="str">
        <f t="shared" si="5"/>
        <v>RUN-NDHM_2022-06-01_RFR-012</v>
      </c>
      <c r="W45" s="7" t="s">
        <v>250</v>
      </c>
      <c r="X45" s="75"/>
      <c r="Y45" s="162" t="str">
        <f t="shared" ref="Y45:Z45" si="90">IF(_xlfn.ISFORMULA(S45),IFERROR(0/0,""),TRUE)</f>
        <v/>
      </c>
      <c r="Z45" s="162" t="str">
        <f t="shared" si="90"/>
        <v/>
      </c>
    </row>
    <row r="46">
      <c r="A46" s="7" t="str">
        <f>IFERROR(__xludf.DUMMYFUNCTION("""COMPUTED_VALUE"""),"AH9070")</f>
        <v>AH9070</v>
      </c>
      <c r="B46" s="218">
        <f>IFERROR(__xludf.DUMMYFUNCTION("""COMPUTED_VALUE"""),44712.0)</f>
        <v>44712</v>
      </c>
      <c r="C46" s="219">
        <f>IFERROR(__xludf.DUMMYFUNCTION("""COMPUTED_VALUE"""),0.19265046296296295)</f>
        <v>0.192650463</v>
      </c>
      <c r="D46" s="220" t="str">
        <f>IFERROR(__xludf.DUMMYFUNCTION("""COMPUTED_VALUE"""),"SpNDHM400541")</f>
        <v>SpNDHM400541</v>
      </c>
      <c r="E46" s="220"/>
      <c r="F46" s="220"/>
      <c r="G46" s="220" t="str">
        <f>IFERROR(__xludf.DUMMYFUNCTION("""COMPUTED_VALUE"""),"Negative")</f>
        <v>Negative</v>
      </c>
      <c r="H46" s="226" t="str">
        <f>IFERROR(__xludf.DUMMYFUNCTION("""COMPUTED_VALUE"""),"Negative")</f>
        <v>Negative</v>
      </c>
      <c r="I46" s="218">
        <f>IFERROR(__xludf.DUMMYFUNCTION("""COMPUTED_VALUE"""),44713.0)</f>
        <v>44713</v>
      </c>
      <c r="J46" s="221">
        <f>IFERROR(__xludf.DUMMYFUNCTION("""COMPUTED_VALUE"""),0.3414814814814815)</f>
        <v>0.3414814815</v>
      </c>
      <c r="K46" s="54"/>
      <c r="L46" s="7"/>
      <c r="M46" s="58"/>
      <c r="N46" s="58">
        <f>IFERROR(__xludf.DUMMYFUNCTION("""COMPUTED_VALUE"""),4.0)</f>
        <v>4</v>
      </c>
      <c r="O46" s="58" t="str">
        <f t="shared" si="3"/>
        <v/>
      </c>
      <c r="P46" s="222">
        <f>IFERROR(__xludf.DUMMYFUNCTION("""COMPUTED_VALUE"""),1.0)</f>
        <v>1</v>
      </c>
      <c r="Q46" s="81" t="str">
        <f>VLOOKUP(B46,'Run Reconcile'!B$2:O89,14,FALSE)</f>
        <v/>
      </c>
      <c r="R46" s="223" t="str">
        <f t="array" ref="R46">IF(Q46, INDEX('Run Reconcile'!A$2:A89,MATCH(B46,'Run Reconcile'!B$2:B89,0),1),IFERROR(0/0,""))</f>
        <v/>
      </c>
      <c r="S46" s="224" t="b">
        <f t="shared" ref="S46:T46" si="91">IF(ISBLANK(W46),IFERROR(0/0,""),TRUE)</f>
        <v>1</v>
      </c>
      <c r="T46" s="224" t="str">
        <f t="shared" si="91"/>
        <v/>
      </c>
      <c r="U46" s="162" t="str">
        <f t="array" ref="U46">IF(ISBLANK(R46), IF(S46,INDEX('Run Reconcile'!A$2:A89,1+MATCH(B46,'Run Reconcile'!B$2:B89,0),1),IF(T46,INDEX('Run Reconcile'!A$2:A89,1+MATCH(B46,'Run Reconcile'!B$2:B89,0),1),INDEX('Run Reconcile'!A$2:A89,MATCH(B46,'Run Reconcile'!B$2:B89,0),1))),IFERROR(0/0,""))</f>
        <v>RUN-NDHM_2022-06-01_RFR-012</v>
      </c>
      <c r="V46" s="225" t="str">
        <f t="shared" si="5"/>
        <v>RUN-NDHM_2022-06-01_RFR-012</v>
      </c>
      <c r="W46" s="7" t="s">
        <v>251</v>
      </c>
      <c r="X46" s="75"/>
      <c r="Y46" s="162" t="str">
        <f t="shared" ref="Y46:Z46" si="92">IF(_xlfn.ISFORMULA(S46),IFERROR(0/0,""),TRUE)</f>
        <v/>
      </c>
      <c r="Z46" s="162" t="str">
        <f t="shared" si="92"/>
        <v/>
      </c>
    </row>
    <row r="47">
      <c r="A47" s="7" t="str">
        <f>IFERROR(__xludf.DUMMYFUNCTION("""COMPUTED_VALUE"""),"AH258")</f>
        <v>AH258</v>
      </c>
      <c r="B47" s="218">
        <f>IFERROR(__xludf.DUMMYFUNCTION("""COMPUTED_VALUE"""),44712.0)</f>
        <v>44712</v>
      </c>
      <c r="C47" s="219">
        <f>IFERROR(__xludf.DUMMYFUNCTION("""COMPUTED_VALUE"""),0.7929166666666667)</f>
        <v>0.7929166667</v>
      </c>
      <c r="D47" s="220" t="str">
        <f>IFERROR(__xludf.DUMMYFUNCTION("""COMPUTED_VALUE"""),"SpNDHM122532")</f>
        <v>SpNDHM122532</v>
      </c>
      <c r="E47" s="220"/>
      <c r="F47" s="220"/>
      <c r="G47" s="220" t="str">
        <f>IFERROR(__xludf.DUMMYFUNCTION("""COMPUTED_VALUE"""),"Negative")</f>
        <v>Negative</v>
      </c>
      <c r="H47" s="226" t="str">
        <f>IFERROR(__xludf.DUMMYFUNCTION("""COMPUTED_VALUE"""),"Negative")</f>
        <v>Negative</v>
      </c>
      <c r="I47" s="218">
        <f>IFERROR(__xludf.DUMMYFUNCTION("""COMPUTED_VALUE"""),44713.0)</f>
        <v>44713</v>
      </c>
      <c r="J47" s="221">
        <f>IFERROR(__xludf.DUMMYFUNCTION("""COMPUTED_VALUE"""),0.3414814814814815)</f>
        <v>0.3414814815</v>
      </c>
      <c r="K47" s="54"/>
      <c r="L47" s="7"/>
      <c r="M47" s="58"/>
      <c r="N47" s="58">
        <f>IFERROR(__xludf.DUMMYFUNCTION("""COMPUTED_VALUE"""),2.0)</f>
        <v>2</v>
      </c>
      <c r="O47" s="58" t="str">
        <f t="shared" si="3"/>
        <v/>
      </c>
      <c r="P47" s="222">
        <f>IFERROR(__xludf.DUMMYFUNCTION("""COMPUTED_VALUE"""),1.0)</f>
        <v>1</v>
      </c>
      <c r="Q47" s="81" t="str">
        <f>VLOOKUP(B47,'Run Reconcile'!B$2:O89,14,FALSE)</f>
        <v/>
      </c>
      <c r="R47" s="223" t="str">
        <f t="array" ref="R47">IF(Q47, INDEX('Run Reconcile'!A$2:A89,MATCH(B47,'Run Reconcile'!B$2:B89,0),1),IFERROR(0/0,""))</f>
        <v/>
      </c>
      <c r="S47" s="224" t="b">
        <f t="shared" ref="S47:T47" si="93">IF(ISBLANK(W47),IFERROR(0/0,""),TRUE)</f>
        <v>1</v>
      </c>
      <c r="T47" s="224" t="str">
        <f t="shared" si="93"/>
        <v/>
      </c>
      <c r="U47" s="162" t="str">
        <f t="array" ref="U47">IF(ISBLANK(R47), IF(S47,INDEX('Run Reconcile'!A$2:A89,1+MATCH(B47,'Run Reconcile'!B$2:B89,0),1),IF(T47,INDEX('Run Reconcile'!A$2:A89,1+MATCH(B47,'Run Reconcile'!B$2:B89,0),1),INDEX('Run Reconcile'!A$2:A89,MATCH(B47,'Run Reconcile'!B$2:B89,0),1))),IFERROR(0/0,""))</f>
        <v>RUN-NDHM_2022-06-01_RFR-012</v>
      </c>
      <c r="V47" s="225" t="str">
        <f t="shared" si="5"/>
        <v>RUN-NDHM_2022-06-01_RFR-012</v>
      </c>
      <c r="W47" s="7" t="s">
        <v>252</v>
      </c>
      <c r="X47" s="75"/>
      <c r="Y47" s="162" t="str">
        <f t="shared" ref="Y47:Z47" si="94">IF(_xlfn.ISFORMULA(S47),IFERROR(0/0,""),TRUE)</f>
        <v/>
      </c>
      <c r="Z47" s="162" t="str">
        <f t="shared" si="94"/>
        <v/>
      </c>
    </row>
    <row r="48">
      <c r="A48" s="7" t="str">
        <f>IFERROR(__xludf.DUMMYFUNCTION("""COMPUTED_VALUE"""),"AG718")</f>
        <v>AG718</v>
      </c>
      <c r="B48" s="218">
        <f>IFERROR(__xludf.DUMMYFUNCTION("""COMPUTED_VALUE"""),44713.0)</f>
        <v>44713</v>
      </c>
      <c r="C48" s="219">
        <f>IFERROR(__xludf.DUMMYFUNCTION("""COMPUTED_VALUE"""),0.17925925925925926)</f>
        <v>0.1792592593</v>
      </c>
      <c r="D48" s="220" t="str">
        <f>IFERROR(__xludf.DUMMYFUNCTION("""COMPUTED_VALUE"""),"SpNDHM762063")</f>
        <v>SpNDHM762063</v>
      </c>
      <c r="E48" s="220"/>
      <c r="F48" s="220"/>
      <c r="G48" s="220" t="str">
        <f>IFERROR(__xludf.DUMMYFUNCTION("""COMPUTED_VALUE"""),"Negative")</f>
        <v>Negative</v>
      </c>
      <c r="H48" s="226" t="str">
        <f>IFERROR(__xludf.DUMMYFUNCTION("""COMPUTED_VALUE"""),"Negative")</f>
        <v>Negative</v>
      </c>
      <c r="I48" s="218">
        <f>IFERROR(__xludf.DUMMYFUNCTION("""COMPUTED_VALUE"""),44713.0)</f>
        <v>44713</v>
      </c>
      <c r="J48" s="221">
        <f>IFERROR(__xludf.DUMMYFUNCTION("""COMPUTED_VALUE"""),0.3414814814814815)</f>
        <v>0.3414814815</v>
      </c>
      <c r="K48" s="54"/>
      <c r="L48" s="7"/>
      <c r="M48" s="58"/>
      <c r="N48" s="58">
        <f>IFERROR(__xludf.DUMMYFUNCTION("""COMPUTED_VALUE"""),1.0)</f>
        <v>1</v>
      </c>
      <c r="O48" s="58" t="b">
        <f t="shared" si="3"/>
        <v>1</v>
      </c>
      <c r="P48" s="222">
        <f>IFERROR(__xludf.DUMMYFUNCTION("""COMPUTED_VALUE"""),0.0)</f>
        <v>0</v>
      </c>
      <c r="Q48" s="81" t="b">
        <f>VLOOKUP(B48,'Run Reconcile'!B$2:O89,14,FALSE)</f>
        <v>1</v>
      </c>
      <c r="R48" s="223" t="str">
        <f t="array" ref="R48">IF(Q48, INDEX('Run Reconcile'!A$2:A89,MATCH(B48,'Run Reconcile'!B$2:B89,0),1),IFERROR(0/0,""))</f>
        <v>RUN-NDHM_2022-06-01_RFR-012</v>
      </c>
      <c r="S48" s="224" t="str">
        <f t="shared" ref="S48:T48" si="95">IF(ISBLANK(W48),IFERROR(0/0,""),TRUE)</f>
        <v/>
      </c>
      <c r="T48" s="224" t="str">
        <f t="shared" si="95"/>
        <v/>
      </c>
      <c r="U48" s="162" t="str">
        <f t="array" ref="U48">IF(ISBLANK(R48), IF(S48,INDEX('Run Reconcile'!A$2:A89,1+MATCH(B48,'Run Reconcile'!B$2:B89,0),1),IF(T48,INDEX('Run Reconcile'!A$2:A89,1+MATCH(B48,'Run Reconcile'!B$2:B89,0),1),INDEX('Run Reconcile'!A$2:A89,MATCH(B48,'Run Reconcile'!B$2:B89,0),1))),IFERROR(0/0,""))</f>
        <v/>
      </c>
      <c r="V48" s="225" t="str">
        <f t="shared" si="5"/>
        <v>RUN-NDHM_2022-06-01_RFR-012</v>
      </c>
      <c r="W48" s="75"/>
      <c r="X48" s="75"/>
      <c r="Y48" s="162" t="str">
        <f t="shared" ref="Y48:Z48" si="96">IF(_xlfn.ISFORMULA(S48),IFERROR(0/0,""),TRUE)</f>
        <v/>
      </c>
      <c r="Z48" s="162" t="str">
        <f t="shared" si="96"/>
        <v/>
      </c>
    </row>
    <row r="49">
      <c r="A49" s="7" t="str">
        <f>IFERROR(__xludf.DUMMYFUNCTION("""COMPUTED_VALUE"""),"AH1486")</f>
        <v>AH1486</v>
      </c>
      <c r="B49" s="218">
        <f>IFERROR(__xludf.DUMMYFUNCTION("""COMPUTED_VALUE"""),44713.0)</f>
        <v>44713</v>
      </c>
      <c r="C49" s="219">
        <f>IFERROR(__xludf.DUMMYFUNCTION("""COMPUTED_VALUE"""),0.1832175925925926)</f>
        <v>0.1832175926</v>
      </c>
      <c r="D49" s="220" t="str">
        <f>IFERROR(__xludf.DUMMYFUNCTION("""COMPUTED_VALUE"""),"SpNDHM109523")</f>
        <v>SpNDHM109523</v>
      </c>
      <c r="E49" s="220"/>
      <c r="F49" s="220"/>
      <c r="G49" s="220" t="str">
        <f>IFERROR(__xludf.DUMMYFUNCTION("""COMPUTED_VALUE"""),"Negative")</f>
        <v>Negative</v>
      </c>
      <c r="H49" s="226" t="str">
        <f>IFERROR(__xludf.DUMMYFUNCTION("""COMPUTED_VALUE"""),"Negative")</f>
        <v>Negative</v>
      </c>
      <c r="I49" s="218">
        <f>IFERROR(__xludf.DUMMYFUNCTION("""COMPUTED_VALUE"""),44713.0)</f>
        <v>44713</v>
      </c>
      <c r="J49" s="221">
        <f>IFERROR(__xludf.DUMMYFUNCTION("""COMPUTED_VALUE"""),0.3414814814814815)</f>
        <v>0.3414814815</v>
      </c>
      <c r="K49" s="54"/>
      <c r="L49" s="7"/>
      <c r="M49" s="58"/>
      <c r="N49" s="58">
        <f>IFERROR(__xludf.DUMMYFUNCTION("""COMPUTED_VALUE"""),1.0)</f>
        <v>1</v>
      </c>
      <c r="O49" s="58" t="str">
        <f t="shared" si="3"/>
        <v/>
      </c>
      <c r="P49" s="222">
        <f>IFERROR(__xludf.DUMMYFUNCTION("""COMPUTED_VALUE"""),0.0)</f>
        <v>0</v>
      </c>
      <c r="Q49" s="81" t="b">
        <f>VLOOKUP(B49,'Run Reconcile'!B$2:O89,14,FALSE)</f>
        <v>1</v>
      </c>
      <c r="R49" s="223" t="str">
        <f t="array" ref="R49">IF(Q49, INDEX('Run Reconcile'!A$2:A89,MATCH(B49,'Run Reconcile'!B$2:B89,0),1),IFERROR(0/0,""))</f>
        <v>RUN-NDHM_2022-06-01_RFR-012</v>
      </c>
      <c r="S49" s="224" t="str">
        <f t="shared" ref="S49:T49" si="97">IF(ISBLANK(W49),IFERROR(0/0,""),TRUE)</f>
        <v/>
      </c>
      <c r="T49" s="224" t="str">
        <f t="shared" si="97"/>
        <v/>
      </c>
      <c r="U49" s="162" t="str">
        <f t="array" ref="U49">IF(ISBLANK(R49), IF(S49,INDEX('Run Reconcile'!A$2:A89,1+MATCH(B49,'Run Reconcile'!B$2:B89,0),1),IF(T49,INDEX('Run Reconcile'!A$2:A89,1+MATCH(B49,'Run Reconcile'!B$2:B89,0),1),INDEX('Run Reconcile'!A$2:A89,MATCH(B49,'Run Reconcile'!B$2:B89,0),1))),IFERROR(0/0,""))</f>
        <v/>
      </c>
      <c r="V49" s="225" t="str">
        <f t="shared" si="5"/>
        <v>RUN-NDHM_2022-06-01_RFR-012</v>
      </c>
      <c r="W49" s="75"/>
      <c r="X49" s="75"/>
      <c r="Y49" s="162" t="str">
        <f t="shared" ref="Y49:Z49" si="98">IF(_xlfn.ISFORMULA(S49),IFERROR(0/0,""),TRUE)</f>
        <v/>
      </c>
      <c r="Z49" s="162" t="str">
        <f t="shared" si="98"/>
        <v/>
      </c>
    </row>
    <row r="50">
      <c r="A50" s="7" t="str">
        <f>IFERROR(__xludf.DUMMYFUNCTION("""COMPUTED_VALUE"""),"AH7650")</f>
        <v>AH7650</v>
      </c>
      <c r="B50" s="218">
        <f>IFERROR(__xludf.DUMMYFUNCTION("""COMPUTED_VALUE"""),44713.0)</f>
        <v>44713</v>
      </c>
      <c r="C50" s="219">
        <f>IFERROR(__xludf.DUMMYFUNCTION("""COMPUTED_VALUE"""),0.19666666666666666)</f>
        <v>0.1966666667</v>
      </c>
      <c r="D50" s="220" t="str">
        <f>IFERROR(__xludf.DUMMYFUNCTION("""COMPUTED_VALUE"""),"SpNDHM966349")</f>
        <v>SpNDHM966349</v>
      </c>
      <c r="E50" s="220"/>
      <c r="F50" s="220"/>
      <c r="G50" s="220" t="str">
        <f>IFERROR(__xludf.DUMMYFUNCTION("""COMPUTED_VALUE"""),"Negative")</f>
        <v>Negative</v>
      </c>
      <c r="H50" s="226" t="str">
        <f>IFERROR(__xludf.DUMMYFUNCTION("""COMPUTED_VALUE"""),"Negative")</f>
        <v>Negative</v>
      </c>
      <c r="I50" s="218">
        <f>IFERROR(__xludf.DUMMYFUNCTION("""COMPUTED_VALUE"""),44713.0)</f>
        <v>44713</v>
      </c>
      <c r="J50" s="221">
        <f>IFERROR(__xludf.DUMMYFUNCTION("""COMPUTED_VALUE"""),0.34149305555555554)</f>
        <v>0.3414930556</v>
      </c>
      <c r="K50" s="54"/>
      <c r="L50" s="7"/>
      <c r="M50" s="58"/>
      <c r="N50" s="58">
        <f>IFERROR(__xludf.DUMMYFUNCTION("""COMPUTED_VALUE"""),2.0)</f>
        <v>2</v>
      </c>
      <c r="O50" s="58" t="str">
        <f t="shared" si="3"/>
        <v/>
      </c>
      <c r="P50" s="222">
        <f>IFERROR(__xludf.DUMMYFUNCTION("""COMPUTED_VALUE"""),0.0)</f>
        <v>0</v>
      </c>
      <c r="Q50" s="81" t="b">
        <f>VLOOKUP(B50,'Run Reconcile'!B$2:O89,14,FALSE)</f>
        <v>1</v>
      </c>
      <c r="R50" s="223" t="str">
        <f t="array" ref="R50">IF(Q50, INDEX('Run Reconcile'!A$2:A89,MATCH(B50,'Run Reconcile'!B$2:B89,0),1),IFERROR(0/0,""))</f>
        <v>RUN-NDHM_2022-06-01_RFR-012</v>
      </c>
      <c r="S50" s="224" t="str">
        <f t="shared" ref="S50:T50" si="99">IF(ISBLANK(W50),IFERROR(0/0,""),TRUE)</f>
        <v/>
      </c>
      <c r="T50" s="224" t="str">
        <f t="shared" si="99"/>
        <v/>
      </c>
      <c r="U50" s="162" t="str">
        <f t="array" ref="U50">IF(ISBLANK(R50), IF(S50,INDEX('Run Reconcile'!A$2:A89,1+MATCH(B50,'Run Reconcile'!B$2:B89,0),1),IF(T50,INDEX('Run Reconcile'!A$2:A89,1+MATCH(B50,'Run Reconcile'!B$2:B89,0),1),INDEX('Run Reconcile'!A$2:A89,MATCH(B50,'Run Reconcile'!B$2:B89,0),1))),IFERROR(0/0,""))</f>
        <v/>
      </c>
      <c r="V50" s="225" t="str">
        <f t="shared" si="5"/>
        <v>RUN-NDHM_2022-06-01_RFR-012</v>
      </c>
      <c r="W50" s="75"/>
      <c r="X50" s="75"/>
      <c r="Y50" s="162" t="str">
        <f t="shared" ref="Y50:Z50" si="100">IF(_xlfn.ISFORMULA(S50),IFERROR(0/0,""),TRUE)</f>
        <v/>
      </c>
      <c r="Z50" s="162" t="str">
        <f t="shared" si="100"/>
        <v/>
      </c>
    </row>
    <row r="51">
      <c r="A51" s="7" t="str">
        <f>IFERROR(__xludf.DUMMYFUNCTION("""COMPUTED_VALUE"""),"AK6972")</f>
        <v>AK6972</v>
      </c>
      <c r="B51" s="218">
        <f>IFERROR(__xludf.DUMMYFUNCTION("""COMPUTED_VALUE"""),44713.0)</f>
        <v>44713</v>
      </c>
      <c r="C51" s="219">
        <f>IFERROR(__xludf.DUMMYFUNCTION("""COMPUTED_VALUE"""),0.1976388888888889)</f>
        <v>0.1976388889</v>
      </c>
      <c r="D51" s="220" t="str">
        <f>IFERROR(__xludf.DUMMYFUNCTION("""COMPUTED_VALUE"""),"SpNDHM189649")</f>
        <v>SpNDHM189649</v>
      </c>
      <c r="E51" s="220"/>
      <c r="F51" s="220"/>
      <c r="G51" s="220" t="str">
        <f>IFERROR(__xludf.DUMMYFUNCTION("""COMPUTED_VALUE"""),"Negative")</f>
        <v>Negative</v>
      </c>
      <c r="H51" s="226" t="str">
        <f>IFERROR(__xludf.DUMMYFUNCTION("""COMPUTED_VALUE"""),"Negative")</f>
        <v>Negative</v>
      </c>
      <c r="I51" s="218">
        <f>IFERROR(__xludf.DUMMYFUNCTION("""COMPUTED_VALUE"""),44713.0)</f>
        <v>44713</v>
      </c>
      <c r="J51" s="221">
        <f>IFERROR(__xludf.DUMMYFUNCTION("""COMPUTED_VALUE"""),0.34149305555555554)</f>
        <v>0.3414930556</v>
      </c>
      <c r="K51" s="54"/>
      <c r="L51" s="7"/>
      <c r="M51" s="58"/>
      <c r="N51" s="58">
        <f>IFERROR(__xludf.DUMMYFUNCTION("""COMPUTED_VALUE"""),4.0)</f>
        <v>4</v>
      </c>
      <c r="O51" s="58" t="str">
        <f t="shared" si="3"/>
        <v/>
      </c>
      <c r="P51" s="222">
        <f>IFERROR(__xludf.DUMMYFUNCTION("""COMPUTED_VALUE"""),0.0)</f>
        <v>0</v>
      </c>
      <c r="Q51" s="81" t="b">
        <f>VLOOKUP(B51,'Run Reconcile'!B$2:O89,14,FALSE)</f>
        <v>1</v>
      </c>
      <c r="R51" s="223" t="str">
        <f t="array" ref="R51">IF(Q51, INDEX('Run Reconcile'!A$2:A89,MATCH(B51,'Run Reconcile'!B$2:B89,0),1),IFERROR(0/0,""))</f>
        <v>RUN-NDHM_2022-06-01_RFR-012</v>
      </c>
      <c r="S51" s="224" t="str">
        <f t="shared" ref="S51:T51" si="101">IF(ISBLANK(W51),IFERROR(0/0,""),TRUE)</f>
        <v/>
      </c>
      <c r="T51" s="224" t="str">
        <f t="shared" si="101"/>
        <v/>
      </c>
      <c r="U51" s="162" t="str">
        <f t="array" ref="U51">IF(ISBLANK(R51), IF(S51,INDEX('Run Reconcile'!A$2:A89,1+MATCH(B51,'Run Reconcile'!B$2:B89,0),1),IF(T51,INDEX('Run Reconcile'!A$2:A89,1+MATCH(B51,'Run Reconcile'!B$2:B89,0),1),INDEX('Run Reconcile'!A$2:A89,MATCH(B51,'Run Reconcile'!B$2:B89,0),1))),IFERROR(0/0,""))</f>
        <v/>
      </c>
      <c r="V51" s="225" t="str">
        <f t="shared" si="5"/>
        <v>RUN-NDHM_2022-06-01_RFR-012</v>
      </c>
      <c r="W51" s="75"/>
      <c r="X51" s="75"/>
      <c r="Y51" s="162" t="str">
        <f t="shared" ref="Y51:Z51" si="102">IF(_xlfn.ISFORMULA(S51),IFERROR(0/0,""),TRUE)</f>
        <v/>
      </c>
      <c r="Z51" s="162" t="str">
        <f t="shared" si="102"/>
        <v/>
      </c>
    </row>
    <row r="52">
      <c r="A52" s="7" t="str">
        <f>IFERROR(__xludf.DUMMYFUNCTION("""COMPUTED_VALUE"""),"AG1821")</f>
        <v>AG1821</v>
      </c>
      <c r="B52" s="218">
        <f>IFERROR(__xludf.DUMMYFUNCTION("""COMPUTED_VALUE"""),44713.0)</f>
        <v>44713</v>
      </c>
      <c r="C52" s="219">
        <f>IFERROR(__xludf.DUMMYFUNCTION("""COMPUTED_VALUE"""),0.20076388888888888)</f>
        <v>0.2007638889</v>
      </c>
      <c r="D52" s="220" t="str">
        <f>IFERROR(__xludf.DUMMYFUNCTION("""COMPUTED_VALUE"""),"SpNDHM118014")</f>
        <v>SpNDHM118014</v>
      </c>
      <c r="E52" s="220"/>
      <c r="F52" s="220"/>
      <c r="G52" s="220" t="str">
        <f>IFERROR(__xludf.DUMMYFUNCTION("""COMPUTED_VALUE"""),"Negative")</f>
        <v>Negative</v>
      </c>
      <c r="H52" s="226" t="str">
        <f>IFERROR(__xludf.DUMMYFUNCTION("""COMPUTED_VALUE"""),"Negative")</f>
        <v>Negative</v>
      </c>
      <c r="I52" s="218">
        <f>IFERROR(__xludf.DUMMYFUNCTION("""COMPUTED_VALUE"""),44713.0)</f>
        <v>44713</v>
      </c>
      <c r="J52" s="221">
        <f>IFERROR(__xludf.DUMMYFUNCTION("""COMPUTED_VALUE"""),0.34149305555555554)</f>
        <v>0.3414930556</v>
      </c>
      <c r="K52" s="54"/>
      <c r="L52" s="7"/>
      <c r="M52" s="58"/>
      <c r="N52" s="58">
        <f>IFERROR(__xludf.DUMMYFUNCTION("""COMPUTED_VALUE"""),2.0)</f>
        <v>2</v>
      </c>
      <c r="O52" s="58" t="str">
        <f t="shared" si="3"/>
        <v/>
      </c>
      <c r="P52" s="222">
        <f>IFERROR(__xludf.DUMMYFUNCTION("""COMPUTED_VALUE"""),0.0)</f>
        <v>0</v>
      </c>
      <c r="Q52" s="81" t="b">
        <f>VLOOKUP(B52,'Run Reconcile'!B$2:O89,14,FALSE)</f>
        <v>1</v>
      </c>
      <c r="R52" s="223" t="str">
        <f t="array" ref="R52">IF(Q52, INDEX('Run Reconcile'!A$2:A89,MATCH(B52,'Run Reconcile'!B$2:B89,0),1),IFERROR(0/0,""))</f>
        <v>RUN-NDHM_2022-06-01_RFR-012</v>
      </c>
      <c r="S52" s="224" t="str">
        <f t="shared" ref="S52:T52" si="103">IF(ISBLANK(W52),IFERROR(0/0,""),TRUE)</f>
        <v/>
      </c>
      <c r="T52" s="224" t="str">
        <f t="shared" si="103"/>
        <v/>
      </c>
      <c r="U52" s="162" t="str">
        <f t="array" ref="U52">IF(ISBLANK(R52), IF(S52,INDEX('Run Reconcile'!A$2:A89,1+MATCH(B52,'Run Reconcile'!B$2:B89,0),1),IF(T52,INDEX('Run Reconcile'!A$2:A89,1+MATCH(B52,'Run Reconcile'!B$2:B89,0),1),INDEX('Run Reconcile'!A$2:A89,MATCH(B52,'Run Reconcile'!B$2:B89,0),1))),IFERROR(0/0,""))</f>
        <v/>
      </c>
      <c r="V52" s="225" t="str">
        <f t="shared" si="5"/>
        <v>RUN-NDHM_2022-06-01_RFR-012</v>
      </c>
      <c r="W52" s="75"/>
      <c r="X52" s="75"/>
      <c r="Y52" s="162" t="str">
        <f t="shared" ref="Y52:Z52" si="104">IF(_xlfn.ISFORMULA(S52),IFERROR(0/0,""),TRUE)</f>
        <v/>
      </c>
      <c r="Z52" s="162" t="str">
        <f t="shared" si="104"/>
        <v/>
      </c>
    </row>
    <row r="53">
      <c r="A53" s="7" t="str">
        <f>IFERROR(__xludf.DUMMYFUNCTION("""COMPUTED_VALUE"""),"AH6875")</f>
        <v>AH6875</v>
      </c>
      <c r="B53" s="218">
        <f>IFERROR(__xludf.DUMMYFUNCTION("""COMPUTED_VALUE"""),44713.0)</f>
        <v>44713</v>
      </c>
      <c r="C53" s="219">
        <f>IFERROR(__xludf.DUMMYFUNCTION("""COMPUTED_VALUE"""),0.20396990740740742)</f>
        <v>0.2039699074</v>
      </c>
      <c r="D53" s="220" t="str">
        <f>IFERROR(__xludf.DUMMYFUNCTION("""COMPUTED_VALUE"""),"SpNDHM842569")</f>
        <v>SpNDHM842569</v>
      </c>
      <c r="E53" s="220"/>
      <c r="F53" s="220"/>
      <c r="G53" s="220" t="str">
        <f>IFERROR(__xludf.DUMMYFUNCTION("""COMPUTED_VALUE"""),"Negative")</f>
        <v>Negative</v>
      </c>
      <c r="H53" s="226" t="str">
        <f>IFERROR(__xludf.DUMMYFUNCTION("""COMPUTED_VALUE"""),"Negative")</f>
        <v>Negative</v>
      </c>
      <c r="I53" s="218">
        <f>IFERROR(__xludf.DUMMYFUNCTION("""COMPUTED_VALUE"""),44713.0)</f>
        <v>44713</v>
      </c>
      <c r="J53" s="221">
        <f>IFERROR(__xludf.DUMMYFUNCTION("""COMPUTED_VALUE"""),0.34149305555555554)</f>
        <v>0.3414930556</v>
      </c>
      <c r="K53" s="54"/>
      <c r="L53" s="7"/>
      <c r="M53" s="58"/>
      <c r="N53" s="58">
        <f>IFERROR(__xludf.DUMMYFUNCTION("""COMPUTED_VALUE"""),2.0)</f>
        <v>2</v>
      </c>
      <c r="O53" s="58" t="str">
        <f t="shared" si="3"/>
        <v/>
      </c>
      <c r="P53" s="222">
        <f>IFERROR(__xludf.DUMMYFUNCTION("""COMPUTED_VALUE"""),0.0)</f>
        <v>0</v>
      </c>
      <c r="Q53" s="81" t="b">
        <f>VLOOKUP(B53,'Run Reconcile'!B$2:O89,14,FALSE)</f>
        <v>1</v>
      </c>
      <c r="R53" s="223" t="str">
        <f t="array" ref="R53">IF(Q53, INDEX('Run Reconcile'!A$2:A89,MATCH(B53,'Run Reconcile'!B$2:B89,0),1),IFERROR(0/0,""))</f>
        <v>RUN-NDHM_2022-06-01_RFR-012</v>
      </c>
      <c r="S53" s="224" t="str">
        <f t="shared" ref="S53:T53" si="105">IF(ISBLANK(W53),IFERROR(0/0,""),TRUE)</f>
        <v/>
      </c>
      <c r="T53" s="224" t="str">
        <f t="shared" si="105"/>
        <v/>
      </c>
      <c r="U53" s="162" t="str">
        <f t="array" ref="U53">IF(ISBLANK(R53), IF(S53,INDEX('Run Reconcile'!A$2:A89,1+MATCH(B53,'Run Reconcile'!B$2:B89,0),1),IF(T53,INDEX('Run Reconcile'!A$2:A89,1+MATCH(B53,'Run Reconcile'!B$2:B89,0),1),INDEX('Run Reconcile'!A$2:A89,MATCH(B53,'Run Reconcile'!B$2:B89,0),1))),IFERROR(0/0,""))</f>
        <v/>
      </c>
      <c r="V53" s="225" t="str">
        <f t="shared" si="5"/>
        <v>RUN-NDHM_2022-06-01_RFR-012</v>
      </c>
      <c r="W53" s="75"/>
      <c r="X53" s="75"/>
      <c r="Y53" s="162" t="str">
        <f t="shared" ref="Y53:Z53" si="106">IF(_xlfn.ISFORMULA(S53),IFERROR(0/0,""),TRUE)</f>
        <v/>
      </c>
      <c r="Z53" s="162" t="str">
        <f t="shared" si="106"/>
        <v/>
      </c>
    </row>
    <row r="54">
      <c r="A54" s="7" t="str">
        <f>IFERROR(__xludf.DUMMYFUNCTION("""COMPUTED_VALUE"""),"AH8860")</f>
        <v>AH8860</v>
      </c>
      <c r="B54" s="218">
        <f>IFERROR(__xludf.DUMMYFUNCTION("""COMPUTED_VALUE"""),44713.0)</f>
        <v>44713</v>
      </c>
      <c r="C54" s="219">
        <f>IFERROR(__xludf.DUMMYFUNCTION("""COMPUTED_VALUE"""),0.2053125)</f>
        <v>0.2053125</v>
      </c>
      <c r="D54" s="220" t="str">
        <f>IFERROR(__xludf.DUMMYFUNCTION("""COMPUTED_VALUE"""),"SpNDHM284552")</f>
        <v>SpNDHM284552</v>
      </c>
      <c r="E54" s="220"/>
      <c r="F54" s="220"/>
      <c r="G54" s="220" t="str">
        <f>IFERROR(__xludf.DUMMYFUNCTION("""COMPUTED_VALUE"""),"Negative")</f>
        <v>Negative</v>
      </c>
      <c r="H54" s="226" t="str">
        <f>IFERROR(__xludf.DUMMYFUNCTION("""COMPUTED_VALUE"""),"Negative")</f>
        <v>Negative</v>
      </c>
      <c r="I54" s="218">
        <f>IFERROR(__xludf.DUMMYFUNCTION("""COMPUTED_VALUE"""),44713.0)</f>
        <v>44713</v>
      </c>
      <c r="J54" s="221">
        <f>IFERROR(__xludf.DUMMYFUNCTION("""COMPUTED_VALUE"""),0.34150462962962963)</f>
        <v>0.3415046296</v>
      </c>
      <c r="K54" s="54"/>
      <c r="L54" s="7"/>
      <c r="M54" s="58"/>
      <c r="N54" s="58">
        <f>IFERROR(__xludf.DUMMYFUNCTION("""COMPUTED_VALUE"""),4.0)</f>
        <v>4</v>
      </c>
      <c r="O54" s="58" t="str">
        <f t="shared" si="3"/>
        <v/>
      </c>
      <c r="P54" s="222">
        <f>IFERROR(__xludf.DUMMYFUNCTION("""COMPUTED_VALUE"""),0.0)</f>
        <v>0</v>
      </c>
      <c r="Q54" s="81" t="b">
        <f>VLOOKUP(B54,'Run Reconcile'!B$2:O89,14,FALSE)</f>
        <v>1</v>
      </c>
      <c r="R54" s="223" t="str">
        <f t="array" ref="R54">IF(Q54, INDEX('Run Reconcile'!A$2:A89,MATCH(B54,'Run Reconcile'!B$2:B89,0),1),IFERROR(0/0,""))</f>
        <v>RUN-NDHM_2022-06-01_RFR-012</v>
      </c>
      <c r="S54" s="224" t="str">
        <f t="shared" ref="S54:T54" si="107">IF(ISBLANK(W54),IFERROR(0/0,""),TRUE)</f>
        <v/>
      </c>
      <c r="T54" s="224" t="str">
        <f t="shared" si="107"/>
        <v/>
      </c>
      <c r="U54" s="162" t="str">
        <f t="array" ref="U54">IF(ISBLANK(R54), IF(S54,INDEX('Run Reconcile'!A$2:A89,1+MATCH(B54,'Run Reconcile'!B$2:B89,0),1),IF(T54,INDEX('Run Reconcile'!A$2:A89,1+MATCH(B54,'Run Reconcile'!B$2:B89,0),1),INDEX('Run Reconcile'!A$2:A89,MATCH(B54,'Run Reconcile'!B$2:B89,0),1))),IFERROR(0/0,""))</f>
        <v/>
      </c>
      <c r="V54" s="225" t="str">
        <f t="shared" si="5"/>
        <v>RUN-NDHM_2022-06-01_RFR-012</v>
      </c>
      <c r="W54" s="75"/>
      <c r="X54" s="75"/>
      <c r="Y54" s="162" t="str">
        <f t="shared" ref="Y54:Z54" si="108">IF(_xlfn.ISFORMULA(S54),IFERROR(0/0,""),TRUE)</f>
        <v/>
      </c>
      <c r="Z54" s="162" t="str">
        <f t="shared" si="108"/>
        <v/>
      </c>
    </row>
    <row r="55">
      <c r="A55" s="7" t="str">
        <f>IFERROR(__xludf.DUMMYFUNCTION("""COMPUTED_VALUE"""),"AG2246")</f>
        <v>AG2246</v>
      </c>
      <c r="B55" s="218">
        <f>IFERROR(__xludf.DUMMYFUNCTION("""COMPUTED_VALUE"""),44713.0)</f>
        <v>44713</v>
      </c>
      <c r="C55" s="219">
        <f>IFERROR(__xludf.DUMMYFUNCTION("""COMPUTED_VALUE"""),0.20859953703703704)</f>
        <v>0.208599537</v>
      </c>
      <c r="D55" s="220" t="str">
        <f>IFERROR(__xludf.DUMMYFUNCTION("""COMPUTED_VALUE"""),"SpNDHM957722")</f>
        <v>SpNDHM957722</v>
      </c>
      <c r="E55" s="220"/>
      <c r="F55" s="220"/>
      <c r="G55" s="220" t="str">
        <f>IFERROR(__xludf.DUMMYFUNCTION("""COMPUTED_VALUE"""),"Negative")</f>
        <v>Negative</v>
      </c>
      <c r="H55" s="226" t="str">
        <f>IFERROR(__xludf.DUMMYFUNCTION("""COMPUTED_VALUE"""),"Negative")</f>
        <v>Negative</v>
      </c>
      <c r="I55" s="218">
        <f>IFERROR(__xludf.DUMMYFUNCTION("""COMPUTED_VALUE"""),44713.0)</f>
        <v>44713</v>
      </c>
      <c r="J55" s="221">
        <f>IFERROR(__xludf.DUMMYFUNCTION("""COMPUTED_VALUE"""),0.34150462962962963)</f>
        <v>0.3415046296</v>
      </c>
      <c r="K55" s="54"/>
      <c r="L55" s="7"/>
      <c r="M55" s="58"/>
      <c r="N55" s="58">
        <f>IFERROR(__xludf.DUMMYFUNCTION("""COMPUTED_VALUE"""),3.0)</f>
        <v>3</v>
      </c>
      <c r="O55" s="58" t="str">
        <f t="shared" si="3"/>
        <v/>
      </c>
      <c r="P55" s="222">
        <f>IFERROR(__xludf.DUMMYFUNCTION("""COMPUTED_VALUE"""),0.0)</f>
        <v>0</v>
      </c>
      <c r="Q55" s="81" t="b">
        <f>VLOOKUP(B55,'Run Reconcile'!B$2:O89,14,FALSE)</f>
        <v>1</v>
      </c>
      <c r="R55" s="223" t="str">
        <f t="array" ref="R55">IF(Q55, INDEX('Run Reconcile'!A$2:A89,MATCH(B55,'Run Reconcile'!B$2:B89,0),1),IFERROR(0/0,""))</f>
        <v>RUN-NDHM_2022-06-01_RFR-012</v>
      </c>
      <c r="S55" s="224" t="str">
        <f t="shared" ref="S55:T55" si="109">IF(ISBLANK(W55),IFERROR(0/0,""),TRUE)</f>
        <v/>
      </c>
      <c r="T55" s="224" t="str">
        <f t="shared" si="109"/>
        <v/>
      </c>
      <c r="U55" s="162" t="str">
        <f t="array" ref="U55">IF(ISBLANK(R55), IF(S55,INDEX('Run Reconcile'!A$2:A89,1+MATCH(B55,'Run Reconcile'!B$2:B89,0),1),IF(T55,INDEX('Run Reconcile'!A$2:A89,1+MATCH(B55,'Run Reconcile'!B$2:B89,0),1),INDEX('Run Reconcile'!A$2:A89,MATCH(B55,'Run Reconcile'!B$2:B89,0),1))),IFERROR(0/0,""))</f>
        <v/>
      </c>
      <c r="V55" s="225" t="str">
        <f t="shared" si="5"/>
        <v>RUN-NDHM_2022-06-01_RFR-012</v>
      </c>
      <c r="W55" s="75"/>
      <c r="X55" s="75"/>
      <c r="Y55" s="162" t="str">
        <f t="shared" ref="Y55:Z55" si="110">IF(_xlfn.ISFORMULA(S55),IFERROR(0/0,""),TRUE)</f>
        <v/>
      </c>
      <c r="Z55" s="162" t="str">
        <f t="shared" si="110"/>
        <v/>
      </c>
    </row>
    <row r="56">
      <c r="A56" s="7" t="str">
        <f>IFERROR(__xludf.DUMMYFUNCTION("""COMPUTED_VALUE"""),"AH9625")</f>
        <v>AH9625</v>
      </c>
      <c r="B56" s="218">
        <f>IFERROR(__xludf.DUMMYFUNCTION("""COMPUTED_VALUE"""),44713.0)</f>
        <v>44713</v>
      </c>
      <c r="C56" s="219">
        <f>IFERROR(__xludf.DUMMYFUNCTION("""COMPUTED_VALUE"""),0.25175925925925924)</f>
        <v>0.2517592593</v>
      </c>
      <c r="D56" s="220" t="str">
        <f>IFERROR(__xludf.DUMMYFUNCTION("""COMPUTED_VALUE"""),"SpNDHM189649")</f>
        <v>SpNDHM189649</v>
      </c>
      <c r="E56" s="220"/>
      <c r="F56" s="220"/>
      <c r="G56" s="220" t="str">
        <f>IFERROR(__xludf.DUMMYFUNCTION("""COMPUTED_VALUE"""),"Negative")</f>
        <v>Negative</v>
      </c>
      <c r="H56" s="226" t="str">
        <f>IFERROR(__xludf.DUMMYFUNCTION("""COMPUTED_VALUE"""),"Negative")</f>
        <v>Negative</v>
      </c>
      <c r="I56" s="218">
        <f>IFERROR(__xludf.DUMMYFUNCTION("""COMPUTED_VALUE"""),44713.0)</f>
        <v>44713</v>
      </c>
      <c r="J56" s="221">
        <f>IFERROR(__xludf.DUMMYFUNCTION("""COMPUTED_VALUE"""),0.34150462962962963)</f>
        <v>0.3415046296</v>
      </c>
      <c r="K56" s="54"/>
      <c r="L56" s="7"/>
      <c r="M56" s="58"/>
      <c r="N56" s="58">
        <f>IFERROR(__xludf.DUMMYFUNCTION("""COMPUTED_VALUE"""),1.0)</f>
        <v>1</v>
      </c>
      <c r="O56" s="58" t="str">
        <f t="shared" si="3"/>
        <v/>
      </c>
      <c r="P56" s="222">
        <f>IFERROR(__xludf.DUMMYFUNCTION("""COMPUTED_VALUE"""),0.0)</f>
        <v>0</v>
      </c>
      <c r="Q56" s="81" t="b">
        <f>VLOOKUP(B56,'Run Reconcile'!B$2:O89,14,FALSE)</f>
        <v>1</v>
      </c>
      <c r="R56" s="223" t="str">
        <f t="array" ref="R56">IF(Q56, INDEX('Run Reconcile'!A$2:A89,MATCH(B56,'Run Reconcile'!B$2:B89,0),1),IFERROR(0/0,""))</f>
        <v>RUN-NDHM_2022-06-01_RFR-012</v>
      </c>
      <c r="S56" s="224" t="str">
        <f t="shared" ref="S56:T56" si="111">IF(ISBLANK(W56),IFERROR(0/0,""),TRUE)</f>
        <v/>
      </c>
      <c r="T56" s="224" t="str">
        <f t="shared" si="111"/>
        <v/>
      </c>
      <c r="U56" s="162" t="str">
        <f t="array" ref="U56">IF(ISBLANK(R56), IF(S56,INDEX('Run Reconcile'!A$2:A89,1+MATCH(B56,'Run Reconcile'!B$2:B89,0),1),IF(T56,INDEX('Run Reconcile'!A$2:A89,1+MATCH(B56,'Run Reconcile'!B$2:B89,0),1),INDEX('Run Reconcile'!A$2:A89,MATCH(B56,'Run Reconcile'!B$2:B89,0),1))),IFERROR(0/0,""))</f>
        <v/>
      </c>
      <c r="V56" s="225" t="str">
        <f t="shared" si="5"/>
        <v>RUN-NDHM_2022-06-01_RFR-012</v>
      </c>
      <c r="W56" s="75"/>
      <c r="X56" s="75"/>
      <c r="Y56" s="162" t="str">
        <f t="shared" ref="Y56:Z56" si="112">IF(_xlfn.ISFORMULA(S56),IFERROR(0/0,""),TRUE)</f>
        <v/>
      </c>
      <c r="Z56" s="162" t="str">
        <f t="shared" si="112"/>
        <v/>
      </c>
    </row>
    <row r="57">
      <c r="A57" s="7" t="str">
        <f>IFERROR(__xludf.DUMMYFUNCTION("""COMPUTED_VALUE"""),"AG256")</f>
        <v>AG256</v>
      </c>
      <c r="B57" s="218">
        <f>IFERROR(__xludf.DUMMYFUNCTION("""COMPUTED_VALUE"""),44713.0)</f>
        <v>44713</v>
      </c>
      <c r="C57" s="219">
        <f>IFERROR(__xludf.DUMMYFUNCTION("""COMPUTED_VALUE"""),0.2727893518518518)</f>
        <v>0.2727893519</v>
      </c>
      <c r="D57" s="220" t="str">
        <f>IFERROR(__xludf.DUMMYFUNCTION("""COMPUTED_VALUE"""),"SpNDHM122532")</f>
        <v>SpNDHM122532</v>
      </c>
      <c r="E57" s="220"/>
      <c r="F57" s="220"/>
      <c r="G57" s="220" t="str">
        <f>IFERROR(__xludf.DUMMYFUNCTION("""COMPUTED_VALUE"""),"Negative")</f>
        <v>Negative</v>
      </c>
      <c r="H57" s="226" t="str">
        <f>IFERROR(__xludf.DUMMYFUNCTION("""COMPUTED_VALUE"""),"Negative")</f>
        <v>Negative</v>
      </c>
      <c r="I57" s="218">
        <f>IFERROR(__xludf.DUMMYFUNCTION("""COMPUTED_VALUE"""),44713.0)</f>
        <v>44713</v>
      </c>
      <c r="J57" s="221">
        <f>IFERROR(__xludf.DUMMYFUNCTION("""COMPUTED_VALUE"""),0.34150462962962963)</f>
        <v>0.3415046296</v>
      </c>
      <c r="K57" s="54"/>
      <c r="L57" s="7"/>
      <c r="M57" s="58"/>
      <c r="N57" s="58">
        <f>IFERROR(__xludf.DUMMYFUNCTION("""COMPUTED_VALUE"""),1.0)</f>
        <v>1</v>
      </c>
      <c r="O57" s="58" t="str">
        <f t="shared" si="3"/>
        <v/>
      </c>
      <c r="P57" s="222">
        <f>IFERROR(__xludf.DUMMYFUNCTION("""COMPUTED_VALUE"""),0.0)</f>
        <v>0</v>
      </c>
      <c r="Q57" s="81" t="b">
        <f>VLOOKUP(B57,'Run Reconcile'!B$2:O89,14,FALSE)</f>
        <v>1</v>
      </c>
      <c r="R57" s="223" t="str">
        <f t="array" ref="R57">IF(Q57, INDEX('Run Reconcile'!A$2:A89,MATCH(B57,'Run Reconcile'!B$2:B89,0),1),IFERROR(0/0,""))</f>
        <v>RUN-NDHM_2022-06-01_RFR-012</v>
      </c>
      <c r="S57" s="224" t="str">
        <f t="shared" ref="S57:T57" si="113">IF(ISBLANK(W57),IFERROR(0/0,""),TRUE)</f>
        <v/>
      </c>
      <c r="T57" s="224" t="str">
        <f t="shared" si="113"/>
        <v/>
      </c>
      <c r="U57" s="162" t="str">
        <f t="array" ref="U57">IF(ISBLANK(R57), IF(S57,INDEX('Run Reconcile'!A$2:A89,1+MATCH(B57,'Run Reconcile'!B$2:B89,0),1),IF(T57,INDEX('Run Reconcile'!A$2:A89,1+MATCH(B57,'Run Reconcile'!B$2:B89,0),1),INDEX('Run Reconcile'!A$2:A89,MATCH(B57,'Run Reconcile'!B$2:B89,0),1))),IFERROR(0/0,""))</f>
        <v/>
      </c>
      <c r="V57" s="225" t="str">
        <f t="shared" si="5"/>
        <v>RUN-NDHM_2022-06-01_RFR-012</v>
      </c>
      <c r="W57" s="75"/>
      <c r="X57" s="75"/>
      <c r="Y57" s="162" t="str">
        <f t="shared" ref="Y57:Z57" si="114">IF(_xlfn.ISFORMULA(S57),IFERROR(0/0,""),TRUE)</f>
        <v/>
      </c>
      <c r="Z57" s="162" t="str">
        <f t="shared" si="114"/>
        <v/>
      </c>
    </row>
    <row r="58">
      <c r="A58" s="7" t="str">
        <f>IFERROR(__xludf.DUMMYFUNCTION("""COMPUTED_VALUE"""),"AG1608")</f>
        <v>AG1608</v>
      </c>
      <c r="B58" s="218">
        <f>IFERROR(__xludf.DUMMYFUNCTION("""COMPUTED_VALUE"""),44718.0)</f>
        <v>44718</v>
      </c>
      <c r="C58" s="219">
        <f>IFERROR(__xludf.DUMMYFUNCTION("""COMPUTED_VALUE"""),0.1569212962962963)</f>
        <v>0.1569212963</v>
      </c>
      <c r="D58" s="220" t="str">
        <f>IFERROR(__xludf.DUMMYFUNCTION("""COMPUTED_VALUE"""),"SpNDHM435885")</f>
        <v>SpNDHM435885</v>
      </c>
      <c r="E58" s="220"/>
      <c r="F58" s="220"/>
      <c r="G58" s="220" t="str">
        <f>IFERROR(__xludf.DUMMYFUNCTION("""COMPUTED_VALUE"""),"Negative")</f>
        <v>Negative</v>
      </c>
      <c r="H58" s="226" t="str">
        <f>IFERROR(__xludf.DUMMYFUNCTION("""COMPUTED_VALUE"""),"Negative")</f>
        <v>Negative</v>
      </c>
      <c r="I58" s="218">
        <f>IFERROR(__xludf.DUMMYFUNCTION("""COMPUTED_VALUE"""),44718.0)</f>
        <v>44718</v>
      </c>
      <c r="J58" s="221">
        <f>IFERROR(__xludf.DUMMYFUNCTION("""COMPUTED_VALUE"""),0.36497685185185186)</f>
        <v>0.3649768519</v>
      </c>
      <c r="K58" s="54"/>
      <c r="L58" s="7"/>
      <c r="M58" s="58"/>
      <c r="N58" s="58">
        <f>IFERROR(__xludf.DUMMYFUNCTION("""COMPUTED_VALUE"""),3.0)</f>
        <v>3</v>
      </c>
      <c r="O58" s="58" t="b">
        <f t="shared" si="3"/>
        <v>1</v>
      </c>
      <c r="P58" s="222">
        <f>IFERROR(__xludf.DUMMYFUNCTION("""COMPUTED_VALUE"""),0.0)</f>
        <v>0</v>
      </c>
      <c r="Q58" s="81" t="b">
        <f>VLOOKUP(B58,'Run Reconcile'!B$2:O89,14,FALSE)</f>
        <v>1</v>
      </c>
      <c r="R58" s="223" t="str">
        <f t="array" ref="R58">IF(Q58, INDEX('Run Reconcile'!A$2:A89,MATCH(B58,'Run Reconcile'!B$2:B89,0),1),IFERROR(0/0,""))</f>
        <v>RUN-NDHM_2022-06-06_RFR-013</v>
      </c>
      <c r="S58" s="224" t="str">
        <f t="shared" ref="S58:T58" si="115">IF(ISBLANK(W58),IFERROR(0/0,""),TRUE)</f>
        <v/>
      </c>
      <c r="T58" s="224" t="str">
        <f t="shared" si="115"/>
        <v/>
      </c>
      <c r="U58" s="162" t="str">
        <f t="array" ref="U58">IF(ISBLANK(R58), IF(S58,INDEX('Run Reconcile'!A$2:A89,1+MATCH(B58,'Run Reconcile'!B$2:B89,0),1),IF(T58,INDEX('Run Reconcile'!A$2:A89,1+MATCH(B58,'Run Reconcile'!B$2:B89,0),1),INDEX('Run Reconcile'!A$2:A89,MATCH(B58,'Run Reconcile'!B$2:B89,0),1))),IFERROR(0/0,""))</f>
        <v/>
      </c>
      <c r="V58" s="225" t="str">
        <f t="shared" si="5"/>
        <v>RUN-NDHM_2022-06-06_RFR-013</v>
      </c>
      <c r="W58" s="75"/>
      <c r="X58" s="75"/>
      <c r="Y58" s="162" t="str">
        <f t="shared" ref="Y58:Z58" si="116">IF(_xlfn.ISFORMULA(S58),IFERROR(0/0,""),TRUE)</f>
        <v/>
      </c>
      <c r="Z58" s="162" t="str">
        <f t="shared" si="116"/>
        <v/>
      </c>
    </row>
    <row r="59">
      <c r="A59" s="7" t="str">
        <f>IFERROR(__xludf.DUMMYFUNCTION("""COMPUTED_VALUE"""),"AH707")</f>
        <v>AH707</v>
      </c>
      <c r="B59" s="218">
        <f>IFERROR(__xludf.DUMMYFUNCTION("""COMPUTED_VALUE"""),44718.0)</f>
        <v>44718</v>
      </c>
      <c r="C59" s="219">
        <f>IFERROR(__xludf.DUMMYFUNCTION("""COMPUTED_VALUE"""),0.17775462962962962)</f>
        <v>0.1777546296</v>
      </c>
      <c r="D59" s="220" t="str">
        <f>IFERROR(__xludf.DUMMYFUNCTION("""COMPUTED_VALUE"""),"SpNDHM955894")</f>
        <v>SpNDHM955894</v>
      </c>
      <c r="E59" s="220"/>
      <c r="F59" s="220"/>
      <c r="G59" s="220" t="str">
        <f>IFERROR(__xludf.DUMMYFUNCTION("""COMPUTED_VALUE"""),"Negative")</f>
        <v>Negative</v>
      </c>
      <c r="H59" s="226" t="str">
        <f>IFERROR(__xludf.DUMMYFUNCTION("""COMPUTED_VALUE"""),"Negative")</f>
        <v>Negative</v>
      </c>
      <c r="I59" s="218">
        <f>IFERROR(__xludf.DUMMYFUNCTION("""COMPUTED_VALUE"""),44718.0)</f>
        <v>44718</v>
      </c>
      <c r="J59" s="221">
        <f>IFERROR(__xludf.DUMMYFUNCTION("""COMPUTED_VALUE"""),0.36497685185185186)</f>
        <v>0.3649768519</v>
      </c>
      <c r="K59" s="54"/>
      <c r="L59" s="7"/>
      <c r="M59" s="58"/>
      <c r="N59" s="58">
        <f>IFERROR(__xludf.DUMMYFUNCTION("""COMPUTED_VALUE"""),4.0)</f>
        <v>4</v>
      </c>
      <c r="O59" s="58" t="str">
        <f t="shared" si="3"/>
        <v/>
      </c>
      <c r="P59" s="222">
        <f>IFERROR(__xludf.DUMMYFUNCTION("""COMPUTED_VALUE"""),0.0)</f>
        <v>0</v>
      </c>
      <c r="Q59" s="81" t="b">
        <f>VLOOKUP(B59,'Run Reconcile'!B$2:O89,14,FALSE)</f>
        <v>1</v>
      </c>
      <c r="R59" s="223" t="str">
        <f t="array" ref="R59">IF(Q59, INDEX('Run Reconcile'!A$2:A89,MATCH(B59,'Run Reconcile'!B$2:B89,0),1),IFERROR(0/0,""))</f>
        <v>RUN-NDHM_2022-06-06_RFR-013</v>
      </c>
      <c r="S59" s="224" t="str">
        <f t="shared" ref="S59:T59" si="117">IF(ISBLANK(W59),IFERROR(0/0,""),TRUE)</f>
        <v/>
      </c>
      <c r="T59" s="224" t="str">
        <f t="shared" si="117"/>
        <v/>
      </c>
      <c r="U59" s="162" t="str">
        <f t="array" ref="U59">IF(ISBLANK(R59), IF(S59,INDEX('Run Reconcile'!A$2:A89,1+MATCH(B59,'Run Reconcile'!B$2:B89,0),1),IF(T59,INDEX('Run Reconcile'!A$2:A89,1+MATCH(B59,'Run Reconcile'!B$2:B89,0),1),INDEX('Run Reconcile'!A$2:A89,MATCH(B59,'Run Reconcile'!B$2:B89,0),1))),IFERROR(0/0,""))</f>
        <v/>
      </c>
      <c r="V59" s="225" t="str">
        <f t="shared" si="5"/>
        <v>RUN-NDHM_2022-06-06_RFR-013</v>
      </c>
      <c r="W59" s="75"/>
      <c r="X59" s="75"/>
      <c r="Y59" s="162" t="str">
        <f t="shared" ref="Y59:Z59" si="118">IF(_xlfn.ISFORMULA(S59),IFERROR(0/0,""),TRUE)</f>
        <v/>
      </c>
      <c r="Z59" s="162" t="str">
        <f t="shared" si="118"/>
        <v/>
      </c>
    </row>
    <row r="60">
      <c r="A60" s="7" t="str">
        <f>IFERROR(__xludf.DUMMYFUNCTION("""COMPUTED_VALUE"""),"AG615")</f>
        <v>AG615</v>
      </c>
      <c r="B60" s="218">
        <f>IFERROR(__xludf.DUMMYFUNCTION("""COMPUTED_VALUE"""),44718.0)</f>
        <v>44718</v>
      </c>
      <c r="C60" s="219">
        <f>IFERROR(__xludf.DUMMYFUNCTION("""COMPUTED_VALUE"""),0.20266203703703703)</f>
        <v>0.202662037</v>
      </c>
      <c r="D60" s="220" t="str">
        <f>IFERROR(__xludf.DUMMYFUNCTION("""COMPUTED_VALUE"""),"SpNDHM966349")</f>
        <v>SpNDHM966349</v>
      </c>
      <c r="E60" s="220"/>
      <c r="F60" s="220"/>
      <c r="G60" s="220" t="str">
        <f>IFERROR(__xludf.DUMMYFUNCTION("""COMPUTED_VALUE"""),"Negative")</f>
        <v>Negative</v>
      </c>
      <c r="H60" s="226" t="str">
        <f>IFERROR(__xludf.DUMMYFUNCTION("""COMPUTED_VALUE"""),"Negative")</f>
        <v>Negative</v>
      </c>
      <c r="I60" s="218">
        <f>IFERROR(__xludf.DUMMYFUNCTION("""COMPUTED_VALUE"""),44718.0)</f>
        <v>44718</v>
      </c>
      <c r="J60" s="221">
        <f>IFERROR(__xludf.DUMMYFUNCTION("""COMPUTED_VALUE"""),0.36497685185185186)</f>
        <v>0.3649768519</v>
      </c>
      <c r="K60" s="54"/>
      <c r="L60" s="7"/>
      <c r="M60" s="58"/>
      <c r="N60" s="58">
        <f>IFERROR(__xludf.DUMMYFUNCTION("""COMPUTED_VALUE"""),2.0)</f>
        <v>2</v>
      </c>
      <c r="O60" s="58" t="str">
        <f t="shared" si="3"/>
        <v/>
      </c>
      <c r="P60" s="222">
        <f>IFERROR(__xludf.DUMMYFUNCTION("""COMPUTED_VALUE"""),0.0)</f>
        <v>0</v>
      </c>
      <c r="Q60" s="81" t="b">
        <f>VLOOKUP(B60,'Run Reconcile'!B$2:O89,14,FALSE)</f>
        <v>1</v>
      </c>
      <c r="R60" s="223" t="str">
        <f t="array" ref="R60">IF(Q60, INDEX('Run Reconcile'!A$2:A89,MATCH(B60,'Run Reconcile'!B$2:B89,0),1),IFERROR(0/0,""))</f>
        <v>RUN-NDHM_2022-06-06_RFR-013</v>
      </c>
      <c r="S60" s="224" t="str">
        <f t="shared" ref="S60:T60" si="119">IF(ISBLANK(W60),IFERROR(0/0,""),TRUE)</f>
        <v/>
      </c>
      <c r="T60" s="224" t="str">
        <f t="shared" si="119"/>
        <v/>
      </c>
      <c r="U60" s="162" t="str">
        <f t="array" ref="U60">IF(ISBLANK(R60), IF(S60,INDEX('Run Reconcile'!A$2:A89,1+MATCH(B60,'Run Reconcile'!B$2:B89,0),1),IF(T60,INDEX('Run Reconcile'!A$2:A89,1+MATCH(B60,'Run Reconcile'!B$2:B89,0),1),INDEX('Run Reconcile'!A$2:A89,MATCH(B60,'Run Reconcile'!B$2:B89,0),1))),IFERROR(0/0,""))</f>
        <v/>
      </c>
      <c r="V60" s="225" t="str">
        <f t="shared" si="5"/>
        <v>RUN-NDHM_2022-06-06_RFR-013</v>
      </c>
      <c r="W60" s="75"/>
      <c r="X60" s="75"/>
      <c r="Y60" s="162" t="str">
        <f t="shared" ref="Y60:Z60" si="120">IF(_xlfn.ISFORMULA(S60),IFERROR(0/0,""),TRUE)</f>
        <v/>
      </c>
      <c r="Z60" s="162" t="str">
        <f t="shared" si="120"/>
        <v/>
      </c>
    </row>
    <row r="61">
      <c r="A61" s="7" t="str">
        <f>IFERROR(__xludf.DUMMYFUNCTION("""COMPUTED_VALUE"""),"AH7933")</f>
        <v>AH7933</v>
      </c>
      <c r="B61" s="218">
        <f>IFERROR(__xludf.DUMMYFUNCTION("""COMPUTED_VALUE"""),44718.0)</f>
        <v>44718</v>
      </c>
      <c r="C61" s="219">
        <f>IFERROR(__xludf.DUMMYFUNCTION("""COMPUTED_VALUE"""),0.21167824074074074)</f>
        <v>0.2116782407</v>
      </c>
      <c r="D61" s="220" t="str">
        <f>IFERROR(__xludf.DUMMYFUNCTION("""COMPUTED_VALUE"""),"SpNDHM957722")</f>
        <v>SpNDHM957722</v>
      </c>
      <c r="E61" s="220"/>
      <c r="F61" s="220"/>
      <c r="G61" s="220" t="str">
        <f>IFERROR(__xludf.DUMMYFUNCTION("""COMPUTED_VALUE"""),"Negative")</f>
        <v>Negative</v>
      </c>
      <c r="H61" s="226" t="str">
        <f>IFERROR(__xludf.DUMMYFUNCTION("""COMPUTED_VALUE"""),"Negative")</f>
        <v>Negative</v>
      </c>
      <c r="I61" s="218">
        <f>IFERROR(__xludf.DUMMYFUNCTION("""COMPUTED_VALUE"""),44718.0)</f>
        <v>44718</v>
      </c>
      <c r="J61" s="221">
        <f>IFERROR(__xludf.DUMMYFUNCTION("""COMPUTED_VALUE"""),0.36497685185185186)</f>
        <v>0.3649768519</v>
      </c>
      <c r="K61" s="54"/>
      <c r="L61" s="7"/>
      <c r="M61" s="58"/>
      <c r="N61" s="58">
        <f>IFERROR(__xludf.DUMMYFUNCTION("""COMPUTED_VALUE"""),3.0)</f>
        <v>3</v>
      </c>
      <c r="O61" s="58" t="str">
        <f t="shared" si="3"/>
        <v/>
      </c>
      <c r="P61" s="222">
        <f>IFERROR(__xludf.DUMMYFUNCTION("""COMPUTED_VALUE"""),0.0)</f>
        <v>0</v>
      </c>
      <c r="Q61" s="81" t="b">
        <f>VLOOKUP(B61,'Run Reconcile'!B$2:O89,14,FALSE)</f>
        <v>1</v>
      </c>
      <c r="R61" s="223" t="str">
        <f t="array" ref="R61">IF(Q61, INDEX('Run Reconcile'!A$2:A89,MATCH(B61,'Run Reconcile'!B$2:B89,0),1),IFERROR(0/0,""))</f>
        <v>RUN-NDHM_2022-06-06_RFR-013</v>
      </c>
      <c r="S61" s="224" t="str">
        <f t="shared" ref="S61:T61" si="121">IF(ISBLANK(W61),IFERROR(0/0,""),TRUE)</f>
        <v/>
      </c>
      <c r="T61" s="224" t="str">
        <f t="shared" si="121"/>
        <v/>
      </c>
      <c r="U61" s="162" t="str">
        <f t="array" ref="U61">IF(ISBLANK(R61), IF(S61,INDEX('Run Reconcile'!A$2:A89,1+MATCH(B61,'Run Reconcile'!B$2:B89,0),1),IF(T61,INDEX('Run Reconcile'!A$2:A89,1+MATCH(B61,'Run Reconcile'!B$2:B89,0),1),INDEX('Run Reconcile'!A$2:A89,MATCH(B61,'Run Reconcile'!B$2:B89,0),1))),IFERROR(0/0,""))</f>
        <v/>
      </c>
      <c r="V61" s="225" t="str">
        <f t="shared" si="5"/>
        <v>RUN-NDHM_2022-06-06_RFR-013</v>
      </c>
      <c r="W61" s="75"/>
      <c r="X61" s="75"/>
      <c r="Y61" s="162" t="str">
        <f t="shared" ref="Y61:Z61" si="122">IF(_xlfn.ISFORMULA(S61),IFERROR(0/0,""),TRUE)</f>
        <v/>
      </c>
      <c r="Z61" s="162" t="str">
        <f t="shared" si="122"/>
        <v/>
      </c>
    </row>
    <row r="62">
      <c r="A62" s="7" t="str">
        <f>IFERROR(__xludf.DUMMYFUNCTION("""COMPUTED_VALUE"""),"AH9741")</f>
        <v>AH9741</v>
      </c>
      <c r="B62" s="218">
        <f>IFERROR(__xludf.DUMMYFUNCTION("""COMPUTED_VALUE"""),44718.0)</f>
        <v>44718</v>
      </c>
      <c r="C62" s="219">
        <f>IFERROR(__xludf.DUMMYFUNCTION("""COMPUTED_VALUE"""),0.21364583333333334)</f>
        <v>0.2136458333</v>
      </c>
      <c r="D62" s="220" t="str">
        <f>IFERROR(__xludf.DUMMYFUNCTION("""COMPUTED_VALUE"""),"SpNDHM284552")</f>
        <v>SpNDHM284552</v>
      </c>
      <c r="E62" s="220"/>
      <c r="F62" s="220"/>
      <c r="G62" s="220" t="str">
        <f>IFERROR(__xludf.DUMMYFUNCTION("""COMPUTED_VALUE"""),"Negative")</f>
        <v>Negative</v>
      </c>
      <c r="H62" s="226" t="str">
        <f>IFERROR(__xludf.DUMMYFUNCTION("""COMPUTED_VALUE"""),"Negative")</f>
        <v>Negative</v>
      </c>
      <c r="I62" s="218">
        <f>IFERROR(__xludf.DUMMYFUNCTION("""COMPUTED_VALUE"""),44718.0)</f>
        <v>44718</v>
      </c>
      <c r="J62" s="221">
        <f>IFERROR(__xludf.DUMMYFUNCTION("""COMPUTED_VALUE"""),0.36497685185185186)</f>
        <v>0.3649768519</v>
      </c>
      <c r="K62" s="54"/>
      <c r="L62" s="7"/>
      <c r="M62" s="58"/>
      <c r="N62" s="58">
        <f>IFERROR(__xludf.DUMMYFUNCTION("""COMPUTED_VALUE"""),2.0)</f>
        <v>2</v>
      </c>
      <c r="O62" s="58" t="str">
        <f t="shared" si="3"/>
        <v/>
      </c>
      <c r="P62" s="222">
        <f>IFERROR(__xludf.DUMMYFUNCTION("""COMPUTED_VALUE"""),0.0)</f>
        <v>0</v>
      </c>
      <c r="Q62" s="81" t="b">
        <f>VLOOKUP(B62,'Run Reconcile'!B$2:O89,14,FALSE)</f>
        <v>1</v>
      </c>
      <c r="R62" s="223" t="str">
        <f t="array" ref="R62">IF(Q62, INDEX('Run Reconcile'!A$2:A89,MATCH(B62,'Run Reconcile'!B$2:B89,0),1),IFERROR(0/0,""))</f>
        <v>RUN-NDHM_2022-06-06_RFR-013</v>
      </c>
      <c r="S62" s="224" t="str">
        <f t="shared" ref="S62:T62" si="123">IF(ISBLANK(W62),IFERROR(0/0,""),TRUE)</f>
        <v/>
      </c>
      <c r="T62" s="224" t="str">
        <f t="shared" si="123"/>
        <v/>
      </c>
      <c r="U62" s="162" t="str">
        <f t="array" ref="U62">IF(ISBLANK(R62), IF(S62,INDEX('Run Reconcile'!A$2:A89,1+MATCH(B62,'Run Reconcile'!B$2:B89,0),1),IF(T62,INDEX('Run Reconcile'!A$2:A89,1+MATCH(B62,'Run Reconcile'!B$2:B89,0),1),INDEX('Run Reconcile'!A$2:A89,MATCH(B62,'Run Reconcile'!B$2:B89,0),1))),IFERROR(0/0,""))</f>
        <v/>
      </c>
      <c r="V62" s="225" t="str">
        <f t="shared" si="5"/>
        <v>RUN-NDHM_2022-06-06_RFR-013</v>
      </c>
      <c r="W62" s="75"/>
      <c r="X62" s="75"/>
      <c r="Y62" s="162" t="str">
        <f t="shared" ref="Y62:Z62" si="124">IF(_xlfn.ISFORMULA(S62),IFERROR(0/0,""),TRUE)</f>
        <v/>
      </c>
      <c r="Z62" s="162" t="str">
        <f t="shared" si="124"/>
        <v/>
      </c>
    </row>
    <row r="63">
      <c r="A63" s="7" t="str">
        <f>IFERROR(__xludf.DUMMYFUNCTION("""COMPUTED_VALUE"""),"AJ8368")</f>
        <v>AJ8368</v>
      </c>
      <c r="B63" s="218">
        <f>IFERROR(__xludf.DUMMYFUNCTION("""COMPUTED_VALUE"""),44718.0)</f>
        <v>44718</v>
      </c>
      <c r="C63" s="219">
        <f>IFERROR(__xludf.DUMMYFUNCTION("""COMPUTED_VALUE"""),0.23652777777777778)</f>
        <v>0.2365277778</v>
      </c>
      <c r="D63" s="220" t="str">
        <f>IFERROR(__xludf.DUMMYFUNCTION("""COMPUTED_VALUE"""),"SpNDHM189649")</f>
        <v>SpNDHM189649</v>
      </c>
      <c r="E63" s="220"/>
      <c r="F63" s="220"/>
      <c r="G63" s="220" t="str">
        <f>IFERROR(__xludf.DUMMYFUNCTION("""COMPUTED_VALUE"""),"Negative")</f>
        <v>Negative</v>
      </c>
      <c r="H63" s="226" t="str">
        <f>IFERROR(__xludf.DUMMYFUNCTION("""COMPUTED_VALUE"""),"Negative")</f>
        <v>Negative</v>
      </c>
      <c r="I63" s="218">
        <f>IFERROR(__xludf.DUMMYFUNCTION("""COMPUTED_VALUE"""),44718.0)</f>
        <v>44718</v>
      </c>
      <c r="J63" s="221">
        <f>IFERROR(__xludf.DUMMYFUNCTION("""COMPUTED_VALUE"""),0.36498842592592595)</f>
        <v>0.3649884259</v>
      </c>
      <c r="K63" s="54"/>
      <c r="L63" s="7"/>
      <c r="M63" s="58"/>
      <c r="N63" s="58">
        <f>IFERROR(__xludf.DUMMYFUNCTION("""COMPUTED_VALUE"""),3.0)</f>
        <v>3</v>
      </c>
      <c r="O63" s="58" t="str">
        <f t="shared" si="3"/>
        <v/>
      </c>
      <c r="P63" s="222">
        <f>IFERROR(__xludf.DUMMYFUNCTION("""COMPUTED_VALUE"""),0.0)</f>
        <v>0</v>
      </c>
      <c r="Q63" s="81" t="b">
        <f>VLOOKUP(B63,'Run Reconcile'!B$2:O89,14,FALSE)</f>
        <v>1</v>
      </c>
      <c r="R63" s="223" t="str">
        <f t="array" ref="R63">IF(Q63, INDEX('Run Reconcile'!A$2:A89,MATCH(B63,'Run Reconcile'!B$2:B89,0),1),IFERROR(0/0,""))</f>
        <v>RUN-NDHM_2022-06-06_RFR-013</v>
      </c>
      <c r="S63" s="224" t="str">
        <f t="shared" ref="S63:T63" si="125">IF(ISBLANK(W63),IFERROR(0/0,""),TRUE)</f>
        <v/>
      </c>
      <c r="T63" s="224" t="str">
        <f t="shared" si="125"/>
        <v/>
      </c>
      <c r="U63" s="162" t="str">
        <f t="array" ref="U63">IF(ISBLANK(R63), IF(S63,INDEX('Run Reconcile'!A$2:A89,1+MATCH(B63,'Run Reconcile'!B$2:B89,0),1),IF(T63,INDEX('Run Reconcile'!A$2:A89,1+MATCH(B63,'Run Reconcile'!B$2:B89,0),1),INDEX('Run Reconcile'!A$2:A89,MATCH(B63,'Run Reconcile'!B$2:B89,0),1))),IFERROR(0/0,""))</f>
        <v/>
      </c>
      <c r="V63" s="225" t="str">
        <f t="shared" si="5"/>
        <v>RUN-NDHM_2022-06-06_RFR-013</v>
      </c>
      <c r="W63" s="75"/>
      <c r="X63" s="75"/>
      <c r="Y63" s="162" t="str">
        <f t="shared" ref="Y63:Z63" si="126">IF(_xlfn.ISFORMULA(S63),IFERROR(0/0,""),TRUE)</f>
        <v/>
      </c>
      <c r="Z63" s="162" t="str">
        <f t="shared" si="126"/>
        <v/>
      </c>
    </row>
    <row r="64">
      <c r="A64" s="7" t="str">
        <f>IFERROR(__xludf.DUMMYFUNCTION("""COMPUTED_VALUE"""),"AG2202")</f>
        <v>AG2202</v>
      </c>
      <c r="B64" s="218">
        <f>IFERROR(__xludf.DUMMYFUNCTION("""COMPUTED_VALUE"""),44718.0)</f>
        <v>44718</v>
      </c>
      <c r="C64" s="219">
        <f>IFERROR(__xludf.DUMMYFUNCTION("""COMPUTED_VALUE"""),0.2998032407407407)</f>
        <v>0.2998032407</v>
      </c>
      <c r="D64" s="220" t="str">
        <f>IFERROR(__xludf.DUMMYFUNCTION("""COMPUTED_VALUE"""),"SpNDHM122532")</f>
        <v>SpNDHM122532</v>
      </c>
      <c r="E64" s="220"/>
      <c r="F64" s="220"/>
      <c r="G64" s="220" t="str">
        <f>IFERROR(__xludf.DUMMYFUNCTION("""COMPUTED_VALUE"""),"Negative")</f>
        <v>Negative</v>
      </c>
      <c r="H64" s="226" t="str">
        <f>IFERROR(__xludf.DUMMYFUNCTION("""COMPUTED_VALUE"""),"Negative")</f>
        <v>Negative</v>
      </c>
      <c r="I64" s="218">
        <f>IFERROR(__xludf.DUMMYFUNCTION("""COMPUTED_VALUE"""),44718.0)</f>
        <v>44718</v>
      </c>
      <c r="J64" s="221">
        <f>IFERROR(__xludf.DUMMYFUNCTION("""COMPUTED_VALUE"""),0.36498842592592595)</f>
        <v>0.3649884259</v>
      </c>
      <c r="K64" s="54"/>
      <c r="L64" s="7"/>
      <c r="M64" s="58"/>
      <c r="N64" s="58">
        <f>IFERROR(__xludf.DUMMYFUNCTION("""COMPUTED_VALUE"""),2.0)</f>
        <v>2</v>
      </c>
      <c r="O64" s="58" t="str">
        <f t="shared" si="3"/>
        <v/>
      </c>
      <c r="P64" s="222">
        <f>IFERROR(__xludf.DUMMYFUNCTION("""COMPUTED_VALUE"""),0.0)</f>
        <v>0</v>
      </c>
      <c r="Q64" s="81" t="b">
        <f>VLOOKUP(B64,'Run Reconcile'!B$2:O89,14,FALSE)</f>
        <v>1</v>
      </c>
      <c r="R64" s="223" t="str">
        <f t="array" ref="R64">IF(Q64, INDEX('Run Reconcile'!A$2:A89,MATCH(B64,'Run Reconcile'!B$2:B89,0),1),IFERROR(0/0,""))</f>
        <v>RUN-NDHM_2022-06-06_RFR-013</v>
      </c>
      <c r="S64" s="224" t="str">
        <f t="shared" ref="S64:T64" si="127">IF(ISBLANK(W64),IFERROR(0/0,""),TRUE)</f>
        <v/>
      </c>
      <c r="T64" s="224" t="str">
        <f t="shared" si="127"/>
        <v/>
      </c>
      <c r="U64" s="162" t="str">
        <f t="array" ref="U64">IF(ISBLANK(R64), IF(S64,INDEX('Run Reconcile'!A$2:A89,1+MATCH(B64,'Run Reconcile'!B$2:B89,0),1),IF(T64,INDEX('Run Reconcile'!A$2:A89,1+MATCH(B64,'Run Reconcile'!B$2:B89,0),1),INDEX('Run Reconcile'!A$2:A89,MATCH(B64,'Run Reconcile'!B$2:B89,0),1))),IFERROR(0/0,""))</f>
        <v/>
      </c>
      <c r="V64" s="225" t="str">
        <f t="shared" si="5"/>
        <v>RUN-NDHM_2022-06-06_RFR-013</v>
      </c>
      <c r="W64" s="75"/>
      <c r="X64" s="75"/>
      <c r="Y64" s="162" t="str">
        <f t="shared" ref="Y64:Z64" si="128">IF(_xlfn.ISFORMULA(S64),IFERROR(0/0,""),TRUE)</f>
        <v/>
      </c>
      <c r="Z64" s="162" t="str">
        <f t="shared" si="128"/>
        <v/>
      </c>
    </row>
    <row r="65">
      <c r="A65" s="7" t="str">
        <f>IFERROR(__xludf.DUMMYFUNCTION("""COMPUTED_VALUE"""),"AH8786")</f>
        <v>AH8786</v>
      </c>
      <c r="B65" s="218">
        <f>IFERROR(__xludf.DUMMYFUNCTION("""COMPUTED_VALUE"""),44725.0)</f>
        <v>44725</v>
      </c>
      <c r="C65" s="219">
        <f>IFERROR(__xludf.DUMMYFUNCTION("""COMPUTED_VALUE"""),0.20103009259259258)</f>
        <v>0.2010300926</v>
      </c>
      <c r="D65" s="220" t="str">
        <f>IFERROR(__xludf.DUMMYFUNCTION("""COMPUTED_VALUE"""),"SpNDHM284552")</f>
        <v>SpNDHM284552</v>
      </c>
      <c r="E65" s="220"/>
      <c r="F65" s="220"/>
      <c r="G65" s="220" t="str">
        <f>IFERROR(__xludf.DUMMYFUNCTION("""COMPUTED_VALUE"""),"Negative")</f>
        <v>Negative</v>
      </c>
      <c r="H65" s="226" t="str">
        <f>IFERROR(__xludf.DUMMYFUNCTION("""COMPUTED_VALUE"""),"Negative")</f>
        <v>Negative</v>
      </c>
      <c r="I65" s="218">
        <f>IFERROR(__xludf.DUMMYFUNCTION("""COMPUTED_VALUE"""),44725.0)</f>
        <v>44725</v>
      </c>
      <c r="J65" s="221">
        <f>IFERROR(__xludf.DUMMYFUNCTION("""COMPUTED_VALUE"""),0.4122337962962963)</f>
        <v>0.4122337963</v>
      </c>
      <c r="K65" s="54"/>
      <c r="L65" s="7"/>
      <c r="M65" s="58"/>
      <c r="N65" s="58">
        <f>IFERROR(__xludf.DUMMYFUNCTION("""COMPUTED_VALUE"""),4.0)</f>
        <v>4</v>
      </c>
      <c r="O65" s="58" t="b">
        <f t="shared" si="3"/>
        <v>1</v>
      </c>
      <c r="P65" s="222">
        <f>IFERROR(__xludf.DUMMYFUNCTION("""COMPUTED_VALUE"""),0.0)</f>
        <v>0</v>
      </c>
      <c r="Q65" s="81" t="b">
        <f>VLOOKUP(B65,'Run Reconcile'!B$2:O89,14,FALSE)</f>
        <v>1</v>
      </c>
      <c r="R65" s="223" t="str">
        <f t="array" ref="R65">IF(Q65, INDEX('Run Reconcile'!A$2:A89,MATCH(B65,'Run Reconcile'!B$2:B89,0),1),IFERROR(0/0,""))</f>
        <v>RUN-NDHM_2022-06-13_RFR-014</v>
      </c>
      <c r="S65" s="224" t="str">
        <f t="shared" ref="S65:T65" si="129">IF(ISBLANK(W65),IFERROR(0/0,""),TRUE)</f>
        <v/>
      </c>
      <c r="T65" s="224" t="str">
        <f t="shared" si="129"/>
        <v/>
      </c>
      <c r="U65" s="162" t="str">
        <f t="array" ref="U65">IF(ISBLANK(R65), IF(S65,INDEX('Run Reconcile'!A$2:A89,1+MATCH(B65,'Run Reconcile'!B$2:B89,0),1),IF(T65,INDEX('Run Reconcile'!A$2:A89,1+MATCH(B65,'Run Reconcile'!B$2:B89,0),1),INDEX('Run Reconcile'!A$2:A89,MATCH(B65,'Run Reconcile'!B$2:B89,0),1))),IFERROR(0/0,""))</f>
        <v/>
      </c>
      <c r="V65" s="225" t="str">
        <f t="shared" si="5"/>
        <v>RUN-NDHM_2022-06-13_RFR-014</v>
      </c>
      <c r="W65" s="75"/>
      <c r="X65" s="75"/>
      <c r="Y65" s="162" t="str">
        <f t="shared" ref="Y65:Z65" si="130">IF(_xlfn.ISFORMULA(S65),IFERROR(0/0,""),TRUE)</f>
        <v/>
      </c>
      <c r="Z65" s="162" t="str">
        <f t="shared" si="130"/>
        <v/>
      </c>
    </row>
    <row r="66">
      <c r="A66" s="7" t="str">
        <f>IFERROR(__xludf.DUMMYFUNCTION("""COMPUTED_VALUE"""),"AG1844")</f>
        <v>AG1844</v>
      </c>
      <c r="B66" s="218">
        <f>IFERROR(__xludf.DUMMYFUNCTION("""COMPUTED_VALUE"""),44725.0)</f>
        <v>44725</v>
      </c>
      <c r="C66" s="219">
        <f>IFERROR(__xludf.DUMMYFUNCTION("""COMPUTED_VALUE"""),0.22523148148148148)</f>
        <v>0.2252314815</v>
      </c>
      <c r="D66" s="220" t="str">
        <f>IFERROR(__xludf.DUMMYFUNCTION("""COMPUTED_VALUE"""),"SpNDHM957722")</f>
        <v>SpNDHM957722</v>
      </c>
      <c r="E66" s="220"/>
      <c r="F66" s="220"/>
      <c r="G66" s="220" t="str">
        <f>IFERROR(__xludf.DUMMYFUNCTION("""COMPUTED_VALUE"""),"Negative")</f>
        <v>Negative</v>
      </c>
      <c r="H66" s="226" t="str">
        <f>IFERROR(__xludf.DUMMYFUNCTION("""COMPUTED_VALUE"""),"Negative")</f>
        <v>Negative</v>
      </c>
      <c r="I66" s="218">
        <f>IFERROR(__xludf.DUMMYFUNCTION("""COMPUTED_VALUE"""),44725.0)</f>
        <v>44725</v>
      </c>
      <c r="J66" s="221">
        <f>IFERROR(__xludf.DUMMYFUNCTION("""COMPUTED_VALUE"""),0.41224537037037035)</f>
        <v>0.4122453704</v>
      </c>
      <c r="K66" s="54"/>
      <c r="L66" s="7"/>
      <c r="M66" s="58"/>
      <c r="N66" s="58">
        <f>IFERROR(__xludf.DUMMYFUNCTION("""COMPUTED_VALUE"""),3.0)</f>
        <v>3</v>
      </c>
      <c r="O66" s="58" t="str">
        <f t="shared" si="3"/>
        <v/>
      </c>
      <c r="P66" s="222">
        <f>IFERROR(__xludf.DUMMYFUNCTION("""COMPUTED_VALUE"""),0.0)</f>
        <v>0</v>
      </c>
      <c r="Q66" s="81" t="b">
        <f>VLOOKUP(B66,'Run Reconcile'!B$2:O89,14,FALSE)</f>
        <v>1</v>
      </c>
      <c r="R66" s="223" t="str">
        <f t="array" ref="R66">IF(Q66, INDEX('Run Reconcile'!A$2:A89,MATCH(B66,'Run Reconcile'!B$2:B89,0),1),IFERROR(0/0,""))</f>
        <v>RUN-NDHM_2022-06-13_RFR-014</v>
      </c>
      <c r="S66" s="224" t="str">
        <f t="shared" ref="S66:T66" si="131">IF(ISBLANK(W66),IFERROR(0/0,""),TRUE)</f>
        <v/>
      </c>
      <c r="T66" s="224" t="str">
        <f t="shared" si="131"/>
        <v/>
      </c>
      <c r="U66" s="162" t="str">
        <f t="array" ref="U66">IF(ISBLANK(R66), IF(S66,INDEX('Run Reconcile'!A$2:A89,1+MATCH(B66,'Run Reconcile'!B$2:B89,0),1),IF(T66,INDEX('Run Reconcile'!A$2:A89,1+MATCH(B66,'Run Reconcile'!B$2:B89,0),1),INDEX('Run Reconcile'!A$2:A89,MATCH(B66,'Run Reconcile'!B$2:B89,0),1))),IFERROR(0/0,""))</f>
        <v/>
      </c>
      <c r="V66" s="225" t="str">
        <f t="shared" si="5"/>
        <v>RUN-NDHM_2022-06-13_RFR-014</v>
      </c>
      <c r="W66" s="75"/>
      <c r="X66" s="75"/>
      <c r="Y66" s="162" t="str">
        <f t="shared" ref="Y66:Z66" si="132">IF(_xlfn.ISFORMULA(S66),IFERROR(0/0,""),TRUE)</f>
        <v/>
      </c>
      <c r="Z66" s="162" t="str">
        <f t="shared" si="132"/>
        <v/>
      </c>
    </row>
    <row r="67">
      <c r="A67" s="7" t="str">
        <f>IFERROR(__xludf.DUMMYFUNCTION("""COMPUTED_VALUE"""),"AH9644")</f>
        <v>AH9644</v>
      </c>
      <c r="B67" s="218">
        <f>IFERROR(__xludf.DUMMYFUNCTION("""COMPUTED_VALUE"""),44725.0)</f>
        <v>44725</v>
      </c>
      <c r="C67" s="219">
        <f>IFERROR(__xludf.DUMMYFUNCTION("""COMPUTED_VALUE"""),0.23350694444444445)</f>
        <v>0.2335069444</v>
      </c>
      <c r="D67" s="220" t="str">
        <f>IFERROR(__xludf.DUMMYFUNCTION("""COMPUTED_VALUE"""),"SpNDHM189649")</f>
        <v>SpNDHM189649</v>
      </c>
      <c r="E67" s="220"/>
      <c r="F67" s="220"/>
      <c r="G67" s="220" t="str">
        <f>IFERROR(__xludf.DUMMYFUNCTION("""COMPUTED_VALUE"""),"Negative")</f>
        <v>Negative</v>
      </c>
      <c r="H67" s="226" t="str">
        <f>IFERROR(__xludf.DUMMYFUNCTION("""COMPUTED_VALUE"""),"Negative")</f>
        <v>Negative</v>
      </c>
      <c r="I67" s="218">
        <f>IFERROR(__xludf.DUMMYFUNCTION("""COMPUTED_VALUE"""),44725.0)</f>
        <v>44725</v>
      </c>
      <c r="J67" s="221">
        <f>IFERROR(__xludf.DUMMYFUNCTION("""COMPUTED_VALUE"""),0.41224537037037035)</f>
        <v>0.4122453704</v>
      </c>
      <c r="K67" s="54"/>
      <c r="L67" s="7"/>
      <c r="M67" s="58"/>
      <c r="N67" s="58">
        <f>IFERROR(__xludf.DUMMYFUNCTION("""COMPUTED_VALUE"""),3.0)</f>
        <v>3</v>
      </c>
      <c r="O67" s="58" t="str">
        <f t="shared" si="3"/>
        <v/>
      </c>
      <c r="P67" s="222">
        <f>IFERROR(__xludf.DUMMYFUNCTION("""COMPUTED_VALUE"""),0.0)</f>
        <v>0</v>
      </c>
      <c r="Q67" s="81" t="b">
        <f>VLOOKUP(B67,'Run Reconcile'!B$2:O89,14,FALSE)</f>
        <v>1</v>
      </c>
      <c r="R67" s="223" t="str">
        <f t="array" ref="R67">IF(Q67, INDEX('Run Reconcile'!A$2:A89,MATCH(B67,'Run Reconcile'!B$2:B89,0),1),IFERROR(0/0,""))</f>
        <v>RUN-NDHM_2022-06-13_RFR-014</v>
      </c>
      <c r="S67" s="224" t="str">
        <f t="shared" ref="S67:T67" si="133">IF(ISBLANK(W67),IFERROR(0/0,""),TRUE)</f>
        <v/>
      </c>
      <c r="T67" s="224" t="str">
        <f t="shared" si="133"/>
        <v/>
      </c>
      <c r="U67" s="162" t="str">
        <f t="array" ref="U67">IF(ISBLANK(R67), IF(S67,INDEX('Run Reconcile'!A$2:A89,1+MATCH(B67,'Run Reconcile'!B$2:B89,0),1),IF(T67,INDEX('Run Reconcile'!A$2:A89,1+MATCH(B67,'Run Reconcile'!B$2:B89,0),1),INDEX('Run Reconcile'!A$2:A89,MATCH(B67,'Run Reconcile'!B$2:B89,0),1))),IFERROR(0/0,""))</f>
        <v/>
      </c>
      <c r="V67" s="225" t="str">
        <f t="shared" si="5"/>
        <v>RUN-NDHM_2022-06-13_RFR-014</v>
      </c>
      <c r="W67" s="75"/>
      <c r="X67" s="75"/>
      <c r="Y67" s="162" t="str">
        <f t="shared" ref="Y67:Z67" si="134">IF(_xlfn.ISFORMULA(S67),IFERROR(0/0,""),TRUE)</f>
        <v/>
      </c>
      <c r="Z67" s="162" t="str">
        <f t="shared" si="134"/>
        <v/>
      </c>
    </row>
    <row r="68">
      <c r="A68" s="7" t="str">
        <f>IFERROR(__xludf.DUMMYFUNCTION("""COMPUTED_VALUE"""),"AK6656")</f>
        <v>AK6656</v>
      </c>
      <c r="B68" s="218">
        <f>IFERROR(__xludf.DUMMYFUNCTION("""COMPUTED_VALUE"""),44725.0)</f>
        <v>44725</v>
      </c>
      <c r="C68" s="219">
        <f>IFERROR(__xludf.DUMMYFUNCTION("""COMPUTED_VALUE"""),0.24435185185185185)</f>
        <v>0.2443518519</v>
      </c>
      <c r="D68" s="220" t="str">
        <f>IFERROR(__xludf.DUMMYFUNCTION("""COMPUTED_VALUE"""),"SpNDHM966349")</f>
        <v>SpNDHM966349</v>
      </c>
      <c r="E68" s="220"/>
      <c r="F68" s="220"/>
      <c r="G68" s="220" t="str">
        <f>IFERROR(__xludf.DUMMYFUNCTION("""COMPUTED_VALUE"""),"Negative")</f>
        <v>Negative</v>
      </c>
      <c r="H68" s="226" t="str">
        <f>IFERROR(__xludf.DUMMYFUNCTION("""COMPUTED_VALUE"""),"Negative")</f>
        <v>Negative</v>
      </c>
      <c r="I68" s="218">
        <f>IFERROR(__xludf.DUMMYFUNCTION("""COMPUTED_VALUE"""),44725.0)</f>
        <v>44725</v>
      </c>
      <c r="J68" s="221">
        <f>IFERROR(__xludf.DUMMYFUNCTION("""COMPUTED_VALUE"""),0.41224537037037035)</f>
        <v>0.4122453704</v>
      </c>
      <c r="K68" s="54"/>
      <c r="L68" s="7"/>
      <c r="M68" s="58"/>
      <c r="N68" s="58">
        <f>IFERROR(__xludf.DUMMYFUNCTION("""COMPUTED_VALUE"""),2.0)</f>
        <v>2</v>
      </c>
      <c r="O68" s="58" t="str">
        <f t="shared" si="3"/>
        <v/>
      </c>
      <c r="P68" s="222">
        <f>IFERROR(__xludf.DUMMYFUNCTION("""COMPUTED_VALUE"""),0.0)</f>
        <v>0</v>
      </c>
      <c r="Q68" s="81" t="b">
        <f>VLOOKUP(B68,'Run Reconcile'!B$2:O89,14,FALSE)</f>
        <v>1</v>
      </c>
      <c r="R68" s="223" t="str">
        <f t="array" ref="R68">IF(Q68, INDEX('Run Reconcile'!A$2:A89,MATCH(B68,'Run Reconcile'!B$2:B89,0),1),IFERROR(0/0,""))</f>
        <v>RUN-NDHM_2022-06-13_RFR-014</v>
      </c>
      <c r="S68" s="224" t="str">
        <f t="shared" ref="S68:T68" si="135">IF(ISBLANK(W68),IFERROR(0/0,""),TRUE)</f>
        <v/>
      </c>
      <c r="T68" s="224" t="str">
        <f t="shared" si="135"/>
        <v/>
      </c>
      <c r="U68" s="162" t="str">
        <f t="array" ref="U68">IF(ISBLANK(R68), IF(S68,INDEX('Run Reconcile'!A$2:A89,1+MATCH(B68,'Run Reconcile'!B$2:B89,0),1),IF(T68,INDEX('Run Reconcile'!A$2:A89,1+MATCH(B68,'Run Reconcile'!B$2:B89,0),1),INDEX('Run Reconcile'!A$2:A89,MATCH(B68,'Run Reconcile'!B$2:B89,0),1))),IFERROR(0/0,""))</f>
        <v/>
      </c>
      <c r="V68" s="225" t="str">
        <f t="shared" si="5"/>
        <v>RUN-NDHM_2022-06-13_RFR-014</v>
      </c>
      <c r="W68" s="75"/>
      <c r="X68" s="75"/>
      <c r="Y68" s="162" t="str">
        <f t="shared" ref="Y68:Z68" si="136">IF(_xlfn.ISFORMULA(S68),IFERROR(0/0,""),TRUE)</f>
        <v/>
      </c>
      <c r="Z68" s="162" t="str">
        <f t="shared" si="136"/>
        <v/>
      </c>
    </row>
    <row r="69">
      <c r="A69" s="7" t="str">
        <f>IFERROR(__xludf.DUMMYFUNCTION("""COMPUTED_VALUE"""),"AG611")</f>
        <v>AG611</v>
      </c>
      <c r="B69" s="218">
        <f>IFERROR(__xludf.DUMMYFUNCTION("""COMPUTED_VALUE"""),44733.0)</f>
        <v>44733</v>
      </c>
      <c r="C69" s="219">
        <f>IFERROR(__xludf.DUMMYFUNCTION("""COMPUTED_VALUE"""),0.21247685185185186)</f>
        <v>0.2124768519</v>
      </c>
      <c r="D69" s="220" t="str">
        <f>IFERROR(__xludf.DUMMYFUNCTION("""COMPUTED_VALUE"""),"SpNDHM957722")</f>
        <v>SpNDHM957722</v>
      </c>
      <c r="E69" s="220"/>
      <c r="F69" s="220"/>
      <c r="G69" s="220" t="str">
        <f>IFERROR(__xludf.DUMMYFUNCTION("""COMPUTED_VALUE"""),"Negative")</f>
        <v>Negative</v>
      </c>
      <c r="H69" s="226" t="str">
        <f>IFERROR(__xludf.DUMMYFUNCTION("""COMPUTED_VALUE"""),"Negative")</f>
        <v>Negative</v>
      </c>
      <c r="I69" s="218">
        <f>IFERROR(__xludf.DUMMYFUNCTION("""COMPUTED_VALUE"""),44733.0)</f>
        <v>44733</v>
      </c>
      <c r="J69" s="221">
        <f>IFERROR(__xludf.DUMMYFUNCTION("""COMPUTED_VALUE"""),0.40434027777777776)</f>
        <v>0.4043402778</v>
      </c>
      <c r="K69" s="54"/>
      <c r="L69" s="7"/>
      <c r="M69" s="58"/>
      <c r="N69" s="58">
        <f>IFERROR(__xludf.DUMMYFUNCTION("""COMPUTED_VALUE"""),3.0)</f>
        <v>3</v>
      </c>
      <c r="O69" s="58" t="b">
        <f t="shared" si="3"/>
        <v>1</v>
      </c>
      <c r="P69" s="222">
        <f>IFERROR(__xludf.DUMMYFUNCTION("""COMPUTED_VALUE"""),0.0)</f>
        <v>0</v>
      </c>
      <c r="Q69" s="81" t="b">
        <f>VLOOKUP(B69,'Run Reconcile'!B$2:O89,14,FALSE)</f>
        <v>1</v>
      </c>
      <c r="R69" s="223" t="str">
        <f t="array" ref="R69">IF(Q69, INDEX('Run Reconcile'!A$2:A89,MATCH(B69,'Run Reconcile'!B$2:B89,0),1),IFERROR(0/0,""))</f>
        <v>RUN-NDHM_2022-06-21_RFR-016</v>
      </c>
      <c r="S69" s="224" t="str">
        <f t="shared" ref="S69:T69" si="137">IF(ISBLANK(W69),IFERROR(0/0,""),TRUE)</f>
        <v/>
      </c>
      <c r="T69" s="224" t="str">
        <f t="shared" si="137"/>
        <v/>
      </c>
      <c r="U69" s="162" t="str">
        <f t="array" ref="U69">IF(ISBLANK(R69), IF(S69,INDEX('Run Reconcile'!A$2:A89,1+MATCH(B69,'Run Reconcile'!B$2:B89,0),1),IF(T69,INDEX('Run Reconcile'!A$2:A89,1+MATCH(B69,'Run Reconcile'!B$2:B89,0),1),INDEX('Run Reconcile'!A$2:A89,MATCH(B69,'Run Reconcile'!B$2:B89,0),1))),IFERROR(0/0,""))</f>
        <v/>
      </c>
      <c r="V69" s="225" t="str">
        <f t="shared" si="5"/>
        <v>RUN-NDHM_2022-06-21_RFR-016</v>
      </c>
      <c r="W69" s="75"/>
      <c r="X69" s="75"/>
      <c r="Y69" s="162" t="str">
        <f t="shared" ref="Y69:Z69" si="138">IF(_xlfn.ISFORMULA(S69),IFERROR(0/0,""),TRUE)</f>
        <v/>
      </c>
      <c r="Z69" s="162" t="str">
        <f t="shared" si="138"/>
        <v/>
      </c>
    </row>
    <row r="70">
      <c r="A70" s="7" t="str">
        <f>IFERROR(__xludf.DUMMYFUNCTION("""COMPUTED_VALUE"""),"AG4603")</f>
        <v>AG4603</v>
      </c>
      <c r="B70" s="218">
        <f>IFERROR(__xludf.DUMMYFUNCTION("""COMPUTED_VALUE"""),44733.0)</f>
        <v>44733</v>
      </c>
      <c r="C70" s="219">
        <f>IFERROR(__xludf.DUMMYFUNCTION("""COMPUTED_VALUE"""),0.3403935185185185)</f>
        <v>0.3403935185</v>
      </c>
      <c r="D70" s="220" t="str">
        <f>IFERROR(__xludf.DUMMYFUNCTION("""COMPUTED_VALUE"""),"SpNDHM122532")</f>
        <v>SpNDHM122532</v>
      </c>
      <c r="E70" s="220"/>
      <c r="F70" s="220"/>
      <c r="G70" s="220" t="str">
        <f>IFERROR(__xludf.DUMMYFUNCTION("""COMPUTED_VALUE"""),"Negative")</f>
        <v>Negative</v>
      </c>
      <c r="H70" s="226" t="str">
        <f>IFERROR(__xludf.DUMMYFUNCTION("""COMPUTED_VALUE"""),"Negative")</f>
        <v>Negative</v>
      </c>
      <c r="I70" s="218">
        <f>IFERROR(__xludf.DUMMYFUNCTION("""COMPUTED_VALUE"""),44733.0)</f>
        <v>44733</v>
      </c>
      <c r="J70" s="221">
        <f>IFERROR(__xludf.DUMMYFUNCTION("""COMPUTED_VALUE"""),0.40434027777777776)</f>
        <v>0.4043402778</v>
      </c>
      <c r="K70" s="54"/>
      <c r="L70" s="7"/>
      <c r="M70" s="58"/>
      <c r="N70" s="58">
        <f>IFERROR(__xludf.DUMMYFUNCTION("""COMPUTED_VALUE"""),1.0)</f>
        <v>1</v>
      </c>
      <c r="O70" s="58" t="str">
        <f t="shared" si="3"/>
        <v/>
      </c>
      <c r="P70" s="222">
        <f>IFERROR(__xludf.DUMMYFUNCTION("""COMPUTED_VALUE"""),0.0)</f>
        <v>0</v>
      </c>
      <c r="Q70" s="81" t="b">
        <f>VLOOKUP(B70,'Run Reconcile'!B$2:O89,14,FALSE)</f>
        <v>1</v>
      </c>
      <c r="R70" s="223" t="str">
        <f t="array" ref="R70">IF(Q70, INDEX('Run Reconcile'!A$2:A89,MATCH(B70,'Run Reconcile'!B$2:B89,0),1),IFERROR(0/0,""))</f>
        <v>RUN-NDHM_2022-06-21_RFR-016</v>
      </c>
      <c r="S70" s="224" t="str">
        <f t="shared" ref="S70:T70" si="139">IF(ISBLANK(W70),IFERROR(0/0,""),TRUE)</f>
        <v/>
      </c>
      <c r="T70" s="224" t="str">
        <f t="shared" si="139"/>
        <v/>
      </c>
      <c r="U70" s="162" t="str">
        <f t="array" ref="U70">IF(ISBLANK(R70), IF(S70,INDEX('Run Reconcile'!A$2:A89,1+MATCH(B70,'Run Reconcile'!B$2:B89,0),1),IF(T70,INDEX('Run Reconcile'!A$2:A89,1+MATCH(B70,'Run Reconcile'!B$2:B89,0),1),INDEX('Run Reconcile'!A$2:A89,MATCH(B70,'Run Reconcile'!B$2:B89,0),1))),IFERROR(0/0,""))</f>
        <v/>
      </c>
      <c r="V70" s="225" t="str">
        <f t="shared" si="5"/>
        <v>RUN-NDHM_2022-06-21_RFR-016</v>
      </c>
      <c r="W70" s="75"/>
      <c r="X70" s="75"/>
      <c r="Y70" s="162" t="str">
        <f t="shared" ref="Y70:Z70" si="140">IF(_xlfn.ISFORMULA(S70),IFERROR(0/0,""),TRUE)</f>
        <v/>
      </c>
      <c r="Z70" s="162" t="str">
        <f t="shared" si="140"/>
        <v/>
      </c>
    </row>
    <row r="71">
      <c r="A71" s="7" t="str">
        <f>IFERROR(__xludf.DUMMYFUNCTION("""COMPUTED_VALUE"""),"AH772")</f>
        <v>AH772</v>
      </c>
      <c r="B71" s="218">
        <f>IFERROR(__xludf.DUMMYFUNCTION("""COMPUTED_VALUE"""),44739.0)</f>
        <v>44739</v>
      </c>
      <c r="C71" s="219">
        <f>IFERROR(__xludf.DUMMYFUNCTION("""COMPUTED_VALUE"""),0.22328703703703703)</f>
        <v>0.223287037</v>
      </c>
      <c r="D71" s="220" t="str">
        <f>IFERROR(__xludf.DUMMYFUNCTION("""COMPUTED_VALUE"""),"SpNDHM957722")</f>
        <v>SpNDHM957722</v>
      </c>
      <c r="E71" s="220"/>
      <c r="F71" s="220"/>
      <c r="G71" s="220" t="str">
        <f>IFERROR(__xludf.DUMMYFUNCTION("""COMPUTED_VALUE"""),"Negative")</f>
        <v>Negative</v>
      </c>
      <c r="H71" s="226" t="str">
        <f>IFERROR(__xludf.DUMMYFUNCTION("""COMPUTED_VALUE"""),"Negative")</f>
        <v>Negative</v>
      </c>
      <c r="I71" s="218">
        <f>IFERROR(__xludf.DUMMYFUNCTION("""COMPUTED_VALUE"""),44739.0)</f>
        <v>44739</v>
      </c>
      <c r="J71" s="221">
        <f>IFERROR(__xludf.DUMMYFUNCTION("""COMPUTED_VALUE"""),0.3771875)</f>
        <v>0.3771875</v>
      </c>
      <c r="K71" s="54"/>
      <c r="L71" s="7"/>
      <c r="M71" s="58"/>
      <c r="N71" s="58">
        <f>IFERROR(__xludf.DUMMYFUNCTION("""COMPUTED_VALUE"""),3.0)</f>
        <v>3</v>
      </c>
      <c r="O71" s="58" t="b">
        <f t="shared" si="3"/>
        <v>1</v>
      </c>
      <c r="P71" s="222">
        <f>IFERROR(__xludf.DUMMYFUNCTION("""COMPUTED_VALUE"""),0.0)</f>
        <v>0</v>
      </c>
      <c r="Q71" s="81" t="b">
        <f>VLOOKUP(B71,'Run Reconcile'!B$2:O89,14,FALSE)</f>
        <v>1</v>
      </c>
      <c r="R71" s="223" t="str">
        <f t="array" ref="R71">IF(Q71, INDEX('Run Reconcile'!A$2:A89,MATCH(B71,'Run Reconcile'!B$2:B89,0),1),IFERROR(0/0,""))</f>
        <v>RUN-NDHM_2022-06-27_RFR-017</v>
      </c>
      <c r="S71" s="224" t="str">
        <f t="shared" ref="S71:T71" si="141">IF(ISBLANK(W71),IFERROR(0/0,""),TRUE)</f>
        <v/>
      </c>
      <c r="T71" s="224" t="str">
        <f t="shared" si="141"/>
        <v/>
      </c>
      <c r="U71" s="162" t="str">
        <f t="array" ref="U71">IF(ISBLANK(R71), IF(S71,INDEX('Run Reconcile'!A$2:A89,1+MATCH(B71,'Run Reconcile'!B$2:B89,0),1),IF(T71,INDEX('Run Reconcile'!A$2:A89,1+MATCH(B71,'Run Reconcile'!B$2:B89,0),1),INDEX('Run Reconcile'!A$2:A89,MATCH(B71,'Run Reconcile'!B$2:B89,0),1))),IFERROR(0/0,""))</f>
        <v/>
      </c>
      <c r="V71" s="225" t="str">
        <f t="shared" si="5"/>
        <v>RUN-NDHM_2022-06-27_RFR-017</v>
      </c>
      <c r="W71" s="75"/>
      <c r="X71" s="75"/>
      <c r="Y71" s="162" t="str">
        <f t="shared" ref="Y71:Z71" si="142">IF(_xlfn.ISFORMULA(S71),IFERROR(0/0,""),TRUE)</f>
        <v/>
      </c>
      <c r="Z71" s="162" t="str">
        <f t="shared" si="142"/>
        <v/>
      </c>
    </row>
    <row r="72">
      <c r="A72" s="7" t="str">
        <f>IFERROR(__xludf.DUMMYFUNCTION("""COMPUTED_VALUE"""),"AG1259")</f>
        <v>AG1259</v>
      </c>
      <c r="B72" s="218">
        <f>IFERROR(__xludf.DUMMYFUNCTION("""COMPUTED_VALUE"""),44753.0)</f>
        <v>44753</v>
      </c>
      <c r="C72" s="219">
        <f>IFERROR(__xludf.DUMMYFUNCTION("""COMPUTED_VALUE"""),0.2527199074074074)</f>
        <v>0.2527199074</v>
      </c>
      <c r="D72" s="220" t="str">
        <f>IFERROR(__xludf.DUMMYFUNCTION("""COMPUTED_VALUE"""),"SpNDHM966349")</f>
        <v>SpNDHM966349</v>
      </c>
      <c r="E72" s="220"/>
      <c r="F72" s="220"/>
      <c r="G72" s="220" t="str">
        <f>IFERROR(__xludf.DUMMYFUNCTION("""COMPUTED_VALUE"""),"Negative")</f>
        <v>Negative</v>
      </c>
      <c r="H72" s="226" t="str">
        <f>IFERROR(__xludf.DUMMYFUNCTION("""COMPUTED_VALUE"""),"Negative")</f>
        <v>Negative</v>
      </c>
      <c r="I72" s="218">
        <f>IFERROR(__xludf.DUMMYFUNCTION("""COMPUTED_VALUE"""),44753.0)</f>
        <v>44753</v>
      </c>
      <c r="J72" s="221">
        <f>IFERROR(__xludf.DUMMYFUNCTION("""COMPUTED_VALUE"""),0.3984027777777778)</f>
        <v>0.3984027778</v>
      </c>
      <c r="K72" s="54"/>
      <c r="L72" s="7"/>
      <c r="M72" s="58"/>
      <c r="N72" s="58">
        <f>IFERROR(__xludf.DUMMYFUNCTION("""COMPUTED_VALUE"""),2.0)</f>
        <v>2</v>
      </c>
      <c r="O72" s="58" t="b">
        <f t="shared" si="3"/>
        <v>1</v>
      </c>
      <c r="P72" s="222">
        <f>IFERROR(__xludf.DUMMYFUNCTION("""COMPUTED_VALUE"""),0.0)</f>
        <v>0</v>
      </c>
      <c r="Q72" s="81" t="b">
        <f>VLOOKUP(B72,'Run Reconcile'!B$2:O89,14,FALSE)</f>
        <v>1</v>
      </c>
      <c r="R72" s="223" t="str">
        <f t="array" ref="R72">IF(Q72, INDEX('Run Reconcile'!A$2:A89,MATCH(B72,'Run Reconcile'!B$2:B89,0),1),IFERROR(0/0,""))</f>
        <v>RUN-NDHM_2022-07-11_RFR-018</v>
      </c>
      <c r="S72" s="224" t="str">
        <f t="shared" ref="S72:T72" si="143">IF(ISBLANK(W72),IFERROR(0/0,""),TRUE)</f>
        <v/>
      </c>
      <c r="T72" s="224" t="str">
        <f t="shared" si="143"/>
        <v/>
      </c>
      <c r="U72" s="162" t="str">
        <f t="array" ref="U72">IF(ISBLANK(R72), IF(S72,INDEX('Run Reconcile'!A$2:A89,1+MATCH(B72,'Run Reconcile'!B$2:B89,0),1),IF(T72,INDEX('Run Reconcile'!A$2:A89,1+MATCH(B72,'Run Reconcile'!B$2:B89,0),1),INDEX('Run Reconcile'!A$2:A89,MATCH(B72,'Run Reconcile'!B$2:B89,0),1))),IFERROR(0/0,""))</f>
        <v/>
      </c>
      <c r="V72" s="225" t="str">
        <f t="shared" si="5"/>
        <v>RUN-NDHM_2022-07-11_RFR-018</v>
      </c>
      <c r="W72" s="75"/>
      <c r="X72" s="75"/>
      <c r="Y72" s="162" t="str">
        <f t="shared" ref="Y72:Z72" si="144">IF(_xlfn.ISFORMULA(S72),IFERROR(0/0,""),TRUE)</f>
        <v/>
      </c>
      <c r="Z72" s="162" t="str">
        <f t="shared" si="144"/>
        <v/>
      </c>
    </row>
    <row r="73">
      <c r="A73" s="7" t="str">
        <f>IFERROR(__xludf.DUMMYFUNCTION("""COMPUTED_VALUE"""),"AH7951")</f>
        <v>AH7951</v>
      </c>
      <c r="B73" s="218">
        <f>IFERROR(__xludf.DUMMYFUNCTION("""COMPUTED_VALUE"""),44760.0)</f>
        <v>44760</v>
      </c>
      <c r="C73" s="219">
        <f>IFERROR(__xludf.DUMMYFUNCTION("""COMPUTED_VALUE"""),0.3808796296296296)</f>
        <v>0.3808796296</v>
      </c>
      <c r="D73" s="220" t="str">
        <f>IFERROR(__xludf.DUMMYFUNCTION("""COMPUTED_VALUE"""),"SpNDHM122532")</f>
        <v>SpNDHM122532</v>
      </c>
      <c r="E73" s="220"/>
      <c r="F73" s="220"/>
      <c r="G73" s="220" t="str">
        <f>IFERROR(__xludf.DUMMYFUNCTION("""COMPUTED_VALUE"""),"Negative")</f>
        <v>Negative</v>
      </c>
      <c r="H73" s="226" t="str">
        <f>IFERROR(__xludf.DUMMYFUNCTION("""COMPUTED_VALUE"""),"Negative")</f>
        <v>Negative</v>
      </c>
      <c r="I73" s="218">
        <f>IFERROR(__xludf.DUMMYFUNCTION("""COMPUTED_VALUE"""),44760.0)</f>
        <v>44760</v>
      </c>
      <c r="J73" s="221">
        <f>IFERROR(__xludf.DUMMYFUNCTION("""COMPUTED_VALUE"""),0.42091435185185183)</f>
        <v>0.4209143519</v>
      </c>
      <c r="K73" s="54"/>
      <c r="L73" s="7"/>
      <c r="M73" s="58"/>
      <c r="N73" s="58">
        <f>IFERROR(__xludf.DUMMYFUNCTION("""COMPUTED_VALUE"""),2.0)</f>
        <v>2</v>
      </c>
      <c r="O73" s="58" t="b">
        <f t="shared" si="3"/>
        <v>1</v>
      </c>
      <c r="P73" s="222">
        <f>IFERROR(__xludf.DUMMYFUNCTION("""COMPUTED_VALUE"""),0.0)</f>
        <v>0</v>
      </c>
      <c r="Q73" s="81" t="b">
        <f>VLOOKUP(B73,'Run Reconcile'!B$2:O89,14,FALSE)</f>
        <v>1</v>
      </c>
      <c r="R73" s="223" t="str">
        <f t="array" ref="R73">IF(Q73, INDEX('Run Reconcile'!A$2:A89,MATCH(B73,'Run Reconcile'!B$2:B89,0),1),IFERROR(0/0,""))</f>
        <v>RUN-NDHM_2022-07-18_RFR-019</v>
      </c>
      <c r="S73" s="224" t="str">
        <f t="shared" ref="S73:T73" si="145">IF(ISBLANK(W73),IFERROR(0/0,""),TRUE)</f>
        <v/>
      </c>
      <c r="T73" s="224" t="str">
        <f t="shared" si="145"/>
        <v/>
      </c>
      <c r="U73" s="162" t="str">
        <f t="array" ref="U73">IF(ISBLANK(R73), IF(S73,INDEX('Run Reconcile'!A$2:A89,1+MATCH(B73,'Run Reconcile'!B$2:B89,0),1),IF(T73,INDEX('Run Reconcile'!A$2:A89,1+MATCH(B73,'Run Reconcile'!B$2:B89,0),1),INDEX('Run Reconcile'!A$2:A89,MATCH(B73,'Run Reconcile'!B$2:B89,0),1))),IFERROR(0/0,""))</f>
        <v/>
      </c>
      <c r="V73" s="225" t="str">
        <f t="shared" si="5"/>
        <v>RUN-NDHM_2022-07-18_RFR-019</v>
      </c>
      <c r="W73" s="75"/>
      <c r="X73" s="75"/>
      <c r="Y73" s="162" t="str">
        <f t="shared" ref="Y73:Z73" si="146">IF(_xlfn.ISFORMULA(S73),IFERROR(0/0,""),TRUE)</f>
        <v/>
      </c>
      <c r="Z73" s="162" t="str">
        <f t="shared" si="146"/>
        <v/>
      </c>
    </row>
    <row r="74">
      <c r="A74" s="7" t="str">
        <f>IFERROR(__xludf.DUMMYFUNCTION("""COMPUTED_VALUE"""),"AJ9836")</f>
        <v>AJ9836</v>
      </c>
      <c r="B74" s="218">
        <f>IFERROR(__xludf.DUMMYFUNCTION("""COMPUTED_VALUE"""),44767.0)</f>
        <v>44767</v>
      </c>
      <c r="C74" s="219">
        <f>IFERROR(__xludf.DUMMYFUNCTION("""COMPUTED_VALUE"""),0.20652777777777778)</f>
        <v>0.2065277778</v>
      </c>
      <c r="D74" s="220" t="str">
        <f>IFERROR(__xludf.DUMMYFUNCTION("""COMPUTED_VALUE"""),"SpNDHM957722")</f>
        <v>SpNDHM957722</v>
      </c>
      <c r="E74" s="220"/>
      <c r="F74" s="220"/>
      <c r="G74" s="220" t="str">
        <f>IFERROR(__xludf.DUMMYFUNCTION("""COMPUTED_VALUE"""),"Negative")</f>
        <v>Negative</v>
      </c>
      <c r="H74" s="226" t="str">
        <f>IFERROR(__xludf.DUMMYFUNCTION("""COMPUTED_VALUE"""),"Negative")</f>
        <v>Negative</v>
      </c>
      <c r="I74" s="218">
        <f>IFERROR(__xludf.DUMMYFUNCTION("""COMPUTED_VALUE"""),44767.0)</f>
        <v>44767</v>
      </c>
      <c r="J74" s="221">
        <f>IFERROR(__xludf.DUMMYFUNCTION("""COMPUTED_VALUE"""),0.43292824074074077)</f>
        <v>0.4329282407</v>
      </c>
      <c r="K74" s="54"/>
      <c r="L74" s="7"/>
      <c r="M74" s="58"/>
      <c r="N74" s="58">
        <f>IFERROR(__xludf.DUMMYFUNCTION("""COMPUTED_VALUE"""),3.0)</f>
        <v>3</v>
      </c>
      <c r="O74" s="58" t="b">
        <f t="shared" si="3"/>
        <v>1</v>
      </c>
      <c r="P74" s="222">
        <f>IFERROR(__xludf.DUMMYFUNCTION("""COMPUTED_VALUE"""),0.0)</f>
        <v>0</v>
      </c>
      <c r="Q74" s="81" t="b">
        <f>VLOOKUP(B74,'Run Reconcile'!B$2:O89,14,FALSE)</f>
        <v>1</v>
      </c>
      <c r="R74" s="223" t="str">
        <f t="array" ref="R74">IF(Q74, INDEX('Run Reconcile'!A$2:A89,MATCH(B74,'Run Reconcile'!B$2:B89,0),1),IFERROR(0/0,""))</f>
        <v>RUN-NDHM_2022-07-25_RFR-020</v>
      </c>
      <c r="S74" s="224" t="str">
        <f t="shared" ref="S74:T74" si="147">IF(ISBLANK(W74),IFERROR(0/0,""),TRUE)</f>
        <v/>
      </c>
      <c r="T74" s="224" t="str">
        <f t="shared" si="147"/>
        <v/>
      </c>
      <c r="U74" s="162" t="str">
        <f t="array" ref="U74">IF(ISBLANK(R74), IF(S74,INDEX('Run Reconcile'!A$2:A89,1+MATCH(B74,'Run Reconcile'!B$2:B89,0),1),IF(T74,INDEX('Run Reconcile'!A$2:A89,1+MATCH(B74,'Run Reconcile'!B$2:B89,0),1),INDEX('Run Reconcile'!A$2:A89,MATCH(B74,'Run Reconcile'!B$2:B89,0),1))),IFERROR(0/0,""))</f>
        <v/>
      </c>
      <c r="V74" s="225" t="str">
        <f t="shared" si="5"/>
        <v>RUN-NDHM_2022-07-25_RFR-020</v>
      </c>
      <c r="W74" s="75"/>
      <c r="X74" s="75"/>
      <c r="Y74" s="162" t="str">
        <f t="shared" ref="Y74:Z74" si="148">IF(_xlfn.ISFORMULA(S74),IFERROR(0/0,""),TRUE)</f>
        <v/>
      </c>
      <c r="Z74" s="162" t="str">
        <f t="shared" si="148"/>
        <v/>
      </c>
    </row>
    <row r="75">
      <c r="A75" s="7" t="str">
        <f>IFERROR(__xludf.DUMMYFUNCTION("""COMPUTED_VALUE"""),"AH248")</f>
        <v>AH248</v>
      </c>
      <c r="B75" s="218">
        <f>IFERROR(__xludf.DUMMYFUNCTION("""COMPUTED_VALUE"""),44767.0)</f>
        <v>44767</v>
      </c>
      <c r="C75" s="219">
        <f>IFERROR(__xludf.DUMMYFUNCTION("""COMPUTED_VALUE"""),0.30244212962962963)</f>
        <v>0.3024421296</v>
      </c>
      <c r="D75" s="220" t="str">
        <f>IFERROR(__xludf.DUMMYFUNCTION("""COMPUTED_VALUE"""),"SpNDHM189649")</f>
        <v>SpNDHM189649</v>
      </c>
      <c r="E75" s="220"/>
      <c r="F75" s="220"/>
      <c r="G75" s="220" t="str">
        <f>IFERROR(__xludf.DUMMYFUNCTION("""COMPUTED_VALUE"""),"Negative")</f>
        <v>Negative</v>
      </c>
      <c r="H75" s="226" t="str">
        <f>IFERROR(__xludf.DUMMYFUNCTION("""COMPUTED_VALUE"""),"Negative")</f>
        <v>Negative</v>
      </c>
      <c r="I75" s="218">
        <f>IFERROR(__xludf.DUMMYFUNCTION("""COMPUTED_VALUE"""),44767.0)</f>
        <v>44767</v>
      </c>
      <c r="J75" s="221">
        <f>IFERROR(__xludf.DUMMYFUNCTION("""COMPUTED_VALUE"""),0.43292824074074077)</f>
        <v>0.4329282407</v>
      </c>
      <c r="K75" s="54"/>
      <c r="L75" s="7"/>
      <c r="M75" s="58"/>
      <c r="N75" s="58">
        <f>IFERROR(__xludf.DUMMYFUNCTION("""COMPUTED_VALUE"""),1.0)</f>
        <v>1</v>
      </c>
      <c r="O75" s="58" t="str">
        <f t="shared" si="3"/>
        <v/>
      </c>
      <c r="P75" s="222">
        <f>IFERROR(__xludf.DUMMYFUNCTION("""COMPUTED_VALUE"""),0.0)</f>
        <v>0</v>
      </c>
      <c r="Q75" s="81" t="b">
        <f>VLOOKUP(B75,'Run Reconcile'!B$2:O89,14,FALSE)</f>
        <v>1</v>
      </c>
      <c r="R75" s="223" t="str">
        <f t="array" ref="R75">IF(Q75, INDEX('Run Reconcile'!A$2:A89,MATCH(B75,'Run Reconcile'!B$2:B89,0),1),IFERROR(0/0,""))</f>
        <v>RUN-NDHM_2022-07-25_RFR-020</v>
      </c>
      <c r="S75" s="224" t="str">
        <f t="shared" ref="S75:T75" si="149">IF(ISBLANK(W75),IFERROR(0/0,""),TRUE)</f>
        <v/>
      </c>
      <c r="T75" s="224" t="str">
        <f t="shared" si="149"/>
        <v/>
      </c>
      <c r="U75" s="162" t="str">
        <f t="array" ref="U75">IF(ISBLANK(R75), IF(S75,INDEX('Run Reconcile'!A$2:A89,1+MATCH(B75,'Run Reconcile'!B$2:B89,0),1),IF(T75,INDEX('Run Reconcile'!A$2:A89,1+MATCH(B75,'Run Reconcile'!B$2:B89,0),1),INDEX('Run Reconcile'!A$2:A89,MATCH(B75,'Run Reconcile'!B$2:B89,0),1))),IFERROR(0/0,""))</f>
        <v/>
      </c>
      <c r="V75" s="225" t="str">
        <f t="shared" si="5"/>
        <v>RUN-NDHM_2022-07-25_RFR-020</v>
      </c>
      <c r="W75" s="75"/>
      <c r="X75" s="75"/>
      <c r="Y75" s="162" t="str">
        <f t="shared" ref="Y75:Z75" si="150">IF(_xlfn.ISFORMULA(S75),IFERROR(0/0,""),TRUE)</f>
        <v/>
      </c>
      <c r="Z75" s="162" t="str">
        <f t="shared" si="150"/>
        <v/>
      </c>
    </row>
    <row r="76">
      <c r="A76" s="7" t="str">
        <f>IFERROR(__xludf.DUMMYFUNCTION("""COMPUTED_VALUE"""),"AG1224")</f>
        <v>AG1224</v>
      </c>
      <c r="B76" s="218">
        <f>IFERROR(__xludf.DUMMYFUNCTION("""COMPUTED_VALUE"""),44767.0)</f>
        <v>44767</v>
      </c>
      <c r="C76" s="219">
        <f>IFERROR(__xludf.DUMMYFUNCTION("""COMPUTED_VALUE"""),0.3788773148148148)</f>
        <v>0.3788773148</v>
      </c>
      <c r="D76" s="220" t="str">
        <f>IFERROR(__xludf.DUMMYFUNCTION("""COMPUTED_VALUE"""),"SpNDHM122532")</f>
        <v>SpNDHM122532</v>
      </c>
      <c r="E76" s="220"/>
      <c r="F76" s="220"/>
      <c r="G76" s="220" t="str">
        <f>IFERROR(__xludf.DUMMYFUNCTION("""COMPUTED_VALUE"""),"Negative")</f>
        <v>Negative</v>
      </c>
      <c r="H76" s="226" t="str">
        <f>IFERROR(__xludf.DUMMYFUNCTION("""COMPUTED_VALUE"""),"Negative")</f>
        <v>Negative</v>
      </c>
      <c r="I76" s="218">
        <f>IFERROR(__xludf.DUMMYFUNCTION("""COMPUTED_VALUE"""),44767.0)</f>
        <v>44767</v>
      </c>
      <c r="J76" s="221">
        <f>IFERROR(__xludf.DUMMYFUNCTION("""COMPUTED_VALUE"""),0.4329398148148148)</f>
        <v>0.4329398148</v>
      </c>
      <c r="K76" s="54"/>
      <c r="L76" s="7"/>
      <c r="M76" s="58"/>
      <c r="N76" s="58">
        <f>IFERROR(__xludf.DUMMYFUNCTION("""COMPUTED_VALUE"""),2.0)</f>
        <v>2</v>
      </c>
      <c r="O76" s="58" t="str">
        <f t="shared" si="3"/>
        <v/>
      </c>
      <c r="P76" s="222">
        <f>IFERROR(__xludf.DUMMYFUNCTION("""COMPUTED_VALUE"""),0.0)</f>
        <v>0</v>
      </c>
      <c r="Q76" s="81" t="b">
        <f>VLOOKUP(B76,'Run Reconcile'!B$2:O89,14,FALSE)</f>
        <v>1</v>
      </c>
      <c r="R76" s="223" t="str">
        <f t="array" ref="R76">IF(Q76, INDEX('Run Reconcile'!A$2:A89,MATCH(B76,'Run Reconcile'!B$2:B89,0),1),IFERROR(0/0,""))</f>
        <v>RUN-NDHM_2022-07-25_RFR-020</v>
      </c>
      <c r="S76" s="224" t="str">
        <f t="shared" ref="S76:T76" si="151">IF(ISBLANK(W76),IFERROR(0/0,""),TRUE)</f>
        <v/>
      </c>
      <c r="T76" s="224" t="str">
        <f t="shared" si="151"/>
        <v/>
      </c>
      <c r="U76" s="162" t="str">
        <f t="array" ref="U76">IF(ISBLANK(R76), IF(S76,INDEX('Run Reconcile'!A$2:A89,1+MATCH(B76,'Run Reconcile'!B$2:B89,0),1),IF(T76,INDEX('Run Reconcile'!A$2:A89,1+MATCH(B76,'Run Reconcile'!B$2:B89,0),1),INDEX('Run Reconcile'!A$2:A89,MATCH(B76,'Run Reconcile'!B$2:B89,0),1))),IFERROR(0/0,""))</f>
        <v/>
      </c>
      <c r="V76" s="225" t="str">
        <f t="shared" si="5"/>
        <v>RUN-NDHM_2022-07-25_RFR-020</v>
      </c>
      <c r="W76" s="75"/>
      <c r="X76" s="75"/>
      <c r="Y76" s="162" t="str">
        <f t="shared" ref="Y76:Z76" si="152">IF(_xlfn.ISFORMULA(S76),IFERROR(0/0,""),TRUE)</f>
        <v/>
      </c>
      <c r="Z76" s="162" t="str">
        <f t="shared" si="152"/>
        <v/>
      </c>
    </row>
    <row r="77">
      <c r="A77" s="7" t="str">
        <f>IFERROR(__xludf.DUMMYFUNCTION("""COMPUTED_VALUE"""),"AG299")</f>
        <v>AG299</v>
      </c>
      <c r="B77" s="218">
        <f>IFERROR(__xludf.DUMMYFUNCTION("""COMPUTED_VALUE"""),44774.0)</f>
        <v>44774</v>
      </c>
      <c r="C77" s="219">
        <f>IFERROR(__xludf.DUMMYFUNCTION("""COMPUTED_VALUE"""),0.21421296296296297)</f>
        <v>0.214212963</v>
      </c>
      <c r="D77" s="220" t="str">
        <f>IFERROR(__xludf.DUMMYFUNCTION("""COMPUTED_VALUE"""),"SpNDHM189649")</f>
        <v>SpNDHM189649</v>
      </c>
      <c r="E77" s="220"/>
      <c r="F77" s="220"/>
      <c r="G77" s="220" t="str">
        <f>IFERROR(__xludf.DUMMYFUNCTION("""COMPUTED_VALUE"""),"Negative")</f>
        <v>Negative</v>
      </c>
      <c r="H77" s="226" t="str">
        <f>IFERROR(__xludf.DUMMYFUNCTION("""COMPUTED_VALUE"""),"Negative")</f>
        <v>Negative</v>
      </c>
      <c r="I77" s="218">
        <f>IFERROR(__xludf.DUMMYFUNCTION("""COMPUTED_VALUE"""),44816.0)</f>
        <v>44816</v>
      </c>
      <c r="J77" s="221">
        <f>IFERROR(__xludf.DUMMYFUNCTION("""COMPUTED_VALUE"""),0.3939814814814815)</f>
        <v>0.3939814815</v>
      </c>
      <c r="K77" s="54"/>
      <c r="L77" s="7"/>
      <c r="M77" s="58"/>
      <c r="N77" s="58">
        <f>IFERROR(__xludf.DUMMYFUNCTION("""COMPUTED_VALUE"""),3.0)</f>
        <v>3</v>
      </c>
      <c r="O77" s="58"/>
      <c r="P77" s="222">
        <f>IFERROR(__xludf.DUMMYFUNCTION("""COMPUTED_VALUE"""),42.0)</f>
        <v>42</v>
      </c>
      <c r="Q77" s="81" t="b">
        <f>VLOOKUP(B77,'Run Reconcile'!B$2:O89,14,FALSE)</f>
        <v>1</v>
      </c>
      <c r="R77" s="223" t="str">
        <f t="array" ref="R77">IF(Q77, INDEX('Run Reconcile'!A$2:A89,MATCH(B77,'Run Reconcile'!B$2:B89,0),1),IFERROR(0/0,""))</f>
        <v>RUN-NDHM_2022-08-01_APS-001</v>
      </c>
      <c r="S77" s="224" t="str">
        <f t="shared" ref="S77:T77" si="153">IF(ISBLANK(W77),IFERROR(0/0,""),TRUE)</f>
        <v/>
      </c>
      <c r="T77" s="224" t="str">
        <f t="shared" si="153"/>
        <v/>
      </c>
      <c r="U77" s="162" t="str">
        <f t="array" ref="U77">IF(ISBLANK(R77), IF(S77,INDEX('Run Reconcile'!A$2:A89,1+MATCH(B77,'Run Reconcile'!B$2:B89,0),1),IF(T77,INDEX('Run Reconcile'!A$2:A89,1+MATCH(B77,'Run Reconcile'!B$2:B89,0),1),INDEX('Run Reconcile'!A$2:A89,MATCH(B77,'Run Reconcile'!B$2:B89,0),1))),IFERROR(0/0,""))</f>
        <v/>
      </c>
      <c r="V77" s="225" t="str">
        <f t="shared" si="5"/>
        <v>RUN-NDHM_2022-08-01_APS-001</v>
      </c>
      <c r="W77" s="75"/>
      <c r="X77" s="75"/>
      <c r="Y77" s="162"/>
      <c r="Z77" s="162"/>
    </row>
    <row r="78">
      <c r="A78" s="7" t="str">
        <f>IFERROR(__xludf.DUMMYFUNCTION("""COMPUTED_VALUE"""),"AG1858")</f>
        <v>AG1858</v>
      </c>
      <c r="B78" s="218">
        <f>IFERROR(__xludf.DUMMYFUNCTION("""COMPUTED_VALUE"""),44816.0)</f>
        <v>44816</v>
      </c>
      <c r="C78" s="219">
        <f>IFERROR(__xludf.DUMMYFUNCTION("""COMPUTED_VALUE"""),0.1690162037037037)</f>
        <v>0.1690162037</v>
      </c>
      <c r="D78" s="220" t="str">
        <f>IFERROR(__xludf.DUMMYFUNCTION("""COMPUTED_VALUE"""),"SpNDHM189649")</f>
        <v>SpNDHM189649</v>
      </c>
      <c r="E78" s="220"/>
      <c r="F78" s="220"/>
      <c r="G78" s="220" t="str">
        <f>IFERROR(__xludf.DUMMYFUNCTION("""COMPUTED_VALUE"""),"Negative")</f>
        <v>Negative</v>
      </c>
      <c r="H78" s="226" t="str">
        <f>IFERROR(__xludf.DUMMYFUNCTION("""COMPUTED_VALUE"""),"Negative")</f>
        <v>Negative</v>
      </c>
      <c r="I78" s="218">
        <f>IFERROR(__xludf.DUMMYFUNCTION("""COMPUTED_VALUE"""),44816.0)</f>
        <v>44816</v>
      </c>
      <c r="J78" s="221">
        <f>IFERROR(__xludf.DUMMYFUNCTION("""COMPUTED_VALUE"""),0.3939814814814815)</f>
        <v>0.3939814815</v>
      </c>
      <c r="K78" s="54"/>
      <c r="L78" s="7"/>
      <c r="M78" s="58"/>
      <c r="N78" s="58">
        <f>IFERROR(__xludf.DUMMYFUNCTION("""COMPUTED_VALUE"""),4.0)</f>
        <v>4</v>
      </c>
      <c r="O78" s="58"/>
      <c r="P78" s="222">
        <f>IFERROR(__xludf.DUMMYFUNCTION("""COMPUTED_VALUE"""),0.0)</f>
        <v>0</v>
      </c>
      <c r="Q78" s="81" t="b">
        <f>VLOOKUP(B78,'Run Reconcile'!B$2:O89,14,FALSE)</f>
        <v>1</v>
      </c>
      <c r="R78" s="223" t="str">
        <f t="array" ref="R78">IF(Q78, INDEX('Run Reconcile'!A$2:A89,MATCH(B78,'Run Reconcile'!B$2:B89,0),1),IFERROR(0/0,""))</f>
        <v>RUN-NDHM_2022-09-12_APS-002</v>
      </c>
      <c r="S78" s="224" t="str">
        <f t="shared" ref="S78:T78" si="154">IF(ISBLANK(W78),IFERROR(0/0,""),TRUE)</f>
        <v/>
      </c>
      <c r="T78" s="224" t="str">
        <f t="shared" si="154"/>
        <v/>
      </c>
      <c r="U78" s="162" t="str">
        <f t="array" ref="U78">IF(ISBLANK(R78), IF(S78,INDEX('Run Reconcile'!A$2:A89,1+MATCH(B78,'Run Reconcile'!B$2:B89,0),1),IF(T78,INDEX('Run Reconcile'!A$2:A89,1+MATCH(B78,'Run Reconcile'!B$2:B89,0),1),INDEX('Run Reconcile'!A$2:A89,MATCH(B78,'Run Reconcile'!B$2:B89,0),1))),IFERROR(0/0,""))</f>
        <v/>
      </c>
      <c r="V78" s="225" t="str">
        <f t="shared" si="5"/>
        <v>RUN-NDHM_2022-09-12_APS-002</v>
      </c>
      <c r="W78" s="75"/>
      <c r="X78" s="75"/>
      <c r="Y78" s="162"/>
      <c r="Z78" s="162"/>
    </row>
    <row r="79">
      <c r="A79" s="7" t="str">
        <f>IFERROR(__xludf.DUMMYFUNCTION("""COMPUTED_VALUE"""),"AJ9077")</f>
        <v>AJ9077</v>
      </c>
      <c r="B79" s="218">
        <f>IFERROR(__xludf.DUMMYFUNCTION("""COMPUTED_VALUE"""),44837.0)</f>
        <v>44837</v>
      </c>
      <c r="C79" s="219">
        <f>IFERROR(__xludf.DUMMYFUNCTION("""COMPUTED_VALUE"""),0.19859953703703703)</f>
        <v>0.198599537</v>
      </c>
      <c r="D79" s="220" t="str">
        <f>IFERROR(__xludf.DUMMYFUNCTION("""COMPUTED_VALUE"""),"SpNDHM189649")</f>
        <v>SpNDHM189649</v>
      </c>
      <c r="E79" s="220"/>
      <c r="F79" s="220"/>
      <c r="G79" s="220" t="str">
        <f>IFERROR(__xludf.DUMMYFUNCTION("""COMPUTED_VALUE"""),"Negative")</f>
        <v>Negative</v>
      </c>
      <c r="H79" s="226" t="str">
        <f>IFERROR(__xludf.DUMMYFUNCTION("""COMPUTED_VALUE"""),"Negative")</f>
        <v>Negative</v>
      </c>
      <c r="I79" s="218">
        <f>IFERROR(__xludf.DUMMYFUNCTION("""COMPUTED_VALUE"""),44837.0)</f>
        <v>44837</v>
      </c>
      <c r="J79" s="221">
        <f>IFERROR(__xludf.DUMMYFUNCTION("""COMPUTED_VALUE"""),0.510150462962963)</f>
        <v>0.510150463</v>
      </c>
      <c r="K79" s="54"/>
      <c r="L79" s="7"/>
      <c r="M79" s="58"/>
      <c r="N79" s="58">
        <f>IFERROR(__xludf.DUMMYFUNCTION("""COMPUTED_VALUE"""),3.0)</f>
        <v>3</v>
      </c>
      <c r="O79" s="58"/>
      <c r="P79" s="222">
        <f>IFERROR(__xludf.DUMMYFUNCTION("""COMPUTED_VALUE"""),0.0)</f>
        <v>0</v>
      </c>
      <c r="Q79" s="81" t="str">
        <f>VLOOKUP(B79,'Run Reconcile'!B$2:O89,14,FALSE)</f>
        <v/>
      </c>
      <c r="R79" s="223" t="str">
        <f t="array" ref="R79">IF(Q79, INDEX('Run Reconcile'!A$2:A89,MATCH(B79,'Run Reconcile'!B$2:B89,0),1),IFERROR(0/0,""))</f>
        <v/>
      </c>
      <c r="S79" s="224" t="str">
        <f t="shared" ref="S79:T79" si="155">IF(ISBLANK(W79),IFERROR(0/0,""),TRUE)</f>
        <v/>
      </c>
      <c r="T79" s="224" t="str">
        <f t="shared" si="155"/>
        <v/>
      </c>
      <c r="U79" s="162" t="str">
        <f t="array" ref="U79">IF(ISBLANK(R79), IF(S79,INDEX('Run Reconcile'!A$2:A89,1+MATCH(B79,'Run Reconcile'!B$2:B89,0),1),IF(T79,INDEX('Run Reconcile'!A$2:A89,1+MATCH(B79,'Run Reconcile'!B$2:B89,0),1),INDEX('Run Reconcile'!A$2:A89,MATCH(B79,'Run Reconcile'!B$2:B89,0),1))),IFERROR(0/0,""))</f>
        <v>RUN-NDHM_2022-10-03_RFR-021</v>
      </c>
      <c r="V79" s="225" t="str">
        <f t="shared" si="5"/>
        <v>RUN-NDHM_2022-10-03_RFR-021</v>
      </c>
      <c r="W79" s="75"/>
      <c r="X79" s="75"/>
      <c r="Y79" s="162"/>
      <c r="Z79" s="162"/>
    </row>
    <row r="80">
      <c r="A80" s="7"/>
      <c r="B80" s="226"/>
      <c r="C80" s="226"/>
      <c r="D80" s="220"/>
      <c r="E80" s="220"/>
      <c r="F80" s="220"/>
      <c r="G80" s="220"/>
      <c r="H80" s="226"/>
      <c r="I80" s="226"/>
      <c r="J80" s="54"/>
      <c r="K80" s="54"/>
      <c r="L80" s="7"/>
      <c r="M80" s="58"/>
      <c r="N80" s="58"/>
      <c r="O80" s="58"/>
      <c r="P80" s="227"/>
      <c r="Q80" s="81"/>
      <c r="R80" s="223"/>
      <c r="S80" s="224"/>
      <c r="T80" s="224"/>
      <c r="U80" s="162"/>
      <c r="V80" s="225"/>
      <c r="W80" s="75"/>
      <c r="X80" s="75"/>
      <c r="Y80" s="162"/>
      <c r="Z80" s="162"/>
    </row>
    <row r="81">
      <c r="A81" s="7"/>
      <c r="B81" s="226"/>
      <c r="C81" s="226"/>
      <c r="D81" s="220"/>
      <c r="E81" s="220"/>
      <c r="F81" s="220"/>
      <c r="G81" s="220"/>
      <c r="H81" s="226"/>
      <c r="I81" s="226"/>
      <c r="J81" s="54"/>
      <c r="K81" s="54"/>
      <c r="L81" s="7"/>
      <c r="M81" s="58"/>
      <c r="N81" s="58"/>
      <c r="O81" s="58"/>
      <c r="P81" s="227"/>
      <c r="Q81" s="81"/>
      <c r="R81" s="223"/>
      <c r="S81" s="224"/>
      <c r="T81" s="224"/>
      <c r="U81" s="162"/>
      <c r="V81" s="225"/>
      <c r="W81" s="75"/>
      <c r="X81" s="75"/>
      <c r="Y81" s="162"/>
      <c r="Z81" s="162"/>
    </row>
    <row r="82">
      <c r="A82" s="7"/>
      <c r="B82" s="226"/>
      <c r="C82" s="226"/>
      <c r="D82" s="220"/>
      <c r="E82" s="220"/>
      <c r="F82" s="220"/>
      <c r="G82" s="220"/>
      <c r="H82" s="226"/>
      <c r="I82" s="226"/>
      <c r="J82" s="54"/>
      <c r="K82" s="54"/>
      <c r="L82" s="7"/>
      <c r="M82" s="58"/>
      <c r="N82" s="58"/>
      <c r="O82" s="58"/>
      <c r="P82" s="227"/>
      <c r="Q82" s="81"/>
      <c r="R82" s="223"/>
      <c r="S82" s="224"/>
      <c r="T82" s="224"/>
      <c r="U82" s="162"/>
      <c r="V82" s="225"/>
      <c r="W82" s="75"/>
      <c r="X82" s="75"/>
      <c r="Y82" s="162"/>
      <c r="Z82" s="162"/>
    </row>
    <row r="83">
      <c r="A83" s="7"/>
      <c r="B83" s="226"/>
      <c r="C83" s="226"/>
      <c r="D83" s="220"/>
      <c r="E83" s="220"/>
      <c r="F83" s="220"/>
      <c r="G83" s="220"/>
      <c r="H83" s="226"/>
      <c r="I83" s="226"/>
      <c r="J83" s="54"/>
      <c r="K83" s="54"/>
      <c r="L83" s="7"/>
      <c r="M83" s="58"/>
      <c r="N83" s="58"/>
      <c r="O83" s="58"/>
      <c r="P83" s="227"/>
      <c r="Q83" s="81"/>
      <c r="R83" s="223"/>
      <c r="S83" s="224"/>
      <c r="T83" s="224"/>
      <c r="U83" s="162"/>
      <c r="V83" s="225"/>
      <c r="W83" s="75"/>
      <c r="X83" s="75"/>
      <c r="Y83" s="162"/>
      <c r="Z83" s="162"/>
    </row>
    <row r="84">
      <c r="A84" s="7"/>
      <c r="B84" s="226"/>
      <c r="C84" s="226"/>
      <c r="D84" s="220"/>
      <c r="E84" s="220"/>
      <c r="F84" s="220"/>
      <c r="G84" s="220"/>
      <c r="H84" s="226"/>
      <c r="I84" s="226"/>
      <c r="J84" s="54"/>
      <c r="K84" s="54"/>
      <c r="L84" s="7"/>
      <c r="M84" s="58"/>
      <c r="N84" s="58"/>
      <c r="O84" s="58"/>
      <c r="P84" s="227"/>
      <c r="Q84" s="81"/>
      <c r="R84" s="223"/>
      <c r="S84" s="224"/>
      <c r="T84" s="224"/>
      <c r="U84" s="162"/>
      <c r="V84" s="225"/>
      <c r="W84" s="75"/>
      <c r="X84" s="75"/>
      <c r="Y84" s="162"/>
      <c r="Z84" s="162"/>
    </row>
    <row r="85">
      <c r="A85" s="7"/>
      <c r="B85" s="226"/>
      <c r="C85" s="226"/>
      <c r="D85" s="220"/>
      <c r="E85" s="220"/>
      <c r="F85" s="220"/>
      <c r="G85" s="220"/>
      <c r="H85" s="226"/>
      <c r="I85" s="226"/>
      <c r="J85" s="54"/>
      <c r="K85" s="54"/>
      <c r="L85" s="7"/>
      <c r="M85" s="58"/>
      <c r="N85" s="58"/>
      <c r="O85" s="58"/>
      <c r="P85" s="227"/>
      <c r="Q85" s="81"/>
      <c r="R85" s="223"/>
      <c r="S85" s="224"/>
      <c r="T85" s="224"/>
      <c r="U85" s="162"/>
      <c r="V85" s="225"/>
      <c r="W85" s="75"/>
      <c r="X85" s="75"/>
      <c r="Y85" s="162"/>
      <c r="Z85" s="162"/>
    </row>
    <row r="86">
      <c r="A86" s="7"/>
      <c r="B86" s="226"/>
      <c r="C86" s="226"/>
      <c r="D86" s="220"/>
      <c r="E86" s="220"/>
      <c r="F86" s="220"/>
      <c r="G86" s="220"/>
      <c r="H86" s="226"/>
      <c r="I86" s="226"/>
      <c r="J86" s="54"/>
      <c r="K86" s="54"/>
      <c r="L86" s="7"/>
      <c r="M86" s="58"/>
      <c r="N86" s="58"/>
      <c r="O86" s="58"/>
      <c r="P86" s="227"/>
      <c r="Q86" s="81"/>
      <c r="R86" s="223"/>
      <c r="S86" s="224"/>
      <c r="T86" s="224"/>
      <c r="U86" s="162"/>
      <c r="V86" s="225"/>
      <c r="W86" s="75"/>
      <c r="X86" s="75"/>
      <c r="Y86" s="162"/>
      <c r="Z86" s="162"/>
    </row>
    <row r="87">
      <c r="A87" s="7"/>
      <c r="B87" s="226"/>
      <c r="C87" s="226"/>
      <c r="D87" s="220"/>
      <c r="E87" s="220"/>
      <c r="F87" s="220"/>
      <c r="G87" s="220"/>
      <c r="H87" s="226"/>
      <c r="I87" s="226"/>
      <c r="J87" s="54"/>
      <c r="K87" s="54"/>
      <c r="L87" s="7"/>
      <c r="M87" s="58"/>
      <c r="N87" s="58"/>
      <c r="O87" s="58"/>
      <c r="P87" s="227"/>
      <c r="Q87" s="81"/>
      <c r="R87" s="223"/>
      <c r="S87" s="224"/>
      <c r="T87" s="224"/>
      <c r="U87" s="162"/>
      <c r="V87" s="225"/>
      <c r="W87" s="75"/>
      <c r="X87" s="75"/>
      <c r="Y87" s="162"/>
      <c r="Z87" s="162"/>
    </row>
    <row r="88">
      <c r="A88" s="7"/>
      <c r="B88" s="226"/>
      <c r="C88" s="226"/>
      <c r="D88" s="220"/>
      <c r="E88" s="220"/>
      <c r="F88" s="220"/>
      <c r="G88" s="220"/>
      <c r="H88" s="226"/>
      <c r="I88" s="226"/>
      <c r="J88" s="54"/>
      <c r="K88" s="54"/>
      <c r="L88" s="7"/>
      <c r="M88" s="58"/>
      <c r="N88" s="58"/>
      <c r="O88" s="58"/>
      <c r="P88" s="227"/>
      <c r="Q88" s="81"/>
      <c r="R88" s="223"/>
      <c r="S88" s="224"/>
      <c r="T88" s="224"/>
      <c r="U88" s="162"/>
      <c r="V88" s="225"/>
      <c r="W88" s="75"/>
      <c r="X88" s="75"/>
      <c r="Y88" s="162"/>
      <c r="Z88" s="162"/>
    </row>
    <row r="89">
      <c r="A89" s="7"/>
      <c r="B89" s="226"/>
      <c r="C89" s="226"/>
      <c r="D89" s="220"/>
      <c r="E89" s="220"/>
      <c r="F89" s="220"/>
      <c r="G89" s="220"/>
      <c r="H89" s="226"/>
      <c r="I89" s="226"/>
      <c r="J89" s="54"/>
      <c r="K89" s="54"/>
      <c r="L89" s="7"/>
      <c r="M89" s="58"/>
      <c r="N89" s="58"/>
      <c r="O89" s="58"/>
      <c r="P89" s="227"/>
      <c r="Q89" s="81"/>
      <c r="R89" s="223"/>
      <c r="S89" s="224"/>
      <c r="T89" s="224"/>
      <c r="U89" s="162"/>
      <c r="V89" s="225"/>
      <c r="W89" s="75"/>
      <c r="X89" s="75"/>
      <c r="Y89" s="162"/>
      <c r="Z89" s="162"/>
    </row>
  </sheetData>
  <conditionalFormatting sqref="A2:C89 M2:O89 W19 W27 W45:W47">
    <cfRule type="expression" dxfId="9" priority="1">
      <formula>$O2</formula>
    </cfRule>
  </conditionalFormatting>
  <conditionalFormatting sqref="T2:T89">
    <cfRule type="expression" dxfId="3" priority="2">
      <formula>NOT(ISFORMULA(T2))</formula>
    </cfRule>
  </conditionalFormatting>
  <conditionalFormatting sqref="S2:S89">
    <cfRule type="expression" dxfId="3" priority="3">
      <formula>NOT(ISFORMULA(S2))</formula>
    </cfRule>
  </conditionalFormatting>
  <conditionalFormatting sqref="Y1">
    <cfRule type="expression" dxfId="0" priority="4">
      <formula>Z1&gt;0</formula>
    </cfRule>
  </conditionalFormatting>
  <conditionalFormatting sqref="Y1">
    <cfRule type="expression" dxfId="12" priority="5">
      <formula>Z1=0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5.0"/>
    <col customWidth="1" min="3" max="3" width="11.5"/>
    <col customWidth="1" min="4" max="4" width="7.25" outlineLevel="1"/>
    <col customWidth="1" min="5" max="6" width="8.0" outlineLevel="1"/>
    <col customWidth="1" min="7" max="9" width="8.0"/>
    <col customWidth="1" min="10" max="10" width="14.5"/>
    <col customWidth="1" min="11" max="11" width="3.38"/>
    <col customWidth="1" min="12" max="12" width="12.38"/>
    <col customWidth="1" min="13" max="14" width="9.38"/>
    <col customWidth="1" min="15" max="15" width="7.5"/>
    <col customWidth="1" min="16" max="16" width="8.5"/>
    <col customWidth="1" min="17" max="17" width="8.63"/>
    <col customWidth="1" min="18" max="18" width="7.88"/>
    <col customWidth="1" min="19" max="19" width="8.0"/>
    <col customWidth="1" min="22" max="22" width="2.38"/>
    <col customWidth="1" min="24" max="24" width="10.13"/>
    <col customWidth="1" min="25" max="29" width="7.75"/>
  </cols>
  <sheetData>
    <row r="1">
      <c r="A1" s="228" t="s">
        <v>253</v>
      </c>
      <c r="B1" s="63" t="str">
        <f>IFERROR(__xludf.DUMMYFUNCTION("IMPORTRANGE($A$2,""APS Tubes by Date!$A1:$H"")"),"APS
COLLECT DATE")</f>
        <v>APS
COLLECT DATE</v>
      </c>
      <c r="C1" s="38" t="str">
        <f>IFERROR(__xludf.DUMMYFUNCTION("""COMPUTED_VALUE"""),"NUM TUBES 78")</f>
        <v>NUM TUBES 78</v>
      </c>
      <c r="D1" s="38" t="str">
        <f>IFERROR(__xludf.DUMMYFUNCTION("""COMPUTED_VALUE"""),"NEG 78")</f>
        <v>NEG 78</v>
      </c>
      <c r="E1" s="38" t="str">
        <f>IFERROR(__xludf.DUMMYFUNCTION("""COMPUTED_VALUE"""),"POS  0")</f>
        <v>POS  0</v>
      </c>
      <c r="F1" s="38" t="str">
        <f>IFERROR(__xludf.DUMMYFUNCTION("""COMPUTED_VALUE"""),"INC  0")</f>
        <v>INC  0</v>
      </c>
      <c r="G1" s="38" t="str">
        <f>IFERROR(__xludf.DUMMYFUNCTION("""COMPUTED_VALUE"""),"NULL  0")</f>
        <v>NULL  0</v>
      </c>
      <c r="H1" s="38" t="str">
        <f>IFERROR(__xludf.DUMMYFUNCTION("""COMPUTED_VALUE"""),"INVL  0")</f>
        <v>INVL  0</v>
      </c>
      <c r="I1" s="38" t="str">
        <f>IFERROR(__xludf.DUMMYFUNCTION("""COMPUTED_VALUE"""),"FAIL  0")</f>
        <v>FAIL  0</v>
      </c>
      <c r="J1" s="63" t="str">
        <f>IFERROR(__xludf.DUMMYFUNCTION("IMPORTRANGE($A$2,""APS Tubes by Date!$O1:$O"")"),"All Non-Null Tubes Resulted Same Day?")</f>
        <v>All Non-Null Tubes Resulted Same Day?</v>
      </c>
      <c r="K1" s="69"/>
      <c r="L1" s="229" t="str">
        <f>IFERROR(__xludf.DUMMYFUNCTION("IMPORTRANGE($A$2,""APS Tubes by Date!$T1:$AB"")"),"APS
RESULT DATE")</f>
        <v>APS
RESULT DATE</v>
      </c>
      <c r="M1" s="230" t="str">
        <f>IFERROR(__xludf.DUMMYFUNCTION("""COMPUTED_VALUE"""),"NUM TUBES 78")</f>
        <v>NUM TUBES 78</v>
      </c>
      <c r="N1" s="229" t="str">
        <f>IFERROR(__xludf.DUMMYFUNCTION("""COMPUTED_VALUE"""),"NEG 78")</f>
        <v>NEG 78</v>
      </c>
      <c r="O1" s="229" t="str">
        <f>IFERROR(__xludf.DUMMYFUNCTION("""COMPUTED_VALUE"""),"POS  0")</f>
        <v>POS  0</v>
      </c>
      <c r="P1" s="231" t="str">
        <f>IFERROR(__xludf.DUMMYFUNCTION("""COMPUTED_VALUE"""),"INC  0")</f>
        <v>INC  0</v>
      </c>
      <c r="Q1" s="231" t="str">
        <f>IFERROR(__xludf.DUMMYFUNCTION("""COMPUTED_VALUE"""),"NULL  0")</f>
        <v>NULL  0</v>
      </c>
      <c r="R1" s="231" t="str">
        <f>IFERROR(__xludf.DUMMYFUNCTION("""COMPUTED_VALUE"""),"INVL  0")</f>
        <v>INVL  0</v>
      </c>
      <c r="S1" s="231" t="str">
        <f>IFERROR(__xludf.DUMMYFUNCTION("""COMPUTED_VALUE"""),"FAIL  0")</f>
        <v>FAIL  0</v>
      </c>
      <c r="T1" s="231" t="str">
        <f>IFERROR(__xludf.DUMMYFUNCTION("""COMPUTED_VALUE"""),"SUM RESULTS")</f>
        <v>SUM RESULTS</v>
      </c>
      <c r="U1" s="232" t="s">
        <v>254</v>
      </c>
      <c r="V1" s="73"/>
      <c r="W1" s="72" t="str">
        <f t="shared" ref="W1:AC1" si="1">L1</f>
        <v>APS
RESULT DATE</v>
      </c>
      <c r="X1" s="233" t="str">
        <f t="shared" si="1"/>
        <v>NUM TUBES 78</v>
      </c>
      <c r="Y1" s="72" t="str">
        <f t="shared" si="1"/>
        <v>NEG 78</v>
      </c>
      <c r="Z1" s="72" t="str">
        <f t="shared" si="1"/>
        <v>POS  0</v>
      </c>
      <c r="AA1" s="72" t="str">
        <f t="shared" si="1"/>
        <v>INC  0</v>
      </c>
      <c r="AB1" s="72" t="str">
        <f t="shared" si="1"/>
        <v>NULL  0</v>
      </c>
      <c r="AC1" s="72" t="str">
        <f t="shared" si="1"/>
        <v>INVL  0</v>
      </c>
    </row>
    <row r="2">
      <c r="A2" s="234" t="s">
        <v>255</v>
      </c>
      <c r="B2" s="14">
        <f>IFERROR(__xludf.DUMMYFUNCTION("""COMPUTED_VALUE"""),44683.0)</f>
        <v>44683</v>
      </c>
      <c r="C2" s="54">
        <f>IFERROR(__xludf.DUMMYFUNCTION("""COMPUTED_VALUE"""),17.0)</f>
        <v>17</v>
      </c>
      <c r="D2" s="54">
        <f>IFERROR(__xludf.DUMMYFUNCTION("""COMPUTED_VALUE"""),17.0)</f>
        <v>17</v>
      </c>
      <c r="E2" s="54">
        <f>IFERROR(__xludf.DUMMYFUNCTION("""COMPUTED_VALUE"""),0.0)</f>
        <v>0</v>
      </c>
      <c r="F2" s="54">
        <f>IFERROR(__xludf.DUMMYFUNCTION("""COMPUTED_VALUE"""),0.0)</f>
        <v>0</v>
      </c>
      <c r="G2" s="54">
        <f>IFERROR(__xludf.DUMMYFUNCTION("""COMPUTED_VALUE"""),0.0)</f>
        <v>0</v>
      </c>
      <c r="H2" s="54">
        <f>IFERROR(__xludf.DUMMYFUNCTION("""COMPUTED_VALUE"""),0.0)</f>
        <v>0</v>
      </c>
      <c r="I2" s="54">
        <f>IFERROR(__xludf.DUMMYFUNCTION("""COMPUTED_VALUE"""),0.0)</f>
        <v>0</v>
      </c>
      <c r="J2" s="54"/>
      <c r="K2" s="73"/>
      <c r="L2" s="14">
        <f>IFERROR(__xludf.DUMMYFUNCTION("""COMPUTED_VALUE"""),44683.0)</f>
        <v>44683</v>
      </c>
      <c r="M2" s="58">
        <f>IFERROR(__xludf.DUMMYFUNCTION("""COMPUTED_VALUE"""),16.0)</f>
        <v>16</v>
      </c>
      <c r="N2" s="58">
        <f>IFERROR(__xludf.DUMMYFUNCTION("""COMPUTED_VALUE"""),16.0)</f>
        <v>16</v>
      </c>
      <c r="O2" s="58">
        <f>IFERROR(__xludf.DUMMYFUNCTION("""COMPUTED_VALUE"""),0.0)</f>
        <v>0</v>
      </c>
      <c r="P2" s="58">
        <f>IFERROR(__xludf.DUMMYFUNCTION("""COMPUTED_VALUE"""),0.0)</f>
        <v>0</v>
      </c>
      <c r="Q2" s="58">
        <f>IFERROR(__xludf.DUMMYFUNCTION("""COMPUTED_VALUE"""),0.0)</f>
        <v>0</v>
      </c>
      <c r="R2" s="58">
        <f>IFERROR(__xludf.DUMMYFUNCTION("""COMPUTED_VALUE"""),0.0)</f>
        <v>0</v>
      </c>
      <c r="S2" s="58">
        <f>IFERROR(__xludf.DUMMYFUNCTION("""COMPUTED_VALUE"""),0.0)</f>
        <v>0</v>
      </c>
      <c r="T2" s="58">
        <f>IFERROR(__xludf.DUMMYFUNCTION("""COMPUTED_VALUE"""),16.0)</f>
        <v>16</v>
      </c>
      <c r="U2" s="75"/>
      <c r="V2" s="73"/>
      <c r="W2" s="14">
        <f t="shared" ref="W2:AC2" si="2">L2</f>
        <v>44683</v>
      </c>
      <c r="X2" s="58">
        <f t="shared" si="2"/>
        <v>16</v>
      </c>
      <c r="Y2" s="58">
        <f t="shared" si="2"/>
        <v>16</v>
      </c>
      <c r="Z2" s="58">
        <f t="shared" si="2"/>
        <v>0</v>
      </c>
      <c r="AA2" s="58">
        <f t="shared" si="2"/>
        <v>0</v>
      </c>
      <c r="AB2" s="58">
        <f t="shared" si="2"/>
        <v>0</v>
      </c>
      <c r="AC2" s="58">
        <f t="shared" si="2"/>
        <v>0</v>
      </c>
    </row>
    <row r="3">
      <c r="B3" s="12">
        <f>IFERROR(__xludf.DUMMYFUNCTION("""COMPUTED_VALUE"""),44689.0)</f>
        <v>44689</v>
      </c>
      <c r="C3" s="54">
        <f>IFERROR(__xludf.DUMMYFUNCTION("""COMPUTED_VALUE"""),1.0)</f>
        <v>1</v>
      </c>
      <c r="D3" s="54">
        <f>IFERROR(__xludf.DUMMYFUNCTION("""COMPUTED_VALUE"""),1.0)</f>
        <v>1</v>
      </c>
      <c r="E3" s="54">
        <f>IFERROR(__xludf.DUMMYFUNCTION("""COMPUTED_VALUE"""),0.0)</f>
        <v>0</v>
      </c>
      <c r="F3" s="54">
        <f>IFERROR(__xludf.DUMMYFUNCTION("""COMPUTED_VALUE"""),0.0)</f>
        <v>0</v>
      </c>
      <c r="G3" s="54">
        <f>IFERROR(__xludf.DUMMYFUNCTION("""COMPUTED_VALUE"""),0.0)</f>
        <v>0</v>
      </c>
      <c r="H3" s="54">
        <f>IFERROR(__xludf.DUMMYFUNCTION("""COMPUTED_VALUE"""),0.0)</f>
        <v>0</v>
      </c>
      <c r="I3" s="54">
        <f>IFERROR(__xludf.DUMMYFUNCTION("""COMPUTED_VALUE"""),0.0)</f>
        <v>0</v>
      </c>
      <c r="J3" s="54"/>
      <c r="K3" s="73"/>
      <c r="L3" s="14">
        <f>IFERROR(__xludf.DUMMYFUNCTION("""COMPUTED_VALUE"""),44690.0)</f>
        <v>44690</v>
      </c>
      <c r="M3" s="58">
        <f>IFERROR(__xludf.DUMMYFUNCTION("""COMPUTED_VALUE"""),9.0)</f>
        <v>9</v>
      </c>
      <c r="N3" s="58">
        <f>IFERROR(__xludf.DUMMYFUNCTION("""COMPUTED_VALUE"""),9.0)</f>
        <v>9</v>
      </c>
      <c r="O3" s="58">
        <f>IFERROR(__xludf.DUMMYFUNCTION("""COMPUTED_VALUE"""),0.0)</f>
        <v>0</v>
      </c>
      <c r="P3" s="58">
        <f>IFERROR(__xludf.DUMMYFUNCTION("""COMPUTED_VALUE"""),0.0)</f>
        <v>0</v>
      </c>
      <c r="Q3" s="58">
        <f>IFERROR(__xludf.DUMMYFUNCTION("""COMPUTED_VALUE"""),0.0)</f>
        <v>0</v>
      </c>
      <c r="R3" s="58">
        <f>IFERROR(__xludf.DUMMYFUNCTION("""COMPUTED_VALUE"""),0.0)</f>
        <v>0</v>
      </c>
      <c r="S3" s="58">
        <f>IFERROR(__xludf.DUMMYFUNCTION("""COMPUTED_VALUE"""),0.0)</f>
        <v>0</v>
      </c>
      <c r="T3" s="58">
        <f>IFERROR(__xludf.DUMMYFUNCTION("""COMPUTED_VALUE"""),9.0)</f>
        <v>9</v>
      </c>
      <c r="U3" s="75"/>
      <c r="V3" s="73"/>
      <c r="W3" s="14">
        <f t="shared" ref="W3:AC3" si="3">L3</f>
        <v>44690</v>
      </c>
      <c r="X3" s="58">
        <f t="shared" si="3"/>
        <v>9</v>
      </c>
      <c r="Y3" s="58">
        <f t="shared" si="3"/>
        <v>9</v>
      </c>
      <c r="Z3" s="58">
        <f t="shared" si="3"/>
        <v>0</v>
      </c>
      <c r="AA3" s="58">
        <f t="shared" si="3"/>
        <v>0</v>
      </c>
      <c r="AB3" s="58">
        <f t="shared" si="3"/>
        <v>0</v>
      </c>
      <c r="AC3" s="58">
        <f t="shared" si="3"/>
        <v>0</v>
      </c>
    </row>
    <row r="4">
      <c r="B4" s="12">
        <f>IFERROR(__xludf.DUMMYFUNCTION("""COMPUTED_VALUE"""),44690.0)</f>
        <v>44690</v>
      </c>
      <c r="C4" s="54">
        <f>IFERROR(__xludf.DUMMYFUNCTION("""COMPUTED_VALUE"""),7.0)</f>
        <v>7</v>
      </c>
      <c r="D4" s="54">
        <f>IFERROR(__xludf.DUMMYFUNCTION("""COMPUTED_VALUE"""),7.0)</f>
        <v>7</v>
      </c>
      <c r="E4" s="54">
        <f>IFERROR(__xludf.DUMMYFUNCTION("""COMPUTED_VALUE"""),0.0)</f>
        <v>0</v>
      </c>
      <c r="F4" s="54">
        <f>IFERROR(__xludf.DUMMYFUNCTION("""COMPUTED_VALUE"""),0.0)</f>
        <v>0</v>
      </c>
      <c r="G4" s="54">
        <f>IFERROR(__xludf.DUMMYFUNCTION("""COMPUTED_VALUE"""),0.0)</f>
        <v>0</v>
      </c>
      <c r="H4" s="54">
        <f>IFERROR(__xludf.DUMMYFUNCTION("""COMPUTED_VALUE"""),0.0)</f>
        <v>0</v>
      </c>
      <c r="I4" s="54">
        <f>IFERROR(__xludf.DUMMYFUNCTION("""COMPUTED_VALUE"""),0.0)</f>
        <v>0</v>
      </c>
      <c r="J4" s="54" t="b">
        <f>IFERROR(__xludf.DUMMYFUNCTION("""COMPUTED_VALUE"""),TRUE)</f>
        <v>1</v>
      </c>
      <c r="K4" s="73"/>
      <c r="L4" s="14">
        <f>IFERROR(__xludf.DUMMYFUNCTION("""COMPUTED_VALUE"""),44697.0)</f>
        <v>44697</v>
      </c>
      <c r="M4" s="58">
        <f>IFERROR(__xludf.DUMMYFUNCTION("""COMPUTED_VALUE"""),10.0)</f>
        <v>10</v>
      </c>
      <c r="N4" s="58">
        <f>IFERROR(__xludf.DUMMYFUNCTION("""COMPUTED_VALUE"""),10.0)</f>
        <v>10</v>
      </c>
      <c r="O4" s="58">
        <f>IFERROR(__xludf.DUMMYFUNCTION("""COMPUTED_VALUE"""),0.0)</f>
        <v>0</v>
      </c>
      <c r="P4" s="58">
        <f>IFERROR(__xludf.DUMMYFUNCTION("""COMPUTED_VALUE"""),0.0)</f>
        <v>0</v>
      </c>
      <c r="Q4" s="58">
        <f>IFERROR(__xludf.DUMMYFUNCTION("""COMPUTED_VALUE"""),0.0)</f>
        <v>0</v>
      </c>
      <c r="R4" s="58">
        <f>IFERROR(__xludf.DUMMYFUNCTION("""COMPUTED_VALUE"""),0.0)</f>
        <v>0</v>
      </c>
      <c r="S4" s="58">
        <f>IFERROR(__xludf.DUMMYFUNCTION("""COMPUTED_VALUE"""),0.0)</f>
        <v>0</v>
      </c>
      <c r="T4" s="58">
        <f>IFERROR(__xludf.DUMMYFUNCTION("""COMPUTED_VALUE"""),10.0)</f>
        <v>10</v>
      </c>
      <c r="U4" s="75"/>
      <c r="V4" s="73"/>
      <c r="W4" s="14">
        <f t="shared" ref="W4:AC4" si="4">L4</f>
        <v>44697</v>
      </c>
      <c r="X4" s="58">
        <f t="shared" si="4"/>
        <v>10</v>
      </c>
      <c r="Y4" s="58">
        <f t="shared" si="4"/>
        <v>10</v>
      </c>
      <c r="Z4" s="58">
        <f t="shared" si="4"/>
        <v>0</v>
      </c>
      <c r="AA4" s="58">
        <f t="shared" si="4"/>
        <v>0</v>
      </c>
      <c r="AB4" s="58">
        <f t="shared" si="4"/>
        <v>0</v>
      </c>
      <c r="AC4" s="58">
        <f t="shared" si="4"/>
        <v>0</v>
      </c>
    </row>
    <row r="5">
      <c r="B5" s="12">
        <f>IFERROR(__xludf.DUMMYFUNCTION("""COMPUTED_VALUE"""),44696.0)</f>
        <v>44696</v>
      </c>
      <c r="C5" s="54">
        <f>IFERROR(__xludf.DUMMYFUNCTION("""COMPUTED_VALUE"""),1.0)</f>
        <v>1</v>
      </c>
      <c r="D5" s="54">
        <f>IFERROR(__xludf.DUMMYFUNCTION("""COMPUTED_VALUE"""),1.0)</f>
        <v>1</v>
      </c>
      <c r="E5" s="54">
        <f>IFERROR(__xludf.DUMMYFUNCTION("""COMPUTED_VALUE"""),0.0)</f>
        <v>0</v>
      </c>
      <c r="F5" s="54">
        <f>IFERROR(__xludf.DUMMYFUNCTION("""COMPUTED_VALUE"""),0.0)</f>
        <v>0</v>
      </c>
      <c r="G5" s="54">
        <f>IFERROR(__xludf.DUMMYFUNCTION("""COMPUTED_VALUE"""),0.0)</f>
        <v>0</v>
      </c>
      <c r="H5" s="54">
        <f>IFERROR(__xludf.DUMMYFUNCTION("""COMPUTED_VALUE"""),0.0)</f>
        <v>0</v>
      </c>
      <c r="I5" s="54">
        <f>IFERROR(__xludf.DUMMYFUNCTION("""COMPUTED_VALUE"""),0.0)</f>
        <v>0</v>
      </c>
      <c r="J5" s="54"/>
      <c r="K5" s="73"/>
      <c r="L5" s="14">
        <f>IFERROR(__xludf.DUMMYFUNCTION("""COMPUTED_VALUE"""),44704.0)</f>
        <v>44704</v>
      </c>
      <c r="M5" s="58">
        <f>IFERROR(__xludf.DUMMYFUNCTION("""COMPUTED_VALUE"""),8.0)</f>
        <v>8</v>
      </c>
      <c r="N5" s="58">
        <f>IFERROR(__xludf.DUMMYFUNCTION("""COMPUTED_VALUE"""),8.0)</f>
        <v>8</v>
      </c>
      <c r="O5" s="58">
        <f>IFERROR(__xludf.DUMMYFUNCTION("""COMPUTED_VALUE"""),0.0)</f>
        <v>0</v>
      </c>
      <c r="P5" s="58">
        <f>IFERROR(__xludf.DUMMYFUNCTION("""COMPUTED_VALUE"""),0.0)</f>
        <v>0</v>
      </c>
      <c r="Q5" s="58">
        <f>IFERROR(__xludf.DUMMYFUNCTION("""COMPUTED_VALUE"""),0.0)</f>
        <v>0</v>
      </c>
      <c r="R5" s="58">
        <f>IFERROR(__xludf.DUMMYFUNCTION("""COMPUTED_VALUE"""),0.0)</f>
        <v>0</v>
      </c>
      <c r="S5" s="58">
        <f>IFERROR(__xludf.DUMMYFUNCTION("""COMPUTED_VALUE"""),0.0)</f>
        <v>0</v>
      </c>
      <c r="T5" s="58">
        <f>IFERROR(__xludf.DUMMYFUNCTION("""COMPUTED_VALUE"""),8.0)</f>
        <v>8</v>
      </c>
      <c r="U5" s="75"/>
      <c r="V5" s="73"/>
      <c r="W5" s="14">
        <f t="shared" ref="W5:AC5" si="5">L5</f>
        <v>44704</v>
      </c>
      <c r="X5" s="58">
        <f t="shared" si="5"/>
        <v>8</v>
      </c>
      <c r="Y5" s="58">
        <f t="shared" si="5"/>
        <v>8</v>
      </c>
      <c r="Z5" s="58">
        <f t="shared" si="5"/>
        <v>0</v>
      </c>
      <c r="AA5" s="58">
        <f t="shared" si="5"/>
        <v>0</v>
      </c>
      <c r="AB5" s="58">
        <f t="shared" si="5"/>
        <v>0</v>
      </c>
      <c r="AC5" s="58">
        <f t="shared" si="5"/>
        <v>0</v>
      </c>
    </row>
    <row r="6">
      <c r="B6" s="12">
        <f>IFERROR(__xludf.DUMMYFUNCTION("""COMPUTED_VALUE"""),44697.0)</f>
        <v>44697</v>
      </c>
      <c r="C6" s="54">
        <f>IFERROR(__xludf.DUMMYFUNCTION("""COMPUTED_VALUE"""),9.0)</f>
        <v>9</v>
      </c>
      <c r="D6" s="54">
        <f>IFERROR(__xludf.DUMMYFUNCTION("""COMPUTED_VALUE"""),9.0)</f>
        <v>9</v>
      </c>
      <c r="E6" s="54">
        <f>IFERROR(__xludf.DUMMYFUNCTION("""COMPUTED_VALUE"""),0.0)</f>
        <v>0</v>
      </c>
      <c r="F6" s="54">
        <f>IFERROR(__xludf.DUMMYFUNCTION("""COMPUTED_VALUE"""),0.0)</f>
        <v>0</v>
      </c>
      <c r="G6" s="54">
        <f>IFERROR(__xludf.DUMMYFUNCTION("""COMPUTED_VALUE"""),0.0)</f>
        <v>0</v>
      </c>
      <c r="H6" s="54">
        <f>IFERROR(__xludf.DUMMYFUNCTION("""COMPUTED_VALUE"""),0.0)</f>
        <v>0</v>
      </c>
      <c r="I6" s="54">
        <f>IFERROR(__xludf.DUMMYFUNCTION("""COMPUTED_VALUE"""),0.0)</f>
        <v>0</v>
      </c>
      <c r="J6" s="54" t="b">
        <f>IFERROR(__xludf.DUMMYFUNCTION("""COMPUTED_VALUE"""),TRUE)</f>
        <v>1</v>
      </c>
      <c r="K6" s="73"/>
      <c r="L6" s="14">
        <f>IFERROR(__xludf.DUMMYFUNCTION("""COMPUTED_VALUE"""),44713.0)</f>
        <v>44713</v>
      </c>
      <c r="M6" s="58">
        <f>IFERROR(__xludf.DUMMYFUNCTION("""COMPUTED_VALUE"""),13.0)</f>
        <v>13</v>
      </c>
      <c r="N6" s="58">
        <f>IFERROR(__xludf.DUMMYFUNCTION("""COMPUTED_VALUE"""),13.0)</f>
        <v>13</v>
      </c>
      <c r="O6" s="58">
        <f>IFERROR(__xludf.DUMMYFUNCTION("""COMPUTED_VALUE"""),0.0)</f>
        <v>0</v>
      </c>
      <c r="P6" s="58">
        <f>IFERROR(__xludf.DUMMYFUNCTION("""COMPUTED_VALUE"""),0.0)</f>
        <v>0</v>
      </c>
      <c r="Q6" s="58">
        <f>IFERROR(__xludf.DUMMYFUNCTION("""COMPUTED_VALUE"""),0.0)</f>
        <v>0</v>
      </c>
      <c r="R6" s="58">
        <f>IFERROR(__xludf.DUMMYFUNCTION("""COMPUTED_VALUE"""),0.0)</f>
        <v>0</v>
      </c>
      <c r="S6" s="58">
        <f>IFERROR(__xludf.DUMMYFUNCTION("""COMPUTED_VALUE"""),0.0)</f>
        <v>0</v>
      </c>
      <c r="T6" s="58">
        <f>IFERROR(__xludf.DUMMYFUNCTION("""COMPUTED_VALUE"""),13.0)</f>
        <v>13</v>
      </c>
      <c r="U6" s="75"/>
      <c r="V6" s="73"/>
      <c r="W6" s="14">
        <f t="shared" ref="W6:AC6" si="6">L6</f>
        <v>44713</v>
      </c>
      <c r="X6" s="58">
        <f t="shared" si="6"/>
        <v>13</v>
      </c>
      <c r="Y6" s="58">
        <f t="shared" si="6"/>
        <v>13</v>
      </c>
      <c r="Z6" s="58">
        <f t="shared" si="6"/>
        <v>0</v>
      </c>
      <c r="AA6" s="58">
        <f t="shared" si="6"/>
        <v>0</v>
      </c>
      <c r="AB6" s="58">
        <f t="shared" si="6"/>
        <v>0</v>
      </c>
      <c r="AC6" s="58">
        <f t="shared" si="6"/>
        <v>0</v>
      </c>
    </row>
    <row r="7">
      <c r="B7" s="12">
        <f>IFERROR(__xludf.DUMMYFUNCTION("""COMPUTED_VALUE"""),44704.0)</f>
        <v>44704</v>
      </c>
      <c r="C7" s="54">
        <f>IFERROR(__xludf.DUMMYFUNCTION("""COMPUTED_VALUE"""),8.0)</f>
        <v>8</v>
      </c>
      <c r="D7" s="54">
        <f>IFERROR(__xludf.DUMMYFUNCTION("""COMPUTED_VALUE"""),8.0)</f>
        <v>8</v>
      </c>
      <c r="E7" s="54">
        <f>IFERROR(__xludf.DUMMYFUNCTION("""COMPUTED_VALUE"""),0.0)</f>
        <v>0</v>
      </c>
      <c r="F7" s="54">
        <f>IFERROR(__xludf.DUMMYFUNCTION("""COMPUTED_VALUE"""),0.0)</f>
        <v>0</v>
      </c>
      <c r="G7" s="54">
        <f>IFERROR(__xludf.DUMMYFUNCTION("""COMPUTED_VALUE"""),0.0)</f>
        <v>0</v>
      </c>
      <c r="H7" s="54">
        <f>IFERROR(__xludf.DUMMYFUNCTION("""COMPUTED_VALUE"""),0.0)</f>
        <v>0</v>
      </c>
      <c r="I7" s="54">
        <f>IFERROR(__xludf.DUMMYFUNCTION("""COMPUTED_VALUE"""),0.0)</f>
        <v>0</v>
      </c>
      <c r="J7" s="54" t="b">
        <f>IFERROR(__xludf.DUMMYFUNCTION("""COMPUTED_VALUE"""),TRUE)</f>
        <v>1</v>
      </c>
      <c r="K7" s="73"/>
      <c r="L7" s="14">
        <f>IFERROR(__xludf.DUMMYFUNCTION("""COMPUTED_VALUE"""),44718.0)</f>
        <v>44718</v>
      </c>
      <c r="M7" s="58">
        <f>IFERROR(__xludf.DUMMYFUNCTION("""COMPUTED_VALUE"""),7.0)</f>
        <v>7</v>
      </c>
      <c r="N7" s="58">
        <f>IFERROR(__xludf.DUMMYFUNCTION("""COMPUTED_VALUE"""),7.0)</f>
        <v>7</v>
      </c>
      <c r="O7" s="58">
        <f>IFERROR(__xludf.DUMMYFUNCTION("""COMPUTED_VALUE"""),0.0)</f>
        <v>0</v>
      </c>
      <c r="P7" s="58">
        <f>IFERROR(__xludf.DUMMYFUNCTION("""COMPUTED_VALUE"""),0.0)</f>
        <v>0</v>
      </c>
      <c r="Q7" s="58">
        <f>IFERROR(__xludf.DUMMYFUNCTION("""COMPUTED_VALUE"""),0.0)</f>
        <v>0</v>
      </c>
      <c r="R7" s="58">
        <f>IFERROR(__xludf.DUMMYFUNCTION("""COMPUTED_VALUE"""),0.0)</f>
        <v>0</v>
      </c>
      <c r="S7" s="58">
        <f>IFERROR(__xludf.DUMMYFUNCTION("""COMPUTED_VALUE"""),0.0)</f>
        <v>0</v>
      </c>
      <c r="T7" s="58">
        <f>IFERROR(__xludf.DUMMYFUNCTION("""COMPUTED_VALUE"""),7.0)</f>
        <v>7</v>
      </c>
      <c r="U7" s="75"/>
      <c r="V7" s="73"/>
      <c r="W7" s="14">
        <f t="shared" ref="W7:AC7" si="7">L7</f>
        <v>44718</v>
      </c>
      <c r="X7" s="58">
        <f t="shared" si="7"/>
        <v>7</v>
      </c>
      <c r="Y7" s="58">
        <f t="shared" si="7"/>
        <v>7</v>
      </c>
      <c r="Z7" s="58">
        <f t="shared" si="7"/>
        <v>0</v>
      </c>
      <c r="AA7" s="58">
        <f t="shared" si="7"/>
        <v>0</v>
      </c>
      <c r="AB7" s="58">
        <f t="shared" si="7"/>
        <v>0</v>
      </c>
      <c r="AC7" s="58">
        <f t="shared" si="7"/>
        <v>0</v>
      </c>
    </row>
    <row r="8">
      <c r="B8" s="12">
        <f>IFERROR(__xludf.DUMMYFUNCTION("""COMPUTED_VALUE"""),44712.0)</f>
        <v>44712</v>
      </c>
      <c r="C8" s="54">
        <f>IFERROR(__xludf.DUMMYFUNCTION("""COMPUTED_VALUE"""),3.0)</f>
        <v>3</v>
      </c>
      <c r="D8" s="54">
        <f>IFERROR(__xludf.DUMMYFUNCTION("""COMPUTED_VALUE"""),3.0)</f>
        <v>3</v>
      </c>
      <c r="E8" s="54">
        <f>IFERROR(__xludf.DUMMYFUNCTION("""COMPUTED_VALUE"""),0.0)</f>
        <v>0</v>
      </c>
      <c r="F8" s="54">
        <f>IFERROR(__xludf.DUMMYFUNCTION("""COMPUTED_VALUE"""),0.0)</f>
        <v>0</v>
      </c>
      <c r="G8" s="54">
        <f>IFERROR(__xludf.DUMMYFUNCTION("""COMPUTED_VALUE"""),0.0)</f>
        <v>0</v>
      </c>
      <c r="H8" s="54">
        <f>IFERROR(__xludf.DUMMYFUNCTION("""COMPUTED_VALUE"""),0.0)</f>
        <v>0</v>
      </c>
      <c r="I8" s="54">
        <f>IFERROR(__xludf.DUMMYFUNCTION("""COMPUTED_VALUE"""),0.0)</f>
        <v>0</v>
      </c>
      <c r="J8" s="54"/>
      <c r="K8" s="73"/>
      <c r="L8" s="14">
        <f>IFERROR(__xludf.DUMMYFUNCTION("""COMPUTED_VALUE"""),44725.0)</f>
        <v>44725</v>
      </c>
      <c r="M8" s="58">
        <f>IFERROR(__xludf.DUMMYFUNCTION("""COMPUTED_VALUE"""),4.0)</f>
        <v>4</v>
      </c>
      <c r="N8" s="58">
        <f>IFERROR(__xludf.DUMMYFUNCTION("""COMPUTED_VALUE"""),4.0)</f>
        <v>4</v>
      </c>
      <c r="O8" s="58">
        <f>IFERROR(__xludf.DUMMYFUNCTION("""COMPUTED_VALUE"""),0.0)</f>
        <v>0</v>
      </c>
      <c r="P8" s="58">
        <f>IFERROR(__xludf.DUMMYFUNCTION("""COMPUTED_VALUE"""),0.0)</f>
        <v>0</v>
      </c>
      <c r="Q8" s="58">
        <f>IFERROR(__xludf.DUMMYFUNCTION("""COMPUTED_VALUE"""),0.0)</f>
        <v>0</v>
      </c>
      <c r="R8" s="58">
        <f>IFERROR(__xludf.DUMMYFUNCTION("""COMPUTED_VALUE"""),0.0)</f>
        <v>0</v>
      </c>
      <c r="S8" s="58">
        <f>IFERROR(__xludf.DUMMYFUNCTION("""COMPUTED_VALUE"""),0.0)</f>
        <v>0</v>
      </c>
      <c r="T8" s="58">
        <f>IFERROR(__xludf.DUMMYFUNCTION("""COMPUTED_VALUE"""),4.0)</f>
        <v>4</v>
      </c>
      <c r="U8" s="75"/>
      <c r="V8" s="73"/>
      <c r="W8" s="14">
        <f t="shared" ref="W8:AC8" si="8">L8</f>
        <v>44725</v>
      </c>
      <c r="X8" s="58">
        <f t="shared" si="8"/>
        <v>4</v>
      </c>
      <c r="Y8" s="58">
        <f t="shared" si="8"/>
        <v>4</v>
      </c>
      <c r="Z8" s="58">
        <f t="shared" si="8"/>
        <v>0</v>
      </c>
      <c r="AA8" s="58">
        <f t="shared" si="8"/>
        <v>0</v>
      </c>
      <c r="AB8" s="58">
        <f t="shared" si="8"/>
        <v>0</v>
      </c>
      <c r="AC8" s="58">
        <f t="shared" si="8"/>
        <v>0</v>
      </c>
    </row>
    <row r="9">
      <c r="B9" s="12">
        <f>IFERROR(__xludf.DUMMYFUNCTION("""COMPUTED_VALUE"""),44713.0)</f>
        <v>44713</v>
      </c>
      <c r="C9" s="54">
        <f>IFERROR(__xludf.DUMMYFUNCTION("""COMPUTED_VALUE"""),10.0)</f>
        <v>10</v>
      </c>
      <c r="D9" s="54">
        <f>IFERROR(__xludf.DUMMYFUNCTION("""COMPUTED_VALUE"""),10.0)</f>
        <v>10</v>
      </c>
      <c r="E9" s="54">
        <f>IFERROR(__xludf.DUMMYFUNCTION("""COMPUTED_VALUE"""),0.0)</f>
        <v>0</v>
      </c>
      <c r="F9" s="54">
        <f>IFERROR(__xludf.DUMMYFUNCTION("""COMPUTED_VALUE"""),0.0)</f>
        <v>0</v>
      </c>
      <c r="G9" s="54">
        <f>IFERROR(__xludf.DUMMYFUNCTION("""COMPUTED_VALUE"""),0.0)</f>
        <v>0</v>
      </c>
      <c r="H9" s="54">
        <f>IFERROR(__xludf.DUMMYFUNCTION("""COMPUTED_VALUE"""),0.0)</f>
        <v>0</v>
      </c>
      <c r="I9" s="54">
        <f>IFERROR(__xludf.DUMMYFUNCTION("""COMPUTED_VALUE"""),0.0)</f>
        <v>0</v>
      </c>
      <c r="J9" s="54" t="b">
        <f>IFERROR(__xludf.DUMMYFUNCTION("""COMPUTED_VALUE"""),TRUE)</f>
        <v>1</v>
      </c>
      <c r="K9" s="73"/>
      <c r="L9" s="14">
        <f>IFERROR(__xludf.DUMMYFUNCTION("""COMPUTED_VALUE"""),44733.0)</f>
        <v>44733</v>
      </c>
      <c r="M9" s="58">
        <f>IFERROR(__xludf.DUMMYFUNCTION("""COMPUTED_VALUE"""),2.0)</f>
        <v>2</v>
      </c>
      <c r="N9" s="58">
        <f>IFERROR(__xludf.DUMMYFUNCTION("""COMPUTED_VALUE"""),2.0)</f>
        <v>2</v>
      </c>
      <c r="O9" s="58">
        <f>IFERROR(__xludf.DUMMYFUNCTION("""COMPUTED_VALUE"""),0.0)</f>
        <v>0</v>
      </c>
      <c r="P9" s="58">
        <f>IFERROR(__xludf.DUMMYFUNCTION("""COMPUTED_VALUE"""),0.0)</f>
        <v>0</v>
      </c>
      <c r="Q9" s="58">
        <f>IFERROR(__xludf.DUMMYFUNCTION("""COMPUTED_VALUE"""),0.0)</f>
        <v>0</v>
      </c>
      <c r="R9" s="58">
        <f>IFERROR(__xludf.DUMMYFUNCTION("""COMPUTED_VALUE"""),0.0)</f>
        <v>0</v>
      </c>
      <c r="S9" s="58">
        <f>IFERROR(__xludf.DUMMYFUNCTION("""COMPUTED_VALUE"""),0.0)</f>
        <v>0</v>
      </c>
      <c r="T9" s="58">
        <f>IFERROR(__xludf.DUMMYFUNCTION("""COMPUTED_VALUE"""),2.0)</f>
        <v>2</v>
      </c>
      <c r="U9" s="75"/>
      <c r="V9" s="73"/>
      <c r="W9" s="14">
        <f t="shared" ref="W9:AC9" si="9">L9</f>
        <v>44733</v>
      </c>
      <c r="X9" s="58">
        <f t="shared" si="9"/>
        <v>2</v>
      </c>
      <c r="Y9" s="58">
        <f t="shared" si="9"/>
        <v>2</v>
      </c>
      <c r="Z9" s="58">
        <f t="shared" si="9"/>
        <v>0</v>
      </c>
      <c r="AA9" s="58">
        <f t="shared" si="9"/>
        <v>0</v>
      </c>
      <c r="AB9" s="58">
        <f t="shared" si="9"/>
        <v>0</v>
      </c>
      <c r="AC9" s="58">
        <f t="shared" si="9"/>
        <v>0</v>
      </c>
    </row>
    <row r="10">
      <c r="B10" s="12">
        <f>IFERROR(__xludf.DUMMYFUNCTION("""COMPUTED_VALUE"""),44718.0)</f>
        <v>44718</v>
      </c>
      <c r="C10" s="54">
        <f>IFERROR(__xludf.DUMMYFUNCTION("""COMPUTED_VALUE"""),7.0)</f>
        <v>7</v>
      </c>
      <c r="D10" s="54">
        <f>IFERROR(__xludf.DUMMYFUNCTION("""COMPUTED_VALUE"""),7.0)</f>
        <v>7</v>
      </c>
      <c r="E10" s="54">
        <f>IFERROR(__xludf.DUMMYFUNCTION("""COMPUTED_VALUE"""),0.0)</f>
        <v>0</v>
      </c>
      <c r="F10" s="54">
        <f>IFERROR(__xludf.DUMMYFUNCTION("""COMPUTED_VALUE"""),0.0)</f>
        <v>0</v>
      </c>
      <c r="G10" s="54">
        <f>IFERROR(__xludf.DUMMYFUNCTION("""COMPUTED_VALUE"""),0.0)</f>
        <v>0</v>
      </c>
      <c r="H10" s="54">
        <f>IFERROR(__xludf.DUMMYFUNCTION("""COMPUTED_VALUE"""),0.0)</f>
        <v>0</v>
      </c>
      <c r="I10" s="54">
        <f>IFERROR(__xludf.DUMMYFUNCTION("""COMPUTED_VALUE"""),0.0)</f>
        <v>0</v>
      </c>
      <c r="J10" s="54" t="b">
        <f>IFERROR(__xludf.DUMMYFUNCTION("""COMPUTED_VALUE"""),TRUE)</f>
        <v>1</v>
      </c>
      <c r="K10" s="73"/>
      <c r="L10" s="14">
        <f>IFERROR(__xludf.DUMMYFUNCTION("""COMPUTED_VALUE"""),44739.0)</f>
        <v>44739</v>
      </c>
      <c r="M10" s="58">
        <f>IFERROR(__xludf.DUMMYFUNCTION("""COMPUTED_VALUE"""),1.0)</f>
        <v>1</v>
      </c>
      <c r="N10" s="58">
        <f>IFERROR(__xludf.DUMMYFUNCTION("""COMPUTED_VALUE"""),1.0)</f>
        <v>1</v>
      </c>
      <c r="O10" s="58">
        <f>IFERROR(__xludf.DUMMYFUNCTION("""COMPUTED_VALUE"""),0.0)</f>
        <v>0</v>
      </c>
      <c r="P10" s="58">
        <f>IFERROR(__xludf.DUMMYFUNCTION("""COMPUTED_VALUE"""),0.0)</f>
        <v>0</v>
      </c>
      <c r="Q10" s="58">
        <f>IFERROR(__xludf.DUMMYFUNCTION("""COMPUTED_VALUE"""),0.0)</f>
        <v>0</v>
      </c>
      <c r="R10" s="58">
        <f>IFERROR(__xludf.DUMMYFUNCTION("""COMPUTED_VALUE"""),0.0)</f>
        <v>0</v>
      </c>
      <c r="S10" s="58">
        <f>IFERROR(__xludf.DUMMYFUNCTION("""COMPUTED_VALUE"""),0.0)</f>
        <v>0</v>
      </c>
      <c r="T10" s="58">
        <f>IFERROR(__xludf.DUMMYFUNCTION("""COMPUTED_VALUE"""),1.0)</f>
        <v>1</v>
      </c>
      <c r="U10" s="75"/>
      <c r="V10" s="73"/>
      <c r="W10" s="14">
        <f t="shared" ref="W10:AC10" si="10">L10</f>
        <v>44739</v>
      </c>
      <c r="X10" s="58">
        <f t="shared" si="10"/>
        <v>1</v>
      </c>
      <c r="Y10" s="58">
        <f t="shared" si="10"/>
        <v>1</v>
      </c>
      <c r="Z10" s="58">
        <f t="shared" si="10"/>
        <v>0</v>
      </c>
      <c r="AA10" s="58">
        <f t="shared" si="10"/>
        <v>0</v>
      </c>
      <c r="AB10" s="58">
        <f t="shared" si="10"/>
        <v>0</v>
      </c>
      <c r="AC10" s="58">
        <f t="shared" si="10"/>
        <v>0</v>
      </c>
    </row>
    <row r="11">
      <c r="B11" s="12">
        <f>IFERROR(__xludf.DUMMYFUNCTION("""COMPUTED_VALUE"""),44725.0)</f>
        <v>44725</v>
      </c>
      <c r="C11" s="54">
        <f>IFERROR(__xludf.DUMMYFUNCTION("""COMPUTED_VALUE"""),4.0)</f>
        <v>4</v>
      </c>
      <c r="D11" s="54">
        <f>IFERROR(__xludf.DUMMYFUNCTION("""COMPUTED_VALUE"""),4.0)</f>
        <v>4</v>
      </c>
      <c r="E11" s="54">
        <f>IFERROR(__xludf.DUMMYFUNCTION("""COMPUTED_VALUE"""),0.0)</f>
        <v>0</v>
      </c>
      <c r="F11" s="54">
        <f>IFERROR(__xludf.DUMMYFUNCTION("""COMPUTED_VALUE"""),0.0)</f>
        <v>0</v>
      </c>
      <c r="G11" s="54">
        <f>IFERROR(__xludf.DUMMYFUNCTION("""COMPUTED_VALUE"""),0.0)</f>
        <v>0</v>
      </c>
      <c r="H11" s="54">
        <f>IFERROR(__xludf.DUMMYFUNCTION("""COMPUTED_VALUE"""),0.0)</f>
        <v>0</v>
      </c>
      <c r="I11" s="54">
        <f>IFERROR(__xludf.DUMMYFUNCTION("""COMPUTED_VALUE"""),0.0)</f>
        <v>0</v>
      </c>
      <c r="J11" s="54" t="b">
        <f>IFERROR(__xludf.DUMMYFUNCTION("""COMPUTED_VALUE"""),TRUE)</f>
        <v>1</v>
      </c>
      <c r="K11" s="73"/>
      <c r="L11" s="14">
        <f>IFERROR(__xludf.DUMMYFUNCTION("""COMPUTED_VALUE"""),44753.0)</f>
        <v>44753</v>
      </c>
      <c r="M11" s="58">
        <f>IFERROR(__xludf.DUMMYFUNCTION("""COMPUTED_VALUE"""),1.0)</f>
        <v>1</v>
      </c>
      <c r="N11" s="58">
        <f>IFERROR(__xludf.DUMMYFUNCTION("""COMPUTED_VALUE"""),1.0)</f>
        <v>1</v>
      </c>
      <c r="O11" s="58">
        <f>IFERROR(__xludf.DUMMYFUNCTION("""COMPUTED_VALUE"""),0.0)</f>
        <v>0</v>
      </c>
      <c r="P11" s="58">
        <f>IFERROR(__xludf.DUMMYFUNCTION("""COMPUTED_VALUE"""),0.0)</f>
        <v>0</v>
      </c>
      <c r="Q11" s="58">
        <f>IFERROR(__xludf.DUMMYFUNCTION("""COMPUTED_VALUE"""),0.0)</f>
        <v>0</v>
      </c>
      <c r="R11" s="58">
        <f>IFERROR(__xludf.DUMMYFUNCTION("""COMPUTED_VALUE"""),0.0)</f>
        <v>0</v>
      </c>
      <c r="S11" s="58">
        <f>IFERROR(__xludf.DUMMYFUNCTION("""COMPUTED_VALUE"""),0.0)</f>
        <v>0</v>
      </c>
      <c r="T11" s="58">
        <f>IFERROR(__xludf.DUMMYFUNCTION("""COMPUTED_VALUE"""),1.0)</f>
        <v>1</v>
      </c>
      <c r="U11" s="75"/>
      <c r="V11" s="73"/>
      <c r="W11" s="14">
        <f t="shared" ref="W11:AC11" si="11">L11</f>
        <v>44753</v>
      </c>
      <c r="X11" s="58">
        <f t="shared" si="11"/>
        <v>1</v>
      </c>
      <c r="Y11" s="58">
        <f t="shared" si="11"/>
        <v>1</v>
      </c>
      <c r="Z11" s="58">
        <f t="shared" si="11"/>
        <v>0</v>
      </c>
      <c r="AA11" s="58">
        <f t="shared" si="11"/>
        <v>0</v>
      </c>
      <c r="AB11" s="58">
        <f t="shared" si="11"/>
        <v>0</v>
      </c>
      <c r="AC11" s="58">
        <f t="shared" si="11"/>
        <v>0</v>
      </c>
    </row>
    <row r="12">
      <c r="B12" s="12">
        <f>IFERROR(__xludf.DUMMYFUNCTION("""COMPUTED_VALUE"""),44733.0)</f>
        <v>44733</v>
      </c>
      <c r="C12" s="54">
        <f>IFERROR(__xludf.DUMMYFUNCTION("""COMPUTED_VALUE"""),2.0)</f>
        <v>2</v>
      </c>
      <c r="D12" s="54">
        <f>IFERROR(__xludf.DUMMYFUNCTION("""COMPUTED_VALUE"""),2.0)</f>
        <v>2</v>
      </c>
      <c r="E12" s="54">
        <f>IFERROR(__xludf.DUMMYFUNCTION("""COMPUTED_VALUE"""),0.0)</f>
        <v>0</v>
      </c>
      <c r="F12" s="54">
        <f>IFERROR(__xludf.DUMMYFUNCTION("""COMPUTED_VALUE"""),0.0)</f>
        <v>0</v>
      </c>
      <c r="G12" s="54">
        <f>IFERROR(__xludf.DUMMYFUNCTION("""COMPUTED_VALUE"""),0.0)</f>
        <v>0</v>
      </c>
      <c r="H12" s="54">
        <f>IFERROR(__xludf.DUMMYFUNCTION("""COMPUTED_VALUE"""),0.0)</f>
        <v>0</v>
      </c>
      <c r="I12" s="54">
        <f>IFERROR(__xludf.DUMMYFUNCTION("""COMPUTED_VALUE"""),0.0)</f>
        <v>0</v>
      </c>
      <c r="J12" s="54" t="b">
        <f>IFERROR(__xludf.DUMMYFUNCTION("""COMPUTED_VALUE"""),TRUE)</f>
        <v>1</v>
      </c>
      <c r="K12" s="73"/>
      <c r="L12" s="14">
        <f>IFERROR(__xludf.DUMMYFUNCTION("""COMPUTED_VALUE"""),44760.0)</f>
        <v>44760</v>
      </c>
      <c r="M12" s="58">
        <f>IFERROR(__xludf.DUMMYFUNCTION("""COMPUTED_VALUE"""),1.0)</f>
        <v>1</v>
      </c>
      <c r="N12" s="58">
        <f>IFERROR(__xludf.DUMMYFUNCTION("""COMPUTED_VALUE"""),1.0)</f>
        <v>1</v>
      </c>
      <c r="O12" s="58">
        <f>IFERROR(__xludf.DUMMYFUNCTION("""COMPUTED_VALUE"""),0.0)</f>
        <v>0</v>
      </c>
      <c r="P12" s="58">
        <f>IFERROR(__xludf.DUMMYFUNCTION("""COMPUTED_VALUE"""),0.0)</f>
        <v>0</v>
      </c>
      <c r="Q12" s="58">
        <f>IFERROR(__xludf.DUMMYFUNCTION("""COMPUTED_VALUE"""),0.0)</f>
        <v>0</v>
      </c>
      <c r="R12" s="58">
        <f>IFERROR(__xludf.DUMMYFUNCTION("""COMPUTED_VALUE"""),0.0)</f>
        <v>0</v>
      </c>
      <c r="S12" s="58">
        <f>IFERROR(__xludf.DUMMYFUNCTION("""COMPUTED_VALUE"""),0.0)</f>
        <v>0</v>
      </c>
      <c r="T12" s="58">
        <f>IFERROR(__xludf.DUMMYFUNCTION("""COMPUTED_VALUE"""),1.0)</f>
        <v>1</v>
      </c>
      <c r="U12" s="75"/>
      <c r="V12" s="73"/>
      <c r="W12" s="14">
        <f t="shared" ref="W12:AC12" si="12">L12</f>
        <v>44760</v>
      </c>
      <c r="X12" s="58">
        <f t="shared" si="12"/>
        <v>1</v>
      </c>
      <c r="Y12" s="58">
        <f t="shared" si="12"/>
        <v>1</v>
      </c>
      <c r="Z12" s="58">
        <f t="shared" si="12"/>
        <v>0</v>
      </c>
      <c r="AA12" s="58">
        <f t="shared" si="12"/>
        <v>0</v>
      </c>
      <c r="AB12" s="58">
        <f t="shared" si="12"/>
        <v>0</v>
      </c>
      <c r="AC12" s="58">
        <f t="shared" si="12"/>
        <v>0</v>
      </c>
    </row>
    <row r="13">
      <c r="B13" s="12">
        <f>IFERROR(__xludf.DUMMYFUNCTION("""COMPUTED_VALUE"""),44739.0)</f>
        <v>44739</v>
      </c>
      <c r="C13" s="54">
        <f>IFERROR(__xludf.DUMMYFUNCTION("""COMPUTED_VALUE"""),1.0)</f>
        <v>1</v>
      </c>
      <c r="D13" s="54">
        <f>IFERROR(__xludf.DUMMYFUNCTION("""COMPUTED_VALUE"""),1.0)</f>
        <v>1</v>
      </c>
      <c r="E13" s="54">
        <f>IFERROR(__xludf.DUMMYFUNCTION("""COMPUTED_VALUE"""),0.0)</f>
        <v>0</v>
      </c>
      <c r="F13" s="54">
        <f>IFERROR(__xludf.DUMMYFUNCTION("""COMPUTED_VALUE"""),0.0)</f>
        <v>0</v>
      </c>
      <c r="G13" s="54">
        <f>IFERROR(__xludf.DUMMYFUNCTION("""COMPUTED_VALUE"""),0.0)</f>
        <v>0</v>
      </c>
      <c r="H13" s="54">
        <f>IFERROR(__xludf.DUMMYFUNCTION("""COMPUTED_VALUE"""),0.0)</f>
        <v>0</v>
      </c>
      <c r="I13" s="54">
        <f>IFERROR(__xludf.DUMMYFUNCTION("""COMPUTED_VALUE"""),0.0)</f>
        <v>0</v>
      </c>
      <c r="J13" s="54" t="b">
        <f>IFERROR(__xludf.DUMMYFUNCTION("""COMPUTED_VALUE"""),TRUE)</f>
        <v>1</v>
      </c>
      <c r="K13" s="73"/>
      <c r="L13" s="14">
        <f>IFERROR(__xludf.DUMMYFUNCTION("""COMPUTED_VALUE"""),44767.0)</f>
        <v>44767</v>
      </c>
      <c r="M13" s="58">
        <f>IFERROR(__xludf.DUMMYFUNCTION("""COMPUTED_VALUE"""),3.0)</f>
        <v>3</v>
      </c>
      <c r="N13" s="58">
        <f>IFERROR(__xludf.DUMMYFUNCTION("""COMPUTED_VALUE"""),3.0)</f>
        <v>3</v>
      </c>
      <c r="O13" s="58">
        <f>IFERROR(__xludf.DUMMYFUNCTION("""COMPUTED_VALUE"""),0.0)</f>
        <v>0</v>
      </c>
      <c r="P13" s="58">
        <f>IFERROR(__xludf.DUMMYFUNCTION("""COMPUTED_VALUE"""),0.0)</f>
        <v>0</v>
      </c>
      <c r="Q13" s="58">
        <f>IFERROR(__xludf.DUMMYFUNCTION("""COMPUTED_VALUE"""),0.0)</f>
        <v>0</v>
      </c>
      <c r="R13" s="58">
        <f>IFERROR(__xludf.DUMMYFUNCTION("""COMPUTED_VALUE"""),0.0)</f>
        <v>0</v>
      </c>
      <c r="S13" s="58">
        <f>IFERROR(__xludf.DUMMYFUNCTION("""COMPUTED_VALUE"""),0.0)</f>
        <v>0</v>
      </c>
      <c r="T13" s="58">
        <f>IFERROR(__xludf.DUMMYFUNCTION("""COMPUTED_VALUE"""),3.0)</f>
        <v>3</v>
      </c>
      <c r="U13" s="75"/>
      <c r="V13" s="73"/>
      <c r="W13" s="14">
        <f t="shared" ref="W13:AC13" si="13">L13</f>
        <v>44767</v>
      </c>
      <c r="X13" s="58">
        <f t="shared" si="13"/>
        <v>3</v>
      </c>
      <c r="Y13" s="58">
        <f t="shared" si="13"/>
        <v>3</v>
      </c>
      <c r="Z13" s="58">
        <f t="shared" si="13"/>
        <v>0</v>
      </c>
      <c r="AA13" s="58">
        <f t="shared" si="13"/>
        <v>0</v>
      </c>
      <c r="AB13" s="58">
        <f t="shared" si="13"/>
        <v>0</v>
      </c>
      <c r="AC13" s="58">
        <f t="shared" si="13"/>
        <v>0</v>
      </c>
    </row>
    <row r="14">
      <c r="B14" s="12">
        <f>IFERROR(__xludf.DUMMYFUNCTION("""COMPUTED_VALUE"""),44753.0)</f>
        <v>44753</v>
      </c>
      <c r="C14" s="54">
        <f>IFERROR(__xludf.DUMMYFUNCTION("""COMPUTED_VALUE"""),1.0)</f>
        <v>1</v>
      </c>
      <c r="D14" s="54">
        <f>IFERROR(__xludf.DUMMYFUNCTION("""COMPUTED_VALUE"""),1.0)</f>
        <v>1</v>
      </c>
      <c r="E14" s="54">
        <f>IFERROR(__xludf.DUMMYFUNCTION("""COMPUTED_VALUE"""),0.0)</f>
        <v>0</v>
      </c>
      <c r="F14" s="54">
        <f>IFERROR(__xludf.DUMMYFUNCTION("""COMPUTED_VALUE"""),0.0)</f>
        <v>0</v>
      </c>
      <c r="G14" s="54">
        <f>IFERROR(__xludf.DUMMYFUNCTION("""COMPUTED_VALUE"""),0.0)</f>
        <v>0</v>
      </c>
      <c r="H14" s="54">
        <f>IFERROR(__xludf.DUMMYFUNCTION("""COMPUTED_VALUE"""),0.0)</f>
        <v>0</v>
      </c>
      <c r="I14" s="54">
        <f>IFERROR(__xludf.DUMMYFUNCTION("""COMPUTED_VALUE"""),0.0)</f>
        <v>0</v>
      </c>
      <c r="J14" s="54" t="b">
        <f>IFERROR(__xludf.DUMMYFUNCTION("""COMPUTED_VALUE"""),TRUE)</f>
        <v>1</v>
      </c>
      <c r="K14" s="73"/>
      <c r="L14" s="14">
        <f>IFERROR(__xludf.DUMMYFUNCTION("""COMPUTED_VALUE"""),44816.0)</f>
        <v>44816</v>
      </c>
      <c r="M14" s="58">
        <f>IFERROR(__xludf.DUMMYFUNCTION("""COMPUTED_VALUE"""),2.0)</f>
        <v>2</v>
      </c>
      <c r="N14" s="58">
        <f>IFERROR(__xludf.DUMMYFUNCTION("""COMPUTED_VALUE"""),2.0)</f>
        <v>2</v>
      </c>
      <c r="O14" s="58">
        <f>IFERROR(__xludf.DUMMYFUNCTION("""COMPUTED_VALUE"""),0.0)</f>
        <v>0</v>
      </c>
      <c r="P14" s="58">
        <f>IFERROR(__xludf.DUMMYFUNCTION("""COMPUTED_VALUE"""),0.0)</f>
        <v>0</v>
      </c>
      <c r="Q14" s="58">
        <f>IFERROR(__xludf.DUMMYFUNCTION("""COMPUTED_VALUE"""),0.0)</f>
        <v>0</v>
      </c>
      <c r="R14" s="58">
        <f>IFERROR(__xludf.DUMMYFUNCTION("""COMPUTED_VALUE"""),0.0)</f>
        <v>0</v>
      </c>
      <c r="S14" s="58">
        <f>IFERROR(__xludf.DUMMYFUNCTION("""COMPUTED_VALUE"""),0.0)</f>
        <v>0</v>
      </c>
      <c r="T14" s="58">
        <f>IFERROR(__xludf.DUMMYFUNCTION("""COMPUTED_VALUE"""),2.0)</f>
        <v>2</v>
      </c>
      <c r="U14" s="75"/>
      <c r="V14" s="73"/>
      <c r="W14" s="14"/>
      <c r="X14" s="58"/>
      <c r="Y14" s="58"/>
      <c r="Z14" s="58"/>
      <c r="AA14" s="58"/>
      <c r="AB14" s="58"/>
      <c r="AC14" s="58"/>
    </row>
    <row r="15">
      <c r="B15" s="12">
        <f>IFERROR(__xludf.DUMMYFUNCTION("""COMPUTED_VALUE"""),44760.0)</f>
        <v>44760</v>
      </c>
      <c r="C15" s="54">
        <f>IFERROR(__xludf.DUMMYFUNCTION("""COMPUTED_VALUE"""),1.0)</f>
        <v>1</v>
      </c>
      <c r="D15" s="54">
        <f>IFERROR(__xludf.DUMMYFUNCTION("""COMPUTED_VALUE"""),1.0)</f>
        <v>1</v>
      </c>
      <c r="E15" s="54">
        <f>IFERROR(__xludf.DUMMYFUNCTION("""COMPUTED_VALUE"""),0.0)</f>
        <v>0</v>
      </c>
      <c r="F15" s="54">
        <f>IFERROR(__xludf.DUMMYFUNCTION("""COMPUTED_VALUE"""),0.0)</f>
        <v>0</v>
      </c>
      <c r="G15" s="54">
        <f>IFERROR(__xludf.DUMMYFUNCTION("""COMPUTED_VALUE"""),0.0)</f>
        <v>0</v>
      </c>
      <c r="H15" s="54">
        <f>IFERROR(__xludf.DUMMYFUNCTION("""COMPUTED_VALUE"""),0.0)</f>
        <v>0</v>
      </c>
      <c r="I15" s="54">
        <f>IFERROR(__xludf.DUMMYFUNCTION("""COMPUTED_VALUE"""),0.0)</f>
        <v>0</v>
      </c>
      <c r="J15" s="54" t="b">
        <f>IFERROR(__xludf.DUMMYFUNCTION("""COMPUTED_VALUE"""),TRUE)</f>
        <v>1</v>
      </c>
      <c r="K15" s="73"/>
      <c r="L15" s="14">
        <f>IFERROR(__xludf.DUMMYFUNCTION("""COMPUTED_VALUE"""),44837.0)</f>
        <v>44837</v>
      </c>
      <c r="M15" s="58">
        <f>IFERROR(__xludf.DUMMYFUNCTION("""COMPUTED_VALUE"""),1.0)</f>
        <v>1</v>
      </c>
      <c r="N15" s="58">
        <f>IFERROR(__xludf.DUMMYFUNCTION("""COMPUTED_VALUE"""),1.0)</f>
        <v>1</v>
      </c>
      <c r="O15" s="58">
        <f>IFERROR(__xludf.DUMMYFUNCTION("""COMPUTED_VALUE"""),0.0)</f>
        <v>0</v>
      </c>
      <c r="P15" s="58">
        <f>IFERROR(__xludf.DUMMYFUNCTION("""COMPUTED_VALUE"""),0.0)</f>
        <v>0</v>
      </c>
      <c r="Q15" s="58">
        <f>IFERROR(__xludf.DUMMYFUNCTION("""COMPUTED_VALUE"""),0.0)</f>
        <v>0</v>
      </c>
      <c r="R15" s="58">
        <f>IFERROR(__xludf.DUMMYFUNCTION("""COMPUTED_VALUE"""),0.0)</f>
        <v>0</v>
      </c>
      <c r="S15" s="58">
        <f>IFERROR(__xludf.DUMMYFUNCTION("""COMPUTED_VALUE"""),0.0)</f>
        <v>0</v>
      </c>
      <c r="T15" s="58">
        <f>IFERROR(__xludf.DUMMYFUNCTION("""COMPUTED_VALUE"""),1.0)</f>
        <v>1</v>
      </c>
      <c r="U15" s="75"/>
      <c r="V15" s="73"/>
      <c r="W15" s="14"/>
      <c r="X15" s="58"/>
      <c r="Y15" s="58"/>
      <c r="Z15" s="58"/>
      <c r="AA15" s="58"/>
      <c r="AB15" s="58"/>
      <c r="AC15" s="58"/>
    </row>
    <row r="16">
      <c r="B16" s="12">
        <f>IFERROR(__xludf.DUMMYFUNCTION("""COMPUTED_VALUE"""),44767.0)</f>
        <v>44767</v>
      </c>
      <c r="C16" s="54">
        <f>IFERROR(__xludf.DUMMYFUNCTION("""COMPUTED_VALUE"""),3.0)</f>
        <v>3</v>
      </c>
      <c r="D16" s="54">
        <f>IFERROR(__xludf.DUMMYFUNCTION("""COMPUTED_VALUE"""),3.0)</f>
        <v>3</v>
      </c>
      <c r="E16" s="54">
        <f>IFERROR(__xludf.DUMMYFUNCTION("""COMPUTED_VALUE"""),0.0)</f>
        <v>0</v>
      </c>
      <c r="F16" s="54">
        <f>IFERROR(__xludf.DUMMYFUNCTION("""COMPUTED_VALUE"""),0.0)</f>
        <v>0</v>
      </c>
      <c r="G16" s="54">
        <f>IFERROR(__xludf.DUMMYFUNCTION("""COMPUTED_VALUE"""),0.0)</f>
        <v>0</v>
      </c>
      <c r="H16" s="54">
        <f>IFERROR(__xludf.DUMMYFUNCTION("""COMPUTED_VALUE"""),0.0)</f>
        <v>0</v>
      </c>
      <c r="I16" s="54">
        <f>IFERROR(__xludf.DUMMYFUNCTION("""COMPUTED_VALUE"""),0.0)</f>
        <v>0</v>
      </c>
      <c r="J16" s="54" t="b">
        <f>IFERROR(__xludf.DUMMYFUNCTION("""COMPUTED_VALUE"""),TRUE)</f>
        <v>1</v>
      </c>
      <c r="K16" s="73"/>
      <c r="L16" s="14"/>
      <c r="M16" s="58"/>
      <c r="N16" s="58"/>
      <c r="O16" s="58"/>
      <c r="P16" s="58"/>
      <c r="Q16" s="58"/>
      <c r="R16" s="58"/>
      <c r="S16" s="58"/>
      <c r="T16" s="58"/>
      <c r="U16" s="75"/>
      <c r="V16" s="73"/>
      <c r="W16" s="14"/>
      <c r="X16" s="58"/>
      <c r="Y16" s="58"/>
      <c r="Z16" s="58"/>
      <c r="AA16" s="58"/>
      <c r="AB16" s="58"/>
      <c r="AC16" s="58"/>
    </row>
    <row r="17">
      <c r="B17" s="12">
        <f>IFERROR(__xludf.DUMMYFUNCTION("""COMPUTED_VALUE"""),44774.0)</f>
        <v>44774</v>
      </c>
      <c r="C17" s="54">
        <f>IFERROR(__xludf.DUMMYFUNCTION("""COMPUTED_VALUE"""),1.0)</f>
        <v>1</v>
      </c>
      <c r="D17" s="54">
        <f>IFERROR(__xludf.DUMMYFUNCTION("""COMPUTED_VALUE"""),1.0)</f>
        <v>1</v>
      </c>
      <c r="E17" s="54">
        <f>IFERROR(__xludf.DUMMYFUNCTION("""COMPUTED_VALUE"""),0.0)</f>
        <v>0</v>
      </c>
      <c r="F17" s="54">
        <f>IFERROR(__xludf.DUMMYFUNCTION("""COMPUTED_VALUE"""),0.0)</f>
        <v>0</v>
      </c>
      <c r="G17" s="54">
        <f>IFERROR(__xludf.DUMMYFUNCTION("""COMPUTED_VALUE"""),0.0)</f>
        <v>0</v>
      </c>
      <c r="H17" s="54">
        <f>IFERROR(__xludf.DUMMYFUNCTION("""COMPUTED_VALUE"""),0.0)</f>
        <v>0</v>
      </c>
      <c r="I17" s="54">
        <f>IFERROR(__xludf.DUMMYFUNCTION("""COMPUTED_VALUE"""),0.0)</f>
        <v>0</v>
      </c>
      <c r="J17" s="54"/>
      <c r="K17" s="73"/>
      <c r="L17" s="14"/>
      <c r="M17" s="58"/>
      <c r="N17" s="58"/>
      <c r="O17" s="58"/>
      <c r="P17" s="58"/>
      <c r="Q17" s="58"/>
      <c r="R17" s="58"/>
      <c r="S17" s="58"/>
      <c r="T17" s="58"/>
      <c r="U17" s="75"/>
      <c r="V17" s="73"/>
      <c r="W17" s="14"/>
      <c r="X17" s="58"/>
      <c r="Y17" s="58"/>
      <c r="Z17" s="58"/>
      <c r="AA17" s="58"/>
      <c r="AB17" s="58"/>
      <c r="AC17" s="58"/>
    </row>
    <row r="18">
      <c r="B18" s="12">
        <f>IFERROR(__xludf.DUMMYFUNCTION("""COMPUTED_VALUE"""),44816.0)</f>
        <v>44816</v>
      </c>
      <c r="C18" s="54">
        <f>IFERROR(__xludf.DUMMYFUNCTION("""COMPUTED_VALUE"""),1.0)</f>
        <v>1</v>
      </c>
      <c r="D18" s="54">
        <f>IFERROR(__xludf.DUMMYFUNCTION("""COMPUTED_VALUE"""),1.0)</f>
        <v>1</v>
      </c>
      <c r="E18" s="54">
        <f>IFERROR(__xludf.DUMMYFUNCTION("""COMPUTED_VALUE"""),0.0)</f>
        <v>0</v>
      </c>
      <c r="F18" s="54">
        <f>IFERROR(__xludf.DUMMYFUNCTION("""COMPUTED_VALUE"""),0.0)</f>
        <v>0</v>
      </c>
      <c r="G18" s="54">
        <f>IFERROR(__xludf.DUMMYFUNCTION("""COMPUTED_VALUE"""),0.0)</f>
        <v>0</v>
      </c>
      <c r="H18" s="54">
        <f>IFERROR(__xludf.DUMMYFUNCTION("""COMPUTED_VALUE"""),0.0)</f>
        <v>0</v>
      </c>
      <c r="I18" s="54">
        <f>IFERROR(__xludf.DUMMYFUNCTION("""COMPUTED_VALUE"""),0.0)</f>
        <v>0</v>
      </c>
      <c r="J18" s="54" t="b">
        <f>IFERROR(__xludf.DUMMYFUNCTION("""COMPUTED_VALUE"""),TRUE)</f>
        <v>1</v>
      </c>
      <c r="K18" s="73"/>
      <c r="L18" s="14"/>
      <c r="M18" s="58"/>
      <c r="N18" s="58"/>
      <c r="O18" s="58"/>
      <c r="P18" s="58"/>
      <c r="Q18" s="58"/>
      <c r="R18" s="58"/>
      <c r="S18" s="58"/>
      <c r="T18" s="58"/>
      <c r="U18" s="75"/>
      <c r="V18" s="73"/>
      <c r="W18" s="14" t="str">
        <f t="shared" ref="W18:AC18" si="14">L18</f>
        <v/>
      </c>
      <c r="X18" s="58" t="str">
        <f t="shared" si="14"/>
        <v/>
      </c>
      <c r="Y18" s="58" t="str">
        <f t="shared" si="14"/>
        <v/>
      </c>
      <c r="Z18" s="58" t="str">
        <f t="shared" si="14"/>
        <v/>
      </c>
      <c r="AA18" s="58" t="str">
        <f t="shared" si="14"/>
        <v/>
      </c>
      <c r="AB18" s="58" t="str">
        <f t="shared" si="14"/>
        <v/>
      </c>
      <c r="AC18" s="58" t="str">
        <f t="shared" si="14"/>
        <v/>
      </c>
    </row>
    <row r="19">
      <c r="B19" s="12">
        <f>IFERROR(__xludf.DUMMYFUNCTION("""COMPUTED_VALUE"""),44837.0)</f>
        <v>44837</v>
      </c>
      <c r="C19" s="54">
        <f>IFERROR(__xludf.DUMMYFUNCTION("""COMPUTED_VALUE"""),1.0)</f>
        <v>1</v>
      </c>
      <c r="D19" s="54">
        <f>IFERROR(__xludf.DUMMYFUNCTION("""COMPUTED_VALUE"""),1.0)</f>
        <v>1</v>
      </c>
      <c r="E19" s="54">
        <f>IFERROR(__xludf.DUMMYFUNCTION("""COMPUTED_VALUE"""),0.0)</f>
        <v>0</v>
      </c>
      <c r="F19" s="54">
        <f>IFERROR(__xludf.DUMMYFUNCTION("""COMPUTED_VALUE"""),0.0)</f>
        <v>0</v>
      </c>
      <c r="G19" s="54">
        <f>IFERROR(__xludf.DUMMYFUNCTION("""COMPUTED_VALUE"""),0.0)</f>
        <v>0</v>
      </c>
      <c r="H19" s="54">
        <f>IFERROR(__xludf.DUMMYFUNCTION("""COMPUTED_VALUE"""),0.0)</f>
        <v>0</v>
      </c>
      <c r="I19" s="54">
        <f>IFERROR(__xludf.DUMMYFUNCTION("""COMPUTED_VALUE"""),0.0)</f>
        <v>0</v>
      </c>
      <c r="J19" s="54" t="b">
        <f>IFERROR(__xludf.DUMMYFUNCTION("""COMPUTED_VALUE"""),TRUE)</f>
        <v>1</v>
      </c>
      <c r="K19" s="73"/>
      <c r="L19" s="14"/>
      <c r="M19" s="58"/>
      <c r="N19" s="58"/>
      <c r="O19" s="58"/>
      <c r="P19" s="58"/>
      <c r="Q19" s="58"/>
      <c r="R19" s="58"/>
      <c r="S19" s="58"/>
      <c r="T19" s="58"/>
      <c r="U19" s="75"/>
      <c r="V19" s="73"/>
      <c r="W19" s="14" t="str">
        <f t="shared" ref="W19:AC19" si="15">L19</f>
        <v/>
      </c>
      <c r="X19" s="58" t="str">
        <f t="shared" si="15"/>
        <v/>
      </c>
      <c r="Y19" s="58" t="str">
        <f t="shared" si="15"/>
        <v/>
      </c>
      <c r="Z19" s="58" t="str">
        <f t="shared" si="15"/>
        <v/>
      </c>
      <c r="AA19" s="58" t="str">
        <f t="shared" si="15"/>
        <v/>
      </c>
      <c r="AB19" s="58" t="str">
        <f t="shared" si="15"/>
        <v/>
      </c>
      <c r="AC19" s="58" t="str">
        <f t="shared" si="15"/>
        <v/>
      </c>
    </row>
    <row r="20">
      <c r="B20" s="7"/>
      <c r="C20" s="54"/>
      <c r="D20" s="54"/>
      <c r="E20" s="54"/>
      <c r="F20" s="54"/>
      <c r="G20" s="54"/>
      <c r="H20" s="54"/>
      <c r="I20" s="54"/>
      <c r="J20" s="54"/>
      <c r="K20" s="73"/>
      <c r="L20" s="14"/>
      <c r="M20" s="58"/>
      <c r="N20" s="58"/>
      <c r="O20" s="58"/>
      <c r="P20" s="58"/>
      <c r="Q20" s="58"/>
      <c r="R20" s="58"/>
      <c r="S20" s="58"/>
      <c r="T20" s="58"/>
      <c r="U20" s="75"/>
      <c r="V20" s="73"/>
      <c r="W20" s="14" t="str">
        <f t="shared" ref="W20:AC20" si="16">L20</f>
        <v/>
      </c>
      <c r="X20" s="58" t="str">
        <f t="shared" si="16"/>
        <v/>
      </c>
      <c r="Y20" s="58" t="str">
        <f t="shared" si="16"/>
        <v/>
      </c>
      <c r="Z20" s="58" t="str">
        <f t="shared" si="16"/>
        <v/>
      </c>
      <c r="AA20" s="58" t="str">
        <f t="shared" si="16"/>
        <v/>
      </c>
      <c r="AB20" s="58" t="str">
        <f t="shared" si="16"/>
        <v/>
      </c>
      <c r="AC20" s="58" t="str">
        <f t="shared" si="16"/>
        <v/>
      </c>
    </row>
    <row r="21">
      <c r="B21" s="7"/>
      <c r="C21" s="54"/>
      <c r="D21" s="54"/>
      <c r="E21" s="54"/>
      <c r="F21" s="54"/>
      <c r="G21" s="54"/>
      <c r="H21" s="54"/>
      <c r="I21" s="54"/>
      <c r="J21" s="54"/>
      <c r="K21" s="73"/>
      <c r="L21" s="14"/>
      <c r="M21" s="58"/>
      <c r="N21" s="58"/>
      <c r="O21" s="58"/>
      <c r="P21" s="58"/>
      <c r="Q21" s="58"/>
      <c r="R21" s="58"/>
      <c r="S21" s="58"/>
      <c r="T21" s="58"/>
      <c r="U21" s="75"/>
      <c r="V21" s="73"/>
      <c r="W21" s="14" t="str">
        <f t="shared" ref="W21:AC21" si="17">L21</f>
        <v/>
      </c>
      <c r="X21" s="58" t="str">
        <f t="shared" si="17"/>
        <v/>
      </c>
      <c r="Y21" s="58" t="str">
        <f t="shared" si="17"/>
        <v/>
      </c>
      <c r="Z21" s="58" t="str">
        <f t="shared" si="17"/>
        <v/>
      </c>
      <c r="AA21" s="58" t="str">
        <f t="shared" si="17"/>
        <v/>
      </c>
      <c r="AB21" s="58" t="str">
        <f t="shared" si="17"/>
        <v/>
      </c>
      <c r="AC21" s="58" t="str">
        <f t="shared" si="17"/>
        <v/>
      </c>
    </row>
    <row r="22">
      <c r="B22" s="7"/>
      <c r="C22" s="54"/>
      <c r="D22" s="54"/>
      <c r="E22" s="54"/>
      <c r="F22" s="54"/>
      <c r="G22" s="54"/>
      <c r="H22" s="54"/>
      <c r="I22" s="54"/>
      <c r="J22" s="54"/>
      <c r="K22" s="73"/>
      <c r="L22" s="14"/>
      <c r="M22" s="58"/>
      <c r="N22" s="58"/>
      <c r="O22" s="58"/>
      <c r="P22" s="58"/>
      <c r="Q22" s="58"/>
      <c r="R22" s="58"/>
      <c r="S22" s="58"/>
      <c r="T22" s="58"/>
      <c r="U22" s="75"/>
      <c r="V22" s="73"/>
      <c r="W22" s="14" t="str">
        <f t="shared" ref="W22:AC22" si="18">L22</f>
        <v/>
      </c>
      <c r="X22" s="58" t="str">
        <f t="shared" si="18"/>
        <v/>
      </c>
      <c r="Y22" s="58" t="str">
        <f t="shared" si="18"/>
        <v/>
      </c>
      <c r="Z22" s="58" t="str">
        <f t="shared" si="18"/>
        <v/>
      </c>
      <c r="AA22" s="58" t="str">
        <f t="shared" si="18"/>
        <v/>
      </c>
      <c r="AB22" s="58" t="str">
        <f t="shared" si="18"/>
        <v/>
      </c>
      <c r="AC22" s="58" t="str">
        <f t="shared" si="18"/>
        <v/>
      </c>
    </row>
    <row r="23">
      <c r="B23" s="7"/>
      <c r="C23" s="54"/>
      <c r="D23" s="54"/>
      <c r="E23" s="54"/>
      <c r="F23" s="54"/>
      <c r="G23" s="54"/>
      <c r="H23" s="54"/>
      <c r="I23" s="54"/>
      <c r="J23" s="54"/>
      <c r="K23" s="73"/>
      <c r="L23" s="14"/>
      <c r="M23" s="58"/>
      <c r="N23" s="58"/>
      <c r="O23" s="58"/>
      <c r="P23" s="58"/>
      <c r="Q23" s="58"/>
      <c r="R23" s="58"/>
      <c r="S23" s="58"/>
      <c r="T23" s="58"/>
      <c r="U23" s="75"/>
      <c r="V23" s="73"/>
      <c r="W23" s="14" t="str">
        <f t="shared" ref="W23:AC23" si="19">L23</f>
        <v/>
      </c>
      <c r="X23" s="58" t="str">
        <f t="shared" si="19"/>
        <v/>
      </c>
      <c r="Y23" s="58" t="str">
        <f t="shared" si="19"/>
        <v/>
      </c>
      <c r="Z23" s="58" t="str">
        <f t="shared" si="19"/>
        <v/>
      </c>
      <c r="AA23" s="58" t="str">
        <f t="shared" si="19"/>
        <v/>
      </c>
      <c r="AB23" s="58" t="str">
        <f t="shared" si="19"/>
        <v/>
      </c>
      <c r="AC23" s="58" t="str">
        <f t="shared" si="19"/>
        <v/>
      </c>
    </row>
    <row r="24">
      <c r="B24" s="7"/>
      <c r="C24" s="54"/>
      <c r="D24" s="54"/>
      <c r="E24" s="54"/>
      <c r="F24" s="54"/>
      <c r="G24" s="54"/>
      <c r="H24" s="54"/>
      <c r="I24" s="54"/>
      <c r="J24" s="54"/>
      <c r="K24" s="73"/>
      <c r="L24" s="14"/>
      <c r="M24" s="58"/>
      <c r="N24" s="58"/>
      <c r="O24" s="58"/>
      <c r="P24" s="58"/>
      <c r="Q24" s="58"/>
      <c r="R24" s="58"/>
      <c r="S24" s="58"/>
      <c r="T24" s="58"/>
      <c r="U24" s="75"/>
      <c r="V24" s="73"/>
      <c r="W24" s="14" t="str">
        <f t="shared" ref="W24:AC24" si="20">L24</f>
        <v/>
      </c>
      <c r="X24" s="58" t="str">
        <f t="shared" si="20"/>
        <v/>
      </c>
      <c r="Y24" s="58" t="str">
        <f t="shared" si="20"/>
        <v/>
      </c>
      <c r="Z24" s="58" t="str">
        <f t="shared" si="20"/>
        <v/>
      </c>
      <c r="AA24" s="58" t="str">
        <f t="shared" si="20"/>
        <v/>
      </c>
      <c r="AB24" s="58" t="str">
        <f t="shared" si="20"/>
        <v/>
      </c>
      <c r="AC24" s="58" t="str">
        <f t="shared" si="20"/>
        <v/>
      </c>
    </row>
    <row r="25">
      <c r="B25" s="7"/>
      <c r="C25" s="54"/>
      <c r="D25" s="54"/>
      <c r="E25" s="54"/>
      <c r="F25" s="54"/>
      <c r="G25" s="54"/>
      <c r="H25" s="54"/>
      <c r="I25" s="54"/>
      <c r="J25" s="54"/>
      <c r="K25" s="73"/>
      <c r="L25" s="14"/>
      <c r="M25" s="58"/>
      <c r="N25" s="58"/>
      <c r="O25" s="58"/>
      <c r="P25" s="58"/>
      <c r="Q25" s="58"/>
      <c r="R25" s="58"/>
      <c r="S25" s="58"/>
      <c r="T25" s="58"/>
      <c r="U25" s="75"/>
      <c r="V25" s="73"/>
      <c r="W25" s="14" t="str">
        <f t="shared" ref="W25:AC25" si="21">L25</f>
        <v/>
      </c>
      <c r="X25" s="58" t="str">
        <f t="shared" si="21"/>
        <v/>
      </c>
      <c r="Y25" s="58" t="str">
        <f t="shared" si="21"/>
        <v/>
      </c>
      <c r="Z25" s="58" t="str">
        <f t="shared" si="21"/>
        <v/>
      </c>
      <c r="AA25" s="58" t="str">
        <f t="shared" si="21"/>
        <v/>
      </c>
      <c r="AB25" s="58" t="str">
        <f t="shared" si="21"/>
        <v/>
      </c>
      <c r="AC25" s="58" t="str">
        <f t="shared" si="21"/>
        <v/>
      </c>
    </row>
    <row r="26">
      <c r="B26" s="7"/>
      <c r="C26" s="54"/>
      <c r="D26" s="54"/>
      <c r="E26" s="54"/>
      <c r="F26" s="54"/>
      <c r="G26" s="54"/>
      <c r="H26" s="54"/>
      <c r="I26" s="54"/>
      <c r="J26" s="54"/>
      <c r="K26" s="73"/>
      <c r="L26" s="14"/>
      <c r="M26" s="58"/>
      <c r="N26" s="58"/>
      <c r="O26" s="58"/>
      <c r="P26" s="58"/>
      <c r="Q26" s="58"/>
      <c r="R26" s="58"/>
      <c r="S26" s="58"/>
      <c r="T26" s="58"/>
      <c r="U26" s="75"/>
      <c r="V26" s="73"/>
      <c r="W26" s="14" t="str">
        <f t="shared" ref="W26:AC26" si="22">L26</f>
        <v/>
      </c>
      <c r="X26" s="58" t="str">
        <f t="shared" si="22"/>
        <v/>
      </c>
      <c r="Y26" s="58" t="str">
        <f t="shared" si="22"/>
        <v/>
      </c>
      <c r="Z26" s="58" t="str">
        <f t="shared" si="22"/>
        <v/>
      </c>
      <c r="AA26" s="58" t="str">
        <f t="shared" si="22"/>
        <v/>
      </c>
      <c r="AB26" s="58" t="str">
        <f t="shared" si="22"/>
        <v/>
      </c>
      <c r="AC26" s="58" t="str">
        <f t="shared" si="22"/>
        <v/>
      </c>
    </row>
    <row r="27">
      <c r="B27" s="7"/>
      <c r="C27" s="54"/>
      <c r="D27" s="54"/>
      <c r="E27" s="54"/>
      <c r="F27" s="54"/>
      <c r="G27" s="54"/>
      <c r="H27" s="54"/>
      <c r="I27" s="54"/>
      <c r="J27" s="54"/>
      <c r="K27" s="73"/>
      <c r="L27" s="14"/>
      <c r="M27" s="58"/>
      <c r="N27" s="58"/>
      <c r="O27" s="58"/>
      <c r="P27" s="58"/>
      <c r="Q27" s="58"/>
      <c r="R27" s="58"/>
      <c r="S27" s="58"/>
      <c r="T27" s="58"/>
      <c r="U27" s="75"/>
      <c r="V27" s="73"/>
      <c r="W27" s="14" t="str">
        <f t="shared" ref="W27:AC27" si="23">L27</f>
        <v/>
      </c>
      <c r="X27" s="58" t="str">
        <f t="shared" si="23"/>
        <v/>
      </c>
      <c r="Y27" s="58" t="str">
        <f t="shared" si="23"/>
        <v/>
      </c>
      <c r="Z27" s="58" t="str">
        <f t="shared" si="23"/>
        <v/>
      </c>
      <c r="AA27" s="58" t="str">
        <f t="shared" si="23"/>
        <v/>
      </c>
      <c r="AB27" s="58" t="str">
        <f t="shared" si="23"/>
        <v/>
      </c>
      <c r="AC27" s="58" t="str">
        <f t="shared" si="23"/>
        <v/>
      </c>
    </row>
    <row r="28">
      <c r="B28" s="7"/>
      <c r="C28" s="54"/>
      <c r="D28" s="54"/>
      <c r="E28" s="54"/>
      <c r="F28" s="54"/>
      <c r="G28" s="54"/>
      <c r="H28" s="54"/>
      <c r="I28" s="54"/>
      <c r="J28" s="54"/>
      <c r="K28" s="73"/>
      <c r="L28" s="14"/>
      <c r="M28" s="58"/>
      <c r="N28" s="58"/>
      <c r="O28" s="58"/>
      <c r="P28" s="58"/>
      <c r="Q28" s="58"/>
      <c r="R28" s="58"/>
      <c r="S28" s="58"/>
      <c r="T28" s="58"/>
      <c r="U28" s="75"/>
      <c r="V28" s="73"/>
      <c r="W28" s="14" t="str">
        <f t="shared" ref="W28:AC28" si="24">L28</f>
        <v/>
      </c>
      <c r="X28" s="58" t="str">
        <f t="shared" si="24"/>
        <v/>
      </c>
      <c r="Y28" s="58" t="str">
        <f t="shared" si="24"/>
        <v/>
      </c>
      <c r="Z28" s="58" t="str">
        <f t="shared" si="24"/>
        <v/>
      </c>
      <c r="AA28" s="58" t="str">
        <f t="shared" si="24"/>
        <v/>
      </c>
      <c r="AB28" s="58" t="str">
        <f t="shared" si="24"/>
        <v/>
      </c>
      <c r="AC28" s="58" t="str">
        <f t="shared" si="24"/>
        <v/>
      </c>
    </row>
    <row r="29">
      <c r="B29" s="7"/>
      <c r="C29" s="54"/>
      <c r="D29" s="54"/>
      <c r="E29" s="54"/>
      <c r="F29" s="54"/>
      <c r="G29" s="54"/>
      <c r="H29" s="54"/>
      <c r="I29" s="54"/>
      <c r="J29" s="54"/>
      <c r="K29" s="73"/>
      <c r="L29" s="14"/>
      <c r="M29" s="58"/>
      <c r="N29" s="58"/>
      <c r="O29" s="58"/>
      <c r="P29" s="58"/>
      <c r="Q29" s="58"/>
      <c r="R29" s="58"/>
      <c r="S29" s="58"/>
      <c r="T29" s="58"/>
      <c r="U29" s="75"/>
      <c r="V29" s="73"/>
      <c r="W29" s="14" t="str">
        <f t="shared" ref="W29:AC29" si="25">L29</f>
        <v/>
      </c>
      <c r="X29" s="58" t="str">
        <f t="shared" si="25"/>
        <v/>
      </c>
      <c r="Y29" s="58" t="str">
        <f t="shared" si="25"/>
        <v/>
      </c>
      <c r="Z29" s="58" t="str">
        <f t="shared" si="25"/>
        <v/>
      </c>
      <c r="AA29" s="58" t="str">
        <f t="shared" si="25"/>
        <v/>
      </c>
      <c r="AB29" s="58" t="str">
        <f t="shared" si="25"/>
        <v/>
      </c>
      <c r="AC29" s="58" t="str">
        <f t="shared" si="25"/>
        <v/>
      </c>
    </row>
    <row r="30">
      <c r="B30" s="7"/>
      <c r="C30" s="54"/>
      <c r="D30" s="54"/>
      <c r="E30" s="54"/>
      <c r="F30" s="54"/>
      <c r="G30" s="54"/>
      <c r="H30" s="54"/>
      <c r="I30" s="54"/>
      <c r="J30" s="54"/>
      <c r="K30" s="73"/>
      <c r="L30" s="14"/>
      <c r="M30" s="58"/>
      <c r="N30" s="58"/>
      <c r="O30" s="58"/>
      <c r="P30" s="58"/>
      <c r="Q30" s="58"/>
      <c r="R30" s="58"/>
      <c r="S30" s="58"/>
      <c r="T30" s="58"/>
      <c r="U30" s="75"/>
      <c r="V30" s="73"/>
      <c r="W30" s="14" t="str">
        <f t="shared" ref="W30:AC30" si="26">L30</f>
        <v/>
      </c>
      <c r="X30" s="58" t="str">
        <f t="shared" si="26"/>
        <v/>
      </c>
      <c r="Y30" s="58" t="str">
        <f t="shared" si="26"/>
        <v/>
      </c>
      <c r="Z30" s="58" t="str">
        <f t="shared" si="26"/>
        <v/>
      </c>
      <c r="AA30" s="58" t="str">
        <f t="shared" si="26"/>
        <v/>
      </c>
      <c r="AB30" s="58" t="str">
        <f t="shared" si="26"/>
        <v/>
      </c>
      <c r="AC30" s="58" t="str">
        <f t="shared" si="26"/>
        <v/>
      </c>
    </row>
    <row r="31">
      <c r="B31" s="7"/>
      <c r="C31" s="54"/>
      <c r="D31" s="54"/>
      <c r="E31" s="54"/>
      <c r="F31" s="54"/>
      <c r="G31" s="54"/>
      <c r="H31" s="54"/>
      <c r="I31" s="54"/>
      <c r="J31" s="54"/>
      <c r="K31" s="73"/>
      <c r="L31" s="14"/>
      <c r="M31" s="58"/>
      <c r="N31" s="58"/>
      <c r="O31" s="58"/>
      <c r="P31" s="58"/>
      <c r="Q31" s="58"/>
      <c r="R31" s="58"/>
      <c r="S31" s="58"/>
      <c r="T31" s="58"/>
      <c r="U31" s="75"/>
      <c r="V31" s="73"/>
      <c r="W31" s="14" t="str">
        <f t="shared" ref="W31:AC31" si="27">L31</f>
        <v/>
      </c>
      <c r="X31" s="58" t="str">
        <f t="shared" si="27"/>
        <v/>
      </c>
      <c r="Y31" s="58" t="str">
        <f t="shared" si="27"/>
        <v/>
      </c>
      <c r="Z31" s="58" t="str">
        <f t="shared" si="27"/>
        <v/>
      </c>
      <c r="AA31" s="58" t="str">
        <f t="shared" si="27"/>
        <v/>
      </c>
      <c r="AB31" s="58" t="str">
        <f t="shared" si="27"/>
        <v/>
      </c>
      <c r="AC31" s="58" t="str">
        <f t="shared" si="27"/>
        <v/>
      </c>
    </row>
    <row r="32">
      <c r="B32" s="7"/>
      <c r="C32" s="54"/>
      <c r="D32" s="54"/>
      <c r="E32" s="54"/>
      <c r="F32" s="54"/>
      <c r="G32" s="54"/>
      <c r="H32" s="54"/>
      <c r="I32" s="54"/>
      <c r="J32" s="54"/>
      <c r="K32" s="73"/>
      <c r="L32" s="14"/>
      <c r="M32" s="58"/>
      <c r="N32" s="58"/>
      <c r="O32" s="58"/>
      <c r="P32" s="58"/>
      <c r="Q32" s="58"/>
      <c r="R32" s="58"/>
      <c r="S32" s="58"/>
      <c r="T32" s="58"/>
      <c r="U32" s="75"/>
      <c r="V32" s="73"/>
      <c r="W32" s="14" t="str">
        <f t="shared" ref="W32:W41" si="28">L32</f>
        <v/>
      </c>
      <c r="X32" s="58"/>
      <c r="Y32" s="58"/>
      <c r="Z32" s="58"/>
      <c r="AA32" s="58"/>
      <c r="AB32" s="58"/>
      <c r="AC32" s="58"/>
    </row>
    <row r="33">
      <c r="B33" s="7"/>
      <c r="C33" s="54"/>
      <c r="D33" s="54"/>
      <c r="E33" s="54"/>
      <c r="F33" s="54"/>
      <c r="G33" s="54"/>
      <c r="H33" s="54"/>
      <c r="I33" s="54"/>
      <c r="J33" s="54"/>
      <c r="K33" s="73"/>
      <c r="L33" s="14"/>
      <c r="M33" s="58"/>
      <c r="N33" s="58"/>
      <c r="O33" s="58"/>
      <c r="P33" s="58"/>
      <c r="Q33" s="58"/>
      <c r="R33" s="58"/>
      <c r="S33" s="58"/>
      <c r="T33" s="58"/>
      <c r="U33" s="75"/>
      <c r="V33" s="73"/>
      <c r="W33" s="14" t="str">
        <f t="shared" si="28"/>
        <v/>
      </c>
      <c r="X33" s="58"/>
      <c r="Y33" s="58"/>
      <c r="Z33" s="58"/>
      <c r="AA33" s="58"/>
      <c r="AB33" s="58"/>
      <c r="AC33" s="58"/>
    </row>
    <row r="34">
      <c r="B34" s="7"/>
      <c r="C34" s="54"/>
      <c r="D34" s="54"/>
      <c r="E34" s="54"/>
      <c r="F34" s="54"/>
      <c r="G34" s="54"/>
      <c r="H34" s="54"/>
      <c r="I34" s="54"/>
      <c r="J34" s="54"/>
      <c r="K34" s="73"/>
      <c r="L34" s="14"/>
      <c r="M34" s="58"/>
      <c r="N34" s="58"/>
      <c r="O34" s="58"/>
      <c r="P34" s="58"/>
      <c r="Q34" s="58"/>
      <c r="R34" s="58"/>
      <c r="S34" s="58"/>
      <c r="T34" s="58"/>
      <c r="U34" s="75"/>
      <c r="V34" s="73"/>
      <c r="W34" s="14" t="str">
        <f t="shared" si="28"/>
        <v/>
      </c>
      <c r="X34" s="58"/>
      <c r="Y34" s="58"/>
      <c r="Z34" s="58"/>
      <c r="AA34" s="58"/>
      <c r="AB34" s="58"/>
      <c r="AC34" s="58"/>
    </row>
    <row r="35">
      <c r="B35" s="7"/>
      <c r="C35" s="54"/>
      <c r="D35" s="54"/>
      <c r="E35" s="54"/>
      <c r="F35" s="54"/>
      <c r="G35" s="54"/>
      <c r="H35" s="54"/>
      <c r="I35" s="54"/>
      <c r="J35" s="54"/>
      <c r="K35" s="73"/>
      <c r="L35" s="14"/>
      <c r="M35" s="58"/>
      <c r="N35" s="58"/>
      <c r="O35" s="58"/>
      <c r="P35" s="58"/>
      <c r="Q35" s="58"/>
      <c r="R35" s="58"/>
      <c r="S35" s="58"/>
      <c r="T35" s="58"/>
      <c r="U35" s="75"/>
      <c r="V35" s="73"/>
      <c r="W35" s="14" t="str">
        <f t="shared" si="28"/>
        <v/>
      </c>
      <c r="X35" s="58"/>
      <c r="Y35" s="58"/>
      <c r="Z35" s="58"/>
      <c r="AA35" s="58"/>
      <c r="AB35" s="58"/>
      <c r="AC35" s="58"/>
    </row>
    <row r="36">
      <c r="B36" s="7"/>
      <c r="C36" s="54"/>
      <c r="D36" s="54"/>
      <c r="E36" s="54"/>
      <c r="F36" s="54"/>
      <c r="G36" s="54"/>
      <c r="H36" s="54"/>
      <c r="I36" s="54"/>
      <c r="J36" s="54"/>
      <c r="K36" s="73"/>
      <c r="L36" s="14"/>
      <c r="M36" s="58"/>
      <c r="N36" s="58"/>
      <c r="O36" s="58"/>
      <c r="P36" s="58"/>
      <c r="Q36" s="58"/>
      <c r="R36" s="58"/>
      <c r="S36" s="58"/>
      <c r="T36" s="58"/>
      <c r="U36" s="75"/>
      <c r="V36" s="73"/>
      <c r="W36" s="14" t="str">
        <f t="shared" si="28"/>
        <v/>
      </c>
      <c r="X36" s="58"/>
      <c r="Y36" s="58"/>
      <c r="Z36" s="58"/>
      <c r="AA36" s="58"/>
      <c r="AB36" s="58"/>
      <c r="AC36" s="58"/>
    </row>
    <row r="37">
      <c r="B37" s="7"/>
      <c r="C37" s="54"/>
      <c r="D37" s="54"/>
      <c r="E37" s="54"/>
      <c r="F37" s="54"/>
      <c r="G37" s="54"/>
      <c r="H37" s="54"/>
      <c r="I37" s="54"/>
      <c r="J37" s="54"/>
      <c r="K37" s="73"/>
      <c r="L37" s="14"/>
      <c r="M37" s="58"/>
      <c r="N37" s="58"/>
      <c r="O37" s="58"/>
      <c r="P37" s="58"/>
      <c r="Q37" s="58"/>
      <c r="R37" s="58"/>
      <c r="S37" s="58"/>
      <c r="T37" s="58"/>
      <c r="U37" s="75"/>
      <c r="V37" s="73"/>
      <c r="W37" s="14" t="str">
        <f t="shared" si="28"/>
        <v/>
      </c>
      <c r="X37" s="58"/>
      <c r="Y37" s="58"/>
      <c r="Z37" s="58"/>
      <c r="AA37" s="58"/>
      <c r="AB37" s="58"/>
      <c r="AC37" s="58"/>
    </row>
    <row r="38">
      <c r="B38" s="7"/>
      <c r="C38" s="54"/>
      <c r="D38" s="54"/>
      <c r="E38" s="54"/>
      <c r="F38" s="54"/>
      <c r="G38" s="54"/>
      <c r="H38" s="54"/>
      <c r="I38" s="54"/>
      <c r="J38" s="54"/>
      <c r="K38" s="73"/>
      <c r="L38" s="14"/>
      <c r="M38" s="58"/>
      <c r="N38" s="58"/>
      <c r="O38" s="58"/>
      <c r="P38" s="58"/>
      <c r="Q38" s="58"/>
      <c r="R38" s="58"/>
      <c r="S38" s="58"/>
      <c r="T38" s="58"/>
      <c r="U38" s="75"/>
      <c r="V38" s="73"/>
      <c r="W38" s="14" t="str">
        <f t="shared" si="28"/>
        <v/>
      </c>
      <c r="X38" s="58"/>
      <c r="Y38" s="58"/>
      <c r="Z38" s="58"/>
      <c r="AA38" s="58"/>
      <c r="AB38" s="58"/>
      <c r="AC38" s="58"/>
    </row>
    <row r="39">
      <c r="B39" s="7"/>
      <c r="C39" s="54"/>
      <c r="D39" s="54"/>
      <c r="E39" s="54"/>
      <c r="F39" s="54"/>
      <c r="G39" s="54"/>
      <c r="H39" s="54"/>
      <c r="I39" s="54"/>
      <c r="J39" s="54"/>
      <c r="K39" s="73"/>
      <c r="L39" s="14"/>
      <c r="M39" s="58"/>
      <c r="N39" s="58"/>
      <c r="O39" s="58"/>
      <c r="P39" s="58"/>
      <c r="Q39" s="58"/>
      <c r="R39" s="58"/>
      <c r="S39" s="58"/>
      <c r="T39" s="58"/>
      <c r="U39" s="75"/>
      <c r="V39" s="73"/>
      <c r="W39" s="14" t="str">
        <f t="shared" si="28"/>
        <v/>
      </c>
      <c r="X39" s="58"/>
      <c r="Y39" s="58"/>
      <c r="Z39" s="58"/>
      <c r="AA39" s="58"/>
      <c r="AB39" s="58"/>
      <c r="AC39" s="58"/>
    </row>
    <row r="40">
      <c r="B40" s="7"/>
      <c r="C40" s="54"/>
      <c r="D40" s="54"/>
      <c r="E40" s="54"/>
      <c r="F40" s="54"/>
      <c r="G40" s="54"/>
      <c r="H40" s="54"/>
      <c r="I40" s="54"/>
      <c r="J40" s="54"/>
      <c r="K40" s="73"/>
      <c r="L40" s="14"/>
      <c r="M40" s="58"/>
      <c r="N40" s="58"/>
      <c r="O40" s="58"/>
      <c r="P40" s="58"/>
      <c r="Q40" s="58"/>
      <c r="R40" s="58"/>
      <c r="S40" s="58"/>
      <c r="T40" s="58"/>
      <c r="U40" s="75"/>
      <c r="V40" s="73"/>
      <c r="W40" s="14" t="str">
        <f t="shared" si="28"/>
        <v/>
      </c>
      <c r="X40" s="58"/>
      <c r="Y40" s="58"/>
      <c r="Z40" s="58"/>
      <c r="AA40" s="58"/>
      <c r="AB40" s="58"/>
      <c r="AC40" s="58"/>
    </row>
    <row r="41">
      <c r="B41" s="7"/>
      <c r="C41" s="54"/>
      <c r="D41" s="54"/>
      <c r="E41" s="54"/>
      <c r="F41" s="54"/>
      <c r="G41" s="54"/>
      <c r="H41" s="54"/>
      <c r="I41" s="54"/>
      <c r="J41" s="54"/>
      <c r="K41" s="73"/>
      <c r="L41" s="14"/>
      <c r="M41" s="58"/>
      <c r="N41" s="58"/>
      <c r="O41" s="58"/>
      <c r="P41" s="58"/>
      <c r="Q41" s="58"/>
      <c r="R41" s="58"/>
      <c r="S41" s="58"/>
      <c r="T41" s="58"/>
      <c r="U41" s="75"/>
      <c r="V41" s="73"/>
      <c r="W41" s="14" t="str">
        <f t="shared" si="28"/>
        <v/>
      </c>
      <c r="X41" s="58"/>
      <c r="Y41" s="58"/>
      <c r="Z41" s="58"/>
      <c r="AA41" s="58"/>
      <c r="AB41" s="58"/>
      <c r="AC41" s="58"/>
    </row>
    <row r="42">
      <c r="B42" s="7"/>
      <c r="C42" s="54"/>
      <c r="D42" s="54"/>
      <c r="E42" s="54"/>
      <c r="F42" s="54"/>
      <c r="G42" s="54"/>
      <c r="H42" s="54"/>
      <c r="I42" s="54"/>
      <c r="J42" s="54"/>
      <c r="K42" s="73"/>
      <c r="L42" s="14"/>
      <c r="M42" s="58"/>
      <c r="N42" s="58"/>
      <c r="O42" s="58"/>
      <c r="P42" s="58"/>
      <c r="Q42" s="58"/>
      <c r="R42" s="58"/>
      <c r="S42" s="58"/>
      <c r="T42" s="58"/>
      <c r="U42" s="14"/>
      <c r="V42" s="73"/>
      <c r="W42" s="75"/>
      <c r="X42" s="75"/>
      <c r="Y42" s="75"/>
      <c r="Z42" s="75"/>
      <c r="AA42" s="75"/>
      <c r="AB42" s="75"/>
      <c r="AC42" s="75"/>
    </row>
    <row r="43">
      <c r="B43" s="7"/>
      <c r="C43" s="54"/>
      <c r="D43" s="54"/>
      <c r="E43" s="54"/>
      <c r="F43" s="54"/>
      <c r="G43" s="54"/>
      <c r="H43" s="54"/>
      <c r="I43" s="54"/>
      <c r="J43" s="54"/>
      <c r="K43" s="73"/>
      <c r="L43" s="75"/>
      <c r="M43" s="75"/>
      <c r="N43" s="75"/>
      <c r="O43" s="75"/>
      <c r="P43" s="75"/>
      <c r="Q43" s="75"/>
      <c r="R43" s="75"/>
      <c r="S43" s="75"/>
      <c r="T43" s="75"/>
      <c r="U43" s="75"/>
      <c r="V43" s="73"/>
      <c r="W43" s="75"/>
      <c r="X43" s="75"/>
      <c r="Y43" s="75"/>
      <c r="Z43" s="75"/>
      <c r="AA43" s="75"/>
      <c r="AB43" s="75"/>
      <c r="AC43" s="75"/>
    </row>
    <row r="44">
      <c r="B44" s="7"/>
      <c r="C44" s="54"/>
      <c r="D44" s="54"/>
      <c r="E44" s="54"/>
      <c r="F44" s="54"/>
      <c r="G44" s="54"/>
      <c r="H44" s="54"/>
      <c r="I44" s="54"/>
      <c r="J44" s="54"/>
      <c r="K44" s="73"/>
      <c r="L44" s="75"/>
      <c r="M44" s="75"/>
      <c r="N44" s="75"/>
      <c r="O44" s="75"/>
      <c r="P44" s="75"/>
      <c r="Q44" s="75"/>
      <c r="R44" s="75"/>
      <c r="S44" s="75"/>
      <c r="T44" s="75"/>
      <c r="U44" s="75"/>
      <c r="V44" s="73"/>
      <c r="W44" s="75"/>
      <c r="X44" s="75"/>
      <c r="Y44" s="75"/>
      <c r="Z44" s="75"/>
      <c r="AA44" s="75"/>
      <c r="AB44" s="75"/>
      <c r="AC44" s="75"/>
    </row>
    <row r="45">
      <c r="B45" s="7"/>
      <c r="C45" s="54"/>
      <c r="D45" s="54"/>
      <c r="E45" s="54"/>
      <c r="F45" s="54"/>
      <c r="G45" s="54"/>
      <c r="H45" s="54"/>
      <c r="I45" s="54"/>
      <c r="J45" s="54"/>
      <c r="K45" s="73"/>
      <c r="L45" s="75"/>
      <c r="M45" s="75"/>
      <c r="N45" s="75"/>
      <c r="O45" s="75"/>
      <c r="P45" s="75"/>
      <c r="Q45" s="75"/>
      <c r="R45" s="75"/>
      <c r="S45" s="75"/>
      <c r="T45" s="75"/>
      <c r="U45" s="75"/>
      <c r="V45" s="73"/>
      <c r="W45" s="75"/>
      <c r="X45" s="75"/>
      <c r="Y45" s="75"/>
      <c r="Z45" s="75"/>
      <c r="AA45" s="75"/>
      <c r="AB45" s="75"/>
      <c r="AC45" s="75"/>
    </row>
    <row r="46">
      <c r="B46" s="7"/>
      <c r="C46" s="54"/>
      <c r="D46" s="54"/>
      <c r="E46" s="54"/>
      <c r="F46" s="54"/>
      <c r="G46" s="54"/>
      <c r="H46" s="54"/>
      <c r="I46" s="54"/>
      <c r="J46" s="54"/>
      <c r="K46" s="73"/>
      <c r="L46" s="75"/>
      <c r="M46" s="75"/>
      <c r="N46" s="75"/>
      <c r="O46" s="75"/>
      <c r="P46" s="75"/>
      <c r="Q46" s="75"/>
      <c r="R46" s="75"/>
      <c r="S46" s="75"/>
      <c r="T46" s="75"/>
      <c r="U46" s="75"/>
      <c r="V46" s="73"/>
      <c r="W46" s="75"/>
      <c r="X46" s="75"/>
      <c r="Y46" s="75"/>
      <c r="Z46" s="75"/>
      <c r="AA46" s="75"/>
      <c r="AB46" s="75"/>
      <c r="AC46" s="75"/>
    </row>
    <row r="47">
      <c r="B47" s="7"/>
      <c r="C47" s="54"/>
      <c r="D47" s="54"/>
      <c r="E47" s="54"/>
      <c r="F47" s="54"/>
      <c r="G47" s="54"/>
      <c r="H47" s="54"/>
      <c r="I47" s="54"/>
      <c r="J47" s="54"/>
      <c r="K47" s="73"/>
      <c r="L47" s="75"/>
      <c r="M47" s="75"/>
      <c r="N47" s="75"/>
      <c r="O47" s="75"/>
      <c r="P47" s="75"/>
      <c r="Q47" s="75"/>
      <c r="R47" s="75"/>
      <c r="S47" s="75"/>
      <c r="T47" s="75"/>
      <c r="U47" s="75"/>
      <c r="V47" s="73"/>
      <c r="W47" s="75"/>
      <c r="X47" s="75"/>
      <c r="Y47" s="75"/>
      <c r="Z47" s="75"/>
      <c r="AA47" s="75"/>
      <c r="AB47" s="75"/>
      <c r="AC47" s="75"/>
    </row>
    <row r="48">
      <c r="B48" s="7"/>
      <c r="C48" s="54"/>
      <c r="D48" s="54"/>
      <c r="E48" s="54"/>
      <c r="F48" s="54"/>
      <c r="G48" s="54"/>
      <c r="H48" s="54"/>
      <c r="I48" s="54"/>
      <c r="J48" s="54"/>
      <c r="K48" s="73"/>
      <c r="L48" s="75"/>
      <c r="M48" s="75"/>
      <c r="N48" s="75"/>
      <c r="O48" s="75"/>
      <c r="P48" s="75"/>
      <c r="Q48" s="75"/>
      <c r="R48" s="75"/>
      <c r="S48" s="75"/>
      <c r="T48" s="75"/>
      <c r="U48" s="75"/>
      <c r="V48" s="73"/>
      <c r="W48" s="75"/>
      <c r="X48" s="75"/>
      <c r="Y48" s="75"/>
      <c r="Z48" s="75"/>
      <c r="AA48" s="75"/>
      <c r="AB48" s="75"/>
      <c r="AC48" s="75"/>
    </row>
    <row r="49">
      <c r="B49" s="7"/>
      <c r="C49" s="54"/>
      <c r="D49" s="54"/>
      <c r="E49" s="54"/>
      <c r="F49" s="54"/>
      <c r="G49" s="54"/>
      <c r="H49" s="54"/>
      <c r="I49" s="54"/>
      <c r="J49" s="54"/>
      <c r="K49" s="73"/>
      <c r="L49" s="75"/>
      <c r="M49" s="75"/>
      <c r="N49" s="75"/>
      <c r="O49" s="75"/>
      <c r="P49" s="75"/>
      <c r="Q49" s="75"/>
      <c r="R49" s="75"/>
      <c r="S49" s="75"/>
      <c r="T49" s="75"/>
      <c r="U49" s="75"/>
      <c r="V49" s="73"/>
      <c r="W49" s="75"/>
      <c r="X49" s="75"/>
      <c r="Y49" s="75"/>
      <c r="Z49" s="75"/>
      <c r="AA49" s="75"/>
      <c r="AB49" s="75"/>
      <c r="AC49" s="75"/>
    </row>
    <row r="50">
      <c r="B50" s="7"/>
      <c r="C50" s="54"/>
      <c r="D50" s="54"/>
      <c r="E50" s="54"/>
      <c r="F50" s="54"/>
      <c r="G50" s="54"/>
      <c r="H50" s="54"/>
      <c r="I50" s="54"/>
      <c r="J50" s="54"/>
      <c r="K50" s="73"/>
      <c r="L50" s="75"/>
      <c r="M50" s="75"/>
      <c r="N50" s="75"/>
      <c r="O50" s="75"/>
      <c r="P50" s="75"/>
      <c r="Q50" s="75"/>
      <c r="R50" s="75"/>
      <c r="S50" s="75"/>
      <c r="T50" s="75"/>
      <c r="U50" s="75"/>
      <c r="V50" s="73"/>
      <c r="W50" s="75"/>
      <c r="X50" s="75"/>
      <c r="Y50" s="75"/>
      <c r="Z50" s="75"/>
      <c r="AA50" s="75"/>
      <c r="AB50" s="75"/>
      <c r="AC50" s="75"/>
    </row>
    <row r="51">
      <c r="B51" s="7"/>
      <c r="C51" s="54"/>
      <c r="D51" s="54"/>
      <c r="E51" s="54"/>
      <c r="F51" s="54"/>
      <c r="G51" s="54"/>
      <c r="H51" s="54"/>
      <c r="I51" s="54"/>
      <c r="J51" s="54"/>
      <c r="K51" s="73"/>
      <c r="L51" s="75"/>
      <c r="M51" s="75"/>
      <c r="N51" s="75"/>
      <c r="O51" s="75"/>
      <c r="P51" s="75"/>
      <c r="Q51" s="75"/>
      <c r="R51" s="75"/>
      <c r="S51" s="75"/>
      <c r="T51" s="75"/>
      <c r="U51" s="75"/>
      <c r="V51" s="73"/>
      <c r="W51" s="75"/>
      <c r="X51" s="75"/>
      <c r="Y51" s="75"/>
      <c r="Z51" s="75"/>
      <c r="AA51" s="75"/>
      <c r="AB51" s="75"/>
      <c r="AC51" s="75"/>
    </row>
    <row r="52">
      <c r="B52" s="7"/>
      <c r="C52" s="54"/>
      <c r="D52" s="54"/>
      <c r="E52" s="54"/>
      <c r="F52" s="54"/>
      <c r="G52" s="54"/>
      <c r="H52" s="54"/>
      <c r="I52" s="54"/>
      <c r="J52" s="54"/>
      <c r="K52" s="73"/>
      <c r="L52" s="75"/>
      <c r="M52" s="75"/>
      <c r="N52" s="75"/>
      <c r="O52" s="75"/>
      <c r="P52" s="75"/>
      <c r="Q52" s="75"/>
      <c r="R52" s="75"/>
      <c r="S52" s="75"/>
      <c r="T52" s="75"/>
      <c r="U52" s="75"/>
      <c r="V52" s="73"/>
      <c r="W52" s="75"/>
      <c r="X52" s="75"/>
      <c r="Y52" s="75"/>
      <c r="Z52" s="75"/>
      <c r="AA52" s="75"/>
      <c r="AB52" s="75"/>
      <c r="AC52" s="75"/>
    </row>
    <row r="53">
      <c r="B53" s="7"/>
      <c r="C53" s="54"/>
      <c r="D53" s="54"/>
      <c r="E53" s="54"/>
      <c r="F53" s="54"/>
      <c r="G53" s="54"/>
      <c r="H53" s="54"/>
      <c r="I53" s="54"/>
      <c r="J53" s="54"/>
      <c r="K53" s="73"/>
      <c r="L53" s="75"/>
      <c r="M53" s="75"/>
      <c r="N53" s="75"/>
      <c r="O53" s="75"/>
      <c r="P53" s="75"/>
      <c r="Q53" s="75"/>
      <c r="R53" s="75"/>
      <c r="S53" s="75"/>
      <c r="T53" s="75"/>
      <c r="U53" s="75"/>
      <c r="V53" s="73"/>
      <c r="W53" s="75"/>
      <c r="X53" s="75"/>
      <c r="Y53" s="75"/>
      <c r="Z53" s="75"/>
      <c r="AA53" s="75"/>
      <c r="AB53" s="75"/>
      <c r="AC53" s="75"/>
    </row>
    <row r="54">
      <c r="B54" s="7"/>
      <c r="C54" s="54"/>
      <c r="D54" s="54"/>
      <c r="E54" s="54"/>
      <c r="F54" s="54"/>
      <c r="G54" s="54"/>
      <c r="H54" s="54"/>
      <c r="I54" s="54"/>
      <c r="J54" s="54"/>
      <c r="K54" s="73"/>
      <c r="L54" s="75"/>
      <c r="M54" s="75"/>
      <c r="N54" s="75"/>
      <c r="O54" s="75"/>
      <c r="P54" s="75"/>
      <c r="Q54" s="75"/>
      <c r="R54" s="75"/>
      <c r="S54" s="75"/>
      <c r="T54" s="75"/>
      <c r="U54" s="75"/>
      <c r="V54" s="73"/>
      <c r="W54" s="75"/>
      <c r="X54" s="75"/>
      <c r="Y54" s="75"/>
      <c r="Z54" s="75"/>
      <c r="AA54" s="75"/>
      <c r="AB54" s="75"/>
      <c r="AC54" s="75"/>
    </row>
    <row r="55">
      <c r="B55" s="7"/>
      <c r="C55" s="54"/>
      <c r="D55" s="54"/>
      <c r="E55" s="54"/>
      <c r="F55" s="54"/>
      <c r="G55" s="54"/>
      <c r="H55" s="54"/>
      <c r="I55" s="54"/>
      <c r="J55" s="54"/>
      <c r="K55" s="73"/>
      <c r="L55" s="75"/>
      <c r="M55" s="75"/>
      <c r="N55" s="75"/>
      <c r="O55" s="75"/>
      <c r="P55" s="75"/>
      <c r="Q55" s="75"/>
      <c r="R55" s="75"/>
      <c r="S55" s="75"/>
      <c r="T55" s="75"/>
      <c r="U55" s="75"/>
      <c r="V55" s="73"/>
      <c r="W55" s="75"/>
      <c r="X55" s="75"/>
      <c r="Y55" s="75"/>
      <c r="Z55" s="75"/>
      <c r="AA55" s="75"/>
      <c r="AB55" s="75"/>
      <c r="AC55" s="75"/>
    </row>
    <row r="56">
      <c r="B56" s="7"/>
      <c r="C56" s="54"/>
      <c r="D56" s="54"/>
      <c r="E56" s="54"/>
      <c r="F56" s="54"/>
      <c r="G56" s="54"/>
      <c r="H56" s="54"/>
      <c r="I56" s="54"/>
      <c r="J56" s="54"/>
      <c r="K56" s="73"/>
      <c r="L56" s="75"/>
      <c r="M56" s="75"/>
      <c r="N56" s="75"/>
      <c r="O56" s="75"/>
      <c r="P56" s="75"/>
      <c r="Q56" s="75"/>
      <c r="R56" s="75"/>
      <c r="S56" s="75"/>
      <c r="T56" s="75"/>
      <c r="U56" s="75"/>
      <c r="V56" s="73"/>
      <c r="W56" s="75"/>
      <c r="X56" s="75"/>
      <c r="Y56" s="75"/>
      <c r="Z56" s="75"/>
      <c r="AA56" s="75"/>
      <c r="AB56" s="75"/>
      <c r="AC56" s="75"/>
    </row>
    <row r="57">
      <c r="B57" s="7"/>
      <c r="C57" s="54"/>
      <c r="D57" s="54"/>
      <c r="E57" s="54"/>
      <c r="F57" s="54"/>
      <c r="G57" s="54"/>
      <c r="H57" s="54"/>
      <c r="I57" s="54"/>
      <c r="J57" s="54"/>
      <c r="K57" s="73"/>
      <c r="L57" s="75"/>
      <c r="M57" s="75"/>
      <c r="N57" s="75"/>
      <c r="O57" s="75"/>
      <c r="P57" s="75"/>
      <c r="Q57" s="75"/>
      <c r="R57" s="75"/>
      <c r="S57" s="75"/>
      <c r="T57" s="75"/>
      <c r="U57" s="75"/>
      <c r="V57" s="73"/>
      <c r="W57" s="75"/>
      <c r="X57" s="75"/>
      <c r="Y57" s="75"/>
      <c r="Z57" s="75"/>
      <c r="AA57" s="75"/>
      <c r="AB57" s="75"/>
      <c r="AC57" s="75"/>
    </row>
    <row r="58">
      <c r="B58" s="7"/>
      <c r="C58" s="54"/>
      <c r="D58" s="54"/>
      <c r="E58" s="54"/>
      <c r="F58" s="54"/>
      <c r="G58" s="54"/>
      <c r="H58" s="54"/>
      <c r="I58" s="54"/>
      <c r="J58" s="54"/>
      <c r="K58" s="73"/>
      <c r="L58" s="75"/>
      <c r="M58" s="75"/>
      <c r="N58" s="75"/>
      <c r="O58" s="75"/>
      <c r="P58" s="75"/>
      <c r="Q58" s="75"/>
      <c r="R58" s="75"/>
      <c r="S58" s="75"/>
      <c r="T58" s="75"/>
      <c r="U58" s="75"/>
      <c r="V58" s="73"/>
      <c r="W58" s="75"/>
      <c r="X58" s="75"/>
      <c r="Y58" s="75"/>
      <c r="Z58" s="75"/>
      <c r="AA58" s="75"/>
      <c r="AB58" s="75"/>
      <c r="AC58" s="75"/>
    </row>
    <row r="59">
      <c r="B59" s="7"/>
      <c r="C59" s="54"/>
      <c r="D59" s="54"/>
      <c r="E59" s="54"/>
      <c r="F59" s="54"/>
      <c r="G59" s="54"/>
      <c r="H59" s="54"/>
      <c r="I59" s="54"/>
      <c r="J59" s="54"/>
      <c r="K59" s="73"/>
      <c r="L59" s="75"/>
      <c r="M59" s="75"/>
      <c r="N59" s="75"/>
      <c r="O59" s="75"/>
      <c r="P59" s="75"/>
      <c r="Q59" s="75"/>
      <c r="R59" s="75"/>
      <c r="S59" s="75"/>
      <c r="T59" s="75"/>
      <c r="U59" s="75"/>
      <c r="V59" s="73"/>
      <c r="W59" s="75"/>
      <c r="X59" s="75"/>
      <c r="Y59" s="75"/>
      <c r="Z59" s="75"/>
      <c r="AA59" s="75"/>
      <c r="AB59" s="75"/>
      <c r="AC59" s="75"/>
    </row>
    <row r="60">
      <c r="A60" s="235"/>
      <c r="B60" s="7"/>
      <c r="C60" s="54"/>
      <c r="D60" s="54"/>
      <c r="E60" s="54"/>
      <c r="F60" s="54"/>
      <c r="G60" s="54"/>
      <c r="H60" s="54"/>
      <c r="I60" s="54"/>
      <c r="J60" s="54"/>
      <c r="K60" s="54"/>
      <c r="L60" s="7"/>
      <c r="M60" s="7"/>
      <c r="N60" s="7"/>
      <c r="O60" s="7"/>
      <c r="P60" s="7"/>
      <c r="Q60" s="7"/>
      <c r="R60" s="7"/>
      <c r="S60" s="7"/>
      <c r="T60" s="7"/>
    </row>
    <row r="61">
      <c r="B61" s="7"/>
      <c r="C61" s="54"/>
      <c r="D61" s="54"/>
      <c r="E61" s="54"/>
      <c r="F61" s="54"/>
      <c r="G61" s="54"/>
      <c r="H61" s="54"/>
      <c r="I61" s="54"/>
      <c r="J61" s="54"/>
      <c r="K61" s="54"/>
      <c r="L61" s="7"/>
      <c r="M61" s="7"/>
      <c r="N61" s="7"/>
      <c r="O61" s="7"/>
      <c r="P61" s="7"/>
      <c r="Q61" s="7"/>
      <c r="R61" s="7"/>
      <c r="S61" s="7"/>
      <c r="T61" s="7"/>
    </row>
    <row r="62">
      <c r="B62" s="7"/>
      <c r="C62" s="54"/>
      <c r="D62" s="54"/>
      <c r="E62" s="54"/>
      <c r="F62" s="54"/>
      <c r="G62" s="54"/>
      <c r="H62" s="54"/>
      <c r="I62" s="54"/>
      <c r="J62" s="54"/>
      <c r="K62" s="54"/>
      <c r="L62" s="7"/>
      <c r="M62" s="7"/>
      <c r="N62" s="7"/>
      <c r="O62" s="7"/>
      <c r="P62" s="7"/>
      <c r="Q62" s="7"/>
      <c r="R62" s="7"/>
      <c r="S62" s="7"/>
      <c r="T62" s="7"/>
    </row>
    <row r="63">
      <c r="B63" s="7"/>
      <c r="C63" s="54"/>
      <c r="D63" s="54"/>
      <c r="E63" s="54"/>
      <c r="F63" s="54"/>
      <c r="G63" s="54"/>
      <c r="H63" s="54"/>
      <c r="I63" s="54"/>
      <c r="J63" s="54"/>
      <c r="K63" s="54"/>
      <c r="L63" s="7"/>
      <c r="M63" s="7"/>
      <c r="N63" s="7"/>
      <c r="O63" s="7"/>
      <c r="P63" s="7"/>
      <c r="Q63" s="7"/>
      <c r="R63" s="7"/>
      <c r="S63" s="7"/>
      <c r="T63" s="7"/>
    </row>
    <row r="64">
      <c r="B64" s="7"/>
      <c r="C64" s="54"/>
      <c r="D64" s="54"/>
      <c r="E64" s="54"/>
      <c r="F64" s="54"/>
      <c r="G64" s="54"/>
      <c r="H64" s="54"/>
      <c r="I64" s="54"/>
      <c r="J64" s="54"/>
      <c r="K64" s="54"/>
      <c r="L64" s="7"/>
      <c r="M64" s="7"/>
      <c r="N64" s="7"/>
      <c r="O64" s="7"/>
      <c r="P64" s="7"/>
      <c r="Q64" s="7"/>
      <c r="R64" s="7"/>
      <c r="S64" s="7"/>
      <c r="T64" s="7"/>
    </row>
    <row r="65">
      <c r="B65" s="7"/>
      <c r="C65" s="54"/>
      <c r="D65" s="54"/>
      <c r="E65" s="54"/>
      <c r="F65" s="54"/>
      <c r="G65" s="54"/>
      <c r="H65" s="54"/>
      <c r="I65" s="54"/>
      <c r="J65" s="54"/>
      <c r="K65" s="54"/>
      <c r="L65" s="7"/>
      <c r="M65" s="7"/>
      <c r="N65" s="7"/>
      <c r="O65" s="7"/>
      <c r="P65" s="7"/>
      <c r="Q65" s="7"/>
      <c r="R65" s="7"/>
      <c r="S65" s="7"/>
      <c r="T65" s="7"/>
    </row>
    <row r="66">
      <c r="B66" s="7"/>
      <c r="C66" s="54"/>
      <c r="D66" s="54"/>
      <c r="E66" s="54"/>
      <c r="F66" s="54"/>
      <c r="G66" s="54"/>
      <c r="H66" s="54"/>
      <c r="I66" s="54"/>
      <c r="J66" s="54"/>
      <c r="K66" s="54"/>
      <c r="L66" s="7"/>
      <c r="M66" s="7"/>
      <c r="N66" s="7"/>
      <c r="O66" s="7"/>
      <c r="P66" s="7"/>
      <c r="Q66" s="7"/>
      <c r="R66" s="7"/>
      <c r="S66" s="7"/>
      <c r="T66" s="7"/>
    </row>
    <row r="67">
      <c r="B67" s="7"/>
      <c r="C67" s="54"/>
      <c r="D67" s="54"/>
      <c r="E67" s="54"/>
      <c r="F67" s="54"/>
      <c r="G67" s="54"/>
      <c r="H67" s="54"/>
      <c r="I67" s="54"/>
      <c r="J67" s="54"/>
      <c r="K67" s="54"/>
      <c r="L67" s="7"/>
      <c r="M67" s="7"/>
      <c r="N67" s="7"/>
      <c r="O67" s="7"/>
      <c r="P67" s="7"/>
      <c r="Q67" s="7"/>
      <c r="R67" s="7"/>
      <c r="S67" s="7"/>
      <c r="T67" s="7"/>
    </row>
    <row r="68">
      <c r="B68" s="7"/>
      <c r="C68" s="54"/>
      <c r="D68" s="54"/>
      <c r="E68" s="54"/>
      <c r="F68" s="54"/>
      <c r="G68" s="54"/>
      <c r="H68" s="54"/>
      <c r="I68" s="54"/>
      <c r="J68" s="54"/>
      <c r="K68" s="54"/>
      <c r="L68" s="7"/>
      <c r="M68" s="7"/>
      <c r="N68" s="7"/>
      <c r="O68" s="7"/>
      <c r="P68" s="7"/>
      <c r="Q68" s="7"/>
      <c r="R68" s="7"/>
      <c r="S68" s="7"/>
      <c r="T68" s="7"/>
    </row>
    <row r="69">
      <c r="B69" s="7"/>
      <c r="C69" s="54"/>
      <c r="D69" s="54"/>
      <c r="E69" s="54"/>
      <c r="F69" s="54"/>
      <c r="G69" s="54"/>
      <c r="H69" s="54"/>
      <c r="I69" s="54"/>
      <c r="J69" s="54"/>
      <c r="K69" s="54"/>
      <c r="L69" s="7"/>
      <c r="M69" s="7"/>
      <c r="N69" s="7"/>
      <c r="O69" s="7"/>
      <c r="P69" s="7"/>
      <c r="Q69" s="7"/>
      <c r="R69" s="7"/>
      <c r="S69" s="7"/>
      <c r="T69" s="7"/>
    </row>
    <row r="70">
      <c r="B70" s="7"/>
      <c r="C70" s="54"/>
      <c r="D70" s="54"/>
      <c r="E70" s="54"/>
      <c r="F70" s="54"/>
      <c r="G70" s="54"/>
      <c r="H70" s="54"/>
      <c r="I70" s="54"/>
      <c r="J70" s="54"/>
      <c r="K70" s="54"/>
      <c r="L70" s="7"/>
      <c r="M70" s="7"/>
      <c r="N70" s="7"/>
      <c r="O70" s="7"/>
      <c r="P70" s="7"/>
      <c r="Q70" s="7"/>
      <c r="R70" s="7"/>
      <c r="S70" s="7"/>
      <c r="T70" s="7"/>
    </row>
    <row r="71">
      <c r="B71" s="7"/>
      <c r="C71" s="54"/>
      <c r="D71" s="54"/>
      <c r="E71" s="54"/>
      <c r="F71" s="54"/>
      <c r="G71" s="54"/>
      <c r="H71" s="54"/>
      <c r="I71" s="54"/>
      <c r="J71" s="54"/>
      <c r="K71" s="54"/>
      <c r="L71" s="7"/>
      <c r="M71" s="7"/>
      <c r="N71" s="7"/>
      <c r="O71" s="7"/>
      <c r="P71" s="7"/>
      <c r="Q71" s="7"/>
      <c r="R71" s="7"/>
      <c r="S71" s="7"/>
      <c r="T71" s="7"/>
    </row>
    <row r="72">
      <c r="B72" s="7"/>
      <c r="C72" s="54"/>
      <c r="D72" s="54"/>
      <c r="E72" s="54"/>
      <c r="F72" s="54"/>
      <c r="G72" s="54"/>
      <c r="H72" s="54"/>
      <c r="I72" s="54"/>
      <c r="J72" s="54"/>
      <c r="K72" s="54"/>
      <c r="L72" s="7"/>
      <c r="M72" s="7"/>
      <c r="N72" s="7"/>
      <c r="O72" s="7"/>
      <c r="P72" s="7"/>
      <c r="Q72" s="7"/>
      <c r="R72" s="7"/>
      <c r="S72" s="7"/>
      <c r="T72" s="7"/>
    </row>
    <row r="73">
      <c r="B73" s="7"/>
      <c r="C73" s="54"/>
      <c r="D73" s="54"/>
      <c r="E73" s="54"/>
      <c r="F73" s="54"/>
      <c r="G73" s="54"/>
      <c r="H73" s="54"/>
      <c r="I73" s="54"/>
      <c r="J73" s="54"/>
      <c r="K73" s="54"/>
      <c r="L73" s="7"/>
      <c r="M73" s="7"/>
      <c r="N73" s="7"/>
      <c r="O73" s="7"/>
      <c r="P73" s="7"/>
      <c r="Q73" s="7"/>
      <c r="R73" s="7"/>
      <c r="S73" s="7"/>
      <c r="T73" s="7"/>
    </row>
    <row r="74">
      <c r="B74" s="7"/>
      <c r="C74" s="54"/>
      <c r="D74" s="54"/>
      <c r="E74" s="54"/>
      <c r="F74" s="54"/>
      <c r="G74" s="54"/>
      <c r="H74" s="54"/>
      <c r="I74" s="54"/>
      <c r="J74" s="54"/>
      <c r="K74" s="54"/>
      <c r="L74" s="7"/>
      <c r="M74" s="7"/>
      <c r="N74" s="7"/>
      <c r="O74" s="7"/>
      <c r="P74" s="7"/>
      <c r="Q74" s="7"/>
      <c r="R74" s="7"/>
      <c r="S74" s="7"/>
      <c r="T74" s="7"/>
    </row>
    <row r="75">
      <c r="B75" s="7"/>
      <c r="C75" s="54"/>
      <c r="D75" s="7"/>
      <c r="E75" s="7"/>
      <c r="F75" s="7"/>
      <c r="G75" s="7"/>
      <c r="H75" s="7"/>
      <c r="I75" s="7"/>
      <c r="J75" s="54"/>
      <c r="K75" s="54"/>
      <c r="L75" s="7"/>
      <c r="M75" s="7"/>
      <c r="N75" s="7"/>
      <c r="O75" s="7"/>
      <c r="P75" s="7"/>
      <c r="Q75" s="7"/>
      <c r="R75" s="7"/>
      <c r="S75" s="7"/>
      <c r="T75" s="7"/>
    </row>
    <row r="76">
      <c r="B76" s="7"/>
      <c r="C76" s="54"/>
      <c r="D76" s="7"/>
      <c r="E76" s="7"/>
      <c r="F76" s="7"/>
      <c r="G76" s="7"/>
      <c r="H76" s="7"/>
      <c r="I76" s="7"/>
      <c r="J76" s="54"/>
      <c r="K76" s="54"/>
      <c r="L76" s="7"/>
      <c r="M76" s="7"/>
      <c r="N76" s="7"/>
      <c r="O76" s="7"/>
      <c r="P76" s="7"/>
      <c r="Q76" s="7"/>
      <c r="R76" s="7"/>
      <c r="S76" s="7"/>
      <c r="T76" s="7"/>
    </row>
    <row r="77">
      <c r="B77" s="7"/>
      <c r="C77" s="54"/>
      <c r="D77" s="7"/>
      <c r="E77" s="7"/>
      <c r="F77" s="7"/>
      <c r="G77" s="7"/>
      <c r="H77" s="7"/>
      <c r="I77" s="7"/>
      <c r="J77" s="54"/>
      <c r="K77" s="54"/>
      <c r="L77" s="7"/>
      <c r="M77" s="7"/>
      <c r="N77" s="7"/>
      <c r="O77" s="7"/>
      <c r="P77" s="7"/>
      <c r="Q77" s="7"/>
      <c r="R77" s="7"/>
      <c r="S77" s="7"/>
      <c r="T77" s="7"/>
    </row>
    <row r="78">
      <c r="B78" s="7"/>
      <c r="C78" s="54"/>
      <c r="D78" s="7"/>
      <c r="E78" s="7"/>
      <c r="F78" s="7"/>
      <c r="G78" s="7"/>
      <c r="H78" s="7"/>
      <c r="I78" s="7"/>
      <c r="J78" s="54"/>
      <c r="K78" s="54"/>
      <c r="L78" s="7"/>
      <c r="M78" s="7"/>
      <c r="N78" s="7"/>
      <c r="O78" s="7"/>
      <c r="P78" s="7"/>
      <c r="Q78" s="7"/>
      <c r="R78" s="7"/>
      <c r="S78" s="7"/>
      <c r="T78" s="7"/>
    </row>
    <row r="79">
      <c r="B79" s="7"/>
      <c r="C79" s="54"/>
      <c r="D79" s="7"/>
      <c r="E79" s="7"/>
      <c r="F79" s="7"/>
      <c r="G79" s="7"/>
      <c r="H79" s="7"/>
      <c r="I79" s="7"/>
      <c r="J79" s="54"/>
      <c r="K79" s="54"/>
      <c r="L79" s="7"/>
      <c r="M79" s="7"/>
      <c r="N79" s="7"/>
      <c r="O79" s="7"/>
      <c r="P79" s="7"/>
      <c r="Q79" s="7"/>
      <c r="R79" s="7"/>
      <c r="S79" s="7"/>
      <c r="T79" s="7"/>
    </row>
    <row r="80">
      <c r="B80" s="7"/>
      <c r="C80" s="54"/>
      <c r="D80" s="7"/>
      <c r="E80" s="7"/>
      <c r="F80" s="7"/>
      <c r="G80" s="7"/>
      <c r="H80" s="7"/>
      <c r="I80" s="7"/>
      <c r="J80" s="54"/>
      <c r="K80" s="54"/>
      <c r="L80" s="7"/>
      <c r="M80" s="7"/>
      <c r="N80" s="7"/>
      <c r="O80" s="7"/>
      <c r="P80" s="7"/>
      <c r="Q80" s="7"/>
      <c r="R80" s="7"/>
      <c r="S80" s="7"/>
      <c r="T80" s="7"/>
    </row>
    <row r="81">
      <c r="B81" s="7"/>
      <c r="C81" s="54"/>
      <c r="D81" s="7"/>
      <c r="E81" s="7"/>
      <c r="F81" s="7"/>
      <c r="G81" s="7"/>
      <c r="H81" s="7"/>
      <c r="I81" s="7"/>
      <c r="J81" s="54"/>
      <c r="K81" s="54"/>
      <c r="L81" s="7"/>
      <c r="M81" s="7"/>
      <c r="N81" s="7"/>
      <c r="O81" s="7"/>
      <c r="P81" s="7"/>
      <c r="Q81" s="7"/>
      <c r="R81" s="7"/>
      <c r="S81" s="7"/>
      <c r="T81" s="7"/>
    </row>
    <row r="82">
      <c r="B82" s="7"/>
      <c r="C82" s="54"/>
      <c r="D82" s="7"/>
      <c r="E82" s="7"/>
      <c r="F82" s="7"/>
      <c r="G82" s="7"/>
      <c r="H82" s="7"/>
      <c r="I82" s="7"/>
      <c r="J82" s="54"/>
      <c r="K82" s="54"/>
      <c r="L82" s="7"/>
      <c r="M82" s="7"/>
      <c r="N82" s="7"/>
      <c r="O82" s="7"/>
      <c r="P82" s="7"/>
      <c r="Q82" s="7"/>
      <c r="R82" s="7"/>
      <c r="S82" s="7"/>
      <c r="T82" s="7"/>
    </row>
    <row r="83">
      <c r="B83" s="7"/>
      <c r="C83" s="54"/>
      <c r="D83" s="7"/>
      <c r="E83" s="7"/>
      <c r="F83" s="7"/>
      <c r="G83" s="7"/>
      <c r="H83" s="7"/>
      <c r="I83" s="7"/>
      <c r="J83" s="54"/>
      <c r="K83" s="54"/>
      <c r="L83" s="7"/>
      <c r="M83" s="7"/>
      <c r="N83" s="7"/>
      <c r="O83" s="7"/>
      <c r="P83" s="7"/>
      <c r="Q83" s="7"/>
      <c r="R83" s="7"/>
      <c r="S83" s="7"/>
      <c r="T83" s="7"/>
    </row>
    <row r="84">
      <c r="B84" s="7"/>
      <c r="C84" s="54"/>
      <c r="D84" s="7"/>
      <c r="E84" s="7"/>
      <c r="F84" s="7"/>
      <c r="G84" s="7"/>
      <c r="H84" s="7"/>
      <c r="I84" s="7"/>
      <c r="J84" s="54"/>
      <c r="K84" s="54"/>
      <c r="L84" s="7"/>
      <c r="M84" s="7"/>
      <c r="N84" s="7"/>
      <c r="O84" s="7"/>
      <c r="P84" s="7"/>
      <c r="Q84" s="7"/>
      <c r="R84" s="7"/>
      <c r="S84" s="7"/>
      <c r="T84" s="7"/>
    </row>
    <row r="85">
      <c r="B85" s="7"/>
      <c r="C85" s="54"/>
      <c r="D85" s="7"/>
      <c r="E85" s="7"/>
      <c r="F85" s="7"/>
      <c r="G85" s="7"/>
      <c r="H85" s="7"/>
      <c r="I85" s="7"/>
      <c r="J85" s="54"/>
      <c r="K85" s="54"/>
      <c r="L85" s="7"/>
      <c r="M85" s="7"/>
      <c r="N85" s="7"/>
      <c r="O85" s="7"/>
      <c r="P85" s="7"/>
      <c r="Q85" s="7"/>
      <c r="R85" s="7"/>
      <c r="S85" s="7"/>
      <c r="T85" s="7"/>
    </row>
    <row r="86">
      <c r="B86" s="7"/>
      <c r="C86" s="54"/>
      <c r="D86" s="7"/>
      <c r="E86" s="7"/>
      <c r="F86" s="7"/>
      <c r="G86" s="7"/>
      <c r="H86" s="7"/>
      <c r="I86" s="7"/>
      <c r="J86" s="54"/>
      <c r="K86" s="54"/>
      <c r="L86" s="7"/>
      <c r="M86" s="7"/>
      <c r="N86" s="7"/>
      <c r="O86" s="7"/>
      <c r="P86" s="7"/>
      <c r="Q86" s="7"/>
      <c r="R86" s="7"/>
      <c r="S86" s="7"/>
      <c r="T86" s="7"/>
    </row>
    <row r="87">
      <c r="B87" s="7"/>
      <c r="C87" s="54"/>
      <c r="D87" s="7"/>
      <c r="E87" s="7"/>
      <c r="F87" s="7"/>
      <c r="G87" s="7"/>
      <c r="H87" s="7"/>
      <c r="I87" s="7"/>
      <c r="J87" s="54"/>
      <c r="K87" s="54"/>
      <c r="L87" s="7"/>
      <c r="M87" s="7"/>
      <c r="N87" s="7"/>
      <c r="O87" s="7"/>
      <c r="P87" s="7"/>
      <c r="Q87" s="7"/>
      <c r="R87" s="7"/>
      <c r="S87" s="7"/>
      <c r="T87" s="7"/>
    </row>
    <row r="88">
      <c r="B88" s="7"/>
      <c r="C88" s="54"/>
      <c r="D88" s="7"/>
      <c r="E88" s="7"/>
      <c r="F88" s="7"/>
      <c r="G88" s="7"/>
      <c r="H88" s="7"/>
      <c r="I88" s="7"/>
      <c r="J88" s="54"/>
      <c r="K88" s="54"/>
      <c r="L88" s="7"/>
      <c r="M88" s="7"/>
      <c r="N88" s="7"/>
      <c r="O88" s="7"/>
      <c r="P88" s="7"/>
      <c r="Q88" s="7"/>
      <c r="R88" s="7"/>
      <c r="S88" s="7"/>
      <c r="T88" s="7"/>
    </row>
    <row r="89">
      <c r="B89" s="7"/>
      <c r="C89" s="54"/>
      <c r="D89" s="7"/>
      <c r="E89" s="7"/>
      <c r="F89" s="7"/>
      <c r="G89" s="7"/>
      <c r="H89" s="7"/>
      <c r="I89" s="7"/>
      <c r="J89" s="54"/>
      <c r="K89" s="54"/>
      <c r="L89" s="7"/>
      <c r="M89" s="7"/>
      <c r="N89" s="7"/>
      <c r="O89" s="7"/>
      <c r="P89" s="7"/>
      <c r="Q89" s="7"/>
      <c r="R89" s="7"/>
      <c r="S89" s="7"/>
      <c r="T89" s="7"/>
    </row>
    <row r="90">
      <c r="B90" s="7"/>
      <c r="C90" s="54"/>
      <c r="D90" s="7"/>
      <c r="E90" s="7"/>
      <c r="F90" s="7"/>
      <c r="G90" s="7"/>
      <c r="H90" s="7"/>
      <c r="I90" s="7"/>
      <c r="J90" s="54"/>
      <c r="K90" s="54"/>
      <c r="L90" s="7"/>
      <c r="M90" s="7"/>
      <c r="N90" s="7"/>
      <c r="O90" s="7"/>
      <c r="P90" s="7"/>
      <c r="Q90" s="7"/>
      <c r="R90" s="7"/>
      <c r="S90" s="7"/>
      <c r="T90" s="7"/>
    </row>
    <row r="91">
      <c r="B91" s="7"/>
      <c r="C91" s="54"/>
      <c r="D91" s="7"/>
      <c r="E91" s="7"/>
      <c r="F91" s="7"/>
      <c r="G91" s="7"/>
      <c r="H91" s="7"/>
      <c r="I91" s="7"/>
      <c r="J91" s="54"/>
      <c r="K91" s="54"/>
      <c r="L91" s="7"/>
      <c r="M91" s="7"/>
      <c r="N91" s="7"/>
      <c r="O91" s="7"/>
      <c r="P91" s="7"/>
      <c r="Q91" s="7"/>
      <c r="R91" s="7"/>
      <c r="S91" s="7"/>
      <c r="T91" s="7"/>
    </row>
    <row r="92">
      <c r="B92" s="7"/>
      <c r="C92" s="54"/>
      <c r="D92" s="7"/>
      <c r="E92" s="7"/>
      <c r="F92" s="7"/>
      <c r="G92" s="7"/>
      <c r="H92" s="7"/>
      <c r="I92" s="7"/>
      <c r="J92" s="54"/>
      <c r="K92" s="54"/>
      <c r="L92" s="7"/>
      <c r="M92" s="7"/>
      <c r="N92" s="7"/>
      <c r="O92" s="7"/>
      <c r="P92" s="7"/>
      <c r="Q92" s="7"/>
      <c r="R92" s="7"/>
      <c r="S92" s="7"/>
      <c r="T92" s="7"/>
    </row>
    <row r="93">
      <c r="B93" s="7"/>
      <c r="C93" s="54"/>
      <c r="D93" s="7"/>
      <c r="E93" s="7"/>
      <c r="F93" s="7"/>
      <c r="G93" s="7"/>
      <c r="H93" s="7"/>
      <c r="I93" s="7"/>
      <c r="J93" s="54"/>
      <c r="K93" s="54"/>
      <c r="L93" s="7"/>
      <c r="M93" s="7"/>
      <c r="N93" s="7"/>
      <c r="O93" s="7"/>
      <c r="P93" s="7"/>
      <c r="Q93" s="7"/>
      <c r="R93" s="7"/>
      <c r="S93" s="7"/>
      <c r="T93" s="7"/>
    </row>
    <row r="94">
      <c r="B94" s="7"/>
      <c r="C94" s="54"/>
      <c r="D94" s="7"/>
      <c r="E94" s="7"/>
      <c r="F94" s="7"/>
      <c r="G94" s="7"/>
      <c r="H94" s="7"/>
      <c r="I94" s="7"/>
      <c r="J94" s="54"/>
      <c r="K94" s="54"/>
      <c r="L94" s="7"/>
      <c r="M94" s="7"/>
      <c r="N94" s="7"/>
      <c r="O94" s="7"/>
      <c r="P94" s="7"/>
      <c r="Q94" s="7"/>
      <c r="R94" s="7"/>
      <c r="S94" s="7"/>
      <c r="T94" s="7"/>
    </row>
    <row r="95">
      <c r="B95" s="7"/>
      <c r="C95" s="54"/>
      <c r="D95" s="7"/>
      <c r="E95" s="7"/>
      <c r="F95" s="7"/>
      <c r="G95" s="7"/>
      <c r="H95" s="7"/>
      <c r="I95" s="7"/>
      <c r="J95" s="54"/>
      <c r="K95" s="54"/>
      <c r="L95" s="7"/>
      <c r="M95" s="7"/>
      <c r="N95" s="7"/>
      <c r="O95" s="7"/>
      <c r="P95" s="7"/>
      <c r="Q95" s="7"/>
      <c r="R95" s="7"/>
      <c r="S95" s="7"/>
      <c r="T95" s="7"/>
    </row>
    <row r="96">
      <c r="B96" s="7"/>
      <c r="C96" s="54"/>
      <c r="D96" s="7"/>
      <c r="E96" s="7"/>
      <c r="F96" s="7"/>
      <c r="G96" s="7"/>
      <c r="H96" s="7"/>
      <c r="I96" s="7"/>
      <c r="J96" s="54"/>
      <c r="K96" s="54"/>
      <c r="L96" s="7"/>
      <c r="M96" s="7"/>
      <c r="N96" s="7"/>
      <c r="O96" s="7"/>
      <c r="P96" s="7"/>
      <c r="Q96" s="7"/>
      <c r="R96" s="7"/>
      <c r="S96" s="7"/>
      <c r="T96" s="7"/>
    </row>
    <row r="97">
      <c r="B97" s="7"/>
      <c r="C97" s="54"/>
      <c r="D97" s="7"/>
      <c r="E97" s="7"/>
      <c r="F97" s="7"/>
      <c r="G97" s="7"/>
      <c r="H97" s="7"/>
      <c r="I97" s="7"/>
      <c r="J97" s="54"/>
      <c r="K97" s="54"/>
      <c r="L97" s="7"/>
      <c r="M97" s="7"/>
      <c r="N97" s="7"/>
      <c r="O97" s="7"/>
      <c r="P97" s="7"/>
      <c r="Q97" s="7"/>
      <c r="R97" s="7"/>
      <c r="S97" s="7"/>
      <c r="T97" s="7"/>
    </row>
    <row r="98">
      <c r="B98" s="7"/>
      <c r="C98" s="54"/>
      <c r="D98" s="7"/>
      <c r="E98" s="7"/>
      <c r="F98" s="7"/>
      <c r="G98" s="7"/>
      <c r="H98" s="7"/>
      <c r="I98" s="7"/>
      <c r="J98" s="54"/>
      <c r="K98" s="54"/>
      <c r="L98" s="7"/>
      <c r="M98" s="7"/>
      <c r="N98" s="7"/>
      <c r="O98" s="7"/>
      <c r="P98" s="7"/>
      <c r="Q98" s="7"/>
      <c r="R98" s="7"/>
      <c r="S98" s="7"/>
      <c r="T98" s="7"/>
    </row>
    <row r="99">
      <c r="B99" s="7"/>
      <c r="C99" s="54"/>
      <c r="D99" s="7"/>
      <c r="E99" s="7"/>
      <c r="F99" s="7"/>
      <c r="G99" s="7"/>
      <c r="H99" s="7"/>
      <c r="I99" s="7"/>
      <c r="J99" s="54"/>
      <c r="K99" s="54"/>
      <c r="L99" s="7"/>
      <c r="M99" s="7"/>
      <c r="N99" s="7"/>
      <c r="O99" s="7"/>
      <c r="P99" s="7"/>
      <c r="Q99" s="7"/>
      <c r="R99" s="7"/>
      <c r="S99" s="7"/>
      <c r="T99" s="7"/>
    </row>
    <row r="100">
      <c r="B100" s="7"/>
      <c r="C100" s="54"/>
      <c r="D100" s="7"/>
      <c r="E100" s="7"/>
      <c r="F100" s="7"/>
      <c r="G100" s="7"/>
      <c r="H100" s="7"/>
      <c r="I100" s="7"/>
      <c r="J100" s="54"/>
      <c r="K100" s="54"/>
      <c r="L100" s="7"/>
      <c r="M100" s="7"/>
      <c r="N100" s="7"/>
      <c r="O100" s="7"/>
      <c r="P100" s="7"/>
      <c r="Q100" s="7"/>
      <c r="R100" s="7"/>
      <c r="S100" s="7"/>
      <c r="T100" s="7"/>
    </row>
    <row r="101">
      <c r="B101" s="7"/>
      <c r="C101" s="54"/>
      <c r="D101" s="7"/>
      <c r="E101" s="7"/>
      <c r="F101" s="7"/>
      <c r="G101" s="7"/>
      <c r="H101" s="7"/>
      <c r="I101" s="7"/>
      <c r="J101" s="54"/>
      <c r="K101" s="54"/>
      <c r="L101" s="7"/>
      <c r="M101" s="7"/>
      <c r="N101" s="7"/>
      <c r="O101" s="7"/>
      <c r="P101" s="7"/>
      <c r="Q101" s="7"/>
      <c r="R101" s="7"/>
      <c r="S101" s="7"/>
      <c r="T101" s="7"/>
    </row>
    <row r="102">
      <c r="B102" s="7"/>
      <c r="C102" s="54"/>
      <c r="D102" s="7"/>
      <c r="E102" s="7"/>
      <c r="F102" s="7"/>
      <c r="G102" s="7"/>
      <c r="H102" s="7"/>
      <c r="I102" s="7"/>
      <c r="J102" s="54"/>
      <c r="K102" s="54"/>
      <c r="L102" s="7"/>
      <c r="M102" s="7"/>
      <c r="N102" s="7"/>
      <c r="O102" s="7"/>
      <c r="P102" s="7"/>
      <c r="Q102" s="7"/>
      <c r="R102" s="7"/>
      <c r="S102" s="7"/>
      <c r="T102" s="7"/>
    </row>
    <row r="103">
      <c r="B103" s="7"/>
      <c r="C103" s="54"/>
      <c r="D103" s="7"/>
      <c r="E103" s="7"/>
      <c r="F103" s="7"/>
      <c r="G103" s="7"/>
      <c r="H103" s="7"/>
      <c r="I103" s="7"/>
      <c r="J103" s="54"/>
      <c r="K103" s="54"/>
      <c r="L103" s="7"/>
      <c r="M103" s="7"/>
      <c r="N103" s="7"/>
      <c r="O103" s="7"/>
      <c r="P103" s="7"/>
      <c r="Q103" s="7"/>
      <c r="R103" s="7"/>
      <c r="S103" s="7"/>
      <c r="T103" s="7"/>
    </row>
    <row r="104">
      <c r="B104" s="7"/>
      <c r="C104" s="54"/>
      <c r="D104" s="7"/>
      <c r="E104" s="7"/>
      <c r="F104" s="7"/>
      <c r="G104" s="7"/>
      <c r="H104" s="7"/>
      <c r="I104" s="7"/>
      <c r="J104" s="54"/>
      <c r="K104" s="54"/>
      <c r="L104" s="7"/>
      <c r="M104" s="7"/>
      <c r="N104" s="7"/>
      <c r="O104" s="7"/>
      <c r="P104" s="7"/>
      <c r="Q104" s="7"/>
      <c r="R104" s="7"/>
      <c r="S104" s="7"/>
      <c r="T104" s="7"/>
    </row>
    <row r="105">
      <c r="B105" s="7"/>
      <c r="C105" s="54"/>
      <c r="D105" s="7"/>
      <c r="E105" s="7"/>
      <c r="F105" s="7"/>
      <c r="G105" s="7"/>
      <c r="H105" s="7"/>
      <c r="I105" s="7"/>
      <c r="J105" s="54"/>
      <c r="K105" s="54"/>
      <c r="L105" s="7"/>
      <c r="M105" s="7"/>
      <c r="N105" s="7"/>
      <c r="O105" s="7"/>
      <c r="P105" s="7"/>
      <c r="Q105" s="7"/>
      <c r="R105" s="7"/>
      <c r="S105" s="7"/>
      <c r="T105" s="7"/>
    </row>
    <row r="106">
      <c r="B106" s="7"/>
      <c r="C106" s="54"/>
      <c r="D106" s="7"/>
      <c r="E106" s="7"/>
      <c r="F106" s="7"/>
      <c r="G106" s="7"/>
      <c r="H106" s="7"/>
      <c r="I106" s="7"/>
      <c r="J106" s="54"/>
      <c r="K106" s="54"/>
      <c r="L106" s="7"/>
      <c r="M106" s="7"/>
      <c r="N106" s="7"/>
      <c r="O106" s="7"/>
      <c r="P106" s="7"/>
      <c r="Q106" s="7"/>
      <c r="R106" s="7"/>
      <c r="S106" s="7"/>
      <c r="T106" s="7"/>
    </row>
    <row r="107">
      <c r="B107" s="7"/>
      <c r="C107" s="54"/>
      <c r="D107" s="7"/>
      <c r="E107" s="7"/>
      <c r="F107" s="7"/>
      <c r="G107" s="7"/>
      <c r="H107" s="7"/>
      <c r="I107" s="7"/>
      <c r="J107" s="54"/>
      <c r="K107" s="54"/>
      <c r="L107" s="7"/>
      <c r="M107" s="7"/>
      <c r="N107" s="7"/>
      <c r="O107" s="7"/>
      <c r="P107" s="7"/>
      <c r="Q107" s="7"/>
      <c r="R107" s="7"/>
      <c r="S107" s="7"/>
      <c r="T107" s="7"/>
    </row>
    <row r="108">
      <c r="B108" s="7"/>
      <c r="C108" s="54"/>
      <c r="D108" s="7"/>
      <c r="E108" s="7"/>
      <c r="F108" s="7"/>
      <c r="G108" s="7"/>
      <c r="H108" s="7"/>
      <c r="I108" s="7"/>
      <c r="J108" s="54"/>
      <c r="K108" s="54"/>
      <c r="L108" s="7"/>
      <c r="M108" s="7"/>
      <c r="N108" s="7"/>
      <c r="O108" s="7"/>
      <c r="P108" s="7"/>
      <c r="Q108" s="7"/>
      <c r="R108" s="7"/>
      <c r="S108" s="7"/>
      <c r="T108" s="7"/>
    </row>
    <row r="109">
      <c r="B109" s="7"/>
      <c r="C109" s="54"/>
      <c r="D109" s="7"/>
      <c r="E109" s="7"/>
      <c r="F109" s="7"/>
      <c r="G109" s="7"/>
      <c r="H109" s="7"/>
      <c r="I109" s="7"/>
      <c r="J109" s="54"/>
      <c r="K109" s="54"/>
      <c r="L109" s="7"/>
      <c r="M109" s="7"/>
      <c r="N109" s="7"/>
      <c r="O109" s="7"/>
      <c r="P109" s="7"/>
      <c r="Q109" s="7"/>
      <c r="R109" s="7"/>
      <c r="S109" s="7"/>
      <c r="T109" s="7"/>
    </row>
    <row r="110">
      <c r="B110" s="7"/>
      <c r="C110" s="54"/>
      <c r="D110" s="7"/>
      <c r="E110" s="7"/>
      <c r="F110" s="7"/>
      <c r="G110" s="7"/>
      <c r="H110" s="7"/>
      <c r="I110" s="7"/>
      <c r="J110" s="54"/>
      <c r="K110" s="54"/>
      <c r="L110" s="7"/>
      <c r="M110" s="7"/>
      <c r="N110" s="7"/>
      <c r="O110" s="7"/>
      <c r="P110" s="7"/>
      <c r="Q110" s="7"/>
      <c r="R110" s="7"/>
      <c r="S110" s="7"/>
      <c r="T110" s="7"/>
    </row>
    <row r="111">
      <c r="B111" s="7"/>
      <c r="C111" s="54"/>
      <c r="D111" s="7"/>
      <c r="E111" s="7"/>
      <c r="F111" s="7"/>
      <c r="G111" s="7"/>
      <c r="H111" s="7"/>
      <c r="I111" s="7"/>
      <c r="J111" s="54"/>
      <c r="K111" s="54"/>
      <c r="L111" s="7"/>
      <c r="M111" s="7"/>
      <c r="N111" s="7"/>
      <c r="O111" s="7"/>
      <c r="P111" s="7"/>
      <c r="Q111" s="7"/>
      <c r="R111" s="7"/>
      <c r="S111" s="7"/>
      <c r="T111" s="7"/>
    </row>
    <row r="112">
      <c r="B112" s="7"/>
      <c r="C112" s="54"/>
      <c r="D112" s="7"/>
      <c r="E112" s="7"/>
      <c r="F112" s="7"/>
      <c r="G112" s="7"/>
      <c r="H112" s="7"/>
      <c r="I112" s="7"/>
      <c r="J112" s="54"/>
      <c r="K112" s="54"/>
      <c r="L112" s="7"/>
      <c r="M112" s="7"/>
      <c r="N112" s="7"/>
      <c r="O112" s="7"/>
      <c r="P112" s="7"/>
      <c r="Q112" s="7"/>
      <c r="R112" s="7"/>
      <c r="S112" s="7"/>
      <c r="T112" s="7"/>
    </row>
    <row r="113">
      <c r="B113" s="7"/>
      <c r="C113" s="54"/>
      <c r="D113" s="7"/>
      <c r="E113" s="7"/>
      <c r="F113" s="7"/>
      <c r="G113" s="7"/>
      <c r="H113" s="7"/>
      <c r="I113" s="7"/>
      <c r="J113" s="54"/>
      <c r="K113" s="54"/>
      <c r="L113" s="7"/>
      <c r="M113" s="7"/>
      <c r="N113" s="7"/>
      <c r="O113" s="7"/>
      <c r="P113" s="7"/>
      <c r="Q113" s="7"/>
      <c r="R113" s="7"/>
      <c r="S113" s="7"/>
      <c r="T113" s="7"/>
    </row>
    <row r="114">
      <c r="B114" s="7"/>
      <c r="C114" s="54"/>
      <c r="D114" s="7"/>
      <c r="E114" s="7"/>
      <c r="F114" s="7"/>
      <c r="G114" s="7"/>
      <c r="H114" s="7"/>
      <c r="I114" s="7"/>
      <c r="J114" s="54"/>
      <c r="K114" s="54"/>
      <c r="L114" s="7"/>
      <c r="M114" s="7"/>
      <c r="N114" s="7"/>
      <c r="O114" s="7"/>
      <c r="P114" s="7"/>
      <c r="Q114" s="7"/>
      <c r="R114" s="7"/>
      <c r="S114" s="7"/>
      <c r="T114" s="7"/>
    </row>
    <row r="115">
      <c r="B115" s="7"/>
      <c r="C115" s="54"/>
      <c r="D115" s="7"/>
      <c r="E115" s="7"/>
      <c r="F115" s="7"/>
      <c r="G115" s="7"/>
      <c r="H115" s="7"/>
      <c r="I115" s="7"/>
      <c r="J115" s="54"/>
      <c r="K115" s="54"/>
      <c r="L115" s="7"/>
      <c r="M115" s="7"/>
      <c r="N115" s="7"/>
      <c r="O115" s="7"/>
      <c r="P115" s="7"/>
      <c r="Q115" s="7"/>
      <c r="R115" s="7"/>
      <c r="S115" s="7"/>
      <c r="T115" s="7"/>
    </row>
    <row r="116">
      <c r="B116" s="7"/>
      <c r="C116" s="54"/>
      <c r="D116" s="7"/>
      <c r="E116" s="7"/>
      <c r="F116" s="7"/>
      <c r="G116" s="7"/>
      <c r="H116" s="7"/>
      <c r="I116" s="7"/>
      <c r="J116" s="54"/>
      <c r="K116" s="54"/>
      <c r="L116" s="7"/>
      <c r="M116" s="7"/>
      <c r="N116" s="7"/>
      <c r="O116" s="7"/>
      <c r="P116" s="7"/>
      <c r="Q116" s="7"/>
      <c r="R116" s="7"/>
      <c r="S116" s="7"/>
      <c r="T116" s="7"/>
    </row>
    <row r="117">
      <c r="B117" s="7"/>
      <c r="C117" s="54"/>
      <c r="D117" s="7"/>
      <c r="E117" s="7"/>
      <c r="F117" s="7"/>
      <c r="G117" s="7"/>
      <c r="H117" s="7"/>
      <c r="I117" s="7"/>
      <c r="J117" s="54"/>
      <c r="K117" s="54"/>
      <c r="L117" s="7"/>
      <c r="M117" s="7"/>
      <c r="N117" s="7"/>
      <c r="O117" s="7"/>
      <c r="P117" s="7"/>
      <c r="Q117" s="7"/>
      <c r="R117" s="7"/>
      <c r="S117" s="7"/>
      <c r="T117" s="7"/>
    </row>
    <row r="118">
      <c r="B118" s="7"/>
      <c r="C118" s="54"/>
      <c r="D118" s="7"/>
      <c r="E118" s="7"/>
      <c r="F118" s="7"/>
      <c r="G118" s="7"/>
      <c r="H118" s="7"/>
      <c r="I118" s="7"/>
      <c r="J118" s="54"/>
      <c r="K118" s="54"/>
      <c r="L118" s="7"/>
      <c r="M118" s="7"/>
      <c r="N118" s="7"/>
      <c r="O118" s="7"/>
      <c r="P118" s="7"/>
      <c r="Q118" s="7"/>
      <c r="R118" s="7"/>
      <c r="S118" s="7"/>
      <c r="T118" s="7"/>
    </row>
    <row r="119">
      <c r="B119" s="7"/>
      <c r="C119" s="54"/>
      <c r="D119" s="7"/>
      <c r="E119" s="7"/>
      <c r="F119" s="7"/>
      <c r="G119" s="7"/>
      <c r="H119" s="7"/>
      <c r="I119" s="7"/>
      <c r="J119" s="54"/>
      <c r="K119" s="54"/>
      <c r="L119" s="7"/>
      <c r="M119" s="7"/>
      <c r="N119" s="7"/>
      <c r="O119" s="7"/>
      <c r="P119" s="7"/>
      <c r="Q119" s="7"/>
      <c r="R119" s="7"/>
      <c r="S119" s="7"/>
      <c r="T119" s="7"/>
    </row>
    <row r="120">
      <c r="B120" s="7"/>
      <c r="C120" s="54"/>
      <c r="D120" s="7"/>
      <c r="E120" s="7"/>
      <c r="F120" s="7"/>
      <c r="G120" s="7"/>
      <c r="H120" s="7"/>
      <c r="I120" s="7"/>
      <c r="J120" s="54"/>
      <c r="K120" s="54"/>
      <c r="L120" s="7"/>
      <c r="M120" s="7"/>
      <c r="N120" s="7"/>
      <c r="O120" s="7"/>
      <c r="P120" s="7"/>
      <c r="Q120" s="7"/>
      <c r="R120" s="7"/>
      <c r="S120" s="7"/>
      <c r="T120" s="7"/>
    </row>
    <row r="121">
      <c r="B121" s="7"/>
      <c r="C121" s="54"/>
      <c r="D121" s="7"/>
      <c r="E121" s="7"/>
      <c r="F121" s="7"/>
      <c r="G121" s="7"/>
      <c r="H121" s="7"/>
      <c r="I121" s="7"/>
      <c r="J121" s="54"/>
      <c r="K121" s="54"/>
      <c r="L121" s="7"/>
      <c r="M121" s="7"/>
      <c r="N121" s="7"/>
      <c r="O121" s="7"/>
      <c r="P121" s="7"/>
      <c r="Q121" s="7"/>
      <c r="R121" s="7"/>
      <c r="S121" s="7"/>
      <c r="T121" s="7"/>
    </row>
    <row r="122">
      <c r="B122" s="7"/>
      <c r="C122" s="54"/>
      <c r="D122" s="7"/>
      <c r="E122" s="7"/>
      <c r="F122" s="7"/>
      <c r="G122" s="7"/>
      <c r="H122" s="7"/>
      <c r="I122" s="7"/>
      <c r="J122" s="54"/>
      <c r="K122" s="54"/>
      <c r="L122" s="7"/>
      <c r="M122" s="7"/>
      <c r="N122" s="7"/>
      <c r="O122" s="7"/>
      <c r="P122" s="7"/>
      <c r="Q122" s="7"/>
      <c r="R122" s="7"/>
      <c r="S122" s="7"/>
      <c r="T122" s="7"/>
    </row>
    <row r="123">
      <c r="B123" s="7"/>
      <c r="C123" s="54"/>
      <c r="D123" s="7"/>
      <c r="E123" s="7"/>
      <c r="F123" s="7"/>
      <c r="G123" s="7"/>
      <c r="H123" s="7"/>
      <c r="I123" s="7"/>
      <c r="J123" s="54"/>
      <c r="K123" s="54"/>
      <c r="L123" s="7"/>
      <c r="M123" s="7"/>
      <c r="N123" s="7"/>
      <c r="O123" s="7"/>
      <c r="P123" s="7"/>
      <c r="Q123" s="7"/>
      <c r="R123" s="7"/>
      <c r="S123" s="7"/>
      <c r="T123" s="7"/>
    </row>
    <row r="124">
      <c r="B124" s="7"/>
      <c r="C124" s="54"/>
      <c r="D124" s="7"/>
      <c r="E124" s="7"/>
      <c r="F124" s="7"/>
      <c r="G124" s="7"/>
      <c r="H124" s="7"/>
      <c r="I124" s="7"/>
      <c r="J124" s="54"/>
      <c r="K124" s="54"/>
      <c r="L124" s="7"/>
      <c r="M124" s="7"/>
      <c r="N124" s="7"/>
      <c r="O124" s="7"/>
      <c r="P124" s="7"/>
      <c r="Q124" s="7"/>
      <c r="R124" s="7"/>
      <c r="S124" s="7"/>
      <c r="T124" s="7"/>
    </row>
    <row r="125">
      <c r="B125" s="7"/>
      <c r="C125" s="54"/>
      <c r="D125" s="7"/>
      <c r="E125" s="7"/>
      <c r="F125" s="7"/>
      <c r="G125" s="7"/>
      <c r="H125" s="7"/>
      <c r="I125" s="7"/>
      <c r="J125" s="54"/>
      <c r="K125" s="54"/>
      <c r="L125" s="7"/>
      <c r="M125" s="7"/>
      <c r="N125" s="7"/>
      <c r="O125" s="7"/>
      <c r="P125" s="7"/>
      <c r="Q125" s="7"/>
      <c r="R125" s="7"/>
      <c r="S125" s="7"/>
      <c r="T125" s="7"/>
    </row>
    <row r="126">
      <c r="B126" s="7"/>
      <c r="C126" s="54"/>
      <c r="D126" s="7"/>
      <c r="E126" s="7"/>
      <c r="F126" s="7"/>
      <c r="G126" s="7"/>
      <c r="H126" s="7"/>
      <c r="I126" s="7"/>
      <c r="J126" s="54"/>
      <c r="K126" s="54"/>
      <c r="L126" s="7"/>
      <c r="M126" s="7"/>
      <c r="N126" s="7"/>
      <c r="O126" s="7"/>
      <c r="P126" s="7"/>
      <c r="Q126" s="7"/>
      <c r="R126" s="7"/>
      <c r="S126" s="7"/>
      <c r="T126" s="7"/>
    </row>
    <row r="127">
      <c r="B127" s="7"/>
      <c r="C127" s="54"/>
      <c r="D127" s="7"/>
      <c r="E127" s="7"/>
      <c r="F127" s="7"/>
      <c r="G127" s="7"/>
      <c r="H127" s="7"/>
      <c r="I127" s="7"/>
      <c r="J127" s="54"/>
      <c r="K127" s="54"/>
      <c r="L127" s="7"/>
      <c r="M127" s="7"/>
      <c r="N127" s="7"/>
      <c r="O127" s="7"/>
      <c r="P127" s="7"/>
      <c r="Q127" s="7"/>
      <c r="R127" s="7"/>
      <c r="S127" s="7"/>
      <c r="T127" s="7"/>
    </row>
    <row r="128">
      <c r="B128" s="7"/>
      <c r="C128" s="54"/>
      <c r="D128" s="7"/>
      <c r="E128" s="7"/>
      <c r="F128" s="7"/>
      <c r="G128" s="7"/>
      <c r="H128" s="7"/>
      <c r="I128" s="7"/>
      <c r="J128" s="54"/>
      <c r="K128" s="54"/>
      <c r="L128" s="7"/>
      <c r="M128" s="7"/>
      <c r="N128" s="7"/>
      <c r="O128" s="7"/>
      <c r="P128" s="7"/>
      <c r="Q128" s="7"/>
      <c r="R128" s="7"/>
      <c r="S128" s="7"/>
      <c r="T128" s="7"/>
    </row>
    <row r="129">
      <c r="B129" s="7"/>
      <c r="C129" s="54"/>
      <c r="D129" s="7"/>
      <c r="E129" s="7"/>
      <c r="F129" s="7"/>
      <c r="G129" s="7"/>
      <c r="H129" s="7"/>
      <c r="I129" s="7"/>
      <c r="J129" s="54"/>
      <c r="K129" s="54"/>
      <c r="L129" s="7"/>
      <c r="M129" s="7"/>
      <c r="N129" s="7"/>
      <c r="O129" s="7"/>
      <c r="P129" s="7"/>
      <c r="Q129" s="7"/>
      <c r="R129" s="7"/>
      <c r="S129" s="7"/>
      <c r="T129" s="7"/>
    </row>
    <row r="130">
      <c r="B130" s="7"/>
      <c r="C130" s="54"/>
      <c r="D130" s="7"/>
      <c r="E130" s="7"/>
      <c r="F130" s="7"/>
      <c r="G130" s="7"/>
      <c r="H130" s="7"/>
      <c r="I130" s="7"/>
      <c r="J130" s="54"/>
      <c r="K130" s="54"/>
      <c r="L130" s="7"/>
      <c r="M130" s="7"/>
      <c r="N130" s="7"/>
      <c r="O130" s="7"/>
      <c r="P130" s="7"/>
      <c r="Q130" s="7"/>
      <c r="R130" s="7"/>
      <c r="S130" s="7"/>
      <c r="T130" s="7"/>
    </row>
    <row r="131">
      <c r="B131" s="7"/>
      <c r="C131" s="54"/>
      <c r="D131" s="7"/>
      <c r="E131" s="7"/>
      <c r="F131" s="7"/>
      <c r="G131" s="7"/>
      <c r="H131" s="7"/>
      <c r="I131" s="7"/>
      <c r="J131" s="54"/>
      <c r="K131" s="54"/>
      <c r="L131" s="7"/>
      <c r="M131" s="7"/>
      <c r="N131" s="7"/>
      <c r="O131" s="7"/>
      <c r="P131" s="7"/>
      <c r="Q131" s="7"/>
      <c r="R131" s="7"/>
      <c r="S131" s="7"/>
      <c r="T131" s="7"/>
    </row>
    <row r="132">
      <c r="B132" s="7"/>
      <c r="C132" s="54"/>
      <c r="D132" s="7"/>
      <c r="E132" s="7"/>
      <c r="F132" s="7"/>
      <c r="G132" s="7"/>
      <c r="H132" s="7"/>
      <c r="I132" s="7"/>
      <c r="J132" s="54"/>
      <c r="K132" s="54"/>
      <c r="L132" s="7"/>
      <c r="M132" s="7"/>
      <c r="N132" s="7"/>
      <c r="O132" s="7"/>
      <c r="P132" s="7"/>
      <c r="Q132" s="7"/>
      <c r="R132" s="7"/>
      <c r="S132" s="7"/>
      <c r="T132" s="7"/>
    </row>
    <row r="133">
      <c r="B133" s="7"/>
      <c r="C133" s="54"/>
      <c r="D133" s="7"/>
      <c r="E133" s="7"/>
      <c r="F133" s="7"/>
      <c r="G133" s="7"/>
      <c r="H133" s="7"/>
      <c r="I133" s="7"/>
      <c r="J133" s="54"/>
      <c r="K133" s="54"/>
      <c r="L133" s="7"/>
      <c r="M133" s="7"/>
      <c r="N133" s="7"/>
      <c r="O133" s="7"/>
      <c r="P133" s="7"/>
      <c r="Q133" s="7"/>
      <c r="R133" s="7"/>
      <c r="S133" s="7"/>
      <c r="T133" s="7"/>
    </row>
    <row r="134">
      <c r="B134" s="7"/>
      <c r="C134" s="54"/>
      <c r="D134" s="7"/>
      <c r="E134" s="7"/>
      <c r="F134" s="7"/>
      <c r="G134" s="7"/>
      <c r="H134" s="7"/>
      <c r="I134" s="7"/>
      <c r="J134" s="54"/>
      <c r="K134" s="54"/>
      <c r="L134" s="7"/>
      <c r="M134" s="7"/>
      <c r="N134" s="7"/>
      <c r="O134" s="7"/>
      <c r="P134" s="7"/>
      <c r="Q134" s="7"/>
      <c r="R134" s="7"/>
      <c r="S134" s="7"/>
      <c r="T134" s="7"/>
    </row>
    <row r="135">
      <c r="B135" s="7"/>
      <c r="C135" s="54"/>
      <c r="D135" s="7"/>
      <c r="E135" s="7"/>
      <c r="F135" s="7"/>
      <c r="G135" s="7"/>
      <c r="H135" s="7"/>
      <c r="I135" s="7"/>
      <c r="J135" s="54"/>
      <c r="K135" s="54"/>
      <c r="L135" s="7"/>
      <c r="M135" s="7"/>
      <c r="N135" s="7"/>
      <c r="O135" s="7"/>
      <c r="P135" s="7"/>
      <c r="Q135" s="7"/>
      <c r="R135" s="7"/>
      <c r="S135" s="7"/>
      <c r="T135" s="7"/>
    </row>
    <row r="136">
      <c r="B136" s="7"/>
      <c r="C136" s="54"/>
      <c r="D136" s="7"/>
      <c r="E136" s="7"/>
      <c r="F136" s="7"/>
      <c r="G136" s="7"/>
      <c r="H136" s="7"/>
      <c r="I136" s="7"/>
      <c r="J136" s="54"/>
      <c r="K136" s="54"/>
      <c r="L136" s="7"/>
      <c r="M136" s="7"/>
      <c r="N136" s="7"/>
      <c r="O136" s="7"/>
      <c r="P136" s="7"/>
      <c r="Q136" s="7"/>
      <c r="R136" s="7"/>
      <c r="S136" s="7"/>
      <c r="T136" s="7"/>
    </row>
    <row r="137">
      <c r="B137" s="7"/>
      <c r="C137" s="54"/>
      <c r="D137" s="7"/>
      <c r="E137" s="7"/>
      <c r="F137" s="7"/>
      <c r="G137" s="7"/>
      <c r="H137" s="7"/>
      <c r="I137" s="7"/>
      <c r="J137" s="54"/>
      <c r="K137" s="54"/>
      <c r="L137" s="7"/>
      <c r="M137" s="7"/>
      <c r="N137" s="7"/>
      <c r="O137" s="7"/>
      <c r="P137" s="7"/>
      <c r="Q137" s="7"/>
      <c r="R137" s="7"/>
      <c r="S137" s="7"/>
      <c r="T137" s="7"/>
    </row>
    <row r="138">
      <c r="B138" s="7"/>
      <c r="C138" s="54"/>
      <c r="D138" s="7"/>
      <c r="E138" s="7"/>
      <c r="F138" s="7"/>
      <c r="G138" s="7"/>
      <c r="H138" s="7"/>
      <c r="I138" s="7"/>
      <c r="J138" s="54"/>
      <c r="K138" s="54"/>
      <c r="L138" s="7"/>
      <c r="M138" s="7"/>
      <c r="N138" s="7"/>
      <c r="O138" s="7"/>
      <c r="P138" s="7"/>
      <c r="Q138" s="7"/>
      <c r="R138" s="7"/>
      <c r="S138" s="7"/>
      <c r="T138" s="7"/>
    </row>
    <row r="139">
      <c r="B139" s="7"/>
      <c r="C139" s="54"/>
      <c r="D139" s="7"/>
      <c r="E139" s="7"/>
      <c r="F139" s="7"/>
      <c r="G139" s="7"/>
      <c r="H139" s="7"/>
      <c r="I139" s="7"/>
      <c r="J139" s="54"/>
      <c r="K139" s="54"/>
      <c r="L139" s="7"/>
      <c r="M139" s="7"/>
      <c r="N139" s="7"/>
      <c r="O139" s="7"/>
      <c r="P139" s="7"/>
      <c r="Q139" s="7"/>
      <c r="R139" s="7"/>
      <c r="S139" s="7"/>
      <c r="T139" s="7"/>
    </row>
    <row r="140">
      <c r="B140" s="7"/>
      <c r="C140" s="54"/>
      <c r="D140" s="7"/>
      <c r="E140" s="7"/>
      <c r="F140" s="7"/>
      <c r="G140" s="7"/>
      <c r="H140" s="7"/>
      <c r="I140" s="7"/>
      <c r="J140" s="54"/>
      <c r="K140" s="54"/>
      <c r="L140" s="7"/>
      <c r="M140" s="7"/>
      <c r="N140" s="7"/>
      <c r="O140" s="7"/>
      <c r="P140" s="7"/>
      <c r="Q140" s="7"/>
      <c r="R140" s="7"/>
      <c r="S140" s="7"/>
      <c r="T140" s="7"/>
    </row>
    <row r="141">
      <c r="B141" s="7"/>
      <c r="C141" s="54"/>
      <c r="D141" s="7"/>
      <c r="E141" s="7"/>
      <c r="F141" s="7"/>
      <c r="G141" s="7"/>
      <c r="H141" s="7"/>
      <c r="I141" s="7"/>
      <c r="J141" s="54"/>
      <c r="K141" s="54"/>
      <c r="L141" s="7"/>
      <c r="M141" s="7"/>
      <c r="N141" s="7"/>
      <c r="O141" s="7"/>
      <c r="P141" s="7"/>
      <c r="Q141" s="7"/>
      <c r="R141" s="7"/>
      <c r="S141" s="7"/>
      <c r="T141" s="7"/>
    </row>
    <row r="142">
      <c r="B142" s="7"/>
      <c r="C142" s="54"/>
      <c r="D142" s="7"/>
      <c r="E142" s="7"/>
      <c r="F142" s="7"/>
      <c r="G142" s="7"/>
      <c r="H142" s="7"/>
      <c r="I142" s="7"/>
      <c r="J142" s="54"/>
      <c r="K142" s="54"/>
      <c r="L142" s="7"/>
      <c r="M142" s="7"/>
      <c r="N142" s="7"/>
      <c r="O142" s="7"/>
      <c r="P142" s="7"/>
      <c r="Q142" s="7"/>
      <c r="R142" s="7"/>
      <c r="S142" s="7"/>
      <c r="T142" s="7"/>
    </row>
    <row r="143">
      <c r="B143" s="7"/>
      <c r="C143" s="54"/>
      <c r="D143" s="7"/>
      <c r="E143" s="7"/>
      <c r="F143" s="7"/>
      <c r="G143" s="7"/>
      <c r="H143" s="7"/>
      <c r="I143" s="7"/>
      <c r="J143" s="54"/>
      <c r="K143" s="54"/>
      <c r="L143" s="7"/>
      <c r="M143" s="7"/>
      <c r="N143" s="7"/>
      <c r="O143" s="7"/>
      <c r="P143" s="7"/>
      <c r="Q143" s="7"/>
      <c r="R143" s="7"/>
      <c r="S143" s="7"/>
      <c r="T143" s="7"/>
    </row>
    <row r="144">
      <c r="B144" s="7"/>
      <c r="C144" s="54"/>
      <c r="D144" s="7"/>
      <c r="E144" s="7"/>
      <c r="F144" s="7"/>
      <c r="G144" s="7"/>
      <c r="H144" s="7"/>
      <c r="I144" s="7"/>
      <c r="J144" s="54"/>
      <c r="K144" s="54"/>
      <c r="L144" s="7"/>
      <c r="M144" s="7"/>
      <c r="N144" s="7"/>
      <c r="O144" s="7"/>
      <c r="P144" s="7"/>
      <c r="Q144" s="7"/>
      <c r="R144" s="7"/>
      <c r="S144" s="7"/>
      <c r="T144" s="7"/>
    </row>
    <row r="145">
      <c r="B145" s="7"/>
      <c r="C145" s="54"/>
      <c r="D145" s="7"/>
      <c r="E145" s="7"/>
      <c r="F145" s="7"/>
      <c r="G145" s="7"/>
      <c r="H145" s="7"/>
      <c r="I145" s="7"/>
      <c r="J145" s="54"/>
      <c r="K145" s="54"/>
      <c r="L145" s="7"/>
      <c r="M145" s="7"/>
      <c r="N145" s="7"/>
      <c r="O145" s="7"/>
      <c r="P145" s="7"/>
      <c r="Q145" s="7"/>
      <c r="R145" s="7"/>
      <c r="S145" s="7"/>
      <c r="T145" s="7"/>
    </row>
    <row r="146">
      <c r="B146" s="7"/>
      <c r="C146" s="54"/>
      <c r="D146" s="7"/>
      <c r="E146" s="7"/>
      <c r="F146" s="7"/>
      <c r="G146" s="7"/>
      <c r="H146" s="7"/>
      <c r="I146" s="7"/>
      <c r="J146" s="54"/>
      <c r="K146" s="54"/>
      <c r="L146" s="7"/>
      <c r="M146" s="7"/>
      <c r="N146" s="7"/>
      <c r="O146" s="7"/>
      <c r="P146" s="7"/>
      <c r="Q146" s="7"/>
      <c r="R146" s="7"/>
      <c r="S146" s="7"/>
      <c r="T146" s="7"/>
    </row>
    <row r="147">
      <c r="B147" s="7"/>
      <c r="C147" s="54"/>
      <c r="D147" s="7"/>
      <c r="E147" s="7"/>
      <c r="F147" s="7"/>
      <c r="G147" s="7"/>
      <c r="H147" s="7"/>
      <c r="I147" s="7"/>
      <c r="J147" s="54"/>
      <c r="K147" s="54"/>
      <c r="L147" s="7"/>
      <c r="M147" s="7"/>
      <c r="N147" s="7"/>
      <c r="O147" s="7"/>
      <c r="P147" s="7"/>
      <c r="Q147" s="7"/>
      <c r="R147" s="7"/>
      <c r="S147" s="7"/>
      <c r="T147" s="7"/>
    </row>
    <row r="148">
      <c r="B148" s="7"/>
      <c r="C148" s="54"/>
      <c r="D148" s="7"/>
      <c r="E148" s="7"/>
      <c r="F148" s="7"/>
      <c r="G148" s="7"/>
      <c r="H148" s="7"/>
      <c r="I148" s="7"/>
      <c r="J148" s="54"/>
      <c r="K148" s="54"/>
      <c r="L148" s="7"/>
      <c r="M148" s="7"/>
      <c r="N148" s="7"/>
      <c r="O148" s="7"/>
      <c r="P148" s="7"/>
      <c r="Q148" s="7"/>
      <c r="R148" s="7"/>
      <c r="S148" s="7"/>
      <c r="T148" s="7"/>
    </row>
    <row r="149">
      <c r="B149" s="7"/>
      <c r="C149" s="54"/>
      <c r="D149" s="7"/>
      <c r="E149" s="7"/>
      <c r="F149" s="7"/>
      <c r="G149" s="7"/>
      <c r="H149" s="7"/>
      <c r="I149" s="7"/>
      <c r="J149" s="54"/>
      <c r="K149" s="54"/>
      <c r="L149" s="7"/>
      <c r="M149" s="7"/>
      <c r="N149" s="7"/>
      <c r="O149" s="7"/>
      <c r="P149" s="7"/>
      <c r="Q149" s="7"/>
      <c r="R149" s="7"/>
      <c r="S149" s="7"/>
      <c r="T149" s="7"/>
    </row>
    <row r="150">
      <c r="B150" s="7"/>
      <c r="C150" s="54"/>
      <c r="D150" s="7"/>
      <c r="E150" s="7"/>
      <c r="F150" s="7"/>
      <c r="G150" s="7"/>
      <c r="H150" s="7"/>
      <c r="I150" s="7"/>
      <c r="J150" s="54"/>
      <c r="K150" s="54"/>
      <c r="L150" s="7"/>
      <c r="M150" s="7"/>
      <c r="N150" s="7"/>
      <c r="O150" s="7"/>
      <c r="P150" s="7"/>
      <c r="Q150" s="7"/>
      <c r="R150" s="7"/>
      <c r="S150" s="7"/>
      <c r="T150" s="7"/>
    </row>
    <row r="151">
      <c r="B151" s="7"/>
      <c r="C151" s="54"/>
      <c r="D151" s="7"/>
      <c r="E151" s="7"/>
      <c r="F151" s="7"/>
      <c r="G151" s="7"/>
      <c r="H151" s="7"/>
      <c r="I151" s="7"/>
      <c r="J151" s="54"/>
      <c r="K151" s="54"/>
      <c r="L151" s="7"/>
      <c r="M151" s="7"/>
      <c r="N151" s="7"/>
      <c r="O151" s="7"/>
      <c r="P151" s="7"/>
      <c r="Q151" s="7"/>
      <c r="R151" s="7"/>
      <c r="S151" s="7"/>
      <c r="T151" s="7"/>
    </row>
    <row r="152">
      <c r="B152" s="7"/>
      <c r="C152" s="54"/>
      <c r="D152" s="7"/>
      <c r="E152" s="7"/>
      <c r="F152" s="7"/>
      <c r="G152" s="7"/>
      <c r="H152" s="7"/>
      <c r="I152" s="7"/>
      <c r="J152" s="54"/>
      <c r="K152" s="54"/>
      <c r="L152" s="7"/>
      <c r="M152" s="7"/>
      <c r="N152" s="7"/>
      <c r="O152" s="7"/>
      <c r="P152" s="7"/>
      <c r="Q152" s="7"/>
      <c r="R152" s="7"/>
      <c r="S152" s="7"/>
      <c r="T152" s="7"/>
    </row>
    <row r="153">
      <c r="B153" s="7"/>
      <c r="C153" s="54"/>
      <c r="D153" s="7"/>
      <c r="E153" s="7"/>
      <c r="F153" s="7"/>
      <c r="G153" s="7"/>
      <c r="H153" s="7"/>
      <c r="I153" s="7"/>
      <c r="J153" s="54"/>
      <c r="K153" s="54"/>
      <c r="L153" s="7"/>
      <c r="M153" s="7"/>
      <c r="N153" s="7"/>
      <c r="O153" s="7"/>
      <c r="P153" s="7"/>
      <c r="Q153" s="7"/>
      <c r="R153" s="7"/>
      <c r="S153" s="7"/>
      <c r="T153" s="7"/>
    </row>
    <row r="154">
      <c r="B154" s="7"/>
      <c r="C154" s="54"/>
      <c r="D154" s="7"/>
      <c r="E154" s="7"/>
      <c r="F154" s="7"/>
      <c r="G154" s="7"/>
      <c r="H154" s="7"/>
      <c r="I154" s="7"/>
      <c r="J154" s="54"/>
      <c r="K154" s="54"/>
      <c r="L154" s="7"/>
      <c r="M154" s="7"/>
      <c r="N154" s="7"/>
      <c r="O154" s="7"/>
      <c r="P154" s="7"/>
      <c r="Q154" s="7"/>
      <c r="R154" s="7"/>
      <c r="S154" s="7"/>
      <c r="T154" s="7"/>
    </row>
    <row r="155">
      <c r="B155" s="7"/>
      <c r="C155" s="54"/>
      <c r="D155" s="7"/>
      <c r="E155" s="7"/>
      <c r="F155" s="7"/>
      <c r="G155" s="7"/>
      <c r="H155" s="7"/>
      <c r="I155" s="7"/>
      <c r="J155" s="54"/>
      <c r="K155" s="54"/>
      <c r="L155" s="7"/>
      <c r="M155" s="7"/>
      <c r="N155" s="7"/>
      <c r="O155" s="7"/>
      <c r="P155" s="7"/>
      <c r="Q155" s="7"/>
      <c r="R155" s="7"/>
      <c r="S155" s="7"/>
      <c r="T155" s="7"/>
    </row>
    <row r="156">
      <c r="B156" s="7"/>
      <c r="C156" s="54"/>
      <c r="D156" s="7"/>
      <c r="E156" s="7"/>
      <c r="F156" s="7"/>
      <c r="G156" s="7"/>
      <c r="H156" s="7"/>
      <c r="I156" s="7"/>
      <c r="J156" s="54"/>
      <c r="K156" s="54"/>
      <c r="L156" s="7"/>
      <c r="M156" s="7"/>
      <c r="N156" s="7"/>
      <c r="O156" s="7"/>
      <c r="P156" s="7"/>
      <c r="Q156" s="7"/>
      <c r="R156" s="7"/>
      <c r="S156" s="7"/>
      <c r="T156" s="7"/>
    </row>
    <row r="157">
      <c r="B157" s="7"/>
      <c r="C157" s="54"/>
      <c r="D157" s="7"/>
      <c r="E157" s="7"/>
      <c r="F157" s="7"/>
      <c r="G157" s="7"/>
      <c r="H157" s="7"/>
      <c r="I157" s="7"/>
      <c r="J157" s="54"/>
      <c r="K157" s="54"/>
      <c r="L157" s="7"/>
      <c r="M157" s="7"/>
      <c r="N157" s="7"/>
      <c r="O157" s="7"/>
      <c r="P157" s="7"/>
      <c r="Q157" s="7"/>
      <c r="R157" s="7"/>
      <c r="S157" s="7"/>
      <c r="T157" s="7"/>
    </row>
    <row r="158">
      <c r="B158" s="7"/>
      <c r="C158" s="54"/>
      <c r="D158" s="7"/>
      <c r="E158" s="7"/>
      <c r="F158" s="7"/>
      <c r="G158" s="7"/>
      <c r="H158" s="7"/>
      <c r="I158" s="7"/>
      <c r="J158" s="54"/>
      <c r="K158" s="54"/>
      <c r="L158" s="7"/>
      <c r="M158" s="7"/>
      <c r="N158" s="7"/>
      <c r="O158" s="7"/>
      <c r="P158" s="7"/>
      <c r="Q158" s="7"/>
      <c r="R158" s="7"/>
      <c r="S158" s="7"/>
      <c r="T158" s="7"/>
    </row>
    <row r="159">
      <c r="B159" s="7"/>
      <c r="C159" s="54"/>
      <c r="D159" s="7"/>
      <c r="E159" s="7"/>
      <c r="F159" s="7"/>
      <c r="G159" s="7"/>
      <c r="H159" s="7"/>
      <c r="I159" s="7"/>
      <c r="J159" s="54"/>
      <c r="K159" s="54"/>
      <c r="L159" s="7"/>
      <c r="M159" s="7"/>
      <c r="N159" s="7"/>
      <c r="O159" s="7"/>
      <c r="P159" s="7"/>
      <c r="Q159" s="7"/>
      <c r="R159" s="7"/>
      <c r="S159" s="7"/>
      <c r="T159" s="7"/>
    </row>
    <row r="160">
      <c r="B160" s="7"/>
      <c r="C160" s="54"/>
      <c r="D160" s="7"/>
      <c r="E160" s="7"/>
      <c r="F160" s="7"/>
      <c r="G160" s="7"/>
      <c r="H160" s="7"/>
      <c r="I160" s="7"/>
      <c r="J160" s="54"/>
      <c r="K160" s="54"/>
      <c r="L160" s="7"/>
      <c r="M160" s="7"/>
      <c r="N160" s="7"/>
      <c r="O160" s="7"/>
      <c r="P160" s="7"/>
      <c r="Q160" s="7"/>
      <c r="R160" s="7"/>
      <c r="S160" s="7"/>
      <c r="T160" s="7"/>
    </row>
    <row r="161">
      <c r="B161" s="7"/>
      <c r="C161" s="54"/>
      <c r="D161" s="7"/>
      <c r="E161" s="7"/>
      <c r="F161" s="7"/>
      <c r="G161" s="7"/>
      <c r="H161" s="7"/>
      <c r="I161" s="7"/>
      <c r="J161" s="54"/>
      <c r="K161" s="54"/>
      <c r="L161" s="7"/>
      <c r="M161" s="7"/>
      <c r="N161" s="7"/>
      <c r="O161" s="7"/>
      <c r="P161" s="7"/>
      <c r="Q161" s="7"/>
      <c r="R161" s="7"/>
      <c r="S161" s="7"/>
      <c r="T161" s="7"/>
    </row>
    <row r="162">
      <c r="B162" s="7"/>
      <c r="C162" s="54"/>
      <c r="D162" s="7"/>
      <c r="E162" s="7"/>
      <c r="F162" s="7"/>
      <c r="G162" s="7"/>
      <c r="H162" s="7"/>
      <c r="I162" s="7"/>
      <c r="J162" s="54"/>
      <c r="K162" s="54"/>
      <c r="L162" s="7"/>
      <c r="M162" s="7"/>
      <c r="N162" s="7"/>
      <c r="O162" s="7"/>
      <c r="P162" s="7"/>
      <c r="Q162" s="7"/>
      <c r="R162" s="7"/>
      <c r="S162" s="7"/>
      <c r="T162" s="7"/>
    </row>
    <row r="163">
      <c r="B163" s="7"/>
      <c r="C163" s="54"/>
      <c r="D163" s="7"/>
      <c r="E163" s="7"/>
      <c r="F163" s="7"/>
      <c r="G163" s="7"/>
      <c r="H163" s="7"/>
      <c r="I163" s="7"/>
      <c r="J163" s="54"/>
      <c r="K163" s="54"/>
      <c r="L163" s="7"/>
      <c r="M163" s="7"/>
      <c r="N163" s="7"/>
      <c r="O163" s="7"/>
      <c r="P163" s="7"/>
      <c r="Q163" s="7"/>
      <c r="R163" s="7"/>
      <c r="S163" s="7"/>
      <c r="T163" s="7"/>
    </row>
    <row r="164">
      <c r="B164" s="7"/>
      <c r="C164" s="54"/>
      <c r="D164" s="7"/>
      <c r="E164" s="7"/>
      <c r="F164" s="7"/>
      <c r="G164" s="7"/>
      <c r="H164" s="7"/>
      <c r="I164" s="7"/>
      <c r="J164" s="54"/>
      <c r="K164" s="54"/>
      <c r="L164" s="7"/>
      <c r="M164" s="7"/>
      <c r="N164" s="7"/>
      <c r="O164" s="7"/>
      <c r="P164" s="7"/>
      <c r="Q164" s="7"/>
      <c r="R164" s="7"/>
      <c r="S164" s="7"/>
      <c r="T164" s="7"/>
    </row>
    <row r="165">
      <c r="B165" s="7"/>
      <c r="C165" s="54"/>
      <c r="D165" s="7"/>
      <c r="E165" s="7"/>
      <c r="F165" s="7"/>
      <c r="G165" s="7"/>
      <c r="H165" s="7"/>
      <c r="I165" s="7"/>
      <c r="J165" s="54"/>
      <c r="K165" s="54"/>
      <c r="L165" s="7"/>
      <c r="M165" s="7"/>
      <c r="N165" s="7"/>
      <c r="O165" s="7"/>
      <c r="P165" s="7"/>
      <c r="Q165" s="7"/>
      <c r="R165" s="7"/>
      <c r="S165" s="7"/>
      <c r="T165" s="7"/>
    </row>
    <row r="166">
      <c r="B166" s="7"/>
      <c r="C166" s="54"/>
      <c r="D166" s="7"/>
      <c r="E166" s="7"/>
      <c r="F166" s="7"/>
      <c r="G166" s="7"/>
      <c r="H166" s="7"/>
      <c r="I166" s="7"/>
      <c r="J166" s="54"/>
      <c r="K166" s="54"/>
      <c r="L166" s="7"/>
      <c r="M166" s="7"/>
      <c r="N166" s="7"/>
      <c r="O166" s="7"/>
      <c r="P166" s="7"/>
      <c r="Q166" s="7"/>
      <c r="R166" s="7"/>
      <c r="S166" s="7"/>
      <c r="T166" s="7"/>
    </row>
    <row r="167">
      <c r="B167" s="7"/>
      <c r="C167" s="54"/>
      <c r="D167" s="7"/>
      <c r="E167" s="7"/>
      <c r="F167" s="7"/>
      <c r="G167" s="7"/>
      <c r="H167" s="7"/>
      <c r="I167" s="7"/>
      <c r="J167" s="54"/>
      <c r="K167" s="54"/>
      <c r="L167" s="7"/>
      <c r="M167" s="7"/>
      <c r="N167" s="7"/>
      <c r="O167" s="7"/>
      <c r="P167" s="7"/>
      <c r="Q167" s="7"/>
      <c r="R167" s="7"/>
      <c r="S167" s="7"/>
      <c r="T167" s="7"/>
    </row>
    <row r="168">
      <c r="B168" s="7"/>
      <c r="C168" s="54"/>
      <c r="D168" s="7"/>
      <c r="E168" s="7"/>
      <c r="F168" s="7"/>
      <c r="G168" s="7"/>
      <c r="H168" s="7"/>
      <c r="I168" s="7"/>
      <c r="J168" s="54"/>
      <c r="K168" s="54"/>
      <c r="L168" s="7"/>
      <c r="M168" s="7"/>
      <c r="N168" s="7"/>
      <c r="O168" s="7"/>
      <c r="P168" s="7"/>
      <c r="Q168" s="7"/>
      <c r="R168" s="7"/>
      <c r="S168" s="7"/>
      <c r="T168" s="7"/>
    </row>
    <row r="169">
      <c r="B169" s="7"/>
      <c r="C169" s="54"/>
      <c r="D169" s="7"/>
      <c r="E169" s="7"/>
      <c r="F169" s="7"/>
      <c r="G169" s="7"/>
      <c r="H169" s="7"/>
      <c r="I169" s="7"/>
      <c r="J169" s="54"/>
      <c r="K169" s="54"/>
      <c r="L169" s="7"/>
      <c r="M169" s="7"/>
      <c r="N169" s="7"/>
      <c r="O169" s="7"/>
      <c r="P169" s="7"/>
      <c r="Q169" s="7"/>
      <c r="R169" s="7"/>
      <c r="S169" s="7"/>
      <c r="T169" s="7"/>
    </row>
    <row r="170">
      <c r="B170" s="7"/>
      <c r="C170" s="54"/>
      <c r="D170" s="7"/>
      <c r="E170" s="7"/>
      <c r="F170" s="7"/>
      <c r="G170" s="7"/>
      <c r="H170" s="7"/>
      <c r="I170" s="7"/>
      <c r="J170" s="54"/>
      <c r="K170" s="54"/>
      <c r="L170" s="7"/>
      <c r="M170" s="7"/>
      <c r="N170" s="7"/>
      <c r="O170" s="7"/>
      <c r="P170" s="7"/>
      <c r="Q170" s="7"/>
      <c r="R170" s="7"/>
      <c r="S170" s="7"/>
      <c r="T170" s="7"/>
    </row>
    <row r="171">
      <c r="B171" s="7"/>
      <c r="C171" s="54"/>
      <c r="D171" s="7"/>
      <c r="E171" s="7"/>
      <c r="F171" s="7"/>
      <c r="G171" s="7"/>
      <c r="H171" s="7"/>
      <c r="I171" s="7"/>
      <c r="J171" s="54"/>
      <c r="K171" s="54"/>
      <c r="L171" s="7"/>
      <c r="M171" s="7"/>
      <c r="N171" s="7"/>
      <c r="O171" s="7"/>
      <c r="P171" s="7"/>
      <c r="Q171" s="7"/>
      <c r="R171" s="7"/>
      <c r="S171" s="7"/>
      <c r="T171" s="7"/>
    </row>
    <row r="172">
      <c r="B172" s="7"/>
      <c r="C172" s="54"/>
      <c r="D172" s="7"/>
      <c r="E172" s="7"/>
      <c r="F172" s="7"/>
      <c r="G172" s="7"/>
      <c r="H172" s="7"/>
      <c r="I172" s="7"/>
      <c r="J172" s="54"/>
      <c r="K172" s="54"/>
      <c r="L172" s="7"/>
      <c r="M172" s="7"/>
      <c r="N172" s="7"/>
      <c r="O172" s="7"/>
      <c r="P172" s="7"/>
      <c r="Q172" s="7"/>
      <c r="R172" s="7"/>
      <c r="S172" s="7"/>
      <c r="T172" s="7"/>
    </row>
    <row r="173">
      <c r="B173" s="7"/>
      <c r="C173" s="54"/>
      <c r="D173" s="7"/>
      <c r="E173" s="7"/>
      <c r="F173" s="7"/>
      <c r="G173" s="7"/>
      <c r="H173" s="7"/>
      <c r="I173" s="7"/>
      <c r="J173" s="54"/>
      <c r="K173" s="54"/>
      <c r="L173" s="7"/>
      <c r="M173" s="7"/>
      <c r="N173" s="7"/>
      <c r="O173" s="7"/>
      <c r="P173" s="7"/>
      <c r="Q173" s="7"/>
      <c r="R173" s="7"/>
      <c r="S173" s="7"/>
      <c r="T173" s="7"/>
    </row>
    <row r="174">
      <c r="B174" s="7"/>
      <c r="C174" s="54"/>
      <c r="D174" s="7"/>
      <c r="E174" s="7"/>
      <c r="F174" s="7"/>
      <c r="G174" s="7"/>
      <c r="H174" s="7"/>
      <c r="I174" s="7"/>
      <c r="J174" s="54"/>
      <c r="K174" s="54"/>
      <c r="L174" s="7"/>
      <c r="M174" s="7"/>
      <c r="N174" s="7"/>
      <c r="O174" s="7"/>
      <c r="P174" s="7"/>
      <c r="Q174" s="7"/>
      <c r="R174" s="7"/>
      <c r="S174" s="7"/>
      <c r="T174" s="7"/>
    </row>
    <row r="175">
      <c r="B175" s="7"/>
      <c r="C175" s="54"/>
      <c r="D175" s="7"/>
      <c r="E175" s="7"/>
      <c r="F175" s="7"/>
      <c r="G175" s="7"/>
      <c r="H175" s="7"/>
      <c r="I175" s="7"/>
      <c r="J175" s="54"/>
      <c r="K175" s="54"/>
      <c r="L175" s="7"/>
      <c r="M175" s="7"/>
      <c r="N175" s="7"/>
      <c r="O175" s="7"/>
      <c r="P175" s="7"/>
      <c r="Q175" s="7"/>
      <c r="R175" s="7"/>
      <c r="S175" s="7"/>
      <c r="T175" s="7"/>
    </row>
    <row r="176">
      <c r="B176" s="7"/>
      <c r="C176" s="54"/>
      <c r="D176" s="7"/>
      <c r="E176" s="7"/>
      <c r="F176" s="7"/>
      <c r="G176" s="7"/>
      <c r="H176" s="7"/>
      <c r="I176" s="7"/>
      <c r="J176" s="54"/>
      <c r="K176" s="54"/>
      <c r="L176" s="7"/>
      <c r="M176" s="7"/>
      <c r="N176" s="7"/>
      <c r="O176" s="7"/>
      <c r="P176" s="7"/>
      <c r="Q176" s="7"/>
      <c r="R176" s="7"/>
      <c r="S176" s="7"/>
      <c r="T176" s="7"/>
    </row>
    <row r="177">
      <c r="B177" s="7"/>
      <c r="C177" s="54"/>
      <c r="D177" s="7"/>
      <c r="E177" s="7"/>
      <c r="F177" s="7"/>
      <c r="G177" s="7"/>
      <c r="H177" s="7"/>
      <c r="I177" s="7"/>
      <c r="J177" s="54"/>
      <c r="K177" s="54"/>
      <c r="L177" s="7"/>
      <c r="M177" s="7"/>
      <c r="N177" s="7"/>
      <c r="O177" s="7"/>
      <c r="P177" s="7"/>
      <c r="Q177" s="7"/>
      <c r="R177" s="7"/>
      <c r="S177" s="7"/>
      <c r="T177" s="7"/>
    </row>
    <row r="178">
      <c r="B178" s="7"/>
      <c r="C178" s="54"/>
      <c r="D178" s="7"/>
      <c r="E178" s="7"/>
      <c r="F178" s="7"/>
      <c r="G178" s="7"/>
      <c r="H178" s="7"/>
      <c r="I178" s="7"/>
      <c r="J178" s="54"/>
      <c r="K178" s="54"/>
      <c r="L178" s="7"/>
      <c r="M178" s="7"/>
      <c r="N178" s="7"/>
      <c r="O178" s="7"/>
      <c r="P178" s="7"/>
      <c r="Q178" s="7"/>
      <c r="R178" s="7"/>
      <c r="S178" s="7"/>
      <c r="T178" s="7"/>
    </row>
    <row r="179">
      <c r="B179" s="7"/>
      <c r="C179" s="54"/>
      <c r="D179" s="7"/>
      <c r="E179" s="7"/>
      <c r="F179" s="7"/>
      <c r="G179" s="7"/>
      <c r="H179" s="7"/>
      <c r="I179" s="7"/>
      <c r="J179" s="54"/>
      <c r="K179" s="54"/>
      <c r="L179" s="7"/>
      <c r="M179" s="7"/>
      <c r="N179" s="7"/>
      <c r="O179" s="7"/>
      <c r="P179" s="7"/>
      <c r="Q179" s="7"/>
      <c r="R179" s="7"/>
      <c r="S179" s="7"/>
      <c r="T179" s="7"/>
    </row>
    <row r="180">
      <c r="B180" s="7"/>
      <c r="C180" s="54"/>
      <c r="D180" s="7"/>
      <c r="E180" s="7"/>
      <c r="F180" s="7"/>
      <c r="G180" s="7"/>
      <c r="H180" s="7"/>
      <c r="I180" s="7"/>
      <c r="J180" s="54"/>
      <c r="K180" s="54"/>
      <c r="L180" s="7"/>
      <c r="M180" s="7"/>
      <c r="N180" s="7"/>
      <c r="O180" s="7"/>
      <c r="P180" s="7"/>
      <c r="Q180" s="7"/>
      <c r="R180" s="7"/>
      <c r="S180" s="7"/>
      <c r="T180" s="7"/>
    </row>
    <row r="181">
      <c r="B181" s="7"/>
      <c r="C181" s="54"/>
      <c r="D181" s="7"/>
      <c r="E181" s="7"/>
      <c r="F181" s="7"/>
      <c r="G181" s="7"/>
      <c r="H181" s="7"/>
      <c r="I181" s="7"/>
      <c r="J181" s="54"/>
      <c r="K181" s="54"/>
      <c r="L181" s="7"/>
      <c r="M181" s="7"/>
      <c r="N181" s="7"/>
      <c r="O181" s="7"/>
      <c r="P181" s="7"/>
      <c r="Q181" s="7"/>
      <c r="R181" s="7"/>
      <c r="S181" s="7"/>
      <c r="T181" s="7"/>
    </row>
    <row r="182">
      <c r="B182" s="7"/>
      <c r="C182" s="54"/>
      <c r="D182" s="7"/>
      <c r="E182" s="7"/>
      <c r="F182" s="7"/>
      <c r="G182" s="7"/>
      <c r="H182" s="7"/>
      <c r="I182" s="7"/>
      <c r="J182" s="54"/>
      <c r="K182" s="54"/>
      <c r="L182" s="7"/>
      <c r="M182" s="7"/>
      <c r="N182" s="7"/>
      <c r="O182" s="7"/>
      <c r="P182" s="7"/>
      <c r="Q182" s="7"/>
      <c r="R182" s="7"/>
      <c r="S182" s="7"/>
      <c r="T182" s="7"/>
    </row>
    <row r="183">
      <c r="B183" s="7"/>
      <c r="C183" s="54"/>
      <c r="D183" s="7"/>
      <c r="E183" s="7"/>
      <c r="F183" s="7"/>
      <c r="G183" s="7"/>
      <c r="H183" s="7"/>
      <c r="I183" s="7"/>
      <c r="J183" s="54"/>
      <c r="K183" s="54"/>
      <c r="L183" s="7"/>
      <c r="M183" s="7"/>
      <c r="N183" s="7"/>
      <c r="O183" s="7"/>
      <c r="P183" s="7"/>
      <c r="Q183" s="7"/>
      <c r="R183" s="7"/>
      <c r="S183" s="7"/>
      <c r="T183" s="7"/>
    </row>
    <row r="184">
      <c r="B184" s="7"/>
      <c r="C184" s="54"/>
      <c r="D184" s="7"/>
      <c r="E184" s="7"/>
      <c r="F184" s="7"/>
      <c r="G184" s="7"/>
      <c r="H184" s="7"/>
      <c r="I184" s="7"/>
      <c r="J184" s="54"/>
      <c r="K184" s="54"/>
      <c r="L184" s="7"/>
      <c r="M184" s="7"/>
      <c r="N184" s="7"/>
      <c r="O184" s="7"/>
      <c r="P184" s="7"/>
      <c r="Q184" s="7"/>
      <c r="R184" s="7"/>
      <c r="S184" s="7"/>
      <c r="T184" s="7"/>
    </row>
    <row r="185">
      <c r="B185" s="7"/>
      <c r="C185" s="54"/>
      <c r="D185" s="7"/>
      <c r="E185" s="7"/>
      <c r="F185" s="7"/>
      <c r="G185" s="7"/>
      <c r="H185" s="7"/>
      <c r="I185" s="7"/>
      <c r="J185" s="54"/>
      <c r="K185" s="54"/>
      <c r="L185" s="7"/>
      <c r="M185" s="7"/>
      <c r="N185" s="7"/>
      <c r="O185" s="7"/>
      <c r="P185" s="7"/>
      <c r="Q185" s="7"/>
      <c r="R185" s="7"/>
      <c r="S185" s="7"/>
      <c r="T185" s="7"/>
    </row>
    <row r="186">
      <c r="B186" s="7"/>
      <c r="C186" s="54"/>
      <c r="D186" s="7"/>
      <c r="E186" s="7"/>
      <c r="F186" s="7"/>
      <c r="G186" s="7"/>
      <c r="H186" s="7"/>
      <c r="I186" s="7"/>
      <c r="J186" s="54"/>
      <c r="K186" s="54"/>
      <c r="L186" s="7"/>
      <c r="M186" s="7"/>
      <c r="N186" s="7"/>
      <c r="O186" s="7"/>
      <c r="P186" s="7"/>
      <c r="Q186" s="7"/>
      <c r="R186" s="7"/>
      <c r="S186" s="7"/>
      <c r="T186" s="7"/>
    </row>
    <row r="187">
      <c r="B187" s="7"/>
      <c r="C187" s="54"/>
      <c r="D187" s="7"/>
      <c r="E187" s="7"/>
      <c r="F187" s="7"/>
      <c r="G187" s="7"/>
      <c r="H187" s="7"/>
      <c r="I187" s="7"/>
      <c r="J187" s="54"/>
      <c r="K187" s="54"/>
      <c r="L187" s="7"/>
      <c r="M187" s="7"/>
      <c r="N187" s="7"/>
      <c r="O187" s="7"/>
      <c r="P187" s="7"/>
      <c r="Q187" s="7"/>
      <c r="R187" s="7"/>
      <c r="S187" s="7"/>
      <c r="T187" s="7"/>
    </row>
    <row r="188">
      <c r="B188" s="7"/>
      <c r="C188" s="54"/>
      <c r="D188" s="7"/>
      <c r="E188" s="7"/>
      <c r="F188" s="7"/>
      <c r="G188" s="7"/>
      <c r="H188" s="7"/>
      <c r="I188" s="7"/>
      <c r="J188" s="54"/>
      <c r="K188" s="54"/>
      <c r="L188" s="7"/>
      <c r="M188" s="7"/>
      <c r="N188" s="7"/>
      <c r="O188" s="7"/>
      <c r="P188" s="7"/>
      <c r="Q188" s="7"/>
      <c r="R188" s="7"/>
      <c r="S188" s="7"/>
      <c r="T188" s="7"/>
    </row>
    <row r="189">
      <c r="B189" s="7"/>
      <c r="C189" s="54"/>
      <c r="D189" s="7"/>
      <c r="E189" s="7"/>
      <c r="F189" s="7"/>
      <c r="G189" s="7"/>
      <c r="H189" s="7"/>
      <c r="I189" s="7"/>
      <c r="J189" s="54"/>
      <c r="K189" s="54"/>
      <c r="L189" s="7"/>
      <c r="M189" s="7"/>
      <c r="N189" s="7"/>
      <c r="O189" s="7"/>
      <c r="P189" s="7"/>
      <c r="Q189" s="7"/>
      <c r="R189" s="7"/>
      <c r="S189" s="7"/>
      <c r="T189" s="7"/>
    </row>
    <row r="190">
      <c r="B190" s="7"/>
      <c r="C190" s="54"/>
      <c r="D190" s="7"/>
      <c r="E190" s="7"/>
      <c r="F190" s="7"/>
      <c r="G190" s="7"/>
      <c r="H190" s="7"/>
      <c r="I190" s="7"/>
      <c r="J190" s="54"/>
      <c r="K190" s="54"/>
      <c r="L190" s="7"/>
      <c r="M190" s="7"/>
      <c r="N190" s="7"/>
      <c r="O190" s="7"/>
      <c r="P190" s="7"/>
      <c r="Q190" s="7"/>
      <c r="R190" s="7"/>
      <c r="S190" s="7"/>
      <c r="T190" s="7"/>
    </row>
    <row r="191">
      <c r="B191" s="7"/>
      <c r="C191" s="54"/>
      <c r="D191" s="7"/>
      <c r="E191" s="7"/>
      <c r="F191" s="7"/>
      <c r="G191" s="7"/>
      <c r="H191" s="7"/>
      <c r="I191" s="7"/>
      <c r="J191" s="54"/>
      <c r="K191" s="54"/>
      <c r="L191" s="7"/>
      <c r="M191" s="7"/>
      <c r="N191" s="7"/>
      <c r="O191" s="7"/>
      <c r="P191" s="7"/>
      <c r="Q191" s="7"/>
      <c r="R191" s="7"/>
      <c r="S191" s="7"/>
      <c r="T191" s="7"/>
    </row>
    <row r="192">
      <c r="B192" s="7"/>
      <c r="C192" s="54"/>
      <c r="D192" s="7"/>
      <c r="E192" s="7"/>
      <c r="F192" s="7"/>
      <c r="G192" s="7"/>
      <c r="H192" s="7"/>
      <c r="I192" s="7"/>
      <c r="J192" s="54"/>
      <c r="K192" s="54"/>
      <c r="L192" s="7"/>
      <c r="M192" s="7"/>
      <c r="N192" s="7"/>
      <c r="O192" s="7"/>
      <c r="P192" s="7"/>
      <c r="Q192" s="7"/>
      <c r="R192" s="7"/>
      <c r="S192" s="7"/>
      <c r="T192" s="7"/>
    </row>
    <row r="193">
      <c r="B193" s="7"/>
      <c r="C193" s="54"/>
      <c r="D193" s="7"/>
      <c r="E193" s="7"/>
      <c r="F193" s="7"/>
      <c r="G193" s="7"/>
      <c r="H193" s="7"/>
      <c r="I193" s="7"/>
      <c r="J193" s="54"/>
      <c r="K193" s="54"/>
      <c r="L193" s="7"/>
      <c r="M193" s="7"/>
      <c r="N193" s="7"/>
      <c r="O193" s="7"/>
      <c r="P193" s="7"/>
      <c r="Q193" s="7"/>
      <c r="R193" s="7"/>
      <c r="S193" s="7"/>
      <c r="T193" s="7"/>
    </row>
    <row r="194">
      <c r="B194" s="7"/>
      <c r="C194" s="54"/>
      <c r="D194" s="7"/>
      <c r="E194" s="7"/>
      <c r="F194" s="7"/>
      <c r="G194" s="7"/>
      <c r="H194" s="7"/>
      <c r="I194" s="7"/>
      <c r="J194" s="54"/>
      <c r="K194" s="54"/>
      <c r="L194" s="7"/>
      <c r="M194" s="7"/>
      <c r="N194" s="7"/>
      <c r="O194" s="7"/>
      <c r="P194" s="7"/>
      <c r="Q194" s="7"/>
      <c r="R194" s="7"/>
      <c r="S194" s="7"/>
      <c r="T194" s="7"/>
    </row>
    <row r="195">
      <c r="B195" s="7"/>
      <c r="C195" s="54"/>
      <c r="D195" s="7"/>
      <c r="E195" s="7"/>
      <c r="F195" s="7"/>
      <c r="G195" s="7"/>
      <c r="H195" s="7"/>
      <c r="I195" s="7"/>
      <c r="J195" s="54"/>
      <c r="K195" s="54"/>
      <c r="L195" s="7"/>
      <c r="M195" s="7"/>
      <c r="N195" s="7"/>
      <c r="O195" s="7"/>
      <c r="P195" s="7"/>
      <c r="Q195" s="7"/>
      <c r="R195" s="7"/>
      <c r="S195" s="7"/>
      <c r="T195" s="7"/>
    </row>
    <row r="196">
      <c r="B196" s="7"/>
      <c r="C196" s="54"/>
      <c r="D196" s="7"/>
      <c r="E196" s="7"/>
      <c r="F196" s="7"/>
      <c r="G196" s="7"/>
      <c r="H196" s="7"/>
      <c r="I196" s="7"/>
      <c r="J196" s="54"/>
      <c r="K196" s="54"/>
      <c r="L196" s="7"/>
      <c r="M196" s="7"/>
      <c r="N196" s="7"/>
      <c r="O196" s="7"/>
      <c r="P196" s="7"/>
      <c r="Q196" s="7"/>
      <c r="R196" s="7"/>
      <c r="S196" s="7"/>
      <c r="T196" s="7"/>
    </row>
    <row r="197">
      <c r="B197" s="7"/>
      <c r="C197" s="54"/>
      <c r="D197" s="7"/>
      <c r="E197" s="7"/>
      <c r="F197" s="7"/>
      <c r="G197" s="7"/>
      <c r="H197" s="7"/>
      <c r="I197" s="7"/>
      <c r="J197" s="54"/>
      <c r="K197" s="54"/>
      <c r="L197" s="7"/>
      <c r="M197" s="7"/>
      <c r="N197" s="7"/>
      <c r="O197" s="7"/>
      <c r="P197" s="7"/>
      <c r="Q197" s="7"/>
      <c r="R197" s="7"/>
      <c r="S197" s="7"/>
      <c r="T197" s="7"/>
    </row>
    <row r="198">
      <c r="B198" s="7"/>
      <c r="C198" s="54"/>
      <c r="D198" s="7"/>
      <c r="E198" s="7"/>
      <c r="F198" s="7"/>
      <c r="G198" s="7"/>
      <c r="H198" s="7"/>
      <c r="I198" s="7"/>
      <c r="J198" s="54"/>
      <c r="K198" s="54"/>
      <c r="L198" s="7"/>
      <c r="M198" s="7"/>
      <c r="N198" s="7"/>
      <c r="O198" s="7"/>
      <c r="P198" s="7"/>
      <c r="Q198" s="7"/>
      <c r="R198" s="7"/>
      <c r="S198" s="7"/>
      <c r="T198" s="7"/>
    </row>
    <row r="199">
      <c r="B199" s="7"/>
      <c r="C199" s="54"/>
      <c r="D199" s="7"/>
      <c r="E199" s="7"/>
      <c r="F199" s="7"/>
      <c r="G199" s="7"/>
      <c r="H199" s="7"/>
      <c r="I199" s="7"/>
      <c r="J199" s="54"/>
      <c r="K199" s="54"/>
      <c r="L199" s="7"/>
      <c r="M199" s="7"/>
      <c r="N199" s="7"/>
      <c r="O199" s="7"/>
      <c r="P199" s="7"/>
      <c r="Q199" s="7"/>
      <c r="R199" s="7"/>
      <c r="S199" s="7"/>
      <c r="T199" s="7"/>
    </row>
    <row r="200">
      <c r="B200" s="7"/>
      <c r="C200" s="54"/>
      <c r="D200" s="7"/>
      <c r="E200" s="7"/>
      <c r="F200" s="7"/>
      <c r="G200" s="7"/>
      <c r="H200" s="7"/>
      <c r="I200" s="7"/>
      <c r="J200" s="54"/>
      <c r="K200" s="54"/>
      <c r="L200" s="7"/>
      <c r="M200" s="7"/>
      <c r="N200" s="7"/>
      <c r="O200" s="7"/>
      <c r="P200" s="7"/>
      <c r="Q200" s="7"/>
      <c r="R200" s="7"/>
      <c r="S200" s="7"/>
      <c r="T200" s="7"/>
    </row>
    <row r="201">
      <c r="B201" s="7"/>
      <c r="C201" s="54"/>
      <c r="D201" s="7"/>
      <c r="E201" s="7"/>
      <c r="F201" s="7"/>
      <c r="G201" s="7"/>
      <c r="H201" s="7"/>
      <c r="I201" s="7"/>
      <c r="J201" s="54"/>
      <c r="K201" s="54"/>
      <c r="L201" s="7"/>
      <c r="M201" s="7"/>
      <c r="N201" s="7"/>
      <c r="O201" s="7"/>
      <c r="P201" s="7"/>
      <c r="Q201" s="7"/>
      <c r="R201" s="7"/>
      <c r="S201" s="7"/>
      <c r="T201" s="7"/>
    </row>
    <row r="202">
      <c r="B202" s="7"/>
      <c r="C202" s="54"/>
      <c r="D202" s="7"/>
      <c r="E202" s="7"/>
      <c r="F202" s="7"/>
      <c r="G202" s="7"/>
      <c r="H202" s="7"/>
      <c r="I202" s="7"/>
      <c r="J202" s="54"/>
      <c r="K202" s="54"/>
      <c r="L202" s="7"/>
      <c r="M202" s="7"/>
      <c r="N202" s="7"/>
      <c r="O202" s="7"/>
      <c r="P202" s="7"/>
      <c r="Q202" s="7"/>
      <c r="R202" s="7"/>
      <c r="S202" s="7"/>
      <c r="T202" s="7"/>
    </row>
    <row r="203">
      <c r="B203" s="7"/>
      <c r="C203" s="54"/>
      <c r="D203" s="7"/>
      <c r="E203" s="7"/>
      <c r="F203" s="7"/>
      <c r="G203" s="7"/>
      <c r="H203" s="7"/>
      <c r="I203" s="7"/>
      <c r="J203" s="54"/>
      <c r="K203" s="54"/>
      <c r="L203" s="7"/>
      <c r="M203" s="7"/>
      <c r="N203" s="7"/>
      <c r="O203" s="7"/>
      <c r="P203" s="7"/>
      <c r="Q203" s="7"/>
      <c r="R203" s="7"/>
      <c r="S203" s="7"/>
      <c r="T203" s="7"/>
    </row>
    <row r="204">
      <c r="B204" s="7"/>
      <c r="C204" s="54"/>
      <c r="D204" s="7"/>
      <c r="E204" s="7"/>
      <c r="F204" s="7"/>
      <c r="G204" s="7"/>
      <c r="H204" s="7"/>
      <c r="I204" s="7"/>
      <c r="J204" s="54"/>
      <c r="K204" s="54"/>
      <c r="L204" s="7"/>
      <c r="M204" s="7"/>
      <c r="N204" s="7"/>
      <c r="O204" s="7"/>
      <c r="P204" s="7"/>
      <c r="Q204" s="7"/>
      <c r="R204" s="7"/>
      <c r="S204" s="7"/>
      <c r="T204" s="7"/>
    </row>
    <row r="205">
      <c r="B205" s="7"/>
      <c r="C205" s="54"/>
      <c r="D205" s="7"/>
      <c r="E205" s="7"/>
      <c r="F205" s="7"/>
      <c r="G205" s="7"/>
      <c r="H205" s="7"/>
      <c r="I205" s="7"/>
      <c r="J205" s="54"/>
      <c r="K205" s="54"/>
      <c r="L205" s="7"/>
      <c r="M205" s="7"/>
      <c r="N205" s="7"/>
      <c r="O205" s="7"/>
      <c r="P205" s="7"/>
      <c r="Q205" s="7"/>
      <c r="R205" s="7"/>
      <c r="S205" s="7"/>
      <c r="T205" s="7"/>
    </row>
    <row r="206">
      <c r="B206" s="7"/>
      <c r="C206" s="54"/>
      <c r="D206" s="7"/>
      <c r="E206" s="7"/>
      <c r="F206" s="7"/>
      <c r="G206" s="7"/>
      <c r="H206" s="7"/>
      <c r="I206" s="7"/>
      <c r="J206" s="54"/>
      <c r="K206" s="54"/>
      <c r="L206" s="7"/>
      <c r="M206" s="7"/>
      <c r="N206" s="7"/>
      <c r="O206" s="7"/>
      <c r="P206" s="7"/>
      <c r="Q206" s="7"/>
      <c r="R206" s="7"/>
      <c r="S206" s="7"/>
      <c r="T206" s="7"/>
    </row>
    <row r="207">
      <c r="B207" s="7"/>
      <c r="C207" s="54"/>
      <c r="D207" s="7"/>
      <c r="E207" s="7"/>
      <c r="F207" s="7"/>
      <c r="G207" s="7"/>
      <c r="H207" s="7"/>
      <c r="I207" s="7"/>
      <c r="J207" s="54"/>
      <c r="K207" s="54"/>
      <c r="L207" s="7"/>
      <c r="M207" s="7"/>
      <c r="N207" s="7"/>
      <c r="O207" s="7"/>
      <c r="P207" s="7"/>
      <c r="Q207" s="7"/>
      <c r="R207" s="7"/>
      <c r="S207" s="7"/>
      <c r="T207" s="7"/>
    </row>
    <row r="208">
      <c r="B208" s="7"/>
      <c r="C208" s="54"/>
      <c r="D208" s="7"/>
      <c r="E208" s="7"/>
      <c r="F208" s="7"/>
      <c r="G208" s="7"/>
      <c r="H208" s="7"/>
      <c r="I208" s="7"/>
      <c r="J208" s="54"/>
      <c r="K208" s="54"/>
      <c r="L208" s="7"/>
      <c r="M208" s="7"/>
      <c r="N208" s="7"/>
      <c r="O208" s="7"/>
      <c r="P208" s="7"/>
      <c r="Q208" s="7"/>
      <c r="R208" s="7"/>
      <c r="S208" s="7"/>
      <c r="T208" s="7"/>
    </row>
    <row r="209">
      <c r="B209" s="7"/>
      <c r="C209" s="54"/>
      <c r="D209" s="7"/>
      <c r="E209" s="7"/>
      <c r="F209" s="7"/>
      <c r="G209" s="7"/>
      <c r="H209" s="7"/>
      <c r="I209" s="7"/>
      <c r="J209" s="54"/>
      <c r="K209" s="54"/>
      <c r="L209" s="7"/>
      <c r="M209" s="7"/>
      <c r="N209" s="7"/>
      <c r="O209" s="7"/>
      <c r="P209" s="7"/>
      <c r="Q209" s="7"/>
      <c r="R209" s="7"/>
      <c r="S209" s="7"/>
      <c r="T209" s="7"/>
    </row>
    <row r="210">
      <c r="B210" s="7"/>
      <c r="C210" s="54"/>
      <c r="D210" s="7"/>
      <c r="E210" s="7"/>
      <c r="F210" s="7"/>
      <c r="G210" s="7"/>
      <c r="H210" s="7"/>
      <c r="I210" s="7"/>
      <c r="J210" s="54"/>
      <c r="K210" s="54"/>
      <c r="L210" s="7"/>
      <c r="M210" s="7"/>
      <c r="N210" s="7"/>
      <c r="O210" s="7"/>
      <c r="P210" s="7"/>
      <c r="Q210" s="7"/>
      <c r="R210" s="7"/>
      <c r="S210" s="7"/>
      <c r="T210" s="7"/>
    </row>
    <row r="211">
      <c r="B211" s="7"/>
      <c r="C211" s="54"/>
      <c r="D211" s="7"/>
      <c r="E211" s="7"/>
      <c r="F211" s="7"/>
      <c r="G211" s="7"/>
      <c r="H211" s="7"/>
      <c r="I211" s="7"/>
      <c r="J211" s="54"/>
      <c r="K211" s="54"/>
      <c r="L211" s="7"/>
      <c r="M211" s="7"/>
      <c r="N211" s="7"/>
      <c r="O211" s="7"/>
      <c r="P211" s="7"/>
      <c r="Q211" s="7"/>
      <c r="R211" s="7"/>
      <c r="S211" s="7"/>
      <c r="T211" s="7"/>
    </row>
    <row r="212">
      <c r="B212" s="7"/>
      <c r="C212" s="54"/>
      <c r="D212" s="7"/>
      <c r="E212" s="7"/>
      <c r="F212" s="7"/>
      <c r="G212" s="7"/>
      <c r="H212" s="7"/>
      <c r="I212" s="7"/>
      <c r="J212" s="54"/>
      <c r="K212" s="54"/>
      <c r="L212" s="7"/>
      <c r="M212" s="7"/>
      <c r="N212" s="7"/>
      <c r="O212" s="7"/>
      <c r="P212" s="7"/>
      <c r="Q212" s="7"/>
      <c r="R212" s="7"/>
      <c r="S212" s="7"/>
      <c r="T212" s="7"/>
    </row>
    <row r="213">
      <c r="B213" s="7"/>
      <c r="C213" s="54"/>
      <c r="D213" s="7"/>
      <c r="E213" s="7"/>
      <c r="F213" s="7"/>
      <c r="G213" s="7"/>
      <c r="H213" s="7"/>
      <c r="I213" s="7"/>
      <c r="J213" s="54"/>
      <c r="K213" s="54"/>
      <c r="L213" s="7"/>
      <c r="M213" s="7"/>
      <c r="N213" s="7"/>
      <c r="O213" s="7"/>
      <c r="P213" s="7"/>
      <c r="Q213" s="7"/>
      <c r="R213" s="7"/>
      <c r="S213" s="7"/>
      <c r="T213" s="7"/>
    </row>
    <row r="214">
      <c r="B214" s="7"/>
      <c r="C214" s="54"/>
      <c r="D214" s="7"/>
      <c r="E214" s="7"/>
      <c r="F214" s="7"/>
      <c r="G214" s="7"/>
      <c r="H214" s="7"/>
      <c r="I214" s="7"/>
      <c r="J214" s="54"/>
      <c r="K214" s="54"/>
      <c r="L214" s="7"/>
      <c r="M214" s="7"/>
      <c r="N214" s="7"/>
      <c r="O214" s="7"/>
      <c r="P214" s="7"/>
      <c r="Q214" s="7"/>
      <c r="R214" s="7"/>
      <c r="S214" s="7"/>
      <c r="T214" s="7"/>
    </row>
    <row r="215">
      <c r="B215" s="7"/>
      <c r="C215" s="54"/>
      <c r="D215" s="7"/>
      <c r="E215" s="7"/>
      <c r="F215" s="7"/>
      <c r="G215" s="7"/>
      <c r="H215" s="7"/>
      <c r="I215" s="7"/>
      <c r="J215" s="54"/>
      <c r="K215" s="54"/>
      <c r="L215" s="7"/>
      <c r="M215" s="7"/>
      <c r="N215" s="7"/>
      <c r="O215" s="7"/>
      <c r="P215" s="7"/>
      <c r="Q215" s="7"/>
      <c r="R215" s="7"/>
      <c r="S215" s="7"/>
      <c r="T215" s="7"/>
    </row>
    <row r="216">
      <c r="B216" s="7"/>
      <c r="C216" s="54"/>
      <c r="D216" s="7"/>
      <c r="E216" s="7"/>
      <c r="F216" s="7"/>
      <c r="G216" s="7"/>
      <c r="H216" s="7"/>
      <c r="I216" s="7"/>
      <c r="J216" s="54"/>
      <c r="K216" s="54"/>
      <c r="L216" s="7"/>
      <c r="M216" s="7"/>
      <c r="N216" s="7"/>
      <c r="O216" s="7"/>
      <c r="P216" s="7"/>
      <c r="Q216" s="7"/>
      <c r="R216" s="7"/>
      <c r="S216" s="7"/>
      <c r="T216" s="7"/>
    </row>
    <row r="217">
      <c r="B217" s="7"/>
      <c r="C217" s="54"/>
      <c r="D217" s="7"/>
      <c r="E217" s="7"/>
      <c r="F217" s="7"/>
      <c r="G217" s="7"/>
      <c r="H217" s="7"/>
      <c r="I217" s="7"/>
      <c r="J217" s="54"/>
      <c r="K217" s="54"/>
      <c r="L217" s="7"/>
      <c r="M217" s="7"/>
      <c r="N217" s="7"/>
      <c r="O217" s="7"/>
      <c r="P217" s="7"/>
      <c r="Q217" s="7"/>
      <c r="R217" s="7"/>
      <c r="S217" s="7"/>
      <c r="T217" s="7"/>
    </row>
    <row r="218">
      <c r="B218" s="7"/>
      <c r="C218" s="54"/>
      <c r="D218" s="7"/>
      <c r="E218" s="7"/>
      <c r="F218" s="7"/>
      <c r="G218" s="7"/>
      <c r="H218" s="7"/>
      <c r="I218" s="7"/>
      <c r="J218" s="54"/>
      <c r="K218" s="54"/>
      <c r="L218" s="7"/>
      <c r="M218" s="7"/>
      <c r="N218" s="7"/>
      <c r="O218" s="7"/>
      <c r="P218" s="7"/>
      <c r="Q218" s="7"/>
      <c r="R218" s="7"/>
      <c r="S218" s="7"/>
      <c r="T218" s="7"/>
    </row>
    <row r="219">
      <c r="B219" s="7"/>
      <c r="C219" s="54"/>
      <c r="D219" s="7"/>
      <c r="E219" s="7"/>
      <c r="F219" s="7"/>
      <c r="G219" s="7"/>
      <c r="H219" s="7"/>
      <c r="I219" s="7"/>
      <c r="J219" s="54"/>
      <c r="K219" s="54"/>
      <c r="L219" s="7"/>
      <c r="M219" s="7"/>
      <c r="N219" s="7"/>
      <c r="O219" s="7"/>
      <c r="P219" s="7"/>
      <c r="Q219" s="7"/>
      <c r="R219" s="7"/>
      <c r="S219" s="7"/>
      <c r="T219" s="7"/>
    </row>
    <row r="220">
      <c r="B220" s="7"/>
      <c r="C220" s="54"/>
      <c r="D220" s="7"/>
      <c r="E220" s="7"/>
      <c r="F220" s="7"/>
      <c r="G220" s="7"/>
      <c r="H220" s="7"/>
      <c r="I220" s="7"/>
      <c r="J220" s="54"/>
      <c r="K220" s="54"/>
      <c r="L220" s="7"/>
      <c r="M220" s="7"/>
      <c r="N220" s="7"/>
      <c r="O220" s="7"/>
      <c r="P220" s="7"/>
      <c r="Q220" s="7"/>
      <c r="R220" s="7"/>
      <c r="S220" s="7"/>
      <c r="T220" s="7"/>
    </row>
    <row r="221">
      <c r="B221" s="7"/>
      <c r="C221" s="54"/>
      <c r="D221" s="7"/>
      <c r="E221" s="7"/>
      <c r="F221" s="7"/>
      <c r="G221" s="7"/>
      <c r="H221" s="7"/>
      <c r="I221" s="7"/>
      <c r="J221" s="54"/>
      <c r="K221" s="54"/>
      <c r="L221" s="7"/>
      <c r="M221" s="7"/>
      <c r="N221" s="7"/>
      <c r="O221" s="7"/>
      <c r="P221" s="7"/>
      <c r="Q221" s="7"/>
      <c r="R221" s="7"/>
      <c r="S221" s="7"/>
      <c r="T221" s="7"/>
    </row>
    <row r="222">
      <c r="B222" s="7"/>
      <c r="C222" s="54"/>
      <c r="D222" s="7"/>
      <c r="E222" s="7"/>
      <c r="F222" s="7"/>
      <c r="G222" s="7"/>
      <c r="H222" s="7"/>
      <c r="I222" s="7"/>
      <c r="J222" s="54"/>
      <c r="K222" s="54"/>
      <c r="L222" s="7"/>
      <c r="M222" s="7"/>
      <c r="N222" s="7"/>
      <c r="O222" s="7"/>
      <c r="P222" s="7"/>
      <c r="Q222" s="7"/>
      <c r="R222" s="7"/>
      <c r="S222" s="7"/>
      <c r="T222" s="7"/>
    </row>
    <row r="223">
      <c r="B223" s="7"/>
      <c r="C223" s="54"/>
      <c r="D223" s="7"/>
      <c r="E223" s="7"/>
      <c r="F223" s="7"/>
      <c r="G223" s="7"/>
      <c r="H223" s="7"/>
      <c r="I223" s="7"/>
      <c r="J223" s="54"/>
      <c r="K223" s="54"/>
      <c r="L223" s="7"/>
      <c r="M223" s="7"/>
      <c r="N223" s="7"/>
      <c r="O223" s="7"/>
      <c r="P223" s="7"/>
      <c r="Q223" s="7"/>
      <c r="R223" s="7"/>
      <c r="S223" s="7"/>
      <c r="T223" s="7"/>
    </row>
    <row r="224">
      <c r="B224" s="7"/>
      <c r="C224" s="54"/>
      <c r="D224" s="7"/>
      <c r="E224" s="7"/>
      <c r="F224" s="7"/>
      <c r="G224" s="7"/>
      <c r="H224" s="7"/>
      <c r="I224" s="7"/>
      <c r="J224" s="54"/>
      <c r="K224" s="54"/>
      <c r="L224" s="7"/>
      <c r="M224" s="7"/>
      <c r="N224" s="7"/>
      <c r="O224" s="7"/>
      <c r="P224" s="7"/>
      <c r="Q224" s="7"/>
      <c r="R224" s="7"/>
      <c r="S224" s="7"/>
      <c r="T224" s="7"/>
    </row>
    <row r="225">
      <c r="B225" s="7"/>
      <c r="C225" s="54"/>
      <c r="D225" s="7"/>
      <c r="E225" s="7"/>
      <c r="F225" s="7"/>
      <c r="G225" s="7"/>
      <c r="H225" s="7"/>
      <c r="I225" s="7"/>
      <c r="J225" s="54"/>
      <c r="K225" s="54"/>
      <c r="L225" s="7"/>
      <c r="M225" s="7"/>
      <c r="N225" s="7"/>
      <c r="O225" s="7"/>
      <c r="P225" s="7"/>
      <c r="Q225" s="7"/>
      <c r="R225" s="7"/>
      <c r="S225" s="7"/>
      <c r="T225" s="7"/>
    </row>
    <row r="226">
      <c r="B226" s="7"/>
      <c r="C226" s="54"/>
      <c r="D226" s="7"/>
      <c r="E226" s="7"/>
      <c r="F226" s="7"/>
      <c r="G226" s="7"/>
      <c r="H226" s="7"/>
      <c r="I226" s="7"/>
      <c r="J226" s="54"/>
      <c r="K226" s="54"/>
      <c r="L226" s="7"/>
      <c r="M226" s="7"/>
      <c r="N226" s="7"/>
      <c r="O226" s="7"/>
      <c r="P226" s="7"/>
      <c r="Q226" s="7"/>
      <c r="R226" s="7"/>
      <c r="S226" s="7"/>
      <c r="T226" s="7"/>
    </row>
    <row r="227">
      <c r="B227" s="7"/>
      <c r="C227" s="54"/>
      <c r="D227" s="7"/>
      <c r="E227" s="7"/>
      <c r="F227" s="7"/>
      <c r="G227" s="7"/>
      <c r="H227" s="7"/>
      <c r="I227" s="7"/>
      <c r="J227" s="54"/>
      <c r="K227" s="54"/>
      <c r="L227" s="7"/>
      <c r="M227" s="7"/>
      <c r="N227" s="7"/>
      <c r="O227" s="7"/>
      <c r="P227" s="7"/>
      <c r="Q227" s="7"/>
      <c r="R227" s="7"/>
      <c r="S227" s="7"/>
      <c r="T227" s="7"/>
    </row>
    <row r="228">
      <c r="B228" s="7"/>
      <c r="C228" s="54"/>
      <c r="D228" s="7"/>
      <c r="E228" s="7"/>
      <c r="F228" s="7"/>
      <c r="G228" s="7"/>
      <c r="H228" s="7"/>
      <c r="I228" s="7"/>
      <c r="J228" s="54"/>
      <c r="K228" s="54"/>
      <c r="L228" s="7"/>
      <c r="M228" s="7"/>
      <c r="N228" s="7"/>
      <c r="O228" s="7"/>
      <c r="P228" s="7"/>
      <c r="Q228" s="7"/>
      <c r="R228" s="7"/>
      <c r="S228" s="7"/>
      <c r="T228" s="7"/>
    </row>
    <row r="229">
      <c r="B229" s="7"/>
      <c r="C229" s="54"/>
      <c r="D229" s="7"/>
      <c r="E229" s="7"/>
      <c r="F229" s="7"/>
      <c r="G229" s="7"/>
      <c r="H229" s="7"/>
      <c r="I229" s="7"/>
      <c r="J229" s="54"/>
      <c r="K229" s="54"/>
      <c r="L229" s="7"/>
      <c r="M229" s="7"/>
      <c r="N229" s="7"/>
      <c r="O229" s="7"/>
      <c r="P229" s="7"/>
      <c r="Q229" s="7"/>
      <c r="R229" s="7"/>
      <c r="S229" s="7"/>
      <c r="T229" s="7"/>
    </row>
    <row r="230">
      <c r="B230" s="7"/>
      <c r="C230" s="54"/>
      <c r="D230" s="7"/>
      <c r="E230" s="7"/>
      <c r="F230" s="7"/>
      <c r="G230" s="7"/>
      <c r="H230" s="7"/>
      <c r="I230" s="7"/>
      <c r="J230" s="54"/>
      <c r="K230" s="54"/>
      <c r="L230" s="7"/>
      <c r="M230" s="7"/>
      <c r="N230" s="7"/>
      <c r="O230" s="7"/>
      <c r="P230" s="7"/>
      <c r="Q230" s="7"/>
      <c r="R230" s="7"/>
      <c r="S230" s="7"/>
      <c r="T230" s="7"/>
    </row>
    <row r="231">
      <c r="B231" s="7"/>
      <c r="C231" s="54"/>
      <c r="D231" s="7"/>
      <c r="E231" s="7"/>
      <c r="F231" s="7"/>
      <c r="G231" s="7"/>
      <c r="H231" s="7"/>
      <c r="I231" s="7"/>
      <c r="J231" s="54"/>
      <c r="K231" s="54"/>
      <c r="L231" s="7"/>
      <c r="M231" s="7"/>
      <c r="N231" s="7"/>
      <c r="O231" s="7"/>
      <c r="P231" s="7"/>
      <c r="Q231" s="7"/>
      <c r="R231" s="7"/>
      <c r="S231" s="7"/>
      <c r="T231" s="7"/>
    </row>
    <row r="232">
      <c r="B232" s="7"/>
      <c r="C232" s="54"/>
      <c r="D232" s="7"/>
      <c r="E232" s="7"/>
      <c r="F232" s="7"/>
      <c r="G232" s="7"/>
      <c r="H232" s="7"/>
      <c r="I232" s="7"/>
      <c r="J232" s="54"/>
      <c r="K232" s="54"/>
      <c r="L232" s="7"/>
      <c r="M232" s="7"/>
      <c r="N232" s="7"/>
      <c r="O232" s="7"/>
      <c r="P232" s="7"/>
      <c r="Q232" s="7"/>
      <c r="R232" s="7"/>
      <c r="S232" s="7"/>
      <c r="T232" s="7"/>
    </row>
    <row r="233">
      <c r="B233" s="7"/>
      <c r="C233" s="54"/>
      <c r="D233" s="7"/>
      <c r="E233" s="7"/>
      <c r="F233" s="7"/>
      <c r="G233" s="7"/>
      <c r="H233" s="7"/>
      <c r="I233" s="7"/>
      <c r="J233" s="54"/>
      <c r="K233" s="54"/>
      <c r="L233" s="7"/>
      <c r="M233" s="7"/>
      <c r="N233" s="7"/>
      <c r="O233" s="7"/>
      <c r="P233" s="7"/>
      <c r="Q233" s="7"/>
      <c r="R233" s="7"/>
      <c r="S233" s="7"/>
      <c r="T233" s="7"/>
    </row>
    <row r="234">
      <c r="B234" s="7"/>
      <c r="C234" s="54"/>
      <c r="D234" s="7"/>
      <c r="E234" s="7"/>
      <c r="F234" s="7"/>
      <c r="G234" s="7"/>
      <c r="H234" s="7"/>
      <c r="I234" s="7"/>
      <c r="J234" s="54"/>
      <c r="K234" s="54"/>
      <c r="L234" s="7"/>
      <c r="M234" s="7"/>
      <c r="N234" s="7"/>
      <c r="O234" s="7"/>
      <c r="P234" s="7"/>
      <c r="Q234" s="7"/>
      <c r="R234" s="7"/>
      <c r="S234" s="7"/>
      <c r="T234" s="7"/>
    </row>
    <row r="235">
      <c r="B235" s="7"/>
      <c r="C235" s="54"/>
      <c r="D235" s="7"/>
      <c r="E235" s="7"/>
      <c r="F235" s="7"/>
      <c r="G235" s="7"/>
      <c r="H235" s="7"/>
      <c r="I235" s="7"/>
      <c r="J235" s="54"/>
      <c r="K235" s="54"/>
      <c r="L235" s="7"/>
      <c r="M235" s="7"/>
      <c r="N235" s="7"/>
      <c r="O235" s="7"/>
      <c r="P235" s="7"/>
      <c r="Q235" s="7"/>
      <c r="R235" s="7"/>
      <c r="S235" s="7"/>
      <c r="T235" s="7"/>
    </row>
    <row r="236">
      <c r="B236" s="7"/>
      <c r="C236" s="54"/>
      <c r="D236" s="7"/>
      <c r="E236" s="7"/>
      <c r="F236" s="7"/>
      <c r="G236" s="7"/>
      <c r="H236" s="7"/>
      <c r="I236" s="7"/>
      <c r="J236" s="54"/>
      <c r="K236" s="54"/>
      <c r="L236" s="7"/>
      <c r="M236" s="7"/>
      <c r="N236" s="7"/>
      <c r="O236" s="7"/>
      <c r="P236" s="7"/>
      <c r="Q236" s="7"/>
      <c r="R236" s="7"/>
      <c r="S236" s="7"/>
      <c r="T236" s="7"/>
    </row>
    <row r="237">
      <c r="B237" s="7"/>
      <c r="C237" s="54"/>
      <c r="D237" s="7"/>
      <c r="E237" s="7"/>
      <c r="F237" s="7"/>
      <c r="G237" s="7"/>
      <c r="H237" s="7"/>
      <c r="I237" s="7"/>
      <c r="J237" s="54"/>
      <c r="K237" s="54"/>
      <c r="L237" s="7"/>
      <c r="M237" s="7"/>
      <c r="N237" s="7"/>
      <c r="O237" s="7"/>
      <c r="P237" s="7"/>
      <c r="Q237" s="7"/>
      <c r="R237" s="7"/>
      <c r="S237" s="7"/>
      <c r="T237" s="7"/>
    </row>
    <row r="238">
      <c r="B238" s="7"/>
      <c r="C238" s="54"/>
      <c r="D238" s="7"/>
      <c r="E238" s="7"/>
      <c r="F238" s="7"/>
      <c r="G238" s="7"/>
      <c r="H238" s="7"/>
      <c r="I238" s="7"/>
      <c r="J238" s="54"/>
      <c r="K238" s="54"/>
      <c r="L238" s="7"/>
      <c r="M238" s="7"/>
      <c r="N238" s="7"/>
      <c r="O238" s="7"/>
      <c r="P238" s="7"/>
      <c r="Q238" s="7"/>
      <c r="R238" s="7"/>
      <c r="S238" s="7"/>
      <c r="T238" s="7"/>
    </row>
    <row r="239">
      <c r="B239" s="7"/>
      <c r="C239" s="54"/>
      <c r="D239" s="7"/>
      <c r="E239" s="7"/>
      <c r="F239" s="7"/>
      <c r="G239" s="7"/>
      <c r="H239" s="7"/>
      <c r="I239" s="7"/>
      <c r="J239" s="54"/>
      <c r="K239" s="54"/>
      <c r="L239" s="7"/>
      <c r="M239" s="7"/>
      <c r="N239" s="7"/>
      <c r="O239" s="7"/>
      <c r="P239" s="7"/>
      <c r="Q239" s="7"/>
      <c r="R239" s="7"/>
      <c r="S239" s="7"/>
      <c r="T239" s="7"/>
    </row>
    <row r="240">
      <c r="B240" s="7"/>
      <c r="C240" s="54"/>
      <c r="D240" s="7"/>
      <c r="E240" s="7"/>
      <c r="F240" s="7"/>
      <c r="G240" s="7"/>
      <c r="H240" s="7"/>
      <c r="I240" s="7"/>
      <c r="J240" s="54"/>
      <c r="K240" s="54"/>
      <c r="L240" s="7"/>
      <c r="M240" s="7"/>
      <c r="N240" s="7"/>
      <c r="O240" s="7"/>
      <c r="P240" s="7"/>
      <c r="Q240" s="7"/>
      <c r="R240" s="7"/>
      <c r="S240" s="7"/>
      <c r="T240" s="7"/>
    </row>
    <row r="241">
      <c r="B241" s="7"/>
      <c r="C241" s="54"/>
      <c r="D241" s="7"/>
      <c r="E241" s="7"/>
      <c r="F241" s="7"/>
      <c r="G241" s="7"/>
      <c r="H241" s="7"/>
      <c r="I241" s="7"/>
      <c r="J241" s="54"/>
      <c r="K241" s="54"/>
      <c r="L241" s="7"/>
      <c r="M241" s="7"/>
      <c r="N241" s="7"/>
      <c r="O241" s="7"/>
      <c r="P241" s="7"/>
      <c r="Q241" s="7"/>
      <c r="R241" s="7"/>
      <c r="S241" s="7"/>
      <c r="T241" s="7"/>
    </row>
    <row r="242">
      <c r="B242" s="7"/>
      <c r="C242" s="54"/>
      <c r="D242" s="7"/>
      <c r="E242" s="7"/>
      <c r="F242" s="7"/>
      <c r="G242" s="7"/>
      <c r="H242" s="7"/>
      <c r="I242" s="7"/>
      <c r="J242" s="54"/>
      <c r="K242" s="54"/>
      <c r="L242" s="7"/>
      <c r="M242" s="7"/>
      <c r="N242" s="7"/>
      <c r="O242" s="7"/>
      <c r="P242" s="7"/>
      <c r="Q242" s="7"/>
      <c r="R242" s="7"/>
      <c r="S242" s="7"/>
      <c r="T242" s="7"/>
    </row>
    <row r="243">
      <c r="B243" s="7"/>
      <c r="C243" s="54"/>
      <c r="D243" s="7"/>
      <c r="E243" s="7"/>
      <c r="F243" s="7"/>
      <c r="G243" s="7"/>
      <c r="H243" s="7"/>
      <c r="I243" s="7"/>
      <c r="J243" s="54"/>
      <c r="K243" s="54"/>
      <c r="L243" s="7"/>
      <c r="M243" s="7"/>
      <c r="N243" s="7"/>
      <c r="O243" s="7"/>
      <c r="P243" s="7"/>
      <c r="Q243" s="7"/>
      <c r="R243" s="7"/>
      <c r="S243" s="7"/>
      <c r="T243" s="7"/>
    </row>
    <row r="244">
      <c r="B244" s="7"/>
      <c r="C244" s="54"/>
      <c r="D244" s="7"/>
      <c r="E244" s="7"/>
      <c r="F244" s="7"/>
      <c r="G244" s="7"/>
      <c r="H244" s="7"/>
      <c r="I244" s="7"/>
      <c r="J244" s="54"/>
      <c r="K244" s="54"/>
      <c r="L244" s="7"/>
      <c r="M244" s="7"/>
      <c r="N244" s="7"/>
      <c r="O244" s="7"/>
      <c r="P244" s="7"/>
      <c r="Q244" s="7"/>
      <c r="R244" s="7"/>
      <c r="S244" s="7"/>
      <c r="T244" s="7"/>
    </row>
    <row r="245">
      <c r="B245" s="7"/>
      <c r="C245" s="54"/>
      <c r="D245" s="7"/>
      <c r="E245" s="7"/>
      <c r="F245" s="7"/>
      <c r="G245" s="7"/>
      <c r="H245" s="7"/>
      <c r="I245" s="7"/>
      <c r="J245" s="54"/>
      <c r="K245" s="54"/>
      <c r="L245" s="7"/>
      <c r="M245" s="7"/>
      <c r="N245" s="7"/>
      <c r="O245" s="7"/>
      <c r="P245" s="7"/>
      <c r="Q245" s="7"/>
      <c r="R245" s="7"/>
      <c r="S245" s="7"/>
      <c r="T245" s="7"/>
    </row>
    <row r="246">
      <c r="B246" s="7"/>
      <c r="C246" s="54"/>
      <c r="D246" s="7"/>
      <c r="E246" s="7"/>
      <c r="F246" s="7"/>
      <c r="G246" s="7"/>
      <c r="H246" s="7"/>
      <c r="I246" s="7"/>
      <c r="J246" s="54"/>
      <c r="K246" s="54"/>
      <c r="L246" s="7"/>
      <c r="M246" s="7"/>
      <c r="N246" s="7"/>
      <c r="O246" s="7"/>
      <c r="P246" s="7"/>
      <c r="Q246" s="7"/>
      <c r="R246" s="7"/>
      <c r="S246" s="7"/>
      <c r="T246" s="7"/>
    </row>
    <row r="247">
      <c r="B247" s="7"/>
      <c r="C247" s="54"/>
      <c r="D247" s="7"/>
      <c r="E247" s="7"/>
      <c r="F247" s="7"/>
      <c r="G247" s="7"/>
      <c r="H247" s="7"/>
      <c r="I247" s="7"/>
      <c r="J247" s="54"/>
      <c r="K247" s="54"/>
      <c r="L247" s="7"/>
      <c r="M247" s="7"/>
      <c r="N247" s="7"/>
      <c r="O247" s="7"/>
      <c r="P247" s="7"/>
      <c r="Q247" s="7"/>
      <c r="R247" s="7"/>
      <c r="S247" s="7"/>
      <c r="T247" s="7"/>
    </row>
    <row r="248">
      <c r="B248" s="7"/>
      <c r="C248" s="54"/>
      <c r="D248" s="7"/>
      <c r="E248" s="7"/>
      <c r="F248" s="7"/>
      <c r="G248" s="7"/>
      <c r="H248" s="7"/>
      <c r="I248" s="7"/>
      <c r="J248" s="54"/>
      <c r="K248" s="54"/>
      <c r="L248" s="7"/>
      <c r="M248" s="7"/>
      <c r="N248" s="7"/>
      <c r="O248" s="7"/>
      <c r="P248" s="7"/>
      <c r="Q248" s="7"/>
      <c r="R248" s="7"/>
      <c r="S248" s="7"/>
      <c r="T248" s="7"/>
    </row>
    <row r="249">
      <c r="B249" s="7"/>
      <c r="C249" s="54"/>
      <c r="D249" s="7"/>
      <c r="E249" s="7"/>
      <c r="F249" s="7"/>
      <c r="G249" s="7"/>
      <c r="H249" s="7"/>
      <c r="I249" s="7"/>
      <c r="J249" s="54"/>
      <c r="K249" s="54"/>
      <c r="L249" s="7"/>
      <c r="M249" s="7"/>
      <c r="N249" s="7"/>
      <c r="O249" s="7"/>
      <c r="P249" s="7"/>
      <c r="Q249" s="7"/>
      <c r="R249" s="7"/>
      <c r="S249" s="7"/>
      <c r="T249" s="7"/>
    </row>
    <row r="250">
      <c r="B250" s="7"/>
      <c r="C250" s="54"/>
      <c r="D250" s="7"/>
      <c r="E250" s="7"/>
      <c r="F250" s="7"/>
      <c r="G250" s="7"/>
      <c r="H250" s="7"/>
      <c r="I250" s="7"/>
      <c r="J250" s="54"/>
      <c r="K250" s="54"/>
      <c r="L250" s="7"/>
      <c r="M250" s="7"/>
      <c r="N250" s="7"/>
      <c r="O250" s="7"/>
      <c r="P250" s="7"/>
      <c r="Q250" s="7"/>
      <c r="R250" s="7"/>
      <c r="S250" s="7"/>
      <c r="T250" s="7"/>
    </row>
    <row r="251">
      <c r="B251" s="7"/>
      <c r="C251" s="54"/>
      <c r="D251" s="7"/>
      <c r="E251" s="7"/>
      <c r="F251" s="7"/>
      <c r="G251" s="7"/>
      <c r="H251" s="7"/>
      <c r="I251" s="7"/>
      <c r="J251" s="54"/>
      <c r="K251" s="54"/>
      <c r="L251" s="7"/>
      <c r="M251" s="7"/>
      <c r="N251" s="7"/>
      <c r="O251" s="7"/>
      <c r="P251" s="7"/>
      <c r="Q251" s="7"/>
      <c r="R251" s="7"/>
      <c r="S251" s="7"/>
      <c r="T251" s="7"/>
    </row>
    <row r="252">
      <c r="B252" s="7"/>
      <c r="C252" s="54"/>
      <c r="D252" s="7"/>
      <c r="E252" s="7"/>
      <c r="F252" s="7"/>
      <c r="G252" s="7"/>
      <c r="H252" s="7"/>
      <c r="I252" s="7"/>
      <c r="J252" s="54"/>
      <c r="K252" s="54"/>
      <c r="L252" s="7"/>
      <c r="M252" s="7"/>
      <c r="N252" s="7"/>
      <c r="O252" s="7"/>
      <c r="P252" s="7"/>
      <c r="Q252" s="7"/>
      <c r="R252" s="7"/>
      <c r="S252" s="7"/>
      <c r="T252" s="7"/>
    </row>
    <row r="253">
      <c r="B253" s="7"/>
      <c r="C253" s="54"/>
      <c r="D253" s="7"/>
      <c r="E253" s="7"/>
      <c r="F253" s="7"/>
      <c r="G253" s="7"/>
      <c r="H253" s="7"/>
      <c r="I253" s="7"/>
      <c r="J253" s="54"/>
      <c r="K253" s="54"/>
      <c r="L253" s="7"/>
      <c r="M253" s="7"/>
      <c r="N253" s="7"/>
      <c r="O253" s="7"/>
      <c r="P253" s="7"/>
      <c r="Q253" s="7"/>
      <c r="R253" s="7"/>
      <c r="S253" s="7"/>
      <c r="T253" s="7"/>
    </row>
    <row r="254">
      <c r="B254" s="7"/>
      <c r="C254" s="54"/>
      <c r="D254" s="7"/>
      <c r="E254" s="7"/>
      <c r="F254" s="7"/>
      <c r="G254" s="7"/>
      <c r="H254" s="7"/>
      <c r="I254" s="7"/>
      <c r="J254" s="54"/>
      <c r="K254" s="54"/>
      <c r="L254" s="7"/>
      <c r="M254" s="7"/>
      <c r="N254" s="7"/>
      <c r="O254" s="7"/>
      <c r="P254" s="7"/>
      <c r="Q254" s="7"/>
      <c r="R254" s="7"/>
      <c r="S254" s="7"/>
      <c r="T254" s="7"/>
    </row>
    <row r="255">
      <c r="B255" s="7"/>
      <c r="C255" s="54"/>
      <c r="D255" s="7"/>
      <c r="E255" s="7"/>
      <c r="F255" s="7"/>
      <c r="G255" s="7"/>
      <c r="H255" s="7"/>
      <c r="I255" s="7"/>
      <c r="J255" s="54"/>
      <c r="K255" s="54"/>
      <c r="L255" s="7"/>
      <c r="M255" s="7"/>
      <c r="N255" s="7"/>
      <c r="O255" s="7"/>
      <c r="P255" s="7"/>
      <c r="Q255" s="7"/>
      <c r="R255" s="7"/>
      <c r="S255" s="7"/>
      <c r="T255" s="7"/>
    </row>
    <row r="256">
      <c r="B256" s="7"/>
      <c r="C256" s="54"/>
      <c r="D256" s="7"/>
      <c r="E256" s="7"/>
      <c r="F256" s="7"/>
      <c r="G256" s="7"/>
      <c r="H256" s="7"/>
      <c r="I256" s="7"/>
      <c r="J256" s="54"/>
      <c r="K256" s="54"/>
      <c r="L256" s="7"/>
      <c r="M256" s="7"/>
      <c r="N256" s="7"/>
      <c r="O256" s="7"/>
      <c r="P256" s="7"/>
      <c r="Q256" s="7"/>
      <c r="R256" s="7"/>
      <c r="S256" s="7"/>
      <c r="T256" s="7"/>
    </row>
    <row r="257">
      <c r="B257" s="7"/>
      <c r="C257" s="54"/>
      <c r="D257" s="7"/>
      <c r="E257" s="7"/>
      <c r="F257" s="7"/>
      <c r="G257" s="7"/>
      <c r="H257" s="7"/>
      <c r="I257" s="7"/>
      <c r="J257" s="54"/>
      <c r="K257" s="54"/>
      <c r="L257" s="7"/>
      <c r="M257" s="7"/>
      <c r="N257" s="7"/>
      <c r="O257" s="7"/>
      <c r="P257" s="7"/>
      <c r="Q257" s="7"/>
      <c r="R257" s="7"/>
      <c r="S257" s="7"/>
      <c r="T257" s="7"/>
    </row>
    <row r="258">
      <c r="B258" s="7"/>
      <c r="C258" s="54"/>
      <c r="D258" s="7"/>
      <c r="E258" s="7"/>
      <c r="F258" s="7"/>
      <c r="G258" s="7"/>
      <c r="H258" s="7"/>
      <c r="I258" s="7"/>
      <c r="J258" s="54"/>
      <c r="K258" s="54"/>
      <c r="L258" s="7"/>
      <c r="M258" s="7"/>
      <c r="N258" s="7"/>
      <c r="O258" s="7"/>
      <c r="P258" s="7"/>
      <c r="Q258" s="7"/>
      <c r="R258" s="7"/>
      <c r="S258" s="7"/>
      <c r="T258" s="7"/>
    </row>
    <row r="259">
      <c r="B259" s="7"/>
      <c r="C259" s="54"/>
      <c r="D259" s="7"/>
      <c r="E259" s="7"/>
      <c r="F259" s="7"/>
      <c r="G259" s="7"/>
      <c r="H259" s="7"/>
      <c r="I259" s="7"/>
      <c r="J259" s="54"/>
      <c r="K259" s="54"/>
      <c r="L259" s="7"/>
      <c r="M259" s="7"/>
      <c r="N259" s="7"/>
      <c r="O259" s="7"/>
      <c r="P259" s="7"/>
      <c r="Q259" s="7"/>
      <c r="R259" s="7"/>
      <c r="S259" s="7"/>
      <c r="T259" s="7"/>
    </row>
    <row r="260">
      <c r="B260" s="7"/>
      <c r="C260" s="54"/>
      <c r="D260" s="7"/>
      <c r="E260" s="7"/>
      <c r="F260" s="7"/>
      <c r="G260" s="7"/>
      <c r="H260" s="7"/>
      <c r="I260" s="7"/>
      <c r="J260" s="54"/>
      <c r="K260" s="54"/>
      <c r="L260" s="7"/>
      <c r="M260" s="7"/>
      <c r="N260" s="7"/>
      <c r="O260" s="7"/>
      <c r="P260" s="7"/>
      <c r="Q260" s="7"/>
      <c r="R260" s="7"/>
      <c r="S260" s="7"/>
      <c r="T260" s="7"/>
    </row>
    <row r="261">
      <c r="B261" s="7"/>
      <c r="C261" s="54"/>
      <c r="D261" s="7"/>
      <c r="E261" s="7"/>
      <c r="F261" s="7"/>
      <c r="G261" s="7"/>
      <c r="H261" s="7"/>
      <c r="I261" s="7"/>
      <c r="J261" s="54"/>
      <c r="K261" s="54"/>
      <c r="L261" s="7"/>
      <c r="M261" s="7"/>
      <c r="N261" s="7"/>
      <c r="O261" s="7"/>
      <c r="P261" s="7"/>
      <c r="Q261" s="7"/>
      <c r="R261" s="7"/>
      <c r="S261" s="7"/>
      <c r="T261" s="7"/>
    </row>
    <row r="262">
      <c r="B262" s="7"/>
      <c r="C262" s="54"/>
      <c r="D262" s="7"/>
      <c r="E262" s="7"/>
      <c r="F262" s="7"/>
      <c r="G262" s="7"/>
      <c r="H262" s="7"/>
      <c r="I262" s="7"/>
      <c r="J262" s="54"/>
      <c r="K262" s="54"/>
      <c r="L262" s="7"/>
      <c r="M262" s="7"/>
      <c r="N262" s="7"/>
      <c r="O262" s="7"/>
      <c r="P262" s="7"/>
      <c r="Q262" s="7"/>
      <c r="R262" s="7"/>
      <c r="S262" s="7"/>
      <c r="T262" s="7"/>
    </row>
    <row r="263">
      <c r="B263" s="7"/>
      <c r="C263" s="54"/>
      <c r="D263" s="7"/>
      <c r="E263" s="7"/>
      <c r="F263" s="7"/>
      <c r="G263" s="7"/>
      <c r="H263" s="7"/>
      <c r="I263" s="7"/>
      <c r="J263" s="54"/>
      <c r="K263" s="54"/>
      <c r="L263" s="7"/>
      <c r="M263" s="7"/>
      <c r="N263" s="7"/>
      <c r="O263" s="7"/>
      <c r="P263" s="7"/>
      <c r="Q263" s="7"/>
      <c r="R263" s="7"/>
      <c r="S263" s="7"/>
      <c r="T263" s="7"/>
    </row>
    <row r="264">
      <c r="B264" s="7"/>
      <c r="C264" s="54"/>
      <c r="D264" s="7"/>
      <c r="E264" s="7"/>
      <c r="F264" s="7"/>
      <c r="G264" s="7"/>
      <c r="H264" s="7"/>
      <c r="I264" s="7"/>
      <c r="J264" s="54"/>
      <c r="K264" s="54"/>
      <c r="L264" s="7"/>
      <c r="M264" s="7"/>
      <c r="N264" s="7"/>
      <c r="O264" s="7"/>
      <c r="P264" s="7"/>
      <c r="Q264" s="7"/>
      <c r="R264" s="7"/>
      <c r="S264" s="7"/>
      <c r="T264" s="7"/>
    </row>
    <row r="265">
      <c r="B265" s="7"/>
      <c r="C265" s="54"/>
      <c r="D265" s="7"/>
      <c r="E265" s="7"/>
      <c r="F265" s="7"/>
      <c r="G265" s="7"/>
      <c r="H265" s="7"/>
      <c r="I265" s="7"/>
      <c r="J265" s="54"/>
      <c r="K265" s="54"/>
      <c r="L265" s="7"/>
      <c r="M265" s="7"/>
      <c r="N265" s="7"/>
      <c r="O265" s="7"/>
      <c r="P265" s="7"/>
      <c r="Q265" s="7"/>
      <c r="R265" s="7"/>
      <c r="S265" s="7"/>
      <c r="T265" s="7"/>
    </row>
    <row r="266">
      <c r="B266" s="7"/>
      <c r="C266" s="54"/>
      <c r="D266" s="7"/>
      <c r="E266" s="7"/>
      <c r="F266" s="7"/>
      <c r="G266" s="7"/>
      <c r="H266" s="7"/>
      <c r="I266" s="7"/>
      <c r="J266" s="54"/>
      <c r="K266" s="54"/>
      <c r="L266" s="7"/>
      <c r="M266" s="7"/>
      <c r="N266" s="7"/>
      <c r="O266" s="7"/>
      <c r="P266" s="7"/>
      <c r="Q266" s="7"/>
      <c r="R266" s="7"/>
      <c r="S266" s="7"/>
      <c r="T266" s="7"/>
    </row>
    <row r="267">
      <c r="B267" s="7"/>
      <c r="C267" s="54"/>
      <c r="D267" s="7"/>
      <c r="E267" s="7"/>
      <c r="F267" s="7"/>
      <c r="G267" s="7"/>
      <c r="H267" s="7"/>
      <c r="I267" s="7"/>
      <c r="J267" s="54"/>
      <c r="K267" s="54"/>
      <c r="L267" s="7"/>
      <c r="M267" s="7"/>
      <c r="N267" s="7"/>
      <c r="O267" s="7"/>
      <c r="P267" s="7"/>
      <c r="Q267" s="7"/>
      <c r="R267" s="7"/>
      <c r="S267" s="7"/>
      <c r="T267" s="7"/>
    </row>
    <row r="268">
      <c r="B268" s="7"/>
      <c r="C268" s="54"/>
      <c r="D268" s="7"/>
      <c r="E268" s="7"/>
      <c r="F268" s="7"/>
      <c r="G268" s="7"/>
      <c r="H268" s="7"/>
      <c r="I268" s="7"/>
      <c r="J268" s="54"/>
      <c r="K268" s="54"/>
      <c r="L268" s="7"/>
      <c r="M268" s="7"/>
      <c r="N268" s="7"/>
      <c r="O268" s="7"/>
      <c r="P268" s="7"/>
      <c r="Q268" s="7"/>
      <c r="R268" s="7"/>
      <c r="S268" s="7"/>
      <c r="T268" s="7"/>
    </row>
    <row r="269">
      <c r="B269" s="7"/>
      <c r="C269" s="54"/>
      <c r="D269" s="7"/>
      <c r="E269" s="7"/>
      <c r="F269" s="7"/>
      <c r="G269" s="7"/>
      <c r="H269" s="7"/>
      <c r="I269" s="7"/>
      <c r="J269" s="54"/>
      <c r="K269" s="54"/>
      <c r="L269" s="7"/>
      <c r="M269" s="7"/>
      <c r="N269" s="7"/>
      <c r="O269" s="7"/>
      <c r="P269" s="7"/>
      <c r="Q269" s="7"/>
      <c r="R269" s="7"/>
      <c r="S269" s="7"/>
      <c r="T269" s="7"/>
    </row>
    <row r="270">
      <c r="B270" s="7"/>
      <c r="C270" s="54"/>
      <c r="D270" s="7"/>
      <c r="E270" s="7"/>
      <c r="F270" s="7"/>
      <c r="G270" s="7"/>
      <c r="H270" s="7"/>
      <c r="I270" s="7"/>
      <c r="J270" s="54"/>
      <c r="K270" s="54"/>
      <c r="L270" s="7"/>
      <c r="M270" s="7"/>
      <c r="N270" s="7"/>
      <c r="O270" s="7"/>
      <c r="P270" s="7"/>
      <c r="Q270" s="7"/>
      <c r="R270" s="7"/>
      <c r="S270" s="7"/>
      <c r="T270" s="7"/>
    </row>
    <row r="271">
      <c r="B271" s="7"/>
      <c r="C271" s="54"/>
      <c r="D271" s="7"/>
      <c r="E271" s="7"/>
      <c r="F271" s="7"/>
      <c r="G271" s="7"/>
      <c r="H271" s="7"/>
      <c r="I271" s="7"/>
      <c r="J271" s="54"/>
      <c r="K271" s="54"/>
      <c r="L271" s="7"/>
      <c r="M271" s="7"/>
      <c r="N271" s="7"/>
      <c r="O271" s="7"/>
      <c r="P271" s="7"/>
      <c r="Q271" s="7"/>
      <c r="R271" s="7"/>
      <c r="S271" s="7"/>
      <c r="T271" s="7"/>
    </row>
    <row r="272">
      <c r="B272" s="7"/>
      <c r="C272" s="54"/>
      <c r="D272" s="7"/>
      <c r="E272" s="7"/>
      <c r="F272" s="7"/>
      <c r="G272" s="7"/>
      <c r="H272" s="7"/>
      <c r="I272" s="7"/>
      <c r="J272" s="54"/>
      <c r="K272" s="54"/>
      <c r="L272" s="7"/>
      <c r="M272" s="7"/>
      <c r="N272" s="7"/>
      <c r="O272" s="7"/>
      <c r="P272" s="7"/>
      <c r="Q272" s="7"/>
      <c r="R272" s="7"/>
      <c r="S272" s="7"/>
      <c r="T272" s="7"/>
    </row>
    <row r="273">
      <c r="B273" s="7"/>
      <c r="C273" s="54"/>
      <c r="D273" s="7"/>
      <c r="E273" s="7"/>
      <c r="F273" s="7"/>
      <c r="G273" s="7"/>
      <c r="H273" s="7"/>
      <c r="I273" s="7"/>
      <c r="J273" s="54"/>
      <c r="K273" s="54"/>
      <c r="L273" s="7"/>
      <c r="M273" s="7"/>
      <c r="N273" s="7"/>
      <c r="O273" s="7"/>
      <c r="P273" s="7"/>
      <c r="Q273" s="7"/>
      <c r="R273" s="7"/>
      <c r="S273" s="7"/>
      <c r="T273" s="7"/>
    </row>
    <row r="274">
      <c r="B274" s="7"/>
      <c r="C274" s="54"/>
      <c r="D274" s="7"/>
      <c r="E274" s="7"/>
      <c r="F274" s="7"/>
      <c r="G274" s="7"/>
      <c r="H274" s="7"/>
      <c r="I274" s="7"/>
      <c r="J274" s="54"/>
      <c r="K274" s="54"/>
      <c r="L274" s="7"/>
      <c r="M274" s="7"/>
      <c r="N274" s="7"/>
      <c r="O274" s="7"/>
      <c r="P274" s="7"/>
      <c r="Q274" s="7"/>
      <c r="R274" s="7"/>
      <c r="S274" s="7"/>
      <c r="T274" s="7"/>
    </row>
    <row r="275">
      <c r="B275" s="7"/>
      <c r="C275" s="54"/>
      <c r="D275" s="7"/>
      <c r="E275" s="7"/>
      <c r="F275" s="7"/>
      <c r="G275" s="7"/>
      <c r="H275" s="7"/>
      <c r="I275" s="7"/>
      <c r="J275" s="54"/>
      <c r="K275" s="54"/>
      <c r="L275" s="7"/>
      <c r="M275" s="7"/>
      <c r="N275" s="7"/>
      <c r="O275" s="7"/>
      <c r="P275" s="7"/>
      <c r="Q275" s="7"/>
      <c r="R275" s="7"/>
      <c r="S275" s="7"/>
      <c r="T275" s="7"/>
    </row>
    <row r="276">
      <c r="B276" s="7"/>
      <c r="C276" s="54"/>
      <c r="D276" s="7"/>
      <c r="E276" s="7"/>
      <c r="F276" s="7"/>
      <c r="G276" s="7"/>
      <c r="H276" s="7"/>
      <c r="I276" s="7"/>
      <c r="J276" s="54"/>
      <c r="K276" s="54"/>
      <c r="L276" s="7"/>
      <c r="M276" s="7"/>
      <c r="N276" s="7"/>
      <c r="O276" s="7"/>
      <c r="P276" s="7"/>
      <c r="Q276" s="7"/>
      <c r="R276" s="7"/>
      <c r="S276" s="7"/>
      <c r="T276" s="7"/>
    </row>
    <row r="277">
      <c r="B277" s="7"/>
      <c r="C277" s="54"/>
      <c r="D277" s="7"/>
      <c r="E277" s="7"/>
      <c r="F277" s="7"/>
      <c r="G277" s="7"/>
      <c r="H277" s="7"/>
      <c r="I277" s="7"/>
      <c r="J277" s="54"/>
      <c r="K277" s="54"/>
      <c r="L277" s="7"/>
      <c r="M277" s="7"/>
      <c r="N277" s="7"/>
      <c r="O277" s="7"/>
      <c r="P277" s="7"/>
      <c r="Q277" s="7"/>
      <c r="R277" s="7"/>
      <c r="S277" s="7"/>
      <c r="T277" s="7"/>
    </row>
    <row r="278">
      <c r="B278" s="7"/>
      <c r="C278" s="54"/>
      <c r="D278" s="7"/>
      <c r="E278" s="7"/>
      <c r="F278" s="7"/>
      <c r="G278" s="7"/>
      <c r="H278" s="7"/>
      <c r="I278" s="7"/>
      <c r="J278" s="54"/>
      <c r="K278" s="54"/>
      <c r="L278" s="7"/>
      <c r="M278" s="7"/>
      <c r="N278" s="7"/>
      <c r="O278" s="7"/>
      <c r="P278" s="7"/>
      <c r="Q278" s="7"/>
      <c r="R278" s="7"/>
      <c r="S278" s="7"/>
      <c r="T278" s="7"/>
    </row>
    <row r="279">
      <c r="B279" s="7"/>
      <c r="C279" s="54"/>
      <c r="D279" s="7"/>
      <c r="E279" s="7"/>
      <c r="F279" s="7"/>
      <c r="G279" s="7"/>
      <c r="H279" s="7"/>
      <c r="I279" s="7"/>
      <c r="J279" s="54"/>
      <c r="K279" s="54"/>
      <c r="L279" s="7"/>
      <c r="M279" s="7"/>
      <c r="N279" s="7"/>
      <c r="O279" s="7"/>
      <c r="P279" s="7"/>
      <c r="Q279" s="7"/>
      <c r="R279" s="7"/>
      <c r="S279" s="7"/>
      <c r="T279" s="7"/>
    </row>
    <row r="280">
      <c r="B280" s="7"/>
      <c r="C280" s="54"/>
      <c r="D280" s="7"/>
      <c r="E280" s="7"/>
      <c r="F280" s="7"/>
      <c r="G280" s="7"/>
      <c r="H280" s="7"/>
      <c r="I280" s="7"/>
      <c r="J280" s="54"/>
      <c r="K280" s="54"/>
      <c r="L280" s="7"/>
      <c r="M280" s="7"/>
      <c r="N280" s="7"/>
      <c r="O280" s="7"/>
      <c r="P280" s="7"/>
      <c r="Q280" s="7"/>
      <c r="R280" s="7"/>
      <c r="S280" s="7"/>
      <c r="T280" s="7"/>
    </row>
    <row r="281">
      <c r="B281" s="7"/>
      <c r="C281" s="54"/>
      <c r="D281" s="7"/>
      <c r="E281" s="7"/>
      <c r="F281" s="7"/>
      <c r="G281" s="7"/>
      <c r="H281" s="7"/>
      <c r="I281" s="7"/>
      <c r="J281" s="54"/>
      <c r="K281" s="54"/>
      <c r="L281" s="7"/>
      <c r="M281" s="7"/>
      <c r="N281" s="7"/>
      <c r="O281" s="7"/>
      <c r="P281" s="7"/>
      <c r="Q281" s="7"/>
      <c r="R281" s="7"/>
      <c r="S281" s="7"/>
      <c r="T281" s="7"/>
    </row>
    <row r="282">
      <c r="B282" s="7"/>
      <c r="C282" s="54"/>
      <c r="D282" s="7"/>
      <c r="E282" s="7"/>
      <c r="F282" s="7"/>
      <c r="G282" s="7"/>
      <c r="H282" s="7"/>
      <c r="I282" s="7"/>
      <c r="J282" s="54"/>
      <c r="K282" s="54"/>
      <c r="L282" s="7"/>
      <c r="M282" s="7"/>
      <c r="N282" s="7"/>
      <c r="O282" s="7"/>
      <c r="P282" s="7"/>
      <c r="Q282" s="7"/>
      <c r="R282" s="7"/>
      <c r="S282" s="7"/>
      <c r="T282" s="7"/>
    </row>
    <row r="283">
      <c r="B283" s="7"/>
      <c r="C283" s="54"/>
      <c r="D283" s="7"/>
      <c r="E283" s="7"/>
      <c r="F283" s="7"/>
      <c r="G283" s="7"/>
      <c r="H283" s="7"/>
      <c r="I283" s="7"/>
      <c r="J283" s="54"/>
      <c r="K283" s="54"/>
      <c r="L283" s="7"/>
      <c r="M283" s="7"/>
      <c r="N283" s="7"/>
      <c r="O283" s="7"/>
      <c r="P283" s="7"/>
      <c r="Q283" s="7"/>
      <c r="R283" s="7"/>
      <c r="S283" s="7"/>
      <c r="T283" s="7"/>
    </row>
    <row r="284">
      <c r="B284" s="7"/>
      <c r="C284" s="54"/>
      <c r="D284" s="7"/>
      <c r="E284" s="7"/>
      <c r="F284" s="7"/>
      <c r="G284" s="7"/>
      <c r="H284" s="7"/>
      <c r="I284" s="7"/>
      <c r="J284" s="54"/>
      <c r="K284" s="54"/>
      <c r="L284" s="7"/>
      <c r="M284" s="7"/>
      <c r="N284" s="7"/>
      <c r="O284" s="7"/>
      <c r="P284" s="7"/>
      <c r="Q284" s="7"/>
      <c r="R284" s="7"/>
      <c r="S284" s="7"/>
      <c r="T284" s="7"/>
    </row>
    <row r="285">
      <c r="B285" s="7"/>
      <c r="C285" s="54"/>
      <c r="D285" s="7"/>
      <c r="E285" s="7"/>
      <c r="F285" s="7"/>
      <c r="G285" s="7"/>
      <c r="H285" s="7"/>
      <c r="I285" s="7"/>
      <c r="J285" s="54"/>
      <c r="K285" s="54"/>
      <c r="L285" s="7"/>
      <c r="M285" s="7"/>
      <c r="N285" s="7"/>
      <c r="O285" s="7"/>
      <c r="P285" s="7"/>
      <c r="Q285" s="7"/>
      <c r="R285" s="7"/>
      <c r="S285" s="7"/>
      <c r="T285" s="7"/>
    </row>
    <row r="286">
      <c r="B286" s="7"/>
      <c r="C286" s="54"/>
      <c r="D286" s="7"/>
      <c r="E286" s="7"/>
      <c r="F286" s="7"/>
      <c r="G286" s="7"/>
      <c r="H286" s="7"/>
      <c r="I286" s="7"/>
      <c r="J286" s="54"/>
      <c r="K286" s="54"/>
      <c r="L286" s="7"/>
      <c r="M286" s="7"/>
      <c r="N286" s="7"/>
      <c r="O286" s="7"/>
      <c r="P286" s="7"/>
      <c r="Q286" s="7"/>
      <c r="R286" s="7"/>
      <c r="S286" s="7"/>
      <c r="T286" s="7"/>
    </row>
    <row r="287">
      <c r="B287" s="7"/>
      <c r="C287" s="54"/>
      <c r="D287" s="7"/>
      <c r="E287" s="7"/>
      <c r="F287" s="7"/>
      <c r="G287" s="7"/>
      <c r="H287" s="7"/>
      <c r="I287" s="7"/>
      <c r="J287" s="54"/>
      <c r="K287" s="54"/>
      <c r="L287" s="7"/>
      <c r="M287" s="7"/>
      <c r="N287" s="7"/>
      <c r="O287" s="7"/>
      <c r="P287" s="7"/>
      <c r="Q287" s="7"/>
      <c r="R287" s="7"/>
      <c r="S287" s="7"/>
      <c r="T287" s="7"/>
    </row>
    <row r="288">
      <c r="B288" s="7"/>
      <c r="C288" s="54"/>
      <c r="D288" s="7"/>
      <c r="E288" s="7"/>
      <c r="F288" s="7"/>
      <c r="G288" s="7"/>
      <c r="H288" s="7"/>
      <c r="I288" s="7"/>
      <c r="J288" s="54"/>
      <c r="K288" s="54"/>
      <c r="L288" s="7"/>
      <c r="M288" s="7"/>
      <c r="N288" s="7"/>
      <c r="O288" s="7"/>
      <c r="P288" s="7"/>
      <c r="Q288" s="7"/>
      <c r="R288" s="7"/>
      <c r="S288" s="7"/>
      <c r="T288" s="7"/>
    </row>
    <row r="289">
      <c r="B289" s="7"/>
      <c r="C289" s="54"/>
      <c r="D289" s="7"/>
      <c r="E289" s="7"/>
      <c r="F289" s="7"/>
      <c r="G289" s="7"/>
      <c r="H289" s="7"/>
      <c r="I289" s="7"/>
      <c r="J289" s="54"/>
      <c r="K289" s="54"/>
      <c r="L289" s="7"/>
      <c r="M289" s="7"/>
      <c r="N289" s="7"/>
      <c r="O289" s="7"/>
      <c r="P289" s="7"/>
      <c r="Q289" s="7"/>
      <c r="R289" s="7"/>
      <c r="S289" s="7"/>
      <c r="T289" s="7"/>
    </row>
    <row r="290">
      <c r="B290" s="7"/>
      <c r="C290" s="54"/>
      <c r="D290" s="7"/>
      <c r="E290" s="7"/>
      <c r="F290" s="7"/>
      <c r="G290" s="7"/>
      <c r="H290" s="7"/>
      <c r="I290" s="7"/>
      <c r="J290" s="54"/>
      <c r="K290" s="54"/>
      <c r="L290" s="7"/>
      <c r="M290" s="7"/>
      <c r="N290" s="7"/>
      <c r="O290" s="7"/>
      <c r="P290" s="7"/>
      <c r="Q290" s="7"/>
      <c r="R290" s="7"/>
      <c r="S290" s="7"/>
      <c r="T290" s="7"/>
    </row>
    <row r="291">
      <c r="B291" s="7"/>
      <c r="C291" s="54"/>
      <c r="D291" s="7"/>
      <c r="E291" s="7"/>
      <c r="F291" s="7"/>
      <c r="G291" s="7"/>
      <c r="H291" s="7"/>
      <c r="I291" s="7"/>
      <c r="J291" s="54"/>
      <c r="K291" s="54"/>
      <c r="L291" s="7"/>
      <c r="M291" s="7"/>
      <c r="N291" s="7"/>
      <c r="O291" s="7"/>
      <c r="P291" s="7"/>
      <c r="Q291" s="7"/>
      <c r="R291" s="7"/>
      <c r="S291" s="7"/>
      <c r="T291" s="7"/>
    </row>
    <row r="292">
      <c r="B292" s="7"/>
      <c r="C292" s="54"/>
      <c r="D292" s="7"/>
      <c r="E292" s="7"/>
      <c r="F292" s="7"/>
      <c r="G292" s="7"/>
      <c r="H292" s="7"/>
      <c r="I292" s="7"/>
      <c r="J292" s="54"/>
      <c r="K292" s="54"/>
      <c r="L292" s="7"/>
      <c r="M292" s="7"/>
      <c r="N292" s="7"/>
      <c r="O292" s="7"/>
      <c r="P292" s="7"/>
      <c r="Q292" s="7"/>
      <c r="R292" s="7"/>
      <c r="S292" s="7"/>
      <c r="T292" s="7"/>
    </row>
    <row r="293">
      <c r="B293" s="7"/>
      <c r="C293" s="54"/>
      <c r="D293" s="7"/>
      <c r="E293" s="7"/>
      <c r="F293" s="7"/>
      <c r="G293" s="7"/>
      <c r="H293" s="7"/>
      <c r="I293" s="7"/>
      <c r="J293" s="54"/>
      <c r="K293" s="54"/>
      <c r="L293" s="7"/>
      <c r="M293" s="7"/>
      <c r="N293" s="7"/>
      <c r="O293" s="7"/>
      <c r="P293" s="7"/>
      <c r="Q293" s="7"/>
      <c r="R293" s="7"/>
      <c r="S293" s="7"/>
      <c r="T293" s="7"/>
    </row>
    <row r="294">
      <c r="B294" s="7"/>
      <c r="C294" s="54"/>
      <c r="D294" s="7"/>
      <c r="E294" s="7"/>
      <c r="F294" s="7"/>
      <c r="G294" s="7"/>
      <c r="H294" s="7"/>
      <c r="I294" s="7"/>
      <c r="J294" s="54"/>
      <c r="K294" s="54"/>
      <c r="L294" s="7"/>
      <c r="M294" s="7"/>
      <c r="N294" s="7"/>
      <c r="O294" s="7"/>
      <c r="P294" s="7"/>
      <c r="Q294" s="7"/>
      <c r="R294" s="7"/>
      <c r="S294" s="7"/>
      <c r="T294" s="7"/>
    </row>
    <row r="295">
      <c r="B295" s="7"/>
      <c r="C295" s="54"/>
      <c r="D295" s="7"/>
      <c r="E295" s="7"/>
      <c r="F295" s="7"/>
      <c r="G295" s="7"/>
      <c r="H295" s="7"/>
      <c r="I295" s="7"/>
      <c r="J295" s="54"/>
      <c r="K295" s="54"/>
      <c r="L295" s="7"/>
      <c r="M295" s="7"/>
      <c r="N295" s="7"/>
      <c r="O295" s="7"/>
      <c r="P295" s="7"/>
      <c r="Q295" s="7"/>
      <c r="R295" s="7"/>
      <c r="S295" s="7"/>
      <c r="T295" s="7"/>
    </row>
    <row r="296">
      <c r="B296" s="7"/>
      <c r="C296" s="54"/>
      <c r="D296" s="7"/>
      <c r="E296" s="7"/>
      <c r="F296" s="7"/>
      <c r="G296" s="7"/>
      <c r="H296" s="7"/>
      <c r="I296" s="7"/>
      <c r="J296" s="54"/>
      <c r="K296" s="54"/>
      <c r="L296" s="7"/>
      <c r="M296" s="7"/>
      <c r="N296" s="7"/>
      <c r="O296" s="7"/>
      <c r="P296" s="7"/>
      <c r="Q296" s="7"/>
      <c r="R296" s="7"/>
      <c r="S296" s="7"/>
      <c r="T296" s="7"/>
    </row>
    <row r="297">
      <c r="B297" s="7"/>
      <c r="C297" s="54"/>
      <c r="D297" s="7"/>
      <c r="E297" s="7"/>
      <c r="F297" s="7"/>
      <c r="G297" s="7"/>
      <c r="H297" s="7"/>
      <c r="I297" s="7"/>
      <c r="J297" s="54"/>
      <c r="K297" s="54"/>
      <c r="L297" s="7"/>
      <c r="M297" s="7"/>
      <c r="N297" s="7"/>
      <c r="O297" s="7"/>
      <c r="P297" s="7"/>
      <c r="Q297" s="7"/>
      <c r="R297" s="7"/>
      <c r="S297" s="7"/>
      <c r="T297" s="7"/>
    </row>
    <row r="298">
      <c r="B298" s="7"/>
      <c r="C298" s="54"/>
      <c r="D298" s="7"/>
      <c r="E298" s="7"/>
      <c r="F298" s="7"/>
      <c r="G298" s="7"/>
      <c r="H298" s="7"/>
      <c r="I298" s="7"/>
      <c r="J298" s="54"/>
      <c r="K298" s="54"/>
      <c r="L298" s="7"/>
      <c r="M298" s="7"/>
      <c r="N298" s="7"/>
      <c r="O298" s="7"/>
      <c r="P298" s="7"/>
      <c r="Q298" s="7"/>
      <c r="R298" s="7"/>
      <c r="S298" s="7"/>
      <c r="T298" s="7"/>
    </row>
    <row r="299">
      <c r="B299" s="7"/>
      <c r="C299" s="54"/>
      <c r="D299" s="7"/>
      <c r="E299" s="7"/>
      <c r="F299" s="7"/>
      <c r="G299" s="7"/>
      <c r="H299" s="7"/>
      <c r="I299" s="7"/>
      <c r="J299" s="54"/>
      <c r="K299" s="54"/>
      <c r="L299" s="7"/>
      <c r="M299" s="7"/>
      <c r="N299" s="7"/>
      <c r="O299" s="7"/>
      <c r="P299" s="7"/>
      <c r="Q299" s="7"/>
      <c r="R299" s="7"/>
      <c r="S299" s="7"/>
      <c r="T299" s="7"/>
    </row>
    <row r="300">
      <c r="B300" s="7"/>
      <c r="C300" s="54"/>
      <c r="D300" s="7"/>
      <c r="E300" s="7"/>
      <c r="F300" s="7"/>
      <c r="G300" s="7"/>
      <c r="H300" s="7"/>
      <c r="I300" s="7"/>
      <c r="J300" s="54"/>
      <c r="K300" s="54"/>
      <c r="L300" s="7"/>
      <c r="M300" s="7"/>
      <c r="N300" s="7"/>
      <c r="O300" s="7"/>
      <c r="P300" s="7"/>
      <c r="Q300" s="7"/>
      <c r="R300" s="7"/>
      <c r="S300" s="7"/>
      <c r="T300" s="7"/>
    </row>
    <row r="301">
      <c r="B301" s="7"/>
      <c r="C301" s="54"/>
      <c r="D301" s="7"/>
      <c r="E301" s="7"/>
      <c r="F301" s="7"/>
      <c r="G301" s="7"/>
      <c r="H301" s="7"/>
      <c r="I301" s="7"/>
      <c r="J301" s="54"/>
      <c r="K301" s="54"/>
      <c r="L301" s="7"/>
      <c r="M301" s="7"/>
      <c r="N301" s="7"/>
      <c r="O301" s="7"/>
      <c r="P301" s="7"/>
      <c r="Q301" s="7"/>
      <c r="R301" s="7"/>
      <c r="S301" s="7"/>
      <c r="T301" s="7"/>
    </row>
    <row r="302">
      <c r="B302" s="7"/>
      <c r="C302" s="54"/>
      <c r="D302" s="7"/>
      <c r="E302" s="7"/>
      <c r="F302" s="7"/>
      <c r="G302" s="7"/>
      <c r="H302" s="7"/>
      <c r="I302" s="7"/>
      <c r="J302" s="54"/>
      <c r="K302" s="54"/>
      <c r="L302" s="7"/>
      <c r="M302" s="7"/>
      <c r="N302" s="7"/>
      <c r="O302" s="7"/>
      <c r="P302" s="7"/>
      <c r="Q302" s="7"/>
      <c r="R302" s="7"/>
      <c r="S302" s="7"/>
      <c r="T302" s="7"/>
    </row>
    <row r="303">
      <c r="B303" s="7"/>
      <c r="C303" s="54"/>
      <c r="D303" s="7"/>
      <c r="E303" s="7"/>
      <c r="F303" s="7"/>
      <c r="G303" s="7"/>
      <c r="H303" s="7"/>
      <c r="I303" s="7"/>
      <c r="J303" s="54"/>
      <c r="K303" s="54"/>
      <c r="L303" s="7"/>
      <c r="M303" s="7"/>
      <c r="N303" s="7"/>
      <c r="O303" s="7"/>
      <c r="P303" s="7"/>
      <c r="Q303" s="7"/>
      <c r="R303" s="7"/>
      <c r="S303" s="7"/>
      <c r="T303" s="7"/>
    </row>
    <row r="304">
      <c r="B304" s="7"/>
      <c r="C304" s="54"/>
      <c r="D304" s="7"/>
      <c r="E304" s="7"/>
      <c r="F304" s="7"/>
      <c r="G304" s="7"/>
      <c r="H304" s="7"/>
      <c r="I304" s="7"/>
      <c r="J304" s="54"/>
      <c r="K304" s="54"/>
      <c r="L304" s="7"/>
      <c r="M304" s="7"/>
      <c r="N304" s="7"/>
      <c r="O304" s="7"/>
      <c r="P304" s="7"/>
      <c r="Q304" s="7"/>
      <c r="R304" s="7"/>
      <c r="S304" s="7"/>
      <c r="T304" s="7"/>
    </row>
    <row r="305">
      <c r="B305" s="7"/>
      <c r="C305" s="54"/>
      <c r="D305" s="7"/>
      <c r="E305" s="7"/>
      <c r="F305" s="7"/>
      <c r="G305" s="7"/>
      <c r="H305" s="7"/>
      <c r="I305" s="7"/>
      <c r="J305" s="54"/>
      <c r="K305" s="54"/>
      <c r="L305" s="7"/>
      <c r="M305" s="7"/>
      <c r="N305" s="7"/>
      <c r="O305" s="7"/>
      <c r="P305" s="7"/>
      <c r="Q305" s="7"/>
      <c r="R305" s="7"/>
      <c r="S305" s="7"/>
      <c r="T305" s="7"/>
    </row>
    <row r="306">
      <c r="B306" s="7"/>
      <c r="C306" s="54"/>
      <c r="D306" s="7"/>
      <c r="E306" s="7"/>
      <c r="F306" s="7"/>
      <c r="G306" s="7"/>
      <c r="H306" s="7"/>
      <c r="I306" s="7"/>
      <c r="J306" s="54"/>
      <c r="K306" s="54"/>
      <c r="L306" s="7"/>
      <c r="M306" s="7"/>
      <c r="N306" s="7"/>
      <c r="O306" s="7"/>
      <c r="P306" s="7"/>
      <c r="Q306" s="7"/>
      <c r="R306" s="7"/>
      <c r="S306" s="7"/>
      <c r="T306" s="7"/>
    </row>
    <row r="307">
      <c r="B307" s="7"/>
      <c r="C307" s="54"/>
      <c r="D307" s="7"/>
      <c r="E307" s="7"/>
      <c r="F307" s="7"/>
      <c r="G307" s="7"/>
      <c r="H307" s="7"/>
      <c r="I307" s="7"/>
      <c r="J307" s="54"/>
      <c r="K307" s="54"/>
      <c r="L307" s="7"/>
      <c r="M307" s="7"/>
      <c r="N307" s="7"/>
      <c r="O307" s="7"/>
      <c r="P307" s="7"/>
      <c r="Q307" s="7"/>
      <c r="R307" s="7"/>
      <c r="S307" s="7"/>
      <c r="T307" s="7"/>
    </row>
    <row r="308">
      <c r="B308" s="7"/>
      <c r="C308" s="54"/>
      <c r="D308" s="7"/>
      <c r="E308" s="7"/>
      <c r="F308" s="7"/>
      <c r="G308" s="7"/>
      <c r="H308" s="7"/>
      <c r="I308" s="7"/>
      <c r="J308" s="54"/>
      <c r="K308" s="54"/>
      <c r="L308" s="7"/>
      <c r="M308" s="7"/>
      <c r="N308" s="7"/>
      <c r="O308" s="7"/>
      <c r="P308" s="7"/>
      <c r="Q308" s="7"/>
      <c r="R308" s="7"/>
      <c r="S308" s="7"/>
      <c r="T308" s="7"/>
    </row>
    <row r="309">
      <c r="B309" s="7"/>
      <c r="C309" s="54"/>
      <c r="D309" s="7"/>
      <c r="E309" s="7"/>
      <c r="F309" s="7"/>
      <c r="G309" s="7"/>
      <c r="H309" s="7"/>
      <c r="I309" s="7"/>
      <c r="J309" s="54"/>
      <c r="K309" s="54"/>
      <c r="L309" s="7"/>
      <c r="M309" s="7"/>
      <c r="N309" s="7"/>
      <c r="O309" s="7"/>
      <c r="P309" s="7"/>
      <c r="Q309" s="7"/>
      <c r="R309" s="7"/>
      <c r="S309" s="7"/>
      <c r="T309" s="7"/>
    </row>
    <row r="310">
      <c r="B310" s="7"/>
      <c r="C310" s="54"/>
      <c r="D310" s="7"/>
      <c r="E310" s="7"/>
      <c r="F310" s="7"/>
      <c r="G310" s="7"/>
      <c r="H310" s="7"/>
      <c r="I310" s="7"/>
      <c r="J310" s="54"/>
      <c r="K310" s="54"/>
      <c r="L310" s="7"/>
      <c r="M310" s="7"/>
      <c r="N310" s="7"/>
      <c r="O310" s="7"/>
      <c r="P310" s="7"/>
      <c r="Q310" s="7"/>
      <c r="R310" s="7"/>
      <c r="S310" s="7"/>
      <c r="T310" s="7"/>
    </row>
    <row r="311">
      <c r="B311" s="7"/>
      <c r="C311" s="54"/>
      <c r="D311" s="7"/>
      <c r="E311" s="7"/>
      <c r="F311" s="7"/>
      <c r="G311" s="7"/>
      <c r="H311" s="7"/>
      <c r="I311" s="7"/>
      <c r="J311" s="54"/>
      <c r="K311" s="54"/>
      <c r="L311" s="7"/>
      <c r="M311" s="7"/>
      <c r="N311" s="7"/>
      <c r="O311" s="7"/>
      <c r="P311" s="7"/>
      <c r="Q311" s="7"/>
      <c r="R311" s="7"/>
      <c r="S311" s="7"/>
      <c r="T311" s="7"/>
    </row>
    <row r="312">
      <c r="B312" s="7"/>
      <c r="C312" s="54"/>
      <c r="D312" s="7"/>
      <c r="E312" s="7"/>
      <c r="F312" s="7"/>
      <c r="G312" s="7"/>
      <c r="H312" s="7"/>
      <c r="I312" s="7"/>
      <c r="J312" s="54"/>
      <c r="K312" s="54"/>
      <c r="L312" s="7"/>
      <c r="M312" s="7"/>
      <c r="N312" s="7"/>
      <c r="O312" s="7"/>
      <c r="P312" s="7"/>
      <c r="Q312" s="7"/>
      <c r="R312" s="7"/>
      <c r="S312" s="7"/>
      <c r="T312" s="7"/>
    </row>
    <row r="313">
      <c r="B313" s="7"/>
      <c r="C313" s="54"/>
      <c r="D313" s="7"/>
      <c r="E313" s="7"/>
      <c r="F313" s="7"/>
      <c r="G313" s="7"/>
      <c r="H313" s="7"/>
      <c r="I313" s="7"/>
      <c r="J313" s="54"/>
      <c r="K313" s="54"/>
      <c r="L313" s="7"/>
      <c r="M313" s="7"/>
      <c r="N313" s="7"/>
      <c r="O313" s="7"/>
      <c r="P313" s="7"/>
      <c r="Q313" s="7"/>
      <c r="R313" s="7"/>
      <c r="S313" s="7"/>
      <c r="T313" s="7"/>
    </row>
    <row r="314">
      <c r="B314" s="7"/>
      <c r="C314" s="54"/>
      <c r="D314" s="7"/>
      <c r="E314" s="7"/>
      <c r="F314" s="7"/>
      <c r="G314" s="7"/>
      <c r="H314" s="7"/>
      <c r="I314" s="7"/>
      <c r="J314" s="54"/>
      <c r="K314" s="54"/>
      <c r="L314" s="7"/>
      <c r="M314" s="7"/>
      <c r="N314" s="7"/>
      <c r="O314" s="7"/>
      <c r="P314" s="7"/>
      <c r="Q314" s="7"/>
      <c r="R314" s="7"/>
      <c r="S314" s="7"/>
      <c r="T314" s="7"/>
    </row>
    <row r="315">
      <c r="B315" s="7"/>
      <c r="C315" s="54"/>
      <c r="D315" s="7"/>
      <c r="E315" s="7"/>
      <c r="F315" s="7"/>
      <c r="G315" s="7"/>
      <c r="H315" s="7"/>
      <c r="I315" s="7"/>
      <c r="J315" s="54"/>
      <c r="K315" s="54"/>
      <c r="L315" s="7"/>
      <c r="M315" s="7"/>
      <c r="N315" s="7"/>
      <c r="O315" s="7"/>
      <c r="P315" s="7"/>
      <c r="Q315" s="7"/>
      <c r="R315" s="7"/>
      <c r="S315" s="7"/>
      <c r="T315" s="7"/>
    </row>
    <row r="316">
      <c r="B316" s="7"/>
      <c r="C316" s="54"/>
      <c r="D316" s="7"/>
      <c r="E316" s="7"/>
      <c r="F316" s="7"/>
      <c r="G316" s="7"/>
      <c r="H316" s="7"/>
      <c r="I316" s="7"/>
      <c r="J316" s="54"/>
      <c r="K316" s="54"/>
      <c r="L316" s="7"/>
      <c r="M316" s="7"/>
      <c r="N316" s="7"/>
      <c r="O316" s="7"/>
      <c r="P316" s="7"/>
      <c r="Q316" s="7"/>
      <c r="R316" s="7"/>
      <c r="S316" s="7"/>
      <c r="T316" s="7"/>
    </row>
    <row r="317">
      <c r="B317" s="7"/>
      <c r="C317" s="54"/>
      <c r="D317" s="7"/>
      <c r="E317" s="7"/>
      <c r="F317" s="7"/>
      <c r="G317" s="7"/>
      <c r="H317" s="7"/>
      <c r="I317" s="7"/>
      <c r="J317" s="54"/>
      <c r="K317" s="54"/>
      <c r="L317" s="7"/>
      <c r="M317" s="7"/>
      <c r="N317" s="7"/>
      <c r="O317" s="7"/>
      <c r="P317" s="7"/>
      <c r="Q317" s="7"/>
      <c r="R317" s="7"/>
      <c r="S317" s="7"/>
      <c r="T317" s="7"/>
    </row>
    <row r="318">
      <c r="B318" s="7"/>
      <c r="C318" s="54"/>
      <c r="D318" s="7"/>
      <c r="E318" s="7"/>
      <c r="F318" s="7"/>
      <c r="G318" s="7"/>
      <c r="H318" s="7"/>
      <c r="I318" s="7"/>
      <c r="J318" s="54"/>
      <c r="K318" s="54"/>
      <c r="L318" s="7"/>
      <c r="M318" s="7"/>
      <c r="N318" s="7"/>
      <c r="O318" s="7"/>
      <c r="P318" s="7"/>
      <c r="Q318" s="7"/>
      <c r="R318" s="7"/>
      <c r="S318" s="7"/>
      <c r="T318" s="7"/>
    </row>
    <row r="319">
      <c r="B319" s="7"/>
      <c r="C319" s="54"/>
      <c r="D319" s="7"/>
      <c r="E319" s="7"/>
      <c r="F319" s="7"/>
      <c r="G319" s="7"/>
      <c r="H319" s="7"/>
      <c r="I319" s="7"/>
      <c r="J319" s="54"/>
      <c r="K319" s="54"/>
      <c r="L319" s="7"/>
      <c r="M319" s="7"/>
      <c r="N319" s="7"/>
      <c r="O319" s="7"/>
      <c r="P319" s="7"/>
      <c r="Q319" s="7"/>
      <c r="R319" s="7"/>
      <c r="S319" s="7"/>
      <c r="T319" s="7"/>
    </row>
    <row r="320">
      <c r="B320" s="7"/>
      <c r="C320" s="54"/>
      <c r="D320" s="7"/>
      <c r="E320" s="7"/>
      <c r="F320" s="7"/>
      <c r="G320" s="7"/>
      <c r="H320" s="7"/>
      <c r="I320" s="7"/>
      <c r="J320" s="54"/>
      <c r="K320" s="54"/>
      <c r="L320" s="7"/>
      <c r="M320" s="7"/>
      <c r="N320" s="7"/>
      <c r="O320" s="7"/>
      <c r="P320" s="7"/>
      <c r="Q320" s="7"/>
      <c r="R320" s="7"/>
      <c r="S320" s="7"/>
      <c r="T320" s="7"/>
    </row>
    <row r="321">
      <c r="B321" s="7"/>
      <c r="C321" s="54"/>
      <c r="D321" s="7"/>
      <c r="E321" s="7"/>
      <c r="F321" s="7"/>
      <c r="G321" s="7"/>
      <c r="H321" s="7"/>
      <c r="I321" s="7"/>
      <c r="J321" s="54"/>
      <c r="K321" s="54"/>
      <c r="L321" s="7"/>
      <c r="M321" s="7"/>
      <c r="N321" s="7"/>
      <c r="O321" s="7"/>
      <c r="P321" s="7"/>
      <c r="Q321" s="7"/>
      <c r="R321" s="7"/>
      <c r="S321" s="7"/>
      <c r="T321" s="7"/>
    </row>
    <row r="322">
      <c r="B322" s="7"/>
      <c r="C322" s="54"/>
      <c r="D322" s="7"/>
      <c r="E322" s="7"/>
      <c r="F322" s="7"/>
      <c r="G322" s="7"/>
      <c r="H322" s="7"/>
      <c r="I322" s="7"/>
      <c r="J322" s="54"/>
      <c r="K322" s="54"/>
      <c r="L322" s="7"/>
      <c r="M322" s="7"/>
      <c r="N322" s="7"/>
      <c r="O322" s="7"/>
      <c r="P322" s="7"/>
      <c r="Q322" s="7"/>
      <c r="R322" s="7"/>
      <c r="S322" s="7"/>
      <c r="T322" s="7"/>
    </row>
    <row r="323">
      <c r="B323" s="7"/>
      <c r="C323" s="54"/>
      <c r="D323" s="7"/>
      <c r="E323" s="7"/>
      <c r="F323" s="7"/>
      <c r="G323" s="7"/>
      <c r="H323" s="7"/>
      <c r="I323" s="7"/>
      <c r="J323" s="54"/>
      <c r="K323" s="54"/>
      <c r="L323" s="7"/>
      <c r="M323" s="7"/>
      <c r="N323" s="7"/>
      <c r="O323" s="7"/>
      <c r="P323" s="7"/>
      <c r="Q323" s="7"/>
      <c r="R323" s="7"/>
      <c r="S323" s="7"/>
      <c r="T323" s="7"/>
    </row>
    <row r="324">
      <c r="B324" s="7"/>
      <c r="C324" s="54"/>
      <c r="D324" s="7"/>
      <c r="E324" s="7"/>
      <c r="F324" s="7"/>
      <c r="G324" s="7"/>
      <c r="H324" s="7"/>
      <c r="I324" s="7"/>
      <c r="J324" s="54"/>
      <c r="K324" s="54"/>
      <c r="L324" s="7"/>
      <c r="M324" s="7"/>
      <c r="N324" s="7"/>
      <c r="O324" s="7"/>
      <c r="P324" s="7"/>
      <c r="Q324" s="7"/>
      <c r="R324" s="7"/>
      <c r="S324" s="7"/>
      <c r="T324" s="7"/>
    </row>
    <row r="325">
      <c r="B325" s="7"/>
      <c r="C325" s="54"/>
      <c r="D325" s="7"/>
      <c r="E325" s="7"/>
      <c r="F325" s="7"/>
      <c r="G325" s="7"/>
      <c r="H325" s="7"/>
      <c r="I325" s="7"/>
      <c r="J325" s="54"/>
      <c r="K325" s="54"/>
      <c r="L325" s="7"/>
      <c r="M325" s="7"/>
      <c r="N325" s="7"/>
      <c r="O325" s="7"/>
      <c r="P325" s="7"/>
      <c r="Q325" s="7"/>
      <c r="R325" s="7"/>
      <c r="S325" s="7"/>
      <c r="T325" s="7"/>
    </row>
    <row r="326">
      <c r="B326" s="7"/>
      <c r="C326" s="54"/>
      <c r="D326" s="7"/>
      <c r="E326" s="7"/>
      <c r="F326" s="7"/>
      <c r="G326" s="7"/>
      <c r="H326" s="7"/>
      <c r="I326" s="7"/>
      <c r="J326" s="54"/>
      <c r="K326" s="54"/>
      <c r="L326" s="7"/>
      <c r="M326" s="7"/>
      <c r="N326" s="7"/>
      <c r="O326" s="7"/>
      <c r="P326" s="7"/>
      <c r="Q326" s="7"/>
      <c r="R326" s="7"/>
      <c r="S326" s="7"/>
      <c r="T326" s="7"/>
    </row>
    <row r="327">
      <c r="B327" s="7"/>
      <c r="C327" s="54"/>
      <c r="D327" s="7"/>
      <c r="E327" s="7"/>
      <c r="F327" s="7"/>
      <c r="G327" s="7"/>
      <c r="H327" s="7"/>
      <c r="I327" s="7"/>
      <c r="J327" s="54"/>
      <c r="K327" s="54"/>
      <c r="L327" s="7"/>
      <c r="M327" s="7"/>
      <c r="N327" s="7"/>
      <c r="O327" s="7"/>
      <c r="P327" s="7"/>
      <c r="Q327" s="7"/>
      <c r="R327" s="7"/>
      <c r="S327" s="7"/>
      <c r="T327" s="7"/>
    </row>
    <row r="328">
      <c r="B328" s="7"/>
      <c r="C328" s="54"/>
      <c r="D328" s="7"/>
      <c r="E328" s="7"/>
      <c r="F328" s="7"/>
      <c r="G328" s="7"/>
      <c r="H328" s="7"/>
      <c r="I328" s="7"/>
      <c r="J328" s="54"/>
      <c r="K328" s="54"/>
      <c r="L328" s="7"/>
      <c r="M328" s="7"/>
      <c r="N328" s="7"/>
      <c r="O328" s="7"/>
      <c r="P328" s="7"/>
      <c r="Q328" s="7"/>
      <c r="R328" s="7"/>
      <c r="S328" s="7"/>
      <c r="T328" s="7"/>
    </row>
    <row r="329">
      <c r="B329" s="7"/>
      <c r="C329" s="54"/>
      <c r="D329" s="7"/>
      <c r="E329" s="7"/>
      <c r="F329" s="7"/>
      <c r="G329" s="7"/>
      <c r="H329" s="7"/>
      <c r="I329" s="7"/>
      <c r="J329" s="54"/>
      <c r="K329" s="54"/>
      <c r="L329" s="7"/>
      <c r="M329" s="7"/>
      <c r="N329" s="7"/>
      <c r="O329" s="7"/>
      <c r="P329" s="7"/>
      <c r="Q329" s="7"/>
      <c r="R329" s="7"/>
      <c r="S329" s="7"/>
      <c r="T329" s="7"/>
    </row>
    <row r="330">
      <c r="B330" s="7"/>
      <c r="C330" s="54"/>
      <c r="D330" s="7"/>
      <c r="E330" s="7"/>
      <c r="F330" s="7"/>
      <c r="G330" s="7"/>
      <c r="H330" s="7"/>
      <c r="I330" s="7"/>
      <c r="J330" s="54"/>
      <c r="K330" s="54"/>
      <c r="L330" s="7"/>
      <c r="M330" s="7"/>
      <c r="N330" s="7"/>
      <c r="O330" s="7"/>
      <c r="P330" s="7"/>
      <c r="Q330" s="7"/>
      <c r="R330" s="7"/>
      <c r="S330" s="7"/>
      <c r="T330" s="7"/>
    </row>
    <row r="331">
      <c r="B331" s="7"/>
      <c r="C331" s="54"/>
      <c r="D331" s="7"/>
      <c r="E331" s="7"/>
      <c r="F331" s="7"/>
      <c r="G331" s="7"/>
      <c r="H331" s="7"/>
      <c r="I331" s="7"/>
      <c r="J331" s="54"/>
      <c r="K331" s="54"/>
      <c r="L331" s="7"/>
      <c r="M331" s="7"/>
      <c r="N331" s="7"/>
      <c r="O331" s="7"/>
      <c r="P331" s="7"/>
      <c r="Q331" s="7"/>
      <c r="R331" s="7"/>
      <c r="S331" s="7"/>
      <c r="T331" s="7"/>
    </row>
    <row r="332">
      <c r="B332" s="7"/>
      <c r="C332" s="54"/>
      <c r="D332" s="7"/>
      <c r="E332" s="7"/>
      <c r="F332" s="7"/>
      <c r="G332" s="7"/>
      <c r="H332" s="7"/>
      <c r="I332" s="7"/>
      <c r="J332" s="54"/>
      <c r="K332" s="54"/>
      <c r="L332" s="7"/>
      <c r="M332" s="7"/>
      <c r="N332" s="7"/>
      <c r="O332" s="7"/>
      <c r="P332" s="7"/>
      <c r="Q332" s="7"/>
      <c r="R332" s="7"/>
      <c r="S332" s="7"/>
      <c r="T332" s="7"/>
    </row>
    <row r="333">
      <c r="B333" s="7"/>
      <c r="C333" s="54"/>
      <c r="D333" s="7"/>
      <c r="E333" s="7"/>
      <c r="F333" s="7"/>
      <c r="G333" s="7"/>
      <c r="H333" s="7"/>
      <c r="I333" s="7"/>
      <c r="J333" s="54"/>
      <c r="K333" s="54"/>
      <c r="L333" s="7"/>
      <c r="M333" s="7"/>
      <c r="N333" s="7"/>
      <c r="O333" s="7"/>
      <c r="P333" s="7"/>
      <c r="Q333" s="7"/>
      <c r="R333" s="7"/>
      <c r="S333" s="7"/>
      <c r="T333" s="7"/>
    </row>
    <row r="334">
      <c r="B334" s="7"/>
      <c r="C334" s="54"/>
      <c r="D334" s="7"/>
      <c r="E334" s="7"/>
      <c r="F334" s="7"/>
      <c r="G334" s="7"/>
      <c r="H334" s="7"/>
      <c r="I334" s="7"/>
      <c r="J334" s="54"/>
      <c r="K334" s="54"/>
      <c r="L334" s="7"/>
      <c r="M334" s="7"/>
      <c r="N334" s="7"/>
      <c r="O334" s="7"/>
      <c r="P334" s="7"/>
      <c r="Q334" s="7"/>
      <c r="R334" s="7"/>
      <c r="S334" s="7"/>
      <c r="T334" s="7"/>
    </row>
    <row r="335">
      <c r="B335" s="7"/>
      <c r="C335" s="54"/>
      <c r="D335" s="7"/>
      <c r="E335" s="7"/>
      <c r="F335" s="7"/>
      <c r="G335" s="7"/>
      <c r="H335" s="7"/>
      <c r="I335" s="7"/>
      <c r="J335" s="54"/>
      <c r="K335" s="54"/>
      <c r="L335" s="7"/>
      <c r="M335" s="7"/>
      <c r="N335" s="7"/>
      <c r="O335" s="7"/>
      <c r="P335" s="7"/>
      <c r="Q335" s="7"/>
      <c r="R335" s="7"/>
      <c r="S335" s="7"/>
      <c r="T335" s="7"/>
    </row>
    <row r="336">
      <c r="B336" s="7"/>
      <c r="C336" s="54"/>
      <c r="D336" s="7"/>
      <c r="E336" s="7"/>
      <c r="F336" s="7"/>
      <c r="G336" s="7"/>
      <c r="H336" s="7"/>
      <c r="I336" s="7"/>
      <c r="J336" s="54"/>
      <c r="K336" s="54"/>
      <c r="L336" s="7"/>
      <c r="M336" s="7"/>
      <c r="N336" s="7"/>
      <c r="O336" s="7"/>
      <c r="P336" s="7"/>
      <c r="Q336" s="7"/>
      <c r="R336" s="7"/>
      <c r="S336" s="7"/>
      <c r="T336" s="7"/>
    </row>
    <row r="337">
      <c r="B337" s="7"/>
      <c r="C337" s="54"/>
      <c r="D337" s="7"/>
      <c r="E337" s="7"/>
      <c r="F337" s="7"/>
      <c r="G337" s="7"/>
      <c r="H337" s="7"/>
      <c r="I337" s="7"/>
      <c r="J337" s="54"/>
      <c r="K337" s="54"/>
      <c r="L337" s="7"/>
      <c r="M337" s="7"/>
      <c r="N337" s="7"/>
      <c r="O337" s="7"/>
      <c r="P337" s="7"/>
      <c r="Q337" s="7"/>
      <c r="R337" s="7"/>
      <c r="S337" s="7"/>
      <c r="T337" s="7"/>
    </row>
    <row r="338">
      <c r="B338" s="7"/>
      <c r="C338" s="54"/>
      <c r="D338" s="7"/>
      <c r="E338" s="7"/>
      <c r="F338" s="7"/>
      <c r="G338" s="7"/>
      <c r="H338" s="7"/>
      <c r="I338" s="7"/>
      <c r="J338" s="54"/>
      <c r="K338" s="54"/>
      <c r="L338" s="7"/>
      <c r="M338" s="7"/>
      <c r="N338" s="7"/>
      <c r="O338" s="7"/>
      <c r="P338" s="7"/>
      <c r="Q338" s="7"/>
      <c r="R338" s="7"/>
      <c r="S338" s="7"/>
      <c r="T338" s="7"/>
    </row>
    <row r="339">
      <c r="B339" s="7"/>
      <c r="C339" s="54"/>
      <c r="D339" s="7"/>
      <c r="E339" s="7"/>
      <c r="F339" s="7"/>
      <c r="G339" s="7"/>
      <c r="H339" s="7"/>
      <c r="I339" s="7"/>
      <c r="J339" s="54"/>
      <c r="K339" s="54"/>
      <c r="L339" s="7"/>
      <c r="M339" s="7"/>
      <c r="N339" s="7"/>
      <c r="O339" s="7"/>
      <c r="P339" s="7"/>
      <c r="Q339" s="7"/>
      <c r="R339" s="7"/>
      <c r="S339" s="7"/>
      <c r="T339" s="7"/>
    </row>
    <row r="340">
      <c r="B340" s="7"/>
      <c r="C340" s="54"/>
      <c r="D340" s="7"/>
      <c r="E340" s="7"/>
      <c r="F340" s="7"/>
      <c r="G340" s="7"/>
      <c r="H340" s="7"/>
      <c r="I340" s="7"/>
      <c r="J340" s="54"/>
      <c r="K340" s="54"/>
      <c r="L340" s="7"/>
      <c r="M340" s="7"/>
      <c r="N340" s="7"/>
      <c r="O340" s="7"/>
      <c r="P340" s="7"/>
      <c r="Q340" s="7"/>
      <c r="R340" s="7"/>
      <c r="S340" s="7"/>
      <c r="T340" s="7"/>
    </row>
    <row r="341">
      <c r="B341" s="7"/>
      <c r="C341" s="54"/>
      <c r="D341" s="7"/>
      <c r="E341" s="7"/>
      <c r="F341" s="7"/>
      <c r="G341" s="7"/>
      <c r="H341" s="7"/>
      <c r="I341" s="7"/>
      <c r="J341" s="54"/>
      <c r="K341" s="54"/>
      <c r="L341" s="7"/>
      <c r="M341" s="7"/>
      <c r="N341" s="7"/>
      <c r="O341" s="7"/>
      <c r="P341" s="7"/>
      <c r="Q341" s="7"/>
      <c r="R341" s="7"/>
      <c r="S341" s="7"/>
      <c r="T341" s="7"/>
    </row>
    <row r="342">
      <c r="B342" s="7"/>
      <c r="C342" s="54"/>
      <c r="D342" s="7"/>
      <c r="E342" s="7"/>
      <c r="F342" s="7"/>
      <c r="G342" s="7"/>
      <c r="H342" s="7"/>
      <c r="I342" s="7"/>
      <c r="J342" s="54"/>
      <c r="K342" s="54"/>
      <c r="L342" s="7"/>
      <c r="M342" s="7"/>
      <c r="N342" s="7"/>
      <c r="O342" s="7"/>
      <c r="P342" s="7"/>
      <c r="Q342" s="7"/>
      <c r="R342" s="7"/>
      <c r="S342" s="7"/>
      <c r="T342" s="7"/>
    </row>
    <row r="343">
      <c r="B343" s="7"/>
      <c r="C343" s="54"/>
      <c r="D343" s="7"/>
      <c r="E343" s="7"/>
      <c r="F343" s="7"/>
      <c r="G343" s="7"/>
      <c r="H343" s="7"/>
      <c r="I343" s="7"/>
      <c r="J343" s="54"/>
      <c r="K343" s="54"/>
      <c r="L343" s="7"/>
      <c r="M343" s="7"/>
      <c r="N343" s="7"/>
      <c r="O343" s="7"/>
      <c r="P343" s="7"/>
      <c r="Q343" s="7"/>
      <c r="R343" s="7"/>
      <c r="S343" s="7"/>
      <c r="T343" s="7"/>
    </row>
    <row r="344">
      <c r="B344" s="7"/>
      <c r="C344" s="54"/>
      <c r="D344" s="7"/>
      <c r="E344" s="7"/>
      <c r="F344" s="7"/>
      <c r="G344" s="7"/>
      <c r="H344" s="7"/>
      <c r="I344" s="7"/>
      <c r="J344" s="54"/>
      <c r="K344" s="54"/>
      <c r="L344" s="7"/>
      <c r="M344" s="7"/>
      <c r="N344" s="7"/>
      <c r="O344" s="7"/>
      <c r="P344" s="7"/>
      <c r="Q344" s="7"/>
      <c r="R344" s="7"/>
      <c r="S344" s="7"/>
      <c r="T344" s="7"/>
    </row>
    <row r="345">
      <c r="B345" s="7"/>
      <c r="C345" s="54"/>
      <c r="D345" s="7"/>
      <c r="E345" s="7"/>
      <c r="F345" s="7"/>
      <c r="G345" s="7"/>
      <c r="H345" s="7"/>
      <c r="I345" s="7"/>
      <c r="J345" s="54"/>
      <c r="K345" s="54"/>
      <c r="L345" s="7"/>
      <c r="M345" s="7"/>
      <c r="N345" s="7"/>
      <c r="O345" s="7"/>
      <c r="P345" s="7"/>
      <c r="Q345" s="7"/>
      <c r="R345" s="7"/>
      <c r="S345" s="7"/>
      <c r="T345" s="7"/>
    </row>
    <row r="346">
      <c r="B346" s="7"/>
      <c r="C346" s="54"/>
      <c r="D346" s="7"/>
      <c r="E346" s="7"/>
      <c r="F346" s="7"/>
      <c r="G346" s="7"/>
      <c r="H346" s="7"/>
      <c r="I346" s="7"/>
      <c r="J346" s="54"/>
      <c r="K346" s="54"/>
      <c r="L346" s="7"/>
      <c r="M346" s="7"/>
      <c r="N346" s="7"/>
      <c r="O346" s="7"/>
      <c r="P346" s="7"/>
      <c r="Q346" s="7"/>
      <c r="R346" s="7"/>
      <c r="S346" s="7"/>
      <c r="T346" s="7"/>
    </row>
    <row r="347">
      <c r="B347" s="7"/>
      <c r="C347" s="54"/>
      <c r="D347" s="7"/>
      <c r="E347" s="7"/>
      <c r="F347" s="7"/>
      <c r="G347" s="7"/>
      <c r="H347" s="7"/>
      <c r="I347" s="7"/>
      <c r="J347" s="54"/>
      <c r="K347" s="54"/>
      <c r="L347" s="7"/>
      <c r="M347" s="7"/>
      <c r="N347" s="7"/>
      <c r="O347" s="7"/>
      <c r="P347" s="7"/>
      <c r="Q347" s="7"/>
      <c r="R347" s="7"/>
      <c r="S347" s="7"/>
      <c r="T347" s="7"/>
    </row>
    <row r="348">
      <c r="B348" s="7"/>
      <c r="C348" s="54"/>
      <c r="D348" s="7"/>
      <c r="E348" s="7"/>
      <c r="F348" s="7"/>
      <c r="G348" s="7"/>
      <c r="H348" s="7"/>
      <c r="I348" s="7"/>
      <c r="J348" s="54"/>
      <c r="K348" s="54"/>
      <c r="L348" s="7"/>
      <c r="M348" s="7"/>
      <c r="N348" s="7"/>
      <c r="O348" s="7"/>
      <c r="P348" s="7"/>
      <c r="Q348" s="7"/>
      <c r="R348" s="7"/>
      <c r="S348" s="7"/>
      <c r="T348" s="7"/>
    </row>
    <row r="349">
      <c r="B349" s="7"/>
      <c r="C349" s="54"/>
      <c r="D349" s="7"/>
      <c r="E349" s="7"/>
      <c r="F349" s="7"/>
      <c r="G349" s="7"/>
      <c r="H349" s="7"/>
      <c r="I349" s="7"/>
      <c r="J349" s="54"/>
      <c r="K349" s="54"/>
      <c r="L349" s="7"/>
      <c r="M349" s="7"/>
      <c r="N349" s="7"/>
      <c r="O349" s="7"/>
      <c r="P349" s="7"/>
      <c r="Q349" s="7"/>
      <c r="R349" s="7"/>
      <c r="S349" s="7"/>
      <c r="T349" s="7"/>
    </row>
    <row r="350">
      <c r="B350" s="7"/>
      <c r="C350" s="54"/>
      <c r="D350" s="7"/>
      <c r="E350" s="7"/>
      <c r="F350" s="7"/>
      <c r="G350" s="7"/>
      <c r="H350" s="7"/>
      <c r="I350" s="7"/>
      <c r="J350" s="54"/>
      <c r="K350" s="54"/>
      <c r="L350" s="7"/>
      <c r="M350" s="7"/>
      <c r="N350" s="7"/>
      <c r="O350" s="7"/>
      <c r="P350" s="7"/>
      <c r="Q350" s="7"/>
      <c r="R350" s="7"/>
      <c r="S350" s="7"/>
      <c r="T350" s="7"/>
    </row>
    <row r="351">
      <c r="B351" s="7"/>
      <c r="C351" s="54"/>
      <c r="D351" s="7"/>
      <c r="E351" s="7"/>
      <c r="F351" s="7"/>
      <c r="G351" s="7"/>
      <c r="H351" s="7"/>
      <c r="I351" s="7"/>
      <c r="J351" s="54"/>
      <c r="K351" s="54"/>
      <c r="L351" s="7"/>
      <c r="M351" s="7"/>
      <c r="N351" s="7"/>
      <c r="O351" s="7"/>
      <c r="P351" s="7"/>
      <c r="Q351" s="7"/>
      <c r="R351" s="7"/>
      <c r="S351" s="7"/>
      <c r="T351" s="7"/>
    </row>
    <row r="352">
      <c r="B352" s="7"/>
      <c r="C352" s="54"/>
      <c r="D352" s="7"/>
      <c r="E352" s="7"/>
      <c r="F352" s="7"/>
      <c r="G352" s="7"/>
      <c r="H352" s="7"/>
      <c r="I352" s="7"/>
      <c r="J352" s="54"/>
      <c r="K352" s="54"/>
      <c r="L352" s="7"/>
      <c r="M352" s="7"/>
      <c r="N352" s="7"/>
      <c r="O352" s="7"/>
      <c r="P352" s="7"/>
      <c r="Q352" s="7"/>
      <c r="R352" s="7"/>
      <c r="S352" s="7"/>
      <c r="T352" s="7"/>
    </row>
    <row r="353">
      <c r="B353" s="7"/>
      <c r="C353" s="54"/>
      <c r="D353" s="7"/>
      <c r="E353" s="7"/>
      <c r="F353" s="7"/>
      <c r="G353" s="7"/>
      <c r="H353" s="7"/>
      <c r="I353" s="7"/>
      <c r="J353" s="54"/>
      <c r="K353" s="54"/>
      <c r="L353" s="7"/>
      <c r="M353" s="7"/>
      <c r="N353" s="7"/>
      <c r="O353" s="7"/>
      <c r="P353" s="7"/>
      <c r="Q353" s="7"/>
      <c r="R353" s="7"/>
      <c r="S353" s="7"/>
      <c r="T353" s="7"/>
    </row>
    <row r="354">
      <c r="B354" s="7"/>
      <c r="C354" s="54"/>
      <c r="D354" s="7"/>
      <c r="E354" s="7"/>
      <c r="F354" s="7"/>
      <c r="G354" s="7"/>
      <c r="H354" s="7"/>
      <c r="I354" s="7"/>
      <c r="J354" s="54"/>
      <c r="K354" s="54"/>
      <c r="L354" s="7"/>
      <c r="M354" s="7"/>
      <c r="N354" s="7"/>
      <c r="O354" s="7"/>
      <c r="P354" s="7"/>
      <c r="Q354" s="7"/>
      <c r="R354" s="7"/>
      <c r="S354" s="7"/>
      <c r="T354" s="7"/>
    </row>
    <row r="355">
      <c r="B355" s="7"/>
      <c r="C355" s="54"/>
      <c r="D355" s="7"/>
      <c r="E355" s="7"/>
      <c r="F355" s="7"/>
      <c r="G355" s="7"/>
      <c r="H355" s="7"/>
      <c r="I355" s="7"/>
      <c r="J355" s="54"/>
      <c r="K355" s="54"/>
      <c r="L355" s="7"/>
      <c r="M355" s="7"/>
      <c r="N355" s="7"/>
      <c r="O355" s="7"/>
      <c r="P355" s="7"/>
      <c r="Q355" s="7"/>
      <c r="R355" s="7"/>
      <c r="S355" s="7"/>
      <c r="T355" s="7"/>
    </row>
    <row r="356">
      <c r="B356" s="7"/>
      <c r="C356" s="54"/>
      <c r="D356" s="7"/>
      <c r="E356" s="7"/>
      <c r="F356" s="7"/>
      <c r="G356" s="7"/>
      <c r="H356" s="7"/>
      <c r="I356" s="7"/>
      <c r="J356" s="54"/>
      <c r="K356" s="54"/>
      <c r="L356" s="7"/>
      <c r="M356" s="7"/>
      <c r="N356" s="7"/>
      <c r="O356" s="7"/>
      <c r="P356" s="7"/>
      <c r="Q356" s="7"/>
      <c r="R356" s="7"/>
      <c r="S356" s="7"/>
      <c r="T356" s="7"/>
    </row>
    <row r="357">
      <c r="B357" s="7"/>
      <c r="C357" s="54"/>
      <c r="D357" s="7"/>
      <c r="E357" s="7"/>
      <c r="F357" s="7"/>
      <c r="G357" s="7"/>
      <c r="H357" s="7"/>
      <c r="I357" s="7"/>
      <c r="J357" s="54"/>
      <c r="K357" s="54"/>
      <c r="L357" s="7"/>
      <c r="M357" s="7"/>
      <c r="N357" s="7"/>
      <c r="O357" s="7"/>
      <c r="P357" s="7"/>
      <c r="Q357" s="7"/>
      <c r="R357" s="7"/>
      <c r="S357" s="7"/>
      <c r="T357" s="7"/>
    </row>
    <row r="358">
      <c r="B358" s="7"/>
      <c r="C358" s="54"/>
      <c r="D358" s="7"/>
      <c r="E358" s="7"/>
      <c r="F358" s="7"/>
      <c r="G358" s="7"/>
      <c r="H358" s="7"/>
      <c r="I358" s="7"/>
      <c r="J358" s="54"/>
      <c r="K358" s="54"/>
      <c r="L358" s="7"/>
      <c r="M358" s="7"/>
      <c r="N358" s="7"/>
      <c r="O358" s="7"/>
      <c r="P358" s="7"/>
      <c r="Q358" s="7"/>
      <c r="R358" s="7"/>
      <c r="S358" s="7"/>
      <c r="T358" s="7"/>
    </row>
    <row r="359">
      <c r="B359" s="7"/>
      <c r="C359" s="54"/>
      <c r="D359" s="7"/>
      <c r="E359" s="7"/>
      <c r="F359" s="7"/>
      <c r="G359" s="7"/>
      <c r="H359" s="7"/>
      <c r="I359" s="7"/>
      <c r="J359" s="54"/>
      <c r="K359" s="54"/>
      <c r="L359" s="7"/>
      <c r="M359" s="7"/>
      <c r="N359" s="7"/>
      <c r="O359" s="7"/>
      <c r="P359" s="7"/>
      <c r="Q359" s="7"/>
      <c r="R359" s="7"/>
      <c r="S359" s="7"/>
      <c r="T359" s="7"/>
    </row>
    <row r="360">
      <c r="B360" s="7"/>
      <c r="C360" s="54"/>
      <c r="D360" s="7"/>
      <c r="E360" s="7"/>
      <c r="F360" s="7"/>
      <c r="G360" s="7"/>
      <c r="H360" s="7"/>
      <c r="I360" s="7"/>
      <c r="J360" s="54"/>
      <c r="K360" s="54"/>
      <c r="L360" s="7"/>
      <c r="M360" s="7"/>
      <c r="N360" s="7"/>
      <c r="O360" s="7"/>
      <c r="P360" s="7"/>
      <c r="Q360" s="7"/>
      <c r="R360" s="7"/>
      <c r="S360" s="7"/>
      <c r="T360" s="7"/>
    </row>
    <row r="361">
      <c r="B361" s="7"/>
      <c r="C361" s="54"/>
      <c r="D361" s="7"/>
      <c r="E361" s="7"/>
      <c r="F361" s="7"/>
      <c r="G361" s="7"/>
      <c r="H361" s="7"/>
      <c r="I361" s="7"/>
      <c r="J361" s="54"/>
      <c r="K361" s="54"/>
      <c r="L361" s="7"/>
      <c r="M361" s="7"/>
      <c r="N361" s="7"/>
      <c r="O361" s="7"/>
      <c r="P361" s="7"/>
      <c r="Q361" s="7"/>
      <c r="R361" s="7"/>
      <c r="S361" s="7"/>
      <c r="T361" s="7"/>
    </row>
    <row r="362">
      <c r="B362" s="7"/>
      <c r="C362" s="54"/>
      <c r="D362" s="7"/>
      <c r="E362" s="7"/>
      <c r="F362" s="7"/>
      <c r="G362" s="7"/>
      <c r="H362" s="7"/>
      <c r="I362" s="7"/>
      <c r="J362" s="54"/>
      <c r="K362" s="54"/>
      <c r="L362" s="7"/>
      <c r="M362" s="7"/>
      <c r="N362" s="7"/>
      <c r="O362" s="7"/>
      <c r="P362" s="7"/>
      <c r="Q362" s="7"/>
      <c r="R362" s="7"/>
      <c r="S362" s="7"/>
      <c r="T362" s="7"/>
    </row>
    <row r="363">
      <c r="B363" s="7"/>
      <c r="C363" s="54"/>
      <c r="D363" s="7"/>
      <c r="E363" s="7"/>
      <c r="F363" s="7"/>
      <c r="G363" s="7"/>
      <c r="H363" s="7"/>
      <c r="I363" s="7"/>
      <c r="J363" s="54"/>
      <c r="K363" s="54"/>
      <c r="L363" s="7"/>
      <c r="M363" s="7"/>
      <c r="N363" s="7"/>
      <c r="O363" s="7"/>
      <c r="P363" s="7"/>
      <c r="Q363" s="7"/>
      <c r="R363" s="7"/>
      <c r="S363" s="7"/>
      <c r="T363" s="7"/>
    </row>
    <row r="364">
      <c r="B364" s="7"/>
      <c r="C364" s="54"/>
      <c r="D364" s="7"/>
      <c r="E364" s="7"/>
      <c r="F364" s="7"/>
      <c r="G364" s="7"/>
      <c r="H364" s="7"/>
      <c r="I364" s="7"/>
      <c r="J364" s="54"/>
      <c r="K364" s="54"/>
      <c r="L364" s="7"/>
      <c r="M364" s="7"/>
      <c r="N364" s="7"/>
      <c r="O364" s="7"/>
      <c r="P364" s="7"/>
      <c r="Q364" s="7"/>
      <c r="R364" s="7"/>
      <c r="S364" s="7"/>
      <c r="T364" s="7"/>
    </row>
    <row r="365">
      <c r="B365" s="7"/>
      <c r="C365" s="54"/>
      <c r="D365" s="7"/>
      <c r="E365" s="7"/>
      <c r="F365" s="7"/>
      <c r="G365" s="7"/>
      <c r="H365" s="7"/>
      <c r="I365" s="7"/>
      <c r="J365" s="54"/>
      <c r="K365" s="54"/>
      <c r="L365" s="7"/>
      <c r="M365" s="7"/>
      <c r="N365" s="7"/>
      <c r="O365" s="7"/>
      <c r="P365" s="7"/>
      <c r="Q365" s="7"/>
      <c r="R365" s="7"/>
      <c r="S365" s="7"/>
      <c r="T365" s="7"/>
    </row>
    <row r="366">
      <c r="B366" s="7"/>
      <c r="C366" s="54"/>
      <c r="D366" s="7"/>
      <c r="E366" s="7"/>
      <c r="F366" s="7"/>
      <c r="G366" s="7"/>
      <c r="H366" s="7"/>
      <c r="I366" s="7"/>
      <c r="J366" s="54"/>
      <c r="K366" s="54"/>
      <c r="L366" s="7"/>
      <c r="M366" s="7"/>
      <c r="N366" s="7"/>
      <c r="O366" s="7"/>
      <c r="P366" s="7"/>
      <c r="Q366" s="7"/>
      <c r="R366" s="7"/>
      <c r="S366" s="7"/>
      <c r="T366" s="7"/>
    </row>
    <row r="367">
      <c r="B367" s="7"/>
      <c r="C367" s="54"/>
      <c r="D367" s="7"/>
      <c r="E367" s="7"/>
      <c r="F367" s="7"/>
      <c r="G367" s="7"/>
      <c r="H367" s="7"/>
      <c r="I367" s="7"/>
      <c r="J367" s="54"/>
      <c r="K367" s="54"/>
      <c r="L367" s="7"/>
      <c r="M367" s="7"/>
      <c r="N367" s="7"/>
      <c r="O367" s="7"/>
      <c r="P367" s="7"/>
      <c r="Q367" s="7"/>
      <c r="R367" s="7"/>
      <c r="S367" s="7"/>
      <c r="T367" s="7"/>
    </row>
    <row r="368">
      <c r="B368" s="7"/>
      <c r="C368" s="54"/>
      <c r="D368" s="7"/>
      <c r="E368" s="7"/>
      <c r="F368" s="7"/>
      <c r="G368" s="7"/>
      <c r="H368" s="7"/>
      <c r="I368" s="7"/>
      <c r="J368" s="54"/>
      <c r="K368" s="54"/>
      <c r="L368" s="7"/>
      <c r="M368" s="7"/>
      <c r="N368" s="7"/>
      <c r="O368" s="7"/>
      <c r="P368" s="7"/>
      <c r="Q368" s="7"/>
      <c r="R368" s="7"/>
      <c r="S368" s="7"/>
      <c r="T368" s="7"/>
    </row>
    <row r="369">
      <c r="B369" s="7"/>
      <c r="C369" s="54"/>
      <c r="D369" s="7"/>
      <c r="E369" s="7"/>
      <c r="F369" s="7"/>
      <c r="G369" s="7"/>
      <c r="H369" s="7"/>
      <c r="I369" s="7"/>
      <c r="J369" s="54"/>
      <c r="K369" s="54"/>
      <c r="L369" s="7"/>
      <c r="M369" s="7"/>
      <c r="N369" s="7"/>
      <c r="O369" s="7"/>
      <c r="P369" s="7"/>
      <c r="Q369" s="7"/>
      <c r="R369" s="7"/>
      <c r="S369" s="7"/>
      <c r="T369" s="7"/>
    </row>
    <row r="370">
      <c r="B370" s="7"/>
      <c r="C370" s="54"/>
      <c r="D370" s="7"/>
      <c r="E370" s="7"/>
      <c r="F370" s="7"/>
      <c r="G370" s="7"/>
      <c r="H370" s="7"/>
      <c r="I370" s="7"/>
      <c r="J370" s="54"/>
      <c r="K370" s="54"/>
      <c r="L370" s="7"/>
      <c r="M370" s="7"/>
      <c r="N370" s="7"/>
      <c r="O370" s="7"/>
      <c r="P370" s="7"/>
      <c r="Q370" s="7"/>
      <c r="R370" s="7"/>
      <c r="S370" s="7"/>
      <c r="T370" s="7"/>
    </row>
    <row r="371">
      <c r="B371" s="7"/>
      <c r="C371" s="54"/>
      <c r="D371" s="7"/>
      <c r="E371" s="7"/>
      <c r="F371" s="7"/>
      <c r="G371" s="7"/>
      <c r="H371" s="7"/>
      <c r="I371" s="7"/>
      <c r="J371" s="54"/>
      <c r="K371" s="54"/>
      <c r="L371" s="7"/>
      <c r="M371" s="7"/>
      <c r="N371" s="7"/>
      <c r="O371" s="7"/>
      <c r="P371" s="7"/>
      <c r="Q371" s="7"/>
      <c r="R371" s="7"/>
      <c r="S371" s="7"/>
      <c r="T371" s="7"/>
    </row>
    <row r="372">
      <c r="B372" s="7"/>
      <c r="C372" s="54"/>
      <c r="D372" s="7"/>
      <c r="E372" s="7"/>
      <c r="F372" s="7"/>
      <c r="G372" s="7"/>
      <c r="H372" s="7"/>
      <c r="I372" s="7"/>
      <c r="J372" s="54"/>
      <c r="K372" s="54"/>
      <c r="L372" s="7"/>
      <c r="M372" s="7"/>
      <c r="N372" s="7"/>
      <c r="O372" s="7"/>
      <c r="P372" s="7"/>
      <c r="Q372" s="7"/>
      <c r="R372" s="7"/>
      <c r="S372" s="7"/>
      <c r="T372" s="7"/>
    </row>
    <row r="373">
      <c r="B373" s="7"/>
      <c r="C373" s="54"/>
      <c r="D373" s="7"/>
      <c r="E373" s="7"/>
      <c r="F373" s="7"/>
      <c r="G373" s="7"/>
      <c r="H373" s="7"/>
      <c r="I373" s="7"/>
      <c r="J373" s="54"/>
      <c r="K373" s="54"/>
      <c r="L373" s="7"/>
      <c r="M373" s="7"/>
      <c r="N373" s="7"/>
      <c r="O373" s="7"/>
      <c r="P373" s="7"/>
      <c r="Q373" s="7"/>
      <c r="R373" s="7"/>
      <c r="S373" s="7"/>
      <c r="T373" s="7"/>
    </row>
    <row r="374">
      <c r="B374" s="7"/>
      <c r="C374" s="54"/>
      <c r="D374" s="7"/>
      <c r="E374" s="7"/>
      <c r="F374" s="7"/>
      <c r="G374" s="7"/>
      <c r="H374" s="7"/>
      <c r="I374" s="7"/>
      <c r="J374" s="54"/>
      <c r="K374" s="54"/>
      <c r="L374" s="7"/>
      <c r="M374" s="7"/>
      <c r="N374" s="7"/>
      <c r="O374" s="7"/>
      <c r="P374" s="7"/>
      <c r="Q374" s="7"/>
      <c r="R374" s="7"/>
      <c r="S374" s="7"/>
      <c r="T374" s="7"/>
    </row>
    <row r="375">
      <c r="B375" s="7"/>
      <c r="C375" s="54"/>
      <c r="D375" s="7"/>
      <c r="E375" s="7"/>
      <c r="F375" s="7"/>
      <c r="G375" s="7"/>
      <c r="H375" s="7"/>
      <c r="I375" s="7"/>
      <c r="J375" s="54"/>
      <c r="K375" s="54"/>
      <c r="L375" s="7"/>
      <c r="M375" s="7"/>
      <c r="N375" s="7"/>
      <c r="O375" s="7"/>
      <c r="P375" s="7"/>
      <c r="Q375" s="7"/>
      <c r="R375" s="7"/>
      <c r="S375" s="7"/>
      <c r="T375" s="7"/>
    </row>
    <row r="376">
      <c r="B376" s="7"/>
      <c r="C376" s="54"/>
      <c r="D376" s="7"/>
      <c r="E376" s="7"/>
      <c r="F376" s="7"/>
      <c r="G376" s="7"/>
      <c r="H376" s="7"/>
      <c r="I376" s="7"/>
      <c r="J376" s="54"/>
      <c r="K376" s="54"/>
      <c r="L376" s="7"/>
      <c r="M376" s="7"/>
      <c r="N376" s="7"/>
      <c r="O376" s="7"/>
      <c r="P376" s="7"/>
      <c r="Q376" s="7"/>
      <c r="R376" s="7"/>
      <c r="S376" s="7"/>
      <c r="T376" s="7"/>
    </row>
    <row r="377">
      <c r="B377" s="7"/>
      <c r="C377" s="54"/>
      <c r="D377" s="7"/>
      <c r="E377" s="7"/>
      <c r="F377" s="7"/>
      <c r="G377" s="7"/>
      <c r="H377" s="7"/>
      <c r="I377" s="7"/>
      <c r="J377" s="54"/>
      <c r="K377" s="54"/>
      <c r="L377" s="7"/>
      <c r="M377" s="7"/>
      <c r="N377" s="7"/>
      <c r="O377" s="7"/>
      <c r="P377" s="7"/>
      <c r="Q377" s="7"/>
      <c r="R377" s="7"/>
      <c r="S377" s="7"/>
      <c r="T377" s="7"/>
    </row>
    <row r="378">
      <c r="B378" s="7"/>
      <c r="C378" s="54"/>
      <c r="D378" s="7"/>
      <c r="E378" s="7"/>
      <c r="F378" s="7"/>
      <c r="G378" s="7"/>
      <c r="H378" s="7"/>
      <c r="I378" s="7"/>
      <c r="J378" s="54"/>
      <c r="K378" s="54"/>
      <c r="L378" s="7"/>
      <c r="M378" s="7"/>
      <c r="N378" s="7"/>
      <c r="O378" s="7"/>
      <c r="P378" s="7"/>
      <c r="Q378" s="7"/>
      <c r="R378" s="7"/>
      <c r="S378" s="7"/>
      <c r="T378" s="7"/>
    </row>
    <row r="379">
      <c r="B379" s="7"/>
      <c r="C379" s="54"/>
      <c r="D379" s="7"/>
      <c r="E379" s="7"/>
      <c r="F379" s="7"/>
      <c r="G379" s="7"/>
      <c r="H379" s="7"/>
      <c r="I379" s="7"/>
      <c r="J379" s="54"/>
      <c r="K379" s="54"/>
      <c r="L379" s="7"/>
      <c r="M379" s="7"/>
      <c r="N379" s="7"/>
      <c r="O379" s="7"/>
      <c r="P379" s="7"/>
      <c r="Q379" s="7"/>
      <c r="R379" s="7"/>
      <c r="S379" s="7"/>
      <c r="T379" s="7"/>
    </row>
    <row r="380">
      <c r="B380" s="7"/>
      <c r="C380" s="54"/>
      <c r="D380" s="7"/>
      <c r="E380" s="7"/>
      <c r="F380" s="7"/>
      <c r="G380" s="7"/>
      <c r="H380" s="7"/>
      <c r="I380" s="7"/>
      <c r="J380" s="54"/>
      <c r="K380" s="54"/>
      <c r="L380" s="7"/>
      <c r="M380" s="7"/>
      <c r="N380" s="7"/>
      <c r="O380" s="7"/>
      <c r="P380" s="7"/>
      <c r="Q380" s="7"/>
      <c r="R380" s="7"/>
      <c r="S380" s="7"/>
      <c r="T380" s="7"/>
    </row>
    <row r="381">
      <c r="B381" s="7"/>
      <c r="C381" s="54"/>
      <c r="D381" s="7"/>
      <c r="E381" s="7"/>
      <c r="F381" s="7"/>
      <c r="G381" s="7"/>
      <c r="H381" s="7"/>
      <c r="I381" s="7"/>
      <c r="J381" s="54"/>
      <c r="K381" s="54"/>
      <c r="L381" s="7"/>
      <c r="M381" s="7"/>
      <c r="N381" s="7"/>
      <c r="O381" s="7"/>
      <c r="P381" s="7"/>
      <c r="Q381" s="7"/>
      <c r="R381" s="7"/>
      <c r="S381" s="7"/>
      <c r="T381" s="7"/>
    </row>
    <row r="382">
      <c r="B382" s="7"/>
      <c r="C382" s="54"/>
      <c r="D382" s="7"/>
      <c r="E382" s="7"/>
      <c r="F382" s="7"/>
      <c r="G382" s="7"/>
      <c r="H382" s="7"/>
      <c r="I382" s="7"/>
      <c r="J382" s="54"/>
      <c r="K382" s="54"/>
      <c r="L382" s="7"/>
      <c r="M382" s="7"/>
      <c r="N382" s="7"/>
      <c r="O382" s="7"/>
      <c r="P382" s="7"/>
      <c r="Q382" s="7"/>
      <c r="R382" s="7"/>
      <c r="S382" s="7"/>
      <c r="T382" s="7"/>
    </row>
    <row r="383">
      <c r="B383" s="7"/>
      <c r="C383" s="54"/>
      <c r="D383" s="7"/>
      <c r="E383" s="7"/>
      <c r="F383" s="7"/>
      <c r="G383" s="7"/>
      <c r="H383" s="7"/>
      <c r="I383" s="7"/>
      <c r="J383" s="54"/>
      <c r="K383" s="54"/>
      <c r="L383" s="7"/>
      <c r="M383" s="7"/>
      <c r="N383" s="7"/>
      <c r="O383" s="7"/>
      <c r="P383" s="7"/>
      <c r="Q383" s="7"/>
      <c r="R383" s="7"/>
      <c r="S383" s="7"/>
      <c r="T383" s="7"/>
    </row>
    <row r="384">
      <c r="B384" s="7"/>
      <c r="C384" s="54"/>
      <c r="D384" s="7"/>
      <c r="E384" s="7"/>
      <c r="F384" s="7"/>
      <c r="G384" s="7"/>
      <c r="H384" s="7"/>
      <c r="I384" s="7"/>
      <c r="J384" s="54"/>
      <c r="K384" s="54"/>
      <c r="L384" s="7"/>
      <c r="M384" s="7"/>
      <c r="N384" s="7"/>
      <c r="O384" s="7"/>
      <c r="P384" s="7"/>
      <c r="Q384" s="7"/>
      <c r="R384" s="7"/>
      <c r="S384" s="7"/>
      <c r="T384" s="7"/>
    </row>
    <row r="385">
      <c r="B385" s="7"/>
      <c r="C385" s="54"/>
      <c r="D385" s="7"/>
      <c r="E385" s="7"/>
      <c r="F385" s="7"/>
      <c r="G385" s="7"/>
      <c r="H385" s="7"/>
      <c r="I385" s="7"/>
      <c r="J385" s="54"/>
      <c r="K385" s="54"/>
      <c r="L385" s="7"/>
      <c r="M385" s="7"/>
      <c r="N385" s="7"/>
      <c r="O385" s="7"/>
      <c r="P385" s="7"/>
      <c r="Q385" s="7"/>
      <c r="R385" s="7"/>
      <c r="S385" s="7"/>
      <c r="T385" s="7"/>
    </row>
    <row r="386">
      <c r="B386" s="7"/>
      <c r="C386" s="54"/>
      <c r="D386" s="7"/>
      <c r="E386" s="7"/>
      <c r="F386" s="7"/>
      <c r="G386" s="7"/>
      <c r="H386" s="7"/>
      <c r="I386" s="7"/>
      <c r="J386" s="54"/>
      <c r="K386" s="54"/>
      <c r="L386" s="7"/>
      <c r="M386" s="7"/>
      <c r="N386" s="7"/>
      <c r="O386" s="7"/>
      <c r="P386" s="7"/>
      <c r="Q386" s="7"/>
      <c r="R386" s="7"/>
      <c r="S386" s="7"/>
      <c r="T386" s="7"/>
    </row>
    <row r="387">
      <c r="B387" s="7"/>
      <c r="C387" s="54"/>
      <c r="D387" s="7"/>
      <c r="E387" s="7"/>
      <c r="F387" s="7"/>
      <c r="G387" s="7"/>
      <c r="H387" s="7"/>
      <c r="I387" s="7"/>
      <c r="J387" s="54"/>
      <c r="K387" s="54"/>
      <c r="L387" s="7"/>
      <c r="M387" s="7"/>
      <c r="N387" s="7"/>
      <c r="O387" s="7"/>
      <c r="P387" s="7"/>
      <c r="Q387" s="7"/>
      <c r="R387" s="7"/>
      <c r="S387" s="7"/>
      <c r="T387" s="7"/>
    </row>
    <row r="388">
      <c r="B388" s="7"/>
      <c r="C388" s="54"/>
      <c r="D388" s="7"/>
      <c r="E388" s="7"/>
      <c r="F388" s="7"/>
      <c r="G388" s="7"/>
      <c r="H388" s="7"/>
      <c r="I388" s="7"/>
      <c r="J388" s="54"/>
      <c r="K388" s="54"/>
      <c r="L388" s="7"/>
      <c r="M388" s="7"/>
      <c r="N388" s="7"/>
      <c r="O388" s="7"/>
      <c r="P388" s="7"/>
      <c r="Q388" s="7"/>
      <c r="R388" s="7"/>
      <c r="S388" s="7"/>
      <c r="T388" s="7"/>
    </row>
    <row r="389">
      <c r="B389" s="7"/>
      <c r="C389" s="54"/>
      <c r="D389" s="7"/>
      <c r="E389" s="7"/>
      <c r="F389" s="7"/>
      <c r="G389" s="7"/>
      <c r="H389" s="7"/>
      <c r="I389" s="7"/>
      <c r="J389" s="54"/>
      <c r="K389" s="54"/>
      <c r="L389" s="7"/>
      <c r="M389" s="7"/>
      <c r="N389" s="7"/>
      <c r="O389" s="7"/>
      <c r="P389" s="7"/>
      <c r="Q389" s="7"/>
      <c r="R389" s="7"/>
      <c r="S389" s="7"/>
      <c r="T389" s="7"/>
    </row>
    <row r="390">
      <c r="B390" s="7"/>
      <c r="C390" s="54"/>
      <c r="D390" s="7"/>
      <c r="E390" s="7"/>
      <c r="F390" s="7"/>
      <c r="G390" s="7"/>
      <c r="H390" s="7"/>
      <c r="I390" s="7"/>
      <c r="J390" s="54"/>
      <c r="K390" s="54"/>
      <c r="L390" s="7"/>
      <c r="M390" s="7"/>
      <c r="N390" s="7"/>
      <c r="O390" s="7"/>
      <c r="P390" s="7"/>
      <c r="Q390" s="7"/>
      <c r="R390" s="7"/>
      <c r="S390" s="7"/>
      <c r="T390" s="7"/>
    </row>
    <row r="391">
      <c r="B391" s="7"/>
      <c r="C391" s="54"/>
      <c r="D391" s="7"/>
      <c r="E391" s="7"/>
      <c r="F391" s="7"/>
      <c r="G391" s="7"/>
      <c r="H391" s="7"/>
      <c r="I391" s="7"/>
      <c r="J391" s="54"/>
      <c r="K391" s="54"/>
      <c r="L391" s="7"/>
      <c r="M391" s="7"/>
      <c r="N391" s="7"/>
      <c r="O391" s="7"/>
      <c r="P391" s="7"/>
      <c r="Q391" s="7"/>
      <c r="R391" s="7"/>
      <c r="S391" s="7"/>
      <c r="T391" s="7"/>
    </row>
    <row r="392">
      <c r="B392" s="7"/>
      <c r="C392" s="54"/>
      <c r="D392" s="7"/>
      <c r="E392" s="7"/>
      <c r="F392" s="7"/>
      <c r="G392" s="7"/>
      <c r="H392" s="7"/>
      <c r="I392" s="7"/>
      <c r="J392" s="54"/>
      <c r="K392" s="54"/>
      <c r="L392" s="7"/>
      <c r="M392" s="7"/>
      <c r="N392" s="7"/>
      <c r="O392" s="7"/>
      <c r="P392" s="7"/>
      <c r="Q392" s="7"/>
      <c r="R392" s="7"/>
      <c r="S392" s="7"/>
      <c r="T392" s="7"/>
    </row>
    <row r="393">
      <c r="B393" s="7"/>
      <c r="C393" s="54"/>
      <c r="D393" s="7"/>
      <c r="E393" s="7"/>
      <c r="F393" s="7"/>
      <c r="G393" s="7"/>
      <c r="H393" s="7"/>
      <c r="I393" s="7"/>
      <c r="J393" s="54"/>
      <c r="K393" s="54"/>
      <c r="L393" s="7"/>
      <c r="M393" s="7"/>
      <c r="N393" s="7"/>
      <c r="O393" s="7"/>
      <c r="P393" s="7"/>
      <c r="Q393" s="7"/>
      <c r="R393" s="7"/>
      <c r="S393" s="7"/>
      <c r="T393" s="7"/>
    </row>
    <row r="394">
      <c r="B394" s="7"/>
      <c r="C394" s="54"/>
      <c r="D394" s="7"/>
      <c r="E394" s="7"/>
      <c r="F394" s="7"/>
      <c r="G394" s="7"/>
      <c r="H394" s="7"/>
      <c r="I394" s="7"/>
      <c r="J394" s="54"/>
      <c r="K394" s="54"/>
      <c r="L394" s="7"/>
      <c r="M394" s="7"/>
      <c r="N394" s="7"/>
      <c r="O394" s="7"/>
      <c r="P394" s="7"/>
      <c r="Q394" s="7"/>
      <c r="R394" s="7"/>
      <c r="S394" s="7"/>
      <c r="T394" s="7"/>
    </row>
    <row r="395">
      <c r="B395" s="7"/>
      <c r="C395" s="54"/>
      <c r="D395" s="7"/>
      <c r="E395" s="7"/>
      <c r="F395" s="7"/>
      <c r="G395" s="7"/>
      <c r="H395" s="7"/>
      <c r="I395" s="7"/>
      <c r="J395" s="54"/>
      <c r="K395" s="54"/>
      <c r="L395" s="7"/>
      <c r="M395" s="7"/>
      <c r="N395" s="7"/>
      <c r="O395" s="7"/>
      <c r="P395" s="7"/>
      <c r="Q395" s="7"/>
      <c r="R395" s="7"/>
      <c r="S395" s="7"/>
      <c r="T395" s="7"/>
    </row>
    <row r="396">
      <c r="B396" s="7"/>
      <c r="C396" s="54"/>
      <c r="D396" s="7"/>
      <c r="E396" s="7"/>
      <c r="F396" s="7"/>
      <c r="G396" s="7"/>
      <c r="H396" s="7"/>
      <c r="I396" s="7"/>
      <c r="J396" s="54"/>
      <c r="K396" s="54"/>
      <c r="L396" s="7"/>
      <c r="M396" s="7"/>
      <c r="N396" s="7"/>
      <c r="O396" s="7"/>
      <c r="P396" s="7"/>
      <c r="Q396" s="7"/>
      <c r="R396" s="7"/>
      <c r="S396" s="7"/>
      <c r="T396" s="7"/>
    </row>
    <row r="397">
      <c r="B397" s="7"/>
      <c r="C397" s="54"/>
      <c r="D397" s="7"/>
      <c r="E397" s="7"/>
      <c r="F397" s="7"/>
      <c r="G397" s="7"/>
      <c r="H397" s="7"/>
      <c r="I397" s="7"/>
      <c r="J397" s="54"/>
      <c r="K397" s="54"/>
      <c r="L397" s="7"/>
      <c r="M397" s="7"/>
      <c r="N397" s="7"/>
      <c r="O397" s="7"/>
      <c r="P397" s="7"/>
      <c r="Q397" s="7"/>
      <c r="R397" s="7"/>
      <c r="S397" s="7"/>
      <c r="T397" s="7"/>
    </row>
    <row r="398">
      <c r="B398" s="7"/>
      <c r="C398" s="54"/>
      <c r="D398" s="7"/>
      <c r="E398" s="7"/>
      <c r="F398" s="7"/>
      <c r="G398" s="7"/>
      <c r="H398" s="7"/>
      <c r="I398" s="7"/>
      <c r="J398" s="54"/>
      <c r="K398" s="54"/>
      <c r="L398" s="7"/>
      <c r="M398" s="7"/>
      <c r="N398" s="7"/>
      <c r="O398" s="7"/>
      <c r="P398" s="7"/>
      <c r="Q398" s="7"/>
      <c r="R398" s="7"/>
      <c r="S398" s="7"/>
      <c r="T398" s="7"/>
    </row>
    <row r="399">
      <c r="B399" s="7"/>
      <c r="C399" s="54"/>
      <c r="D399" s="7"/>
      <c r="E399" s="7"/>
      <c r="F399" s="7"/>
      <c r="G399" s="7"/>
      <c r="H399" s="7"/>
      <c r="I399" s="7"/>
      <c r="J399" s="54"/>
      <c r="K399" s="54"/>
      <c r="L399" s="7"/>
      <c r="M399" s="7"/>
      <c r="N399" s="7"/>
      <c r="O399" s="7"/>
      <c r="P399" s="7"/>
      <c r="Q399" s="7"/>
      <c r="R399" s="7"/>
      <c r="S399" s="7"/>
      <c r="T399" s="7"/>
    </row>
    <row r="400">
      <c r="B400" s="7"/>
      <c r="C400" s="54"/>
      <c r="D400" s="7"/>
      <c r="E400" s="7"/>
      <c r="F400" s="7"/>
      <c r="G400" s="7"/>
      <c r="H400" s="7"/>
      <c r="I400" s="7"/>
      <c r="J400" s="54"/>
      <c r="K400" s="54"/>
      <c r="L400" s="7"/>
      <c r="M400" s="7"/>
      <c r="N400" s="7"/>
      <c r="O400" s="7"/>
      <c r="P400" s="7"/>
      <c r="Q400" s="7"/>
      <c r="R400" s="7"/>
      <c r="S400" s="7"/>
      <c r="T400" s="7"/>
    </row>
    <row r="401">
      <c r="B401" s="7"/>
      <c r="C401" s="54"/>
      <c r="D401" s="7"/>
      <c r="E401" s="7"/>
      <c r="F401" s="7"/>
      <c r="G401" s="7"/>
      <c r="H401" s="7"/>
      <c r="I401" s="7"/>
      <c r="J401" s="54"/>
      <c r="K401" s="54"/>
      <c r="L401" s="7"/>
      <c r="M401" s="7"/>
      <c r="N401" s="7"/>
      <c r="O401" s="7"/>
      <c r="P401" s="7"/>
      <c r="Q401" s="7"/>
      <c r="R401" s="7"/>
      <c r="S401" s="7"/>
      <c r="T401" s="7"/>
    </row>
    <row r="402">
      <c r="B402" s="7"/>
      <c r="C402" s="54"/>
      <c r="D402" s="7"/>
      <c r="E402" s="7"/>
      <c r="F402" s="7"/>
      <c r="G402" s="7"/>
      <c r="H402" s="7"/>
      <c r="I402" s="7"/>
      <c r="J402" s="54"/>
      <c r="K402" s="54"/>
      <c r="L402" s="7"/>
      <c r="M402" s="7"/>
      <c r="N402" s="7"/>
      <c r="O402" s="7"/>
      <c r="P402" s="7"/>
      <c r="Q402" s="7"/>
      <c r="R402" s="7"/>
      <c r="S402" s="7"/>
      <c r="T402" s="7"/>
    </row>
    <row r="403">
      <c r="B403" s="7"/>
      <c r="C403" s="54"/>
      <c r="D403" s="7"/>
      <c r="E403" s="7"/>
      <c r="F403" s="7"/>
      <c r="G403" s="7"/>
      <c r="H403" s="7"/>
      <c r="I403" s="7"/>
      <c r="J403" s="54"/>
      <c r="K403" s="54"/>
      <c r="L403" s="7"/>
      <c r="M403" s="7"/>
      <c r="N403" s="7"/>
      <c r="O403" s="7"/>
      <c r="P403" s="7"/>
      <c r="Q403" s="7"/>
      <c r="R403" s="7"/>
      <c r="S403" s="7"/>
      <c r="T403" s="7"/>
    </row>
    <row r="404">
      <c r="B404" s="7"/>
      <c r="C404" s="54"/>
      <c r="D404" s="7"/>
      <c r="E404" s="7"/>
      <c r="F404" s="7"/>
      <c r="G404" s="7"/>
      <c r="H404" s="7"/>
      <c r="I404" s="7"/>
      <c r="J404" s="54"/>
      <c r="K404" s="54"/>
      <c r="L404" s="7"/>
      <c r="M404" s="7"/>
      <c r="N404" s="7"/>
      <c r="O404" s="7"/>
      <c r="P404" s="7"/>
      <c r="Q404" s="7"/>
      <c r="R404" s="7"/>
      <c r="S404" s="7"/>
      <c r="T404" s="7"/>
    </row>
    <row r="405">
      <c r="B405" s="7"/>
      <c r="C405" s="54"/>
      <c r="D405" s="7"/>
      <c r="E405" s="7"/>
      <c r="F405" s="7"/>
      <c r="G405" s="7"/>
      <c r="H405" s="7"/>
      <c r="I405" s="7"/>
      <c r="J405" s="54"/>
      <c r="K405" s="54"/>
      <c r="L405" s="7"/>
      <c r="M405" s="7"/>
      <c r="N405" s="7"/>
      <c r="O405" s="7"/>
      <c r="P405" s="7"/>
      <c r="Q405" s="7"/>
      <c r="R405" s="7"/>
      <c r="S405" s="7"/>
      <c r="T405" s="7"/>
    </row>
    <row r="406">
      <c r="B406" s="7"/>
      <c r="C406" s="54"/>
      <c r="D406" s="7"/>
      <c r="E406" s="7"/>
      <c r="F406" s="7"/>
      <c r="G406" s="7"/>
      <c r="H406" s="7"/>
      <c r="I406" s="7"/>
      <c r="J406" s="54"/>
      <c r="K406" s="54"/>
      <c r="L406" s="7"/>
      <c r="M406" s="7"/>
      <c r="N406" s="7"/>
      <c r="O406" s="7"/>
      <c r="P406" s="7"/>
      <c r="Q406" s="7"/>
      <c r="R406" s="7"/>
      <c r="S406" s="7"/>
      <c r="T406" s="7"/>
    </row>
    <row r="407">
      <c r="B407" s="7"/>
      <c r="C407" s="54"/>
      <c r="D407" s="7"/>
      <c r="E407" s="7"/>
      <c r="F407" s="7"/>
      <c r="G407" s="7"/>
      <c r="H407" s="7"/>
      <c r="I407" s="7"/>
      <c r="J407" s="54"/>
      <c r="K407" s="54"/>
      <c r="L407" s="7"/>
      <c r="M407" s="7"/>
      <c r="N407" s="7"/>
      <c r="O407" s="7"/>
      <c r="P407" s="7"/>
      <c r="Q407" s="7"/>
      <c r="R407" s="7"/>
      <c r="S407" s="7"/>
      <c r="T407" s="7"/>
    </row>
    <row r="408">
      <c r="B408" s="7"/>
      <c r="C408" s="54"/>
      <c r="D408" s="7"/>
      <c r="E408" s="7"/>
      <c r="F408" s="7"/>
      <c r="G408" s="7"/>
      <c r="H408" s="7"/>
      <c r="I408" s="7"/>
      <c r="J408" s="54"/>
      <c r="K408" s="54"/>
      <c r="L408" s="7"/>
      <c r="M408" s="7"/>
      <c r="N408" s="7"/>
      <c r="O408" s="7"/>
      <c r="P408" s="7"/>
      <c r="Q408" s="7"/>
      <c r="R408" s="7"/>
      <c r="S408" s="7"/>
      <c r="T408" s="7"/>
    </row>
    <row r="409">
      <c r="B409" s="7"/>
      <c r="C409" s="54"/>
      <c r="D409" s="7"/>
      <c r="E409" s="7"/>
      <c r="F409" s="7"/>
      <c r="G409" s="7"/>
      <c r="H409" s="7"/>
      <c r="I409" s="7"/>
      <c r="J409" s="54"/>
      <c r="K409" s="54"/>
      <c r="L409" s="7"/>
      <c r="M409" s="7"/>
      <c r="N409" s="7"/>
      <c r="O409" s="7"/>
      <c r="P409" s="7"/>
      <c r="Q409" s="7"/>
      <c r="R409" s="7"/>
      <c r="S409" s="7"/>
      <c r="T409" s="7"/>
    </row>
    <row r="410">
      <c r="B410" s="7"/>
      <c r="C410" s="54"/>
      <c r="D410" s="7"/>
      <c r="E410" s="7"/>
      <c r="F410" s="7"/>
      <c r="G410" s="7"/>
      <c r="H410" s="7"/>
      <c r="I410" s="7"/>
      <c r="J410" s="54"/>
      <c r="K410" s="54"/>
      <c r="L410" s="7"/>
      <c r="M410" s="7"/>
      <c r="N410" s="7"/>
      <c r="O410" s="7"/>
      <c r="P410" s="7"/>
      <c r="Q410" s="7"/>
      <c r="R410" s="7"/>
      <c r="S410" s="7"/>
      <c r="T410" s="7"/>
    </row>
    <row r="411">
      <c r="B411" s="7"/>
      <c r="C411" s="54"/>
      <c r="D411" s="7"/>
      <c r="E411" s="7"/>
      <c r="F411" s="7"/>
      <c r="G411" s="7"/>
      <c r="H411" s="7"/>
      <c r="I411" s="7"/>
      <c r="J411" s="54"/>
      <c r="K411" s="54"/>
      <c r="L411" s="7"/>
      <c r="M411" s="7"/>
      <c r="N411" s="7"/>
      <c r="O411" s="7"/>
      <c r="P411" s="7"/>
      <c r="Q411" s="7"/>
      <c r="R411" s="7"/>
      <c r="S411" s="7"/>
      <c r="T411" s="7"/>
    </row>
    <row r="412">
      <c r="B412" s="7"/>
      <c r="C412" s="54"/>
      <c r="D412" s="7"/>
      <c r="E412" s="7"/>
      <c r="F412" s="7"/>
      <c r="G412" s="7"/>
      <c r="H412" s="7"/>
      <c r="I412" s="7"/>
      <c r="J412" s="54"/>
      <c r="K412" s="54"/>
      <c r="L412" s="7"/>
      <c r="M412" s="7"/>
      <c r="N412" s="7"/>
      <c r="O412" s="7"/>
      <c r="P412" s="7"/>
      <c r="Q412" s="7"/>
      <c r="R412" s="7"/>
      <c r="S412" s="7"/>
      <c r="T412" s="7"/>
    </row>
    <row r="413">
      <c r="B413" s="7"/>
      <c r="C413" s="54"/>
      <c r="D413" s="7"/>
      <c r="E413" s="7"/>
      <c r="F413" s="7"/>
      <c r="G413" s="7"/>
      <c r="H413" s="7"/>
      <c r="I413" s="7"/>
      <c r="J413" s="54"/>
      <c r="K413" s="54"/>
      <c r="L413" s="7"/>
      <c r="M413" s="7"/>
      <c r="N413" s="7"/>
      <c r="O413" s="7"/>
      <c r="P413" s="7"/>
      <c r="Q413" s="7"/>
      <c r="R413" s="7"/>
      <c r="S413" s="7"/>
      <c r="T413" s="7"/>
    </row>
    <row r="414">
      <c r="B414" s="7"/>
      <c r="C414" s="54"/>
      <c r="D414" s="7"/>
      <c r="E414" s="7"/>
      <c r="F414" s="7"/>
      <c r="G414" s="7"/>
      <c r="H414" s="7"/>
      <c r="I414" s="7"/>
      <c r="J414" s="54"/>
      <c r="K414" s="54"/>
      <c r="L414" s="7"/>
      <c r="M414" s="7"/>
      <c r="N414" s="7"/>
      <c r="O414" s="7"/>
      <c r="P414" s="7"/>
      <c r="Q414" s="7"/>
      <c r="R414" s="7"/>
      <c r="S414" s="7"/>
      <c r="T414" s="7"/>
    </row>
    <row r="415">
      <c r="B415" s="7"/>
      <c r="C415" s="54"/>
      <c r="D415" s="7"/>
      <c r="E415" s="7"/>
      <c r="F415" s="7"/>
      <c r="G415" s="7"/>
      <c r="H415" s="7"/>
      <c r="I415" s="7"/>
      <c r="J415" s="54"/>
      <c r="K415" s="54"/>
      <c r="L415" s="7"/>
      <c r="M415" s="7"/>
      <c r="N415" s="7"/>
      <c r="O415" s="7"/>
      <c r="P415" s="7"/>
      <c r="Q415" s="7"/>
      <c r="R415" s="7"/>
      <c r="S415" s="7"/>
      <c r="T415" s="7"/>
    </row>
    <row r="416">
      <c r="B416" s="7"/>
      <c r="C416" s="54"/>
      <c r="D416" s="7"/>
      <c r="E416" s="7"/>
      <c r="F416" s="7"/>
      <c r="G416" s="7"/>
      <c r="H416" s="7"/>
      <c r="I416" s="7"/>
      <c r="J416" s="54"/>
      <c r="K416" s="54"/>
      <c r="L416" s="7"/>
      <c r="M416" s="7"/>
      <c r="N416" s="7"/>
      <c r="O416" s="7"/>
      <c r="P416" s="7"/>
      <c r="Q416" s="7"/>
      <c r="R416" s="7"/>
      <c r="S416" s="7"/>
      <c r="T416" s="7"/>
    </row>
    <row r="417">
      <c r="B417" s="7"/>
      <c r="C417" s="54"/>
      <c r="D417" s="7"/>
      <c r="E417" s="7"/>
      <c r="F417" s="7"/>
      <c r="G417" s="7"/>
      <c r="H417" s="7"/>
      <c r="I417" s="7"/>
      <c r="J417" s="54"/>
      <c r="K417" s="54"/>
      <c r="L417" s="7"/>
      <c r="M417" s="7"/>
      <c r="N417" s="7"/>
      <c r="O417" s="7"/>
      <c r="P417" s="7"/>
      <c r="Q417" s="7"/>
      <c r="R417" s="7"/>
      <c r="S417" s="7"/>
      <c r="T417" s="7"/>
    </row>
    <row r="418">
      <c r="B418" s="7"/>
      <c r="C418" s="54"/>
      <c r="D418" s="7"/>
      <c r="E418" s="7"/>
      <c r="F418" s="7"/>
      <c r="G418" s="7"/>
      <c r="H418" s="7"/>
      <c r="I418" s="7"/>
      <c r="J418" s="54"/>
      <c r="K418" s="54"/>
      <c r="L418" s="7"/>
      <c r="M418" s="7"/>
      <c r="N418" s="7"/>
      <c r="O418" s="7"/>
      <c r="P418" s="7"/>
      <c r="Q418" s="7"/>
      <c r="R418" s="7"/>
      <c r="S418" s="7"/>
      <c r="T418" s="7"/>
    </row>
    <row r="419">
      <c r="B419" s="7"/>
      <c r="C419" s="54"/>
      <c r="D419" s="7"/>
      <c r="E419" s="7"/>
      <c r="F419" s="7"/>
      <c r="G419" s="7"/>
      <c r="H419" s="7"/>
      <c r="I419" s="7"/>
      <c r="J419" s="54"/>
      <c r="K419" s="54"/>
      <c r="L419" s="7"/>
      <c r="M419" s="7"/>
      <c r="N419" s="7"/>
      <c r="O419" s="7"/>
      <c r="P419" s="7"/>
      <c r="Q419" s="7"/>
      <c r="R419" s="7"/>
      <c r="S419" s="7"/>
      <c r="T419" s="7"/>
    </row>
    <row r="420">
      <c r="B420" s="7"/>
      <c r="C420" s="54"/>
      <c r="D420" s="7"/>
      <c r="E420" s="7"/>
      <c r="F420" s="7"/>
      <c r="G420" s="7"/>
      <c r="H420" s="7"/>
      <c r="I420" s="7"/>
      <c r="J420" s="54"/>
      <c r="K420" s="54"/>
      <c r="L420" s="7"/>
      <c r="M420" s="7"/>
      <c r="N420" s="7"/>
      <c r="O420" s="7"/>
      <c r="P420" s="7"/>
      <c r="Q420" s="7"/>
      <c r="R420" s="7"/>
      <c r="S420" s="7"/>
      <c r="T420" s="7"/>
    </row>
    <row r="421">
      <c r="B421" s="7"/>
      <c r="C421" s="54"/>
      <c r="D421" s="7"/>
      <c r="E421" s="7"/>
      <c r="F421" s="7"/>
      <c r="G421" s="7"/>
      <c r="H421" s="7"/>
      <c r="I421" s="7"/>
      <c r="J421" s="54"/>
      <c r="K421" s="54"/>
      <c r="L421" s="7"/>
      <c r="M421" s="7"/>
      <c r="N421" s="7"/>
      <c r="O421" s="7"/>
      <c r="P421" s="7"/>
      <c r="Q421" s="7"/>
      <c r="R421" s="7"/>
      <c r="S421" s="7"/>
      <c r="T421" s="7"/>
    </row>
    <row r="422">
      <c r="B422" s="7"/>
      <c r="C422" s="54"/>
      <c r="D422" s="7"/>
      <c r="E422" s="7"/>
      <c r="F422" s="7"/>
      <c r="G422" s="7"/>
      <c r="H422" s="7"/>
      <c r="I422" s="7"/>
      <c r="J422" s="54"/>
      <c r="K422" s="54"/>
      <c r="L422" s="7"/>
      <c r="M422" s="7"/>
      <c r="N422" s="7"/>
      <c r="O422" s="7"/>
      <c r="P422" s="7"/>
      <c r="Q422" s="7"/>
      <c r="R422" s="7"/>
      <c r="S422" s="7"/>
      <c r="T422" s="7"/>
    </row>
    <row r="423">
      <c r="B423" s="7"/>
      <c r="C423" s="54"/>
      <c r="D423" s="7"/>
      <c r="E423" s="7"/>
      <c r="F423" s="7"/>
      <c r="G423" s="7"/>
      <c r="H423" s="7"/>
      <c r="I423" s="7"/>
      <c r="J423" s="54"/>
      <c r="K423" s="54"/>
      <c r="L423" s="7"/>
      <c r="M423" s="7"/>
      <c r="N423" s="7"/>
      <c r="O423" s="7"/>
      <c r="P423" s="7"/>
      <c r="Q423" s="7"/>
      <c r="R423" s="7"/>
      <c r="S423" s="7"/>
      <c r="T423" s="7"/>
    </row>
    <row r="424">
      <c r="B424" s="7"/>
      <c r="C424" s="54"/>
      <c r="D424" s="7"/>
      <c r="E424" s="7"/>
      <c r="F424" s="7"/>
      <c r="G424" s="7"/>
      <c r="H424" s="7"/>
      <c r="I424" s="7"/>
      <c r="J424" s="54"/>
      <c r="K424" s="54"/>
      <c r="L424" s="7"/>
      <c r="M424" s="7"/>
      <c r="N424" s="7"/>
      <c r="O424" s="7"/>
      <c r="P424" s="7"/>
      <c r="Q424" s="7"/>
      <c r="R424" s="7"/>
      <c r="S424" s="7"/>
      <c r="T424" s="7"/>
    </row>
    <row r="425">
      <c r="B425" s="7"/>
      <c r="C425" s="54"/>
      <c r="D425" s="7"/>
      <c r="E425" s="7"/>
      <c r="F425" s="7"/>
      <c r="G425" s="7"/>
      <c r="H425" s="7"/>
      <c r="I425" s="7"/>
      <c r="J425" s="54"/>
      <c r="K425" s="54"/>
      <c r="L425" s="7"/>
      <c r="M425" s="7"/>
      <c r="N425" s="7"/>
      <c r="O425" s="7"/>
      <c r="P425" s="7"/>
      <c r="Q425" s="7"/>
      <c r="R425" s="7"/>
      <c r="S425" s="7"/>
      <c r="T425" s="7"/>
    </row>
    <row r="426">
      <c r="B426" s="7"/>
      <c r="C426" s="54"/>
      <c r="D426" s="7"/>
      <c r="E426" s="7"/>
      <c r="F426" s="7"/>
      <c r="G426" s="7"/>
      <c r="H426" s="7"/>
      <c r="I426" s="7"/>
      <c r="J426" s="54"/>
      <c r="K426" s="54"/>
      <c r="L426" s="7"/>
      <c r="M426" s="7"/>
      <c r="N426" s="7"/>
      <c r="O426" s="7"/>
      <c r="P426" s="7"/>
      <c r="Q426" s="7"/>
      <c r="R426" s="7"/>
      <c r="S426" s="7"/>
      <c r="T426" s="7"/>
    </row>
    <row r="427">
      <c r="B427" s="7"/>
      <c r="C427" s="54"/>
      <c r="D427" s="7"/>
      <c r="E427" s="7"/>
      <c r="F427" s="7"/>
      <c r="G427" s="7"/>
      <c r="H427" s="7"/>
      <c r="I427" s="7"/>
      <c r="J427" s="54"/>
      <c r="K427" s="54"/>
      <c r="L427" s="7"/>
      <c r="M427" s="7"/>
      <c r="N427" s="7"/>
      <c r="O427" s="7"/>
      <c r="P427" s="7"/>
      <c r="Q427" s="7"/>
      <c r="R427" s="7"/>
      <c r="S427" s="7"/>
      <c r="T427" s="7"/>
    </row>
    <row r="428">
      <c r="B428" s="7"/>
      <c r="C428" s="54"/>
      <c r="D428" s="7"/>
      <c r="E428" s="7"/>
      <c r="F428" s="7"/>
      <c r="G428" s="7"/>
      <c r="H428" s="7"/>
      <c r="I428" s="7"/>
      <c r="J428" s="54"/>
      <c r="K428" s="54"/>
      <c r="L428" s="7"/>
      <c r="M428" s="7"/>
      <c r="N428" s="7"/>
      <c r="O428" s="7"/>
      <c r="P428" s="7"/>
      <c r="Q428" s="7"/>
      <c r="R428" s="7"/>
      <c r="S428" s="7"/>
      <c r="T428" s="7"/>
    </row>
    <row r="429">
      <c r="B429" s="7"/>
      <c r="C429" s="54"/>
      <c r="D429" s="7"/>
      <c r="E429" s="7"/>
      <c r="F429" s="7"/>
      <c r="G429" s="7"/>
      <c r="H429" s="7"/>
      <c r="I429" s="7"/>
      <c r="J429" s="54"/>
      <c r="K429" s="54"/>
      <c r="L429" s="7"/>
      <c r="M429" s="7"/>
      <c r="N429" s="7"/>
      <c r="O429" s="7"/>
      <c r="P429" s="7"/>
      <c r="Q429" s="7"/>
      <c r="R429" s="7"/>
      <c r="S429" s="7"/>
      <c r="T429" s="7"/>
    </row>
    <row r="430">
      <c r="B430" s="7"/>
      <c r="C430" s="54"/>
      <c r="D430" s="7"/>
      <c r="E430" s="7"/>
      <c r="F430" s="7"/>
      <c r="G430" s="7"/>
      <c r="H430" s="7"/>
      <c r="I430" s="7"/>
      <c r="J430" s="54"/>
      <c r="K430" s="54"/>
      <c r="L430" s="7"/>
      <c r="M430" s="7"/>
      <c r="N430" s="7"/>
      <c r="O430" s="7"/>
      <c r="P430" s="7"/>
      <c r="Q430" s="7"/>
      <c r="R430" s="7"/>
      <c r="S430" s="7"/>
      <c r="T430" s="7"/>
    </row>
    <row r="431">
      <c r="B431" s="7"/>
      <c r="C431" s="54"/>
      <c r="D431" s="7"/>
      <c r="E431" s="7"/>
      <c r="F431" s="7"/>
      <c r="G431" s="7"/>
      <c r="H431" s="7"/>
      <c r="I431" s="7"/>
      <c r="J431" s="54"/>
      <c r="K431" s="54"/>
      <c r="L431" s="7"/>
      <c r="M431" s="7"/>
      <c r="N431" s="7"/>
      <c r="O431" s="7"/>
      <c r="P431" s="7"/>
      <c r="Q431" s="7"/>
      <c r="R431" s="7"/>
      <c r="S431" s="7"/>
      <c r="T431" s="7"/>
    </row>
    <row r="432">
      <c r="B432" s="7"/>
      <c r="C432" s="54"/>
      <c r="D432" s="7"/>
      <c r="E432" s="7"/>
      <c r="F432" s="7"/>
      <c r="G432" s="7"/>
      <c r="H432" s="7"/>
      <c r="I432" s="7"/>
      <c r="J432" s="54"/>
      <c r="K432" s="54"/>
      <c r="L432" s="7"/>
      <c r="M432" s="7"/>
      <c r="N432" s="7"/>
      <c r="O432" s="7"/>
      <c r="P432" s="7"/>
      <c r="Q432" s="7"/>
      <c r="R432" s="7"/>
      <c r="S432" s="7"/>
      <c r="T432" s="7"/>
    </row>
    <row r="433">
      <c r="B433" s="7"/>
      <c r="C433" s="54"/>
      <c r="D433" s="7"/>
      <c r="E433" s="7"/>
      <c r="F433" s="7"/>
      <c r="G433" s="7"/>
      <c r="H433" s="7"/>
      <c r="I433" s="7"/>
      <c r="J433" s="54"/>
      <c r="K433" s="54"/>
      <c r="L433" s="7"/>
      <c r="M433" s="7"/>
      <c r="N433" s="7"/>
      <c r="O433" s="7"/>
      <c r="P433" s="7"/>
      <c r="Q433" s="7"/>
      <c r="R433" s="7"/>
      <c r="S433" s="7"/>
      <c r="T433" s="7"/>
    </row>
    <row r="434">
      <c r="B434" s="7"/>
      <c r="C434" s="54"/>
      <c r="D434" s="7"/>
      <c r="E434" s="7"/>
      <c r="F434" s="7"/>
      <c r="G434" s="7"/>
      <c r="H434" s="7"/>
      <c r="I434" s="7"/>
      <c r="J434" s="54"/>
      <c r="K434" s="54"/>
      <c r="L434" s="7"/>
      <c r="M434" s="7"/>
      <c r="N434" s="7"/>
      <c r="O434" s="7"/>
      <c r="P434" s="7"/>
      <c r="Q434" s="7"/>
      <c r="R434" s="7"/>
      <c r="S434" s="7"/>
      <c r="T434" s="7"/>
    </row>
    <row r="435">
      <c r="B435" s="7"/>
      <c r="C435" s="54"/>
      <c r="D435" s="7"/>
      <c r="E435" s="7"/>
      <c r="F435" s="7"/>
      <c r="G435" s="7"/>
      <c r="H435" s="7"/>
      <c r="I435" s="7"/>
      <c r="J435" s="54"/>
      <c r="K435" s="54"/>
      <c r="L435" s="7"/>
      <c r="M435" s="7"/>
      <c r="N435" s="7"/>
      <c r="O435" s="7"/>
      <c r="P435" s="7"/>
      <c r="Q435" s="7"/>
      <c r="R435" s="7"/>
      <c r="S435" s="7"/>
      <c r="T435" s="7"/>
    </row>
    <row r="436">
      <c r="B436" s="7"/>
      <c r="C436" s="54"/>
      <c r="D436" s="7"/>
      <c r="E436" s="7"/>
      <c r="F436" s="7"/>
      <c r="G436" s="7"/>
      <c r="H436" s="7"/>
      <c r="I436" s="7"/>
      <c r="J436" s="54"/>
      <c r="K436" s="54"/>
      <c r="L436" s="7"/>
      <c r="M436" s="7"/>
      <c r="N436" s="7"/>
      <c r="O436" s="7"/>
      <c r="P436" s="7"/>
      <c r="Q436" s="7"/>
      <c r="R436" s="7"/>
      <c r="S436" s="7"/>
      <c r="T436" s="7"/>
    </row>
    <row r="437">
      <c r="B437" s="7"/>
      <c r="C437" s="54"/>
      <c r="D437" s="7"/>
      <c r="E437" s="7"/>
      <c r="F437" s="7"/>
      <c r="G437" s="7"/>
      <c r="H437" s="7"/>
      <c r="I437" s="7"/>
      <c r="J437" s="54"/>
      <c r="K437" s="54"/>
      <c r="L437" s="7"/>
      <c r="M437" s="7"/>
      <c r="N437" s="7"/>
      <c r="O437" s="7"/>
      <c r="P437" s="7"/>
      <c r="Q437" s="7"/>
      <c r="R437" s="7"/>
      <c r="S437" s="7"/>
      <c r="T437" s="7"/>
    </row>
    <row r="438">
      <c r="B438" s="7"/>
      <c r="C438" s="54"/>
      <c r="D438" s="7"/>
      <c r="E438" s="7"/>
      <c r="F438" s="7"/>
      <c r="G438" s="7"/>
      <c r="H438" s="7"/>
      <c r="I438" s="7"/>
      <c r="J438" s="54"/>
      <c r="K438" s="54"/>
      <c r="L438" s="7"/>
      <c r="M438" s="7"/>
      <c r="N438" s="7"/>
      <c r="O438" s="7"/>
      <c r="P438" s="7"/>
      <c r="Q438" s="7"/>
      <c r="R438" s="7"/>
      <c r="S438" s="7"/>
      <c r="T438" s="7"/>
    </row>
    <row r="439">
      <c r="B439" s="7"/>
      <c r="C439" s="54"/>
      <c r="D439" s="7"/>
      <c r="E439" s="7"/>
      <c r="F439" s="7"/>
      <c r="G439" s="7"/>
      <c r="H439" s="7"/>
      <c r="I439" s="7"/>
      <c r="J439" s="54"/>
      <c r="K439" s="54"/>
      <c r="L439" s="7"/>
      <c r="M439" s="7"/>
      <c r="N439" s="7"/>
      <c r="O439" s="7"/>
      <c r="P439" s="7"/>
      <c r="Q439" s="7"/>
      <c r="R439" s="7"/>
      <c r="S439" s="7"/>
      <c r="T439" s="7"/>
    </row>
    <row r="440">
      <c r="B440" s="7"/>
      <c r="C440" s="54"/>
      <c r="D440" s="7"/>
      <c r="E440" s="7"/>
      <c r="F440" s="7"/>
      <c r="G440" s="7"/>
      <c r="H440" s="7"/>
      <c r="I440" s="7"/>
      <c r="J440" s="54"/>
      <c r="K440" s="54"/>
      <c r="L440" s="7"/>
      <c r="M440" s="7"/>
      <c r="N440" s="7"/>
      <c r="O440" s="7"/>
      <c r="P440" s="7"/>
      <c r="Q440" s="7"/>
      <c r="R440" s="7"/>
      <c r="S440" s="7"/>
      <c r="T440" s="7"/>
    </row>
    <row r="441">
      <c r="B441" s="7"/>
      <c r="C441" s="54"/>
      <c r="D441" s="7"/>
      <c r="E441" s="7"/>
      <c r="F441" s="7"/>
      <c r="G441" s="7"/>
      <c r="H441" s="7"/>
      <c r="I441" s="7"/>
      <c r="J441" s="54"/>
      <c r="K441" s="54"/>
      <c r="L441" s="7"/>
      <c r="M441" s="7"/>
      <c r="N441" s="7"/>
      <c r="O441" s="7"/>
      <c r="P441" s="7"/>
      <c r="Q441" s="7"/>
      <c r="R441" s="7"/>
      <c r="S441" s="7"/>
      <c r="T441" s="7"/>
    </row>
    <row r="442">
      <c r="B442" s="7"/>
      <c r="C442" s="54"/>
      <c r="D442" s="7"/>
      <c r="E442" s="7"/>
      <c r="F442" s="7"/>
      <c r="G442" s="7"/>
      <c r="H442" s="7"/>
      <c r="I442" s="7"/>
      <c r="J442" s="54"/>
      <c r="K442" s="54"/>
      <c r="L442" s="7"/>
      <c r="M442" s="7"/>
      <c r="N442" s="7"/>
      <c r="O442" s="7"/>
      <c r="P442" s="7"/>
      <c r="Q442" s="7"/>
      <c r="R442" s="7"/>
      <c r="S442" s="7"/>
      <c r="T442" s="7"/>
    </row>
    <row r="443">
      <c r="B443" s="7"/>
      <c r="C443" s="54"/>
      <c r="D443" s="7"/>
      <c r="E443" s="7"/>
      <c r="F443" s="7"/>
      <c r="G443" s="7"/>
      <c r="H443" s="7"/>
      <c r="I443" s="7"/>
      <c r="J443" s="54"/>
      <c r="K443" s="54"/>
      <c r="L443" s="7"/>
      <c r="M443" s="7"/>
      <c r="N443" s="7"/>
      <c r="O443" s="7"/>
      <c r="P443" s="7"/>
      <c r="Q443" s="7"/>
      <c r="R443" s="7"/>
      <c r="S443" s="7"/>
      <c r="T443" s="7"/>
    </row>
    <row r="444">
      <c r="B444" s="7"/>
      <c r="C444" s="54"/>
      <c r="D444" s="7"/>
      <c r="E444" s="7"/>
      <c r="F444" s="7"/>
      <c r="G444" s="7"/>
      <c r="H444" s="7"/>
      <c r="I444" s="7"/>
      <c r="J444" s="54"/>
      <c r="K444" s="54"/>
      <c r="L444" s="7"/>
      <c r="M444" s="7"/>
      <c r="N444" s="7"/>
      <c r="O444" s="7"/>
      <c r="P444" s="7"/>
      <c r="Q444" s="7"/>
      <c r="R444" s="7"/>
      <c r="S444" s="7"/>
      <c r="T444" s="7"/>
    </row>
    <row r="445">
      <c r="B445" s="7"/>
      <c r="C445" s="54"/>
      <c r="D445" s="7"/>
      <c r="E445" s="7"/>
      <c r="F445" s="7"/>
      <c r="G445" s="7"/>
      <c r="H445" s="7"/>
      <c r="I445" s="7"/>
      <c r="J445" s="54"/>
      <c r="K445" s="54"/>
      <c r="L445" s="7"/>
      <c r="M445" s="7"/>
      <c r="N445" s="7"/>
      <c r="O445" s="7"/>
      <c r="P445" s="7"/>
      <c r="Q445" s="7"/>
      <c r="R445" s="7"/>
      <c r="S445" s="7"/>
      <c r="T445" s="7"/>
    </row>
    <row r="446">
      <c r="B446" s="7"/>
      <c r="C446" s="54"/>
      <c r="D446" s="7"/>
      <c r="E446" s="7"/>
      <c r="F446" s="7"/>
      <c r="G446" s="7"/>
      <c r="H446" s="7"/>
      <c r="I446" s="7"/>
      <c r="J446" s="54"/>
      <c r="K446" s="54"/>
      <c r="L446" s="7"/>
      <c r="M446" s="7"/>
      <c r="N446" s="7"/>
      <c r="O446" s="7"/>
      <c r="P446" s="7"/>
      <c r="Q446" s="7"/>
      <c r="R446" s="7"/>
      <c r="S446" s="7"/>
      <c r="T446" s="7"/>
    </row>
    <row r="447">
      <c r="B447" s="7"/>
      <c r="C447" s="54"/>
      <c r="D447" s="7"/>
      <c r="E447" s="7"/>
      <c r="F447" s="7"/>
      <c r="G447" s="7"/>
      <c r="H447" s="7"/>
      <c r="I447" s="7"/>
      <c r="J447" s="54"/>
      <c r="K447" s="54"/>
      <c r="L447" s="7"/>
      <c r="M447" s="7"/>
      <c r="N447" s="7"/>
      <c r="O447" s="7"/>
      <c r="P447" s="7"/>
      <c r="Q447" s="7"/>
      <c r="R447" s="7"/>
      <c r="S447" s="7"/>
      <c r="T447" s="7"/>
    </row>
    <row r="448">
      <c r="B448" s="7"/>
      <c r="C448" s="54"/>
      <c r="D448" s="7"/>
      <c r="E448" s="7"/>
      <c r="F448" s="7"/>
      <c r="G448" s="7"/>
      <c r="H448" s="7"/>
      <c r="I448" s="7"/>
      <c r="J448" s="54"/>
      <c r="K448" s="54"/>
      <c r="L448" s="7"/>
      <c r="M448" s="7"/>
      <c r="N448" s="7"/>
      <c r="O448" s="7"/>
      <c r="P448" s="7"/>
      <c r="Q448" s="7"/>
      <c r="R448" s="7"/>
      <c r="S448" s="7"/>
      <c r="T448" s="7"/>
    </row>
    <row r="449">
      <c r="B449" s="7"/>
      <c r="C449" s="54"/>
      <c r="D449" s="7"/>
      <c r="E449" s="7"/>
      <c r="F449" s="7"/>
      <c r="G449" s="7"/>
      <c r="H449" s="7"/>
      <c r="I449" s="7"/>
      <c r="J449" s="54"/>
      <c r="K449" s="54"/>
      <c r="L449" s="7"/>
      <c r="M449" s="7"/>
      <c r="N449" s="7"/>
      <c r="O449" s="7"/>
      <c r="P449" s="7"/>
      <c r="Q449" s="7"/>
      <c r="R449" s="7"/>
      <c r="S449" s="7"/>
      <c r="T449" s="7"/>
    </row>
    <row r="450">
      <c r="B450" s="7"/>
      <c r="C450" s="54"/>
      <c r="D450" s="7"/>
      <c r="E450" s="7"/>
      <c r="F450" s="7"/>
      <c r="G450" s="7"/>
      <c r="H450" s="7"/>
      <c r="I450" s="7"/>
      <c r="J450" s="54"/>
      <c r="K450" s="54"/>
      <c r="L450" s="7"/>
      <c r="M450" s="7"/>
      <c r="N450" s="7"/>
      <c r="O450" s="7"/>
      <c r="P450" s="7"/>
      <c r="Q450" s="7"/>
      <c r="R450" s="7"/>
      <c r="S450" s="7"/>
      <c r="T450" s="7"/>
    </row>
    <row r="451">
      <c r="B451" s="7"/>
      <c r="C451" s="54"/>
      <c r="D451" s="7"/>
      <c r="E451" s="7"/>
      <c r="F451" s="7"/>
      <c r="G451" s="7"/>
      <c r="H451" s="7"/>
      <c r="I451" s="7"/>
      <c r="J451" s="54"/>
      <c r="K451" s="54"/>
      <c r="L451" s="7"/>
      <c r="M451" s="7"/>
      <c r="N451" s="7"/>
      <c r="O451" s="7"/>
      <c r="P451" s="7"/>
      <c r="Q451" s="7"/>
      <c r="R451" s="7"/>
      <c r="S451" s="7"/>
      <c r="T451" s="7"/>
    </row>
    <row r="452">
      <c r="B452" s="7"/>
      <c r="C452" s="54"/>
      <c r="D452" s="7"/>
      <c r="E452" s="7"/>
      <c r="F452" s="7"/>
      <c r="G452" s="7"/>
      <c r="H452" s="7"/>
      <c r="I452" s="7"/>
      <c r="J452" s="54"/>
      <c r="K452" s="54"/>
      <c r="L452" s="7"/>
      <c r="M452" s="7"/>
      <c r="N452" s="7"/>
      <c r="O452" s="7"/>
      <c r="P452" s="7"/>
      <c r="Q452" s="7"/>
      <c r="R452" s="7"/>
      <c r="S452" s="7"/>
      <c r="T452" s="7"/>
    </row>
    <row r="453">
      <c r="B453" s="7"/>
      <c r="C453" s="54"/>
      <c r="D453" s="7"/>
      <c r="E453" s="7"/>
      <c r="F453" s="7"/>
      <c r="G453" s="7"/>
      <c r="H453" s="7"/>
      <c r="I453" s="7"/>
      <c r="J453" s="54"/>
      <c r="K453" s="54"/>
      <c r="L453" s="7"/>
      <c r="M453" s="7"/>
      <c r="N453" s="7"/>
      <c r="O453" s="7"/>
      <c r="P453" s="7"/>
      <c r="Q453" s="7"/>
      <c r="R453" s="7"/>
      <c r="S453" s="7"/>
      <c r="T453" s="7"/>
    </row>
    <row r="454">
      <c r="B454" s="7"/>
      <c r="C454" s="54"/>
      <c r="D454" s="7"/>
      <c r="E454" s="7"/>
      <c r="F454" s="7"/>
      <c r="G454" s="7"/>
      <c r="H454" s="7"/>
      <c r="I454" s="7"/>
      <c r="J454" s="54"/>
      <c r="K454" s="54"/>
      <c r="L454" s="7"/>
      <c r="M454" s="7"/>
      <c r="N454" s="7"/>
      <c r="O454" s="7"/>
      <c r="P454" s="7"/>
      <c r="Q454" s="7"/>
      <c r="R454" s="7"/>
      <c r="S454" s="7"/>
      <c r="T454" s="7"/>
    </row>
    <row r="455">
      <c r="B455" s="7"/>
      <c r="C455" s="54"/>
      <c r="D455" s="7"/>
      <c r="E455" s="7"/>
      <c r="F455" s="7"/>
      <c r="G455" s="7"/>
      <c r="H455" s="7"/>
      <c r="I455" s="7"/>
      <c r="J455" s="54"/>
      <c r="K455" s="54"/>
      <c r="L455" s="7"/>
      <c r="M455" s="7"/>
      <c r="N455" s="7"/>
      <c r="O455" s="7"/>
      <c r="P455" s="7"/>
      <c r="Q455" s="7"/>
      <c r="R455" s="7"/>
      <c r="S455" s="7"/>
      <c r="T455" s="7"/>
    </row>
    <row r="456">
      <c r="B456" s="7"/>
      <c r="C456" s="54"/>
      <c r="D456" s="7"/>
      <c r="E456" s="7"/>
      <c r="F456" s="7"/>
      <c r="G456" s="7"/>
      <c r="H456" s="7"/>
      <c r="I456" s="7"/>
      <c r="J456" s="54"/>
      <c r="K456" s="54"/>
      <c r="L456" s="7"/>
      <c r="M456" s="7"/>
      <c r="N456" s="7"/>
      <c r="O456" s="7"/>
      <c r="P456" s="7"/>
      <c r="Q456" s="7"/>
      <c r="R456" s="7"/>
      <c r="S456" s="7"/>
      <c r="T456" s="7"/>
    </row>
    <row r="457">
      <c r="B457" s="7"/>
      <c r="C457" s="54"/>
      <c r="D457" s="7"/>
      <c r="E457" s="7"/>
      <c r="F457" s="7"/>
      <c r="G457" s="7"/>
      <c r="H457" s="7"/>
      <c r="I457" s="7"/>
      <c r="J457" s="54"/>
      <c r="K457" s="54"/>
      <c r="L457" s="7"/>
      <c r="M457" s="7"/>
      <c r="N457" s="7"/>
      <c r="O457" s="7"/>
      <c r="P457" s="7"/>
      <c r="Q457" s="7"/>
      <c r="R457" s="7"/>
      <c r="S457" s="7"/>
      <c r="T457" s="7"/>
    </row>
    <row r="458">
      <c r="B458" s="7"/>
      <c r="C458" s="54"/>
      <c r="D458" s="7"/>
      <c r="E458" s="7"/>
      <c r="F458" s="7"/>
      <c r="G458" s="7"/>
      <c r="H458" s="7"/>
      <c r="I458" s="7"/>
      <c r="J458" s="54"/>
      <c r="K458" s="54"/>
      <c r="L458" s="7"/>
      <c r="M458" s="7"/>
      <c r="N458" s="7"/>
      <c r="O458" s="7"/>
      <c r="P458" s="7"/>
      <c r="Q458" s="7"/>
      <c r="R458" s="7"/>
      <c r="S458" s="7"/>
      <c r="T458" s="7"/>
    </row>
    <row r="459">
      <c r="B459" s="7"/>
      <c r="C459" s="54"/>
      <c r="D459" s="7"/>
      <c r="E459" s="7"/>
      <c r="F459" s="7"/>
      <c r="G459" s="7"/>
      <c r="H459" s="7"/>
      <c r="I459" s="7"/>
      <c r="J459" s="54"/>
      <c r="K459" s="54"/>
      <c r="L459" s="7"/>
      <c r="M459" s="7"/>
      <c r="N459" s="7"/>
      <c r="O459" s="7"/>
      <c r="P459" s="7"/>
      <c r="Q459" s="7"/>
      <c r="R459" s="7"/>
      <c r="S459" s="7"/>
      <c r="T459" s="7"/>
    </row>
    <row r="460">
      <c r="B460" s="7"/>
      <c r="C460" s="54"/>
      <c r="D460" s="7"/>
      <c r="E460" s="7"/>
      <c r="F460" s="7"/>
      <c r="G460" s="7"/>
      <c r="H460" s="7"/>
      <c r="I460" s="7"/>
      <c r="J460" s="54"/>
      <c r="K460" s="54"/>
      <c r="L460" s="7"/>
      <c r="M460" s="7"/>
      <c r="N460" s="7"/>
      <c r="O460" s="7"/>
      <c r="P460" s="7"/>
      <c r="Q460" s="7"/>
      <c r="R460" s="7"/>
      <c r="S460" s="7"/>
      <c r="T460" s="7"/>
    </row>
    <row r="461">
      <c r="B461" s="7"/>
      <c r="C461" s="54"/>
      <c r="D461" s="7"/>
      <c r="E461" s="7"/>
      <c r="F461" s="7"/>
      <c r="G461" s="7"/>
      <c r="H461" s="7"/>
      <c r="I461" s="7"/>
      <c r="J461" s="54"/>
      <c r="K461" s="54"/>
      <c r="L461" s="7"/>
      <c r="M461" s="7"/>
      <c r="N461" s="7"/>
      <c r="O461" s="7"/>
      <c r="P461" s="7"/>
      <c r="Q461" s="7"/>
      <c r="R461" s="7"/>
      <c r="S461" s="7"/>
      <c r="T461" s="7"/>
    </row>
    <row r="462">
      <c r="B462" s="7"/>
      <c r="C462" s="54"/>
      <c r="D462" s="7"/>
      <c r="E462" s="7"/>
      <c r="F462" s="7"/>
      <c r="G462" s="7"/>
      <c r="H462" s="7"/>
      <c r="I462" s="7"/>
      <c r="J462" s="54"/>
      <c r="K462" s="54"/>
      <c r="L462" s="7"/>
      <c r="M462" s="7"/>
      <c r="N462" s="7"/>
      <c r="O462" s="7"/>
      <c r="P462" s="7"/>
      <c r="Q462" s="7"/>
      <c r="R462" s="7"/>
      <c r="S462" s="7"/>
      <c r="T462" s="7"/>
    </row>
    <row r="463">
      <c r="B463" s="7"/>
      <c r="C463" s="54"/>
      <c r="D463" s="7"/>
      <c r="E463" s="7"/>
      <c r="F463" s="7"/>
      <c r="G463" s="7"/>
      <c r="H463" s="7"/>
      <c r="I463" s="7"/>
      <c r="J463" s="54"/>
      <c r="K463" s="54"/>
      <c r="L463" s="7"/>
      <c r="M463" s="7"/>
      <c r="N463" s="7"/>
      <c r="O463" s="7"/>
      <c r="P463" s="7"/>
      <c r="Q463" s="7"/>
      <c r="R463" s="7"/>
      <c r="S463" s="7"/>
      <c r="T463" s="7"/>
    </row>
    <row r="464">
      <c r="B464" s="7"/>
      <c r="C464" s="54"/>
      <c r="D464" s="7"/>
      <c r="E464" s="7"/>
      <c r="F464" s="7"/>
      <c r="G464" s="7"/>
      <c r="H464" s="7"/>
      <c r="I464" s="7"/>
      <c r="J464" s="54"/>
      <c r="K464" s="54"/>
      <c r="L464" s="7"/>
      <c r="M464" s="7"/>
      <c r="N464" s="7"/>
      <c r="O464" s="7"/>
      <c r="P464" s="7"/>
      <c r="Q464" s="7"/>
      <c r="R464" s="7"/>
      <c r="S464" s="7"/>
      <c r="T464" s="7"/>
    </row>
    <row r="465">
      <c r="B465" s="7"/>
      <c r="C465" s="54"/>
      <c r="D465" s="7"/>
      <c r="E465" s="7"/>
      <c r="F465" s="7"/>
      <c r="G465" s="7"/>
      <c r="H465" s="7"/>
      <c r="I465" s="7"/>
      <c r="J465" s="54"/>
      <c r="K465" s="54"/>
      <c r="L465" s="7"/>
      <c r="M465" s="7"/>
      <c r="N465" s="7"/>
      <c r="O465" s="7"/>
      <c r="P465" s="7"/>
      <c r="Q465" s="7"/>
      <c r="R465" s="7"/>
      <c r="S465" s="7"/>
      <c r="T465" s="7"/>
    </row>
    <row r="466">
      <c r="B466" s="7"/>
      <c r="C466" s="54"/>
      <c r="D466" s="7"/>
      <c r="E466" s="7"/>
      <c r="F466" s="7"/>
      <c r="G466" s="7"/>
      <c r="H466" s="7"/>
      <c r="I466" s="7"/>
      <c r="J466" s="54"/>
      <c r="K466" s="54"/>
      <c r="L466" s="7"/>
      <c r="M466" s="7"/>
      <c r="N466" s="7"/>
      <c r="O466" s="7"/>
      <c r="P466" s="7"/>
      <c r="Q466" s="7"/>
      <c r="R466" s="7"/>
      <c r="S466" s="7"/>
      <c r="T466" s="7"/>
    </row>
    <row r="467">
      <c r="B467" s="7"/>
      <c r="C467" s="54"/>
      <c r="D467" s="7"/>
      <c r="E467" s="7"/>
      <c r="F467" s="7"/>
      <c r="G467" s="7"/>
      <c r="H467" s="7"/>
      <c r="I467" s="7"/>
      <c r="J467" s="54"/>
      <c r="K467" s="54"/>
      <c r="L467" s="7"/>
      <c r="M467" s="7"/>
      <c r="N467" s="7"/>
      <c r="O467" s="7"/>
      <c r="P467" s="7"/>
      <c r="Q467" s="7"/>
      <c r="R467" s="7"/>
      <c r="S467" s="7"/>
      <c r="T467" s="7"/>
    </row>
    <row r="468">
      <c r="B468" s="7"/>
      <c r="C468" s="54"/>
      <c r="D468" s="7"/>
      <c r="E468" s="7"/>
      <c r="F468" s="7"/>
      <c r="G468" s="7"/>
      <c r="H468" s="7"/>
      <c r="I468" s="7"/>
      <c r="J468" s="54"/>
      <c r="K468" s="54"/>
      <c r="L468" s="7"/>
      <c r="M468" s="7"/>
      <c r="N468" s="7"/>
      <c r="O468" s="7"/>
      <c r="P468" s="7"/>
      <c r="Q468" s="7"/>
      <c r="R468" s="7"/>
      <c r="S468" s="7"/>
      <c r="T468" s="7"/>
    </row>
    <row r="469">
      <c r="B469" s="7"/>
      <c r="C469" s="54"/>
      <c r="D469" s="7"/>
      <c r="E469" s="7"/>
      <c r="F469" s="7"/>
      <c r="G469" s="7"/>
      <c r="H469" s="7"/>
      <c r="I469" s="7"/>
      <c r="J469" s="54"/>
      <c r="K469" s="54"/>
      <c r="L469" s="7"/>
      <c r="M469" s="7"/>
      <c r="N469" s="7"/>
      <c r="O469" s="7"/>
      <c r="P469" s="7"/>
      <c r="Q469" s="7"/>
      <c r="R469" s="7"/>
      <c r="S469" s="7"/>
      <c r="T469" s="7"/>
    </row>
    <row r="470">
      <c r="B470" s="7"/>
      <c r="C470" s="54"/>
      <c r="D470" s="7"/>
      <c r="E470" s="7"/>
      <c r="F470" s="7"/>
      <c r="G470" s="7"/>
      <c r="H470" s="7"/>
      <c r="I470" s="7"/>
      <c r="J470" s="54"/>
      <c r="K470" s="54"/>
      <c r="L470" s="7"/>
      <c r="M470" s="7"/>
      <c r="N470" s="7"/>
      <c r="O470" s="7"/>
      <c r="P470" s="7"/>
      <c r="Q470" s="7"/>
      <c r="R470" s="7"/>
      <c r="S470" s="7"/>
      <c r="T470" s="7"/>
    </row>
    <row r="471">
      <c r="B471" s="7"/>
      <c r="C471" s="54"/>
      <c r="D471" s="7"/>
      <c r="E471" s="7"/>
      <c r="F471" s="7"/>
      <c r="G471" s="7"/>
      <c r="H471" s="7"/>
      <c r="I471" s="7"/>
      <c r="J471" s="54"/>
      <c r="K471" s="54"/>
      <c r="L471" s="7"/>
      <c r="M471" s="7"/>
      <c r="N471" s="7"/>
      <c r="O471" s="7"/>
      <c r="P471" s="7"/>
      <c r="Q471" s="7"/>
      <c r="R471" s="7"/>
      <c r="S471" s="7"/>
      <c r="T471" s="7"/>
    </row>
    <row r="472">
      <c r="B472" s="7"/>
      <c r="C472" s="54"/>
      <c r="D472" s="7"/>
      <c r="E472" s="7"/>
      <c r="F472" s="7"/>
      <c r="G472" s="7"/>
      <c r="H472" s="7"/>
      <c r="I472" s="7"/>
      <c r="J472" s="54"/>
      <c r="K472" s="54"/>
      <c r="L472" s="7"/>
      <c r="M472" s="7"/>
      <c r="N472" s="7"/>
      <c r="O472" s="7"/>
      <c r="P472" s="7"/>
      <c r="Q472" s="7"/>
      <c r="R472" s="7"/>
      <c r="S472" s="7"/>
      <c r="T472" s="7"/>
    </row>
    <row r="473">
      <c r="B473" s="7"/>
      <c r="C473" s="54"/>
      <c r="D473" s="7"/>
      <c r="E473" s="7"/>
      <c r="F473" s="7"/>
      <c r="G473" s="7"/>
      <c r="H473" s="7"/>
      <c r="I473" s="7"/>
      <c r="J473" s="54"/>
      <c r="K473" s="54"/>
      <c r="L473" s="7"/>
      <c r="M473" s="7"/>
      <c r="N473" s="7"/>
      <c r="O473" s="7"/>
      <c r="P473" s="7"/>
      <c r="Q473" s="7"/>
      <c r="R473" s="7"/>
      <c r="S473" s="7"/>
      <c r="T473" s="7"/>
    </row>
    <row r="474">
      <c r="B474" s="7"/>
      <c r="C474" s="54"/>
      <c r="D474" s="7"/>
      <c r="E474" s="7"/>
      <c r="F474" s="7"/>
      <c r="G474" s="7"/>
      <c r="H474" s="7"/>
      <c r="I474" s="7"/>
      <c r="J474" s="54"/>
      <c r="K474" s="54"/>
      <c r="L474" s="7"/>
      <c r="M474" s="7"/>
      <c r="N474" s="7"/>
      <c r="O474" s="7"/>
      <c r="P474" s="7"/>
      <c r="Q474" s="7"/>
      <c r="R474" s="7"/>
      <c r="S474" s="7"/>
      <c r="T474" s="7"/>
    </row>
    <row r="475">
      <c r="B475" s="7"/>
      <c r="C475" s="54"/>
      <c r="D475" s="7"/>
      <c r="E475" s="7"/>
      <c r="F475" s="7"/>
      <c r="G475" s="7"/>
      <c r="H475" s="7"/>
      <c r="I475" s="7"/>
      <c r="J475" s="54"/>
      <c r="K475" s="54"/>
      <c r="L475" s="7"/>
      <c r="M475" s="7"/>
      <c r="N475" s="7"/>
      <c r="O475" s="7"/>
      <c r="P475" s="7"/>
      <c r="Q475" s="7"/>
      <c r="R475" s="7"/>
      <c r="S475" s="7"/>
      <c r="T475" s="7"/>
    </row>
    <row r="476">
      <c r="B476" s="7"/>
      <c r="C476" s="54"/>
      <c r="D476" s="7"/>
      <c r="E476" s="7"/>
      <c r="F476" s="7"/>
      <c r="G476" s="7"/>
      <c r="H476" s="7"/>
      <c r="I476" s="7"/>
      <c r="J476" s="54"/>
      <c r="K476" s="54"/>
      <c r="L476" s="7"/>
      <c r="M476" s="7"/>
      <c r="N476" s="7"/>
      <c r="O476" s="7"/>
      <c r="P476" s="7"/>
      <c r="Q476" s="7"/>
      <c r="R476" s="7"/>
      <c r="S476" s="7"/>
      <c r="T476" s="7"/>
    </row>
    <row r="477">
      <c r="B477" s="7"/>
      <c r="C477" s="54"/>
      <c r="D477" s="7"/>
      <c r="E477" s="7"/>
      <c r="F477" s="7"/>
      <c r="G477" s="7"/>
      <c r="H477" s="7"/>
      <c r="I477" s="7"/>
      <c r="J477" s="54"/>
      <c r="K477" s="54"/>
      <c r="L477" s="7"/>
      <c r="M477" s="7"/>
      <c r="N477" s="7"/>
      <c r="O477" s="7"/>
      <c r="P477" s="7"/>
      <c r="Q477" s="7"/>
      <c r="R477" s="7"/>
      <c r="S477" s="7"/>
      <c r="T477" s="7"/>
    </row>
    <row r="478">
      <c r="B478" s="7"/>
      <c r="C478" s="54"/>
      <c r="D478" s="7"/>
      <c r="E478" s="7"/>
      <c r="F478" s="7"/>
      <c r="G478" s="7"/>
      <c r="H478" s="7"/>
      <c r="I478" s="7"/>
      <c r="J478" s="54"/>
      <c r="K478" s="54"/>
      <c r="L478" s="7"/>
      <c r="M478" s="7"/>
      <c r="N478" s="7"/>
      <c r="O478" s="7"/>
      <c r="P478" s="7"/>
      <c r="Q478" s="7"/>
      <c r="R478" s="7"/>
      <c r="S478" s="7"/>
      <c r="T478" s="7"/>
    </row>
    <row r="479">
      <c r="B479" s="7"/>
      <c r="C479" s="54"/>
      <c r="D479" s="7"/>
      <c r="E479" s="7"/>
      <c r="F479" s="7"/>
      <c r="G479" s="7"/>
      <c r="H479" s="7"/>
      <c r="I479" s="7"/>
      <c r="J479" s="54"/>
      <c r="K479" s="54"/>
      <c r="L479" s="7"/>
      <c r="M479" s="7"/>
      <c r="N479" s="7"/>
      <c r="O479" s="7"/>
      <c r="P479" s="7"/>
      <c r="Q479" s="7"/>
      <c r="R479" s="7"/>
      <c r="S479" s="7"/>
      <c r="T479" s="7"/>
    </row>
    <row r="480">
      <c r="B480" s="7"/>
      <c r="C480" s="54"/>
      <c r="D480" s="7"/>
      <c r="E480" s="7"/>
      <c r="F480" s="7"/>
      <c r="G480" s="7"/>
      <c r="H480" s="7"/>
      <c r="I480" s="7"/>
      <c r="J480" s="54"/>
      <c r="K480" s="54"/>
      <c r="L480" s="7"/>
      <c r="M480" s="7"/>
      <c r="N480" s="7"/>
      <c r="O480" s="7"/>
      <c r="P480" s="7"/>
      <c r="Q480" s="7"/>
      <c r="R480" s="7"/>
      <c r="S480" s="7"/>
      <c r="T480" s="7"/>
    </row>
    <row r="481">
      <c r="B481" s="7"/>
      <c r="C481" s="54"/>
      <c r="D481" s="7"/>
      <c r="E481" s="7"/>
      <c r="F481" s="7"/>
      <c r="G481" s="7"/>
      <c r="H481" s="7"/>
      <c r="I481" s="7"/>
      <c r="J481" s="54"/>
      <c r="K481" s="54"/>
      <c r="L481" s="7"/>
      <c r="M481" s="7"/>
      <c r="N481" s="7"/>
      <c r="O481" s="7"/>
      <c r="P481" s="7"/>
      <c r="Q481" s="7"/>
      <c r="R481" s="7"/>
      <c r="S481" s="7"/>
      <c r="T481" s="7"/>
    </row>
    <row r="482">
      <c r="B482" s="7"/>
      <c r="C482" s="54"/>
      <c r="D482" s="7"/>
      <c r="E482" s="7"/>
      <c r="F482" s="7"/>
      <c r="G482" s="7"/>
      <c r="H482" s="7"/>
      <c r="I482" s="7"/>
      <c r="J482" s="54"/>
      <c r="K482" s="54"/>
      <c r="L482" s="7"/>
      <c r="M482" s="7"/>
      <c r="N482" s="7"/>
      <c r="O482" s="7"/>
      <c r="P482" s="7"/>
      <c r="Q482" s="7"/>
      <c r="R482" s="7"/>
      <c r="S482" s="7"/>
      <c r="T482" s="7"/>
    </row>
    <row r="483">
      <c r="B483" s="7"/>
      <c r="C483" s="54"/>
      <c r="D483" s="7"/>
      <c r="E483" s="7"/>
      <c r="F483" s="7"/>
      <c r="G483" s="7"/>
      <c r="H483" s="7"/>
      <c r="I483" s="7"/>
      <c r="J483" s="54"/>
      <c r="K483" s="54"/>
      <c r="L483" s="7"/>
      <c r="M483" s="7"/>
      <c r="N483" s="7"/>
      <c r="O483" s="7"/>
      <c r="P483" s="7"/>
      <c r="Q483" s="7"/>
      <c r="R483" s="7"/>
      <c r="S483" s="7"/>
      <c r="T483" s="7"/>
    </row>
    <row r="484">
      <c r="B484" s="7"/>
      <c r="C484" s="54"/>
      <c r="D484" s="7"/>
      <c r="E484" s="7"/>
      <c r="F484" s="7"/>
      <c r="G484" s="7"/>
      <c r="H484" s="7"/>
      <c r="I484" s="7"/>
      <c r="J484" s="54"/>
      <c r="K484" s="54"/>
      <c r="L484" s="7"/>
      <c r="M484" s="7"/>
      <c r="N484" s="7"/>
      <c r="O484" s="7"/>
      <c r="P484" s="7"/>
      <c r="Q484" s="7"/>
      <c r="R484" s="7"/>
      <c r="S484" s="7"/>
      <c r="T484" s="7"/>
    </row>
    <row r="485">
      <c r="B485" s="7"/>
      <c r="C485" s="54"/>
      <c r="D485" s="7"/>
      <c r="E485" s="7"/>
      <c r="F485" s="7"/>
      <c r="G485" s="7"/>
      <c r="H485" s="7"/>
      <c r="I485" s="7"/>
      <c r="J485" s="54"/>
      <c r="K485" s="54"/>
      <c r="L485" s="7"/>
      <c r="M485" s="7"/>
      <c r="N485" s="7"/>
      <c r="O485" s="7"/>
      <c r="P485" s="7"/>
      <c r="Q485" s="7"/>
      <c r="R485" s="7"/>
      <c r="S485" s="7"/>
      <c r="T485" s="7"/>
    </row>
    <row r="486">
      <c r="B486" s="7"/>
      <c r="C486" s="54"/>
      <c r="D486" s="7"/>
      <c r="E486" s="7"/>
      <c r="F486" s="7"/>
      <c r="G486" s="7"/>
      <c r="H486" s="7"/>
      <c r="I486" s="7"/>
      <c r="J486" s="54"/>
      <c r="K486" s="54"/>
      <c r="L486" s="7"/>
      <c r="M486" s="7"/>
      <c r="N486" s="7"/>
      <c r="O486" s="7"/>
      <c r="P486" s="7"/>
      <c r="Q486" s="7"/>
      <c r="R486" s="7"/>
      <c r="S486" s="7"/>
      <c r="T486" s="7"/>
    </row>
    <row r="487">
      <c r="B487" s="7"/>
      <c r="C487" s="54"/>
      <c r="D487" s="7"/>
      <c r="E487" s="7"/>
      <c r="F487" s="7"/>
      <c r="G487" s="7"/>
      <c r="H487" s="7"/>
      <c r="I487" s="7"/>
      <c r="J487" s="54"/>
      <c r="K487" s="54"/>
      <c r="L487" s="7"/>
      <c r="M487" s="7"/>
      <c r="N487" s="7"/>
      <c r="O487" s="7"/>
      <c r="P487" s="7"/>
      <c r="Q487" s="7"/>
      <c r="R487" s="7"/>
      <c r="S487" s="7"/>
      <c r="T487" s="7"/>
    </row>
    <row r="488">
      <c r="B488" s="7"/>
      <c r="C488" s="54"/>
      <c r="D488" s="7"/>
      <c r="E488" s="7"/>
      <c r="F488" s="7"/>
      <c r="G488" s="7"/>
      <c r="H488" s="7"/>
      <c r="I488" s="7"/>
      <c r="J488" s="54"/>
      <c r="K488" s="54"/>
      <c r="L488" s="7"/>
      <c r="M488" s="7"/>
      <c r="N488" s="7"/>
      <c r="O488" s="7"/>
      <c r="P488" s="7"/>
      <c r="Q488" s="7"/>
      <c r="R488" s="7"/>
      <c r="S488" s="7"/>
      <c r="T488" s="7"/>
    </row>
    <row r="489">
      <c r="B489" s="7"/>
      <c r="C489" s="54"/>
      <c r="D489" s="7"/>
      <c r="E489" s="7"/>
      <c r="F489" s="7"/>
      <c r="G489" s="7"/>
      <c r="H489" s="7"/>
      <c r="I489" s="7"/>
      <c r="J489" s="54"/>
      <c r="K489" s="54"/>
      <c r="L489" s="7"/>
      <c r="M489" s="7"/>
      <c r="N489" s="7"/>
      <c r="O489" s="7"/>
      <c r="P489" s="7"/>
      <c r="Q489" s="7"/>
      <c r="R489" s="7"/>
      <c r="S489" s="7"/>
      <c r="T489" s="7"/>
    </row>
    <row r="490">
      <c r="B490" s="7"/>
      <c r="C490" s="54"/>
      <c r="D490" s="7"/>
      <c r="E490" s="7"/>
      <c r="F490" s="7"/>
      <c r="G490" s="7"/>
      <c r="H490" s="7"/>
      <c r="I490" s="7"/>
      <c r="J490" s="54"/>
      <c r="K490" s="54"/>
      <c r="L490" s="7"/>
      <c r="M490" s="7"/>
      <c r="N490" s="7"/>
      <c r="O490" s="7"/>
      <c r="P490" s="7"/>
      <c r="Q490" s="7"/>
      <c r="R490" s="7"/>
      <c r="S490" s="7"/>
      <c r="T490" s="7"/>
    </row>
    <row r="491">
      <c r="B491" s="7"/>
      <c r="C491" s="54"/>
      <c r="D491" s="7"/>
      <c r="E491" s="7"/>
      <c r="F491" s="7"/>
      <c r="G491" s="7"/>
      <c r="H491" s="7"/>
      <c r="I491" s="7"/>
      <c r="J491" s="54"/>
      <c r="K491" s="54"/>
      <c r="L491" s="7"/>
      <c r="M491" s="7"/>
      <c r="N491" s="7"/>
      <c r="O491" s="7"/>
      <c r="P491" s="7"/>
      <c r="Q491" s="7"/>
      <c r="R491" s="7"/>
      <c r="S491" s="7"/>
      <c r="T491" s="7"/>
    </row>
    <row r="492">
      <c r="B492" s="7"/>
      <c r="C492" s="54"/>
      <c r="D492" s="7"/>
      <c r="E492" s="7"/>
      <c r="F492" s="7"/>
      <c r="G492" s="7"/>
      <c r="H492" s="7"/>
      <c r="I492" s="7"/>
      <c r="J492" s="54"/>
      <c r="K492" s="54"/>
      <c r="L492" s="7"/>
      <c r="M492" s="7"/>
      <c r="N492" s="7"/>
      <c r="O492" s="7"/>
      <c r="P492" s="7"/>
      <c r="Q492" s="7"/>
      <c r="R492" s="7"/>
      <c r="S492" s="7"/>
      <c r="T492" s="7"/>
    </row>
    <row r="493">
      <c r="B493" s="7"/>
      <c r="C493" s="54"/>
      <c r="D493" s="7"/>
      <c r="E493" s="7"/>
      <c r="F493" s="7"/>
      <c r="G493" s="7"/>
      <c r="H493" s="7"/>
      <c r="I493" s="7"/>
      <c r="J493" s="54"/>
      <c r="K493" s="54"/>
      <c r="L493" s="7"/>
      <c r="M493" s="7"/>
      <c r="N493" s="7"/>
      <c r="O493" s="7"/>
      <c r="P493" s="7"/>
      <c r="Q493" s="7"/>
      <c r="R493" s="7"/>
      <c r="S493" s="7"/>
      <c r="T493" s="7"/>
    </row>
    <row r="494">
      <c r="B494" s="7"/>
      <c r="C494" s="54"/>
      <c r="D494" s="7"/>
      <c r="E494" s="7"/>
      <c r="F494" s="7"/>
      <c r="G494" s="7"/>
      <c r="H494" s="7"/>
      <c r="I494" s="7"/>
      <c r="J494" s="54"/>
      <c r="K494" s="54"/>
      <c r="L494" s="7"/>
      <c r="M494" s="7"/>
      <c r="N494" s="7"/>
      <c r="O494" s="7"/>
      <c r="P494" s="7"/>
      <c r="Q494" s="7"/>
      <c r="R494" s="7"/>
      <c r="S494" s="7"/>
      <c r="T494" s="7"/>
    </row>
    <row r="495">
      <c r="B495" s="7"/>
      <c r="C495" s="54"/>
      <c r="D495" s="7"/>
      <c r="E495" s="7"/>
      <c r="F495" s="7"/>
      <c r="G495" s="7"/>
      <c r="H495" s="7"/>
      <c r="I495" s="7"/>
      <c r="J495" s="54"/>
      <c r="K495" s="54"/>
      <c r="L495" s="7"/>
      <c r="M495" s="7"/>
      <c r="N495" s="7"/>
      <c r="O495" s="7"/>
      <c r="P495" s="7"/>
      <c r="Q495" s="7"/>
      <c r="R495" s="7"/>
      <c r="S495" s="7"/>
      <c r="T495" s="7"/>
    </row>
    <row r="496">
      <c r="B496" s="7"/>
      <c r="C496" s="54"/>
      <c r="D496" s="7"/>
      <c r="E496" s="7"/>
      <c r="F496" s="7"/>
      <c r="G496" s="7"/>
      <c r="H496" s="7"/>
      <c r="I496" s="7"/>
      <c r="J496" s="54"/>
      <c r="K496" s="54"/>
      <c r="L496" s="7"/>
      <c r="M496" s="7"/>
      <c r="N496" s="7"/>
      <c r="O496" s="7"/>
      <c r="P496" s="7"/>
      <c r="Q496" s="7"/>
      <c r="R496" s="7"/>
      <c r="S496" s="7"/>
      <c r="T496" s="7"/>
    </row>
    <row r="497">
      <c r="B497" s="7"/>
      <c r="C497" s="54"/>
      <c r="D497" s="7"/>
      <c r="E497" s="7"/>
      <c r="F497" s="7"/>
      <c r="G497" s="7"/>
      <c r="H497" s="7"/>
      <c r="I497" s="7"/>
      <c r="J497" s="54"/>
      <c r="K497" s="54"/>
      <c r="L497" s="7"/>
      <c r="M497" s="7"/>
      <c r="N497" s="7"/>
      <c r="O497" s="7"/>
      <c r="P497" s="7"/>
      <c r="Q497" s="7"/>
      <c r="R497" s="7"/>
      <c r="S497" s="7"/>
      <c r="T497" s="7"/>
    </row>
    <row r="498">
      <c r="B498" s="7"/>
      <c r="C498" s="54"/>
      <c r="D498" s="7"/>
      <c r="E498" s="7"/>
      <c r="F498" s="7"/>
      <c r="G498" s="7"/>
      <c r="H498" s="7"/>
      <c r="I498" s="7"/>
      <c r="J498" s="54"/>
      <c r="K498" s="54"/>
      <c r="L498" s="7"/>
      <c r="M498" s="7"/>
      <c r="N498" s="7"/>
      <c r="O498" s="7"/>
      <c r="P498" s="7"/>
      <c r="Q498" s="7"/>
      <c r="R498" s="7"/>
      <c r="S498" s="7"/>
      <c r="T498" s="7"/>
    </row>
    <row r="499">
      <c r="B499" s="7"/>
      <c r="C499" s="54"/>
      <c r="D499" s="7"/>
      <c r="E499" s="7"/>
      <c r="F499" s="7"/>
      <c r="G499" s="7"/>
      <c r="H499" s="7"/>
      <c r="I499" s="7"/>
      <c r="J499" s="54"/>
      <c r="K499" s="54"/>
      <c r="L499" s="7"/>
      <c r="M499" s="7"/>
      <c r="N499" s="7"/>
      <c r="O499" s="7"/>
      <c r="P499" s="7"/>
      <c r="Q499" s="7"/>
      <c r="R499" s="7"/>
      <c r="S499" s="7"/>
      <c r="T499" s="7"/>
    </row>
    <row r="500">
      <c r="B500" s="7"/>
      <c r="C500" s="54"/>
      <c r="D500" s="7"/>
      <c r="E500" s="7"/>
      <c r="F500" s="7"/>
      <c r="G500" s="7"/>
      <c r="H500" s="7"/>
      <c r="I500" s="7"/>
      <c r="J500" s="54"/>
      <c r="K500" s="54"/>
      <c r="L500" s="7"/>
      <c r="M500" s="7"/>
      <c r="N500" s="7"/>
      <c r="O500" s="7"/>
      <c r="P500" s="7"/>
      <c r="Q500" s="7"/>
      <c r="R500" s="7"/>
      <c r="S500" s="7"/>
      <c r="T500" s="7"/>
    </row>
    <row r="501">
      <c r="B501" s="7"/>
      <c r="C501" s="54"/>
      <c r="D501" s="7"/>
      <c r="E501" s="7"/>
      <c r="F501" s="7"/>
      <c r="G501" s="7"/>
      <c r="H501" s="7"/>
      <c r="I501" s="7"/>
      <c r="J501" s="54"/>
      <c r="K501" s="54"/>
      <c r="L501" s="7"/>
      <c r="M501" s="7"/>
      <c r="N501" s="7"/>
      <c r="O501" s="7"/>
      <c r="P501" s="7"/>
      <c r="Q501" s="7"/>
      <c r="R501" s="7"/>
      <c r="S501" s="7"/>
      <c r="T501" s="7"/>
    </row>
    <row r="502">
      <c r="B502" s="7"/>
      <c r="C502" s="54"/>
      <c r="D502" s="7"/>
      <c r="E502" s="7"/>
      <c r="F502" s="7"/>
      <c r="G502" s="7"/>
      <c r="H502" s="7"/>
      <c r="I502" s="7"/>
      <c r="J502" s="54"/>
      <c r="K502" s="54"/>
      <c r="L502" s="7"/>
      <c r="M502" s="7"/>
      <c r="N502" s="7"/>
      <c r="O502" s="7"/>
      <c r="P502" s="7"/>
      <c r="Q502" s="7"/>
      <c r="R502" s="7"/>
      <c r="S502" s="7"/>
      <c r="T502" s="7"/>
    </row>
    <row r="503">
      <c r="B503" s="7"/>
      <c r="C503" s="54"/>
      <c r="D503" s="7"/>
      <c r="E503" s="7"/>
      <c r="F503" s="7"/>
      <c r="G503" s="7"/>
      <c r="H503" s="7"/>
      <c r="I503" s="7"/>
      <c r="J503" s="54"/>
      <c r="K503" s="54"/>
      <c r="L503" s="7"/>
      <c r="M503" s="7"/>
      <c r="N503" s="7"/>
      <c r="O503" s="7"/>
      <c r="P503" s="7"/>
      <c r="Q503" s="7"/>
      <c r="R503" s="7"/>
      <c r="S503" s="7"/>
      <c r="T503" s="7"/>
    </row>
    <row r="504">
      <c r="B504" s="7"/>
      <c r="C504" s="54"/>
      <c r="D504" s="7"/>
      <c r="E504" s="7"/>
      <c r="F504" s="7"/>
      <c r="G504" s="7"/>
      <c r="H504" s="7"/>
      <c r="I504" s="7"/>
      <c r="J504" s="54"/>
      <c r="K504" s="54"/>
      <c r="L504" s="7"/>
      <c r="M504" s="7"/>
      <c r="N504" s="7"/>
      <c r="O504" s="7"/>
      <c r="P504" s="7"/>
      <c r="Q504" s="7"/>
      <c r="R504" s="7"/>
      <c r="S504" s="7"/>
      <c r="T504" s="7"/>
    </row>
    <row r="505">
      <c r="B505" s="7"/>
      <c r="C505" s="54"/>
      <c r="D505" s="7"/>
      <c r="E505" s="7"/>
      <c r="F505" s="7"/>
      <c r="G505" s="7"/>
      <c r="H505" s="7"/>
      <c r="I505" s="7"/>
      <c r="J505" s="54"/>
      <c r="K505" s="54"/>
      <c r="L505" s="7"/>
      <c r="M505" s="7"/>
      <c r="N505" s="7"/>
      <c r="O505" s="7"/>
      <c r="P505" s="7"/>
      <c r="Q505" s="7"/>
      <c r="R505" s="7"/>
      <c r="S505" s="7"/>
      <c r="T505" s="7"/>
    </row>
    <row r="506">
      <c r="B506" s="7"/>
      <c r="C506" s="54"/>
      <c r="D506" s="7"/>
      <c r="E506" s="7"/>
      <c r="F506" s="7"/>
      <c r="G506" s="7"/>
      <c r="H506" s="7"/>
      <c r="I506" s="7"/>
      <c r="J506" s="54"/>
      <c r="K506" s="54"/>
      <c r="L506" s="7"/>
      <c r="M506" s="7"/>
      <c r="N506" s="7"/>
      <c r="O506" s="7"/>
      <c r="P506" s="7"/>
      <c r="Q506" s="7"/>
      <c r="R506" s="7"/>
      <c r="S506" s="7"/>
      <c r="T506" s="7"/>
    </row>
    <row r="507">
      <c r="B507" s="7"/>
      <c r="C507" s="54"/>
      <c r="D507" s="7"/>
      <c r="E507" s="7"/>
      <c r="F507" s="7"/>
      <c r="G507" s="7"/>
      <c r="H507" s="7"/>
      <c r="I507" s="7"/>
      <c r="J507" s="54"/>
      <c r="K507" s="54"/>
      <c r="L507" s="7"/>
      <c r="M507" s="7"/>
      <c r="N507" s="7"/>
      <c r="O507" s="7"/>
      <c r="P507" s="7"/>
      <c r="Q507" s="7"/>
      <c r="R507" s="7"/>
      <c r="S507" s="7"/>
      <c r="T507" s="7"/>
    </row>
    <row r="508">
      <c r="B508" s="7"/>
      <c r="C508" s="54"/>
      <c r="D508" s="7"/>
      <c r="E508" s="7"/>
      <c r="F508" s="7"/>
      <c r="G508" s="7"/>
      <c r="H508" s="7"/>
      <c r="I508" s="7"/>
      <c r="J508" s="54"/>
      <c r="K508" s="54"/>
      <c r="L508" s="7"/>
      <c r="M508" s="7"/>
      <c r="N508" s="7"/>
      <c r="O508" s="7"/>
      <c r="P508" s="7"/>
      <c r="Q508" s="7"/>
      <c r="R508" s="7"/>
      <c r="S508" s="7"/>
      <c r="T508" s="7"/>
    </row>
    <row r="509">
      <c r="B509" s="7"/>
      <c r="C509" s="54"/>
      <c r="D509" s="7"/>
      <c r="E509" s="7"/>
      <c r="F509" s="7"/>
      <c r="G509" s="7"/>
      <c r="H509" s="7"/>
      <c r="I509" s="7"/>
      <c r="J509" s="54"/>
      <c r="K509" s="54"/>
      <c r="L509" s="7"/>
      <c r="M509" s="7"/>
      <c r="N509" s="7"/>
      <c r="O509" s="7"/>
      <c r="P509" s="7"/>
      <c r="Q509" s="7"/>
      <c r="R509" s="7"/>
      <c r="S509" s="7"/>
      <c r="T509" s="7"/>
    </row>
    <row r="510">
      <c r="B510" s="7"/>
      <c r="C510" s="54"/>
      <c r="D510" s="7"/>
      <c r="E510" s="7"/>
      <c r="F510" s="7"/>
      <c r="G510" s="7"/>
      <c r="H510" s="7"/>
      <c r="I510" s="7"/>
      <c r="J510" s="54"/>
      <c r="K510" s="54"/>
      <c r="L510" s="7"/>
      <c r="M510" s="7"/>
      <c r="N510" s="7"/>
      <c r="O510" s="7"/>
      <c r="P510" s="7"/>
      <c r="Q510" s="7"/>
      <c r="R510" s="7"/>
      <c r="S510" s="7"/>
      <c r="T510" s="7"/>
    </row>
    <row r="511">
      <c r="B511" s="7"/>
      <c r="C511" s="54"/>
      <c r="D511" s="7"/>
      <c r="E511" s="7"/>
      <c r="F511" s="7"/>
      <c r="G511" s="7"/>
      <c r="H511" s="7"/>
      <c r="I511" s="7"/>
      <c r="J511" s="54"/>
      <c r="K511" s="54"/>
      <c r="L511" s="7"/>
      <c r="M511" s="7"/>
      <c r="N511" s="7"/>
      <c r="O511" s="7"/>
      <c r="P511" s="7"/>
      <c r="Q511" s="7"/>
      <c r="R511" s="7"/>
      <c r="S511" s="7"/>
      <c r="T511" s="7"/>
    </row>
    <row r="512">
      <c r="B512" s="7"/>
      <c r="C512" s="54"/>
      <c r="D512" s="7"/>
      <c r="E512" s="7"/>
      <c r="F512" s="7"/>
      <c r="G512" s="7"/>
      <c r="H512" s="7"/>
      <c r="I512" s="7"/>
      <c r="J512" s="54"/>
      <c r="K512" s="54"/>
      <c r="L512" s="7"/>
      <c r="M512" s="7"/>
      <c r="N512" s="7"/>
      <c r="O512" s="7"/>
      <c r="P512" s="7"/>
      <c r="Q512" s="7"/>
      <c r="R512" s="7"/>
      <c r="S512" s="7"/>
      <c r="T512" s="7"/>
    </row>
    <row r="513">
      <c r="B513" s="7"/>
      <c r="C513" s="54"/>
      <c r="D513" s="7"/>
      <c r="E513" s="7"/>
      <c r="F513" s="7"/>
      <c r="G513" s="7"/>
      <c r="H513" s="7"/>
      <c r="I513" s="7"/>
      <c r="J513" s="54"/>
      <c r="K513" s="54"/>
      <c r="L513" s="7"/>
      <c r="M513" s="7"/>
      <c r="N513" s="7"/>
      <c r="O513" s="7"/>
      <c r="P513" s="7"/>
      <c r="Q513" s="7"/>
      <c r="R513" s="7"/>
      <c r="S513" s="7"/>
      <c r="T513" s="7"/>
    </row>
    <row r="514">
      <c r="B514" s="7"/>
      <c r="C514" s="54"/>
      <c r="D514" s="7"/>
      <c r="E514" s="7"/>
      <c r="F514" s="7"/>
      <c r="G514" s="7"/>
      <c r="H514" s="7"/>
      <c r="I514" s="7"/>
      <c r="J514" s="54"/>
      <c r="K514" s="54"/>
      <c r="L514" s="7"/>
      <c r="M514" s="7"/>
      <c r="N514" s="7"/>
      <c r="O514" s="7"/>
      <c r="P514" s="7"/>
      <c r="Q514" s="7"/>
      <c r="R514" s="7"/>
      <c r="S514" s="7"/>
      <c r="T514" s="7"/>
    </row>
    <row r="515">
      <c r="B515" s="7"/>
      <c r="C515" s="54"/>
      <c r="D515" s="7"/>
      <c r="E515" s="7"/>
      <c r="F515" s="7"/>
      <c r="G515" s="7"/>
      <c r="H515" s="7"/>
      <c r="I515" s="7"/>
      <c r="J515" s="54"/>
      <c r="K515" s="54"/>
      <c r="L515" s="7"/>
      <c r="M515" s="7"/>
      <c r="N515" s="7"/>
      <c r="O515" s="7"/>
      <c r="P515" s="7"/>
      <c r="Q515" s="7"/>
      <c r="R515" s="7"/>
      <c r="S515" s="7"/>
      <c r="T515" s="7"/>
    </row>
    <row r="516">
      <c r="B516" s="7"/>
      <c r="C516" s="54"/>
      <c r="D516" s="7"/>
      <c r="E516" s="7"/>
      <c r="F516" s="7"/>
      <c r="G516" s="7"/>
      <c r="H516" s="7"/>
      <c r="I516" s="7"/>
      <c r="J516" s="54"/>
      <c r="K516" s="54"/>
      <c r="L516" s="7"/>
      <c r="M516" s="7"/>
      <c r="N516" s="7"/>
      <c r="O516" s="7"/>
      <c r="P516" s="7"/>
      <c r="Q516" s="7"/>
      <c r="R516" s="7"/>
      <c r="S516" s="7"/>
      <c r="T516" s="7"/>
    </row>
    <row r="517">
      <c r="B517" s="7"/>
      <c r="C517" s="54"/>
      <c r="D517" s="7"/>
      <c r="E517" s="7"/>
      <c r="F517" s="7"/>
      <c r="G517" s="7"/>
      <c r="H517" s="7"/>
      <c r="I517" s="7"/>
      <c r="J517" s="54"/>
      <c r="K517" s="54"/>
      <c r="L517" s="7"/>
      <c r="M517" s="7"/>
      <c r="N517" s="7"/>
      <c r="O517" s="7"/>
      <c r="P517" s="7"/>
      <c r="Q517" s="7"/>
      <c r="R517" s="7"/>
      <c r="S517" s="7"/>
      <c r="T517" s="7"/>
    </row>
    <row r="518">
      <c r="B518" s="7"/>
      <c r="C518" s="54"/>
      <c r="D518" s="7"/>
      <c r="E518" s="7"/>
      <c r="F518" s="7"/>
      <c r="G518" s="7"/>
      <c r="H518" s="7"/>
      <c r="I518" s="7"/>
      <c r="J518" s="54"/>
      <c r="K518" s="54"/>
      <c r="L518" s="7"/>
      <c r="M518" s="7"/>
      <c r="N518" s="7"/>
      <c r="O518" s="7"/>
      <c r="P518" s="7"/>
      <c r="Q518" s="7"/>
      <c r="R518" s="7"/>
      <c r="S518" s="7"/>
      <c r="T518" s="7"/>
    </row>
    <row r="519">
      <c r="B519" s="7"/>
      <c r="C519" s="54"/>
      <c r="D519" s="7"/>
      <c r="E519" s="7"/>
      <c r="F519" s="7"/>
      <c r="G519" s="7"/>
      <c r="H519" s="7"/>
      <c r="I519" s="7"/>
      <c r="J519" s="54"/>
      <c r="K519" s="54"/>
      <c r="L519" s="7"/>
      <c r="M519" s="7"/>
      <c r="N519" s="7"/>
      <c r="O519" s="7"/>
      <c r="P519" s="7"/>
      <c r="Q519" s="7"/>
      <c r="R519" s="7"/>
      <c r="S519" s="7"/>
      <c r="T519" s="7"/>
    </row>
    <row r="520">
      <c r="B520" s="7"/>
      <c r="C520" s="54"/>
      <c r="D520" s="7"/>
      <c r="E520" s="7"/>
      <c r="F520" s="7"/>
      <c r="G520" s="7"/>
      <c r="H520" s="7"/>
      <c r="I520" s="7"/>
      <c r="J520" s="54"/>
      <c r="K520" s="54"/>
      <c r="L520" s="7"/>
      <c r="M520" s="7"/>
      <c r="N520" s="7"/>
      <c r="O520" s="7"/>
      <c r="P520" s="7"/>
      <c r="Q520" s="7"/>
      <c r="R520" s="7"/>
      <c r="S520" s="7"/>
      <c r="T520" s="7"/>
    </row>
    <row r="521">
      <c r="B521" s="7"/>
      <c r="C521" s="54"/>
      <c r="D521" s="7"/>
      <c r="E521" s="7"/>
      <c r="F521" s="7"/>
      <c r="G521" s="7"/>
      <c r="H521" s="7"/>
      <c r="I521" s="7"/>
      <c r="J521" s="54"/>
      <c r="K521" s="54"/>
      <c r="L521" s="7"/>
      <c r="M521" s="7"/>
      <c r="N521" s="7"/>
      <c r="O521" s="7"/>
      <c r="P521" s="7"/>
      <c r="Q521" s="7"/>
      <c r="R521" s="7"/>
      <c r="S521" s="7"/>
      <c r="T521" s="7"/>
    </row>
    <row r="522">
      <c r="B522" s="7"/>
      <c r="C522" s="54"/>
      <c r="D522" s="7"/>
      <c r="E522" s="7"/>
      <c r="F522" s="7"/>
      <c r="G522" s="7"/>
      <c r="H522" s="7"/>
      <c r="I522" s="7"/>
      <c r="J522" s="54"/>
      <c r="K522" s="54"/>
      <c r="L522" s="7"/>
      <c r="M522" s="7"/>
      <c r="N522" s="7"/>
      <c r="O522" s="7"/>
      <c r="P522" s="7"/>
      <c r="Q522" s="7"/>
      <c r="R522" s="7"/>
      <c r="S522" s="7"/>
      <c r="T522" s="7"/>
    </row>
    <row r="523">
      <c r="C523" s="54"/>
      <c r="J523" s="54"/>
      <c r="K523" s="54"/>
    </row>
    <row r="524">
      <c r="C524" s="54"/>
      <c r="J524" s="54"/>
      <c r="K524" s="54"/>
    </row>
    <row r="525">
      <c r="C525" s="54"/>
      <c r="J525" s="54"/>
      <c r="K525" s="54"/>
    </row>
    <row r="526">
      <c r="C526" s="54"/>
      <c r="J526" s="54"/>
      <c r="K526" s="54"/>
    </row>
    <row r="527">
      <c r="C527" s="54"/>
      <c r="J527" s="54"/>
      <c r="K527" s="54"/>
    </row>
    <row r="528">
      <c r="C528" s="54"/>
      <c r="J528" s="54"/>
      <c r="K528" s="54"/>
    </row>
    <row r="529">
      <c r="C529" s="54"/>
      <c r="J529" s="54"/>
      <c r="K529" s="54"/>
    </row>
    <row r="530">
      <c r="C530" s="54"/>
      <c r="J530" s="54"/>
      <c r="K530" s="54"/>
    </row>
    <row r="531">
      <c r="C531" s="54"/>
      <c r="J531" s="54"/>
      <c r="K531" s="54"/>
    </row>
    <row r="532">
      <c r="C532" s="54"/>
      <c r="J532" s="54"/>
      <c r="K532" s="54"/>
    </row>
    <row r="533">
      <c r="C533" s="54"/>
      <c r="J533" s="54"/>
      <c r="K533" s="54"/>
    </row>
    <row r="534">
      <c r="C534" s="54"/>
      <c r="J534" s="54"/>
      <c r="K534" s="54"/>
    </row>
    <row r="535">
      <c r="C535" s="54"/>
      <c r="J535" s="54"/>
      <c r="K535" s="54"/>
    </row>
    <row r="536">
      <c r="C536" s="54"/>
      <c r="J536" s="54"/>
      <c r="K536" s="54"/>
    </row>
    <row r="537">
      <c r="C537" s="54"/>
      <c r="J537" s="54"/>
      <c r="K537" s="54"/>
    </row>
    <row r="538">
      <c r="C538" s="54"/>
      <c r="J538" s="54"/>
      <c r="K538" s="54"/>
    </row>
    <row r="539">
      <c r="C539" s="54"/>
      <c r="J539" s="54"/>
      <c r="K539" s="54"/>
    </row>
    <row r="540">
      <c r="C540" s="54"/>
      <c r="J540" s="54"/>
      <c r="K540" s="54"/>
    </row>
    <row r="541">
      <c r="C541" s="54"/>
      <c r="J541" s="54"/>
      <c r="K541" s="54"/>
    </row>
    <row r="542">
      <c r="C542" s="54"/>
      <c r="J542" s="54"/>
      <c r="K542" s="54"/>
    </row>
    <row r="543">
      <c r="C543" s="54"/>
      <c r="J543" s="54"/>
      <c r="K543" s="54"/>
    </row>
    <row r="544">
      <c r="C544" s="54"/>
      <c r="J544" s="54"/>
      <c r="K544" s="54"/>
    </row>
    <row r="545">
      <c r="C545" s="54"/>
      <c r="J545" s="54"/>
      <c r="K545" s="54"/>
    </row>
    <row r="546">
      <c r="C546" s="54"/>
      <c r="J546" s="54"/>
      <c r="K546" s="54"/>
    </row>
    <row r="547">
      <c r="C547" s="54"/>
      <c r="J547" s="54"/>
      <c r="K547" s="54"/>
    </row>
    <row r="548">
      <c r="C548" s="54"/>
      <c r="J548" s="54"/>
      <c r="K548" s="54"/>
    </row>
    <row r="549">
      <c r="C549" s="54"/>
      <c r="J549" s="54"/>
      <c r="K549" s="54"/>
    </row>
    <row r="550">
      <c r="C550" s="54"/>
      <c r="J550" s="54"/>
      <c r="K550" s="54"/>
    </row>
    <row r="551">
      <c r="C551" s="54"/>
      <c r="J551" s="54"/>
      <c r="K551" s="54"/>
    </row>
    <row r="552">
      <c r="C552" s="54"/>
      <c r="J552" s="54"/>
      <c r="K552" s="54"/>
    </row>
    <row r="553">
      <c r="C553" s="54"/>
      <c r="J553" s="54"/>
      <c r="K553" s="54"/>
    </row>
    <row r="554">
      <c r="C554" s="54"/>
      <c r="J554" s="54"/>
      <c r="K554" s="54"/>
    </row>
    <row r="555">
      <c r="C555" s="54"/>
      <c r="J555" s="54"/>
      <c r="K555" s="54"/>
    </row>
    <row r="556">
      <c r="C556" s="54"/>
      <c r="J556" s="54"/>
      <c r="K556" s="54"/>
    </row>
    <row r="557">
      <c r="C557" s="54"/>
      <c r="J557" s="54"/>
      <c r="K557" s="54"/>
    </row>
    <row r="558">
      <c r="C558" s="54"/>
      <c r="J558" s="54"/>
      <c r="K558" s="54"/>
    </row>
    <row r="559">
      <c r="C559" s="54"/>
      <c r="J559" s="54"/>
      <c r="K559" s="54"/>
    </row>
    <row r="560">
      <c r="C560" s="54"/>
      <c r="J560" s="54"/>
      <c r="K560" s="54"/>
    </row>
    <row r="561">
      <c r="C561" s="54"/>
      <c r="J561" s="54"/>
      <c r="K561" s="54"/>
    </row>
    <row r="562">
      <c r="C562" s="54"/>
      <c r="J562" s="54"/>
      <c r="K562" s="54"/>
    </row>
    <row r="563">
      <c r="C563" s="54"/>
      <c r="J563" s="54"/>
      <c r="K563" s="54"/>
    </row>
    <row r="564">
      <c r="C564" s="54"/>
      <c r="J564" s="54"/>
      <c r="K564" s="54"/>
    </row>
    <row r="565">
      <c r="C565" s="54"/>
      <c r="J565" s="54"/>
      <c r="K565" s="54"/>
    </row>
    <row r="566">
      <c r="C566" s="54"/>
      <c r="J566" s="54"/>
      <c r="K566" s="54"/>
    </row>
    <row r="567">
      <c r="C567" s="54"/>
      <c r="J567" s="54"/>
      <c r="K567" s="54"/>
    </row>
    <row r="568">
      <c r="C568" s="54"/>
      <c r="J568" s="54"/>
      <c r="K568" s="54"/>
    </row>
    <row r="569">
      <c r="C569" s="54"/>
      <c r="J569" s="54"/>
      <c r="K569" s="54"/>
    </row>
    <row r="570">
      <c r="C570" s="54"/>
      <c r="J570" s="54"/>
      <c r="K570" s="54"/>
    </row>
    <row r="571">
      <c r="C571" s="54"/>
      <c r="J571" s="54"/>
      <c r="K571" s="54"/>
    </row>
    <row r="572">
      <c r="C572" s="54"/>
      <c r="J572" s="54"/>
      <c r="K572" s="54"/>
    </row>
    <row r="573">
      <c r="C573" s="54"/>
      <c r="J573" s="54"/>
      <c r="K573" s="54"/>
    </row>
    <row r="574">
      <c r="C574" s="54"/>
      <c r="J574" s="54"/>
      <c r="K574" s="54"/>
    </row>
    <row r="575">
      <c r="C575" s="54"/>
      <c r="J575" s="54"/>
      <c r="K575" s="54"/>
    </row>
    <row r="576">
      <c r="C576" s="54"/>
      <c r="J576" s="54"/>
      <c r="K576" s="54"/>
    </row>
    <row r="577">
      <c r="C577" s="54"/>
      <c r="J577" s="54"/>
      <c r="K577" s="54"/>
    </row>
    <row r="578">
      <c r="C578" s="54"/>
      <c r="J578" s="54"/>
      <c r="K578" s="54"/>
    </row>
    <row r="579">
      <c r="C579" s="54"/>
      <c r="J579" s="54"/>
      <c r="K579" s="54"/>
    </row>
    <row r="580">
      <c r="C580" s="54"/>
      <c r="J580" s="54"/>
      <c r="K580" s="54"/>
    </row>
    <row r="581">
      <c r="C581" s="54"/>
      <c r="J581" s="54"/>
      <c r="K581" s="54"/>
    </row>
    <row r="582">
      <c r="C582" s="54"/>
      <c r="J582" s="54"/>
      <c r="K582" s="54"/>
    </row>
    <row r="583">
      <c r="C583" s="54"/>
      <c r="J583" s="54"/>
      <c r="K583" s="54"/>
    </row>
    <row r="584">
      <c r="C584" s="54"/>
      <c r="J584" s="54"/>
      <c r="K584" s="54"/>
    </row>
    <row r="585">
      <c r="C585" s="54"/>
      <c r="J585" s="54"/>
      <c r="K585" s="54"/>
    </row>
    <row r="586">
      <c r="C586" s="54"/>
      <c r="J586" s="54"/>
      <c r="K586" s="54"/>
    </row>
    <row r="587">
      <c r="C587" s="54"/>
      <c r="J587" s="54"/>
      <c r="K587" s="54"/>
    </row>
    <row r="588">
      <c r="C588" s="54"/>
      <c r="J588" s="54"/>
      <c r="K588" s="54"/>
    </row>
    <row r="589">
      <c r="C589" s="54"/>
      <c r="J589" s="54"/>
      <c r="K589" s="54"/>
    </row>
    <row r="590">
      <c r="C590" s="54"/>
      <c r="J590" s="54"/>
      <c r="K590" s="54"/>
    </row>
    <row r="591">
      <c r="C591" s="54"/>
      <c r="J591" s="54"/>
      <c r="K591" s="54"/>
    </row>
    <row r="592">
      <c r="C592" s="54"/>
      <c r="J592" s="54"/>
      <c r="K592" s="54"/>
    </row>
    <row r="593">
      <c r="C593" s="54"/>
      <c r="J593" s="54"/>
      <c r="K593" s="54"/>
    </row>
    <row r="594">
      <c r="C594" s="54"/>
      <c r="J594" s="54"/>
      <c r="K594" s="54"/>
    </row>
    <row r="595">
      <c r="C595" s="54"/>
      <c r="J595" s="54"/>
      <c r="K595" s="54"/>
    </row>
    <row r="596">
      <c r="C596" s="54"/>
      <c r="J596" s="54"/>
      <c r="K596" s="54"/>
    </row>
    <row r="597">
      <c r="C597" s="54"/>
      <c r="J597" s="54"/>
      <c r="K597" s="54"/>
    </row>
    <row r="598">
      <c r="C598" s="54"/>
      <c r="J598" s="54"/>
      <c r="K598" s="54"/>
    </row>
    <row r="599">
      <c r="C599" s="54"/>
      <c r="J599" s="54"/>
      <c r="K599" s="54"/>
    </row>
    <row r="600">
      <c r="C600" s="54"/>
      <c r="J600" s="54"/>
      <c r="K600" s="54"/>
    </row>
    <row r="601">
      <c r="C601" s="54"/>
      <c r="J601" s="54"/>
      <c r="K601" s="54"/>
    </row>
    <row r="602">
      <c r="C602" s="54"/>
      <c r="J602" s="54"/>
      <c r="K602" s="54"/>
    </row>
    <row r="603">
      <c r="C603" s="54"/>
      <c r="J603" s="54"/>
      <c r="K603" s="54"/>
    </row>
    <row r="604">
      <c r="C604" s="54"/>
      <c r="J604" s="54"/>
      <c r="K604" s="54"/>
    </row>
    <row r="605">
      <c r="C605" s="54"/>
      <c r="J605" s="54"/>
      <c r="K605" s="54"/>
    </row>
    <row r="606">
      <c r="C606" s="54"/>
      <c r="J606" s="54"/>
      <c r="K606" s="54"/>
    </row>
    <row r="607">
      <c r="C607" s="54"/>
      <c r="J607" s="54"/>
      <c r="K607" s="54"/>
    </row>
    <row r="608">
      <c r="C608" s="54"/>
      <c r="J608" s="54"/>
      <c r="K608" s="54"/>
    </row>
    <row r="609">
      <c r="C609" s="54"/>
      <c r="J609" s="54"/>
      <c r="K609" s="54"/>
    </row>
    <row r="610">
      <c r="C610" s="54"/>
      <c r="J610" s="54"/>
      <c r="K610" s="54"/>
    </row>
    <row r="611">
      <c r="C611" s="54"/>
      <c r="J611" s="54"/>
      <c r="K611" s="54"/>
    </row>
    <row r="612">
      <c r="C612" s="54"/>
      <c r="J612" s="54"/>
      <c r="K612" s="54"/>
    </row>
    <row r="613">
      <c r="C613" s="54"/>
      <c r="J613" s="54"/>
      <c r="K613" s="54"/>
    </row>
    <row r="614">
      <c r="C614" s="54"/>
      <c r="J614" s="54"/>
      <c r="K614" s="54"/>
    </row>
    <row r="615">
      <c r="C615" s="54"/>
      <c r="J615" s="54"/>
      <c r="K615" s="54"/>
    </row>
    <row r="616">
      <c r="C616" s="54"/>
      <c r="J616" s="54"/>
      <c r="K616" s="54"/>
    </row>
    <row r="617">
      <c r="C617" s="54"/>
      <c r="J617" s="54"/>
      <c r="K617" s="54"/>
    </row>
    <row r="618">
      <c r="C618" s="54"/>
      <c r="J618" s="54"/>
      <c r="K618" s="54"/>
    </row>
    <row r="619">
      <c r="C619" s="54"/>
      <c r="J619" s="54"/>
      <c r="K619" s="54"/>
    </row>
    <row r="620">
      <c r="C620" s="54"/>
      <c r="J620" s="54"/>
      <c r="K620" s="54"/>
    </row>
    <row r="621">
      <c r="C621" s="54"/>
      <c r="J621" s="54"/>
      <c r="K621" s="54"/>
    </row>
    <row r="622">
      <c r="C622" s="54"/>
      <c r="J622" s="54"/>
      <c r="K622" s="54"/>
    </row>
    <row r="623">
      <c r="C623" s="54"/>
      <c r="J623" s="54"/>
      <c r="K623" s="54"/>
    </row>
    <row r="624">
      <c r="C624" s="54"/>
      <c r="J624" s="54"/>
      <c r="K624" s="54"/>
    </row>
    <row r="625">
      <c r="C625" s="54"/>
      <c r="J625" s="54"/>
      <c r="K625" s="54"/>
    </row>
    <row r="626">
      <c r="C626" s="54"/>
      <c r="J626" s="54"/>
      <c r="K626" s="54"/>
    </row>
    <row r="627">
      <c r="C627" s="54"/>
      <c r="J627" s="54"/>
      <c r="K627" s="54"/>
    </row>
    <row r="628">
      <c r="C628" s="54"/>
      <c r="J628" s="54"/>
      <c r="K628" s="54"/>
    </row>
    <row r="629">
      <c r="C629" s="54"/>
      <c r="J629" s="54"/>
      <c r="K629" s="54"/>
    </row>
    <row r="630">
      <c r="C630" s="54"/>
      <c r="J630" s="54"/>
      <c r="K630" s="54"/>
    </row>
    <row r="631">
      <c r="C631" s="54"/>
      <c r="J631" s="54"/>
      <c r="K631" s="54"/>
    </row>
    <row r="632">
      <c r="C632" s="54"/>
      <c r="J632" s="54"/>
      <c r="K632" s="54"/>
    </row>
    <row r="633">
      <c r="C633" s="54"/>
      <c r="J633" s="54"/>
      <c r="K633" s="54"/>
    </row>
    <row r="634">
      <c r="C634" s="54"/>
      <c r="J634" s="54"/>
      <c r="K634" s="54"/>
    </row>
    <row r="635">
      <c r="C635" s="54"/>
      <c r="J635" s="54"/>
      <c r="K635" s="54"/>
    </row>
    <row r="636">
      <c r="C636" s="54"/>
      <c r="J636" s="54"/>
      <c r="K636" s="54"/>
    </row>
    <row r="637">
      <c r="C637" s="54"/>
      <c r="J637" s="54"/>
      <c r="K637" s="54"/>
    </row>
    <row r="638">
      <c r="C638" s="54"/>
      <c r="J638" s="54"/>
      <c r="K638" s="54"/>
    </row>
    <row r="639">
      <c r="C639" s="54"/>
      <c r="J639" s="54"/>
      <c r="K639" s="54"/>
    </row>
    <row r="640">
      <c r="C640" s="54"/>
      <c r="J640" s="54"/>
      <c r="K640" s="54"/>
    </row>
    <row r="641">
      <c r="C641" s="54"/>
      <c r="J641" s="54"/>
      <c r="K641" s="54"/>
    </row>
    <row r="642">
      <c r="C642" s="54"/>
      <c r="J642" s="54"/>
      <c r="K642" s="54"/>
    </row>
    <row r="643">
      <c r="C643" s="54"/>
      <c r="J643" s="54"/>
      <c r="K643" s="54"/>
    </row>
    <row r="644">
      <c r="C644" s="54"/>
      <c r="J644" s="54"/>
      <c r="K644" s="54"/>
    </row>
    <row r="645">
      <c r="C645" s="54"/>
      <c r="J645" s="54"/>
      <c r="K645" s="54"/>
    </row>
    <row r="646">
      <c r="C646" s="54"/>
      <c r="J646" s="54"/>
      <c r="K646" s="54"/>
    </row>
    <row r="647">
      <c r="C647" s="54"/>
      <c r="J647" s="54"/>
      <c r="K647" s="54"/>
    </row>
    <row r="648">
      <c r="C648" s="54"/>
      <c r="J648" s="54"/>
      <c r="K648" s="54"/>
    </row>
    <row r="649">
      <c r="C649" s="54"/>
      <c r="J649" s="54"/>
      <c r="K649" s="54"/>
    </row>
    <row r="650">
      <c r="C650" s="54"/>
      <c r="J650" s="54"/>
      <c r="K650" s="54"/>
    </row>
    <row r="651">
      <c r="C651" s="54"/>
      <c r="J651" s="54"/>
      <c r="K651" s="54"/>
    </row>
    <row r="652">
      <c r="C652" s="54"/>
      <c r="J652" s="54"/>
      <c r="K652" s="54"/>
    </row>
    <row r="653">
      <c r="C653" s="54"/>
      <c r="J653" s="54"/>
      <c r="K653" s="54"/>
    </row>
    <row r="654">
      <c r="C654" s="54"/>
      <c r="J654" s="54"/>
      <c r="K654" s="54"/>
    </row>
    <row r="655">
      <c r="C655" s="54"/>
      <c r="J655" s="54"/>
      <c r="K655" s="54"/>
    </row>
    <row r="656">
      <c r="C656" s="54"/>
      <c r="J656" s="54"/>
      <c r="K656" s="54"/>
    </row>
    <row r="657">
      <c r="C657" s="54"/>
      <c r="J657" s="54"/>
      <c r="K657" s="54"/>
    </row>
    <row r="658">
      <c r="C658" s="54"/>
      <c r="J658" s="54"/>
      <c r="K658" s="54"/>
    </row>
    <row r="659">
      <c r="C659" s="54"/>
      <c r="J659" s="54"/>
      <c r="K659" s="54"/>
    </row>
    <row r="660">
      <c r="C660" s="54"/>
      <c r="J660" s="54"/>
      <c r="K660" s="54"/>
    </row>
    <row r="661">
      <c r="C661" s="54"/>
      <c r="J661" s="54"/>
      <c r="K661" s="54"/>
    </row>
    <row r="662">
      <c r="C662" s="54"/>
      <c r="J662" s="54"/>
      <c r="K662" s="54"/>
    </row>
    <row r="663">
      <c r="C663" s="54"/>
      <c r="J663" s="54"/>
      <c r="K663" s="54"/>
    </row>
    <row r="664">
      <c r="C664" s="54"/>
      <c r="J664" s="54"/>
      <c r="K664" s="54"/>
    </row>
    <row r="665">
      <c r="C665" s="54"/>
      <c r="J665" s="54"/>
      <c r="K665" s="54"/>
    </row>
    <row r="666">
      <c r="C666" s="54"/>
      <c r="J666" s="54"/>
      <c r="K666" s="54"/>
    </row>
    <row r="667">
      <c r="C667" s="54"/>
      <c r="J667" s="54"/>
      <c r="K667" s="54"/>
    </row>
    <row r="668">
      <c r="C668" s="54"/>
      <c r="J668" s="54"/>
      <c r="K668" s="54"/>
    </row>
    <row r="669">
      <c r="C669" s="54"/>
      <c r="J669" s="54"/>
      <c r="K669" s="54"/>
    </row>
    <row r="670">
      <c r="C670" s="54"/>
      <c r="J670" s="54"/>
      <c r="K670" s="54"/>
    </row>
    <row r="671">
      <c r="C671" s="54"/>
      <c r="J671" s="54"/>
      <c r="K671" s="54"/>
    </row>
    <row r="672">
      <c r="C672" s="54"/>
      <c r="J672" s="54"/>
      <c r="K672" s="54"/>
    </row>
    <row r="673">
      <c r="C673" s="54"/>
      <c r="J673" s="54"/>
      <c r="K673" s="54"/>
    </row>
    <row r="674">
      <c r="C674" s="54"/>
      <c r="J674" s="54"/>
      <c r="K674" s="54"/>
    </row>
    <row r="675">
      <c r="C675" s="54"/>
      <c r="J675" s="54"/>
      <c r="K675" s="54"/>
    </row>
    <row r="676">
      <c r="C676" s="54"/>
      <c r="J676" s="54"/>
      <c r="K676" s="54"/>
    </row>
    <row r="677">
      <c r="C677" s="54"/>
      <c r="J677" s="54"/>
      <c r="K677" s="54"/>
    </row>
    <row r="678">
      <c r="C678" s="54"/>
      <c r="J678" s="54"/>
      <c r="K678" s="54"/>
    </row>
    <row r="679">
      <c r="C679" s="54"/>
      <c r="J679" s="54"/>
      <c r="K679" s="54"/>
    </row>
    <row r="680">
      <c r="C680" s="54"/>
      <c r="J680" s="54"/>
      <c r="K680" s="54"/>
    </row>
    <row r="681">
      <c r="C681" s="54"/>
      <c r="J681" s="54"/>
      <c r="K681" s="54"/>
    </row>
    <row r="682">
      <c r="C682" s="54"/>
      <c r="J682" s="54"/>
      <c r="K682" s="54"/>
    </row>
    <row r="683">
      <c r="C683" s="54"/>
      <c r="J683" s="54"/>
      <c r="K683" s="54"/>
    </row>
    <row r="684">
      <c r="C684" s="54"/>
      <c r="J684" s="54"/>
      <c r="K684" s="54"/>
    </row>
    <row r="685">
      <c r="C685" s="54"/>
      <c r="J685" s="54"/>
      <c r="K685" s="54"/>
    </row>
    <row r="686">
      <c r="C686" s="54"/>
      <c r="J686" s="54"/>
      <c r="K686" s="54"/>
    </row>
    <row r="687">
      <c r="C687" s="54"/>
      <c r="J687" s="54"/>
      <c r="K687" s="54"/>
    </row>
    <row r="688">
      <c r="C688" s="54"/>
      <c r="J688" s="54"/>
      <c r="K688" s="54"/>
    </row>
    <row r="689">
      <c r="C689" s="54"/>
      <c r="J689" s="54"/>
      <c r="K689" s="54"/>
    </row>
    <row r="690">
      <c r="C690" s="54"/>
      <c r="J690" s="54"/>
      <c r="K690" s="54"/>
    </row>
    <row r="691">
      <c r="C691" s="54"/>
      <c r="J691" s="54"/>
      <c r="K691" s="54"/>
    </row>
    <row r="692">
      <c r="C692" s="54"/>
      <c r="J692" s="54"/>
      <c r="K692" s="54"/>
    </row>
    <row r="693">
      <c r="C693" s="54"/>
      <c r="J693" s="54"/>
      <c r="K693" s="54"/>
    </row>
    <row r="694">
      <c r="C694" s="54"/>
      <c r="J694" s="54"/>
      <c r="K694" s="54"/>
    </row>
    <row r="695">
      <c r="C695" s="54"/>
      <c r="J695" s="54"/>
      <c r="K695" s="54"/>
    </row>
    <row r="696">
      <c r="C696" s="54"/>
      <c r="J696" s="54"/>
      <c r="K696" s="54"/>
    </row>
    <row r="697">
      <c r="C697" s="54"/>
      <c r="J697" s="54"/>
      <c r="K697" s="54"/>
    </row>
    <row r="698">
      <c r="C698" s="54"/>
      <c r="J698" s="54"/>
      <c r="K698" s="54"/>
    </row>
    <row r="699">
      <c r="C699" s="54"/>
      <c r="J699" s="54"/>
      <c r="K699" s="54"/>
    </row>
    <row r="700">
      <c r="C700" s="54"/>
      <c r="J700" s="54"/>
      <c r="K700" s="54"/>
    </row>
    <row r="701">
      <c r="C701" s="54"/>
      <c r="J701" s="54"/>
      <c r="K701" s="54"/>
    </row>
    <row r="702">
      <c r="C702" s="54"/>
      <c r="J702" s="54"/>
      <c r="K702" s="54"/>
    </row>
    <row r="703">
      <c r="C703" s="54"/>
      <c r="J703" s="54"/>
      <c r="K703" s="54"/>
    </row>
    <row r="704">
      <c r="C704" s="54"/>
      <c r="J704" s="54"/>
      <c r="K704" s="54"/>
    </row>
    <row r="705">
      <c r="C705" s="54"/>
      <c r="J705" s="54"/>
      <c r="K705" s="54"/>
    </row>
    <row r="706">
      <c r="C706" s="54"/>
      <c r="J706" s="54"/>
      <c r="K706" s="54"/>
    </row>
    <row r="707">
      <c r="C707" s="54"/>
      <c r="J707" s="54"/>
      <c r="K707" s="54"/>
    </row>
    <row r="708">
      <c r="C708" s="54"/>
      <c r="J708" s="54"/>
      <c r="K708" s="54"/>
    </row>
    <row r="709">
      <c r="C709" s="54"/>
      <c r="J709" s="54"/>
      <c r="K709" s="54"/>
    </row>
    <row r="710">
      <c r="C710" s="54"/>
      <c r="J710" s="54"/>
      <c r="K710" s="54"/>
    </row>
    <row r="711">
      <c r="C711" s="54"/>
      <c r="J711" s="54"/>
      <c r="K711" s="54"/>
    </row>
    <row r="712">
      <c r="C712" s="54"/>
      <c r="J712" s="54"/>
      <c r="K712" s="54"/>
    </row>
    <row r="713">
      <c r="C713" s="54"/>
      <c r="J713" s="54"/>
      <c r="K713" s="54"/>
    </row>
    <row r="714">
      <c r="C714" s="54"/>
      <c r="J714" s="54"/>
      <c r="K714" s="54"/>
    </row>
    <row r="715">
      <c r="C715" s="54"/>
      <c r="J715" s="54"/>
      <c r="K715" s="54"/>
    </row>
    <row r="716">
      <c r="C716" s="54"/>
      <c r="J716" s="54"/>
      <c r="K716" s="54"/>
    </row>
    <row r="717">
      <c r="C717" s="54"/>
      <c r="J717" s="54"/>
      <c r="K717" s="54"/>
    </row>
    <row r="718">
      <c r="C718" s="54"/>
      <c r="J718" s="54"/>
      <c r="K718" s="54"/>
    </row>
    <row r="719">
      <c r="C719" s="54"/>
      <c r="J719" s="54"/>
      <c r="K719" s="54"/>
    </row>
    <row r="720">
      <c r="C720" s="54"/>
      <c r="J720" s="54"/>
      <c r="K720" s="54"/>
    </row>
    <row r="721">
      <c r="C721" s="54"/>
      <c r="J721" s="54"/>
      <c r="K721" s="54"/>
    </row>
    <row r="722">
      <c r="C722" s="54"/>
      <c r="J722" s="54"/>
      <c r="K722" s="54"/>
    </row>
    <row r="723">
      <c r="C723" s="54"/>
      <c r="J723" s="54"/>
      <c r="K723" s="54"/>
    </row>
    <row r="724">
      <c r="C724" s="54"/>
      <c r="J724" s="54"/>
      <c r="K724" s="54"/>
    </row>
    <row r="725">
      <c r="C725" s="54"/>
      <c r="J725" s="54"/>
      <c r="K725" s="54"/>
    </row>
    <row r="726">
      <c r="C726" s="54"/>
      <c r="J726" s="54"/>
      <c r="K726" s="54"/>
    </row>
    <row r="727">
      <c r="C727" s="54"/>
      <c r="J727" s="54"/>
      <c r="K727" s="54"/>
    </row>
    <row r="728">
      <c r="C728" s="54"/>
      <c r="J728" s="54"/>
      <c r="K728" s="54"/>
    </row>
    <row r="729">
      <c r="C729" s="54"/>
      <c r="J729" s="54"/>
      <c r="K729" s="54"/>
    </row>
    <row r="730">
      <c r="C730" s="54"/>
      <c r="J730" s="54"/>
      <c r="K730" s="54"/>
    </row>
    <row r="731">
      <c r="C731" s="54"/>
      <c r="J731" s="54"/>
      <c r="K731" s="54"/>
    </row>
    <row r="732">
      <c r="C732" s="54"/>
      <c r="J732" s="54"/>
      <c r="K732" s="54"/>
    </row>
    <row r="733">
      <c r="C733" s="54"/>
      <c r="J733" s="54"/>
      <c r="K733" s="54"/>
    </row>
    <row r="734">
      <c r="C734" s="54"/>
      <c r="J734" s="54"/>
      <c r="K734" s="54"/>
    </row>
    <row r="735">
      <c r="C735" s="54"/>
      <c r="J735" s="54"/>
      <c r="K735" s="54"/>
    </row>
    <row r="736">
      <c r="C736" s="54"/>
      <c r="J736" s="54"/>
      <c r="K736" s="54"/>
    </row>
    <row r="737">
      <c r="C737" s="54"/>
      <c r="J737" s="54"/>
      <c r="K737" s="54"/>
    </row>
    <row r="738">
      <c r="C738" s="54"/>
      <c r="J738" s="54"/>
      <c r="K738" s="54"/>
    </row>
    <row r="739">
      <c r="C739" s="54"/>
      <c r="J739" s="54"/>
      <c r="K739" s="54"/>
    </row>
    <row r="740">
      <c r="C740" s="54"/>
      <c r="J740" s="54"/>
      <c r="K740" s="54"/>
    </row>
    <row r="741">
      <c r="C741" s="54"/>
      <c r="J741" s="54"/>
      <c r="K741" s="54"/>
    </row>
    <row r="742">
      <c r="C742" s="54"/>
      <c r="J742" s="54"/>
      <c r="K742" s="54"/>
    </row>
    <row r="743">
      <c r="C743" s="54"/>
      <c r="J743" s="54"/>
      <c r="K743" s="54"/>
    </row>
    <row r="744">
      <c r="C744" s="54"/>
      <c r="J744" s="54"/>
      <c r="K744" s="54"/>
    </row>
    <row r="745">
      <c r="C745" s="54"/>
      <c r="J745" s="54"/>
      <c r="K745" s="54"/>
    </row>
    <row r="746">
      <c r="C746" s="54"/>
      <c r="J746" s="54"/>
      <c r="K746" s="54"/>
    </row>
    <row r="747">
      <c r="C747" s="54"/>
      <c r="J747" s="54"/>
      <c r="K747" s="54"/>
    </row>
    <row r="748">
      <c r="C748" s="54"/>
      <c r="J748" s="54"/>
      <c r="K748" s="54"/>
    </row>
    <row r="749">
      <c r="C749" s="54"/>
      <c r="J749" s="54"/>
      <c r="K749" s="54"/>
    </row>
    <row r="750">
      <c r="C750" s="54"/>
      <c r="J750" s="54"/>
      <c r="K750" s="54"/>
    </row>
    <row r="751">
      <c r="C751" s="54"/>
      <c r="J751" s="54"/>
      <c r="K751" s="54"/>
    </row>
    <row r="752">
      <c r="C752" s="54"/>
      <c r="J752" s="54"/>
      <c r="K752" s="54"/>
    </row>
    <row r="753">
      <c r="C753" s="54"/>
      <c r="J753" s="54"/>
      <c r="K753" s="54"/>
    </row>
    <row r="754">
      <c r="C754" s="54"/>
      <c r="J754" s="54"/>
      <c r="K754" s="54"/>
    </row>
    <row r="755">
      <c r="C755" s="54"/>
      <c r="J755" s="54"/>
      <c r="K755" s="54"/>
    </row>
    <row r="756">
      <c r="C756" s="54"/>
      <c r="J756" s="54"/>
      <c r="K756" s="54"/>
    </row>
    <row r="757">
      <c r="C757" s="54"/>
      <c r="J757" s="54"/>
      <c r="K757" s="54"/>
    </row>
    <row r="758">
      <c r="C758" s="54"/>
      <c r="J758" s="54"/>
      <c r="K758" s="54"/>
    </row>
    <row r="759">
      <c r="C759" s="54"/>
      <c r="J759" s="54"/>
      <c r="K759" s="54"/>
    </row>
    <row r="760">
      <c r="C760" s="54"/>
      <c r="J760" s="54"/>
      <c r="K760" s="54"/>
    </row>
    <row r="761">
      <c r="C761" s="54"/>
      <c r="J761" s="54"/>
      <c r="K761" s="54"/>
    </row>
    <row r="762">
      <c r="C762" s="54"/>
      <c r="J762" s="54"/>
      <c r="K762" s="54"/>
    </row>
    <row r="763">
      <c r="C763" s="54"/>
      <c r="J763" s="54"/>
      <c r="K763" s="54"/>
    </row>
    <row r="764">
      <c r="C764" s="54"/>
      <c r="J764" s="54"/>
      <c r="K764" s="54"/>
    </row>
    <row r="765">
      <c r="C765" s="54"/>
      <c r="J765" s="54"/>
      <c r="K765" s="54"/>
    </row>
    <row r="766">
      <c r="C766" s="54"/>
      <c r="J766" s="54"/>
      <c r="K766" s="54"/>
    </row>
    <row r="767">
      <c r="C767" s="54"/>
      <c r="J767" s="54"/>
      <c r="K767" s="54"/>
    </row>
    <row r="768">
      <c r="C768" s="54"/>
      <c r="J768" s="54"/>
      <c r="K768" s="54"/>
    </row>
    <row r="769">
      <c r="C769" s="54"/>
      <c r="J769" s="54"/>
      <c r="K769" s="54"/>
    </row>
    <row r="770">
      <c r="C770" s="54"/>
      <c r="J770" s="54"/>
      <c r="K770" s="54"/>
    </row>
    <row r="771">
      <c r="C771" s="54"/>
      <c r="J771" s="54"/>
      <c r="K771" s="54"/>
    </row>
    <row r="772">
      <c r="C772" s="54"/>
      <c r="J772" s="54"/>
      <c r="K772" s="54"/>
    </row>
    <row r="773">
      <c r="C773" s="54"/>
      <c r="J773" s="54"/>
      <c r="K773" s="54"/>
    </row>
    <row r="774">
      <c r="C774" s="54"/>
      <c r="J774" s="54"/>
      <c r="K774" s="54"/>
    </row>
    <row r="775">
      <c r="C775" s="54"/>
      <c r="J775" s="54"/>
      <c r="K775" s="54"/>
    </row>
    <row r="776">
      <c r="C776" s="54"/>
      <c r="J776" s="54"/>
      <c r="K776" s="54"/>
    </row>
    <row r="777">
      <c r="C777" s="54"/>
      <c r="J777" s="54"/>
      <c r="K777" s="54"/>
    </row>
    <row r="778">
      <c r="C778" s="54"/>
      <c r="J778" s="54"/>
      <c r="K778" s="54"/>
    </row>
    <row r="779">
      <c r="C779" s="54"/>
      <c r="J779" s="54"/>
      <c r="K779" s="54"/>
    </row>
    <row r="780">
      <c r="C780" s="54"/>
      <c r="J780" s="54"/>
      <c r="K780" s="54"/>
    </row>
    <row r="781">
      <c r="C781" s="54"/>
      <c r="J781" s="54"/>
      <c r="K781" s="54"/>
    </row>
    <row r="782">
      <c r="C782" s="54"/>
      <c r="J782" s="54"/>
      <c r="K782" s="54"/>
    </row>
    <row r="783">
      <c r="C783" s="54"/>
      <c r="J783" s="54"/>
      <c r="K783" s="54"/>
    </row>
    <row r="784">
      <c r="C784" s="54"/>
      <c r="J784" s="54"/>
      <c r="K784" s="54"/>
    </row>
    <row r="785">
      <c r="C785" s="54"/>
      <c r="J785" s="54"/>
      <c r="K785" s="54"/>
    </row>
    <row r="786">
      <c r="C786" s="54"/>
      <c r="J786" s="54"/>
      <c r="K786" s="54"/>
    </row>
    <row r="787">
      <c r="C787" s="54"/>
      <c r="J787" s="54"/>
      <c r="K787" s="54"/>
    </row>
    <row r="788">
      <c r="C788" s="54"/>
      <c r="J788" s="54"/>
      <c r="K788" s="54"/>
    </row>
    <row r="789">
      <c r="C789" s="54"/>
      <c r="J789" s="54"/>
      <c r="K789" s="54"/>
    </row>
    <row r="790">
      <c r="C790" s="54"/>
      <c r="J790" s="54"/>
      <c r="K790" s="54"/>
    </row>
    <row r="791">
      <c r="C791" s="54"/>
      <c r="J791" s="54"/>
      <c r="K791" s="54"/>
    </row>
    <row r="792">
      <c r="C792" s="54"/>
      <c r="J792" s="54"/>
      <c r="K792" s="54"/>
    </row>
    <row r="793">
      <c r="C793" s="54"/>
      <c r="J793" s="54"/>
      <c r="K793" s="54"/>
    </row>
    <row r="794">
      <c r="C794" s="54"/>
      <c r="J794" s="54"/>
      <c r="K794" s="54"/>
    </row>
    <row r="795">
      <c r="C795" s="54"/>
      <c r="J795" s="54"/>
      <c r="K795" s="54"/>
    </row>
    <row r="796">
      <c r="C796" s="54"/>
      <c r="J796" s="54"/>
      <c r="K796" s="54"/>
    </row>
    <row r="797">
      <c r="C797" s="54"/>
      <c r="J797" s="54"/>
      <c r="K797" s="54"/>
    </row>
    <row r="798">
      <c r="C798" s="54"/>
      <c r="J798" s="54"/>
      <c r="K798" s="54"/>
    </row>
    <row r="799">
      <c r="C799" s="54"/>
      <c r="J799" s="54"/>
      <c r="K799" s="54"/>
    </row>
    <row r="800">
      <c r="C800" s="54"/>
      <c r="J800" s="54"/>
      <c r="K800" s="54"/>
    </row>
    <row r="801">
      <c r="C801" s="54"/>
      <c r="J801" s="54"/>
      <c r="K801" s="54"/>
    </row>
    <row r="802">
      <c r="C802" s="54"/>
      <c r="J802" s="54"/>
      <c r="K802" s="54"/>
    </row>
    <row r="803">
      <c r="C803" s="54"/>
      <c r="J803" s="54"/>
      <c r="K803" s="54"/>
    </row>
    <row r="804">
      <c r="C804" s="54"/>
      <c r="J804" s="54"/>
      <c r="K804" s="54"/>
    </row>
    <row r="805">
      <c r="C805" s="54"/>
      <c r="J805" s="54"/>
      <c r="K805" s="54"/>
    </row>
    <row r="806">
      <c r="C806" s="54"/>
      <c r="J806" s="54"/>
      <c r="K806" s="54"/>
    </row>
    <row r="807">
      <c r="C807" s="54"/>
      <c r="J807" s="54"/>
      <c r="K807" s="54"/>
    </row>
    <row r="808">
      <c r="C808" s="54"/>
      <c r="J808" s="54"/>
      <c r="K808" s="54"/>
    </row>
    <row r="809">
      <c r="C809" s="54"/>
      <c r="J809" s="54"/>
      <c r="K809" s="54"/>
    </row>
    <row r="810">
      <c r="C810" s="54"/>
      <c r="J810" s="54"/>
      <c r="K810" s="54"/>
    </row>
    <row r="811">
      <c r="C811" s="54"/>
      <c r="J811" s="54"/>
      <c r="K811" s="54"/>
    </row>
    <row r="812">
      <c r="C812" s="54"/>
      <c r="J812" s="54"/>
      <c r="K812" s="54"/>
    </row>
    <row r="813">
      <c r="C813" s="54"/>
      <c r="J813" s="54"/>
      <c r="K813" s="54"/>
    </row>
    <row r="814">
      <c r="C814" s="54"/>
      <c r="J814" s="54"/>
      <c r="K814" s="54"/>
    </row>
    <row r="815">
      <c r="C815" s="54"/>
      <c r="J815" s="54"/>
      <c r="K815" s="54"/>
    </row>
    <row r="816">
      <c r="C816" s="54"/>
      <c r="J816" s="54"/>
      <c r="K816" s="54"/>
    </row>
    <row r="817">
      <c r="C817" s="54"/>
      <c r="J817" s="54"/>
      <c r="K817" s="54"/>
    </row>
    <row r="818">
      <c r="C818" s="54"/>
      <c r="J818" s="54"/>
      <c r="K818" s="54"/>
    </row>
    <row r="819">
      <c r="C819" s="54"/>
      <c r="J819" s="54"/>
      <c r="K819" s="54"/>
    </row>
    <row r="820">
      <c r="C820" s="54"/>
      <c r="J820" s="54"/>
      <c r="K820" s="54"/>
    </row>
    <row r="821">
      <c r="C821" s="54"/>
      <c r="J821" s="54"/>
      <c r="K821" s="54"/>
    </row>
    <row r="822">
      <c r="C822" s="54"/>
      <c r="J822" s="54"/>
      <c r="K822" s="54"/>
    </row>
    <row r="823">
      <c r="C823" s="54"/>
      <c r="J823" s="54"/>
      <c r="K823" s="54"/>
    </row>
    <row r="824">
      <c r="C824" s="54"/>
      <c r="J824" s="54"/>
      <c r="K824" s="54"/>
    </row>
    <row r="825">
      <c r="C825" s="54"/>
      <c r="J825" s="54"/>
      <c r="K825" s="54"/>
    </row>
    <row r="826">
      <c r="C826" s="54"/>
      <c r="J826" s="54"/>
      <c r="K826" s="54"/>
    </row>
    <row r="827">
      <c r="C827" s="54"/>
      <c r="J827" s="54"/>
      <c r="K827" s="54"/>
    </row>
    <row r="828">
      <c r="C828" s="54"/>
      <c r="J828" s="54"/>
      <c r="K828" s="54"/>
    </row>
    <row r="829">
      <c r="C829" s="54"/>
      <c r="J829" s="54"/>
      <c r="K829" s="54"/>
    </row>
    <row r="830">
      <c r="C830" s="54"/>
      <c r="J830" s="54"/>
      <c r="K830" s="54"/>
    </row>
    <row r="831">
      <c r="C831" s="54"/>
      <c r="J831" s="54"/>
      <c r="K831" s="54"/>
    </row>
    <row r="832">
      <c r="C832" s="54"/>
      <c r="J832" s="54"/>
      <c r="K832" s="54"/>
    </row>
    <row r="833">
      <c r="C833" s="54"/>
      <c r="J833" s="54"/>
      <c r="K833" s="54"/>
    </row>
    <row r="834">
      <c r="C834" s="54"/>
      <c r="J834" s="54"/>
      <c r="K834" s="54"/>
    </row>
    <row r="835">
      <c r="C835" s="54"/>
      <c r="J835" s="54"/>
      <c r="K835" s="54"/>
    </row>
    <row r="836">
      <c r="C836" s="54"/>
      <c r="J836" s="54"/>
      <c r="K836" s="54"/>
    </row>
    <row r="837">
      <c r="C837" s="54"/>
      <c r="J837" s="54"/>
      <c r="K837" s="54"/>
    </row>
    <row r="838">
      <c r="C838" s="54"/>
      <c r="J838" s="54"/>
      <c r="K838" s="54"/>
    </row>
    <row r="839">
      <c r="C839" s="54"/>
      <c r="J839" s="54"/>
      <c r="K839" s="54"/>
    </row>
    <row r="840">
      <c r="C840" s="54"/>
      <c r="J840" s="54"/>
      <c r="K840" s="54"/>
    </row>
    <row r="841">
      <c r="C841" s="54"/>
      <c r="J841" s="54"/>
      <c r="K841" s="54"/>
    </row>
    <row r="842">
      <c r="C842" s="54"/>
      <c r="J842" s="54"/>
      <c r="K842" s="54"/>
    </row>
    <row r="843">
      <c r="C843" s="54"/>
      <c r="J843" s="54"/>
      <c r="K843" s="54"/>
    </row>
    <row r="844">
      <c r="C844" s="54"/>
      <c r="J844" s="54"/>
      <c r="K844" s="54"/>
    </row>
    <row r="845">
      <c r="C845" s="54"/>
      <c r="J845" s="54"/>
      <c r="K845" s="54"/>
    </row>
    <row r="846">
      <c r="C846" s="54"/>
      <c r="J846" s="54"/>
      <c r="K846" s="54"/>
    </row>
    <row r="847">
      <c r="C847" s="54"/>
      <c r="J847" s="54"/>
      <c r="K847" s="54"/>
    </row>
    <row r="848">
      <c r="C848" s="54"/>
      <c r="J848" s="54"/>
      <c r="K848" s="54"/>
    </row>
    <row r="849">
      <c r="C849" s="54"/>
      <c r="J849" s="54"/>
      <c r="K849" s="54"/>
    </row>
    <row r="850">
      <c r="C850" s="54"/>
      <c r="J850" s="54"/>
      <c r="K850" s="54"/>
    </row>
    <row r="851">
      <c r="C851" s="54"/>
      <c r="J851" s="54"/>
      <c r="K851" s="54"/>
    </row>
    <row r="852">
      <c r="C852" s="54"/>
      <c r="J852" s="54"/>
      <c r="K852" s="54"/>
    </row>
    <row r="853">
      <c r="C853" s="54"/>
      <c r="J853" s="54"/>
      <c r="K853" s="54"/>
    </row>
    <row r="854">
      <c r="C854" s="54"/>
      <c r="J854" s="54"/>
      <c r="K854" s="54"/>
    </row>
    <row r="855">
      <c r="C855" s="54"/>
      <c r="J855" s="54"/>
      <c r="K855" s="54"/>
    </row>
    <row r="856">
      <c r="C856" s="54"/>
      <c r="J856" s="54"/>
      <c r="K856" s="54"/>
    </row>
    <row r="857">
      <c r="C857" s="54"/>
      <c r="J857" s="54"/>
      <c r="K857" s="54"/>
    </row>
    <row r="858">
      <c r="C858" s="54"/>
      <c r="J858" s="54"/>
      <c r="K858" s="54"/>
    </row>
    <row r="859">
      <c r="C859" s="54"/>
      <c r="J859" s="54"/>
      <c r="K859" s="54"/>
    </row>
    <row r="860">
      <c r="C860" s="54"/>
      <c r="J860" s="54"/>
      <c r="K860" s="54"/>
    </row>
    <row r="861">
      <c r="C861" s="54"/>
      <c r="J861" s="54"/>
      <c r="K861" s="54"/>
    </row>
    <row r="862">
      <c r="C862" s="54"/>
      <c r="J862" s="54"/>
      <c r="K862" s="54"/>
    </row>
    <row r="863">
      <c r="C863" s="54"/>
      <c r="J863" s="54"/>
      <c r="K863" s="54"/>
    </row>
    <row r="864">
      <c r="C864" s="54"/>
      <c r="J864" s="54"/>
      <c r="K864" s="54"/>
    </row>
    <row r="865">
      <c r="C865" s="54"/>
      <c r="J865" s="54"/>
      <c r="K865" s="54"/>
    </row>
    <row r="866">
      <c r="C866" s="54"/>
      <c r="J866" s="54"/>
      <c r="K866" s="54"/>
    </row>
    <row r="867">
      <c r="C867" s="54"/>
      <c r="J867" s="54"/>
      <c r="K867" s="54"/>
    </row>
    <row r="868">
      <c r="C868" s="54"/>
      <c r="J868" s="54"/>
      <c r="K868" s="54"/>
    </row>
    <row r="869">
      <c r="C869" s="54"/>
      <c r="J869" s="54"/>
      <c r="K869" s="54"/>
    </row>
    <row r="870">
      <c r="C870" s="54"/>
      <c r="J870" s="54"/>
      <c r="K870" s="54"/>
    </row>
    <row r="871">
      <c r="C871" s="54"/>
      <c r="J871" s="54"/>
      <c r="K871" s="54"/>
    </row>
    <row r="872">
      <c r="C872" s="54"/>
      <c r="J872" s="54"/>
      <c r="K872" s="54"/>
    </row>
    <row r="873">
      <c r="C873" s="54"/>
      <c r="J873" s="54"/>
      <c r="K873" s="54"/>
    </row>
    <row r="874">
      <c r="C874" s="54"/>
      <c r="J874" s="54"/>
      <c r="K874" s="54"/>
    </row>
    <row r="875">
      <c r="C875" s="54"/>
      <c r="J875" s="54"/>
      <c r="K875" s="54"/>
    </row>
    <row r="876">
      <c r="C876" s="54"/>
      <c r="J876" s="54"/>
      <c r="K876" s="54"/>
    </row>
    <row r="877">
      <c r="C877" s="54"/>
      <c r="J877" s="54"/>
      <c r="K877" s="54"/>
    </row>
    <row r="878">
      <c r="C878" s="54"/>
      <c r="J878" s="54"/>
      <c r="K878" s="54"/>
    </row>
    <row r="879">
      <c r="C879" s="54"/>
      <c r="J879" s="54"/>
      <c r="K879" s="54"/>
    </row>
    <row r="880">
      <c r="C880" s="54"/>
      <c r="J880" s="54"/>
      <c r="K880" s="54"/>
    </row>
    <row r="881">
      <c r="C881" s="54"/>
      <c r="J881" s="54"/>
      <c r="K881" s="54"/>
    </row>
    <row r="882">
      <c r="C882" s="54"/>
      <c r="J882" s="54"/>
      <c r="K882" s="54"/>
    </row>
    <row r="883">
      <c r="C883" s="54"/>
      <c r="J883" s="54"/>
      <c r="K883" s="54"/>
    </row>
    <row r="884">
      <c r="C884" s="54"/>
      <c r="J884" s="54"/>
      <c r="K884" s="54"/>
    </row>
    <row r="885">
      <c r="C885" s="54"/>
      <c r="J885" s="54"/>
      <c r="K885" s="54"/>
    </row>
    <row r="886">
      <c r="C886" s="54"/>
      <c r="J886" s="54"/>
      <c r="K886" s="54"/>
    </row>
    <row r="887">
      <c r="C887" s="54"/>
      <c r="J887" s="54"/>
      <c r="K887" s="54"/>
    </row>
    <row r="888">
      <c r="C888" s="54"/>
      <c r="J888" s="54"/>
      <c r="K888" s="54"/>
    </row>
    <row r="889">
      <c r="C889" s="54"/>
      <c r="J889" s="54"/>
      <c r="K889" s="54"/>
    </row>
    <row r="890">
      <c r="C890" s="54"/>
      <c r="J890" s="54"/>
      <c r="K890" s="54"/>
    </row>
    <row r="891">
      <c r="C891" s="54"/>
      <c r="J891" s="54"/>
      <c r="K891" s="54"/>
    </row>
    <row r="892">
      <c r="C892" s="54"/>
      <c r="J892" s="54"/>
      <c r="K892" s="54"/>
    </row>
    <row r="893">
      <c r="C893" s="54"/>
      <c r="J893" s="54"/>
      <c r="K893" s="54"/>
    </row>
    <row r="894">
      <c r="C894" s="54"/>
      <c r="J894" s="54"/>
      <c r="K894" s="54"/>
    </row>
    <row r="895">
      <c r="C895" s="54"/>
      <c r="J895" s="54"/>
      <c r="K895" s="54"/>
    </row>
    <row r="896">
      <c r="C896" s="54"/>
      <c r="J896" s="54"/>
      <c r="K896" s="54"/>
    </row>
    <row r="897">
      <c r="C897" s="54"/>
      <c r="J897" s="54"/>
      <c r="K897" s="54"/>
    </row>
    <row r="898">
      <c r="C898" s="54"/>
      <c r="J898" s="54"/>
      <c r="K898" s="54"/>
    </row>
    <row r="899">
      <c r="C899" s="54"/>
      <c r="J899" s="54"/>
      <c r="K899" s="54"/>
    </row>
    <row r="900">
      <c r="C900" s="54"/>
      <c r="J900" s="54"/>
      <c r="K900" s="54"/>
    </row>
    <row r="901">
      <c r="C901" s="54"/>
      <c r="J901" s="54"/>
      <c r="K901" s="54"/>
    </row>
    <row r="902">
      <c r="C902" s="54"/>
      <c r="J902" s="54"/>
      <c r="K902" s="54"/>
    </row>
    <row r="903">
      <c r="C903" s="54"/>
      <c r="J903" s="54"/>
      <c r="K903" s="54"/>
    </row>
    <row r="904">
      <c r="C904" s="54"/>
      <c r="J904" s="54"/>
      <c r="K904" s="54"/>
    </row>
    <row r="905">
      <c r="C905" s="54"/>
      <c r="J905" s="54"/>
      <c r="K905" s="54"/>
    </row>
    <row r="906">
      <c r="C906" s="54"/>
      <c r="J906" s="54"/>
      <c r="K906" s="54"/>
    </row>
    <row r="907">
      <c r="C907" s="54"/>
      <c r="J907" s="54"/>
      <c r="K907" s="54"/>
    </row>
    <row r="908">
      <c r="C908" s="54"/>
      <c r="J908" s="54"/>
      <c r="K908" s="54"/>
    </row>
    <row r="909">
      <c r="C909" s="54"/>
      <c r="J909" s="54"/>
      <c r="K909" s="54"/>
    </row>
    <row r="910">
      <c r="C910" s="54"/>
      <c r="J910" s="54"/>
      <c r="K910" s="54"/>
    </row>
    <row r="911">
      <c r="C911" s="54"/>
      <c r="J911" s="54"/>
      <c r="K911" s="54"/>
    </row>
    <row r="912">
      <c r="C912" s="54"/>
      <c r="J912" s="54"/>
      <c r="K912" s="54"/>
    </row>
    <row r="913">
      <c r="C913" s="54"/>
      <c r="J913" s="54"/>
      <c r="K913" s="54"/>
    </row>
    <row r="914">
      <c r="C914" s="54"/>
      <c r="J914" s="54"/>
      <c r="K914" s="54"/>
    </row>
    <row r="915">
      <c r="C915" s="54"/>
      <c r="J915" s="54"/>
      <c r="K915" s="54"/>
    </row>
    <row r="916">
      <c r="C916" s="54"/>
      <c r="J916" s="54"/>
      <c r="K916" s="54"/>
    </row>
    <row r="917">
      <c r="C917" s="54"/>
      <c r="J917" s="54"/>
      <c r="K917" s="54"/>
    </row>
    <row r="918">
      <c r="C918" s="54"/>
      <c r="J918" s="54"/>
      <c r="K918" s="54"/>
    </row>
    <row r="919">
      <c r="C919" s="54"/>
      <c r="J919" s="54"/>
      <c r="K919" s="54"/>
    </row>
    <row r="920">
      <c r="C920" s="54"/>
      <c r="J920" s="54"/>
      <c r="K920" s="54"/>
    </row>
    <row r="921">
      <c r="C921" s="54"/>
      <c r="J921" s="54"/>
      <c r="K921" s="54"/>
    </row>
    <row r="922">
      <c r="C922" s="54"/>
      <c r="J922" s="54"/>
      <c r="K922" s="54"/>
    </row>
    <row r="923">
      <c r="C923" s="54"/>
      <c r="J923" s="54"/>
      <c r="K923" s="54"/>
    </row>
    <row r="924">
      <c r="C924" s="54"/>
      <c r="J924" s="54"/>
      <c r="K924" s="54"/>
    </row>
    <row r="925">
      <c r="C925" s="54"/>
      <c r="J925" s="54"/>
      <c r="K925" s="54"/>
    </row>
    <row r="926">
      <c r="C926" s="54"/>
      <c r="J926" s="54"/>
      <c r="K926" s="54"/>
    </row>
    <row r="927">
      <c r="C927" s="54"/>
      <c r="J927" s="54"/>
      <c r="K927" s="54"/>
    </row>
    <row r="928">
      <c r="C928" s="54"/>
      <c r="J928" s="54"/>
      <c r="K928" s="54"/>
    </row>
    <row r="929">
      <c r="C929" s="54"/>
      <c r="J929" s="54"/>
      <c r="K929" s="54"/>
    </row>
    <row r="930">
      <c r="C930" s="54"/>
      <c r="J930" s="54"/>
      <c r="K930" s="54"/>
    </row>
    <row r="931">
      <c r="C931" s="54"/>
      <c r="J931" s="54"/>
      <c r="K931" s="54"/>
    </row>
    <row r="932">
      <c r="C932" s="54"/>
      <c r="J932" s="54"/>
      <c r="K932" s="54"/>
    </row>
    <row r="933">
      <c r="C933" s="54"/>
      <c r="J933" s="54"/>
      <c r="K933" s="54"/>
    </row>
    <row r="934">
      <c r="C934" s="54"/>
      <c r="J934" s="54"/>
      <c r="K934" s="54"/>
    </row>
    <row r="935">
      <c r="C935" s="54"/>
      <c r="J935" s="54"/>
      <c r="K935" s="54"/>
    </row>
    <row r="936">
      <c r="C936" s="54"/>
      <c r="J936" s="54"/>
      <c r="K936" s="54"/>
    </row>
    <row r="937">
      <c r="C937" s="54"/>
      <c r="J937" s="54"/>
      <c r="K937" s="54"/>
    </row>
    <row r="938">
      <c r="C938" s="54"/>
      <c r="J938" s="54"/>
      <c r="K938" s="54"/>
    </row>
    <row r="939">
      <c r="C939" s="54"/>
      <c r="J939" s="54"/>
      <c r="K939" s="54"/>
    </row>
    <row r="940">
      <c r="C940" s="54"/>
      <c r="J940" s="54"/>
      <c r="K940" s="54"/>
    </row>
    <row r="941">
      <c r="C941" s="54"/>
      <c r="J941" s="54"/>
      <c r="K941" s="54"/>
    </row>
    <row r="942">
      <c r="C942" s="54"/>
      <c r="J942" s="54"/>
      <c r="K942" s="54"/>
    </row>
    <row r="943">
      <c r="C943" s="54"/>
      <c r="J943" s="54"/>
      <c r="K943" s="54"/>
    </row>
    <row r="944">
      <c r="C944" s="54"/>
      <c r="J944" s="54"/>
      <c r="K944" s="54"/>
    </row>
    <row r="945">
      <c r="C945" s="54"/>
      <c r="J945" s="54"/>
      <c r="K945" s="54"/>
    </row>
    <row r="946">
      <c r="C946" s="54"/>
      <c r="J946" s="54"/>
      <c r="K946" s="54"/>
    </row>
    <row r="947">
      <c r="C947" s="54"/>
      <c r="J947" s="54"/>
      <c r="K947" s="54"/>
    </row>
    <row r="948">
      <c r="C948" s="54"/>
      <c r="J948" s="54"/>
      <c r="K948" s="54"/>
    </row>
    <row r="949">
      <c r="C949" s="54"/>
      <c r="J949" s="54"/>
      <c r="K949" s="54"/>
    </row>
    <row r="950">
      <c r="C950" s="54"/>
      <c r="J950" s="54"/>
      <c r="K950" s="54"/>
    </row>
    <row r="951">
      <c r="C951" s="54"/>
      <c r="J951" s="54"/>
      <c r="K951" s="54"/>
    </row>
    <row r="952">
      <c r="C952" s="54"/>
      <c r="J952" s="54"/>
      <c r="K952" s="54"/>
    </row>
    <row r="953">
      <c r="C953" s="54"/>
      <c r="J953" s="54"/>
      <c r="K953" s="54"/>
    </row>
    <row r="954">
      <c r="C954" s="54"/>
      <c r="J954" s="54"/>
      <c r="K954" s="54"/>
    </row>
    <row r="955">
      <c r="C955" s="54"/>
      <c r="J955" s="54"/>
      <c r="K955" s="54"/>
    </row>
    <row r="956">
      <c r="C956" s="54"/>
      <c r="J956" s="54"/>
      <c r="K956" s="54"/>
    </row>
    <row r="957">
      <c r="C957" s="54"/>
      <c r="J957" s="54"/>
      <c r="K957" s="54"/>
    </row>
    <row r="958">
      <c r="C958" s="54"/>
      <c r="J958" s="54"/>
      <c r="K958" s="54"/>
    </row>
    <row r="959">
      <c r="C959" s="54"/>
      <c r="J959" s="54"/>
      <c r="K959" s="54"/>
    </row>
    <row r="960">
      <c r="C960" s="54"/>
      <c r="J960" s="54"/>
      <c r="K960" s="54"/>
    </row>
    <row r="961">
      <c r="C961" s="54"/>
      <c r="J961" s="54"/>
      <c r="K961" s="54"/>
    </row>
    <row r="962">
      <c r="C962" s="54"/>
      <c r="J962" s="54"/>
      <c r="K962" s="54"/>
    </row>
    <row r="963">
      <c r="C963" s="54"/>
      <c r="J963" s="54"/>
      <c r="K963" s="54"/>
    </row>
    <row r="964">
      <c r="C964" s="54"/>
      <c r="J964" s="54"/>
      <c r="K964" s="54"/>
    </row>
    <row r="965">
      <c r="C965" s="54"/>
      <c r="J965" s="54"/>
      <c r="K965" s="54"/>
    </row>
    <row r="966">
      <c r="C966" s="54"/>
      <c r="J966" s="54"/>
      <c r="K966" s="54"/>
    </row>
    <row r="967">
      <c r="C967" s="54"/>
      <c r="J967" s="54"/>
      <c r="K967" s="54"/>
    </row>
    <row r="968">
      <c r="C968" s="54"/>
      <c r="J968" s="54"/>
      <c r="K968" s="54"/>
    </row>
    <row r="969">
      <c r="C969" s="54"/>
      <c r="J969" s="54"/>
      <c r="K969" s="54"/>
    </row>
    <row r="970">
      <c r="C970" s="54"/>
      <c r="J970" s="54"/>
      <c r="K970" s="54"/>
    </row>
    <row r="971">
      <c r="C971" s="54"/>
      <c r="J971" s="54"/>
      <c r="K971" s="54"/>
    </row>
    <row r="972">
      <c r="C972" s="54"/>
      <c r="J972" s="54"/>
      <c r="K972" s="54"/>
    </row>
    <row r="973">
      <c r="C973" s="54"/>
      <c r="J973" s="54"/>
      <c r="K973" s="54"/>
    </row>
    <row r="974">
      <c r="C974" s="54"/>
      <c r="J974" s="54"/>
      <c r="K974" s="54"/>
    </row>
    <row r="975">
      <c r="C975" s="54"/>
      <c r="J975" s="54"/>
      <c r="K975" s="54"/>
    </row>
    <row r="976">
      <c r="C976" s="54"/>
      <c r="J976" s="54"/>
      <c r="K976" s="54"/>
    </row>
    <row r="977">
      <c r="C977" s="54"/>
      <c r="J977" s="54"/>
      <c r="K977" s="54"/>
    </row>
    <row r="978">
      <c r="C978" s="54"/>
      <c r="J978" s="54"/>
      <c r="K978" s="54"/>
    </row>
    <row r="979">
      <c r="C979" s="54"/>
      <c r="J979" s="54"/>
      <c r="K979" s="54"/>
    </row>
    <row r="980">
      <c r="C980" s="54"/>
      <c r="J980" s="54"/>
      <c r="K980" s="54"/>
    </row>
    <row r="981">
      <c r="C981" s="54"/>
      <c r="J981" s="54"/>
      <c r="K981" s="54"/>
    </row>
    <row r="982">
      <c r="C982" s="54"/>
      <c r="J982" s="54"/>
      <c r="K982" s="54"/>
    </row>
    <row r="983">
      <c r="C983" s="54"/>
      <c r="J983" s="54"/>
      <c r="K983" s="54"/>
    </row>
    <row r="984">
      <c r="C984" s="54"/>
      <c r="J984" s="54"/>
      <c r="K984" s="54"/>
    </row>
    <row r="985">
      <c r="C985" s="54"/>
      <c r="J985" s="54"/>
      <c r="K985" s="54"/>
    </row>
    <row r="986">
      <c r="C986" s="54"/>
      <c r="J986" s="54"/>
      <c r="K986" s="54"/>
    </row>
    <row r="987">
      <c r="C987" s="54"/>
      <c r="J987" s="54"/>
      <c r="K987" s="54"/>
    </row>
    <row r="988">
      <c r="C988" s="54"/>
      <c r="J988" s="54"/>
      <c r="K988" s="54"/>
    </row>
    <row r="989">
      <c r="C989" s="54"/>
      <c r="J989" s="54"/>
      <c r="K989" s="54"/>
    </row>
    <row r="990">
      <c r="C990" s="54"/>
      <c r="J990" s="54"/>
      <c r="K990" s="54"/>
    </row>
    <row r="991">
      <c r="C991" s="54"/>
      <c r="J991" s="54"/>
      <c r="K991" s="54"/>
    </row>
    <row r="992">
      <c r="C992" s="54"/>
      <c r="J992" s="54"/>
      <c r="K992" s="54"/>
    </row>
    <row r="993">
      <c r="C993" s="54"/>
      <c r="J993" s="54"/>
      <c r="K993" s="54"/>
    </row>
    <row r="994">
      <c r="C994" s="54"/>
      <c r="J994" s="54"/>
      <c r="K994" s="54"/>
    </row>
    <row r="995">
      <c r="C995" s="54"/>
      <c r="J995" s="54"/>
      <c r="K995" s="54"/>
    </row>
    <row r="996">
      <c r="C996" s="54"/>
      <c r="J996" s="54"/>
      <c r="K996" s="54"/>
    </row>
    <row r="997">
      <c r="C997" s="54"/>
      <c r="J997" s="54"/>
      <c r="K997" s="54"/>
    </row>
    <row r="998">
      <c r="C998" s="54"/>
      <c r="J998" s="54"/>
      <c r="K998" s="54"/>
    </row>
  </sheetData>
  <conditionalFormatting sqref="I1:I998">
    <cfRule type="cellIs" dxfId="13" priority="1" operator="greaterThan">
      <formula>0</formula>
    </cfRule>
  </conditionalFormatting>
  <conditionalFormatting sqref="H1:H998">
    <cfRule type="cellIs" dxfId="14" priority="2" operator="greaterThan">
      <formula>0</formula>
    </cfRule>
  </conditionalFormatting>
  <conditionalFormatting sqref="G1:G998">
    <cfRule type="cellIs" dxfId="15" priority="3" operator="greaterThan">
      <formula>0</formula>
    </cfRule>
  </conditionalFormatting>
  <conditionalFormatting sqref="F1:F998">
    <cfRule type="cellIs" dxfId="7" priority="4" operator="greaterThan">
      <formula>0</formula>
    </cfRule>
  </conditionalFormatting>
  <conditionalFormatting sqref="E1:E998">
    <cfRule type="cellIs" dxfId="11" priority="5" operator="greaterThan">
      <formula>0</formula>
    </cfRule>
  </conditionalFormatting>
  <conditionalFormatting sqref="B2:B998 C2:C998 J2:J998">
    <cfRule type="expression" dxfId="16" priority="6">
      <formula>$J2</formula>
    </cfRule>
  </conditionalFormatting>
  <hyperlinks>
    <hyperlink r:id="rId2" ref="A2"/>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9" max="9" width="9.75"/>
    <col customWidth="1" min="10" max="10" width="12.63"/>
    <col customWidth="1" min="14" max="14" width="21.75"/>
    <col customWidth="1" min="16" max="16" width="13.63"/>
    <col customWidth="1" min="17" max="17" width="26.75"/>
  </cols>
  <sheetData>
    <row r="1">
      <c r="A1" s="2" t="s">
        <v>256</v>
      </c>
      <c r="B1" s="2" t="s">
        <v>43</v>
      </c>
      <c r="C1" s="16" t="s">
        <v>48</v>
      </c>
      <c r="D1" s="16" t="s">
        <v>257</v>
      </c>
      <c r="E1" s="16" t="s">
        <v>258</v>
      </c>
      <c r="F1" s="16" t="s">
        <v>259</v>
      </c>
      <c r="G1" s="16" t="s">
        <v>260</v>
      </c>
      <c r="H1" s="16" t="s">
        <v>261</v>
      </c>
      <c r="I1" s="16" t="s">
        <v>262</v>
      </c>
      <c r="J1" s="16" t="s">
        <v>263</v>
      </c>
      <c r="K1" s="72" t="s">
        <v>264</v>
      </c>
      <c r="L1" s="66" t="s">
        <v>265</v>
      </c>
      <c r="M1" s="28" t="s">
        <v>266</v>
      </c>
      <c r="N1" s="28" t="s">
        <v>267</v>
      </c>
      <c r="O1" s="28" t="s">
        <v>9</v>
      </c>
      <c r="P1" s="2" t="s">
        <v>268</v>
      </c>
      <c r="Q1" s="70" t="s">
        <v>269</v>
      </c>
    </row>
    <row r="2">
      <c r="A2" s="75" t="s">
        <v>28</v>
      </c>
      <c r="B2" s="14">
        <v>44690.0</v>
      </c>
      <c r="C2" s="54">
        <v>1.0</v>
      </c>
      <c r="D2" s="75"/>
      <c r="E2" s="87">
        <f>IFERROR(VLOOKUP(A2,'Runs Compare'!$Y$2:AD500,5,FALSE),IFERROR(0/0,""))</f>
        <v>0</v>
      </c>
      <c r="F2" s="87">
        <f>IFERROR(VLOOKUP(A2,'Runs Compare'!$Y$2:AD500,6,FALSE),IFERROR(0/0,""))</f>
        <v>0</v>
      </c>
      <c r="G2" s="58">
        <f>IFERROR(VLOOKUP($A2,'Runs Compare'!$AG3:$AM500,5,FALSE),IFERROR(0/0,""))</f>
        <v>0</v>
      </c>
      <c r="H2" s="58">
        <f>IFERROR(VLOOKUP($A2,'Runs Compare'!$AG3:$AM500,6,FALSE),IFERROR(0/0,""))</f>
        <v>0</v>
      </c>
      <c r="I2" s="58">
        <f t="shared" ref="I2:J2" si="1">IF(ISBLANK(G2),E2,E2-G2)</f>
        <v>0</v>
      </c>
      <c r="J2" s="58">
        <f t="shared" si="1"/>
        <v>0</v>
      </c>
      <c r="K2" s="58" t="b">
        <f t="shared" ref="K2:K3" si="3">IF(ISBLANK(J2),FALSE, AND(I2=0,J2=0))</f>
        <v>1</v>
      </c>
      <c r="L2" s="110" t="str">
        <f>'Process Ref'!A1</f>
        <v>NDHM</v>
      </c>
      <c r="M2" s="236" t="str">
        <f t="array" ref="M2:M3">"ARF"&amp;$L$2&amp;TEXT(SEQUENCE(SUM(C2:C500),1),"000") 
</f>
        <v>ARFNDHM001</v>
      </c>
      <c r="N2" s="236" t="str">
        <f t="array" ref="N2:N3">VLOOKUP(SEQUENCE(SUM($C2:$C500),1), {MMULT(N(ROW(A2:A500)&gt;TRANSPOSE(ROW(A2:A500))),N($C2:$C500))+1, A2:A500}, 2, TRUE)
</f>
        <v>RUN-NDHM_2022-05-09_RFR-009</v>
      </c>
      <c r="O2" s="237">
        <f t="array" ref="O2:O3">VLOOKUP(SEQUENCE(SUM($C2:$C500),1), {MMULT(N(ROW(B2:B500)&gt;TRANSPOSE(ROW(B2:B500))),N($C2:$C500))+1, B2:B500}, 2, TRUE)
</f>
        <v>44690</v>
      </c>
      <c r="P2" s="238" t="str">
        <f t="shared" ref="P2:P3" si="4">IF(VLOOKUP(N2,$A$2:$K500,11,FALSE),"Negative",IFERROR(0/0,""))</f>
        <v>Negative</v>
      </c>
      <c r="Q2" s="75"/>
    </row>
    <row r="3">
      <c r="A3" s="75" t="s">
        <v>32</v>
      </c>
      <c r="B3" s="14">
        <v>44718.0</v>
      </c>
      <c r="C3" s="54">
        <v>1.0</v>
      </c>
      <c r="D3" s="75"/>
      <c r="E3" s="87">
        <f>IFERROR(VLOOKUP(A3,'Runs Compare'!$Y$2:AD500,5,FALSE),IFERROR(0/0,""))</f>
        <v>0</v>
      </c>
      <c r="F3" s="87">
        <f>IFERROR(VLOOKUP(A3,'Runs Compare'!$Y$2:AD500,6,FALSE),IFERROR(0/0,""))</f>
        <v>0</v>
      </c>
      <c r="G3" s="58">
        <f>IFERROR(VLOOKUP($A3,'Runs Compare'!$AG4:$AM500,5,FALSE),IFERROR(0/0,""))</f>
        <v>0</v>
      </c>
      <c r="H3" s="58">
        <f>IFERROR(VLOOKUP($A3,'Runs Compare'!$AG4:$AM500,6,FALSE),IFERROR(0/0,""))</f>
        <v>0</v>
      </c>
      <c r="I3" s="58">
        <f t="shared" ref="I3:J3" si="2">IF(ISBLANK(G3),E3,E3-G3)</f>
        <v>0</v>
      </c>
      <c r="J3" s="58">
        <f t="shared" si="2"/>
        <v>0</v>
      </c>
      <c r="K3" s="58" t="b">
        <f t="shared" si="3"/>
        <v>1</v>
      </c>
      <c r="M3" s="236" t="s">
        <v>270</v>
      </c>
      <c r="N3" s="236" t="s">
        <v>32</v>
      </c>
      <c r="O3" s="237">
        <v>44718.0</v>
      </c>
      <c r="P3" s="238" t="str">
        <f t="shared" si="4"/>
        <v>Negative</v>
      </c>
      <c r="Q3" s="82" t="s">
        <v>271</v>
      </c>
    </row>
    <row r="4">
      <c r="A4" s="75"/>
      <c r="B4" s="14"/>
      <c r="C4" s="54"/>
      <c r="D4" s="75"/>
      <c r="E4" s="87"/>
      <c r="F4" s="87"/>
      <c r="G4" s="58"/>
      <c r="H4" s="58"/>
      <c r="I4" s="58"/>
      <c r="J4" s="58"/>
      <c r="K4" s="58"/>
      <c r="M4" s="236"/>
      <c r="N4" s="236"/>
      <c r="O4" s="237"/>
      <c r="P4" s="238"/>
    </row>
    <row r="5">
      <c r="A5" s="75"/>
      <c r="B5" s="14"/>
      <c r="C5" s="54"/>
      <c r="D5" s="75"/>
      <c r="E5" s="58"/>
      <c r="F5" s="58"/>
      <c r="G5" s="58"/>
      <c r="H5" s="58"/>
      <c r="I5" s="58"/>
      <c r="J5" s="58"/>
      <c r="K5" s="58"/>
      <c r="M5" s="236"/>
      <c r="N5" s="236"/>
      <c r="O5" s="237"/>
      <c r="P5" s="238"/>
    </row>
    <row r="6">
      <c r="A6" s="75"/>
      <c r="B6" s="14"/>
      <c r="C6" s="54"/>
      <c r="D6" s="75"/>
      <c r="E6" s="54"/>
      <c r="F6" s="54"/>
      <c r="G6" s="54"/>
      <c r="H6" s="54"/>
      <c r="I6" s="54"/>
      <c r="J6" s="54"/>
      <c r="M6" s="236"/>
      <c r="N6" s="236"/>
      <c r="O6" s="237"/>
      <c r="P6" s="238"/>
    </row>
    <row r="7">
      <c r="A7" s="75"/>
      <c r="B7" s="14"/>
      <c r="C7" s="54"/>
      <c r="D7" s="75"/>
      <c r="M7" s="236"/>
      <c r="N7" s="236"/>
      <c r="O7" s="237"/>
      <c r="P7" s="238"/>
    </row>
    <row r="8">
      <c r="A8" s="75"/>
      <c r="B8" s="14"/>
      <c r="C8" s="54"/>
      <c r="D8" s="75"/>
      <c r="M8" s="236"/>
      <c r="N8" s="236"/>
      <c r="O8" s="236"/>
      <c r="P8" s="238"/>
    </row>
    <row r="9">
      <c r="A9" s="75"/>
      <c r="B9" s="14"/>
      <c r="C9" s="54"/>
      <c r="D9" s="75"/>
      <c r="M9" s="236"/>
      <c r="N9" s="236"/>
      <c r="O9" s="236"/>
      <c r="P9" s="238"/>
    </row>
    <row r="10">
      <c r="A10" s="75"/>
      <c r="B10" s="14"/>
      <c r="C10" s="54"/>
      <c r="M10" s="236"/>
      <c r="N10" s="236"/>
      <c r="O10" s="236"/>
      <c r="P10" s="238"/>
    </row>
    <row r="11">
      <c r="A11" s="75"/>
      <c r="B11" s="14"/>
      <c r="C11" s="54"/>
      <c r="M11" s="236"/>
      <c r="N11" s="236"/>
      <c r="O11" s="236"/>
      <c r="P11" s="238"/>
    </row>
    <row r="12">
      <c r="A12" s="75"/>
      <c r="B12" s="14"/>
      <c r="C12" s="54"/>
      <c r="M12" s="236"/>
      <c r="N12" s="236"/>
      <c r="O12" s="236"/>
      <c r="P12" s="238"/>
    </row>
    <row r="13">
      <c r="A13" s="75"/>
      <c r="B13" s="14"/>
      <c r="C13" s="54"/>
      <c r="M13" s="236"/>
      <c r="N13" s="236"/>
      <c r="O13" s="236"/>
      <c r="P13" s="238"/>
    </row>
    <row r="14">
      <c r="A14" s="75"/>
      <c r="B14" s="14"/>
      <c r="C14" s="54"/>
      <c r="M14" s="236"/>
      <c r="N14" s="236"/>
      <c r="O14" s="236"/>
      <c r="P14" s="238"/>
    </row>
    <row r="15">
      <c r="A15" s="75"/>
      <c r="B15" s="14"/>
      <c r="C15" s="54"/>
      <c r="D15" s="54"/>
      <c r="E15" s="54"/>
      <c r="F15" s="54"/>
      <c r="G15" s="54"/>
      <c r="H15" s="54"/>
      <c r="I15" s="54"/>
      <c r="J15" s="54"/>
      <c r="M15" s="236"/>
      <c r="N15" s="236"/>
      <c r="O15" s="236"/>
      <c r="P15" s="238"/>
    </row>
    <row r="16">
      <c r="A16" s="75"/>
      <c r="B16" s="14"/>
      <c r="C16" s="54"/>
      <c r="D16" s="54"/>
      <c r="E16" s="54"/>
      <c r="F16" s="54"/>
      <c r="G16" s="54"/>
      <c r="H16" s="54"/>
      <c r="I16" s="54"/>
      <c r="J16" s="54"/>
      <c r="M16" s="236"/>
      <c r="N16" s="236"/>
      <c r="O16" s="236"/>
      <c r="P16" s="238"/>
    </row>
    <row r="17">
      <c r="A17" s="75"/>
      <c r="B17" s="14"/>
      <c r="C17" s="54"/>
      <c r="D17" s="54"/>
      <c r="E17" s="54"/>
      <c r="F17" s="54"/>
      <c r="G17" s="54"/>
      <c r="H17" s="54"/>
      <c r="I17" s="54"/>
      <c r="J17" s="54"/>
      <c r="M17" s="236"/>
      <c r="N17" s="236"/>
      <c r="O17" s="236"/>
      <c r="P17" s="238"/>
    </row>
    <row r="18">
      <c r="A18" s="75"/>
      <c r="B18" s="14"/>
      <c r="C18" s="75"/>
      <c r="D18" s="54"/>
      <c r="E18" s="54"/>
      <c r="F18" s="54"/>
      <c r="G18" s="54"/>
      <c r="H18" s="54"/>
      <c r="I18" s="54"/>
      <c r="J18" s="54"/>
      <c r="M18" s="236"/>
      <c r="N18" s="236"/>
      <c r="O18" s="236"/>
      <c r="P18" s="238"/>
    </row>
    <row r="19">
      <c r="A19" s="76"/>
      <c r="B19" s="14"/>
      <c r="C19" s="75"/>
      <c r="M19" s="236"/>
      <c r="N19" s="236"/>
      <c r="O19" s="236"/>
      <c r="P19" s="238"/>
    </row>
    <row r="20">
      <c r="A20" s="76"/>
      <c r="B20" s="14"/>
      <c r="C20" s="75"/>
      <c r="M20" s="236"/>
      <c r="N20" s="236"/>
      <c r="O20" s="236"/>
      <c r="P20" s="238"/>
    </row>
    <row r="21">
      <c r="A21" s="76"/>
      <c r="B21" s="14"/>
      <c r="C21" s="75"/>
      <c r="M21" s="236"/>
      <c r="N21" s="236"/>
      <c r="O21" s="236"/>
      <c r="P21" s="238"/>
    </row>
    <row r="22">
      <c r="A22" s="76"/>
      <c r="B22" s="14"/>
      <c r="C22" s="75"/>
      <c r="M22" s="236"/>
      <c r="N22" s="236"/>
      <c r="O22" s="236"/>
      <c r="P22" s="238"/>
    </row>
    <row r="23">
      <c r="A23" s="76"/>
      <c r="B23" s="14"/>
      <c r="C23" s="75"/>
      <c r="M23" s="236"/>
      <c r="N23" s="236"/>
      <c r="O23" s="236"/>
      <c r="P23" s="238"/>
    </row>
    <row r="24">
      <c r="A24" s="76"/>
      <c r="B24" s="14"/>
      <c r="C24" s="75"/>
      <c r="M24" s="236"/>
      <c r="N24" s="236"/>
      <c r="O24" s="236"/>
      <c r="P24" s="238"/>
    </row>
    <row r="25">
      <c r="A25" s="76"/>
      <c r="B25" s="14"/>
      <c r="C25" s="75"/>
      <c r="M25" s="236"/>
      <c r="N25" s="236"/>
      <c r="O25" s="236"/>
      <c r="P25" s="238"/>
    </row>
    <row r="26">
      <c r="A26" s="76"/>
      <c r="B26" s="14"/>
      <c r="C26" s="75"/>
      <c r="M26" s="236"/>
      <c r="N26" s="236"/>
      <c r="O26" s="236"/>
      <c r="P26" s="238"/>
    </row>
    <row r="27">
      <c r="A27" s="76"/>
      <c r="B27" s="14"/>
      <c r="C27" s="75"/>
      <c r="M27" s="236"/>
      <c r="N27" s="236"/>
      <c r="O27" s="236"/>
      <c r="P27" s="238"/>
    </row>
    <row r="28">
      <c r="A28" s="76"/>
      <c r="B28" s="14"/>
      <c r="C28" s="75"/>
      <c r="M28" s="236"/>
      <c r="N28" s="236"/>
      <c r="O28" s="236"/>
      <c r="P28" s="238"/>
    </row>
    <row r="29">
      <c r="A29" s="76"/>
      <c r="B29" s="14"/>
      <c r="C29" s="75"/>
      <c r="M29" s="236"/>
      <c r="N29" s="236"/>
      <c r="O29" s="236"/>
      <c r="P29" s="238"/>
    </row>
    <row r="30">
      <c r="A30" s="76"/>
      <c r="B30" s="14"/>
      <c r="C30" s="75"/>
      <c r="M30" s="236"/>
      <c r="N30" s="236"/>
      <c r="O30" s="236"/>
      <c r="P30" s="238"/>
    </row>
    <row r="31">
      <c r="A31" s="76"/>
      <c r="B31" s="14"/>
      <c r="C31" s="75"/>
      <c r="M31" s="236"/>
      <c r="N31" s="236"/>
      <c r="O31" s="236"/>
      <c r="P31" s="238"/>
    </row>
    <row r="32">
      <c r="A32" s="76"/>
      <c r="B32" s="14"/>
      <c r="C32" s="75"/>
      <c r="M32" s="236"/>
      <c r="N32" s="236"/>
      <c r="O32" s="236"/>
      <c r="P32" s="238"/>
    </row>
    <row r="33">
      <c r="A33" s="76"/>
      <c r="B33" s="14"/>
      <c r="C33" s="75"/>
      <c r="M33" s="236"/>
      <c r="N33" s="236"/>
      <c r="O33" s="236"/>
      <c r="P33" s="238"/>
    </row>
    <row r="34">
      <c r="A34" s="76"/>
      <c r="B34" s="14"/>
      <c r="C34" s="75"/>
      <c r="M34" s="236"/>
      <c r="N34" s="236"/>
      <c r="O34" s="236"/>
      <c r="P34" s="238"/>
    </row>
    <row r="35">
      <c r="A35" s="76"/>
      <c r="B35" s="14"/>
      <c r="C35" s="75"/>
      <c r="M35" s="236"/>
      <c r="N35" s="236"/>
      <c r="O35" s="236"/>
      <c r="P35" s="238"/>
    </row>
    <row r="36">
      <c r="A36" s="76"/>
      <c r="B36" s="14"/>
      <c r="C36" s="75"/>
      <c r="M36" s="236"/>
      <c r="N36" s="236"/>
      <c r="O36" s="236"/>
      <c r="P36" s="238"/>
    </row>
    <row r="37">
      <c r="A37" s="76"/>
      <c r="B37" s="14"/>
      <c r="C37" s="75"/>
      <c r="M37" s="236"/>
      <c r="N37" s="236"/>
      <c r="O37" s="236"/>
      <c r="P37" s="238"/>
    </row>
    <row r="38">
      <c r="A38" s="76"/>
      <c r="B38" s="14"/>
      <c r="C38" s="75"/>
      <c r="M38" s="236"/>
      <c r="N38" s="236"/>
      <c r="O38" s="236"/>
      <c r="P38" s="238"/>
    </row>
    <row r="39">
      <c r="A39" s="76"/>
      <c r="B39" s="14"/>
      <c r="C39" s="75"/>
      <c r="M39" s="236"/>
      <c r="N39" s="236"/>
      <c r="O39" s="236"/>
      <c r="P39" s="238"/>
    </row>
    <row r="40">
      <c r="A40" s="76"/>
      <c r="B40" s="14"/>
      <c r="C40" s="75"/>
      <c r="M40" s="236"/>
      <c r="N40" s="236"/>
      <c r="O40" s="236"/>
      <c r="P40" s="238"/>
    </row>
    <row r="41">
      <c r="A41" s="76"/>
      <c r="B41" s="14"/>
      <c r="C41" s="75"/>
      <c r="M41" s="236"/>
      <c r="N41" s="236"/>
      <c r="O41" s="236"/>
      <c r="P41" s="238"/>
    </row>
    <row r="42">
      <c r="A42" s="76"/>
      <c r="B42" s="14"/>
      <c r="C42" s="75"/>
      <c r="M42" s="236"/>
      <c r="N42" s="236"/>
      <c r="O42" s="236"/>
      <c r="P42" s="238"/>
    </row>
    <row r="43">
      <c r="A43" s="76"/>
      <c r="B43" s="14"/>
      <c r="C43" s="75"/>
      <c r="M43" s="236"/>
      <c r="N43" s="236"/>
      <c r="O43" s="236"/>
      <c r="P43" s="238"/>
    </row>
    <row r="44">
      <c r="A44" s="76"/>
      <c r="B44" s="14"/>
      <c r="C44" s="75"/>
      <c r="M44" s="236"/>
      <c r="N44" s="236"/>
      <c r="O44" s="236"/>
      <c r="P44" s="238"/>
    </row>
    <row r="45">
      <c r="A45" s="76"/>
      <c r="B45" s="14"/>
      <c r="C45" s="75"/>
      <c r="M45" s="236"/>
      <c r="N45" s="236"/>
      <c r="O45" s="236"/>
      <c r="P45" s="238"/>
    </row>
    <row r="46">
      <c r="A46" s="75"/>
      <c r="B46" s="14"/>
      <c r="C46" s="75"/>
      <c r="M46" s="236"/>
      <c r="N46" s="236"/>
      <c r="O46" s="236"/>
      <c r="P46" s="238"/>
    </row>
    <row r="47">
      <c r="A47" s="75"/>
      <c r="B47" s="14"/>
      <c r="C47" s="75"/>
      <c r="M47" s="236"/>
      <c r="N47" s="236"/>
      <c r="O47" s="236"/>
      <c r="P47" s="238"/>
    </row>
    <row r="48">
      <c r="A48" s="75"/>
      <c r="B48" s="14"/>
      <c r="C48" s="75"/>
      <c r="M48" s="236"/>
      <c r="N48" s="236"/>
      <c r="O48" s="236"/>
      <c r="P48" s="238"/>
    </row>
    <row r="49">
      <c r="A49" s="75"/>
      <c r="B49" s="14"/>
      <c r="C49" s="75"/>
      <c r="M49" s="236"/>
      <c r="N49" s="236"/>
      <c r="O49" s="236"/>
      <c r="P49" s="238"/>
    </row>
    <row r="50">
      <c r="A50" s="75"/>
      <c r="B50" s="14"/>
      <c r="C50" s="75"/>
      <c r="M50" s="236"/>
      <c r="N50" s="236"/>
      <c r="O50" s="236"/>
      <c r="P50" s="238"/>
    </row>
    <row r="51">
      <c r="A51" s="75"/>
      <c r="B51" s="14"/>
      <c r="C51" s="75"/>
      <c r="M51" s="236"/>
      <c r="N51" s="236"/>
      <c r="O51" s="236"/>
      <c r="P51" s="238"/>
    </row>
    <row r="52">
      <c r="A52" s="75"/>
      <c r="B52" s="14"/>
      <c r="C52" s="75"/>
      <c r="M52" s="236"/>
      <c r="N52" s="236"/>
      <c r="O52" s="236"/>
      <c r="P52" s="238"/>
    </row>
    <row r="53">
      <c r="A53" s="75"/>
      <c r="B53" s="14"/>
      <c r="C53" s="75"/>
      <c r="M53" s="236"/>
      <c r="N53" s="236"/>
      <c r="O53" s="236"/>
      <c r="P53" s="238"/>
    </row>
    <row r="54">
      <c r="A54" s="75"/>
      <c r="B54" s="14"/>
      <c r="C54" s="75"/>
      <c r="M54" s="236"/>
      <c r="N54" s="236"/>
      <c r="O54" s="236"/>
      <c r="P54" s="238"/>
    </row>
    <row r="55">
      <c r="M55" s="236"/>
      <c r="N55" s="236"/>
      <c r="O55" s="236"/>
      <c r="P55" s="238"/>
    </row>
    <row r="56">
      <c r="M56" s="236"/>
      <c r="N56" s="236"/>
      <c r="O56" s="236"/>
      <c r="P56" s="238"/>
    </row>
    <row r="57">
      <c r="M57" s="236"/>
      <c r="N57" s="236"/>
      <c r="O57" s="236"/>
      <c r="P57" s="238"/>
    </row>
    <row r="58">
      <c r="M58" s="236"/>
      <c r="N58" s="236"/>
      <c r="O58" s="236"/>
      <c r="P58" s="238"/>
    </row>
    <row r="59">
      <c r="M59" s="236"/>
      <c r="N59" s="236"/>
      <c r="O59" s="236"/>
      <c r="P59" s="238"/>
    </row>
    <row r="60">
      <c r="M60" s="236"/>
      <c r="N60" s="236"/>
      <c r="O60" s="236"/>
      <c r="P60" s="238"/>
    </row>
    <row r="61">
      <c r="M61" s="236"/>
      <c r="N61" s="236"/>
      <c r="O61" s="236"/>
      <c r="P61" s="238"/>
    </row>
    <row r="62">
      <c r="M62" s="236"/>
      <c r="N62" s="236"/>
      <c r="O62" s="236"/>
      <c r="P62" s="238"/>
    </row>
    <row r="63">
      <c r="M63" s="236"/>
      <c r="N63" s="236"/>
      <c r="O63" s="236"/>
      <c r="P63" s="238"/>
    </row>
    <row r="64">
      <c r="M64" s="236"/>
      <c r="N64" s="236"/>
      <c r="O64" s="236"/>
      <c r="P64" s="238"/>
    </row>
    <row r="65">
      <c r="M65" s="236"/>
      <c r="N65" s="236"/>
      <c r="O65" s="236"/>
      <c r="P65" s="238"/>
    </row>
    <row r="66">
      <c r="M66" s="236"/>
      <c r="N66" s="236"/>
      <c r="O66" s="236"/>
      <c r="P66" s="238"/>
    </row>
    <row r="67">
      <c r="M67" s="236"/>
      <c r="N67" s="236"/>
      <c r="O67" s="236"/>
      <c r="P67" s="238"/>
    </row>
    <row r="68">
      <c r="M68" s="236"/>
      <c r="N68" s="236"/>
      <c r="O68" s="236"/>
      <c r="P68" s="238"/>
    </row>
    <row r="69">
      <c r="M69" s="236"/>
      <c r="N69" s="236"/>
      <c r="O69" s="236"/>
      <c r="P69" s="238"/>
    </row>
    <row r="70">
      <c r="M70" s="236"/>
      <c r="N70" s="236"/>
      <c r="O70" s="236"/>
      <c r="P70" s="238"/>
    </row>
    <row r="71">
      <c r="M71" s="236"/>
      <c r="N71" s="236"/>
      <c r="O71" s="236"/>
      <c r="P71" s="238"/>
    </row>
    <row r="72">
      <c r="M72" s="236"/>
      <c r="N72" s="236"/>
      <c r="O72" s="236"/>
      <c r="P72" s="238"/>
    </row>
    <row r="73">
      <c r="M73" s="236"/>
      <c r="N73" s="236"/>
      <c r="O73" s="236"/>
      <c r="P73" s="238"/>
    </row>
    <row r="74">
      <c r="M74" s="236"/>
      <c r="N74" s="236"/>
      <c r="O74" s="236"/>
      <c r="P74" s="238"/>
    </row>
    <row r="75">
      <c r="M75" s="236"/>
      <c r="N75" s="236"/>
      <c r="O75" s="236"/>
      <c r="P75" s="238"/>
    </row>
    <row r="76">
      <c r="M76" s="236"/>
      <c r="N76" s="236"/>
      <c r="O76" s="236"/>
      <c r="P76" s="238"/>
    </row>
    <row r="77">
      <c r="M77" s="236"/>
      <c r="N77" s="236"/>
      <c r="O77" s="236"/>
      <c r="P77" s="238"/>
    </row>
    <row r="78">
      <c r="M78" s="236"/>
      <c r="N78" s="236"/>
      <c r="O78" s="236"/>
      <c r="P78" s="238"/>
    </row>
    <row r="79">
      <c r="M79" s="236"/>
      <c r="N79" s="236"/>
      <c r="O79" s="236"/>
      <c r="P79" s="238"/>
    </row>
    <row r="80">
      <c r="M80" s="236"/>
      <c r="N80" s="236"/>
      <c r="O80" s="236"/>
      <c r="P80" s="238"/>
    </row>
    <row r="81">
      <c r="M81" s="236"/>
      <c r="N81" s="236"/>
      <c r="O81" s="236"/>
      <c r="P81" s="238"/>
    </row>
    <row r="82">
      <c r="M82" s="236"/>
      <c r="N82" s="236"/>
      <c r="O82" s="236"/>
      <c r="P82" s="238"/>
    </row>
    <row r="83">
      <c r="M83" s="236"/>
      <c r="N83" s="236"/>
      <c r="O83" s="236"/>
      <c r="P83" s="238"/>
    </row>
    <row r="84">
      <c r="M84" s="236"/>
      <c r="N84" s="236"/>
      <c r="O84" s="236"/>
      <c r="P84" s="238"/>
    </row>
    <row r="85">
      <c r="M85" s="236"/>
      <c r="N85" s="236"/>
      <c r="O85" s="236"/>
      <c r="P85" s="238"/>
    </row>
    <row r="86">
      <c r="M86" s="236"/>
      <c r="N86" s="236"/>
      <c r="O86" s="236"/>
      <c r="P86" s="238"/>
    </row>
    <row r="87">
      <c r="M87" s="236"/>
      <c r="N87" s="236"/>
      <c r="O87" s="236"/>
      <c r="P87" s="238"/>
    </row>
    <row r="88">
      <c r="M88" s="236"/>
      <c r="N88" s="236"/>
      <c r="O88" s="236"/>
      <c r="P88" s="238"/>
    </row>
    <row r="89">
      <c r="M89" s="236"/>
      <c r="N89" s="236"/>
      <c r="O89" s="236"/>
      <c r="P89" s="238"/>
    </row>
    <row r="90">
      <c r="M90" s="236"/>
      <c r="N90" s="236"/>
      <c r="O90" s="236"/>
      <c r="P90" s="238"/>
    </row>
    <row r="91">
      <c r="M91" s="236"/>
      <c r="N91" s="236"/>
      <c r="O91" s="236"/>
      <c r="P91" s="238"/>
    </row>
    <row r="92">
      <c r="M92" s="236"/>
      <c r="N92" s="236"/>
      <c r="O92" s="236"/>
      <c r="P92" s="238"/>
    </row>
    <row r="93">
      <c r="M93" s="236"/>
      <c r="N93" s="236"/>
      <c r="O93" s="236"/>
      <c r="P93" s="238"/>
    </row>
    <row r="94">
      <c r="M94" s="236"/>
      <c r="N94" s="236"/>
      <c r="O94" s="236"/>
      <c r="P94" s="238"/>
    </row>
    <row r="95">
      <c r="M95" s="236"/>
      <c r="N95" s="236"/>
      <c r="O95" s="236"/>
      <c r="P95" s="238"/>
    </row>
    <row r="96">
      <c r="M96" s="236"/>
      <c r="N96" s="236"/>
      <c r="O96" s="236"/>
      <c r="P96" s="238"/>
    </row>
    <row r="97">
      <c r="M97" s="236"/>
      <c r="N97" s="236"/>
      <c r="O97" s="236"/>
      <c r="P97" s="238"/>
    </row>
    <row r="98">
      <c r="M98" s="236"/>
      <c r="N98" s="236"/>
      <c r="O98" s="236"/>
      <c r="P98" s="238"/>
    </row>
    <row r="99">
      <c r="M99" s="236"/>
      <c r="N99" s="236"/>
      <c r="O99" s="236"/>
      <c r="P99" s="238"/>
    </row>
    <row r="100">
      <c r="M100" s="236"/>
      <c r="N100" s="236"/>
      <c r="O100" s="236"/>
      <c r="P100" s="238"/>
    </row>
    <row r="101">
      <c r="M101" s="236"/>
      <c r="N101" s="236"/>
      <c r="O101" s="236"/>
      <c r="P101" s="238"/>
    </row>
    <row r="102">
      <c r="M102" s="236"/>
      <c r="N102" s="236"/>
      <c r="O102" s="236"/>
      <c r="P102" s="238"/>
    </row>
    <row r="103">
      <c r="M103" s="236"/>
      <c r="N103" s="236"/>
      <c r="O103" s="236"/>
      <c r="P103" s="238"/>
    </row>
    <row r="104">
      <c r="M104" s="236"/>
      <c r="N104" s="236"/>
      <c r="O104" s="236"/>
      <c r="P104" s="238"/>
    </row>
    <row r="105">
      <c r="M105" s="236"/>
      <c r="N105" s="236"/>
      <c r="O105" s="236"/>
      <c r="P105" s="238"/>
    </row>
    <row r="106">
      <c r="M106" s="236"/>
      <c r="N106" s="236"/>
      <c r="O106" s="236"/>
      <c r="P106" s="238"/>
    </row>
    <row r="107">
      <c r="M107" s="236"/>
      <c r="N107" s="236"/>
      <c r="O107" s="236"/>
      <c r="P107" s="238"/>
    </row>
    <row r="108">
      <c r="M108" s="236"/>
      <c r="N108" s="236"/>
      <c r="O108" s="236"/>
      <c r="P108" s="238"/>
    </row>
    <row r="109">
      <c r="M109" s="236"/>
      <c r="N109" s="236"/>
      <c r="O109" s="236"/>
      <c r="P109" s="238"/>
    </row>
    <row r="110">
      <c r="M110" s="236"/>
      <c r="N110" s="236"/>
      <c r="O110" s="236"/>
      <c r="P110" s="238"/>
    </row>
    <row r="111">
      <c r="M111" s="236"/>
      <c r="N111" s="236"/>
      <c r="O111" s="236"/>
      <c r="P111" s="238"/>
    </row>
    <row r="112">
      <c r="M112" s="236"/>
      <c r="N112" s="236"/>
      <c r="O112" s="236"/>
      <c r="P112" s="238"/>
    </row>
    <row r="113">
      <c r="M113" s="236"/>
      <c r="N113" s="236"/>
      <c r="O113" s="236"/>
      <c r="P113" s="238"/>
    </row>
    <row r="114">
      <c r="M114" s="236"/>
      <c r="N114" s="236"/>
      <c r="O114" s="236"/>
      <c r="P114" s="238"/>
    </row>
    <row r="115">
      <c r="M115" s="236"/>
      <c r="N115" s="236"/>
      <c r="O115" s="236"/>
      <c r="P115" s="238"/>
    </row>
    <row r="116">
      <c r="M116" s="236"/>
      <c r="N116" s="236"/>
      <c r="O116" s="236"/>
      <c r="P116" s="238"/>
    </row>
    <row r="117">
      <c r="M117" s="236"/>
      <c r="N117" s="236"/>
      <c r="O117" s="236"/>
      <c r="P117" s="238"/>
    </row>
    <row r="118">
      <c r="M118" s="236"/>
      <c r="N118" s="236"/>
      <c r="O118" s="236"/>
      <c r="P118" s="238"/>
    </row>
    <row r="119">
      <c r="M119" s="236"/>
      <c r="N119" s="236"/>
      <c r="O119" s="236"/>
      <c r="P119" s="238"/>
    </row>
    <row r="120">
      <c r="M120" s="236"/>
      <c r="N120" s="236"/>
      <c r="O120" s="236"/>
      <c r="P120" s="238"/>
    </row>
    <row r="121">
      <c r="M121" s="236"/>
      <c r="N121" s="236"/>
      <c r="O121" s="236"/>
      <c r="P121" s="238"/>
    </row>
    <row r="122">
      <c r="M122" s="236"/>
      <c r="N122" s="236"/>
      <c r="O122" s="236"/>
      <c r="P122" s="238"/>
    </row>
    <row r="123">
      <c r="M123" s="236"/>
      <c r="N123" s="236"/>
      <c r="O123" s="236"/>
      <c r="P123" s="238"/>
    </row>
    <row r="124">
      <c r="M124" s="236"/>
      <c r="N124" s="236"/>
      <c r="O124" s="236"/>
      <c r="P124" s="238"/>
    </row>
    <row r="125">
      <c r="M125" s="236"/>
      <c r="N125" s="236"/>
      <c r="O125" s="236"/>
      <c r="P125" s="238"/>
    </row>
    <row r="126">
      <c r="M126" s="236"/>
      <c r="N126" s="236"/>
      <c r="O126" s="236"/>
      <c r="P126" s="238"/>
    </row>
    <row r="127">
      <c r="M127" s="236"/>
      <c r="N127" s="236"/>
      <c r="O127" s="236"/>
      <c r="P127" s="238"/>
    </row>
    <row r="128">
      <c r="M128" s="236"/>
      <c r="N128" s="236"/>
      <c r="O128" s="236"/>
      <c r="P128" s="238"/>
    </row>
    <row r="129">
      <c r="M129" s="236"/>
      <c r="N129" s="236"/>
      <c r="O129" s="236"/>
      <c r="P129" s="238"/>
    </row>
    <row r="130">
      <c r="M130" s="236"/>
      <c r="N130" s="236"/>
      <c r="O130" s="236"/>
      <c r="P130" s="238"/>
    </row>
    <row r="131">
      <c r="M131" s="236"/>
      <c r="N131" s="236"/>
      <c r="O131" s="236"/>
      <c r="P131" s="238"/>
    </row>
    <row r="132">
      <c r="M132" s="236"/>
      <c r="N132" s="236"/>
      <c r="O132" s="236"/>
      <c r="P132" s="238"/>
    </row>
    <row r="133">
      <c r="M133" s="236"/>
      <c r="N133" s="236"/>
      <c r="O133" s="236"/>
      <c r="P133" s="238"/>
    </row>
    <row r="134">
      <c r="M134" s="236"/>
      <c r="N134" s="236"/>
      <c r="O134" s="236"/>
      <c r="P134" s="238"/>
    </row>
    <row r="135">
      <c r="M135" s="236"/>
      <c r="N135" s="236"/>
      <c r="O135" s="236"/>
      <c r="P135" s="238"/>
    </row>
    <row r="136">
      <c r="M136" s="236"/>
      <c r="N136" s="236"/>
      <c r="O136" s="236"/>
      <c r="P136" s="238"/>
    </row>
    <row r="137">
      <c r="M137" s="236"/>
      <c r="N137" s="236"/>
      <c r="O137" s="236"/>
      <c r="P137" s="238"/>
    </row>
    <row r="138">
      <c r="M138" s="236"/>
      <c r="N138" s="236"/>
      <c r="O138" s="236"/>
      <c r="P138" s="238"/>
    </row>
    <row r="139">
      <c r="M139" s="236"/>
      <c r="N139" s="236"/>
      <c r="O139" s="236"/>
      <c r="P139" s="238"/>
    </row>
    <row r="140">
      <c r="M140" s="236"/>
      <c r="N140" s="236"/>
      <c r="O140" s="236"/>
      <c r="P140" s="238"/>
    </row>
    <row r="141">
      <c r="M141" s="236"/>
      <c r="N141" s="236"/>
      <c r="O141" s="236"/>
      <c r="P141" s="238"/>
    </row>
    <row r="142">
      <c r="M142" s="236"/>
      <c r="N142" s="236"/>
      <c r="O142" s="236"/>
      <c r="P142" s="238"/>
    </row>
    <row r="143">
      <c r="M143" s="236"/>
      <c r="N143" s="236"/>
      <c r="O143" s="236"/>
      <c r="P143" s="238"/>
    </row>
    <row r="144">
      <c r="M144" s="236"/>
      <c r="N144" s="236"/>
      <c r="O144" s="236"/>
      <c r="P144" s="238"/>
    </row>
    <row r="145">
      <c r="M145" s="236"/>
      <c r="N145" s="236"/>
      <c r="O145" s="236"/>
      <c r="P145" s="238"/>
    </row>
    <row r="146">
      <c r="M146" s="236"/>
      <c r="N146" s="236"/>
      <c r="O146" s="236"/>
      <c r="P146" s="238"/>
    </row>
    <row r="147">
      <c r="M147" s="236"/>
      <c r="N147" s="236"/>
      <c r="O147" s="236"/>
      <c r="P147" s="238"/>
    </row>
    <row r="148">
      <c r="M148" s="236"/>
      <c r="N148" s="236"/>
      <c r="O148" s="236"/>
      <c r="P148" s="238"/>
    </row>
    <row r="149">
      <c r="M149" s="236"/>
      <c r="N149" s="236"/>
      <c r="O149" s="236"/>
      <c r="P149" s="238"/>
    </row>
    <row r="150">
      <c r="M150" s="236"/>
      <c r="N150" s="236"/>
      <c r="O150" s="236"/>
      <c r="P150" s="238"/>
    </row>
    <row r="151">
      <c r="M151" s="236"/>
      <c r="N151" s="236"/>
      <c r="O151" s="236"/>
      <c r="P151" s="238"/>
    </row>
    <row r="152">
      <c r="M152" s="236"/>
      <c r="N152" s="236"/>
      <c r="O152" s="236"/>
      <c r="P152" s="238"/>
    </row>
    <row r="153">
      <c r="M153" s="236"/>
      <c r="N153" s="236"/>
      <c r="O153" s="236"/>
      <c r="P153" s="238"/>
    </row>
    <row r="154">
      <c r="M154" s="236"/>
      <c r="N154" s="236"/>
      <c r="O154" s="236"/>
      <c r="P154" s="238"/>
    </row>
    <row r="155">
      <c r="M155" s="236"/>
      <c r="N155" s="236"/>
      <c r="O155" s="236"/>
      <c r="P155" s="238"/>
    </row>
    <row r="156">
      <c r="M156" s="236"/>
      <c r="N156" s="236"/>
      <c r="O156" s="236"/>
      <c r="P156" s="238"/>
    </row>
    <row r="157">
      <c r="M157" s="236"/>
      <c r="N157" s="236"/>
      <c r="O157" s="236"/>
      <c r="P157" s="238"/>
    </row>
    <row r="158">
      <c r="M158" s="236"/>
      <c r="N158" s="236"/>
      <c r="O158" s="236"/>
      <c r="P158" s="238"/>
    </row>
    <row r="159">
      <c r="M159" s="236"/>
      <c r="N159" s="236"/>
      <c r="O159" s="236"/>
      <c r="P159" s="238"/>
    </row>
    <row r="160">
      <c r="M160" s="236"/>
      <c r="N160" s="236"/>
      <c r="O160" s="236"/>
      <c r="P160" s="238"/>
    </row>
    <row r="161">
      <c r="M161" s="236"/>
      <c r="N161" s="236"/>
      <c r="O161" s="236"/>
      <c r="P161" s="238"/>
    </row>
    <row r="162">
      <c r="M162" s="236"/>
      <c r="N162" s="236"/>
      <c r="O162" s="236"/>
      <c r="P162" s="238"/>
    </row>
    <row r="163">
      <c r="M163" s="236"/>
      <c r="N163" s="236"/>
      <c r="O163" s="236"/>
      <c r="P163" s="238"/>
    </row>
    <row r="164">
      <c r="M164" s="236"/>
      <c r="N164" s="236"/>
      <c r="O164" s="236"/>
      <c r="P164" s="238"/>
    </row>
    <row r="165">
      <c r="M165" s="236"/>
      <c r="N165" s="236"/>
      <c r="O165" s="236"/>
      <c r="P165" s="238"/>
    </row>
    <row r="166">
      <c r="M166" s="236"/>
      <c r="N166" s="236"/>
      <c r="O166" s="236"/>
      <c r="P166" s="238"/>
    </row>
    <row r="167">
      <c r="M167" s="236"/>
      <c r="N167" s="236"/>
      <c r="O167" s="236"/>
      <c r="P167" s="238"/>
    </row>
    <row r="168">
      <c r="M168" s="236"/>
      <c r="N168" s="236"/>
      <c r="O168" s="236"/>
      <c r="P168" s="238"/>
    </row>
    <row r="169">
      <c r="M169" s="236"/>
      <c r="N169" s="236"/>
      <c r="O169" s="236"/>
      <c r="P169" s="238"/>
    </row>
    <row r="170">
      <c r="M170" s="236"/>
      <c r="N170" s="236"/>
      <c r="O170" s="236"/>
      <c r="P170" s="238"/>
    </row>
    <row r="171">
      <c r="M171" s="236"/>
      <c r="N171" s="236"/>
      <c r="O171" s="236"/>
      <c r="P171" s="238"/>
    </row>
    <row r="172">
      <c r="M172" s="236"/>
      <c r="N172" s="236"/>
      <c r="O172" s="236"/>
      <c r="P172" s="238"/>
    </row>
    <row r="173">
      <c r="M173" s="236"/>
      <c r="N173" s="236"/>
      <c r="O173" s="236"/>
      <c r="P173" s="238"/>
    </row>
    <row r="174">
      <c r="M174" s="236"/>
      <c r="N174" s="236"/>
      <c r="O174" s="236"/>
      <c r="P174" s="238"/>
    </row>
    <row r="175">
      <c r="M175" s="236"/>
      <c r="N175" s="236"/>
      <c r="O175" s="236"/>
      <c r="P175" s="238"/>
    </row>
    <row r="176">
      <c r="M176" s="236"/>
      <c r="N176" s="236"/>
      <c r="O176" s="236"/>
      <c r="P176" s="238"/>
    </row>
    <row r="177">
      <c r="M177" s="236"/>
      <c r="N177" s="236"/>
      <c r="O177" s="236"/>
      <c r="P177" s="238"/>
    </row>
    <row r="178">
      <c r="M178" s="236"/>
      <c r="N178" s="236"/>
      <c r="O178" s="236"/>
      <c r="P178" s="238"/>
    </row>
    <row r="179">
      <c r="M179" s="236"/>
      <c r="N179" s="236"/>
      <c r="O179" s="236"/>
      <c r="P179" s="238"/>
    </row>
    <row r="180">
      <c r="M180" s="236"/>
      <c r="N180" s="236"/>
      <c r="O180" s="236"/>
      <c r="P180" s="238"/>
    </row>
    <row r="181">
      <c r="M181" s="236"/>
      <c r="N181" s="236"/>
      <c r="O181" s="236"/>
      <c r="P181" s="238"/>
    </row>
    <row r="182">
      <c r="M182" s="236"/>
      <c r="N182" s="236"/>
      <c r="O182" s="236"/>
      <c r="P182" s="238"/>
    </row>
    <row r="183">
      <c r="M183" s="236"/>
      <c r="N183" s="236"/>
      <c r="O183" s="236"/>
      <c r="P183" s="238"/>
    </row>
    <row r="184">
      <c r="M184" s="236"/>
      <c r="N184" s="236"/>
      <c r="O184" s="236"/>
      <c r="P184" s="238"/>
    </row>
    <row r="185">
      <c r="M185" s="236"/>
      <c r="N185" s="236"/>
      <c r="O185" s="236"/>
      <c r="P185" s="238"/>
    </row>
    <row r="186">
      <c r="M186" s="236"/>
      <c r="N186" s="236"/>
      <c r="O186" s="236"/>
      <c r="P186" s="238"/>
    </row>
    <row r="187">
      <c r="M187" s="236"/>
      <c r="N187" s="236"/>
      <c r="O187" s="236"/>
      <c r="P187" s="238"/>
    </row>
    <row r="188">
      <c r="M188" s="236"/>
      <c r="N188" s="236"/>
      <c r="O188" s="236"/>
      <c r="P188" s="238"/>
    </row>
    <row r="189">
      <c r="M189" s="236"/>
      <c r="N189" s="236"/>
      <c r="O189" s="236"/>
      <c r="P189" s="238"/>
    </row>
    <row r="190">
      <c r="M190" s="236"/>
      <c r="N190" s="236"/>
      <c r="O190" s="236"/>
      <c r="P190" s="238"/>
    </row>
    <row r="191">
      <c r="M191" s="236"/>
      <c r="N191" s="236"/>
      <c r="O191" s="236"/>
      <c r="P191" s="238"/>
    </row>
    <row r="192">
      <c r="M192" s="236"/>
      <c r="N192" s="236"/>
      <c r="O192" s="236"/>
      <c r="P192" s="238"/>
    </row>
    <row r="193">
      <c r="M193" s="236"/>
      <c r="N193" s="236"/>
      <c r="O193" s="236"/>
      <c r="P193" s="238"/>
    </row>
    <row r="194">
      <c r="M194" s="236"/>
      <c r="N194" s="236"/>
      <c r="O194" s="236"/>
      <c r="P194" s="238"/>
    </row>
    <row r="195">
      <c r="M195" s="236"/>
      <c r="N195" s="236"/>
      <c r="O195" s="236"/>
      <c r="P195" s="238"/>
    </row>
    <row r="196">
      <c r="M196" s="236"/>
      <c r="N196" s="236"/>
      <c r="O196" s="236"/>
      <c r="P196" s="238"/>
    </row>
    <row r="197">
      <c r="M197" s="236"/>
      <c r="N197" s="236"/>
      <c r="O197" s="236"/>
      <c r="P197" s="238"/>
    </row>
    <row r="198">
      <c r="M198" s="236"/>
      <c r="N198" s="236"/>
      <c r="O198" s="236"/>
      <c r="P198" s="238"/>
    </row>
    <row r="199">
      <c r="M199" s="236"/>
      <c r="N199" s="236"/>
      <c r="O199" s="236"/>
      <c r="P199" s="238"/>
    </row>
    <row r="200">
      <c r="M200" s="236"/>
      <c r="N200" s="236"/>
      <c r="O200" s="236"/>
      <c r="P200" s="238"/>
    </row>
    <row r="201">
      <c r="M201" s="236"/>
      <c r="N201" s="236"/>
      <c r="O201" s="236"/>
      <c r="P201" s="238"/>
    </row>
    <row r="202">
      <c r="M202" s="236"/>
      <c r="N202" s="236"/>
      <c r="O202" s="236"/>
      <c r="P202" s="238"/>
    </row>
    <row r="203">
      <c r="M203" s="236"/>
      <c r="N203" s="236"/>
      <c r="O203" s="236"/>
      <c r="P203" s="238"/>
    </row>
    <row r="204">
      <c r="M204" s="236"/>
      <c r="N204" s="236"/>
      <c r="O204" s="236"/>
      <c r="P204" s="238"/>
    </row>
    <row r="205">
      <c r="M205" s="236"/>
      <c r="N205" s="236"/>
      <c r="O205" s="236"/>
      <c r="P205" s="238"/>
    </row>
    <row r="206">
      <c r="M206" s="236"/>
      <c r="N206" s="236"/>
      <c r="O206" s="236"/>
      <c r="P206" s="238"/>
    </row>
    <row r="207">
      <c r="M207" s="236"/>
      <c r="N207" s="236"/>
      <c r="O207" s="236"/>
      <c r="P207" s="238"/>
    </row>
    <row r="208">
      <c r="M208" s="236"/>
      <c r="N208" s="236"/>
      <c r="O208" s="236"/>
      <c r="P208" s="238"/>
    </row>
    <row r="209">
      <c r="M209" s="236"/>
      <c r="N209" s="236"/>
      <c r="O209" s="236"/>
      <c r="P209" s="238"/>
    </row>
    <row r="210">
      <c r="M210" s="236"/>
      <c r="N210" s="236"/>
      <c r="O210" s="236"/>
      <c r="P210" s="238"/>
    </row>
    <row r="211">
      <c r="M211" s="236"/>
      <c r="N211" s="236"/>
      <c r="O211" s="236"/>
      <c r="P211" s="238"/>
    </row>
    <row r="212">
      <c r="M212" s="236"/>
      <c r="N212" s="236"/>
      <c r="O212" s="236"/>
      <c r="P212" s="238"/>
    </row>
    <row r="213">
      <c r="M213" s="236"/>
      <c r="N213" s="236"/>
      <c r="O213" s="236"/>
      <c r="P213" s="238"/>
    </row>
    <row r="214">
      <c r="M214" s="236"/>
      <c r="N214" s="236"/>
      <c r="O214" s="236"/>
      <c r="P214" s="238"/>
    </row>
    <row r="215">
      <c r="M215" s="236"/>
      <c r="N215" s="236"/>
      <c r="O215" s="236"/>
      <c r="P215" s="238"/>
    </row>
    <row r="216">
      <c r="M216" s="236"/>
      <c r="N216" s="236"/>
      <c r="O216" s="236"/>
      <c r="P216" s="238"/>
    </row>
    <row r="217">
      <c r="M217" s="236"/>
      <c r="N217" s="236"/>
      <c r="O217" s="236"/>
      <c r="P217" s="238"/>
    </row>
    <row r="218">
      <c r="M218" s="236"/>
      <c r="N218" s="236"/>
      <c r="O218" s="236"/>
      <c r="P218" s="238"/>
    </row>
    <row r="219">
      <c r="M219" s="236"/>
      <c r="N219" s="236"/>
      <c r="O219" s="236"/>
      <c r="P219" s="238"/>
    </row>
    <row r="220">
      <c r="M220" s="236"/>
      <c r="N220" s="236"/>
      <c r="O220" s="236"/>
      <c r="P220" s="238"/>
    </row>
    <row r="221">
      <c r="M221" s="236"/>
      <c r="N221" s="236"/>
      <c r="O221" s="236"/>
      <c r="P221" s="238"/>
    </row>
    <row r="222">
      <c r="M222" s="236"/>
      <c r="N222" s="236"/>
      <c r="O222" s="236"/>
      <c r="P222" s="238"/>
    </row>
    <row r="223">
      <c r="M223" s="236"/>
      <c r="N223" s="236"/>
      <c r="O223" s="236"/>
      <c r="P223" s="238"/>
    </row>
    <row r="224">
      <c r="M224" s="236"/>
      <c r="N224" s="236"/>
      <c r="O224" s="236"/>
      <c r="P224" s="238"/>
    </row>
    <row r="225">
      <c r="M225" s="236"/>
      <c r="N225" s="236"/>
      <c r="O225" s="236"/>
      <c r="P225" s="238"/>
    </row>
    <row r="226">
      <c r="M226" s="236"/>
      <c r="N226" s="236"/>
      <c r="O226" s="236"/>
      <c r="P226" s="238"/>
    </row>
    <row r="227">
      <c r="M227" s="236"/>
      <c r="N227" s="236"/>
      <c r="O227" s="236"/>
      <c r="P227" s="238"/>
    </row>
    <row r="228">
      <c r="M228" s="236"/>
      <c r="N228" s="236"/>
      <c r="O228" s="236"/>
      <c r="P228" s="238"/>
    </row>
    <row r="229">
      <c r="M229" s="236"/>
      <c r="N229" s="236"/>
      <c r="O229" s="236"/>
      <c r="P229" s="238"/>
    </row>
    <row r="230">
      <c r="M230" s="236"/>
      <c r="N230" s="236"/>
      <c r="O230" s="236"/>
      <c r="P230" s="238"/>
    </row>
    <row r="231">
      <c r="M231" s="236"/>
      <c r="N231" s="236"/>
      <c r="O231" s="236"/>
      <c r="P231" s="238"/>
    </row>
    <row r="232">
      <c r="M232" s="236"/>
      <c r="N232" s="236"/>
      <c r="O232" s="236"/>
      <c r="P232" s="238"/>
    </row>
    <row r="233">
      <c r="M233" s="236"/>
      <c r="N233" s="236"/>
      <c r="O233" s="236"/>
      <c r="P233" s="238"/>
    </row>
    <row r="234">
      <c r="M234" s="236"/>
      <c r="N234" s="236"/>
      <c r="O234" s="236"/>
      <c r="P234" s="238"/>
    </row>
    <row r="235">
      <c r="M235" s="236"/>
      <c r="N235" s="236"/>
      <c r="O235" s="236"/>
      <c r="P235" s="238"/>
    </row>
    <row r="236">
      <c r="M236" s="236"/>
      <c r="N236" s="236"/>
      <c r="O236" s="236"/>
      <c r="P236" s="238"/>
    </row>
    <row r="237">
      <c r="M237" s="236"/>
      <c r="N237" s="236"/>
      <c r="O237" s="236"/>
      <c r="P237" s="238"/>
    </row>
    <row r="238">
      <c r="M238" s="236"/>
      <c r="N238" s="236"/>
      <c r="O238" s="236"/>
      <c r="P238" s="238"/>
    </row>
    <row r="239">
      <c r="M239" s="236"/>
      <c r="N239" s="236"/>
      <c r="O239" s="236"/>
      <c r="P239" s="238"/>
    </row>
    <row r="240">
      <c r="M240" s="236"/>
      <c r="N240" s="236"/>
      <c r="O240" s="236"/>
      <c r="P240" s="238"/>
    </row>
    <row r="241">
      <c r="M241" s="236"/>
      <c r="N241" s="236"/>
      <c r="O241" s="236"/>
      <c r="P241" s="238"/>
    </row>
    <row r="242">
      <c r="M242" s="236"/>
      <c r="N242" s="236"/>
      <c r="O242" s="236"/>
      <c r="P242" s="238"/>
    </row>
    <row r="243">
      <c r="M243" s="236"/>
      <c r="N243" s="236"/>
      <c r="O243" s="236"/>
      <c r="P243" s="238"/>
    </row>
    <row r="244">
      <c r="M244" s="236"/>
      <c r="N244" s="236"/>
      <c r="O244" s="236"/>
      <c r="P244" s="238"/>
    </row>
    <row r="245">
      <c r="M245" s="236"/>
      <c r="N245" s="236"/>
      <c r="O245" s="236"/>
      <c r="P245" s="238"/>
    </row>
    <row r="246">
      <c r="M246" s="236"/>
      <c r="N246" s="236"/>
      <c r="O246" s="236"/>
      <c r="P246" s="238"/>
    </row>
    <row r="247">
      <c r="M247" s="236"/>
      <c r="N247" s="236"/>
      <c r="O247" s="236"/>
      <c r="P247" s="238"/>
    </row>
    <row r="248">
      <c r="M248" s="236"/>
      <c r="N248" s="236"/>
      <c r="O248" s="236"/>
      <c r="P248" s="238"/>
    </row>
    <row r="249">
      <c r="M249" s="236"/>
      <c r="N249" s="236"/>
      <c r="O249" s="236"/>
      <c r="P249" s="238"/>
    </row>
    <row r="250">
      <c r="M250" s="236"/>
      <c r="N250" s="236"/>
      <c r="O250" s="236"/>
      <c r="P250" s="238"/>
    </row>
    <row r="251">
      <c r="M251" s="236"/>
      <c r="N251" s="236"/>
      <c r="O251" s="236"/>
      <c r="P251" s="238"/>
    </row>
    <row r="252">
      <c r="M252" s="236"/>
      <c r="N252" s="236"/>
      <c r="O252" s="236"/>
      <c r="P252" s="238"/>
    </row>
    <row r="253">
      <c r="M253" s="236"/>
      <c r="N253" s="236"/>
      <c r="O253" s="236"/>
      <c r="P253" s="238"/>
    </row>
    <row r="254">
      <c r="M254" s="236"/>
      <c r="N254" s="236"/>
      <c r="O254" s="236"/>
      <c r="P254" s="238"/>
    </row>
    <row r="255">
      <c r="M255" s="236"/>
      <c r="N255" s="236"/>
      <c r="O255" s="236"/>
      <c r="P255" s="238"/>
    </row>
    <row r="256">
      <c r="M256" s="236"/>
      <c r="N256" s="236"/>
      <c r="O256" s="236"/>
      <c r="P256" s="238"/>
    </row>
    <row r="257">
      <c r="M257" s="236"/>
      <c r="N257" s="236"/>
      <c r="O257" s="236"/>
      <c r="P257" s="238"/>
    </row>
    <row r="258">
      <c r="M258" s="236"/>
      <c r="N258" s="236"/>
      <c r="O258" s="236"/>
      <c r="P258" s="238"/>
    </row>
    <row r="259">
      <c r="M259" s="236"/>
      <c r="N259" s="236"/>
      <c r="O259" s="236"/>
      <c r="P259" s="238"/>
    </row>
    <row r="260">
      <c r="M260" s="236"/>
      <c r="N260" s="236"/>
      <c r="O260" s="236"/>
      <c r="P260" s="238"/>
    </row>
    <row r="261">
      <c r="M261" s="236"/>
      <c r="N261" s="236"/>
      <c r="O261" s="236"/>
      <c r="P261" s="238"/>
    </row>
    <row r="262">
      <c r="M262" s="236"/>
      <c r="N262" s="236"/>
      <c r="O262" s="236"/>
      <c r="P262" s="238"/>
    </row>
    <row r="263">
      <c r="M263" s="236"/>
      <c r="N263" s="236"/>
      <c r="O263" s="236"/>
      <c r="P263" s="238"/>
    </row>
    <row r="264">
      <c r="M264" s="236"/>
      <c r="N264" s="236"/>
      <c r="O264" s="236"/>
      <c r="P264" s="238"/>
    </row>
    <row r="265">
      <c r="M265" s="236"/>
      <c r="N265" s="236"/>
      <c r="O265" s="236"/>
      <c r="P265" s="238"/>
    </row>
    <row r="266">
      <c r="M266" s="236"/>
      <c r="N266" s="236"/>
      <c r="O266" s="236"/>
      <c r="P266" s="238"/>
    </row>
    <row r="267">
      <c r="M267" s="236"/>
      <c r="N267" s="236"/>
      <c r="O267" s="236"/>
      <c r="P267" s="238"/>
    </row>
    <row r="268">
      <c r="M268" s="236"/>
      <c r="N268" s="236"/>
      <c r="O268" s="236"/>
      <c r="P268" s="238"/>
    </row>
    <row r="269">
      <c r="M269" s="236"/>
      <c r="N269" s="236"/>
      <c r="O269" s="236"/>
      <c r="P269" s="238"/>
    </row>
    <row r="270">
      <c r="M270" s="236"/>
      <c r="N270" s="236"/>
      <c r="O270" s="236"/>
      <c r="P270" s="238"/>
    </row>
    <row r="271">
      <c r="M271" s="236"/>
      <c r="N271" s="236"/>
      <c r="O271" s="236"/>
      <c r="P271" s="238"/>
    </row>
    <row r="272">
      <c r="M272" s="236"/>
      <c r="N272" s="236"/>
      <c r="O272" s="236"/>
      <c r="P272" s="238"/>
    </row>
    <row r="273">
      <c r="M273" s="236"/>
      <c r="N273" s="236"/>
      <c r="O273" s="236"/>
      <c r="P273" s="238"/>
    </row>
    <row r="274">
      <c r="M274" s="236"/>
      <c r="N274" s="236"/>
      <c r="O274" s="236"/>
      <c r="P274" s="238"/>
    </row>
    <row r="275">
      <c r="M275" s="236"/>
      <c r="N275" s="236"/>
      <c r="O275" s="236"/>
      <c r="P275" s="238"/>
    </row>
    <row r="276">
      <c r="M276" s="236"/>
      <c r="N276" s="236"/>
      <c r="O276" s="236"/>
      <c r="P276" s="238"/>
    </row>
    <row r="277">
      <c r="M277" s="236"/>
      <c r="N277" s="236"/>
      <c r="O277" s="236"/>
      <c r="P277" s="238"/>
    </row>
    <row r="278">
      <c r="M278" s="236"/>
      <c r="N278" s="236"/>
      <c r="O278" s="236"/>
      <c r="P278" s="238"/>
    </row>
    <row r="279">
      <c r="M279" s="236"/>
      <c r="N279" s="236"/>
      <c r="O279" s="236"/>
      <c r="P279" s="238"/>
    </row>
    <row r="280">
      <c r="M280" s="236"/>
      <c r="N280" s="236"/>
      <c r="O280" s="236"/>
      <c r="P280" s="238"/>
    </row>
    <row r="281">
      <c r="M281" s="236"/>
      <c r="N281" s="236"/>
      <c r="O281" s="236"/>
      <c r="P281" s="238"/>
    </row>
    <row r="282">
      <c r="M282" s="236"/>
      <c r="N282" s="236"/>
      <c r="O282" s="236"/>
      <c r="P282" s="238"/>
    </row>
    <row r="283">
      <c r="M283" s="236"/>
      <c r="N283" s="236"/>
      <c r="O283" s="236"/>
      <c r="P283" s="238"/>
    </row>
    <row r="284">
      <c r="M284" s="236"/>
      <c r="N284" s="236"/>
      <c r="O284" s="236"/>
      <c r="P284" s="238"/>
    </row>
    <row r="285">
      <c r="M285" s="236"/>
      <c r="N285" s="236"/>
      <c r="O285" s="236"/>
      <c r="P285" s="238"/>
    </row>
    <row r="286">
      <c r="M286" s="236"/>
      <c r="N286" s="236"/>
      <c r="O286" s="236"/>
      <c r="P286" s="238"/>
    </row>
    <row r="287">
      <c r="M287" s="236"/>
      <c r="N287" s="236"/>
      <c r="O287" s="236"/>
      <c r="P287" s="238"/>
    </row>
    <row r="288">
      <c r="M288" s="236"/>
      <c r="N288" s="236"/>
      <c r="O288" s="236"/>
      <c r="P288" s="238"/>
    </row>
    <row r="289">
      <c r="M289" s="236"/>
      <c r="N289" s="236"/>
      <c r="O289" s="236"/>
      <c r="P289" s="238"/>
    </row>
    <row r="290">
      <c r="M290" s="236"/>
      <c r="N290" s="236"/>
      <c r="O290" s="236"/>
      <c r="P290" s="238"/>
    </row>
    <row r="291">
      <c r="M291" s="236"/>
      <c r="N291" s="236"/>
      <c r="O291" s="236"/>
      <c r="P291" s="238"/>
    </row>
    <row r="292">
      <c r="M292" s="236"/>
      <c r="N292" s="236"/>
      <c r="O292" s="236"/>
      <c r="P292" s="238"/>
    </row>
    <row r="293">
      <c r="M293" s="236"/>
      <c r="N293" s="236"/>
      <c r="O293" s="236"/>
      <c r="P293" s="238"/>
    </row>
    <row r="294">
      <c r="M294" s="236"/>
      <c r="N294" s="236"/>
      <c r="O294" s="236"/>
      <c r="P294" s="238"/>
    </row>
    <row r="295">
      <c r="M295" s="236"/>
      <c r="N295" s="236"/>
      <c r="O295" s="236"/>
      <c r="P295" s="238"/>
    </row>
    <row r="296">
      <c r="M296" s="236"/>
      <c r="N296" s="236"/>
      <c r="O296" s="236"/>
      <c r="P296" s="238"/>
    </row>
    <row r="297">
      <c r="M297" s="236"/>
      <c r="N297" s="236"/>
      <c r="O297" s="236"/>
      <c r="P297" s="238"/>
    </row>
    <row r="298">
      <c r="M298" s="236"/>
      <c r="N298" s="236"/>
      <c r="O298" s="236"/>
      <c r="P298" s="238"/>
    </row>
    <row r="299">
      <c r="M299" s="236"/>
      <c r="N299" s="236"/>
      <c r="O299" s="236"/>
      <c r="P299" s="238"/>
    </row>
    <row r="300">
      <c r="M300" s="236"/>
      <c r="N300" s="236"/>
      <c r="O300" s="236"/>
      <c r="P300" s="238"/>
    </row>
    <row r="301">
      <c r="M301" s="236"/>
      <c r="N301" s="236"/>
      <c r="O301" s="236"/>
      <c r="P301" s="238"/>
    </row>
    <row r="302">
      <c r="M302" s="236"/>
      <c r="N302" s="236"/>
      <c r="O302" s="236"/>
      <c r="P302" s="238"/>
    </row>
    <row r="303">
      <c r="M303" s="236"/>
      <c r="N303" s="236"/>
      <c r="O303" s="236"/>
      <c r="P303" s="238"/>
    </row>
    <row r="304">
      <c r="M304" s="236"/>
      <c r="N304" s="236"/>
      <c r="O304" s="236"/>
      <c r="P304" s="238"/>
    </row>
    <row r="305">
      <c r="M305" s="236"/>
      <c r="N305" s="236"/>
      <c r="O305" s="236"/>
      <c r="P305" s="238"/>
    </row>
    <row r="306">
      <c r="M306" s="236"/>
      <c r="N306" s="236"/>
      <c r="O306" s="236"/>
      <c r="P306" s="238"/>
    </row>
    <row r="307">
      <c r="M307" s="236"/>
      <c r="N307" s="236"/>
      <c r="O307" s="236"/>
      <c r="P307" s="238"/>
    </row>
    <row r="308">
      <c r="M308" s="236"/>
      <c r="N308" s="236"/>
      <c r="O308" s="236"/>
      <c r="P308" s="238"/>
    </row>
    <row r="309">
      <c r="M309" s="236"/>
      <c r="N309" s="236"/>
      <c r="O309" s="236"/>
      <c r="P309" s="238"/>
    </row>
    <row r="310">
      <c r="M310" s="236"/>
      <c r="N310" s="236"/>
      <c r="O310" s="236"/>
      <c r="P310" s="238"/>
    </row>
    <row r="311">
      <c r="M311" s="236"/>
      <c r="N311" s="236"/>
      <c r="O311" s="236"/>
      <c r="P311" s="238"/>
    </row>
    <row r="312">
      <c r="M312" s="236"/>
      <c r="N312" s="236"/>
      <c r="O312" s="236"/>
      <c r="P312" s="238"/>
    </row>
    <row r="313">
      <c r="M313" s="236"/>
      <c r="N313" s="236"/>
      <c r="O313" s="236"/>
      <c r="P313" s="238"/>
    </row>
    <row r="314">
      <c r="M314" s="236"/>
      <c r="N314" s="236"/>
      <c r="O314" s="236"/>
      <c r="P314" s="238"/>
    </row>
    <row r="315">
      <c r="M315" s="236"/>
      <c r="N315" s="236"/>
      <c r="O315" s="236"/>
      <c r="P315" s="238"/>
    </row>
    <row r="316">
      <c r="M316" s="236"/>
      <c r="N316" s="236"/>
      <c r="O316" s="236"/>
      <c r="P316" s="238"/>
    </row>
    <row r="317">
      <c r="M317" s="236"/>
      <c r="N317" s="236"/>
      <c r="O317" s="236"/>
      <c r="P317" s="238"/>
    </row>
    <row r="318">
      <c r="M318" s="236"/>
      <c r="N318" s="236"/>
      <c r="O318" s="236"/>
      <c r="P318" s="238"/>
    </row>
    <row r="319">
      <c r="M319" s="236"/>
      <c r="N319" s="236"/>
      <c r="O319" s="236"/>
      <c r="P319" s="238"/>
    </row>
    <row r="320">
      <c r="M320" s="236"/>
      <c r="N320" s="236"/>
      <c r="O320" s="236"/>
      <c r="P320" s="238"/>
    </row>
    <row r="321">
      <c r="M321" s="236"/>
      <c r="N321" s="236"/>
      <c r="O321" s="236"/>
      <c r="P321" s="238"/>
    </row>
    <row r="322">
      <c r="M322" s="236"/>
      <c r="N322" s="236"/>
      <c r="O322" s="236"/>
      <c r="P322" s="238"/>
    </row>
    <row r="323">
      <c r="M323" s="236"/>
      <c r="N323" s="236"/>
      <c r="O323" s="236"/>
      <c r="P323" s="238"/>
    </row>
    <row r="324">
      <c r="M324" s="236"/>
      <c r="N324" s="236"/>
      <c r="O324" s="236"/>
      <c r="P324" s="238"/>
    </row>
    <row r="325">
      <c r="M325" s="236"/>
      <c r="N325" s="236"/>
      <c r="O325" s="236"/>
      <c r="P325" s="238"/>
    </row>
    <row r="326">
      <c r="M326" s="236"/>
      <c r="N326" s="236"/>
      <c r="O326" s="236"/>
      <c r="P326" s="238"/>
    </row>
    <row r="327">
      <c r="M327" s="236"/>
      <c r="N327" s="236"/>
      <c r="O327" s="236"/>
      <c r="P327" s="238"/>
    </row>
    <row r="328">
      <c r="M328" s="236"/>
      <c r="N328" s="236"/>
      <c r="O328" s="236"/>
      <c r="P328" s="238"/>
    </row>
    <row r="329">
      <c r="M329" s="236"/>
      <c r="N329" s="236"/>
      <c r="O329" s="236"/>
      <c r="P329" s="238"/>
    </row>
    <row r="330">
      <c r="M330" s="236"/>
      <c r="N330" s="236"/>
      <c r="O330" s="236"/>
      <c r="P330" s="238"/>
    </row>
    <row r="331">
      <c r="M331" s="236"/>
      <c r="N331" s="236"/>
      <c r="O331" s="236"/>
      <c r="P331" s="238"/>
    </row>
    <row r="332">
      <c r="M332" s="236"/>
      <c r="N332" s="236"/>
      <c r="O332" s="236"/>
      <c r="P332" s="238"/>
    </row>
    <row r="333">
      <c r="M333" s="236"/>
      <c r="N333" s="236"/>
      <c r="O333" s="236"/>
      <c r="P333" s="238"/>
    </row>
    <row r="334">
      <c r="M334" s="236"/>
      <c r="N334" s="236"/>
      <c r="O334" s="236"/>
      <c r="P334" s="238"/>
    </row>
    <row r="335">
      <c r="M335" s="236"/>
      <c r="N335" s="236"/>
      <c r="O335" s="236"/>
      <c r="P335" s="238"/>
    </row>
    <row r="336">
      <c r="M336" s="236"/>
      <c r="N336" s="236"/>
      <c r="O336" s="236"/>
      <c r="P336" s="238"/>
    </row>
    <row r="337">
      <c r="M337" s="236"/>
      <c r="N337" s="236"/>
      <c r="O337" s="236"/>
      <c r="P337" s="238"/>
    </row>
    <row r="338">
      <c r="M338" s="236"/>
      <c r="N338" s="236"/>
      <c r="O338" s="236"/>
      <c r="P338" s="238"/>
    </row>
    <row r="339">
      <c r="M339" s="236"/>
      <c r="N339" s="236"/>
      <c r="O339" s="236"/>
      <c r="P339" s="238"/>
    </row>
    <row r="340">
      <c r="M340" s="236"/>
      <c r="N340" s="236"/>
      <c r="O340" s="236"/>
      <c r="P340" s="238"/>
    </row>
    <row r="341">
      <c r="M341" s="236"/>
      <c r="N341" s="236"/>
      <c r="O341" s="236"/>
      <c r="P341" s="238"/>
    </row>
    <row r="342">
      <c r="M342" s="236"/>
      <c r="N342" s="236"/>
      <c r="O342" s="236"/>
      <c r="P342" s="238"/>
    </row>
    <row r="343">
      <c r="M343" s="236"/>
      <c r="N343" s="236"/>
      <c r="O343" s="236"/>
      <c r="P343" s="238"/>
    </row>
    <row r="344">
      <c r="M344" s="236"/>
      <c r="N344" s="236"/>
      <c r="O344" s="236"/>
      <c r="P344" s="238"/>
    </row>
    <row r="345">
      <c r="M345" s="236"/>
      <c r="N345" s="236"/>
      <c r="O345" s="236"/>
      <c r="P345" s="238"/>
    </row>
    <row r="346">
      <c r="M346" s="236"/>
      <c r="N346" s="236"/>
      <c r="O346" s="236"/>
      <c r="P346" s="238"/>
    </row>
    <row r="347">
      <c r="M347" s="236"/>
      <c r="N347" s="236"/>
      <c r="O347" s="236"/>
      <c r="P347" s="238"/>
    </row>
    <row r="348">
      <c r="M348" s="236"/>
      <c r="N348" s="236"/>
      <c r="O348" s="236"/>
      <c r="P348" s="238"/>
    </row>
    <row r="349">
      <c r="M349" s="236"/>
      <c r="N349" s="236"/>
      <c r="O349" s="236"/>
      <c r="P349" s="238"/>
    </row>
    <row r="350">
      <c r="M350" s="236"/>
      <c r="N350" s="236"/>
      <c r="O350" s="236"/>
      <c r="P350" s="238"/>
    </row>
    <row r="351">
      <c r="M351" s="236"/>
      <c r="N351" s="236"/>
      <c r="O351" s="236"/>
      <c r="P351" s="238"/>
    </row>
    <row r="352">
      <c r="M352" s="236"/>
      <c r="N352" s="236"/>
      <c r="O352" s="236"/>
      <c r="P352" s="238"/>
    </row>
    <row r="353">
      <c r="M353" s="236"/>
      <c r="N353" s="236"/>
      <c r="O353" s="236"/>
      <c r="P353" s="238"/>
    </row>
    <row r="354">
      <c r="M354" s="236"/>
      <c r="N354" s="236"/>
      <c r="O354" s="236"/>
      <c r="P354" s="238"/>
    </row>
    <row r="355">
      <c r="M355" s="236"/>
      <c r="N355" s="236"/>
      <c r="O355" s="236"/>
      <c r="P355" s="238"/>
    </row>
    <row r="356">
      <c r="M356" s="236"/>
      <c r="N356" s="236"/>
      <c r="O356" s="236"/>
      <c r="P356" s="238"/>
    </row>
    <row r="357">
      <c r="M357" s="236"/>
      <c r="N357" s="236"/>
      <c r="O357" s="236"/>
      <c r="P357" s="238"/>
    </row>
    <row r="358">
      <c r="M358" s="236"/>
      <c r="N358" s="236"/>
      <c r="O358" s="236"/>
      <c r="P358" s="238"/>
    </row>
    <row r="359">
      <c r="M359" s="236"/>
      <c r="N359" s="236"/>
      <c r="O359" s="236"/>
      <c r="P359" s="238"/>
    </row>
    <row r="360">
      <c r="M360" s="236"/>
      <c r="N360" s="236"/>
      <c r="O360" s="236"/>
      <c r="P360" s="238"/>
    </row>
    <row r="361">
      <c r="M361" s="236"/>
      <c r="N361" s="236"/>
      <c r="O361" s="236"/>
      <c r="P361" s="238"/>
    </row>
    <row r="362">
      <c r="M362" s="236"/>
      <c r="N362" s="236"/>
      <c r="O362" s="236"/>
      <c r="P362" s="238"/>
    </row>
    <row r="363">
      <c r="M363" s="236"/>
      <c r="N363" s="236"/>
      <c r="O363" s="236"/>
      <c r="P363" s="238"/>
    </row>
    <row r="364">
      <c r="M364" s="236"/>
      <c r="N364" s="236"/>
      <c r="O364" s="236"/>
      <c r="P364" s="238"/>
    </row>
    <row r="365">
      <c r="M365" s="236"/>
      <c r="N365" s="236"/>
      <c r="O365" s="236"/>
      <c r="P365" s="238"/>
    </row>
    <row r="366">
      <c r="M366" s="236"/>
      <c r="N366" s="236"/>
      <c r="O366" s="236"/>
      <c r="P366" s="238"/>
    </row>
    <row r="367">
      <c r="M367" s="236"/>
      <c r="N367" s="236"/>
      <c r="O367" s="236"/>
      <c r="P367" s="238"/>
    </row>
    <row r="368">
      <c r="M368" s="236"/>
      <c r="N368" s="236"/>
      <c r="O368" s="236"/>
      <c r="P368" s="238"/>
    </row>
    <row r="369">
      <c r="M369" s="236"/>
      <c r="N369" s="236"/>
      <c r="O369" s="236"/>
      <c r="P369" s="238"/>
    </row>
    <row r="370">
      <c r="M370" s="236"/>
      <c r="N370" s="236"/>
      <c r="O370" s="236"/>
      <c r="P370" s="238"/>
    </row>
    <row r="371">
      <c r="M371" s="236"/>
      <c r="N371" s="236"/>
      <c r="O371" s="236"/>
      <c r="P371" s="238"/>
    </row>
    <row r="372">
      <c r="M372" s="236"/>
      <c r="N372" s="236"/>
      <c r="O372" s="236"/>
      <c r="P372" s="238"/>
    </row>
    <row r="373">
      <c r="M373" s="236"/>
      <c r="N373" s="236"/>
      <c r="O373" s="236"/>
      <c r="P373" s="238"/>
    </row>
    <row r="374">
      <c r="M374" s="236"/>
      <c r="N374" s="236"/>
      <c r="O374" s="236"/>
      <c r="P374" s="238"/>
    </row>
    <row r="375">
      <c r="M375" s="236"/>
      <c r="N375" s="236"/>
      <c r="O375" s="236"/>
      <c r="P375" s="238"/>
    </row>
    <row r="376">
      <c r="M376" s="236"/>
      <c r="N376" s="236"/>
      <c r="O376" s="236"/>
      <c r="P376" s="238"/>
    </row>
    <row r="377">
      <c r="M377" s="236"/>
      <c r="N377" s="236"/>
      <c r="O377" s="236"/>
      <c r="P377" s="238"/>
    </row>
    <row r="378">
      <c r="M378" s="236"/>
      <c r="N378" s="236"/>
      <c r="O378" s="236"/>
      <c r="P378" s="238"/>
    </row>
    <row r="379">
      <c r="M379" s="236"/>
      <c r="N379" s="236"/>
      <c r="O379" s="236"/>
      <c r="P379" s="238"/>
    </row>
    <row r="380">
      <c r="M380" s="236"/>
      <c r="N380" s="236"/>
      <c r="O380" s="236"/>
      <c r="P380" s="238"/>
    </row>
    <row r="381">
      <c r="M381" s="236"/>
      <c r="N381" s="236"/>
      <c r="O381" s="236"/>
      <c r="P381" s="238"/>
    </row>
    <row r="382">
      <c r="M382" s="236"/>
      <c r="N382" s="236"/>
      <c r="O382" s="236"/>
      <c r="P382" s="238"/>
    </row>
    <row r="383">
      <c r="M383" s="236"/>
      <c r="N383" s="236"/>
      <c r="O383" s="236"/>
      <c r="P383" s="238"/>
    </row>
    <row r="384">
      <c r="M384" s="236"/>
      <c r="N384" s="236"/>
      <c r="O384" s="236"/>
      <c r="P384" s="238"/>
    </row>
    <row r="385">
      <c r="M385" s="236"/>
      <c r="N385" s="236"/>
      <c r="O385" s="236"/>
      <c r="P385" s="238"/>
    </row>
    <row r="386">
      <c r="M386" s="236"/>
      <c r="N386" s="236"/>
      <c r="O386" s="236"/>
      <c r="P386" s="238"/>
    </row>
    <row r="387">
      <c r="M387" s="236"/>
      <c r="N387" s="236"/>
      <c r="O387" s="236"/>
      <c r="P387" s="238"/>
    </row>
    <row r="388">
      <c r="M388" s="236"/>
      <c r="N388" s="236"/>
      <c r="O388" s="236"/>
      <c r="P388" s="238"/>
    </row>
    <row r="389">
      <c r="M389" s="236"/>
      <c r="N389" s="236"/>
      <c r="O389" s="236"/>
      <c r="P389" s="238"/>
    </row>
    <row r="390">
      <c r="M390" s="236"/>
      <c r="N390" s="236"/>
      <c r="O390" s="236"/>
      <c r="P390" s="238"/>
    </row>
    <row r="391">
      <c r="M391" s="236"/>
      <c r="N391" s="236"/>
      <c r="O391" s="236"/>
      <c r="P391" s="238"/>
    </row>
    <row r="392">
      <c r="M392" s="236"/>
      <c r="N392" s="236"/>
      <c r="O392" s="236"/>
      <c r="P392" s="238"/>
    </row>
    <row r="393">
      <c r="M393" s="236"/>
      <c r="N393" s="236"/>
      <c r="O393" s="236"/>
      <c r="P393" s="238"/>
    </row>
    <row r="394">
      <c r="M394" s="236"/>
      <c r="N394" s="236"/>
      <c r="O394" s="236"/>
      <c r="P394" s="238"/>
    </row>
    <row r="395">
      <c r="M395" s="236"/>
      <c r="N395" s="236"/>
      <c r="O395" s="236"/>
      <c r="P395" s="238"/>
    </row>
    <row r="396">
      <c r="M396" s="236"/>
      <c r="N396" s="236"/>
      <c r="O396" s="236"/>
      <c r="P396" s="238"/>
    </row>
    <row r="397">
      <c r="M397" s="236"/>
      <c r="N397" s="236"/>
      <c r="O397" s="236"/>
      <c r="P397" s="238"/>
    </row>
    <row r="398">
      <c r="M398" s="236"/>
      <c r="N398" s="236"/>
      <c r="O398" s="236"/>
      <c r="P398" s="238"/>
    </row>
    <row r="399">
      <c r="M399" s="236"/>
      <c r="N399" s="236"/>
      <c r="O399" s="236"/>
      <c r="P399" s="238"/>
    </row>
    <row r="400">
      <c r="M400" s="236"/>
      <c r="N400" s="236"/>
      <c r="O400" s="236"/>
      <c r="P400" s="238"/>
    </row>
    <row r="401">
      <c r="M401" s="236"/>
      <c r="N401" s="236"/>
      <c r="O401" s="236"/>
      <c r="P401" s="238"/>
    </row>
    <row r="402">
      <c r="M402" s="236"/>
      <c r="N402" s="236"/>
      <c r="O402" s="236"/>
      <c r="P402" s="238"/>
    </row>
    <row r="403">
      <c r="M403" s="236"/>
      <c r="N403" s="236"/>
      <c r="O403" s="236"/>
      <c r="P403" s="238"/>
    </row>
    <row r="404">
      <c r="M404" s="236"/>
      <c r="N404" s="236"/>
      <c r="O404" s="236"/>
      <c r="P404" s="238"/>
    </row>
    <row r="405">
      <c r="M405" s="236"/>
      <c r="N405" s="236"/>
      <c r="O405" s="236"/>
      <c r="P405" s="238"/>
    </row>
    <row r="406">
      <c r="M406" s="236"/>
      <c r="N406" s="236"/>
      <c r="O406" s="236"/>
      <c r="P406" s="238"/>
    </row>
    <row r="407">
      <c r="M407" s="236"/>
      <c r="N407" s="236"/>
      <c r="O407" s="236"/>
      <c r="P407" s="238"/>
    </row>
    <row r="408">
      <c r="M408" s="236"/>
      <c r="N408" s="236"/>
      <c r="O408" s="236"/>
      <c r="P408" s="238"/>
    </row>
    <row r="409">
      <c r="M409" s="236"/>
      <c r="N409" s="236"/>
      <c r="O409" s="236"/>
      <c r="P409" s="238"/>
    </row>
    <row r="410">
      <c r="M410" s="236"/>
      <c r="N410" s="236"/>
      <c r="O410" s="236"/>
      <c r="P410" s="238"/>
    </row>
    <row r="411">
      <c r="M411" s="236"/>
      <c r="N411" s="236"/>
      <c r="O411" s="236"/>
      <c r="P411" s="238"/>
    </row>
    <row r="412">
      <c r="M412" s="236"/>
      <c r="N412" s="236"/>
      <c r="O412" s="236"/>
      <c r="P412" s="238"/>
    </row>
    <row r="413">
      <c r="M413" s="236"/>
      <c r="N413" s="236"/>
      <c r="O413" s="236"/>
      <c r="P413" s="238"/>
    </row>
    <row r="414">
      <c r="M414" s="236"/>
      <c r="N414" s="236"/>
      <c r="O414" s="236"/>
      <c r="P414" s="238"/>
    </row>
    <row r="415">
      <c r="M415" s="236"/>
      <c r="N415" s="236"/>
      <c r="O415" s="236"/>
      <c r="P415" s="238"/>
    </row>
    <row r="416">
      <c r="M416" s="236"/>
      <c r="N416" s="236"/>
      <c r="O416" s="236"/>
      <c r="P416" s="238"/>
    </row>
    <row r="417">
      <c r="M417" s="236"/>
      <c r="N417" s="236"/>
      <c r="O417" s="236"/>
      <c r="P417" s="238"/>
    </row>
    <row r="418">
      <c r="M418" s="236"/>
      <c r="N418" s="236"/>
      <c r="O418" s="236"/>
      <c r="P418" s="238"/>
    </row>
    <row r="419">
      <c r="M419" s="236"/>
      <c r="N419" s="236"/>
      <c r="O419" s="236"/>
      <c r="P419" s="238"/>
    </row>
    <row r="420">
      <c r="M420" s="236"/>
      <c r="N420" s="236"/>
      <c r="O420" s="236"/>
      <c r="P420" s="238"/>
    </row>
    <row r="421">
      <c r="M421" s="236"/>
      <c r="N421" s="236"/>
      <c r="O421" s="236"/>
      <c r="P421" s="238"/>
    </row>
    <row r="422">
      <c r="M422" s="236"/>
      <c r="N422" s="236"/>
      <c r="O422" s="236"/>
      <c r="P422" s="238"/>
    </row>
    <row r="423">
      <c r="M423" s="236"/>
      <c r="N423" s="236"/>
      <c r="O423" s="236"/>
      <c r="P423" s="238"/>
    </row>
    <row r="424">
      <c r="M424" s="236"/>
      <c r="N424" s="236"/>
      <c r="O424" s="236"/>
      <c r="P424" s="238"/>
    </row>
    <row r="425">
      <c r="M425" s="236"/>
      <c r="N425" s="236"/>
      <c r="O425" s="236"/>
      <c r="P425" s="238"/>
    </row>
    <row r="426">
      <c r="M426" s="236"/>
      <c r="N426" s="236"/>
      <c r="O426" s="236"/>
      <c r="P426" s="238"/>
    </row>
    <row r="427">
      <c r="M427" s="236"/>
      <c r="N427" s="236"/>
      <c r="O427" s="236"/>
      <c r="P427" s="238"/>
    </row>
    <row r="428">
      <c r="M428" s="236"/>
      <c r="N428" s="236"/>
      <c r="O428" s="236"/>
      <c r="P428" s="238"/>
    </row>
    <row r="429">
      <c r="M429" s="236"/>
      <c r="N429" s="236"/>
      <c r="O429" s="236"/>
      <c r="P429" s="238"/>
    </row>
    <row r="430">
      <c r="M430" s="236"/>
      <c r="N430" s="236"/>
      <c r="O430" s="236"/>
      <c r="P430" s="238"/>
    </row>
    <row r="431">
      <c r="M431" s="236"/>
      <c r="N431" s="236"/>
      <c r="O431" s="236"/>
      <c r="P431" s="238"/>
    </row>
    <row r="432">
      <c r="M432" s="236"/>
      <c r="N432" s="236"/>
      <c r="O432" s="236"/>
      <c r="P432" s="238"/>
    </row>
    <row r="433">
      <c r="M433" s="236"/>
      <c r="N433" s="236"/>
      <c r="O433" s="236"/>
      <c r="P433" s="238"/>
    </row>
    <row r="434">
      <c r="M434" s="236"/>
      <c r="N434" s="236"/>
      <c r="O434" s="236"/>
      <c r="P434" s="238"/>
    </row>
    <row r="435">
      <c r="M435" s="236"/>
      <c r="N435" s="236"/>
      <c r="O435" s="236"/>
      <c r="P435" s="238"/>
    </row>
    <row r="436">
      <c r="M436" s="236"/>
      <c r="N436" s="236"/>
      <c r="O436" s="236"/>
      <c r="P436" s="238"/>
    </row>
    <row r="437">
      <c r="M437" s="236"/>
      <c r="N437" s="236"/>
      <c r="O437" s="236"/>
      <c r="P437" s="238"/>
    </row>
    <row r="438">
      <c r="M438" s="236"/>
      <c r="N438" s="236"/>
      <c r="O438" s="236"/>
      <c r="P438" s="238"/>
    </row>
    <row r="439">
      <c r="M439" s="236"/>
      <c r="N439" s="236"/>
      <c r="O439" s="236"/>
      <c r="P439" s="238"/>
    </row>
    <row r="440">
      <c r="M440" s="236"/>
      <c r="N440" s="236"/>
      <c r="O440" s="236"/>
      <c r="P440" s="238"/>
    </row>
    <row r="441">
      <c r="M441" s="236"/>
      <c r="N441" s="236"/>
      <c r="O441" s="236"/>
      <c r="P441" s="238"/>
    </row>
    <row r="442">
      <c r="M442" s="236"/>
      <c r="N442" s="236"/>
      <c r="O442" s="236"/>
      <c r="P442" s="238"/>
    </row>
    <row r="443">
      <c r="M443" s="236"/>
      <c r="N443" s="236"/>
      <c r="O443" s="236"/>
      <c r="P443" s="238"/>
    </row>
    <row r="444">
      <c r="M444" s="236"/>
      <c r="N444" s="236"/>
      <c r="O444" s="236"/>
      <c r="P444" s="238"/>
    </row>
    <row r="445">
      <c r="M445" s="236"/>
      <c r="N445" s="236"/>
      <c r="O445" s="236"/>
      <c r="P445" s="238"/>
    </row>
    <row r="446">
      <c r="M446" s="236"/>
      <c r="N446" s="236"/>
      <c r="O446" s="236"/>
      <c r="P446" s="238"/>
    </row>
    <row r="447">
      <c r="M447" s="236"/>
      <c r="N447" s="236"/>
      <c r="O447" s="236"/>
      <c r="P447" s="238"/>
    </row>
    <row r="448">
      <c r="M448" s="236"/>
      <c r="N448" s="236"/>
      <c r="O448" s="236"/>
      <c r="P448" s="238"/>
    </row>
    <row r="449">
      <c r="M449" s="236"/>
      <c r="N449" s="236"/>
      <c r="O449" s="236"/>
      <c r="P449" s="238"/>
    </row>
    <row r="450">
      <c r="M450" s="236"/>
      <c r="N450" s="236"/>
      <c r="O450" s="236"/>
      <c r="P450" s="238"/>
    </row>
    <row r="451">
      <c r="M451" s="236"/>
      <c r="N451" s="236"/>
      <c r="O451" s="236"/>
      <c r="P451" s="238"/>
    </row>
    <row r="452">
      <c r="M452" s="236"/>
      <c r="N452" s="236"/>
      <c r="O452" s="236"/>
      <c r="P452" s="238"/>
    </row>
    <row r="453">
      <c r="M453" s="236"/>
      <c r="N453" s="236"/>
      <c r="O453" s="236"/>
      <c r="P453" s="238"/>
    </row>
    <row r="454">
      <c r="M454" s="236"/>
      <c r="N454" s="236"/>
      <c r="O454" s="236"/>
      <c r="P454" s="238"/>
    </row>
    <row r="455">
      <c r="M455" s="236"/>
      <c r="N455" s="236"/>
      <c r="O455" s="236"/>
      <c r="P455" s="238"/>
    </row>
    <row r="456">
      <c r="M456" s="236"/>
      <c r="N456" s="236"/>
      <c r="O456" s="236"/>
      <c r="P456" s="238"/>
    </row>
    <row r="457">
      <c r="M457" s="236"/>
      <c r="N457" s="236"/>
      <c r="O457" s="236"/>
      <c r="P457" s="238"/>
    </row>
    <row r="458">
      <c r="M458" s="236"/>
      <c r="N458" s="236"/>
      <c r="O458" s="236"/>
      <c r="P458" s="238"/>
    </row>
    <row r="459">
      <c r="M459" s="236"/>
      <c r="N459" s="236"/>
      <c r="O459" s="236"/>
      <c r="P459" s="238"/>
    </row>
    <row r="460">
      <c r="M460" s="236"/>
      <c r="N460" s="236"/>
      <c r="O460" s="236"/>
      <c r="P460" s="238"/>
    </row>
    <row r="461">
      <c r="M461" s="236"/>
      <c r="N461" s="236"/>
      <c r="O461" s="236"/>
      <c r="P461" s="238"/>
    </row>
    <row r="462">
      <c r="M462" s="236"/>
      <c r="N462" s="236"/>
      <c r="O462" s="236"/>
      <c r="P462" s="238"/>
    </row>
    <row r="463">
      <c r="M463" s="236"/>
      <c r="N463" s="236"/>
      <c r="O463" s="236"/>
      <c r="P463" s="238"/>
    </row>
    <row r="464">
      <c r="M464" s="236"/>
      <c r="N464" s="236"/>
      <c r="O464" s="236"/>
      <c r="P464" s="238"/>
    </row>
    <row r="465">
      <c r="M465" s="236"/>
      <c r="N465" s="236"/>
      <c r="O465" s="236"/>
      <c r="P465" s="238"/>
    </row>
    <row r="466">
      <c r="M466" s="236"/>
      <c r="N466" s="236"/>
      <c r="O466" s="236"/>
      <c r="P466" s="238"/>
    </row>
    <row r="467">
      <c r="M467" s="236"/>
      <c r="N467" s="236"/>
      <c r="O467" s="236"/>
      <c r="P467" s="238"/>
    </row>
    <row r="468">
      <c r="M468" s="236"/>
      <c r="N468" s="236"/>
      <c r="O468" s="236"/>
      <c r="P468" s="238"/>
    </row>
    <row r="469">
      <c r="M469" s="236"/>
      <c r="N469" s="236"/>
      <c r="O469" s="236"/>
      <c r="P469" s="238"/>
    </row>
    <row r="470">
      <c r="M470" s="236"/>
      <c r="N470" s="236"/>
      <c r="O470" s="236"/>
      <c r="P470" s="238"/>
    </row>
    <row r="471">
      <c r="M471" s="236"/>
      <c r="N471" s="236"/>
      <c r="O471" s="236"/>
      <c r="P471" s="238"/>
    </row>
    <row r="472">
      <c r="M472" s="236"/>
      <c r="N472" s="236"/>
      <c r="O472" s="236"/>
      <c r="P472" s="238"/>
    </row>
    <row r="473">
      <c r="M473" s="236"/>
      <c r="N473" s="236"/>
      <c r="O473" s="236"/>
      <c r="P473" s="238"/>
    </row>
    <row r="474">
      <c r="M474" s="236"/>
      <c r="N474" s="236"/>
      <c r="O474" s="236"/>
      <c r="P474" s="238"/>
    </row>
    <row r="475">
      <c r="M475" s="236"/>
      <c r="N475" s="236"/>
      <c r="O475" s="236"/>
      <c r="P475" s="238"/>
    </row>
    <row r="476">
      <c r="M476" s="236"/>
      <c r="N476" s="236"/>
      <c r="O476" s="236"/>
      <c r="P476" s="238"/>
    </row>
    <row r="477">
      <c r="M477" s="236"/>
      <c r="N477" s="236"/>
      <c r="O477" s="236"/>
      <c r="P477" s="238"/>
    </row>
    <row r="478">
      <c r="M478" s="236"/>
      <c r="N478" s="236"/>
      <c r="O478" s="236"/>
      <c r="P478" s="238"/>
    </row>
    <row r="479">
      <c r="M479" s="236"/>
      <c r="N479" s="236"/>
      <c r="O479" s="236"/>
      <c r="P479" s="238"/>
    </row>
    <row r="480">
      <c r="M480" s="236"/>
      <c r="N480" s="236"/>
      <c r="O480" s="236"/>
      <c r="P480" s="238"/>
    </row>
    <row r="481">
      <c r="M481" s="236"/>
      <c r="N481" s="236"/>
      <c r="O481" s="236"/>
      <c r="P481" s="238"/>
    </row>
    <row r="482">
      <c r="M482" s="236"/>
      <c r="N482" s="236"/>
      <c r="O482" s="236"/>
      <c r="P482" s="238"/>
    </row>
    <row r="483">
      <c r="M483" s="236"/>
      <c r="N483" s="236"/>
      <c r="O483" s="236"/>
      <c r="P483" s="238"/>
    </row>
    <row r="484">
      <c r="M484" s="236"/>
      <c r="N484" s="236"/>
      <c r="O484" s="236"/>
      <c r="P484" s="238"/>
    </row>
    <row r="485">
      <c r="M485" s="236"/>
      <c r="N485" s="236"/>
      <c r="O485" s="236"/>
      <c r="P485" s="238"/>
    </row>
    <row r="486">
      <c r="M486" s="236"/>
      <c r="N486" s="236"/>
      <c r="O486" s="236"/>
      <c r="P486" s="238"/>
    </row>
    <row r="487">
      <c r="M487" s="236"/>
      <c r="N487" s="236"/>
      <c r="O487" s="236"/>
      <c r="P487" s="238"/>
    </row>
    <row r="488">
      <c r="M488" s="236"/>
      <c r="N488" s="236"/>
      <c r="O488" s="236"/>
      <c r="P488" s="238"/>
    </row>
    <row r="489">
      <c r="M489" s="236"/>
      <c r="N489" s="236"/>
      <c r="O489" s="236"/>
      <c r="P489" s="238"/>
    </row>
    <row r="490">
      <c r="M490" s="236"/>
      <c r="N490" s="236"/>
      <c r="O490" s="236"/>
      <c r="P490" s="238"/>
    </row>
    <row r="491">
      <c r="M491" s="236"/>
      <c r="N491" s="236"/>
      <c r="O491" s="236"/>
      <c r="P491" s="238"/>
    </row>
    <row r="492">
      <c r="M492" s="236"/>
      <c r="N492" s="236"/>
      <c r="O492" s="236"/>
      <c r="P492" s="238"/>
    </row>
    <row r="493">
      <c r="M493" s="236"/>
      <c r="N493" s="236"/>
      <c r="O493" s="236"/>
      <c r="P493" s="238"/>
    </row>
    <row r="494">
      <c r="M494" s="236"/>
      <c r="N494" s="236"/>
      <c r="O494" s="236"/>
      <c r="P494" s="238"/>
    </row>
    <row r="495">
      <c r="M495" s="236"/>
      <c r="N495" s="236"/>
      <c r="O495" s="236"/>
      <c r="P495" s="238"/>
    </row>
    <row r="496">
      <c r="M496" s="236"/>
      <c r="N496" s="236"/>
      <c r="O496" s="236"/>
      <c r="P496" s="238"/>
    </row>
    <row r="497">
      <c r="M497" s="236"/>
      <c r="N497" s="236"/>
      <c r="O497" s="236"/>
      <c r="P497" s="238"/>
    </row>
    <row r="498">
      <c r="M498" s="236"/>
      <c r="N498" s="236"/>
      <c r="O498" s="236"/>
      <c r="P498" s="238"/>
    </row>
    <row r="499">
      <c r="M499" s="236"/>
      <c r="N499" s="236"/>
      <c r="O499" s="236"/>
      <c r="P499" s="238"/>
    </row>
    <row r="500">
      <c r="M500" s="236"/>
      <c r="N500" s="236"/>
      <c r="O500" s="236"/>
      <c r="P500" s="238"/>
    </row>
  </sheetData>
  <conditionalFormatting sqref="C2:C17">
    <cfRule type="colorScale" priority="1">
      <colorScale>
        <cfvo type="formula" val="-1"/>
        <cfvo type="formula" val="0"/>
        <cfvo type="formula" val="1"/>
        <color rgb="FFCC0000"/>
        <color rgb="FF6AA84F"/>
        <color rgb="FF3C78D8"/>
      </colorScale>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5.88"/>
    <col customWidth="1" min="2" max="2" width="16.13"/>
    <col customWidth="1" min="3" max="3" width="13.13"/>
    <col customWidth="1" min="4" max="4" width="42.0"/>
    <col customWidth="1" min="7" max="7" width="14.13"/>
    <col customWidth="1" min="8" max="8" width="23.75"/>
    <col customWidth="1" min="11" max="11" width="16.75"/>
    <col customWidth="1" min="12" max="12" width="34.5"/>
    <col customWidth="1" min="13" max="13" width="18.75"/>
    <col customWidth="1" min="15" max="15" width="18.63"/>
    <col customWidth="1" min="16" max="16" width="41.63"/>
    <col customWidth="1" min="18" max="18" width="16.63"/>
    <col customWidth="1" min="19" max="26" width="8.63"/>
  </cols>
  <sheetData>
    <row r="1">
      <c r="A1" s="82" t="s">
        <v>272</v>
      </c>
      <c r="B1" s="187"/>
      <c r="C1" s="239"/>
      <c r="F1" s="75"/>
      <c r="G1" s="75"/>
      <c r="H1" s="75"/>
      <c r="I1" s="75"/>
      <c r="J1" s="75"/>
      <c r="Q1" s="190"/>
      <c r="R1" s="190"/>
      <c r="AB1" s="75"/>
      <c r="AC1" s="75"/>
      <c r="AD1" s="75"/>
    </row>
    <row r="2">
      <c r="A2" s="82" t="s">
        <v>273</v>
      </c>
      <c r="B2" s="187" t="b">
        <v>0</v>
      </c>
      <c r="C2" s="239" t="s">
        <v>274</v>
      </c>
      <c r="F2" s="75"/>
      <c r="G2" s="75"/>
      <c r="H2" s="75"/>
      <c r="I2" s="75"/>
      <c r="J2" s="75"/>
      <c r="Q2" s="190"/>
      <c r="R2" s="190"/>
      <c r="AB2" s="75"/>
      <c r="AC2" s="75"/>
      <c r="AD2" s="75"/>
    </row>
    <row r="3">
      <c r="H3" s="75"/>
      <c r="I3" s="75"/>
      <c r="J3" s="75"/>
      <c r="R3" s="190"/>
      <c r="AB3" s="240"/>
      <c r="AC3" s="240"/>
      <c r="AD3" s="240"/>
    </row>
    <row r="4">
      <c r="A4" s="75"/>
      <c r="B4" s="241" t="s">
        <v>275</v>
      </c>
      <c r="C4" s="75"/>
      <c r="D4" s="75"/>
      <c r="E4" s="75"/>
      <c r="F4" s="75"/>
      <c r="G4" s="75"/>
      <c r="H4" s="75"/>
      <c r="I4" s="75"/>
      <c r="J4" s="75"/>
      <c r="O4" s="190"/>
      <c r="AA4" s="190"/>
      <c r="AB4" s="240"/>
      <c r="AC4" s="240"/>
      <c r="AD4" s="240"/>
    </row>
    <row r="5">
      <c r="A5" s="82" t="s">
        <v>276</v>
      </c>
      <c r="B5" s="187" t="b">
        <v>1</v>
      </c>
      <c r="C5" s="239" t="s">
        <v>277</v>
      </c>
      <c r="E5" s="75"/>
      <c r="F5" s="75"/>
      <c r="G5" s="75"/>
      <c r="H5" s="75"/>
      <c r="I5" s="75"/>
      <c r="J5" s="75"/>
      <c r="O5" s="190"/>
      <c r="R5" s="190"/>
      <c r="S5" s="190"/>
      <c r="T5" s="190"/>
      <c r="U5" s="190"/>
      <c r="V5" s="190"/>
      <c r="W5" s="190"/>
      <c r="X5" s="190"/>
      <c r="AB5" s="242"/>
      <c r="AC5" s="242"/>
      <c r="AD5" s="242"/>
    </row>
    <row r="6">
      <c r="A6" s="82" t="s">
        <v>276</v>
      </c>
      <c r="B6" s="187" t="b">
        <v>1</v>
      </c>
      <c r="C6" s="239" t="s">
        <v>278</v>
      </c>
      <c r="E6" s="75"/>
      <c r="F6" s="75"/>
      <c r="G6" s="75"/>
      <c r="H6" s="75"/>
      <c r="I6" s="75"/>
      <c r="J6" s="75"/>
      <c r="O6" s="190"/>
      <c r="R6" s="190"/>
      <c r="S6" s="190"/>
      <c r="T6" s="190"/>
      <c r="V6" s="190"/>
      <c r="W6" s="190"/>
      <c r="X6" s="190"/>
      <c r="AB6" s="240"/>
      <c r="AC6" s="240"/>
      <c r="AD6" s="240"/>
    </row>
    <row r="7">
      <c r="A7" s="82" t="s">
        <v>276</v>
      </c>
      <c r="B7" s="187" t="b">
        <v>1</v>
      </c>
      <c r="C7" s="239" t="s">
        <v>279</v>
      </c>
      <c r="E7" s="75"/>
      <c r="F7" s="75"/>
      <c r="G7" s="75"/>
      <c r="H7" s="75"/>
      <c r="I7" s="75"/>
      <c r="J7" s="75"/>
      <c r="O7" s="190"/>
      <c r="AB7" s="242"/>
      <c r="AC7" s="242"/>
      <c r="AD7" s="242"/>
    </row>
    <row r="8">
      <c r="A8" s="82" t="s">
        <v>276</v>
      </c>
      <c r="B8" s="187" t="b">
        <v>1</v>
      </c>
      <c r="C8" s="239" t="s">
        <v>280</v>
      </c>
      <c r="E8" s="75"/>
      <c r="F8" s="75"/>
      <c r="G8" s="75"/>
      <c r="H8" s="75"/>
      <c r="I8" s="75"/>
      <c r="J8" s="75"/>
      <c r="O8" s="190"/>
      <c r="AB8" s="242"/>
      <c r="AC8" s="242"/>
      <c r="AD8" s="242"/>
    </row>
    <row r="9">
      <c r="A9" s="82" t="s">
        <v>281</v>
      </c>
      <c r="B9" s="187" t="b">
        <v>1</v>
      </c>
      <c r="C9" s="239" t="s">
        <v>282</v>
      </c>
      <c r="E9" s="75"/>
      <c r="F9" s="75"/>
      <c r="G9" s="75"/>
      <c r="H9" s="75"/>
      <c r="I9" s="75"/>
      <c r="J9" s="75"/>
      <c r="O9" s="190"/>
      <c r="R9" s="190"/>
      <c r="S9" s="190"/>
      <c r="T9" s="190"/>
      <c r="AB9" s="240"/>
      <c r="AC9" s="240"/>
      <c r="AD9" s="242"/>
    </row>
    <row r="10">
      <c r="A10" s="82" t="s">
        <v>281</v>
      </c>
      <c r="B10" s="187" t="b">
        <v>1</v>
      </c>
      <c r="C10" s="239" t="s">
        <v>283</v>
      </c>
      <c r="H10" s="75"/>
      <c r="I10" s="75"/>
      <c r="J10" s="75"/>
      <c r="O10" s="190"/>
      <c r="R10" s="190"/>
      <c r="S10" s="190"/>
      <c r="T10" s="190"/>
      <c r="U10" s="190"/>
      <c r="AB10" s="242"/>
      <c r="AC10" s="242"/>
      <c r="AD10" s="242"/>
    </row>
    <row r="11">
      <c r="A11" s="82" t="s">
        <v>281</v>
      </c>
      <c r="B11" s="187" t="b">
        <v>1</v>
      </c>
      <c r="C11" s="239" t="s">
        <v>284</v>
      </c>
      <c r="H11" s="75"/>
      <c r="I11" s="75"/>
      <c r="J11" s="75"/>
      <c r="O11" s="190"/>
      <c r="R11" s="190"/>
      <c r="S11" s="190"/>
      <c r="T11" s="190"/>
      <c r="U11" s="190"/>
      <c r="AB11" s="242"/>
      <c r="AC11" s="242"/>
      <c r="AD11" s="242"/>
    </row>
    <row r="12">
      <c r="A12" s="76" t="s">
        <v>281</v>
      </c>
      <c r="B12" s="243" t="b">
        <v>0</v>
      </c>
      <c r="C12" s="244" t="s">
        <v>285</v>
      </c>
      <c r="H12" s="75"/>
      <c r="I12" s="75"/>
      <c r="J12" s="75"/>
      <c r="O12" s="190"/>
      <c r="R12" s="190"/>
      <c r="S12" s="190"/>
      <c r="T12" s="190"/>
      <c r="U12" s="190"/>
      <c r="AB12" s="242"/>
      <c r="AC12" s="242"/>
      <c r="AD12" s="242"/>
    </row>
    <row r="13">
      <c r="C13" s="239"/>
      <c r="H13" s="75"/>
      <c r="I13" s="75"/>
      <c r="J13" s="75"/>
      <c r="O13" s="190"/>
      <c r="R13" s="190"/>
      <c r="S13" s="190"/>
      <c r="T13" s="190"/>
      <c r="U13" s="190"/>
      <c r="AB13" s="242"/>
      <c r="AC13" s="242"/>
      <c r="AD13" s="242"/>
    </row>
    <row r="14">
      <c r="H14" s="75"/>
      <c r="I14" s="75"/>
      <c r="J14" s="75"/>
      <c r="O14" s="190"/>
      <c r="R14" s="190"/>
      <c r="S14" s="190"/>
      <c r="T14" s="190"/>
      <c r="U14" s="190"/>
      <c r="AB14" s="242"/>
      <c r="AC14" s="242"/>
      <c r="AD14" s="242"/>
    </row>
    <row r="15">
      <c r="C15" s="239" t="s">
        <v>286</v>
      </c>
      <c r="F15" s="75"/>
      <c r="G15" s="75"/>
      <c r="H15" s="75"/>
      <c r="I15" s="75"/>
      <c r="J15" s="75"/>
      <c r="O15" s="190"/>
      <c r="AB15" s="240"/>
      <c r="AC15" s="240"/>
      <c r="AD15" s="242"/>
    </row>
    <row r="16">
      <c r="C16" s="239" t="s">
        <v>287</v>
      </c>
      <c r="G16" s="75"/>
      <c r="H16" s="75"/>
      <c r="I16" s="75"/>
      <c r="J16" s="75"/>
      <c r="O16" s="190"/>
      <c r="AB16" s="240"/>
      <c r="AC16" s="240"/>
      <c r="AD16" s="242"/>
    </row>
    <row r="17">
      <c r="A17" s="82"/>
      <c r="E17" s="75"/>
      <c r="F17" s="75"/>
      <c r="G17" s="75"/>
      <c r="H17" s="75"/>
      <c r="I17" s="75"/>
      <c r="J17" s="75"/>
      <c r="O17" s="190"/>
      <c r="AB17" s="240"/>
      <c r="AC17" s="240"/>
      <c r="AD17" s="242"/>
    </row>
    <row r="18">
      <c r="A18" s="75"/>
      <c r="B18" s="241" t="s">
        <v>288</v>
      </c>
      <c r="D18" s="82"/>
      <c r="E18" s="75"/>
      <c r="F18" s="75"/>
      <c r="G18" s="75"/>
      <c r="H18" s="75"/>
      <c r="I18" s="75"/>
      <c r="J18" s="75"/>
      <c r="O18" s="190"/>
      <c r="R18" s="190"/>
      <c r="AB18" s="240"/>
      <c r="AC18" s="240"/>
      <c r="AD18" s="242"/>
    </row>
    <row r="19">
      <c r="B19" s="187" t="b">
        <v>0</v>
      </c>
      <c r="C19" s="239" t="s">
        <v>289</v>
      </c>
      <c r="D19" s="239"/>
      <c r="E19" s="75"/>
      <c r="F19" s="75"/>
      <c r="G19" s="75"/>
      <c r="H19" s="75"/>
      <c r="I19" s="75"/>
      <c r="J19" s="75"/>
      <c r="O19" s="190"/>
      <c r="R19" s="190"/>
      <c r="S19" s="190"/>
      <c r="T19" s="190"/>
      <c r="U19" s="190"/>
      <c r="V19" s="190"/>
      <c r="W19" s="190"/>
      <c r="AB19" s="240"/>
      <c r="AC19" s="240"/>
      <c r="AD19" s="242"/>
    </row>
    <row r="20">
      <c r="A20" s="75"/>
      <c r="B20" s="187" t="b">
        <v>0</v>
      </c>
      <c r="C20" s="239" t="s">
        <v>290</v>
      </c>
      <c r="E20" s="75"/>
      <c r="F20" s="75"/>
      <c r="G20" s="75"/>
      <c r="H20" s="75"/>
      <c r="I20" s="75"/>
      <c r="J20" s="75"/>
      <c r="O20" s="190"/>
      <c r="R20" s="190"/>
      <c r="S20" s="190"/>
      <c r="T20" s="190"/>
      <c r="U20" s="190"/>
      <c r="V20" s="190"/>
      <c r="W20" s="190"/>
      <c r="AB20" s="240"/>
      <c r="AC20" s="240"/>
      <c r="AD20" s="242"/>
    </row>
    <row r="21">
      <c r="A21" s="76"/>
      <c r="B21" s="187" t="b">
        <v>0</v>
      </c>
      <c r="C21" s="239" t="s">
        <v>291</v>
      </c>
      <c r="E21" s="75"/>
      <c r="F21" s="75"/>
      <c r="G21" s="75"/>
      <c r="H21" s="75"/>
      <c r="I21" s="75"/>
      <c r="J21" s="75"/>
      <c r="K21" s="190"/>
      <c r="O21" s="245"/>
      <c r="P21" s="245"/>
      <c r="R21" s="190"/>
      <c r="S21" s="190"/>
      <c r="T21" s="190"/>
      <c r="U21" s="190"/>
      <c r="V21" s="190"/>
      <c r="AB21" s="242"/>
      <c r="AC21" s="242"/>
      <c r="AD21" s="242"/>
    </row>
    <row r="22">
      <c r="A22" s="76"/>
      <c r="B22" s="187" t="b">
        <v>0</v>
      </c>
      <c r="C22" s="239" t="s">
        <v>292</v>
      </c>
      <c r="E22" s="75"/>
      <c r="F22" s="75"/>
      <c r="G22" s="75"/>
      <c r="H22" s="75"/>
      <c r="I22" s="75"/>
      <c r="J22" s="75"/>
      <c r="K22" s="190"/>
      <c r="O22" s="245"/>
      <c r="P22" s="245"/>
      <c r="R22" s="190"/>
      <c r="T22" s="190"/>
      <c r="U22" s="190"/>
      <c r="V22" s="190"/>
      <c r="W22" s="190"/>
      <c r="X22" s="190"/>
      <c r="Y22" s="190"/>
      <c r="Z22" s="190"/>
      <c r="AB22" s="242"/>
      <c r="AC22" s="242"/>
      <c r="AD22" s="242"/>
    </row>
    <row r="23">
      <c r="A23" s="76"/>
      <c r="B23" s="187" t="b">
        <v>0</v>
      </c>
      <c r="C23" s="239" t="s">
        <v>293</v>
      </c>
      <c r="E23" s="75"/>
      <c r="F23" s="75"/>
      <c r="G23" s="75"/>
      <c r="H23" s="75"/>
      <c r="I23" s="75"/>
      <c r="J23" s="75"/>
      <c r="K23" s="190"/>
      <c r="O23" s="245"/>
      <c r="P23" s="190"/>
      <c r="AB23" s="242"/>
      <c r="AC23" s="242"/>
      <c r="AD23" s="242"/>
    </row>
    <row r="24">
      <c r="A24" s="76"/>
      <c r="B24" s="187" t="b">
        <v>0</v>
      </c>
      <c r="C24" s="239" t="s">
        <v>294</v>
      </c>
      <c r="E24" s="75"/>
      <c r="F24" s="75"/>
      <c r="G24" s="75"/>
      <c r="H24" s="75"/>
      <c r="I24" s="75"/>
      <c r="J24" s="75"/>
      <c r="K24" s="190"/>
      <c r="L24" s="190"/>
      <c r="N24" s="190"/>
      <c r="O24" s="245"/>
      <c r="P24" s="190"/>
      <c r="R24" s="190"/>
      <c r="S24" s="190"/>
      <c r="T24" s="190"/>
      <c r="AB24" s="242"/>
      <c r="AC24" s="242"/>
      <c r="AD24" s="242"/>
    </row>
    <row r="25">
      <c r="A25" s="76"/>
      <c r="B25" s="187" t="b">
        <v>0</v>
      </c>
      <c r="C25" s="239" t="s">
        <v>295</v>
      </c>
      <c r="E25" s="75"/>
      <c r="F25" s="75"/>
      <c r="G25" s="75"/>
      <c r="H25" s="75"/>
      <c r="I25" s="75"/>
      <c r="J25" s="75"/>
      <c r="K25" s="190"/>
      <c r="L25" s="190"/>
      <c r="N25" s="190"/>
      <c r="O25" s="245"/>
      <c r="P25" s="190"/>
      <c r="AB25" s="242"/>
      <c r="AC25" s="242"/>
      <c r="AD25" s="242"/>
    </row>
    <row r="26">
      <c r="A26" s="76"/>
      <c r="B26" s="187" t="b">
        <v>0</v>
      </c>
      <c r="C26" s="239" t="s">
        <v>296</v>
      </c>
      <c r="E26" s="75"/>
      <c r="F26" s="75"/>
      <c r="G26" s="75"/>
      <c r="H26" s="75"/>
      <c r="I26" s="75"/>
      <c r="J26" s="75"/>
      <c r="K26" s="190"/>
      <c r="L26" s="190"/>
      <c r="N26" s="190"/>
      <c r="O26" s="245"/>
      <c r="P26" s="190"/>
      <c r="AB26" s="242"/>
      <c r="AC26" s="242"/>
      <c r="AD26" s="242"/>
    </row>
    <row r="27">
      <c r="A27" s="76"/>
      <c r="B27" s="187" t="b">
        <v>0</v>
      </c>
      <c r="C27" s="239"/>
      <c r="D27" s="239" t="s">
        <v>297</v>
      </c>
      <c r="E27" s="75"/>
      <c r="F27" s="75"/>
      <c r="G27" s="75"/>
      <c r="H27" s="75"/>
      <c r="I27" s="75"/>
      <c r="J27" s="75"/>
      <c r="N27" s="190"/>
      <c r="O27" s="245"/>
      <c r="P27" s="190"/>
      <c r="AB27" s="242"/>
      <c r="AC27" s="242"/>
      <c r="AD27" s="242"/>
    </row>
    <row r="28">
      <c r="A28" s="76"/>
      <c r="B28" s="187"/>
      <c r="C28" s="239"/>
      <c r="D28" s="75"/>
      <c r="E28" s="75"/>
      <c r="F28" s="75"/>
      <c r="G28" s="75"/>
      <c r="H28" s="75"/>
      <c r="I28" s="75"/>
      <c r="J28" s="75"/>
      <c r="N28" s="190"/>
      <c r="O28" s="245"/>
      <c r="P28" s="190"/>
      <c r="Q28" s="190"/>
      <c r="AB28" s="240"/>
      <c r="AC28" s="240"/>
      <c r="AD28" s="242"/>
    </row>
    <row r="29">
      <c r="A29" s="76"/>
      <c r="B29" s="187"/>
      <c r="C29" s="239"/>
      <c r="D29" s="75"/>
      <c r="E29" s="75"/>
      <c r="F29" s="75"/>
      <c r="G29" s="75"/>
      <c r="H29" s="75"/>
      <c r="I29" s="75"/>
      <c r="N29" s="190"/>
      <c r="O29" s="245"/>
      <c r="P29" s="190"/>
      <c r="Q29" s="190"/>
      <c r="R29" s="190"/>
      <c r="S29" s="190"/>
      <c r="T29" s="190"/>
      <c r="U29" s="190"/>
      <c r="AB29" s="242"/>
      <c r="AC29" s="242"/>
      <c r="AD29" s="242"/>
    </row>
    <row r="30">
      <c r="A30" s="75"/>
      <c r="B30" s="243"/>
      <c r="C30" s="239"/>
      <c r="D30" s="75"/>
      <c r="E30" s="75"/>
      <c r="F30" s="75"/>
      <c r="G30" s="75"/>
      <c r="H30" s="75"/>
      <c r="I30" s="75"/>
      <c r="J30" s="190"/>
      <c r="N30" s="190"/>
      <c r="O30" s="245"/>
      <c r="P30" s="190"/>
      <c r="Q30" s="190"/>
      <c r="R30" s="190"/>
      <c r="S30" s="190"/>
      <c r="T30" s="190"/>
      <c r="U30" s="190"/>
      <c r="AB30" s="242"/>
      <c r="AC30" s="242"/>
      <c r="AD30" s="242"/>
    </row>
    <row r="31">
      <c r="A31" s="75"/>
      <c r="B31" s="241" t="s">
        <v>298</v>
      </c>
      <c r="D31" s="246" t="s">
        <v>299</v>
      </c>
      <c r="E31" s="75"/>
      <c r="F31" s="75"/>
      <c r="G31" s="75"/>
      <c r="H31" s="75"/>
      <c r="I31" s="75"/>
      <c r="J31" s="245"/>
      <c r="N31" s="190"/>
      <c r="O31" s="245"/>
      <c r="P31" s="190"/>
      <c r="Q31" s="190"/>
      <c r="R31" s="190"/>
      <c r="S31" s="190"/>
      <c r="T31" s="190"/>
      <c r="U31" s="190"/>
      <c r="V31" s="190"/>
      <c r="AB31" s="75"/>
      <c r="AC31" s="75"/>
      <c r="AD31" s="242"/>
    </row>
    <row r="32">
      <c r="A32" s="82" t="s">
        <v>276</v>
      </c>
      <c r="B32" s="187"/>
      <c r="C32" s="239" t="s">
        <v>300</v>
      </c>
      <c r="E32" s="75"/>
      <c r="F32" s="75"/>
      <c r="G32" s="75"/>
      <c r="H32" s="75"/>
      <c r="I32" s="75"/>
      <c r="J32" s="245"/>
      <c r="L32" s="245"/>
      <c r="N32" s="190"/>
      <c r="O32" s="245"/>
      <c r="P32" s="190"/>
      <c r="R32" s="190"/>
      <c r="S32" s="190"/>
      <c r="T32" s="190"/>
      <c r="U32" s="190"/>
      <c r="AB32" s="75"/>
      <c r="AC32" s="75"/>
      <c r="AD32" s="240"/>
    </row>
    <row r="33">
      <c r="A33" s="82" t="s">
        <v>301</v>
      </c>
      <c r="B33" s="192" t="s">
        <v>302</v>
      </c>
      <c r="C33" s="239" t="s">
        <v>303</v>
      </c>
      <c r="E33" s="75"/>
      <c r="F33" s="75"/>
      <c r="G33" s="75"/>
      <c r="H33" s="75"/>
      <c r="I33" s="75"/>
      <c r="J33" s="245"/>
      <c r="N33" s="190"/>
      <c r="O33" s="245"/>
      <c r="P33" s="190"/>
      <c r="R33" s="190"/>
      <c r="S33" s="190"/>
      <c r="T33" s="190"/>
      <c r="U33" s="190"/>
      <c r="AB33" s="75"/>
      <c r="AC33" s="75"/>
      <c r="AD33" s="242"/>
    </row>
    <row r="34">
      <c r="A34" s="76"/>
      <c r="B34" s="75"/>
      <c r="C34" s="75"/>
      <c r="D34" s="75"/>
      <c r="E34" s="75"/>
      <c r="F34" s="75"/>
      <c r="G34" s="75"/>
      <c r="H34" s="75"/>
      <c r="I34" s="75"/>
      <c r="J34" s="245"/>
      <c r="N34" s="190"/>
      <c r="O34" s="245"/>
      <c r="P34" s="190"/>
      <c r="R34" s="190"/>
      <c r="S34" s="190"/>
      <c r="T34" s="190"/>
      <c r="U34" s="190"/>
      <c r="AB34" s="75"/>
      <c r="AC34" s="75"/>
      <c r="AD34" s="242"/>
    </row>
    <row r="35">
      <c r="A35" s="76"/>
      <c r="B35" s="247" t="s">
        <v>304</v>
      </c>
      <c r="C35" s="82" t="s">
        <v>305</v>
      </c>
      <c r="D35" s="76"/>
      <c r="E35" s="76"/>
      <c r="F35" s="75"/>
      <c r="G35" s="75"/>
      <c r="H35" s="75"/>
      <c r="I35" s="75"/>
      <c r="N35" s="245"/>
      <c r="O35" s="245"/>
      <c r="P35" s="190"/>
      <c r="AB35" s="75"/>
      <c r="AC35" s="75"/>
      <c r="AD35" s="75"/>
    </row>
    <row r="36" outlineLevel="1">
      <c r="A36" s="76"/>
      <c r="B36" s="243" t="b">
        <v>0</v>
      </c>
      <c r="C36" s="239" t="s">
        <v>306</v>
      </c>
      <c r="D36" s="248"/>
      <c r="E36" s="248"/>
      <c r="F36" s="75"/>
      <c r="G36" s="75"/>
      <c r="H36" s="75"/>
      <c r="I36" s="75"/>
      <c r="N36" s="190"/>
      <c r="O36" s="245"/>
      <c r="P36" s="190"/>
      <c r="AB36" s="75"/>
      <c r="AC36" s="75"/>
      <c r="AD36" s="75"/>
    </row>
    <row r="37" outlineLevel="1">
      <c r="A37" s="76"/>
      <c r="B37" s="243" t="b">
        <v>0</v>
      </c>
      <c r="C37" s="244" t="s">
        <v>307</v>
      </c>
      <c r="D37" s="248"/>
      <c r="E37" s="248"/>
      <c r="F37" s="75"/>
      <c r="G37" s="75"/>
      <c r="H37" s="75"/>
      <c r="I37" s="75"/>
      <c r="N37" s="190"/>
      <c r="O37" s="245"/>
      <c r="P37" s="245"/>
      <c r="AB37" s="75"/>
      <c r="AC37" s="75"/>
      <c r="AD37" s="75"/>
    </row>
    <row r="38" outlineLevel="1">
      <c r="A38" s="76"/>
      <c r="B38" s="76"/>
      <c r="C38" s="248"/>
      <c r="D38" s="244" t="s">
        <v>308</v>
      </c>
      <c r="E38" s="248"/>
      <c r="F38" s="75"/>
      <c r="G38" s="75"/>
      <c r="H38" s="75"/>
      <c r="I38" s="75"/>
      <c r="K38" s="245"/>
      <c r="N38" s="190"/>
      <c r="O38" s="245"/>
      <c r="P38" s="190"/>
      <c r="AB38" s="75"/>
      <c r="AC38" s="75"/>
      <c r="AD38" s="75"/>
    </row>
    <row r="39" outlineLevel="1">
      <c r="A39" s="76"/>
      <c r="B39" s="243" t="b">
        <v>0</v>
      </c>
      <c r="C39" s="239" t="s">
        <v>309</v>
      </c>
      <c r="D39" s="248"/>
      <c r="E39" s="248"/>
      <c r="F39" s="75"/>
      <c r="G39" s="75"/>
      <c r="H39" s="75"/>
      <c r="I39" s="75"/>
      <c r="K39" s="245"/>
      <c r="N39" s="190"/>
      <c r="O39" s="245"/>
      <c r="P39" s="190"/>
      <c r="AB39" s="75"/>
      <c r="AC39" s="75"/>
      <c r="AD39" s="75"/>
    </row>
    <row r="40" outlineLevel="1">
      <c r="A40" s="76"/>
      <c r="B40" s="247"/>
      <c r="C40" s="248" t="s">
        <v>310</v>
      </c>
      <c r="D40" s="249" t="s">
        <v>272</v>
      </c>
      <c r="E40" s="248"/>
      <c r="F40" s="75"/>
      <c r="G40" s="75"/>
      <c r="H40" s="75"/>
      <c r="I40" s="75"/>
      <c r="K40" s="245"/>
      <c r="N40" s="190"/>
      <c r="O40" s="245"/>
      <c r="P40" s="190"/>
      <c r="AB40" s="75"/>
      <c r="AC40" s="75"/>
      <c r="AD40" s="75"/>
    </row>
    <row r="41">
      <c r="A41" s="76"/>
      <c r="B41" s="247"/>
      <c r="C41" s="248"/>
      <c r="D41" s="248"/>
      <c r="E41" s="248"/>
      <c r="F41" s="75"/>
      <c r="G41" s="75"/>
      <c r="H41" s="75"/>
      <c r="I41" s="75"/>
      <c r="K41" s="245"/>
      <c r="N41" s="190"/>
      <c r="O41" s="245"/>
      <c r="P41" s="190"/>
      <c r="S41" s="190"/>
      <c r="AB41" s="75"/>
      <c r="AC41" s="75"/>
      <c r="AD41" s="75"/>
    </row>
    <row r="42">
      <c r="A42" s="82" t="s">
        <v>311</v>
      </c>
      <c r="B42" s="250" t="s">
        <v>312</v>
      </c>
      <c r="C42" s="248"/>
      <c r="D42" s="248"/>
      <c r="E42" s="248"/>
      <c r="F42" s="75"/>
      <c r="G42" s="75"/>
      <c r="H42" s="75"/>
      <c r="I42" s="75"/>
      <c r="K42" s="245"/>
      <c r="N42" s="190"/>
      <c r="O42" s="245"/>
      <c r="P42" s="190"/>
      <c r="S42" s="190"/>
      <c r="AB42" s="75"/>
      <c r="AC42" s="75"/>
      <c r="AD42" s="75"/>
    </row>
    <row r="43" outlineLevel="1">
      <c r="A43" s="76"/>
      <c r="B43" s="187" t="b">
        <v>0</v>
      </c>
      <c r="C43" s="244" t="s">
        <v>313</v>
      </c>
      <c r="D43" s="248"/>
      <c r="E43" s="248"/>
      <c r="F43" s="75"/>
      <c r="G43" s="75"/>
      <c r="H43" s="75"/>
      <c r="I43" s="75"/>
      <c r="K43" s="251"/>
      <c r="N43" s="190"/>
      <c r="O43" s="245"/>
      <c r="P43" s="190"/>
      <c r="S43" s="190"/>
      <c r="AB43" s="75"/>
      <c r="AC43" s="75"/>
      <c r="AD43" s="75"/>
    </row>
    <row r="44" outlineLevel="1">
      <c r="A44" s="76"/>
      <c r="B44" s="76"/>
      <c r="C44" s="242"/>
      <c r="D44" s="244" t="s">
        <v>314</v>
      </c>
      <c r="E44" s="248"/>
      <c r="F44" s="75"/>
      <c r="G44" s="75"/>
      <c r="H44" s="75"/>
      <c r="I44" s="75"/>
      <c r="J44" s="75"/>
      <c r="N44" s="190"/>
      <c r="O44" s="245"/>
      <c r="P44" s="190"/>
      <c r="AB44" s="75"/>
      <c r="AC44" s="75"/>
      <c r="AD44" s="75"/>
    </row>
    <row r="45" outlineLevel="1">
      <c r="A45" s="76"/>
      <c r="B45" s="187" t="b">
        <v>0</v>
      </c>
      <c r="C45" s="239" t="s">
        <v>315</v>
      </c>
      <c r="D45" s="248"/>
      <c r="E45" s="248"/>
      <c r="F45" s="75"/>
      <c r="G45" s="75"/>
      <c r="H45" s="75"/>
      <c r="I45" s="75"/>
      <c r="N45" s="190"/>
      <c r="O45" s="245"/>
      <c r="P45" s="190"/>
      <c r="S45" s="190"/>
      <c r="AB45" s="75"/>
      <c r="AC45" s="75"/>
      <c r="AD45" s="75"/>
    </row>
    <row r="46" outlineLevel="1">
      <c r="A46" s="76"/>
      <c r="B46" s="243" t="b">
        <v>0</v>
      </c>
      <c r="C46" s="244" t="s">
        <v>316</v>
      </c>
      <c r="D46" s="248"/>
      <c r="E46" s="248"/>
      <c r="F46" s="75"/>
      <c r="G46" s="75"/>
      <c r="H46" s="75"/>
      <c r="I46" s="75"/>
      <c r="J46" s="190"/>
      <c r="N46" s="245"/>
      <c r="O46" s="251"/>
      <c r="P46" s="190"/>
      <c r="AB46" s="75"/>
      <c r="AC46" s="75"/>
      <c r="AD46" s="75"/>
    </row>
    <row r="47" outlineLevel="1">
      <c r="A47" s="76"/>
      <c r="B47" s="187" t="b">
        <v>0</v>
      </c>
      <c r="C47" s="244"/>
      <c r="D47" s="252" t="s">
        <v>317</v>
      </c>
      <c r="E47" s="248"/>
      <c r="F47" s="75"/>
      <c r="G47" s="75"/>
      <c r="H47" s="75"/>
      <c r="I47" s="75"/>
      <c r="J47" s="82"/>
      <c r="N47" s="245"/>
      <c r="O47" s="245"/>
      <c r="P47" s="190"/>
      <c r="AB47" s="75"/>
      <c r="AC47" s="75"/>
      <c r="AD47" s="75"/>
    </row>
    <row r="48" outlineLevel="1">
      <c r="A48" s="76"/>
      <c r="B48" s="187" t="b">
        <v>0</v>
      </c>
      <c r="C48" s="244"/>
      <c r="D48" s="252" t="s">
        <v>318</v>
      </c>
      <c r="E48" s="248"/>
      <c r="F48" s="75"/>
      <c r="G48" s="75"/>
      <c r="H48" s="75"/>
      <c r="I48" s="75"/>
      <c r="J48" s="75"/>
      <c r="K48" s="190"/>
      <c r="L48" s="190"/>
      <c r="N48" s="245"/>
      <c r="O48" s="251"/>
      <c r="P48" s="190"/>
      <c r="AB48" s="75"/>
      <c r="AC48" s="75"/>
      <c r="AD48" s="75"/>
    </row>
    <row r="49" outlineLevel="1">
      <c r="A49" s="76"/>
      <c r="B49" s="243" t="b">
        <v>0</v>
      </c>
      <c r="C49" s="244" t="s">
        <v>319</v>
      </c>
      <c r="D49" s="248"/>
      <c r="E49" s="248"/>
      <c r="F49" s="75"/>
      <c r="G49" s="75"/>
      <c r="H49" s="75"/>
      <c r="I49" s="75"/>
      <c r="J49" s="75"/>
      <c r="L49" s="190"/>
      <c r="O49" s="245"/>
      <c r="P49" s="245"/>
      <c r="AB49" s="75"/>
      <c r="AC49" s="75"/>
      <c r="AD49" s="75"/>
    </row>
    <row r="50" outlineLevel="1">
      <c r="A50" s="76"/>
      <c r="B50" s="76"/>
      <c r="C50" s="248"/>
      <c r="D50" s="244" t="s">
        <v>320</v>
      </c>
      <c r="E50" s="248"/>
      <c r="F50" s="75"/>
      <c r="G50" s="75"/>
      <c r="H50" s="75"/>
      <c r="I50" s="75"/>
      <c r="J50" s="75"/>
      <c r="L50" s="190"/>
      <c r="O50" s="245"/>
      <c r="P50" s="245"/>
      <c r="AB50" s="75"/>
      <c r="AC50" s="75"/>
      <c r="AD50" s="75"/>
    </row>
    <row r="51" outlineLevel="1">
      <c r="A51" s="76"/>
      <c r="B51" s="243" t="b">
        <v>0</v>
      </c>
      <c r="C51" s="239" t="s">
        <v>321</v>
      </c>
      <c r="D51" s="248"/>
      <c r="E51" s="248"/>
      <c r="F51" s="75"/>
      <c r="G51" s="75"/>
      <c r="H51" s="75"/>
      <c r="I51" s="75"/>
      <c r="J51" s="75"/>
      <c r="O51" s="190"/>
      <c r="P51" s="190"/>
      <c r="AB51" s="75"/>
      <c r="AC51" s="75"/>
      <c r="AD51" s="75"/>
    </row>
    <row r="52" outlineLevel="1">
      <c r="A52" s="76"/>
      <c r="B52" s="243" t="b">
        <v>0</v>
      </c>
      <c r="C52" s="244" t="s">
        <v>322</v>
      </c>
      <c r="D52" s="248"/>
      <c r="E52" s="248"/>
      <c r="F52" s="75"/>
      <c r="G52" s="75"/>
      <c r="H52" s="75"/>
      <c r="I52" s="75"/>
      <c r="J52" s="75"/>
      <c r="K52" s="190"/>
      <c r="O52" s="190"/>
      <c r="P52" s="190"/>
      <c r="S52" s="245"/>
      <c r="T52" s="245"/>
      <c r="AB52" s="75"/>
      <c r="AC52" s="75"/>
      <c r="AD52" s="75"/>
    </row>
    <row r="53" outlineLevel="1">
      <c r="A53" s="76"/>
      <c r="B53" s="76"/>
      <c r="C53" s="242"/>
      <c r="D53" s="244" t="s">
        <v>323</v>
      </c>
      <c r="E53" s="248"/>
      <c r="F53" s="75"/>
      <c r="G53" s="75"/>
      <c r="H53" s="75"/>
      <c r="I53" s="75"/>
      <c r="J53" s="75"/>
      <c r="L53" s="190"/>
      <c r="O53" s="190"/>
      <c r="S53" s="245"/>
      <c r="T53" s="190"/>
      <c r="AB53" s="75"/>
      <c r="AC53" s="75"/>
      <c r="AD53" s="75"/>
    </row>
    <row r="54" outlineLevel="1">
      <c r="A54" s="76"/>
      <c r="B54" s="76"/>
      <c r="C54" s="242"/>
      <c r="D54" s="244" t="s">
        <v>324</v>
      </c>
      <c r="E54" s="248"/>
      <c r="F54" s="75"/>
      <c r="G54" s="75"/>
      <c r="H54" s="75"/>
      <c r="I54" s="75"/>
      <c r="J54" s="75"/>
      <c r="K54" s="190"/>
      <c r="O54" s="245"/>
      <c r="S54" s="245"/>
      <c r="T54" s="190"/>
      <c r="AB54" s="75"/>
      <c r="AC54" s="75"/>
      <c r="AD54" s="75"/>
    </row>
    <row r="55" outlineLevel="1">
      <c r="A55" s="76"/>
      <c r="B55" s="243" t="b">
        <v>0</v>
      </c>
      <c r="C55" s="244"/>
      <c r="D55" s="252" t="s">
        <v>325</v>
      </c>
      <c r="E55" s="248"/>
      <c r="F55" s="75"/>
      <c r="G55" s="75"/>
      <c r="H55" s="75"/>
      <c r="I55" s="75"/>
      <c r="J55" s="75"/>
      <c r="K55" s="245"/>
      <c r="O55" s="190"/>
      <c r="S55" s="245"/>
      <c r="T55" s="190"/>
      <c r="AB55" s="75"/>
      <c r="AC55" s="75"/>
      <c r="AD55" s="75"/>
    </row>
    <row r="56" outlineLevel="1">
      <c r="A56" s="76"/>
      <c r="B56" s="243" t="b">
        <v>0</v>
      </c>
      <c r="C56" s="244" t="s">
        <v>326</v>
      </c>
      <c r="D56" s="248"/>
      <c r="E56" s="248"/>
      <c r="F56" s="75"/>
      <c r="G56" s="75"/>
      <c r="H56" s="75"/>
      <c r="I56" s="75"/>
      <c r="J56" s="75"/>
      <c r="K56" s="251"/>
      <c r="L56" s="190"/>
      <c r="O56" s="251"/>
      <c r="S56" s="245"/>
      <c r="T56" s="190"/>
      <c r="AB56" s="75"/>
      <c r="AC56" s="75"/>
      <c r="AD56" s="75"/>
    </row>
    <row r="57" outlineLevel="1">
      <c r="A57" s="76"/>
      <c r="B57" s="243" t="b">
        <v>0</v>
      </c>
      <c r="C57" s="244" t="s">
        <v>327</v>
      </c>
      <c r="D57" s="248"/>
      <c r="E57" s="248"/>
      <c r="F57" s="75"/>
      <c r="G57" s="75"/>
      <c r="H57" s="75"/>
      <c r="I57" s="75"/>
      <c r="J57" s="75"/>
      <c r="L57" s="190"/>
      <c r="O57" s="251"/>
      <c r="P57" s="190"/>
      <c r="S57" s="245"/>
      <c r="T57" s="190"/>
      <c r="AB57" s="75"/>
      <c r="AC57" s="75"/>
      <c r="AD57" s="75"/>
    </row>
    <row r="58">
      <c r="A58" s="76"/>
      <c r="B58" s="247"/>
      <c r="C58" s="247"/>
      <c r="D58" s="247"/>
      <c r="E58" s="247"/>
      <c r="F58" s="247"/>
      <c r="G58" s="247"/>
      <c r="H58" s="247"/>
      <c r="I58" s="75"/>
      <c r="J58" s="75"/>
      <c r="S58" s="245"/>
      <c r="T58" s="245"/>
      <c r="AB58" s="75"/>
      <c r="AC58" s="75"/>
      <c r="AD58" s="75"/>
    </row>
    <row r="59" ht="16.5" customHeight="1">
      <c r="A59" s="76"/>
      <c r="B59" s="250" t="s">
        <v>328</v>
      </c>
      <c r="C59" s="242"/>
      <c r="D59" s="248"/>
      <c r="E59" s="248"/>
      <c r="F59" s="75"/>
      <c r="G59" s="75"/>
      <c r="H59" s="75"/>
      <c r="I59" s="75"/>
      <c r="J59" s="75"/>
      <c r="L59" s="190"/>
      <c r="N59" s="190"/>
      <c r="S59" s="245"/>
      <c r="T59" s="190"/>
      <c r="AB59" s="75"/>
      <c r="AC59" s="75"/>
      <c r="AD59" s="75"/>
    </row>
    <row r="60" outlineLevel="1">
      <c r="A60" s="76"/>
      <c r="B60" s="187" t="b">
        <v>0</v>
      </c>
      <c r="C60" s="244" t="s">
        <v>329</v>
      </c>
      <c r="D60" s="248"/>
      <c r="E60" s="253"/>
      <c r="F60" s="75"/>
      <c r="G60" s="75"/>
      <c r="H60" s="75"/>
      <c r="I60" s="75"/>
      <c r="J60" s="75"/>
      <c r="K60" s="254">
        <v>2.0</v>
      </c>
      <c r="L60" s="255" t="s">
        <v>330</v>
      </c>
      <c r="M60" s="75"/>
      <c r="N60" s="256"/>
      <c r="O60" s="257">
        <v>3.0</v>
      </c>
      <c r="P60" s="258" t="s">
        <v>331</v>
      </c>
      <c r="Q60" s="75"/>
      <c r="R60" s="75"/>
      <c r="S60" s="259"/>
      <c r="T60" s="239"/>
      <c r="U60" s="75"/>
      <c r="V60" s="75"/>
      <c r="W60" s="75"/>
      <c r="X60" s="75"/>
      <c r="Y60" s="75"/>
      <c r="Z60" s="75"/>
      <c r="AA60" s="75"/>
      <c r="AB60" s="75"/>
      <c r="AC60" s="75"/>
      <c r="AD60" s="75"/>
    </row>
    <row r="61" ht="29.25" customHeight="1" outlineLevel="1">
      <c r="A61" s="76"/>
      <c r="B61" s="187" t="b">
        <v>0</v>
      </c>
      <c r="C61" s="260" t="s">
        <v>332</v>
      </c>
      <c r="D61" s="248"/>
      <c r="E61" s="248"/>
      <c r="F61" s="75"/>
      <c r="G61" s="75"/>
      <c r="H61" s="75"/>
      <c r="I61" s="75"/>
      <c r="J61" s="75"/>
      <c r="K61" s="254">
        <v>3.0</v>
      </c>
      <c r="L61" s="261" t="s">
        <v>333</v>
      </c>
      <c r="M61" s="75"/>
      <c r="N61" s="256"/>
      <c r="O61" s="149"/>
      <c r="P61" s="149"/>
      <c r="Q61" s="75"/>
      <c r="R61" s="75"/>
      <c r="S61" s="259"/>
      <c r="T61" s="239"/>
      <c r="U61" s="75"/>
      <c r="V61" s="75"/>
      <c r="W61" s="75"/>
      <c r="X61" s="75"/>
      <c r="Y61" s="75"/>
      <c r="Z61" s="75"/>
      <c r="AA61" s="75"/>
      <c r="AB61" s="75"/>
      <c r="AC61" s="75"/>
      <c r="AD61" s="75"/>
    </row>
    <row r="62" outlineLevel="1">
      <c r="A62" s="76"/>
      <c r="B62" s="243" t="b">
        <v>0</v>
      </c>
      <c r="C62" s="239" t="s">
        <v>334</v>
      </c>
      <c r="D62" s="248"/>
      <c r="E62" s="248"/>
      <c r="F62" s="75"/>
      <c r="G62" s="75"/>
      <c r="H62" s="75"/>
      <c r="I62" s="75"/>
      <c r="J62" s="75"/>
      <c r="K62" s="254">
        <v>4.0</v>
      </c>
      <c r="L62" s="261" t="s">
        <v>335</v>
      </c>
      <c r="M62" s="75"/>
      <c r="N62" s="256"/>
      <c r="O62" s="149"/>
      <c r="P62" s="149"/>
      <c r="Q62" s="75"/>
      <c r="R62" s="75"/>
      <c r="S62" s="259"/>
      <c r="T62" s="239"/>
      <c r="U62" s="75"/>
      <c r="V62" s="75"/>
      <c r="W62" s="75"/>
      <c r="X62" s="75"/>
      <c r="Y62" s="75"/>
      <c r="Z62" s="75"/>
      <c r="AA62" s="75"/>
      <c r="AB62" s="75"/>
      <c r="AC62" s="75"/>
      <c r="AD62" s="75"/>
    </row>
    <row r="63" outlineLevel="1">
      <c r="A63" s="76"/>
      <c r="B63" s="243" t="b">
        <v>0</v>
      </c>
      <c r="C63" s="239" t="s">
        <v>336</v>
      </c>
      <c r="D63" s="248"/>
      <c r="E63" s="248"/>
      <c r="F63" s="75"/>
      <c r="G63" s="75"/>
      <c r="H63" s="75"/>
      <c r="I63" s="75"/>
      <c r="J63" s="75"/>
      <c r="K63" s="262">
        <v>5.0</v>
      </c>
      <c r="L63" s="263" t="s">
        <v>337</v>
      </c>
      <c r="M63" s="75"/>
      <c r="N63" s="256"/>
      <c r="O63" s="264" t="s">
        <v>338</v>
      </c>
      <c r="Q63" s="75"/>
      <c r="R63" s="75"/>
      <c r="S63" s="259"/>
      <c r="T63" s="239"/>
      <c r="U63" s="75"/>
      <c r="V63" s="75"/>
      <c r="W63" s="75"/>
      <c r="X63" s="75"/>
      <c r="Y63" s="75"/>
      <c r="Z63" s="75"/>
      <c r="AA63" s="75"/>
      <c r="AB63" s="75"/>
      <c r="AC63" s="75"/>
      <c r="AD63" s="75"/>
    </row>
    <row r="64" outlineLevel="1">
      <c r="A64" s="75"/>
      <c r="B64" s="243" t="b">
        <v>0</v>
      </c>
      <c r="C64" s="244" t="s">
        <v>339</v>
      </c>
      <c r="D64" s="248"/>
      <c r="E64" s="248"/>
      <c r="F64" s="75"/>
      <c r="G64" s="75"/>
      <c r="H64" s="75"/>
      <c r="I64" s="75"/>
      <c r="J64" s="75"/>
      <c r="K64" s="75"/>
      <c r="L64" s="75"/>
      <c r="M64" s="75"/>
      <c r="N64" s="256"/>
      <c r="O64" s="265"/>
      <c r="P64" s="266"/>
      <c r="Q64" s="75"/>
      <c r="R64" s="75"/>
      <c r="S64" s="259"/>
      <c r="T64" s="239"/>
      <c r="U64" s="75"/>
      <c r="V64" s="75"/>
      <c r="W64" s="75"/>
      <c r="X64" s="75"/>
      <c r="Y64" s="75"/>
      <c r="Z64" s="75"/>
      <c r="AA64" s="75"/>
      <c r="AB64" s="75"/>
      <c r="AC64" s="75"/>
      <c r="AD64" s="75"/>
    </row>
    <row r="65">
      <c r="A65" s="75"/>
      <c r="B65" s="76"/>
      <c r="C65" s="242"/>
      <c r="D65" s="248"/>
      <c r="E65" s="248"/>
      <c r="F65" s="75"/>
      <c r="G65" s="75"/>
      <c r="H65" s="75"/>
      <c r="I65" s="82">
        <v>2.0</v>
      </c>
      <c r="J65" s="75"/>
      <c r="K65" s="75"/>
      <c r="L65" s="75"/>
      <c r="M65" s="75"/>
      <c r="N65" s="184"/>
      <c r="O65" s="267"/>
      <c r="P65" s="266"/>
      <c r="Q65" s="75"/>
      <c r="R65" s="75"/>
      <c r="S65" s="259"/>
      <c r="T65" s="239"/>
      <c r="U65" s="75"/>
      <c r="V65" s="75"/>
      <c r="W65" s="75"/>
      <c r="X65" s="75"/>
      <c r="Y65" s="75"/>
      <c r="Z65" s="75"/>
      <c r="AA65" s="75"/>
      <c r="AB65" s="75"/>
      <c r="AC65" s="75"/>
      <c r="AD65" s="75"/>
    </row>
    <row r="66">
      <c r="A66" s="75"/>
      <c r="B66" s="268" t="s">
        <v>340</v>
      </c>
      <c r="E66" s="248"/>
      <c r="F66" s="75"/>
      <c r="G66" s="75"/>
      <c r="H66" s="75"/>
      <c r="I66" s="75"/>
      <c r="J66" s="75"/>
      <c r="K66" s="75"/>
      <c r="L66" s="75"/>
      <c r="M66" s="75"/>
      <c r="N66" s="256"/>
      <c r="O66" s="269"/>
      <c r="P66" s="242"/>
      <c r="Q66" s="75"/>
      <c r="R66" s="75"/>
      <c r="S66" s="259"/>
      <c r="T66" s="239"/>
      <c r="U66" s="75"/>
      <c r="V66" s="75"/>
      <c r="W66" s="75"/>
      <c r="X66" s="75"/>
      <c r="Y66" s="75"/>
      <c r="Z66" s="75"/>
      <c r="AA66" s="75"/>
      <c r="AB66" s="75"/>
      <c r="AC66" s="75"/>
      <c r="AD66" s="75"/>
    </row>
    <row r="67" outlineLevel="1">
      <c r="A67" s="75"/>
      <c r="B67" s="243" t="b">
        <v>0</v>
      </c>
      <c r="C67" s="270" t="s">
        <v>341</v>
      </c>
      <c r="E67" s="248"/>
      <c r="F67" s="75"/>
      <c r="G67" s="75"/>
      <c r="H67" s="75"/>
      <c r="I67" s="75"/>
      <c r="J67" s="75"/>
      <c r="K67" s="75"/>
      <c r="L67" s="75"/>
      <c r="M67" s="75"/>
      <c r="N67" s="256"/>
      <c r="O67" s="269"/>
      <c r="P67" s="239"/>
      <c r="Q67" s="75"/>
      <c r="R67" s="75"/>
      <c r="S67" s="271"/>
      <c r="T67" s="239"/>
      <c r="U67" s="75"/>
      <c r="V67" s="75"/>
      <c r="W67" s="75"/>
      <c r="X67" s="75"/>
      <c r="Y67" s="75"/>
      <c r="Z67" s="75"/>
      <c r="AA67" s="75"/>
      <c r="AB67" s="75"/>
      <c r="AC67" s="75"/>
      <c r="AD67" s="75"/>
    </row>
    <row r="68" outlineLevel="1">
      <c r="A68" s="75"/>
      <c r="B68" s="243" t="b">
        <v>0</v>
      </c>
      <c r="C68" s="110" t="s">
        <v>342</v>
      </c>
      <c r="E68" s="248"/>
      <c r="F68" s="75"/>
      <c r="G68" s="75"/>
      <c r="H68" s="75"/>
      <c r="I68" s="75"/>
      <c r="J68" s="75"/>
      <c r="K68" s="75"/>
      <c r="L68" s="75"/>
      <c r="M68" s="75"/>
      <c r="N68" s="256"/>
      <c r="O68" s="183"/>
      <c r="P68" s="252"/>
      <c r="Q68" s="75"/>
      <c r="R68" s="75"/>
      <c r="S68" s="271"/>
      <c r="T68" s="239"/>
      <c r="U68" s="75"/>
      <c r="V68" s="75"/>
      <c r="W68" s="75"/>
      <c r="X68" s="75"/>
      <c r="Y68" s="75"/>
      <c r="Z68" s="75"/>
      <c r="AA68" s="75"/>
      <c r="AB68" s="75"/>
      <c r="AC68" s="75"/>
      <c r="AD68" s="75"/>
    </row>
    <row r="69">
      <c r="A69" s="75"/>
      <c r="B69" s="268"/>
      <c r="C69" s="242"/>
      <c r="D69" s="248"/>
      <c r="E69" s="248"/>
      <c r="F69" s="75"/>
      <c r="G69" s="75"/>
      <c r="H69" s="75"/>
      <c r="I69" s="75"/>
      <c r="J69" s="75"/>
      <c r="K69" s="75"/>
      <c r="L69" s="75"/>
      <c r="M69" s="75"/>
      <c r="N69" s="256"/>
      <c r="O69" s="272"/>
      <c r="P69" s="252"/>
      <c r="Q69" s="75"/>
      <c r="R69" s="75"/>
      <c r="S69" s="273"/>
      <c r="U69" s="75"/>
      <c r="V69" s="75"/>
      <c r="W69" s="75"/>
      <c r="X69" s="75"/>
      <c r="Y69" s="75"/>
      <c r="Z69" s="75"/>
      <c r="AA69" s="75"/>
      <c r="AB69" s="75"/>
      <c r="AC69" s="75"/>
      <c r="AD69" s="75"/>
    </row>
    <row r="70">
      <c r="A70" s="75"/>
      <c r="B70" s="268" t="s">
        <v>343</v>
      </c>
      <c r="C70" s="242"/>
      <c r="D70" s="248"/>
      <c r="E70" s="248"/>
      <c r="F70" s="75"/>
      <c r="G70" s="75"/>
      <c r="H70" s="75"/>
      <c r="I70" s="75"/>
      <c r="J70" s="75"/>
      <c r="K70" s="75"/>
      <c r="L70" s="75"/>
      <c r="M70" s="75"/>
      <c r="N70" s="256"/>
      <c r="O70" s="272"/>
      <c r="P70" s="274"/>
      <c r="Q70" s="75"/>
      <c r="R70" s="75"/>
      <c r="S70" s="75"/>
      <c r="T70" s="75"/>
      <c r="U70" s="75"/>
      <c r="V70" s="75"/>
      <c r="W70" s="75"/>
      <c r="X70" s="75"/>
      <c r="Y70" s="75"/>
      <c r="Z70" s="75"/>
      <c r="AA70" s="75"/>
      <c r="AB70" s="75"/>
      <c r="AC70" s="75"/>
      <c r="AD70" s="75"/>
    </row>
    <row r="71" outlineLevel="1">
      <c r="A71" s="75"/>
      <c r="B71" s="243" t="b">
        <v>0</v>
      </c>
      <c r="C71" s="275" t="s">
        <v>344</v>
      </c>
      <c r="K71" s="75"/>
      <c r="L71" s="75"/>
      <c r="M71" s="75"/>
      <c r="N71" s="256"/>
      <c r="O71" s="276"/>
      <c r="P71" s="242"/>
      <c r="Q71" s="75"/>
      <c r="R71" s="75"/>
      <c r="S71" s="75"/>
      <c r="T71" s="75"/>
      <c r="U71" s="75"/>
      <c r="V71" s="75"/>
      <c r="W71" s="75"/>
      <c r="X71" s="75"/>
      <c r="Y71" s="75"/>
      <c r="Z71" s="75"/>
      <c r="AA71" s="75"/>
      <c r="AB71" s="75"/>
      <c r="AC71" s="75"/>
      <c r="AD71" s="75"/>
    </row>
    <row r="72" outlineLevel="1">
      <c r="A72" s="75"/>
      <c r="B72" s="243"/>
      <c r="C72" s="276"/>
      <c r="D72" s="276"/>
      <c r="E72" s="276"/>
      <c r="F72" s="276"/>
      <c r="G72" s="276"/>
      <c r="H72" s="276"/>
      <c r="I72" s="276"/>
      <c r="J72" s="75"/>
      <c r="K72" s="75"/>
      <c r="L72" s="75"/>
      <c r="M72" s="75"/>
      <c r="N72" s="256"/>
      <c r="O72" s="277"/>
      <c r="P72" s="242"/>
      <c r="Q72" s="75"/>
      <c r="R72" s="75"/>
      <c r="S72" s="75"/>
      <c r="T72" s="75"/>
      <c r="U72" s="75"/>
      <c r="V72" s="75"/>
      <c r="W72" s="75"/>
      <c r="X72" s="75"/>
      <c r="Y72" s="75"/>
      <c r="Z72" s="75"/>
      <c r="AA72" s="75"/>
      <c r="AB72" s="75"/>
      <c r="AC72" s="75"/>
      <c r="AD72" s="75"/>
    </row>
    <row r="73" outlineLevel="1">
      <c r="A73" s="75"/>
      <c r="B73" s="243" t="b">
        <v>0</v>
      </c>
      <c r="C73" s="244" t="s">
        <v>345</v>
      </c>
      <c r="D73" s="248"/>
      <c r="E73" s="248"/>
      <c r="F73" s="75"/>
      <c r="G73" s="75"/>
      <c r="H73" s="75"/>
      <c r="I73" s="75"/>
      <c r="J73" s="75"/>
      <c r="K73" s="75"/>
      <c r="L73" s="75"/>
      <c r="M73" s="75"/>
      <c r="N73" s="256"/>
      <c r="O73" s="269"/>
      <c r="P73" s="240"/>
      <c r="Q73" s="75"/>
      <c r="R73" s="75"/>
      <c r="S73" s="75"/>
      <c r="T73" s="75"/>
      <c r="U73" s="75"/>
      <c r="V73" s="75"/>
      <c r="W73" s="75"/>
      <c r="X73" s="75"/>
      <c r="Y73" s="75"/>
      <c r="Z73" s="75"/>
      <c r="AA73" s="75"/>
      <c r="AB73" s="75"/>
      <c r="AC73" s="75"/>
      <c r="AD73" s="75"/>
    </row>
    <row r="74" outlineLevel="1">
      <c r="A74" s="75"/>
      <c r="B74" s="76"/>
      <c r="C74" s="248"/>
      <c r="D74" s="278" t="s">
        <v>346</v>
      </c>
      <c r="E74" s="242"/>
      <c r="F74" s="75"/>
      <c r="G74" s="75"/>
      <c r="H74" s="75"/>
      <c r="I74" s="75"/>
      <c r="J74" s="75"/>
      <c r="K74" s="75"/>
      <c r="L74" s="75"/>
      <c r="M74" s="75"/>
      <c r="N74" s="256"/>
      <c r="O74" s="269"/>
      <c r="P74" s="240"/>
      <c r="Q74" s="75"/>
      <c r="R74" s="75"/>
      <c r="S74" s="75"/>
      <c r="T74" s="75"/>
      <c r="U74" s="75"/>
      <c r="V74" s="75"/>
      <c r="W74" s="75"/>
      <c r="X74" s="75"/>
      <c r="Y74" s="75"/>
      <c r="Z74" s="75"/>
      <c r="AA74" s="75"/>
      <c r="AB74" s="75"/>
      <c r="AC74" s="75"/>
      <c r="AD74" s="75"/>
    </row>
    <row r="75" outlineLevel="1">
      <c r="A75" s="75"/>
      <c r="B75" s="243" t="b">
        <v>0</v>
      </c>
      <c r="C75" s="239" t="s">
        <v>347</v>
      </c>
      <c r="D75" s="248"/>
      <c r="E75" s="242"/>
      <c r="F75" s="75"/>
      <c r="G75" s="75"/>
      <c r="H75" s="75"/>
      <c r="I75" s="75"/>
      <c r="J75" s="75"/>
      <c r="K75" s="75"/>
      <c r="L75" s="75"/>
      <c r="M75" s="75"/>
      <c r="N75" s="256"/>
      <c r="O75" s="269"/>
      <c r="P75" s="240"/>
      <c r="Q75" s="75"/>
      <c r="R75" s="75"/>
      <c r="S75" s="75"/>
      <c r="T75" s="75"/>
      <c r="U75" s="75"/>
      <c r="V75" s="75"/>
      <c r="W75" s="75"/>
      <c r="X75" s="75"/>
      <c r="Y75" s="75"/>
      <c r="Z75" s="75"/>
      <c r="AA75" s="75"/>
      <c r="AB75" s="75"/>
      <c r="AC75" s="75"/>
      <c r="AD75" s="75"/>
    </row>
    <row r="76" ht="17.25" customHeight="1" outlineLevel="1">
      <c r="A76" s="75"/>
      <c r="B76" s="76"/>
      <c r="C76" s="242"/>
      <c r="D76" s="279" t="s">
        <v>348</v>
      </c>
      <c r="E76" s="242"/>
      <c r="F76" s="75"/>
      <c r="G76" s="75"/>
      <c r="H76" s="75"/>
      <c r="I76" s="75"/>
      <c r="J76" s="75"/>
      <c r="K76" s="75"/>
      <c r="L76" s="75"/>
      <c r="M76" s="75"/>
      <c r="N76" s="184"/>
      <c r="O76" s="269"/>
      <c r="P76" s="240"/>
      <c r="Q76" s="75"/>
      <c r="R76" s="75"/>
      <c r="S76" s="75"/>
      <c r="T76" s="75"/>
      <c r="U76" s="75"/>
      <c r="V76" s="75"/>
      <c r="W76" s="75"/>
      <c r="X76" s="75"/>
      <c r="Y76" s="75"/>
      <c r="Z76" s="75"/>
      <c r="AA76" s="75"/>
      <c r="AB76" s="75"/>
      <c r="AC76" s="75"/>
      <c r="AD76" s="75"/>
    </row>
    <row r="77" outlineLevel="1">
      <c r="A77" s="75"/>
      <c r="B77" s="76"/>
      <c r="C77" s="242"/>
      <c r="D77" s="278" t="s">
        <v>349</v>
      </c>
      <c r="E77" s="242"/>
      <c r="F77" s="75"/>
      <c r="G77" s="75"/>
      <c r="H77" s="75"/>
      <c r="I77" s="75"/>
      <c r="J77" s="75"/>
      <c r="K77" s="75"/>
      <c r="L77" s="75"/>
      <c r="M77" s="75"/>
      <c r="N77" s="184"/>
      <c r="O77" s="269"/>
      <c r="P77" s="240"/>
      <c r="Q77" s="75"/>
      <c r="R77" s="75"/>
      <c r="S77" s="75"/>
      <c r="T77" s="75"/>
      <c r="U77" s="75"/>
      <c r="V77" s="75"/>
      <c r="W77" s="75"/>
      <c r="X77" s="75"/>
      <c r="Y77" s="75"/>
      <c r="Z77" s="75"/>
      <c r="AA77" s="75"/>
      <c r="AB77" s="75"/>
      <c r="AC77" s="75"/>
      <c r="AD77" s="75"/>
    </row>
    <row r="78" outlineLevel="1">
      <c r="A78" s="75"/>
      <c r="B78" s="76"/>
      <c r="C78" s="242"/>
      <c r="D78" s="278" t="s">
        <v>350</v>
      </c>
      <c r="E78" s="242"/>
      <c r="F78" s="75"/>
      <c r="G78" s="75"/>
      <c r="H78" s="75"/>
      <c r="I78" s="75"/>
      <c r="J78" s="75"/>
      <c r="K78" s="75"/>
      <c r="L78" s="75"/>
      <c r="M78" s="75"/>
      <c r="N78" s="75"/>
      <c r="O78" s="269"/>
      <c r="P78" s="240"/>
      <c r="Q78" s="75"/>
      <c r="R78" s="75"/>
      <c r="S78" s="75"/>
      <c r="T78" s="75"/>
      <c r="U78" s="75"/>
      <c r="V78" s="75"/>
      <c r="W78" s="75"/>
      <c r="X78" s="75"/>
      <c r="Y78" s="75"/>
      <c r="Z78" s="75"/>
      <c r="AA78" s="75"/>
      <c r="AB78" s="75"/>
      <c r="AC78" s="75"/>
      <c r="AD78" s="75"/>
    </row>
    <row r="79" outlineLevel="1">
      <c r="A79" s="75"/>
      <c r="B79" s="243" t="b">
        <v>0</v>
      </c>
      <c r="C79" s="244" t="s">
        <v>351</v>
      </c>
      <c r="D79" s="242"/>
      <c r="E79" s="242"/>
      <c r="F79" s="75"/>
      <c r="G79" s="75"/>
      <c r="H79" s="75"/>
      <c r="I79" s="75"/>
      <c r="J79" s="75"/>
      <c r="K79" s="75"/>
      <c r="L79" s="75"/>
      <c r="M79" s="75"/>
      <c r="N79" s="75"/>
      <c r="O79" s="200"/>
      <c r="P79" s="184"/>
      <c r="Q79" s="75"/>
      <c r="R79" s="75"/>
      <c r="S79" s="75"/>
      <c r="T79" s="75"/>
      <c r="U79" s="75"/>
      <c r="V79" s="75"/>
      <c r="W79" s="75"/>
      <c r="X79" s="75"/>
      <c r="Y79" s="75"/>
      <c r="Z79" s="75"/>
      <c r="AA79" s="75"/>
      <c r="AB79" s="75"/>
      <c r="AC79" s="75"/>
      <c r="AD79" s="75"/>
    </row>
    <row r="80" outlineLevel="1">
      <c r="A80" s="75"/>
      <c r="B80" s="75"/>
      <c r="C80" s="248"/>
      <c r="D80" s="244" t="s">
        <v>352</v>
      </c>
      <c r="E80" s="242"/>
      <c r="F80" s="75"/>
      <c r="G80" s="75"/>
      <c r="H80" s="75"/>
      <c r="I80" s="75"/>
      <c r="J80" s="75"/>
      <c r="K80" s="75"/>
      <c r="L80" s="75"/>
      <c r="M80" s="75"/>
      <c r="N80" s="75"/>
      <c r="O80" s="200"/>
      <c r="P80" s="184"/>
      <c r="Q80" s="75"/>
      <c r="R80" s="75"/>
      <c r="S80" s="75"/>
      <c r="T80" s="75"/>
      <c r="U80" s="75"/>
      <c r="V80" s="75"/>
      <c r="W80" s="75"/>
      <c r="X80" s="75"/>
      <c r="Y80" s="75"/>
      <c r="Z80" s="75"/>
      <c r="AA80" s="75"/>
      <c r="AB80" s="75"/>
      <c r="AC80" s="75"/>
      <c r="AD80" s="75"/>
    </row>
    <row r="81" ht="16.5" customHeight="1" outlineLevel="1">
      <c r="A81" s="75"/>
      <c r="B81" s="243" t="b">
        <v>0</v>
      </c>
      <c r="C81" s="270" t="s">
        <v>353</v>
      </c>
      <c r="D81" s="248"/>
      <c r="E81" s="242"/>
      <c r="F81" s="75"/>
      <c r="G81" s="75"/>
      <c r="H81" s="75"/>
      <c r="I81" s="75"/>
      <c r="J81" s="75"/>
      <c r="K81" s="75"/>
      <c r="L81" s="75"/>
      <c r="M81" s="75"/>
      <c r="N81" s="75"/>
      <c r="O81" s="82"/>
      <c r="Q81" s="75"/>
      <c r="R81" s="75"/>
      <c r="S81" s="75"/>
      <c r="T81" s="75"/>
      <c r="U81" s="75"/>
      <c r="V81" s="75"/>
      <c r="W81" s="75"/>
      <c r="X81" s="75"/>
      <c r="Y81" s="75"/>
      <c r="Z81" s="75"/>
      <c r="AA81" s="75"/>
      <c r="AB81" s="75"/>
      <c r="AC81" s="75"/>
      <c r="AD81" s="75"/>
    </row>
    <row r="82">
      <c r="A82" s="75"/>
      <c r="B82" s="250"/>
      <c r="C82" s="248"/>
      <c r="D82" s="242"/>
      <c r="E82" s="242"/>
      <c r="F82" s="75"/>
      <c r="G82" s="75"/>
      <c r="H82" s="75"/>
      <c r="I82" s="75"/>
      <c r="J82" s="75"/>
      <c r="K82" s="75"/>
      <c r="L82" s="75"/>
      <c r="M82" s="75"/>
      <c r="N82" s="75"/>
      <c r="Q82" s="75"/>
      <c r="R82" s="75"/>
      <c r="S82" s="75"/>
      <c r="T82" s="75"/>
      <c r="U82" s="75"/>
      <c r="V82" s="75"/>
      <c r="W82" s="75"/>
      <c r="X82" s="75"/>
      <c r="Y82" s="75"/>
      <c r="Z82" s="75"/>
      <c r="AA82" s="75"/>
      <c r="AB82" s="75"/>
      <c r="AC82" s="75"/>
      <c r="AD82" s="75"/>
    </row>
    <row r="83">
      <c r="A83" s="75"/>
      <c r="B83" s="268" t="s">
        <v>354</v>
      </c>
      <c r="C83" s="248"/>
      <c r="D83" s="242"/>
      <c r="E83" s="242"/>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row>
    <row r="84">
      <c r="A84" s="75"/>
      <c r="B84" s="187" t="b">
        <v>1</v>
      </c>
      <c r="C84" s="239" t="s">
        <v>355</v>
      </c>
      <c r="D84" s="76"/>
      <c r="E84" s="242"/>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row>
    <row r="85">
      <c r="A85" s="75"/>
      <c r="B85" s="187" t="b">
        <v>1</v>
      </c>
      <c r="C85" s="239" t="s">
        <v>356</v>
      </c>
      <c r="D85" s="76"/>
      <c r="E85" s="242"/>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row>
    <row r="86">
      <c r="A86" s="75"/>
      <c r="B86" s="187" t="b">
        <v>1</v>
      </c>
      <c r="C86" s="239" t="s">
        <v>357</v>
      </c>
      <c r="D86" s="76"/>
      <c r="E86" s="242"/>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row>
    <row r="87">
      <c r="A87" s="75"/>
      <c r="B87" s="243"/>
      <c r="C87" s="244"/>
      <c r="D87" s="280" t="s">
        <v>358</v>
      </c>
      <c r="E87" s="242"/>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row>
    <row r="88">
      <c r="A88" s="75"/>
      <c r="B88" s="243" t="b">
        <v>0</v>
      </c>
      <c r="C88" s="239" t="s">
        <v>359</v>
      </c>
      <c r="D88" s="76"/>
      <c r="E88" s="242"/>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row>
    <row r="89">
      <c r="A89" s="75"/>
      <c r="B89" s="75"/>
      <c r="C89" s="75"/>
      <c r="D89" s="76"/>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row>
    <row r="90">
      <c r="A90" s="82" t="s">
        <v>360</v>
      </c>
      <c r="B90" s="268" t="s">
        <v>361</v>
      </c>
      <c r="C90" s="75"/>
      <c r="D90" s="76"/>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row>
    <row r="91" outlineLevel="1">
      <c r="A91" s="75"/>
      <c r="B91" s="281" t="s">
        <v>362</v>
      </c>
      <c r="C91" s="75"/>
      <c r="D91" s="76"/>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row>
    <row r="92" outlineLevel="1">
      <c r="A92" s="75"/>
      <c r="B92" s="7" t="b">
        <v>0</v>
      </c>
      <c r="C92" s="270" t="s">
        <v>363</v>
      </c>
      <c r="D92" s="76"/>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row>
    <row r="93" outlineLevel="1">
      <c r="A93" s="75"/>
      <c r="B93" s="7" t="b">
        <v>0</v>
      </c>
      <c r="C93" s="270" t="s">
        <v>364</v>
      </c>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row>
    <row r="94" outlineLevel="1">
      <c r="A94" s="75"/>
      <c r="B94" s="7" t="b">
        <v>0</v>
      </c>
      <c r="C94" s="270" t="s">
        <v>365</v>
      </c>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row>
    <row r="95" outlineLevel="1">
      <c r="A95" s="75"/>
      <c r="B95" s="7" t="b">
        <v>0</v>
      </c>
      <c r="C95" s="270" t="s">
        <v>366</v>
      </c>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row>
    <row r="96" outlineLevel="1">
      <c r="A96" s="75"/>
      <c r="B96" s="7" t="b">
        <v>0</v>
      </c>
      <c r="C96" s="270" t="s">
        <v>367</v>
      </c>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row>
    <row r="97" outlineLevel="1">
      <c r="A97" s="75"/>
      <c r="B97" s="281" t="s">
        <v>368</v>
      </c>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row>
    <row r="98" outlineLevel="1">
      <c r="A98" s="75"/>
      <c r="B98" s="7" t="b">
        <v>0</v>
      </c>
      <c r="C98" s="270" t="s">
        <v>369</v>
      </c>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row>
    <row r="99" outlineLevel="1">
      <c r="A99" s="75"/>
      <c r="B99" s="7" t="b">
        <v>0</v>
      </c>
      <c r="C99" s="270" t="s">
        <v>370</v>
      </c>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row>
    <row r="100" outlineLevel="1">
      <c r="A100" s="75"/>
      <c r="B100" s="7" t="b">
        <v>0</v>
      </c>
      <c r="C100" s="270" t="s">
        <v>371</v>
      </c>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row>
    <row r="101" outlineLevel="1">
      <c r="A101" s="75"/>
      <c r="B101" s="7" t="b">
        <v>0</v>
      </c>
      <c r="C101" s="270" t="s">
        <v>372</v>
      </c>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row>
    <row r="102" outlineLevel="1">
      <c r="A102" s="75"/>
      <c r="B102" s="7" t="b">
        <v>0</v>
      </c>
      <c r="C102" s="270" t="s">
        <v>373</v>
      </c>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row>
    <row r="103" outlineLevel="1">
      <c r="A103" s="75"/>
      <c r="B103" s="7" t="b">
        <v>0</v>
      </c>
      <c r="C103" s="270" t="s">
        <v>374</v>
      </c>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row>
    <row r="104">
      <c r="A104" s="75"/>
      <c r="B104" s="76"/>
      <c r="C104" s="76"/>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row>
    <row r="105">
      <c r="A105" s="75"/>
      <c r="B105" s="268" t="s">
        <v>375</v>
      </c>
      <c r="C105" s="76"/>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row>
    <row r="106" outlineLevel="1">
      <c r="B106" s="190"/>
      <c r="C106" s="190"/>
      <c r="M106" s="75"/>
      <c r="N106" s="75"/>
      <c r="O106" s="75"/>
      <c r="P106" s="75"/>
      <c r="Q106" s="75"/>
      <c r="R106" s="75"/>
      <c r="S106" s="75"/>
      <c r="T106" s="75"/>
      <c r="U106" s="75"/>
      <c r="V106" s="75"/>
      <c r="W106" s="75"/>
      <c r="X106" s="75"/>
      <c r="Y106" s="75"/>
      <c r="Z106" s="75"/>
      <c r="AA106" s="75"/>
      <c r="AB106" s="75"/>
      <c r="AC106" s="75"/>
      <c r="AD106" s="75"/>
    </row>
    <row r="107" outlineLevel="1">
      <c r="B107" s="282" t="s">
        <v>376</v>
      </c>
      <c r="C107" s="283" t="s">
        <v>149</v>
      </c>
      <c r="D107" s="283" t="s">
        <v>377</v>
      </c>
      <c r="E107" s="283" t="s">
        <v>378</v>
      </c>
      <c r="F107" s="283"/>
      <c r="G107" s="283"/>
      <c r="H107" s="283" t="s">
        <v>379</v>
      </c>
      <c r="I107" s="284"/>
      <c r="J107" s="284"/>
      <c r="M107" s="75"/>
      <c r="N107" s="75"/>
      <c r="O107" s="75"/>
      <c r="P107" s="75"/>
      <c r="Q107" s="75"/>
      <c r="R107" s="75"/>
      <c r="S107" s="75"/>
      <c r="T107" s="75"/>
      <c r="U107" s="75"/>
      <c r="V107" s="75"/>
      <c r="W107" s="75"/>
      <c r="X107" s="75"/>
      <c r="Y107" s="75"/>
      <c r="Z107" s="75"/>
      <c r="AA107" s="75"/>
      <c r="AB107" s="75"/>
      <c r="AC107" s="75"/>
      <c r="AD107" s="75"/>
    </row>
    <row r="108" outlineLevel="1">
      <c r="B108" s="282" t="s">
        <v>380</v>
      </c>
      <c r="C108" s="283"/>
      <c r="D108" s="283"/>
      <c r="E108" s="283"/>
      <c r="F108" s="283"/>
      <c r="G108" s="283"/>
      <c r="H108" s="283"/>
      <c r="I108" s="284"/>
      <c r="J108" s="284"/>
      <c r="M108" s="75"/>
      <c r="N108" s="75"/>
      <c r="O108" s="75"/>
      <c r="P108" s="75"/>
      <c r="Q108" s="75"/>
      <c r="R108" s="75"/>
      <c r="S108" s="75"/>
      <c r="T108" s="75"/>
      <c r="U108" s="75"/>
      <c r="V108" s="75"/>
      <c r="W108" s="75"/>
      <c r="X108" s="75"/>
      <c r="Y108" s="75"/>
      <c r="Z108" s="75"/>
      <c r="AA108" s="75"/>
      <c r="AB108" s="75"/>
      <c r="AC108" s="75"/>
      <c r="AD108" s="75"/>
    </row>
    <row r="109" outlineLevel="1">
      <c r="B109" s="284">
        <v>1.0</v>
      </c>
      <c r="C109" s="284" t="s">
        <v>381</v>
      </c>
      <c r="D109" s="284" t="s">
        <v>381</v>
      </c>
      <c r="E109" s="284" t="s">
        <v>382</v>
      </c>
      <c r="F109" s="284"/>
      <c r="G109" s="284"/>
      <c r="H109" s="284"/>
      <c r="I109" s="284"/>
      <c r="J109" s="284"/>
      <c r="M109" s="75"/>
      <c r="N109" s="75"/>
      <c r="O109" s="75"/>
      <c r="P109" s="75"/>
      <c r="Q109" s="75"/>
      <c r="R109" s="75"/>
      <c r="S109" s="75"/>
      <c r="T109" s="75"/>
      <c r="U109" s="75"/>
      <c r="V109" s="75"/>
      <c r="W109" s="75"/>
      <c r="X109" s="75"/>
      <c r="Y109" s="75"/>
      <c r="Z109" s="75"/>
      <c r="AA109" s="75"/>
      <c r="AB109" s="75"/>
      <c r="AC109" s="75"/>
      <c r="AD109" s="75"/>
    </row>
    <row r="110" outlineLevel="1">
      <c r="B110" s="285">
        <v>1.1</v>
      </c>
      <c r="C110" s="285" t="s">
        <v>381</v>
      </c>
      <c r="D110" s="285" t="s">
        <v>381</v>
      </c>
      <c r="E110" s="285" t="s">
        <v>381</v>
      </c>
      <c r="F110" s="285" t="s">
        <v>381</v>
      </c>
      <c r="G110" s="285" t="s">
        <v>381</v>
      </c>
      <c r="H110" s="285" t="s">
        <v>383</v>
      </c>
      <c r="I110" s="284"/>
      <c r="J110" s="284"/>
      <c r="M110" s="75"/>
      <c r="N110" s="75"/>
      <c r="O110" s="75"/>
      <c r="P110" s="75"/>
      <c r="Q110" s="75"/>
      <c r="R110" s="75"/>
      <c r="S110" s="75"/>
      <c r="T110" s="75"/>
      <c r="U110" s="75"/>
      <c r="V110" s="75"/>
      <c r="W110" s="75"/>
      <c r="X110" s="75"/>
      <c r="Y110" s="75"/>
      <c r="Z110" s="75"/>
      <c r="AA110" s="75"/>
      <c r="AB110" s="75"/>
      <c r="AC110" s="75"/>
      <c r="AD110" s="75"/>
    </row>
    <row r="111" outlineLevel="1">
      <c r="B111" s="285">
        <v>1.2</v>
      </c>
      <c r="C111" s="285" t="s">
        <v>381</v>
      </c>
      <c r="D111" s="285" t="s">
        <v>381</v>
      </c>
      <c r="E111" s="284" t="s">
        <v>384</v>
      </c>
      <c r="F111" s="285" t="s">
        <v>381</v>
      </c>
      <c r="G111" s="285" t="s">
        <v>381</v>
      </c>
      <c r="H111" s="285" t="s">
        <v>385</v>
      </c>
      <c r="I111" s="284"/>
      <c r="J111" s="284"/>
      <c r="M111" s="75"/>
      <c r="N111" s="75"/>
      <c r="O111" s="75"/>
      <c r="P111" s="75"/>
      <c r="Q111" s="75"/>
      <c r="R111" s="75"/>
      <c r="S111" s="75"/>
      <c r="T111" s="75"/>
      <c r="U111" s="75"/>
      <c r="V111" s="75"/>
      <c r="W111" s="75"/>
      <c r="X111" s="75"/>
      <c r="Y111" s="75"/>
      <c r="Z111" s="75"/>
      <c r="AA111" s="75"/>
      <c r="AB111" s="75"/>
      <c r="AC111" s="75"/>
      <c r="AD111" s="75"/>
    </row>
    <row r="112" outlineLevel="1">
      <c r="B112" s="284">
        <v>2.0</v>
      </c>
      <c r="C112" s="284" t="s">
        <v>17</v>
      </c>
      <c r="D112" s="284" t="s">
        <v>381</v>
      </c>
      <c r="E112" s="284" t="s">
        <v>381</v>
      </c>
      <c r="F112" s="284" t="s">
        <v>381</v>
      </c>
      <c r="G112" s="284" t="s">
        <v>381</v>
      </c>
      <c r="H112" s="284"/>
      <c r="I112" s="284"/>
      <c r="J112" s="284"/>
      <c r="M112" s="75"/>
      <c r="N112" s="75"/>
      <c r="O112" s="75"/>
      <c r="P112" s="75"/>
      <c r="Q112" s="75"/>
      <c r="R112" s="75"/>
      <c r="S112" s="75"/>
      <c r="T112" s="75"/>
      <c r="U112" s="75"/>
      <c r="V112" s="75"/>
      <c r="W112" s="75"/>
      <c r="X112" s="75"/>
      <c r="Y112" s="75"/>
      <c r="Z112" s="75"/>
      <c r="AA112" s="75"/>
      <c r="AB112" s="75"/>
      <c r="AC112" s="75"/>
      <c r="AD112" s="75"/>
    </row>
    <row r="113" outlineLevel="1">
      <c r="B113" s="284">
        <v>2.1</v>
      </c>
      <c r="C113" s="284" t="s">
        <v>17</v>
      </c>
      <c r="D113" s="284" t="s">
        <v>381</v>
      </c>
      <c r="E113" s="284" t="s">
        <v>17</v>
      </c>
      <c r="F113" s="284" t="s">
        <v>381</v>
      </c>
      <c r="G113" s="284" t="s">
        <v>381</v>
      </c>
      <c r="H113" s="284"/>
      <c r="I113" s="284"/>
      <c r="J113" s="284"/>
      <c r="M113" s="75"/>
      <c r="N113" s="75"/>
      <c r="O113" s="75"/>
      <c r="P113" s="75"/>
      <c r="Q113" s="75"/>
      <c r="R113" s="75"/>
      <c r="S113" s="75"/>
      <c r="T113" s="75"/>
      <c r="U113" s="75"/>
      <c r="V113" s="75"/>
      <c r="W113" s="75"/>
      <c r="X113" s="75"/>
      <c r="Y113" s="75"/>
      <c r="Z113" s="75"/>
      <c r="AA113" s="75"/>
      <c r="AB113" s="75"/>
      <c r="AC113" s="75"/>
      <c r="AD113" s="75"/>
    </row>
    <row r="114" outlineLevel="1">
      <c r="B114" s="284">
        <v>2.2</v>
      </c>
      <c r="C114" s="284" t="s">
        <v>17</v>
      </c>
      <c r="D114" s="284" t="s">
        <v>381</v>
      </c>
      <c r="E114" s="284" t="s">
        <v>384</v>
      </c>
      <c r="F114" s="284" t="s">
        <v>384</v>
      </c>
      <c r="G114" s="284" t="s">
        <v>384</v>
      </c>
      <c r="H114" s="284" t="s">
        <v>381</v>
      </c>
      <c r="I114" s="284" t="s">
        <v>381</v>
      </c>
      <c r="J114" s="284" t="s">
        <v>381</v>
      </c>
      <c r="M114" s="75"/>
      <c r="N114" s="75"/>
      <c r="O114" s="75"/>
      <c r="P114" s="75"/>
      <c r="Q114" s="75"/>
      <c r="R114" s="75"/>
      <c r="S114" s="75"/>
      <c r="T114" s="75"/>
      <c r="U114" s="75"/>
      <c r="V114" s="75"/>
      <c r="W114" s="75"/>
      <c r="X114" s="75"/>
      <c r="Y114" s="75"/>
      <c r="Z114" s="75"/>
      <c r="AA114" s="75"/>
      <c r="AB114" s="75"/>
      <c r="AC114" s="75"/>
      <c r="AD114" s="75"/>
    </row>
    <row r="115" outlineLevel="1">
      <c r="B115" s="285">
        <v>2.3</v>
      </c>
      <c r="C115" s="285" t="s">
        <v>386</v>
      </c>
      <c r="D115" s="285" t="s">
        <v>381</v>
      </c>
      <c r="E115" s="284" t="s">
        <v>382</v>
      </c>
      <c r="F115" s="284"/>
      <c r="G115" s="284"/>
      <c r="H115" s="284"/>
      <c r="I115" s="284"/>
      <c r="J115" s="284"/>
      <c r="M115" s="75"/>
      <c r="N115" s="75"/>
      <c r="O115" s="75"/>
      <c r="P115" s="75"/>
      <c r="Q115" s="75"/>
      <c r="R115" s="75"/>
      <c r="S115" s="75"/>
      <c r="T115" s="75"/>
      <c r="U115" s="75"/>
      <c r="V115" s="75"/>
      <c r="W115" s="75"/>
      <c r="X115" s="75"/>
      <c r="Y115" s="75"/>
      <c r="Z115" s="75"/>
      <c r="AA115" s="75"/>
      <c r="AB115" s="75"/>
      <c r="AC115" s="75"/>
      <c r="AD115" s="75"/>
    </row>
    <row r="116" outlineLevel="1">
      <c r="B116" s="285">
        <v>2.4</v>
      </c>
      <c r="C116" s="285" t="s">
        <v>17</v>
      </c>
      <c r="D116" s="285" t="s">
        <v>381</v>
      </c>
      <c r="E116" s="285" t="s">
        <v>387</v>
      </c>
      <c r="F116" s="284"/>
      <c r="G116" s="284"/>
      <c r="H116" s="284"/>
      <c r="I116" s="284"/>
      <c r="J116" s="284"/>
      <c r="M116" s="75"/>
      <c r="N116" s="75"/>
      <c r="O116" s="75"/>
      <c r="P116" s="75"/>
      <c r="Q116" s="75"/>
      <c r="R116" s="75"/>
      <c r="S116" s="75"/>
      <c r="T116" s="75"/>
      <c r="U116" s="75"/>
      <c r="V116" s="75"/>
      <c r="W116" s="75"/>
      <c r="X116" s="75"/>
      <c r="Y116" s="75"/>
      <c r="Z116" s="75"/>
      <c r="AA116" s="75"/>
      <c r="AB116" s="75"/>
      <c r="AC116" s="75"/>
      <c r="AD116" s="75"/>
    </row>
    <row r="117" outlineLevel="1">
      <c r="B117" s="284">
        <v>3.0</v>
      </c>
      <c r="C117" s="284" t="s">
        <v>17</v>
      </c>
      <c r="D117" s="284" t="s">
        <v>17</v>
      </c>
      <c r="E117" s="284" t="s">
        <v>382</v>
      </c>
      <c r="F117" s="284"/>
      <c r="G117" s="284"/>
      <c r="H117" s="284"/>
      <c r="I117" s="284"/>
      <c r="J117" s="284"/>
      <c r="M117" s="75"/>
      <c r="N117" s="75"/>
      <c r="O117" s="75"/>
      <c r="P117" s="75"/>
      <c r="Q117" s="75"/>
      <c r="R117" s="75"/>
      <c r="S117" s="75"/>
      <c r="T117" s="75"/>
      <c r="U117" s="75"/>
      <c r="V117" s="75"/>
      <c r="W117" s="75"/>
      <c r="X117" s="75"/>
      <c r="Y117" s="75"/>
      <c r="Z117" s="75"/>
      <c r="AA117" s="75"/>
      <c r="AB117" s="75"/>
      <c r="AC117" s="75"/>
      <c r="AD117" s="75"/>
    </row>
    <row r="118" outlineLevel="1">
      <c r="B118" s="284">
        <v>3.1</v>
      </c>
      <c r="C118" s="284" t="s">
        <v>17</v>
      </c>
      <c r="D118" s="284" t="s">
        <v>17</v>
      </c>
      <c r="E118" s="284" t="s">
        <v>388</v>
      </c>
      <c r="F118" s="284" t="s">
        <v>388</v>
      </c>
      <c r="G118" s="284" t="s">
        <v>388</v>
      </c>
      <c r="H118" s="284"/>
      <c r="I118" s="284"/>
      <c r="J118" s="284"/>
      <c r="M118" s="75"/>
      <c r="N118" s="75"/>
      <c r="O118" s="75"/>
      <c r="P118" s="75"/>
      <c r="Q118" s="75"/>
      <c r="R118" s="75"/>
      <c r="S118" s="75"/>
      <c r="T118" s="75"/>
      <c r="U118" s="75"/>
      <c r="V118" s="75"/>
      <c r="W118" s="75"/>
      <c r="X118" s="75"/>
      <c r="Y118" s="75"/>
      <c r="Z118" s="75"/>
      <c r="AA118" s="75"/>
      <c r="AB118" s="75"/>
      <c r="AC118" s="75"/>
      <c r="AD118" s="75"/>
    </row>
    <row r="119" outlineLevel="1">
      <c r="B119" s="284">
        <v>3.2</v>
      </c>
      <c r="C119" s="284" t="s">
        <v>17</v>
      </c>
      <c r="D119" s="284" t="s">
        <v>17</v>
      </c>
      <c r="E119" s="284" t="s">
        <v>384</v>
      </c>
      <c r="F119" s="284" t="s">
        <v>384</v>
      </c>
      <c r="G119" s="284" t="s">
        <v>384</v>
      </c>
      <c r="H119" s="284"/>
      <c r="I119" s="284"/>
      <c r="J119" s="284"/>
      <c r="M119" s="75"/>
      <c r="N119" s="75"/>
      <c r="O119" s="75"/>
      <c r="P119" s="75"/>
      <c r="Q119" s="75"/>
      <c r="R119" s="75"/>
      <c r="S119" s="75"/>
      <c r="T119" s="75"/>
      <c r="U119" s="75"/>
      <c r="V119" s="75"/>
      <c r="W119" s="75"/>
      <c r="X119" s="75"/>
      <c r="Y119" s="75"/>
      <c r="Z119" s="75"/>
      <c r="AA119" s="75"/>
      <c r="AB119" s="75"/>
      <c r="AC119" s="75"/>
      <c r="AD119" s="75"/>
    </row>
    <row r="120" outlineLevel="1">
      <c r="B120" s="285">
        <v>3.3</v>
      </c>
      <c r="C120" s="284" t="s">
        <v>17</v>
      </c>
      <c r="D120" s="284" t="s">
        <v>17</v>
      </c>
      <c r="E120" s="284" t="s">
        <v>384</v>
      </c>
      <c r="F120" s="284" t="s">
        <v>384</v>
      </c>
      <c r="G120" s="284" t="s">
        <v>384</v>
      </c>
      <c r="H120" s="284" t="s">
        <v>384</v>
      </c>
      <c r="I120" s="284" t="s">
        <v>384</v>
      </c>
      <c r="J120" s="284" t="s">
        <v>384</v>
      </c>
      <c r="M120" s="75"/>
      <c r="N120" s="75"/>
      <c r="O120" s="75"/>
      <c r="P120" s="75"/>
      <c r="Q120" s="75"/>
      <c r="R120" s="75"/>
      <c r="S120" s="75"/>
      <c r="T120" s="75"/>
      <c r="U120" s="75"/>
      <c r="V120" s="75"/>
      <c r="W120" s="75"/>
      <c r="X120" s="75"/>
      <c r="Y120" s="75"/>
      <c r="Z120" s="75"/>
      <c r="AA120" s="75"/>
      <c r="AB120" s="75"/>
      <c r="AC120" s="75"/>
      <c r="AD120" s="75"/>
    </row>
    <row r="121" outlineLevel="1">
      <c r="B121" s="285">
        <v>4.0</v>
      </c>
      <c r="C121" s="285" t="s">
        <v>17</v>
      </c>
      <c r="D121" s="285" t="s">
        <v>16</v>
      </c>
      <c r="E121" s="285" t="s">
        <v>384</v>
      </c>
      <c r="F121" s="285" t="s">
        <v>384</v>
      </c>
      <c r="G121" s="285" t="s">
        <v>384</v>
      </c>
      <c r="H121" s="284"/>
      <c r="I121" s="284"/>
      <c r="J121" s="284"/>
      <c r="M121" s="75"/>
      <c r="N121" s="75"/>
      <c r="O121" s="75"/>
      <c r="P121" s="75"/>
      <c r="Q121" s="75"/>
      <c r="R121" s="75"/>
      <c r="S121" s="75"/>
      <c r="T121" s="75"/>
      <c r="U121" s="75"/>
      <c r="V121" s="75"/>
      <c r="W121" s="75"/>
      <c r="X121" s="75"/>
      <c r="Y121" s="75"/>
      <c r="Z121" s="75"/>
      <c r="AA121" s="75"/>
      <c r="AB121" s="75"/>
      <c r="AC121" s="75"/>
      <c r="AD121" s="75"/>
    </row>
    <row r="122" outlineLevel="1">
      <c r="B122" s="285">
        <v>4.1</v>
      </c>
      <c r="C122" s="285" t="s">
        <v>17</v>
      </c>
      <c r="D122" s="285" t="s">
        <v>16</v>
      </c>
      <c r="E122" s="285" t="s">
        <v>384</v>
      </c>
      <c r="F122" s="285" t="s">
        <v>384</v>
      </c>
      <c r="G122" s="285" t="s">
        <v>384</v>
      </c>
      <c r="H122" s="285" t="s">
        <v>384</v>
      </c>
      <c r="I122" s="285" t="s">
        <v>384</v>
      </c>
      <c r="J122" s="285" t="s">
        <v>384</v>
      </c>
      <c r="M122" s="75"/>
      <c r="N122" s="75"/>
      <c r="O122" s="75"/>
      <c r="P122" s="75"/>
      <c r="Q122" s="75"/>
      <c r="R122" s="75"/>
      <c r="S122" s="75"/>
      <c r="T122" s="75"/>
      <c r="U122" s="75"/>
      <c r="V122" s="75"/>
      <c r="W122" s="75"/>
      <c r="X122" s="75"/>
      <c r="Y122" s="75"/>
      <c r="Z122" s="75"/>
      <c r="AA122" s="75"/>
      <c r="AB122" s="75"/>
      <c r="AC122" s="75"/>
      <c r="AD122" s="75"/>
    </row>
    <row r="123" outlineLevel="1">
      <c r="B123" s="285">
        <v>5.0</v>
      </c>
      <c r="C123" s="285" t="s">
        <v>16</v>
      </c>
      <c r="D123" s="285" t="s">
        <v>381</v>
      </c>
      <c r="E123" s="285" t="s">
        <v>381</v>
      </c>
      <c r="F123" s="285" t="s">
        <v>381</v>
      </c>
      <c r="G123" s="285" t="s">
        <v>381</v>
      </c>
      <c r="H123" s="284"/>
      <c r="I123" s="284"/>
      <c r="J123" s="284"/>
      <c r="M123" s="75"/>
      <c r="N123" s="75"/>
      <c r="O123" s="75"/>
      <c r="P123" s="75"/>
      <c r="Q123" s="75"/>
      <c r="R123" s="75"/>
      <c r="S123" s="75"/>
      <c r="T123" s="75"/>
      <c r="U123" s="75"/>
      <c r="V123" s="75"/>
      <c r="W123" s="75"/>
      <c r="X123" s="75"/>
      <c r="Y123" s="75"/>
      <c r="Z123" s="75"/>
      <c r="AA123" s="75"/>
      <c r="AB123" s="75"/>
      <c r="AC123" s="75"/>
      <c r="AD123" s="75"/>
    </row>
    <row r="124" outlineLevel="1">
      <c r="B124" s="285">
        <v>5.1</v>
      </c>
      <c r="C124" s="285" t="s">
        <v>16</v>
      </c>
      <c r="D124" s="285" t="s">
        <v>381</v>
      </c>
      <c r="E124" s="285" t="s">
        <v>381</v>
      </c>
      <c r="F124" s="285" t="s">
        <v>389</v>
      </c>
      <c r="G124" s="284"/>
      <c r="H124" s="284"/>
      <c r="I124" s="284"/>
      <c r="J124" s="284"/>
      <c r="M124" s="75"/>
      <c r="N124" s="75"/>
      <c r="O124" s="75"/>
      <c r="P124" s="75"/>
      <c r="Q124" s="75"/>
      <c r="R124" s="75"/>
      <c r="S124" s="75"/>
      <c r="T124" s="75"/>
      <c r="U124" s="75"/>
      <c r="V124" s="75"/>
      <c r="W124" s="75"/>
      <c r="X124" s="75"/>
      <c r="Y124" s="75"/>
      <c r="Z124" s="75"/>
      <c r="AA124" s="75"/>
      <c r="AB124" s="75"/>
      <c r="AC124" s="75"/>
      <c r="AD124" s="75"/>
    </row>
    <row r="125" outlineLevel="1">
      <c r="B125" s="285">
        <v>5.2</v>
      </c>
      <c r="C125" s="284" t="s">
        <v>16</v>
      </c>
      <c r="D125" s="285" t="s">
        <v>381</v>
      </c>
      <c r="E125" s="285" t="s">
        <v>381</v>
      </c>
      <c r="F125" s="285" t="s">
        <v>381</v>
      </c>
      <c r="G125" s="285" t="s">
        <v>381</v>
      </c>
      <c r="H125" s="285" t="s">
        <v>381</v>
      </c>
      <c r="I125" s="285" t="s">
        <v>381</v>
      </c>
      <c r="J125" s="285" t="s">
        <v>381</v>
      </c>
      <c r="M125" s="75"/>
      <c r="N125" s="75"/>
      <c r="O125" s="75"/>
      <c r="P125" s="75"/>
      <c r="Q125" s="75"/>
      <c r="R125" s="75"/>
      <c r="S125" s="75"/>
      <c r="T125" s="75"/>
      <c r="U125" s="75"/>
      <c r="V125" s="75"/>
      <c r="W125" s="75"/>
      <c r="X125" s="75"/>
      <c r="Y125" s="75"/>
      <c r="Z125" s="75"/>
      <c r="AA125" s="75"/>
      <c r="AB125" s="75"/>
      <c r="AC125" s="75"/>
      <c r="AD125" s="75"/>
    </row>
    <row r="126" outlineLevel="1">
      <c r="B126" s="286">
        <v>5.3</v>
      </c>
      <c r="C126" s="286" t="s">
        <v>16</v>
      </c>
      <c r="D126" s="286" t="s">
        <v>381</v>
      </c>
      <c r="E126" s="286" t="s">
        <v>390</v>
      </c>
      <c r="F126" s="284"/>
      <c r="G126" s="284"/>
      <c r="H126" s="284"/>
      <c r="I126" s="284"/>
      <c r="J126" s="284"/>
      <c r="M126" s="75"/>
      <c r="N126" s="75"/>
      <c r="O126" s="75"/>
      <c r="P126" s="75"/>
      <c r="Q126" s="75"/>
      <c r="R126" s="75"/>
      <c r="S126" s="75"/>
      <c r="T126" s="75"/>
      <c r="U126" s="75"/>
      <c r="V126" s="75"/>
      <c r="W126" s="75"/>
      <c r="X126" s="75"/>
      <c r="Y126" s="75"/>
      <c r="Z126" s="75"/>
      <c r="AA126" s="75"/>
      <c r="AB126" s="75"/>
      <c r="AC126" s="75"/>
      <c r="AD126" s="75"/>
    </row>
    <row r="127" outlineLevel="1">
      <c r="B127" s="284">
        <v>6.1</v>
      </c>
      <c r="C127" s="284" t="s">
        <v>16</v>
      </c>
      <c r="D127" s="284" t="s">
        <v>17</v>
      </c>
      <c r="E127" s="284" t="s">
        <v>384</v>
      </c>
      <c r="F127" s="284" t="s">
        <v>384</v>
      </c>
      <c r="G127" s="284" t="s">
        <v>384</v>
      </c>
      <c r="H127" s="284" t="s">
        <v>384</v>
      </c>
      <c r="I127" s="284" t="s">
        <v>384</v>
      </c>
      <c r="J127" s="284" t="s">
        <v>384</v>
      </c>
      <c r="M127" s="75"/>
      <c r="N127" s="75"/>
      <c r="O127" s="75"/>
      <c r="P127" s="75"/>
      <c r="Q127" s="75"/>
      <c r="R127" s="75"/>
      <c r="S127" s="75"/>
      <c r="T127" s="75"/>
      <c r="U127" s="75"/>
      <c r="V127" s="75"/>
      <c r="W127" s="75"/>
      <c r="X127" s="75"/>
      <c r="Y127" s="75"/>
      <c r="Z127" s="75"/>
      <c r="AA127" s="75"/>
      <c r="AB127" s="75"/>
      <c r="AC127" s="75"/>
      <c r="AD127" s="75"/>
    </row>
    <row r="128" outlineLevel="1">
      <c r="B128" s="285">
        <v>6.2</v>
      </c>
      <c r="C128" s="285" t="s">
        <v>16</v>
      </c>
      <c r="D128" s="285" t="s">
        <v>17</v>
      </c>
      <c r="E128" s="284" t="s">
        <v>384</v>
      </c>
      <c r="F128" s="284" t="s">
        <v>384</v>
      </c>
      <c r="G128" s="284" t="s">
        <v>384</v>
      </c>
      <c r="H128" s="284"/>
      <c r="I128" s="284"/>
      <c r="J128" s="284"/>
      <c r="M128" s="75"/>
      <c r="N128" s="75"/>
      <c r="O128" s="75"/>
      <c r="P128" s="75"/>
      <c r="Q128" s="75"/>
      <c r="R128" s="75"/>
      <c r="S128" s="75"/>
      <c r="T128" s="75"/>
      <c r="U128" s="75"/>
      <c r="V128" s="75"/>
      <c r="W128" s="75"/>
      <c r="X128" s="75"/>
      <c r="Y128" s="75"/>
      <c r="Z128" s="75"/>
      <c r="AA128" s="75"/>
      <c r="AB128" s="75"/>
      <c r="AC128" s="75"/>
      <c r="AD128" s="75"/>
    </row>
    <row r="129" outlineLevel="1">
      <c r="B129" s="284">
        <v>7.0</v>
      </c>
      <c r="C129" s="284" t="s">
        <v>16</v>
      </c>
      <c r="D129" s="284" t="s">
        <v>16</v>
      </c>
      <c r="E129" s="284" t="s">
        <v>382</v>
      </c>
      <c r="F129" s="284"/>
      <c r="G129" s="284"/>
      <c r="H129" s="284"/>
      <c r="I129" s="284"/>
      <c r="J129" s="284"/>
      <c r="M129" s="75"/>
      <c r="N129" s="75"/>
      <c r="O129" s="75"/>
      <c r="P129" s="75"/>
      <c r="Q129" s="75"/>
      <c r="R129" s="75"/>
      <c r="S129" s="75"/>
      <c r="T129" s="75"/>
      <c r="U129" s="75"/>
      <c r="V129" s="75"/>
      <c r="W129" s="75"/>
      <c r="X129" s="75"/>
      <c r="Y129" s="75"/>
      <c r="Z129" s="75"/>
      <c r="AA129" s="75"/>
      <c r="AB129" s="75"/>
      <c r="AC129" s="75"/>
      <c r="AD129" s="75"/>
    </row>
    <row r="130" outlineLevel="1">
      <c r="B130" s="284">
        <v>7.1</v>
      </c>
      <c r="C130" s="284" t="s">
        <v>16</v>
      </c>
      <c r="D130" s="284" t="s">
        <v>16</v>
      </c>
      <c r="E130" s="284" t="s">
        <v>16</v>
      </c>
      <c r="F130" s="284" t="s">
        <v>16</v>
      </c>
      <c r="G130" s="284" t="s">
        <v>16</v>
      </c>
      <c r="H130" s="284"/>
      <c r="I130" s="284"/>
      <c r="J130" s="284"/>
      <c r="M130" s="75"/>
      <c r="N130" s="75"/>
      <c r="O130" s="75"/>
      <c r="P130" s="75"/>
      <c r="Q130" s="75"/>
      <c r="R130" s="75"/>
      <c r="S130" s="75"/>
      <c r="T130" s="75"/>
      <c r="U130" s="75"/>
      <c r="V130" s="75"/>
      <c r="W130" s="75"/>
      <c r="X130" s="75"/>
      <c r="Y130" s="75"/>
      <c r="Z130" s="75"/>
      <c r="AA130" s="75"/>
      <c r="AB130" s="75"/>
      <c r="AC130" s="75"/>
      <c r="AD130" s="75"/>
    </row>
    <row r="131" outlineLevel="1">
      <c r="B131" s="284">
        <v>7.2</v>
      </c>
      <c r="C131" s="284" t="s">
        <v>16</v>
      </c>
      <c r="D131" s="284" t="s">
        <v>16</v>
      </c>
      <c r="E131" s="284" t="s">
        <v>16</v>
      </c>
      <c r="F131" s="284" t="s">
        <v>16</v>
      </c>
      <c r="G131" s="284" t="s">
        <v>17</v>
      </c>
      <c r="H131" s="284"/>
      <c r="I131" s="284"/>
      <c r="J131" s="284"/>
      <c r="M131" s="75"/>
      <c r="N131" s="75"/>
      <c r="O131" s="75"/>
      <c r="P131" s="75"/>
      <c r="Q131" s="75"/>
      <c r="R131" s="75"/>
      <c r="S131" s="75"/>
      <c r="T131" s="75"/>
      <c r="U131" s="75"/>
      <c r="V131" s="75"/>
      <c r="W131" s="75"/>
      <c r="X131" s="75"/>
      <c r="Y131" s="75"/>
      <c r="Z131" s="75"/>
      <c r="AA131" s="75"/>
      <c r="AB131" s="75"/>
      <c r="AC131" s="75"/>
      <c r="AD131" s="75"/>
    </row>
    <row r="132" outlineLevel="1">
      <c r="B132" s="284">
        <v>7.3</v>
      </c>
      <c r="C132" s="284" t="s">
        <v>16</v>
      </c>
      <c r="D132" s="284" t="s">
        <v>16</v>
      </c>
      <c r="E132" s="284" t="s">
        <v>16</v>
      </c>
      <c r="F132" s="284" t="s">
        <v>16</v>
      </c>
      <c r="G132" s="284" t="s">
        <v>381</v>
      </c>
      <c r="H132" s="284"/>
      <c r="I132" s="284"/>
      <c r="J132" s="284"/>
      <c r="M132" s="75"/>
      <c r="N132" s="75"/>
      <c r="O132" s="75"/>
      <c r="P132" s="75"/>
      <c r="Q132" s="75"/>
      <c r="R132" s="75"/>
      <c r="S132" s="75"/>
      <c r="T132" s="75"/>
      <c r="U132" s="75"/>
      <c r="V132" s="75"/>
      <c r="W132" s="75"/>
      <c r="X132" s="75"/>
      <c r="Y132" s="75"/>
      <c r="Z132" s="75"/>
      <c r="AA132" s="75"/>
      <c r="AB132" s="75"/>
      <c r="AC132" s="75"/>
      <c r="AD132" s="75"/>
    </row>
    <row r="133" outlineLevel="1">
      <c r="B133" s="284">
        <v>7.4</v>
      </c>
      <c r="C133" s="284" t="s">
        <v>16</v>
      </c>
      <c r="D133" s="284" t="s">
        <v>16</v>
      </c>
      <c r="E133" s="284" t="s">
        <v>384</v>
      </c>
      <c r="F133" s="284" t="s">
        <v>384</v>
      </c>
      <c r="G133" s="284" t="s">
        <v>384</v>
      </c>
      <c r="H133" s="284"/>
      <c r="I133" s="284"/>
      <c r="J133" s="284"/>
      <c r="M133" s="75"/>
      <c r="N133" s="75"/>
      <c r="O133" s="75"/>
      <c r="P133" s="75"/>
      <c r="Q133" s="75"/>
      <c r="R133" s="75"/>
      <c r="S133" s="75"/>
      <c r="T133" s="75"/>
      <c r="U133" s="75"/>
      <c r="V133" s="75"/>
      <c r="W133" s="75"/>
      <c r="X133" s="75"/>
      <c r="Y133" s="75"/>
      <c r="Z133" s="75"/>
      <c r="AA133" s="75"/>
      <c r="AB133" s="75"/>
      <c r="AC133" s="75"/>
      <c r="AD133" s="75"/>
    </row>
    <row r="134" outlineLevel="1">
      <c r="B134" s="285">
        <v>7.5</v>
      </c>
      <c r="C134" s="285" t="s">
        <v>391</v>
      </c>
      <c r="D134" s="285" t="s">
        <v>16</v>
      </c>
      <c r="E134" s="285" t="s">
        <v>382</v>
      </c>
      <c r="F134" s="284"/>
      <c r="G134" s="284"/>
      <c r="H134" s="284"/>
      <c r="I134" s="284"/>
      <c r="J134" s="284"/>
      <c r="M134" s="75"/>
      <c r="N134" s="75"/>
      <c r="O134" s="75"/>
      <c r="P134" s="75"/>
      <c r="Q134" s="75"/>
      <c r="R134" s="75"/>
      <c r="S134" s="75"/>
      <c r="T134" s="75"/>
      <c r="U134" s="75"/>
      <c r="V134" s="75"/>
      <c r="W134" s="75"/>
      <c r="X134" s="75"/>
      <c r="Y134" s="75"/>
      <c r="Z134" s="75"/>
      <c r="AA134" s="75"/>
      <c r="AB134" s="75"/>
      <c r="AC134" s="75"/>
      <c r="AD134" s="75"/>
    </row>
    <row r="135" outlineLevel="1">
      <c r="B135" s="285">
        <v>7.7</v>
      </c>
      <c r="C135" s="285" t="s">
        <v>16</v>
      </c>
      <c r="D135" s="285" t="s">
        <v>16</v>
      </c>
      <c r="E135" s="285" t="s">
        <v>392</v>
      </c>
      <c r="F135" s="284"/>
      <c r="G135" s="284"/>
      <c r="H135" s="284"/>
      <c r="I135" s="284"/>
      <c r="J135" s="284"/>
      <c r="M135" s="75"/>
      <c r="N135" s="75"/>
      <c r="O135" s="75"/>
      <c r="P135" s="75"/>
      <c r="Q135" s="75"/>
      <c r="R135" s="75"/>
      <c r="S135" s="75"/>
      <c r="T135" s="75"/>
      <c r="U135" s="75"/>
      <c r="V135" s="75"/>
      <c r="W135" s="75"/>
      <c r="X135" s="75"/>
      <c r="Y135" s="75"/>
      <c r="Z135" s="75"/>
      <c r="AA135" s="75"/>
      <c r="AB135" s="75"/>
      <c r="AC135" s="75"/>
      <c r="AD135" s="75"/>
    </row>
    <row r="136" outlineLevel="1">
      <c r="B136" s="285">
        <v>7.8</v>
      </c>
      <c r="C136" s="285" t="s">
        <v>16</v>
      </c>
      <c r="D136" s="285" t="s">
        <v>16</v>
      </c>
      <c r="E136" s="285" t="s">
        <v>16</v>
      </c>
      <c r="F136" s="285" t="s">
        <v>393</v>
      </c>
      <c r="G136" s="284"/>
      <c r="H136" s="284"/>
      <c r="I136" s="284"/>
      <c r="J136" s="284"/>
      <c r="M136" s="75"/>
      <c r="N136" s="75"/>
      <c r="O136" s="75"/>
      <c r="P136" s="75"/>
      <c r="Q136" s="75"/>
      <c r="R136" s="75"/>
      <c r="S136" s="75"/>
      <c r="T136" s="75"/>
      <c r="U136" s="75"/>
      <c r="V136" s="75"/>
      <c r="W136" s="75"/>
      <c r="X136" s="75"/>
      <c r="Y136" s="75"/>
      <c r="Z136" s="75"/>
      <c r="AA136" s="75"/>
      <c r="AB136" s="75"/>
      <c r="AC136" s="75"/>
      <c r="AD136" s="75"/>
    </row>
    <row r="137" outlineLevel="1">
      <c r="B137" s="285">
        <v>7.9</v>
      </c>
      <c r="C137" s="285" t="s">
        <v>16</v>
      </c>
      <c r="D137" s="285" t="s">
        <v>16</v>
      </c>
      <c r="E137" s="285" t="s">
        <v>387</v>
      </c>
      <c r="F137" s="284"/>
      <c r="G137" s="284"/>
      <c r="H137" s="284"/>
      <c r="I137" s="284"/>
      <c r="J137" s="284"/>
      <c r="M137" s="75"/>
      <c r="N137" s="75"/>
      <c r="O137" s="75"/>
      <c r="P137" s="75"/>
      <c r="Q137" s="75"/>
      <c r="R137" s="75"/>
      <c r="S137" s="75"/>
      <c r="T137" s="75"/>
      <c r="U137" s="75"/>
      <c r="V137" s="75"/>
      <c r="W137" s="75"/>
      <c r="X137" s="75"/>
      <c r="Y137" s="75"/>
      <c r="Z137" s="75"/>
      <c r="AA137" s="75"/>
      <c r="AB137" s="75"/>
      <c r="AC137" s="75"/>
      <c r="AD137" s="75"/>
    </row>
    <row r="138" outlineLevel="1">
      <c r="B138" s="285">
        <v>8.0</v>
      </c>
      <c r="C138" s="285" t="s">
        <v>16</v>
      </c>
      <c r="D138" s="285" t="s">
        <v>381</v>
      </c>
      <c r="E138" s="285" t="s">
        <v>387</v>
      </c>
      <c r="F138" s="284"/>
      <c r="G138" s="284"/>
      <c r="H138" s="284"/>
      <c r="I138" s="284"/>
      <c r="J138" s="284"/>
      <c r="M138" s="75"/>
      <c r="N138" s="75"/>
      <c r="O138" s="75"/>
      <c r="P138" s="75"/>
      <c r="Q138" s="75"/>
      <c r="R138" s="75"/>
      <c r="S138" s="75"/>
      <c r="T138" s="75"/>
      <c r="U138" s="75"/>
      <c r="V138" s="75"/>
      <c r="W138" s="75"/>
      <c r="X138" s="75"/>
      <c r="Y138" s="75"/>
      <c r="Z138" s="75"/>
      <c r="AA138" s="75"/>
      <c r="AB138" s="75"/>
      <c r="AC138" s="75"/>
      <c r="AD138" s="75"/>
    </row>
    <row r="139" outlineLevel="1">
      <c r="B139" s="285">
        <v>9.0</v>
      </c>
      <c r="C139" s="285" t="s">
        <v>394</v>
      </c>
      <c r="D139" s="285"/>
      <c r="E139" s="285"/>
      <c r="F139" s="284"/>
      <c r="G139" s="284"/>
      <c r="H139" s="284"/>
      <c r="I139" s="284"/>
      <c r="J139" s="284"/>
      <c r="M139" s="75"/>
      <c r="N139" s="75"/>
      <c r="O139" s="75"/>
      <c r="P139" s="75"/>
      <c r="Q139" s="75"/>
      <c r="R139" s="75"/>
      <c r="S139" s="75"/>
      <c r="T139" s="75"/>
      <c r="U139" s="75"/>
      <c r="V139" s="75"/>
      <c r="W139" s="75"/>
      <c r="X139" s="75"/>
      <c r="Y139" s="75"/>
      <c r="Z139" s="75"/>
      <c r="AA139" s="75"/>
      <c r="AB139" s="75"/>
      <c r="AC139" s="75"/>
      <c r="AD139" s="75"/>
    </row>
    <row r="140" outlineLevel="1">
      <c r="M140" s="75"/>
      <c r="N140" s="75"/>
      <c r="O140" s="75"/>
      <c r="P140" s="75"/>
      <c r="Q140" s="75"/>
      <c r="R140" s="75"/>
      <c r="S140" s="75"/>
      <c r="T140" s="75"/>
      <c r="U140" s="75"/>
      <c r="V140" s="75"/>
      <c r="W140" s="75"/>
      <c r="X140" s="75"/>
      <c r="Y140" s="75"/>
      <c r="Z140" s="75"/>
      <c r="AA140" s="75"/>
      <c r="AB140" s="75"/>
      <c r="AC140" s="75"/>
      <c r="AD140" s="75"/>
    </row>
    <row r="141" outlineLevel="1">
      <c r="M141" s="75"/>
      <c r="N141" s="75"/>
      <c r="O141" s="75"/>
      <c r="P141" s="75"/>
      <c r="Q141" s="75"/>
      <c r="R141" s="75"/>
      <c r="S141" s="75"/>
      <c r="T141" s="75"/>
      <c r="U141" s="75"/>
      <c r="V141" s="75"/>
      <c r="W141" s="75"/>
      <c r="X141" s="75"/>
      <c r="Y141" s="75"/>
      <c r="Z141" s="75"/>
      <c r="AA141" s="75"/>
      <c r="AB141" s="75"/>
      <c r="AC141" s="75"/>
      <c r="AD141" s="75"/>
    </row>
    <row r="142" outlineLevel="1">
      <c r="M142" s="75"/>
      <c r="N142" s="75"/>
      <c r="O142" s="75"/>
      <c r="P142" s="75"/>
      <c r="Q142" s="75"/>
      <c r="R142" s="75"/>
      <c r="S142" s="75"/>
      <c r="T142" s="75"/>
      <c r="U142" s="75"/>
      <c r="V142" s="75"/>
      <c r="W142" s="75"/>
      <c r="X142" s="75"/>
      <c r="Y142" s="75"/>
      <c r="Z142" s="75"/>
      <c r="AA142" s="75"/>
      <c r="AB142" s="75"/>
      <c r="AC142" s="75"/>
      <c r="AD142" s="75"/>
    </row>
    <row r="143" outlineLevel="1">
      <c r="A143" s="75"/>
      <c r="C143" s="287" t="s">
        <v>395</v>
      </c>
      <c r="D143" s="287"/>
      <c r="G143" s="288" t="s">
        <v>396</v>
      </c>
      <c r="H143" s="289" t="s">
        <v>397</v>
      </c>
      <c r="K143" s="75"/>
      <c r="L143" s="75"/>
      <c r="M143" s="75"/>
      <c r="N143" s="75"/>
      <c r="O143" s="75"/>
      <c r="P143" s="75"/>
      <c r="Q143" s="75"/>
      <c r="R143" s="75"/>
      <c r="S143" s="75"/>
      <c r="T143" s="75"/>
      <c r="U143" s="75"/>
      <c r="V143" s="75"/>
      <c r="W143" s="75"/>
      <c r="X143" s="75"/>
      <c r="Y143" s="75"/>
      <c r="Z143" s="75"/>
      <c r="AA143" s="75"/>
      <c r="AB143" s="75"/>
      <c r="AC143" s="75"/>
      <c r="AD143" s="75"/>
    </row>
    <row r="144" outlineLevel="1">
      <c r="A144" s="75"/>
      <c r="B144" s="75"/>
      <c r="C144" s="290">
        <v>1.0</v>
      </c>
      <c r="D144" s="242" t="s">
        <v>398</v>
      </c>
      <c r="F144" s="75"/>
      <c r="G144" s="277">
        <v>0.0</v>
      </c>
      <c r="H144" s="240" t="s">
        <v>399</v>
      </c>
      <c r="I144" s="75"/>
      <c r="J144" s="75"/>
      <c r="K144" s="75"/>
      <c r="L144" s="75"/>
      <c r="M144" s="75"/>
      <c r="N144" s="75"/>
      <c r="O144" s="75"/>
      <c r="P144" s="75"/>
      <c r="Q144" s="75"/>
      <c r="R144" s="75"/>
      <c r="S144" s="75"/>
      <c r="T144" s="75"/>
      <c r="U144" s="75"/>
      <c r="V144" s="75"/>
      <c r="W144" s="75"/>
      <c r="X144" s="75"/>
      <c r="Y144" s="75"/>
      <c r="Z144" s="75"/>
      <c r="AA144" s="75"/>
      <c r="AB144" s="75"/>
      <c r="AC144" s="75"/>
      <c r="AD144" s="75"/>
    </row>
    <row r="145" outlineLevel="1">
      <c r="A145" s="75"/>
      <c r="B145" s="75"/>
      <c r="C145" s="291">
        <v>2.1</v>
      </c>
      <c r="D145" s="242" t="s">
        <v>400</v>
      </c>
      <c r="F145" s="75"/>
      <c r="G145" s="277">
        <v>1.0</v>
      </c>
      <c r="H145" s="240" t="s">
        <v>401</v>
      </c>
      <c r="I145" s="75"/>
      <c r="J145" s="75"/>
      <c r="K145" s="75"/>
      <c r="L145" s="75"/>
      <c r="M145" s="75"/>
      <c r="N145" s="75"/>
      <c r="O145" s="75"/>
      <c r="P145" s="75"/>
      <c r="Q145" s="75"/>
      <c r="R145" s="75"/>
      <c r="S145" s="75"/>
      <c r="T145" s="75"/>
      <c r="U145" s="75"/>
      <c r="V145" s="75"/>
      <c r="W145" s="75"/>
      <c r="X145" s="75"/>
      <c r="Y145" s="75"/>
      <c r="Z145" s="75"/>
      <c r="AA145" s="75"/>
      <c r="AB145" s="75"/>
      <c r="AC145" s="75"/>
      <c r="AD145" s="75"/>
    </row>
    <row r="146" outlineLevel="1">
      <c r="A146" s="75"/>
      <c r="B146" s="75"/>
      <c r="C146" s="252">
        <v>2.2</v>
      </c>
      <c r="D146" s="242" t="s">
        <v>402</v>
      </c>
      <c r="F146" s="75"/>
      <c r="G146" s="292">
        <v>2.0</v>
      </c>
      <c r="H146" s="240" t="s">
        <v>403</v>
      </c>
      <c r="I146" s="75"/>
      <c r="J146" s="75"/>
      <c r="K146" s="75"/>
      <c r="L146" s="75"/>
      <c r="M146" s="75"/>
      <c r="N146" s="75"/>
      <c r="O146" s="75"/>
      <c r="P146" s="75"/>
      <c r="Q146" s="75"/>
      <c r="R146" s="75"/>
      <c r="S146" s="75"/>
      <c r="T146" s="75"/>
      <c r="U146" s="75"/>
      <c r="V146" s="75"/>
      <c r="W146" s="75"/>
      <c r="X146" s="75"/>
      <c r="Y146" s="75"/>
      <c r="Z146" s="75"/>
      <c r="AA146" s="75"/>
      <c r="AB146" s="75"/>
      <c r="AC146" s="75"/>
      <c r="AD146" s="75"/>
    </row>
    <row r="147" outlineLevel="1">
      <c r="A147" s="75"/>
      <c r="B147" s="75"/>
      <c r="C147" s="252">
        <v>2.3</v>
      </c>
      <c r="D147" s="242" t="s">
        <v>404</v>
      </c>
      <c r="F147" s="75"/>
      <c r="G147" s="293"/>
      <c r="H147" s="293"/>
      <c r="I147" s="75"/>
      <c r="J147" s="75"/>
      <c r="K147" s="75"/>
      <c r="L147" s="75"/>
      <c r="M147" s="75"/>
      <c r="N147" s="75"/>
      <c r="O147" s="75"/>
      <c r="P147" s="75"/>
      <c r="Q147" s="75"/>
      <c r="R147" s="75"/>
      <c r="S147" s="75"/>
      <c r="T147" s="75"/>
      <c r="U147" s="75"/>
      <c r="V147" s="75"/>
      <c r="W147" s="75"/>
      <c r="X147" s="75"/>
      <c r="Y147" s="75"/>
      <c r="Z147" s="75"/>
      <c r="AA147" s="75"/>
      <c r="AB147" s="75"/>
      <c r="AC147" s="75"/>
      <c r="AD147" s="75"/>
    </row>
    <row r="148" outlineLevel="1">
      <c r="A148" s="75"/>
      <c r="B148" s="75"/>
      <c r="C148" s="242">
        <v>3.0</v>
      </c>
      <c r="D148" s="242" t="s">
        <v>405</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row>
    <row r="149" outlineLevel="1">
      <c r="A149" s="75"/>
      <c r="B149" s="75"/>
      <c r="C149" s="252">
        <v>4.0</v>
      </c>
      <c r="D149" s="242" t="s">
        <v>406</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row>
    <row r="150" outlineLevel="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row>
    <row r="151" outlineLevel="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row>
    <row r="152" outlineLevel="1">
      <c r="A152" s="75"/>
      <c r="B152" s="75"/>
      <c r="C152" s="273" t="s">
        <v>75</v>
      </c>
      <c r="E152" s="75"/>
      <c r="F152" s="75"/>
      <c r="G152" s="294" t="s">
        <v>85</v>
      </c>
      <c r="H152" s="295" t="s">
        <v>102</v>
      </c>
      <c r="I152" s="295" t="s">
        <v>407</v>
      </c>
      <c r="J152" s="75"/>
      <c r="K152" s="75"/>
      <c r="L152" s="75"/>
      <c r="M152" s="75"/>
      <c r="N152" s="75"/>
      <c r="O152" s="75"/>
      <c r="P152" s="75"/>
      <c r="Q152" s="75"/>
      <c r="R152" s="75"/>
      <c r="S152" s="75"/>
      <c r="T152" s="75"/>
      <c r="U152" s="75"/>
      <c r="V152" s="75"/>
      <c r="W152" s="75"/>
      <c r="X152" s="75"/>
      <c r="Y152" s="75"/>
      <c r="Z152" s="75"/>
      <c r="AA152" s="75"/>
      <c r="AB152" s="75"/>
      <c r="AC152" s="75"/>
      <c r="AD152" s="75"/>
    </row>
    <row r="153" outlineLevel="1">
      <c r="A153" s="75"/>
      <c r="B153" s="75"/>
      <c r="C153" s="259">
        <v>1.1</v>
      </c>
      <c r="D153" s="239" t="s">
        <v>408</v>
      </c>
      <c r="E153" s="75"/>
      <c r="F153" s="75"/>
      <c r="G153" s="248" t="s">
        <v>149</v>
      </c>
      <c r="H153" s="296" t="s">
        <v>409</v>
      </c>
      <c r="I153" s="276" t="s">
        <v>12</v>
      </c>
      <c r="J153" s="75"/>
      <c r="K153" s="75"/>
      <c r="L153" s="75"/>
      <c r="M153" s="75"/>
      <c r="N153" s="75"/>
      <c r="O153" s="75"/>
      <c r="P153" s="75"/>
      <c r="Q153" s="75"/>
      <c r="R153" s="75"/>
      <c r="S153" s="75"/>
      <c r="T153" s="75"/>
      <c r="U153" s="75"/>
      <c r="V153" s="75"/>
      <c r="W153" s="75"/>
      <c r="X153" s="75"/>
      <c r="Y153" s="75"/>
      <c r="Z153" s="75"/>
      <c r="AA153" s="75"/>
      <c r="AB153" s="75"/>
      <c r="AC153" s="75"/>
      <c r="AD153" s="75"/>
    </row>
    <row r="154" outlineLevel="1">
      <c r="A154" s="75"/>
      <c r="B154" s="75"/>
      <c r="C154" s="259">
        <v>1.7</v>
      </c>
      <c r="D154" s="239" t="s">
        <v>410</v>
      </c>
      <c r="E154" s="75"/>
      <c r="F154" s="75"/>
      <c r="G154" s="248" t="s">
        <v>156</v>
      </c>
      <c r="H154" s="296" t="s">
        <v>411</v>
      </c>
      <c r="I154" s="276" t="s">
        <v>11</v>
      </c>
      <c r="J154" s="75"/>
      <c r="K154" s="75"/>
      <c r="L154" s="75"/>
      <c r="M154" s="75"/>
      <c r="N154" s="75"/>
      <c r="O154" s="75"/>
      <c r="P154" s="75"/>
      <c r="Q154" s="75"/>
      <c r="R154" s="75"/>
      <c r="S154" s="75"/>
      <c r="T154" s="75"/>
      <c r="U154" s="75"/>
      <c r="V154" s="75"/>
      <c r="W154" s="75"/>
      <c r="X154" s="75"/>
      <c r="Y154" s="75"/>
      <c r="Z154" s="75"/>
      <c r="AA154" s="75"/>
      <c r="AB154" s="75"/>
      <c r="AC154" s="75"/>
      <c r="AD154" s="75"/>
    </row>
    <row r="155" outlineLevel="1">
      <c r="A155" s="75"/>
      <c r="B155" s="75"/>
      <c r="C155" s="259">
        <v>1.8</v>
      </c>
      <c r="D155" s="297" t="s">
        <v>412</v>
      </c>
      <c r="E155" s="75"/>
      <c r="F155" s="75"/>
      <c r="G155" s="248"/>
      <c r="H155" s="296" t="s">
        <v>413</v>
      </c>
      <c r="I155" s="276" t="s">
        <v>13</v>
      </c>
      <c r="J155" s="75"/>
      <c r="K155" s="75"/>
      <c r="L155" s="75"/>
      <c r="M155" s="75"/>
      <c r="N155" s="75"/>
      <c r="O155" s="75"/>
      <c r="P155" s="75"/>
      <c r="Q155" s="75"/>
      <c r="R155" s="75"/>
      <c r="S155" s="75"/>
      <c r="T155" s="75"/>
      <c r="U155" s="75"/>
      <c r="V155" s="75"/>
      <c r="W155" s="75"/>
      <c r="X155" s="75"/>
      <c r="Y155" s="75"/>
      <c r="Z155" s="75"/>
      <c r="AA155" s="75"/>
      <c r="AB155" s="75"/>
      <c r="AC155" s="75"/>
      <c r="AD155" s="75"/>
    </row>
    <row r="156" outlineLevel="1">
      <c r="A156" s="75"/>
      <c r="B156" s="75"/>
      <c r="C156" s="259">
        <v>1.9</v>
      </c>
      <c r="D156" s="297" t="s">
        <v>414</v>
      </c>
      <c r="E156" s="75"/>
      <c r="F156" s="75"/>
      <c r="G156" s="242"/>
      <c r="H156" s="298" t="s">
        <v>415</v>
      </c>
      <c r="I156" s="296" t="s">
        <v>416</v>
      </c>
      <c r="J156" s="75"/>
      <c r="K156" s="75"/>
      <c r="L156" s="75"/>
      <c r="M156" s="75"/>
      <c r="N156" s="75"/>
      <c r="O156" s="75"/>
      <c r="P156" s="75"/>
      <c r="Q156" s="75"/>
      <c r="R156" s="75"/>
      <c r="S156" s="75"/>
      <c r="T156" s="75"/>
      <c r="U156" s="75"/>
      <c r="V156" s="75"/>
      <c r="W156" s="75"/>
      <c r="X156" s="75"/>
      <c r="Y156" s="75"/>
      <c r="Z156" s="75"/>
      <c r="AA156" s="75"/>
      <c r="AB156" s="75"/>
      <c r="AC156" s="75"/>
      <c r="AD156" s="75"/>
    </row>
    <row r="157" outlineLevel="1">
      <c r="A157" s="75"/>
      <c r="B157" s="75"/>
      <c r="C157" s="259" t="s">
        <v>417</v>
      </c>
      <c r="D157" s="299" t="s">
        <v>418</v>
      </c>
      <c r="E157" s="75"/>
      <c r="F157" s="75"/>
      <c r="G157" s="242"/>
      <c r="H157" s="298" t="s">
        <v>419</v>
      </c>
      <c r="I157" s="276" t="s">
        <v>420</v>
      </c>
      <c r="J157" s="75"/>
      <c r="K157" s="75"/>
      <c r="L157" s="75"/>
      <c r="M157" s="75"/>
      <c r="N157" s="75"/>
      <c r="O157" s="75"/>
      <c r="P157" s="75"/>
      <c r="Q157" s="75"/>
      <c r="R157" s="75"/>
      <c r="S157" s="75"/>
      <c r="T157" s="75"/>
      <c r="U157" s="75"/>
      <c r="V157" s="75"/>
      <c r="W157" s="75"/>
      <c r="X157" s="75"/>
      <c r="Y157" s="75"/>
      <c r="Z157" s="75"/>
      <c r="AA157" s="75"/>
      <c r="AB157" s="75"/>
      <c r="AC157" s="75"/>
      <c r="AD157" s="75"/>
    </row>
    <row r="158" outlineLevel="1">
      <c r="A158" s="75"/>
      <c r="B158" s="75"/>
      <c r="C158" s="273" t="s">
        <v>76</v>
      </c>
      <c r="E158" s="75"/>
      <c r="F158" s="75"/>
      <c r="G158" s="75"/>
      <c r="H158" s="298" t="s">
        <v>421</v>
      </c>
      <c r="I158" s="82" t="s">
        <v>27</v>
      </c>
      <c r="J158" s="75"/>
      <c r="K158" s="75"/>
      <c r="L158" s="75"/>
      <c r="M158" s="75"/>
      <c r="N158" s="75"/>
      <c r="O158" s="75"/>
      <c r="P158" s="75"/>
      <c r="Q158" s="75"/>
      <c r="R158" s="75"/>
      <c r="S158" s="75"/>
      <c r="T158" s="75"/>
      <c r="U158" s="75"/>
      <c r="V158" s="75"/>
      <c r="W158" s="75"/>
      <c r="X158" s="75"/>
      <c r="Y158" s="75"/>
      <c r="Z158" s="75"/>
      <c r="AA158" s="75"/>
      <c r="AB158" s="75"/>
      <c r="AC158" s="75"/>
      <c r="AD158" s="75"/>
    </row>
    <row r="159" outlineLevel="1">
      <c r="A159" s="75"/>
      <c r="B159" s="75"/>
      <c r="C159" s="259">
        <v>2.1</v>
      </c>
      <c r="D159" s="239" t="s">
        <v>422</v>
      </c>
      <c r="E159" s="75"/>
      <c r="F159" s="75"/>
      <c r="G159" s="75"/>
      <c r="H159" s="82" t="s">
        <v>423</v>
      </c>
      <c r="I159" s="75"/>
      <c r="J159" s="75"/>
      <c r="K159" s="75"/>
      <c r="L159" s="75"/>
      <c r="M159" s="75"/>
      <c r="N159" s="75"/>
      <c r="O159" s="75"/>
      <c r="P159" s="75"/>
      <c r="Q159" s="75"/>
      <c r="R159" s="75"/>
      <c r="S159" s="75"/>
      <c r="T159" s="75"/>
      <c r="U159" s="75"/>
      <c r="V159" s="75"/>
      <c r="W159" s="75"/>
      <c r="X159" s="75"/>
      <c r="Y159" s="75"/>
      <c r="Z159" s="75"/>
      <c r="AA159" s="75"/>
      <c r="AB159" s="75"/>
      <c r="AC159" s="75"/>
      <c r="AD159" s="75"/>
    </row>
    <row r="160" outlineLevel="1">
      <c r="A160" s="75"/>
      <c r="B160" s="75"/>
      <c r="C160" s="259">
        <v>2.2</v>
      </c>
      <c r="D160" s="239" t="s">
        <v>424</v>
      </c>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row>
    <row r="161" outlineLevel="1">
      <c r="A161" s="75"/>
      <c r="B161" s="75"/>
      <c r="C161" s="259">
        <v>2.3</v>
      </c>
      <c r="D161" s="239" t="s">
        <v>425</v>
      </c>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row>
    <row r="162" outlineLevel="1">
      <c r="A162" s="75"/>
      <c r="B162" s="75"/>
      <c r="C162" s="259">
        <v>2.4</v>
      </c>
      <c r="D162" s="239" t="s">
        <v>426</v>
      </c>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row>
    <row r="163" outlineLevel="1">
      <c r="A163" s="75"/>
      <c r="B163" s="75"/>
      <c r="C163" s="259">
        <v>2.5</v>
      </c>
      <c r="D163" s="239" t="s">
        <v>427</v>
      </c>
      <c r="E163" s="75"/>
      <c r="F163" s="75"/>
      <c r="G163" s="300" t="s">
        <v>428</v>
      </c>
      <c r="H163" s="301" t="s">
        <v>429</v>
      </c>
      <c r="I163" s="75"/>
      <c r="J163" s="75"/>
      <c r="K163" s="75"/>
      <c r="L163" s="75"/>
      <c r="M163" s="75"/>
      <c r="N163" s="75"/>
      <c r="O163" s="75"/>
      <c r="P163" s="75"/>
      <c r="Q163" s="75"/>
      <c r="R163" s="75"/>
      <c r="S163" s="75"/>
      <c r="T163" s="75"/>
      <c r="U163" s="75"/>
      <c r="V163" s="75"/>
      <c r="W163" s="75"/>
      <c r="X163" s="75"/>
      <c r="Y163" s="75"/>
      <c r="Z163" s="75"/>
      <c r="AA163" s="75"/>
      <c r="AB163" s="75"/>
      <c r="AC163" s="75"/>
      <c r="AD163" s="75"/>
    </row>
    <row r="164" outlineLevel="1">
      <c r="A164" s="75"/>
      <c r="B164" s="75"/>
      <c r="C164" s="259">
        <v>2.6</v>
      </c>
      <c r="D164" s="239" t="s">
        <v>430</v>
      </c>
      <c r="E164" s="75"/>
      <c r="F164" s="75"/>
      <c r="G164" s="82">
        <v>6.0</v>
      </c>
      <c r="H164" s="252" t="s">
        <v>431</v>
      </c>
      <c r="I164" s="75"/>
      <c r="J164" s="75"/>
      <c r="K164" s="75"/>
      <c r="L164" s="75"/>
      <c r="M164" s="75"/>
      <c r="N164" s="75"/>
      <c r="O164" s="75"/>
      <c r="P164" s="75"/>
      <c r="Q164" s="75"/>
      <c r="R164" s="75"/>
      <c r="S164" s="75"/>
      <c r="T164" s="75"/>
      <c r="U164" s="75"/>
      <c r="V164" s="75"/>
      <c r="W164" s="75"/>
      <c r="X164" s="75"/>
      <c r="Y164" s="75"/>
      <c r="Z164" s="75"/>
      <c r="AA164" s="75"/>
      <c r="AB164" s="75"/>
      <c r="AC164" s="75"/>
      <c r="AD164" s="75"/>
    </row>
    <row r="165" outlineLevel="1">
      <c r="A165" s="75"/>
      <c r="B165" s="75"/>
      <c r="C165" s="259">
        <v>3.1</v>
      </c>
      <c r="D165" s="239" t="s">
        <v>432</v>
      </c>
      <c r="E165" s="75"/>
      <c r="F165" s="75"/>
      <c r="G165" s="82">
        <v>7.0</v>
      </c>
      <c r="H165" s="252" t="s">
        <v>433</v>
      </c>
      <c r="I165" s="75"/>
      <c r="J165" s="75"/>
      <c r="K165" s="75"/>
      <c r="L165" s="75"/>
      <c r="M165" s="75"/>
      <c r="N165" s="75"/>
      <c r="O165" s="75"/>
      <c r="P165" s="75"/>
      <c r="Q165" s="75"/>
      <c r="R165" s="75"/>
      <c r="S165" s="75"/>
      <c r="T165" s="75"/>
      <c r="U165" s="75"/>
      <c r="V165" s="75"/>
      <c r="W165" s="75"/>
      <c r="X165" s="75"/>
      <c r="Y165" s="75"/>
      <c r="Z165" s="75"/>
      <c r="AA165" s="75"/>
      <c r="AB165" s="75"/>
      <c r="AC165" s="75"/>
      <c r="AD165" s="75"/>
    </row>
    <row r="166" outlineLevel="1">
      <c r="A166" s="75"/>
      <c r="B166" s="75"/>
      <c r="C166" s="259">
        <v>4.1</v>
      </c>
      <c r="D166" s="239" t="s">
        <v>434</v>
      </c>
      <c r="E166" s="75"/>
      <c r="F166" s="75"/>
      <c r="G166" s="82">
        <v>8.0</v>
      </c>
      <c r="H166" s="252" t="s">
        <v>435</v>
      </c>
      <c r="I166" s="75"/>
      <c r="J166" s="75"/>
      <c r="K166" s="75"/>
      <c r="L166" s="75"/>
      <c r="M166" s="75"/>
      <c r="N166" s="75"/>
      <c r="O166" s="75"/>
      <c r="P166" s="75"/>
      <c r="Q166" s="75"/>
      <c r="R166" s="75"/>
      <c r="S166" s="75"/>
      <c r="T166" s="75"/>
      <c r="U166" s="75"/>
      <c r="V166" s="75"/>
      <c r="W166" s="75"/>
      <c r="X166" s="75"/>
      <c r="Y166" s="75"/>
      <c r="Z166" s="75"/>
      <c r="AA166" s="75"/>
      <c r="AB166" s="75"/>
      <c r="AC166" s="75"/>
      <c r="AD166" s="75"/>
    </row>
    <row r="167" outlineLevel="1">
      <c r="A167" s="75"/>
      <c r="B167" s="75"/>
      <c r="C167" s="271">
        <v>5.0</v>
      </c>
      <c r="D167" s="239" t="s">
        <v>436</v>
      </c>
      <c r="E167" s="75"/>
      <c r="F167" s="75"/>
      <c r="G167" s="82">
        <v>9.0</v>
      </c>
      <c r="H167" s="252" t="s">
        <v>437</v>
      </c>
      <c r="I167" s="75"/>
      <c r="J167" s="75"/>
      <c r="K167" s="75"/>
      <c r="L167" s="75"/>
      <c r="M167" s="75"/>
      <c r="N167" s="75"/>
      <c r="O167" s="75"/>
      <c r="P167" s="75"/>
      <c r="Q167" s="75"/>
      <c r="R167" s="75"/>
      <c r="S167" s="75"/>
      <c r="T167" s="75"/>
      <c r="U167" s="75"/>
      <c r="V167" s="75"/>
      <c r="W167" s="75"/>
      <c r="X167" s="75"/>
      <c r="Y167" s="75"/>
      <c r="Z167" s="75"/>
      <c r="AA167" s="75"/>
      <c r="AB167" s="75"/>
      <c r="AC167" s="75"/>
      <c r="AD167" s="75"/>
    </row>
    <row r="168" outlineLevel="1">
      <c r="A168" s="75"/>
      <c r="B168" s="75"/>
      <c r="C168" s="259">
        <v>5.1</v>
      </c>
      <c r="D168" s="239" t="s">
        <v>438</v>
      </c>
      <c r="E168" s="75"/>
      <c r="F168" s="75"/>
      <c r="G168" s="82"/>
      <c r="H168" s="252"/>
      <c r="I168" s="75"/>
      <c r="J168" s="75"/>
      <c r="K168" s="75"/>
      <c r="L168" s="75"/>
      <c r="M168" s="75"/>
      <c r="N168" s="75"/>
      <c r="O168" s="75"/>
      <c r="P168" s="75"/>
      <c r="Q168" s="75"/>
      <c r="R168" s="75"/>
      <c r="S168" s="75"/>
      <c r="T168" s="75"/>
      <c r="U168" s="75"/>
      <c r="V168" s="75"/>
      <c r="W168" s="75"/>
      <c r="X168" s="75"/>
      <c r="Y168" s="75"/>
      <c r="Z168" s="75"/>
      <c r="AA168" s="75"/>
      <c r="AB168" s="75"/>
      <c r="AC168" s="75"/>
      <c r="AD168" s="75"/>
    </row>
    <row r="169" outlineLevel="1">
      <c r="A169" s="75"/>
      <c r="B169" s="75"/>
      <c r="C169" s="271">
        <v>6.0</v>
      </c>
      <c r="D169" s="239" t="s">
        <v>439</v>
      </c>
      <c r="E169" s="75"/>
      <c r="F169" s="75"/>
      <c r="G169" s="302"/>
      <c r="H169" s="242"/>
      <c r="I169" s="75"/>
      <c r="J169" s="75"/>
      <c r="K169" s="75"/>
      <c r="L169" s="75"/>
      <c r="M169" s="75"/>
      <c r="N169" s="75"/>
      <c r="O169" s="75"/>
      <c r="P169" s="75"/>
      <c r="Q169" s="75"/>
      <c r="R169" s="75"/>
      <c r="S169" s="75"/>
      <c r="T169" s="75"/>
      <c r="U169" s="75"/>
      <c r="V169" s="75"/>
      <c r="W169" s="75"/>
      <c r="X169" s="75"/>
      <c r="Y169" s="75"/>
      <c r="Z169" s="75"/>
      <c r="AA169" s="75"/>
      <c r="AB169" s="75"/>
      <c r="AC169" s="75"/>
      <c r="AD169" s="75"/>
    </row>
    <row r="170" outlineLevel="1">
      <c r="A170" s="75"/>
      <c r="B170" s="75"/>
      <c r="C170" s="273" t="s">
        <v>440</v>
      </c>
      <c r="E170" s="75"/>
      <c r="F170" s="75"/>
      <c r="G170" s="302"/>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row>
    <row r="171" outlineLevel="1">
      <c r="A171" s="75"/>
      <c r="B171" s="75"/>
      <c r="C171" s="75"/>
      <c r="D171" s="75"/>
      <c r="E171" s="75"/>
      <c r="F171" s="75"/>
      <c r="G171" s="303"/>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row>
    <row r="172" outlineLevel="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row>
    <row r="173" outlineLevel="1">
      <c r="A173" s="75"/>
      <c r="B173" s="75"/>
      <c r="C173" s="304" t="s">
        <v>441</v>
      </c>
      <c r="D173" s="305" t="s">
        <v>442</v>
      </c>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row>
    <row r="174" outlineLevel="1">
      <c r="A174" s="75"/>
      <c r="B174" s="75"/>
      <c r="C174" s="306">
        <v>0.0</v>
      </c>
      <c r="D174" s="276" t="s">
        <v>443</v>
      </c>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row>
    <row r="175" outlineLevel="1">
      <c r="A175" s="75"/>
      <c r="B175" s="75"/>
      <c r="C175" s="307">
        <v>1.0</v>
      </c>
      <c r="D175" s="276" t="s">
        <v>444</v>
      </c>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row>
    <row r="176" outlineLevel="1">
      <c r="A176" s="75"/>
      <c r="B176" s="75"/>
      <c r="C176" s="308">
        <v>1.1</v>
      </c>
      <c r="D176" s="276" t="s">
        <v>445</v>
      </c>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row>
    <row r="177" outlineLevel="1">
      <c r="A177" s="75"/>
      <c r="B177" s="75"/>
      <c r="C177" s="308">
        <v>1.2</v>
      </c>
      <c r="D177" s="276" t="s">
        <v>446</v>
      </c>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row>
    <row r="178" outlineLevel="1">
      <c r="A178" s="75"/>
      <c r="B178" s="75"/>
      <c r="C178" s="309">
        <v>1.3</v>
      </c>
      <c r="D178" s="276" t="s">
        <v>447</v>
      </c>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row>
    <row r="179" outlineLevel="1">
      <c r="A179" s="75"/>
      <c r="B179" s="75"/>
      <c r="C179" s="309">
        <v>1.4</v>
      </c>
      <c r="D179" s="276" t="s">
        <v>448</v>
      </c>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row>
    <row r="180" outlineLevel="1">
      <c r="A180" s="75"/>
      <c r="B180" s="75"/>
      <c r="C180" s="307">
        <v>2.0</v>
      </c>
      <c r="D180" s="276" t="s">
        <v>449</v>
      </c>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row>
    <row r="181" outlineLevel="1">
      <c r="A181" s="75"/>
      <c r="B181" s="75"/>
      <c r="C181" s="307">
        <v>4.0</v>
      </c>
      <c r="D181" s="276" t="s">
        <v>450</v>
      </c>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row>
    <row r="182" outlineLevel="1">
      <c r="A182" s="75"/>
      <c r="B182" s="75"/>
      <c r="C182" s="307">
        <v>5.0</v>
      </c>
      <c r="D182" s="298" t="s">
        <v>337</v>
      </c>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row>
    <row r="183" outlineLevel="1">
      <c r="A183" s="75"/>
      <c r="B183" s="75"/>
      <c r="C183" s="252" t="s">
        <v>451</v>
      </c>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row>
    <row r="184" outlineLevel="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row>
    <row r="185" outlineLevel="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row>
    <row r="186" outlineLevel="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row>
    <row r="187" outlineLevel="1">
      <c r="A187" s="75"/>
      <c r="B187" s="75"/>
      <c r="C187" s="310"/>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row>
    <row r="188" outlineLevel="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row>
    <row r="189" outlineLevel="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row>
    <row r="190" outlineLevel="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row>
    <row r="191" outlineLevel="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row>
    <row r="192" ht="12.0" customHeight="1" outlineLevel="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row>
    <row r="193" outlineLevel="1">
      <c r="A193" s="75"/>
      <c r="B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row>
    <row r="194" outlineLevel="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row>
    <row r="195" outlineLevel="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row>
    <row r="196" outlineLevel="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row>
    <row r="197" outlineLevel="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row>
    <row r="198" outlineLevel="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row>
    <row r="199" outlineLevel="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row>
    <row r="200" outlineLevel="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row>
    <row r="201" outlineLevel="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row>
    <row r="202" outlineLevel="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row>
    <row r="203" outlineLevel="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row>
    <row r="204" outlineLevel="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row>
    <row r="205" outlineLevel="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row>
    <row r="206" outlineLevel="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row>
    <row r="207" outlineLevel="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row>
    <row r="208" outlineLevel="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row>
    <row r="209" outlineLevel="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row>
    <row r="210" outlineLevel="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row>
    <row r="211" outlineLevel="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row>
    <row r="212" outlineLevel="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row>
    <row r="213" outlineLevel="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row>
    <row r="214" outlineLevel="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row>
    <row r="215" outlineLevel="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row>
    <row r="217">
      <c r="A217" s="311"/>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row>
    <row r="218">
      <c r="A218" s="85"/>
      <c r="B218" s="70" t="s">
        <v>452</v>
      </c>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row>
    <row r="220">
      <c r="A220" s="312">
        <v>0.0</v>
      </c>
      <c r="B220" s="25" t="s">
        <v>453</v>
      </c>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row>
    <row r="221">
      <c r="A221" s="312">
        <v>0.1</v>
      </c>
      <c r="B221" s="25" t="s">
        <v>454</v>
      </c>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row>
    <row r="222">
      <c r="A222" s="312">
        <v>0.2</v>
      </c>
      <c r="B222" s="25" t="s">
        <v>455</v>
      </c>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row>
    <row r="223">
      <c r="A223" s="312">
        <v>0.3</v>
      </c>
      <c r="B223" s="25" t="s">
        <v>456</v>
      </c>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row>
    <row r="224">
      <c r="A224" s="312">
        <v>0.4</v>
      </c>
      <c r="B224" s="25" t="s">
        <v>457</v>
      </c>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row>
    <row r="225">
      <c r="A225" s="312">
        <v>1.0</v>
      </c>
      <c r="B225" s="25" t="s">
        <v>458</v>
      </c>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row>
    <row r="226">
      <c r="A226" s="312">
        <v>1.1</v>
      </c>
      <c r="B226" s="25" t="s">
        <v>459</v>
      </c>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row>
    <row r="227">
      <c r="A227" s="313">
        <v>1.4</v>
      </c>
      <c r="B227" s="314" t="s">
        <v>460</v>
      </c>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row>
    <row r="228">
      <c r="A228" s="313">
        <v>2.0</v>
      </c>
      <c r="B228" s="314" t="s">
        <v>461</v>
      </c>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row>
    <row r="229">
      <c r="A229" s="312">
        <v>2.1</v>
      </c>
      <c r="B229" s="25" t="s">
        <v>462</v>
      </c>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row>
    <row r="230">
      <c r="A230" s="315">
        <v>3.0</v>
      </c>
      <c r="B230" s="316" t="s">
        <v>463</v>
      </c>
      <c r="C230" s="316"/>
      <c r="D230" s="316"/>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row>
    <row r="231">
      <c r="A231" s="317">
        <v>3.1</v>
      </c>
      <c r="B231" s="318" t="s">
        <v>464</v>
      </c>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row>
    <row r="232">
      <c r="A232" s="319">
        <v>3.4</v>
      </c>
      <c r="B232" s="75" t="s">
        <v>465</v>
      </c>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row>
    <row r="233">
      <c r="A233" s="75">
        <v>3.5</v>
      </c>
      <c r="B233" s="75" t="s">
        <v>466</v>
      </c>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row>
    <row r="234">
      <c r="A234" s="75">
        <v>3.6</v>
      </c>
      <c r="B234" s="70" t="s">
        <v>467</v>
      </c>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row>
    <row r="235">
      <c r="A235" s="75">
        <v>4.0</v>
      </c>
      <c r="B235" s="75" t="s">
        <v>468</v>
      </c>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row>
    <row r="236">
      <c r="A236" s="320"/>
      <c r="B236" s="161"/>
      <c r="C236" s="161"/>
      <c r="D236" s="161"/>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row>
    <row r="237">
      <c r="A237" s="321"/>
      <c r="B237" s="322" t="s">
        <v>469</v>
      </c>
      <c r="C237" s="322"/>
      <c r="D237" s="322"/>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row>
    <row r="238">
      <c r="A238" s="319"/>
      <c r="B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row>
    <row r="239">
      <c r="A239" s="319">
        <v>4.8</v>
      </c>
      <c r="B239" s="75" t="s">
        <v>470</v>
      </c>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row>
    <row r="240">
      <c r="A240" s="323">
        <v>4.9</v>
      </c>
      <c r="B240" s="324" t="s">
        <v>471</v>
      </c>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row>
    <row r="241">
      <c r="A241" s="319">
        <v>5.0</v>
      </c>
      <c r="B241" s="75" t="s">
        <v>472</v>
      </c>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row>
    <row r="242">
      <c r="A242" s="319">
        <v>5.1</v>
      </c>
      <c r="B242" s="75" t="s">
        <v>473</v>
      </c>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row>
    <row r="243">
      <c r="A243" s="319">
        <v>6.0</v>
      </c>
      <c r="B243" s="75" t="s">
        <v>474</v>
      </c>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row>
    <row r="244">
      <c r="A244" s="319">
        <v>6.1</v>
      </c>
      <c r="B244" s="75" t="s">
        <v>475</v>
      </c>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row>
    <row r="245">
      <c r="A245" s="325">
        <v>6.2</v>
      </c>
      <c r="B245" s="326" t="s">
        <v>476</v>
      </c>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row>
    <row r="246">
      <c r="A246" s="327">
        <v>7.0</v>
      </c>
      <c r="B246" s="328" t="s">
        <v>477</v>
      </c>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row>
    <row r="247">
      <c r="A247" s="327">
        <v>7.1</v>
      </c>
      <c r="B247" s="328" t="s">
        <v>478</v>
      </c>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row>
    <row r="248">
      <c r="A248" s="319">
        <v>8.0</v>
      </c>
      <c r="B248" s="75" t="s">
        <v>479</v>
      </c>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row>
    <row r="249">
      <c r="A249" s="75">
        <v>8.1</v>
      </c>
      <c r="B249" s="75" t="s">
        <v>480</v>
      </c>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row>
    <row r="250">
      <c r="A250" s="75">
        <v>8.2</v>
      </c>
      <c r="B250" s="75" t="s">
        <v>481</v>
      </c>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row>
    <row r="251">
      <c r="A251" s="75">
        <v>9.0</v>
      </c>
      <c r="B251" s="75" t="s">
        <v>482</v>
      </c>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row>
    <row r="252">
      <c r="A252" s="75">
        <v>9.4</v>
      </c>
      <c r="B252" s="75" t="s">
        <v>483</v>
      </c>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row>
    <row r="253">
      <c r="A253" s="75">
        <v>10.0</v>
      </c>
      <c r="B253" s="75" t="s">
        <v>484</v>
      </c>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row>
    <row r="969">
      <c r="A969" s="75"/>
      <c r="B969" s="75"/>
      <c r="C969" s="75"/>
      <c r="D969" s="75"/>
      <c r="E969" s="75"/>
      <c r="F969" s="75"/>
      <c r="G969" s="75"/>
      <c r="H969" s="75"/>
      <c r="I969" s="75"/>
      <c r="J969" s="75"/>
      <c r="M969" s="75"/>
      <c r="N969" s="75"/>
      <c r="O969" s="75"/>
      <c r="P969" s="75"/>
      <c r="Q969" s="75"/>
      <c r="R969" s="75"/>
      <c r="U969" s="75"/>
      <c r="V969" s="75"/>
      <c r="W969" s="75"/>
      <c r="X969" s="75"/>
      <c r="Y969" s="75"/>
      <c r="Z969" s="75"/>
      <c r="AA969" s="75"/>
      <c r="AB969" s="75"/>
      <c r="AC969" s="75"/>
      <c r="AD969" s="75"/>
    </row>
    <row r="970">
      <c r="A970" s="75"/>
      <c r="B970" s="75"/>
      <c r="C970" s="75"/>
      <c r="D970" s="75"/>
      <c r="E970" s="75"/>
      <c r="F970" s="75"/>
      <c r="G970" s="75"/>
      <c r="H970" s="75"/>
      <c r="I970" s="75"/>
      <c r="J970" s="75"/>
      <c r="M970" s="75"/>
      <c r="N970" s="75"/>
      <c r="O970" s="75"/>
      <c r="P970" s="75"/>
      <c r="Q970" s="75"/>
      <c r="R970" s="75"/>
      <c r="U970" s="75"/>
      <c r="V970" s="75"/>
      <c r="W970" s="75"/>
      <c r="X970" s="75"/>
      <c r="Y970" s="75"/>
      <c r="Z970" s="75"/>
      <c r="AA970" s="75"/>
      <c r="AB970" s="75"/>
      <c r="AC970" s="75"/>
      <c r="AD970" s="75"/>
    </row>
    <row r="971">
      <c r="A971" s="75"/>
      <c r="B971" s="75"/>
      <c r="C971" s="75"/>
      <c r="D971" s="75"/>
      <c r="E971" s="75"/>
      <c r="F971" s="75"/>
      <c r="G971" s="75"/>
      <c r="H971" s="75"/>
      <c r="I971" s="75"/>
      <c r="J971" s="75"/>
      <c r="M971" s="75"/>
      <c r="N971" s="75"/>
      <c r="O971" s="75"/>
      <c r="P971" s="75"/>
      <c r="Q971" s="75"/>
      <c r="R971" s="75"/>
      <c r="U971" s="75"/>
      <c r="V971" s="75"/>
      <c r="W971" s="75"/>
      <c r="X971" s="75"/>
      <c r="Y971" s="75"/>
      <c r="Z971" s="75"/>
      <c r="AA971" s="75"/>
      <c r="AB971" s="75"/>
      <c r="AC971" s="75"/>
      <c r="AD971" s="75"/>
    </row>
    <row r="972">
      <c r="A972" s="75"/>
      <c r="B972" s="75"/>
      <c r="C972" s="75"/>
      <c r="D972" s="75"/>
      <c r="E972" s="75"/>
      <c r="F972" s="75"/>
      <c r="G972" s="75"/>
      <c r="H972" s="75"/>
      <c r="I972" s="75"/>
      <c r="J972" s="75"/>
      <c r="M972" s="75"/>
      <c r="N972" s="75"/>
      <c r="O972" s="75"/>
      <c r="P972" s="75"/>
      <c r="Q972" s="75"/>
      <c r="R972" s="75"/>
      <c r="U972" s="75"/>
      <c r="V972" s="75"/>
      <c r="W972" s="75"/>
      <c r="X972" s="75"/>
      <c r="Y972" s="75"/>
      <c r="Z972" s="75"/>
      <c r="AA972" s="75"/>
      <c r="AB972" s="75"/>
      <c r="AC972" s="75"/>
      <c r="AD972" s="75"/>
    </row>
    <row r="973">
      <c r="A973" s="75"/>
      <c r="B973" s="75"/>
      <c r="C973" s="75"/>
      <c r="D973" s="75"/>
      <c r="E973" s="75"/>
      <c r="F973" s="75"/>
      <c r="G973" s="75"/>
      <c r="H973" s="75"/>
      <c r="I973" s="75"/>
      <c r="J973" s="75"/>
      <c r="M973" s="75"/>
      <c r="N973" s="75"/>
      <c r="O973" s="75"/>
      <c r="P973" s="75"/>
      <c r="Q973" s="75"/>
      <c r="R973" s="75"/>
      <c r="U973" s="75"/>
      <c r="V973" s="75"/>
      <c r="W973" s="75"/>
      <c r="X973" s="75"/>
      <c r="Y973" s="75"/>
      <c r="Z973" s="75"/>
      <c r="AA973" s="75"/>
      <c r="AB973" s="75"/>
      <c r="AC973" s="75"/>
      <c r="AD973" s="75"/>
    </row>
    <row r="974">
      <c r="A974" s="75"/>
      <c r="B974" s="75"/>
      <c r="C974" s="75"/>
      <c r="D974" s="75"/>
      <c r="E974" s="75"/>
      <c r="F974" s="75"/>
      <c r="G974" s="75"/>
      <c r="H974" s="75"/>
      <c r="I974" s="75"/>
      <c r="J974" s="75"/>
      <c r="M974" s="75"/>
      <c r="N974" s="75"/>
      <c r="O974" s="75"/>
      <c r="P974" s="75"/>
      <c r="Q974" s="75"/>
      <c r="R974" s="75"/>
      <c r="U974" s="75"/>
      <c r="V974" s="75"/>
      <c r="W974" s="75"/>
      <c r="X974" s="75"/>
      <c r="Y974" s="75"/>
      <c r="Z974" s="75"/>
      <c r="AA974" s="75"/>
      <c r="AB974" s="75"/>
      <c r="AC974" s="75"/>
      <c r="AD974" s="75"/>
    </row>
    <row r="975">
      <c r="A975" s="75"/>
      <c r="B975" s="75"/>
      <c r="C975" s="75"/>
      <c r="D975" s="75"/>
      <c r="E975" s="75"/>
      <c r="F975" s="75"/>
      <c r="G975" s="75"/>
      <c r="H975" s="75"/>
      <c r="I975" s="75"/>
      <c r="J975" s="75"/>
      <c r="M975" s="75"/>
      <c r="N975" s="75"/>
      <c r="O975" s="75"/>
      <c r="P975" s="75"/>
      <c r="Q975" s="75"/>
      <c r="R975" s="75"/>
      <c r="U975" s="75"/>
      <c r="V975" s="75"/>
      <c r="W975" s="75"/>
      <c r="X975" s="75"/>
      <c r="Y975" s="75"/>
      <c r="Z975" s="75"/>
      <c r="AA975" s="75"/>
      <c r="AB975" s="75"/>
      <c r="AC975" s="75"/>
      <c r="AD975" s="75"/>
    </row>
    <row r="976">
      <c r="A976" s="75"/>
      <c r="B976" s="75"/>
      <c r="C976" s="75"/>
      <c r="D976" s="75"/>
      <c r="E976" s="75"/>
      <c r="F976" s="75"/>
      <c r="G976" s="75"/>
      <c r="H976" s="75"/>
      <c r="I976" s="75"/>
      <c r="J976" s="75"/>
      <c r="M976" s="75"/>
      <c r="N976" s="75"/>
      <c r="O976" s="75"/>
      <c r="P976" s="75"/>
      <c r="Q976" s="75"/>
      <c r="R976" s="75"/>
      <c r="U976" s="75"/>
      <c r="V976" s="75"/>
      <c r="W976" s="75"/>
      <c r="X976" s="75"/>
      <c r="Y976" s="75"/>
      <c r="Z976" s="75"/>
      <c r="AA976" s="75"/>
      <c r="AB976" s="75"/>
      <c r="AC976" s="75"/>
      <c r="AD976" s="75"/>
    </row>
    <row r="977">
      <c r="A977" s="75"/>
      <c r="B977" s="75"/>
      <c r="C977" s="75"/>
      <c r="D977" s="75"/>
      <c r="E977" s="75"/>
      <c r="F977" s="75"/>
      <c r="G977" s="75"/>
      <c r="H977" s="75"/>
      <c r="I977" s="75"/>
      <c r="J977" s="75"/>
      <c r="M977" s="75"/>
      <c r="N977" s="75"/>
      <c r="O977" s="75"/>
      <c r="P977" s="75"/>
      <c r="Q977" s="75"/>
      <c r="R977" s="75"/>
      <c r="U977" s="75"/>
      <c r="V977" s="75"/>
      <c r="W977" s="75"/>
      <c r="X977" s="75"/>
      <c r="Y977" s="75"/>
      <c r="Z977" s="75"/>
      <c r="AA977" s="75"/>
      <c r="AB977" s="75"/>
      <c r="AC977" s="75"/>
      <c r="AD977" s="75"/>
    </row>
    <row r="978">
      <c r="A978" s="75"/>
      <c r="B978" s="75"/>
      <c r="C978" s="75"/>
      <c r="D978" s="75"/>
      <c r="E978" s="75"/>
      <c r="F978" s="75"/>
      <c r="G978" s="75"/>
      <c r="H978" s="75"/>
      <c r="I978" s="75"/>
      <c r="J978" s="75"/>
      <c r="M978" s="75"/>
      <c r="N978" s="75"/>
      <c r="O978" s="75"/>
      <c r="P978" s="75"/>
      <c r="Q978" s="75"/>
      <c r="R978" s="75"/>
      <c r="U978" s="75"/>
      <c r="V978" s="75"/>
      <c r="W978" s="75"/>
      <c r="X978" s="75"/>
      <c r="Y978" s="75"/>
      <c r="Z978" s="75"/>
      <c r="AA978" s="75"/>
      <c r="AD978" s="75"/>
    </row>
    <row r="979">
      <c r="A979" s="75"/>
      <c r="B979" s="75"/>
      <c r="C979" s="75"/>
      <c r="D979" s="75"/>
      <c r="E979" s="75"/>
      <c r="F979" s="75"/>
      <c r="G979" s="75"/>
      <c r="H979" s="75"/>
      <c r="I979" s="75"/>
      <c r="J979" s="75"/>
      <c r="M979" s="75"/>
      <c r="N979" s="75"/>
      <c r="O979" s="75"/>
      <c r="P979" s="75"/>
      <c r="Q979" s="75"/>
      <c r="R979" s="75"/>
      <c r="U979" s="75"/>
      <c r="V979" s="75"/>
      <c r="W979" s="75"/>
      <c r="X979" s="75"/>
      <c r="Y979" s="75"/>
      <c r="Z979" s="75"/>
      <c r="AA979" s="75"/>
      <c r="AD979" s="75"/>
    </row>
    <row r="980">
      <c r="A980" s="75"/>
      <c r="B980" s="75"/>
      <c r="C980" s="75"/>
      <c r="D980" s="75"/>
      <c r="E980" s="75"/>
      <c r="F980" s="75"/>
      <c r="G980" s="75"/>
      <c r="H980" s="75"/>
      <c r="I980" s="75"/>
      <c r="J980" s="75"/>
      <c r="M980" s="75"/>
      <c r="N980" s="75"/>
      <c r="O980" s="75"/>
      <c r="P980" s="75"/>
      <c r="Q980" s="75"/>
      <c r="R980" s="75"/>
      <c r="U980" s="75"/>
      <c r="V980" s="75"/>
      <c r="W980" s="75"/>
      <c r="X980" s="75"/>
      <c r="Y980" s="75"/>
      <c r="Z980" s="75"/>
      <c r="AD980" s="75"/>
    </row>
    <row r="981">
      <c r="A981" s="75"/>
      <c r="B981" s="75"/>
      <c r="C981" s="75"/>
      <c r="D981" s="75"/>
      <c r="E981" s="75"/>
      <c r="F981" s="75"/>
      <c r="G981" s="75"/>
      <c r="H981" s="75"/>
      <c r="I981" s="75"/>
      <c r="J981" s="75"/>
      <c r="M981" s="75"/>
      <c r="N981" s="75"/>
      <c r="O981" s="75"/>
      <c r="P981" s="75"/>
      <c r="Q981" s="75"/>
      <c r="R981" s="75"/>
      <c r="U981" s="75"/>
      <c r="V981" s="75"/>
      <c r="W981" s="75"/>
      <c r="X981" s="75"/>
      <c r="Y981" s="75"/>
      <c r="Z981" s="75"/>
      <c r="AD981" s="75"/>
    </row>
    <row r="982">
      <c r="A982" s="75"/>
      <c r="B982" s="75"/>
      <c r="C982" s="75"/>
      <c r="D982" s="75"/>
      <c r="E982" s="75"/>
      <c r="F982" s="75"/>
      <c r="G982" s="75"/>
      <c r="H982" s="75"/>
      <c r="I982" s="75"/>
      <c r="J982" s="75"/>
      <c r="M982" s="75"/>
      <c r="N982" s="75"/>
      <c r="O982" s="75"/>
      <c r="P982" s="75"/>
      <c r="Q982" s="75"/>
      <c r="R982" s="75"/>
      <c r="U982" s="75"/>
      <c r="V982" s="75"/>
      <c r="W982" s="75"/>
      <c r="X982" s="75"/>
      <c r="Y982" s="75"/>
      <c r="Z982" s="75"/>
      <c r="AD982" s="75"/>
    </row>
    <row r="983">
      <c r="A983" s="75"/>
      <c r="B983" s="75"/>
      <c r="C983" s="75"/>
      <c r="D983" s="75"/>
      <c r="E983" s="75"/>
      <c r="F983" s="75"/>
      <c r="G983" s="75"/>
      <c r="H983" s="75"/>
      <c r="I983" s="75"/>
      <c r="J983" s="75"/>
      <c r="M983" s="75"/>
      <c r="N983" s="75"/>
      <c r="O983" s="75"/>
      <c r="P983" s="75"/>
      <c r="Q983" s="75"/>
    </row>
    <row r="984">
      <c r="A984" s="75"/>
      <c r="B984" s="75"/>
      <c r="C984" s="75"/>
      <c r="D984" s="75"/>
      <c r="E984" s="75"/>
      <c r="F984" s="75"/>
      <c r="G984" s="75"/>
      <c r="H984" s="75"/>
      <c r="I984" s="75"/>
      <c r="J984" s="75"/>
      <c r="M984" s="75"/>
      <c r="N984" s="75"/>
      <c r="O984" s="75"/>
      <c r="P984" s="75"/>
      <c r="Q984" s="75"/>
    </row>
    <row r="985">
      <c r="A985" s="75"/>
      <c r="B985" s="75"/>
      <c r="C985" s="75"/>
      <c r="D985" s="75"/>
      <c r="E985" s="75"/>
      <c r="F985" s="75"/>
      <c r="G985" s="75"/>
      <c r="H985" s="75"/>
      <c r="I985" s="75"/>
      <c r="J985" s="75"/>
      <c r="M985" s="75"/>
      <c r="N985" s="75"/>
      <c r="O985" s="75"/>
      <c r="P985" s="75"/>
      <c r="Q985" s="75"/>
    </row>
    <row r="986">
      <c r="A986" s="75"/>
      <c r="B986" s="75"/>
      <c r="C986" s="75"/>
      <c r="D986" s="75"/>
      <c r="E986" s="75"/>
      <c r="F986" s="75"/>
      <c r="G986" s="75"/>
      <c r="I986" s="75"/>
      <c r="J986" s="75"/>
      <c r="M986" s="75"/>
      <c r="N986" s="75"/>
      <c r="O986" s="75"/>
      <c r="P986" s="75"/>
      <c r="Q986" s="75"/>
    </row>
    <row r="987">
      <c r="A987" s="75"/>
      <c r="B987" s="75"/>
      <c r="I987" s="75"/>
      <c r="J987" s="75"/>
      <c r="M987" s="75"/>
      <c r="N987" s="75"/>
      <c r="O987" s="75"/>
      <c r="P987" s="75"/>
      <c r="Q987" s="75"/>
    </row>
    <row r="988">
      <c r="A988" s="75"/>
      <c r="B988" s="75"/>
      <c r="I988" s="75"/>
      <c r="J988" s="75"/>
      <c r="M988" s="75"/>
      <c r="N988" s="75"/>
      <c r="O988" s="75"/>
      <c r="P988" s="75"/>
      <c r="Q988" s="75"/>
    </row>
    <row r="989">
      <c r="A989" s="75"/>
      <c r="B989" s="75"/>
      <c r="I989" s="75"/>
      <c r="J989" s="75"/>
      <c r="M989" s="75"/>
      <c r="N989" s="75"/>
      <c r="O989" s="75"/>
      <c r="P989" s="75"/>
      <c r="Q989" s="75"/>
    </row>
    <row r="990">
      <c r="A990" s="75"/>
      <c r="B990" s="75"/>
      <c r="I990" s="75"/>
      <c r="J990" s="75"/>
      <c r="M990" s="75"/>
      <c r="N990" s="75"/>
      <c r="O990" s="75"/>
      <c r="P990" s="75"/>
      <c r="Q990" s="75"/>
    </row>
    <row r="991">
      <c r="A991" s="75"/>
      <c r="B991" s="75"/>
      <c r="I991" s="75"/>
      <c r="M991" s="75"/>
      <c r="N991" s="75"/>
      <c r="O991" s="75"/>
      <c r="P991" s="75"/>
      <c r="Q991" s="75"/>
    </row>
    <row r="992">
      <c r="A992" s="75"/>
      <c r="B992" s="75"/>
      <c r="I992" s="75"/>
      <c r="Q992" s="75"/>
    </row>
    <row r="993">
      <c r="A993" s="75"/>
      <c r="B993" s="75"/>
      <c r="I993" s="75"/>
    </row>
    <row r="994">
      <c r="A994" s="75"/>
      <c r="B994" s="75"/>
      <c r="I994" s="75"/>
    </row>
    <row r="995">
      <c r="A995" s="75"/>
      <c r="B995" s="75"/>
      <c r="I995" s="75"/>
    </row>
    <row r="996">
      <c r="A996" s="75"/>
      <c r="B996" s="75"/>
      <c r="I996" s="75"/>
    </row>
    <row r="997">
      <c r="A997" s="75"/>
      <c r="I997" s="75"/>
    </row>
    <row r="998">
      <c r="A998" s="75"/>
    </row>
    <row r="999">
      <c r="A999" s="75"/>
    </row>
    <row r="1000">
      <c r="A1000" s="75"/>
    </row>
    <row r="1001">
      <c r="A1001" s="75"/>
    </row>
    <row r="1002">
      <c r="A1002" s="75"/>
    </row>
    <row r="1003">
      <c r="A1003" s="75"/>
    </row>
  </sheetData>
  <mergeCells count="37">
    <mergeCell ref="O63:P63"/>
    <mergeCell ref="S69:T69"/>
    <mergeCell ref="C71:J71"/>
    <mergeCell ref="O81:P82"/>
    <mergeCell ref="D144:E144"/>
    <mergeCell ref="D145:E145"/>
    <mergeCell ref="D146:E146"/>
    <mergeCell ref="D147:E147"/>
    <mergeCell ref="D148:E148"/>
    <mergeCell ref="D149:E149"/>
    <mergeCell ref="C152:D152"/>
    <mergeCell ref="C158:D158"/>
    <mergeCell ref="C170:D170"/>
    <mergeCell ref="A217:C217"/>
    <mergeCell ref="B220:D220"/>
    <mergeCell ref="B221:D221"/>
    <mergeCell ref="B222:D222"/>
    <mergeCell ref="B223:D223"/>
    <mergeCell ref="B224:D224"/>
    <mergeCell ref="B225:D225"/>
    <mergeCell ref="B226:D226"/>
    <mergeCell ref="B227:D227"/>
    <mergeCell ref="B228:D228"/>
    <mergeCell ref="B229:D229"/>
    <mergeCell ref="B231:D231"/>
    <mergeCell ref="B232:D232"/>
    <mergeCell ref="B234:D234"/>
    <mergeCell ref="B235:D235"/>
    <mergeCell ref="B247:D247"/>
    <mergeCell ref="B248:D248"/>
    <mergeCell ref="B238:D238"/>
    <mergeCell ref="B239:D239"/>
    <mergeCell ref="B240:D240"/>
    <mergeCell ref="B243:D243"/>
    <mergeCell ref="B244:D244"/>
    <mergeCell ref="B245:D245"/>
    <mergeCell ref="B246:D246"/>
  </mergeCells>
  <drawing r:id="rId2"/>
  <legacyDrawing r:id="rId3"/>
</worksheet>
</file>