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Weekl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6">
      <text>
        <t xml:space="preserve">denom zero</t>
      </text>
    </comment>
    <comment authorId="0" ref="A47">
      <text>
        <t xml:space="preserve">denom zero</t>
      </text>
    </comment>
  </commentList>
</comments>
</file>

<file path=xl/sharedStrings.xml><?xml version="1.0" encoding="utf-8"?>
<sst xmlns="http://schemas.openxmlformats.org/spreadsheetml/2006/main" count="158" uniqueCount="140">
  <si>
    <t>NONE</t>
  </si>
  <si>
    <t>RFR or APS Files</t>
  </si>
  <si>
    <t>RTR File</t>
  </si>
  <si>
    <t>RSR File</t>
  </si>
  <si>
    <t>Overall</t>
  </si>
  <si>
    <t>Details</t>
  </si>
  <si>
    <t>Comments</t>
  </si>
  <si>
    <t>Number of Tubes Tested (initial only - no re-runs)</t>
  </si>
  <si>
    <t>initial run tubes only so excludes re-runs</t>
  </si>
  <si>
    <t>all data from gsheet: Data Stats - Compilation PRE DP - Compilation tab (APS RAW data not available)</t>
  </si>
  <si>
    <t>Number of Tube Tests Run (includes re-runs)</t>
  </si>
  <si>
    <t>includes re-runs</t>
  </si>
  <si>
    <t>Number of Initial Runs</t>
  </si>
  <si>
    <t>Number of APS Only Tubes run</t>
  </si>
  <si>
    <t>Number of Test Reactions (RFR plus APS only tubes run)</t>
  </si>
  <si>
    <t>includes technical replicates (the same tube sample in multiple reactions in the same run)</t>
  </si>
  <si>
    <t>Number of Participant Results</t>
  </si>
  <si>
    <t>counts individual samples in pools and excludes re-runs</t>
  </si>
  <si>
    <t>Number of ARF Tubes</t>
  </si>
  <si>
    <t>tubes run and present in RFR but not in Appivo - created tube IDs that start with ARF</t>
  </si>
  <si>
    <t>Sum of Participant Results plus ARF Tubes</t>
  </si>
  <si>
    <t>Will be equal to the number of tubes tested if no pooling.</t>
  </si>
  <si>
    <t>Average Pool Level (excludes ARF)</t>
  </si>
  <si>
    <t>No Re-runs</t>
  </si>
  <si>
    <t>Re-runs</t>
  </si>
  <si>
    <t>section</t>
  </si>
  <si>
    <t>Number of Run Tubes (re-runs only)</t>
  </si>
  <si>
    <t>from RFR Audit Num Run Tubes</t>
  </si>
  <si>
    <t>Number of Reactions (re-runs only)</t>
  </si>
  <si>
    <t>from RFR Audit Num rxns (excl ctrls)</t>
  </si>
  <si>
    <t>Re-run % of Tubes</t>
  </si>
  <si>
    <t>re-run / initial</t>
  </si>
  <si>
    <t>Number of Initial Runs with Re-runs</t>
  </si>
  <si>
    <t>% Initial Runs with Re-runs</t>
  </si>
  <si>
    <t>No Positives</t>
  </si>
  <si>
    <t>Positives</t>
  </si>
  <si>
    <t>Number of Tubes with Final Result Positive</t>
  </si>
  <si>
    <t>% of Tubes Positives (Final Result)</t>
  </si>
  <si>
    <t>Number of Cases with Final Result Positive (Indiv or Pool)</t>
  </si>
  <si>
    <t>Subtract off Re-tests</t>
  </si>
  <si>
    <t>Known Positive Cases</t>
  </si>
  <si>
    <t>Previous tested (including by FloodLAMP test) or reported positive</t>
  </si>
  <si>
    <t>Unknown Positive Cases</t>
  </si>
  <si>
    <t>No Inconclusives</t>
  </si>
  <si>
    <t>Inconclusives</t>
  </si>
  <si>
    <t>Number of Tubes with Final Result Inconclusive</t>
  </si>
  <si>
    <t>Number of Tubes in RFR Audit Inconclusive not in Appivo Final Results</t>
  </si>
  <si>
    <t>Not Applicable - No RFR</t>
  </si>
  <si>
    <t>Total Number of Inconclusive Tubes</t>
  </si>
  <si>
    <t>% of Tubes Inconclusive</t>
  </si>
  <si>
    <t>Number of Inconclusive Tubes resolved Positive by Referral Test or Correspondence</t>
  </si>
  <si>
    <t>% Inconclusives resolved Positive by Referral Tests</t>
  </si>
  <si>
    <t>denom zero</t>
  </si>
  <si>
    <t>Number of Inconclusive Tubes with Referral Test or Correspondence Negative</t>
  </si>
  <si>
    <t>Number of Inconclusive Tubes with no Referral Test result or Correspondence</t>
  </si>
  <si>
    <t>Number of Tubes with Initial Inconclusives and Re-run Negative</t>
  </si>
  <si>
    <t>Count Result Correction Code=2.5 in preDel col AJ, or from RFR preExcl if not resulted as Incl in App</t>
  </si>
  <si>
    <t>Number of Inconclusive Test Run Calls</t>
  </si>
  <si>
    <t>includes re-runs - from RFR Audit only and excludes any APS only resulted inconclusives</t>
  </si>
  <si>
    <t>% Tube Tests Run Called Inconclusive</t>
  </si>
  <si>
    <t>Referrals and Correspondence</t>
  </si>
  <si>
    <t>Number of FloodLAMP Cases with Referral Tests or Correspondence</t>
  </si>
  <si>
    <t>Indiv or Pool, Cases used instead of Person to account for people being contracting COVID multiple times, and instead of Results to exclude re-tests</t>
  </si>
  <si>
    <t>Number of Referral Confirmed FloodLAMP Positives</t>
  </si>
  <si>
    <t>Sometimes also termed Agree Positives - Include initial Inconclusive with Referral or Correspondence Positive</t>
  </si>
  <si>
    <t>FL Inconclusives with Referral / Correspondence Positive</t>
  </si>
  <si>
    <t>% FloodLAMP Positive or Inconclusive with Referral / Correspondence Positive</t>
  </si>
  <si>
    <t>FL Inconclusives but Referral / Correspondence Negative</t>
  </si>
  <si>
    <t>FL Inconclusives with No Referral Tests or Correspondence</t>
  </si>
  <si>
    <t>Not Applicable</t>
  </si>
  <si>
    <t>Comparison to Antigen</t>
  </si>
  <si>
    <t>Number of FloodLAMP Test Person Cases with Referral Antigen Tests (including non-Same Day)</t>
  </si>
  <si>
    <t>Not Applicable - no positives</t>
  </si>
  <si>
    <t>Number of FloodLAMP Test Person Cases with Same Day Referral Antigen Tests</t>
  </si>
  <si>
    <t>Number of FloodLAMP Positive Test Person Cases with Same Day Antigen Negative</t>
  </si>
  <si>
    <t>Agree with Referral Test Positive (usually PCR or later Antigen) but Initial Antigen Negative</t>
  </si>
  <si>
    <t>% Confirmed FloodLAMP Positives with Same Day Antigen Negative</t>
  </si>
  <si>
    <t>Number of FloodLAMP Positive Test Person Cases confirmed with Referral Tests but Antigen and Other Non-Antigen Test Negative</t>
  </si>
  <si>
    <t>% Confirmed FloodLAMP Positives that were Antigen and Other Non-Antigen Test Negative</t>
  </si>
  <si>
    <t>False Calls</t>
  </si>
  <si>
    <t>False Positives Final Results</t>
  </si>
  <si>
    <t>From reviewing APS/Pos and Incl tab Unconfirmed FL Positives</t>
  </si>
  <si>
    <t>False Negative Final Results (Suspected)</t>
  </si>
  <si>
    <t>From reviewing Referral Tests by Person and correspondence with Program Admin</t>
  </si>
  <si>
    <t>People</t>
  </si>
  <si>
    <t>Number of Unique Individuals Tested</t>
  </si>
  <si>
    <t>Includes UnknownPerson additions but not ARF tubes</t>
  </si>
  <si>
    <t>Number of Unique Sponsors</t>
  </si>
  <si>
    <t>People who collect using the app</t>
  </si>
  <si>
    <t>Positivity</t>
  </si>
  <si>
    <t>Number of Unique Individual Tested FloodLAMP Positive</t>
  </si>
  <si>
    <t>includes Inconclusive FloodLAMP result confirmed Positive by follow-up or Referral</t>
  </si>
  <si>
    <t>% of Population FloodLAMP Positive (excluding pools not deconv)</t>
  </si>
  <si>
    <t>Number of Unique Individual Tested FloodLAMP Positive (including if in a positive pool)</t>
  </si>
  <si>
    <t>% of Population FloodLAMP Positive (including everyone in a positive pool)</t>
  </si>
  <si>
    <t>Dates</t>
  </si>
  <si>
    <t>Start Run Date</t>
  </si>
  <si>
    <t>End Run Date</t>
  </si>
  <si>
    <t>Info</t>
  </si>
  <si>
    <t>FloodLAMP</t>
  </si>
  <si>
    <t>Test Operator</t>
  </si>
  <si>
    <t>Who ran the actual testing (running LAMP reactions)</t>
  </si>
  <si>
    <t>Hotel Storage Room</t>
  </si>
  <si>
    <t>Test Processing Site</t>
  </si>
  <si>
    <t>Where the test processing (running LAMP reactions) was done</t>
  </si>
  <si>
    <t>EMS, Conference Attendees</t>
  </si>
  <si>
    <t>Population Tested</t>
  </si>
  <si>
    <t>Description of the participants</t>
  </si>
  <si>
    <t>Standard</t>
  </si>
  <si>
    <t>Configuration</t>
  </si>
  <si>
    <t>Equipment set used for test processing (relates to throughput and type of test tube used)</t>
  </si>
  <si>
    <t>Pooled &amp; Individual</t>
  </si>
  <si>
    <t>Collection Type</t>
  </si>
  <si>
    <t>Pooled, Individual, or Both</t>
  </si>
  <si>
    <t>Self</t>
  </si>
  <si>
    <t>Self or HCW Collected</t>
  </si>
  <si>
    <t>HCW is Health Care Worker</t>
  </si>
  <si>
    <t>Yes</t>
  </si>
  <si>
    <t>App Used?</t>
  </si>
  <si>
    <t>Was the FloodLAMP Mobile App and Admin Portal utilized in the program</t>
  </si>
  <si>
    <t>In Person</t>
  </si>
  <si>
    <t>Bring-up Type</t>
  </si>
  <si>
    <t>How the initial setup and validation of the testing site was done</t>
  </si>
  <si>
    <t>FTFC</t>
  </si>
  <si>
    <t>Program Name</t>
  </si>
  <si>
    <t>Shorthand name used internally at FloodLAMP and in other documents for this program</t>
  </si>
  <si>
    <t>Hard Rock Hotel</t>
  </si>
  <si>
    <t>Site</t>
  </si>
  <si>
    <t>Broader physical space where the testing was done and/or where participants congregated</t>
  </si>
  <si>
    <t>Conference</t>
  </si>
  <si>
    <t>Site Type</t>
  </si>
  <si>
    <t>Type of entity or organization receiving the testing program</t>
  </si>
  <si>
    <t>Ft. Lauderdale, FL</t>
  </si>
  <si>
    <t>Location</t>
  </si>
  <si>
    <t>Geographical location of where the FloodLAMP testing program occurred</t>
  </si>
  <si>
    <t>FTFC Eagles - EMS Leadership Conference</t>
  </si>
  <si>
    <t>Event</t>
  </si>
  <si>
    <t>Week Start Date</t>
  </si>
  <si>
    <t>Week End Date</t>
  </si>
  <si>
    <t>%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</si>
</sst>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/d/yyyy h:mm:ss"/>
    <numFmt numFmtId="166" formatCode="0.0%"/>
    <numFmt numFmtId="167" formatCode="yyyy-mm-dd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u/>
      <sz val="12.0"/>
      <color theme="1"/>
      <name val="Arial"/>
    </font>
    <font>
      <b/>
      <color theme="1"/>
      <name val="Arial"/>
    </font>
    <font>
      <color rgb="FF000000"/>
      <name val="Arial"/>
      <scheme val="minor"/>
    </font>
    <font>
      <color theme="1"/>
      <name val="Roboto"/>
    </font>
    <font>
      <color rgb="FF000000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3" xfId="0" applyFont="1" applyNumberFormat="1"/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165" xfId="0" applyFont="1" applyNumberFormat="1"/>
    <xf borderId="0" fillId="0" fontId="1" numFmtId="166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9" xfId="0" applyAlignment="1" applyFont="1" applyNumberFormat="1">
      <alignment horizontal="center" vertical="bottom"/>
    </xf>
    <xf borderId="0" fillId="0" fontId="2" numFmtId="166" xfId="0" applyFont="1" applyNumberFormat="1"/>
    <xf borderId="0" fillId="0" fontId="1" numFmtId="166" xfId="0" applyAlignment="1" applyFont="1" applyNumberFormat="1">
      <alignment horizontal="right" readingOrder="0" vertical="bottom"/>
    </xf>
    <xf borderId="0" fillId="2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3" fontId="1" numFmtId="9" xfId="0" applyAlignment="1" applyFill="1" applyFont="1" applyNumberFormat="1">
      <alignment horizontal="right" vertical="bottom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1" numFmtId="9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4" fontId="2" numFmtId="167" xfId="0" applyAlignment="1" applyFill="1" applyFont="1" applyNumberFormat="1">
      <alignment readingOrder="0"/>
    </xf>
    <xf borderId="0" fillId="5" fontId="1" numFmtId="167" xfId="0" applyAlignment="1" applyFill="1" applyFont="1" applyNumberFormat="1">
      <alignment horizontal="right" vertical="bottom"/>
    </xf>
    <xf borderId="0" fillId="6" fontId="1" numFmtId="3" xfId="0" applyAlignment="1" applyFill="1" applyFont="1" applyNumberFormat="1">
      <alignment horizontal="right" vertical="bottom"/>
    </xf>
    <xf borderId="0" fillId="6" fontId="2" numFmtId="3" xfId="0" applyFont="1" applyNumberFormat="1"/>
    <xf borderId="0" fillId="6" fontId="2" numFmtId="0" xfId="0" applyFont="1"/>
    <xf borderId="0" fillId="6" fontId="2" numFmtId="166" xfId="0" applyFont="1" applyNumberFormat="1"/>
    <xf borderId="0" fillId="0" fontId="2" numFmtId="0" xfId="0" applyFon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7.63"/>
    <col customWidth="1" min="2" max="2" width="47.75"/>
    <col customWidth="1" min="3" max="3" width="68.38"/>
    <col customWidth="1" min="4" max="4" width="25.13"/>
    <col customWidth="1" min="7" max="7" width="14.5"/>
  </cols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3" t="s">
        <v>3</v>
      </c>
    </row>
    <row r="4">
      <c r="B4" s="4" t="s">
        <v>4</v>
      </c>
      <c r="C4" s="5" t="s">
        <v>5</v>
      </c>
      <c r="D4" s="6" t="s">
        <v>6</v>
      </c>
    </row>
    <row r="5">
      <c r="A5" s="7">
        <v>61.0</v>
      </c>
      <c r="B5" s="8" t="s">
        <v>7</v>
      </c>
      <c r="C5" s="9" t="s">
        <v>8</v>
      </c>
      <c r="D5" s="10" t="s">
        <v>9</v>
      </c>
    </row>
    <row r="6">
      <c r="A6" s="11">
        <f>A5</f>
        <v>61</v>
      </c>
      <c r="B6" s="8" t="s">
        <v>10</v>
      </c>
      <c r="C6" s="9" t="s">
        <v>11</v>
      </c>
    </row>
    <row r="7">
      <c r="A7" s="12"/>
      <c r="B7" s="8" t="s">
        <v>12</v>
      </c>
      <c r="C7" s="3"/>
    </row>
    <row r="8">
      <c r="A8" s="12"/>
      <c r="B8" s="8" t="s">
        <v>13</v>
      </c>
      <c r="C8" s="3"/>
    </row>
    <row r="9">
      <c r="A9" s="12">
        <f>A5</f>
        <v>61</v>
      </c>
      <c r="B9" s="8" t="s">
        <v>14</v>
      </c>
      <c r="C9" s="8" t="s">
        <v>15</v>
      </c>
    </row>
    <row r="10">
      <c r="A10" s="13"/>
      <c r="B10" s="1"/>
      <c r="C10" s="3"/>
    </row>
    <row r="11">
      <c r="A11" s="14">
        <v>195.0</v>
      </c>
      <c r="B11" s="8" t="s">
        <v>16</v>
      </c>
      <c r="C11" s="8" t="s">
        <v>17</v>
      </c>
    </row>
    <row r="12">
      <c r="A12" s="12">
        <v>0.0</v>
      </c>
      <c r="B12" s="8" t="s">
        <v>18</v>
      </c>
      <c r="C12" s="8" t="s">
        <v>19</v>
      </c>
    </row>
    <row r="13">
      <c r="A13" s="12">
        <f>A12+A11</f>
        <v>195</v>
      </c>
      <c r="B13" s="8" t="s">
        <v>20</v>
      </c>
      <c r="C13" s="8" t="s">
        <v>21</v>
      </c>
    </row>
    <row r="14">
      <c r="A14" s="15">
        <f>A11/(A5-A12)</f>
        <v>3.196721311</v>
      </c>
      <c r="B14" s="8" t="s">
        <v>22</v>
      </c>
      <c r="C14" s="1"/>
      <c r="N14" s="16"/>
    </row>
    <row r="15">
      <c r="A15" s="1"/>
      <c r="B15" s="3"/>
      <c r="C15" s="1"/>
    </row>
    <row r="16">
      <c r="A16" s="17" t="s">
        <v>23</v>
      </c>
      <c r="B16" s="4" t="s">
        <v>24</v>
      </c>
      <c r="C16" s="8" t="s">
        <v>25</v>
      </c>
    </row>
    <row r="17">
      <c r="A17" s="18"/>
      <c r="B17" s="8" t="s">
        <v>26</v>
      </c>
      <c r="C17" s="8" t="s">
        <v>27</v>
      </c>
    </row>
    <row r="18">
      <c r="A18" s="18"/>
      <c r="B18" s="8" t="s">
        <v>28</v>
      </c>
      <c r="C18" s="8" t="s">
        <v>29</v>
      </c>
      <c r="N18" s="19"/>
    </row>
    <row r="19">
      <c r="A19" s="20"/>
      <c r="B19" s="8" t="s">
        <v>30</v>
      </c>
      <c r="C19" s="8" t="s">
        <v>31</v>
      </c>
    </row>
    <row r="20">
      <c r="A20" s="18"/>
      <c r="B20" s="8" t="s">
        <v>32</v>
      </c>
      <c r="C20" s="1"/>
    </row>
    <row r="21">
      <c r="A21" s="21"/>
      <c r="B21" s="8" t="s">
        <v>33</v>
      </c>
      <c r="C21" s="1"/>
    </row>
    <row r="22">
      <c r="A22" s="1"/>
      <c r="B22" s="1"/>
      <c r="C22" s="1"/>
    </row>
    <row r="23" ht="42.0" customHeight="1">
      <c r="A23" s="17" t="s">
        <v>34</v>
      </c>
      <c r="B23" s="4" t="s">
        <v>35</v>
      </c>
      <c r="C23" s="8" t="s">
        <v>25</v>
      </c>
      <c r="E23" s="1"/>
      <c r="F23" s="22"/>
      <c r="G23" s="23"/>
      <c r="H23" s="22"/>
      <c r="I23" s="22"/>
      <c r="J23" s="6"/>
      <c r="K23" s="22"/>
      <c r="L23" s="22"/>
    </row>
    <row r="24">
      <c r="A24" s="17">
        <v>0.0</v>
      </c>
      <c r="B24" s="8" t="s">
        <v>36</v>
      </c>
      <c r="C24" s="1"/>
      <c r="E24" s="6"/>
      <c r="F24" s="24"/>
      <c r="G24" s="24"/>
      <c r="H24" s="25"/>
      <c r="I24" s="25"/>
      <c r="J24" s="26"/>
      <c r="K24" s="24"/>
      <c r="L24" s="26"/>
      <c r="N24" s="27"/>
    </row>
    <row r="25">
      <c r="A25" s="28">
        <v>0.0</v>
      </c>
      <c r="B25" s="8" t="s">
        <v>37</v>
      </c>
      <c r="C25" s="1"/>
      <c r="E25" s="1"/>
      <c r="F25" s="1"/>
      <c r="G25" s="1"/>
      <c r="H25" s="1"/>
      <c r="I25" s="1"/>
      <c r="J25" s="1"/>
      <c r="K25" s="1"/>
      <c r="L25" s="1"/>
    </row>
    <row r="26">
      <c r="A26" s="17">
        <v>0.0</v>
      </c>
      <c r="B26" s="8" t="s">
        <v>38</v>
      </c>
      <c r="C26" s="9" t="s">
        <v>39</v>
      </c>
      <c r="E26" s="1"/>
      <c r="F26" s="1"/>
      <c r="G26" s="1"/>
      <c r="H26" s="1"/>
      <c r="I26" s="6"/>
      <c r="J26" s="6"/>
      <c r="K26" s="6"/>
      <c r="L26" s="6"/>
    </row>
    <row r="27">
      <c r="A27" s="17">
        <v>0.0</v>
      </c>
      <c r="B27" s="8" t="s">
        <v>40</v>
      </c>
      <c r="C27" s="8" t="s">
        <v>41</v>
      </c>
      <c r="E27" s="6"/>
      <c r="F27" s="24"/>
      <c r="G27" s="24"/>
      <c r="H27" s="25"/>
      <c r="I27" s="24"/>
      <c r="J27" s="26"/>
      <c r="K27" s="24"/>
      <c r="L27" s="26"/>
    </row>
    <row r="28">
      <c r="A28" s="17">
        <v>0.0</v>
      </c>
      <c r="B28" s="8" t="s">
        <v>42</v>
      </c>
      <c r="C28" s="1"/>
    </row>
    <row r="29">
      <c r="A29" s="1"/>
      <c r="B29" s="1"/>
      <c r="C29" s="1"/>
    </row>
    <row r="30">
      <c r="A30" s="17" t="s">
        <v>43</v>
      </c>
      <c r="B30" s="4" t="s">
        <v>44</v>
      </c>
      <c r="C30" s="8" t="s">
        <v>25</v>
      </c>
      <c r="N30" s="27"/>
    </row>
    <row r="31">
      <c r="A31" s="17">
        <v>0.0</v>
      </c>
      <c r="B31" s="8" t="s">
        <v>45</v>
      </c>
      <c r="C31" s="1"/>
    </row>
    <row r="32">
      <c r="A32" s="18"/>
      <c r="B32" s="8" t="s">
        <v>46</v>
      </c>
      <c r="C32" s="1"/>
      <c r="D32" s="2" t="s">
        <v>47</v>
      </c>
    </row>
    <row r="33">
      <c r="A33" s="29">
        <v>0.0</v>
      </c>
      <c r="B33" s="30" t="s">
        <v>48</v>
      </c>
      <c r="C33" s="31"/>
      <c r="D33" s="32"/>
    </row>
    <row r="34">
      <c r="A34" s="20">
        <f>A33/A$5</f>
        <v>0</v>
      </c>
      <c r="B34" s="8" t="s">
        <v>49</v>
      </c>
      <c r="C34" s="1"/>
    </row>
    <row r="35">
      <c r="A35" s="17">
        <v>0.0</v>
      </c>
      <c r="B35" s="8" t="s">
        <v>50</v>
      </c>
      <c r="C35" s="1"/>
    </row>
    <row r="36">
      <c r="A36" s="33" t="str">
        <f>IF(A33&lt;&gt;0,A35/A33,IFERROR(0/0,""))</f>
        <v/>
      </c>
      <c r="B36" s="8" t="s">
        <v>51</v>
      </c>
      <c r="C36" s="1"/>
      <c r="D36" s="2" t="s">
        <v>52</v>
      </c>
    </row>
    <row r="37">
      <c r="A37" s="17">
        <v>0.0</v>
      </c>
      <c r="B37" s="8" t="s">
        <v>53</v>
      </c>
      <c r="C37" s="1"/>
    </row>
    <row r="38">
      <c r="A38" s="17">
        <v>0.0</v>
      </c>
      <c r="B38" s="8" t="s">
        <v>54</v>
      </c>
      <c r="C38" s="3"/>
    </row>
    <row r="39">
      <c r="A39" s="17">
        <v>0.0</v>
      </c>
      <c r="B39" s="8" t="s">
        <v>55</v>
      </c>
      <c r="C39" s="8" t="s">
        <v>56</v>
      </c>
    </row>
    <row r="40">
      <c r="A40" s="17">
        <v>0.0</v>
      </c>
      <c r="B40" s="8" t="s">
        <v>57</v>
      </c>
      <c r="C40" s="8" t="s">
        <v>58</v>
      </c>
    </row>
    <row r="41">
      <c r="A41" s="20">
        <f>A40/A6</f>
        <v>0</v>
      </c>
      <c r="B41" s="8" t="s">
        <v>59</v>
      </c>
      <c r="C41" s="8" t="s">
        <v>11</v>
      </c>
    </row>
    <row r="42">
      <c r="A42" s="1"/>
      <c r="B42" s="1"/>
      <c r="C42" s="1"/>
    </row>
    <row r="43">
      <c r="A43" s="17" t="s">
        <v>34</v>
      </c>
      <c r="B43" s="4" t="s">
        <v>60</v>
      </c>
      <c r="C43" s="8" t="s">
        <v>25</v>
      </c>
    </row>
    <row r="44">
      <c r="A44" s="29">
        <v>0.0</v>
      </c>
      <c r="B44" s="30" t="s">
        <v>61</v>
      </c>
      <c r="C44" s="34" t="s">
        <v>62</v>
      </c>
      <c r="D44" s="35"/>
    </row>
    <row r="45">
      <c r="A45" s="36">
        <v>0.0</v>
      </c>
      <c r="B45" s="8" t="s">
        <v>63</v>
      </c>
      <c r="C45" s="8" t="s">
        <v>64</v>
      </c>
    </row>
    <row r="46">
      <c r="A46" s="36">
        <v>0.0</v>
      </c>
      <c r="B46" s="8" t="s">
        <v>65</v>
      </c>
      <c r="C46" s="1"/>
    </row>
    <row r="47">
      <c r="A47" s="33" t="str">
        <f>IF(A44&lt;&gt;0,(A45+A46)/A44,IFERROR(0/0,""))</f>
        <v/>
      </c>
      <c r="B47" s="8" t="s">
        <v>66</v>
      </c>
      <c r="C47" s="1"/>
      <c r="D47" s="2" t="s">
        <v>52</v>
      </c>
    </row>
    <row r="48">
      <c r="A48" s="17">
        <v>0.0</v>
      </c>
      <c r="B48" s="8" t="s">
        <v>67</v>
      </c>
      <c r="C48" s="1"/>
    </row>
    <row r="49">
      <c r="A49" s="17">
        <v>0.0</v>
      </c>
      <c r="B49" s="8" t="s">
        <v>68</v>
      </c>
      <c r="C49" s="1"/>
    </row>
    <row r="50">
      <c r="A50" s="1"/>
      <c r="B50" s="1"/>
      <c r="C50" s="1"/>
    </row>
    <row r="51">
      <c r="A51" s="2" t="s">
        <v>69</v>
      </c>
      <c r="B51" s="4" t="s">
        <v>70</v>
      </c>
      <c r="C51" s="8" t="s">
        <v>25</v>
      </c>
    </row>
    <row r="52">
      <c r="A52" s="17"/>
      <c r="B52" s="8" t="s">
        <v>71</v>
      </c>
      <c r="C52" s="1"/>
      <c r="D52" s="2" t="s">
        <v>72</v>
      </c>
    </row>
    <row r="53">
      <c r="A53" s="29"/>
      <c r="B53" s="30" t="s">
        <v>73</v>
      </c>
      <c r="C53" s="37"/>
      <c r="D53" s="2" t="s">
        <v>72</v>
      </c>
    </row>
    <row r="54">
      <c r="A54" s="38"/>
      <c r="B54" s="8" t="s">
        <v>74</v>
      </c>
      <c r="C54" s="8" t="s">
        <v>75</v>
      </c>
      <c r="D54" s="2" t="s">
        <v>72</v>
      </c>
    </row>
    <row r="55">
      <c r="A55" s="17"/>
      <c r="B55" s="8" t="s">
        <v>76</v>
      </c>
      <c r="C55" s="1"/>
      <c r="D55" s="2" t="s">
        <v>72</v>
      </c>
    </row>
    <row r="56">
      <c r="A56" s="17"/>
      <c r="B56" s="8" t="s">
        <v>77</v>
      </c>
      <c r="C56" s="1"/>
      <c r="D56" s="2" t="s">
        <v>72</v>
      </c>
    </row>
    <row r="57">
      <c r="A57" s="1"/>
      <c r="B57" s="8" t="s">
        <v>78</v>
      </c>
      <c r="C57" s="1"/>
    </row>
    <row r="58">
      <c r="A58" s="1"/>
      <c r="B58" s="1"/>
      <c r="C58" s="1"/>
    </row>
    <row r="59">
      <c r="A59" s="17"/>
      <c r="B59" s="4" t="s">
        <v>79</v>
      </c>
      <c r="C59" s="8" t="s">
        <v>25</v>
      </c>
    </row>
    <row r="60">
      <c r="A60" s="17">
        <v>0.0</v>
      </c>
      <c r="B60" s="8" t="s">
        <v>80</v>
      </c>
      <c r="C60" s="8" t="s">
        <v>81</v>
      </c>
    </row>
    <row r="61">
      <c r="A61" s="17">
        <v>0.0</v>
      </c>
      <c r="B61" s="8" t="s">
        <v>82</v>
      </c>
      <c r="C61" s="8" t="s">
        <v>83</v>
      </c>
    </row>
    <row r="62">
      <c r="A62" s="1"/>
      <c r="B62" s="1"/>
      <c r="C62" s="1"/>
    </row>
    <row r="63">
      <c r="A63" s="1"/>
      <c r="B63" s="4" t="s">
        <v>84</v>
      </c>
      <c r="C63" s="8" t="s">
        <v>25</v>
      </c>
    </row>
    <row r="64">
      <c r="A64" s="12">
        <f>A11</f>
        <v>195</v>
      </c>
      <c r="B64" s="8" t="s">
        <v>85</v>
      </c>
      <c r="C64" s="8" t="s">
        <v>86</v>
      </c>
    </row>
    <row r="65">
      <c r="A65" s="17">
        <v>4.0</v>
      </c>
      <c r="B65" s="8" t="s">
        <v>87</v>
      </c>
      <c r="C65" s="8" t="s">
        <v>88</v>
      </c>
    </row>
    <row r="66">
      <c r="A66" s="1"/>
      <c r="B66" s="1"/>
      <c r="C66" s="1"/>
    </row>
    <row r="67">
      <c r="A67" s="1"/>
      <c r="B67" s="4" t="s">
        <v>89</v>
      </c>
      <c r="C67" s="8" t="s">
        <v>25</v>
      </c>
    </row>
    <row r="68">
      <c r="A68" s="17">
        <v>0.0</v>
      </c>
      <c r="B68" s="8" t="s">
        <v>90</v>
      </c>
      <c r="C68" s="8" t="s">
        <v>91</v>
      </c>
    </row>
    <row r="69">
      <c r="A69" s="21">
        <f>A68/A$65</f>
        <v>0</v>
      </c>
      <c r="B69" s="8" t="s">
        <v>92</v>
      </c>
      <c r="C69" s="1"/>
    </row>
    <row r="70">
      <c r="A70" s="17">
        <v>0.0</v>
      </c>
      <c r="B70" s="8" t="s">
        <v>93</v>
      </c>
      <c r="C70" s="1"/>
    </row>
    <row r="71">
      <c r="A71" s="21">
        <f>A70/A$65</f>
        <v>0</v>
      </c>
      <c r="B71" s="8" t="s">
        <v>94</v>
      </c>
      <c r="C71" s="1"/>
    </row>
    <row r="72">
      <c r="A72" s="1"/>
      <c r="B72" s="1"/>
      <c r="C72" s="1"/>
    </row>
    <row r="73">
      <c r="A73" s="1"/>
      <c r="B73" s="4" t="s">
        <v>95</v>
      </c>
      <c r="C73" s="8" t="s">
        <v>25</v>
      </c>
    </row>
    <row r="74">
      <c r="A74" s="39">
        <v>44361.0</v>
      </c>
      <c r="B74" s="8" t="s">
        <v>96</v>
      </c>
      <c r="C74" s="1"/>
    </row>
    <row r="75">
      <c r="A75" s="39">
        <v>44365.0</v>
      </c>
      <c r="B75" s="8" t="s">
        <v>97</v>
      </c>
      <c r="C75" s="1"/>
    </row>
    <row r="76">
      <c r="A76" s="1"/>
      <c r="B76" s="1"/>
      <c r="C76" s="1"/>
    </row>
    <row r="77">
      <c r="A77" s="1"/>
      <c r="B77" s="4" t="s">
        <v>98</v>
      </c>
      <c r="C77" s="8" t="s">
        <v>25</v>
      </c>
    </row>
    <row r="78">
      <c r="A78" s="8" t="s">
        <v>99</v>
      </c>
      <c r="B78" s="8" t="s">
        <v>100</v>
      </c>
      <c r="C78" s="8" t="s">
        <v>101</v>
      </c>
    </row>
    <row r="79">
      <c r="A79" s="8" t="s">
        <v>102</v>
      </c>
      <c r="B79" s="8" t="s">
        <v>103</v>
      </c>
      <c r="C79" s="8" t="s">
        <v>104</v>
      </c>
    </row>
    <row r="80">
      <c r="A80" s="8" t="s">
        <v>105</v>
      </c>
      <c r="B80" s="8" t="s">
        <v>106</v>
      </c>
      <c r="C80" s="8" t="s">
        <v>107</v>
      </c>
    </row>
    <row r="81">
      <c r="A81" s="40" t="s">
        <v>108</v>
      </c>
      <c r="B81" s="8" t="s">
        <v>109</v>
      </c>
      <c r="C81" s="8" t="s">
        <v>110</v>
      </c>
    </row>
    <row r="82">
      <c r="A82" s="41" t="s">
        <v>111</v>
      </c>
      <c r="B82" s="8" t="s">
        <v>112</v>
      </c>
      <c r="C82" s="8" t="s">
        <v>113</v>
      </c>
    </row>
    <row r="83">
      <c r="A83" s="8" t="s">
        <v>114</v>
      </c>
      <c r="B83" s="8" t="s">
        <v>115</v>
      </c>
      <c r="C83" s="8" t="s">
        <v>116</v>
      </c>
    </row>
    <row r="84">
      <c r="A84" s="1" t="s">
        <v>117</v>
      </c>
      <c r="B84" s="8" t="s">
        <v>118</v>
      </c>
      <c r="C84" s="8" t="s">
        <v>119</v>
      </c>
    </row>
    <row r="85">
      <c r="A85" s="1" t="s">
        <v>120</v>
      </c>
      <c r="B85" s="8" t="s">
        <v>121</v>
      </c>
      <c r="C85" s="8" t="s">
        <v>122</v>
      </c>
    </row>
    <row r="86">
      <c r="A86" s="42" t="s">
        <v>123</v>
      </c>
      <c r="B86" s="8" t="s">
        <v>124</v>
      </c>
      <c r="C86" s="8" t="s">
        <v>125</v>
      </c>
    </row>
    <row r="87">
      <c r="A87" s="2" t="s">
        <v>126</v>
      </c>
      <c r="B87" s="8" t="s">
        <v>127</v>
      </c>
      <c r="C87" s="8" t="s">
        <v>128</v>
      </c>
    </row>
    <row r="88">
      <c r="A88" s="2" t="s">
        <v>129</v>
      </c>
      <c r="B88" s="8" t="s">
        <v>130</v>
      </c>
      <c r="C88" s="8" t="s">
        <v>131</v>
      </c>
    </row>
    <row r="89">
      <c r="A89" s="2" t="s">
        <v>132</v>
      </c>
      <c r="B89" s="8" t="s">
        <v>133</v>
      </c>
      <c r="C89" s="8" t="s">
        <v>134</v>
      </c>
    </row>
    <row r="90">
      <c r="A90" s="42" t="s">
        <v>135</v>
      </c>
      <c r="B90" s="2" t="s">
        <v>136</v>
      </c>
    </row>
  </sheetData>
  <mergeCells count="1">
    <mergeCell ref="D5:I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88"/>
    <col customWidth="1" min="4" max="4" width="9.88"/>
    <col customWidth="1" min="5" max="5" width="9.5"/>
  </cols>
  <sheetData>
    <row r="1">
      <c r="A1" s="43" t="s">
        <v>137</v>
      </c>
      <c r="B1" s="43" t="s">
        <v>138</v>
      </c>
      <c r="C1" s="44" t="str">
        <f>CONCATENATE("Weekly Participants ",SUM(C2:C99))</f>
        <v>Weekly Participants 195</v>
      </c>
      <c r="D1" s="43" t="str">
        <f>CONCATENATE("Weekly Tubes Run ",SUM(D2:D99))</f>
        <v>Weekly Tubes Run 61</v>
      </c>
      <c r="E1" s="43" t="str">
        <f>CONCATENATE("Weekly Positive Tubes ",SUM(E2:E99))</f>
        <v>Weekly Positive Tubes 0</v>
      </c>
      <c r="F1" s="43" t="str">
        <f>CONCATENATE("Weekly Inconclusive Tubes ",SUM(F2:F99))</f>
        <v>Weekly Inconclusive Tubes 0</v>
      </c>
      <c r="G1" s="43" t="s">
        <v>139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>
      <c r="A2" s="46">
        <v>44361.0</v>
      </c>
      <c r="B2" s="47">
        <f>A2+6</f>
        <v>44367</v>
      </c>
      <c r="C2" s="48">
        <f>Stats!A11</f>
        <v>195</v>
      </c>
      <c r="D2" s="49">
        <f>Stats!A5</f>
        <v>61</v>
      </c>
      <c r="E2" s="50">
        <f>Stats!A24</f>
        <v>0</v>
      </c>
      <c r="F2" s="50">
        <f>Stats!A31</f>
        <v>0</v>
      </c>
      <c r="G2" s="51">
        <f>IFERROR(E2/D2,IFERROR(0/0,""))</f>
        <v>0</v>
      </c>
      <c r="I2" s="52" t="str">
        <f>TEXT(A2,"ddd")</f>
        <v>Mon</v>
      </c>
    </row>
    <row r="3">
      <c r="A3" s="53"/>
      <c r="B3" s="53"/>
      <c r="C3" s="18"/>
      <c r="G3" s="27"/>
    </row>
    <row r="4">
      <c r="A4" s="53"/>
      <c r="B4" s="53"/>
      <c r="C4" s="18"/>
      <c r="G4" s="27"/>
    </row>
    <row r="5">
      <c r="A5" s="53"/>
      <c r="B5" s="53"/>
      <c r="C5" s="18"/>
      <c r="G5" s="27"/>
    </row>
    <row r="6">
      <c r="A6" s="53"/>
      <c r="B6" s="53"/>
      <c r="C6" s="18"/>
      <c r="G6" s="27"/>
    </row>
    <row r="7">
      <c r="A7" s="53"/>
      <c r="B7" s="53"/>
      <c r="C7" s="18"/>
      <c r="G7" s="27"/>
    </row>
    <row r="8">
      <c r="A8" s="53"/>
      <c r="B8" s="53"/>
      <c r="C8" s="18"/>
      <c r="G8" s="27"/>
    </row>
    <row r="9">
      <c r="A9" s="53"/>
      <c r="B9" s="53"/>
      <c r="C9" s="18"/>
      <c r="G9" s="27"/>
    </row>
    <row r="10">
      <c r="A10" s="53"/>
      <c r="B10" s="53"/>
      <c r="C10" s="18"/>
      <c r="G10" s="27"/>
    </row>
    <row r="11">
      <c r="A11" s="53"/>
      <c r="B11" s="53"/>
      <c r="C11" s="18"/>
      <c r="G11" s="27"/>
    </row>
    <row r="12">
      <c r="A12" s="53"/>
      <c r="B12" s="53"/>
      <c r="C12" s="18"/>
      <c r="G12" s="27"/>
    </row>
    <row r="13">
      <c r="A13" s="53"/>
      <c r="B13" s="53"/>
      <c r="C13" s="18"/>
      <c r="G13" s="27"/>
    </row>
    <row r="14">
      <c r="A14" s="53"/>
      <c r="B14" s="53"/>
      <c r="C14" s="18"/>
      <c r="G14" s="27"/>
    </row>
    <row r="15">
      <c r="A15" s="53"/>
      <c r="B15" s="53"/>
      <c r="C15" s="18"/>
      <c r="G15" s="27"/>
    </row>
    <row r="16">
      <c r="A16" s="53"/>
      <c r="B16" s="53"/>
      <c r="C16" s="18"/>
      <c r="G16" s="27"/>
    </row>
    <row r="17">
      <c r="A17" s="53"/>
      <c r="B17" s="53"/>
      <c r="C17" s="18"/>
      <c r="G17" s="27"/>
    </row>
    <row r="18">
      <c r="A18" s="53"/>
      <c r="B18" s="53"/>
      <c r="C18" s="18"/>
      <c r="G18" s="27"/>
    </row>
    <row r="19">
      <c r="A19" s="53"/>
      <c r="B19" s="53"/>
      <c r="C19" s="18"/>
      <c r="G19" s="27"/>
    </row>
    <row r="20">
      <c r="A20" s="53"/>
      <c r="B20" s="53"/>
      <c r="C20" s="18"/>
      <c r="G20" s="27"/>
    </row>
    <row r="21">
      <c r="A21" s="53"/>
      <c r="B21" s="53"/>
      <c r="C21" s="18"/>
      <c r="G21" s="27"/>
    </row>
    <row r="22">
      <c r="A22" s="53"/>
      <c r="B22" s="53"/>
      <c r="C22" s="18"/>
      <c r="G22" s="27"/>
    </row>
    <row r="23">
      <c r="A23" s="53"/>
      <c r="B23" s="53"/>
      <c r="C23" s="18"/>
      <c r="G23" s="27"/>
    </row>
    <row r="24">
      <c r="A24" s="53"/>
      <c r="B24" s="53"/>
      <c r="C24" s="18"/>
      <c r="G24" s="27"/>
    </row>
  </sheetData>
  <drawing r:id="rId1"/>
</worksheet>
</file>