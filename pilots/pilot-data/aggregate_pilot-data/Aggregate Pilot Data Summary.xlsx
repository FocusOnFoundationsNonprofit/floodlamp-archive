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Compilation" sheetId="1" r:id="rId5"/>
    <sheet state="visible" name="Pilot Data Google Files - PUB U" sheetId="2" r:id="rId6"/>
    <sheet state="visible" name="Pilot Data Google Files - PUB F" sheetId="3" r:id="rId7"/>
  </sheets>
  <definedNames/>
  <calcPr/>
</workbook>
</file>

<file path=xl/sharedStrings.xml><?xml version="1.0" encoding="utf-8"?>
<sst xmlns="http://schemas.openxmlformats.org/spreadsheetml/2006/main" count="487" uniqueCount="271">
  <si>
    <t>NONE</t>
  </si>
  <si>
    <t>NDHM_RFR_deID_PUB</t>
  </si>
  <si>
    <t>FLMP_RFR_deID_PUB</t>
  </si>
  <si>
    <t>RFR File</t>
  </si>
  <si>
    <t>COMB_RFR_deID_PUB</t>
  </si>
  <si>
    <t>BEND_RFR_deID_PUB</t>
  </si>
  <si>
    <t>ABRM_RFR_deID_PUB</t>
  </si>
  <si>
    <t>DAVI_RTR_PHI_v2.0</t>
  </si>
  <si>
    <t>FLMP_RTR_deID_PUB</t>
  </si>
  <si>
    <t>RTR File</t>
  </si>
  <si>
    <t>COMB_RTR_deID_PUB</t>
  </si>
  <si>
    <t>ABRM_RTR_deID_PUB</t>
  </si>
  <si>
    <t>ROSA_RSR_deID_PUB</t>
  </si>
  <si>
    <t>RSR File</t>
  </si>
  <si>
    <t>COSP_RSR_deID_PUB</t>
  </si>
  <si>
    <t>Aggregate</t>
  </si>
  <si>
    <t>ROSA</t>
  </si>
  <si>
    <t>NDHM</t>
  </si>
  <si>
    <t>KENT</t>
  </si>
  <si>
    <t>FTFC</t>
  </si>
  <si>
    <t>DAVI</t>
  </si>
  <si>
    <t>FLSP</t>
  </si>
  <si>
    <t>CRLN</t>
  </si>
  <si>
    <t>COSP</t>
  </si>
  <si>
    <t>COMB</t>
  </si>
  <si>
    <t>BEND</t>
  </si>
  <si>
    <t>ABRM</t>
  </si>
  <si>
    <t>Overall</t>
  </si>
  <si>
    <t>Details</t>
  </si>
  <si>
    <t>Number of Tubes Tested (initial only - no re-runs)</t>
  </si>
  <si>
    <t>initial run tubes only so excludes re-runs</t>
  </si>
  <si>
    <t>Number of Tube Tests Run (includes re-runs)</t>
  </si>
  <si>
    <t>includes re-runs</t>
  </si>
  <si>
    <t>Number of Initial Runs</t>
  </si>
  <si>
    <t>Number of APS Only Tubes run</t>
  </si>
  <si>
    <t>Number of Test Reactions (RFR plus APS only tubes run)</t>
  </si>
  <si>
    <t>includes technical replicates (the same tube sample in multiple reactions in the same run)</t>
  </si>
  <si>
    <t>Number of Participant Results</t>
  </si>
  <si>
    <t>counts individual samples in pools and excludes re-runs</t>
  </si>
  <si>
    <t>Number of ARF Tubes</t>
  </si>
  <si>
    <t>tubes run and present in RFR but not in Appivo - created tube IDs that start with ARF</t>
  </si>
  <si>
    <t>Sum of Participant Results plus ARF Tubes</t>
  </si>
  <si>
    <t>Will be equal to the number of tubes tested if no pooling.</t>
  </si>
  <si>
    <t>Average Pool Level (excludes ARF)</t>
  </si>
  <si>
    <t>No Re-runs</t>
  </si>
  <si>
    <t>No Data</t>
  </si>
  <si>
    <t>Not Applicable - No RFR</t>
  </si>
  <si>
    <t>Re-runs</t>
  </si>
  <si>
    <t>section</t>
  </si>
  <si>
    <t>Number of Run Tubes (re-runs only)</t>
  </si>
  <si>
    <t>from RFR Audit Num Run Tubes</t>
  </si>
  <si>
    <t>Number of Reactions (re-runs only)</t>
  </si>
  <si>
    <t>from RFR Audit Num rxns (excl ctrls)</t>
  </si>
  <si>
    <t>Re-run % of Tubes</t>
  </si>
  <si>
    <t>re-run / initial</t>
  </si>
  <si>
    <t>Number of Initial Runs with Re-runs</t>
  </si>
  <si>
    <t>% Initial Runs with Re-runs</t>
  </si>
  <si>
    <t>No Positives</t>
  </si>
  <si>
    <t>Positives</t>
  </si>
  <si>
    <t>Number of Tubes with Final Result Positive</t>
  </si>
  <si>
    <t>% of Tubes Positives (Final Result)</t>
  </si>
  <si>
    <t>Number of Cases with Final Result Positive (Indiv or Pool)</t>
  </si>
  <si>
    <t>Subtract off Re-tests</t>
  </si>
  <si>
    <t>Known Positive Cases</t>
  </si>
  <si>
    <t>Previous tested (including by FloodLAMP test) or reported positive</t>
  </si>
  <si>
    <t>Unknown Positive Cases</t>
  </si>
  <si>
    <t>No Inconclusives</t>
  </si>
  <si>
    <t>Inconclusives</t>
  </si>
  <si>
    <t>Number of Tubes with Final Result Inconclusive</t>
  </si>
  <si>
    <t>Number of Tubes in RFR Audit Inconclusive not in Appivo Final Results</t>
  </si>
  <si>
    <t>Total Number of Inconclusive Tubes</t>
  </si>
  <si>
    <t>% of Tubes Inconclusive</t>
  </si>
  <si>
    <t>Number of Inconclusive Tubes resolved Positive by Referral Test or Correspondence</t>
  </si>
  <si>
    <t>% Inconclusives resolved Positive by Referral Tests</t>
  </si>
  <si>
    <t>Number of Inconclusive Tubes with Referral Test or Correspondence Negative</t>
  </si>
  <si>
    <t>Number of Inconclusive Tubes with no Referral Test result or Correspondence</t>
  </si>
  <si>
    <t>Number of Tubes with Initial Inconclusives and Re-run Negative</t>
  </si>
  <si>
    <t>Count Result Correction Code=2.5 in preDel col AJ, or from RFR preExcl if not resulted as Incl in App</t>
  </si>
  <si>
    <t>Number of Inconclusive Test Run Calls</t>
  </si>
  <si>
    <t>includes re-runs - from RFR Audit only and excludes any APS only resulted inconclusives</t>
  </si>
  <si>
    <t>% Tube Tests Run Called Inconclusive</t>
  </si>
  <si>
    <t>Not Available</t>
  </si>
  <si>
    <t>Referrals and Correspondence</t>
  </si>
  <si>
    <t>Number of FloodLAMP Cases with Referral Tests or Correspondence</t>
  </si>
  <si>
    <t>Indiv or Pool, Cases used instead of Person to account for people being contracting COVID multiple times, and instead of Results to exclude re-tests</t>
  </si>
  <si>
    <t>Number of Referral Confirmed FloodLAMP Positives</t>
  </si>
  <si>
    <t>Sometimes also termed Agree Positives - Include initial Inconclusive with Referral or Correspondence Positive</t>
  </si>
  <si>
    <t>FL Inconclusives with Referal / Correspondence Positive</t>
  </si>
  <si>
    <t>% FloodLAMP Positive or Inconclusive with Referral / Correspondence Positive</t>
  </si>
  <si>
    <t>FL Inconclusives but Referral / Correspondence Negative</t>
  </si>
  <si>
    <t>FL Inconclusives with No Referral Tests or Correspondence</t>
  </si>
  <si>
    <t>Not Applicable</t>
  </si>
  <si>
    <t>Only PCR Referral Testing</t>
  </si>
  <si>
    <t>Comparison to Antigen</t>
  </si>
  <si>
    <t>Number of FloodLAMP Test Person Cases with Referral Antigen Tests (including non-Same Day)</t>
  </si>
  <si>
    <t>Number of FloodLAMP Test Person Cases with Same Day Referral Antigen Tests</t>
  </si>
  <si>
    <t>Number of FloodLAMP Positive Test Person Cases with Same Day Antigen Negative</t>
  </si>
  <si>
    <t>Agree with Referral Test Positive (usually PCR or later Antigen) but Initial Antigen Negative</t>
  </si>
  <si>
    <t>% Confirmed FloodLAMP Positives with Same Day Antigen Negative</t>
  </si>
  <si>
    <t>Number of FloodLAMP Positive Test Person Cases confirmed with Referral Tests but Antigen and Other Non-Antigen Test Negative</t>
  </si>
  <si>
    <t>% Confirmed FloodLAMP Positives that were Antigen and Other Non-Antigen Test Negative</t>
  </si>
  <si>
    <t>False Calls</t>
  </si>
  <si>
    <t>False Positives Final Results</t>
  </si>
  <si>
    <t>From reviewing APS/Pos and Incl tab Unconfirmed FL Positives</t>
  </si>
  <si>
    <t>False Negative Final Results (Suspected)</t>
  </si>
  <si>
    <t>From reviewing Referral Tests by Person and correspondence with Program Admin</t>
  </si>
  <si>
    <t>People</t>
  </si>
  <si>
    <t>Number of Unique Individuals Tested</t>
  </si>
  <si>
    <t>Includes UnknownPerson additions but not ARF tubes</t>
  </si>
  <si>
    <t>Number of Unique Sponsors</t>
  </si>
  <si>
    <t>People who collect using the app</t>
  </si>
  <si>
    <t>Positivity</t>
  </si>
  <si>
    <t>Number of Unique Individual Tested FloodLAMP Positive</t>
  </si>
  <si>
    <t>includes Inconclusive FloodLAMP result confirmed Positive by follow-up or Referral</t>
  </si>
  <si>
    <t>% of Population FloodLAMP Positive (excluding pools not deconv)</t>
  </si>
  <si>
    <t>Number of Unique Individual Tested FloodLAMP Positive (including if in a positive pool)</t>
  </si>
  <si>
    <t>% of Population FloodLAMP Positive (including everyone in a positive pool)</t>
  </si>
  <si>
    <t>Dates</t>
  </si>
  <si>
    <t>Start Run Date</t>
  </si>
  <si>
    <t>End Run Date</t>
  </si>
  <si>
    <t>Info</t>
  </si>
  <si>
    <t>Davie Fire and Rescue</t>
  </si>
  <si>
    <t>Needham Beth Shalom School</t>
  </si>
  <si>
    <t>Volunteers, Camp Staff</t>
  </si>
  <si>
    <t>FloodLAMP</t>
  </si>
  <si>
    <t>City of Coral Springs</t>
  </si>
  <si>
    <t>Bend Fire and Rescue</t>
  </si>
  <si>
    <t>Abrome School</t>
  </si>
  <si>
    <t>Test Operator</t>
  </si>
  <si>
    <t>Who ran the actual testing (running LAMP reactions)</t>
  </si>
  <si>
    <t>Office</t>
  </si>
  <si>
    <t>Office Space</t>
  </si>
  <si>
    <t>On Site Room</t>
  </si>
  <si>
    <t>Hotel Storage Room</t>
  </si>
  <si>
    <t>Fire Station Office</t>
  </si>
  <si>
    <t>Biolab, Garage, Office</t>
  </si>
  <si>
    <t>Garage Dedicated Room</t>
  </si>
  <si>
    <t>Hotel room</t>
  </si>
  <si>
    <t>Test Processing Site</t>
  </si>
  <si>
    <t>Where the test processing (running LAMP reactions) was done</t>
  </si>
  <si>
    <t>TV Production Staff</t>
  </si>
  <si>
    <t>Students, Staff, Families</t>
  </si>
  <si>
    <t>Young Adult Campers, Staff</t>
  </si>
  <si>
    <t>EMS, Conference Attendees</t>
  </si>
  <si>
    <t>EMS, First Responders, City Staff</t>
  </si>
  <si>
    <t>Staff, Community</t>
  </si>
  <si>
    <t>Martial artists, Production Staff</t>
  </si>
  <si>
    <t>First Responders, Staff</t>
  </si>
  <si>
    <t>Population Tested</t>
  </si>
  <si>
    <t>Description of the participants</t>
  </si>
  <si>
    <t>Standard</t>
  </si>
  <si>
    <t>Various</t>
  </si>
  <si>
    <t>Double Standard</t>
  </si>
  <si>
    <t>Double Mini</t>
  </si>
  <si>
    <t>Mini w water bath</t>
  </si>
  <si>
    <t>Configuration</t>
  </si>
  <si>
    <t>Equipment set used for test processing (relates to throughput and type of test tube used)</t>
  </si>
  <si>
    <t>Individual</t>
  </si>
  <si>
    <t>Pooled Household</t>
  </si>
  <si>
    <t>Pooled</t>
  </si>
  <si>
    <t>Pooled &amp; Individual</t>
  </si>
  <si>
    <t>Pooled Household, Individual</t>
  </si>
  <si>
    <t>Collection Type</t>
  </si>
  <si>
    <t>Pooled, Individual, or Both</t>
  </si>
  <si>
    <t>HCW</t>
  </si>
  <si>
    <t>Self</t>
  </si>
  <si>
    <t>Self or HCW Collected</t>
  </si>
  <si>
    <t>HCW is Health Care Worker</t>
  </si>
  <si>
    <t>Yes</t>
  </si>
  <si>
    <t>No</t>
  </si>
  <si>
    <t>App Used?</t>
  </si>
  <si>
    <t>Was the FloodLAMP Mobile App and Admin Portal utilized in the program</t>
  </si>
  <si>
    <t>In Person</t>
  </si>
  <si>
    <t>In Person &amp; Remote</t>
  </si>
  <si>
    <t>Remote (NSVD)</t>
  </si>
  <si>
    <t>Remote (NSVD Volunteer)</t>
  </si>
  <si>
    <t>Bring-up Type</t>
  </si>
  <si>
    <t>How the initial setup and validation of the testing site was done</t>
  </si>
  <si>
    <t>Rosa</t>
  </si>
  <si>
    <t>Needham</t>
  </si>
  <si>
    <t>Kent</t>
  </si>
  <si>
    <t>Davie</t>
  </si>
  <si>
    <t>FloodLAMP Staff Plus</t>
  </si>
  <si>
    <t>Carillon</t>
  </si>
  <si>
    <t>Coral Springs</t>
  </si>
  <si>
    <t>Combate</t>
  </si>
  <si>
    <t>Bend</t>
  </si>
  <si>
    <t>Abrome</t>
  </si>
  <si>
    <t>Program Name</t>
  </si>
  <si>
    <t>Shorthand name used internally at FloodLAMP and in other documents for this program</t>
  </si>
  <si>
    <t>Production Set / Fire Station</t>
  </si>
  <si>
    <t>Camp Kenmont</t>
  </si>
  <si>
    <t>Hard Rock Hotel</t>
  </si>
  <si>
    <t>Fire Station</t>
  </si>
  <si>
    <t>MBC Biolabs and Home Garage</t>
  </si>
  <si>
    <t>Preschool</t>
  </si>
  <si>
    <t>Municipal Building</t>
  </si>
  <si>
    <t>Embassy Hotel</t>
  </si>
  <si>
    <t>Site</t>
  </si>
  <si>
    <t>Broader physical space where the testing was done and/or where participants congregated</t>
  </si>
  <si>
    <t>Production Organization</t>
  </si>
  <si>
    <t>K-12 School</t>
  </si>
  <si>
    <t>Youth Camp</t>
  </si>
  <si>
    <t>Conference</t>
  </si>
  <si>
    <t>City / EMS</t>
  </si>
  <si>
    <t>Company</t>
  </si>
  <si>
    <t>Fire Dept / EMS</t>
  </si>
  <si>
    <t>Site Type</t>
  </si>
  <si>
    <t>Type of entity or organization receiving the testing program</t>
  </si>
  <si>
    <t>Davie, FL</t>
  </si>
  <si>
    <t>Needham, MA</t>
  </si>
  <si>
    <t>Kent, CT</t>
  </si>
  <si>
    <t>Ft. Lauderdale, FL</t>
  </si>
  <si>
    <t>San Carlos, CA</t>
  </si>
  <si>
    <t>Portola Valley, CA</t>
  </si>
  <si>
    <t>Coral Springs, FL</t>
  </si>
  <si>
    <t>Miami, FL</t>
  </si>
  <si>
    <t>Bend, OR</t>
  </si>
  <si>
    <t>Austin, TX</t>
  </si>
  <si>
    <t>Location</t>
  </si>
  <si>
    <t>Geographical location of where the FloodLAMP testing program occurred</t>
  </si>
  <si>
    <t>FTFC Eagles - EMS Leadership Conference</t>
  </si>
  <si>
    <t>Event</t>
  </si>
  <si>
    <t>Acronym</t>
  </si>
  <si>
    <t>APS GDrive File</t>
  </si>
  <si>
    <t>RFR GDrive File</t>
  </si>
  <si>
    <t>RTR GDrive File</t>
  </si>
  <si>
    <t>RSR GDrive File</t>
  </si>
  <si>
    <t>Stats and Weekly</t>
  </si>
  <si>
    <t>https://docs.google.com/spreadsheets/d/140IAw1sI2nPQztTAXY9-XJxd4lPpOhpeXb-IXXnWUZk/edit?usp=drive_link</t>
  </si>
  <si>
    <t>https://docs.google.com/spreadsheets/d/1zddUuVUJJRU2gSW45EBK2qlD8uYIW8B5jm-kziiklHU/edit?usp=drive_link</t>
  </si>
  <si>
    <t>https://docs.google.com/spreadsheets/d/1g_chl4UPvP70E16V_OTjW4KxlFPRvJ7uKc1vB1X15gQ/edit?usp=drive_link</t>
  </si>
  <si>
    <t>NA</t>
  </si>
  <si>
    <t>APS</t>
  </si>
  <si>
    <t>https://docs.google.com/spreadsheets/d/1ff9LyHzhq3Mka_W5dEm7cyYWW7cZmOZxW9bUFWjuqIQ/edit?usp=drive_link</t>
  </si>
  <si>
    <t>https://docs.google.com/spreadsheets/d/1lkoZ0Og6KAdMPD6eBgW3tcs8v4dg6l9-Hjnp8Do__Rg/edit?usp=drive_link</t>
  </si>
  <si>
    <t>https://docs.google.com/spreadsheets/d/1LFbt-1PJ6c9qoDfwMx2pw9f39i21yZvpYWuzSxg0nhk/edit?usp=drive_link</t>
  </si>
  <si>
    <t>https://docs.google.com/spreadsheets/d/1P_FWpqIBJV0FqluwOZMjMumc6wynKbdR-70WJR03DZc/edit?usp=sharing</t>
  </si>
  <si>
    <t>https://docs.google.com/spreadsheets/d/1ODszJJPOKDcEBwA3MiMwAH98TVB65cpz6lqisSF1Uqo/edit?usp=drive_link</t>
  </si>
  <si>
    <t>FLMP</t>
  </si>
  <si>
    <t>https://docs.google.com/spreadsheets/d/1ni39vn-fdXq0HrOgHbim_FK0OZidUv-YBLvzPwhhlFQ/edit?usp=drive_link</t>
  </si>
  <si>
    <t>https://docs.google.com/spreadsheets/d/16CwPJ9LeknD8lJFTr-gJSx916WZaGEMbN6iKnlVx4dI/edit?usp=drive_link</t>
  </si>
  <si>
    <t>https://docs.google.com/spreadsheets/d/16R3LlannlrGfiIIJq4T3EWjbtFLZrtPC4gkKycu8RXc/edit?usp=drive_link</t>
  </si>
  <si>
    <t>https://docs.google.com/spreadsheets/d/19gjZ2g6wjAQfB0WsPoEvDEr3R4sIK6sjT3g2ofL9Qeo/edit?usp=drive_link</t>
  </si>
  <si>
    <t>https://docs.google.com/spreadsheets/d/1SUcXSa-1wQggm8krA_VdFDp4_FCO_v1Xfrp78ITCjjQ/edit?usp=drive_link</t>
  </si>
  <si>
    <t>https://docs.google.com/spreadsheets/d/1pUr7UFD7gL4bUr6uBSe-H4rqQol5CwoGmRylvzEodEc/edit?usp=drive_link</t>
  </si>
  <si>
    <t>NA - Weekly in APS</t>
  </si>
  <si>
    <t>https://docs.google.com/spreadsheets/d/12oIWiJjYQ8z--l4YUoXnmq9m-1pF0feO6-mnHIsSdiA/edit?usp=drive_link</t>
  </si>
  <si>
    <t>https://docs.google.com/spreadsheets/d/1LnTBrjaiG5Eg8uDSXU7C4sAcKxiF978MzCWPg-VDtx4/edit?usp=drive_link</t>
  </si>
  <si>
    <t>https://docs.google.com/spreadsheets/d/1H7Dgq-RRdBbd3pMm9Fynb8sPu-mzpb-kdFqzOEUVkZI/edit?usp=drive_link</t>
  </si>
  <si>
    <t>https://docs.google.com/spreadsheets/d/1gIvvt-IHhGwbIv_mVSF5QEfjbm5WdoSUDe4MW8SSCcA/edit?usp=drive_link</t>
  </si>
  <si>
    <t>https://docs.google.com/spreadsheets/d/1QslpxtCjyHeau4SIHuLbkjLaLtB7tNrK3jQh96s3bIo/edit?usp=drive_link</t>
  </si>
  <si>
    <t>RSR</t>
  </si>
  <si>
    <t>Kent Camp</t>
  </si>
  <si>
    <t>https://docs.google.com/spreadsheets/d/1J1Gqc0KAQX_xxiSJ5MR8DVjGzFSfDR-ckCKRNDYmDNQ/edit?usp=drive_link</t>
  </si>
  <si>
    <t>FTFC Conference</t>
  </si>
  <si>
    <t>https://docs.google.com/spreadsheets/d/17BcQljnvgzdSLB2KzgH0rrUvjOd44f9CfTAL5_9CTS4/edit?usp=drive_link</t>
  </si>
  <si>
    <t>same as FLMP</t>
  </si>
  <si>
    <t>split for summary</t>
  </si>
  <si>
    <t>tabs in FLMP</t>
  </si>
  <si>
    <t>ABRM_APS_deID_PUB</t>
  </si>
  <si>
    <t>BEND_APS_deID_PUB</t>
  </si>
  <si>
    <t>COMB_APS_deID_PUB</t>
  </si>
  <si>
    <t>FLMP_APS_deID_PUB</t>
  </si>
  <si>
    <t>NDHM_APS_deID_PUB</t>
  </si>
  <si>
    <t>ROSA_APS_deID_PUB</t>
  </si>
  <si>
    <t>COSP_APS_deID_PUB</t>
  </si>
  <si>
    <t>DAVI_RTR_deID_PUB</t>
  </si>
  <si>
    <t>DAVI_RSR_deID_PUB</t>
  </si>
  <si>
    <t>KENT_STS_PUB</t>
  </si>
  <si>
    <t>FTFC_STS_PUB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</si>
</sst>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0.0%"/>
    <numFmt numFmtId="167" formatCode="yyyy-mm-dd"/>
  </numFmts>
  <fonts count="1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u/>
      <sz val="12.0"/>
      <color theme="1"/>
      <name val="Arial"/>
    </font>
    <font>
      <color rgb="FF000000"/>
      <name val="Arial"/>
      <scheme val="minor"/>
    </font>
    <font>
      <color rgb="FF0000FF"/>
      <name val="Arial"/>
    </font>
    <font>
      <color theme="1"/>
      <name val="Roboto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u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3" xfId="0" applyAlignment="1" applyFill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vertical="bottom"/>
    </xf>
    <xf borderId="0" fillId="3" fontId="1" numFmtId="3" xfId="0" applyAlignment="1" applyFill="1" applyFont="1" applyNumberFormat="1">
      <alignment horizontal="right" vertical="bottom"/>
    </xf>
    <xf borderId="0" fillId="4" fontId="1" numFmtId="3" xfId="0" applyAlignment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horizontal="right" vertical="bottom"/>
    </xf>
    <xf borderId="0" fillId="5" fontId="1" numFmtId="3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5" fontId="1" numFmtId="165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3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5" fontId="1" numFmtId="166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0" fontId="1" numFmtId="9" xfId="0" applyAlignment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0" fillId="5" fontId="1" numFmtId="9" xfId="0" applyAlignment="1" applyFont="1" applyNumberFormat="1">
      <alignment horizontal="right" vertical="bottom"/>
    </xf>
    <xf borderId="0" fillId="6" fontId="1" numFmtId="0" xfId="0" applyAlignment="1" applyFill="1" applyFont="1">
      <alignment horizontal="right" vertical="bottom"/>
    </xf>
    <xf borderId="0" fillId="6" fontId="1" numFmtId="3" xfId="0" applyAlignment="1" applyFont="1" applyNumberFormat="1">
      <alignment horizontal="right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7" fontId="1" numFmtId="9" xfId="0" applyAlignment="1" applyFill="1" applyFont="1" applyNumberFormat="1">
      <alignment horizontal="right" vertical="bottom"/>
    </xf>
    <xf borderId="0" fillId="7" fontId="1" numFmtId="9" xfId="0" applyAlignment="1" applyFont="1" applyNumberFormat="1">
      <alignment vertical="bottom"/>
    </xf>
    <xf borderId="0" fillId="7" fontId="1" numFmtId="166" xfId="0" applyAlignment="1" applyFont="1" applyNumberFormat="1">
      <alignment vertical="bottom"/>
    </xf>
    <xf borderId="0" fillId="7" fontId="1" numFmtId="166" xfId="0" applyAlignment="1" applyFont="1" applyNumberFormat="1">
      <alignment horizontal="right" vertical="bottom"/>
    </xf>
    <xf borderId="0" fillId="6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167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7" numFmtId="3" xfId="0" applyAlignment="1" applyFont="1" applyNumberForma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5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9" numFmtId="0" xfId="0" applyFont="1"/>
    <xf borderId="0" fillId="0" fontId="11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J1Gqc0KAQX_xxiSJ5MR8DVjGzFSfDR-ckCKRNDYmDNQ/edit?usp=drive_link" TargetMode="External"/><Relationship Id="rId11" Type="http://schemas.openxmlformats.org/officeDocument/2006/relationships/hyperlink" Target="https://docs.google.com/spreadsheets/d/16R3LlannlrGfiIIJq4T3EWjbtFLZrtPC4gkKycu8RXc/edit?usp=drive_link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ocs.google.com/spreadsheets/d/16CwPJ9LeknD8lJFTr-gJSx916WZaGEMbN6iKnlVx4dI/edit?usp=drive_link" TargetMode="External"/><Relationship Id="rId21" Type="http://schemas.openxmlformats.org/officeDocument/2006/relationships/hyperlink" Target="https://docs.google.com/spreadsheets/d/17BcQljnvgzdSLB2KzgH0rrUvjOd44f9CfTAL5_9CTS4/edit?usp=drive_link" TargetMode="External"/><Relationship Id="rId13" Type="http://schemas.openxmlformats.org/officeDocument/2006/relationships/hyperlink" Target="https://docs.google.com/spreadsheets/d/1SUcXSa-1wQggm8krA_VdFDp4_FCO_v1Xfrp78ITCjjQ/edit?usp=drive_link" TargetMode="External"/><Relationship Id="rId12" Type="http://schemas.openxmlformats.org/officeDocument/2006/relationships/hyperlink" Target="https://docs.google.com/spreadsheets/d/19gjZ2g6wjAQfB0WsPoEvDEr3R4sIK6sjT3g2ofL9Qeo/edit?usp=drive_link" TargetMode="External"/><Relationship Id="rId1" Type="http://schemas.openxmlformats.org/officeDocument/2006/relationships/hyperlink" Target="https://docs.google.com/spreadsheets/d/140IAw1sI2nPQztTAXY9-XJxd4lPpOhpeXb-IXXnWUZk/edit?usp=drive_link" TargetMode="External"/><Relationship Id="rId2" Type="http://schemas.openxmlformats.org/officeDocument/2006/relationships/hyperlink" Target="https://docs.google.com/spreadsheets/d/1zddUuVUJJRU2gSW45EBK2qlD8uYIW8B5jm-kziiklHU/edit?usp=drive_link" TargetMode="External"/><Relationship Id="rId3" Type="http://schemas.openxmlformats.org/officeDocument/2006/relationships/hyperlink" Target="https://docs.google.com/spreadsheets/d/1g_chl4UPvP70E16V_OTjW4KxlFPRvJ7uKc1vB1X15gQ/edit?usp=drive_link" TargetMode="External"/><Relationship Id="rId4" Type="http://schemas.openxmlformats.org/officeDocument/2006/relationships/hyperlink" Target="https://docs.google.com/spreadsheets/d/1ff9LyHzhq3Mka_W5dEm7cyYWW7cZmOZxW9bUFWjuqIQ/edit?usp=drive_link" TargetMode="External"/><Relationship Id="rId9" Type="http://schemas.openxmlformats.org/officeDocument/2006/relationships/hyperlink" Target="https://docs.google.com/spreadsheets/d/1ni39vn-fdXq0HrOgHbim_FK0OZidUv-YBLvzPwhhlFQ/edit?usp=drive_link" TargetMode="External"/><Relationship Id="rId15" Type="http://schemas.openxmlformats.org/officeDocument/2006/relationships/hyperlink" Target="https://docs.google.com/spreadsheets/d/12oIWiJjYQ8z--l4YUoXnmq9m-1pF0feO6-mnHIsSdiA/edit?usp=drive_link" TargetMode="External"/><Relationship Id="rId14" Type="http://schemas.openxmlformats.org/officeDocument/2006/relationships/hyperlink" Target="https://docs.google.com/spreadsheets/d/1pUr7UFD7gL4bUr6uBSe-H4rqQol5CwoGmRylvzEodEc/edit?usp=drive_link" TargetMode="External"/><Relationship Id="rId17" Type="http://schemas.openxmlformats.org/officeDocument/2006/relationships/hyperlink" Target="https://docs.google.com/spreadsheets/d/1H7Dgq-RRdBbd3pMm9Fynb8sPu-mzpb-kdFqzOEUVkZI/edit?usp=drive_link" TargetMode="External"/><Relationship Id="rId16" Type="http://schemas.openxmlformats.org/officeDocument/2006/relationships/hyperlink" Target="https://docs.google.com/spreadsheets/d/1LnTBrjaiG5Eg8uDSXU7C4sAcKxiF978MzCWPg-VDtx4/edit?usp=drive_link" TargetMode="External"/><Relationship Id="rId5" Type="http://schemas.openxmlformats.org/officeDocument/2006/relationships/hyperlink" Target="https://docs.google.com/spreadsheets/d/1lkoZ0Og6KAdMPD6eBgW3tcs8v4dg6l9-Hjnp8Do__Rg/edit?usp=drive_link" TargetMode="External"/><Relationship Id="rId19" Type="http://schemas.openxmlformats.org/officeDocument/2006/relationships/hyperlink" Target="https://docs.google.com/spreadsheets/d/1QslpxtCjyHeau4SIHuLbkjLaLtB7tNrK3jQh96s3bIo/edit?usp=drive_link" TargetMode="External"/><Relationship Id="rId6" Type="http://schemas.openxmlformats.org/officeDocument/2006/relationships/hyperlink" Target="https://docs.google.com/spreadsheets/d/1LFbt-1PJ6c9qoDfwMx2pw9f39i21yZvpYWuzSxg0nhk/edit?usp=drive_link" TargetMode="External"/><Relationship Id="rId18" Type="http://schemas.openxmlformats.org/officeDocument/2006/relationships/hyperlink" Target="https://docs.google.com/spreadsheets/d/1gIvvt-IHhGwbIv_mVSF5QEfjbm5WdoSUDe4MW8SSCcA/edit?usp=drive_link" TargetMode="External"/><Relationship Id="rId7" Type="http://schemas.openxmlformats.org/officeDocument/2006/relationships/hyperlink" Target="https://docs.google.com/spreadsheets/d/1P_FWpqIBJV0FqluwOZMjMumc6wynKbdR-70WJR03DZc/edit?usp=sharing" TargetMode="External"/><Relationship Id="rId8" Type="http://schemas.openxmlformats.org/officeDocument/2006/relationships/hyperlink" Target="https://docs.google.com/spreadsheets/d/1ODszJJPOKDcEBwA3MiMwAH98TVB65cpz6lqisSF1Uqo/edit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SKIWTLcrflT2A0YTBBY0UWY9rjjXe-ab9VwQQNj2Gec/edit?usp=drive_link" TargetMode="External"/><Relationship Id="rId11" Type="http://schemas.openxmlformats.org/officeDocument/2006/relationships/hyperlink" Target="https://docs.google.com/spreadsheets/d/16R3LlannlrGfiIIJq4T3EWjbtFLZrtPC4gkKycu8RXc/edit?usp=drive_link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docs.google.com/spreadsheets/d/16CwPJ9LeknD8lJFTr-gJSx916WZaGEMbN6iKnlVx4dI/edit?usp=drive_link" TargetMode="External"/><Relationship Id="rId21" Type="http://schemas.openxmlformats.org/officeDocument/2006/relationships/hyperlink" Target="https://docs.google.com/spreadsheets/d/17BcQljnvgzdSLB2KzgH0rrUvjOd44f9CfTAL5_9CTS4/edit?usp=drive_link" TargetMode="External"/><Relationship Id="rId13" Type="http://schemas.openxmlformats.org/officeDocument/2006/relationships/hyperlink" Target="https://docs.google.com/spreadsheets/d/1SUcXSa-1wQggm8krA_VdFDp4_FCO_v1Xfrp78ITCjjQ/edit?usp=drive_link" TargetMode="External"/><Relationship Id="rId12" Type="http://schemas.openxmlformats.org/officeDocument/2006/relationships/hyperlink" Target="https://docs.google.com/spreadsheets/d/19gjZ2g6wjAQfB0WsPoEvDEr3R4sIK6sjT3g2ofL9Qeo/edit?usp=drive_link" TargetMode="External"/><Relationship Id="rId1" Type="http://schemas.openxmlformats.org/officeDocument/2006/relationships/hyperlink" Target="https://docs.google.com/spreadsheets/d/140IAw1sI2nPQztTAXY9-XJxd4lPpOhpeXb-IXXnWUZk/edit?usp=drive_link" TargetMode="External"/><Relationship Id="rId2" Type="http://schemas.openxmlformats.org/officeDocument/2006/relationships/hyperlink" Target="https://docs.google.com/spreadsheets/d/1zddUuVUJJRU2gSW45EBK2qlD8uYIW8B5jm-kziiklHU/edit?usp=drive_link" TargetMode="External"/><Relationship Id="rId3" Type="http://schemas.openxmlformats.org/officeDocument/2006/relationships/hyperlink" Target="https://docs.google.com/spreadsheets/d/1g_chl4UPvP70E16V_OTjW4KxlFPRvJ7uKc1vB1X15gQ/edit?usp=drive_link" TargetMode="External"/><Relationship Id="rId4" Type="http://schemas.openxmlformats.org/officeDocument/2006/relationships/hyperlink" Target="https://docs.google.com/spreadsheets/d/1ff9LyHzhq3Mka_W5dEm7cyYWW7cZmOZxW9bUFWjuqIQ/edit?usp=drive_link" TargetMode="External"/><Relationship Id="rId9" Type="http://schemas.openxmlformats.org/officeDocument/2006/relationships/hyperlink" Target="https://docs.google.com/spreadsheets/d/1ni39vn-fdXq0HrOgHbim_FK0OZidUv-YBLvzPwhhlFQ/edit?usp=drive_link" TargetMode="External"/><Relationship Id="rId15" Type="http://schemas.openxmlformats.org/officeDocument/2006/relationships/hyperlink" Target="https://docs.google.com/spreadsheets/d/12oIWiJjYQ8z--l4YUoXnmq9m-1pF0feO6-mnHIsSdiA/edit?usp=drive_link" TargetMode="External"/><Relationship Id="rId14" Type="http://schemas.openxmlformats.org/officeDocument/2006/relationships/hyperlink" Target="https://docs.google.com/spreadsheets/d/1pUr7UFD7gL4bUr6uBSe-H4rqQol5CwoGmRylvzEodEc/edit?usp=drive_link" TargetMode="External"/><Relationship Id="rId17" Type="http://schemas.openxmlformats.org/officeDocument/2006/relationships/hyperlink" Target="https://docs.google.com/spreadsheets/d/1H7Dgq-RRdBbd3pMm9Fynb8sPu-mzpb-kdFqzOEUVkZI/edit?usp=drive_link" TargetMode="External"/><Relationship Id="rId16" Type="http://schemas.openxmlformats.org/officeDocument/2006/relationships/hyperlink" Target="https://docs.google.com/spreadsheets/d/1LnTBrjaiG5Eg8uDSXU7C4sAcKxiF978MzCWPg-VDtx4/edit?usp=drive_link" TargetMode="External"/><Relationship Id="rId5" Type="http://schemas.openxmlformats.org/officeDocument/2006/relationships/hyperlink" Target="https://docs.google.com/spreadsheets/d/1lkoZ0Og6KAdMPD6eBgW3tcs8v4dg6l9-Hjnp8Do__Rg/edit?usp=drive_link" TargetMode="External"/><Relationship Id="rId19" Type="http://schemas.openxmlformats.org/officeDocument/2006/relationships/hyperlink" Target="https://docs.google.com/spreadsheets/d/1QslpxtCjyHeau4SIHuLbkjLaLtB7tNrK3jQh96s3bIo/edit?usp=drive_link" TargetMode="External"/><Relationship Id="rId6" Type="http://schemas.openxmlformats.org/officeDocument/2006/relationships/hyperlink" Target="https://docs.google.com/spreadsheets/d/1LFbt-1PJ6c9qoDfwMx2pw9f39i21yZvpYWuzSxg0nhk/edit?usp=drive_link" TargetMode="External"/><Relationship Id="rId18" Type="http://schemas.openxmlformats.org/officeDocument/2006/relationships/hyperlink" Target="https://docs.google.com/spreadsheets/d/1gIvvt-IHhGwbIv_mVSF5QEfjbm5WdoSUDe4MW8SSCcA/edit?usp=drive_link" TargetMode="External"/><Relationship Id="rId7" Type="http://schemas.openxmlformats.org/officeDocument/2006/relationships/hyperlink" Target="https://docs.google.com/spreadsheets/d/1P_FWpqIBJV0FqluwOZMjMumc6wynKbdR-70WJR03DZc/edit?usp=sharing" TargetMode="External"/><Relationship Id="rId8" Type="http://schemas.openxmlformats.org/officeDocument/2006/relationships/hyperlink" Target="https://docs.google.com/spreadsheets/d/1ODszJJPOKDcEBwA3MiMwAH98TVB65cpz6lqisSF1Uqo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10.0"/>
    <col customWidth="1" min="13" max="13" width="57.63"/>
    <col customWidth="1" min="14" max="14" width="60.38"/>
  </cols>
  <sheetData>
    <row r="1">
      <c r="A1" s="1"/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2</v>
      </c>
      <c r="H1" s="1" t="s">
        <v>3</v>
      </c>
      <c r="I1" s="1" t="s">
        <v>0</v>
      </c>
      <c r="J1" s="1" t="s">
        <v>4</v>
      </c>
      <c r="K1" s="1" t="s">
        <v>5</v>
      </c>
      <c r="L1" s="2" t="s">
        <v>6</v>
      </c>
      <c r="M1" s="2" t="s">
        <v>3</v>
      </c>
    </row>
    <row r="2">
      <c r="A2" s="1"/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9</v>
      </c>
      <c r="I2" s="1" t="s">
        <v>0</v>
      </c>
      <c r="J2" s="1" t="s">
        <v>10</v>
      </c>
      <c r="K2" s="1" t="s">
        <v>0</v>
      </c>
      <c r="L2" s="2" t="s">
        <v>11</v>
      </c>
      <c r="M2" s="2" t="s">
        <v>9</v>
      </c>
    </row>
    <row r="3">
      <c r="A3" s="1"/>
      <c r="B3" s="1" t="s">
        <v>12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13</v>
      </c>
      <c r="I3" s="1" t="s">
        <v>14</v>
      </c>
      <c r="J3" s="1" t="s">
        <v>0</v>
      </c>
      <c r="K3" s="1" t="s">
        <v>0</v>
      </c>
      <c r="L3" s="2" t="s">
        <v>0</v>
      </c>
      <c r="M3" s="2" t="s">
        <v>13</v>
      </c>
    </row>
    <row r="4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3" t="s">
        <v>20</v>
      </c>
      <c r="G4" s="4" t="s">
        <v>21</v>
      </c>
      <c r="H4" s="4" t="s">
        <v>22</v>
      </c>
      <c r="I4" s="4" t="s">
        <v>23</v>
      </c>
      <c r="J4" s="3" t="s">
        <v>24</v>
      </c>
      <c r="K4" s="3" t="s">
        <v>25</v>
      </c>
      <c r="L4" s="3" t="s">
        <v>26</v>
      </c>
      <c r="M4" s="5" t="s">
        <v>27</v>
      </c>
      <c r="N4" s="6" t="s">
        <v>28</v>
      </c>
    </row>
    <row r="5">
      <c r="A5" s="7">
        <f t="shared" ref="A5:A9" si="1">SUM(B5:L5)</f>
        <v>16209</v>
      </c>
      <c r="B5" s="8">
        <v>781.0</v>
      </c>
      <c r="C5" s="8">
        <v>80.0</v>
      </c>
      <c r="D5" s="7">
        <v>190.0</v>
      </c>
      <c r="E5" s="7">
        <v>61.0</v>
      </c>
      <c r="F5" s="7">
        <v>2279.0</v>
      </c>
      <c r="G5" s="9">
        <v>524.0</v>
      </c>
      <c r="H5" s="9">
        <v>1016.0</v>
      </c>
      <c r="I5" s="7">
        <v>7146.0</v>
      </c>
      <c r="J5" s="7">
        <v>1981.0</v>
      </c>
      <c r="K5" s="8">
        <v>772.0</v>
      </c>
      <c r="L5" s="7">
        <v>1379.0</v>
      </c>
      <c r="M5" s="1" t="s">
        <v>29</v>
      </c>
      <c r="N5" s="10" t="s">
        <v>30</v>
      </c>
    </row>
    <row r="6">
      <c r="A6" s="7">
        <f t="shared" si="1"/>
        <v>16484</v>
      </c>
      <c r="B6" s="8">
        <v>781.0</v>
      </c>
      <c r="C6" s="8">
        <v>85.0</v>
      </c>
      <c r="D6" s="7">
        <v>191.0</v>
      </c>
      <c r="E6" s="7">
        <v>61.0</v>
      </c>
      <c r="F6" s="7">
        <v>2279.0</v>
      </c>
      <c r="G6" s="9">
        <v>532.0</v>
      </c>
      <c r="H6" s="9">
        <v>1086.0</v>
      </c>
      <c r="I6" s="7">
        <v>7146.0</v>
      </c>
      <c r="J6" s="7">
        <v>2012.0</v>
      </c>
      <c r="K6" s="8">
        <v>792.0</v>
      </c>
      <c r="L6" s="7">
        <v>1519.0</v>
      </c>
      <c r="M6" s="1" t="s">
        <v>31</v>
      </c>
      <c r="N6" s="10" t="s">
        <v>32</v>
      </c>
    </row>
    <row r="7">
      <c r="A7" s="7">
        <f t="shared" si="1"/>
        <v>795</v>
      </c>
      <c r="B7" s="8">
        <v>53.0</v>
      </c>
      <c r="C7" s="8">
        <v>15.0</v>
      </c>
      <c r="D7" s="7">
        <v>3.0</v>
      </c>
      <c r="E7" s="11"/>
      <c r="F7" s="7">
        <v>50.0</v>
      </c>
      <c r="G7" s="12">
        <v>164.0</v>
      </c>
      <c r="H7" s="13">
        <v>79.0</v>
      </c>
      <c r="I7" s="7">
        <v>123.0</v>
      </c>
      <c r="J7" s="7">
        <v>80.0</v>
      </c>
      <c r="K7" s="8">
        <v>44.0</v>
      </c>
      <c r="L7" s="7">
        <v>184.0</v>
      </c>
      <c r="M7" s="1" t="s">
        <v>33</v>
      </c>
      <c r="N7" s="14"/>
    </row>
    <row r="8">
      <c r="A8" s="7">
        <f t="shared" si="1"/>
        <v>8727</v>
      </c>
      <c r="B8" s="8">
        <v>781.0</v>
      </c>
      <c r="C8" s="8">
        <v>0.0</v>
      </c>
      <c r="D8" s="7">
        <v>190.0</v>
      </c>
      <c r="E8" s="11"/>
      <c r="F8" s="7">
        <v>0.0</v>
      </c>
      <c r="G8" s="12">
        <v>325.0</v>
      </c>
      <c r="H8" s="13">
        <v>111.0</v>
      </c>
      <c r="I8" s="7">
        <v>7146.0</v>
      </c>
      <c r="J8" s="7">
        <v>63.0</v>
      </c>
      <c r="K8" s="8">
        <v>11.0</v>
      </c>
      <c r="L8" s="7">
        <v>100.0</v>
      </c>
      <c r="M8" s="1" t="s">
        <v>34</v>
      </c>
      <c r="N8" s="14"/>
    </row>
    <row r="9">
      <c r="A9" s="7">
        <f t="shared" si="1"/>
        <v>17096</v>
      </c>
      <c r="B9" s="8">
        <v>781.0</v>
      </c>
      <c r="C9" s="8">
        <v>109.0</v>
      </c>
      <c r="D9" s="7">
        <v>193.0</v>
      </c>
      <c r="E9" s="7">
        <v>61.0</v>
      </c>
      <c r="F9" s="7">
        <v>2279.0</v>
      </c>
      <c r="G9" s="12">
        <v>785.0</v>
      </c>
      <c r="H9" s="13">
        <v>1130.0</v>
      </c>
      <c r="I9" s="7">
        <v>7146.0</v>
      </c>
      <c r="J9" s="7">
        <v>2060.0</v>
      </c>
      <c r="K9" s="8">
        <v>822.0</v>
      </c>
      <c r="L9" s="7">
        <v>1730.0</v>
      </c>
      <c r="M9" s="1" t="s">
        <v>35</v>
      </c>
      <c r="N9" s="1" t="s">
        <v>36</v>
      </c>
    </row>
    <row r="10">
      <c r="A10" s="14"/>
      <c r="B10" s="14"/>
      <c r="C10" s="14"/>
      <c r="D10" s="11"/>
      <c r="E10" s="11"/>
      <c r="F10" s="11"/>
      <c r="G10" s="11"/>
      <c r="H10" s="11"/>
      <c r="I10" s="11"/>
      <c r="J10" s="11"/>
      <c r="K10" s="14"/>
      <c r="L10" s="11"/>
      <c r="M10" s="14"/>
      <c r="N10" s="14"/>
    </row>
    <row r="11">
      <c r="A11" s="7">
        <f t="shared" ref="A11:A13" si="2">SUM(B11:L11)</f>
        <v>37706</v>
      </c>
      <c r="B11" s="8">
        <v>781.0</v>
      </c>
      <c r="C11" s="8">
        <v>190.0</v>
      </c>
      <c r="D11" s="7">
        <v>696.0</v>
      </c>
      <c r="E11" s="7">
        <v>195.0</v>
      </c>
      <c r="F11" s="7">
        <v>4409.0</v>
      </c>
      <c r="G11" s="9">
        <v>1059.0</v>
      </c>
      <c r="H11" s="9">
        <v>2340.0</v>
      </c>
      <c r="I11" s="7">
        <v>22643.0</v>
      </c>
      <c r="J11" s="7">
        <v>1672.0</v>
      </c>
      <c r="K11" s="15">
        <v>767.0</v>
      </c>
      <c r="L11" s="7">
        <v>2954.0</v>
      </c>
      <c r="M11" s="1" t="s">
        <v>37</v>
      </c>
      <c r="N11" s="1" t="s">
        <v>38</v>
      </c>
    </row>
    <row r="12">
      <c r="A12" s="7">
        <f t="shared" si="2"/>
        <v>386</v>
      </c>
      <c r="B12" s="8">
        <v>0.0</v>
      </c>
      <c r="C12" s="8">
        <v>2.0</v>
      </c>
      <c r="D12" s="7">
        <v>0.0</v>
      </c>
      <c r="E12" s="7">
        <v>0.0</v>
      </c>
      <c r="F12" s="7">
        <v>0.0</v>
      </c>
      <c r="G12" s="13">
        <v>0.0</v>
      </c>
      <c r="H12" s="12">
        <v>48.0</v>
      </c>
      <c r="I12" s="7">
        <v>0.0</v>
      </c>
      <c r="J12" s="7">
        <v>309.0</v>
      </c>
      <c r="K12" s="8">
        <v>5.0</v>
      </c>
      <c r="L12" s="7">
        <v>22.0</v>
      </c>
      <c r="M12" s="1" t="s">
        <v>39</v>
      </c>
      <c r="N12" s="1" t="s">
        <v>40</v>
      </c>
    </row>
    <row r="13">
      <c r="A13" s="7">
        <f t="shared" si="2"/>
        <v>38092</v>
      </c>
      <c r="B13" s="8">
        <v>781.0</v>
      </c>
      <c r="C13" s="8">
        <v>192.0</v>
      </c>
      <c r="D13" s="7">
        <v>696.0</v>
      </c>
      <c r="E13" s="7">
        <v>195.0</v>
      </c>
      <c r="F13" s="7">
        <v>4409.0</v>
      </c>
      <c r="G13" s="16">
        <v>1059.0</v>
      </c>
      <c r="H13" s="16">
        <v>2388.0</v>
      </c>
      <c r="I13" s="7">
        <v>22643.0</v>
      </c>
      <c r="J13" s="7">
        <v>1981.0</v>
      </c>
      <c r="K13" s="8">
        <v>772.0</v>
      </c>
      <c r="L13" s="7">
        <v>2976.0</v>
      </c>
      <c r="M13" s="1" t="s">
        <v>41</v>
      </c>
      <c r="N13" s="1" t="s">
        <v>42</v>
      </c>
    </row>
    <row r="14">
      <c r="A14" s="17">
        <f>A11/(A5-A12)</f>
        <v>2.382986791</v>
      </c>
      <c r="B14" s="18">
        <v>1.0</v>
      </c>
      <c r="C14" s="19">
        <v>2.4</v>
      </c>
      <c r="D14" s="19">
        <v>3.7</v>
      </c>
      <c r="E14" s="19">
        <v>3.2</v>
      </c>
      <c r="F14" s="19">
        <v>1.9</v>
      </c>
      <c r="G14" s="20">
        <v>2.0</v>
      </c>
      <c r="H14" s="20">
        <v>2.4</v>
      </c>
      <c r="I14" s="19">
        <v>3.2</v>
      </c>
      <c r="J14" s="18">
        <v>1.0</v>
      </c>
      <c r="K14" s="18">
        <v>1.0</v>
      </c>
      <c r="L14" s="19">
        <v>2.2</v>
      </c>
      <c r="M14" s="1" t="s">
        <v>43</v>
      </c>
      <c r="N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>
      <c r="A16" s="14"/>
      <c r="B16" s="14"/>
      <c r="C16" s="14"/>
      <c r="D16" s="14"/>
      <c r="E16" s="8" t="s">
        <v>44</v>
      </c>
      <c r="F16" s="8" t="s">
        <v>45</v>
      </c>
      <c r="G16" s="14"/>
      <c r="H16" s="14"/>
      <c r="I16" s="10" t="s">
        <v>46</v>
      </c>
      <c r="J16" s="14"/>
      <c r="K16" s="14"/>
      <c r="L16" s="14"/>
      <c r="M16" s="5" t="s">
        <v>47</v>
      </c>
      <c r="N16" s="1" t="s">
        <v>48</v>
      </c>
    </row>
    <row r="17">
      <c r="A17" s="7">
        <f t="shared" ref="A17:A18" si="3">SUM(B17:L17)</f>
        <v>275</v>
      </c>
      <c r="B17" s="14"/>
      <c r="C17" s="8">
        <v>5.0</v>
      </c>
      <c r="D17" s="8">
        <v>1.0</v>
      </c>
      <c r="E17" s="14"/>
      <c r="F17" s="14"/>
      <c r="G17" s="21">
        <v>8.0</v>
      </c>
      <c r="H17" s="21">
        <v>70.0</v>
      </c>
      <c r="I17" s="14"/>
      <c r="J17" s="8">
        <v>31.0</v>
      </c>
      <c r="K17" s="8">
        <v>20.0</v>
      </c>
      <c r="L17" s="8">
        <v>140.0</v>
      </c>
      <c r="M17" s="1" t="s">
        <v>49</v>
      </c>
      <c r="N17" s="1" t="s">
        <v>50</v>
      </c>
    </row>
    <row r="18">
      <c r="A18" s="7">
        <f t="shared" si="3"/>
        <v>705</v>
      </c>
      <c r="B18" s="14"/>
      <c r="C18" s="8">
        <v>18.0</v>
      </c>
      <c r="D18" s="8">
        <v>3.0</v>
      </c>
      <c r="E18" s="14"/>
      <c r="F18" s="14"/>
      <c r="G18" s="21">
        <v>25.0</v>
      </c>
      <c r="H18" s="21">
        <v>205.0</v>
      </c>
      <c r="I18" s="14"/>
      <c r="J18" s="8">
        <v>96.0</v>
      </c>
      <c r="K18" s="8">
        <v>27.0</v>
      </c>
      <c r="L18" s="8">
        <v>331.0</v>
      </c>
      <c r="M18" s="1" t="s">
        <v>51</v>
      </c>
      <c r="N18" s="1" t="s">
        <v>52</v>
      </c>
    </row>
    <row r="19">
      <c r="A19" s="22">
        <f>A17/A5</f>
        <v>0.01696588315</v>
      </c>
      <c r="B19" s="23"/>
      <c r="C19" s="24">
        <v>0.063</v>
      </c>
      <c r="D19" s="24">
        <v>0.005</v>
      </c>
      <c r="E19" s="23"/>
      <c r="F19" s="23"/>
      <c r="G19" s="25">
        <v>0.015</v>
      </c>
      <c r="H19" s="25">
        <v>0.069</v>
      </c>
      <c r="I19" s="23"/>
      <c r="J19" s="24">
        <v>0.016</v>
      </c>
      <c r="K19" s="24">
        <v>0.026</v>
      </c>
      <c r="L19" s="24">
        <v>0.102</v>
      </c>
      <c r="M19" s="1" t="s">
        <v>53</v>
      </c>
      <c r="N19" s="1" t="s">
        <v>54</v>
      </c>
    </row>
    <row r="20">
      <c r="A20" s="7">
        <f>SUM(B20:L20)</f>
        <v>148</v>
      </c>
      <c r="B20" s="14"/>
      <c r="C20" s="8">
        <v>3.0</v>
      </c>
      <c r="D20" s="8">
        <v>1.0</v>
      </c>
      <c r="E20" s="14"/>
      <c r="F20" s="14"/>
      <c r="G20" s="26">
        <v>6.0</v>
      </c>
      <c r="H20" s="27">
        <v>31.0</v>
      </c>
      <c r="I20" s="14"/>
      <c r="J20" s="8">
        <v>19.0</v>
      </c>
      <c r="K20" s="8">
        <v>10.0</v>
      </c>
      <c r="L20" s="8">
        <v>78.0</v>
      </c>
      <c r="M20" s="1" t="s">
        <v>55</v>
      </c>
      <c r="N20" s="14"/>
    </row>
    <row r="21">
      <c r="A21" s="22">
        <f>A20/A7</f>
        <v>0.186163522</v>
      </c>
      <c r="B21" s="28"/>
      <c r="C21" s="29">
        <v>0.2</v>
      </c>
      <c r="D21" s="29">
        <v>0.33</v>
      </c>
      <c r="E21" s="28"/>
      <c r="F21" s="28"/>
      <c r="G21" s="30">
        <v>0.04</v>
      </c>
      <c r="H21" s="30">
        <v>0.39</v>
      </c>
      <c r="I21" s="28"/>
      <c r="J21" s="29">
        <v>0.24</v>
      </c>
      <c r="K21" s="29">
        <v>0.23</v>
      </c>
      <c r="L21" s="29">
        <v>0.42</v>
      </c>
      <c r="M21" s="1" t="s">
        <v>56</v>
      </c>
      <c r="N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>
      <c r="A23" s="14"/>
      <c r="B23" s="14"/>
      <c r="C23" s="14"/>
      <c r="D23" s="14"/>
      <c r="E23" s="8" t="s">
        <v>57</v>
      </c>
      <c r="F23" s="14"/>
      <c r="G23" s="14"/>
      <c r="H23" s="14"/>
      <c r="I23" s="14"/>
      <c r="J23" s="14"/>
      <c r="K23" s="14"/>
      <c r="L23" s="14"/>
      <c r="M23" s="5" t="s">
        <v>58</v>
      </c>
      <c r="N23" s="1" t="s">
        <v>48</v>
      </c>
    </row>
    <row r="24">
      <c r="A24" s="7">
        <f>SUM(B24:L24)</f>
        <v>884</v>
      </c>
      <c r="B24" s="8">
        <v>1.0</v>
      </c>
      <c r="C24" s="8">
        <v>0.0</v>
      </c>
      <c r="D24" s="8">
        <v>2.0</v>
      </c>
      <c r="E24" s="8">
        <v>0.0</v>
      </c>
      <c r="F24" s="7">
        <v>384.0</v>
      </c>
      <c r="G24" s="8">
        <v>25.0</v>
      </c>
      <c r="H24" s="8">
        <v>32.0</v>
      </c>
      <c r="I24" s="8">
        <v>347.0</v>
      </c>
      <c r="J24" s="8">
        <v>14.0</v>
      </c>
      <c r="K24" s="15">
        <v>71.0</v>
      </c>
      <c r="L24" s="8">
        <v>8.0</v>
      </c>
      <c r="M24" s="1" t="s">
        <v>59</v>
      </c>
      <c r="N24" s="14"/>
    </row>
    <row r="25">
      <c r="A25" s="22">
        <f>A24/A$5</f>
        <v>0.05453760257</v>
      </c>
      <c r="B25" s="24">
        <v>0.001</v>
      </c>
      <c r="C25" s="23"/>
      <c r="D25" s="24">
        <v>0.011</v>
      </c>
      <c r="E25" s="24">
        <v>0.0</v>
      </c>
      <c r="F25" s="24">
        <v>0.168</v>
      </c>
      <c r="G25" s="24">
        <v>0.048</v>
      </c>
      <c r="H25" s="24">
        <v>0.031</v>
      </c>
      <c r="I25" s="24">
        <v>0.049</v>
      </c>
      <c r="J25" s="24">
        <v>0.007</v>
      </c>
      <c r="K25" s="24">
        <v>0.092</v>
      </c>
      <c r="L25" s="24">
        <v>0.006</v>
      </c>
      <c r="M25" s="1" t="s">
        <v>60</v>
      </c>
      <c r="N25" s="14"/>
    </row>
    <row r="26">
      <c r="A26" s="7">
        <f t="shared" ref="A26:A28" si="4">SUM(B26:L26)</f>
        <v>87</v>
      </c>
      <c r="B26" s="8">
        <v>1.0</v>
      </c>
      <c r="C26" s="8">
        <v>0.0</v>
      </c>
      <c r="D26" s="8">
        <v>1.0</v>
      </c>
      <c r="E26" s="8">
        <v>0.0</v>
      </c>
      <c r="F26" s="14"/>
      <c r="G26" s="8">
        <v>6.0</v>
      </c>
      <c r="H26" s="8">
        <v>13.0</v>
      </c>
      <c r="I26" s="14"/>
      <c r="J26" s="8">
        <v>12.0</v>
      </c>
      <c r="K26" s="8">
        <v>51.0</v>
      </c>
      <c r="L26" s="8">
        <v>3.0</v>
      </c>
      <c r="M26" s="1" t="s">
        <v>61</v>
      </c>
      <c r="N26" s="10" t="s">
        <v>62</v>
      </c>
    </row>
    <row r="27">
      <c r="A27" s="7">
        <f t="shared" si="4"/>
        <v>337</v>
      </c>
      <c r="B27" s="8">
        <v>0.0</v>
      </c>
      <c r="C27" s="8">
        <v>0.0</v>
      </c>
      <c r="D27" s="8">
        <v>1.0</v>
      </c>
      <c r="E27" s="8">
        <v>0.0</v>
      </c>
      <c r="F27" s="7">
        <v>329.0</v>
      </c>
      <c r="G27" s="8">
        <v>0.0</v>
      </c>
      <c r="H27" s="8">
        <v>3.0</v>
      </c>
      <c r="I27" s="14"/>
      <c r="J27" s="8">
        <v>2.0</v>
      </c>
      <c r="K27" s="8">
        <v>0.0</v>
      </c>
      <c r="L27" s="8">
        <v>2.0</v>
      </c>
      <c r="M27" s="1" t="s">
        <v>63</v>
      </c>
      <c r="N27" s="1" t="s">
        <v>64</v>
      </c>
    </row>
    <row r="28">
      <c r="A28" s="7">
        <f t="shared" si="4"/>
        <v>134</v>
      </c>
      <c r="B28" s="8">
        <v>1.0</v>
      </c>
      <c r="C28" s="8">
        <v>0.0</v>
      </c>
      <c r="D28" s="8">
        <v>0.0</v>
      </c>
      <c r="E28" s="8">
        <v>0.0</v>
      </c>
      <c r="F28" s="7">
        <v>55.0</v>
      </c>
      <c r="G28" s="8">
        <v>6.0</v>
      </c>
      <c r="H28" s="8">
        <v>10.0</v>
      </c>
      <c r="I28" s="14"/>
      <c r="J28" s="8">
        <v>10.0</v>
      </c>
      <c r="K28" s="8">
        <v>51.0</v>
      </c>
      <c r="L28" s="8">
        <v>1.0</v>
      </c>
      <c r="M28" s="1" t="s">
        <v>65</v>
      </c>
      <c r="N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>
      <c r="A30" s="14"/>
      <c r="B30" s="14"/>
      <c r="C30" s="14"/>
      <c r="D30" s="23"/>
      <c r="E30" s="8" t="s">
        <v>66</v>
      </c>
      <c r="F30" s="14"/>
      <c r="G30" s="14"/>
      <c r="H30" s="14"/>
      <c r="I30" s="14"/>
      <c r="J30" s="14"/>
      <c r="K30" s="14"/>
      <c r="L30" s="23"/>
      <c r="M30" s="5" t="s">
        <v>67</v>
      </c>
      <c r="N30" s="1" t="s">
        <v>48</v>
      </c>
    </row>
    <row r="31">
      <c r="A31" s="7">
        <f t="shared" ref="A31:A33" si="5">SUM(B31:L31)</f>
        <v>14</v>
      </c>
      <c r="B31" s="8">
        <v>0.0</v>
      </c>
      <c r="C31" s="8">
        <v>0.0</v>
      </c>
      <c r="D31" s="8">
        <v>0.0</v>
      </c>
      <c r="E31" s="8">
        <v>0.0</v>
      </c>
      <c r="F31" s="7">
        <v>1.0</v>
      </c>
      <c r="G31" s="8">
        <v>0.0</v>
      </c>
      <c r="H31" s="8">
        <v>4.0</v>
      </c>
      <c r="I31" s="8">
        <v>1.0</v>
      </c>
      <c r="J31" s="8">
        <v>3.0</v>
      </c>
      <c r="K31" s="8">
        <v>2.0</v>
      </c>
      <c r="L31" s="8">
        <v>3.0</v>
      </c>
      <c r="M31" s="1" t="s">
        <v>68</v>
      </c>
      <c r="N31" s="14"/>
    </row>
    <row r="32">
      <c r="A32" s="7">
        <f t="shared" si="5"/>
        <v>3</v>
      </c>
      <c r="B32" s="14"/>
      <c r="C32" s="8">
        <v>0.0</v>
      </c>
      <c r="D32" s="8">
        <v>0.0</v>
      </c>
      <c r="E32" s="14"/>
      <c r="F32" s="14"/>
      <c r="G32" s="8">
        <v>0.0</v>
      </c>
      <c r="H32" s="8">
        <v>0.0</v>
      </c>
      <c r="I32" s="14"/>
      <c r="J32" s="8">
        <v>0.0</v>
      </c>
      <c r="K32" s="8">
        <v>3.0</v>
      </c>
      <c r="L32" s="8">
        <v>0.0</v>
      </c>
      <c r="M32" s="1" t="s">
        <v>69</v>
      </c>
      <c r="N32" s="14"/>
    </row>
    <row r="33">
      <c r="A33" s="7">
        <f t="shared" si="5"/>
        <v>17</v>
      </c>
      <c r="B33" s="31">
        <v>0.0</v>
      </c>
      <c r="C33" s="31">
        <v>0.0</v>
      </c>
      <c r="D33" s="31">
        <v>0.0</v>
      </c>
      <c r="E33" s="31">
        <v>0.0</v>
      </c>
      <c r="F33" s="32">
        <v>1.0</v>
      </c>
      <c r="G33" s="31">
        <v>0.0</v>
      </c>
      <c r="H33" s="31">
        <v>4.0</v>
      </c>
      <c r="I33" s="31">
        <v>1.0</v>
      </c>
      <c r="J33" s="31">
        <v>3.0</v>
      </c>
      <c r="K33" s="31">
        <v>5.0</v>
      </c>
      <c r="L33" s="31">
        <v>3.0</v>
      </c>
      <c r="M33" s="33" t="s">
        <v>70</v>
      </c>
      <c r="N33" s="34"/>
    </row>
    <row r="34">
      <c r="A34" s="22">
        <f>A33/A$5</f>
        <v>0.001048800049</v>
      </c>
      <c r="B34" s="24">
        <v>0.0</v>
      </c>
      <c r="C34" s="23"/>
      <c r="D34" s="24">
        <v>0.0</v>
      </c>
      <c r="E34" s="24">
        <v>0.0</v>
      </c>
      <c r="F34" s="24">
        <v>0.0</v>
      </c>
      <c r="G34" s="24">
        <v>0.0</v>
      </c>
      <c r="H34" s="24">
        <v>0.004</v>
      </c>
      <c r="I34" s="24">
        <v>0.0</v>
      </c>
      <c r="J34" s="24">
        <v>0.002</v>
      </c>
      <c r="K34" s="24">
        <v>0.006</v>
      </c>
      <c r="L34" s="24">
        <v>0.002</v>
      </c>
      <c r="M34" s="1" t="s">
        <v>71</v>
      </c>
      <c r="N34" s="14"/>
    </row>
    <row r="35">
      <c r="A35" s="7">
        <f>SUM(B35:L35)</f>
        <v>4</v>
      </c>
      <c r="B35" s="8">
        <v>0.0</v>
      </c>
      <c r="C35" s="8">
        <v>0.0</v>
      </c>
      <c r="D35" s="8">
        <v>0.0</v>
      </c>
      <c r="E35" s="8">
        <v>0.0</v>
      </c>
      <c r="F35" s="14"/>
      <c r="G35" s="8">
        <v>0.0</v>
      </c>
      <c r="H35" s="8">
        <v>1.0</v>
      </c>
      <c r="I35" s="8">
        <v>0.0</v>
      </c>
      <c r="J35" s="8">
        <v>2.0</v>
      </c>
      <c r="K35" s="8">
        <v>1.0</v>
      </c>
      <c r="L35" s="8">
        <v>0.0</v>
      </c>
      <c r="M35" s="1" t="s">
        <v>72</v>
      </c>
      <c r="N35" s="14"/>
    </row>
    <row r="36">
      <c r="A36" s="35">
        <f>IF(A33&lt;&gt;0,A35/A33,IFERROR(0/0,""))</f>
        <v>0.2352941176</v>
      </c>
      <c r="B36" s="36"/>
      <c r="C36" s="36"/>
      <c r="D36" s="36"/>
      <c r="E36" s="36"/>
      <c r="F36" s="35">
        <v>0.0</v>
      </c>
      <c r="G36" s="37"/>
      <c r="H36" s="38">
        <v>0.25</v>
      </c>
      <c r="I36" s="35">
        <v>0.0</v>
      </c>
      <c r="J36" s="35">
        <v>0.67</v>
      </c>
      <c r="K36" s="35">
        <v>0.2</v>
      </c>
      <c r="L36" s="35">
        <v>0.0</v>
      </c>
      <c r="M36" s="1" t="s">
        <v>73</v>
      </c>
      <c r="N36" s="14"/>
    </row>
    <row r="37">
      <c r="A37" s="7">
        <f t="shared" ref="A37:A40" si="6">SUM(B37:L37)</f>
        <v>3</v>
      </c>
      <c r="B37" s="8">
        <v>0.0</v>
      </c>
      <c r="C37" s="8">
        <v>0.0</v>
      </c>
      <c r="D37" s="8">
        <v>0.0</v>
      </c>
      <c r="E37" s="8">
        <v>0.0</v>
      </c>
      <c r="F37" s="14"/>
      <c r="G37" s="8">
        <v>0.0</v>
      </c>
      <c r="H37" s="8">
        <v>1.0</v>
      </c>
      <c r="I37" s="14"/>
      <c r="J37" s="8">
        <v>0.0</v>
      </c>
      <c r="K37" s="8">
        <v>2.0</v>
      </c>
      <c r="L37" s="8">
        <v>0.0</v>
      </c>
      <c r="M37" s="1" t="s">
        <v>74</v>
      </c>
      <c r="N37" s="14"/>
    </row>
    <row r="38">
      <c r="A38" s="7">
        <f t="shared" si="6"/>
        <v>9</v>
      </c>
      <c r="B38" s="8">
        <v>0.0</v>
      </c>
      <c r="C38" s="8">
        <v>0.0</v>
      </c>
      <c r="D38" s="8">
        <v>0.0</v>
      </c>
      <c r="E38" s="8">
        <v>0.0</v>
      </c>
      <c r="F38" s="7">
        <v>1.0</v>
      </c>
      <c r="G38" s="8">
        <v>0.0</v>
      </c>
      <c r="H38" s="8">
        <v>2.0</v>
      </c>
      <c r="I38" s="14"/>
      <c r="J38" s="8">
        <v>1.0</v>
      </c>
      <c r="K38" s="8">
        <v>2.0</v>
      </c>
      <c r="L38" s="8">
        <v>3.0</v>
      </c>
      <c r="M38" s="1" t="s">
        <v>75</v>
      </c>
      <c r="N38" s="14"/>
    </row>
    <row r="39">
      <c r="A39" s="7">
        <f t="shared" si="6"/>
        <v>68</v>
      </c>
      <c r="B39" s="8">
        <v>1.0</v>
      </c>
      <c r="C39" s="8">
        <v>3.0</v>
      </c>
      <c r="D39" s="8">
        <v>1.0</v>
      </c>
      <c r="E39" s="8">
        <v>0.0</v>
      </c>
      <c r="F39" s="14"/>
      <c r="G39" s="8">
        <v>3.0</v>
      </c>
      <c r="H39" s="8">
        <v>33.0</v>
      </c>
      <c r="I39" s="7">
        <v>12.0</v>
      </c>
      <c r="J39" s="8">
        <v>4.0</v>
      </c>
      <c r="K39" s="8">
        <v>7.0</v>
      </c>
      <c r="L39" s="8">
        <v>4.0</v>
      </c>
      <c r="M39" s="1" t="s">
        <v>76</v>
      </c>
      <c r="N39" s="1" t="s">
        <v>77</v>
      </c>
    </row>
    <row r="40">
      <c r="A40" s="7">
        <f t="shared" si="6"/>
        <v>159</v>
      </c>
      <c r="B40" s="8">
        <v>1.0</v>
      </c>
      <c r="C40" s="8">
        <v>4.0</v>
      </c>
      <c r="D40" s="8">
        <v>1.0</v>
      </c>
      <c r="E40" s="8">
        <v>0.0</v>
      </c>
      <c r="F40" s="7">
        <v>26.0</v>
      </c>
      <c r="G40" s="8">
        <v>3.0</v>
      </c>
      <c r="H40" s="8">
        <v>40.0</v>
      </c>
      <c r="I40" s="7">
        <v>12.0</v>
      </c>
      <c r="J40" s="8">
        <v>12.0</v>
      </c>
      <c r="K40" s="8">
        <v>12.0</v>
      </c>
      <c r="L40" s="8">
        <v>48.0</v>
      </c>
      <c r="M40" s="1" t="s">
        <v>78</v>
      </c>
      <c r="N40" s="1" t="s">
        <v>79</v>
      </c>
    </row>
    <row r="41">
      <c r="A41" s="24">
        <f>A40/A6</f>
        <v>0.009645717059</v>
      </c>
      <c r="B41" s="24">
        <v>0.001</v>
      </c>
      <c r="C41" s="24">
        <v>0.047</v>
      </c>
      <c r="D41" s="24">
        <v>0.005</v>
      </c>
      <c r="E41" s="24">
        <v>0.0</v>
      </c>
      <c r="F41" s="24">
        <v>0.011</v>
      </c>
      <c r="G41" s="24">
        <v>0.006</v>
      </c>
      <c r="H41" s="24">
        <v>0.037</v>
      </c>
      <c r="I41" s="24">
        <v>0.002</v>
      </c>
      <c r="J41" s="24">
        <v>0.006</v>
      </c>
      <c r="K41" s="24">
        <v>0.015</v>
      </c>
      <c r="L41" s="24">
        <v>0.032</v>
      </c>
      <c r="M41" s="1" t="s">
        <v>80</v>
      </c>
      <c r="N41" s="1" t="s">
        <v>32</v>
      </c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4"/>
      <c r="B43" s="14"/>
      <c r="C43" s="8" t="s">
        <v>57</v>
      </c>
      <c r="D43" s="14"/>
      <c r="E43" s="14"/>
      <c r="F43" s="14"/>
      <c r="G43" s="14"/>
      <c r="H43" s="14"/>
      <c r="I43" s="1" t="s">
        <v>81</v>
      </c>
      <c r="J43" s="14"/>
      <c r="K43" s="14"/>
      <c r="L43" s="14"/>
      <c r="M43" s="5" t="s">
        <v>82</v>
      </c>
      <c r="N43" s="1" t="s">
        <v>48</v>
      </c>
    </row>
    <row r="44">
      <c r="A44" s="7">
        <f t="shared" ref="A44:A46" si="7">SUM(B44:L44)</f>
        <v>127</v>
      </c>
      <c r="B44" s="31">
        <v>1.0</v>
      </c>
      <c r="C44" s="31">
        <v>0.0</v>
      </c>
      <c r="D44" s="31">
        <v>1.0</v>
      </c>
      <c r="E44" s="31">
        <v>0.0</v>
      </c>
      <c r="F44" s="31">
        <v>44.0</v>
      </c>
      <c r="G44" s="31">
        <v>5.0</v>
      </c>
      <c r="H44" s="31">
        <v>10.0</v>
      </c>
      <c r="I44" s="31">
        <v>0.0</v>
      </c>
      <c r="J44" s="31">
        <v>12.0</v>
      </c>
      <c r="K44" s="31">
        <v>53.0</v>
      </c>
      <c r="L44" s="31">
        <v>1.0</v>
      </c>
      <c r="M44" s="33" t="s">
        <v>83</v>
      </c>
      <c r="N44" s="39" t="s">
        <v>84</v>
      </c>
    </row>
    <row r="45">
      <c r="A45" s="7">
        <f t="shared" si="7"/>
        <v>121</v>
      </c>
      <c r="B45" s="8">
        <v>1.0</v>
      </c>
      <c r="C45" s="8">
        <v>0.0</v>
      </c>
      <c r="D45" s="8">
        <v>1.0</v>
      </c>
      <c r="E45" s="8">
        <v>0.0</v>
      </c>
      <c r="F45" s="8">
        <v>43.0</v>
      </c>
      <c r="G45" s="8">
        <v>5.0</v>
      </c>
      <c r="H45" s="8">
        <v>9.0</v>
      </c>
      <c r="I45" s="8">
        <v>0.0</v>
      </c>
      <c r="J45" s="8">
        <v>10.0</v>
      </c>
      <c r="K45" s="8">
        <v>51.0</v>
      </c>
      <c r="L45" s="8">
        <v>1.0</v>
      </c>
      <c r="M45" s="1" t="s">
        <v>85</v>
      </c>
      <c r="N45" s="1" t="s">
        <v>86</v>
      </c>
    </row>
    <row r="46">
      <c r="A46" s="7">
        <f t="shared" si="7"/>
        <v>4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1.0</v>
      </c>
      <c r="I46" s="8">
        <v>0.0</v>
      </c>
      <c r="J46" s="8">
        <v>2.0</v>
      </c>
      <c r="K46" s="8">
        <v>1.0</v>
      </c>
      <c r="L46" s="8">
        <v>0.0</v>
      </c>
      <c r="M46" s="1" t="s">
        <v>87</v>
      </c>
      <c r="N46" s="14"/>
    </row>
    <row r="47">
      <c r="A47" s="35">
        <f>IF(A44&lt;&gt;0,(A45+A46)/A44,IFERROR(0/0,""))</f>
        <v>0.9842519685</v>
      </c>
      <c r="B47" s="35">
        <v>1.0</v>
      </c>
      <c r="C47" s="36"/>
      <c r="D47" s="35">
        <v>1.0</v>
      </c>
      <c r="E47" s="36"/>
      <c r="F47" s="35">
        <v>0.98</v>
      </c>
      <c r="G47" s="35">
        <v>1.0</v>
      </c>
      <c r="H47" s="35">
        <v>1.0</v>
      </c>
      <c r="I47" s="28"/>
      <c r="J47" s="35">
        <v>1.0</v>
      </c>
      <c r="K47" s="35">
        <v>0.98</v>
      </c>
      <c r="L47" s="35">
        <v>1.0</v>
      </c>
      <c r="M47" s="1" t="s">
        <v>88</v>
      </c>
      <c r="N47" s="14"/>
    </row>
    <row r="48">
      <c r="A48" s="7">
        <f t="shared" ref="A48:A49" si="8">SUM(B48:L48)</f>
        <v>2</v>
      </c>
      <c r="B48" s="8">
        <v>0.0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1.0</v>
      </c>
      <c r="I48" s="14"/>
      <c r="J48" s="8">
        <v>0.0</v>
      </c>
      <c r="K48" s="8">
        <v>1.0</v>
      </c>
      <c r="L48" s="8">
        <v>0.0</v>
      </c>
      <c r="M48" s="1" t="s">
        <v>89</v>
      </c>
      <c r="N48" s="14"/>
    </row>
    <row r="49">
      <c r="A49" s="7">
        <f t="shared" si="8"/>
        <v>12</v>
      </c>
      <c r="B49" s="8">
        <v>1.0</v>
      </c>
      <c r="C49" s="8">
        <v>0.0</v>
      </c>
      <c r="D49" s="8">
        <v>1.0</v>
      </c>
      <c r="E49" s="8">
        <v>0.0</v>
      </c>
      <c r="F49" s="7">
        <v>1.0</v>
      </c>
      <c r="G49" s="8">
        <v>0.0</v>
      </c>
      <c r="H49" s="8">
        <v>2.0</v>
      </c>
      <c r="I49" s="14"/>
      <c r="J49" s="8">
        <v>1.0</v>
      </c>
      <c r="K49" s="8">
        <v>3.0</v>
      </c>
      <c r="L49" s="8">
        <v>3.0</v>
      </c>
      <c r="M49" s="1" t="s">
        <v>90</v>
      </c>
      <c r="N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4"/>
      <c r="B51" s="14"/>
      <c r="C51" s="1" t="s">
        <v>91</v>
      </c>
      <c r="D51" s="14"/>
      <c r="E51" s="1" t="s">
        <v>91</v>
      </c>
      <c r="F51" s="14"/>
      <c r="G51" s="14"/>
      <c r="H51" s="14"/>
      <c r="I51" s="1" t="s">
        <v>81</v>
      </c>
      <c r="J51" s="1"/>
      <c r="K51" s="1" t="s">
        <v>92</v>
      </c>
      <c r="L51" s="14"/>
      <c r="M51" s="5" t="s">
        <v>93</v>
      </c>
      <c r="N51" s="1" t="s">
        <v>48</v>
      </c>
    </row>
    <row r="52">
      <c r="A52" s="7">
        <f t="shared" ref="A52:A54" si="9">SUM(B52:L52)</f>
        <v>68</v>
      </c>
      <c r="B52" s="8">
        <v>1.0</v>
      </c>
      <c r="C52" s="14"/>
      <c r="D52" s="8">
        <v>1.0</v>
      </c>
      <c r="E52" s="14"/>
      <c r="F52" s="8">
        <v>44.0</v>
      </c>
      <c r="G52" s="8">
        <v>3.0</v>
      </c>
      <c r="H52" s="8">
        <v>8.0</v>
      </c>
      <c r="I52" s="14"/>
      <c r="J52" s="8">
        <v>11.0</v>
      </c>
      <c r="K52" s="14"/>
      <c r="L52" s="8">
        <v>0.0</v>
      </c>
      <c r="M52" s="1" t="s">
        <v>94</v>
      </c>
      <c r="N52" s="14"/>
    </row>
    <row r="53">
      <c r="A53" s="7">
        <f t="shared" si="9"/>
        <v>62</v>
      </c>
      <c r="B53" s="31">
        <v>1.0</v>
      </c>
      <c r="C53" s="34"/>
      <c r="D53" s="31">
        <v>1.0</v>
      </c>
      <c r="E53" s="34"/>
      <c r="F53" s="31">
        <v>38.0</v>
      </c>
      <c r="G53" s="31">
        <v>3.0</v>
      </c>
      <c r="H53" s="31">
        <v>8.0</v>
      </c>
      <c r="I53" s="34"/>
      <c r="J53" s="31">
        <v>11.0</v>
      </c>
      <c r="K53" s="34"/>
      <c r="L53" s="31">
        <v>0.0</v>
      </c>
      <c r="M53" s="33" t="s">
        <v>95</v>
      </c>
      <c r="N53" s="34"/>
    </row>
    <row r="54">
      <c r="A54" s="7">
        <f t="shared" si="9"/>
        <v>15</v>
      </c>
      <c r="B54" s="8">
        <v>0.0</v>
      </c>
      <c r="C54" s="28"/>
      <c r="D54" s="29">
        <v>1.0</v>
      </c>
      <c r="E54" s="28"/>
      <c r="F54" s="8">
        <v>4.0</v>
      </c>
      <c r="G54" s="8">
        <v>1.0</v>
      </c>
      <c r="H54" s="8">
        <v>4.0</v>
      </c>
      <c r="I54" s="14"/>
      <c r="J54" s="8">
        <v>5.0</v>
      </c>
      <c r="K54" s="14"/>
      <c r="L54" s="8">
        <v>0.0</v>
      </c>
      <c r="M54" s="1" t="s">
        <v>96</v>
      </c>
      <c r="N54" s="1" t="s">
        <v>97</v>
      </c>
    </row>
    <row r="55">
      <c r="A55" s="35"/>
      <c r="B55" s="35">
        <v>0.0</v>
      </c>
      <c r="C55" s="14"/>
      <c r="D55" s="35">
        <v>1.0</v>
      </c>
      <c r="E55" s="14"/>
      <c r="F55" s="35">
        <v>0.11</v>
      </c>
      <c r="G55" s="35">
        <v>0.33</v>
      </c>
      <c r="H55" s="35">
        <v>0.5</v>
      </c>
      <c r="I55" s="28"/>
      <c r="J55" s="35">
        <v>0.45</v>
      </c>
      <c r="K55" s="36"/>
      <c r="L55" s="36"/>
      <c r="M55" s="1" t="s">
        <v>98</v>
      </c>
      <c r="N55" s="14"/>
    </row>
    <row r="56">
      <c r="A56" s="7">
        <f>SUM(B56:L56)</f>
        <v>1</v>
      </c>
      <c r="B56" s="8">
        <v>0.0</v>
      </c>
      <c r="C56" s="14"/>
      <c r="D56" s="29">
        <v>0.0</v>
      </c>
      <c r="E56" s="14"/>
      <c r="F56" s="8">
        <v>0.0</v>
      </c>
      <c r="G56" s="8">
        <v>1.0</v>
      </c>
      <c r="H56" s="8">
        <v>0.0</v>
      </c>
      <c r="I56" s="14"/>
      <c r="J56" s="8">
        <v>0.0</v>
      </c>
      <c r="K56" s="14"/>
      <c r="L56" s="8">
        <v>0.0</v>
      </c>
      <c r="M56" s="1" t="s">
        <v>99</v>
      </c>
      <c r="N56" s="14"/>
    </row>
    <row r="57">
      <c r="A57" s="35"/>
      <c r="B57" s="35">
        <v>0.0</v>
      </c>
      <c r="C57" s="28"/>
      <c r="D57" s="35">
        <v>0.0</v>
      </c>
      <c r="E57" s="14"/>
      <c r="F57" s="35">
        <v>0.0</v>
      </c>
      <c r="G57" s="35">
        <v>0.33</v>
      </c>
      <c r="H57" s="35">
        <v>0.0</v>
      </c>
      <c r="I57" s="14"/>
      <c r="J57" s="35">
        <v>0.0</v>
      </c>
      <c r="K57" s="36"/>
      <c r="L57" s="36"/>
      <c r="M57" s="1" t="s">
        <v>100</v>
      </c>
      <c r="N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5" t="s">
        <v>101</v>
      </c>
      <c r="N59" s="1" t="s">
        <v>48</v>
      </c>
    </row>
    <row r="60">
      <c r="A60" s="7">
        <f t="shared" ref="A60:A61" si="10">SUM(B60:L60)</f>
        <v>0</v>
      </c>
      <c r="B60" s="8">
        <v>0.0</v>
      </c>
      <c r="C60" s="8">
        <v>0.0</v>
      </c>
      <c r="D60" s="8">
        <v>0.0</v>
      </c>
      <c r="E60" s="8">
        <v>0.0</v>
      </c>
      <c r="F60" s="8">
        <v>0.0</v>
      </c>
      <c r="G60" s="14"/>
      <c r="H60" s="14"/>
      <c r="I60" s="8">
        <v>0.0</v>
      </c>
      <c r="J60" s="8">
        <v>0.0</v>
      </c>
      <c r="K60" s="8">
        <v>0.0</v>
      </c>
      <c r="L60" s="8">
        <v>0.0</v>
      </c>
      <c r="M60" s="1" t="s">
        <v>102</v>
      </c>
      <c r="N60" s="1" t="s">
        <v>103</v>
      </c>
    </row>
    <row r="61">
      <c r="A61" s="7">
        <f t="shared" si="10"/>
        <v>0</v>
      </c>
      <c r="B61" s="8">
        <v>0.0</v>
      </c>
      <c r="C61" s="8">
        <v>0.0</v>
      </c>
      <c r="D61" s="8">
        <v>0.0</v>
      </c>
      <c r="E61" s="8">
        <v>0.0</v>
      </c>
      <c r="F61" s="8">
        <v>0.0</v>
      </c>
      <c r="G61" s="14"/>
      <c r="H61" s="14"/>
      <c r="I61" s="8">
        <v>0.0</v>
      </c>
      <c r="J61" s="8">
        <v>0.0</v>
      </c>
      <c r="K61" s="8">
        <v>0.0</v>
      </c>
      <c r="L61" s="8">
        <v>0.0</v>
      </c>
      <c r="M61" s="1" t="s">
        <v>104</v>
      </c>
      <c r="N61" s="1" t="s">
        <v>105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5" t="s">
        <v>106</v>
      </c>
      <c r="N63" s="1" t="s">
        <v>48</v>
      </c>
    </row>
    <row r="64">
      <c r="A64" s="7">
        <f t="shared" ref="A64:A65" si="11">SUM(B64:L64)</f>
        <v>2752</v>
      </c>
      <c r="B64" s="8">
        <v>156.0</v>
      </c>
      <c r="C64" s="8">
        <v>130.0</v>
      </c>
      <c r="D64" s="8">
        <v>342.0</v>
      </c>
      <c r="E64" s="7">
        <v>195.0</v>
      </c>
      <c r="F64" s="14"/>
      <c r="G64" s="8">
        <v>70.0</v>
      </c>
      <c r="H64" s="8">
        <v>142.0</v>
      </c>
      <c r="I64" s="8">
        <v>1074.0</v>
      </c>
      <c r="J64" s="8">
        <v>369.0</v>
      </c>
      <c r="K64" s="8">
        <v>187.0</v>
      </c>
      <c r="L64" s="8">
        <v>87.0</v>
      </c>
      <c r="M64" s="40" t="s">
        <v>107</v>
      </c>
      <c r="N64" s="1" t="s">
        <v>108</v>
      </c>
    </row>
    <row r="65">
      <c r="A65" s="7">
        <f t="shared" si="11"/>
        <v>481</v>
      </c>
      <c r="B65" s="8">
        <v>2.0</v>
      </c>
      <c r="C65" s="8">
        <v>19.0</v>
      </c>
      <c r="D65" s="8">
        <v>10.0</v>
      </c>
      <c r="E65" s="8">
        <v>4.0</v>
      </c>
      <c r="F65" s="14"/>
      <c r="G65" s="26">
        <v>9.0</v>
      </c>
      <c r="H65" s="8">
        <v>51.0</v>
      </c>
      <c r="I65" s="8">
        <v>264.0</v>
      </c>
      <c r="J65" s="8">
        <v>2.0</v>
      </c>
      <c r="K65" s="8">
        <v>103.0</v>
      </c>
      <c r="L65" s="8">
        <v>17.0</v>
      </c>
      <c r="M65" s="1" t="s">
        <v>109</v>
      </c>
      <c r="N65" s="1" t="s">
        <v>110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5" t="s">
        <v>111</v>
      </c>
      <c r="N67" s="1" t="s">
        <v>48</v>
      </c>
    </row>
    <row r="68">
      <c r="A68" s="7">
        <f>SUM(B68:L68)</f>
        <v>444</v>
      </c>
      <c r="B68" s="8">
        <v>1.0</v>
      </c>
      <c r="C68" s="8">
        <v>0.0</v>
      </c>
      <c r="D68" s="8">
        <v>1.0</v>
      </c>
      <c r="E68" s="8">
        <v>0.0</v>
      </c>
      <c r="F68" s="14"/>
      <c r="G68" s="8">
        <v>9.0</v>
      </c>
      <c r="H68" s="8">
        <v>17.0</v>
      </c>
      <c r="I68" s="8">
        <v>347.0</v>
      </c>
      <c r="J68" s="8">
        <v>14.0</v>
      </c>
      <c r="K68" s="8">
        <v>50.0</v>
      </c>
      <c r="L68" s="8">
        <v>5.0</v>
      </c>
      <c r="M68" s="1" t="s">
        <v>112</v>
      </c>
      <c r="N68" s="1" t="s">
        <v>113</v>
      </c>
    </row>
    <row r="69">
      <c r="A69" s="29">
        <f>A68/A$64</f>
        <v>0.1613372093</v>
      </c>
      <c r="B69" s="29">
        <v>0.01</v>
      </c>
      <c r="C69" s="29">
        <v>0.0</v>
      </c>
      <c r="D69" s="29">
        <v>0.0</v>
      </c>
      <c r="E69" s="29">
        <v>0.0</v>
      </c>
      <c r="F69" s="28"/>
      <c r="G69" s="29">
        <v>0.13</v>
      </c>
      <c r="H69" s="29">
        <v>0.12</v>
      </c>
      <c r="I69" s="29">
        <v>0.32</v>
      </c>
      <c r="J69" s="29">
        <v>0.04</v>
      </c>
      <c r="K69" s="29">
        <v>0.27</v>
      </c>
      <c r="L69" s="29">
        <v>0.06</v>
      </c>
      <c r="M69" s="1" t="s">
        <v>114</v>
      </c>
      <c r="N69" s="14"/>
    </row>
    <row r="70">
      <c r="A70" s="7">
        <f>SUM(B70:L70)</f>
        <v>475</v>
      </c>
      <c r="B70" s="8">
        <v>1.0</v>
      </c>
      <c r="C70" s="8">
        <v>0.0</v>
      </c>
      <c r="D70" s="8">
        <v>1.0</v>
      </c>
      <c r="E70" s="8">
        <v>0.0</v>
      </c>
      <c r="F70" s="14"/>
      <c r="G70" s="8">
        <v>12.0</v>
      </c>
      <c r="H70" s="8">
        <v>40.0</v>
      </c>
      <c r="I70" s="8">
        <v>347.0</v>
      </c>
      <c r="J70" s="8">
        <v>14.0</v>
      </c>
      <c r="K70" s="8">
        <v>50.0</v>
      </c>
      <c r="L70" s="8">
        <v>10.0</v>
      </c>
      <c r="M70" s="1" t="s">
        <v>115</v>
      </c>
      <c r="N70" s="14"/>
    </row>
    <row r="71">
      <c r="A71" s="29">
        <f>A70/A$64</f>
        <v>0.1726017442</v>
      </c>
      <c r="B71" s="29">
        <v>0.01</v>
      </c>
      <c r="C71" s="29">
        <v>0.0</v>
      </c>
      <c r="D71" s="29">
        <v>0.0</v>
      </c>
      <c r="E71" s="29">
        <v>0.0</v>
      </c>
      <c r="F71" s="28"/>
      <c r="G71" s="29">
        <v>0.17</v>
      </c>
      <c r="H71" s="29">
        <v>0.28</v>
      </c>
      <c r="I71" s="29">
        <v>0.32</v>
      </c>
      <c r="J71" s="29">
        <v>0.04</v>
      </c>
      <c r="K71" s="29">
        <v>0.27</v>
      </c>
      <c r="L71" s="29">
        <v>0.11</v>
      </c>
      <c r="M71" s="1" t="s">
        <v>116</v>
      </c>
      <c r="N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5" t="s">
        <v>117</v>
      </c>
      <c r="N73" s="1" t="s">
        <v>48</v>
      </c>
    </row>
    <row r="74">
      <c r="A74" s="41"/>
      <c r="B74" s="41">
        <v>44467.0</v>
      </c>
      <c r="C74" s="41">
        <v>44683.0</v>
      </c>
      <c r="D74" s="41">
        <v>44375.0</v>
      </c>
      <c r="E74" s="41">
        <v>44361.0</v>
      </c>
      <c r="F74" s="41">
        <v>44440.0</v>
      </c>
      <c r="G74" s="41">
        <v>44176.0</v>
      </c>
      <c r="H74" s="41">
        <v>44554.0</v>
      </c>
      <c r="I74" s="41">
        <v>44439.0</v>
      </c>
      <c r="J74" s="41">
        <v>44640.0</v>
      </c>
      <c r="K74" s="41">
        <v>44540.0</v>
      </c>
      <c r="L74" s="41">
        <v>44809.0</v>
      </c>
      <c r="M74" s="1" t="s">
        <v>118</v>
      </c>
      <c r="N74" s="14"/>
    </row>
    <row r="75">
      <c r="A75" s="41"/>
      <c r="B75" s="41">
        <v>44547.0</v>
      </c>
      <c r="C75" s="41">
        <v>44837.0</v>
      </c>
      <c r="D75" s="41">
        <v>44406.0</v>
      </c>
      <c r="E75" s="41">
        <v>44365.0</v>
      </c>
      <c r="F75" s="41">
        <v>44638.0</v>
      </c>
      <c r="G75" s="41">
        <v>44928.0</v>
      </c>
      <c r="H75" s="41">
        <v>44712.0</v>
      </c>
      <c r="I75" s="41">
        <v>44627.0</v>
      </c>
      <c r="J75" s="41">
        <v>44788.0</v>
      </c>
      <c r="K75" s="41">
        <v>44692.0</v>
      </c>
      <c r="L75" s="41">
        <v>45079.0</v>
      </c>
      <c r="M75" s="1" t="s">
        <v>119</v>
      </c>
      <c r="N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5" t="s">
        <v>120</v>
      </c>
      <c r="N77" s="1" t="s">
        <v>48</v>
      </c>
    </row>
    <row r="78">
      <c r="A78" s="1"/>
      <c r="B78" s="1" t="s">
        <v>121</v>
      </c>
      <c r="C78" s="1" t="s">
        <v>122</v>
      </c>
      <c r="D78" s="1" t="s">
        <v>123</v>
      </c>
      <c r="E78" s="1" t="s">
        <v>124</v>
      </c>
      <c r="F78" s="1" t="s">
        <v>121</v>
      </c>
      <c r="G78" s="1" t="s">
        <v>124</v>
      </c>
      <c r="H78" s="1" t="s">
        <v>124</v>
      </c>
      <c r="I78" s="1" t="s">
        <v>125</v>
      </c>
      <c r="J78" s="1" t="s">
        <v>124</v>
      </c>
      <c r="K78" s="1" t="s">
        <v>126</v>
      </c>
      <c r="L78" s="1" t="s">
        <v>127</v>
      </c>
      <c r="M78" s="1" t="s">
        <v>128</v>
      </c>
      <c r="N78" s="1" t="s">
        <v>129</v>
      </c>
    </row>
    <row r="79">
      <c r="A79" s="1"/>
      <c r="B79" s="1" t="s">
        <v>130</v>
      </c>
      <c r="C79" s="1" t="s">
        <v>131</v>
      </c>
      <c r="D79" s="1" t="s">
        <v>132</v>
      </c>
      <c r="E79" s="1" t="s">
        <v>133</v>
      </c>
      <c r="F79" s="1" t="s">
        <v>134</v>
      </c>
      <c r="G79" s="1" t="s">
        <v>135</v>
      </c>
      <c r="H79" s="1" t="s">
        <v>136</v>
      </c>
      <c r="I79" s="1" t="s">
        <v>131</v>
      </c>
      <c r="J79" s="1" t="s">
        <v>137</v>
      </c>
      <c r="K79" s="1" t="s">
        <v>131</v>
      </c>
      <c r="L79" s="1" t="s">
        <v>130</v>
      </c>
      <c r="M79" s="1" t="s">
        <v>138</v>
      </c>
      <c r="N79" s="1" t="s">
        <v>139</v>
      </c>
    </row>
    <row r="80">
      <c r="A80" s="1"/>
      <c r="B80" s="1" t="s">
        <v>140</v>
      </c>
      <c r="C80" s="1" t="s">
        <v>141</v>
      </c>
      <c r="D80" s="40" t="s">
        <v>142</v>
      </c>
      <c r="E80" s="1" t="s">
        <v>143</v>
      </c>
      <c r="F80" s="1" t="s">
        <v>144</v>
      </c>
      <c r="G80" s="1" t="s">
        <v>145</v>
      </c>
      <c r="H80" s="1" t="s">
        <v>141</v>
      </c>
      <c r="I80" s="1" t="s">
        <v>144</v>
      </c>
      <c r="J80" s="1" t="s">
        <v>146</v>
      </c>
      <c r="K80" s="1" t="s">
        <v>147</v>
      </c>
      <c r="L80" s="1" t="s">
        <v>141</v>
      </c>
      <c r="M80" s="1" t="s">
        <v>148</v>
      </c>
      <c r="N80" s="1" t="s">
        <v>149</v>
      </c>
    </row>
    <row r="81">
      <c r="A81" s="1"/>
      <c r="B81" s="1" t="s">
        <v>150</v>
      </c>
      <c r="C81" s="1" t="s">
        <v>150</v>
      </c>
      <c r="D81" s="42" t="s">
        <v>150</v>
      </c>
      <c r="E81" s="42" t="s">
        <v>150</v>
      </c>
      <c r="F81" s="1" t="s">
        <v>150</v>
      </c>
      <c r="G81" s="1" t="s">
        <v>151</v>
      </c>
      <c r="H81" s="1" t="s">
        <v>150</v>
      </c>
      <c r="I81" s="1" t="s">
        <v>152</v>
      </c>
      <c r="J81" s="1" t="s">
        <v>150</v>
      </c>
      <c r="K81" s="42" t="s">
        <v>153</v>
      </c>
      <c r="L81" s="42" t="s">
        <v>154</v>
      </c>
      <c r="M81" s="1" t="s">
        <v>155</v>
      </c>
      <c r="N81" s="1" t="s">
        <v>156</v>
      </c>
    </row>
    <row r="82">
      <c r="A82" s="42"/>
      <c r="B82" s="42" t="s">
        <v>157</v>
      </c>
      <c r="C82" s="42" t="s">
        <v>158</v>
      </c>
      <c r="D82" s="42" t="s">
        <v>159</v>
      </c>
      <c r="E82" s="42" t="s">
        <v>160</v>
      </c>
      <c r="F82" s="42" t="s">
        <v>159</v>
      </c>
      <c r="G82" s="1" t="s">
        <v>161</v>
      </c>
      <c r="H82" s="1" t="s">
        <v>161</v>
      </c>
      <c r="I82" s="42" t="s">
        <v>159</v>
      </c>
      <c r="J82" s="42" t="s">
        <v>157</v>
      </c>
      <c r="K82" s="42" t="s">
        <v>157</v>
      </c>
      <c r="L82" s="42" t="s">
        <v>158</v>
      </c>
      <c r="M82" s="1" t="s">
        <v>162</v>
      </c>
      <c r="N82" s="1" t="s">
        <v>163</v>
      </c>
    </row>
    <row r="83">
      <c r="A83" s="1"/>
      <c r="B83" s="1" t="s">
        <v>164</v>
      </c>
      <c r="C83" s="1" t="s">
        <v>165</v>
      </c>
      <c r="D83" s="1" t="s">
        <v>164</v>
      </c>
      <c r="E83" s="1" t="s">
        <v>165</v>
      </c>
      <c r="F83" s="1" t="s">
        <v>165</v>
      </c>
      <c r="G83" s="1" t="s">
        <v>165</v>
      </c>
      <c r="H83" s="1" t="s">
        <v>165</v>
      </c>
      <c r="I83" s="1" t="s">
        <v>165</v>
      </c>
      <c r="J83" s="1" t="s">
        <v>164</v>
      </c>
      <c r="K83" s="1" t="s">
        <v>164</v>
      </c>
      <c r="L83" s="1" t="s">
        <v>165</v>
      </c>
      <c r="M83" s="1" t="s">
        <v>166</v>
      </c>
      <c r="N83" s="1" t="s">
        <v>167</v>
      </c>
    </row>
    <row r="84">
      <c r="A84" s="1"/>
      <c r="B84" s="1" t="s">
        <v>168</v>
      </c>
      <c r="C84" s="1" t="s">
        <v>168</v>
      </c>
      <c r="D84" s="40" t="s">
        <v>168</v>
      </c>
      <c r="E84" s="1" t="s">
        <v>168</v>
      </c>
      <c r="F84" s="1" t="s">
        <v>169</v>
      </c>
      <c r="G84" s="1" t="s">
        <v>168</v>
      </c>
      <c r="H84" s="1" t="s">
        <v>168</v>
      </c>
      <c r="I84" s="1" t="s">
        <v>168</v>
      </c>
      <c r="J84" s="1" t="s">
        <v>168</v>
      </c>
      <c r="K84" s="1" t="s">
        <v>168</v>
      </c>
      <c r="L84" s="1" t="s">
        <v>168</v>
      </c>
      <c r="M84" s="1" t="s">
        <v>170</v>
      </c>
      <c r="N84" s="1" t="s">
        <v>171</v>
      </c>
    </row>
    <row r="85">
      <c r="A85" s="1"/>
      <c r="B85" s="1" t="s">
        <v>172</v>
      </c>
      <c r="C85" s="1" t="s">
        <v>173</v>
      </c>
      <c r="D85" s="1" t="s">
        <v>174</v>
      </c>
      <c r="E85" s="1" t="s">
        <v>172</v>
      </c>
      <c r="F85" s="1" t="s">
        <v>172</v>
      </c>
      <c r="G85" s="1" t="s">
        <v>172</v>
      </c>
      <c r="H85" s="1" t="s">
        <v>172</v>
      </c>
      <c r="I85" s="1" t="s">
        <v>172</v>
      </c>
      <c r="J85" s="1" t="s">
        <v>172</v>
      </c>
      <c r="K85" s="1" t="s">
        <v>175</v>
      </c>
      <c r="L85" s="1" t="s">
        <v>172</v>
      </c>
      <c r="M85" s="1" t="s">
        <v>176</v>
      </c>
      <c r="N85" s="1" t="s">
        <v>177</v>
      </c>
    </row>
    <row r="86">
      <c r="A86" s="1"/>
      <c r="B86" s="1" t="s">
        <v>178</v>
      </c>
      <c r="C86" s="1" t="s">
        <v>179</v>
      </c>
      <c r="D86" s="1" t="s">
        <v>180</v>
      </c>
      <c r="E86" s="43" t="s">
        <v>19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186</v>
      </c>
      <c r="L86" s="1" t="s">
        <v>187</v>
      </c>
      <c r="M86" s="1" t="s">
        <v>188</v>
      </c>
      <c r="N86" s="1" t="s">
        <v>189</v>
      </c>
    </row>
    <row r="87">
      <c r="A87" s="1"/>
      <c r="B87" s="1" t="s">
        <v>190</v>
      </c>
      <c r="C87" s="1" t="s">
        <v>122</v>
      </c>
      <c r="D87" s="1" t="s">
        <v>191</v>
      </c>
      <c r="E87" s="1" t="s">
        <v>192</v>
      </c>
      <c r="F87" s="1" t="s">
        <v>193</v>
      </c>
      <c r="G87" s="1" t="s">
        <v>194</v>
      </c>
      <c r="H87" s="1" t="s">
        <v>195</v>
      </c>
      <c r="I87" s="1" t="s">
        <v>196</v>
      </c>
      <c r="J87" s="1" t="s">
        <v>197</v>
      </c>
      <c r="K87" s="1" t="s">
        <v>193</v>
      </c>
      <c r="L87" s="1" t="s">
        <v>127</v>
      </c>
      <c r="M87" s="1" t="s">
        <v>198</v>
      </c>
      <c r="N87" s="1" t="s">
        <v>199</v>
      </c>
    </row>
    <row r="88">
      <c r="A88" s="1"/>
      <c r="B88" s="1" t="s">
        <v>200</v>
      </c>
      <c r="C88" s="44" t="s">
        <v>201</v>
      </c>
      <c r="D88" s="1" t="s">
        <v>202</v>
      </c>
      <c r="E88" s="1" t="s">
        <v>203</v>
      </c>
      <c r="F88" s="1" t="s">
        <v>204</v>
      </c>
      <c r="G88" s="1" t="s">
        <v>205</v>
      </c>
      <c r="H88" s="1" t="s">
        <v>195</v>
      </c>
      <c r="I88" s="1" t="s">
        <v>204</v>
      </c>
      <c r="J88" s="1" t="s">
        <v>200</v>
      </c>
      <c r="K88" s="1" t="s">
        <v>206</v>
      </c>
      <c r="L88" s="1" t="s">
        <v>201</v>
      </c>
      <c r="M88" s="1" t="s">
        <v>207</v>
      </c>
      <c r="N88" s="1" t="s">
        <v>208</v>
      </c>
    </row>
    <row r="89">
      <c r="A89" s="1"/>
      <c r="B89" s="1" t="s">
        <v>209</v>
      </c>
      <c r="C89" s="1" t="s">
        <v>210</v>
      </c>
      <c r="D89" s="1" t="s">
        <v>211</v>
      </c>
      <c r="E89" s="1" t="s">
        <v>212</v>
      </c>
      <c r="F89" s="1" t="s">
        <v>209</v>
      </c>
      <c r="G89" s="1" t="s">
        <v>213</v>
      </c>
      <c r="H89" s="1" t="s">
        <v>214</v>
      </c>
      <c r="I89" s="1" t="s">
        <v>215</v>
      </c>
      <c r="J89" s="1" t="s">
        <v>216</v>
      </c>
      <c r="K89" s="1" t="s">
        <v>217</v>
      </c>
      <c r="L89" s="1" t="s">
        <v>218</v>
      </c>
      <c r="M89" s="1" t="s">
        <v>219</v>
      </c>
      <c r="N89" s="1" t="s">
        <v>220</v>
      </c>
    </row>
    <row r="90">
      <c r="A90" s="14"/>
      <c r="B90" s="14"/>
      <c r="C90" s="14"/>
      <c r="D90" s="14"/>
      <c r="E90" s="43" t="s">
        <v>221</v>
      </c>
      <c r="F90" s="14"/>
      <c r="G90" s="14"/>
      <c r="H90" s="14"/>
      <c r="I90" s="14"/>
      <c r="J90" s="14"/>
      <c r="K90" s="14"/>
      <c r="M90" s="2" t="s">
        <v>222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>
      <c r="A92" s="14"/>
      <c r="B92" s="14"/>
      <c r="C92" s="14"/>
      <c r="D92" s="14"/>
      <c r="E92" s="14"/>
      <c r="F92" s="14"/>
      <c r="G92" s="8"/>
      <c r="H92" s="8"/>
      <c r="I92" s="14"/>
      <c r="J92" s="14"/>
      <c r="K92" s="14"/>
    </row>
    <row r="93">
      <c r="A93" s="14"/>
      <c r="B93" s="14"/>
      <c r="C93" s="14"/>
      <c r="D93" s="14"/>
      <c r="E93" s="14"/>
      <c r="F93" s="14"/>
      <c r="G93" s="8"/>
      <c r="H93" s="8"/>
      <c r="I93" s="14"/>
      <c r="J93" s="14"/>
      <c r="K93" s="14"/>
    </row>
    <row r="94">
      <c r="A94" s="14"/>
      <c r="B94" s="14"/>
      <c r="C94" s="14"/>
      <c r="D94" s="14"/>
      <c r="E94" s="14"/>
      <c r="F94" s="14"/>
      <c r="G94" s="8"/>
      <c r="H94" s="8"/>
      <c r="I94" s="14"/>
      <c r="J94" s="14"/>
      <c r="K94" s="14"/>
    </row>
    <row r="95">
      <c r="A95" s="14"/>
      <c r="B95" s="14"/>
      <c r="C95" s="14"/>
      <c r="D95" s="14"/>
      <c r="E95" s="14"/>
      <c r="F95" s="14"/>
      <c r="G95" s="8"/>
      <c r="H95" s="8"/>
      <c r="I95" s="14"/>
      <c r="J95" s="14"/>
      <c r="K95" s="14"/>
    </row>
    <row r="96">
      <c r="A96" s="14"/>
      <c r="B96" s="14"/>
      <c r="C96" s="14"/>
      <c r="D96" s="14"/>
      <c r="E96" s="14"/>
      <c r="F96" s="14"/>
      <c r="G96" s="8"/>
      <c r="H96" s="8"/>
      <c r="I96" s="14"/>
      <c r="J96" s="14"/>
      <c r="K96" s="14"/>
    </row>
    <row r="97">
      <c r="A97" s="14"/>
      <c r="B97" s="14"/>
      <c r="C97" s="14"/>
      <c r="D97" s="14"/>
      <c r="E97" s="14"/>
      <c r="F97" s="14"/>
      <c r="G97" s="29"/>
      <c r="H97" s="29"/>
      <c r="I97" s="14"/>
      <c r="J97" s="14"/>
      <c r="K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</row>
    <row r="1018">
      <c r="A1018" s="14"/>
      <c r="B1018" s="14"/>
      <c r="C1018" s="14"/>
      <c r="F1018" s="14"/>
      <c r="G1018" s="14"/>
      <c r="H1018" s="14"/>
      <c r="I1018" s="14"/>
      <c r="J1018" s="14"/>
      <c r="K1018" s="14"/>
    </row>
    <row r="1019">
      <c r="A1019" s="14"/>
      <c r="B1019" s="14"/>
      <c r="C1019" s="14"/>
      <c r="F1019" s="14"/>
      <c r="G1019" s="14"/>
      <c r="H1019" s="14"/>
      <c r="I1019" s="14"/>
      <c r="J1019" s="14"/>
      <c r="K1019" s="14"/>
    </row>
    <row r="1020">
      <c r="A1020" s="14"/>
      <c r="B1020" s="14"/>
      <c r="F1020" s="14"/>
      <c r="G1020" s="14"/>
      <c r="H1020" s="14"/>
      <c r="I1020" s="14"/>
      <c r="J1020" s="14"/>
      <c r="K1020" s="14"/>
    </row>
    <row r="1021">
      <c r="A1021" s="14"/>
      <c r="B1021" s="14"/>
      <c r="F1021" s="14"/>
      <c r="G1021" s="14"/>
      <c r="H1021" s="14"/>
      <c r="I1021" s="14"/>
      <c r="J1021" s="14"/>
      <c r="K1021" s="14"/>
    </row>
    <row r="1022">
      <c r="A1022" s="14"/>
      <c r="B1022" s="14"/>
      <c r="F1022" s="14"/>
      <c r="G1022" s="14"/>
      <c r="H1022" s="14"/>
      <c r="I1022" s="14"/>
      <c r="J1022" s="14"/>
      <c r="K1022" s="14"/>
    </row>
    <row r="1023">
      <c r="A1023" s="14"/>
      <c r="B1023" s="14"/>
      <c r="F1023" s="14"/>
      <c r="I1023" s="14"/>
      <c r="J1023" s="14"/>
      <c r="K1023" s="14"/>
    </row>
    <row r="1024">
      <c r="A1024" s="14"/>
      <c r="B1024" s="14"/>
      <c r="F1024" s="14"/>
      <c r="I1024" s="14"/>
      <c r="J1024" s="14"/>
      <c r="K1024" s="14"/>
    </row>
    <row r="1025">
      <c r="A1025" s="14"/>
      <c r="B1025" s="14"/>
      <c r="F1025" s="14"/>
      <c r="I1025" s="14"/>
      <c r="J1025" s="14"/>
      <c r="K1025" s="14"/>
    </row>
    <row r="1026">
      <c r="A1026" s="14"/>
      <c r="B1026" s="14"/>
      <c r="F1026" s="14"/>
      <c r="I1026" s="14"/>
      <c r="J1026" s="14"/>
      <c r="K1026" s="14"/>
    </row>
    <row r="1027">
      <c r="A1027" s="14"/>
      <c r="B1027" s="14"/>
      <c r="F1027" s="14"/>
      <c r="I1027" s="14"/>
      <c r="J1027" s="14"/>
      <c r="K1027" s="14"/>
    </row>
    <row r="1028">
      <c r="A1028" s="14"/>
      <c r="B1028" s="14"/>
      <c r="F1028" s="14"/>
      <c r="I1028" s="14"/>
      <c r="J1028" s="14"/>
      <c r="K1028" s="14"/>
    </row>
    <row r="1029">
      <c r="A1029" s="14"/>
      <c r="B1029" s="14"/>
      <c r="F1029" s="14"/>
      <c r="I1029" s="14"/>
      <c r="J1029" s="14"/>
      <c r="K1029" s="14"/>
    </row>
    <row r="1030">
      <c r="A1030" s="14"/>
      <c r="B1030" s="14"/>
      <c r="F1030" s="14"/>
      <c r="I1030" s="14"/>
      <c r="J1030" s="14"/>
      <c r="K1030" s="14"/>
    </row>
    <row r="1031">
      <c r="A1031" s="14"/>
      <c r="B1031" s="14"/>
      <c r="F1031" s="14"/>
      <c r="I1031" s="14"/>
      <c r="J1031" s="14"/>
      <c r="K1031" s="14"/>
    </row>
    <row r="1032">
      <c r="A1032" s="14"/>
      <c r="B1032" s="14"/>
      <c r="F1032" s="14"/>
      <c r="I1032" s="14"/>
      <c r="J1032" s="14"/>
      <c r="K1032" s="14"/>
    </row>
    <row r="1033">
      <c r="A1033" s="14"/>
      <c r="B1033" s="14"/>
      <c r="F1033" s="14"/>
      <c r="I1033" s="14"/>
      <c r="J1033" s="14"/>
      <c r="K1033" s="14"/>
    </row>
    <row r="1034">
      <c r="A1034" s="14"/>
      <c r="B1034" s="14"/>
      <c r="F1034" s="14"/>
      <c r="I1034" s="14"/>
      <c r="J1034" s="14"/>
      <c r="K1034" s="14"/>
    </row>
    <row r="1035">
      <c r="A1035" s="14"/>
      <c r="B1035" s="14"/>
      <c r="F1035" s="14"/>
      <c r="I1035" s="14"/>
      <c r="J1035" s="14"/>
      <c r="K1035" s="14"/>
    </row>
    <row r="1036">
      <c r="A1036" s="14"/>
      <c r="B1036" s="14"/>
      <c r="F1036" s="14"/>
      <c r="I1036" s="14"/>
      <c r="J1036" s="14"/>
      <c r="K1036" s="14"/>
    </row>
    <row r="1037">
      <c r="A1037" s="14"/>
      <c r="B1037" s="14"/>
      <c r="F1037" s="14"/>
      <c r="I1037" s="14"/>
      <c r="J1037" s="14"/>
      <c r="K1037" s="14"/>
    </row>
    <row r="1038">
      <c r="A1038" s="14"/>
      <c r="B1038" s="14"/>
      <c r="F1038" s="14"/>
      <c r="I1038" s="14"/>
      <c r="J1038" s="14"/>
      <c r="K1038" s="14"/>
    </row>
    <row r="1039">
      <c r="A1039" s="14"/>
      <c r="B1039" s="14"/>
      <c r="F1039" s="14"/>
      <c r="I1039" s="14"/>
      <c r="J1039" s="14"/>
      <c r="K1039" s="14"/>
    </row>
    <row r="1040">
      <c r="A1040" s="14"/>
      <c r="B1040" s="14"/>
      <c r="F1040" s="14"/>
      <c r="I1040" s="14"/>
      <c r="J1040" s="14"/>
      <c r="K1040" s="14"/>
    </row>
    <row r="1041">
      <c r="A1041" s="14"/>
      <c r="B1041" s="14"/>
      <c r="F1041" s="14"/>
      <c r="I1041" s="14"/>
      <c r="J1041" s="14"/>
      <c r="K1041" s="14"/>
    </row>
    <row r="1042">
      <c r="A1042" s="14"/>
      <c r="B1042" s="14"/>
      <c r="F1042" s="14"/>
      <c r="I1042" s="14"/>
      <c r="J1042" s="14"/>
      <c r="K1042" s="14"/>
    </row>
    <row r="1043">
      <c r="A1043" s="14"/>
      <c r="B1043" s="14"/>
      <c r="F1043" s="14"/>
      <c r="I1043" s="14"/>
      <c r="J1043" s="14"/>
      <c r="K1043" s="14"/>
    </row>
    <row r="1044">
      <c r="A1044" s="14"/>
      <c r="B1044" s="14"/>
      <c r="F1044" s="14"/>
      <c r="I1044" s="14"/>
      <c r="J1044" s="14"/>
      <c r="K1044" s="14"/>
    </row>
    <row r="1045">
      <c r="A1045" s="14"/>
      <c r="B1045" s="14"/>
      <c r="F1045" s="14"/>
      <c r="I1045" s="14"/>
      <c r="J1045" s="14"/>
      <c r="K1045" s="14"/>
    </row>
    <row r="1046">
      <c r="A1046" s="14"/>
      <c r="B1046" s="14"/>
      <c r="F1046" s="14"/>
      <c r="I1046" s="14"/>
      <c r="J1046" s="14"/>
      <c r="K1046" s="14"/>
    </row>
    <row r="1047">
      <c r="A1047" s="14"/>
      <c r="B1047" s="14"/>
      <c r="F1047" s="14"/>
      <c r="I1047" s="14"/>
      <c r="J1047" s="14"/>
      <c r="K1047" s="14"/>
    </row>
    <row r="1048">
      <c r="A1048" s="14"/>
      <c r="B1048" s="14"/>
      <c r="F1048" s="14"/>
      <c r="I1048" s="14"/>
      <c r="J1048" s="14"/>
      <c r="K1048" s="14"/>
    </row>
    <row r="1049">
      <c r="A1049" s="14"/>
      <c r="B1049" s="14"/>
      <c r="F1049" s="14"/>
      <c r="I1049" s="14"/>
      <c r="J1049" s="14"/>
      <c r="K1049" s="14"/>
    </row>
    <row r="1050">
      <c r="A1050" s="14"/>
      <c r="B1050" s="14"/>
      <c r="F1050" s="14"/>
      <c r="I1050" s="14"/>
      <c r="J1050" s="14"/>
      <c r="K1050" s="14"/>
    </row>
    <row r="1051">
      <c r="A1051" s="14"/>
      <c r="B1051" s="14"/>
      <c r="F1051" s="14"/>
      <c r="I1051" s="14"/>
      <c r="J1051" s="14"/>
      <c r="K105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15.0"/>
    <col customWidth="1" min="3" max="3" width="28.0"/>
    <col customWidth="1" min="4" max="4" width="28.75"/>
    <col customWidth="1" min="5" max="5" width="32.38"/>
    <col customWidth="1" min="6" max="6" width="25.13"/>
    <col customWidth="1" min="7" max="7" width="23.63"/>
  </cols>
  <sheetData>
    <row r="1">
      <c r="A1" s="45" t="s">
        <v>188</v>
      </c>
      <c r="B1" s="45" t="s">
        <v>223</v>
      </c>
      <c r="C1" s="45" t="s">
        <v>224</v>
      </c>
      <c r="D1" s="45" t="s">
        <v>225</v>
      </c>
      <c r="E1" s="45" t="s">
        <v>226</v>
      </c>
      <c r="F1" s="45" t="s">
        <v>227</v>
      </c>
      <c r="G1" s="45" t="s">
        <v>228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7" t="s">
        <v>187</v>
      </c>
      <c r="B2" s="47" t="s">
        <v>26</v>
      </c>
      <c r="C2" s="48" t="s">
        <v>229</v>
      </c>
      <c r="D2" s="48" t="s">
        <v>230</v>
      </c>
      <c r="E2" s="48" t="s">
        <v>231</v>
      </c>
      <c r="F2" s="49" t="s">
        <v>232</v>
      </c>
      <c r="G2" s="47" t="s">
        <v>233</v>
      </c>
      <c r="H2" s="50"/>
      <c r="I2" s="50"/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>
      <c r="A3" s="47" t="s">
        <v>186</v>
      </c>
      <c r="B3" s="47" t="s">
        <v>25</v>
      </c>
      <c r="C3" s="48" t="s">
        <v>234</v>
      </c>
      <c r="D3" s="48" t="s">
        <v>235</v>
      </c>
      <c r="E3" s="49" t="s">
        <v>232</v>
      </c>
      <c r="F3" s="49" t="s">
        <v>232</v>
      </c>
      <c r="G3" s="47" t="s">
        <v>233</v>
      </c>
      <c r="H3" s="50"/>
      <c r="I3" s="50"/>
      <c r="J3" s="5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>
      <c r="A4" s="47" t="s">
        <v>185</v>
      </c>
      <c r="B4" s="47" t="s">
        <v>24</v>
      </c>
      <c r="C4" s="48" t="s">
        <v>236</v>
      </c>
      <c r="D4" s="48" t="s">
        <v>237</v>
      </c>
      <c r="E4" s="48" t="s">
        <v>238</v>
      </c>
      <c r="F4" s="49" t="s">
        <v>232</v>
      </c>
      <c r="G4" s="47" t="s">
        <v>233</v>
      </c>
      <c r="H4" s="50"/>
      <c r="I4" s="50"/>
      <c r="J4" s="5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>
      <c r="A5" s="47" t="s">
        <v>124</v>
      </c>
      <c r="B5" s="47" t="s">
        <v>239</v>
      </c>
      <c r="C5" s="48" t="s">
        <v>240</v>
      </c>
      <c r="D5" s="48" t="s">
        <v>241</v>
      </c>
      <c r="E5" s="48" t="s">
        <v>242</v>
      </c>
      <c r="F5" s="49" t="s">
        <v>232</v>
      </c>
      <c r="G5" s="47" t="s">
        <v>233</v>
      </c>
      <c r="H5" s="50"/>
      <c r="I5" s="50"/>
      <c r="J5" s="50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>
      <c r="A6" s="47" t="s">
        <v>179</v>
      </c>
      <c r="B6" s="47" t="s">
        <v>17</v>
      </c>
      <c r="C6" s="48" t="s">
        <v>243</v>
      </c>
      <c r="D6" s="48" t="s">
        <v>244</v>
      </c>
      <c r="E6" s="49" t="s">
        <v>232</v>
      </c>
      <c r="F6" s="49" t="s">
        <v>232</v>
      </c>
      <c r="G6" s="47" t="s">
        <v>233</v>
      </c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>
      <c r="A7" s="47" t="s">
        <v>178</v>
      </c>
      <c r="B7" s="47" t="s">
        <v>16</v>
      </c>
      <c r="C7" s="48" t="s">
        <v>245</v>
      </c>
      <c r="D7" s="49" t="s">
        <v>246</v>
      </c>
      <c r="E7" s="49" t="s">
        <v>232</v>
      </c>
      <c r="F7" s="48" t="s">
        <v>247</v>
      </c>
      <c r="G7" s="47" t="s">
        <v>233</v>
      </c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>
      <c r="A8" s="47" t="s">
        <v>184</v>
      </c>
      <c r="B8" s="47" t="s">
        <v>23</v>
      </c>
      <c r="C8" s="48" t="s">
        <v>248</v>
      </c>
      <c r="D8" s="49" t="s">
        <v>246</v>
      </c>
      <c r="E8" s="49" t="s">
        <v>232</v>
      </c>
      <c r="F8" s="48" t="s">
        <v>249</v>
      </c>
      <c r="G8" s="47" t="s">
        <v>233</v>
      </c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>
      <c r="A9" s="47" t="s">
        <v>181</v>
      </c>
      <c r="B9" s="47" t="s">
        <v>20</v>
      </c>
      <c r="C9" s="49" t="s">
        <v>232</v>
      </c>
      <c r="D9" s="49" t="s">
        <v>232</v>
      </c>
      <c r="E9" s="48" t="s">
        <v>250</v>
      </c>
      <c r="F9" s="48" t="s">
        <v>251</v>
      </c>
      <c r="G9" s="47" t="s">
        <v>252</v>
      </c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>
      <c r="A10" s="47" t="s">
        <v>253</v>
      </c>
      <c r="B10" s="47" t="s">
        <v>18</v>
      </c>
      <c r="C10" s="49" t="s">
        <v>232</v>
      </c>
      <c r="D10" s="49" t="s">
        <v>232</v>
      </c>
      <c r="E10" s="49" t="s">
        <v>232</v>
      </c>
      <c r="F10" s="49" t="s">
        <v>232</v>
      </c>
      <c r="G10" s="48" t="s">
        <v>254</v>
      </c>
      <c r="H10" s="50"/>
      <c r="I10" s="50"/>
      <c r="J10" s="50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>
      <c r="A11" s="47" t="s">
        <v>255</v>
      </c>
      <c r="B11" s="47" t="s">
        <v>19</v>
      </c>
      <c r="C11" s="49" t="s">
        <v>232</v>
      </c>
      <c r="D11" s="49" t="s">
        <v>232</v>
      </c>
      <c r="E11" s="49" t="s">
        <v>232</v>
      </c>
      <c r="F11" s="49" t="s">
        <v>232</v>
      </c>
      <c r="G11" s="48" t="s">
        <v>256</v>
      </c>
      <c r="H11" s="50"/>
      <c r="I11" s="50"/>
      <c r="J11" s="50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>
      <c r="A14" s="47" t="s">
        <v>183</v>
      </c>
      <c r="B14" s="52" t="s">
        <v>22</v>
      </c>
      <c r="C14" s="47" t="s">
        <v>257</v>
      </c>
      <c r="D14" s="47" t="s">
        <v>258</v>
      </c>
      <c r="E14" s="47" t="s">
        <v>259</v>
      </c>
      <c r="F14" s="50"/>
      <c r="G14" s="50"/>
      <c r="H14" s="50"/>
      <c r="I14" s="50"/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>
      <c r="A15" s="47" t="s">
        <v>182</v>
      </c>
      <c r="B15" s="52" t="s">
        <v>21</v>
      </c>
      <c r="C15" s="47" t="s">
        <v>257</v>
      </c>
      <c r="D15" s="47" t="s">
        <v>258</v>
      </c>
      <c r="E15" s="47" t="s">
        <v>259</v>
      </c>
      <c r="F15" s="50"/>
      <c r="G15" s="50"/>
      <c r="H15" s="50"/>
      <c r="I15" s="50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</row>
  </sheetData>
  <hyperlinks>
    <hyperlink r:id="rId1" ref="C2"/>
    <hyperlink r:id="rId2" ref="D2"/>
    <hyperlink r:id="rId3" ref="E2"/>
    <hyperlink r:id="rId4" ref="C3"/>
    <hyperlink r:id="rId5" ref="D3"/>
    <hyperlink r:id="rId6" ref="C4"/>
    <hyperlink r:id="rId7" ref="D4"/>
    <hyperlink r:id="rId8" ref="E4"/>
    <hyperlink r:id="rId9" ref="C5"/>
    <hyperlink r:id="rId10" ref="D5"/>
    <hyperlink r:id="rId11" ref="E5"/>
    <hyperlink r:id="rId12" ref="C6"/>
    <hyperlink r:id="rId13" ref="D6"/>
    <hyperlink r:id="rId14" ref="C7"/>
    <hyperlink r:id="rId15" ref="F7"/>
    <hyperlink r:id="rId16" ref="C8"/>
    <hyperlink r:id="rId17" ref="F8"/>
    <hyperlink r:id="rId18" ref="E9"/>
    <hyperlink r:id="rId19" ref="F9"/>
    <hyperlink r:id="rId20" ref="G10"/>
    <hyperlink r:id="rId21" ref="G11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5.0"/>
    <col customWidth="1" min="3" max="3" width="28.0"/>
    <col customWidth="1" min="4" max="4" width="28.75"/>
    <col customWidth="1" min="5" max="5" width="32.38"/>
    <col customWidth="1" min="6" max="6" width="25.13"/>
    <col customWidth="1" min="7" max="7" width="23.63"/>
  </cols>
  <sheetData>
    <row r="1">
      <c r="A1" s="45" t="s">
        <v>188</v>
      </c>
      <c r="B1" s="45" t="s">
        <v>223</v>
      </c>
      <c r="C1" s="45" t="s">
        <v>224</v>
      </c>
      <c r="D1" s="45" t="s">
        <v>225</v>
      </c>
      <c r="E1" s="45" t="s">
        <v>226</v>
      </c>
      <c r="F1" s="45" t="s">
        <v>227</v>
      </c>
      <c r="G1" s="45" t="s">
        <v>228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53" t="s">
        <v>187</v>
      </c>
      <c r="B2" s="53" t="s">
        <v>26</v>
      </c>
      <c r="C2" s="54" t="s">
        <v>260</v>
      </c>
      <c r="D2" s="54" t="s">
        <v>6</v>
      </c>
      <c r="E2" s="54" t="s">
        <v>11</v>
      </c>
      <c r="F2" s="55" t="s">
        <v>232</v>
      </c>
      <c r="G2" s="53" t="s">
        <v>233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>
      <c r="A3" s="53" t="s">
        <v>186</v>
      </c>
      <c r="B3" s="53" t="s">
        <v>25</v>
      </c>
      <c r="C3" s="54" t="s">
        <v>261</v>
      </c>
      <c r="D3" s="54" t="s">
        <v>5</v>
      </c>
      <c r="E3" s="55" t="s">
        <v>232</v>
      </c>
      <c r="F3" s="55" t="s">
        <v>232</v>
      </c>
      <c r="G3" s="53" t="s">
        <v>233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>
      <c r="A4" s="53" t="s">
        <v>185</v>
      </c>
      <c r="B4" s="53" t="s">
        <v>24</v>
      </c>
      <c r="C4" s="54" t="s">
        <v>262</v>
      </c>
      <c r="D4" s="54" t="s">
        <v>4</v>
      </c>
      <c r="E4" s="54" t="s">
        <v>10</v>
      </c>
      <c r="F4" s="55" t="s">
        <v>232</v>
      </c>
      <c r="G4" s="53" t="s">
        <v>233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>
      <c r="A5" s="53" t="s">
        <v>124</v>
      </c>
      <c r="B5" s="53" t="s">
        <v>239</v>
      </c>
      <c r="C5" s="54" t="s">
        <v>263</v>
      </c>
      <c r="D5" s="54" t="s">
        <v>2</v>
      </c>
      <c r="E5" s="54" t="s">
        <v>8</v>
      </c>
      <c r="F5" s="55" t="s">
        <v>232</v>
      </c>
      <c r="G5" s="53" t="s">
        <v>233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>
      <c r="A6" s="53" t="s">
        <v>179</v>
      </c>
      <c r="B6" s="53" t="s">
        <v>17</v>
      </c>
      <c r="C6" s="54" t="s">
        <v>264</v>
      </c>
      <c r="D6" s="54" t="s">
        <v>1</v>
      </c>
      <c r="E6" s="55" t="s">
        <v>232</v>
      </c>
      <c r="F6" s="55" t="s">
        <v>232</v>
      </c>
      <c r="G6" s="53" t="s">
        <v>233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>
      <c r="A7" s="53" t="s">
        <v>178</v>
      </c>
      <c r="B7" s="53" t="s">
        <v>16</v>
      </c>
      <c r="C7" s="54" t="s">
        <v>265</v>
      </c>
      <c r="D7" s="55" t="s">
        <v>246</v>
      </c>
      <c r="E7" s="55" t="s">
        <v>232</v>
      </c>
      <c r="F7" s="54" t="s">
        <v>12</v>
      </c>
      <c r="G7" s="53" t="s">
        <v>233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>
      <c r="A8" s="53" t="s">
        <v>184</v>
      </c>
      <c r="B8" s="53" t="s">
        <v>23</v>
      </c>
      <c r="C8" s="54" t="s">
        <v>266</v>
      </c>
      <c r="D8" s="55" t="s">
        <v>246</v>
      </c>
      <c r="E8" s="55" t="s">
        <v>232</v>
      </c>
      <c r="F8" s="54" t="s">
        <v>14</v>
      </c>
      <c r="G8" s="53" t="s">
        <v>233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>
      <c r="A9" s="53" t="s">
        <v>181</v>
      </c>
      <c r="B9" s="53" t="s">
        <v>20</v>
      </c>
      <c r="C9" s="55" t="s">
        <v>232</v>
      </c>
      <c r="D9" s="55" t="s">
        <v>232</v>
      </c>
      <c r="E9" s="54" t="s">
        <v>267</v>
      </c>
      <c r="F9" s="54" t="s">
        <v>268</v>
      </c>
      <c r="G9" s="53" t="s">
        <v>252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>
      <c r="A10" s="53" t="s">
        <v>253</v>
      </c>
      <c r="B10" s="53" t="s">
        <v>18</v>
      </c>
      <c r="C10" s="55" t="s">
        <v>232</v>
      </c>
      <c r="D10" s="55" t="s">
        <v>232</v>
      </c>
      <c r="E10" s="55" t="s">
        <v>232</v>
      </c>
      <c r="F10" s="55" t="s">
        <v>232</v>
      </c>
      <c r="G10" s="54" t="s">
        <v>269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>
      <c r="A11" s="53" t="s">
        <v>255</v>
      </c>
      <c r="B11" s="53" t="s">
        <v>19</v>
      </c>
      <c r="C11" s="55" t="s">
        <v>232</v>
      </c>
      <c r="D11" s="55" t="s">
        <v>232</v>
      </c>
      <c r="E11" s="55" t="s">
        <v>232</v>
      </c>
      <c r="F11" s="55" t="s">
        <v>232</v>
      </c>
      <c r="G11" s="54" t="s">
        <v>270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>
      <c r="A14" s="53" t="s">
        <v>183</v>
      </c>
      <c r="B14" s="56" t="s">
        <v>22</v>
      </c>
      <c r="C14" s="53" t="s">
        <v>257</v>
      </c>
      <c r="D14" s="53" t="s">
        <v>258</v>
      </c>
      <c r="E14" s="53" t="s">
        <v>259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>
      <c r="A15" s="53" t="s">
        <v>182</v>
      </c>
      <c r="B15" s="56" t="s">
        <v>21</v>
      </c>
      <c r="C15" s="53" t="s">
        <v>257</v>
      </c>
      <c r="D15" s="53" t="s">
        <v>258</v>
      </c>
      <c r="E15" s="53" t="s">
        <v>259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</row>
  </sheetData>
  <hyperlinks>
    <hyperlink r:id="rId1" ref="C2"/>
    <hyperlink r:id="rId2" ref="D2"/>
    <hyperlink r:id="rId3" ref="E2"/>
    <hyperlink r:id="rId4" ref="C3"/>
    <hyperlink r:id="rId5" ref="D3"/>
    <hyperlink r:id="rId6" ref="C4"/>
    <hyperlink r:id="rId7" ref="D4"/>
    <hyperlink r:id="rId8" ref="E4"/>
    <hyperlink r:id="rId9" ref="C5"/>
    <hyperlink r:id="rId10" ref="D5"/>
    <hyperlink r:id="rId11" ref="E5"/>
    <hyperlink r:id="rId12" ref="C6"/>
    <hyperlink r:id="rId13" ref="D6"/>
    <hyperlink r:id="rId14" ref="C7"/>
    <hyperlink r:id="rId15" ref="F7"/>
    <hyperlink r:id="rId16" ref="C8"/>
    <hyperlink r:id="rId17" ref="F8"/>
    <hyperlink r:id="rId18" ref="E9"/>
    <hyperlink r:id="rId19" ref="F9"/>
    <hyperlink r:id="rId20" ref="G10"/>
    <hyperlink r:id="rId21" ref="G11"/>
  </hyperlinks>
  <drawing r:id="rId22"/>
</worksheet>
</file>